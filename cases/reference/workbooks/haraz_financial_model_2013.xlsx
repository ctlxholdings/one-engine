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showInkAnnotation="0" codeName="ThisWorkbook" defaultThemeVersion="124226"/>
  <mc:AlternateContent xmlns:mc="http://schemas.openxmlformats.org/markup-compatibility/2006">
    <mc:Choice Requires="x15">
      <x15ac:absPath xmlns:x15ac="http://schemas.microsoft.com/office/spreadsheetml/2010/11/ac" url="/Users/amiradoudouartine/Documents/HARAZ GROUP /ECTI Volontaire/ECTI ETUDE 2025/"/>
    </mc:Choice>
  </mc:AlternateContent>
  <xr:revisionPtr revIDLastSave="0" documentId="13_ncr:1_{7B437A79-909F-1D4D-8A59-59BC208E8862}" xr6:coauthVersionLast="47" xr6:coauthVersionMax="47" xr10:uidLastSave="{00000000-0000-0000-0000-000000000000}"/>
  <workbookProtection workbookAlgorithmName="SHA-512" workbookHashValue="810dzoGGnshZyReIuGRPsBNNCfSoq0P/wBG4N2XFVDTmgo1cCuy46HKe2Yx5kqdfEkl8W2fRUJeAZf5uQHktdw==" workbookSaltValue="oVtKCm68USXhawwngLpjZA==" workbookSpinCount="100000" lockStructure="1"/>
  <bookViews>
    <workbookView xWindow="0" yWindow="740" windowWidth="30240" windowHeight="18900" tabRatio="716" activeTab="9" xr2:uid="{00000000-000D-0000-FFFF-FFFF00000000}"/>
  </bookViews>
  <sheets>
    <sheet name="Cover" sheetId="125" r:id="rId1"/>
    <sheet name="Data Input" sheetId="126" r:id="rId2"/>
    <sheet name="Dashboard" sheetId="127" r:id="rId3"/>
    <sheet name="Fin.Statements" sheetId="128" r:id="rId4"/>
    <sheet name="CAPEX Financing" sheetId="129" state="hidden" r:id="rId5"/>
    <sheet name="WC Financing" sheetId="130" state="hidden" r:id="rId6"/>
    <sheet name="Depreciation" sheetId="131" state="hidden" r:id="rId7"/>
    <sheet name="Revenues" sheetId="99" r:id="rId8"/>
    <sheet name="OPEX" sheetId="94" r:id="rId9"/>
    <sheet name="CAPEX" sheetId="98" r:id="rId10"/>
    <sheet name="field crops farm CAPEX" sheetId="87" state="hidden" r:id="rId11"/>
    <sheet name="Dairy Product Composition" sheetId="120" r:id="rId12"/>
    <sheet name="Beef Product Composition" sheetId="140" r:id="rId13"/>
    <sheet name="Dairy Herd Movement" sheetId="101" state="hidden" r:id="rId14"/>
    <sheet name="Beef Herd Movement" sheetId="102" state="hidden" r:id="rId15"/>
  </sheets>
  <externalReferences>
    <externalReference r:id="rId16"/>
  </externalReferences>
  <definedNames>
    <definedName name="_xlnm._FilterDatabase" localSheetId="11" hidden="1">'Dairy Product Composition'!$B$48:$D$54</definedName>
    <definedName name="a" localSheetId="9" hidden="1">{#N/A,#N/A,FALSE,"השקעות"}</definedName>
    <definedName name="a" localSheetId="0" hidden="1">{#N/A,#N/A,FALSE,"השקעות"}</definedName>
    <definedName name="a" hidden="1">{#N/A,#N/A,FALSE,"השקעות"}</definedName>
    <definedName name="aa" localSheetId="0" hidden="1">{#N/A,#N/A,FALSE,"השקעות"}</definedName>
    <definedName name="aa" hidden="1">{#N/A,#N/A,FALSE,"השקעות"}</definedName>
    <definedName name="aaaaaaaaaaaaaa" localSheetId="0" hidden="1">{#N/A,#N/A,FALSE,"השקעות"}</definedName>
    <definedName name="aaaaaaaaaaaaaa" hidden="1">{#N/A,#N/A,FALSE,"השקעות"}</definedName>
    <definedName name="ary" localSheetId="0" hidden="1">{#N/A,#N/A,FALSE,"השקעות"}</definedName>
    <definedName name="ary" hidden="1">{#N/A,#N/A,FALSE,"השקעות"}</definedName>
    <definedName name="asdf" localSheetId="0" hidden="1">{#N/A,#N/A,FALSE,"השקעות"}</definedName>
    <definedName name="asdf" hidden="1">{#N/A,#N/A,FALSE,"השקעות"}</definedName>
    <definedName name="b" localSheetId="9" hidden="1">{#N/A,#N/A,FALSE,"השקעות"}</definedName>
    <definedName name="b" localSheetId="0" hidden="1">{#N/A,#N/A,FALSE,"השקעות"}</definedName>
    <definedName name="b" hidden="1">{#N/A,#N/A,FALSE,"השקעות"}</definedName>
    <definedName name="bb" localSheetId="0" hidden="1">{#N/A,#N/A,FALSE,"השקעות"}</definedName>
    <definedName name="bb" hidden="1">{#N/A,#N/A,FALSE,"השקעות"}</definedName>
    <definedName name="cccccccccc" localSheetId="0" hidden="1">{#N/A,#N/A,FALSE,"השקעות"}</definedName>
    <definedName name="cccccccccc" hidden="1">{#N/A,#N/A,FALSE,"השקעות"}</definedName>
    <definedName name="cccccccccccc" localSheetId="0" hidden="1">{#N/A,#N/A,FALSE,"השקעות"}</definedName>
    <definedName name="cccccccccccc" hidden="1">{#N/A,#N/A,FALSE,"השקעות"}</definedName>
    <definedName name="chgk" localSheetId="0" hidden="1">{#N/A,#N/A,FALSE,"השקעות"}</definedName>
    <definedName name="chgk" hidden="1">{#N/A,#N/A,FALSE,"השקעות"}</definedName>
    <definedName name="chgkkhgckhgc" localSheetId="0" hidden="1">{#N/A,#N/A,FALSE,"השקעות"}</definedName>
    <definedName name="chgkkhgckhgc" hidden="1">{#N/A,#N/A,FALSE,"השקעות"}</definedName>
    <definedName name="ckh" localSheetId="0" hidden="1">{#N/A,#N/A,FALSE,"השקעות"}</definedName>
    <definedName name="ckh" hidden="1">{#N/A,#N/A,FALSE,"השקעות"}</definedName>
    <definedName name="d" localSheetId="9" hidden="1">{#N/A,#N/A,FALSE,"השקעות"}</definedName>
    <definedName name="d" localSheetId="0" hidden="1">{#N/A,#N/A,FALSE,"השקעות"}</definedName>
    <definedName name="d" hidden="1">{#N/A,#N/A,FALSE,"השקעות"}</definedName>
    <definedName name="dfj" localSheetId="0" hidden="1">{#N/A,#N/A,FALSE,"השקעות"}</definedName>
    <definedName name="dfj" hidden="1">{#N/A,#N/A,FALSE,"השקעות"}</definedName>
    <definedName name="e" localSheetId="9" hidden="1">{#N/A,#N/A,FALSE,"השקעות"}</definedName>
    <definedName name="e" localSheetId="0" hidden="1">{#N/A,#N/A,FALSE,"השקעות"}</definedName>
    <definedName name="e" hidden="1">{#N/A,#N/A,FALSE,"השקעות"}</definedName>
    <definedName name="eee" localSheetId="9" hidden="1">{#N/A,#N/A,FALSE,"השקעות"}</definedName>
    <definedName name="eee" localSheetId="0" hidden="1">{#N/A,#N/A,FALSE,"השקעות"}</definedName>
    <definedName name="eee" hidden="1">{#N/A,#N/A,FALSE,"השקעות"}</definedName>
    <definedName name="esag" localSheetId="0" hidden="1">{#N/A,#N/A,FALSE,"השקעות"}</definedName>
    <definedName name="esag" hidden="1">{#N/A,#N/A,FALSE,"השקעות"}</definedName>
    <definedName name="EuroDollarRatio">#REF!</definedName>
    <definedName name="f" localSheetId="9" hidden="1">{#N/A,#N/A,FALSE,"השקעות"}</definedName>
    <definedName name="f" localSheetId="0" hidden="1">{#N/A,#N/A,FALSE,"השקעות"}</definedName>
    <definedName name="f" hidden="1">{#N/A,#N/A,FALSE,"השקעות"}</definedName>
    <definedName name="ff" localSheetId="9" hidden="1">{#N/A,#N/A,FALSE,"השקעות"}</definedName>
    <definedName name="ff" localSheetId="0" hidden="1">{#N/A,#N/A,FALSE,"השקעות"}</definedName>
    <definedName name="ff" hidden="1">{#N/A,#N/A,FALSE,"השקעות"}</definedName>
    <definedName name="ffff" localSheetId="9" hidden="1">{#N/A,#N/A,FALSE,"השקעות"}</definedName>
    <definedName name="ffff" localSheetId="0" hidden="1">{#N/A,#N/A,FALSE,"השקעות"}</definedName>
    <definedName name="ffff" hidden="1">{#N/A,#N/A,FALSE,"השקעות"}</definedName>
    <definedName name="g" localSheetId="9" hidden="1">{#N/A,#N/A,FALSE,"השקעות"}</definedName>
    <definedName name="g" localSheetId="0" hidden="1">{#N/A,#N/A,FALSE,"השקעות"}</definedName>
    <definedName name="g" hidden="1">{#N/A,#N/A,FALSE,"השקעות"}</definedName>
    <definedName name="gggg" localSheetId="9" hidden="1">{#N/A,#N/A,FALSE,"השקעות"}</definedName>
    <definedName name="gggg" localSheetId="0" hidden="1">{#N/A,#N/A,FALSE,"השקעות"}</definedName>
    <definedName name="gggg" hidden="1">{#N/A,#N/A,FALSE,"השקעות"}</definedName>
    <definedName name="ghl" localSheetId="0" hidden="1">{#N/A,#N/A,FALSE,"השקעות"}</definedName>
    <definedName name="ghl" hidden="1">{#N/A,#N/A,FALSE,"השקעות"}</definedName>
    <definedName name="gho" localSheetId="0" hidden="1">{#N/A,#N/A,FALSE,"השקעות"}</definedName>
    <definedName name="gho" hidden="1">{#N/A,#N/A,FALSE,"השקעות"}</definedName>
    <definedName name="guo" localSheetId="0" hidden="1">{#N/A,#N/A,FALSE,"השקעות"}</definedName>
    <definedName name="guo" hidden="1">{#N/A,#N/A,FALSE,"השקעות"}</definedName>
    <definedName name="gxhg" localSheetId="0" hidden="1">{#N/A,#N/A,FALSE,"השקעות"}</definedName>
    <definedName name="gxhg" hidden="1">{#N/A,#N/A,FALSE,"השקעות"}</definedName>
    <definedName name="gxngx" localSheetId="0" hidden="1">{#N/A,#N/A,FALSE,"השקעות"}</definedName>
    <definedName name="gxngx" hidden="1">{#N/A,#N/A,FALSE,"השקעות"}</definedName>
    <definedName name="h" localSheetId="9" hidden="1">{#N/A,#N/A,FALSE,"השקעות"}</definedName>
    <definedName name="h" localSheetId="0" hidden="1">{#N/A,#N/A,FALSE,"השקעות"}</definedName>
    <definedName name="h" hidden="1">{#N/A,#N/A,FALSE,"השקעות"}</definedName>
    <definedName name="hd" localSheetId="0" hidden="1">{#N/A,#N/A,FALSE,"השקעות"}</definedName>
    <definedName name="hd" hidden="1">{#N/A,#N/A,FALSE,"השקעות"}</definedName>
    <definedName name="hfd" localSheetId="0" hidden="1">{#N/A,#N/A,FALSE,"השקעות"}</definedName>
    <definedName name="hfd" hidden="1">{#N/A,#N/A,FALSE,"השקעות"}</definedName>
    <definedName name="hg" localSheetId="0" hidden="1">{#N/A,#N/A,FALSE,"השקעות"}</definedName>
    <definedName name="hg" hidden="1">{#N/A,#N/A,FALSE,"השקעות"}</definedName>
    <definedName name="India1" localSheetId="9" hidden="1">{#N/A,#N/A,FALSE,"השקעות"}</definedName>
    <definedName name="India1" localSheetId="0" hidden="1">{#N/A,#N/A,FALSE,"השקעות"}</definedName>
    <definedName name="India1" hidden="1">{#N/A,#N/A,FALSE,"השקעות"}</definedName>
    <definedName name="India2" localSheetId="9" hidden="1">{#N/A,#N/A,FALSE,"השקעות"}</definedName>
    <definedName name="India2" localSheetId="0" hidden="1">{#N/A,#N/A,FALSE,"השקעות"}</definedName>
    <definedName name="India2" hidden="1">{#N/A,#N/A,FALSE,"השקעות"}</definedName>
    <definedName name="Inv" localSheetId="9" hidden="1">{#N/A,#N/A,FALSE,"השקעות"}</definedName>
    <definedName name="Inv" localSheetId="0" hidden="1">{#N/A,#N/A,FALSE,"השקעות"}</definedName>
    <definedName name="Inv" hidden="1">{#N/A,#N/A,FALSE,"השקעות"}</definedName>
    <definedName name="Invest" localSheetId="9" hidden="1">{#N/A,#N/A,FALSE,"השקעות"}</definedName>
    <definedName name="Invest" localSheetId="0" hidden="1">{#N/A,#N/A,FALSE,"השקעות"}</definedName>
    <definedName name="Invest" hidden="1">{#N/A,#N/A,FALSE,"השקעות"}</definedName>
    <definedName name="Investments" localSheetId="9" hidden="1">{#N/A,#N/A,FALSE,"השקעות"}</definedName>
    <definedName name="Investments" localSheetId="0" hidden="1">{#N/A,#N/A,FALSE,"השקעות"}</definedName>
    <definedName name="Investments" hidden="1">{#N/A,#N/A,FALSE,"השקעות"}</definedName>
    <definedName name="Investments1" localSheetId="9" hidden="1">{#N/A,#N/A,FALSE,"השקעות"}</definedName>
    <definedName name="Investments1" localSheetId="0" hidden="1">{#N/A,#N/A,FALSE,"השקעות"}</definedName>
    <definedName name="Investments1" hidden="1">{#N/A,#N/A,FALSE,"השקעות"}</definedName>
    <definedName name="Investments2" localSheetId="9" hidden="1">{#N/A,#N/A,FALSE,"השקעות"}</definedName>
    <definedName name="Investments2" localSheetId="0" hidden="1">{#N/A,#N/A,FALSE,"השקעות"}</definedName>
    <definedName name="Investments2" hidden="1">{#N/A,#N/A,FALSE,"השקעות"}</definedName>
    <definedName name="Investments3" localSheetId="9" hidden="1">{#N/A,#N/A,FALSE,"השקעות"}</definedName>
    <definedName name="Investments3" localSheetId="0" hidden="1">{#N/A,#N/A,FALSE,"השקעות"}</definedName>
    <definedName name="Investments3" hidden="1">{#N/A,#N/A,FALSE,"השקעות"}</definedName>
    <definedName name="jgjgjg" localSheetId="0" hidden="1">{#N/A,#N/A,FALSE,"השקעות"}</definedName>
    <definedName name="jgjgjg" hidden="1">{#N/A,#N/A,FALSE,"השקעות"}</definedName>
    <definedName name="jgjjg" localSheetId="0" hidden="1">{#N/A,#N/A,FALSE,"השקעות"}</definedName>
    <definedName name="jgjjg" hidden="1">{#N/A,#N/A,FALSE,"השקעות"}</definedName>
    <definedName name="jgjjj" localSheetId="0" hidden="1">{#N/A,#N/A,FALSE,"השקעות"}</definedName>
    <definedName name="jgjjj" hidden="1">{#N/A,#N/A,FALSE,"השקעות"}</definedName>
    <definedName name="kf" localSheetId="0" hidden="1">{#N/A,#N/A,FALSE,"השקעות"}</definedName>
    <definedName name="kf" hidden="1">{#N/A,#N/A,FALSE,"השקעות"}</definedName>
    <definedName name="khcgkchkhg" localSheetId="0" hidden="1">{#N/A,#N/A,FALSE,"השקעות"}</definedName>
    <definedName name="khcgkchkhg" hidden="1">{#N/A,#N/A,FALSE,"השקעות"}</definedName>
    <definedName name="khg" localSheetId="0" hidden="1">{#N/A,#N/A,FALSE,"השקעות"}</definedName>
    <definedName name="khg" hidden="1">{#N/A,#N/A,FALSE,"השקעות"}</definedName>
    <definedName name="LempiraDollarFx">[1]Assumptions!$D$32</definedName>
    <definedName name="mb" localSheetId="0" hidden="1">{#N/A,#N/A,FALSE,"השקעות"}</definedName>
    <definedName name="mb" hidden="1">{#N/A,#N/A,FALSE,"השקעות"}</definedName>
    <definedName name="mhhf" localSheetId="0" hidden="1">{#N/A,#N/A,FALSE,"השקעות"}</definedName>
    <definedName name="mhhf" hidden="1">{#N/A,#N/A,FALSE,"השקעות"}</definedName>
    <definedName name="q" localSheetId="9" hidden="1">{#N/A,#N/A,FALSE,"השקעות"}</definedName>
    <definedName name="q" localSheetId="0" hidden="1">{#N/A,#N/A,FALSE,"השקעות"}</definedName>
    <definedName name="q" hidden="1">{#N/A,#N/A,FALSE,"השקעות"}</definedName>
    <definedName name="qq" localSheetId="9" hidden="1">{#N/A,#N/A,FALSE,"השקעות"}</definedName>
    <definedName name="qq" localSheetId="0" hidden="1">{#N/A,#N/A,FALSE,"השקעות"}</definedName>
    <definedName name="qq" hidden="1">{#N/A,#N/A,FALSE,"השקעות"}</definedName>
    <definedName name="qqq" localSheetId="9" hidden="1">{#N/A,#N/A,FALSE,"השקעות"}</definedName>
    <definedName name="qqq" localSheetId="0" hidden="1">{#N/A,#N/A,FALSE,"השקעות"}</definedName>
    <definedName name="qqq" hidden="1">{#N/A,#N/A,FALSE,"השקעות"}</definedName>
    <definedName name="qqqq" localSheetId="9" hidden="1">{#N/A,#N/A,FALSE,"השקעות"}</definedName>
    <definedName name="qqqq" localSheetId="0" hidden="1">{#N/A,#N/A,FALSE,"השקעות"}</definedName>
    <definedName name="qqqq" hidden="1">{#N/A,#N/A,FALSE,"השקעות"}</definedName>
    <definedName name="qqqqq" localSheetId="9" hidden="1">{#N/A,#N/A,FALSE,"השקעות"}</definedName>
    <definedName name="qqqqq" localSheetId="0" hidden="1">{#N/A,#N/A,FALSE,"השקעות"}</definedName>
    <definedName name="qqqqq" hidden="1">{#N/A,#N/A,FALSE,"השקעות"}</definedName>
    <definedName name="QuanzaDollarFx">#REF!</definedName>
    <definedName name="QuanzaFx">#REF!</definedName>
    <definedName name="ret" localSheetId="0" hidden="1">{#N/A,#N/A,FALSE,"השקעות"}</definedName>
    <definedName name="ret" hidden="1">{#N/A,#N/A,FALSE,"השקעות"}</definedName>
    <definedName name="rrr" localSheetId="9" hidden="1">{#N/A,#N/A,FALSE,"השקעות"}</definedName>
    <definedName name="rrr" localSheetId="0" hidden="1">{#N/A,#N/A,FALSE,"השקעות"}</definedName>
    <definedName name="rrr" hidden="1">{#N/A,#N/A,FALSE,"השקעות"}</definedName>
    <definedName name="Scenarios">#REF!</definedName>
    <definedName name="sdrh" localSheetId="0" hidden="1">{#N/A,#N/A,FALSE,"השקעות"}</definedName>
    <definedName name="sdrh" hidden="1">{#N/A,#N/A,FALSE,"השקעות"}</definedName>
    <definedName name="sss" localSheetId="9" hidden="1">{#N/A,#N/A,FALSE,"השקעות"}</definedName>
    <definedName name="sss" localSheetId="0" hidden="1">{#N/A,#N/A,FALSE,"השקעות"}</definedName>
    <definedName name="sss" hidden="1">{#N/A,#N/A,FALSE,"השקעות"}</definedName>
    <definedName name="ssss" localSheetId="9" hidden="1">{#N/A,#N/A,FALSE,"השקעות"}</definedName>
    <definedName name="ssss" localSheetId="0" hidden="1">{#N/A,#N/A,FALSE,"השקעות"}</definedName>
    <definedName name="ssss" hidden="1">{#N/A,#N/A,FALSE,"השקעות"}</definedName>
    <definedName name="Tax">[1]Assumptions!$D$33</definedName>
    <definedName name="taxholiday">#REF!</definedName>
    <definedName name="Update">"1.8.18"</definedName>
    <definedName name="w" localSheetId="9" hidden="1">{#N/A,#N/A,FALSE,"השקעות"}</definedName>
    <definedName name="w" localSheetId="0" hidden="1">{#N/A,#N/A,FALSE,"השקעות"}</definedName>
    <definedName name="w" hidden="1">{#N/A,#N/A,FALSE,"השקעות"}</definedName>
    <definedName name="wacc">#REF!</definedName>
    <definedName name="wrn.השקעות." localSheetId="9" hidden="1">{#N/A,#N/A,FALSE,"השקעות"}</definedName>
    <definedName name="wrn.השקעות." localSheetId="0" hidden="1">{#N/A,#N/A,FALSE,"השקעות"}</definedName>
    <definedName name="wrn.השקעות." hidden="1">{#N/A,#N/A,FALSE,"השקעות"}</definedName>
    <definedName name="ww" localSheetId="9" hidden="1">{#N/A,#N/A,FALSE,"השקעות"}</definedName>
    <definedName name="ww" localSheetId="0" hidden="1">{#N/A,#N/A,FALSE,"השקעות"}</definedName>
    <definedName name="ww" hidden="1">{#N/A,#N/A,FALSE,"השקעות"}</definedName>
    <definedName name="www" localSheetId="9" hidden="1">{#N/A,#N/A,FALSE,"השקעות"}</definedName>
    <definedName name="www" localSheetId="0" hidden="1">{#N/A,#N/A,FALSE,"השקעות"}</definedName>
    <definedName name="www" hidden="1">{#N/A,#N/A,FALSE,"השקעות"}</definedName>
    <definedName name="wwww" localSheetId="9" hidden="1">{#N/A,#N/A,FALSE,"השקעות"}</definedName>
    <definedName name="wwww" localSheetId="0" hidden="1">{#N/A,#N/A,FALSE,"השקעות"}</definedName>
    <definedName name="wwww" hidden="1">{#N/A,#N/A,FALSE,"השקעות"}</definedName>
    <definedName name="xcggg" localSheetId="0" hidden="1">{#N/A,#N/A,FALSE,"השקעות"}</definedName>
    <definedName name="xcggg" hidden="1">{#N/A,#N/A,FALSE,"השקעות"}</definedName>
    <definedName name="xfgj" localSheetId="0" hidden="1">{#N/A,#N/A,FALSE,"השקעות"}</definedName>
    <definedName name="xfgj" hidden="1">{#N/A,#N/A,FALSE,"השקעות"}</definedName>
    <definedName name="xgxxg" localSheetId="0" hidden="1">{#N/A,#N/A,FALSE,"השקעות"}</definedName>
    <definedName name="xgxxg" hidden="1">{#N/A,#N/A,FALSE,"השקעות"}</definedName>
    <definedName name="xv" localSheetId="0" hidden="1">{#N/A,#N/A,FALSE,"השקעות"}</definedName>
    <definedName name="xv" hidden="1">{#N/A,#N/A,FALSE,"השקעות"}</definedName>
    <definedName name="Z_E34CEE93_EBE2_47C9_A94A_B42F718EAD3A_.wvu.PrintArea" localSheetId="0" hidden="1">Cover!$B$2:$I$30</definedName>
    <definedName name="Z_E34CEE93_EBE2_47C9_A94A_B42F718EAD3A_.wvu.Rows" localSheetId="4" hidden="1">'CAPEX Financing'!$63:$89,'CAPEX Financing'!$92:$118,'CAPEX Financing'!$121:$147,'CAPEX Financing'!$150:$176</definedName>
    <definedName name="Z_E34CEE93_EBE2_47C9_A94A_B42F718EAD3A_.wvu.Rows" localSheetId="5" hidden="1">'WC Financing'!$56:$70,'WC Financing'!$73:$87,'WC Financing'!$90:$104,'WC Financing'!$107:$121</definedName>
    <definedName name="zzz" localSheetId="9" hidden="1">{#N/A,#N/A,FALSE,"השקעות"}</definedName>
    <definedName name="zzz" localSheetId="0" hidden="1">{#N/A,#N/A,FALSE,"השקעות"}</definedName>
    <definedName name="zzz" hidden="1">{#N/A,#N/A,FALSE,"השקעות"}</definedName>
    <definedName name="השקעות2" localSheetId="9" hidden="1">{#N/A,#N/A,FALSE,"השקעות"}</definedName>
    <definedName name="השקעות2" localSheetId="0" hidden="1">{#N/A,#N/A,FALSE,"השקעות"}</definedName>
    <definedName name="השקעות2" hidden="1">{#N/A,#N/A,FALSE,"השקעות"}</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9" i="98" l="1"/>
  <c r="H249" i="98"/>
  <c r="G249" i="98"/>
  <c r="F212" i="98"/>
  <c r="E212" i="98"/>
  <c r="F184" i="98"/>
  <c r="F185" i="98"/>
  <c r="F186" i="98"/>
  <c r="F187" i="98"/>
  <c r="F188" i="98"/>
  <c r="F189" i="98"/>
  <c r="F190" i="98"/>
  <c r="F191" i="98"/>
  <c r="E184" i="98"/>
  <c r="E185" i="98"/>
  <c r="E186" i="98"/>
  <c r="E187" i="98"/>
  <c r="E188" i="98"/>
  <c r="E189" i="98"/>
  <c r="E190" i="98"/>
  <c r="E191" i="98"/>
  <c r="F194" i="98"/>
  <c r="F195" i="98"/>
  <c r="F196" i="98"/>
  <c r="F197" i="98"/>
  <c r="F198" i="98"/>
  <c r="F199" i="98"/>
  <c r="F200" i="98"/>
  <c r="F201" i="98"/>
  <c r="E194" i="98"/>
  <c r="E195" i="98"/>
  <c r="E196" i="98"/>
  <c r="E197" i="98"/>
  <c r="E198" i="98"/>
  <c r="E199" i="98"/>
  <c r="E200" i="98"/>
  <c r="E201" i="98"/>
  <c r="F204" i="98"/>
  <c r="E204" i="98"/>
  <c r="F209" i="98"/>
  <c r="F210" i="98"/>
  <c r="F211" i="98"/>
  <c r="E209" i="98"/>
  <c r="E210" i="98"/>
  <c r="E211" i="98"/>
  <c r="F217" i="98"/>
  <c r="F218" i="98"/>
  <c r="F219" i="98"/>
  <c r="F220" i="98"/>
  <c r="F221" i="98"/>
  <c r="F222" i="98"/>
  <c r="F223" i="98"/>
  <c r="F224" i="98"/>
  <c r="F225" i="98"/>
  <c r="F226" i="98"/>
  <c r="E217" i="98"/>
  <c r="E218" i="98"/>
  <c r="E219" i="98"/>
  <c r="E220" i="98"/>
  <c r="E221" i="98"/>
  <c r="E222" i="98"/>
  <c r="E223" i="98"/>
  <c r="E224" i="98"/>
  <c r="E225" i="98"/>
  <c r="E226" i="98"/>
  <c r="F229" i="98"/>
  <c r="E229" i="98"/>
  <c r="F232" i="98"/>
  <c r="E232" i="98"/>
  <c r="F234" i="98"/>
  <c r="F231" i="98"/>
  <c r="F228" i="98"/>
  <c r="F216" i="98"/>
  <c r="F208" i="98"/>
  <c r="F206" i="98"/>
  <c r="F203" i="98"/>
  <c r="F193" i="98"/>
  <c r="E234" i="98"/>
  <c r="E231" i="98"/>
  <c r="E228" i="98"/>
  <c r="E216" i="98"/>
  <c r="E208" i="98"/>
  <c r="E206" i="98"/>
  <c r="E203" i="98"/>
  <c r="E193" i="98"/>
  <c r="F183" i="98"/>
  <c r="E183" i="98"/>
  <c r="F179" i="98"/>
  <c r="E179" i="98"/>
  <c r="E164" i="98"/>
  <c r="F158" i="98"/>
  <c r="F159" i="98"/>
  <c r="F160" i="98"/>
  <c r="F161" i="98"/>
  <c r="F162" i="98"/>
  <c r="F163" i="98"/>
  <c r="F164" i="98"/>
  <c r="E158" i="98"/>
  <c r="E159" i="98"/>
  <c r="E160" i="98"/>
  <c r="E161" i="98"/>
  <c r="E162" i="98"/>
  <c r="E163" i="98"/>
  <c r="F167" i="98"/>
  <c r="E167" i="98"/>
  <c r="E170" i="98"/>
  <c r="E171" i="98"/>
  <c r="F170" i="98"/>
  <c r="F171" i="98"/>
  <c r="F176" i="98"/>
  <c r="F177" i="98"/>
  <c r="F178" i="98"/>
  <c r="E176" i="98"/>
  <c r="E177" i="98"/>
  <c r="E178" i="98"/>
  <c r="F175" i="98"/>
  <c r="F173" i="98"/>
  <c r="F169" i="98"/>
  <c r="F166" i="98"/>
  <c r="F157" i="98"/>
  <c r="E175" i="98"/>
  <c r="E173" i="98"/>
  <c r="E169" i="98"/>
  <c r="E166" i="98"/>
  <c r="E157" i="98"/>
  <c r="H153" i="98"/>
  <c r="G153" i="98"/>
  <c r="F153" i="98"/>
  <c r="F123" i="98"/>
  <c r="F124" i="98"/>
  <c r="F125" i="98"/>
  <c r="F126" i="98"/>
  <c r="F127" i="98"/>
  <c r="F128" i="98"/>
  <c r="F129" i="98"/>
  <c r="F130" i="98"/>
  <c r="F131" i="98"/>
  <c r="F134" i="98"/>
  <c r="F135" i="98"/>
  <c r="F136" i="98"/>
  <c r="F137" i="98"/>
  <c r="F138" i="98"/>
  <c r="F139" i="98"/>
  <c r="F140" i="98"/>
  <c r="F141" i="98"/>
  <c r="F142" i="98"/>
  <c r="F145" i="98"/>
  <c r="F150" i="98"/>
  <c r="F151" i="98"/>
  <c r="F152" i="98"/>
  <c r="F149" i="98"/>
  <c r="F147" i="98"/>
  <c r="F144" i="98"/>
  <c r="F133" i="98"/>
  <c r="F122" i="98"/>
  <c r="F120" i="98"/>
  <c r="E153" i="98"/>
  <c r="E150" i="98"/>
  <c r="E151" i="98"/>
  <c r="E152" i="98"/>
  <c r="E145" i="98"/>
  <c r="E134" i="98"/>
  <c r="E135" i="98"/>
  <c r="E136" i="98"/>
  <c r="E137" i="98"/>
  <c r="E138" i="98"/>
  <c r="E139" i="98"/>
  <c r="E140" i="98"/>
  <c r="E141" i="98"/>
  <c r="E142" i="98"/>
  <c r="E149" i="98"/>
  <c r="E147" i="98"/>
  <c r="E144" i="98"/>
  <c r="E133" i="98"/>
  <c r="E123" i="98"/>
  <c r="E124" i="98"/>
  <c r="E125" i="98"/>
  <c r="E126" i="98"/>
  <c r="E127" i="98"/>
  <c r="E128" i="98"/>
  <c r="E129" i="98"/>
  <c r="E130" i="98"/>
  <c r="E131" i="98"/>
  <c r="E122" i="98"/>
  <c r="E120" i="98"/>
  <c r="E247" i="98"/>
  <c r="C247" i="98"/>
  <c r="C257" i="98"/>
  <c r="C258" i="98"/>
  <c r="C259" i="98"/>
  <c r="C260" i="98"/>
  <c r="C261" i="98"/>
  <c r="C262" i="98"/>
  <c r="C264" i="98"/>
  <c r="C265" i="98"/>
  <c r="F110" i="98" l="1"/>
  <c r="F108" i="98"/>
  <c r="F107" i="98"/>
  <c r="E110" i="98"/>
  <c r="E108" i="98"/>
  <c r="E107" i="98"/>
  <c r="F100" i="98"/>
  <c r="F101" i="98"/>
  <c r="F102" i="98"/>
  <c r="F103" i="98"/>
  <c r="F104" i="98"/>
  <c r="F105" i="98"/>
  <c r="F99" i="98"/>
  <c r="E100" i="98"/>
  <c r="E101" i="98"/>
  <c r="E102" i="98"/>
  <c r="E103" i="98"/>
  <c r="E104" i="98"/>
  <c r="E105" i="98"/>
  <c r="E99" i="98"/>
  <c r="F84" i="98"/>
  <c r="F85" i="98"/>
  <c r="F86" i="98"/>
  <c r="F87" i="98"/>
  <c r="F88" i="98"/>
  <c r="F89" i="98"/>
  <c r="F90" i="98"/>
  <c r="F91" i="98"/>
  <c r="F92" i="98"/>
  <c r="F93" i="98"/>
  <c r="F94" i="98"/>
  <c r="F95" i="98"/>
  <c r="F96" i="98"/>
  <c r="F97" i="98"/>
  <c r="F83" i="98"/>
  <c r="E84" i="98"/>
  <c r="E85" i="98"/>
  <c r="E86" i="98"/>
  <c r="E87" i="98"/>
  <c r="E88" i="98"/>
  <c r="E89" i="98"/>
  <c r="E90" i="98"/>
  <c r="E91" i="98"/>
  <c r="E92" i="98"/>
  <c r="E93" i="98"/>
  <c r="E94" i="98"/>
  <c r="E95" i="98"/>
  <c r="E96" i="98"/>
  <c r="E97" i="98"/>
  <c r="E83" i="98"/>
  <c r="F70" i="98"/>
  <c r="F71" i="98"/>
  <c r="F73" i="98"/>
  <c r="F69" i="98"/>
  <c r="F62" i="98"/>
  <c r="E70" i="98"/>
  <c r="E71" i="98"/>
  <c r="E73" i="98"/>
  <c r="E69" i="98"/>
  <c r="F63" i="98"/>
  <c r="F64" i="98"/>
  <c r="F65" i="98"/>
  <c r="F66" i="98"/>
  <c r="F67" i="98"/>
  <c r="E63" i="98"/>
  <c r="E64" i="98"/>
  <c r="E65" i="98"/>
  <c r="E66" i="98"/>
  <c r="E67" i="98"/>
  <c r="E62" i="98"/>
  <c r="F57" i="98"/>
  <c r="F58" i="98"/>
  <c r="F59" i="98"/>
  <c r="F60" i="98"/>
  <c r="E59" i="98"/>
  <c r="E60" i="98"/>
  <c r="F56" i="98"/>
  <c r="E57" i="98"/>
  <c r="E58" i="98"/>
  <c r="E56" i="98"/>
  <c r="E34" i="98"/>
  <c r="E35" i="98"/>
  <c r="E36" i="98"/>
  <c r="E37" i="98"/>
  <c r="E38" i="98"/>
  <c r="E39" i="98"/>
  <c r="E40" i="98"/>
  <c r="E41" i="98"/>
  <c r="E42" i="98"/>
  <c r="E43" i="98"/>
  <c r="E44" i="98"/>
  <c r="E45" i="98"/>
  <c r="E46" i="98"/>
  <c r="E47" i="98"/>
  <c r="E31" i="98"/>
  <c r="E32" i="98"/>
  <c r="E33" i="98"/>
  <c r="E30" i="98"/>
  <c r="E24" i="98"/>
  <c r="E25" i="98"/>
  <c r="E26" i="98"/>
  <c r="E27" i="98"/>
  <c r="E28" i="98"/>
  <c r="E23" i="98"/>
  <c r="E14" i="98"/>
  <c r="E15" i="98"/>
  <c r="E16" i="98"/>
  <c r="E17" i="98"/>
  <c r="E18" i="98"/>
  <c r="E19" i="98"/>
  <c r="E20" i="98"/>
  <c r="E21" i="98"/>
  <c r="E13" i="98"/>
  <c r="E9" i="98"/>
  <c r="E10" i="98"/>
  <c r="E11" i="98"/>
  <c r="E8" i="98"/>
  <c r="D240" i="98"/>
  <c r="D212" i="98"/>
  <c r="C211" i="98" s="1"/>
  <c r="D179" i="98"/>
  <c r="C178" i="98" s="1"/>
  <c r="D116" i="98"/>
  <c r="C115" i="98" s="1"/>
  <c r="E115" i="98" s="1"/>
  <c r="D153" i="98"/>
  <c r="C152" i="98" s="1"/>
  <c r="D79" i="98"/>
  <c r="C78" i="98" s="1"/>
  <c r="E78" i="98" s="1"/>
  <c r="D52" i="98"/>
  <c r="C51" i="98" s="1"/>
  <c r="E51" i="98" s="1"/>
  <c r="C236" i="98" l="1"/>
  <c r="C237" i="98"/>
  <c r="C238" i="98"/>
  <c r="C239" i="98"/>
  <c r="F78" i="98"/>
  <c r="F115" i="98"/>
  <c r="C208" i="98"/>
  <c r="C209" i="98"/>
  <c r="C210" i="98"/>
  <c r="C149" i="98"/>
  <c r="C151" i="98"/>
  <c r="C150" i="98"/>
  <c r="C112" i="98"/>
  <c r="C113" i="98"/>
  <c r="C114" i="98"/>
  <c r="C77" i="98"/>
  <c r="C50" i="98"/>
  <c r="E50" i="98" s="1"/>
  <c r="C76" i="98"/>
  <c r="C75" i="98"/>
  <c r="C48" i="98"/>
  <c r="E48" i="98" s="1"/>
  <c r="E52" i="98" s="1"/>
  <c r="C49" i="98"/>
  <c r="E49" i="98" s="1"/>
  <c r="E238" i="98" l="1"/>
  <c r="F238" i="98"/>
  <c r="F236" i="98"/>
  <c r="E236" i="98"/>
  <c r="E239" i="98"/>
  <c r="F239" i="98"/>
  <c r="E237" i="98"/>
  <c r="F237" i="98"/>
  <c r="C240" i="98"/>
  <c r="E114" i="98"/>
  <c r="F114" i="98"/>
  <c r="E113" i="98"/>
  <c r="F113" i="98"/>
  <c r="E112" i="98"/>
  <c r="E116" i="98" s="1"/>
  <c r="F112" i="98"/>
  <c r="F116" i="98" s="1"/>
  <c r="F75" i="98"/>
  <c r="F79" i="98" s="1"/>
  <c r="E75" i="98"/>
  <c r="E79" i="98" s="1"/>
  <c r="E76" i="98"/>
  <c r="F76" i="98"/>
  <c r="E77" i="98"/>
  <c r="F77" i="98"/>
  <c r="C212" i="98"/>
  <c r="C153" i="98"/>
  <c r="C116" i="98"/>
  <c r="C79" i="98"/>
  <c r="E240" i="98" l="1"/>
  <c r="E249" i="98" s="1"/>
  <c r="F240" i="98"/>
  <c r="F249" i="98" s="1"/>
  <c r="C263" i="98"/>
  <c r="C249" i="98"/>
  <c r="C103" i="127"/>
  <c r="F97" i="94" l="1"/>
  <c r="D49" i="94"/>
  <c r="D48" i="94"/>
  <c r="AF33" i="128" l="1"/>
  <c r="AG33" i="128"/>
  <c r="AH33" i="128"/>
  <c r="AI33" i="128"/>
  <c r="AJ33" i="128"/>
  <c r="AK33" i="128"/>
  <c r="AL33" i="128"/>
  <c r="AM33" i="128"/>
  <c r="AN33" i="128"/>
  <c r="AO33" i="128"/>
  <c r="AP33" i="128"/>
  <c r="AQ33" i="128"/>
  <c r="AR33" i="128"/>
  <c r="AS33" i="128"/>
  <c r="AT33" i="128"/>
  <c r="AU33" i="128"/>
  <c r="B247" i="98" l="1"/>
  <c r="D265" i="98" l="1"/>
  <c r="A10" i="140"/>
  <c r="H96" i="94" l="1"/>
  <c r="D264" i="98" l="1"/>
  <c r="D39" i="99" l="1"/>
  <c r="O8" i="129" l="1"/>
  <c r="N8" i="129"/>
  <c r="N7" i="129"/>
  <c r="N6" i="129"/>
  <c r="N5" i="129"/>
  <c r="E39" i="99" l="1"/>
  <c r="F39" i="99"/>
  <c r="C39" i="99"/>
  <c r="D36" i="94" l="1"/>
  <c r="D23" i="94" l="1"/>
  <c r="F103" i="94" l="1"/>
  <c r="K103" i="94" s="1"/>
  <c r="F88" i="94"/>
  <c r="F73" i="94"/>
  <c r="F72" i="94"/>
  <c r="F59" i="94"/>
  <c r="I59" i="94" s="1"/>
  <c r="F57" i="94"/>
  <c r="I57" i="94" s="1"/>
  <c r="F38" i="94"/>
  <c r="I38" i="94" s="1"/>
  <c r="F39" i="94"/>
  <c r="J39" i="94" s="1"/>
  <c r="D37" i="94"/>
  <c r="D24" i="94"/>
  <c r="D21" i="94"/>
  <c r="R103" i="94" l="1"/>
  <c r="J103" i="94"/>
  <c r="Q103" i="94"/>
  <c r="M103" i="94"/>
  <c r="I103" i="94"/>
  <c r="N103" i="94"/>
  <c r="H103" i="94"/>
  <c r="P103" i="94"/>
  <c r="L103" i="94"/>
  <c r="S103" i="94"/>
  <c r="O103" i="94"/>
  <c r="H38" i="94"/>
  <c r="H57" i="94"/>
  <c r="S38" i="94"/>
  <c r="L59" i="94"/>
  <c r="L57" i="94"/>
  <c r="P39" i="94"/>
  <c r="R57" i="94"/>
  <c r="K38" i="94"/>
  <c r="P59" i="94"/>
  <c r="H59" i="94"/>
  <c r="M39" i="94"/>
  <c r="P38" i="94"/>
  <c r="N59" i="94"/>
  <c r="S59" i="94"/>
  <c r="O59" i="94"/>
  <c r="Q57" i="94"/>
  <c r="K59" i="94"/>
  <c r="K57" i="94"/>
  <c r="L39" i="94"/>
  <c r="O38" i="94"/>
  <c r="R59" i="94"/>
  <c r="P57" i="94"/>
  <c r="J59" i="94"/>
  <c r="J57" i="94"/>
  <c r="Q39" i="94"/>
  <c r="I39" i="94"/>
  <c r="L38" i="94"/>
  <c r="N57" i="94"/>
  <c r="Q59" i="94"/>
  <c r="S57" i="94"/>
  <c r="O57" i="94"/>
  <c r="M59" i="94"/>
  <c r="M57" i="94"/>
  <c r="S39" i="94"/>
  <c r="O39" i="94"/>
  <c r="K39" i="94"/>
  <c r="R38" i="94"/>
  <c r="N38" i="94"/>
  <c r="J38" i="94"/>
  <c r="H39" i="94"/>
  <c r="R39" i="94"/>
  <c r="N39" i="94"/>
  <c r="Q38" i="94"/>
  <c r="M38" i="94"/>
  <c r="B77" i="94" l="1"/>
  <c r="B240" i="98" l="1"/>
  <c r="B212" i="98"/>
  <c r="D8" i="140" l="1"/>
  <c r="D9" i="140" s="1"/>
  <c r="H88" i="94"/>
  <c r="F65" i="94"/>
  <c r="F67" i="94"/>
  <c r="D10" i="140" l="1"/>
  <c r="D11" i="140"/>
  <c r="S65" i="94"/>
  <c r="H65" i="94"/>
  <c r="S88" i="94"/>
  <c r="S72" i="94"/>
  <c r="S73" i="94"/>
  <c r="Q65" i="94"/>
  <c r="M65" i="94"/>
  <c r="J65" i="94"/>
  <c r="K65" i="94"/>
  <c r="L65" i="94"/>
  <c r="R65" i="94"/>
  <c r="N65" i="94"/>
  <c r="O65" i="94"/>
  <c r="P65" i="94"/>
  <c r="I65" i="94"/>
  <c r="H73" i="94"/>
  <c r="H72" i="94"/>
  <c r="J88" i="94"/>
  <c r="J72" i="94"/>
  <c r="J73" i="94"/>
  <c r="R88" i="94"/>
  <c r="R72" i="94"/>
  <c r="R73" i="94"/>
  <c r="N72" i="94"/>
  <c r="N73" i="94"/>
  <c r="N88" i="94"/>
  <c r="D12" i="140"/>
  <c r="I88" i="94"/>
  <c r="I73" i="94"/>
  <c r="I72" i="94"/>
  <c r="Q73" i="94"/>
  <c r="Q72" i="94"/>
  <c r="Q88" i="94"/>
  <c r="R67" i="94"/>
  <c r="K67" i="94"/>
  <c r="L67" i="94"/>
  <c r="S67" i="94"/>
  <c r="Q67" i="94"/>
  <c r="O67" i="94"/>
  <c r="N67" i="94"/>
  <c r="I67" i="94"/>
  <c r="H67" i="94"/>
  <c r="M67" i="94"/>
  <c r="J67" i="94"/>
  <c r="P67" i="94"/>
  <c r="L88" i="94"/>
  <c r="L72" i="94"/>
  <c r="L73" i="94"/>
  <c r="M73" i="94"/>
  <c r="M72" i="94"/>
  <c r="M88" i="94"/>
  <c r="K88" i="94"/>
  <c r="K73" i="94"/>
  <c r="K72" i="94"/>
  <c r="F68" i="94"/>
  <c r="P72" i="94"/>
  <c r="P88" i="94"/>
  <c r="P73" i="94"/>
  <c r="O73" i="94"/>
  <c r="O72" i="94"/>
  <c r="O88" i="94"/>
  <c r="P68" i="94" l="1"/>
  <c r="J68" i="94"/>
  <c r="O68" i="94"/>
  <c r="I68" i="94"/>
  <c r="L68" i="94"/>
  <c r="K68" i="94"/>
  <c r="N68" i="94"/>
  <c r="S68" i="94"/>
  <c r="M68" i="94"/>
  <c r="R68" i="94"/>
  <c r="H68" i="94"/>
  <c r="Q68" i="94"/>
  <c r="F82" i="94"/>
  <c r="F83" i="94"/>
  <c r="R83" i="94" l="1"/>
  <c r="Q83" i="94"/>
  <c r="O83" i="94"/>
  <c r="L83" i="94"/>
  <c r="K83" i="94"/>
  <c r="P83" i="94"/>
  <c r="J83" i="94"/>
  <c r="I83" i="94"/>
  <c r="S83" i="94"/>
  <c r="H83" i="94"/>
  <c r="N83" i="94"/>
  <c r="M83" i="94"/>
  <c r="Q82" i="94"/>
  <c r="S82" i="94"/>
  <c r="N82" i="94"/>
  <c r="I82" i="94"/>
  <c r="L82" i="94"/>
  <c r="M82" i="94"/>
  <c r="P82" i="94"/>
  <c r="R82" i="94"/>
  <c r="H82" i="94"/>
  <c r="K82" i="94"/>
  <c r="J82" i="94"/>
  <c r="O82" i="94"/>
  <c r="C19" i="99" l="1"/>
  <c r="C43" i="99" s="1"/>
  <c r="C21" i="99"/>
  <c r="C45" i="99" s="1"/>
  <c r="C18" i="99" l="1"/>
  <c r="C42" i="99" s="1"/>
  <c r="C20" i="99"/>
  <c r="C22" i="99" l="1"/>
  <c r="C46" i="99" s="1"/>
  <c r="C44" i="99"/>
  <c r="D104" i="94" l="1"/>
  <c r="D1" i="120" l="1"/>
  <c r="C1" i="120"/>
  <c r="C1" i="98"/>
  <c r="B1" i="98"/>
  <c r="I1" i="94"/>
  <c r="H1" i="94"/>
  <c r="D1" i="99"/>
  <c r="C1" i="99"/>
  <c r="B48" i="131" l="1"/>
  <c r="B45" i="131"/>
  <c r="B42" i="131"/>
  <c r="B39" i="131"/>
  <c r="G28" i="131"/>
  <c r="F28" i="131"/>
  <c r="E28" i="131"/>
  <c r="D28" i="131"/>
  <c r="B28" i="131"/>
  <c r="F25" i="131"/>
  <c r="E25" i="131"/>
  <c r="D25" i="131"/>
  <c r="B25" i="131"/>
  <c r="E22" i="131"/>
  <c r="D22" i="131"/>
  <c r="B22" i="131"/>
  <c r="D19" i="131"/>
  <c r="B19" i="131"/>
  <c r="C9" i="131"/>
  <c r="I6" i="131"/>
  <c r="B6" i="131"/>
  <c r="B27" i="131" s="1"/>
  <c r="D1" i="131"/>
  <c r="C1" i="131"/>
  <c r="W374" i="130"/>
  <c r="W357" i="130"/>
  <c r="W340" i="130"/>
  <c r="W323" i="130"/>
  <c r="W306" i="130"/>
  <c r="W289" i="130"/>
  <c r="W272" i="130"/>
  <c r="W255" i="130"/>
  <c r="W238" i="130"/>
  <c r="W221" i="130"/>
  <c r="W204" i="130"/>
  <c r="W187" i="130"/>
  <c r="W170" i="130"/>
  <c r="W153" i="130"/>
  <c r="W136" i="130"/>
  <c r="W119" i="130"/>
  <c r="W102" i="130"/>
  <c r="W85" i="130"/>
  <c r="W68" i="130"/>
  <c r="A55" i="130"/>
  <c r="A72" i="130" s="1"/>
  <c r="W51" i="130"/>
  <c r="B38" i="130"/>
  <c r="D29" i="130"/>
  <c r="H14" i="130"/>
  <c r="G14" i="130"/>
  <c r="F14" i="130"/>
  <c r="D14" i="130"/>
  <c r="H13" i="130"/>
  <c r="G13" i="130"/>
  <c r="F13" i="130"/>
  <c r="D13" i="130"/>
  <c r="H12" i="130"/>
  <c r="G12" i="130"/>
  <c r="F12" i="130"/>
  <c r="D12" i="130"/>
  <c r="H11" i="130"/>
  <c r="G11" i="130"/>
  <c r="F11" i="130"/>
  <c r="D11" i="130"/>
  <c r="H10" i="130"/>
  <c r="G10" i="130"/>
  <c r="F10" i="130"/>
  <c r="D10" i="130"/>
  <c r="H9" i="130"/>
  <c r="G9" i="130"/>
  <c r="F9" i="130"/>
  <c r="D9" i="130"/>
  <c r="B9" i="130"/>
  <c r="H8" i="130"/>
  <c r="G8" i="130"/>
  <c r="F8" i="130"/>
  <c r="D8" i="130"/>
  <c r="B8" i="130"/>
  <c r="H7" i="130"/>
  <c r="G7" i="130"/>
  <c r="F7" i="130"/>
  <c r="D7" i="130"/>
  <c r="B7" i="130"/>
  <c r="H6" i="130"/>
  <c r="W59" i="130" s="1"/>
  <c r="G6" i="130"/>
  <c r="F6" i="130"/>
  <c r="D6" i="130"/>
  <c r="B6" i="130"/>
  <c r="H5" i="130"/>
  <c r="V42" i="130" s="1"/>
  <c r="G5" i="130"/>
  <c r="F5" i="130"/>
  <c r="D5" i="130"/>
  <c r="B5" i="130"/>
  <c r="D1" i="130"/>
  <c r="C1" i="130"/>
  <c r="W174" i="129"/>
  <c r="W145" i="129"/>
  <c r="W116" i="129"/>
  <c r="W87" i="129"/>
  <c r="W58" i="129"/>
  <c r="A53" i="129"/>
  <c r="D53" i="129" s="1"/>
  <c r="E53" i="129" s="1"/>
  <c r="F53" i="129" s="1"/>
  <c r="G53" i="129" s="1"/>
  <c r="H53" i="129" s="1"/>
  <c r="I53" i="129" s="1"/>
  <c r="J53" i="129" s="1"/>
  <c r="K53" i="129" s="1"/>
  <c r="L53" i="129" s="1"/>
  <c r="M53" i="129" s="1"/>
  <c r="N53" i="129" s="1"/>
  <c r="O53" i="129" s="1"/>
  <c r="P53" i="129" s="1"/>
  <c r="S53" i="129" s="1"/>
  <c r="T53" i="129" s="1"/>
  <c r="U53" i="129" s="1"/>
  <c r="V53" i="129" s="1"/>
  <c r="W53" i="129" s="1"/>
  <c r="X53" i="129" s="1"/>
  <c r="C24" i="129"/>
  <c r="C32" i="128" s="1"/>
  <c r="M9" i="129"/>
  <c r="L9" i="129"/>
  <c r="K9" i="129"/>
  <c r="J9" i="129"/>
  <c r="B9" i="129"/>
  <c r="M8" i="129"/>
  <c r="L8" i="129"/>
  <c r="K8" i="129"/>
  <c r="J8" i="129"/>
  <c r="B8" i="129"/>
  <c r="O7" i="129"/>
  <c r="M7" i="129"/>
  <c r="L7" i="129"/>
  <c r="K7" i="129"/>
  <c r="J7" i="129"/>
  <c r="B7" i="129"/>
  <c r="O6" i="129"/>
  <c r="M6" i="129"/>
  <c r="R66" i="129" s="1"/>
  <c r="L6" i="129"/>
  <c r="K6" i="129"/>
  <c r="J6" i="129"/>
  <c r="B6" i="129"/>
  <c r="O5" i="129"/>
  <c r="M5" i="129"/>
  <c r="AP37" i="129" s="1"/>
  <c r="L5" i="129"/>
  <c r="K5" i="129"/>
  <c r="J5" i="129"/>
  <c r="B5" i="129"/>
  <c r="D1" i="129"/>
  <c r="C1" i="129"/>
  <c r="W99" i="128"/>
  <c r="V99" i="128"/>
  <c r="U99" i="128"/>
  <c r="T99" i="128"/>
  <c r="S99" i="128"/>
  <c r="R99" i="128"/>
  <c r="Q99" i="128"/>
  <c r="P99" i="128"/>
  <c r="O99" i="128"/>
  <c r="N99" i="128"/>
  <c r="M99" i="128"/>
  <c r="C14" i="130" s="1"/>
  <c r="L99" i="128"/>
  <c r="C13" i="130" s="1"/>
  <c r="K99" i="128"/>
  <c r="C12" i="130" s="1"/>
  <c r="J99" i="128"/>
  <c r="C11" i="130" s="1"/>
  <c r="I99" i="128"/>
  <c r="C10" i="130" s="1"/>
  <c r="H99" i="128"/>
  <c r="C9" i="130" s="1"/>
  <c r="G99" i="128"/>
  <c r="C8" i="130" s="1"/>
  <c r="F99" i="128"/>
  <c r="C7" i="130" s="1"/>
  <c r="E99" i="128"/>
  <c r="C6" i="130" s="1"/>
  <c r="D99" i="128"/>
  <c r="C5" i="130" s="1"/>
  <c r="AA84" i="128"/>
  <c r="C79" i="128"/>
  <c r="AA79" i="128" s="1"/>
  <c r="AA76" i="128"/>
  <c r="AA75" i="128"/>
  <c r="C50" i="128"/>
  <c r="C60" i="128" s="1"/>
  <c r="AA60" i="128" s="1"/>
  <c r="AA38" i="128"/>
  <c r="D38" i="128"/>
  <c r="AB38" i="128" s="1"/>
  <c r="W37" i="128"/>
  <c r="AU37" i="128" s="1"/>
  <c r="V37" i="128"/>
  <c r="AT37" i="128" s="1"/>
  <c r="U37" i="128"/>
  <c r="AS37" i="128" s="1"/>
  <c r="T37" i="128"/>
  <c r="S37" i="128"/>
  <c r="AQ37" i="128" s="1"/>
  <c r="R37" i="128"/>
  <c r="AP37" i="128" s="1"/>
  <c r="Q37" i="128"/>
  <c r="AO37" i="128" s="1"/>
  <c r="P37" i="128"/>
  <c r="O37" i="128"/>
  <c r="AM37" i="128" s="1"/>
  <c r="N37" i="128"/>
  <c r="AL37" i="128" s="1"/>
  <c r="M37" i="128"/>
  <c r="AK37" i="128" s="1"/>
  <c r="L37" i="128"/>
  <c r="K37" i="128"/>
  <c r="AI37" i="128" s="1"/>
  <c r="J37" i="128"/>
  <c r="AH37" i="128" s="1"/>
  <c r="I37" i="128"/>
  <c r="AG37" i="128" s="1"/>
  <c r="H37" i="128"/>
  <c r="W31" i="128"/>
  <c r="AU31" i="128" s="1"/>
  <c r="V31" i="128"/>
  <c r="AT31" i="128" s="1"/>
  <c r="U31" i="128"/>
  <c r="AS31" i="128" s="1"/>
  <c r="T31" i="128"/>
  <c r="AR31" i="128" s="1"/>
  <c r="S31" i="128"/>
  <c r="AQ31" i="128" s="1"/>
  <c r="R31" i="128"/>
  <c r="AP31" i="128" s="1"/>
  <c r="Q31" i="128"/>
  <c r="AO31" i="128" s="1"/>
  <c r="P31" i="128"/>
  <c r="AN31" i="128" s="1"/>
  <c r="O31" i="128"/>
  <c r="AM31" i="128" s="1"/>
  <c r="N31" i="128"/>
  <c r="AL31" i="128" s="1"/>
  <c r="W30" i="128"/>
  <c r="V30" i="128"/>
  <c r="U30" i="128"/>
  <c r="T30" i="128"/>
  <c r="AR30" i="128" s="1"/>
  <c r="S30" i="128"/>
  <c r="R30" i="128"/>
  <c r="Q30" i="128"/>
  <c r="P30" i="128"/>
  <c r="AN30" i="128" s="1"/>
  <c r="O30" i="128"/>
  <c r="N30" i="128"/>
  <c r="AA27" i="128"/>
  <c r="AA26" i="128"/>
  <c r="AA25" i="128"/>
  <c r="C24" i="128"/>
  <c r="AA24" i="128" s="1"/>
  <c r="C13" i="128"/>
  <c r="AA13" i="128" s="1"/>
  <c r="AA9" i="128"/>
  <c r="W8" i="128"/>
  <c r="AU8" i="128" s="1"/>
  <c r="C8" i="128"/>
  <c r="AA8" i="128" s="1"/>
  <c r="W6" i="128"/>
  <c r="W75" i="128" s="1"/>
  <c r="AU75" i="128" s="1"/>
  <c r="C6" i="128"/>
  <c r="AA6" i="128" s="1"/>
  <c r="W5" i="128"/>
  <c r="C5" i="128"/>
  <c r="AA5" i="128" s="1"/>
  <c r="C1" i="128"/>
  <c r="H136" i="127"/>
  <c r="G136" i="127"/>
  <c r="F136" i="127"/>
  <c r="E136" i="127"/>
  <c r="D136" i="127"/>
  <c r="C131" i="127"/>
  <c r="H128" i="127"/>
  <c r="G128" i="127"/>
  <c r="F128" i="127"/>
  <c r="E128" i="127"/>
  <c r="D128" i="127"/>
  <c r="C123" i="127"/>
  <c r="H120" i="127"/>
  <c r="G120" i="127"/>
  <c r="F120" i="127"/>
  <c r="E120" i="127"/>
  <c r="D120" i="127"/>
  <c r="C115" i="127"/>
  <c r="H112" i="127"/>
  <c r="G112" i="127"/>
  <c r="F112" i="127"/>
  <c r="E112" i="127"/>
  <c r="D112" i="127"/>
  <c r="C107" i="127"/>
  <c r="Y41" i="127"/>
  <c r="X41" i="127"/>
  <c r="W41" i="127"/>
  <c r="V41" i="127"/>
  <c r="U41" i="127"/>
  <c r="T41" i="127"/>
  <c r="S41" i="127"/>
  <c r="R41" i="127"/>
  <c r="Q41" i="127"/>
  <c r="P41" i="127"/>
  <c r="O41" i="127"/>
  <c r="N41" i="127"/>
  <c r="M41" i="127"/>
  <c r="L41" i="127"/>
  <c r="K41" i="127"/>
  <c r="J41" i="127"/>
  <c r="I41" i="127"/>
  <c r="H41" i="127"/>
  <c r="G41" i="127"/>
  <c r="F41" i="127"/>
  <c r="E41" i="127"/>
  <c r="Y29" i="127"/>
  <c r="X29" i="127"/>
  <c r="W29" i="127"/>
  <c r="V29" i="127"/>
  <c r="U29" i="127"/>
  <c r="T29" i="127"/>
  <c r="S29" i="127"/>
  <c r="R29" i="127"/>
  <c r="Q29" i="127"/>
  <c r="P29" i="127"/>
  <c r="E29" i="127"/>
  <c r="Y26" i="127"/>
  <c r="X26" i="127"/>
  <c r="W26" i="127"/>
  <c r="V26" i="127"/>
  <c r="U26" i="127"/>
  <c r="T26" i="127"/>
  <c r="S26" i="127"/>
  <c r="R26" i="127"/>
  <c r="Q26" i="127"/>
  <c r="P26" i="127"/>
  <c r="O26" i="127"/>
  <c r="N26" i="127"/>
  <c r="M26" i="127"/>
  <c r="L26" i="127"/>
  <c r="K26" i="127"/>
  <c r="J26" i="127"/>
  <c r="Y25" i="127"/>
  <c r="X25" i="127"/>
  <c r="W25" i="127"/>
  <c r="V25" i="127"/>
  <c r="U25" i="127"/>
  <c r="T25" i="127"/>
  <c r="S25" i="127"/>
  <c r="R25" i="127"/>
  <c r="Q25" i="127"/>
  <c r="P25" i="127"/>
  <c r="O25" i="127"/>
  <c r="N25" i="127"/>
  <c r="M25" i="127"/>
  <c r="L25" i="127"/>
  <c r="K25" i="127"/>
  <c r="J25" i="127"/>
  <c r="Z24" i="127"/>
  <c r="Y22" i="127"/>
  <c r="X22" i="127"/>
  <c r="W22" i="127"/>
  <c r="V22" i="127"/>
  <c r="U22" i="127"/>
  <c r="T22" i="127"/>
  <c r="S22" i="127"/>
  <c r="R22" i="127"/>
  <c r="Q22" i="127"/>
  <c r="P22" i="127"/>
  <c r="E22" i="127"/>
  <c r="Y21" i="127"/>
  <c r="X21" i="127"/>
  <c r="W21" i="127"/>
  <c r="V21" i="127"/>
  <c r="U21" i="127"/>
  <c r="T21" i="127"/>
  <c r="S21" i="127"/>
  <c r="R21" i="127"/>
  <c r="Q21" i="127"/>
  <c r="P21" i="127"/>
  <c r="O21" i="127"/>
  <c r="N21" i="127"/>
  <c r="M21" i="127"/>
  <c r="L21" i="127"/>
  <c r="K21" i="127"/>
  <c r="J21" i="127"/>
  <c r="Y20" i="127"/>
  <c r="Y23" i="127" s="1"/>
  <c r="X20" i="127"/>
  <c r="X23" i="127" s="1"/>
  <c r="W20" i="127"/>
  <c r="W23" i="127" s="1"/>
  <c r="V20" i="127"/>
  <c r="V23" i="127" s="1"/>
  <c r="U20" i="127"/>
  <c r="U23" i="127" s="1"/>
  <c r="T20" i="127"/>
  <c r="T23" i="127" s="1"/>
  <c r="S20" i="127"/>
  <c r="S23" i="127" s="1"/>
  <c r="R20" i="127"/>
  <c r="R23" i="127" s="1"/>
  <c r="Q20" i="127"/>
  <c r="Q23" i="127" s="1"/>
  <c r="P20" i="127"/>
  <c r="D1" i="127"/>
  <c r="C1" i="127"/>
  <c r="O47" i="126"/>
  <c r="N47" i="126"/>
  <c r="M47" i="126"/>
  <c r="L47" i="126"/>
  <c r="K47" i="126"/>
  <c r="J47" i="126"/>
  <c r="I47" i="126"/>
  <c r="H47" i="126"/>
  <c r="G47" i="126"/>
  <c r="F47" i="126"/>
  <c r="E47" i="126"/>
  <c r="D47" i="126"/>
  <c r="O46" i="126"/>
  <c r="N46" i="126"/>
  <c r="M46" i="126"/>
  <c r="L46" i="126"/>
  <c r="K46" i="126"/>
  <c r="J46" i="126"/>
  <c r="I46" i="126"/>
  <c r="H46" i="126"/>
  <c r="G46" i="126"/>
  <c r="F46" i="126"/>
  <c r="E46" i="126"/>
  <c r="D22" i="126"/>
  <c r="D1" i="126"/>
  <c r="C1" i="126"/>
  <c r="C13" i="125"/>
  <c r="P23" i="127" l="1"/>
  <c r="H9" i="129"/>
  <c r="H6" i="129"/>
  <c r="H8" i="129"/>
  <c r="H7" i="129"/>
  <c r="H5" i="129"/>
  <c r="A55" i="129" s="1"/>
  <c r="AP36" i="129"/>
  <c r="Q61" i="128"/>
  <c r="AO61" i="128" s="1"/>
  <c r="N61" i="128"/>
  <c r="AL61" i="128" s="1"/>
  <c r="R61" i="128"/>
  <c r="AP61" i="128" s="1"/>
  <c r="V61" i="128"/>
  <c r="AT61" i="128" s="1"/>
  <c r="U61" i="128"/>
  <c r="AS61" i="128" s="1"/>
  <c r="P30" i="127"/>
  <c r="P31" i="127" s="1"/>
  <c r="T30" i="127"/>
  <c r="T31" i="127" s="1"/>
  <c r="X30" i="127"/>
  <c r="X31" i="127" s="1"/>
  <c r="AA32" i="128"/>
  <c r="E54" i="127"/>
  <c r="Q30" i="127"/>
  <c r="Q31" i="127" s="1"/>
  <c r="U30" i="127"/>
  <c r="U31" i="127" s="1"/>
  <c r="V30" i="127"/>
  <c r="Y30" i="127"/>
  <c r="Y31" i="127" s="1"/>
  <c r="AP30" i="128"/>
  <c r="R30" i="127"/>
  <c r="R31" i="127" s="1"/>
  <c r="S30" i="127"/>
  <c r="S31" i="127" s="1"/>
  <c r="W30" i="127"/>
  <c r="W31" i="127" s="1"/>
  <c r="AL30" i="128"/>
  <c r="AT30" i="128"/>
  <c r="AA50" i="128"/>
  <c r="W21" i="129"/>
  <c r="W34" i="128" s="1"/>
  <c r="W53" i="128" s="1"/>
  <c r="AU53" i="128" s="1"/>
  <c r="AO65" i="129"/>
  <c r="R35" i="131"/>
  <c r="R36" i="131" s="1"/>
  <c r="H1" i="120"/>
  <c r="G1" i="98"/>
  <c r="H1" i="99"/>
  <c r="M1" i="94"/>
  <c r="V31" i="127"/>
  <c r="Q52" i="128"/>
  <c r="AO52" i="128" s="1"/>
  <c r="U52" i="128"/>
  <c r="AS52" i="128" s="1"/>
  <c r="C64" i="128"/>
  <c r="AA64" i="128" s="1"/>
  <c r="H1" i="131"/>
  <c r="H1" i="130"/>
  <c r="H1" i="129"/>
  <c r="H1" i="127"/>
  <c r="H1" i="128"/>
  <c r="AU6" i="128"/>
  <c r="AM30" i="128"/>
  <c r="AQ30" i="128"/>
  <c r="AU30" i="128"/>
  <c r="AF37" i="128"/>
  <c r="AJ37" i="128"/>
  <c r="AN37" i="128"/>
  <c r="AR37" i="128"/>
  <c r="N52" i="128"/>
  <c r="AL52" i="128" s="1"/>
  <c r="R52" i="128"/>
  <c r="AP52" i="128" s="1"/>
  <c r="V52" i="128"/>
  <c r="AT52" i="128" s="1"/>
  <c r="H1" i="126"/>
  <c r="W84" i="128"/>
  <c r="W76" i="128"/>
  <c r="AU76" i="128" s="1"/>
  <c r="C7" i="128"/>
  <c r="W7" i="128"/>
  <c r="O52" i="128"/>
  <c r="AM52" i="128" s="1"/>
  <c r="S52" i="128"/>
  <c r="AQ52" i="128" s="1"/>
  <c r="W52" i="128"/>
  <c r="AU52" i="128" s="1"/>
  <c r="O61" i="128"/>
  <c r="AM61" i="128" s="1"/>
  <c r="S61" i="128"/>
  <c r="AQ61" i="128" s="1"/>
  <c r="W61" i="128"/>
  <c r="AU61" i="128" s="1"/>
  <c r="D40" i="126"/>
  <c r="AU5" i="128"/>
  <c r="AO30" i="128"/>
  <c r="AS30" i="128"/>
  <c r="P52" i="128"/>
  <c r="AN52" i="128" s="1"/>
  <c r="T52" i="128"/>
  <c r="AR52" i="128" s="1"/>
  <c r="P61" i="128"/>
  <c r="AN61" i="128" s="1"/>
  <c r="T61" i="128"/>
  <c r="AR61" i="128" s="1"/>
  <c r="E5" i="130"/>
  <c r="D23" i="130" s="1"/>
  <c r="C15" i="130"/>
  <c r="D21" i="130"/>
  <c r="F29" i="127" s="1"/>
  <c r="E9" i="130"/>
  <c r="H23" i="130" s="1"/>
  <c r="H21" i="130"/>
  <c r="J29" i="127" s="1"/>
  <c r="J30" i="127" s="1"/>
  <c r="E13" i="130"/>
  <c r="L23" i="130" s="1"/>
  <c r="L21" i="130"/>
  <c r="N29" i="127" s="1"/>
  <c r="N30" i="127" s="1"/>
  <c r="AM124" i="129"/>
  <c r="AI124" i="129"/>
  <c r="AE124" i="129"/>
  <c r="AA124" i="129"/>
  <c r="W124" i="129"/>
  <c r="S124" i="129"/>
  <c r="O124" i="129"/>
  <c r="K124" i="129"/>
  <c r="G124" i="129"/>
  <c r="C124" i="129"/>
  <c r="AP124" i="129"/>
  <c r="AL124" i="129"/>
  <c r="AH124" i="129"/>
  <c r="AD124" i="129"/>
  <c r="Z124" i="129"/>
  <c r="V124" i="129"/>
  <c r="R124" i="129"/>
  <c r="N124" i="129"/>
  <c r="J124" i="129"/>
  <c r="F124" i="129"/>
  <c r="AO124" i="129"/>
  <c r="AK124" i="129"/>
  <c r="AG124" i="129"/>
  <c r="AC124" i="129"/>
  <c r="Y124" i="129"/>
  <c r="U124" i="129"/>
  <c r="Q124" i="129"/>
  <c r="M124" i="129"/>
  <c r="I124" i="129"/>
  <c r="E124" i="129"/>
  <c r="AN124" i="129"/>
  <c r="AJ124" i="129"/>
  <c r="AF124" i="129"/>
  <c r="AB124" i="129"/>
  <c r="X124" i="129"/>
  <c r="T124" i="129"/>
  <c r="P124" i="129"/>
  <c r="L124" i="129"/>
  <c r="H124" i="129"/>
  <c r="D124" i="129"/>
  <c r="AO152" i="129"/>
  <c r="AK152" i="129"/>
  <c r="AG152" i="129"/>
  <c r="AC152" i="129"/>
  <c r="Y152" i="129"/>
  <c r="U152" i="129"/>
  <c r="Q152" i="129"/>
  <c r="M152" i="129"/>
  <c r="I152" i="129"/>
  <c r="E152" i="129"/>
  <c r="AN152" i="129"/>
  <c r="AJ152" i="129"/>
  <c r="AF152" i="129"/>
  <c r="AB152" i="129"/>
  <c r="X152" i="129"/>
  <c r="T152" i="129"/>
  <c r="P152" i="129"/>
  <c r="L152" i="129"/>
  <c r="H152" i="129"/>
  <c r="D152" i="129"/>
  <c r="AM152" i="129"/>
  <c r="AI152" i="129"/>
  <c r="AE152" i="129"/>
  <c r="AA152" i="129"/>
  <c r="W152" i="129"/>
  <c r="S152" i="129"/>
  <c r="O152" i="129"/>
  <c r="K152" i="129"/>
  <c r="G152" i="129"/>
  <c r="C152" i="129"/>
  <c r="AP152" i="129"/>
  <c r="AL152" i="129"/>
  <c r="AH152" i="129"/>
  <c r="AD152" i="129"/>
  <c r="Z152" i="129"/>
  <c r="V152" i="129"/>
  <c r="R152" i="129"/>
  <c r="N152" i="129"/>
  <c r="J152" i="129"/>
  <c r="F152" i="129"/>
  <c r="D21" i="129"/>
  <c r="H21" i="129"/>
  <c r="H34" i="128" s="1"/>
  <c r="L21" i="129"/>
  <c r="L34" i="128" s="1"/>
  <c r="C36" i="129"/>
  <c r="G36" i="129"/>
  <c r="K36" i="129"/>
  <c r="O36" i="129"/>
  <c r="S36" i="129"/>
  <c r="W36" i="129"/>
  <c r="AA36" i="129"/>
  <c r="AE36" i="129"/>
  <c r="AI36" i="129"/>
  <c r="AM36" i="129"/>
  <c r="C37" i="129"/>
  <c r="G37" i="129"/>
  <c r="K37" i="129"/>
  <c r="O37" i="129"/>
  <c r="S37" i="129"/>
  <c r="W37" i="129"/>
  <c r="AA37" i="129"/>
  <c r="AE37" i="129"/>
  <c r="AI37" i="129"/>
  <c r="AM37" i="129"/>
  <c r="D65" i="129"/>
  <c r="I65" i="129"/>
  <c r="N65" i="129"/>
  <c r="S65" i="129"/>
  <c r="Y65" i="129"/>
  <c r="AD65" i="129"/>
  <c r="AI65" i="129"/>
  <c r="F66" i="129"/>
  <c r="K66" i="129"/>
  <c r="Q66" i="129"/>
  <c r="E6" i="130"/>
  <c r="E21" i="130"/>
  <c r="G29" i="127" s="1"/>
  <c r="I21" i="130"/>
  <c r="K29" i="127" s="1"/>
  <c r="K30" i="127" s="1"/>
  <c r="E10" i="130"/>
  <c r="I23" i="130" s="1"/>
  <c r="M24" i="130"/>
  <c r="M21" i="130"/>
  <c r="O29" i="127" s="1"/>
  <c r="O30" i="127" s="1"/>
  <c r="E14" i="130"/>
  <c r="M23" i="130" s="1"/>
  <c r="AN65" i="129"/>
  <c r="AJ65" i="129"/>
  <c r="AF65" i="129"/>
  <c r="AB65" i="129"/>
  <c r="X65" i="129"/>
  <c r="T65" i="129"/>
  <c r="P65" i="129"/>
  <c r="L65" i="129"/>
  <c r="H65" i="129"/>
  <c r="AO153" i="129"/>
  <c r="AK153" i="129"/>
  <c r="AG153" i="129"/>
  <c r="AC153" i="129"/>
  <c r="Y153" i="129"/>
  <c r="U153" i="129"/>
  <c r="Q153" i="129"/>
  <c r="M153" i="129"/>
  <c r="I153" i="129"/>
  <c r="E153" i="129"/>
  <c r="AN153" i="129"/>
  <c r="AJ153" i="129"/>
  <c r="AF153" i="129"/>
  <c r="AB153" i="129"/>
  <c r="X153" i="129"/>
  <c r="T153" i="129"/>
  <c r="P153" i="129"/>
  <c r="L153" i="129"/>
  <c r="H153" i="129"/>
  <c r="D153" i="129"/>
  <c r="AM153" i="129"/>
  <c r="AI153" i="129"/>
  <c r="AE153" i="129"/>
  <c r="AA153" i="129"/>
  <c r="W153" i="129"/>
  <c r="S153" i="129"/>
  <c r="O153" i="129"/>
  <c r="K153" i="129"/>
  <c r="G153" i="129"/>
  <c r="C153" i="129"/>
  <c r="AP153" i="129"/>
  <c r="AL153" i="129"/>
  <c r="AH153" i="129"/>
  <c r="AD153" i="129"/>
  <c r="Z153" i="129"/>
  <c r="V153" i="129"/>
  <c r="R153" i="129"/>
  <c r="N153" i="129"/>
  <c r="J153" i="129"/>
  <c r="F153" i="129"/>
  <c r="E21" i="129"/>
  <c r="I21" i="129"/>
  <c r="I34" i="128" s="1"/>
  <c r="D36" i="129"/>
  <c r="H36" i="129"/>
  <c r="L36" i="129"/>
  <c r="P36" i="129"/>
  <c r="T36" i="129"/>
  <c r="X36" i="129"/>
  <c r="AB36" i="129"/>
  <c r="AF36" i="129"/>
  <c r="AJ36" i="129"/>
  <c r="AN36" i="129"/>
  <c r="D37" i="129"/>
  <c r="H37" i="129"/>
  <c r="L37" i="129"/>
  <c r="P37" i="129"/>
  <c r="T37" i="129"/>
  <c r="X37" i="129"/>
  <c r="AB37" i="129"/>
  <c r="AF37" i="129"/>
  <c r="AJ37" i="129"/>
  <c r="AN37" i="129"/>
  <c r="E65" i="129"/>
  <c r="J65" i="129"/>
  <c r="O65" i="129"/>
  <c r="U65" i="129"/>
  <c r="Z65" i="129"/>
  <c r="AE65" i="129"/>
  <c r="AK65" i="129"/>
  <c r="AP65" i="129"/>
  <c r="G66" i="129"/>
  <c r="M66" i="129"/>
  <c r="F21" i="130"/>
  <c r="H29" i="127" s="1"/>
  <c r="E7" i="130"/>
  <c r="F23" i="130" s="1"/>
  <c r="E11" i="130"/>
  <c r="J23" i="130" s="1"/>
  <c r="J21" i="130"/>
  <c r="L29" i="127" s="1"/>
  <c r="L30" i="127" s="1"/>
  <c r="AM66" i="129"/>
  <c r="AI66" i="129"/>
  <c r="AE66" i="129"/>
  <c r="AA66" i="129"/>
  <c r="W66" i="129"/>
  <c r="AP66" i="129"/>
  <c r="AL66" i="129"/>
  <c r="AH66" i="129"/>
  <c r="AD66" i="129"/>
  <c r="Z66" i="129"/>
  <c r="AO66" i="129"/>
  <c r="AK66" i="129"/>
  <c r="AG66" i="129"/>
  <c r="AC66" i="129"/>
  <c r="Y66" i="129"/>
  <c r="U66" i="129"/>
  <c r="AN66" i="129"/>
  <c r="AJ66" i="129"/>
  <c r="AF66" i="129"/>
  <c r="AB66" i="129"/>
  <c r="X66" i="129"/>
  <c r="T66" i="129"/>
  <c r="P66" i="129"/>
  <c r="L66" i="129"/>
  <c r="H66" i="129"/>
  <c r="D66" i="129"/>
  <c r="AO94" i="129"/>
  <c r="AK94" i="129"/>
  <c r="AG94" i="129"/>
  <c r="AC94" i="129"/>
  <c r="Y94" i="129"/>
  <c r="U94" i="129"/>
  <c r="Q94" i="129"/>
  <c r="M94" i="129"/>
  <c r="I94" i="129"/>
  <c r="E94" i="129"/>
  <c r="AN94" i="129"/>
  <c r="AJ94" i="129"/>
  <c r="AF94" i="129"/>
  <c r="AB94" i="129"/>
  <c r="X94" i="129"/>
  <c r="T94" i="129"/>
  <c r="P94" i="129"/>
  <c r="L94" i="129"/>
  <c r="H94" i="129"/>
  <c r="D94" i="129"/>
  <c r="AM94" i="129"/>
  <c r="AI94" i="129"/>
  <c r="AE94" i="129"/>
  <c r="AA94" i="129"/>
  <c r="W94" i="129"/>
  <c r="S94" i="129"/>
  <c r="O94" i="129"/>
  <c r="K94" i="129"/>
  <c r="G94" i="129"/>
  <c r="C94" i="129"/>
  <c r="AP94" i="129"/>
  <c r="AL94" i="129"/>
  <c r="AH94" i="129"/>
  <c r="AD94" i="129"/>
  <c r="Z94" i="129"/>
  <c r="V94" i="129"/>
  <c r="R94" i="129"/>
  <c r="N94" i="129"/>
  <c r="J94" i="129"/>
  <c r="F94" i="129"/>
  <c r="F21" i="129"/>
  <c r="J21" i="129"/>
  <c r="J34" i="128" s="1"/>
  <c r="E36" i="129"/>
  <c r="I36" i="129"/>
  <c r="M36" i="129"/>
  <c r="Q36" i="129"/>
  <c r="U36" i="129"/>
  <c r="Y36" i="129"/>
  <c r="AC36" i="129"/>
  <c r="AG36" i="129"/>
  <c r="AK36" i="129"/>
  <c r="AO36" i="129"/>
  <c r="E37" i="129"/>
  <c r="I37" i="129"/>
  <c r="M37" i="129"/>
  <c r="Q37" i="129"/>
  <c r="U37" i="129"/>
  <c r="Y37" i="129"/>
  <c r="AC37" i="129"/>
  <c r="AG37" i="129"/>
  <c r="AK37" i="129"/>
  <c r="AO37" i="129"/>
  <c r="F65" i="129"/>
  <c r="K65" i="129"/>
  <c r="Q65" i="129"/>
  <c r="V65" i="129"/>
  <c r="AA65" i="129"/>
  <c r="AG65" i="129"/>
  <c r="AL65" i="129"/>
  <c r="C66" i="129"/>
  <c r="I66" i="129"/>
  <c r="N66" i="129"/>
  <c r="S66" i="129"/>
  <c r="G21" i="130"/>
  <c r="I29" i="127" s="1"/>
  <c r="E8" i="130"/>
  <c r="K21" i="130"/>
  <c r="M29" i="127" s="1"/>
  <c r="M30" i="127" s="1"/>
  <c r="E12" i="130"/>
  <c r="K23" i="130" s="1"/>
  <c r="AO95" i="129"/>
  <c r="AK95" i="129"/>
  <c r="AG95" i="129"/>
  <c r="AC95" i="129"/>
  <c r="Y95" i="129"/>
  <c r="U95" i="129"/>
  <c r="Q95" i="129"/>
  <c r="M95" i="129"/>
  <c r="I95" i="129"/>
  <c r="E95" i="129"/>
  <c r="AN95" i="129"/>
  <c r="AJ95" i="129"/>
  <c r="AF95" i="129"/>
  <c r="AB95" i="129"/>
  <c r="X95" i="129"/>
  <c r="T95" i="129"/>
  <c r="P95" i="129"/>
  <c r="L95" i="129"/>
  <c r="H95" i="129"/>
  <c r="D95" i="129"/>
  <c r="AM95" i="129"/>
  <c r="AI95" i="129"/>
  <c r="AE95" i="129"/>
  <c r="AA95" i="129"/>
  <c r="W95" i="129"/>
  <c r="S95" i="129"/>
  <c r="O95" i="129"/>
  <c r="K95" i="129"/>
  <c r="G95" i="129"/>
  <c r="C95" i="129"/>
  <c r="AP95" i="129"/>
  <c r="AL95" i="129"/>
  <c r="AH95" i="129"/>
  <c r="AD95" i="129"/>
  <c r="Z95" i="129"/>
  <c r="V95" i="129"/>
  <c r="R95" i="129"/>
  <c r="N95" i="129"/>
  <c r="J95" i="129"/>
  <c r="F95" i="129"/>
  <c r="AM123" i="129"/>
  <c r="AI123" i="129"/>
  <c r="AE123" i="129"/>
  <c r="AA123" i="129"/>
  <c r="W123" i="129"/>
  <c r="S123" i="129"/>
  <c r="O123" i="129"/>
  <c r="K123" i="129"/>
  <c r="G123" i="129"/>
  <c r="C123" i="129"/>
  <c r="AP123" i="129"/>
  <c r="AL123" i="129"/>
  <c r="AH123" i="129"/>
  <c r="AD123" i="129"/>
  <c r="Z123" i="129"/>
  <c r="V123" i="129"/>
  <c r="R123" i="129"/>
  <c r="N123" i="129"/>
  <c r="J123" i="129"/>
  <c r="F123" i="129"/>
  <c r="AO123" i="129"/>
  <c r="AK123" i="129"/>
  <c r="AG123" i="129"/>
  <c r="AC123" i="129"/>
  <c r="Y123" i="129"/>
  <c r="U123" i="129"/>
  <c r="Q123" i="129"/>
  <c r="M123" i="129"/>
  <c r="I123" i="129"/>
  <c r="E123" i="129"/>
  <c r="AN123" i="129"/>
  <c r="AJ123" i="129"/>
  <c r="AF123" i="129"/>
  <c r="AB123" i="129"/>
  <c r="X123" i="129"/>
  <c r="T123" i="129"/>
  <c r="P123" i="129"/>
  <c r="L123" i="129"/>
  <c r="H123" i="129"/>
  <c r="D123" i="129"/>
  <c r="C21" i="129"/>
  <c r="G21" i="129"/>
  <c r="K21" i="129"/>
  <c r="K34" i="128" s="1"/>
  <c r="F36" i="129"/>
  <c r="J36" i="129"/>
  <c r="N36" i="129"/>
  <c r="R36" i="129"/>
  <c r="V36" i="129"/>
  <c r="Z36" i="129"/>
  <c r="AD36" i="129"/>
  <c r="AH36" i="129"/>
  <c r="AL36" i="129"/>
  <c r="F37" i="129"/>
  <c r="J37" i="129"/>
  <c r="N37" i="129"/>
  <c r="R37" i="129"/>
  <c r="V37" i="129"/>
  <c r="Z37" i="129"/>
  <c r="AD37" i="129"/>
  <c r="AH37" i="129"/>
  <c r="AL37" i="129"/>
  <c r="D169" i="129"/>
  <c r="E169" i="129" s="1"/>
  <c r="F169" i="129" s="1"/>
  <c r="G169" i="129" s="1"/>
  <c r="H169" i="129" s="1"/>
  <c r="I169" i="129" s="1"/>
  <c r="J169" i="129" s="1"/>
  <c r="K169" i="129" s="1"/>
  <c r="L169" i="129" s="1"/>
  <c r="M169" i="129" s="1"/>
  <c r="N169" i="129" s="1"/>
  <c r="O169" i="129" s="1"/>
  <c r="P169" i="129" s="1"/>
  <c r="S169" i="129" s="1"/>
  <c r="T169" i="129" s="1"/>
  <c r="U169" i="129" s="1"/>
  <c r="V169" i="129" s="1"/>
  <c r="W169" i="129" s="1"/>
  <c r="X169" i="129" s="1"/>
  <c r="D140" i="129"/>
  <c r="E140" i="129" s="1"/>
  <c r="F140" i="129" s="1"/>
  <c r="G140" i="129" s="1"/>
  <c r="H140" i="129" s="1"/>
  <c r="I140" i="129" s="1"/>
  <c r="J140" i="129" s="1"/>
  <c r="K140" i="129" s="1"/>
  <c r="L140" i="129" s="1"/>
  <c r="M140" i="129" s="1"/>
  <c r="N140" i="129" s="1"/>
  <c r="O140" i="129" s="1"/>
  <c r="P140" i="129" s="1"/>
  <c r="S140" i="129" s="1"/>
  <c r="T140" i="129" s="1"/>
  <c r="U140" i="129" s="1"/>
  <c r="V140" i="129" s="1"/>
  <c r="W140" i="129" s="1"/>
  <c r="X140" i="129" s="1"/>
  <c r="D82" i="129"/>
  <c r="E82" i="129" s="1"/>
  <c r="F82" i="129" s="1"/>
  <c r="G82" i="129" s="1"/>
  <c r="H82" i="129" s="1"/>
  <c r="I82" i="129" s="1"/>
  <c r="J82" i="129" s="1"/>
  <c r="K82" i="129" s="1"/>
  <c r="L82" i="129" s="1"/>
  <c r="M82" i="129" s="1"/>
  <c r="N82" i="129" s="1"/>
  <c r="O82" i="129" s="1"/>
  <c r="P82" i="129" s="1"/>
  <c r="S82" i="129" s="1"/>
  <c r="T82" i="129" s="1"/>
  <c r="U82" i="129" s="1"/>
  <c r="V82" i="129" s="1"/>
  <c r="W82" i="129" s="1"/>
  <c r="X82" i="129" s="1"/>
  <c r="D111" i="129"/>
  <c r="E111" i="129" s="1"/>
  <c r="F111" i="129" s="1"/>
  <c r="G111" i="129" s="1"/>
  <c r="H111" i="129" s="1"/>
  <c r="I111" i="129" s="1"/>
  <c r="J111" i="129" s="1"/>
  <c r="K111" i="129" s="1"/>
  <c r="L111" i="129" s="1"/>
  <c r="M111" i="129" s="1"/>
  <c r="N111" i="129" s="1"/>
  <c r="O111" i="129" s="1"/>
  <c r="P111" i="129" s="1"/>
  <c r="S111" i="129" s="1"/>
  <c r="T111" i="129" s="1"/>
  <c r="U111" i="129" s="1"/>
  <c r="V111" i="129" s="1"/>
  <c r="W111" i="129" s="1"/>
  <c r="X111" i="129" s="1"/>
  <c r="C65" i="129"/>
  <c r="G65" i="129"/>
  <c r="M65" i="129"/>
  <c r="R65" i="129"/>
  <c r="W65" i="129"/>
  <c r="AC65" i="129"/>
  <c r="AH65" i="129"/>
  <c r="AM65" i="129"/>
  <c r="E66" i="129"/>
  <c r="J66" i="129"/>
  <c r="O66" i="129"/>
  <c r="V66" i="129"/>
  <c r="B72" i="130"/>
  <c r="A89" i="130"/>
  <c r="V331" i="130"/>
  <c r="R331" i="130"/>
  <c r="N331" i="130"/>
  <c r="J331" i="130"/>
  <c r="F331" i="130"/>
  <c r="U331" i="130"/>
  <c r="Q331" i="130"/>
  <c r="M331" i="130"/>
  <c r="I331" i="130"/>
  <c r="E331" i="130"/>
  <c r="T331" i="130"/>
  <c r="L331" i="130"/>
  <c r="D331" i="130"/>
  <c r="S331" i="130"/>
  <c r="K331" i="130"/>
  <c r="O331" i="130"/>
  <c r="W246" i="130"/>
  <c r="S246" i="130"/>
  <c r="O246" i="130"/>
  <c r="K246" i="130"/>
  <c r="G246" i="130"/>
  <c r="H331" i="130"/>
  <c r="V246" i="130"/>
  <c r="R246" i="130"/>
  <c r="N246" i="130"/>
  <c r="J246" i="130"/>
  <c r="F246" i="130"/>
  <c r="W331" i="130"/>
  <c r="G331" i="130"/>
  <c r="U246" i="130"/>
  <c r="M246" i="130"/>
  <c r="E246" i="130"/>
  <c r="T246" i="130"/>
  <c r="L246" i="130"/>
  <c r="D246" i="130"/>
  <c r="Q246" i="130"/>
  <c r="I246" i="130"/>
  <c r="P331" i="130"/>
  <c r="P246" i="130"/>
  <c r="H246" i="130"/>
  <c r="W76" i="130"/>
  <c r="S76" i="130"/>
  <c r="O76" i="130"/>
  <c r="K76" i="130"/>
  <c r="G76" i="130"/>
  <c r="V76" i="130"/>
  <c r="R76" i="130"/>
  <c r="U76" i="130"/>
  <c r="Q76" i="130"/>
  <c r="M76" i="130"/>
  <c r="I76" i="130"/>
  <c r="E76" i="130"/>
  <c r="U127" i="130"/>
  <c r="Q127" i="130"/>
  <c r="M127" i="130"/>
  <c r="I127" i="130"/>
  <c r="E127" i="130"/>
  <c r="T127" i="130"/>
  <c r="P127" i="130"/>
  <c r="L127" i="130"/>
  <c r="H127" i="130"/>
  <c r="D127" i="130"/>
  <c r="R127" i="130"/>
  <c r="J127" i="130"/>
  <c r="W127" i="130"/>
  <c r="O127" i="130"/>
  <c r="G127" i="130"/>
  <c r="V127" i="130"/>
  <c r="N127" i="130"/>
  <c r="F127" i="130"/>
  <c r="S127" i="130"/>
  <c r="K127" i="130"/>
  <c r="U161" i="130"/>
  <c r="Q161" i="130"/>
  <c r="M161" i="130"/>
  <c r="I161" i="130"/>
  <c r="E161" i="130"/>
  <c r="T161" i="130"/>
  <c r="P161" i="130"/>
  <c r="L161" i="130"/>
  <c r="H161" i="130"/>
  <c r="D161" i="130"/>
  <c r="S161" i="130"/>
  <c r="K161" i="130"/>
  <c r="R161" i="130"/>
  <c r="J161" i="130"/>
  <c r="W161" i="130"/>
  <c r="O161" i="130"/>
  <c r="G161" i="130"/>
  <c r="V161" i="130"/>
  <c r="N161" i="130"/>
  <c r="F161" i="130"/>
  <c r="U195" i="130"/>
  <c r="Q195" i="130"/>
  <c r="M195" i="130"/>
  <c r="I195" i="130"/>
  <c r="E195" i="130"/>
  <c r="W195" i="130"/>
  <c r="R195" i="130"/>
  <c r="L195" i="130"/>
  <c r="G195" i="130"/>
  <c r="V195" i="130"/>
  <c r="P195" i="130"/>
  <c r="K195" i="130"/>
  <c r="F195" i="130"/>
  <c r="T195" i="130"/>
  <c r="O195" i="130"/>
  <c r="J195" i="130"/>
  <c r="D195" i="130"/>
  <c r="S195" i="130"/>
  <c r="N195" i="130"/>
  <c r="H195" i="130"/>
  <c r="E42" i="130"/>
  <c r="I42" i="130"/>
  <c r="M42" i="130"/>
  <c r="Q42" i="130"/>
  <c r="U42" i="130"/>
  <c r="B55" i="130"/>
  <c r="G59" i="130"/>
  <c r="K59" i="130"/>
  <c r="O59" i="130"/>
  <c r="S59" i="130"/>
  <c r="J76" i="130"/>
  <c r="T76" i="130"/>
  <c r="W314" i="130"/>
  <c r="S314" i="130"/>
  <c r="O314" i="130"/>
  <c r="K314" i="130"/>
  <c r="U314" i="130"/>
  <c r="P314" i="130"/>
  <c r="J314" i="130"/>
  <c r="F314" i="130"/>
  <c r="T314" i="130"/>
  <c r="N314" i="130"/>
  <c r="I314" i="130"/>
  <c r="E314" i="130"/>
  <c r="R314" i="130"/>
  <c r="H314" i="130"/>
  <c r="U229" i="130"/>
  <c r="Q229" i="130"/>
  <c r="M229" i="130"/>
  <c r="I229" i="130"/>
  <c r="E229" i="130"/>
  <c r="Q314" i="130"/>
  <c r="G314" i="130"/>
  <c r="T229" i="130"/>
  <c r="P229" i="130"/>
  <c r="L229" i="130"/>
  <c r="H229" i="130"/>
  <c r="D229" i="130"/>
  <c r="M314" i="130"/>
  <c r="D314" i="130"/>
  <c r="W229" i="130"/>
  <c r="O229" i="130"/>
  <c r="G229" i="130"/>
  <c r="V229" i="130"/>
  <c r="N229" i="130"/>
  <c r="F229" i="130"/>
  <c r="V314" i="130"/>
  <c r="S229" i="130"/>
  <c r="K229" i="130"/>
  <c r="R229" i="130"/>
  <c r="L314" i="130"/>
  <c r="J229" i="130"/>
  <c r="F42" i="130"/>
  <c r="J42" i="130"/>
  <c r="N42" i="130"/>
  <c r="R42" i="130"/>
  <c r="D59" i="130"/>
  <c r="H59" i="130"/>
  <c r="L59" i="130"/>
  <c r="P59" i="130"/>
  <c r="T59" i="130"/>
  <c r="D76" i="130"/>
  <c r="L76" i="130"/>
  <c r="T297" i="130"/>
  <c r="P297" i="130"/>
  <c r="L297" i="130"/>
  <c r="H297" i="130"/>
  <c r="D297" i="130"/>
  <c r="W297" i="130"/>
  <c r="S297" i="130"/>
  <c r="O297" i="130"/>
  <c r="K297" i="130"/>
  <c r="G297" i="130"/>
  <c r="R297" i="130"/>
  <c r="J297" i="130"/>
  <c r="W212" i="130"/>
  <c r="S212" i="130"/>
  <c r="O212" i="130"/>
  <c r="K212" i="130"/>
  <c r="G212" i="130"/>
  <c r="Q297" i="130"/>
  <c r="I297" i="130"/>
  <c r="V212" i="130"/>
  <c r="R212" i="130"/>
  <c r="N212" i="130"/>
  <c r="J212" i="130"/>
  <c r="F212" i="130"/>
  <c r="V297" i="130"/>
  <c r="N297" i="130"/>
  <c r="F297" i="130"/>
  <c r="E297" i="130"/>
  <c r="T212" i="130"/>
  <c r="L212" i="130"/>
  <c r="D212" i="130"/>
  <c r="Q212" i="130"/>
  <c r="I212" i="130"/>
  <c r="U297" i="130"/>
  <c r="P212" i="130"/>
  <c r="H212" i="130"/>
  <c r="U212" i="130"/>
  <c r="M212" i="130"/>
  <c r="E212" i="130"/>
  <c r="M297" i="130"/>
  <c r="V365" i="130"/>
  <c r="R365" i="130"/>
  <c r="N365" i="130"/>
  <c r="J365" i="130"/>
  <c r="F365" i="130"/>
  <c r="U365" i="130"/>
  <c r="Q365" i="130"/>
  <c r="M365" i="130"/>
  <c r="I365" i="130"/>
  <c r="E365" i="130"/>
  <c r="W365" i="130"/>
  <c r="O365" i="130"/>
  <c r="G365" i="130"/>
  <c r="T365" i="130"/>
  <c r="L365" i="130"/>
  <c r="D365" i="130"/>
  <c r="S365" i="130"/>
  <c r="W280" i="130"/>
  <c r="S280" i="130"/>
  <c r="O280" i="130"/>
  <c r="K280" i="130"/>
  <c r="G280" i="130"/>
  <c r="P365" i="130"/>
  <c r="V280" i="130"/>
  <c r="R280" i="130"/>
  <c r="N280" i="130"/>
  <c r="J280" i="130"/>
  <c r="F280" i="130"/>
  <c r="K365" i="130"/>
  <c r="U280" i="130"/>
  <c r="Q280" i="130"/>
  <c r="M280" i="130"/>
  <c r="I280" i="130"/>
  <c r="E280" i="130"/>
  <c r="P280" i="130"/>
  <c r="L280" i="130"/>
  <c r="H365" i="130"/>
  <c r="H280" i="130"/>
  <c r="D280" i="130"/>
  <c r="T280" i="130"/>
  <c r="W110" i="130"/>
  <c r="S110" i="130"/>
  <c r="O110" i="130"/>
  <c r="K110" i="130"/>
  <c r="G110" i="130"/>
  <c r="V110" i="130"/>
  <c r="R110" i="130"/>
  <c r="N110" i="130"/>
  <c r="J110" i="130"/>
  <c r="F110" i="130"/>
  <c r="U110" i="130"/>
  <c r="Q110" i="130"/>
  <c r="M110" i="130"/>
  <c r="I110" i="130"/>
  <c r="E110" i="130"/>
  <c r="T110" i="130"/>
  <c r="P110" i="130"/>
  <c r="L110" i="130"/>
  <c r="H110" i="130"/>
  <c r="D110" i="130"/>
  <c r="W144" i="130"/>
  <c r="S144" i="130"/>
  <c r="O144" i="130"/>
  <c r="K144" i="130"/>
  <c r="G144" i="130"/>
  <c r="V144" i="130"/>
  <c r="R144" i="130"/>
  <c r="N144" i="130"/>
  <c r="J144" i="130"/>
  <c r="F144" i="130"/>
  <c r="P144" i="130"/>
  <c r="H144" i="130"/>
  <c r="T144" i="130"/>
  <c r="I144" i="130"/>
  <c r="Q144" i="130"/>
  <c r="E144" i="130"/>
  <c r="M144" i="130"/>
  <c r="D144" i="130"/>
  <c r="U144" i="130"/>
  <c r="L144" i="130"/>
  <c r="W178" i="130"/>
  <c r="S178" i="130"/>
  <c r="O178" i="130"/>
  <c r="K178" i="130"/>
  <c r="G178" i="130"/>
  <c r="V178" i="130"/>
  <c r="R178" i="130"/>
  <c r="N178" i="130"/>
  <c r="J178" i="130"/>
  <c r="F178" i="130"/>
  <c r="Q178" i="130"/>
  <c r="I178" i="130"/>
  <c r="P178" i="130"/>
  <c r="H178" i="130"/>
  <c r="U178" i="130"/>
  <c r="M178" i="130"/>
  <c r="E178" i="130"/>
  <c r="T178" i="130"/>
  <c r="L178" i="130"/>
  <c r="D178" i="130"/>
  <c r="G42" i="130"/>
  <c r="K42" i="130"/>
  <c r="O42" i="130"/>
  <c r="S42" i="130"/>
  <c r="W42" i="130"/>
  <c r="E59" i="130"/>
  <c r="I59" i="130"/>
  <c r="M59" i="130"/>
  <c r="Q59" i="130"/>
  <c r="U59" i="130"/>
  <c r="F76" i="130"/>
  <c r="N76" i="130"/>
  <c r="T348" i="130"/>
  <c r="P348" i="130"/>
  <c r="L348" i="130"/>
  <c r="H348" i="130"/>
  <c r="D348" i="130"/>
  <c r="W348" i="130"/>
  <c r="S348" i="130"/>
  <c r="O348" i="130"/>
  <c r="K348" i="130"/>
  <c r="G348" i="130"/>
  <c r="Q348" i="130"/>
  <c r="I348" i="130"/>
  <c r="V348" i="130"/>
  <c r="N348" i="130"/>
  <c r="F348" i="130"/>
  <c r="R348" i="130"/>
  <c r="U263" i="130"/>
  <c r="Q263" i="130"/>
  <c r="M263" i="130"/>
  <c r="I263" i="130"/>
  <c r="E263" i="130"/>
  <c r="M348" i="130"/>
  <c r="T263" i="130"/>
  <c r="P263" i="130"/>
  <c r="L263" i="130"/>
  <c r="H263" i="130"/>
  <c r="D263" i="130"/>
  <c r="J348" i="130"/>
  <c r="R263" i="130"/>
  <c r="J263" i="130"/>
  <c r="W263" i="130"/>
  <c r="O263" i="130"/>
  <c r="G263" i="130"/>
  <c r="U348" i="130"/>
  <c r="V263" i="130"/>
  <c r="N263" i="130"/>
  <c r="F263" i="130"/>
  <c r="E348" i="130"/>
  <c r="S263" i="130"/>
  <c r="K263" i="130"/>
  <c r="U93" i="130"/>
  <c r="Q93" i="130"/>
  <c r="M93" i="130"/>
  <c r="I93" i="130"/>
  <c r="E93" i="130"/>
  <c r="T93" i="130"/>
  <c r="P93" i="130"/>
  <c r="L93" i="130"/>
  <c r="H93" i="130"/>
  <c r="D93" i="130"/>
  <c r="W93" i="130"/>
  <c r="S93" i="130"/>
  <c r="O93" i="130"/>
  <c r="K93" i="130"/>
  <c r="G93" i="130"/>
  <c r="V93" i="130"/>
  <c r="R93" i="130"/>
  <c r="N93" i="130"/>
  <c r="J93" i="130"/>
  <c r="F93" i="130"/>
  <c r="D42" i="130"/>
  <c r="H42" i="130"/>
  <c r="L42" i="130"/>
  <c r="P42" i="130"/>
  <c r="T42" i="130"/>
  <c r="F59" i="130"/>
  <c r="J59" i="130"/>
  <c r="N59" i="130"/>
  <c r="R59" i="130"/>
  <c r="V59" i="130"/>
  <c r="H76" i="130"/>
  <c r="P76" i="130"/>
  <c r="V47" i="131"/>
  <c r="V48" i="131" s="1"/>
  <c r="R47" i="131"/>
  <c r="R48" i="131" s="1"/>
  <c r="N47" i="131"/>
  <c r="N48" i="131" s="1"/>
  <c r="J47" i="131"/>
  <c r="J48" i="131" s="1"/>
  <c r="W44" i="131"/>
  <c r="W45" i="131" s="1"/>
  <c r="S44" i="131"/>
  <c r="S45" i="131" s="1"/>
  <c r="O44" i="131"/>
  <c r="O45" i="131" s="1"/>
  <c r="K44" i="131"/>
  <c r="K45" i="131" s="1"/>
  <c r="V41" i="131"/>
  <c r="V42" i="131" s="1"/>
  <c r="R41" i="131"/>
  <c r="R42" i="131" s="1"/>
  <c r="N41" i="131"/>
  <c r="N42" i="131" s="1"/>
  <c r="J41" i="131"/>
  <c r="J42" i="131" s="1"/>
  <c r="W38" i="131"/>
  <c r="W39" i="131" s="1"/>
  <c r="S38" i="131"/>
  <c r="S39" i="131" s="1"/>
  <c r="O38" i="131"/>
  <c r="O39" i="131" s="1"/>
  <c r="K38" i="131"/>
  <c r="K39" i="131" s="1"/>
  <c r="G38" i="131"/>
  <c r="G39" i="131" s="1"/>
  <c r="U35" i="131"/>
  <c r="U36" i="131" s="1"/>
  <c r="Q35" i="131"/>
  <c r="Q36" i="131" s="1"/>
  <c r="M35" i="131"/>
  <c r="M36" i="131" s="1"/>
  <c r="I35" i="131"/>
  <c r="I36" i="131" s="1"/>
  <c r="E35" i="131"/>
  <c r="E36" i="131" s="1"/>
  <c r="E49" i="131" s="1"/>
  <c r="E38" i="128" s="1"/>
  <c r="AC38" i="128" s="1"/>
  <c r="U47" i="131"/>
  <c r="U48" i="131" s="1"/>
  <c r="Q47" i="131"/>
  <c r="Q48" i="131" s="1"/>
  <c r="M47" i="131"/>
  <c r="M48" i="131" s="1"/>
  <c r="I47" i="131"/>
  <c r="I48" i="131" s="1"/>
  <c r="V44" i="131"/>
  <c r="V45" i="131" s="1"/>
  <c r="R44" i="131"/>
  <c r="R45" i="131" s="1"/>
  <c r="N44" i="131"/>
  <c r="N45" i="131" s="1"/>
  <c r="J44" i="131"/>
  <c r="J45" i="131" s="1"/>
  <c r="U41" i="131"/>
  <c r="U42" i="131" s="1"/>
  <c r="Q41" i="131"/>
  <c r="Q42" i="131" s="1"/>
  <c r="M41" i="131"/>
  <c r="M42" i="131" s="1"/>
  <c r="I41" i="131"/>
  <c r="I42" i="131" s="1"/>
  <c r="V38" i="131"/>
  <c r="V39" i="131" s="1"/>
  <c r="R38" i="131"/>
  <c r="R39" i="131" s="1"/>
  <c r="N38" i="131"/>
  <c r="N39" i="131" s="1"/>
  <c r="J38" i="131"/>
  <c r="J39" i="131" s="1"/>
  <c r="F38" i="131"/>
  <c r="F39" i="131" s="1"/>
  <c r="T35" i="131"/>
  <c r="T36" i="131" s="1"/>
  <c r="P35" i="131"/>
  <c r="P36" i="131" s="1"/>
  <c r="L35" i="131"/>
  <c r="L36" i="131" s="1"/>
  <c r="H35" i="131"/>
  <c r="H36" i="131" s="1"/>
  <c r="T47" i="131"/>
  <c r="T48" i="131" s="1"/>
  <c r="P47" i="131"/>
  <c r="P48" i="131" s="1"/>
  <c r="L47" i="131"/>
  <c r="L48" i="131" s="1"/>
  <c r="U44" i="131"/>
  <c r="U45" i="131" s="1"/>
  <c r="Q44" i="131"/>
  <c r="Q45" i="131" s="1"/>
  <c r="M44" i="131"/>
  <c r="M45" i="131" s="1"/>
  <c r="I44" i="131"/>
  <c r="I45" i="131" s="1"/>
  <c r="T41" i="131"/>
  <c r="T42" i="131" s="1"/>
  <c r="P41" i="131"/>
  <c r="P42" i="131" s="1"/>
  <c r="L41" i="131"/>
  <c r="L42" i="131" s="1"/>
  <c r="H41" i="131"/>
  <c r="H42" i="131" s="1"/>
  <c r="U38" i="131"/>
  <c r="U39" i="131" s="1"/>
  <c r="Q38" i="131"/>
  <c r="Q39" i="131" s="1"/>
  <c r="M38" i="131"/>
  <c r="M39" i="131" s="1"/>
  <c r="I38" i="131"/>
  <c r="I39" i="131" s="1"/>
  <c r="W35" i="131"/>
  <c r="W36" i="131" s="1"/>
  <c r="S35" i="131"/>
  <c r="S36" i="131" s="1"/>
  <c r="O35" i="131"/>
  <c r="O36" i="131" s="1"/>
  <c r="K35" i="131"/>
  <c r="K36" i="131" s="1"/>
  <c r="G35" i="131"/>
  <c r="G36" i="131" s="1"/>
  <c r="K47" i="131"/>
  <c r="K48" i="131" s="1"/>
  <c r="L44" i="131"/>
  <c r="L45" i="131" s="1"/>
  <c r="S41" i="131"/>
  <c r="S42" i="131" s="1"/>
  <c r="H38" i="131"/>
  <c r="H39" i="131" s="1"/>
  <c r="N35" i="131"/>
  <c r="N36" i="131" s="1"/>
  <c r="W47" i="131"/>
  <c r="W48" i="131" s="1"/>
  <c r="H44" i="131"/>
  <c r="H45" i="131" s="1"/>
  <c r="O41" i="131"/>
  <c r="O42" i="131" s="1"/>
  <c r="T38" i="131"/>
  <c r="T39" i="131" s="1"/>
  <c r="J35" i="131"/>
  <c r="J36" i="131" s="1"/>
  <c r="S47" i="131"/>
  <c r="S48" i="131" s="1"/>
  <c r="T44" i="131"/>
  <c r="T45" i="131" s="1"/>
  <c r="K41" i="131"/>
  <c r="K42" i="131" s="1"/>
  <c r="P38" i="131"/>
  <c r="P39" i="131" s="1"/>
  <c r="V35" i="131"/>
  <c r="V36" i="131" s="1"/>
  <c r="F35" i="131"/>
  <c r="F36" i="131" s="1"/>
  <c r="W41" i="131"/>
  <c r="W42" i="131" s="1"/>
  <c r="L38" i="131"/>
  <c r="L39" i="131" s="1"/>
  <c r="P44" i="131"/>
  <c r="P45" i="131" s="1"/>
  <c r="G41" i="131"/>
  <c r="G42" i="131" s="1"/>
  <c r="O47" i="131"/>
  <c r="O48" i="131" s="1"/>
  <c r="B21" i="131"/>
  <c r="B24" i="131"/>
  <c r="B15" i="131"/>
  <c r="B44" i="131"/>
  <c r="B41" i="131"/>
  <c r="B35" i="131"/>
  <c r="B47" i="131"/>
  <c r="B38" i="131"/>
  <c r="B9" i="131"/>
  <c r="B18" i="131"/>
  <c r="G60" i="130" l="1"/>
  <c r="S349" i="130"/>
  <c r="S353" i="130" s="1"/>
  <c r="J146" i="130"/>
  <c r="J150" i="130" s="1"/>
  <c r="I153" i="130" s="1"/>
  <c r="W62" i="128"/>
  <c r="AU62" i="128" s="1"/>
  <c r="W63" i="128"/>
  <c r="AU63" i="128" s="1"/>
  <c r="AU34" i="128"/>
  <c r="L163" i="130"/>
  <c r="L167" i="130" s="1"/>
  <c r="K170" i="130" s="1"/>
  <c r="J163" i="130"/>
  <c r="J167" i="130" s="1"/>
  <c r="I170" i="130" s="1"/>
  <c r="M213" i="130"/>
  <c r="M217" i="130" s="1"/>
  <c r="U299" i="130"/>
  <c r="U303" i="130" s="1"/>
  <c r="L214" i="130"/>
  <c r="K221" i="130" s="1"/>
  <c r="N298" i="130"/>
  <c r="N302" i="130" s="1"/>
  <c r="N214" i="130"/>
  <c r="N218" i="130" s="1"/>
  <c r="Q299" i="130"/>
  <c r="Q303" i="130" s="1"/>
  <c r="S214" i="130"/>
  <c r="R221" i="130" s="1"/>
  <c r="G299" i="130"/>
  <c r="G303" i="130" s="1"/>
  <c r="W299" i="130"/>
  <c r="W303" i="130" s="1"/>
  <c r="P298" i="130"/>
  <c r="P302" i="130" s="1"/>
  <c r="R49" i="131"/>
  <c r="R38" i="128" s="1"/>
  <c r="R39" i="128" s="1"/>
  <c r="AP39" i="128" s="1"/>
  <c r="J49" i="131"/>
  <c r="J38" i="128" s="1"/>
  <c r="AH38" i="128" s="1"/>
  <c r="S60" i="130"/>
  <c r="S64" i="130" s="1"/>
  <c r="R315" i="130"/>
  <c r="R319" i="130" s="1"/>
  <c r="M60" i="130"/>
  <c r="M64" i="130" s="1"/>
  <c r="R349" i="130"/>
  <c r="R353" i="130" s="1"/>
  <c r="O315" i="130"/>
  <c r="O319" i="130" s="1"/>
  <c r="I230" i="130"/>
  <c r="I234" i="130" s="1"/>
  <c r="M315" i="130"/>
  <c r="M319" i="130" s="1"/>
  <c r="E315" i="130"/>
  <c r="E319" i="130" s="1"/>
  <c r="K316" i="130"/>
  <c r="K320" i="130" s="1"/>
  <c r="J323" i="130" s="1"/>
  <c r="W231" i="130"/>
  <c r="W235" i="130" s="1"/>
  <c r="V238" i="130" s="1"/>
  <c r="L316" i="130"/>
  <c r="L320" i="130" s="1"/>
  <c r="K323" i="130" s="1"/>
  <c r="R231" i="130"/>
  <c r="R235" i="130" s="1"/>
  <c r="Q238" i="130" s="1"/>
  <c r="F231" i="130"/>
  <c r="F235" i="130" s="1"/>
  <c r="E238" i="130" s="1"/>
  <c r="O231" i="130"/>
  <c r="O235" i="130" s="1"/>
  <c r="N238" i="130" s="1"/>
  <c r="C234" i="130"/>
  <c r="C236" i="130" s="1"/>
  <c r="T231" i="130"/>
  <c r="T235" i="130" s="1"/>
  <c r="S238" i="130" s="1"/>
  <c r="I231" i="130"/>
  <c r="I235" i="130" s="1"/>
  <c r="H238" i="130" s="1"/>
  <c r="H315" i="130"/>
  <c r="H319" i="130" s="1"/>
  <c r="N316" i="130"/>
  <c r="N320" i="130" s="1"/>
  <c r="M323" i="130" s="1"/>
  <c r="P315" i="130"/>
  <c r="P319" i="130" s="1"/>
  <c r="S316" i="130"/>
  <c r="S320" i="130" s="1"/>
  <c r="R323" i="130" s="1"/>
  <c r="W61" i="130"/>
  <c r="W65" i="130" s="1"/>
  <c r="V68" i="130" s="1"/>
  <c r="H145" i="130"/>
  <c r="H149" i="130" s="1"/>
  <c r="N60" i="130"/>
  <c r="N64" i="130" s="1"/>
  <c r="G230" i="130"/>
  <c r="G234" i="130" s="1"/>
  <c r="D230" i="130"/>
  <c r="D234" i="130" s="1"/>
  <c r="E231" i="130"/>
  <c r="E235" i="130" s="1"/>
  <c r="D238" i="130" s="1"/>
  <c r="F315" i="130"/>
  <c r="F319" i="130" s="1"/>
  <c r="U146" i="130"/>
  <c r="U150" i="130" s="1"/>
  <c r="T153" i="130" s="1"/>
  <c r="Q146" i="130"/>
  <c r="Q150" i="130" s="1"/>
  <c r="P153" i="130" s="1"/>
  <c r="P146" i="130"/>
  <c r="P150" i="130" s="1"/>
  <c r="O153" i="130" s="1"/>
  <c r="R146" i="130"/>
  <c r="R150" i="130" s="1"/>
  <c r="Q153" i="130" s="1"/>
  <c r="O146" i="130"/>
  <c r="O150" i="130" s="1"/>
  <c r="N153" i="130" s="1"/>
  <c r="L60" i="130"/>
  <c r="L64" i="130" s="1"/>
  <c r="S61" i="130"/>
  <c r="S65" i="130" s="1"/>
  <c r="R68" i="130" s="1"/>
  <c r="R60" i="130"/>
  <c r="R64" i="130" s="1"/>
  <c r="S231" i="130"/>
  <c r="S235" i="130" s="1"/>
  <c r="R238" i="130" s="1"/>
  <c r="T230" i="130"/>
  <c r="I315" i="130"/>
  <c r="I319" i="130" s="1"/>
  <c r="M316" i="130"/>
  <c r="M320" i="130" s="1"/>
  <c r="L323" i="130" s="1"/>
  <c r="M61" i="130"/>
  <c r="M65" i="130" s="1"/>
  <c r="L68" i="130" s="1"/>
  <c r="P60" i="130"/>
  <c r="P64" i="130" s="1"/>
  <c r="H112" i="130"/>
  <c r="H116" i="130" s="1"/>
  <c r="G119" i="130" s="1"/>
  <c r="P367" i="130"/>
  <c r="P371" i="130" s="1"/>
  <c r="O374" i="130" s="1"/>
  <c r="L112" i="130"/>
  <c r="L116" i="130" s="1"/>
  <c r="K119" i="130" s="1"/>
  <c r="I112" i="130"/>
  <c r="I116" i="130" s="1"/>
  <c r="H119" i="130" s="1"/>
  <c r="F111" i="130"/>
  <c r="F115" i="130" s="1"/>
  <c r="V111" i="130"/>
  <c r="V115" i="130" s="1"/>
  <c r="S112" i="130"/>
  <c r="S116" i="130" s="1"/>
  <c r="R119" i="130" s="1"/>
  <c r="H281" i="130"/>
  <c r="H285" i="130" s="1"/>
  <c r="E282" i="130"/>
  <c r="E286" i="130" s="1"/>
  <c r="D289" i="130" s="1"/>
  <c r="U282" i="130"/>
  <c r="U286" i="130" s="1"/>
  <c r="T289" i="130" s="1"/>
  <c r="N282" i="130"/>
  <c r="N286" i="130" s="1"/>
  <c r="M289" i="130" s="1"/>
  <c r="G282" i="130"/>
  <c r="G286" i="130" s="1"/>
  <c r="F289" i="130" s="1"/>
  <c r="W281" i="130"/>
  <c r="W285" i="130" s="1"/>
  <c r="T367" i="130"/>
  <c r="T371" i="130" s="1"/>
  <c r="S374" i="130" s="1"/>
  <c r="U366" i="130"/>
  <c r="U370" i="130" s="1"/>
  <c r="R367" i="130"/>
  <c r="R371" i="130" s="1"/>
  <c r="Q374" i="130" s="1"/>
  <c r="V112" i="130"/>
  <c r="V116" i="130" s="1"/>
  <c r="U119" i="130" s="1"/>
  <c r="E367" i="130"/>
  <c r="E371" i="130" s="1"/>
  <c r="D374" i="130" s="1"/>
  <c r="H282" i="130"/>
  <c r="H286" i="130" s="1"/>
  <c r="G289" i="130" s="1"/>
  <c r="K282" i="130"/>
  <c r="K286" i="130" s="1"/>
  <c r="J289" i="130" s="1"/>
  <c r="D196" i="130"/>
  <c r="D200" i="130" s="1"/>
  <c r="M162" i="130"/>
  <c r="G162" i="130"/>
  <c r="G166" i="130" s="1"/>
  <c r="R162" i="130"/>
  <c r="R166" i="130" s="1"/>
  <c r="H162" i="130"/>
  <c r="H166" i="130" s="1"/>
  <c r="E163" i="130"/>
  <c r="E167" i="130" s="1"/>
  <c r="D170" i="130" s="1"/>
  <c r="U163" i="130"/>
  <c r="U167" i="130" s="1"/>
  <c r="T170" i="130" s="1"/>
  <c r="L44" i="130"/>
  <c r="K51" i="130" s="1"/>
  <c r="W163" i="130"/>
  <c r="W167" i="130" s="1"/>
  <c r="V170" i="130" s="1"/>
  <c r="J43" i="130"/>
  <c r="J47" i="130" s="1"/>
  <c r="E299" i="130"/>
  <c r="D306" i="130" s="1"/>
  <c r="L129" i="130"/>
  <c r="K136" i="130" s="1"/>
  <c r="P333" i="130"/>
  <c r="P337" i="130" s="1"/>
  <c r="O340" i="130" s="1"/>
  <c r="L333" i="130"/>
  <c r="L337" i="130" s="1"/>
  <c r="K340" i="130" s="1"/>
  <c r="D197" i="130"/>
  <c r="D201" i="130" s="1"/>
  <c r="C204" i="130" s="1"/>
  <c r="C205" i="130" s="1"/>
  <c r="K163" i="130"/>
  <c r="K167" i="130" s="1"/>
  <c r="J170" i="130" s="1"/>
  <c r="Q163" i="130"/>
  <c r="Q167" i="130" s="1"/>
  <c r="P170" i="130" s="1"/>
  <c r="O78" i="130"/>
  <c r="O82" i="130" s="1"/>
  <c r="N85" i="130" s="1"/>
  <c r="N333" i="130"/>
  <c r="N337" i="130" s="1"/>
  <c r="M340" i="130" s="1"/>
  <c r="R298" i="130"/>
  <c r="R302" i="130" s="1"/>
  <c r="U77" i="130"/>
  <c r="U81" i="130" s="1"/>
  <c r="O44" i="130"/>
  <c r="O48" i="130" s="1"/>
  <c r="V163" i="130"/>
  <c r="V167" i="130" s="1"/>
  <c r="U170" i="130" s="1"/>
  <c r="P162" i="130"/>
  <c r="P166" i="130" s="1"/>
  <c r="N129" i="130"/>
  <c r="M136" i="130" s="1"/>
  <c r="H333" i="130"/>
  <c r="H337" i="130" s="1"/>
  <c r="G340" i="130" s="1"/>
  <c r="J44" i="130"/>
  <c r="I51" i="130" s="1"/>
  <c r="E44" i="130"/>
  <c r="E48" i="130" s="1"/>
  <c r="K213" i="130"/>
  <c r="K217" i="130" s="1"/>
  <c r="J60" i="130"/>
  <c r="J64" i="130" s="1"/>
  <c r="J61" i="130"/>
  <c r="J65" i="130" s="1"/>
  <c r="I68" i="130" s="1"/>
  <c r="F94" i="130"/>
  <c r="F98" i="130" s="1"/>
  <c r="V94" i="130"/>
  <c r="V98" i="130" s="1"/>
  <c r="S95" i="130"/>
  <c r="S99" i="130" s="1"/>
  <c r="R102" i="130" s="1"/>
  <c r="L95" i="130"/>
  <c r="L99" i="130" s="1"/>
  <c r="K102" i="130" s="1"/>
  <c r="I94" i="130"/>
  <c r="K264" i="130"/>
  <c r="K268" i="130" s="1"/>
  <c r="N264" i="130"/>
  <c r="N268" i="130" s="1"/>
  <c r="O264" i="130"/>
  <c r="O268" i="130" s="1"/>
  <c r="J349" i="130"/>
  <c r="J353" i="130" s="1"/>
  <c r="P265" i="130"/>
  <c r="P269" i="130" s="1"/>
  <c r="O272" i="130" s="1"/>
  <c r="I265" i="130"/>
  <c r="I269" i="130" s="1"/>
  <c r="H272" i="130" s="1"/>
  <c r="I350" i="130"/>
  <c r="I354" i="130" s="1"/>
  <c r="H357" i="130" s="1"/>
  <c r="O349" i="130"/>
  <c r="O353" i="130" s="1"/>
  <c r="H350" i="130"/>
  <c r="H354" i="130" s="1"/>
  <c r="G357" i="130" s="1"/>
  <c r="N230" i="130"/>
  <c r="N234" i="130" s="1"/>
  <c r="O230" i="130"/>
  <c r="O234" i="130" s="1"/>
  <c r="J230" i="130"/>
  <c r="K230" i="130"/>
  <c r="K234" i="130" s="1"/>
  <c r="D316" i="130"/>
  <c r="D320" i="130" s="1"/>
  <c r="C323" i="130" s="1"/>
  <c r="C324" i="130" s="1"/>
  <c r="H230" i="130"/>
  <c r="H231" i="130"/>
  <c r="H235" i="130" s="1"/>
  <c r="G238" i="130" s="1"/>
  <c r="I316" i="130"/>
  <c r="I320" i="130" s="1"/>
  <c r="H323" i="130" s="1"/>
  <c r="M230" i="130"/>
  <c r="M234" i="130" s="1"/>
  <c r="M231" i="130"/>
  <c r="M235" i="130" s="1"/>
  <c r="L238" i="130" s="1"/>
  <c r="T315" i="130"/>
  <c r="T319" i="130" s="1"/>
  <c r="J315" i="130"/>
  <c r="J319" i="130" s="1"/>
  <c r="Q316" i="130"/>
  <c r="Q320" i="130" s="1"/>
  <c r="P323" i="130" s="1"/>
  <c r="L315" i="130"/>
  <c r="R316" i="130"/>
  <c r="R320" i="130" s="1"/>
  <c r="Q323" i="130" s="1"/>
  <c r="S315" i="130"/>
  <c r="O316" i="130"/>
  <c r="O320" i="130" s="1"/>
  <c r="N323" i="130" s="1"/>
  <c r="Q61" i="130"/>
  <c r="Q65" i="130" s="1"/>
  <c r="P68" i="130" s="1"/>
  <c r="E60" i="130"/>
  <c r="E64" i="130" s="1"/>
  <c r="I60" i="130"/>
  <c r="I64" i="130" s="1"/>
  <c r="D146" i="130"/>
  <c r="D150" i="130" s="1"/>
  <c r="C153" i="130" s="1"/>
  <c r="C154" i="130" s="1"/>
  <c r="I146" i="130"/>
  <c r="I150" i="130" s="1"/>
  <c r="H153" i="130" s="1"/>
  <c r="F146" i="130"/>
  <c r="F150" i="130" s="1"/>
  <c r="E153" i="130" s="1"/>
  <c r="V146" i="130"/>
  <c r="V150" i="130" s="1"/>
  <c r="U153" i="130" s="1"/>
  <c r="S145" i="130"/>
  <c r="S149" i="130" s="1"/>
  <c r="P61" i="130"/>
  <c r="P65" i="130" s="1"/>
  <c r="O68" i="130" s="1"/>
  <c r="H60" i="130"/>
  <c r="H64" i="130" s="1"/>
  <c r="V95" i="130"/>
  <c r="V99" i="130" s="1"/>
  <c r="U102" i="130" s="1"/>
  <c r="O350" i="130"/>
  <c r="O354" i="130" s="1"/>
  <c r="N357" i="130" s="1"/>
  <c r="O61" i="130"/>
  <c r="O65" i="130" s="1"/>
  <c r="N68" i="130" s="1"/>
  <c r="O60" i="130"/>
  <c r="O64" i="130" s="1"/>
  <c r="I145" i="130"/>
  <c r="I149" i="130" s="1"/>
  <c r="G145" i="130"/>
  <c r="G149" i="130" s="1"/>
  <c r="F60" i="130"/>
  <c r="F64" i="130" s="1"/>
  <c r="W230" i="130"/>
  <c r="N231" i="130"/>
  <c r="N235" i="130" s="1"/>
  <c r="M238" i="130" s="1"/>
  <c r="S230" i="130"/>
  <c r="S234" i="130" s="1"/>
  <c r="D315" i="130"/>
  <c r="D319" i="130" s="1"/>
  <c r="L230" i="130"/>
  <c r="L234" i="130" s="1"/>
  <c r="L231" i="130"/>
  <c r="L235" i="130" s="1"/>
  <c r="K238" i="130" s="1"/>
  <c r="T316" i="130"/>
  <c r="T320" i="130" s="1"/>
  <c r="S323" i="130" s="1"/>
  <c r="Q230" i="130"/>
  <c r="Q234" i="130" s="1"/>
  <c r="Q231" i="130"/>
  <c r="Q235" i="130" s="1"/>
  <c r="P238" i="130" s="1"/>
  <c r="J316" i="130"/>
  <c r="J320" i="130" s="1"/>
  <c r="I323" i="130" s="1"/>
  <c r="U315" i="130"/>
  <c r="U319" i="130" s="1"/>
  <c r="V316" i="130"/>
  <c r="V320" i="130" s="1"/>
  <c r="U323" i="130" s="1"/>
  <c r="Q315" i="130"/>
  <c r="Q319" i="130" s="1"/>
  <c r="G315" i="130"/>
  <c r="W315" i="130"/>
  <c r="W319" i="130" s="1"/>
  <c r="W316" i="130"/>
  <c r="W320" i="130" s="1"/>
  <c r="V323" i="130" s="1"/>
  <c r="E61" i="130"/>
  <c r="E65" i="130" s="1"/>
  <c r="D68" i="130" s="1"/>
  <c r="U61" i="130"/>
  <c r="U65" i="130" s="1"/>
  <c r="T68" i="130" s="1"/>
  <c r="M146" i="130"/>
  <c r="M150" i="130" s="1"/>
  <c r="L153" i="130" s="1"/>
  <c r="T145" i="130"/>
  <c r="T149" i="130" s="1"/>
  <c r="J145" i="130"/>
  <c r="J149" i="130" s="1"/>
  <c r="G146" i="130"/>
  <c r="G150" i="130" s="1"/>
  <c r="F153" i="130" s="1"/>
  <c r="W146" i="130"/>
  <c r="W150" i="130" s="1"/>
  <c r="V153" i="130" s="1"/>
  <c r="L61" i="130"/>
  <c r="L65" i="130" s="1"/>
  <c r="K68" i="130" s="1"/>
  <c r="T60" i="130"/>
  <c r="T64" i="130" s="1"/>
  <c r="D60" i="130"/>
  <c r="D64" i="130" s="1"/>
  <c r="M94" i="130"/>
  <c r="M98" i="130" s="1"/>
  <c r="G61" i="130"/>
  <c r="G65" i="130" s="1"/>
  <c r="F68" i="130" s="1"/>
  <c r="K60" i="130"/>
  <c r="K64" i="130" s="1"/>
  <c r="K61" i="130"/>
  <c r="K65" i="130" s="1"/>
  <c r="J68" i="130" s="1"/>
  <c r="H146" i="130"/>
  <c r="H150" i="130" s="1"/>
  <c r="G153" i="130" s="1"/>
  <c r="W145" i="130"/>
  <c r="R61" i="130"/>
  <c r="R65" i="130" s="1"/>
  <c r="Q68" i="130" s="1"/>
  <c r="V60" i="130"/>
  <c r="V64" i="130" s="1"/>
  <c r="V230" i="130"/>
  <c r="V234" i="130" s="1"/>
  <c r="N61" i="130"/>
  <c r="N65" i="130" s="1"/>
  <c r="M68" i="130" s="1"/>
  <c r="J231" i="130"/>
  <c r="J235" i="130" s="1"/>
  <c r="I238" i="130" s="1"/>
  <c r="K231" i="130"/>
  <c r="K235" i="130" s="1"/>
  <c r="J238" i="130" s="1"/>
  <c r="V231" i="130"/>
  <c r="V235" i="130" s="1"/>
  <c r="U238" i="130" s="1"/>
  <c r="G231" i="130"/>
  <c r="G235" i="130" s="1"/>
  <c r="F238" i="130" s="1"/>
  <c r="E316" i="130"/>
  <c r="E320" i="130" s="1"/>
  <c r="D323" i="130" s="1"/>
  <c r="P230" i="130"/>
  <c r="P231" i="130"/>
  <c r="P235" i="130" s="1"/>
  <c r="O238" i="130" s="1"/>
  <c r="E230" i="130"/>
  <c r="U230" i="130"/>
  <c r="U234" i="130" s="1"/>
  <c r="U231" i="130"/>
  <c r="U235" i="130" s="1"/>
  <c r="T238" i="130" s="1"/>
  <c r="U316" i="130"/>
  <c r="U320" i="130" s="1"/>
  <c r="T323" i="130" s="1"/>
  <c r="F316" i="130"/>
  <c r="F320" i="130" s="1"/>
  <c r="E323" i="130" s="1"/>
  <c r="C319" i="130"/>
  <c r="C321" i="130" s="1"/>
  <c r="V315" i="130"/>
  <c r="K315" i="130"/>
  <c r="G316" i="130"/>
  <c r="G320" i="130" s="1"/>
  <c r="F323" i="130" s="1"/>
  <c r="U60" i="130"/>
  <c r="U64" i="130" s="1"/>
  <c r="Q60" i="130"/>
  <c r="Q64" i="130" s="1"/>
  <c r="L145" i="130"/>
  <c r="L149" i="130" s="1"/>
  <c r="E146" i="130"/>
  <c r="E150" i="130" s="1"/>
  <c r="D153" i="130" s="1"/>
  <c r="N146" i="130"/>
  <c r="N150" i="130" s="1"/>
  <c r="M153" i="130" s="1"/>
  <c r="K146" i="130"/>
  <c r="K150" i="130" s="1"/>
  <c r="J153" i="130" s="1"/>
  <c r="H61" i="130"/>
  <c r="H65" i="130" s="1"/>
  <c r="G68" i="130" s="1"/>
  <c r="R350" i="130"/>
  <c r="R354" i="130" s="1"/>
  <c r="Q357" i="130" s="1"/>
  <c r="W60" i="130"/>
  <c r="E145" i="130"/>
  <c r="N145" i="130"/>
  <c r="N149" i="130" s="1"/>
  <c r="S146" i="130"/>
  <c r="S150" i="130" s="1"/>
  <c r="R153" i="130" s="1"/>
  <c r="G129" i="130"/>
  <c r="F136" i="130" s="1"/>
  <c r="I128" i="130"/>
  <c r="I132" i="130" s="1"/>
  <c r="U78" i="130"/>
  <c r="U82" i="130" s="1"/>
  <c r="T85" i="130" s="1"/>
  <c r="L247" i="130"/>
  <c r="L251" i="130" s="1"/>
  <c r="U248" i="130"/>
  <c r="U252" i="130" s="1"/>
  <c r="T255" i="130" s="1"/>
  <c r="K248" i="130"/>
  <c r="K252" i="130" s="1"/>
  <c r="J255" i="130" s="1"/>
  <c r="M332" i="130"/>
  <c r="M336" i="130" s="1"/>
  <c r="G180" i="130"/>
  <c r="G184" i="130" s="1"/>
  <c r="F187" i="130" s="1"/>
  <c r="F128" i="130"/>
  <c r="F132" i="130" s="1"/>
  <c r="D128" i="130"/>
  <c r="D132" i="130" s="1"/>
  <c r="T128" i="130"/>
  <c r="T132" i="130" s="1"/>
  <c r="Q129" i="130"/>
  <c r="P136" i="130" s="1"/>
  <c r="L77" i="130"/>
  <c r="L81" i="130" s="1"/>
  <c r="D78" i="130"/>
  <c r="D82" i="130" s="1"/>
  <c r="C85" i="130" s="1"/>
  <c r="C86" i="130" s="1"/>
  <c r="V128" i="130"/>
  <c r="V132" i="130" s="1"/>
  <c r="I129" i="130"/>
  <c r="H136" i="130" s="1"/>
  <c r="F78" i="130"/>
  <c r="F82" i="130" s="1"/>
  <c r="E85" i="130" s="1"/>
  <c r="U247" i="130"/>
  <c r="U251" i="130" s="1"/>
  <c r="J247" i="130"/>
  <c r="J251" i="130" s="1"/>
  <c r="G333" i="130"/>
  <c r="G337" i="130" s="1"/>
  <c r="F340" i="130" s="1"/>
  <c r="M333" i="130"/>
  <c r="M337" i="130" s="1"/>
  <c r="L340" i="130" s="1"/>
  <c r="D77" i="130"/>
  <c r="D81" i="130" s="1"/>
  <c r="K129" i="130"/>
  <c r="J136" i="130" s="1"/>
  <c r="L128" i="130"/>
  <c r="L132" i="130" s="1"/>
  <c r="E77" i="130"/>
  <c r="K77" i="130"/>
  <c r="K81" i="130" s="1"/>
  <c r="P247" i="130"/>
  <c r="P251" i="130" s="1"/>
  <c r="J248" i="130"/>
  <c r="J252" i="130" s="1"/>
  <c r="I255" i="130" s="1"/>
  <c r="K333" i="130"/>
  <c r="K337" i="130" s="1"/>
  <c r="J340" i="130" s="1"/>
  <c r="N332" i="130"/>
  <c r="P77" i="130"/>
  <c r="P81" i="130" s="1"/>
  <c r="N78" i="130"/>
  <c r="N82" i="130" s="1"/>
  <c r="M85" i="130" s="1"/>
  <c r="J162" i="130"/>
  <c r="J166" i="130" s="1"/>
  <c r="K162" i="130"/>
  <c r="K166" i="130" s="1"/>
  <c r="F162" i="130"/>
  <c r="R163" i="130"/>
  <c r="R167" i="130" s="1"/>
  <c r="Q170" i="130" s="1"/>
  <c r="S163" i="130"/>
  <c r="S167" i="130" s="1"/>
  <c r="R170" i="130" s="1"/>
  <c r="T162" i="130"/>
  <c r="T166" i="130" s="1"/>
  <c r="P163" i="130"/>
  <c r="P167" i="130" s="1"/>
  <c r="O170" i="130" s="1"/>
  <c r="Q162" i="130"/>
  <c r="G128" i="130"/>
  <c r="G132" i="130" s="1"/>
  <c r="S129" i="130"/>
  <c r="R136" i="130" s="1"/>
  <c r="V129" i="130"/>
  <c r="V133" i="130" s="1"/>
  <c r="O129" i="130"/>
  <c r="O133" i="130" s="1"/>
  <c r="J129" i="130"/>
  <c r="J133" i="130" s="1"/>
  <c r="P128" i="130"/>
  <c r="P132" i="130" s="1"/>
  <c r="P129" i="130"/>
  <c r="P133" i="130" s="1"/>
  <c r="M128" i="130"/>
  <c r="M132" i="130" s="1"/>
  <c r="M129" i="130"/>
  <c r="M133" i="130" s="1"/>
  <c r="I77" i="130"/>
  <c r="I81" i="130" s="1"/>
  <c r="E78" i="130"/>
  <c r="E82" i="130" s="1"/>
  <c r="D85" i="130" s="1"/>
  <c r="J77" i="130"/>
  <c r="J81" i="130" s="1"/>
  <c r="J78" i="130"/>
  <c r="J82" i="130" s="1"/>
  <c r="I85" i="130" s="1"/>
  <c r="O77" i="130"/>
  <c r="S78" i="130"/>
  <c r="S82" i="130" s="1"/>
  <c r="R85" i="130" s="1"/>
  <c r="H248" i="130"/>
  <c r="H252" i="130" s="1"/>
  <c r="G255" i="130" s="1"/>
  <c r="Q248" i="130"/>
  <c r="Q252" i="130" s="1"/>
  <c r="P255" i="130" s="1"/>
  <c r="D248" i="130"/>
  <c r="D252" i="130" s="1"/>
  <c r="C255" i="130" s="1"/>
  <c r="C256" i="130" s="1"/>
  <c r="Q247" i="130"/>
  <c r="Q251" i="130" s="1"/>
  <c r="S332" i="130"/>
  <c r="S336" i="130" s="1"/>
  <c r="R247" i="130"/>
  <c r="R251" i="130" s="1"/>
  <c r="R248" i="130"/>
  <c r="R252" i="130" s="1"/>
  <c r="Q255" i="130" s="1"/>
  <c r="K247" i="130"/>
  <c r="K251" i="130" s="1"/>
  <c r="O248" i="130"/>
  <c r="O252" i="130" s="1"/>
  <c r="N255" i="130" s="1"/>
  <c r="W333" i="130"/>
  <c r="W337" i="130" s="1"/>
  <c r="V340" i="130" s="1"/>
  <c r="S333" i="130"/>
  <c r="S337" i="130" s="1"/>
  <c r="R340" i="130" s="1"/>
  <c r="T333" i="130"/>
  <c r="T337" i="130" s="1"/>
  <c r="S340" i="130" s="1"/>
  <c r="Q332" i="130"/>
  <c r="Q336" i="130" s="1"/>
  <c r="Q333" i="130"/>
  <c r="Q337" i="130" s="1"/>
  <c r="P340" i="130" s="1"/>
  <c r="R332" i="130"/>
  <c r="R336" i="130" s="1"/>
  <c r="R333" i="130"/>
  <c r="R337" i="130" s="1"/>
  <c r="Q340" i="130" s="1"/>
  <c r="H77" i="130"/>
  <c r="H81" i="130" s="1"/>
  <c r="F77" i="130"/>
  <c r="F81" i="130" s="1"/>
  <c r="L179" i="130"/>
  <c r="L183" i="130" s="1"/>
  <c r="U179" i="130"/>
  <c r="U183" i="130" s="1"/>
  <c r="Q180" i="130"/>
  <c r="Q184" i="130" s="1"/>
  <c r="P187" i="130" s="1"/>
  <c r="R180" i="130"/>
  <c r="R184" i="130" s="1"/>
  <c r="Q187" i="130" s="1"/>
  <c r="O180" i="130"/>
  <c r="O184" i="130" s="1"/>
  <c r="N187" i="130" s="1"/>
  <c r="F163" i="130"/>
  <c r="F167" i="130" s="1"/>
  <c r="E170" i="130" s="1"/>
  <c r="S162" i="130"/>
  <c r="S166" i="130" s="1"/>
  <c r="N162" i="130"/>
  <c r="N166" i="130" s="1"/>
  <c r="O162" i="130"/>
  <c r="O166" i="130" s="1"/>
  <c r="D162" i="130"/>
  <c r="D166" i="130" s="1"/>
  <c r="D163" i="130"/>
  <c r="D167" i="130" s="1"/>
  <c r="C170" i="130" s="1"/>
  <c r="C171" i="130" s="1"/>
  <c r="T163" i="130"/>
  <c r="T167" i="130" s="1"/>
  <c r="S170" i="130" s="1"/>
  <c r="I163" i="130"/>
  <c r="I167" i="130" s="1"/>
  <c r="H170" i="130" s="1"/>
  <c r="O128" i="130"/>
  <c r="O132" i="130" s="1"/>
  <c r="J128" i="130"/>
  <c r="J132" i="130" s="1"/>
  <c r="K128" i="130"/>
  <c r="K132" i="130" s="1"/>
  <c r="W129" i="130"/>
  <c r="W133" i="130" s="1"/>
  <c r="R129" i="130"/>
  <c r="R133" i="130" s="1"/>
  <c r="D129" i="130"/>
  <c r="D133" i="130" s="1"/>
  <c r="T129" i="130"/>
  <c r="S136" i="130" s="1"/>
  <c r="U128" i="130"/>
  <c r="U129" i="130"/>
  <c r="U133" i="130" s="1"/>
  <c r="M77" i="130"/>
  <c r="M81" i="130" s="1"/>
  <c r="I78" i="130"/>
  <c r="I82" i="130" s="1"/>
  <c r="H85" i="130" s="1"/>
  <c r="R77" i="130"/>
  <c r="R81" i="130" s="1"/>
  <c r="R78" i="130"/>
  <c r="R82" i="130" s="1"/>
  <c r="Q85" i="130" s="1"/>
  <c r="S77" i="130"/>
  <c r="D247" i="130"/>
  <c r="D251" i="130" s="1"/>
  <c r="E247" i="130"/>
  <c r="E251" i="130" s="1"/>
  <c r="L332" i="130"/>
  <c r="L336" i="130" s="1"/>
  <c r="L338" i="130" s="1"/>
  <c r="L248" i="130"/>
  <c r="L252" i="130" s="1"/>
  <c r="K255" i="130" s="1"/>
  <c r="E248" i="130"/>
  <c r="E252" i="130" s="1"/>
  <c r="D255" i="130" s="1"/>
  <c r="O333" i="130"/>
  <c r="O337" i="130" s="1"/>
  <c r="N340" i="130" s="1"/>
  <c r="V247" i="130"/>
  <c r="V251" i="130" s="1"/>
  <c r="V248" i="130"/>
  <c r="V252" i="130" s="1"/>
  <c r="U255" i="130" s="1"/>
  <c r="O247" i="130"/>
  <c r="O251" i="130" s="1"/>
  <c r="S248" i="130"/>
  <c r="S252" i="130" s="1"/>
  <c r="R255" i="130" s="1"/>
  <c r="O332" i="130"/>
  <c r="O336" i="130" s="1"/>
  <c r="H332" i="130"/>
  <c r="H336" i="130" s="1"/>
  <c r="C336" i="130"/>
  <c r="C338" i="130" s="1"/>
  <c r="U332" i="130"/>
  <c r="U333" i="130"/>
  <c r="U337" i="130" s="1"/>
  <c r="T340" i="130" s="1"/>
  <c r="F333" i="130"/>
  <c r="F337" i="130" s="1"/>
  <c r="E340" i="130" s="1"/>
  <c r="V333" i="130"/>
  <c r="V337" i="130" s="1"/>
  <c r="U340" i="130" s="1"/>
  <c r="T78" i="130"/>
  <c r="T82" i="130" s="1"/>
  <c r="S85" i="130" s="1"/>
  <c r="H78" i="130"/>
  <c r="H82" i="130" s="1"/>
  <c r="G85" i="130" s="1"/>
  <c r="N163" i="130"/>
  <c r="N167" i="130" s="1"/>
  <c r="M170" i="130" s="1"/>
  <c r="O163" i="130"/>
  <c r="O167" i="130" s="1"/>
  <c r="N170" i="130" s="1"/>
  <c r="V162" i="130"/>
  <c r="V166" i="130" s="1"/>
  <c r="W162" i="130"/>
  <c r="W166" i="130" s="1"/>
  <c r="L162" i="130"/>
  <c r="L166" i="130" s="1"/>
  <c r="H163" i="130"/>
  <c r="H167" i="130" s="1"/>
  <c r="G170" i="130" s="1"/>
  <c r="I162" i="130"/>
  <c r="I166" i="130" s="1"/>
  <c r="I168" i="130" s="1"/>
  <c r="M163" i="130"/>
  <c r="M167" i="130" s="1"/>
  <c r="L170" i="130" s="1"/>
  <c r="W128" i="130"/>
  <c r="W132" i="130" s="1"/>
  <c r="R128" i="130"/>
  <c r="R132" i="130" s="1"/>
  <c r="S128" i="130"/>
  <c r="S132" i="130" s="1"/>
  <c r="N128" i="130"/>
  <c r="N132" i="130" s="1"/>
  <c r="H128" i="130"/>
  <c r="H132" i="130" s="1"/>
  <c r="H129" i="130"/>
  <c r="H133" i="130" s="1"/>
  <c r="E128" i="130"/>
  <c r="E129" i="130"/>
  <c r="E133" i="130" s="1"/>
  <c r="C81" i="130"/>
  <c r="C83" i="130" s="1"/>
  <c r="Q77" i="130"/>
  <c r="Q81" i="130" s="1"/>
  <c r="M78" i="130"/>
  <c r="M82" i="130" s="1"/>
  <c r="L85" i="130" s="1"/>
  <c r="V77" i="130"/>
  <c r="V81" i="130" s="1"/>
  <c r="V78" i="130"/>
  <c r="V82" i="130" s="1"/>
  <c r="U85" i="130" s="1"/>
  <c r="K78" i="130"/>
  <c r="K82" i="130" s="1"/>
  <c r="J85" i="130" s="1"/>
  <c r="P248" i="130"/>
  <c r="P252" i="130" s="1"/>
  <c r="O255" i="130" s="1"/>
  <c r="M247" i="130"/>
  <c r="M251" i="130" s="1"/>
  <c r="H247" i="130"/>
  <c r="H251" i="130" s="1"/>
  <c r="C251" i="130"/>
  <c r="C253" i="130" s="1"/>
  <c r="M248" i="130"/>
  <c r="M252" i="130" s="1"/>
  <c r="L255" i="130" s="1"/>
  <c r="F247" i="130"/>
  <c r="F251" i="130" s="1"/>
  <c r="F248" i="130"/>
  <c r="F252" i="130" s="1"/>
  <c r="E255" i="130" s="1"/>
  <c r="T332" i="130"/>
  <c r="T336" i="130" s="1"/>
  <c r="S247" i="130"/>
  <c r="S251" i="130" s="1"/>
  <c r="S253" i="130" s="1"/>
  <c r="K332" i="130"/>
  <c r="K336" i="130" s="1"/>
  <c r="W332" i="130"/>
  <c r="W336" i="130" s="1"/>
  <c r="P332" i="130"/>
  <c r="P336" i="130" s="1"/>
  <c r="E332" i="130"/>
  <c r="E336" i="130" s="1"/>
  <c r="E333" i="130"/>
  <c r="E337" i="130" s="1"/>
  <c r="D340" i="130" s="1"/>
  <c r="J332" i="130"/>
  <c r="J333" i="130"/>
  <c r="J337" i="130" s="1"/>
  <c r="I340" i="130" s="1"/>
  <c r="L78" i="130"/>
  <c r="L82" i="130" s="1"/>
  <c r="K85" i="130" s="1"/>
  <c r="C183" i="130"/>
  <c r="C185" i="130" s="1"/>
  <c r="C166" i="130"/>
  <c r="C168" i="130" s="1"/>
  <c r="Q78" i="130"/>
  <c r="Q82" i="130" s="1"/>
  <c r="P85" i="130" s="1"/>
  <c r="G78" i="130"/>
  <c r="G82" i="130" s="1"/>
  <c r="F85" i="130" s="1"/>
  <c r="W78" i="130"/>
  <c r="W82" i="130" s="1"/>
  <c r="V85" i="130" s="1"/>
  <c r="I248" i="130"/>
  <c r="I252" i="130" s="1"/>
  <c r="H255" i="130" s="1"/>
  <c r="T248" i="130"/>
  <c r="T252" i="130" s="1"/>
  <c r="S255" i="130" s="1"/>
  <c r="G332" i="130"/>
  <c r="N248" i="130"/>
  <c r="N252" i="130" s="1"/>
  <c r="M255" i="130" s="1"/>
  <c r="G248" i="130"/>
  <c r="G252" i="130" s="1"/>
  <c r="F255" i="130" s="1"/>
  <c r="W248" i="130"/>
  <c r="W252" i="130" s="1"/>
  <c r="V255" i="130" s="1"/>
  <c r="D332" i="130"/>
  <c r="D336" i="130" s="1"/>
  <c r="I333" i="130"/>
  <c r="I337" i="130" s="1"/>
  <c r="H340" i="130" s="1"/>
  <c r="F332" i="130"/>
  <c r="V332" i="130"/>
  <c r="V336" i="130" s="1"/>
  <c r="V338" i="130" s="1"/>
  <c r="V196" i="130"/>
  <c r="V200" i="130" s="1"/>
  <c r="M196" i="130"/>
  <c r="M200" i="130" s="1"/>
  <c r="T180" i="130"/>
  <c r="T184" i="130" s="1"/>
  <c r="S187" i="130" s="1"/>
  <c r="H180" i="130"/>
  <c r="H184" i="130" s="1"/>
  <c r="G187" i="130" s="1"/>
  <c r="F180" i="130"/>
  <c r="F184" i="130" s="1"/>
  <c r="E187" i="130" s="1"/>
  <c r="V180" i="130"/>
  <c r="V184" i="130" s="1"/>
  <c r="U187" i="130" s="1"/>
  <c r="S180" i="130"/>
  <c r="S184" i="130" s="1"/>
  <c r="R187" i="130" s="1"/>
  <c r="R179" i="130"/>
  <c r="R183" i="130" s="1"/>
  <c r="W180" i="130"/>
  <c r="W184" i="130" s="1"/>
  <c r="V187" i="130" s="1"/>
  <c r="C149" i="130"/>
  <c r="C151" i="130" s="1"/>
  <c r="C200" i="130"/>
  <c r="C202" i="130" s="1"/>
  <c r="M197" i="130"/>
  <c r="M201" i="130" s="1"/>
  <c r="L204" i="130" s="1"/>
  <c r="E179" i="130"/>
  <c r="E183" i="130" s="1"/>
  <c r="P180" i="130"/>
  <c r="P184" i="130" s="1"/>
  <c r="O187" i="130" s="1"/>
  <c r="J180" i="130"/>
  <c r="J184" i="130" s="1"/>
  <c r="I187" i="130" s="1"/>
  <c r="G179" i="130"/>
  <c r="G183" i="130" s="1"/>
  <c r="W179" i="130"/>
  <c r="M180" i="130"/>
  <c r="M184" i="130" s="1"/>
  <c r="L187" i="130" s="1"/>
  <c r="N180" i="130"/>
  <c r="N184" i="130" s="1"/>
  <c r="M187" i="130" s="1"/>
  <c r="O196" i="130"/>
  <c r="O200" i="130" s="1"/>
  <c r="N197" i="130"/>
  <c r="N201" i="130" s="1"/>
  <c r="M204" i="130" s="1"/>
  <c r="D179" i="130"/>
  <c r="D183" i="130" s="1"/>
  <c r="I180" i="130"/>
  <c r="I184" i="130" s="1"/>
  <c r="H187" i="130" s="1"/>
  <c r="N179" i="130"/>
  <c r="K180" i="130"/>
  <c r="K184" i="130" s="1"/>
  <c r="J187" i="130" s="1"/>
  <c r="M179" i="130"/>
  <c r="K179" i="130"/>
  <c r="P43" i="130"/>
  <c r="P47" i="130" s="1"/>
  <c r="L43" i="130"/>
  <c r="L47" i="130" s="1"/>
  <c r="J95" i="130"/>
  <c r="J99" i="130" s="1"/>
  <c r="I102" i="130" s="1"/>
  <c r="G95" i="130"/>
  <c r="G99" i="130" s="1"/>
  <c r="F102" i="130" s="1"/>
  <c r="W95" i="130"/>
  <c r="W99" i="130" s="1"/>
  <c r="V102" i="130" s="1"/>
  <c r="P95" i="130"/>
  <c r="P99" i="130" s="1"/>
  <c r="O102" i="130" s="1"/>
  <c r="M95" i="130"/>
  <c r="M99" i="130" s="1"/>
  <c r="L102" i="130" s="1"/>
  <c r="S264" i="130"/>
  <c r="S268" i="130" s="1"/>
  <c r="V264" i="130"/>
  <c r="V268" i="130" s="1"/>
  <c r="W264" i="130"/>
  <c r="W268" i="130" s="1"/>
  <c r="C268" i="130"/>
  <c r="C270" i="130" s="1"/>
  <c r="T265" i="130"/>
  <c r="T269" i="130" s="1"/>
  <c r="S272" i="130" s="1"/>
  <c r="M265" i="130"/>
  <c r="M269" i="130" s="1"/>
  <c r="L272" i="130" s="1"/>
  <c r="F349" i="130"/>
  <c r="F353" i="130" s="1"/>
  <c r="Q349" i="130"/>
  <c r="Q353" i="130" s="1"/>
  <c r="S350" i="130"/>
  <c r="S354" i="130" s="1"/>
  <c r="R357" i="130" s="1"/>
  <c r="L350" i="130"/>
  <c r="L354" i="130" s="1"/>
  <c r="K357" i="130" s="1"/>
  <c r="S43" i="130"/>
  <c r="S47" i="130" s="1"/>
  <c r="O43" i="130"/>
  <c r="P197" i="130"/>
  <c r="P201" i="130" s="1"/>
  <c r="O204" i="130" s="1"/>
  <c r="F197" i="130"/>
  <c r="F201" i="130" s="1"/>
  <c r="E204" i="130" s="1"/>
  <c r="G197" i="130"/>
  <c r="G201" i="130" s="1"/>
  <c r="F204" i="130" s="1"/>
  <c r="G196" i="130"/>
  <c r="G200" i="130" s="1"/>
  <c r="S197" i="130"/>
  <c r="S201" i="130" s="1"/>
  <c r="R204" i="130" s="1"/>
  <c r="O197" i="130"/>
  <c r="O201" i="130" s="1"/>
  <c r="N204" i="130" s="1"/>
  <c r="Q196" i="130"/>
  <c r="Q200" i="130" s="1"/>
  <c r="Q197" i="130"/>
  <c r="Q201" i="130" s="1"/>
  <c r="P204" i="130" s="1"/>
  <c r="P112" i="130"/>
  <c r="P116" i="130" s="1"/>
  <c r="O119" i="130" s="1"/>
  <c r="M111" i="130"/>
  <c r="M115" i="130" s="1"/>
  <c r="J112" i="130"/>
  <c r="J116" i="130" s="1"/>
  <c r="I119" i="130" s="1"/>
  <c r="G112" i="130"/>
  <c r="G116" i="130" s="1"/>
  <c r="F119" i="130" s="1"/>
  <c r="W112" i="130"/>
  <c r="W116" i="130" s="1"/>
  <c r="V119" i="130" s="1"/>
  <c r="H366" i="130"/>
  <c r="H370" i="130" s="1"/>
  <c r="I282" i="130"/>
  <c r="I286" i="130" s="1"/>
  <c r="H289" i="130" s="1"/>
  <c r="K366" i="130"/>
  <c r="K370" i="130" s="1"/>
  <c r="R282" i="130"/>
  <c r="R286" i="130" s="1"/>
  <c r="Q289" i="130" s="1"/>
  <c r="K281" i="130"/>
  <c r="K285" i="130" s="1"/>
  <c r="S367" i="130"/>
  <c r="S371" i="130" s="1"/>
  <c r="R374" i="130" s="1"/>
  <c r="G367" i="130"/>
  <c r="G371" i="130" s="1"/>
  <c r="F374" i="130" s="1"/>
  <c r="I367" i="130"/>
  <c r="I371" i="130" s="1"/>
  <c r="H374" i="130" s="1"/>
  <c r="F366" i="130"/>
  <c r="F370" i="130" s="1"/>
  <c r="V366" i="130"/>
  <c r="U213" i="130"/>
  <c r="U217" i="130" s="1"/>
  <c r="I213" i="130"/>
  <c r="I217" i="130" s="1"/>
  <c r="T214" i="130"/>
  <c r="S221" i="130" s="1"/>
  <c r="V298" i="130"/>
  <c r="V302" i="130" s="1"/>
  <c r="R213" i="130"/>
  <c r="R217" i="130" s="1"/>
  <c r="G213" i="130"/>
  <c r="G217" i="130" s="1"/>
  <c r="W213" i="130"/>
  <c r="W217" i="130" s="1"/>
  <c r="K298" i="130"/>
  <c r="K302" i="130" s="1"/>
  <c r="C302" i="130"/>
  <c r="C304" i="130" s="1"/>
  <c r="T299" i="130"/>
  <c r="S306" i="130" s="1"/>
  <c r="V43" i="130"/>
  <c r="V47" i="130" s="1"/>
  <c r="F43" i="130"/>
  <c r="F47" i="130" s="1"/>
  <c r="F44" i="130"/>
  <c r="E51" i="130" s="1"/>
  <c r="S94" i="130"/>
  <c r="I95" i="130"/>
  <c r="I99" i="130" s="1"/>
  <c r="H102" i="130" s="1"/>
  <c r="P264" i="130"/>
  <c r="P268" i="130" s="1"/>
  <c r="E349" i="130"/>
  <c r="H349" i="130"/>
  <c r="U44" i="130"/>
  <c r="T51" i="130" s="1"/>
  <c r="U43" i="130"/>
  <c r="U47" i="130" s="1"/>
  <c r="Q43" i="130"/>
  <c r="Q47" i="130" s="1"/>
  <c r="H197" i="130"/>
  <c r="H201" i="130" s="1"/>
  <c r="G204" i="130" s="1"/>
  <c r="J197" i="130"/>
  <c r="J201" i="130" s="1"/>
  <c r="I204" i="130" s="1"/>
  <c r="K196" i="130"/>
  <c r="K200" i="130" s="1"/>
  <c r="L196" i="130"/>
  <c r="L200" i="130" s="1"/>
  <c r="I197" i="130"/>
  <c r="I201" i="130" s="1"/>
  <c r="H204" i="130" s="1"/>
  <c r="M112" i="130"/>
  <c r="M116" i="130" s="1"/>
  <c r="L119" i="130" s="1"/>
  <c r="S111" i="130"/>
  <c r="H367" i="130"/>
  <c r="H371" i="130" s="1"/>
  <c r="G374" i="130" s="1"/>
  <c r="L366" i="130"/>
  <c r="L370" i="130" s="1"/>
  <c r="E366" i="130"/>
  <c r="E370" i="130" s="1"/>
  <c r="U367" i="130"/>
  <c r="U371" i="130" s="1"/>
  <c r="T374" i="130" s="1"/>
  <c r="L213" i="130"/>
  <c r="F213" i="130"/>
  <c r="F217" i="130" s="1"/>
  <c r="J299" i="130"/>
  <c r="I306" i="130" s="1"/>
  <c r="H43" i="130"/>
  <c r="H47" i="130" s="1"/>
  <c r="N95" i="130"/>
  <c r="N99" i="130" s="1"/>
  <c r="M102" i="130" s="1"/>
  <c r="D94" i="130"/>
  <c r="D98" i="130" s="1"/>
  <c r="T94" i="130"/>
  <c r="T98" i="130" s="1"/>
  <c r="Q95" i="130"/>
  <c r="Q99" i="130" s="1"/>
  <c r="P102" i="130" s="1"/>
  <c r="E350" i="130"/>
  <c r="E354" i="130" s="1"/>
  <c r="D357" i="130" s="1"/>
  <c r="U349" i="130"/>
  <c r="U353" i="130" s="1"/>
  <c r="J265" i="130"/>
  <c r="J269" i="130" s="1"/>
  <c r="I272" i="130" s="1"/>
  <c r="H265" i="130"/>
  <c r="H269" i="130" s="1"/>
  <c r="G272" i="130" s="1"/>
  <c r="M349" i="130"/>
  <c r="M353" i="130" s="1"/>
  <c r="Q265" i="130"/>
  <c r="Q269" i="130" s="1"/>
  <c r="P272" i="130" s="1"/>
  <c r="N350" i="130"/>
  <c r="N354" i="130" s="1"/>
  <c r="M357" i="130" s="1"/>
  <c r="G350" i="130"/>
  <c r="G354" i="130" s="1"/>
  <c r="F357" i="130" s="1"/>
  <c r="W350" i="130"/>
  <c r="W354" i="130" s="1"/>
  <c r="V357" i="130" s="1"/>
  <c r="P350" i="130"/>
  <c r="P354" i="130" s="1"/>
  <c r="O357" i="130" s="1"/>
  <c r="K43" i="130"/>
  <c r="K47" i="130" s="1"/>
  <c r="K44" i="130"/>
  <c r="T196" i="130"/>
  <c r="T200" i="130" s="1"/>
  <c r="F196" i="130"/>
  <c r="F200" i="130" s="1"/>
  <c r="R197" i="130"/>
  <c r="R201" i="130" s="1"/>
  <c r="Q204" i="130" s="1"/>
  <c r="R196" i="130"/>
  <c r="R200" i="130" s="1"/>
  <c r="N196" i="130"/>
  <c r="T197" i="130"/>
  <c r="T201" i="130" s="1"/>
  <c r="S204" i="130" s="1"/>
  <c r="U196" i="130"/>
  <c r="U200" i="130" s="1"/>
  <c r="U197" i="130"/>
  <c r="U201" i="130" s="1"/>
  <c r="T204" i="130" s="1"/>
  <c r="D112" i="130"/>
  <c r="D116" i="130" s="1"/>
  <c r="C119" i="130" s="1"/>
  <c r="C120" i="130" s="1"/>
  <c r="T112" i="130"/>
  <c r="T116" i="130" s="1"/>
  <c r="S119" i="130" s="1"/>
  <c r="Q112" i="130"/>
  <c r="Q116" i="130" s="1"/>
  <c r="P119" i="130" s="1"/>
  <c r="N112" i="130"/>
  <c r="N116" i="130" s="1"/>
  <c r="M119" i="130" s="1"/>
  <c r="K112" i="130"/>
  <c r="K116" i="130" s="1"/>
  <c r="J119" i="130" s="1"/>
  <c r="T281" i="130"/>
  <c r="T285" i="130" s="1"/>
  <c r="L282" i="130"/>
  <c r="L286" i="130" s="1"/>
  <c r="K289" i="130" s="1"/>
  <c r="M281" i="130"/>
  <c r="M285" i="130" s="1"/>
  <c r="F281" i="130"/>
  <c r="F285" i="130" s="1"/>
  <c r="V281" i="130"/>
  <c r="V285" i="130" s="1"/>
  <c r="O282" i="130"/>
  <c r="O286" i="130" s="1"/>
  <c r="N289" i="130" s="1"/>
  <c r="C370" i="130"/>
  <c r="C372" i="130" s="1"/>
  <c r="O366" i="130"/>
  <c r="O370" i="130" s="1"/>
  <c r="M367" i="130"/>
  <c r="M371" i="130" s="1"/>
  <c r="L374" i="130" s="1"/>
  <c r="J366" i="130"/>
  <c r="J370" i="130" s="1"/>
  <c r="M298" i="130"/>
  <c r="H214" i="130"/>
  <c r="G221" i="130" s="1"/>
  <c r="Q213" i="130"/>
  <c r="Q217" i="130" s="1"/>
  <c r="E298" i="130"/>
  <c r="F214" i="130"/>
  <c r="E221" i="130" s="1"/>
  <c r="V214" i="130"/>
  <c r="V218" i="130" s="1"/>
  <c r="K214" i="130"/>
  <c r="J298" i="130"/>
  <c r="J302" i="130" s="1"/>
  <c r="O299" i="130"/>
  <c r="O303" i="130" s="1"/>
  <c r="H299" i="130"/>
  <c r="G306" i="130" s="1"/>
  <c r="V44" i="130"/>
  <c r="R43" i="130"/>
  <c r="R47" i="130" s="1"/>
  <c r="J94" i="130"/>
  <c r="J98" i="130" s="1"/>
  <c r="D95" i="130"/>
  <c r="D99" i="130" s="1"/>
  <c r="C102" i="130" s="1"/>
  <c r="C103" i="130" s="1"/>
  <c r="K265" i="130"/>
  <c r="K269" i="130" s="1"/>
  <c r="J272" i="130" s="1"/>
  <c r="I349" i="130"/>
  <c r="I353" i="130" s="1"/>
  <c r="Q350" i="130"/>
  <c r="Q354" i="130" s="1"/>
  <c r="P357" i="130" s="1"/>
  <c r="M44" i="130"/>
  <c r="M48" i="130" s="1"/>
  <c r="M43" i="130"/>
  <c r="M47" i="130" s="1"/>
  <c r="J111" i="130"/>
  <c r="J115" i="130" s="1"/>
  <c r="O112" i="130"/>
  <c r="O116" i="130" s="1"/>
  <c r="N119" i="130" s="1"/>
  <c r="S281" i="130"/>
  <c r="S285" i="130" s="1"/>
  <c r="U281" i="130"/>
  <c r="U285" i="130" s="1"/>
  <c r="K367" i="130"/>
  <c r="K371" i="130" s="1"/>
  <c r="J374" i="130" s="1"/>
  <c r="F367" i="130"/>
  <c r="F371" i="130" s="1"/>
  <c r="E374" i="130" s="1"/>
  <c r="M299" i="130"/>
  <c r="M303" i="130" s="1"/>
  <c r="V213" i="130"/>
  <c r="O298" i="130"/>
  <c r="O302" i="130" s="1"/>
  <c r="H44" i="130"/>
  <c r="G51" i="130" s="1"/>
  <c r="K95" i="130"/>
  <c r="K99" i="130" s="1"/>
  <c r="J102" i="130" s="1"/>
  <c r="P44" i="130"/>
  <c r="O51" i="130" s="1"/>
  <c r="T43" i="130"/>
  <c r="T47" i="130" s="1"/>
  <c r="D43" i="130"/>
  <c r="D47" i="130" s="1"/>
  <c r="R95" i="130"/>
  <c r="R99" i="130" s="1"/>
  <c r="Q102" i="130" s="1"/>
  <c r="O94" i="130"/>
  <c r="O98" i="130" s="1"/>
  <c r="H95" i="130"/>
  <c r="H99" i="130" s="1"/>
  <c r="G102" i="130" s="1"/>
  <c r="E95" i="130"/>
  <c r="E99" i="130" s="1"/>
  <c r="D102" i="130" s="1"/>
  <c r="U95" i="130"/>
  <c r="U99" i="130" s="1"/>
  <c r="T102" i="130" s="1"/>
  <c r="F265" i="130"/>
  <c r="F269" i="130" s="1"/>
  <c r="E272" i="130" s="1"/>
  <c r="G264" i="130"/>
  <c r="G268" i="130" s="1"/>
  <c r="R264" i="130"/>
  <c r="R268" i="130" s="1"/>
  <c r="L264" i="130"/>
  <c r="L268" i="130" s="1"/>
  <c r="E264" i="130"/>
  <c r="E268" i="130" s="1"/>
  <c r="U264" i="130"/>
  <c r="U268" i="130" s="1"/>
  <c r="V350" i="130"/>
  <c r="V354" i="130" s="1"/>
  <c r="U357" i="130" s="1"/>
  <c r="K350" i="130"/>
  <c r="K354" i="130" s="1"/>
  <c r="J357" i="130" s="1"/>
  <c r="D349" i="130"/>
  <c r="D353" i="130" s="1"/>
  <c r="T349" i="130"/>
  <c r="T353" i="130" s="1"/>
  <c r="S44" i="130"/>
  <c r="R51" i="130" s="1"/>
  <c r="W43" i="130"/>
  <c r="W47" i="130" s="1"/>
  <c r="G43" i="130"/>
  <c r="G47" i="130" s="1"/>
  <c r="V197" i="130"/>
  <c r="V201" i="130" s="1"/>
  <c r="U204" i="130" s="1"/>
  <c r="P196" i="130"/>
  <c r="P200" i="130" s="1"/>
  <c r="W197" i="130"/>
  <c r="W201" i="130" s="1"/>
  <c r="V204" i="130" s="1"/>
  <c r="W196" i="130"/>
  <c r="W200" i="130" s="1"/>
  <c r="S196" i="130"/>
  <c r="S200" i="130" s="1"/>
  <c r="E196" i="130"/>
  <c r="E197" i="130"/>
  <c r="E201" i="130" s="1"/>
  <c r="D204" i="130" s="1"/>
  <c r="H111" i="130"/>
  <c r="H115" i="130" s="1"/>
  <c r="E112" i="130"/>
  <c r="E116" i="130" s="1"/>
  <c r="D119" i="130" s="1"/>
  <c r="U112" i="130"/>
  <c r="U116" i="130" s="1"/>
  <c r="T119" i="130" s="1"/>
  <c r="R112" i="130"/>
  <c r="R116" i="130" s="1"/>
  <c r="Q119" i="130" s="1"/>
  <c r="O111" i="130"/>
  <c r="O115" i="130" s="1"/>
  <c r="C285" i="130"/>
  <c r="C287" i="130" s="1"/>
  <c r="P281" i="130"/>
  <c r="P285" i="130" s="1"/>
  <c r="Q282" i="130"/>
  <c r="Q286" i="130" s="1"/>
  <c r="P289" i="130" s="1"/>
  <c r="J282" i="130"/>
  <c r="J286" i="130" s="1"/>
  <c r="I289" i="130" s="1"/>
  <c r="L367" i="130"/>
  <c r="L371" i="130" s="1"/>
  <c r="K374" i="130" s="1"/>
  <c r="W366" i="130"/>
  <c r="W370" i="130" s="1"/>
  <c r="Q367" i="130"/>
  <c r="Q371" i="130" s="1"/>
  <c r="P374" i="130" s="1"/>
  <c r="N367" i="130"/>
  <c r="N371" i="130" s="1"/>
  <c r="M374" i="130" s="1"/>
  <c r="E213" i="130"/>
  <c r="E217" i="130" s="1"/>
  <c r="P214" i="130"/>
  <c r="O221" i="130" s="1"/>
  <c r="D213" i="130"/>
  <c r="D217" i="130" s="1"/>
  <c r="F298" i="130"/>
  <c r="F302" i="130" s="1"/>
  <c r="J214" i="130"/>
  <c r="J218" i="130" s="1"/>
  <c r="I298" i="130"/>
  <c r="I302" i="130" s="1"/>
  <c r="O214" i="130"/>
  <c r="N221" i="130" s="1"/>
  <c r="R299" i="130"/>
  <c r="Q306" i="130" s="1"/>
  <c r="S299" i="130"/>
  <c r="R306" i="130" s="1"/>
  <c r="L299" i="130"/>
  <c r="K306" i="130" s="1"/>
  <c r="R44" i="130"/>
  <c r="Q51" i="130" s="1"/>
  <c r="N43" i="130"/>
  <c r="N44" i="130"/>
  <c r="M51" i="130" s="1"/>
  <c r="F95" i="130"/>
  <c r="F99" i="130" s="1"/>
  <c r="E102" i="130" s="1"/>
  <c r="T95" i="130"/>
  <c r="T99" i="130" s="1"/>
  <c r="S102" i="130" s="1"/>
  <c r="N265" i="130"/>
  <c r="N269" i="130" s="1"/>
  <c r="M272" i="130" s="1"/>
  <c r="I264" i="130"/>
  <c r="I44" i="130"/>
  <c r="H51" i="130" s="1"/>
  <c r="E43" i="130"/>
  <c r="E47" i="130" s="1"/>
  <c r="I43" i="130"/>
  <c r="I47" i="130" s="1"/>
  <c r="L111" i="130"/>
  <c r="L115" i="130" s="1"/>
  <c r="F112" i="130"/>
  <c r="F116" i="130" s="1"/>
  <c r="E119" i="130" s="1"/>
  <c r="S282" i="130"/>
  <c r="S286" i="130" s="1"/>
  <c r="R289" i="130" s="1"/>
  <c r="J281" i="130"/>
  <c r="W282" i="130"/>
  <c r="W286" i="130" s="1"/>
  <c r="V289" i="130" s="1"/>
  <c r="P366" i="130"/>
  <c r="P370" i="130" s="1"/>
  <c r="V367" i="130"/>
  <c r="V371" i="130" s="1"/>
  <c r="U374" i="130" s="1"/>
  <c r="H213" i="130"/>
  <c r="U298" i="130"/>
  <c r="P299" i="130"/>
  <c r="O306" i="130" s="1"/>
  <c r="G49" i="131"/>
  <c r="G38" i="128" s="1"/>
  <c r="AE38" i="128" s="1"/>
  <c r="Q49" i="131"/>
  <c r="Q38" i="128" s="1"/>
  <c r="AO38" i="128" s="1"/>
  <c r="I49" i="131"/>
  <c r="I38" i="128" s="1"/>
  <c r="I39" i="128" s="1"/>
  <c r="AG39" i="128" s="1"/>
  <c r="O20" i="127"/>
  <c r="O23" i="127" s="1"/>
  <c r="O31" i="127" s="1"/>
  <c r="M30" i="128"/>
  <c r="W49" i="131"/>
  <c r="W38" i="128" s="1"/>
  <c r="H94" i="130"/>
  <c r="G265" i="130"/>
  <c r="G269" i="130" s="1"/>
  <c r="F272" i="130" s="1"/>
  <c r="R265" i="130"/>
  <c r="R269" i="130" s="1"/>
  <c r="Q272" i="130" s="1"/>
  <c r="K299" i="130"/>
  <c r="H179" i="130"/>
  <c r="T179" i="130"/>
  <c r="Q111" i="130"/>
  <c r="F282" i="130"/>
  <c r="F286" i="130" s="1"/>
  <c r="E289" i="130" s="1"/>
  <c r="V282" i="130"/>
  <c r="V286" i="130" s="1"/>
  <c r="U289" i="130" s="1"/>
  <c r="I214" i="130"/>
  <c r="R214" i="130"/>
  <c r="G214" i="130"/>
  <c r="T298" i="130"/>
  <c r="O22" i="127"/>
  <c r="M31" i="128"/>
  <c r="J20" i="127"/>
  <c r="J23" i="127" s="1"/>
  <c r="J31" i="127" s="1"/>
  <c r="H30" i="128"/>
  <c r="D5" i="129"/>
  <c r="A54" i="129"/>
  <c r="F5" i="129" s="1"/>
  <c r="K49" i="131"/>
  <c r="K38" i="128" s="1"/>
  <c r="L49" i="131"/>
  <c r="L38" i="128" s="1"/>
  <c r="U49" i="131"/>
  <c r="U38" i="128" s="1"/>
  <c r="C47" i="130"/>
  <c r="F230" i="130"/>
  <c r="R230" i="130"/>
  <c r="N315" i="130"/>
  <c r="D231" i="130"/>
  <c r="D235" i="130" s="1"/>
  <c r="C238" i="130" s="1"/>
  <c r="C239" i="130" s="1"/>
  <c r="J196" i="130"/>
  <c r="H196" i="130"/>
  <c r="I196" i="130"/>
  <c r="G163" i="130"/>
  <c r="G167" i="130" s="1"/>
  <c r="F170" i="130" s="1"/>
  <c r="E162" i="130"/>
  <c r="U162" i="130"/>
  <c r="C132" i="130"/>
  <c r="C134" i="130" s="1"/>
  <c r="Q128" i="130"/>
  <c r="N77" i="130"/>
  <c r="G77" i="130"/>
  <c r="W77" i="130"/>
  <c r="I247" i="130"/>
  <c r="G247" i="130"/>
  <c r="W247" i="130"/>
  <c r="D333" i="130"/>
  <c r="D337" i="130" s="1"/>
  <c r="C340" i="130" s="1"/>
  <c r="C341" i="130" s="1"/>
  <c r="T77" i="130"/>
  <c r="C64" i="130"/>
  <c r="C66" i="130" s="1"/>
  <c r="N94" i="130"/>
  <c r="G94" i="130"/>
  <c r="W94" i="130"/>
  <c r="L94" i="130"/>
  <c r="C98" i="130"/>
  <c r="C100" i="130" s="1"/>
  <c r="Q94" i="130"/>
  <c r="S265" i="130"/>
  <c r="S269" i="130" s="1"/>
  <c r="R272" i="130" s="1"/>
  <c r="J264" i="130"/>
  <c r="V265" i="130"/>
  <c r="V269" i="130" s="1"/>
  <c r="U272" i="130" s="1"/>
  <c r="O265" i="130"/>
  <c r="O269" i="130" s="1"/>
  <c r="N272" i="130" s="1"/>
  <c r="M350" i="130"/>
  <c r="M354" i="130" s="1"/>
  <c r="L357" i="130" s="1"/>
  <c r="D264" i="130"/>
  <c r="T264" i="130"/>
  <c r="M264" i="130"/>
  <c r="N349" i="130"/>
  <c r="F350" i="130"/>
  <c r="F354" i="130" s="1"/>
  <c r="E357" i="130" s="1"/>
  <c r="G349" i="130"/>
  <c r="W349" i="130"/>
  <c r="L349" i="130"/>
  <c r="C353" i="130"/>
  <c r="C355" i="130" s="1"/>
  <c r="P179" i="130"/>
  <c r="I179" i="130"/>
  <c r="U180" i="130"/>
  <c r="U184" i="130" s="1"/>
  <c r="T187" i="130" s="1"/>
  <c r="F179" i="130"/>
  <c r="V179" i="130"/>
  <c r="O179" i="130"/>
  <c r="M145" i="130"/>
  <c r="P145" i="130"/>
  <c r="Q145" i="130"/>
  <c r="U145" i="130"/>
  <c r="D145" i="130"/>
  <c r="R145" i="130"/>
  <c r="K145" i="130"/>
  <c r="P111" i="130"/>
  <c r="E111" i="130"/>
  <c r="U111" i="130"/>
  <c r="N111" i="130"/>
  <c r="G111" i="130"/>
  <c r="W111" i="130"/>
  <c r="D281" i="130"/>
  <c r="D366" i="130"/>
  <c r="E281" i="130"/>
  <c r="D282" i="130"/>
  <c r="D286" i="130" s="1"/>
  <c r="C289" i="130" s="1"/>
  <c r="C290" i="130" s="1"/>
  <c r="G366" i="130"/>
  <c r="O281" i="130"/>
  <c r="P282" i="130"/>
  <c r="P286" i="130" s="1"/>
  <c r="O289" i="130" s="1"/>
  <c r="G281" i="130"/>
  <c r="S366" i="130"/>
  <c r="N281" i="130"/>
  <c r="I366" i="130"/>
  <c r="D367" i="130"/>
  <c r="D371" i="130" s="1"/>
  <c r="C374" i="130" s="1"/>
  <c r="C375" i="130" s="1"/>
  <c r="M366" i="130"/>
  <c r="N366" i="130"/>
  <c r="J367" i="130"/>
  <c r="J371" i="130" s="1"/>
  <c r="I374" i="130" s="1"/>
  <c r="E214" i="130"/>
  <c r="T213" i="130"/>
  <c r="Q214" i="130"/>
  <c r="P213" i="130"/>
  <c r="C217" i="130"/>
  <c r="C219" i="130" s="1"/>
  <c r="F299" i="130"/>
  <c r="J213" i="130"/>
  <c r="I299" i="130"/>
  <c r="O213" i="130"/>
  <c r="S298" i="130"/>
  <c r="H298" i="130"/>
  <c r="D299" i="130"/>
  <c r="P78" i="130"/>
  <c r="P82" i="130" s="1"/>
  <c r="O85" i="130" s="1"/>
  <c r="J30" i="128"/>
  <c r="L20" i="127"/>
  <c r="L23" i="127" s="1"/>
  <c r="L31" i="127" s="1"/>
  <c r="F24" i="130"/>
  <c r="L53" i="128"/>
  <c r="AJ34" i="128"/>
  <c r="N20" i="127"/>
  <c r="N23" i="127" s="1"/>
  <c r="N31" i="127" s="1"/>
  <c r="L30" i="128"/>
  <c r="H24" i="130"/>
  <c r="E15" i="130"/>
  <c r="D15" i="130" s="1"/>
  <c r="D24" i="130"/>
  <c r="A171" i="129"/>
  <c r="D9" i="129" s="1"/>
  <c r="V21" i="129" s="1"/>
  <c r="V34" i="128" s="1"/>
  <c r="V63" i="128" s="1"/>
  <c r="AT63" i="128" s="1"/>
  <c r="A170" i="129"/>
  <c r="F9" i="129" s="1"/>
  <c r="I28" i="127" s="1"/>
  <c r="A141" i="129"/>
  <c r="F8" i="129" s="1"/>
  <c r="H28" i="127" s="1"/>
  <c r="AH27" i="127" s="1"/>
  <c r="A142" i="129"/>
  <c r="D8" i="129" s="1"/>
  <c r="U21" i="129" s="1"/>
  <c r="U34" i="128" s="1"/>
  <c r="U53" i="128" s="1"/>
  <c r="H49" i="131"/>
  <c r="H38" i="128" s="1"/>
  <c r="O95" i="130"/>
  <c r="O99" i="130" s="1"/>
  <c r="N102" i="130" s="1"/>
  <c r="F264" i="130"/>
  <c r="U265" i="130"/>
  <c r="U269" i="130" s="1"/>
  <c r="T272" i="130" s="1"/>
  <c r="T350" i="130"/>
  <c r="T354" i="130" s="1"/>
  <c r="S357" i="130" s="1"/>
  <c r="T282" i="130"/>
  <c r="T286" i="130" s="1"/>
  <c r="S289" i="130" s="1"/>
  <c r="D298" i="130"/>
  <c r="O49" i="131"/>
  <c r="O38" i="128" s="1"/>
  <c r="V61" i="130"/>
  <c r="V65" i="130" s="1"/>
  <c r="U68" i="130" s="1"/>
  <c r="F61" i="130"/>
  <c r="F65" i="130" s="1"/>
  <c r="E68" i="130" s="1"/>
  <c r="T44" i="130"/>
  <c r="D44" i="130"/>
  <c r="H316" i="130"/>
  <c r="H320" i="130" s="1"/>
  <c r="G323" i="130" s="1"/>
  <c r="I61" i="130"/>
  <c r="I65" i="130" s="1"/>
  <c r="H68" i="130" s="1"/>
  <c r="W44" i="130"/>
  <c r="G44" i="130"/>
  <c r="K197" i="130"/>
  <c r="K201" i="130" s="1"/>
  <c r="J204" i="130" s="1"/>
  <c r="L197" i="130"/>
  <c r="L201" i="130" s="1"/>
  <c r="K204" i="130" s="1"/>
  <c r="F129" i="130"/>
  <c r="T247" i="130"/>
  <c r="N247" i="130"/>
  <c r="I332" i="130"/>
  <c r="T61" i="130"/>
  <c r="T65" i="130" s="1"/>
  <c r="S68" i="130" s="1"/>
  <c r="D61" i="130"/>
  <c r="D65" i="130" s="1"/>
  <c r="C68" i="130" s="1"/>
  <c r="C69" i="130" s="1"/>
  <c r="R94" i="130"/>
  <c r="K94" i="130"/>
  <c r="P94" i="130"/>
  <c r="E94" i="130"/>
  <c r="U94" i="130"/>
  <c r="W265" i="130"/>
  <c r="W269" i="130" s="1"/>
  <c r="V272" i="130" s="1"/>
  <c r="H264" i="130"/>
  <c r="D265" i="130"/>
  <c r="D269" i="130" s="1"/>
  <c r="C272" i="130" s="1"/>
  <c r="C273" i="130" s="1"/>
  <c r="U350" i="130"/>
  <c r="U354" i="130" s="1"/>
  <c r="T357" i="130" s="1"/>
  <c r="Q264" i="130"/>
  <c r="J350" i="130"/>
  <c r="J354" i="130" s="1"/>
  <c r="I357" i="130" s="1"/>
  <c r="K349" i="130"/>
  <c r="P349" i="130"/>
  <c r="Q44" i="130"/>
  <c r="D180" i="130"/>
  <c r="D184" i="130" s="1"/>
  <c r="C187" i="130" s="1"/>
  <c r="C188" i="130" s="1"/>
  <c r="Q179" i="130"/>
  <c r="J179" i="130"/>
  <c r="S179" i="130"/>
  <c r="L146" i="130"/>
  <c r="L150" i="130" s="1"/>
  <c r="K153" i="130" s="1"/>
  <c r="F145" i="130"/>
  <c r="V145" i="130"/>
  <c r="O145" i="130"/>
  <c r="D111" i="130"/>
  <c r="T111" i="130"/>
  <c r="I111" i="130"/>
  <c r="R111" i="130"/>
  <c r="K111" i="130"/>
  <c r="L281" i="130"/>
  <c r="I281" i="130"/>
  <c r="O367" i="130"/>
  <c r="O371" i="130" s="1"/>
  <c r="N374" i="130" s="1"/>
  <c r="R281" i="130"/>
  <c r="Q366" i="130"/>
  <c r="R366" i="130"/>
  <c r="U214" i="130"/>
  <c r="M214" i="130"/>
  <c r="D214" i="130"/>
  <c r="Q298" i="130"/>
  <c r="N299" i="130"/>
  <c r="N213" i="130"/>
  <c r="S213" i="130"/>
  <c r="G298" i="130"/>
  <c r="W298" i="130"/>
  <c r="L298" i="130"/>
  <c r="K53" i="128"/>
  <c r="AI34" i="128"/>
  <c r="G24" i="130"/>
  <c r="I24" i="130"/>
  <c r="E24" i="130"/>
  <c r="H53" i="128"/>
  <c r="AF34" i="128"/>
  <c r="L24" i="130"/>
  <c r="C29" i="127"/>
  <c r="AU7" i="128"/>
  <c r="AU84" i="128"/>
  <c r="A83" i="129"/>
  <c r="F6" i="129" s="1"/>
  <c r="F28" i="127" s="1"/>
  <c r="AF27" i="127" s="1"/>
  <c r="A84" i="129"/>
  <c r="D6" i="129" s="1"/>
  <c r="L265" i="130"/>
  <c r="L269" i="130" s="1"/>
  <c r="K272" i="130" s="1"/>
  <c r="E265" i="130"/>
  <c r="E269" i="130" s="1"/>
  <c r="D272" i="130" s="1"/>
  <c r="D350" i="130"/>
  <c r="D354" i="130" s="1"/>
  <c r="C357" i="130" s="1"/>
  <c r="C358" i="130" s="1"/>
  <c r="C115" i="130"/>
  <c r="C117" i="130" s="1"/>
  <c r="W214" i="130"/>
  <c r="M20" i="127"/>
  <c r="M23" i="127" s="1"/>
  <c r="M31" i="127" s="1"/>
  <c r="K30" i="128"/>
  <c r="I53" i="128"/>
  <c r="AG34" i="128"/>
  <c r="K20" i="127"/>
  <c r="K23" i="127" s="1"/>
  <c r="K31" i="127" s="1"/>
  <c r="I30" i="128"/>
  <c r="F49" i="131"/>
  <c r="F38" i="128" s="1"/>
  <c r="P49" i="131"/>
  <c r="P38" i="128" s="1"/>
  <c r="V49" i="131"/>
  <c r="V38" i="128" s="1"/>
  <c r="N49" i="131"/>
  <c r="N38" i="128" s="1"/>
  <c r="S49" i="131"/>
  <c r="S38" i="128" s="1"/>
  <c r="T49" i="131"/>
  <c r="T38" i="128" s="1"/>
  <c r="M49" i="131"/>
  <c r="M38" i="128" s="1"/>
  <c r="P316" i="130"/>
  <c r="P320" i="130" s="1"/>
  <c r="O323" i="130" s="1"/>
  <c r="V349" i="130"/>
  <c r="G64" i="130"/>
  <c r="L180" i="130"/>
  <c r="L184" i="130" s="1"/>
  <c r="K187" i="130" s="1"/>
  <c r="E180" i="130"/>
  <c r="E184" i="130" s="1"/>
  <c r="D187" i="130" s="1"/>
  <c r="T146" i="130"/>
  <c r="T150" i="130" s="1"/>
  <c r="S153" i="130" s="1"/>
  <c r="Q281" i="130"/>
  <c r="M282" i="130"/>
  <c r="M286" i="130" s="1"/>
  <c r="L289" i="130" s="1"/>
  <c r="T366" i="130"/>
  <c r="W367" i="130"/>
  <c r="W371" i="130" s="1"/>
  <c r="V374" i="130" s="1"/>
  <c r="V299" i="130"/>
  <c r="A106" i="130"/>
  <c r="B89" i="130"/>
  <c r="K24" i="130"/>
  <c r="G23" i="130"/>
  <c r="J53" i="128"/>
  <c r="AH34" i="128"/>
  <c r="J24" i="130"/>
  <c r="E23" i="130"/>
  <c r="C10" i="128"/>
  <c r="AA7" i="128"/>
  <c r="A113" i="129"/>
  <c r="D7" i="129" s="1"/>
  <c r="T21" i="129" s="1"/>
  <c r="T34" i="128" s="1"/>
  <c r="T63" i="128" s="1"/>
  <c r="AR63" i="128" s="1"/>
  <c r="A112" i="129"/>
  <c r="F7" i="129" s="1"/>
  <c r="G28" i="127" s="1"/>
  <c r="AG27" i="127" s="1"/>
  <c r="AI27" i="127" l="1"/>
  <c r="AT34" i="128"/>
  <c r="V53" i="128"/>
  <c r="AT53" i="128" s="1"/>
  <c r="U63" i="128"/>
  <c r="AS63" i="128" s="1"/>
  <c r="AS34" i="128"/>
  <c r="AR34" i="128"/>
  <c r="T53" i="128"/>
  <c r="AR53" i="128" s="1"/>
  <c r="R21" i="129"/>
  <c r="R34" i="128" s="1"/>
  <c r="R53" i="128" s="1"/>
  <c r="R62" i="128" s="1"/>
  <c r="AP62" i="128" s="1"/>
  <c r="S21" i="129"/>
  <c r="S34" i="128" s="1"/>
  <c r="S63" i="128" s="1"/>
  <c r="AQ63" i="128" s="1"/>
  <c r="H351" i="130"/>
  <c r="L168" i="130"/>
  <c r="H253" i="130"/>
  <c r="J168" i="130"/>
  <c r="S113" i="130"/>
  <c r="U300" i="130"/>
  <c r="I266" i="130"/>
  <c r="E372" i="130"/>
  <c r="J283" i="130"/>
  <c r="F83" i="130"/>
  <c r="W181" i="130"/>
  <c r="D83" i="130"/>
  <c r="K215" i="130"/>
  <c r="M181" i="130"/>
  <c r="F334" i="130"/>
  <c r="J151" i="130"/>
  <c r="AP38" i="128"/>
  <c r="E232" i="130"/>
  <c r="L317" i="130"/>
  <c r="S317" i="130"/>
  <c r="J39" i="128"/>
  <c r="AH39" i="128" s="1"/>
  <c r="P306" i="130"/>
  <c r="T306" i="130"/>
  <c r="F306" i="130"/>
  <c r="V306" i="130"/>
  <c r="M221" i="130"/>
  <c r="T232" i="130"/>
  <c r="M215" i="130"/>
  <c r="AG38" i="128"/>
  <c r="D239" i="130"/>
  <c r="E239" i="130" s="1"/>
  <c r="F239" i="130" s="1"/>
  <c r="G239" i="130" s="1"/>
  <c r="H239" i="130" s="1"/>
  <c r="I239" i="130" s="1"/>
  <c r="J239" i="130" s="1"/>
  <c r="K239" i="130" s="1"/>
  <c r="L239" i="130" s="1"/>
  <c r="M239" i="130" s="1"/>
  <c r="N239" i="130" s="1"/>
  <c r="O239" i="130" s="1"/>
  <c r="P239" i="130" s="1"/>
  <c r="Q239" i="130" s="1"/>
  <c r="R239" i="130" s="1"/>
  <c r="S239" i="130" s="1"/>
  <c r="T239" i="130" s="1"/>
  <c r="U239" i="130" s="1"/>
  <c r="V239" i="130" s="1"/>
  <c r="W239" i="130" s="1"/>
  <c r="L218" i="130"/>
  <c r="S218" i="130"/>
  <c r="L215" i="130"/>
  <c r="T234" i="130"/>
  <c r="T236" i="130" s="1"/>
  <c r="W62" i="130"/>
  <c r="W232" i="130"/>
  <c r="O236" i="130"/>
  <c r="M183" i="130"/>
  <c r="M185" i="130" s="1"/>
  <c r="C136" i="130"/>
  <c r="C137" i="130" s="1"/>
  <c r="M321" i="130"/>
  <c r="Q39" i="128"/>
  <c r="AO39" i="128" s="1"/>
  <c r="P372" i="130"/>
  <c r="D51" i="130"/>
  <c r="E31" i="130" s="1"/>
  <c r="K287" i="130"/>
  <c r="M317" i="130"/>
  <c r="D198" i="130"/>
  <c r="G236" i="130"/>
  <c r="S319" i="130"/>
  <c r="S321" i="130" s="1"/>
  <c r="D290" i="130"/>
  <c r="E290" i="130" s="1"/>
  <c r="F290" i="130" s="1"/>
  <c r="G290" i="130" s="1"/>
  <c r="H290" i="130" s="1"/>
  <c r="I290" i="130" s="1"/>
  <c r="J290" i="130" s="1"/>
  <c r="K290" i="130" s="1"/>
  <c r="L290" i="130" s="1"/>
  <c r="M290" i="130" s="1"/>
  <c r="N290" i="130" s="1"/>
  <c r="O290" i="130" s="1"/>
  <c r="P290" i="130" s="1"/>
  <c r="Q290" i="130" s="1"/>
  <c r="R290" i="130" s="1"/>
  <c r="S290" i="130" s="1"/>
  <c r="T290" i="130" s="1"/>
  <c r="U290" i="130" s="1"/>
  <c r="V290" i="130" s="1"/>
  <c r="W290" i="130" s="1"/>
  <c r="P338" i="130"/>
  <c r="W64" i="130"/>
  <c r="W66" i="130" s="1"/>
  <c r="N133" i="130"/>
  <c r="N134" i="130" s="1"/>
  <c r="M66" i="130"/>
  <c r="R317" i="130"/>
  <c r="I232" i="130"/>
  <c r="M62" i="130"/>
  <c r="I236" i="130"/>
  <c r="W168" i="130"/>
  <c r="K317" i="130"/>
  <c r="V236" i="130"/>
  <c r="S236" i="130"/>
  <c r="V117" i="130"/>
  <c r="M117" i="130"/>
  <c r="V202" i="130"/>
  <c r="D136" i="130"/>
  <c r="J31" i="130" s="1"/>
  <c r="E303" i="130"/>
  <c r="S62" i="130"/>
  <c r="J300" i="130"/>
  <c r="H117" i="130"/>
  <c r="L66" i="130"/>
  <c r="S66" i="130"/>
  <c r="K283" i="130"/>
  <c r="E368" i="130"/>
  <c r="N48" i="130"/>
  <c r="Q136" i="130"/>
  <c r="L334" i="130"/>
  <c r="U136" i="130"/>
  <c r="W164" i="130"/>
  <c r="U302" i="130"/>
  <c r="U304" i="130" s="1"/>
  <c r="I268" i="130"/>
  <c r="I270" i="130" s="1"/>
  <c r="U317" i="130"/>
  <c r="S303" i="130"/>
  <c r="L319" i="130"/>
  <c r="L321" i="130" s="1"/>
  <c r="O232" i="130"/>
  <c r="N136" i="130"/>
  <c r="H283" i="130"/>
  <c r="L117" i="130"/>
  <c r="E300" i="130"/>
  <c r="M113" i="130"/>
  <c r="V198" i="130"/>
  <c r="F253" i="130"/>
  <c r="V79" i="130"/>
  <c r="Q253" i="130"/>
  <c r="F164" i="130"/>
  <c r="V130" i="130"/>
  <c r="M338" i="130"/>
  <c r="V232" i="130"/>
  <c r="W317" i="130"/>
  <c r="U321" i="130"/>
  <c r="M236" i="130"/>
  <c r="J45" i="130"/>
  <c r="M164" i="130"/>
  <c r="G66" i="130"/>
  <c r="E234" i="130"/>
  <c r="E236" i="130" s="1"/>
  <c r="J48" i="130"/>
  <c r="K29" i="130" s="1"/>
  <c r="H287" i="130"/>
  <c r="M334" i="130"/>
  <c r="O321" i="130"/>
  <c r="J303" i="130"/>
  <c r="J304" i="130" s="1"/>
  <c r="K319" i="130"/>
  <c r="K321" i="130" s="1"/>
  <c r="D375" i="130"/>
  <c r="E375" i="130" s="1"/>
  <c r="F375" i="130" s="1"/>
  <c r="G375" i="130" s="1"/>
  <c r="H375" i="130" s="1"/>
  <c r="I375" i="130" s="1"/>
  <c r="J375" i="130" s="1"/>
  <c r="K375" i="130" s="1"/>
  <c r="L375" i="130" s="1"/>
  <c r="M375" i="130" s="1"/>
  <c r="N375" i="130" s="1"/>
  <c r="O375" i="130" s="1"/>
  <c r="P375" i="130" s="1"/>
  <c r="Q375" i="130" s="1"/>
  <c r="R375" i="130" s="1"/>
  <c r="S375" i="130" s="1"/>
  <c r="T375" i="130" s="1"/>
  <c r="U375" i="130" s="1"/>
  <c r="V375" i="130" s="1"/>
  <c r="W375" i="130" s="1"/>
  <c r="U48" i="130"/>
  <c r="V29" i="130" s="1"/>
  <c r="V249" i="130"/>
  <c r="F166" i="130"/>
  <c r="F168" i="130" s="1"/>
  <c r="I221" i="130"/>
  <c r="T218" i="130"/>
  <c r="W287" i="130"/>
  <c r="V113" i="130"/>
  <c r="N45" i="130"/>
  <c r="U287" i="130"/>
  <c r="V45" i="130"/>
  <c r="F202" i="130"/>
  <c r="L372" i="130"/>
  <c r="S96" i="130"/>
  <c r="O202" i="130"/>
  <c r="E338" i="130"/>
  <c r="E130" i="130"/>
  <c r="U334" i="130"/>
  <c r="R83" i="130"/>
  <c r="U130" i="130"/>
  <c r="R338" i="130"/>
  <c r="O79" i="130"/>
  <c r="D86" i="130"/>
  <c r="E86" i="130" s="1"/>
  <c r="F86" i="130" s="1"/>
  <c r="G86" i="130" s="1"/>
  <c r="H86" i="130" s="1"/>
  <c r="I86" i="130" s="1"/>
  <c r="J86" i="130" s="1"/>
  <c r="K86" i="130" s="1"/>
  <c r="L86" i="130" s="1"/>
  <c r="M86" i="130" s="1"/>
  <c r="N86" i="130" s="1"/>
  <c r="O86" i="130" s="1"/>
  <c r="P86" i="130" s="1"/>
  <c r="Q86" i="130" s="1"/>
  <c r="R86" i="130" s="1"/>
  <c r="S86" i="130" s="1"/>
  <c r="T86" i="130" s="1"/>
  <c r="U86" i="130" s="1"/>
  <c r="V86" i="130" s="1"/>
  <c r="W86" i="130" s="1"/>
  <c r="P232" i="130"/>
  <c r="M166" i="130"/>
  <c r="M168" i="130" s="1"/>
  <c r="K133" i="130"/>
  <c r="K134" i="130" s="1"/>
  <c r="T45" i="130"/>
  <c r="D317" i="130"/>
  <c r="L113" i="130"/>
  <c r="H151" i="130"/>
  <c r="O130" i="130"/>
  <c r="N51" i="130"/>
  <c r="E302" i="130"/>
  <c r="W183" i="130"/>
  <c r="W185" i="130" s="1"/>
  <c r="W283" i="130"/>
  <c r="D120" i="130"/>
  <c r="E120" i="130" s="1"/>
  <c r="F120" i="130" s="1"/>
  <c r="G120" i="130" s="1"/>
  <c r="H120" i="130" s="1"/>
  <c r="I120" i="130" s="1"/>
  <c r="J120" i="130" s="1"/>
  <c r="K120" i="130" s="1"/>
  <c r="L120" i="130" s="1"/>
  <c r="M120" i="130" s="1"/>
  <c r="N120" i="130" s="1"/>
  <c r="O120" i="130" s="1"/>
  <c r="P120" i="130" s="1"/>
  <c r="Q120" i="130" s="1"/>
  <c r="R120" i="130" s="1"/>
  <c r="S120" i="130" s="1"/>
  <c r="T120" i="130" s="1"/>
  <c r="U120" i="130" s="1"/>
  <c r="V120" i="130" s="1"/>
  <c r="W120" i="130" s="1"/>
  <c r="N198" i="130"/>
  <c r="K372" i="130"/>
  <c r="O45" i="130"/>
  <c r="K181" i="130"/>
  <c r="T338" i="130"/>
  <c r="E79" i="130"/>
  <c r="Q321" i="130"/>
  <c r="H66" i="130"/>
  <c r="T321" i="130"/>
  <c r="O355" i="130"/>
  <c r="T136" i="130"/>
  <c r="O136" i="130"/>
  <c r="U31" i="130" s="1"/>
  <c r="O317" i="130"/>
  <c r="S232" i="130"/>
  <c r="D341" i="130"/>
  <c r="E341" i="130" s="1"/>
  <c r="F341" i="130" s="1"/>
  <c r="G341" i="130" s="1"/>
  <c r="H341" i="130" s="1"/>
  <c r="I341" i="130" s="1"/>
  <c r="J341" i="130" s="1"/>
  <c r="K341" i="130" s="1"/>
  <c r="L341" i="130" s="1"/>
  <c r="M341" i="130" s="1"/>
  <c r="N341" i="130" s="1"/>
  <c r="O341" i="130" s="1"/>
  <c r="P341" i="130" s="1"/>
  <c r="Q341" i="130" s="1"/>
  <c r="R341" i="130" s="1"/>
  <c r="S341" i="130" s="1"/>
  <c r="T341" i="130" s="1"/>
  <c r="U341" i="130" s="1"/>
  <c r="V341" i="130" s="1"/>
  <c r="W341" i="130" s="1"/>
  <c r="H147" i="130"/>
  <c r="R202" i="130"/>
  <c r="K45" i="130"/>
  <c r="H338" i="130"/>
  <c r="S79" i="130"/>
  <c r="D171" i="130"/>
  <c r="E171" i="130" s="1"/>
  <c r="F171" i="130" s="1"/>
  <c r="G171" i="130" s="1"/>
  <c r="H171" i="130" s="1"/>
  <c r="I171" i="130" s="1"/>
  <c r="J171" i="130" s="1"/>
  <c r="K171" i="130" s="1"/>
  <c r="L171" i="130" s="1"/>
  <c r="M171" i="130" s="1"/>
  <c r="N171" i="130" s="1"/>
  <c r="O171" i="130" s="1"/>
  <c r="P171" i="130" s="1"/>
  <c r="Q171" i="130" s="1"/>
  <c r="R171" i="130" s="1"/>
  <c r="S171" i="130" s="1"/>
  <c r="T171" i="130" s="1"/>
  <c r="U171" i="130" s="1"/>
  <c r="V171" i="130" s="1"/>
  <c r="W171" i="130" s="1"/>
  <c r="H83" i="130"/>
  <c r="W147" i="130"/>
  <c r="D321" i="130"/>
  <c r="F31" i="130"/>
  <c r="U66" i="130"/>
  <c r="P168" i="130"/>
  <c r="V100" i="130"/>
  <c r="N232" i="130"/>
  <c r="L133" i="130"/>
  <c r="L134" i="130" s="1"/>
  <c r="E66" i="130"/>
  <c r="G130" i="130"/>
  <c r="T133" i="130"/>
  <c r="T134" i="130" s="1"/>
  <c r="E351" i="130"/>
  <c r="Q83" i="130"/>
  <c r="E62" i="130"/>
  <c r="R321" i="130"/>
  <c r="K338" i="130"/>
  <c r="D324" i="130"/>
  <c r="E324" i="130" s="1"/>
  <c r="F324" i="130" s="1"/>
  <c r="G324" i="130" s="1"/>
  <c r="H324" i="130" s="1"/>
  <c r="I324" i="130" s="1"/>
  <c r="J324" i="130" s="1"/>
  <c r="K324" i="130" s="1"/>
  <c r="L324" i="130" s="1"/>
  <c r="M324" i="130" s="1"/>
  <c r="N324" i="130" s="1"/>
  <c r="O324" i="130" s="1"/>
  <c r="P324" i="130" s="1"/>
  <c r="Q324" i="130" s="1"/>
  <c r="R324" i="130" s="1"/>
  <c r="S324" i="130" s="1"/>
  <c r="T324" i="130" s="1"/>
  <c r="U324" i="130" s="1"/>
  <c r="V324" i="130" s="1"/>
  <c r="W324" i="130" s="1"/>
  <c r="H62" i="130"/>
  <c r="J164" i="130"/>
  <c r="G136" i="130"/>
  <c r="E353" i="130"/>
  <c r="E355" i="130" s="1"/>
  <c r="T317" i="130"/>
  <c r="E81" i="130"/>
  <c r="E83" i="130" s="1"/>
  <c r="O351" i="130"/>
  <c r="L51" i="130"/>
  <c r="T334" i="130"/>
  <c r="D249" i="130"/>
  <c r="G133" i="130"/>
  <c r="G134" i="130" s="1"/>
  <c r="Q79" i="130"/>
  <c r="L136" i="130"/>
  <c r="R31" i="130" s="1"/>
  <c r="L48" i="130"/>
  <c r="L49" i="130" s="1"/>
  <c r="U249" i="130"/>
  <c r="Q232" i="130"/>
  <c r="P334" i="130"/>
  <c r="I136" i="130"/>
  <c r="V334" i="130"/>
  <c r="Q236" i="130"/>
  <c r="H232" i="130"/>
  <c r="G62" i="130"/>
  <c r="K334" i="130"/>
  <c r="D358" i="130"/>
  <c r="E358" i="130" s="1"/>
  <c r="F358" i="130" s="1"/>
  <c r="G358" i="130" s="1"/>
  <c r="H358" i="130" s="1"/>
  <c r="I358" i="130" s="1"/>
  <c r="J358" i="130" s="1"/>
  <c r="K358" i="130" s="1"/>
  <c r="L358" i="130" s="1"/>
  <c r="M358" i="130" s="1"/>
  <c r="N358" i="130" s="1"/>
  <c r="O358" i="130" s="1"/>
  <c r="P358" i="130" s="1"/>
  <c r="Q358" i="130" s="1"/>
  <c r="R358" i="130" s="1"/>
  <c r="S358" i="130" s="1"/>
  <c r="T358" i="130" s="1"/>
  <c r="U358" i="130" s="1"/>
  <c r="V358" i="130" s="1"/>
  <c r="W358" i="130" s="1"/>
  <c r="Q317" i="130"/>
  <c r="D69" i="130"/>
  <c r="E69" i="130" s="1"/>
  <c r="F69" i="130" s="1"/>
  <c r="G69" i="130" s="1"/>
  <c r="H69" i="130" s="1"/>
  <c r="I69" i="130" s="1"/>
  <c r="J69" i="130" s="1"/>
  <c r="K69" i="130" s="1"/>
  <c r="L69" i="130" s="1"/>
  <c r="M69" i="130" s="1"/>
  <c r="N69" i="130" s="1"/>
  <c r="O69" i="130" s="1"/>
  <c r="P69" i="130" s="1"/>
  <c r="Q69" i="130" s="1"/>
  <c r="R69" i="130" s="1"/>
  <c r="S69" i="130" s="1"/>
  <c r="T69" i="130" s="1"/>
  <c r="U69" i="130" s="1"/>
  <c r="V69" i="130" s="1"/>
  <c r="W69" i="130" s="1"/>
  <c r="D164" i="130"/>
  <c r="F317" i="130"/>
  <c r="J62" i="130"/>
  <c r="W149" i="130"/>
  <c r="W151" i="130" s="1"/>
  <c r="R130" i="130"/>
  <c r="P164" i="130"/>
  <c r="E321" i="130"/>
  <c r="H234" i="130"/>
  <c r="H236" i="130" s="1"/>
  <c r="L217" i="130"/>
  <c r="N147" i="130"/>
  <c r="K183" i="130"/>
  <c r="K185" i="130" s="1"/>
  <c r="R351" i="130"/>
  <c r="I355" i="130"/>
  <c r="P62" i="130"/>
  <c r="I133" i="130"/>
  <c r="I134" i="130" s="1"/>
  <c r="R66" i="130"/>
  <c r="J147" i="130"/>
  <c r="T130" i="130"/>
  <c r="K368" i="130"/>
  <c r="O47" i="130"/>
  <c r="O49" i="130" s="1"/>
  <c r="N66" i="130"/>
  <c r="L306" i="130"/>
  <c r="Q249" i="130"/>
  <c r="M100" i="130"/>
  <c r="W234" i="130"/>
  <c r="W236" i="130" s="1"/>
  <c r="N151" i="130"/>
  <c r="R62" i="130"/>
  <c r="T96" i="130"/>
  <c r="H164" i="130"/>
  <c r="H215" i="130"/>
  <c r="W202" i="130"/>
  <c r="V215" i="130"/>
  <c r="D100" i="130"/>
  <c r="N181" i="130"/>
  <c r="R185" i="130"/>
  <c r="E253" i="130"/>
  <c r="O168" i="130"/>
  <c r="D256" i="130"/>
  <c r="E256" i="130" s="1"/>
  <c r="F256" i="130" s="1"/>
  <c r="G256" i="130" s="1"/>
  <c r="H256" i="130" s="1"/>
  <c r="I256" i="130" s="1"/>
  <c r="J256" i="130" s="1"/>
  <c r="K256" i="130" s="1"/>
  <c r="L256" i="130" s="1"/>
  <c r="M256" i="130" s="1"/>
  <c r="N256" i="130" s="1"/>
  <c r="O256" i="130" s="1"/>
  <c r="P256" i="130" s="1"/>
  <c r="Q256" i="130" s="1"/>
  <c r="R256" i="130" s="1"/>
  <c r="S256" i="130" s="1"/>
  <c r="T256" i="130" s="1"/>
  <c r="U256" i="130" s="1"/>
  <c r="V256" i="130" s="1"/>
  <c r="W256" i="130" s="1"/>
  <c r="I83" i="130"/>
  <c r="T168" i="130"/>
  <c r="K168" i="130"/>
  <c r="U253" i="130"/>
  <c r="D154" i="130"/>
  <c r="E154" i="130" s="1"/>
  <c r="F154" i="130" s="1"/>
  <c r="G154" i="130" s="1"/>
  <c r="H154" i="130" s="1"/>
  <c r="I154" i="130" s="1"/>
  <c r="J154" i="130" s="1"/>
  <c r="K154" i="130" s="1"/>
  <c r="L154" i="130" s="1"/>
  <c r="M154" i="130" s="1"/>
  <c r="N154" i="130" s="1"/>
  <c r="O154" i="130" s="1"/>
  <c r="P154" i="130" s="1"/>
  <c r="Q154" i="130" s="1"/>
  <c r="R154" i="130" s="1"/>
  <c r="S154" i="130" s="1"/>
  <c r="T154" i="130" s="1"/>
  <c r="U154" i="130" s="1"/>
  <c r="V154" i="130" s="1"/>
  <c r="W154" i="130" s="1"/>
  <c r="H334" i="130"/>
  <c r="Q198" i="130"/>
  <c r="D202" i="130"/>
  <c r="G232" i="130"/>
  <c r="F321" i="130"/>
  <c r="J66" i="130"/>
  <c r="O66" i="130"/>
  <c r="J253" i="130"/>
  <c r="S287" i="130"/>
  <c r="I351" i="130"/>
  <c r="L164" i="130"/>
  <c r="L62" i="130"/>
  <c r="O218" i="130"/>
  <c r="H372" i="130"/>
  <c r="N62" i="130"/>
  <c r="S48" i="130"/>
  <c r="S49" i="130" s="1"/>
  <c r="L253" i="130"/>
  <c r="W334" i="130"/>
  <c r="S151" i="130"/>
  <c r="V168" i="130"/>
  <c r="N334" i="130"/>
  <c r="K83" i="130"/>
  <c r="E147" i="130"/>
  <c r="Q66" i="130"/>
  <c r="V317" i="130"/>
  <c r="G317" i="130"/>
  <c r="I151" i="130"/>
  <c r="U83" i="130"/>
  <c r="F45" i="130"/>
  <c r="H249" i="130"/>
  <c r="W321" i="130"/>
  <c r="M232" i="130"/>
  <c r="R355" i="130"/>
  <c r="P66" i="130"/>
  <c r="S147" i="130"/>
  <c r="R168" i="130"/>
  <c r="S283" i="130"/>
  <c r="D103" i="130"/>
  <c r="E103" i="130" s="1"/>
  <c r="F103" i="130" s="1"/>
  <c r="G103" i="130" s="1"/>
  <c r="H103" i="130" s="1"/>
  <c r="I103" i="130" s="1"/>
  <c r="J103" i="130" s="1"/>
  <c r="K103" i="130" s="1"/>
  <c r="L103" i="130" s="1"/>
  <c r="M103" i="130" s="1"/>
  <c r="N103" i="130" s="1"/>
  <c r="O103" i="130" s="1"/>
  <c r="P103" i="130" s="1"/>
  <c r="Q103" i="130" s="1"/>
  <c r="R103" i="130" s="1"/>
  <c r="S103" i="130" s="1"/>
  <c r="T103" i="130" s="1"/>
  <c r="U103" i="130" s="1"/>
  <c r="V103" i="130" s="1"/>
  <c r="W103" i="130" s="1"/>
  <c r="O249" i="130"/>
  <c r="N168" i="130"/>
  <c r="U232" i="130"/>
  <c r="L232" i="130"/>
  <c r="O62" i="130"/>
  <c r="J232" i="130"/>
  <c r="I96" i="130"/>
  <c r="K232" i="130"/>
  <c r="I321" i="130"/>
  <c r="I130" i="130"/>
  <c r="N130" i="130"/>
  <c r="K62" i="130"/>
  <c r="Q62" i="130"/>
  <c r="P234" i="130"/>
  <c r="P236" i="130" s="1"/>
  <c r="D205" i="130"/>
  <c r="E205" i="130" s="1"/>
  <c r="F205" i="130" s="1"/>
  <c r="G205" i="130" s="1"/>
  <c r="H205" i="130" s="1"/>
  <c r="I205" i="130" s="1"/>
  <c r="J205" i="130" s="1"/>
  <c r="K205" i="130" s="1"/>
  <c r="L205" i="130" s="1"/>
  <c r="M205" i="130" s="1"/>
  <c r="N205" i="130" s="1"/>
  <c r="O205" i="130" s="1"/>
  <c r="P205" i="130" s="1"/>
  <c r="Q205" i="130" s="1"/>
  <c r="R205" i="130" s="1"/>
  <c r="S205" i="130" s="1"/>
  <c r="T205" i="130" s="1"/>
  <c r="U205" i="130" s="1"/>
  <c r="V205" i="130" s="1"/>
  <c r="W205" i="130" s="1"/>
  <c r="R48" i="130"/>
  <c r="S29" i="130" s="1"/>
  <c r="K249" i="130"/>
  <c r="N200" i="130"/>
  <c r="N202" i="130" s="1"/>
  <c r="J317" i="130"/>
  <c r="J130" i="130"/>
  <c r="V319" i="130"/>
  <c r="V321" i="130" s="1"/>
  <c r="H303" i="130"/>
  <c r="U221" i="130"/>
  <c r="H218" i="130"/>
  <c r="F48" i="130"/>
  <c r="G29" i="130" s="1"/>
  <c r="H168" i="130"/>
  <c r="F79" i="130"/>
  <c r="I98" i="130"/>
  <c r="I100" i="130" s="1"/>
  <c r="E198" i="130"/>
  <c r="V368" i="130"/>
  <c r="Q202" i="130"/>
  <c r="J334" i="130"/>
  <c r="W338" i="130"/>
  <c r="S168" i="130"/>
  <c r="Q338" i="130"/>
  <c r="J83" i="130"/>
  <c r="M130" i="130"/>
  <c r="Q164" i="130"/>
  <c r="U79" i="130"/>
  <c r="R45" i="130"/>
  <c r="E149" i="130"/>
  <c r="E151" i="130" s="1"/>
  <c r="E45" i="130"/>
  <c r="K79" i="130"/>
  <c r="M96" i="130"/>
  <c r="K130" i="130"/>
  <c r="J234" i="130"/>
  <c r="J236" i="130" s="1"/>
  <c r="T100" i="130"/>
  <c r="J100" i="130"/>
  <c r="M300" i="130"/>
  <c r="O338" i="130"/>
  <c r="Q334" i="130"/>
  <c r="S164" i="130"/>
  <c r="F130" i="130"/>
  <c r="E317" i="130"/>
  <c r="J117" i="130"/>
  <c r="H368" i="130"/>
  <c r="J321" i="130"/>
  <c r="K236" i="130"/>
  <c r="V96" i="130"/>
  <c r="U202" i="130"/>
  <c r="P218" i="130"/>
  <c r="J51" i="130"/>
  <c r="U236" i="130"/>
  <c r="N236" i="130"/>
  <c r="J285" i="130"/>
  <c r="J287" i="130" s="1"/>
  <c r="P266" i="130"/>
  <c r="K66" i="130"/>
  <c r="K253" i="130"/>
  <c r="R79" i="130"/>
  <c r="V164" i="130"/>
  <c r="N336" i="130"/>
  <c r="N338" i="130" s="1"/>
  <c r="G319" i="130"/>
  <c r="G321" i="130" s="1"/>
  <c r="S249" i="130"/>
  <c r="I147" i="130"/>
  <c r="S45" i="130"/>
  <c r="F218" i="130"/>
  <c r="F219" i="130" s="1"/>
  <c r="V370" i="130"/>
  <c r="V372" i="130" s="1"/>
  <c r="L45" i="130"/>
  <c r="D79" i="130"/>
  <c r="N183" i="130"/>
  <c r="N185" i="130" s="1"/>
  <c r="H31" i="130"/>
  <c r="H45" i="130"/>
  <c r="P270" i="130"/>
  <c r="J134" i="130"/>
  <c r="L249" i="130"/>
  <c r="U132" i="130"/>
  <c r="U134" i="130" s="1"/>
  <c r="I164" i="130"/>
  <c r="G151" i="130"/>
  <c r="R249" i="130"/>
  <c r="R334" i="130"/>
  <c r="L236" i="130"/>
  <c r="U62" i="130"/>
  <c r="U336" i="130"/>
  <c r="U338" i="130" s="1"/>
  <c r="M253" i="130"/>
  <c r="I317" i="130"/>
  <c r="M61" i="128"/>
  <c r="AK61" i="128" s="1"/>
  <c r="G147" i="130"/>
  <c r="V300" i="130"/>
  <c r="O253" i="130"/>
  <c r="F249" i="130"/>
  <c r="E200" i="130"/>
  <c r="E202" i="130" s="1"/>
  <c r="J249" i="130"/>
  <c r="N164" i="130"/>
  <c r="V253" i="130"/>
  <c r="U198" i="130"/>
  <c r="F336" i="130"/>
  <c r="F338" i="130" s="1"/>
  <c r="N306" i="130"/>
  <c r="M302" i="130"/>
  <c r="M304" i="130" s="1"/>
  <c r="K48" i="130"/>
  <c r="K49" i="130" s="1"/>
  <c r="H48" i="130"/>
  <c r="I29" i="130" s="1"/>
  <c r="F372" i="130"/>
  <c r="H79" i="130"/>
  <c r="P300" i="130"/>
  <c r="U45" i="130"/>
  <c r="G198" i="130"/>
  <c r="I48" i="130"/>
  <c r="I49" i="130" s="1"/>
  <c r="L130" i="130"/>
  <c r="O300" i="130"/>
  <c r="P368" i="130"/>
  <c r="S81" i="130"/>
  <c r="S83" i="130" s="1"/>
  <c r="V134" i="130"/>
  <c r="J96" i="130"/>
  <c r="J336" i="130"/>
  <c r="J338" i="130" s="1"/>
  <c r="J79" i="130"/>
  <c r="H130" i="130"/>
  <c r="Q166" i="130"/>
  <c r="Q168" i="130" s="1"/>
  <c r="R198" i="130"/>
  <c r="L303" i="130"/>
  <c r="Q133" i="130"/>
  <c r="D130" i="130"/>
  <c r="F368" i="130"/>
  <c r="Q351" i="130"/>
  <c r="U368" i="130"/>
  <c r="F113" i="130"/>
  <c r="F96" i="130"/>
  <c r="O117" i="130"/>
  <c r="P31" i="130"/>
  <c r="G185" i="130"/>
  <c r="G334" i="130"/>
  <c r="W130" i="130"/>
  <c r="P303" i="130"/>
  <c r="P304" i="130" s="1"/>
  <c r="S115" i="130"/>
  <c r="S117" i="130" s="1"/>
  <c r="V83" i="130"/>
  <c r="D168" i="130"/>
  <c r="G202" i="130"/>
  <c r="J113" i="130"/>
  <c r="Q355" i="130"/>
  <c r="R164" i="130"/>
  <c r="U372" i="130"/>
  <c r="F117" i="130"/>
  <c r="O334" i="130"/>
  <c r="R253" i="130"/>
  <c r="D253" i="130"/>
  <c r="S334" i="130"/>
  <c r="T164" i="130"/>
  <c r="O164" i="130"/>
  <c r="H217" i="130"/>
  <c r="E334" i="130"/>
  <c r="V136" i="130"/>
  <c r="W198" i="130"/>
  <c r="E249" i="130"/>
  <c r="G336" i="130"/>
  <c r="G338" i="130" s="1"/>
  <c r="F100" i="130"/>
  <c r="P253" i="130"/>
  <c r="O81" i="130"/>
  <c r="O83" i="130" s="1"/>
  <c r="M79" i="130"/>
  <c r="S133" i="130"/>
  <c r="S134" i="130" s="1"/>
  <c r="K164" i="130"/>
  <c r="S202" i="130"/>
  <c r="O198" i="130"/>
  <c r="L79" i="130"/>
  <c r="S338" i="130"/>
  <c r="I79" i="130"/>
  <c r="E132" i="130"/>
  <c r="E134" i="130" s="1"/>
  <c r="P130" i="130"/>
  <c r="S130" i="130"/>
  <c r="P249" i="130"/>
  <c r="M83" i="130"/>
  <c r="L83" i="130"/>
  <c r="M202" i="130"/>
  <c r="M249" i="130"/>
  <c r="V217" i="130"/>
  <c r="V219" i="130" s="1"/>
  <c r="I45" i="130"/>
  <c r="G181" i="130"/>
  <c r="N29" i="130"/>
  <c r="F215" i="130"/>
  <c r="M198" i="130"/>
  <c r="S351" i="130"/>
  <c r="V48" i="130"/>
  <c r="V49" i="130" s="1"/>
  <c r="T198" i="130"/>
  <c r="O304" i="130"/>
  <c r="N47" i="130"/>
  <c r="N266" i="130"/>
  <c r="R181" i="130"/>
  <c r="M45" i="130"/>
  <c r="S98" i="130"/>
  <c r="S100" i="130" s="1"/>
  <c r="U283" i="130"/>
  <c r="R303" i="130"/>
  <c r="R304" i="130" s="1"/>
  <c r="H113" i="130"/>
  <c r="K218" i="130"/>
  <c r="K219" i="130" s="1"/>
  <c r="D96" i="130"/>
  <c r="P198" i="130"/>
  <c r="D273" i="130"/>
  <c r="E273" i="130" s="1"/>
  <c r="F273" i="130" s="1"/>
  <c r="G273" i="130" s="1"/>
  <c r="H273" i="130" s="1"/>
  <c r="I273" i="130" s="1"/>
  <c r="J273" i="130" s="1"/>
  <c r="K273" i="130" s="1"/>
  <c r="L273" i="130" s="1"/>
  <c r="M273" i="130" s="1"/>
  <c r="N273" i="130" s="1"/>
  <c r="O273" i="130" s="1"/>
  <c r="P273" i="130" s="1"/>
  <c r="Q273" i="130" s="1"/>
  <c r="R273" i="130" s="1"/>
  <c r="S273" i="130" s="1"/>
  <c r="T273" i="130" s="1"/>
  <c r="U273" i="130" s="1"/>
  <c r="V273" i="130" s="1"/>
  <c r="W273" i="130" s="1"/>
  <c r="S355" i="130"/>
  <c r="U51" i="130"/>
  <c r="V31" i="130" s="1"/>
  <c r="T202" i="130"/>
  <c r="R300" i="130"/>
  <c r="P45" i="130"/>
  <c r="J221" i="130"/>
  <c r="N270" i="130"/>
  <c r="P202" i="130"/>
  <c r="P48" i="130"/>
  <c r="L368" i="130"/>
  <c r="F198" i="130"/>
  <c r="H353" i="130"/>
  <c r="H355" i="130" s="1"/>
  <c r="O113" i="130"/>
  <c r="G266" i="130"/>
  <c r="T303" i="130"/>
  <c r="K266" i="130"/>
  <c r="S198" i="130"/>
  <c r="S31" i="130"/>
  <c r="Q215" i="130"/>
  <c r="I215" i="130"/>
  <c r="K270" i="130"/>
  <c r="A123" i="130"/>
  <c r="B106" i="130"/>
  <c r="AR38" i="128"/>
  <c r="T39" i="128"/>
  <c r="AR39" i="128" s="1"/>
  <c r="AT38" i="128"/>
  <c r="V39" i="128"/>
  <c r="AT39" i="128" s="1"/>
  <c r="AD38" i="128"/>
  <c r="AI30" i="128"/>
  <c r="I22" i="127"/>
  <c r="W302" i="130"/>
  <c r="W304" i="130" s="1"/>
  <c r="W300" i="130"/>
  <c r="M306" i="130"/>
  <c r="N303" i="130"/>
  <c r="N304" i="130" s="1"/>
  <c r="T221" i="130"/>
  <c r="U218" i="130"/>
  <c r="U219" i="130" s="1"/>
  <c r="R115" i="130"/>
  <c r="R117" i="130" s="1"/>
  <c r="R113" i="130"/>
  <c r="O147" i="130"/>
  <c r="O149" i="130"/>
  <c r="O151" i="130" s="1"/>
  <c r="S181" i="130"/>
  <c r="S183" i="130"/>
  <c r="S185" i="130" s="1"/>
  <c r="P51" i="130"/>
  <c r="Q31" i="130" s="1"/>
  <c r="Q48" i="130"/>
  <c r="Q49" i="130" s="1"/>
  <c r="K353" i="130"/>
  <c r="K355" i="130" s="1"/>
  <c r="K351" i="130"/>
  <c r="E96" i="130"/>
  <c r="E98" i="130"/>
  <c r="E100" i="130" s="1"/>
  <c r="I336" i="130"/>
  <c r="I338" i="130" s="1"/>
  <c r="I334" i="130"/>
  <c r="T251" i="130"/>
  <c r="T253" i="130" s="1"/>
  <c r="T249" i="130"/>
  <c r="G48" i="130"/>
  <c r="H29" i="130" s="1"/>
  <c r="F51" i="130"/>
  <c r="G31" i="130" s="1"/>
  <c r="F20" i="129"/>
  <c r="P21" i="129"/>
  <c r="P34" i="128" s="1"/>
  <c r="H31" i="128"/>
  <c r="H61" i="128" s="1"/>
  <c r="AF61" i="128" s="1"/>
  <c r="J22" i="127"/>
  <c r="AJ30" i="128"/>
  <c r="AS53" i="128"/>
  <c r="U62" i="128"/>
  <c r="AS62" i="128" s="1"/>
  <c r="S302" i="130"/>
  <c r="S300" i="130"/>
  <c r="E306" i="130"/>
  <c r="F303" i="130"/>
  <c r="F304" i="130" s="1"/>
  <c r="T215" i="130"/>
  <c r="T217" i="130"/>
  <c r="M370" i="130"/>
  <c r="M372" i="130" s="1"/>
  <c r="M368" i="130"/>
  <c r="S370" i="130"/>
  <c r="S372" i="130" s="1"/>
  <c r="S368" i="130"/>
  <c r="G368" i="130"/>
  <c r="G370" i="130"/>
  <c r="G372" i="130" s="1"/>
  <c r="D285" i="130"/>
  <c r="D287" i="130" s="1"/>
  <c r="D283" i="130"/>
  <c r="U115" i="130"/>
  <c r="U117" i="130" s="1"/>
  <c r="U113" i="130"/>
  <c r="R149" i="130"/>
  <c r="R151" i="130" s="1"/>
  <c r="R147" i="130"/>
  <c r="P149" i="130"/>
  <c r="P151" i="130" s="1"/>
  <c r="P147" i="130"/>
  <c r="F183" i="130"/>
  <c r="F185" i="130" s="1"/>
  <c r="F181" i="130"/>
  <c r="F29" i="130"/>
  <c r="W353" i="130"/>
  <c r="W355" i="130" s="1"/>
  <c r="W351" i="130"/>
  <c r="M266" i="130"/>
  <c r="M268" i="130"/>
  <c r="M270" i="130" s="1"/>
  <c r="Q96" i="130"/>
  <c r="Q98" i="130"/>
  <c r="Q100" i="130" s="1"/>
  <c r="G98" i="130"/>
  <c r="G100" i="130" s="1"/>
  <c r="G96" i="130"/>
  <c r="G249" i="130"/>
  <c r="G251" i="130"/>
  <c r="G253" i="130" s="1"/>
  <c r="N81" i="130"/>
  <c r="N83" i="130" s="1"/>
  <c r="N79" i="130"/>
  <c r="R134" i="130"/>
  <c r="E164" i="130"/>
  <c r="E166" i="130"/>
  <c r="E168" i="130" s="1"/>
  <c r="F234" i="130"/>
  <c r="F236" i="130" s="1"/>
  <c r="F232" i="130"/>
  <c r="AI38" i="128"/>
  <c r="K39" i="128"/>
  <c r="AI39" i="128" s="1"/>
  <c r="O134" i="130"/>
  <c r="P29" i="130"/>
  <c r="L31" i="130"/>
  <c r="K303" i="130"/>
  <c r="K304" i="130" s="1"/>
  <c r="J306" i="130"/>
  <c r="D338" i="130"/>
  <c r="W372" i="130"/>
  <c r="D351" i="130"/>
  <c r="E266" i="130"/>
  <c r="R270" i="130"/>
  <c r="O100" i="130"/>
  <c r="J372" i="130"/>
  <c r="V287" i="130"/>
  <c r="M283" i="130"/>
  <c r="U355" i="130"/>
  <c r="F66" i="130"/>
  <c r="K198" i="130"/>
  <c r="T62" i="130"/>
  <c r="K300" i="130"/>
  <c r="W266" i="130"/>
  <c r="S266" i="130"/>
  <c r="P321" i="130"/>
  <c r="N300" i="130"/>
  <c r="U181" i="130"/>
  <c r="J351" i="130"/>
  <c r="P79" i="130"/>
  <c r="E20" i="129"/>
  <c r="O21" i="129"/>
  <c r="O34" i="128" s="1"/>
  <c r="K31" i="128"/>
  <c r="K52" i="128" s="1"/>
  <c r="AI52" i="128" s="1"/>
  <c r="M22" i="127"/>
  <c r="U306" i="130"/>
  <c r="V303" i="130"/>
  <c r="V304" i="130" s="1"/>
  <c r="AQ38" i="128"/>
  <c r="S39" i="128"/>
  <c r="AQ39" i="128" s="1"/>
  <c r="W218" i="130"/>
  <c r="W219" i="130" s="1"/>
  <c r="V221" i="130"/>
  <c r="Z29" i="127"/>
  <c r="AF53" i="128"/>
  <c r="H62" i="128"/>
  <c r="AF62" i="128" s="1"/>
  <c r="AI53" i="128"/>
  <c r="K62" i="128"/>
  <c r="AI62" i="128" s="1"/>
  <c r="G302" i="130"/>
  <c r="G304" i="130" s="1"/>
  <c r="G300" i="130"/>
  <c r="Q302" i="130"/>
  <c r="Q304" i="130" s="1"/>
  <c r="Q300" i="130"/>
  <c r="R370" i="130"/>
  <c r="R372" i="130" s="1"/>
  <c r="R368" i="130"/>
  <c r="I285" i="130"/>
  <c r="I287" i="130" s="1"/>
  <c r="I283" i="130"/>
  <c r="I115" i="130"/>
  <c r="I117" i="130" s="1"/>
  <c r="I113" i="130"/>
  <c r="V149" i="130"/>
  <c r="V151" i="130" s="1"/>
  <c r="V147" i="130"/>
  <c r="J183" i="130"/>
  <c r="J185" i="130" s="1"/>
  <c r="J181" i="130"/>
  <c r="E49" i="130"/>
  <c r="F28" i="130"/>
  <c r="H268" i="130"/>
  <c r="H270" i="130" s="1"/>
  <c r="H266" i="130"/>
  <c r="P98" i="130"/>
  <c r="P100" i="130" s="1"/>
  <c r="P96" i="130"/>
  <c r="G28" i="130"/>
  <c r="W48" i="130"/>
  <c r="W49" i="130" s="1"/>
  <c r="V51" i="130"/>
  <c r="D300" i="130"/>
  <c r="D302" i="130"/>
  <c r="F266" i="130"/>
  <c r="F268" i="130"/>
  <c r="F270" i="130" s="1"/>
  <c r="AF38" i="128"/>
  <c r="H39" i="128"/>
  <c r="AF39" i="128" s="1"/>
  <c r="AJ53" i="128"/>
  <c r="L62" i="128"/>
  <c r="AJ62" i="128" s="1"/>
  <c r="O215" i="130"/>
  <c r="O217" i="130"/>
  <c r="D221" i="130"/>
  <c r="E218" i="130"/>
  <c r="E219" i="130" s="1"/>
  <c r="G283" i="130"/>
  <c r="G285" i="130"/>
  <c r="G287" i="130" s="1"/>
  <c r="W113" i="130"/>
  <c r="W115" i="130"/>
  <c r="W117" i="130" s="1"/>
  <c r="E115" i="130"/>
  <c r="E117" i="130" s="1"/>
  <c r="E113" i="130"/>
  <c r="D147" i="130"/>
  <c r="D149" i="130"/>
  <c r="D151" i="130" s="1"/>
  <c r="M149" i="130"/>
  <c r="M151" i="130" s="1"/>
  <c r="M147" i="130"/>
  <c r="G353" i="130"/>
  <c r="G355" i="130" s="1"/>
  <c r="G351" i="130"/>
  <c r="T268" i="130"/>
  <c r="T270" i="130" s="1"/>
  <c r="T266" i="130"/>
  <c r="N98" i="130"/>
  <c r="N100" i="130" s="1"/>
  <c r="N96" i="130"/>
  <c r="R232" i="130"/>
  <c r="R234" i="130"/>
  <c r="R236" i="130" s="1"/>
  <c r="D28" i="130"/>
  <c r="C49" i="130"/>
  <c r="F10" i="129"/>
  <c r="E28" i="127"/>
  <c r="C28" i="127" s="1"/>
  <c r="AF30" i="128"/>
  <c r="G218" i="130"/>
  <c r="G219" i="130" s="1"/>
  <c r="F221" i="130"/>
  <c r="T183" i="130"/>
  <c r="T185" i="130" s="1"/>
  <c r="T181" i="130"/>
  <c r="H134" i="130"/>
  <c r="E215" i="130"/>
  <c r="P283" i="130"/>
  <c r="T151" i="130"/>
  <c r="D181" i="130"/>
  <c r="W45" i="130"/>
  <c r="T355" i="130"/>
  <c r="U270" i="130"/>
  <c r="L266" i="130"/>
  <c r="E28" i="130"/>
  <c r="J368" i="130"/>
  <c r="V283" i="130"/>
  <c r="M287" i="130"/>
  <c r="U351" i="130"/>
  <c r="F62" i="130"/>
  <c r="K202" i="130"/>
  <c r="T66" i="130"/>
  <c r="G215" i="130"/>
  <c r="W270" i="130"/>
  <c r="S270" i="130"/>
  <c r="AK30" i="128"/>
  <c r="M52" i="128"/>
  <c r="AK52" i="128" s="1"/>
  <c r="P317" i="130"/>
  <c r="U185" i="130"/>
  <c r="J355" i="130"/>
  <c r="P83" i="130"/>
  <c r="C16" i="128"/>
  <c r="AA10" i="128"/>
  <c r="J62" i="128"/>
  <c r="AH62" i="128" s="1"/>
  <c r="AH53" i="128"/>
  <c r="AL38" i="128"/>
  <c r="N39" i="128"/>
  <c r="AL39" i="128" s="1"/>
  <c r="AN38" i="128"/>
  <c r="P39" i="128"/>
  <c r="AN39" i="128" s="1"/>
  <c r="AG53" i="128"/>
  <c r="I62" i="128"/>
  <c r="AG62" i="128" s="1"/>
  <c r="L31" i="128"/>
  <c r="N22" i="127"/>
  <c r="S215" i="130"/>
  <c r="S217" i="130"/>
  <c r="C221" i="130"/>
  <c r="C222" i="130" s="1"/>
  <c r="D218" i="130"/>
  <c r="D219" i="130" s="1"/>
  <c r="Q370" i="130"/>
  <c r="Q372" i="130" s="1"/>
  <c r="Q368" i="130"/>
  <c r="L285" i="130"/>
  <c r="L287" i="130" s="1"/>
  <c r="L283" i="130"/>
  <c r="T115" i="130"/>
  <c r="T117" i="130" s="1"/>
  <c r="T113" i="130"/>
  <c r="F149" i="130"/>
  <c r="F151" i="130" s="1"/>
  <c r="F147" i="130"/>
  <c r="Q183" i="130"/>
  <c r="Q185" i="130" s="1"/>
  <c r="Q181" i="130"/>
  <c r="Q266" i="130"/>
  <c r="Q268" i="130"/>
  <c r="Q270" i="130" s="1"/>
  <c r="K98" i="130"/>
  <c r="K100" i="130" s="1"/>
  <c r="K96" i="130"/>
  <c r="P134" i="130"/>
  <c r="C51" i="130"/>
  <c r="D48" i="130"/>
  <c r="E29" i="130" s="1"/>
  <c r="AM38" i="128"/>
  <c r="O39" i="128"/>
  <c r="AM39" i="128" s="1"/>
  <c r="H22" i="127"/>
  <c r="C306" i="130"/>
  <c r="C307" i="130" s="1"/>
  <c r="D307" i="130" s="1"/>
  <c r="D303" i="130"/>
  <c r="H306" i="130"/>
  <c r="I303" i="130"/>
  <c r="I304" i="130" s="1"/>
  <c r="P215" i="130"/>
  <c r="P217" i="130"/>
  <c r="I370" i="130"/>
  <c r="I372" i="130" s="1"/>
  <c r="I368" i="130"/>
  <c r="E285" i="130"/>
  <c r="E287" i="130" s="1"/>
  <c r="E283" i="130"/>
  <c r="G113" i="130"/>
  <c r="G115" i="130"/>
  <c r="G117" i="130" s="1"/>
  <c r="P115" i="130"/>
  <c r="P117" i="130" s="1"/>
  <c r="P113" i="130"/>
  <c r="U149" i="130"/>
  <c r="U151" i="130" s="1"/>
  <c r="U147" i="130"/>
  <c r="O181" i="130"/>
  <c r="O183" i="130"/>
  <c r="O185" i="130" s="1"/>
  <c r="I183" i="130"/>
  <c r="I185" i="130" s="1"/>
  <c r="I181" i="130"/>
  <c r="D268" i="130"/>
  <c r="D270" i="130" s="1"/>
  <c r="D266" i="130"/>
  <c r="J268" i="130"/>
  <c r="J270" i="130" s="1"/>
  <c r="J266" i="130"/>
  <c r="L98" i="130"/>
  <c r="L100" i="130" s="1"/>
  <c r="L96" i="130"/>
  <c r="W79" i="130"/>
  <c r="W81" i="130"/>
  <c r="W83" i="130" s="1"/>
  <c r="W134" i="130"/>
  <c r="I198" i="130"/>
  <c r="I200" i="130"/>
  <c r="I202" i="130" s="1"/>
  <c r="J200" i="130"/>
  <c r="J202" i="130" s="1"/>
  <c r="J198" i="130"/>
  <c r="N319" i="130"/>
  <c r="N321" i="130" s="1"/>
  <c r="N317" i="130"/>
  <c r="AS38" i="128"/>
  <c r="U39" i="128"/>
  <c r="AS39" i="128" s="1"/>
  <c r="C20" i="129"/>
  <c r="D10" i="129"/>
  <c r="M21" i="129"/>
  <c r="M34" i="128" s="1"/>
  <c r="M63" i="128" s="1"/>
  <c r="AK63" i="128" s="1"/>
  <c r="T300" i="130"/>
  <c r="T302" i="130"/>
  <c r="R218" i="130"/>
  <c r="R219" i="130" s="1"/>
  <c r="Q221" i="130"/>
  <c r="Q115" i="130"/>
  <c r="Q117" i="130" s="1"/>
  <c r="Q113" i="130"/>
  <c r="H183" i="130"/>
  <c r="H185" i="130" s="1"/>
  <c r="H181" i="130"/>
  <c r="M49" i="130"/>
  <c r="D232" i="130"/>
  <c r="AU38" i="128"/>
  <c r="W39" i="128"/>
  <c r="AU39" i="128" s="1"/>
  <c r="N31" i="130"/>
  <c r="D215" i="130"/>
  <c r="P287" i="130"/>
  <c r="T147" i="130"/>
  <c r="D185" i="130"/>
  <c r="T351" i="130"/>
  <c r="U266" i="130"/>
  <c r="L270" i="130"/>
  <c r="G270" i="130"/>
  <c r="D45" i="130"/>
  <c r="O372" i="130"/>
  <c r="F287" i="130"/>
  <c r="T283" i="130"/>
  <c r="E181" i="130"/>
  <c r="M355" i="130"/>
  <c r="V66" i="130"/>
  <c r="L198" i="130"/>
  <c r="Q45" i="130"/>
  <c r="D62" i="130"/>
  <c r="R215" i="130"/>
  <c r="U215" i="130"/>
  <c r="I62" i="130"/>
  <c r="F351" i="130"/>
  <c r="V266" i="130"/>
  <c r="G164" i="130"/>
  <c r="H317" i="130"/>
  <c r="L151" i="130"/>
  <c r="L181" i="130"/>
  <c r="O266" i="130"/>
  <c r="Q285" i="130"/>
  <c r="Q287" i="130" s="1"/>
  <c r="Q283" i="130"/>
  <c r="J31" i="128"/>
  <c r="J61" i="128" s="1"/>
  <c r="AH61" i="128" s="1"/>
  <c r="L22" i="127"/>
  <c r="T370" i="130"/>
  <c r="T372" i="130" s="1"/>
  <c r="T368" i="130"/>
  <c r="V353" i="130"/>
  <c r="V355" i="130" s="1"/>
  <c r="V351" i="130"/>
  <c r="AK38" i="128"/>
  <c r="M39" i="128"/>
  <c r="AK39" i="128" s="1"/>
  <c r="AG30" i="128"/>
  <c r="D20" i="129"/>
  <c r="N21" i="129"/>
  <c r="N34" i="128" s="1"/>
  <c r="D188" i="130"/>
  <c r="E188" i="130" s="1"/>
  <c r="F188" i="130" s="1"/>
  <c r="G188" i="130" s="1"/>
  <c r="H188" i="130" s="1"/>
  <c r="I188" i="130" s="1"/>
  <c r="J188" i="130" s="1"/>
  <c r="K188" i="130" s="1"/>
  <c r="L188" i="130" s="1"/>
  <c r="M188" i="130" s="1"/>
  <c r="N188" i="130" s="1"/>
  <c r="O188" i="130" s="1"/>
  <c r="P188" i="130" s="1"/>
  <c r="Q188" i="130" s="1"/>
  <c r="R188" i="130" s="1"/>
  <c r="S188" i="130" s="1"/>
  <c r="T188" i="130" s="1"/>
  <c r="U188" i="130" s="1"/>
  <c r="V188" i="130" s="1"/>
  <c r="W188" i="130" s="1"/>
  <c r="G22" i="127"/>
  <c r="K22" i="127"/>
  <c r="I31" i="128"/>
  <c r="I61" i="128" s="1"/>
  <c r="AG61" i="128" s="1"/>
  <c r="L300" i="130"/>
  <c r="L302" i="130"/>
  <c r="N217" i="130"/>
  <c r="N219" i="130" s="1"/>
  <c r="N215" i="130"/>
  <c r="L221" i="130"/>
  <c r="M218" i="130"/>
  <c r="M219" i="130" s="1"/>
  <c r="R283" i="130"/>
  <c r="R285" i="130"/>
  <c r="R287" i="130" s="1"/>
  <c r="K113" i="130"/>
  <c r="K115" i="130"/>
  <c r="K117" i="130" s="1"/>
  <c r="D115" i="130"/>
  <c r="D117" i="130" s="1"/>
  <c r="D113" i="130"/>
  <c r="P351" i="130"/>
  <c r="P353" i="130"/>
  <c r="P355" i="130" s="1"/>
  <c r="U96" i="130"/>
  <c r="U98" i="130"/>
  <c r="U100" i="130" s="1"/>
  <c r="R98" i="130"/>
  <c r="R100" i="130" s="1"/>
  <c r="R96" i="130"/>
  <c r="N251" i="130"/>
  <c r="N253" i="130" s="1"/>
  <c r="N249" i="130"/>
  <c r="E136" i="130"/>
  <c r="F133" i="130"/>
  <c r="F134" i="130" s="1"/>
  <c r="S51" i="130"/>
  <c r="T48" i="130"/>
  <c r="U29" i="130" s="1"/>
  <c r="G20" i="129"/>
  <c r="Q21" i="129"/>
  <c r="Q34" i="128" s="1"/>
  <c r="F22" i="127"/>
  <c r="AH30" i="128"/>
  <c r="H300" i="130"/>
  <c r="H302" i="130"/>
  <c r="J217" i="130"/>
  <c r="J219" i="130" s="1"/>
  <c r="J215" i="130"/>
  <c r="P221" i="130"/>
  <c r="Q218" i="130"/>
  <c r="Q219" i="130" s="1"/>
  <c r="N368" i="130"/>
  <c r="N370" i="130"/>
  <c r="N372" i="130" s="1"/>
  <c r="N283" i="130"/>
  <c r="N285" i="130"/>
  <c r="N287" i="130" s="1"/>
  <c r="O283" i="130"/>
  <c r="O285" i="130"/>
  <c r="O287" i="130" s="1"/>
  <c r="D370" i="130"/>
  <c r="D372" i="130" s="1"/>
  <c r="D368" i="130"/>
  <c r="N115" i="130"/>
  <c r="N117" i="130" s="1"/>
  <c r="N113" i="130"/>
  <c r="K147" i="130"/>
  <c r="K149" i="130"/>
  <c r="K151" i="130" s="1"/>
  <c r="Q149" i="130"/>
  <c r="Q151" i="130" s="1"/>
  <c r="Q147" i="130"/>
  <c r="V183" i="130"/>
  <c r="V185" i="130" s="1"/>
  <c r="V181" i="130"/>
  <c r="P183" i="130"/>
  <c r="P185" i="130" s="1"/>
  <c r="P181" i="130"/>
  <c r="L351" i="130"/>
  <c r="L353" i="130"/>
  <c r="L355" i="130" s="1"/>
  <c r="N353" i="130"/>
  <c r="N355" i="130" s="1"/>
  <c r="N351" i="130"/>
  <c r="W98" i="130"/>
  <c r="W100" i="130" s="1"/>
  <c r="W96" i="130"/>
  <c r="T81" i="130"/>
  <c r="T83" i="130" s="1"/>
  <c r="T79" i="130"/>
  <c r="W249" i="130"/>
  <c r="W251" i="130"/>
  <c r="W253" i="130" s="1"/>
  <c r="I251" i="130"/>
  <c r="I253" i="130" s="1"/>
  <c r="I249" i="130"/>
  <c r="G79" i="130"/>
  <c r="G81" i="130"/>
  <c r="G83" i="130" s="1"/>
  <c r="Q130" i="130"/>
  <c r="Q132" i="130"/>
  <c r="U164" i="130"/>
  <c r="U166" i="130"/>
  <c r="U168" i="130" s="1"/>
  <c r="H200" i="130"/>
  <c r="H202" i="130" s="1"/>
  <c r="H198" i="130"/>
  <c r="AJ38" i="128"/>
  <c r="L39" i="128"/>
  <c r="AJ39" i="128" s="1"/>
  <c r="AK31" i="128"/>
  <c r="H221" i="130"/>
  <c r="I218" i="130"/>
  <c r="I219" i="130" s="1"/>
  <c r="M134" i="130"/>
  <c r="H98" i="130"/>
  <c r="H100" i="130" s="1"/>
  <c r="H96" i="130"/>
  <c r="D236" i="130"/>
  <c r="D334" i="130"/>
  <c r="I300" i="130"/>
  <c r="F300" i="130"/>
  <c r="W368" i="130"/>
  <c r="G45" i="130"/>
  <c r="D355" i="130"/>
  <c r="E270" i="130"/>
  <c r="R266" i="130"/>
  <c r="O96" i="130"/>
  <c r="O368" i="130"/>
  <c r="F283" i="130"/>
  <c r="T287" i="130"/>
  <c r="E185" i="130"/>
  <c r="M351" i="130"/>
  <c r="V62" i="130"/>
  <c r="D134" i="130"/>
  <c r="L202" i="130"/>
  <c r="D66" i="130"/>
  <c r="W215" i="130"/>
  <c r="I66" i="130"/>
  <c r="F355" i="130"/>
  <c r="V270" i="130"/>
  <c r="G168" i="130"/>
  <c r="H321" i="130"/>
  <c r="L147" i="130"/>
  <c r="L185" i="130"/>
  <c r="O270" i="130"/>
  <c r="V62" i="128" l="1"/>
  <c r="AT62" i="128" s="1"/>
  <c r="AC27" i="127"/>
  <c r="AE27" i="127"/>
  <c r="T62" i="128"/>
  <c r="AR62" i="128" s="1"/>
  <c r="R63" i="128"/>
  <c r="AP63" i="128" s="1"/>
  <c r="AP53" i="128"/>
  <c r="AP34" i="128"/>
  <c r="AQ34" i="128"/>
  <c r="S53" i="128"/>
  <c r="S62" i="128" s="1"/>
  <c r="AQ62" i="128" s="1"/>
  <c r="L219" i="130"/>
  <c r="J52" i="128"/>
  <c r="AH52" i="128" s="1"/>
  <c r="N49" i="130"/>
  <c r="S219" i="130"/>
  <c r="Q134" i="130"/>
  <c r="I31" i="130"/>
  <c r="D137" i="130"/>
  <c r="E137" i="130" s="1"/>
  <c r="F137" i="130" s="1"/>
  <c r="G137" i="130" s="1"/>
  <c r="H137" i="130" s="1"/>
  <c r="I137" i="130" s="1"/>
  <c r="J137" i="130" s="1"/>
  <c r="K137" i="130" s="1"/>
  <c r="L137" i="130" s="1"/>
  <c r="M137" i="130" s="1"/>
  <c r="N137" i="130" s="1"/>
  <c r="O137" i="130" s="1"/>
  <c r="P137" i="130" s="1"/>
  <c r="Q137" i="130" s="1"/>
  <c r="R137" i="130" s="1"/>
  <c r="S137" i="130" s="1"/>
  <c r="T137" i="130" s="1"/>
  <c r="U137" i="130" s="1"/>
  <c r="V137" i="130" s="1"/>
  <c r="W137" i="130" s="1"/>
  <c r="J29" i="130"/>
  <c r="H219" i="130"/>
  <c r="T219" i="130"/>
  <c r="P219" i="130"/>
  <c r="M31" i="130"/>
  <c r="O29" i="130"/>
  <c r="F49" i="130"/>
  <c r="J49" i="130"/>
  <c r="T31" i="130"/>
  <c r="Q29" i="130"/>
  <c r="M29" i="130"/>
  <c r="E304" i="130"/>
  <c r="O31" i="130"/>
  <c r="U49" i="130"/>
  <c r="E307" i="130"/>
  <c r="F307" i="130" s="1"/>
  <c r="G307" i="130" s="1"/>
  <c r="H307" i="130" s="1"/>
  <c r="I307" i="130" s="1"/>
  <c r="J307" i="130" s="1"/>
  <c r="K307" i="130" s="1"/>
  <c r="L307" i="130" s="1"/>
  <c r="M307" i="130" s="1"/>
  <c r="N307" i="130" s="1"/>
  <c r="O307" i="130" s="1"/>
  <c r="P307" i="130" s="1"/>
  <c r="Q307" i="130" s="1"/>
  <c r="R307" i="130" s="1"/>
  <c r="S307" i="130" s="1"/>
  <c r="T307" i="130" s="1"/>
  <c r="U307" i="130" s="1"/>
  <c r="V307" i="130" s="1"/>
  <c r="W307" i="130" s="1"/>
  <c r="O219" i="130"/>
  <c r="S304" i="130"/>
  <c r="H304" i="130"/>
  <c r="W31" i="130"/>
  <c r="H28" i="130"/>
  <c r="R29" i="130"/>
  <c r="H49" i="130"/>
  <c r="W29" i="130"/>
  <c r="N28" i="130"/>
  <c r="H52" i="128"/>
  <c r="AF52" i="128" s="1"/>
  <c r="L304" i="130"/>
  <c r="T29" i="130"/>
  <c r="R49" i="130"/>
  <c r="P49" i="130"/>
  <c r="Q28" i="130"/>
  <c r="T304" i="130"/>
  <c r="T28" i="130"/>
  <c r="K28" i="130"/>
  <c r="V28" i="130"/>
  <c r="M28" i="130"/>
  <c r="G49" i="130"/>
  <c r="Q53" i="128"/>
  <c r="AO34" i="128"/>
  <c r="Q63" i="128"/>
  <c r="AO63" i="128" s="1"/>
  <c r="N53" i="128"/>
  <c r="AL34" i="128"/>
  <c r="N63" i="128"/>
  <c r="AL63" i="128" s="1"/>
  <c r="M53" i="128"/>
  <c r="AK34" i="128"/>
  <c r="D31" i="130"/>
  <c r="C52" i="130"/>
  <c r="P28" i="130"/>
  <c r="O28" i="130"/>
  <c r="S28" i="130"/>
  <c r="O53" i="128"/>
  <c r="AM34" i="128"/>
  <c r="O63" i="128"/>
  <c r="AM63" i="128" s="1"/>
  <c r="T49" i="130"/>
  <c r="K31" i="130"/>
  <c r="G34" i="128"/>
  <c r="I26" i="127"/>
  <c r="L28" i="130"/>
  <c r="L63" i="128"/>
  <c r="AJ63" i="128" s="1"/>
  <c r="AJ31" i="128"/>
  <c r="D304" i="130"/>
  <c r="AI31" i="128"/>
  <c r="K63" i="128"/>
  <c r="AI63" i="128" s="1"/>
  <c r="U28" i="130"/>
  <c r="H63" i="128"/>
  <c r="AF63" i="128" s="1"/>
  <c r="AF31" i="128"/>
  <c r="A140" i="130"/>
  <c r="B123" i="130"/>
  <c r="R28" i="130"/>
  <c r="C22" i="127"/>
  <c r="AG31" i="128"/>
  <c r="I63" i="128"/>
  <c r="AG63" i="128" s="1"/>
  <c r="F26" i="127"/>
  <c r="D34" i="128"/>
  <c r="I52" i="128"/>
  <c r="AG52" i="128" s="1"/>
  <c r="AH31" i="128"/>
  <c r="J63" i="128"/>
  <c r="AH63" i="128" s="1"/>
  <c r="C34" i="128"/>
  <c r="E26" i="127"/>
  <c r="D222" i="130"/>
  <c r="E222" i="130" s="1"/>
  <c r="F222" i="130" s="1"/>
  <c r="G222" i="130" s="1"/>
  <c r="H222" i="130" s="1"/>
  <c r="I222" i="130" s="1"/>
  <c r="J222" i="130" s="1"/>
  <c r="K222" i="130" s="1"/>
  <c r="L222" i="130" s="1"/>
  <c r="M222" i="130" s="1"/>
  <c r="N222" i="130" s="1"/>
  <c r="O222" i="130" s="1"/>
  <c r="P222" i="130" s="1"/>
  <c r="Q222" i="130" s="1"/>
  <c r="R222" i="130" s="1"/>
  <c r="S222" i="130" s="1"/>
  <c r="T222" i="130" s="1"/>
  <c r="U222" i="130" s="1"/>
  <c r="V222" i="130" s="1"/>
  <c r="W222" i="130" s="1"/>
  <c r="L61" i="128"/>
  <c r="AJ61" i="128" s="1"/>
  <c r="L29" i="130"/>
  <c r="K61" i="128"/>
  <c r="AI61" i="128" s="1"/>
  <c r="G26" i="127"/>
  <c r="E34" i="128"/>
  <c r="J28" i="130"/>
  <c r="L52" i="128"/>
  <c r="AJ52" i="128" s="1"/>
  <c r="F34" i="128"/>
  <c r="H26" i="127"/>
  <c r="I28" i="130"/>
  <c r="W28" i="130"/>
  <c r="E38" i="127"/>
  <c r="C17" i="128"/>
  <c r="AA17" i="128" s="1"/>
  <c r="AA16" i="128"/>
  <c r="E44" i="127"/>
  <c r="D49" i="130"/>
  <c r="P53" i="128"/>
  <c r="AN34" i="128"/>
  <c r="P63" i="128"/>
  <c r="AN63" i="128" s="1"/>
  <c r="AH25" i="127" l="1"/>
  <c r="AF25" i="127"/>
  <c r="AI25" i="127"/>
  <c r="AG25" i="127"/>
  <c r="AE25" i="127"/>
  <c r="Z28" i="127"/>
  <c r="AQ53" i="128"/>
  <c r="E53" i="128"/>
  <c r="AC34" i="128"/>
  <c r="AN53" i="128"/>
  <c r="P62" i="128"/>
  <c r="AN62" i="128" s="1"/>
  <c r="F53" i="128"/>
  <c r="AD34" i="128"/>
  <c r="C26" i="127"/>
  <c r="B140" i="130"/>
  <c r="A157" i="130"/>
  <c r="N62" i="128"/>
  <c r="AL62" i="128" s="1"/>
  <c r="AL53" i="128"/>
  <c r="AO53" i="128"/>
  <c r="Q62" i="128"/>
  <c r="AO62" i="128" s="1"/>
  <c r="C80" i="128"/>
  <c r="AA80" i="128" s="1"/>
  <c r="C53" i="128"/>
  <c r="AA34" i="128"/>
  <c r="D53" i="128"/>
  <c r="AB34" i="128"/>
  <c r="G53" i="128"/>
  <c r="AE34" i="128"/>
  <c r="D52" i="130"/>
  <c r="D32" i="130"/>
  <c r="AM53" i="128"/>
  <c r="O62" i="128"/>
  <c r="AM62" i="128" s="1"/>
  <c r="AK53" i="128"/>
  <c r="M62" i="128"/>
  <c r="AK62" i="128" s="1"/>
  <c r="E1" i="87"/>
  <c r="AC25" i="127" l="1"/>
  <c r="AA53" i="128"/>
  <c r="C62" i="128"/>
  <c r="AA62" i="128" s="1"/>
  <c r="F62" i="128"/>
  <c r="AD62" i="128" s="1"/>
  <c r="AD53" i="128"/>
  <c r="AE53" i="128"/>
  <c r="G62" i="128"/>
  <c r="AE62" i="128" s="1"/>
  <c r="AB53" i="128"/>
  <c r="D62" i="128"/>
  <c r="AB62" i="128" s="1"/>
  <c r="A174" i="130"/>
  <c r="B157" i="130"/>
  <c r="Z26" i="127"/>
  <c r="AC53" i="128"/>
  <c r="E62" i="128"/>
  <c r="AC62" i="128" s="1"/>
  <c r="E32" i="130"/>
  <c r="E52" i="130"/>
  <c r="D80" i="128"/>
  <c r="AB80" i="128" l="1"/>
  <c r="E80" i="128"/>
  <c r="A191" i="130"/>
  <c r="B174" i="130"/>
  <c r="F52" i="130"/>
  <c r="F32" i="130"/>
  <c r="G52" i="130" l="1"/>
  <c r="G32" i="130"/>
  <c r="A208" i="130"/>
  <c r="B191" i="130"/>
  <c r="AC80" i="128"/>
  <c r="F80" i="128"/>
  <c r="H52" i="130" l="1"/>
  <c r="H32" i="130"/>
  <c r="AD80" i="128"/>
  <c r="G80" i="128"/>
  <c r="B208" i="130"/>
  <c r="A225" i="130"/>
  <c r="I32" i="130" l="1"/>
  <c r="I52" i="130"/>
  <c r="A242" i="130"/>
  <c r="B225" i="130"/>
  <c r="AE80" i="128"/>
  <c r="H80" i="128"/>
  <c r="AF80" i="128" l="1"/>
  <c r="I80" i="128"/>
  <c r="J52" i="130"/>
  <c r="J32" i="130"/>
  <c r="B242" i="130"/>
  <c r="A259" i="130"/>
  <c r="A276" i="130" l="1"/>
  <c r="B259" i="130"/>
  <c r="AG80" i="128"/>
  <c r="J80" i="128"/>
  <c r="K52" i="130"/>
  <c r="K32" i="130"/>
  <c r="L52" i="130" l="1"/>
  <c r="L32" i="130"/>
  <c r="A293" i="130"/>
  <c r="B276" i="130"/>
  <c r="AH80" i="128"/>
  <c r="K80" i="128"/>
  <c r="AI80" i="128" l="1"/>
  <c r="L80" i="128"/>
  <c r="A310" i="130"/>
  <c r="B293" i="130"/>
  <c r="M32" i="130"/>
  <c r="M52" i="130"/>
  <c r="C21" i="120"/>
  <c r="AJ80" i="128" l="1"/>
  <c r="M80" i="128"/>
  <c r="N52" i="130"/>
  <c r="N32" i="130"/>
  <c r="A327" i="130"/>
  <c r="B310" i="130"/>
  <c r="AK80" i="128" l="1"/>
  <c r="N80" i="128"/>
  <c r="B327" i="130"/>
  <c r="A344" i="130"/>
  <c r="O52" i="130"/>
  <c r="O32" i="130"/>
  <c r="P52" i="130" l="1"/>
  <c r="P32" i="130"/>
  <c r="AL80" i="128"/>
  <c r="O80" i="128"/>
  <c r="A361" i="130"/>
  <c r="B361" i="130" s="1"/>
  <c r="B344" i="130"/>
  <c r="AM80" i="128" l="1"/>
  <c r="P80" i="128"/>
  <c r="Q32" i="130"/>
  <c r="Q52" i="130"/>
  <c r="R52" i="130" l="1"/>
  <c r="R32" i="130"/>
  <c r="AN80" i="128"/>
  <c r="Q80" i="128"/>
  <c r="AO80" i="128" l="1"/>
  <c r="R80" i="128"/>
  <c r="S52" i="130"/>
  <c r="S32" i="130"/>
  <c r="AP80" i="128" l="1"/>
  <c r="S80" i="128"/>
  <c r="T52" i="130"/>
  <c r="T32" i="130"/>
  <c r="F24" i="94" l="1"/>
  <c r="H24" i="94" s="1"/>
  <c r="AQ80" i="128"/>
  <c r="T80" i="128"/>
  <c r="U32" i="130"/>
  <c r="U52" i="130"/>
  <c r="E58" i="94" l="1"/>
  <c r="F58" i="94" s="1"/>
  <c r="F36" i="94"/>
  <c r="F37" i="94"/>
  <c r="F23" i="94"/>
  <c r="V52" i="130"/>
  <c r="V32" i="130"/>
  <c r="AR80" i="128"/>
  <c r="U80" i="128"/>
  <c r="H23" i="94" l="1"/>
  <c r="R23" i="94"/>
  <c r="P23" i="94"/>
  <c r="L23" i="94"/>
  <c r="Q23" i="94"/>
  <c r="J23" i="94"/>
  <c r="S23" i="94"/>
  <c r="I23" i="94"/>
  <c r="O23" i="94"/>
  <c r="M23" i="94"/>
  <c r="N23" i="94"/>
  <c r="K23" i="94"/>
  <c r="P37" i="94"/>
  <c r="I37" i="94"/>
  <c r="R37" i="94"/>
  <c r="Q37" i="94"/>
  <c r="L37" i="94"/>
  <c r="J37" i="94"/>
  <c r="N37" i="94"/>
  <c r="M37" i="94"/>
  <c r="H37" i="94"/>
  <c r="K37" i="94"/>
  <c r="S37" i="94"/>
  <c r="O37" i="94"/>
  <c r="M24" i="94"/>
  <c r="Q24" i="94"/>
  <c r="J24" i="94"/>
  <c r="K24" i="94"/>
  <c r="I24" i="94"/>
  <c r="P24" i="94"/>
  <c r="S24" i="94"/>
  <c r="O24" i="94"/>
  <c r="R24" i="94"/>
  <c r="L24" i="94"/>
  <c r="N24" i="94"/>
  <c r="F71" i="94"/>
  <c r="I71" i="94" s="1"/>
  <c r="F70" i="94"/>
  <c r="F85" i="94"/>
  <c r="O36" i="94"/>
  <c r="Q36" i="94"/>
  <c r="P36" i="94"/>
  <c r="N36" i="94"/>
  <c r="L36" i="94"/>
  <c r="S36" i="94"/>
  <c r="J36" i="94"/>
  <c r="H36" i="94"/>
  <c r="I36" i="94"/>
  <c r="R36" i="94"/>
  <c r="M36" i="94"/>
  <c r="K36" i="94"/>
  <c r="Q58" i="94"/>
  <c r="L58" i="94"/>
  <c r="I58" i="94"/>
  <c r="K58" i="94"/>
  <c r="O58" i="94"/>
  <c r="M58" i="94"/>
  <c r="H58" i="94"/>
  <c r="R58" i="94"/>
  <c r="S58" i="94"/>
  <c r="P58" i="94"/>
  <c r="J58" i="94"/>
  <c r="N58" i="94"/>
  <c r="F21" i="94"/>
  <c r="H21" i="94" s="1"/>
  <c r="AS80" i="128"/>
  <c r="V80" i="128"/>
  <c r="W52" i="130"/>
  <c r="W32" i="130"/>
  <c r="L70" i="94" l="1"/>
  <c r="M70" i="94"/>
  <c r="R70" i="94"/>
  <c r="P70" i="94"/>
  <c r="J70" i="94"/>
  <c r="S70" i="94"/>
  <c r="Q70" i="94"/>
  <c r="H70" i="94"/>
  <c r="K70" i="94"/>
  <c r="O70" i="94"/>
  <c r="N70" i="94"/>
  <c r="I70" i="94"/>
  <c r="J71" i="94"/>
  <c r="Q71" i="94"/>
  <c r="O71" i="94"/>
  <c r="S71" i="94"/>
  <c r="N71" i="94"/>
  <c r="K71" i="94"/>
  <c r="M71" i="94"/>
  <c r="R71" i="94"/>
  <c r="H71" i="94"/>
  <c r="L71" i="94"/>
  <c r="P71" i="94"/>
  <c r="K85" i="94"/>
  <c r="H85" i="94"/>
  <c r="R85" i="94"/>
  <c r="S85" i="94"/>
  <c r="I85" i="94"/>
  <c r="M85" i="94"/>
  <c r="J85" i="94"/>
  <c r="N85" i="94"/>
  <c r="O85" i="94"/>
  <c r="Q85" i="94"/>
  <c r="L85" i="94"/>
  <c r="P85" i="94"/>
  <c r="F87" i="94"/>
  <c r="F86" i="94"/>
  <c r="F81" i="94"/>
  <c r="F50" i="94"/>
  <c r="L21" i="94"/>
  <c r="P21" i="94"/>
  <c r="R21" i="94"/>
  <c r="K21" i="94"/>
  <c r="O21" i="94"/>
  <c r="I21" i="94"/>
  <c r="M21" i="94"/>
  <c r="Q21" i="94"/>
  <c r="J21" i="94"/>
  <c r="N21" i="94"/>
  <c r="S21" i="94"/>
  <c r="AT80" i="128"/>
  <c r="W80" i="128"/>
  <c r="AU80" i="128" s="1"/>
  <c r="I86" i="94" l="1"/>
  <c r="K86" i="94"/>
  <c r="H86" i="94"/>
  <c r="J86" i="94"/>
  <c r="N86" i="94"/>
  <c r="M86" i="94"/>
  <c r="S86" i="94"/>
  <c r="Q86" i="94"/>
  <c r="L86" i="94"/>
  <c r="O86" i="94"/>
  <c r="R86" i="94"/>
  <c r="P86" i="94"/>
  <c r="J87" i="94"/>
  <c r="Q87" i="94"/>
  <c r="O87" i="94"/>
  <c r="H87" i="94"/>
  <c r="R87" i="94"/>
  <c r="N87" i="94"/>
  <c r="M87" i="94"/>
  <c r="P87" i="94"/>
  <c r="S87" i="94"/>
  <c r="I87" i="94"/>
  <c r="L87" i="94"/>
  <c r="K87" i="94"/>
  <c r="O81" i="94"/>
  <c r="N81" i="94"/>
  <c r="M81" i="94"/>
  <c r="S81" i="94"/>
  <c r="K81" i="94"/>
  <c r="J81" i="94"/>
  <c r="I81" i="94"/>
  <c r="P81" i="94"/>
  <c r="R81" i="94"/>
  <c r="Q81" i="94"/>
  <c r="L81" i="94"/>
  <c r="H81" i="94"/>
  <c r="B179" i="98" l="1"/>
  <c r="H261" i="98" l="1"/>
  <c r="H263" i="98"/>
  <c r="F263" i="98"/>
  <c r="G263" i="98"/>
  <c r="D263" i="98"/>
  <c r="E263" i="98"/>
  <c r="G261" i="98"/>
  <c r="F261" i="98"/>
  <c r="E261" i="98"/>
  <c r="D261" i="98"/>
  <c r="B15" i="94" l="1"/>
  <c r="B19" i="87" l="1"/>
  <c r="B16" i="87"/>
  <c r="C19" i="87" l="1"/>
  <c r="B11" i="101" l="1"/>
  <c r="B15" i="101"/>
  <c r="B7" i="101"/>
  <c r="B5" i="101"/>
  <c r="F25" i="101" l="1"/>
  <c r="G25" i="101"/>
  <c r="H25" i="101"/>
  <c r="I25" i="101"/>
  <c r="J25" i="101"/>
  <c r="K25" i="101"/>
  <c r="O25" i="101"/>
  <c r="P25" i="101"/>
  <c r="Q25" i="101"/>
  <c r="R25" i="101"/>
  <c r="S25" i="101"/>
  <c r="T25" i="101"/>
  <c r="U25" i="101"/>
  <c r="V25" i="101"/>
  <c r="W25" i="101"/>
  <c r="AA25" i="101"/>
  <c r="AB25" i="101"/>
  <c r="AC25" i="101"/>
  <c r="AD25" i="101"/>
  <c r="AE25" i="101"/>
  <c r="AF25" i="101"/>
  <c r="AG25" i="101"/>
  <c r="AH25" i="101"/>
  <c r="AI25" i="101"/>
  <c r="AM25" i="101"/>
  <c r="AN25" i="101"/>
  <c r="AO25" i="101"/>
  <c r="AP25" i="101"/>
  <c r="AQ25" i="101"/>
  <c r="AR25" i="101"/>
  <c r="AS25" i="101"/>
  <c r="AT25" i="101"/>
  <c r="AU25" i="101"/>
  <c r="AY25" i="101"/>
  <c r="AZ25" i="101"/>
  <c r="BA25" i="101"/>
  <c r="BB25" i="101"/>
  <c r="BC25" i="101"/>
  <c r="BD25" i="101"/>
  <c r="BE25" i="101"/>
  <c r="BF25" i="101"/>
  <c r="BG25" i="101"/>
  <c r="BK25" i="101"/>
  <c r="BL25" i="101"/>
  <c r="BM25" i="101"/>
  <c r="BN25" i="101"/>
  <c r="BO25" i="101"/>
  <c r="BP25" i="101"/>
  <c r="BQ25" i="101"/>
  <c r="BR25" i="101"/>
  <c r="BS25" i="101"/>
  <c r="BW25" i="101"/>
  <c r="BX25" i="101"/>
  <c r="BY25" i="101"/>
  <c r="BZ25" i="101"/>
  <c r="CA25" i="101"/>
  <c r="CB25" i="101"/>
  <c r="CC25" i="101"/>
  <c r="CD25" i="101"/>
  <c r="CE25" i="101"/>
  <c r="CI25" i="101"/>
  <c r="K1" i="101"/>
  <c r="J1" i="101" l="1"/>
  <c r="E3" i="101"/>
  <c r="F3" i="101" s="1"/>
  <c r="G3" i="101" s="1"/>
  <c r="H3" i="101" s="1"/>
  <c r="I3" i="101" s="1"/>
  <c r="J3" i="101" s="1"/>
  <c r="K3" i="101" s="1"/>
  <c r="L3" i="101" s="1"/>
  <c r="M3" i="101" s="1"/>
  <c r="N3" i="101" s="1"/>
  <c r="O3" i="101" s="1"/>
  <c r="P3" i="101" s="1"/>
  <c r="Q3" i="101" s="1"/>
  <c r="R3" i="101" s="1"/>
  <c r="S3" i="101" s="1"/>
  <c r="T3" i="101" s="1"/>
  <c r="U3" i="101" s="1"/>
  <c r="V3" i="101" s="1"/>
  <c r="W3" i="101" s="1"/>
  <c r="X3" i="101" s="1"/>
  <c r="Y3" i="101" s="1"/>
  <c r="Z3" i="101" s="1"/>
  <c r="AA3" i="101" s="1"/>
  <c r="AB3" i="101" s="1"/>
  <c r="AC3" i="101" s="1"/>
  <c r="AD3" i="101" s="1"/>
  <c r="AE3" i="101" s="1"/>
  <c r="AF3" i="101" s="1"/>
  <c r="AG3" i="101" s="1"/>
  <c r="AH3" i="101" s="1"/>
  <c r="AI3" i="101" s="1"/>
  <c r="AJ3" i="101" s="1"/>
  <c r="AK3" i="101" s="1"/>
  <c r="AL3" i="101" s="1"/>
  <c r="AM3" i="101" s="1"/>
  <c r="AN3" i="101" s="1"/>
  <c r="AO3" i="101" s="1"/>
  <c r="AP3" i="101" s="1"/>
  <c r="AQ3" i="101" s="1"/>
  <c r="AR3" i="101" s="1"/>
  <c r="AS3" i="101" s="1"/>
  <c r="AT3" i="101" s="1"/>
  <c r="AU3" i="101" s="1"/>
  <c r="AV3" i="101" s="1"/>
  <c r="AW3" i="101" s="1"/>
  <c r="AX3" i="101" s="1"/>
  <c r="AY3" i="101" s="1"/>
  <c r="AZ3" i="101" s="1"/>
  <c r="BA3" i="101" s="1"/>
  <c r="BB3" i="101" s="1"/>
  <c r="BC3" i="101" s="1"/>
  <c r="BD3" i="101" s="1"/>
  <c r="BE3" i="101" s="1"/>
  <c r="BF3" i="101" s="1"/>
  <c r="BG3" i="101" s="1"/>
  <c r="BH3" i="101" s="1"/>
  <c r="BI3" i="101" s="1"/>
  <c r="BJ3" i="101" s="1"/>
  <c r="BK3" i="101" s="1"/>
  <c r="BL3" i="101" s="1"/>
  <c r="BM3" i="101" s="1"/>
  <c r="BN3" i="101" s="1"/>
  <c r="BO3" i="101" s="1"/>
  <c r="BP3" i="101" s="1"/>
  <c r="BQ3" i="101" s="1"/>
  <c r="BR3" i="101" s="1"/>
  <c r="BS3" i="101" s="1"/>
  <c r="BT3" i="101" s="1"/>
  <c r="BU3" i="101" s="1"/>
  <c r="BV3" i="101" s="1"/>
  <c r="BW3" i="101" s="1"/>
  <c r="BX3" i="101" s="1"/>
  <c r="BY3" i="101" s="1"/>
  <c r="BZ3" i="101" s="1"/>
  <c r="CA3" i="101" s="1"/>
  <c r="CB3" i="101" s="1"/>
  <c r="CC3" i="101" s="1"/>
  <c r="CD3" i="101" s="1"/>
  <c r="CE3" i="101" s="1"/>
  <c r="CF3" i="101" s="1"/>
  <c r="CG3" i="101" s="1"/>
  <c r="CH3" i="101" s="1"/>
  <c r="CI3" i="101" s="1"/>
  <c r="E24" i="101"/>
  <c r="F24" i="101"/>
  <c r="G24" i="101"/>
  <c r="H24" i="101"/>
  <c r="E25" i="101"/>
  <c r="D25" i="101"/>
  <c r="D24" i="101"/>
  <c r="E19" i="101"/>
  <c r="F19" i="101"/>
  <c r="G19" i="101"/>
  <c r="H19" i="101"/>
  <c r="I19" i="101"/>
  <c r="J19" i="101"/>
  <c r="K19" i="101"/>
  <c r="L19" i="101"/>
  <c r="M19" i="101"/>
  <c r="N19" i="101"/>
  <c r="O19" i="101"/>
  <c r="P19" i="101"/>
  <c r="Q19" i="101"/>
  <c r="R19" i="101"/>
  <c r="S19" i="101"/>
  <c r="T19" i="101"/>
  <c r="U19" i="101"/>
  <c r="V19" i="101"/>
  <c r="W19" i="101"/>
  <c r="X19" i="101"/>
  <c r="AD19" i="101"/>
  <c r="AE19" i="101"/>
  <c r="AG19" i="101"/>
  <c r="AH19" i="101"/>
  <c r="AI19" i="101"/>
  <c r="AJ19" i="101"/>
  <c r="AL19" i="101"/>
  <c r="AM19" i="101"/>
  <c r="AN19" i="101"/>
  <c r="AO19" i="101"/>
  <c r="AP19" i="101"/>
  <c r="AQ19" i="101"/>
  <c r="AS19" i="101"/>
  <c r="AT19" i="101"/>
  <c r="AU19" i="101"/>
  <c r="AV19" i="101"/>
  <c r="AX19" i="101"/>
  <c r="AY19" i="101"/>
  <c r="AZ19" i="101"/>
  <c r="BA19" i="101"/>
  <c r="BB19" i="101"/>
  <c r="BC19" i="101"/>
  <c r="BE19" i="101"/>
  <c r="BF19" i="101"/>
  <c r="BG19" i="101"/>
  <c r="BH19" i="101"/>
  <c r="BJ19" i="101"/>
  <c r="BK19" i="101"/>
  <c r="BL19" i="101"/>
  <c r="BM19" i="101"/>
  <c r="BN19" i="101"/>
  <c r="BO19" i="101"/>
  <c r="BQ19" i="101"/>
  <c r="BR19" i="101"/>
  <c r="BS19" i="101"/>
  <c r="BT19" i="101"/>
  <c r="BV19" i="101"/>
  <c r="BW19" i="101"/>
  <c r="BX19" i="101"/>
  <c r="BY19" i="101"/>
  <c r="BZ19" i="101"/>
  <c r="CA19" i="101"/>
  <c r="CC19" i="101"/>
  <c r="CD19" i="101"/>
  <c r="CE19" i="101"/>
  <c r="CF19" i="101"/>
  <c r="CG19" i="101"/>
  <c r="CH19" i="101"/>
  <c r="CI19" i="101"/>
  <c r="D19" i="101"/>
  <c r="D21" i="101"/>
  <c r="E21" i="101"/>
  <c r="F21" i="101"/>
  <c r="G21" i="101"/>
  <c r="H21" i="101"/>
  <c r="T21" i="101"/>
  <c r="AF21" i="101"/>
  <c r="AR21" i="101"/>
  <c r="BD21" i="101"/>
  <c r="BP21" i="101"/>
  <c r="CB21" i="101"/>
  <c r="D22" i="101"/>
  <c r="E22" i="101"/>
  <c r="F22" i="101"/>
  <c r="G22" i="101"/>
  <c r="H22" i="101"/>
  <c r="I22" i="101"/>
  <c r="J22" i="101"/>
  <c r="K22" i="101"/>
  <c r="L22" i="101"/>
  <c r="M22" i="101"/>
  <c r="N22" i="101"/>
  <c r="O22" i="101"/>
  <c r="P22" i="101"/>
  <c r="Q22" i="101"/>
  <c r="R22" i="101"/>
  <c r="T22" i="101"/>
  <c r="U22" i="101"/>
  <c r="V22" i="101"/>
  <c r="W22" i="101"/>
  <c r="X22" i="101"/>
  <c r="Y22" i="101"/>
  <c r="Z22" i="101"/>
  <c r="AA22" i="101"/>
  <c r="AB22" i="101"/>
  <c r="AC22" i="101"/>
  <c r="AD22" i="101"/>
  <c r="AG22" i="101"/>
  <c r="AH22" i="101"/>
  <c r="AI22" i="101"/>
  <c r="AJ22" i="101"/>
  <c r="AK22" i="101"/>
  <c r="AL22" i="101"/>
  <c r="AM22" i="101"/>
  <c r="AN22" i="101"/>
  <c r="AO22" i="101"/>
  <c r="AP22" i="101"/>
  <c r="AS22" i="101"/>
  <c r="AT22" i="101"/>
  <c r="AU22" i="101"/>
  <c r="AV22" i="101"/>
  <c r="AW22" i="101"/>
  <c r="AX22" i="101"/>
  <c r="AY22" i="101"/>
  <c r="AZ22" i="101"/>
  <c r="BA22" i="101"/>
  <c r="BB22" i="101"/>
  <c r="BE22" i="101"/>
  <c r="BF22" i="101"/>
  <c r="BG22" i="101"/>
  <c r="BH22" i="101"/>
  <c r="BI22" i="101"/>
  <c r="BJ22" i="101"/>
  <c r="BK22" i="101"/>
  <c r="BL22" i="101"/>
  <c r="BM22" i="101"/>
  <c r="BN22" i="101"/>
  <c r="BQ22" i="101"/>
  <c r="BR22" i="101"/>
  <c r="BS22" i="101"/>
  <c r="BT22" i="101"/>
  <c r="BU22" i="101"/>
  <c r="BV22" i="101"/>
  <c r="BW22" i="101"/>
  <c r="BX22" i="101"/>
  <c r="BY22" i="101"/>
  <c r="BZ22" i="101"/>
  <c r="CC22" i="101"/>
  <c r="CD22" i="101"/>
  <c r="CE22" i="101"/>
  <c r="CF22" i="101"/>
  <c r="CG22" i="101"/>
  <c r="CH22" i="101"/>
  <c r="CI22" i="101"/>
  <c r="D23" i="101"/>
  <c r="E23" i="101"/>
  <c r="F23" i="101"/>
  <c r="G23" i="101"/>
  <c r="H23" i="101"/>
  <c r="I23" i="101"/>
  <c r="J23" i="101"/>
  <c r="K23" i="101"/>
  <c r="L23" i="101"/>
  <c r="M23" i="101"/>
  <c r="N23" i="101"/>
  <c r="O23" i="101"/>
  <c r="P23" i="101"/>
  <c r="Q23" i="101"/>
  <c r="R23" i="101"/>
  <c r="U23" i="101"/>
  <c r="V23" i="101"/>
  <c r="W23" i="101"/>
  <c r="X23" i="101"/>
  <c r="Y23" i="101"/>
  <c r="Z23" i="101"/>
  <c r="AA23" i="101"/>
  <c r="AB23" i="101"/>
  <c r="AC23" i="101"/>
  <c r="AD23" i="101"/>
  <c r="AG23" i="101"/>
  <c r="AH23" i="101"/>
  <c r="AI23" i="101"/>
  <c r="AJ23" i="101"/>
  <c r="AK23" i="101"/>
  <c r="AL23" i="101"/>
  <c r="AM23" i="101"/>
  <c r="AN23" i="101"/>
  <c r="AO23" i="101"/>
  <c r="AP23" i="101"/>
  <c r="AS23" i="101"/>
  <c r="AT23" i="101"/>
  <c r="AU23" i="101"/>
  <c r="AV23" i="101"/>
  <c r="AW23" i="101"/>
  <c r="AX23" i="101"/>
  <c r="AY23" i="101"/>
  <c r="AZ23" i="101"/>
  <c r="BA23" i="101"/>
  <c r="BB23" i="101"/>
  <c r="BE23" i="101"/>
  <c r="BF23" i="101"/>
  <c r="BG23" i="101"/>
  <c r="BH23" i="101"/>
  <c r="BI23" i="101"/>
  <c r="BJ23" i="101"/>
  <c r="BK23" i="101"/>
  <c r="BL23" i="101"/>
  <c r="BM23" i="101"/>
  <c r="BN23" i="101"/>
  <c r="BQ23" i="101"/>
  <c r="BR23" i="101"/>
  <c r="BS23" i="101"/>
  <c r="BT23" i="101"/>
  <c r="BU23" i="101"/>
  <c r="BV23" i="101"/>
  <c r="BW23" i="101"/>
  <c r="BX23" i="101"/>
  <c r="BY23" i="101"/>
  <c r="BZ23" i="101"/>
  <c r="CC23" i="101"/>
  <c r="CD23" i="101"/>
  <c r="CE23" i="101"/>
  <c r="CF23" i="101"/>
  <c r="CG23" i="101"/>
  <c r="CH23" i="101"/>
  <c r="CI23" i="101"/>
  <c r="V20" i="101"/>
  <c r="W20" i="101"/>
  <c r="X20" i="101"/>
  <c r="Y20" i="101"/>
  <c r="Z20" i="101"/>
  <c r="AA20" i="101"/>
  <c r="AB20" i="101"/>
  <c r="AC20" i="101"/>
  <c r="AD20" i="101"/>
  <c r="AE20" i="101"/>
  <c r="AF20" i="101"/>
  <c r="AH20" i="101"/>
  <c r="AI20" i="101"/>
  <c r="AJ20" i="101"/>
  <c r="AK20" i="101"/>
  <c r="AL20" i="101"/>
  <c r="AM20" i="101"/>
  <c r="AN20" i="101"/>
  <c r="AO20" i="101"/>
  <c r="AP20" i="101"/>
  <c r="AQ20" i="101"/>
  <c r="AR20" i="101"/>
  <c r="AT20" i="101"/>
  <c r="AU20" i="101"/>
  <c r="AV20" i="101"/>
  <c r="AW20" i="101"/>
  <c r="AX20" i="101"/>
  <c r="AY20" i="101"/>
  <c r="AZ20" i="101"/>
  <c r="BA20" i="101"/>
  <c r="BB20" i="101"/>
  <c r="BC20" i="101"/>
  <c r="BD20" i="101"/>
  <c r="BF20" i="101"/>
  <c r="BG20" i="101"/>
  <c r="BH20" i="101"/>
  <c r="BI20" i="101"/>
  <c r="BJ20" i="101"/>
  <c r="BK20" i="101"/>
  <c r="BL20" i="101"/>
  <c r="BM20" i="101"/>
  <c r="BN20" i="101"/>
  <c r="BO20" i="101"/>
  <c r="BP20" i="101"/>
  <c r="BR20" i="101"/>
  <c r="BS20" i="101"/>
  <c r="BT20" i="101"/>
  <c r="BU20" i="101"/>
  <c r="BV20" i="101"/>
  <c r="BW20" i="101"/>
  <c r="BX20" i="101"/>
  <c r="BY20" i="101"/>
  <c r="BZ20" i="101"/>
  <c r="CA20" i="101"/>
  <c r="CB20" i="101"/>
  <c r="CD20" i="101"/>
  <c r="CE20" i="101"/>
  <c r="CF20" i="101"/>
  <c r="CG20" i="101"/>
  <c r="CH20" i="101"/>
  <c r="CI20" i="101"/>
  <c r="E20" i="101"/>
  <c r="F20" i="101"/>
  <c r="G20" i="101"/>
  <c r="H20" i="101"/>
  <c r="J20" i="101"/>
  <c r="K20" i="101"/>
  <c r="L20" i="101"/>
  <c r="M20" i="101"/>
  <c r="N20" i="101"/>
  <c r="O20" i="101"/>
  <c r="P20" i="101"/>
  <c r="Q20" i="101"/>
  <c r="R20" i="101"/>
  <c r="S20" i="101"/>
  <c r="T20" i="101"/>
  <c r="I18" i="101"/>
  <c r="J18" i="101"/>
  <c r="K18" i="101"/>
  <c r="L18" i="101"/>
  <c r="M18" i="101"/>
  <c r="N18" i="101"/>
  <c r="O18" i="101"/>
  <c r="P18" i="101"/>
  <c r="Q18" i="101"/>
  <c r="R18" i="101"/>
  <c r="S18" i="101"/>
  <c r="T18" i="101"/>
  <c r="U18" i="101"/>
  <c r="V18" i="101"/>
  <c r="W18" i="101"/>
  <c r="X18" i="101"/>
  <c r="Y18" i="101"/>
  <c r="Z18" i="101"/>
  <c r="AA18" i="101"/>
  <c r="AB18" i="101"/>
  <c r="AC18" i="101"/>
  <c r="AD18" i="101"/>
  <c r="AE18" i="101"/>
  <c r="AF18" i="101"/>
  <c r="AG18" i="101"/>
  <c r="AH18" i="101"/>
  <c r="AI18" i="101"/>
  <c r="AJ18" i="101"/>
  <c r="AK18" i="101"/>
  <c r="AL18" i="101"/>
  <c r="AM18" i="101"/>
  <c r="AN18" i="101"/>
  <c r="AO18" i="101"/>
  <c r="AP18" i="101"/>
  <c r="AQ18" i="101"/>
  <c r="AR18" i="101"/>
  <c r="AS18" i="101"/>
  <c r="AT18" i="101"/>
  <c r="AU18" i="101"/>
  <c r="AV18" i="101"/>
  <c r="AW18" i="101"/>
  <c r="AX18" i="101"/>
  <c r="AY18" i="101"/>
  <c r="AZ18" i="101"/>
  <c r="BA18" i="101"/>
  <c r="BB18" i="101"/>
  <c r="BC18" i="101"/>
  <c r="BD18" i="101"/>
  <c r="BE18" i="101"/>
  <c r="BF18" i="101"/>
  <c r="BG18" i="101"/>
  <c r="BH18" i="101"/>
  <c r="BI18" i="101"/>
  <c r="BJ18" i="101"/>
  <c r="BK18" i="101"/>
  <c r="BL18" i="101"/>
  <c r="BM18" i="101"/>
  <c r="BN18" i="101"/>
  <c r="BO18" i="101"/>
  <c r="BP18" i="101"/>
  <c r="BQ18" i="101"/>
  <c r="BR18" i="101"/>
  <c r="BS18" i="101"/>
  <c r="BT18" i="101"/>
  <c r="BU18" i="101"/>
  <c r="BV18" i="101"/>
  <c r="BW18" i="101"/>
  <c r="BX18" i="101"/>
  <c r="BY18" i="101"/>
  <c r="BZ18" i="101"/>
  <c r="CA18" i="101"/>
  <c r="CB18" i="101"/>
  <c r="CC18" i="101"/>
  <c r="CD18" i="101"/>
  <c r="CE18" i="101"/>
  <c r="CF18" i="101"/>
  <c r="CG18" i="101"/>
  <c r="CH18" i="101"/>
  <c r="CI18" i="101"/>
  <c r="D20" i="101"/>
  <c r="E17" i="101"/>
  <c r="F17" i="101" s="1"/>
  <c r="G17" i="101" s="1"/>
  <c r="H17" i="101" s="1"/>
  <c r="I17" i="101" s="1"/>
  <c r="J17" i="101" s="1"/>
  <c r="K17" i="101" s="1"/>
  <c r="L17" i="101" s="1"/>
  <c r="M17" i="101" s="1"/>
  <c r="N17" i="101" s="1"/>
  <c r="O17" i="101" s="1"/>
  <c r="P17" i="101" s="1"/>
  <c r="Q17" i="101" s="1"/>
  <c r="R17" i="101" s="1"/>
  <c r="S17" i="101" s="1"/>
  <c r="T17" i="101" s="1"/>
  <c r="U17" i="101" s="1"/>
  <c r="V17" i="101" s="1"/>
  <c r="W17" i="101" s="1"/>
  <c r="X17" i="101" s="1"/>
  <c r="Y17" i="101" s="1"/>
  <c r="Z17" i="101" s="1"/>
  <c r="AA17" i="101" s="1"/>
  <c r="AB17" i="101" s="1"/>
  <c r="AC17" i="101" s="1"/>
  <c r="AD17" i="101" s="1"/>
  <c r="AE17" i="101" s="1"/>
  <c r="AF17" i="101" s="1"/>
  <c r="AG17" i="101" s="1"/>
  <c r="AH17" i="101" s="1"/>
  <c r="AI17" i="101" s="1"/>
  <c r="AJ17" i="101" s="1"/>
  <c r="AK17" i="101" s="1"/>
  <c r="AL17" i="101" s="1"/>
  <c r="AM17" i="101" s="1"/>
  <c r="AN17" i="101" s="1"/>
  <c r="AO17" i="101" s="1"/>
  <c r="AP17" i="101" s="1"/>
  <c r="AQ17" i="101" s="1"/>
  <c r="AR17" i="101" s="1"/>
  <c r="AS17" i="101" s="1"/>
  <c r="AT17" i="101" s="1"/>
  <c r="AU17" i="101" s="1"/>
  <c r="AV17" i="101" s="1"/>
  <c r="AW17" i="101" s="1"/>
  <c r="AX17" i="101" s="1"/>
  <c r="AY17" i="101" s="1"/>
  <c r="AZ17" i="101" s="1"/>
  <c r="BA17" i="101" s="1"/>
  <c r="BB17" i="101" s="1"/>
  <c r="BC17" i="101" s="1"/>
  <c r="BD17" i="101" s="1"/>
  <c r="BE17" i="101" s="1"/>
  <c r="BF17" i="101" s="1"/>
  <c r="BG17" i="101" s="1"/>
  <c r="BH17" i="101" s="1"/>
  <c r="BI17" i="101" s="1"/>
  <c r="BJ17" i="101" s="1"/>
  <c r="BK17" i="101" s="1"/>
  <c r="BL17" i="101" s="1"/>
  <c r="BM17" i="101" s="1"/>
  <c r="BN17" i="101" s="1"/>
  <c r="BO17" i="101" s="1"/>
  <c r="BP17" i="101" s="1"/>
  <c r="BQ17" i="101" s="1"/>
  <c r="BR17" i="101" s="1"/>
  <c r="BS17" i="101" s="1"/>
  <c r="BT17" i="101" s="1"/>
  <c r="BU17" i="101" s="1"/>
  <c r="BV17" i="101" s="1"/>
  <c r="BW17" i="101" s="1"/>
  <c r="BX17" i="101" s="1"/>
  <c r="BY17" i="101" s="1"/>
  <c r="BZ17" i="101" s="1"/>
  <c r="CA17" i="101" s="1"/>
  <c r="CB17" i="101" s="1"/>
  <c r="CC17" i="101" s="1"/>
  <c r="CD17" i="101" s="1"/>
  <c r="CE17" i="101" s="1"/>
  <c r="CF17" i="101" s="1"/>
  <c r="CG17" i="101" s="1"/>
  <c r="CH17" i="101" s="1"/>
  <c r="CI17" i="101" s="1"/>
  <c r="E43" i="101"/>
  <c r="F43" i="101" s="1"/>
  <c r="G43" i="101" s="1"/>
  <c r="H43" i="101" s="1"/>
  <c r="I43" i="101" s="1"/>
  <c r="J43" i="101" s="1"/>
  <c r="K43" i="101" s="1"/>
  <c r="L43" i="101" s="1"/>
  <c r="M43" i="101" s="1"/>
  <c r="N43" i="101" s="1"/>
  <c r="O43" i="101" s="1"/>
  <c r="P43" i="101" s="1"/>
  <c r="Q43" i="101" s="1"/>
  <c r="R43" i="101" s="1"/>
  <c r="S43" i="101" s="1"/>
  <c r="T43" i="101" s="1"/>
  <c r="U43" i="101" s="1"/>
  <c r="V43" i="101" s="1"/>
  <c r="W43" i="101" s="1"/>
  <c r="X43" i="101" s="1"/>
  <c r="Y43" i="101" s="1"/>
  <c r="Z43" i="101" s="1"/>
  <c r="AA43" i="101" s="1"/>
  <c r="AB43" i="101" s="1"/>
  <c r="AC43" i="101" s="1"/>
  <c r="AD43" i="101" s="1"/>
  <c r="AE43" i="101" s="1"/>
  <c r="AF43" i="101" s="1"/>
  <c r="AG43" i="101" s="1"/>
  <c r="AH43" i="101" s="1"/>
  <c r="AI43" i="101" s="1"/>
  <c r="AJ43" i="101" s="1"/>
  <c r="AK43" i="101" s="1"/>
  <c r="AL43" i="101" s="1"/>
  <c r="AM43" i="101" s="1"/>
  <c r="AN43" i="101" s="1"/>
  <c r="AO43" i="101" s="1"/>
  <c r="AP43" i="101" s="1"/>
  <c r="AQ43" i="101" s="1"/>
  <c r="AR43" i="101" s="1"/>
  <c r="AS43" i="101" s="1"/>
  <c r="AT43" i="101" s="1"/>
  <c r="AU43" i="101" s="1"/>
  <c r="AV43" i="101" s="1"/>
  <c r="AW43" i="101" s="1"/>
  <c r="AX43" i="101" s="1"/>
  <c r="AY43" i="101" s="1"/>
  <c r="AZ43" i="101" s="1"/>
  <c r="BA43" i="101" s="1"/>
  <c r="BB43" i="101" s="1"/>
  <c r="BC43" i="101" s="1"/>
  <c r="BD43" i="101" s="1"/>
  <c r="BE43" i="101" s="1"/>
  <c r="BF43" i="101" s="1"/>
  <c r="BG43" i="101" s="1"/>
  <c r="BH43" i="101" s="1"/>
  <c r="BI43" i="101" s="1"/>
  <c r="BJ43" i="101" s="1"/>
  <c r="BK43" i="101" s="1"/>
  <c r="BL43" i="101" s="1"/>
  <c r="BM43" i="101" s="1"/>
  <c r="BN43" i="101" s="1"/>
  <c r="BO43" i="101" s="1"/>
  <c r="BP43" i="101" s="1"/>
  <c r="BQ43" i="101" s="1"/>
  <c r="BR43" i="101" s="1"/>
  <c r="BS43" i="101" s="1"/>
  <c r="BT43" i="101" s="1"/>
  <c r="BU43" i="101" s="1"/>
  <c r="BV43" i="101" s="1"/>
  <c r="BW43" i="101" s="1"/>
  <c r="BX43" i="101" s="1"/>
  <c r="BY43" i="101" s="1"/>
  <c r="BZ43" i="101" s="1"/>
  <c r="CA43" i="101" s="1"/>
  <c r="CB43" i="101" s="1"/>
  <c r="CC43" i="101" s="1"/>
  <c r="CD43" i="101" s="1"/>
  <c r="CE43" i="101" s="1"/>
  <c r="CF43" i="101" s="1"/>
  <c r="CG43" i="101" s="1"/>
  <c r="CH43" i="101" s="1"/>
  <c r="CI43" i="101" s="1"/>
  <c r="G14" i="101" l="1"/>
  <c r="CB14" i="101"/>
  <c r="BB14" i="101"/>
  <c r="AQ14" i="101"/>
  <c r="AF14" i="101"/>
  <c r="CA14" i="101"/>
  <c r="BP14" i="101"/>
  <c r="AP14" i="101"/>
  <c r="AE14" i="101"/>
  <c r="T14" i="101"/>
  <c r="BZ14" i="101"/>
  <c r="BO14" i="101"/>
  <c r="BD14" i="101"/>
  <c r="AD14" i="101"/>
  <c r="S14" i="101"/>
  <c r="H14" i="101"/>
  <c r="BN14" i="101"/>
  <c r="BC14" i="101"/>
  <c r="AR14" i="101"/>
  <c r="R14" i="101"/>
  <c r="CI4" i="101"/>
  <c r="BW4" i="101"/>
  <c r="BK4" i="101"/>
  <c r="AY4" i="101"/>
  <c r="E8" i="101"/>
  <c r="F8" i="101"/>
  <c r="D8" i="101"/>
  <c r="G8" i="101"/>
  <c r="H8" i="101"/>
  <c r="BC4" i="101"/>
  <c r="AU4" i="101"/>
  <c r="AI4" i="101"/>
  <c r="AA4" i="101"/>
  <c r="C135" i="101"/>
  <c r="C82" i="101"/>
  <c r="CG4" i="101"/>
  <c r="CC4" i="101"/>
  <c r="BY4" i="101"/>
  <c r="BU4" i="101"/>
  <c r="BQ4" i="101"/>
  <c r="BM4" i="101"/>
  <c r="BI4" i="101"/>
  <c r="BE4" i="101"/>
  <c r="BA4" i="101"/>
  <c r="AW4" i="101"/>
  <c r="AS4" i="101"/>
  <c r="AO4" i="101"/>
  <c r="AK4" i="101"/>
  <c r="AG4" i="101"/>
  <c r="AC4" i="101"/>
  <c r="Y4" i="101"/>
  <c r="U4" i="101"/>
  <c r="CF4" i="101"/>
  <c r="CB4" i="101"/>
  <c r="BX4" i="101"/>
  <c r="BT4" i="101"/>
  <c r="BP4" i="101"/>
  <c r="BL4" i="101"/>
  <c r="BH4" i="101"/>
  <c r="BD4" i="101"/>
  <c r="AZ4" i="101"/>
  <c r="AV4" i="101"/>
  <c r="AR4" i="101"/>
  <c r="AN4" i="101"/>
  <c r="AJ4" i="101"/>
  <c r="AF4" i="101"/>
  <c r="AB4" i="101"/>
  <c r="X4" i="101"/>
  <c r="T4" i="101"/>
  <c r="CA4" i="101"/>
  <c r="BO4" i="101"/>
  <c r="AM4" i="101"/>
  <c r="R12" i="101"/>
  <c r="P10" i="101"/>
  <c r="V6" i="101"/>
  <c r="R6" i="101"/>
  <c r="D14" i="101"/>
  <c r="D15" i="101" s="1"/>
  <c r="E14" i="101"/>
  <c r="F14" i="101"/>
  <c r="CE4" i="101"/>
  <c r="BS4" i="101"/>
  <c r="BG4" i="101"/>
  <c r="AQ4" i="101"/>
  <c r="AE4" i="101"/>
  <c r="W4" i="101"/>
  <c r="CH4" i="101"/>
  <c r="CD4" i="101"/>
  <c r="BZ4" i="101"/>
  <c r="BV4" i="101"/>
  <c r="BR4" i="101"/>
  <c r="BN4" i="101"/>
  <c r="BJ4" i="101"/>
  <c r="BF4" i="101"/>
  <c r="BB4" i="101"/>
  <c r="AX4" i="101"/>
  <c r="AT4" i="101"/>
  <c r="AP4" i="101"/>
  <c r="AL4" i="101"/>
  <c r="AH4" i="101"/>
  <c r="AD4" i="101"/>
  <c r="Z4" i="101"/>
  <c r="V4" i="101"/>
  <c r="Q12" i="101"/>
  <c r="F10" i="101"/>
  <c r="J10" i="101"/>
  <c r="N10" i="101"/>
  <c r="G10" i="101"/>
  <c r="K10" i="101"/>
  <c r="O10" i="101"/>
  <c r="D10" i="101"/>
  <c r="D11" i="101" s="1"/>
  <c r="H10" i="101"/>
  <c r="L10" i="101"/>
  <c r="M10" i="101"/>
  <c r="I10" i="101"/>
  <c r="E10" i="101"/>
  <c r="U6" i="101"/>
  <c r="Q6" i="101"/>
  <c r="P12" i="101"/>
  <c r="R10" i="101"/>
  <c r="G9" i="101"/>
  <c r="D9" i="101"/>
  <c r="H9" i="101"/>
  <c r="E9" i="101"/>
  <c r="F9" i="101"/>
  <c r="X6" i="101"/>
  <c r="T6" i="101"/>
  <c r="P6" i="101"/>
  <c r="E12" i="101"/>
  <c r="I12" i="101"/>
  <c r="M12" i="101"/>
  <c r="F12" i="101"/>
  <c r="J12" i="101"/>
  <c r="N12" i="101"/>
  <c r="G12" i="101"/>
  <c r="K12" i="101"/>
  <c r="O12" i="101"/>
  <c r="H12" i="101"/>
  <c r="L12" i="101"/>
  <c r="D12" i="101"/>
  <c r="Q10" i="101"/>
  <c r="F6" i="101"/>
  <c r="J6" i="101"/>
  <c r="N6" i="101"/>
  <c r="I6" i="101"/>
  <c r="G6" i="101"/>
  <c r="K6" i="101"/>
  <c r="O6" i="101"/>
  <c r="M6" i="101"/>
  <c r="D6" i="101"/>
  <c r="D7" i="101" s="1"/>
  <c r="H6" i="101"/>
  <c r="L6" i="101"/>
  <c r="E6" i="101"/>
  <c r="W6" i="101"/>
  <c r="S6" i="101"/>
  <c r="D13" i="101"/>
  <c r="H13" i="101"/>
  <c r="E13" i="101"/>
  <c r="F13" i="101"/>
  <c r="G13" i="101"/>
  <c r="C111" i="101"/>
  <c r="C62" i="101"/>
  <c r="C67" i="101"/>
  <c r="C87" i="101"/>
  <c r="C116" i="101"/>
  <c r="C72" i="101"/>
  <c r="C101" i="101"/>
  <c r="C130" i="101"/>
  <c r="C77" i="101"/>
  <c r="C106" i="101"/>
  <c r="E11" i="101" l="1"/>
  <c r="F11" i="101" s="1"/>
  <c r="G11" i="101" s="1"/>
  <c r="H11" i="101" s="1"/>
  <c r="I11" i="101" s="1"/>
  <c r="J11" i="101" s="1"/>
  <c r="K11" i="101" s="1"/>
  <c r="L11" i="101" s="1"/>
  <c r="M11" i="101" s="1"/>
  <c r="N11" i="101" s="1"/>
  <c r="O11" i="101" s="1"/>
  <c r="P11" i="101" s="1"/>
  <c r="Q11" i="101" s="1"/>
  <c r="R11" i="101" s="1"/>
  <c r="E7" i="101"/>
  <c r="F7" i="101" s="1"/>
  <c r="G7" i="101" s="1"/>
  <c r="H7" i="101" s="1"/>
  <c r="I7" i="101" s="1"/>
  <c r="J7" i="101" s="1"/>
  <c r="K7" i="101" s="1"/>
  <c r="L7" i="101" s="1"/>
  <c r="M7" i="101" s="1"/>
  <c r="N7" i="101" s="1"/>
  <c r="O7" i="101" s="1"/>
  <c r="P7" i="101" s="1"/>
  <c r="Q7" i="101" s="1"/>
  <c r="R7" i="101" s="1"/>
  <c r="S7" i="101" s="1"/>
  <c r="T7" i="101" s="1"/>
  <c r="U7" i="101" s="1"/>
  <c r="V7" i="101" s="1"/>
  <c r="W7" i="101" s="1"/>
  <c r="X7" i="101" s="1"/>
  <c r="E15" i="101"/>
  <c r="F15" i="101" s="1"/>
  <c r="G15" i="101" s="1"/>
  <c r="H15" i="101" s="1"/>
  <c r="AE22" i="101" l="1"/>
  <c r="S22" i="101"/>
  <c r="D29" i="102"/>
  <c r="E29" i="102"/>
  <c r="F29" i="102"/>
  <c r="G29" i="102"/>
  <c r="H29" i="102"/>
  <c r="I29" i="102"/>
  <c r="J29" i="102"/>
  <c r="K29" i="102"/>
  <c r="L29" i="102"/>
  <c r="M29" i="102"/>
  <c r="N29" i="102"/>
  <c r="C29" i="102"/>
  <c r="B20" i="102"/>
  <c r="A17" i="102"/>
  <c r="A23" i="102" s="1"/>
  <c r="A29" i="102" s="1"/>
  <c r="A16" i="102"/>
  <c r="A22" i="102" s="1"/>
  <c r="A28" i="102" s="1"/>
  <c r="B15" i="102"/>
  <c r="B21" i="102" s="1"/>
  <c r="A15" i="102"/>
  <c r="A21" i="102" s="1"/>
  <c r="A27" i="102" s="1"/>
  <c r="A14" i="102"/>
  <c r="A20" i="102" s="1"/>
  <c r="A26" i="102" s="1"/>
  <c r="A13" i="102"/>
  <c r="A19" i="102" s="1"/>
  <c r="A25" i="102" s="1"/>
  <c r="B17" i="102"/>
  <c r="B23" i="102" s="1"/>
  <c r="D6" i="102"/>
  <c r="E6" i="102" s="1"/>
  <c r="F6" i="102" s="1"/>
  <c r="G6" i="102" s="1"/>
  <c r="H6" i="102" s="1"/>
  <c r="I6" i="102" s="1"/>
  <c r="J6" i="102" s="1"/>
  <c r="K6" i="102" s="1"/>
  <c r="L6" i="102" s="1"/>
  <c r="M6" i="102" s="1"/>
  <c r="N6" i="102" s="1"/>
  <c r="O6" i="102" s="1"/>
  <c r="P6" i="102" s="1"/>
  <c r="Q6" i="102" s="1"/>
  <c r="R6" i="102" s="1"/>
  <c r="S6" i="102" s="1"/>
  <c r="T6" i="102" s="1"/>
  <c r="U6" i="102" s="1"/>
  <c r="V6" i="102" s="1"/>
  <c r="W6" i="102" s="1"/>
  <c r="X6" i="102" s="1"/>
  <c r="Y6" i="102" s="1"/>
  <c r="Z6" i="102" s="1"/>
  <c r="AA6" i="102" s="1"/>
  <c r="AB6" i="102" s="1"/>
  <c r="AC6" i="102" s="1"/>
  <c r="AD6" i="102" s="1"/>
  <c r="AE6" i="102" s="1"/>
  <c r="AF6" i="102" s="1"/>
  <c r="AG6" i="102" s="1"/>
  <c r="AH6" i="102" s="1"/>
  <c r="AI6" i="102" s="1"/>
  <c r="AJ6" i="102" s="1"/>
  <c r="AK6" i="102" s="1"/>
  <c r="AL6" i="102" s="1"/>
  <c r="N8" i="102" l="1"/>
  <c r="Z14" i="102" s="1"/>
  <c r="AL20" i="102" s="1"/>
  <c r="AL26" i="102" s="1"/>
  <c r="C8" i="102"/>
  <c r="AE10" i="101"/>
  <c r="AD10" i="101"/>
  <c r="T10" i="101"/>
  <c r="AA10" i="101"/>
  <c r="U10" i="101"/>
  <c r="X10" i="101"/>
  <c r="W10" i="101"/>
  <c r="Z10" i="101"/>
  <c r="AB10" i="101"/>
  <c r="S10" i="101"/>
  <c r="S11" i="101" s="1"/>
  <c r="V10" i="101"/>
  <c r="AC10" i="101"/>
  <c r="Y10" i="101"/>
  <c r="E18" i="101"/>
  <c r="G8" i="102"/>
  <c r="S14" i="102" s="1"/>
  <c r="AE20" i="102" s="1"/>
  <c r="AE26" i="102" s="1"/>
  <c r="K8" i="102"/>
  <c r="L10" i="102"/>
  <c r="H10" i="102"/>
  <c r="D10" i="102"/>
  <c r="K10" i="102"/>
  <c r="G10" i="102"/>
  <c r="C10" i="102"/>
  <c r="B4" i="102"/>
  <c r="N10" i="102"/>
  <c r="J10" i="102"/>
  <c r="F10" i="102"/>
  <c r="E10" i="102"/>
  <c r="I10" i="102"/>
  <c r="M10" i="102"/>
  <c r="D8" i="102"/>
  <c r="D26" i="102" s="1"/>
  <c r="H8" i="102"/>
  <c r="L8" i="102"/>
  <c r="E8" i="102"/>
  <c r="I8" i="102"/>
  <c r="M8" i="102"/>
  <c r="F8" i="102"/>
  <c r="J8" i="102"/>
  <c r="Z26" i="102" l="1"/>
  <c r="N26" i="102"/>
  <c r="I28" i="102"/>
  <c r="I9" i="102"/>
  <c r="N28" i="102"/>
  <c r="N9" i="102"/>
  <c r="N7" i="102" s="1"/>
  <c r="K28" i="102"/>
  <c r="K9" i="102"/>
  <c r="K7" i="102" s="1"/>
  <c r="E28" i="102"/>
  <c r="E9" i="102"/>
  <c r="E7" i="102" s="1"/>
  <c r="F28" i="102"/>
  <c r="F9" i="102"/>
  <c r="C28" i="102"/>
  <c r="C9" i="102"/>
  <c r="O10" i="102"/>
  <c r="H28" i="102"/>
  <c r="H9" i="102"/>
  <c r="O8" i="102"/>
  <c r="D28" i="102"/>
  <c r="D9" i="102"/>
  <c r="M28" i="102"/>
  <c r="M9" i="102"/>
  <c r="M7" i="102" s="1"/>
  <c r="J28" i="102"/>
  <c r="J9" i="102"/>
  <c r="J7" i="102" s="1"/>
  <c r="G28" i="102"/>
  <c r="G9" i="102"/>
  <c r="G7" i="102" s="1"/>
  <c r="L28" i="102"/>
  <c r="L9" i="102"/>
  <c r="T11" i="101"/>
  <c r="U11" i="101" s="1"/>
  <c r="V11" i="101" s="1"/>
  <c r="W11" i="101" s="1"/>
  <c r="X11" i="101" s="1"/>
  <c r="Y11" i="101" s="1"/>
  <c r="Z11" i="101" s="1"/>
  <c r="AA11" i="101" s="1"/>
  <c r="AB11" i="101" s="1"/>
  <c r="AC11" i="101" s="1"/>
  <c r="AD11" i="101" s="1"/>
  <c r="AE11" i="101" s="1"/>
  <c r="S26" i="102"/>
  <c r="F18" i="101"/>
  <c r="G26" i="102"/>
  <c r="O14" i="102"/>
  <c r="C26" i="102"/>
  <c r="V14" i="102"/>
  <c r="J26" i="102"/>
  <c r="U14" i="102"/>
  <c r="I26" i="102"/>
  <c r="Q14" i="102"/>
  <c r="E26" i="102"/>
  <c r="R14" i="102"/>
  <c r="F26" i="102"/>
  <c r="X14" i="102"/>
  <c r="L26" i="102"/>
  <c r="Y14" i="102"/>
  <c r="M26" i="102"/>
  <c r="T14" i="102"/>
  <c r="H26" i="102"/>
  <c r="W14" i="102"/>
  <c r="K26" i="102"/>
  <c r="R16" i="102"/>
  <c r="R28" i="102" s="1"/>
  <c r="R11" i="102"/>
  <c r="R29" i="102" s="1"/>
  <c r="O16" i="102"/>
  <c r="O28" i="102" s="1"/>
  <c r="O11" i="102"/>
  <c r="O29" i="102" s="1"/>
  <c r="T16" i="102"/>
  <c r="T28" i="102" s="1"/>
  <c r="T11" i="102"/>
  <c r="T29" i="102" s="1"/>
  <c r="V16" i="102"/>
  <c r="V28" i="102" s="1"/>
  <c r="V11" i="102"/>
  <c r="V29" i="102" s="1"/>
  <c r="S16" i="102"/>
  <c r="S28" i="102" s="1"/>
  <c r="S11" i="102"/>
  <c r="S29" i="102" s="1"/>
  <c r="X16" i="102"/>
  <c r="X28" i="102" s="1"/>
  <c r="X11" i="102"/>
  <c r="X29" i="102" s="1"/>
  <c r="P14" i="102"/>
  <c r="U11" i="102"/>
  <c r="U29" i="102" s="1"/>
  <c r="U16" i="102"/>
  <c r="U28" i="102" s="1"/>
  <c r="Z16" i="102"/>
  <c r="Z28" i="102" s="1"/>
  <c r="Z11" i="102"/>
  <c r="Z29" i="102" s="1"/>
  <c r="W16" i="102"/>
  <c r="W28" i="102" s="1"/>
  <c r="W11" i="102"/>
  <c r="W29" i="102" s="1"/>
  <c r="Y11" i="102"/>
  <c r="Y29" i="102" s="1"/>
  <c r="Y16" i="102"/>
  <c r="Y28" i="102" s="1"/>
  <c r="Q11" i="102"/>
  <c r="Q29" i="102" s="1"/>
  <c r="Q16" i="102"/>
  <c r="Q28" i="102" s="1"/>
  <c r="P16" i="102"/>
  <c r="P28" i="102" s="1"/>
  <c r="P11" i="102"/>
  <c r="P29" i="102" s="1"/>
  <c r="B79" i="98"/>
  <c r="C7" i="102" l="1"/>
  <c r="C25" i="102" s="1"/>
  <c r="O9" i="102"/>
  <c r="C27" i="102"/>
  <c r="H18" i="101"/>
  <c r="G18" i="101"/>
  <c r="AA20" i="102"/>
  <c r="AA26" i="102" s="1"/>
  <c r="O26" i="102"/>
  <c r="Z13" i="102"/>
  <c r="N25" i="102"/>
  <c r="Y13" i="102"/>
  <c r="M25" i="102"/>
  <c r="W13" i="102"/>
  <c r="K25" i="102"/>
  <c r="Q13" i="102"/>
  <c r="E25" i="102"/>
  <c r="S13" i="102"/>
  <c r="G25" i="102"/>
  <c r="U15" i="102"/>
  <c r="I27" i="102"/>
  <c r="P15" i="102"/>
  <c r="D27" i="102"/>
  <c r="V13" i="102"/>
  <c r="J25" i="102"/>
  <c r="R15" i="102"/>
  <c r="F27" i="102"/>
  <c r="AI20" i="102"/>
  <c r="AI26" i="102" s="1"/>
  <c r="W26" i="102"/>
  <c r="AK20" i="102"/>
  <c r="AK26" i="102" s="1"/>
  <c r="Y26" i="102"/>
  <c r="AD20" i="102"/>
  <c r="AD26" i="102" s="1"/>
  <c r="R26" i="102"/>
  <c r="AG20" i="102"/>
  <c r="AG26" i="102" s="1"/>
  <c r="U26" i="102"/>
  <c r="Q15" i="102"/>
  <c r="E27" i="102"/>
  <c r="Y15" i="102"/>
  <c r="M27" i="102"/>
  <c r="W15" i="102"/>
  <c r="K27" i="102"/>
  <c r="Z15" i="102"/>
  <c r="N27" i="102"/>
  <c r="AB20" i="102"/>
  <c r="AB26" i="102" s="1"/>
  <c r="P26" i="102"/>
  <c r="S15" i="102"/>
  <c r="G27" i="102"/>
  <c r="T15" i="102"/>
  <c r="H27" i="102"/>
  <c r="I7" i="102"/>
  <c r="X15" i="102"/>
  <c r="L27" i="102"/>
  <c r="V15" i="102"/>
  <c r="J27" i="102"/>
  <c r="AF20" i="102"/>
  <c r="AF26" i="102" s="1"/>
  <c r="T26" i="102"/>
  <c r="AJ20" i="102"/>
  <c r="AJ26" i="102" s="1"/>
  <c r="X26" i="102"/>
  <c r="AC20" i="102"/>
  <c r="AC26" i="102" s="1"/>
  <c r="Q26" i="102"/>
  <c r="AH20" i="102"/>
  <c r="AH26" i="102" s="1"/>
  <c r="V26" i="102"/>
  <c r="AJ22" i="102"/>
  <c r="AJ28" i="102" s="1"/>
  <c r="AJ17" i="102"/>
  <c r="AJ29" i="102" s="1"/>
  <c r="AI22" i="102"/>
  <c r="AI28" i="102" s="1"/>
  <c r="AI17" i="102"/>
  <c r="AI29" i="102" s="1"/>
  <c r="AL17" i="102"/>
  <c r="AL29" i="102" s="1"/>
  <c r="AL22" i="102"/>
  <c r="AL28" i="102" s="1"/>
  <c r="L7" i="102"/>
  <c r="AF22" i="102"/>
  <c r="AF28" i="102" s="1"/>
  <c r="AF17" i="102"/>
  <c r="AF29" i="102" s="1"/>
  <c r="AA22" i="102"/>
  <c r="AA28" i="102" s="1"/>
  <c r="AA17" i="102"/>
  <c r="AA29" i="102" s="1"/>
  <c r="AD17" i="102"/>
  <c r="AD29" i="102" s="1"/>
  <c r="AD22" i="102"/>
  <c r="AD28" i="102" s="1"/>
  <c r="AB22" i="102"/>
  <c r="AB28" i="102" s="1"/>
  <c r="AB17" i="102"/>
  <c r="AB29" i="102" s="1"/>
  <c r="D7" i="102"/>
  <c r="AC17" i="102"/>
  <c r="AC29" i="102" s="1"/>
  <c r="AC22" i="102"/>
  <c r="AC28" i="102" s="1"/>
  <c r="AK17" i="102"/>
  <c r="AK29" i="102" s="1"/>
  <c r="AK22" i="102"/>
  <c r="AK28" i="102" s="1"/>
  <c r="AG17" i="102"/>
  <c r="AG29" i="102" s="1"/>
  <c r="AG22" i="102"/>
  <c r="AG28" i="102" s="1"/>
  <c r="AE22" i="102"/>
  <c r="AE28" i="102" s="1"/>
  <c r="AE17" i="102"/>
  <c r="AE29" i="102" s="1"/>
  <c r="AH17" i="102"/>
  <c r="AH29" i="102" s="1"/>
  <c r="AH22" i="102"/>
  <c r="AH28" i="102" s="1"/>
  <c r="H7" i="102"/>
  <c r="O15" i="102"/>
  <c r="F7" i="102"/>
  <c r="B105" i="94"/>
  <c r="F102" i="94" l="1"/>
  <c r="D25" i="102"/>
  <c r="O7" i="102"/>
  <c r="I14" i="101"/>
  <c r="I15" i="101" s="1"/>
  <c r="J14" i="101"/>
  <c r="S4" i="101"/>
  <c r="R4" i="101"/>
  <c r="Q4" i="101"/>
  <c r="P4" i="101"/>
  <c r="T13" i="102"/>
  <c r="H25" i="102"/>
  <c r="AH21" i="102"/>
  <c r="AH27" i="102" s="1"/>
  <c r="V27" i="102"/>
  <c r="R13" i="102"/>
  <c r="F25" i="102"/>
  <c r="AF21" i="102"/>
  <c r="AF27" i="102" s="1"/>
  <c r="T27" i="102"/>
  <c r="AI21" i="102"/>
  <c r="AI27" i="102" s="1"/>
  <c r="W27" i="102"/>
  <c r="AC21" i="102"/>
  <c r="AC27" i="102" s="1"/>
  <c r="Q27" i="102"/>
  <c r="AH19" i="102"/>
  <c r="AH25" i="102" s="1"/>
  <c r="V25" i="102"/>
  <c r="AG21" i="102"/>
  <c r="AG27" i="102" s="1"/>
  <c r="U27" i="102"/>
  <c r="AC19" i="102"/>
  <c r="AC25" i="102" s="1"/>
  <c r="Q25" i="102"/>
  <c r="AK19" i="102"/>
  <c r="AK25" i="102" s="1"/>
  <c r="Y25" i="102"/>
  <c r="X13" i="102"/>
  <c r="L25" i="102"/>
  <c r="AJ21" i="102"/>
  <c r="AJ27" i="102" s="1"/>
  <c r="X27" i="102"/>
  <c r="AA21" i="102"/>
  <c r="AA27" i="102" s="1"/>
  <c r="O27" i="102"/>
  <c r="U13" i="102"/>
  <c r="I25" i="102"/>
  <c r="AE21" i="102"/>
  <c r="AE27" i="102" s="1"/>
  <c r="S27" i="102"/>
  <c r="AL21" i="102"/>
  <c r="AL27" i="102" s="1"/>
  <c r="Z27" i="102"/>
  <c r="AK21" i="102"/>
  <c r="AK27" i="102" s="1"/>
  <c r="Y27" i="102"/>
  <c r="AD21" i="102"/>
  <c r="AD27" i="102" s="1"/>
  <c r="R27" i="102"/>
  <c r="AB21" i="102"/>
  <c r="AB27" i="102" s="1"/>
  <c r="P27" i="102"/>
  <c r="AE19" i="102"/>
  <c r="AE25" i="102" s="1"/>
  <c r="S25" i="102"/>
  <c r="AI19" i="102"/>
  <c r="AI25" i="102" s="1"/>
  <c r="W25" i="102"/>
  <c r="AL19" i="102"/>
  <c r="AL25" i="102" s="1"/>
  <c r="Z25" i="102"/>
  <c r="O13" i="102"/>
  <c r="P13" i="102"/>
  <c r="D4" i="102"/>
  <c r="J15" i="101" l="1"/>
  <c r="K14" i="101"/>
  <c r="AG19" i="102"/>
  <c r="AG25" i="102" s="1"/>
  <c r="U25" i="102"/>
  <c r="AB19" i="102"/>
  <c r="AB25" i="102" s="1"/>
  <c r="P25" i="102"/>
  <c r="AA19" i="102"/>
  <c r="AA25" i="102" s="1"/>
  <c r="O25" i="102"/>
  <c r="AJ19" i="102"/>
  <c r="AJ25" i="102" s="1"/>
  <c r="X25" i="102"/>
  <c r="AD19" i="102"/>
  <c r="AD25" i="102" s="1"/>
  <c r="R25" i="102"/>
  <c r="AF19" i="102"/>
  <c r="AF25" i="102" s="1"/>
  <c r="T25" i="102"/>
  <c r="K15" i="101" l="1"/>
  <c r="B52" i="98"/>
  <c r="U14" i="101" l="1"/>
  <c r="V14" i="101"/>
  <c r="B43" i="94"/>
  <c r="B28" i="94"/>
  <c r="W14" i="101" l="1"/>
  <c r="B116" i="98" l="1"/>
  <c r="B153" i="98"/>
  <c r="AF19" i="101" l="1"/>
  <c r="B24" i="87" l="1"/>
  <c r="B23" i="87"/>
  <c r="B22" i="87"/>
  <c r="B18" i="87"/>
  <c r="B17" i="87"/>
  <c r="B15" i="87"/>
  <c r="B14" i="87"/>
  <c r="B11" i="87"/>
  <c r="B7" i="87"/>
  <c r="B8" i="87"/>
  <c r="B9" i="87"/>
  <c r="B10" i="87"/>
  <c r="C5" i="87"/>
  <c r="F100" i="94" l="1"/>
  <c r="C8" i="87"/>
  <c r="J100" i="94" l="1"/>
  <c r="N100" i="94"/>
  <c r="R100" i="94"/>
  <c r="L100" i="94"/>
  <c r="I100" i="94"/>
  <c r="M100" i="94"/>
  <c r="K100" i="94"/>
  <c r="O100" i="94"/>
  <c r="S100" i="94"/>
  <c r="P100" i="94"/>
  <c r="Q100" i="94"/>
  <c r="H100" i="94"/>
  <c r="F84" i="94" l="1"/>
  <c r="F94" i="94" s="1"/>
  <c r="F25" i="94"/>
  <c r="F91" i="94"/>
  <c r="H91" i="94" s="1"/>
  <c r="I91" i="94" s="1"/>
  <c r="J91" i="94" s="1"/>
  <c r="K91" i="94" s="1"/>
  <c r="L91" i="94" s="1"/>
  <c r="M91" i="94" s="1"/>
  <c r="N91" i="94" s="1"/>
  <c r="O91" i="94" s="1"/>
  <c r="P91" i="94" s="1"/>
  <c r="Q91" i="94" s="1"/>
  <c r="R91" i="94" s="1"/>
  <c r="S91" i="94" s="1"/>
  <c r="F26" i="94"/>
  <c r="H26" i="94" s="1"/>
  <c r="I26" i="94" s="1"/>
  <c r="J26" i="94" s="1"/>
  <c r="K26" i="94" s="1"/>
  <c r="L26" i="94" s="1"/>
  <c r="M26" i="94" s="1"/>
  <c r="N26" i="94" s="1"/>
  <c r="O26" i="94" s="1"/>
  <c r="P26" i="94" s="1"/>
  <c r="Q26" i="94" s="1"/>
  <c r="R26" i="94" s="1"/>
  <c r="S26" i="94" s="1"/>
  <c r="F52" i="94"/>
  <c r="F56" i="94"/>
  <c r="E60" i="94" s="1"/>
  <c r="F30" i="94" l="1"/>
  <c r="H25" i="94"/>
  <c r="I25" i="94" s="1"/>
  <c r="F89" i="94"/>
  <c r="H84" i="94"/>
  <c r="I84" i="94" s="1"/>
  <c r="J84" i="94" s="1"/>
  <c r="K84" i="94" s="1"/>
  <c r="L84" i="94" s="1"/>
  <c r="M84" i="94" s="1"/>
  <c r="N84" i="94" s="1"/>
  <c r="O84" i="94" s="1"/>
  <c r="P84" i="94" s="1"/>
  <c r="Q84" i="94" s="1"/>
  <c r="R84" i="94" s="1"/>
  <c r="S84" i="94" s="1"/>
  <c r="S94" i="94" s="1"/>
  <c r="K94" i="94"/>
  <c r="L94" i="94"/>
  <c r="N94" i="94"/>
  <c r="F60" i="94"/>
  <c r="O94" i="94"/>
  <c r="H30" i="94"/>
  <c r="P94" i="94" l="1"/>
  <c r="M94" i="94"/>
  <c r="Q94" i="94"/>
  <c r="H94" i="94"/>
  <c r="J94" i="94"/>
  <c r="I94" i="94"/>
  <c r="J25" i="94"/>
  <c r="I30" i="94"/>
  <c r="R94" i="94"/>
  <c r="F63" i="94"/>
  <c r="P60" i="94"/>
  <c r="P63" i="94" s="1"/>
  <c r="I60" i="94"/>
  <c r="I63" i="94" s="1"/>
  <c r="O60" i="94"/>
  <c r="O63" i="94" s="1"/>
  <c r="J60" i="94"/>
  <c r="J63" i="94" s="1"/>
  <c r="K60" i="94"/>
  <c r="K63" i="94" s="1"/>
  <c r="H60" i="94"/>
  <c r="H63" i="94" s="1"/>
  <c r="M60" i="94"/>
  <c r="M63" i="94" s="1"/>
  <c r="S60" i="94"/>
  <c r="S63" i="94" s="1"/>
  <c r="R60" i="94"/>
  <c r="R63" i="94" s="1"/>
  <c r="Q60" i="94"/>
  <c r="Q63" i="94" s="1"/>
  <c r="L60" i="94"/>
  <c r="L63" i="94" s="1"/>
  <c r="N60" i="94"/>
  <c r="N63" i="94" s="1"/>
  <c r="B2" i="87"/>
  <c r="K25" i="94" l="1"/>
  <c r="J30" i="94"/>
  <c r="C15" i="87"/>
  <c r="C17" i="87"/>
  <c r="L25" i="94" l="1"/>
  <c r="K30" i="94"/>
  <c r="K17" i="94"/>
  <c r="J79" i="94"/>
  <c r="O79" i="94"/>
  <c r="I79" i="94"/>
  <c r="K79" i="94"/>
  <c r="L79" i="94"/>
  <c r="R79" i="94"/>
  <c r="Q79" i="94"/>
  <c r="S79" i="94"/>
  <c r="M79" i="94"/>
  <c r="P79" i="94"/>
  <c r="M25" i="94" l="1"/>
  <c r="L30" i="94"/>
  <c r="N79" i="94"/>
  <c r="F74" i="94"/>
  <c r="F79" i="94" s="1"/>
  <c r="F75" i="94"/>
  <c r="F41" i="94"/>
  <c r="J17" i="94"/>
  <c r="P17" i="94"/>
  <c r="I17" i="94"/>
  <c r="Q17" i="94"/>
  <c r="H79" i="94"/>
  <c r="R17" i="94"/>
  <c r="M17" i="94"/>
  <c r="L17" i="94"/>
  <c r="O17" i="94"/>
  <c r="N25" i="94" l="1"/>
  <c r="M30" i="94"/>
  <c r="C16" i="87"/>
  <c r="N17" i="94"/>
  <c r="F13" i="94"/>
  <c r="F17" i="94" s="1"/>
  <c r="S17" i="94"/>
  <c r="H17" i="94"/>
  <c r="O25" i="94" l="1"/>
  <c r="N30" i="94"/>
  <c r="R45" i="94"/>
  <c r="P25" i="94" l="1"/>
  <c r="O30" i="94"/>
  <c r="N45" i="94"/>
  <c r="F40" i="94"/>
  <c r="F45" i="94" s="1"/>
  <c r="S45" i="94"/>
  <c r="J45" i="94"/>
  <c r="P45" i="94"/>
  <c r="K45" i="94"/>
  <c r="M45" i="94"/>
  <c r="O45" i="94"/>
  <c r="Q45" i="94"/>
  <c r="L45" i="94"/>
  <c r="Q25" i="94" l="1"/>
  <c r="P30" i="94"/>
  <c r="H45" i="94"/>
  <c r="H42" i="94"/>
  <c r="I45" i="94"/>
  <c r="R25" i="94" l="1"/>
  <c r="Q30" i="94"/>
  <c r="AQ22" i="101"/>
  <c r="S25" i="94" l="1"/>
  <c r="S30" i="94" s="1"/>
  <c r="R30" i="94"/>
  <c r="BC22" i="101"/>
  <c r="BO22" i="101" l="1"/>
  <c r="CA22" i="101" l="1"/>
  <c r="AB19" i="101" l="1"/>
  <c r="AC19" i="101"/>
  <c r="Z19" i="101" l="1"/>
  <c r="AA19" i="101" l="1"/>
  <c r="AH14" i="101" l="1"/>
  <c r="AG14" i="101"/>
  <c r="AI14" i="101" l="1"/>
  <c r="AR19" i="101" l="1"/>
  <c r="AS14" i="101" l="1"/>
  <c r="AT14" i="101" l="1"/>
  <c r="AU14" i="101" l="1"/>
  <c r="BD19" i="101" l="1"/>
  <c r="BE14" i="101" l="1"/>
  <c r="BF14" i="101" l="1"/>
  <c r="BG14" i="101" l="1"/>
  <c r="BQ14" i="101" l="1"/>
  <c r="BR14" i="101" l="1"/>
  <c r="BS14" i="101" l="1"/>
  <c r="CB19" i="101" l="1"/>
  <c r="CG6" i="101" l="1"/>
  <c r="CI6" i="101"/>
  <c r="CH6" i="101"/>
  <c r="CC14" i="101" l="1"/>
  <c r="CD14" i="101" l="1"/>
  <c r="CE14" i="101" l="1"/>
  <c r="C10" i="87" l="1"/>
  <c r="H43" i="94" l="1"/>
  <c r="C117" i="94" s="1"/>
  <c r="H44" i="94" l="1"/>
  <c r="E12" i="140" l="1"/>
  <c r="D21" i="99" s="1"/>
  <c r="D45" i="99" s="1"/>
  <c r="E8" i="140"/>
  <c r="E11" i="140" l="1"/>
  <c r="D20" i="99" s="1"/>
  <c r="D44" i="99" s="1"/>
  <c r="E10" i="140"/>
  <c r="D19" i="99" s="1"/>
  <c r="D43" i="99" s="1"/>
  <c r="E9" i="140"/>
  <c r="D18" i="99" s="1"/>
  <c r="D42" i="99" s="1"/>
  <c r="D22" i="99" l="1"/>
  <c r="D46" i="99" s="1"/>
  <c r="F12" i="140" l="1"/>
  <c r="E21" i="99" s="1"/>
  <c r="E45" i="99" s="1"/>
  <c r="F8" i="140" l="1"/>
  <c r="F10" i="140" s="1"/>
  <c r="E19" i="99" s="1"/>
  <c r="E43" i="99" s="1"/>
  <c r="F11" i="140"/>
  <c r="E20" i="99" s="1"/>
  <c r="E44" i="99" s="1"/>
  <c r="F9" i="140" l="1"/>
  <c r="E18" i="99" s="1"/>
  <c r="E42" i="99" s="1"/>
  <c r="E22" i="99" l="1"/>
  <c r="E46" i="99" s="1"/>
  <c r="G12" i="140"/>
  <c r="F21" i="99" s="1"/>
  <c r="F45" i="99" s="1"/>
  <c r="G8" i="140"/>
  <c r="G11" i="140" l="1"/>
  <c r="F20" i="99" s="1"/>
  <c r="F44" i="99" s="1"/>
  <c r="G9" i="140"/>
  <c r="F18" i="99" s="1"/>
  <c r="F42" i="99" s="1"/>
  <c r="G10" i="140"/>
  <c r="F19" i="99" s="1"/>
  <c r="F43" i="99" s="1"/>
  <c r="F22" i="99" l="1"/>
  <c r="F46" i="99" s="1"/>
  <c r="I42" i="94" l="1"/>
  <c r="I43" i="94" s="1"/>
  <c r="D117" i="94" s="1"/>
  <c r="H12" i="140" l="1"/>
  <c r="G21" i="99" s="1"/>
  <c r="G45" i="99" s="1"/>
  <c r="I44" i="94"/>
  <c r="G39" i="99" l="1"/>
  <c r="H8" i="140"/>
  <c r="H11" i="140" s="1"/>
  <c r="G20" i="99" s="1"/>
  <c r="G44" i="99" s="1"/>
  <c r="J42" i="94"/>
  <c r="J43" i="94" s="1"/>
  <c r="E117" i="94" s="1"/>
  <c r="H10" i="140" l="1"/>
  <c r="G19" i="99" s="1"/>
  <c r="G43" i="99" s="1"/>
  <c r="H9" i="140"/>
  <c r="G18" i="99" s="1"/>
  <c r="G42" i="99" s="1"/>
  <c r="I12" i="140"/>
  <c r="H21" i="99" s="1"/>
  <c r="H45" i="99" s="1"/>
  <c r="J44" i="94"/>
  <c r="G22" i="99" l="1"/>
  <c r="G46" i="99" s="1"/>
  <c r="I8" i="140"/>
  <c r="I11" i="140" s="1"/>
  <c r="H20" i="99" s="1"/>
  <c r="H44" i="99" s="1"/>
  <c r="I10" i="140" l="1"/>
  <c r="H19" i="99" s="1"/>
  <c r="H43" i="99" s="1"/>
  <c r="I9" i="140"/>
  <c r="H18" i="99" s="1"/>
  <c r="H42" i="99" s="1"/>
  <c r="H22" i="99" l="1"/>
  <c r="H46" i="99" s="1"/>
  <c r="H39" i="99"/>
  <c r="K42" i="94"/>
  <c r="K43" i="94" s="1"/>
  <c r="F117" i="94" s="1"/>
  <c r="F34" i="94" l="1"/>
  <c r="F51" i="94"/>
  <c r="K44" i="94"/>
  <c r="D15" i="120" l="1"/>
  <c r="F32" i="94" l="1"/>
  <c r="F33" i="94"/>
  <c r="J12" i="140"/>
  <c r="I21" i="99" s="1"/>
  <c r="I45" i="99" s="1"/>
  <c r="J8" i="140"/>
  <c r="J11" i="140" l="1"/>
  <c r="I20" i="99" s="1"/>
  <c r="I44" i="99" s="1"/>
  <c r="J9" i="140"/>
  <c r="I18" i="99" s="1"/>
  <c r="J10" i="140"/>
  <c r="I19" i="99" s="1"/>
  <c r="I43" i="99" s="1"/>
  <c r="L42" i="94"/>
  <c r="L43" i="94" s="1"/>
  <c r="G117" i="94" s="1"/>
  <c r="F90" i="94" l="1"/>
  <c r="S90" i="94" s="1"/>
  <c r="I42" i="99"/>
  <c r="I39" i="99"/>
  <c r="M27" i="94"/>
  <c r="O27" i="94"/>
  <c r="F35" i="94"/>
  <c r="E42" i="94" s="1"/>
  <c r="F42" i="94" s="1"/>
  <c r="F43" i="94" s="1"/>
  <c r="F44" i="94" s="1"/>
  <c r="I22" i="99"/>
  <c r="I46" i="99" s="1"/>
  <c r="L44" i="94"/>
  <c r="C2" i="101"/>
  <c r="D45" i="101" s="1"/>
  <c r="H90" i="94" l="1"/>
  <c r="K90" i="94"/>
  <c r="P90" i="94"/>
  <c r="Q90" i="94"/>
  <c r="N90" i="94"/>
  <c r="J90" i="94"/>
  <c r="E92" i="94"/>
  <c r="F92" i="94" s="1"/>
  <c r="F95" i="94" s="1"/>
  <c r="I90" i="94"/>
  <c r="O90" i="94"/>
  <c r="R90" i="94"/>
  <c r="L90" i="94"/>
  <c r="M90" i="94"/>
  <c r="F69" i="94"/>
  <c r="F22" i="94"/>
  <c r="E27" i="94" s="1"/>
  <c r="F27" i="94" s="1"/>
  <c r="N27" i="94"/>
  <c r="F93" i="94"/>
  <c r="F66" i="94"/>
  <c r="AR48" i="101"/>
  <c r="CB48" i="101"/>
  <c r="BP48" i="101"/>
  <c r="D18" i="101"/>
  <c r="AF48" i="101"/>
  <c r="AF22" i="101" s="1"/>
  <c r="BD48" i="101"/>
  <c r="I46" i="101"/>
  <c r="J39" i="99" l="1"/>
  <c r="L69" i="94"/>
  <c r="Q69" i="94"/>
  <c r="I69" i="94"/>
  <c r="R69" i="94"/>
  <c r="M69" i="94"/>
  <c r="S69" i="94"/>
  <c r="N69" i="94"/>
  <c r="H69" i="94"/>
  <c r="K69" i="94"/>
  <c r="J69" i="94"/>
  <c r="O69" i="94"/>
  <c r="P69" i="94"/>
  <c r="H66" i="94"/>
  <c r="E76" i="94"/>
  <c r="F76" i="94" s="1"/>
  <c r="F77" i="94" s="1"/>
  <c r="F78" i="94" s="1"/>
  <c r="P66" i="94"/>
  <c r="Q66" i="94"/>
  <c r="R66" i="94"/>
  <c r="S66" i="94"/>
  <c r="K66" i="94"/>
  <c r="I66" i="94"/>
  <c r="J66" i="94"/>
  <c r="O66" i="94"/>
  <c r="L66" i="94"/>
  <c r="M66" i="94"/>
  <c r="N66" i="94"/>
  <c r="K8" i="140"/>
  <c r="K12" i="140"/>
  <c r="J21" i="99" s="1"/>
  <c r="J45" i="99" s="1"/>
  <c r="M42" i="94"/>
  <c r="M43" i="94" s="1"/>
  <c r="H117" i="94" s="1"/>
  <c r="AO10" i="101"/>
  <c r="AG10" i="101"/>
  <c r="AJ10" i="101"/>
  <c r="AI10" i="101"/>
  <c r="AN10" i="101"/>
  <c r="AH10" i="101"/>
  <c r="AQ10" i="101"/>
  <c r="AP10" i="101"/>
  <c r="AF10" i="101"/>
  <c r="AF11" i="101" s="1"/>
  <c r="AM10" i="101"/>
  <c r="AK10" i="101"/>
  <c r="AL10" i="101"/>
  <c r="G4" i="101"/>
  <c r="F4" i="101"/>
  <c r="M4" i="101"/>
  <c r="H4" i="101"/>
  <c r="N4" i="101"/>
  <c r="I4" i="101"/>
  <c r="O4" i="101"/>
  <c r="K4" i="101"/>
  <c r="L4" i="101"/>
  <c r="D4" i="101"/>
  <c r="D5" i="101" s="1"/>
  <c r="J4" i="101"/>
  <c r="E4" i="101"/>
  <c r="I20" i="101"/>
  <c r="I52" i="101"/>
  <c r="I47" i="101"/>
  <c r="K9" i="140" l="1"/>
  <c r="J18" i="99" s="1"/>
  <c r="J42" i="99" s="1"/>
  <c r="K10" i="140"/>
  <c r="J19" i="99" s="1"/>
  <c r="J43" i="99" s="1"/>
  <c r="K11" i="140"/>
  <c r="J20" i="99" s="1"/>
  <c r="J44" i="99" s="1"/>
  <c r="I21" i="101"/>
  <c r="J47" i="101"/>
  <c r="T49" i="101"/>
  <c r="AG11" i="101"/>
  <c r="AH11" i="101" s="1"/>
  <c r="AI11" i="101" s="1"/>
  <c r="AJ11" i="101" s="1"/>
  <c r="AK11" i="101" s="1"/>
  <c r="AL11" i="101" s="1"/>
  <c r="AM11" i="101" s="1"/>
  <c r="AN11" i="101" s="1"/>
  <c r="AO11" i="101" s="1"/>
  <c r="AP11" i="101" s="1"/>
  <c r="AQ11" i="101" s="1"/>
  <c r="M44" i="94"/>
  <c r="I24" i="101"/>
  <c r="L140" i="101"/>
  <c r="L25" i="101" s="1"/>
  <c r="J52" i="101"/>
  <c r="P8" i="101"/>
  <c r="O8" i="101"/>
  <c r="K8" i="101"/>
  <c r="L8" i="101"/>
  <c r="M8" i="101"/>
  <c r="N8" i="101"/>
  <c r="S8" i="101"/>
  <c r="I8" i="101"/>
  <c r="Q8" i="101"/>
  <c r="T8" i="101"/>
  <c r="R8" i="101"/>
  <c r="J8" i="101"/>
  <c r="E5" i="101"/>
  <c r="F5" i="101" s="1"/>
  <c r="G5" i="101" s="1"/>
  <c r="H5" i="101" s="1"/>
  <c r="I5" i="101" s="1"/>
  <c r="J5" i="101" s="1"/>
  <c r="K5" i="101" s="1"/>
  <c r="L5" i="101" s="1"/>
  <c r="M5" i="101" s="1"/>
  <c r="N5" i="101" s="1"/>
  <c r="O5" i="101" s="1"/>
  <c r="J22" i="99" l="1"/>
  <c r="J46" i="99" s="1"/>
  <c r="D31" i="120"/>
  <c r="D28" i="120"/>
  <c r="D32" i="120"/>
  <c r="D27" i="120"/>
  <c r="D29" i="120"/>
  <c r="D30" i="120"/>
  <c r="J27" i="94"/>
  <c r="D18" i="120"/>
  <c r="E18" i="120" s="1"/>
  <c r="D17" i="120"/>
  <c r="E17" i="120" s="1"/>
  <c r="D19" i="120"/>
  <c r="E19" i="120" s="1"/>
  <c r="H19" i="120" s="1"/>
  <c r="D20" i="120"/>
  <c r="E20" i="120" s="1"/>
  <c r="D16" i="120"/>
  <c r="E16" i="120" s="1"/>
  <c r="H27" i="94"/>
  <c r="L27" i="94"/>
  <c r="J21" i="101"/>
  <c r="K47" i="101"/>
  <c r="J24" i="101"/>
  <c r="J13" i="101" s="1"/>
  <c r="K52" i="101"/>
  <c r="M140" i="101"/>
  <c r="M25" i="101" s="1"/>
  <c r="I9" i="101"/>
  <c r="L14" i="101"/>
  <c r="L15" i="101" s="1"/>
  <c r="I13" i="101"/>
  <c r="T23" i="101"/>
  <c r="U46" i="101"/>
  <c r="P27" i="94" l="1"/>
  <c r="O19" i="120"/>
  <c r="J13" i="99" s="1"/>
  <c r="J37" i="99" s="1"/>
  <c r="N19" i="120"/>
  <c r="C13" i="99"/>
  <c r="C37" i="99" s="1"/>
  <c r="L19" i="120"/>
  <c r="G13" i="99" s="1"/>
  <c r="G37" i="99" s="1"/>
  <c r="K19" i="120"/>
  <c r="F13" i="99" s="1"/>
  <c r="F37" i="99" s="1"/>
  <c r="I19" i="120"/>
  <c r="J19" i="120"/>
  <c r="E13" i="99" s="1"/>
  <c r="E37" i="99" s="1"/>
  <c r="M19" i="120"/>
  <c r="H13" i="99" s="1"/>
  <c r="H37" i="99" s="1"/>
  <c r="K20" i="120"/>
  <c r="F14" i="99" s="1"/>
  <c r="F38" i="99" s="1"/>
  <c r="M20" i="120"/>
  <c r="H14" i="99" s="1"/>
  <c r="H38" i="99" s="1"/>
  <c r="O20" i="120"/>
  <c r="J14" i="99" s="1"/>
  <c r="J38" i="99" s="1"/>
  <c r="I20" i="120"/>
  <c r="D14" i="99" s="1"/>
  <c r="D38" i="99" s="1"/>
  <c r="J20" i="120"/>
  <c r="E14" i="99" s="1"/>
  <c r="E38" i="99" s="1"/>
  <c r="H20" i="120"/>
  <c r="C14" i="99" s="1"/>
  <c r="C38" i="99" s="1"/>
  <c r="L20" i="120"/>
  <c r="G14" i="99" s="1"/>
  <c r="G38" i="99" s="1"/>
  <c r="N20" i="120"/>
  <c r="N18" i="120"/>
  <c r="N46" i="94"/>
  <c r="N89" i="94" s="1"/>
  <c r="J18" i="120"/>
  <c r="E12" i="99" s="1"/>
  <c r="E36" i="99" s="1"/>
  <c r="J46" i="94"/>
  <c r="J89" i="94" s="1"/>
  <c r="I16" i="120"/>
  <c r="D10" i="99" s="1"/>
  <c r="D34" i="99" s="1"/>
  <c r="K16" i="120"/>
  <c r="F10" i="99" s="1"/>
  <c r="F34" i="99" s="1"/>
  <c r="M16" i="120"/>
  <c r="H10" i="99" s="1"/>
  <c r="H34" i="99" s="1"/>
  <c r="O16" i="120"/>
  <c r="J10" i="99" s="1"/>
  <c r="J34" i="99" s="1"/>
  <c r="H16" i="120"/>
  <c r="C10" i="99" s="1"/>
  <c r="C34" i="99" s="1"/>
  <c r="J16" i="120"/>
  <c r="E10" i="99" s="1"/>
  <c r="E34" i="99" s="1"/>
  <c r="N16" i="120"/>
  <c r="L17" i="120"/>
  <c r="G11" i="99" s="1"/>
  <c r="G35" i="99" s="1"/>
  <c r="K17" i="120"/>
  <c r="F11" i="99" s="1"/>
  <c r="F35" i="99" s="1"/>
  <c r="N17" i="120"/>
  <c r="O17" i="120"/>
  <c r="J11" i="99" s="1"/>
  <c r="J35" i="99" s="1"/>
  <c r="H17" i="120"/>
  <c r="C11" i="99" s="1"/>
  <c r="C35" i="99" s="1"/>
  <c r="J17" i="120"/>
  <c r="E11" i="99" s="1"/>
  <c r="E35" i="99" s="1"/>
  <c r="M17" i="120"/>
  <c r="H11" i="99" s="1"/>
  <c r="H35" i="99" s="1"/>
  <c r="M46" i="94"/>
  <c r="M89" i="94" s="1"/>
  <c r="I17" i="120"/>
  <c r="D11" i="99" s="1"/>
  <c r="D35" i="99" s="1"/>
  <c r="I46" i="94"/>
  <c r="I89" i="94" s="1"/>
  <c r="O46" i="94"/>
  <c r="O89" i="94" s="1"/>
  <c r="K46" i="94"/>
  <c r="O18" i="120"/>
  <c r="J12" i="99" s="1"/>
  <c r="J36" i="99" s="1"/>
  <c r="I18" i="120"/>
  <c r="D12" i="99" s="1"/>
  <c r="D36" i="99" s="1"/>
  <c r="K18" i="120"/>
  <c r="F12" i="99" s="1"/>
  <c r="F36" i="99" s="1"/>
  <c r="M18" i="120"/>
  <c r="H12" i="99" s="1"/>
  <c r="H36" i="99" s="1"/>
  <c r="L18" i="120"/>
  <c r="G12" i="99" s="1"/>
  <c r="G36" i="99" s="1"/>
  <c r="L16" i="120"/>
  <c r="G10" i="99" s="1"/>
  <c r="G34" i="99" s="1"/>
  <c r="L46" i="94"/>
  <c r="L89" i="94" s="1"/>
  <c r="H18" i="120"/>
  <c r="C12" i="99" s="1"/>
  <c r="C36" i="99" s="1"/>
  <c r="H46" i="94"/>
  <c r="I27" i="94"/>
  <c r="K27" i="94"/>
  <c r="D34" i="120"/>
  <c r="J9" i="101"/>
  <c r="M14" i="101"/>
  <c r="M15" i="101" s="1"/>
  <c r="D21" i="120"/>
  <c r="E15" i="120"/>
  <c r="H15" i="120" s="1"/>
  <c r="U20" i="101"/>
  <c r="U53" i="101"/>
  <c r="U47" i="101"/>
  <c r="C43" i="120"/>
  <c r="K21" i="101"/>
  <c r="L47" i="101"/>
  <c r="C44" i="120"/>
  <c r="C41" i="120"/>
  <c r="C40" i="120"/>
  <c r="C42" i="120"/>
  <c r="K24" i="101"/>
  <c r="L52" i="101"/>
  <c r="N140" i="101"/>
  <c r="N25" i="101" s="1"/>
  <c r="I92" i="94" l="1"/>
  <c r="I95" i="94" s="1"/>
  <c r="L92" i="94"/>
  <c r="L95" i="94" s="1"/>
  <c r="J92" i="94"/>
  <c r="J95" i="94" s="1"/>
  <c r="K51" i="94"/>
  <c r="K89" i="94"/>
  <c r="M92" i="94"/>
  <c r="M95" i="94" s="1"/>
  <c r="H51" i="94"/>
  <c r="H89" i="94"/>
  <c r="O92" i="94"/>
  <c r="O95" i="94" s="1"/>
  <c r="N92" i="94"/>
  <c r="N95" i="94" s="1"/>
  <c r="J50" i="94"/>
  <c r="J52" i="94"/>
  <c r="J51" i="94"/>
  <c r="I13" i="99"/>
  <c r="I37" i="99" s="1"/>
  <c r="C53" i="120"/>
  <c r="C31" i="120"/>
  <c r="E31" i="120" s="1"/>
  <c r="K50" i="94"/>
  <c r="K52" i="94"/>
  <c r="I50" i="94"/>
  <c r="I52" i="94"/>
  <c r="I51" i="94"/>
  <c r="C39" i="120"/>
  <c r="C9" i="99"/>
  <c r="N15" i="120"/>
  <c r="M15" i="120"/>
  <c r="I15" i="120"/>
  <c r="D9" i="99" s="1"/>
  <c r="L15" i="120"/>
  <c r="J15" i="120"/>
  <c r="L50" i="94"/>
  <c r="L52" i="94"/>
  <c r="L51" i="94"/>
  <c r="O15" i="120"/>
  <c r="I11" i="99"/>
  <c r="I35" i="99" s="1"/>
  <c r="C51" i="120"/>
  <c r="C29" i="120"/>
  <c r="E29" i="120" s="1"/>
  <c r="I14" i="99"/>
  <c r="I38" i="99" s="1"/>
  <c r="C32" i="120"/>
  <c r="E32" i="120" s="1"/>
  <c r="C54" i="120"/>
  <c r="H50" i="94"/>
  <c r="H52" i="94"/>
  <c r="K15" i="120"/>
  <c r="I10" i="99"/>
  <c r="I34" i="99" s="1"/>
  <c r="C50" i="120"/>
  <c r="C28" i="120"/>
  <c r="E28" i="120" s="1"/>
  <c r="N50" i="94"/>
  <c r="N52" i="94"/>
  <c r="N51" i="94"/>
  <c r="O50" i="94"/>
  <c r="O52" i="94"/>
  <c r="O51" i="94"/>
  <c r="M50" i="94"/>
  <c r="M52" i="94"/>
  <c r="M51" i="94"/>
  <c r="I12" i="99"/>
  <c r="I36" i="99" s="1"/>
  <c r="C30" i="120"/>
  <c r="E30" i="120" s="1"/>
  <c r="C52" i="120"/>
  <c r="D13" i="99"/>
  <c r="D37" i="99" s="1"/>
  <c r="Q14" i="101"/>
  <c r="O14" i="101"/>
  <c r="N14" i="101"/>
  <c r="N15" i="101" s="1"/>
  <c r="K13" i="101"/>
  <c r="P14" i="101"/>
  <c r="K9" i="101"/>
  <c r="U21" i="101"/>
  <c r="V47" i="101"/>
  <c r="AF49" i="101"/>
  <c r="E42" i="120"/>
  <c r="E44" i="120"/>
  <c r="X141" i="101"/>
  <c r="X25" i="101" s="1"/>
  <c r="V53" i="101"/>
  <c r="N42" i="94"/>
  <c r="N43" i="94" s="1"/>
  <c r="I117" i="94" s="1"/>
  <c r="E43" i="120"/>
  <c r="AE8" i="101"/>
  <c r="AD8" i="101"/>
  <c r="AF8" i="101"/>
  <c r="Z8" i="101"/>
  <c r="U8" i="101"/>
  <c r="Y8" i="101"/>
  <c r="AC8" i="101"/>
  <c r="AA8" i="101"/>
  <c r="AB8" i="101"/>
  <c r="X8" i="101"/>
  <c r="W8" i="101"/>
  <c r="V8" i="101"/>
  <c r="E21" i="120"/>
  <c r="M47" i="101"/>
  <c r="L21" i="101"/>
  <c r="L24" i="101"/>
  <c r="M52" i="101"/>
  <c r="E40" i="120"/>
  <c r="E41" i="120"/>
  <c r="D33" i="99" l="1"/>
  <c r="D16" i="99"/>
  <c r="D40" i="99" s="1"/>
  <c r="C33" i="99"/>
  <c r="C16" i="99"/>
  <c r="C40" i="99" s="1"/>
  <c r="N93" i="94"/>
  <c r="I120" i="94" s="1"/>
  <c r="L93" i="94"/>
  <c r="G120" i="94" s="1"/>
  <c r="H92" i="94"/>
  <c r="H95" i="94" s="1"/>
  <c r="K92" i="94"/>
  <c r="K95" i="94" s="1"/>
  <c r="O93" i="94"/>
  <c r="J120" i="94" s="1"/>
  <c r="M93" i="94"/>
  <c r="H120" i="94" s="1"/>
  <c r="J93" i="94"/>
  <c r="E120" i="94" s="1"/>
  <c r="I93" i="94"/>
  <c r="D120" i="94" s="1"/>
  <c r="I21" i="120"/>
  <c r="I22" i="120" s="1"/>
  <c r="P16" i="120"/>
  <c r="K10" i="99" s="1"/>
  <c r="K34" i="99" s="1"/>
  <c r="P46" i="94"/>
  <c r="P89" i="94" s="1"/>
  <c r="P20" i="120"/>
  <c r="K14" i="99" s="1"/>
  <c r="K38" i="99" s="1"/>
  <c r="P17" i="120"/>
  <c r="K11" i="99" s="1"/>
  <c r="K35" i="99" s="1"/>
  <c r="P19" i="120"/>
  <c r="K13" i="99" s="1"/>
  <c r="K37" i="99" s="1"/>
  <c r="P18" i="120"/>
  <c r="K12" i="99" s="1"/>
  <c r="K36" i="99" s="1"/>
  <c r="P15" i="120"/>
  <c r="L12" i="140"/>
  <c r="K21" i="99" s="1"/>
  <c r="K45" i="99" s="1"/>
  <c r="L8" i="140"/>
  <c r="J9" i="99"/>
  <c r="O21" i="120"/>
  <c r="O22" i="120" s="1"/>
  <c r="E9" i="99"/>
  <c r="J21" i="120"/>
  <c r="J22" i="120" s="1"/>
  <c r="H9" i="99"/>
  <c r="M21" i="120"/>
  <c r="M22" i="120" s="1"/>
  <c r="F9" i="99"/>
  <c r="K21" i="120"/>
  <c r="K22" i="120" s="1"/>
  <c r="G9" i="99"/>
  <c r="L21" i="120"/>
  <c r="L22" i="120" s="1"/>
  <c r="I9" i="99"/>
  <c r="C27" i="120"/>
  <c r="C34" i="120" s="1"/>
  <c r="E34" i="120" s="1"/>
  <c r="C49" i="120"/>
  <c r="N21" i="120"/>
  <c r="L13" i="101"/>
  <c r="L9" i="101"/>
  <c r="O15" i="101"/>
  <c r="P15" i="101" s="1"/>
  <c r="Q15" i="101" s="1"/>
  <c r="R15" i="101" s="1"/>
  <c r="S15" i="101" s="1"/>
  <c r="T15" i="101" s="1"/>
  <c r="U15" i="101" s="1"/>
  <c r="V15" i="101" s="1"/>
  <c r="W15" i="101" s="1"/>
  <c r="E50" i="120"/>
  <c r="W53" i="101"/>
  <c r="Y141" i="101"/>
  <c r="Y25" i="101" s="1"/>
  <c r="Y14" i="101" s="1"/>
  <c r="E53" i="120"/>
  <c r="E51" i="120"/>
  <c r="E54" i="120"/>
  <c r="H21" i="120"/>
  <c r="E52" i="120"/>
  <c r="X14" i="101"/>
  <c r="AG46" i="101"/>
  <c r="M21" i="101"/>
  <c r="N47" i="101"/>
  <c r="M24" i="101"/>
  <c r="N52" i="101"/>
  <c r="E39" i="120"/>
  <c r="C45" i="120"/>
  <c r="N44" i="94"/>
  <c r="W47" i="101"/>
  <c r="V21" i="101"/>
  <c r="F33" i="99" l="1"/>
  <c r="F16" i="99"/>
  <c r="F40" i="99" s="1"/>
  <c r="E33" i="99"/>
  <c r="E16" i="99"/>
  <c r="E40" i="99" s="1"/>
  <c r="G33" i="99"/>
  <c r="G16" i="99"/>
  <c r="G40" i="99" s="1"/>
  <c r="H33" i="99"/>
  <c r="H16" i="99"/>
  <c r="H40" i="99" s="1"/>
  <c r="J33" i="99"/>
  <c r="J16" i="99"/>
  <c r="J40" i="99" s="1"/>
  <c r="I33" i="99"/>
  <c r="I16" i="99"/>
  <c r="I40" i="99" s="1"/>
  <c r="H93" i="94"/>
  <c r="C120" i="94" s="1"/>
  <c r="K93" i="94"/>
  <c r="F120" i="94" s="1"/>
  <c r="P92" i="94"/>
  <c r="P95" i="94" s="1"/>
  <c r="L10" i="140"/>
  <c r="K19" i="99" s="1"/>
  <c r="K43" i="99" s="1"/>
  <c r="L11" i="140"/>
  <c r="K20" i="99" s="1"/>
  <c r="K44" i="99" s="1"/>
  <c r="L9" i="140"/>
  <c r="K18" i="99" s="1"/>
  <c r="K42" i="99" s="1"/>
  <c r="K9" i="99"/>
  <c r="K33" i="99" s="1"/>
  <c r="P21" i="120"/>
  <c r="P22" i="120" s="1"/>
  <c r="P50" i="94"/>
  <c r="P52" i="94"/>
  <c r="P51" i="94"/>
  <c r="C33" i="120"/>
  <c r="N22" i="120"/>
  <c r="H22" i="120"/>
  <c r="D39" i="120"/>
  <c r="M13" i="101"/>
  <c r="M9" i="101"/>
  <c r="X15" i="101"/>
  <c r="Y15" i="101" s="1"/>
  <c r="Z141" i="101"/>
  <c r="Z25" i="101" s="1"/>
  <c r="AB14" i="101" s="1"/>
  <c r="X53" i="101"/>
  <c r="Y53" i="101" s="1"/>
  <c r="Z53" i="101" s="1"/>
  <c r="AA53" i="101" s="1"/>
  <c r="AB53" i="101" s="1"/>
  <c r="AC53" i="101" s="1"/>
  <c r="AD53" i="101" s="1"/>
  <c r="AE53" i="101" s="1"/>
  <c r="AF53" i="101" s="1"/>
  <c r="AG53" i="101" s="1"/>
  <c r="N21" i="101"/>
  <c r="O47" i="101"/>
  <c r="E49" i="120"/>
  <c r="C55" i="120"/>
  <c r="W21" i="101"/>
  <c r="X47" i="101"/>
  <c r="N24" i="101"/>
  <c r="N13" i="101" s="1"/>
  <c r="O52" i="101"/>
  <c r="D45" i="120"/>
  <c r="D42" i="120"/>
  <c r="D44" i="120"/>
  <c r="D40" i="120"/>
  <c r="D41" i="120"/>
  <c r="D43" i="120"/>
  <c r="AG47" i="101"/>
  <c r="AG54" i="101"/>
  <c r="E27" i="120"/>
  <c r="P93" i="94" l="1"/>
  <c r="K22" i="99"/>
  <c r="K46" i="99" s="1"/>
  <c r="F49" i="94"/>
  <c r="N9" i="101"/>
  <c r="AC14" i="101"/>
  <c r="AA14" i="101"/>
  <c r="Z14" i="101"/>
  <c r="Z15" i="101" s="1"/>
  <c r="AH53" i="101"/>
  <c r="D55" i="120"/>
  <c r="D50" i="120"/>
  <c r="D53" i="120"/>
  <c r="D51" i="120"/>
  <c r="D54" i="120"/>
  <c r="D52" i="120"/>
  <c r="AJ142" i="101"/>
  <c r="AH54" i="101"/>
  <c r="O42" i="94"/>
  <c r="O43" i="94" s="1"/>
  <c r="J117" i="94" s="1"/>
  <c r="O24" i="101"/>
  <c r="P52" i="101"/>
  <c r="X21" i="101"/>
  <c r="Y47" i="101"/>
  <c r="D49" i="120"/>
  <c r="AH47" i="101"/>
  <c r="AR49" i="101"/>
  <c r="O21" i="101"/>
  <c r="P47" i="101"/>
  <c r="K16" i="99" l="1"/>
  <c r="K40" i="99" s="1"/>
  <c r="K39" i="99"/>
  <c r="Q27" i="94"/>
  <c r="F48" i="94"/>
  <c r="P49" i="94"/>
  <c r="L49" i="94"/>
  <c r="I49" i="94"/>
  <c r="N49" i="94"/>
  <c r="O49" i="94"/>
  <c r="J49" i="94"/>
  <c r="K49" i="94"/>
  <c r="M49" i="94"/>
  <c r="H49" i="94"/>
  <c r="AA15" i="101"/>
  <c r="AB15" i="101" s="1"/>
  <c r="AC15" i="101" s="1"/>
  <c r="AD15" i="101" s="1"/>
  <c r="AE15" i="101" s="1"/>
  <c r="AF15" i="101" s="1"/>
  <c r="AG15" i="101" s="1"/>
  <c r="AH15" i="101" s="1"/>
  <c r="AI15" i="101" s="1"/>
  <c r="O9" i="101"/>
  <c r="O13" i="101"/>
  <c r="AI47" i="101"/>
  <c r="AS46" i="101"/>
  <c r="Z47" i="101"/>
  <c r="Y21" i="101"/>
  <c r="P21" i="101"/>
  <c r="Q47" i="101"/>
  <c r="P24" i="101"/>
  <c r="Q52" i="101"/>
  <c r="AK142" i="101"/>
  <c r="AI54" i="101"/>
  <c r="AI53" i="101"/>
  <c r="O44" i="94"/>
  <c r="E53" i="94" l="1"/>
  <c r="E54" i="94" s="1"/>
  <c r="Q17" i="120"/>
  <c r="L11" i="99" s="1"/>
  <c r="L35" i="99" s="1"/>
  <c r="Q46" i="94"/>
  <c r="Q89" i="94" s="1"/>
  <c r="Q18" i="120"/>
  <c r="L12" i="99" s="1"/>
  <c r="L36" i="99" s="1"/>
  <c r="Q19" i="120"/>
  <c r="Q20" i="120"/>
  <c r="L14" i="99" s="1"/>
  <c r="L38" i="99" s="1"/>
  <c r="Q16" i="120"/>
  <c r="L10" i="99" s="1"/>
  <c r="L34" i="99" s="1"/>
  <c r="Q15" i="120"/>
  <c r="L9" i="99" s="1"/>
  <c r="I48" i="94"/>
  <c r="M48" i="94"/>
  <c r="J48" i="94"/>
  <c r="L48" i="94"/>
  <c r="N48" i="94"/>
  <c r="K48" i="94"/>
  <c r="H48" i="94"/>
  <c r="P48" i="94"/>
  <c r="O48" i="94"/>
  <c r="M12" i="140"/>
  <c r="L21" i="99" s="1"/>
  <c r="L45" i="99" s="1"/>
  <c r="M8" i="140"/>
  <c r="P9" i="101"/>
  <c r="P13" i="101"/>
  <c r="AA47" i="101"/>
  <c r="Z21" i="101"/>
  <c r="AS47" i="101"/>
  <c r="AS55" i="101"/>
  <c r="AL142" i="101"/>
  <c r="AJ54" i="101"/>
  <c r="AK54" i="101" s="1"/>
  <c r="AL54" i="101" s="1"/>
  <c r="AM54" i="101" s="1"/>
  <c r="AN54" i="101" s="1"/>
  <c r="AO54" i="101" s="1"/>
  <c r="AP54" i="101" s="1"/>
  <c r="AQ54" i="101" s="1"/>
  <c r="AR54" i="101" s="1"/>
  <c r="AS54" i="101" s="1"/>
  <c r="Q21" i="101"/>
  <c r="R47" i="101"/>
  <c r="Q24" i="101"/>
  <c r="R52" i="101"/>
  <c r="AJ53" i="101"/>
  <c r="AJ47" i="101"/>
  <c r="L33" i="99" l="1"/>
  <c r="Q92" i="94"/>
  <c r="Q95" i="94" s="1"/>
  <c r="Q50" i="94"/>
  <c r="Q52" i="94"/>
  <c r="Q51" i="94"/>
  <c r="Q49" i="94"/>
  <c r="M9" i="140"/>
  <c r="L18" i="99" s="1"/>
  <c r="L42" i="99" s="1"/>
  <c r="M10" i="140"/>
  <c r="L19" i="99" s="1"/>
  <c r="L43" i="99" s="1"/>
  <c r="M11" i="140"/>
  <c r="L20" i="99" s="1"/>
  <c r="L44" i="99" s="1"/>
  <c r="F54" i="94"/>
  <c r="F53" i="94"/>
  <c r="Q48" i="94"/>
  <c r="Q21" i="120"/>
  <c r="Q22" i="120" s="1"/>
  <c r="L13" i="99"/>
  <c r="L37" i="99" s="1"/>
  <c r="Q13" i="101"/>
  <c r="Q9" i="101"/>
  <c r="AK47" i="101"/>
  <c r="R24" i="101"/>
  <c r="S52" i="101"/>
  <c r="AK53" i="101"/>
  <c r="AV143" i="101"/>
  <c r="AT55" i="101"/>
  <c r="AA21" i="101"/>
  <c r="AB47" i="101"/>
  <c r="R21" i="101"/>
  <c r="S47" i="101"/>
  <c r="AT54" i="101"/>
  <c r="AT47" i="101"/>
  <c r="BD49" i="101"/>
  <c r="L39" i="99" l="1"/>
  <c r="L16" i="99"/>
  <c r="L40" i="99" s="1"/>
  <c r="Q93" i="94"/>
  <c r="Q53" i="94"/>
  <c r="I53" i="94"/>
  <c r="J53" i="94"/>
  <c r="N53" i="94"/>
  <c r="M53" i="94"/>
  <c r="P53" i="94"/>
  <c r="L53" i="94"/>
  <c r="O53" i="94"/>
  <c r="K53" i="94"/>
  <c r="H53" i="94"/>
  <c r="F62" i="94"/>
  <c r="F61" i="94"/>
  <c r="K54" i="94"/>
  <c r="O54" i="94"/>
  <c r="P54" i="94"/>
  <c r="N54" i="94"/>
  <c r="H54" i="94"/>
  <c r="I54" i="94"/>
  <c r="Q54" i="94"/>
  <c r="L54" i="94"/>
  <c r="M54" i="94"/>
  <c r="J54" i="94"/>
  <c r="L22" i="99"/>
  <c r="L46" i="99" s="1"/>
  <c r="R13" i="101"/>
  <c r="R9" i="101"/>
  <c r="BE46" i="101"/>
  <c r="AW143" i="101"/>
  <c r="AU55" i="101"/>
  <c r="AU47" i="101"/>
  <c r="S21" i="101"/>
  <c r="S49" i="101"/>
  <c r="S23" i="101" s="1"/>
  <c r="AU54" i="101"/>
  <c r="AC47" i="101"/>
  <c r="AB21" i="101"/>
  <c r="P42" i="94"/>
  <c r="P43" i="94" s="1"/>
  <c r="S24" i="101"/>
  <c r="T52" i="101"/>
  <c r="AL47" i="101"/>
  <c r="R27" i="94" l="1"/>
  <c r="H61" i="94"/>
  <c r="C118" i="94" s="1"/>
  <c r="H62" i="94"/>
  <c r="K62" i="94"/>
  <c r="K61" i="94"/>
  <c r="F118" i="94" s="1"/>
  <c r="M62" i="94"/>
  <c r="M61" i="94"/>
  <c r="H118" i="94" s="1"/>
  <c r="P62" i="94"/>
  <c r="P61" i="94"/>
  <c r="I62" i="94"/>
  <c r="I61" i="94"/>
  <c r="D118" i="94" s="1"/>
  <c r="O62" i="94"/>
  <c r="O61" i="94"/>
  <c r="J118" i="94" s="1"/>
  <c r="N62" i="94"/>
  <c r="N61" i="94"/>
  <c r="I118" i="94" s="1"/>
  <c r="L61" i="94"/>
  <c r="G118" i="94" s="1"/>
  <c r="L62" i="94"/>
  <c r="J62" i="94"/>
  <c r="J61" i="94"/>
  <c r="E118" i="94" s="1"/>
  <c r="AB9" i="101"/>
  <c r="AA9" i="101"/>
  <c r="S13" i="101"/>
  <c r="W9" i="101"/>
  <c r="Z9" i="101"/>
  <c r="U9" i="101"/>
  <c r="S9" i="101"/>
  <c r="T9" i="101"/>
  <c r="V9" i="101"/>
  <c r="Y9" i="101"/>
  <c r="X9" i="101"/>
  <c r="AC21" i="101"/>
  <c r="AD47" i="101"/>
  <c r="AV54" i="101"/>
  <c r="AV47" i="101"/>
  <c r="AX143" i="101"/>
  <c r="AV55" i="101"/>
  <c r="AW55" i="101" s="1"/>
  <c r="AX55" i="101" s="1"/>
  <c r="AY55" i="101" s="1"/>
  <c r="AZ55" i="101" s="1"/>
  <c r="BA55" i="101" s="1"/>
  <c r="BB55" i="101" s="1"/>
  <c r="BC55" i="101" s="1"/>
  <c r="BD55" i="101" s="1"/>
  <c r="BE55" i="101" s="1"/>
  <c r="BE56" i="101"/>
  <c r="BE47" i="101"/>
  <c r="T24" i="101"/>
  <c r="U52" i="101"/>
  <c r="AM47" i="101"/>
  <c r="P44" i="94"/>
  <c r="W12" i="101"/>
  <c r="Y12" i="101"/>
  <c r="AA12" i="101"/>
  <c r="X12" i="101"/>
  <c r="V12" i="101"/>
  <c r="AB12" i="101"/>
  <c r="AD12" i="101"/>
  <c r="AC12" i="101"/>
  <c r="U12" i="101"/>
  <c r="T12" i="101"/>
  <c r="S12" i="101"/>
  <c r="Z12" i="101"/>
  <c r="AC9" i="101" l="1"/>
  <c r="T13" i="101"/>
  <c r="U24" i="101"/>
  <c r="V52" i="101"/>
  <c r="BF47" i="101"/>
  <c r="BP49" i="101"/>
  <c r="AN47" i="101"/>
  <c r="BH144" i="101"/>
  <c r="BF56" i="101"/>
  <c r="AW54" i="101"/>
  <c r="BF55" i="101"/>
  <c r="AW47" i="101"/>
  <c r="AD21" i="101"/>
  <c r="AE47" i="101"/>
  <c r="U13" i="101" l="1"/>
  <c r="AD9" i="101"/>
  <c r="AX47" i="101"/>
  <c r="BI144" i="101"/>
  <c r="BG56" i="101"/>
  <c r="Q62" i="94"/>
  <c r="Q61" i="94"/>
  <c r="BQ46" i="101"/>
  <c r="AE21" i="101"/>
  <c r="AE49" i="101"/>
  <c r="AE23" i="101" s="1"/>
  <c r="AE12" i="101" s="1"/>
  <c r="BG55" i="101"/>
  <c r="AO47" i="101"/>
  <c r="BG47" i="101"/>
  <c r="V24" i="101"/>
  <c r="W52" i="101"/>
  <c r="N8" i="140" l="1"/>
  <c r="N12" i="140"/>
  <c r="M21" i="99" s="1"/>
  <c r="R18" i="120"/>
  <c r="M12" i="99" s="1"/>
  <c r="R20" i="120"/>
  <c r="M14" i="99" s="1"/>
  <c r="R16" i="120"/>
  <c r="M10" i="99" s="1"/>
  <c r="R46" i="94"/>
  <c r="R17" i="120"/>
  <c r="M11" i="99" s="1"/>
  <c r="R19" i="120"/>
  <c r="M13" i="99" s="1"/>
  <c r="R15" i="120"/>
  <c r="V13" i="101"/>
  <c r="AF9" i="101"/>
  <c r="AE9" i="101"/>
  <c r="W24" i="101"/>
  <c r="X52" i="101"/>
  <c r="BH47" i="101"/>
  <c r="Q42" i="94"/>
  <c r="Q43" i="94" s="1"/>
  <c r="AP47" i="101"/>
  <c r="BH55" i="101"/>
  <c r="AY47" i="101"/>
  <c r="BQ47" i="101"/>
  <c r="BQ57" i="101"/>
  <c r="BH56" i="101"/>
  <c r="BI56" i="101" s="1"/>
  <c r="BJ56" i="101" s="1"/>
  <c r="BK56" i="101" s="1"/>
  <c r="BL56" i="101" s="1"/>
  <c r="BM56" i="101" s="1"/>
  <c r="BN56" i="101" s="1"/>
  <c r="BO56" i="101" s="1"/>
  <c r="BP56" i="101" s="1"/>
  <c r="BQ56" i="101" s="1"/>
  <c r="BJ144" i="101"/>
  <c r="R89" i="94" l="1"/>
  <c r="R50" i="94"/>
  <c r="R48" i="94"/>
  <c r="R49" i="94"/>
  <c r="R52" i="94"/>
  <c r="R54" i="94"/>
  <c r="R51" i="94"/>
  <c r="R53" i="94"/>
  <c r="M9" i="99"/>
  <c r="M16" i="99" s="1"/>
  <c r="R21" i="120"/>
  <c r="R22" i="120" s="1"/>
  <c r="N10" i="140"/>
  <c r="M19" i="99" s="1"/>
  <c r="N11" i="140"/>
  <c r="M20" i="99" s="1"/>
  <c r="N9" i="140"/>
  <c r="M18" i="99" s="1"/>
  <c r="S27" i="94"/>
  <c r="W13" i="101"/>
  <c r="BT145" i="101"/>
  <c r="BR57" i="101"/>
  <c r="BI55" i="101"/>
  <c r="BI47" i="101"/>
  <c r="BR56" i="101"/>
  <c r="CB49" i="101"/>
  <c r="BR47" i="101"/>
  <c r="AQ47" i="101"/>
  <c r="AZ47" i="101"/>
  <c r="Q44" i="94"/>
  <c r="X24" i="101"/>
  <c r="Y59" i="101"/>
  <c r="Y19" i="101" s="1"/>
  <c r="Y52" i="101"/>
  <c r="M22" i="99" l="1"/>
  <c r="R92" i="94"/>
  <c r="R95" i="94" s="1"/>
  <c r="X13" i="101"/>
  <c r="AQ49" i="101"/>
  <c r="CC46" i="101"/>
  <c r="AG6" i="101"/>
  <c r="AH6" i="101"/>
  <c r="AD6" i="101"/>
  <c r="AF6" i="101"/>
  <c r="Y6" i="101"/>
  <c r="Y7" i="101" s="1"/>
  <c r="Z6" i="101"/>
  <c r="AJ6" i="101"/>
  <c r="AB6" i="101"/>
  <c r="AE6" i="101"/>
  <c r="AC6" i="101"/>
  <c r="AI6" i="101"/>
  <c r="AA6" i="101"/>
  <c r="R62" i="94"/>
  <c r="R61" i="94"/>
  <c r="BS47" i="101"/>
  <c r="BS56" i="101"/>
  <c r="BA47" i="101"/>
  <c r="Y24" i="101"/>
  <c r="Z52" i="101"/>
  <c r="BJ47" i="101"/>
  <c r="BU145" i="101"/>
  <c r="BS57" i="101"/>
  <c r="R93" i="94" l="1"/>
  <c r="O12" i="140"/>
  <c r="N21" i="99" s="1"/>
  <c r="O8" i="140"/>
  <c r="O10" i="140" s="1"/>
  <c r="N19" i="99" s="1"/>
  <c r="S15" i="120"/>
  <c r="S46" i="94"/>
  <c r="S89" i="94" s="1"/>
  <c r="S20" i="120"/>
  <c r="N14" i="99" s="1"/>
  <c r="S18" i="120"/>
  <c r="N12" i="99" s="1"/>
  <c r="S17" i="120"/>
  <c r="N11" i="99" s="1"/>
  <c r="S19" i="120"/>
  <c r="N13" i="99" s="1"/>
  <c r="S16" i="120"/>
  <c r="N10" i="99" s="1"/>
  <c r="Y13" i="101"/>
  <c r="Z7" i="101"/>
  <c r="AA7" i="101" s="1"/>
  <c r="AB7" i="101" s="1"/>
  <c r="AC7" i="101" s="1"/>
  <c r="AD7" i="101" s="1"/>
  <c r="AE7" i="101" s="1"/>
  <c r="AF7" i="101" s="1"/>
  <c r="AG7" i="101" s="1"/>
  <c r="AH7" i="101" s="1"/>
  <c r="AI7" i="101" s="1"/>
  <c r="AJ7" i="101" s="1"/>
  <c r="R42" i="94"/>
  <c r="R43" i="94" s="1"/>
  <c r="BT57" i="101"/>
  <c r="BU57" i="101" s="1"/>
  <c r="BV57" i="101" s="1"/>
  <c r="BW57" i="101" s="1"/>
  <c r="BX57" i="101" s="1"/>
  <c r="BY57" i="101" s="1"/>
  <c r="BZ57" i="101" s="1"/>
  <c r="CA57" i="101" s="1"/>
  <c r="CB57" i="101" s="1"/>
  <c r="CC57" i="101" s="1"/>
  <c r="BV145" i="101"/>
  <c r="BB47" i="101"/>
  <c r="CC47" i="101"/>
  <c r="CC58" i="101"/>
  <c r="BT56" i="101"/>
  <c r="BK47" i="101"/>
  <c r="Z24" i="101"/>
  <c r="AA52" i="101"/>
  <c r="BT47" i="101"/>
  <c r="S92" i="94" l="1"/>
  <c r="S95" i="94" s="1"/>
  <c r="O9" i="140"/>
  <c r="N18" i="99" s="1"/>
  <c r="O11" i="140"/>
  <c r="N20" i="99" s="1"/>
  <c r="N9" i="99"/>
  <c r="N16" i="99" s="1"/>
  <c r="S21" i="120"/>
  <c r="S22" i="120" s="1"/>
  <c r="S50" i="94"/>
  <c r="S52" i="94"/>
  <c r="S51" i="94"/>
  <c r="S49" i="94"/>
  <c r="S48" i="94"/>
  <c r="S53" i="94"/>
  <c r="S54" i="94"/>
  <c r="Z13" i="101"/>
  <c r="BL47" i="101"/>
  <c r="CD57" i="101"/>
  <c r="CD47" i="101"/>
  <c r="CF146" i="101"/>
  <c r="CD58" i="101"/>
  <c r="BU47" i="101"/>
  <c r="BU56" i="101"/>
  <c r="AA24" i="101"/>
  <c r="AB52" i="101"/>
  <c r="BC47" i="101"/>
  <c r="R44" i="94"/>
  <c r="S93" i="94" l="1"/>
  <c r="N22" i="99"/>
  <c r="AA13" i="101"/>
  <c r="BV47" i="101"/>
  <c r="CG146" i="101"/>
  <c r="CE58" i="101"/>
  <c r="AB24" i="101"/>
  <c r="AC52" i="101"/>
  <c r="CE47" i="101"/>
  <c r="CE57" i="101"/>
  <c r="BC49" i="101"/>
  <c r="BM47" i="101"/>
  <c r="AB13" i="101" l="1"/>
  <c r="S62" i="94"/>
  <c r="S61" i="94"/>
  <c r="CF47" i="101"/>
  <c r="BN47" i="101"/>
  <c r="CF57" i="101"/>
  <c r="CH146" i="101"/>
  <c r="CF58" i="101"/>
  <c r="CG58" i="101" s="1"/>
  <c r="CH58" i="101" s="1"/>
  <c r="CI58" i="101" s="1"/>
  <c r="BW47" i="101"/>
  <c r="AC24" i="101"/>
  <c r="AD52" i="101"/>
  <c r="F262" i="98" l="1"/>
  <c r="AC13" i="101"/>
  <c r="CG57" i="101"/>
  <c r="CG47" i="101"/>
  <c r="S42" i="94"/>
  <c r="S43" i="94" s="1"/>
  <c r="BX47" i="101"/>
  <c r="BO47" i="101"/>
  <c r="AD24" i="101"/>
  <c r="AE52" i="101"/>
  <c r="H262" i="98" l="1"/>
  <c r="D262" i="98"/>
  <c r="G262" i="98"/>
  <c r="E262" i="98"/>
  <c r="AD13" i="101"/>
  <c r="S44" i="94"/>
  <c r="CH47" i="101"/>
  <c r="BY47" i="101"/>
  <c r="AF52" i="101"/>
  <c r="AE24" i="101"/>
  <c r="CH57" i="101"/>
  <c r="BO49" i="101"/>
  <c r="E260" i="98" l="1"/>
  <c r="F260" i="98"/>
  <c r="G260" i="98"/>
  <c r="H260" i="98"/>
  <c r="AE13" i="101"/>
  <c r="CI57" i="101"/>
  <c r="BZ47" i="101"/>
  <c r="AF24" i="101"/>
  <c r="AG60" i="101"/>
  <c r="AG20" i="101" s="1"/>
  <c r="CI47" i="101"/>
  <c r="AN8" i="101" l="1"/>
  <c r="AJ8" i="101"/>
  <c r="AI8" i="101"/>
  <c r="AQ8" i="101"/>
  <c r="AG8" i="101"/>
  <c r="AK8" i="101"/>
  <c r="AM8" i="101"/>
  <c r="AR8" i="101"/>
  <c r="AP8" i="101"/>
  <c r="AO8" i="101"/>
  <c r="AH8" i="101"/>
  <c r="AL8" i="101"/>
  <c r="AF13" i="101"/>
  <c r="A60" i="101"/>
  <c r="AG61" i="101"/>
  <c r="AG21" i="101" s="1"/>
  <c r="AG91" i="101"/>
  <c r="AG24" i="101" s="1"/>
  <c r="CA47" i="101"/>
  <c r="AG9" i="101" l="1"/>
  <c r="AG13" i="101"/>
  <c r="AH61" i="101"/>
  <c r="AH21" i="101" s="1"/>
  <c r="BD62" i="101"/>
  <c r="BP62" i="101"/>
  <c r="CB62" i="101"/>
  <c r="AR62" i="101"/>
  <c r="CA49" i="101"/>
  <c r="AJ149" i="101"/>
  <c r="AJ25" i="101" s="1"/>
  <c r="AH91" i="101"/>
  <c r="AH24" i="101" s="1"/>
  <c r="AR63" i="101" l="1"/>
  <c r="AK64" i="101" s="1"/>
  <c r="AR22" i="101"/>
  <c r="AH13" i="101"/>
  <c r="AH9" i="101"/>
  <c r="AJ14" i="101"/>
  <c r="AJ15" i="101" s="1"/>
  <c r="AK149" i="101"/>
  <c r="AK25" i="101" s="1"/>
  <c r="AI91" i="101"/>
  <c r="AI24" i="101" s="1"/>
  <c r="AF63" i="101"/>
  <c r="AF23" i="101" s="1"/>
  <c r="AI61" i="101"/>
  <c r="AS60" i="101" l="1"/>
  <c r="AK14" i="101"/>
  <c r="AK15" i="101" s="1"/>
  <c r="AJ61" i="101"/>
  <c r="AI21" i="101"/>
  <c r="AS10" i="101"/>
  <c r="BB10" i="101"/>
  <c r="AW10" i="101"/>
  <c r="AU10" i="101"/>
  <c r="AT10" i="101"/>
  <c r="AY10" i="101"/>
  <c r="AV10" i="101"/>
  <c r="BC10" i="101"/>
  <c r="AZ10" i="101"/>
  <c r="AR10" i="101"/>
  <c r="AR11" i="101" s="1"/>
  <c r="BA10" i="101"/>
  <c r="AX10" i="101"/>
  <c r="AN12" i="101"/>
  <c r="AO12" i="101"/>
  <c r="AP12" i="101"/>
  <c r="AM12" i="101"/>
  <c r="AI12" i="101"/>
  <c r="AG12" i="101"/>
  <c r="AJ12" i="101"/>
  <c r="AH12" i="101"/>
  <c r="AF12" i="101"/>
  <c r="AL12" i="101"/>
  <c r="AK12" i="101"/>
  <c r="AI13" i="101"/>
  <c r="AS61" i="101"/>
  <c r="AL149" i="101"/>
  <c r="AL25" i="101" s="1"/>
  <c r="AO14" i="101" s="1"/>
  <c r="AJ91" i="101"/>
  <c r="AK19" i="101"/>
  <c r="AL53" i="101"/>
  <c r="AS11" i="101" l="1"/>
  <c r="AT11" i="101" s="1"/>
  <c r="AU11" i="101" s="1"/>
  <c r="AV11" i="101" s="1"/>
  <c r="AW11" i="101" s="1"/>
  <c r="AX11" i="101" s="1"/>
  <c r="AY11" i="101" s="1"/>
  <c r="AZ11" i="101" s="1"/>
  <c r="BA11" i="101" s="1"/>
  <c r="BB11" i="101" s="1"/>
  <c r="BC11" i="101" s="1"/>
  <c r="AM14" i="101"/>
  <c r="AK91" i="101"/>
  <c r="AJ24" i="101"/>
  <c r="AI9" i="101"/>
  <c r="AN14" i="101"/>
  <c r="AK61" i="101"/>
  <c r="AJ21" i="101"/>
  <c r="AL14" i="101"/>
  <c r="AL15" i="101" s="1"/>
  <c r="AM53" i="101"/>
  <c r="AK6" i="101"/>
  <c r="AK7" i="101" s="1"/>
  <c r="AT6" i="101"/>
  <c r="AR6" i="101"/>
  <c r="AV6" i="101"/>
  <c r="AO6" i="101"/>
  <c r="AU6" i="101"/>
  <c r="AS6" i="101"/>
  <c r="AN6" i="101"/>
  <c r="AL6" i="101"/>
  <c r="AM6" i="101"/>
  <c r="AQ6" i="101"/>
  <c r="AP6" i="101"/>
  <c r="AT61" i="101"/>
  <c r="BD63" i="101"/>
  <c r="AM15" i="101" l="1"/>
  <c r="AN15" i="101" s="1"/>
  <c r="AO15" i="101" s="1"/>
  <c r="AP15" i="101" s="1"/>
  <c r="AQ15" i="101" s="1"/>
  <c r="AR15" i="101" s="1"/>
  <c r="AS15" i="101" s="1"/>
  <c r="AT15" i="101" s="1"/>
  <c r="AU15" i="101" s="1"/>
  <c r="AL7" i="101"/>
  <c r="AM7" i="101" s="1"/>
  <c r="AN7" i="101" s="1"/>
  <c r="AO7" i="101" s="1"/>
  <c r="AP7" i="101" s="1"/>
  <c r="AQ7" i="101" s="1"/>
  <c r="AR7" i="101" s="1"/>
  <c r="AS7" i="101" s="1"/>
  <c r="AT7" i="101" s="1"/>
  <c r="AU7" i="101" s="1"/>
  <c r="AV7" i="101" s="1"/>
  <c r="BE60" i="101"/>
  <c r="BE61" i="101" s="1"/>
  <c r="AJ9" i="101"/>
  <c r="AU61" i="101"/>
  <c r="AL61" i="101"/>
  <c r="AK21" i="101"/>
  <c r="AJ13" i="101"/>
  <c r="AL91" i="101"/>
  <c r="AK24" i="101"/>
  <c r="AN53" i="101"/>
  <c r="AM61" i="101" l="1"/>
  <c r="AL21" i="101"/>
  <c r="AK13" i="101"/>
  <c r="AM91" i="101"/>
  <c r="AL24" i="101"/>
  <c r="AK9" i="101"/>
  <c r="AV61" i="101"/>
  <c r="BF61" i="101"/>
  <c r="BP63" i="101"/>
  <c r="AO53" i="101"/>
  <c r="BQ60" i="101" l="1"/>
  <c r="BQ61" i="101" s="1"/>
  <c r="AL13" i="101"/>
  <c r="AL9" i="101"/>
  <c r="AW61" i="101"/>
  <c r="BG61" i="101"/>
  <c r="AN91" i="101"/>
  <c r="AM24" i="101"/>
  <c r="AN61" i="101"/>
  <c r="AM21" i="101"/>
  <c r="AP53" i="101"/>
  <c r="AO61" i="101" l="1"/>
  <c r="AN21" i="101"/>
  <c r="BH61" i="101"/>
  <c r="AO91" i="101"/>
  <c r="AN24" i="101"/>
  <c r="AX61" i="101"/>
  <c r="AM13" i="101"/>
  <c r="AM9" i="101"/>
  <c r="CB63" i="101"/>
  <c r="BR61" i="101"/>
  <c r="AQ53" i="101"/>
  <c r="AP91" i="101" l="1"/>
  <c r="AO24" i="101"/>
  <c r="AY61" i="101"/>
  <c r="BI61" i="101"/>
  <c r="BS61" i="101"/>
  <c r="AN9" i="101"/>
  <c r="CC60" i="101"/>
  <c r="CC61" i="101" s="1"/>
  <c r="AN13" i="101"/>
  <c r="AP61" i="101"/>
  <c r="AO21" i="101"/>
  <c r="AR53" i="101"/>
  <c r="BT61" i="101" l="1"/>
  <c r="AO13" i="101"/>
  <c r="AQ61" i="101"/>
  <c r="AP21" i="101"/>
  <c r="AQ91" i="101"/>
  <c r="AP24" i="101"/>
  <c r="BJ61" i="101"/>
  <c r="CD61" i="101"/>
  <c r="AO9" i="101"/>
  <c r="AZ61" i="101"/>
  <c r="AS65" i="101"/>
  <c r="BA61" i="101" l="1"/>
  <c r="AR91" i="101"/>
  <c r="AQ24" i="101"/>
  <c r="AS20" i="101"/>
  <c r="AS92" i="101"/>
  <c r="CE61" i="101"/>
  <c r="AP9" i="101"/>
  <c r="BK61" i="101"/>
  <c r="BU61" i="101"/>
  <c r="AP13" i="101"/>
  <c r="AQ63" i="101"/>
  <c r="AQ23" i="101" s="1"/>
  <c r="AQ21" i="101"/>
  <c r="A65" i="101"/>
  <c r="AS66" i="101"/>
  <c r="AS21" i="101" s="1"/>
  <c r="CF61" i="101" l="1"/>
  <c r="BA8" i="101"/>
  <c r="BB8" i="101"/>
  <c r="AT8" i="101"/>
  <c r="AY8" i="101"/>
  <c r="AS8" i="101"/>
  <c r="AU8" i="101"/>
  <c r="AZ8" i="101"/>
  <c r="AW8" i="101"/>
  <c r="BD8" i="101"/>
  <c r="BC8" i="101"/>
  <c r="AV8" i="101"/>
  <c r="AX8" i="101"/>
  <c r="BL61" i="101"/>
  <c r="AR9" i="101"/>
  <c r="AQ9" i="101"/>
  <c r="AQ12" i="101"/>
  <c r="BV61" i="101"/>
  <c r="AQ13" i="101"/>
  <c r="BB61" i="101"/>
  <c r="AV150" i="101"/>
  <c r="AV25" i="101" s="1"/>
  <c r="AT92" i="101"/>
  <c r="AS9" i="101"/>
  <c r="AS91" i="101"/>
  <c r="AR24" i="101"/>
  <c r="CB67" i="101"/>
  <c r="BD67" i="101"/>
  <c r="BP67" i="101"/>
  <c r="AT66" i="101"/>
  <c r="AT21" i="101" s="1"/>
  <c r="BD68" i="101" l="1"/>
  <c r="BE65" i="101" s="1"/>
  <c r="BD22" i="101"/>
  <c r="AT91" i="101"/>
  <c r="AS24" i="101"/>
  <c r="BC61" i="101"/>
  <c r="AR13" i="101"/>
  <c r="AV14" i="101"/>
  <c r="AV15" i="101" s="1"/>
  <c r="BW61" i="101"/>
  <c r="BM61" i="101"/>
  <c r="CG61" i="101"/>
  <c r="AW150" i="101"/>
  <c r="AW25" i="101" s="1"/>
  <c r="AU92" i="101"/>
  <c r="AT9" i="101"/>
  <c r="AR68" i="101"/>
  <c r="AR23" i="101" s="1"/>
  <c r="AU66" i="101"/>
  <c r="AS13" i="101" l="1"/>
  <c r="BN61" i="101"/>
  <c r="BX61" i="101"/>
  <c r="AU91" i="101"/>
  <c r="AT24" i="101"/>
  <c r="CH61" i="101"/>
  <c r="AV66" i="101"/>
  <c r="AU21" i="101"/>
  <c r="BG10" i="101"/>
  <c r="BF10" i="101"/>
  <c r="BN10" i="101"/>
  <c r="BK10" i="101"/>
  <c r="BM10" i="101"/>
  <c r="BD10" i="101"/>
  <c r="BD11" i="101" s="1"/>
  <c r="BE10" i="101"/>
  <c r="BL10" i="101"/>
  <c r="BI10" i="101"/>
  <c r="BO10" i="101"/>
  <c r="BJ10" i="101"/>
  <c r="BH10" i="101"/>
  <c r="BE66" i="101"/>
  <c r="BP68" i="101" s="1"/>
  <c r="AZ12" i="101"/>
  <c r="BB12" i="101"/>
  <c r="AS12" i="101"/>
  <c r="AU12" i="101"/>
  <c r="AT12" i="101"/>
  <c r="AY12" i="101"/>
  <c r="AV12" i="101"/>
  <c r="AX12" i="101"/>
  <c r="BA12" i="101"/>
  <c r="AR12" i="101"/>
  <c r="AW12" i="101"/>
  <c r="AX150" i="101"/>
  <c r="AX25" i="101" s="1"/>
  <c r="BA14" i="101" s="1"/>
  <c r="AV92" i="101"/>
  <c r="AW92" i="101" s="1"/>
  <c r="AX92" i="101" s="1"/>
  <c r="AY92" i="101" s="1"/>
  <c r="AZ92" i="101" s="1"/>
  <c r="BA92" i="101" s="1"/>
  <c r="BB92" i="101" s="1"/>
  <c r="BC92" i="101" s="1"/>
  <c r="BD92" i="101" s="1"/>
  <c r="BE92" i="101" s="1"/>
  <c r="AW14" i="101"/>
  <c r="AW15" i="101" s="1"/>
  <c r="BC63" i="101"/>
  <c r="BF66" i="101" l="1"/>
  <c r="BG66" i="101" s="1"/>
  <c r="BE11" i="101"/>
  <c r="BF11" i="101" s="1"/>
  <c r="BG11" i="101" s="1"/>
  <c r="BH11" i="101" s="1"/>
  <c r="BI11" i="101" s="1"/>
  <c r="BJ11" i="101" s="1"/>
  <c r="BK11" i="101" s="1"/>
  <c r="BL11" i="101" s="1"/>
  <c r="BM11" i="101" s="1"/>
  <c r="BN11" i="101" s="1"/>
  <c r="BO11" i="101" s="1"/>
  <c r="BF92" i="101"/>
  <c r="AW66" i="101"/>
  <c r="AV21" i="101"/>
  <c r="AY14" i="101"/>
  <c r="AU9" i="101"/>
  <c r="BO61" i="101"/>
  <c r="AT13" i="101"/>
  <c r="BY61" i="101"/>
  <c r="AX14" i="101"/>
  <c r="AX15" i="101" s="1"/>
  <c r="CI61" i="101"/>
  <c r="AV91" i="101"/>
  <c r="AU24" i="101"/>
  <c r="AZ14" i="101"/>
  <c r="BQ65" i="101"/>
  <c r="AY15" i="101" l="1"/>
  <c r="AZ15" i="101" s="1"/>
  <c r="BA15" i="101" s="1"/>
  <c r="BB15" i="101" s="1"/>
  <c r="BC15" i="101" s="1"/>
  <c r="BD15" i="101" s="1"/>
  <c r="BE15" i="101" s="1"/>
  <c r="BF15" i="101" s="1"/>
  <c r="BG15" i="101" s="1"/>
  <c r="BQ66" i="101"/>
  <c r="AX66" i="101"/>
  <c r="AW21" i="101"/>
  <c r="AW91" i="101"/>
  <c r="AV24" i="101"/>
  <c r="AU13" i="101"/>
  <c r="BH66" i="101"/>
  <c r="BZ61" i="101"/>
  <c r="BO63" i="101"/>
  <c r="AV9" i="101"/>
  <c r="BG92" i="101"/>
  <c r="BH92" i="101" l="1"/>
  <c r="BI66" i="101"/>
  <c r="AV13" i="101"/>
  <c r="AW9" i="101"/>
  <c r="BR66" i="101"/>
  <c r="AX91" i="101"/>
  <c r="AY91" i="101" s="1"/>
  <c r="AZ91" i="101" s="1"/>
  <c r="BA91" i="101" s="1"/>
  <c r="BB91" i="101" s="1"/>
  <c r="BC91" i="101" s="1"/>
  <c r="BD91" i="101" s="1"/>
  <c r="AW24" i="101"/>
  <c r="AY66" i="101"/>
  <c r="AX21" i="101"/>
  <c r="CA61" i="101"/>
  <c r="CB68" i="101"/>
  <c r="CC65" i="101"/>
  <c r="CC66" i="101" l="1"/>
  <c r="AZ66" i="101"/>
  <c r="AY21" i="101"/>
  <c r="AW13" i="101"/>
  <c r="BJ66" i="101"/>
  <c r="BE99" i="101"/>
  <c r="AW69" i="101"/>
  <c r="BS66" i="101"/>
  <c r="AX9" i="101"/>
  <c r="CA63" i="101"/>
  <c r="BI92" i="101"/>
  <c r="A99" i="101" l="1"/>
  <c r="BE100" i="101"/>
  <c r="BF100" i="101" s="1"/>
  <c r="BE120" i="101"/>
  <c r="BK66" i="101"/>
  <c r="BT66" i="101"/>
  <c r="BA66" i="101"/>
  <c r="AZ21" i="101"/>
  <c r="BJ92" i="101"/>
  <c r="BK92" i="101" s="1"/>
  <c r="BL92" i="101" s="1"/>
  <c r="BM92" i="101" s="1"/>
  <c r="BN92" i="101" s="1"/>
  <c r="BO92" i="101" s="1"/>
  <c r="BP92" i="101" s="1"/>
  <c r="BQ104" i="101" s="1"/>
  <c r="CD66" i="101"/>
  <c r="AY9" i="101"/>
  <c r="AX54" i="101"/>
  <c r="AW19" i="101"/>
  <c r="BB66" i="101" l="1"/>
  <c r="BA21" i="101"/>
  <c r="BD102" i="101"/>
  <c r="BG100" i="101"/>
  <c r="BH100" i="101" s="1"/>
  <c r="BI100" i="101" s="1"/>
  <c r="BJ100" i="101" s="1"/>
  <c r="BK100" i="101" s="1"/>
  <c r="BL100" i="101" s="1"/>
  <c r="BM100" i="101" s="1"/>
  <c r="BN100" i="101" s="1"/>
  <c r="BO100" i="101" s="1"/>
  <c r="BO102" i="101" s="1"/>
  <c r="BU66" i="101"/>
  <c r="BE6" i="101"/>
  <c r="AZ6" i="101"/>
  <c r="BG6" i="101"/>
  <c r="BB6" i="101"/>
  <c r="AY6" i="101"/>
  <c r="AX6" i="101"/>
  <c r="BA6" i="101"/>
  <c r="BD6" i="101"/>
  <c r="BF6" i="101"/>
  <c r="BH6" i="101"/>
  <c r="AW6" i="101"/>
  <c r="AW7" i="101" s="1"/>
  <c r="BC6" i="101"/>
  <c r="CE66" i="101"/>
  <c r="AY54" i="101"/>
  <c r="AX24" i="101"/>
  <c r="CB101" i="101"/>
  <c r="BP101" i="101"/>
  <c r="BP102" i="101" s="1"/>
  <c r="BQ99" i="101" s="1"/>
  <c r="AZ9" i="101"/>
  <c r="BH158" i="101"/>
  <c r="BF120" i="101"/>
  <c r="BQ105" i="101"/>
  <c r="A104" i="101"/>
  <c r="CB106" i="101" s="1"/>
  <c r="BL66" i="101"/>
  <c r="AX7" i="101" l="1"/>
  <c r="AY7" i="101" s="1"/>
  <c r="AZ7" i="101" s="1"/>
  <c r="BA7" i="101" s="1"/>
  <c r="BB7" i="101" s="1"/>
  <c r="BC7" i="101" s="1"/>
  <c r="BD7" i="101" s="1"/>
  <c r="BE7" i="101" s="1"/>
  <c r="BF7" i="101" s="1"/>
  <c r="BG7" i="101" s="1"/>
  <c r="BH7" i="101" s="1"/>
  <c r="CF66" i="101"/>
  <c r="BG120" i="101"/>
  <c r="BI158" i="101"/>
  <c r="AX13" i="101"/>
  <c r="BA9" i="101"/>
  <c r="BM66" i="101"/>
  <c r="CB107" i="101"/>
  <c r="CC104" i="101" s="1"/>
  <c r="CC105" i="101" s="1"/>
  <c r="CD105" i="101" s="1"/>
  <c r="CE105" i="101" s="1"/>
  <c r="CF105" i="101" s="1"/>
  <c r="CG105" i="101" s="1"/>
  <c r="CH105" i="101" s="1"/>
  <c r="CI105" i="101" s="1"/>
  <c r="BR105" i="101"/>
  <c r="BQ100" i="101"/>
  <c r="BQ121" i="101"/>
  <c r="AZ54" i="101"/>
  <c r="AY24" i="101"/>
  <c r="BV66" i="101"/>
  <c r="BC66" i="101"/>
  <c r="BB21" i="101"/>
  <c r="AY13" i="101" l="1"/>
  <c r="BR121" i="101"/>
  <c r="BT159" i="101"/>
  <c r="BP107" i="101"/>
  <c r="BS105" i="101"/>
  <c r="BT105" i="101" s="1"/>
  <c r="BU105" i="101" s="1"/>
  <c r="BV105" i="101" s="1"/>
  <c r="BW105" i="101" s="1"/>
  <c r="BX105" i="101" s="1"/>
  <c r="BY105" i="101" s="1"/>
  <c r="BZ105" i="101" s="1"/>
  <c r="CA105" i="101" s="1"/>
  <c r="CA107" i="101" s="1"/>
  <c r="BW66" i="101"/>
  <c r="BN66" i="101"/>
  <c r="CG66" i="101"/>
  <c r="BC68" i="101"/>
  <c r="BC23" i="101" s="1"/>
  <c r="BC21" i="101"/>
  <c r="BJ158" i="101"/>
  <c r="BH120" i="101"/>
  <c r="BI120" i="101" s="1"/>
  <c r="BJ120" i="101" s="1"/>
  <c r="BK120" i="101" s="1"/>
  <c r="BL120" i="101" s="1"/>
  <c r="BM120" i="101" s="1"/>
  <c r="BN120" i="101" s="1"/>
  <c r="BO120" i="101" s="1"/>
  <c r="BP120" i="101" s="1"/>
  <c r="BQ120" i="101" s="1"/>
  <c r="BR120" i="101" s="1"/>
  <c r="BS120" i="101" s="1"/>
  <c r="BT120" i="101" s="1"/>
  <c r="BU120" i="101" s="1"/>
  <c r="BV120" i="101" s="1"/>
  <c r="BW120" i="101" s="1"/>
  <c r="BX120" i="101" s="1"/>
  <c r="BY120" i="101" s="1"/>
  <c r="BZ120" i="101" s="1"/>
  <c r="CA120" i="101" s="1"/>
  <c r="CB120" i="101" s="1"/>
  <c r="CC128" i="101" s="1"/>
  <c r="AZ24" i="101"/>
  <c r="BA54" i="101"/>
  <c r="BR100" i="101"/>
  <c r="BS100" i="101" s="1"/>
  <c r="BT100" i="101" s="1"/>
  <c r="BU100" i="101" s="1"/>
  <c r="BV100" i="101" s="1"/>
  <c r="BW100" i="101" s="1"/>
  <c r="BX100" i="101" s="1"/>
  <c r="BY100" i="101" s="1"/>
  <c r="BZ100" i="101" s="1"/>
  <c r="CA100" i="101" s="1"/>
  <c r="CA102" i="101" s="1"/>
  <c r="CB102" i="101"/>
  <c r="CC99" i="101" s="1"/>
  <c r="BB9" i="101"/>
  <c r="AZ13" i="101" l="1"/>
  <c r="BS121" i="101"/>
  <c r="BU159" i="101"/>
  <c r="CC100" i="101"/>
  <c r="CD100" i="101" s="1"/>
  <c r="CE100" i="101" s="1"/>
  <c r="CF100" i="101" s="1"/>
  <c r="CG100" i="101" s="1"/>
  <c r="CH100" i="101" s="1"/>
  <c r="CI100" i="101" s="1"/>
  <c r="BD9" i="101"/>
  <c r="BC9" i="101"/>
  <c r="CH66" i="101"/>
  <c r="BX66" i="101"/>
  <c r="BC12" i="101"/>
  <c r="BO66" i="101"/>
  <c r="BA24" i="101"/>
  <c r="BB54" i="101"/>
  <c r="CC129" i="101"/>
  <c r="CD129" i="101" s="1"/>
  <c r="A128" i="101"/>
  <c r="CE129" i="101" l="1"/>
  <c r="CF129" i="101" s="1"/>
  <c r="CG129" i="101" s="1"/>
  <c r="CH129" i="101" s="1"/>
  <c r="CI129" i="101" s="1"/>
  <c r="CB131" i="101"/>
  <c r="BO68" i="101"/>
  <c r="BY66" i="101"/>
  <c r="CI66" i="101"/>
  <c r="BT121" i="101"/>
  <c r="BU121" i="101" s="1"/>
  <c r="BV121" i="101" s="1"/>
  <c r="BW121" i="101" s="1"/>
  <c r="BX121" i="101" s="1"/>
  <c r="BY121" i="101" s="1"/>
  <c r="BZ121" i="101" s="1"/>
  <c r="CA121" i="101" s="1"/>
  <c r="CB121" i="101" s="1"/>
  <c r="CC121" i="101" s="1"/>
  <c r="CD121" i="101" s="1"/>
  <c r="CE121" i="101" s="1"/>
  <c r="CF121" i="101" s="1"/>
  <c r="CG121" i="101" s="1"/>
  <c r="CH121" i="101" s="1"/>
  <c r="CI121" i="101" s="1"/>
  <c r="BV159" i="101"/>
  <c r="BB24" i="101"/>
  <c r="BC54" i="101"/>
  <c r="BA13" i="101"/>
  <c r="BB13" i="101" l="1"/>
  <c r="BZ66" i="101"/>
  <c r="BC24" i="101"/>
  <c r="BD54" i="101"/>
  <c r="BC13" i="101" l="1"/>
  <c r="CA66" i="101"/>
  <c r="BD24" i="101"/>
  <c r="BE70" i="101"/>
  <c r="BD13" i="101" l="1"/>
  <c r="BE93" i="101"/>
  <c r="BE20" i="101"/>
  <c r="A70" i="101"/>
  <c r="BE71" i="101"/>
  <c r="CA68" i="101"/>
  <c r="BF8" i="101" l="1"/>
  <c r="BH8" i="101"/>
  <c r="BK8" i="101"/>
  <c r="BM8" i="101"/>
  <c r="BN8" i="101"/>
  <c r="BG8" i="101"/>
  <c r="BI8" i="101"/>
  <c r="BE8" i="101"/>
  <c r="BP8" i="101"/>
  <c r="BO8" i="101"/>
  <c r="BJ8" i="101"/>
  <c r="BL8" i="101"/>
  <c r="BE21" i="101"/>
  <c r="BF71" i="101"/>
  <c r="BF93" i="101"/>
  <c r="BH151" i="101"/>
  <c r="BH25" i="101" s="1"/>
  <c r="BE24" i="101"/>
  <c r="CB72" i="101"/>
  <c r="BP72" i="101"/>
  <c r="BP73" i="101" l="1"/>
  <c r="BP22" i="101"/>
  <c r="BF21" i="101"/>
  <c r="BG71" i="101"/>
  <c r="BD73" i="101"/>
  <c r="BD23" i="101" s="1"/>
  <c r="BI151" i="101"/>
  <c r="BI25" i="101" s="1"/>
  <c r="BI14" i="101" s="1"/>
  <c r="BG93" i="101"/>
  <c r="BF24" i="101"/>
  <c r="BE13" i="101"/>
  <c r="BE9" i="101"/>
  <c r="BH14" i="101"/>
  <c r="BH15" i="101" s="1"/>
  <c r="BF13" i="101" l="1"/>
  <c r="BJ151" i="101"/>
  <c r="BJ25" i="101" s="1"/>
  <c r="BL14" i="101" s="1"/>
  <c r="BH93" i="101"/>
  <c r="BG24" i="101"/>
  <c r="BF9" i="101"/>
  <c r="BU10" i="101"/>
  <c r="BX10" i="101"/>
  <c r="BW10" i="101"/>
  <c r="BP10" i="101"/>
  <c r="BP11" i="101" s="1"/>
  <c r="BZ10" i="101"/>
  <c r="BS10" i="101"/>
  <c r="BT10" i="101"/>
  <c r="BV10" i="101"/>
  <c r="CA10" i="101"/>
  <c r="BY10" i="101"/>
  <c r="BQ10" i="101"/>
  <c r="BR10" i="101"/>
  <c r="BH71" i="101"/>
  <c r="BG21" i="101"/>
  <c r="BI15" i="101"/>
  <c r="BK12" i="101"/>
  <c r="BF12" i="101"/>
  <c r="BH12" i="101"/>
  <c r="BG12" i="101"/>
  <c r="BL12" i="101"/>
  <c r="BD12" i="101"/>
  <c r="BM12" i="101"/>
  <c r="BN12" i="101"/>
  <c r="BI12" i="101"/>
  <c r="BJ12" i="101"/>
  <c r="BE12" i="101"/>
  <c r="BQ70" i="101"/>
  <c r="BI74" i="101"/>
  <c r="BQ11" i="101" l="1"/>
  <c r="BR11" i="101" s="1"/>
  <c r="BS11" i="101" s="1"/>
  <c r="BT11" i="101" s="1"/>
  <c r="BU11" i="101" s="1"/>
  <c r="BV11" i="101" s="1"/>
  <c r="BW11" i="101" s="1"/>
  <c r="BX11" i="101" s="1"/>
  <c r="BY11" i="101" s="1"/>
  <c r="BZ11" i="101" s="1"/>
  <c r="CA11" i="101" s="1"/>
  <c r="BG13" i="101"/>
  <c r="BI19" i="101"/>
  <c r="BJ55" i="101"/>
  <c r="BG9" i="101"/>
  <c r="BI93" i="101"/>
  <c r="BH24" i="101"/>
  <c r="BQ71" i="101"/>
  <c r="BI71" i="101"/>
  <c r="BH21" i="101"/>
  <c r="BM14" i="101"/>
  <c r="BJ14" i="101"/>
  <c r="BJ15" i="101" s="1"/>
  <c r="BK14" i="101"/>
  <c r="BK15" i="101" l="1"/>
  <c r="BL15" i="101" s="1"/>
  <c r="BM15" i="101" s="1"/>
  <c r="BN15" i="101" s="1"/>
  <c r="BO15" i="101" s="1"/>
  <c r="BP15" i="101" s="1"/>
  <c r="BQ15" i="101" s="1"/>
  <c r="BR15" i="101" s="1"/>
  <c r="BS15" i="101" s="1"/>
  <c r="BH13" i="101"/>
  <c r="BI6" i="101"/>
  <c r="BI7" i="101" s="1"/>
  <c r="BM6" i="101"/>
  <c r="BJ6" i="101"/>
  <c r="BK6" i="101"/>
  <c r="BO6" i="101"/>
  <c r="BL6" i="101"/>
  <c r="BN6" i="101"/>
  <c r="BJ93" i="101"/>
  <c r="BK93" i="101" s="1"/>
  <c r="BL93" i="101" s="1"/>
  <c r="BM93" i="101" s="1"/>
  <c r="BN93" i="101" s="1"/>
  <c r="BO93" i="101" s="1"/>
  <c r="BP93" i="101" s="1"/>
  <c r="BQ93" i="101" s="1"/>
  <c r="BI24" i="101"/>
  <c r="BH9" i="101"/>
  <c r="BJ71" i="101"/>
  <c r="BI21" i="101"/>
  <c r="BR71" i="101"/>
  <c r="CB73" i="101"/>
  <c r="BK55" i="101"/>
  <c r="BJ24" i="101" l="1"/>
  <c r="BJ13" i="101" s="1"/>
  <c r="BJ7" i="101"/>
  <c r="BK7" i="101" s="1"/>
  <c r="BL7" i="101" s="1"/>
  <c r="BM7" i="101" s="1"/>
  <c r="BN7" i="101" s="1"/>
  <c r="BO7" i="101" s="1"/>
  <c r="BL55" i="101"/>
  <c r="BK24" i="101"/>
  <c r="CC70" i="101"/>
  <c r="BK71" i="101"/>
  <c r="BJ21" i="101"/>
  <c r="BJ9" i="101" s="1"/>
  <c r="BI13" i="101"/>
  <c r="BI9" i="101"/>
  <c r="BS71" i="101"/>
  <c r="BR93" i="101"/>
  <c r="BL24" i="101" l="1"/>
  <c r="BM55" i="101"/>
  <c r="CC71" i="101"/>
  <c r="BT71" i="101"/>
  <c r="BL71" i="101"/>
  <c r="BK21" i="101"/>
  <c r="BS93" i="101"/>
  <c r="BK13" i="101"/>
  <c r="CD71" i="101" l="1"/>
  <c r="BT93" i="101"/>
  <c r="BU71" i="101"/>
  <c r="BN55" i="101"/>
  <c r="BM24" i="101"/>
  <c r="BM71" i="101"/>
  <c r="BL21" i="101"/>
  <c r="BK9" i="101"/>
  <c r="BL13" i="101"/>
  <c r="BM13" i="101" l="1"/>
  <c r="BU93" i="101"/>
  <c r="BN71" i="101"/>
  <c r="BM21" i="101"/>
  <c r="BV71" i="101"/>
  <c r="BN24" i="101"/>
  <c r="BO55" i="101"/>
  <c r="BL9" i="101"/>
  <c r="CE71" i="101"/>
  <c r="BM9" i="101" l="1"/>
  <c r="BO71" i="101"/>
  <c r="BN21" i="101"/>
  <c r="CF71" i="101"/>
  <c r="BO24" i="101"/>
  <c r="BP55" i="101"/>
  <c r="BN13" i="101"/>
  <c r="BW71" i="101"/>
  <c r="BV93" i="101"/>
  <c r="BW93" i="101" s="1"/>
  <c r="BX93" i="101" s="1"/>
  <c r="BY93" i="101" s="1"/>
  <c r="BZ93" i="101" s="1"/>
  <c r="CA93" i="101" s="1"/>
  <c r="CB93" i="101" s="1"/>
  <c r="CG71" i="101" l="1"/>
  <c r="BP24" i="101"/>
  <c r="BP74" i="101"/>
  <c r="BP19" i="101" s="1"/>
  <c r="BN9" i="101"/>
  <c r="BX71" i="101"/>
  <c r="CC109" i="101"/>
  <c r="BO13" i="101"/>
  <c r="BO73" i="101"/>
  <c r="BO23" i="101" s="1"/>
  <c r="BO21" i="101"/>
  <c r="BP6" i="101" l="1"/>
  <c r="BP7" i="101" s="1"/>
  <c r="BR6" i="101"/>
  <c r="BQ6" i="101"/>
  <c r="BT6" i="101"/>
  <c r="BS6" i="101"/>
  <c r="BP13" i="101"/>
  <c r="A109" i="101"/>
  <c r="CC110" i="101"/>
  <c r="CD110" i="101" s="1"/>
  <c r="CC122" i="101"/>
  <c r="BO9" i="101"/>
  <c r="BP9" i="101"/>
  <c r="BO12" i="101"/>
  <c r="BY71" i="101"/>
  <c r="BQ75" i="101"/>
  <c r="CH71" i="101"/>
  <c r="BQ94" i="101" l="1"/>
  <c r="BQ20" i="101"/>
  <c r="A75" i="101"/>
  <c r="CB77" i="101" s="1"/>
  <c r="CB22" i="101" s="1"/>
  <c r="BQ76" i="101"/>
  <c r="BZ71" i="101"/>
  <c r="BQ7" i="101"/>
  <c r="BR7" i="101" s="1"/>
  <c r="BS7" i="101" s="1"/>
  <c r="BT7" i="101" s="1"/>
  <c r="CF160" i="101"/>
  <c r="CD122" i="101"/>
  <c r="CI71" i="101"/>
  <c r="CE110" i="101"/>
  <c r="CF110" i="101" s="1"/>
  <c r="CG110" i="101" s="1"/>
  <c r="CH110" i="101" s="1"/>
  <c r="CI110" i="101" s="1"/>
  <c r="CB112" i="101"/>
  <c r="CC10" i="101" l="1"/>
  <c r="CF10" i="101"/>
  <c r="CH10" i="101"/>
  <c r="CD10" i="101"/>
  <c r="CI10" i="101"/>
  <c r="CE10" i="101"/>
  <c r="CB10" i="101"/>
  <c r="CB11" i="101" s="1"/>
  <c r="CC11" i="101" s="1"/>
  <c r="CG10" i="101"/>
  <c r="BQ21" i="101"/>
  <c r="CB78" i="101"/>
  <c r="BR76" i="101"/>
  <c r="BX8" i="101"/>
  <c r="BV8" i="101"/>
  <c r="BZ8" i="101"/>
  <c r="CA8" i="101"/>
  <c r="BT8" i="101"/>
  <c r="CB8" i="101"/>
  <c r="BW8" i="101"/>
  <c r="BQ8" i="101"/>
  <c r="BR8" i="101"/>
  <c r="BU8" i="101"/>
  <c r="BS8" i="101"/>
  <c r="BY8" i="101"/>
  <c r="CG160" i="101"/>
  <c r="CE122" i="101"/>
  <c r="CA71" i="101"/>
  <c r="BT152" i="101"/>
  <c r="BT25" i="101" s="1"/>
  <c r="BR94" i="101"/>
  <c r="BQ24" i="101"/>
  <c r="CA73" i="101" l="1"/>
  <c r="BR21" i="101"/>
  <c r="BP78" i="101"/>
  <c r="BP23" i="101" s="1"/>
  <c r="BS76" i="101"/>
  <c r="CF122" i="101"/>
  <c r="CG122" i="101" s="1"/>
  <c r="CH122" i="101" s="1"/>
  <c r="CI122" i="101" s="1"/>
  <c r="CH160" i="101"/>
  <c r="CC75" i="101"/>
  <c r="BU79" i="101"/>
  <c r="BQ13" i="101"/>
  <c r="CD11" i="101"/>
  <c r="CE11" i="101" s="1"/>
  <c r="CF11" i="101" s="1"/>
  <c r="CG11" i="101" s="1"/>
  <c r="CH11" i="101" s="1"/>
  <c r="CI11" i="101" s="1"/>
  <c r="BU152" i="101"/>
  <c r="BU25" i="101" s="1"/>
  <c r="BS94" i="101"/>
  <c r="BR24" i="101"/>
  <c r="BT14" i="101"/>
  <c r="BT15" i="101" s="1"/>
  <c r="BQ9" i="101"/>
  <c r="BT94" i="101" l="1"/>
  <c r="BV152" i="101"/>
  <c r="BV25" i="101" s="1"/>
  <c r="BW14" i="101" s="1"/>
  <c r="BS24" i="101"/>
  <c r="BR9" i="101"/>
  <c r="BU19" i="101"/>
  <c r="BV56" i="101"/>
  <c r="BW12" i="101"/>
  <c r="BV12" i="101"/>
  <c r="BT12" i="101"/>
  <c r="BU12" i="101"/>
  <c r="BS12" i="101"/>
  <c r="BX12" i="101"/>
  <c r="BQ12" i="101"/>
  <c r="BR12" i="101"/>
  <c r="BZ12" i="101"/>
  <c r="BY12" i="101"/>
  <c r="BP12" i="101"/>
  <c r="BU14" i="101"/>
  <c r="BU15" i="101" s="1"/>
  <c r="BR13" i="101"/>
  <c r="CC76" i="101"/>
  <c r="BT76" i="101"/>
  <c r="BS21" i="101"/>
  <c r="BX14" i="101" l="1"/>
  <c r="BS9" i="101"/>
  <c r="CD76" i="101"/>
  <c r="BU76" i="101"/>
  <c r="BT21" i="101"/>
  <c r="BW56" i="101"/>
  <c r="BS13" i="101"/>
  <c r="CC6" i="101"/>
  <c r="CF6" i="101"/>
  <c r="CD6" i="101"/>
  <c r="CE6" i="101"/>
  <c r="CB6" i="101"/>
  <c r="BY6" i="101"/>
  <c r="BW6" i="101"/>
  <c r="BV6" i="101"/>
  <c r="BU6" i="101"/>
  <c r="BU7" i="101" s="1"/>
  <c r="BZ6" i="101"/>
  <c r="BX6" i="101"/>
  <c r="CA6" i="101"/>
  <c r="BY14" i="101"/>
  <c r="BV14" i="101"/>
  <c r="BV15" i="101" s="1"/>
  <c r="BW15" i="101" s="1"/>
  <c r="BX15" i="101" s="1"/>
  <c r="BU94" i="101"/>
  <c r="BT24" i="101"/>
  <c r="BV94" i="101" l="1"/>
  <c r="BU24" i="101"/>
  <c r="BT13" i="101"/>
  <c r="BY15" i="101"/>
  <c r="BZ15" i="101" s="1"/>
  <c r="CA15" i="101" s="1"/>
  <c r="CB15" i="101" s="1"/>
  <c r="CC15" i="101" s="1"/>
  <c r="CD15" i="101" s="1"/>
  <c r="CE15" i="101" s="1"/>
  <c r="BV76" i="101"/>
  <c r="BU21" i="101"/>
  <c r="CE76" i="101"/>
  <c r="BV7" i="101"/>
  <c r="BW7" i="101" s="1"/>
  <c r="BX7" i="101" s="1"/>
  <c r="BY7" i="101" s="1"/>
  <c r="BZ7" i="101" s="1"/>
  <c r="CA7" i="101" s="1"/>
  <c r="CB7" i="101" s="1"/>
  <c r="CC7" i="101" s="1"/>
  <c r="CD7" i="101" s="1"/>
  <c r="CE7" i="101" s="1"/>
  <c r="CF7" i="101" s="1"/>
  <c r="CG7" i="101" s="1"/>
  <c r="CH7" i="101" s="1"/>
  <c r="CI7" i="101" s="1"/>
  <c r="BX56" i="101"/>
  <c r="BT9" i="101"/>
  <c r="BW76" i="101" l="1"/>
  <c r="BV21" i="101"/>
  <c r="BY56" i="101"/>
  <c r="CF76" i="101"/>
  <c r="BU13" i="101"/>
  <c r="BU9" i="101"/>
  <c r="BW94" i="101"/>
  <c r="BV24" i="101"/>
  <c r="BV13" i="101" l="1"/>
  <c r="BX94" i="101"/>
  <c r="BW24" i="101"/>
  <c r="BZ56" i="101"/>
  <c r="BV9" i="101"/>
  <c r="CG76" i="101"/>
  <c r="BX76" i="101"/>
  <c r="BW21" i="101"/>
  <c r="BY94" i="101" l="1"/>
  <c r="BX24" i="101"/>
  <c r="CA56" i="101"/>
  <c r="BY76" i="101"/>
  <c r="BX21" i="101"/>
  <c r="CH76" i="101"/>
  <c r="BW9" i="101"/>
  <c r="BW13" i="101"/>
  <c r="CI76" i="101" l="1"/>
  <c r="CB56" i="101"/>
  <c r="BX9" i="101"/>
  <c r="BX13" i="101"/>
  <c r="BZ76" i="101"/>
  <c r="BY21" i="101"/>
  <c r="BY9" i="101" s="1"/>
  <c r="BZ94" i="101"/>
  <c r="BY24" i="101"/>
  <c r="CA94" i="101" l="1"/>
  <c r="BZ24" i="101"/>
  <c r="CA76" i="101"/>
  <c r="BZ21" i="101"/>
  <c r="BY13" i="101"/>
  <c r="CC80" i="101"/>
  <c r="BZ13" i="101" l="1"/>
  <c r="BZ9" i="101"/>
  <c r="CB94" i="101"/>
  <c r="CA24" i="101"/>
  <c r="CC95" i="101"/>
  <c r="CC20" i="101"/>
  <c r="CC81" i="101"/>
  <c r="A80" i="101"/>
  <c r="CA78" i="101"/>
  <c r="CA23" i="101" s="1"/>
  <c r="CA21" i="101"/>
  <c r="CD95" i="101" l="1"/>
  <c r="CF153" i="101"/>
  <c r="CF25" i="101" s="1"/>
  <c r="CI8" i="101"/>
  <c r="CD8" i="101"/>
  <c r="CF8" i="101"/>
  <c r="CG8" i="101"/>
  <c r="CC8" i="101"/>
  <c r="CH8" i="101"/>
  <c r="CE8" i="101"/>
  <c r="CB9" i="101"/>
  <c r="CA9" i="101"/>
  <c r="CA13" i="101"/>
  <c r="CA12" i="101"/>
  <c r="CD81" i="101"/>
  <c r="CC21" i="101"/>
  <c r="CC94" i="101"/>
  <c r="CB24" i="101"/>
  <c r="CD21" i="101" l="1"/>
  <c r="CB83" i="101"/>
  <c r="CB23" i="101" s="1"/>
  <c r="CE81" i="101"/>
  <c r="CF14" i="101"/>
  <c r="CF15" i="101" s="1"/>
  <c r="CB13" i="101"/>
  <c r="CE95" i="101"/>
  <c r="CG153" i="101"/>
  <c r="CG25" i="101" s="1"/>
  <c r="CG14" i="101" s="1"/>
  <c r="CD94" i="101"/>
  <c r="CC24" i="101"/>
  <c r="CC9" i="101"/>
  <c r="CG15" i="101" l="1"/>
  <c r="CC13" i="101"/>
  <c r="CE94" i="101"/>
  <c r="CD24" i="101"/>
  <c r="CD13" i="101" s="1"/>
  <c r="CG12" i="101"/>
  <c r="CB12" i="101"/>
  <c r="CC12" i="101"/>
  <c r="CH12" i="101"/>
  <c r="CI12" i="101"/>
  <c r="CF12" i="101"/>
  <c r="CE12" i="101"/>
  <c r="CD12" i="101"/>
  <c r="CF95" i="101"/>
  <c r="CG95" i="101" s="1"/>
  <c r="CH95" i="101" s="1"/>
  <c r="CI95" i="101" s="1"/>
  <c r="CH153" i="101"/>
  <c r="CH25" i="101" s="1"/>
  <c r="CI14" i="101" s="1"/>
  <c r="CF81" i="101"/>
  <c r="CE21" i="101"/>
  <c r="CD9" i="101"/>
  <c r="CE9" i="101" l="1"/>
  <c r="CF94" i="101"/>
  <c r="CE24" i="101"/>
  <c r="CG81" i="101"/>
  <c r="CF21" i="101"/>
  <c r="CF9" i="101" s="1"/>
  <c r="CH14" i="101"/>
  <c r="CH15" i="101" s="1"/>
  <c r="CI15" i="101" s="1"/>
  <c r="CE13" i="101" l="1"/>
  <c r="CG94" i="101"/>
  <c r="CF24" i="101"/>
  <c r="CF13" i="101" s="1"/>
  <c r="CH81" i="101"/>
  <c r="CG21" i="101"/>
  <c r="CG9" i="101" s="1"/>
  <c r="CH94" i="101" l="1"/>
  <c r="CG24" i="101"/>
  <c r="CG13" i="101" s="1"/>
  <c r="CI81" i="101"/>
  <c r="CI21" i="101" s="1"/>
  <c r="CH21" i="101"/>
  <c r="CH9" i="101" s="1"/>
  <c r="CI9" i="101" l="1"/>
  <c r="CI94" i="101"/>
  <c r="CI24" i="101" s="1"/>
  <c r="CH24" i="101"/>
  <c r="CH13" i="101" s="1"/>
  <c r="CI13" i="101" l="1"/>
  <c r="A2" i="87" l="1"/>
  <c r="D15" i="87" s="1"/>
  <c r="D8" i="87" l="1"/>
  <c r="D10" i="87"/>
  <c r="D19" i="87"/>
  <c r="D16" i="87"/>
  <c r="D17" i="87"/>
  <c r="C9" i="87" l="1"/>
  <c r="C7" i="87"/>
  <c r="C11" i="87"/>
  <c r="D11" i="87" l="1"/>
  <c r="D7" i="87"/>
  <c r="C12" i="87"/>
  <c r="D9" i="87"/>
  <c r="D12" i="87" l="1"/>
  <c r="F20" i="94" l="1"/>
  <c r="F9" i="94" l="1"/>
  <c r="F8" i="94"/>
  <c r="F11" i="94"/>
  <c r="F7" i="94"/>
  <c r="C22" i="87" l="1"/>
  <c r="D22" i="87" s="1"/>
  <c r="F99" i="94" l="1"/>
  <c r="C14" i="87" l="1"/>
  <c r="Q99" i="94"/>
  <c r="L99" i="94"/>
  <c r="H99" i="94"/>
  <c r="O99" i="94"/>
  <c r="S99" i="94"/>
  <c r="K99" i="94"/>
  <c r="J99" i="94"/>
  <c r="P99" i="94"/>
  <c r="I99" i="94"/>
  <c r="N99" i="94"/>
  <c r="M99" i="94"/>
  <c r="R99" i="94"/>
  <c r="C24" i="87" l="1"/>
  <c r="D24" i="87" s="1"/>
  <c r="D14" i="87"/>
  <c r="C23" i="87" l="1"/>
  <c r="C25" i="87" s="1"/>
  <c r="D25" i="87" s="1"/>
  <c r="H257" i="98"/>
  <c r="D23" i="87" l="1"/>
  <c r="C18" i="87"/>
  <c r="D18" i="87" l="1"/>
  <c r="C20" i="87"/>
  <c r="F101" i="94"/>
  <c r="G257" i="98"/>
  <c r="F257" i="98"/>
  <c r="E257" i="98"/>
  <c r="D257" i="98"/>
  <c r="F12" i="94" l="1"/>
  <c r="G259" i="98"/>
  <c r="E259" i="98"/>
  <c r="H259" i="98"/>
  <c r="F259" i="98"/>
  <c r="D20" i="87"/>
  <c r="C30" i="87"/>
  <c r="D30" i="87" s="1"/>
  <c r="C28" i="87"/>
  <c r="D28" i="87" s="1"/>
  <c r="C29" i="87"/>
  <c r="D29" i="87" s="1"/>
  <c r="C27" i="87"/>
  <c r="F10" i="94"/>
  <c r="C31" i="87" l="1"/>
  <c r="D27" i="87"/>
  <c r="Q14" i="94"/>
  <c r="Q15" i="94" s="1"/>
  <c r="E14" i="94"/>
  <c r="F14" i="94" s="1"/>
  <c r="F15" i="94" s="1"/>
  <c r="S14" i="94"/>
  <c r="S15" i="94" s="1"/>
  <c r="O14" i="94"/>
  <c r="O15" i="94" s="1"/>
  <c r="J115" i="94" s="1"/>
  <c r="N14" i="94"/>
  <c r="N15" i="94" s="1"/>
  <c r="I115" i="94" s="1"/>
  <c r="J14" i="94"/>
  <c r="J15" i="94" s="1"/>
  <c r="E115" i="94" s="1"/>
  <c r="M14" i="94"/>
  <c r="M15" i="94" s="1"/>
  <c r="H115" i="94" s="1"/>
  <c r="F16" i="94" l="1"/>
  <c r="D31" i="87"/>
  <c r="C33" i="87"/>
  <c r="E31" i="87" s="1"/>
  <c r="R14" i="94"/>
  <c r="R15" i="94" s="1"/>
  <c r="R16" i="94" s="1"/>
  <c r="M16" i="94"/>
  <c r="O16" i="94"/>
  <c r="S16" i="94"/>
  <c r="J16" i="94"/>
  <c r="Q16" i="94"/>
  <c r="K14" i="94"/>
  <c r="K15" i="94" s="1"/>
  <c r="F115" i="94" s="1"/>
  <c r="L14" i="94"/>
  <c r="L15" i="94" s="1"/>
  <c r="G115" i="94" s="1"/>
  <c r="I14" i="94"/>
  <c r="I15" i="94" s="1"/>
  <c r="D115" i="94" s="1"/>
  <c r="P14" i="94"/>
  <c r="P15" i="94" s="1"/>
  <c r="N16" i="94"/>
  <c r="H14" i="94"/>
  <c r="H15" i="94" s="1"/>
  <c r="C115" i="94" s="1"/>
  <c r="E24" i="87" l="1"/>
  <c r="E17" i="87"/>
  <c r="E11" i="87"/>
  <c r="E23" i="87"/>
  <c r="E20" i="87"/>
  <c r="E30" i="87"/>
  <c r="E25" i="87"/>
  <c r="E29" i="87"/>
  <c r="E9" i="87"/>
  <c r="E18" i="87"/>
  <c r="E14" i="87"/>
  <c r="E10" i="87"/>
  <c r="E12" i="87"/>
  <c r="E27" i="87"/>
  <c r="E8" i="87"/>
  <c r="D33" i="87"/>
  <c r="E7" i="87"/>
  <c r="E28" i="87"/>
  <c r="E16" i="87"/>
  <c r="E15" i="87"/>
  <c r="E22" i="87"/>
  <c r="E33" i="87"/>
  <c r="E19" i="87"/>
  <c r="O28" i="94"/>
  <c r="Q28" i="94"/>
  <c r="Q29" i="94" s="1"/>
  <c r="J28" i="94"/>
  <c r="R28" i="94"/>
  <c r="R29" i="94" s="1"/>
  <c r="K28" i="94"/>
  <c r="P28" i="94"/>
  <c r="P29" i="94" s="1"/>
  <c r="M28" i="94"/>
  <c r="H28" i="94"/>
  <c r="P16" i="94"/>
  <c r="H16" i="94"/>
  <c r="K16" i="94"/>
  <c r="I16" i="94"/>
  <c r="L16" i="94"/>
  <c r="M29" i="94" l="1"/>
  <c r="H116" i="94"/>
  <c r="J29" i="94"/>
  <c r="E116" i="94"/>
  <c r="H29" i="94"/>
  <c r="C116" i="94"/>
  <c r="K29" i="94"/>
  <c r="F116" i="94"/>
  <c r="O29" i="94"/>
  <c r="J116" i="94"/>
  <c r="H31" i="99"/>
  <c r="E31" i="99"/>
  <c r="F31" i="99"/>
  <c r="G31" i="99"/>
  <c r="I31" i="99"/>
  <c r="J31" i="99"/>
  <c r="K31" i="99"/>
  <c r="S28" i="94"/>
  <c r="S29" i="94" s="1"/>
  <c r="H258" i="98"/>
  <c r="E258" i="98"/>
  <c r="G258" i="98"/>
  <c r="D258" i="98"/>
  <c r="F258" i="98"/>
  <c r="N28" i="94"/>
  <c r="F19" i="94"/>
  <c r="F28" i="94" s="1"/>
  <c r="I28" i="94"/>
  <c r="L28" i="94"/>
  <c r="N29" i="94" l="1"/>
  <c r="I116" i="94"/>
  <c r="I29" i="94"/>
  <c r="D116" i="94"/>
  <c r="L29" i="94"/>
  <c r="G116" i="94"/>
  <c r="L23" i="99"/>
  <c r="L47" i="99" s="1"/>
  <c r="L31" i="99"/>
  <c r="D23" i="99"/>
  <c r="D47" i="99" s="1"/>
  <c r="D31" i="99"/>
  <c r="F12" i="126"/>
  <c r="G12" i="126"/>
  <c r="G6" i="131" s="1"/>
  <c r="H12" i="126"/>
  <c r="E12" i="126"/>
  <c r="F29" i="94"/>
  <c r="F110" i="94" s="1"/>
  <c r="M23" i="99"/>
  <c r="N5" i="126" s="1"/>
  <c r="N5" i="128" s="1"/>
  <c r="J23" i="99"/>
  <c r="I23" i="99"/>
  <c r="E23" i="99"/>
  <c r="H23" i="99"/>
  <c r="K23" i="99"/>
  <c r="F23" i="99"/>
  <c r="G23" i="99"/>
  <c r="N23" i="99"/>
  <c r="O5" i="126" s="1"/>
  <c r="C31" i="99"/>
  <c r="E5" i="126"/>
  <c r="E5" i="128" s="1"/>
  <c r="M5" i="126" l="1"/>
  <c r="M5" i="128" s="1"/>
  <c r="AK5" i="128" s="1"/>
  <c r="P5" i="126"/>
  <c r="Q5" i="126" s="1"/>
  <c r="R5" i="126" s="1"/>
  <c r="C10" i="127"/>
  <c r="L5" i="126"/>
  <c r="L5" i="128" s="1"/>
  <c r="AJ5" i="128" s="1"/>
  <c r="K47" i="99"/>
  <c r="I5" i="126"/>
  <c r="I5" i="128" s="1"/>
  <c r="I76" i="128" s="1"/>
  <c r="AG76" i="128" s="1"/>
  <c r="H47" i="99"/>
  <c r="K5" i="126"/>
  <c r="K5" i="128" s="1"/>
  <c r="AI5" i="128" s="1"/>
  <c r="J47" i="99"/>
  <c r="G5" i="126"/>
  <c r="G5" i="128" s="1"/>
  <c r="G76" i="128" s="1"/>
  <c r="AE76" i="128" s="1"/>
  <c r="F47" i="99"/>
  <c r="F5" i="126"/>
  <c r="F5" i="128" s="1"/>
  <c r="AD5" i="128" s="1"/>
  <c r="E47" i="99"/>
  <c r="J5" i="126"/>
  <c r="J5" i="128" s="1"/>
  <c r="AH5" i="128" s="1"/>
  <c r="I47" i="99"/>
  <c r="H5" i="126"/>
  <c r="H5" i="128" s="1"/>
  <c r="AF5" i="128" s="1"/>
  <c r="G47" i="99"/>
  <c r="F13" i="126"/>
  <c r="F6" i="131"/>
  <c r="F7" i="131" s="1"/>
  <c r="C7" i="129" s="1"/>
  <c r="E13" i="126"/>
  <c r="E6" i="131"/>
  <c r="E7" i="131" s="1"/>
  <c r="C6" i="129" s="1"/>
  <c r="H13" i="126"/>
  <c r="H6" i="131"/>
  <c r="H7" i="131" s="1"/>
  <c r="C9" i="129" s="1"/>
  <c r="G13" i="126"/>
  <c r="G9" i="131"/>
  <c r="G7" i="131"/>
  <c r="C8" i="129" s="1"/>
  <c r="C23" i="99"/>
  <c r="O5" i="128"/>
  <c r="O76" i="128" s="1"/>
  <c r="AM76" i="128" s="1"/>
  <c r="AC5" i="128"/>
  <c r="E76" i="128"/>
  <c r="AL5" i="128"/>
  <c r="N76" i="128"/>
  <c r="Q5" i="128" l="1"/>
  <c r="AO5" i="128" s="1"/>
  <c r="P5" i="128"/>
  <c r="P76" i="128" s="1"/>
  <c r="AN76" i="128" s="1"/>
  <c r="K76" i="128"/>
  <c r="AI76" i="128" s="1"/>
  <c r="M76" i="128"/>
  <c r="AK76" i="128" s="1"/>
  <c r="AE5" i="128"/>
  <c r="F76" i="128"/>
  <c r="AD76" i="128" s="1"/>
  <c r="L76" i="128"/>
  <c r="J76" i="128"/>
  <c r="J26" i="128" s="1"/>
  <c r="AH26" i="128" s="1"/>
  <c r="C24" i="99"/>
  <c r="C47" i="99"/>
  <c r="H76" i="128"/>
  <c r="AF76" i="128" s="1"/>
  <c r="F9" i="131"/>
  <c r="W21" i="131" s="1"/>
  <c r="W22" i="131" s="1"/>
  <c r="E9" i="131"/>
  <c r="I18" i="131" s="1"/>
  <c r="I19" i="131" s="1"/>
  <c r="H9" i="131"/>
  <c r="I27" i="131" s="1"/>
  <c r="I28" i="131" s="1"/>
  <c r="E16" i="129"/>
  <c r="E7" i="129"/>
  <c r="I7" i="129" s="1"/>
  <c r="D5" i="126"/>
  <c r="D5" i="128" s="1"/>
  <c r="E8" i="129"/>
  <c r="I8" i="129" s="1"/>
  <c r="F16" i="129"/>
  <c r="E9" i="129"/>
  <c r="I9" i="129" s="1"/>
  <c r="G16" i="129"/>
  <c r="D16" i="129"/>
  <c r="E6" i="129"/>
  <c r="I6" i="129" s="1"/>
  <c r="Q24" i="131"/>
  <c r="Q25" i="131" s="1"/>
  <c r="R24" i="131"/>
  <c r="R25" i="131" s="1"/>
  <c r="P24" i="131"/>
  <c r="P25" i="131" s="1"/>
  <c r="J24" i="131"/>
  <c r="J25" i="131" s="1"/>
  <c r="H24" i="131"/>
  <c r="H25" i="131" s="1"/>
  <c r="U24" i="131"/>
  <c r="U25" i="131" s="1"/>
  <c r="M24" i="131"/>
  <c r="M25" i="131" s="1"/>
  <c r="T24" i="131"/>
  <c r="T25" i="131" s="1"/>
  <c r="I24" i="131"/>
  <c r="I25" i="131" s="1"/>
  <c r="V24" i="131"/>
  <c r="V25" i="131" s="1"/>
  <c r="G24" i="131"/>
  <c r="G25" i="131" s="1"/>
  <c r="O24" i="131"/>
  <c r="O25" i="131" s="1"/>
  <c r="S24" i="131"/>
  <c r="S25" i="131" s="1"/>
  <c r="N24" i="131"/>
  <c r="N25" i="131" s="1"/>
  <c r="W24" i="131"/>
  <c r="W25" i="131" s="1"/>
  <c r="L24" i="131"/>
  <c r="L25" i="131" s="1"/>
  <c r="K24" i="131"/>
  <c r="K25" i="131" s="1"/>
  <c r="AG5" i="128"/>
  <c r="O26" i="128"/>
  <c r="AM26" i="128" s="1"/>
  <c r="AM5" i="128"/>
  <c r="AL76" i="128"/>
  <c r="AC76" i="128"/>
  <c r="S5" i="126"/>
  <c r="R5" i="128"/>
  <c r="Q76" i="128" l="1"/>
  <c r="Q26" i="128" s="1"/>
  <c r="AO26" i="128" s="1"/>
  <c r="P26" i="128"/>
  <c r="AN26" i="128" s="1"/>
  <c r="AN5" i="128"/>
  <c r="L26" i="128"/>
  <c r="AJ26" i="128" s="1"/>
  <c r="AJ76" i="128"/>
  <c r="N26" i="128"/>
  <c r="AL26" i="128" s="1"/>
  <c r="F26" i="128"/>
  <c r="AD26" i="128" s="1"/>
  <c r="M26" i="128"/>
  <c r="AK26" i="128" s="1"/>
  <c r="G26" i="128"/>
  <c r="AE26" i="128" s="1"/>
  <c r="K18" i="131"/>
  <c r="K19" i="131" s="1"/>
  <c r="R18" i="131"/>
  <c r="R19" i="131" s="1"/>
  <c r="T18" i="131"/>
  <c r="T19" i="131" s="1"/>
  <c r="U18" i="131"/>
  <c r="U19" i="131" s="1"/>
  <c r="N18" i="131"/>
  <c r="N19" i="131" s="1"/>
  <c r="J18" i="131"/>
  <c r="J19" i="131" s="1"/>
  <c r="O18" i="131"/>
  <c r="O19" i="131" s="1"/>
  <c r="H18" i="131"/>
  <c r="H19" i="131" s="1"/>
  <c r="G18" i="131"/>
  <c r="G19" i="131" s="1"/>
  <c r="W18" i="131"/>
  <c r="W19" i="131" s="1"/>
  <c r="P18" i="131"/>
  <c r="P19" i="131" s="1"/>
  <c r="V18" i="131"/>
  <c r="V19" i="131" s="1"/>
  <c r="Q18" i="131"/>
  <c r="Q19" i="131" s="1"/>
  <c r="M18" i="131"/>
  <c r="M19" i="131" s="1"/>
  <c r="S18" i="131"/>
  <c r="S19" i="131" s="1"/>
  <c r="L18" i="131"/>
  <c r="L19" i="131" s="1"/>
  <c r="E18" i="131"/>
  <c r="E19" i="131" s="1"/>
  <c r="F21" i="131"/>
  <c r="F22" i="131" s="1"/>
  <c r="F18" i="131"/>
  <c r="F19" i="131" s="1"/>
  <c r="U21" i="131"/>
  <c r="U22" i="131" s="1"/>
  <c r="K26" i="128"/>
  <c r="AI26" i="128" s="1"/>
  <c r="L27" i="131"/>
  <c r="L28" i="131" s="1"/>
  <c r="AH76" i="128"/>
  <c r="S27" i="131"/>
  <c r="S28" i="131" s="1"/>
  <c r="H26" i="128"/>
  <c r="AF26" i="128" s="1"/>
  <c r="I26" i="128"/>
  <c r="AG26" i="128" s="1"/>
  <c r="G21" i="131"/>
  <c r="G22" i="131" s="1"/>
  <c r="T21" i="131"/>
  <c r="T22" i="131" s="1"/>
  <c r="O21" i="131"/>
  <c r="O22" i="131" s="1"/>
  <c r="I21" i="131"/>
  <c r="I22" i="131" s="1"/>
  <c r="L21" i="131"/>
  <c r="L22" i="131" s="1"/>
  <c r="V21" i="131"/>
  <c r="V22" i="131" s="1"/>
  <c r="S21" i="131"/>
  <c r="S22" i="131" s="1"/>
  <c r="K21" i="131"/>
  <c r="K22" i="131" s="1"/>
  <c r="R21" i="131"/>
  <c r="R22" i="131" s="1"/>
  <c r="N21" i="131"/>
  <c r="N22" i="131" s="1"/>
  <c r="M21" i="131"/>
  <c r="M22" i="131" s="1"/>
  <c r="J21" i="131"/>
  <c r="J22" i="131" s="1"/>
  <c r="D24" i="99"/>
  <c r="C48" i="99"/>
  <c r="N27" i="131"/>
  <c r="N28" i="131" s="1"/>
  <c r="P27" i="131"/>
  <c r="P28" i="131" s="1"/>
  <c r="T27" i="131"/>
  <c r="T28" i="131" s="1"/>
  <c r="R27" i="131"/>
  <c r="R28" i="131" s="1"/>
  <c r="H21" i="131"/>
  <c r="H22" i="131" s="1"/>
  <c r="Q21" i="131"/>
  <c r="Q22" i="131" s="1"/>
  <c r="P21" i="131"/>
  <c r="P22" i="131" s="1"/>
  <c r="Q27" i="131"/>
  <c r="Q28" i="131" s="1"/>
  <c r="J27" i="131"/>
  <c r="J28" i="131" s="1"/>
  <c r="V27" i="131"/>
  <c r="V28" i="131" s="1"/>
  <c r="W27" i="131"/>
  <c r="W28" i="131" s="1"/>
  <c r="U27" i="131"/>
  <c r="U28" i="131" s="1"/>
  <c r="O27" i="131"/>
  <c r="O28" i="131" s="1"/>
  <c r="H27" i="131"/>
  <c r="H28" i="131" s="1"/>
  <c r="M27" i="131"/>
  <c r="M28" i="131" s="1"/>
  <c r="K27" i="131"/>
  <c r="K28" i="131" s="1"/>
  <c r="E33" i="128"/>
  <c r="AC33" i="128" s="1"/>
  <c r="G27" i="127"/>
  <c r="G7" i="129"/>
  <c r="D33" i="128"/>
  <c r="AB33" i="128" s="1"/>
  <c r="F27" i="127"/>
  <c r="G6" i="129"/>
  <c r="G9" i="129"/>
  <c r="G18" i="129" s="1"/>
  <c r="I27" i="127"/>
  <c r="G33" i="128"/>
  <c r="AE33" i="128" s="1"/>
  <c r="E37" i="128"/>
  <c r="G25" i="127"/>
  <c r="AG24" i="127" s="1"/>
  <c r="I25" i="127"/>
  <c r="G37" i="128"/>
  <c r="D37" i="128"/>
  <c r="F25" i="127"/>
  <c r="AF24" i="127" s="1"/>
  <c r="F37" i="128"/>
  <c r="H25" i="127"/>
  <c r="AH24" i="127" s="1"/>
  <c r="J154" i="129"/>
  <c r="N155" i="129"/>
  <c r="P154" i="129"/>
  <c r="O155" i="129"/>
  <c r="Z154" i="129"/>
  <c r="AJ155" i="129"/>
  <c r="L165" i="129"/>
  <c r="AA155" i="129"/>
  <c r="M165" i="129"/>
  <c r="AK154" i="129"/>
  <c r="AB154" i="129"/>
  <c r="D165" i="129"/>
  <c r="AF154" i="129"/>
  <c r="E165" i="129"/>
  <c r="Y155" i="129"/>
  <c r="C154" i="129"/>
  <c r="AE154" i="129"/>
  <c r="T154" i="129"/>
  <c r="AF155" i="129"/>
  <c r="Q154" i="129"/>
  <c r="G155" i="129"/>
  <c r="X155" i="129"/>
  <c r="AN155" i="129"/>
  <c r="L155" i="129"/>
  <c r="F165" i="129"/>
  <c r="AD154" i="129"/>
  <c r="Q155" i="129"/>
  <c r="AN154" i="129"/>
  <c r="J155" i="129"/>
  <c r="Z155" i="129"/>
  <c r="AL155" i="129"/>
  <c r="AK155" i="129"/>
  <c r="H154" i="129"/>
  <c r="AP155" i="129"/>
  <c r="G19" i="129"/>
  <c r="AM154" i="129"/>
  <c r="AH155" i="129"/>
  <c r="F155" i="129"/>
  <c r="AH154" i="129"/>
  <c r="AL154" i="129"/>
  <c r="W155" i="129"/>
  <c r="R155" i="129"/>
  <c r="K154" i="129"/>
  <c r="V154" i="129"/>
  <c r="AJ154" i="129"/>
  <c r="W154" i="129"/>
  <c r="AG154" i="129"/>
  <c r="S159" i="129" s="1"/>
  <c r="AD155" i="129"/>
  <c r="AA154" i="129"/>
  <c r="M154" i="129"/>
  <c r="P155" i="129"/>
  <c r="AO155" i="129"/>
  <c r="AG155" i="129"/>
  <c r="U155" i="129"/>
  <c r="AC155" i="129"/>
  <c r="D155" i="129"/>
  <c r="K165" i="129"/>
  <c r="X154" i="129"/>
  <c r="AM155" i="129"/>
  <c r="V160" i="129" s="1"/>
  <c r="U174" i="129" s="1"/>
  <c r="K155" i="129"/>
  <c r="G165" i="129"/>
  <c r="D154" i="129"/>
  <c r="C155" i="129"/>
  <c r="G154" i="129"/>
  <c r="U154" i="129"/>
  <c r="I155" i="129"/>
  <c r="AP154" i="129"/>
  <c r="H155" i="129"/>
  <c r="N165" i="129"/>
  <c r="S154" i="129"/>
  <c r="AI154" i="129"/>
  <c r="AE155" i="129"/>
  <c r="R154" i="129"/>
  <c r="AC154" i="129"/>
  <c r="N154" i="129"/>
  <c r="T155" i="129"/>
  <c r="C171" i="129"/>
  <c r="AO154" i="129"/>
  <c r="O154" i="129"/>
  <c r="AI155" i="129"/>
  <c r="C165" i="129"/>
  <c r="C166" i="129" s="1"/>
  <c r="C167" i="129" s="1"/>
  <c r="S155" i="129"/>
  <c r="H165" i="129"/>
  <c r="Y154" i="129"/>
  <c r="V155" i="129"/>
  <c r="L154" i="129"/>
  <c r="E154" i="129"/>
  <c r="M155" i="129"/>
  <c r="E155" i="129"/>
  <c r="AB155" i="129"/>
  <c r="I154" i="129"/>
  <c r="J165" i="129"/>
  <c r="I165" i="129"/>
  <c r="F154" i="129"/>
  <c r="F156" i="129" s="1"/>
  <c r="G8" i="129"/>
  <c r="F33" i="128"/>
  <c r="AD33" i="128" s="1"/>
  <c r="H27" i="127"/>
  <c r="AB5" i="128"/>
  <c r="D76" i="128"/>
  <c r="AO76" i="128"/>
  <c r="AP5" i="128"/>
  <c r="R76" i="128"/>
  <c r="S5" i="128"/>
  <c r="T5" i="126"/>
  <c r="R26" i="128" l="1"/>
  <c r="AP26" i="128" s="1"/>
  <c r="X156" i="129"/>
  <c r="G266" i="98"/>
  <c r="G267" i="98" s="1"/>
  <c r="AH26" i="127"/>
  <c r="F266" i="98"/>
  <c r="F267" i="98" s="1"/>
  <c r="AG26" i="127"/>
  <c r="E266" i="98"/>
  <c r="E267" i="98" s="1"/>
  <c r="AF26" i="127"/>
  <c r="I30" i="127"/>
  <c r="AI28" i="127" s="1"/>
  <c r="AI24" i="127"/>
  <c r="H266" i="98"/>
  <c r="H267" i="98" s="1"/>
  <c r="AI26" i="127"/>
  <c r="E24" i="99"/>
  <c r="D48" i="99"/>
  <c r="H160" i="129"/>
  <c r="G174" i="129" s="1"/>
  <c r="R160" i="129"/>
  <c r="Q174" i="129" s="1"/>
  <c r="G30" i="127"/>
  <c r="AG28" i="127" s="1"/>
  <c r="F30" i="127"/>
  <c r="AF28" i="127" s="1"/>
  <c r="H30" i="127"/>
  <c r="AH28" i="127" s="1"/>
  <c r="I160" i="129"/>
  <c r="H174" i="129" s="1"/>
  <c r="N156" i="129"/>
  <c r="AL156" i="129"/>
  <c r="E18" i="129"/>
  <c r="G20" i="127" s="1"/>
  <c r="AG20" i="127" s="1"/>
  <c r="U160" i="129"/>
  <c r="T174" i="129" s="1"/>
  <c r="D18" i="129"/>
  <c r="D30" i="128" s="1"/>
  <c r="AB30" i="128" s="1"/>
  <c r="AN156" i="129"/>
  <c r="W160" i="129"/>
  <c r="V174" i="129" s="1"/>
  <c r="AP156" i="129"/>
  <c r="E160" i="129"/>
  <c r="D174" i="129" s="1"/>
  <c r="R156" i="129"/>
  <c r="AJ156" i="129"/>
  <c r="N160" i="129"/>
  <c r="M174" i="129" s="1"/>
  <c r="T159" i="129"/>
  <c r="G160" i="129"/>
  <c r="F174" i="129" s="1"/>
  <c r="AH156" i="129"/>
  <c r="V156" i="129"/>
  <c r="D166" i="129"/>
  <c r="D167" i="129" s="1"/>
  <c r="P160" i="129"/>
  <c r="O174" i="129" s="1"/>
  <c r="J160" i="129"/>
  <c r="I174" i="129" s="1"/>
  <c r="K160" i="129"/>
  <c r="J174" i="129" s="1"/>
  <c r="G30" i="128"/>
  <c r="I20" i="127"/>
  <c r="D39" i="128"/>
  <c r="AB39" i="128" s="1"/>
  <c r="AB37" i="128"/>
  <c r="AC37" i="128"/>
  <c r="E39" i="128"/>
  <c r="AC39" i="128" s="1"/>
  <c r="AB76" i="128"/>
  <c r="D26" i="128"/>
  <c r="AB26" i="128" s="1"/>
  <c r="E26" i="128"/>
  <c r="AC26" i="128" s="1"/>
  <c r="F18" i="129"/>
  <c r="F136" i="129"/>
  <c r="J125" i="129"/>
  <c r="AM125" i="129"/>
  <c r="AC126" i="129"/>
  <c r="AJ126" i="129"/>
  <c r="P126" i="129"/>
  <c r="I125" i="129"/>
  <c r="AK126" i="129"/>
  <c r="H136" i="129"/>
  <c r="U125" i="129"/>
  <c r="W125" i="129"/>
  <c r="AO126" i="129"/>
  <c r="AE125" i="129"/>
  <c r="Y125" i="129"/>
  <c r="G125" i="129"/>
  <c r="Z126" i="129"/>
  <c r="AN126" i="129"/>
  <c r="W126" i="129"/>
  <c r="D126" i="129"/>
  <c r="AP126" i="129"/>
  <c r="E126" i="129"/>
  <c r="F125" i="129"/>
  <c r="Y126" i="129"/>
  <c r="C142" i="129"/>
  <c r="AA125" i="129"/>
  <c r="N125" i="129"/>
  <c r="AD126" i="129"/>
  <c r="L126" i="129"/>
  <c r="K125" i="129"/>
  <c r="AF126" i="129"/>
  <c r="M126" i="129"/>
  <c r="C136" i="129"/>
  <c r="C137" i="129" s="1"/>
  <c r="C138" i="129" s="1"/>
  <c r="D125" i="129"/>
  <c r="K126" i="129"/>
  <c r="I136" i="129"/>
  <c r="V125" i="129"/>
  <c r="AH125" i="129"/>
  <c r="M125" i="129"/>
  <c r="R126" i="129"/>
  <c r="S126" i="129"/>
  <c r="J136" i="129"/>
  <c r="AH126" i="129"/>
  <c r="O125" i="129"/>
  <c r="O126" i="129"/>
  <c r="R125" i="129"/>
  <c r="K136" i="129"/>
  <c r="L136" i="129"/>
  <c r="AK125" i="129"/>
  <c r="AG125" i="129"/>
  <c r="L125" i="129"/>
  <c r="T126" i="129"/>
  <c r="G126" i="129"/>
  <c r="AP125" i="129"/>
  <c r="F126" i="129"/>
  <c r="AB126" i="129"/>
  <c r="F19" i="129"/>
  <c r="Q126" i="129"/>
  <c r="H126" i="129"/>
  <c r="D136" i="129"/>
  <c r="E125" i="129"/>
  <c r="AF125" i="129"/>
  <c r="S125" i="129"/>
  <c r="X126" i="129"/>
  <c r="AL126" i="129"/>
  <c r="AI125" i="129"/>
  <c r="AI126" i="129"/>
  <c r="H125" i="129"/>
  <c r="P125" i="129"/>
  <c r="AB125" i="129"/>
  <c r="Z125" i="129"/>
  <c r="J126" i="129"/>
  <c r="C126" i="129"/>
  <c r="G136" i="129"/>
  <c r="U126" i="129"/>
  <c r="M136" i="129"/>
  <c r="N136" i="129"/>
  <c r="I126" i="129"/>
  <c r="AD125" i="129"/>
  <c r="T125" i="129"/>
  <c r="AE126" i="129"/>
  <c r="AL125" i="129"/>
  <c r="AA126" i="129"/>
  <c r="N126" i="129"/>
  <c r="E136" i="129"/>
  <c r="C125" i="129"/>
  <c r="AC125" i="129"/>
  <c r="Q125" i="129"/>
  <c r="AG126" i="129"/>
  <c r="AN125" i="129"/>
  <c r="AN127" i="129" s="1"/>
  <c r="AM126" i="129"/>
  <c r="AO125" i="129"/>
  <c r="V126" i="129"/>
  <c r="X125" i="129"/>
  <c r="AJ125" i="129"/>
  <c r="O159" i="129"/>
  <c r="Y156" i="129"/>
  <c r="Q156" i="129"/>
  <c r="K159" i="129"/>
  <c r="D159" i="129"/>
  <c r="C156" i="129"/>
  <c r="I156" i="129"/>
  <c r="G159" i="129"/>
  <c r="E159" i="129"/>
  <c r="E156" i="129"/>
  <c r="O156" i="129"/>
  <c r="J159" i="129"/>
  <c r="D160" i="129"/>
  <c r="C174" i="129" s="1"/>
  <c r="C175" i="129" s="1"/>
  <c r="Q160" i="129"/>
  <c r="P174" i="129" s="1"/>
  <c r="H159" i="129"/>
  <c r="H161" i="129" s="1"/>
  <c r="K156" i="129"/>
  <c r="G31" i="128"/>
  <c r="I21" i="127"/>
  <c r="AI21" i="127" s="1"/>
  <c r="O160" i="129"/>
  <c r="N174" i="129" s="1"/>
  <c r="AB156" i="129"/>
  <c r="P156" i="129"/>
  <c r="G39" i="128"/>
  <c r="AE39" i="128" s="1"/>
  <c r="AE37" i="128"/>
  <c r="I78" i="129"/>
  <c r="O68" i="129"/>
  <c r="Y68" i="129"/>
  <c r="AD67" i="129"/>
  <c r="V68" i="129"/>
  <c r="E67" i="129"/>
  <c r="U67" i="129"/>
  <c r="H67" i="129"/>
  <c r="W68" i="129"/>
  <c r="AL68" i="129"/>
  <c r="F78" i="129"/>
  <c r="V67" i="129"/>
  <c r="C68" i="129"/>
  <c r="AD68" i="129"/>
  <c r="L68" i="129"/>
  <c r="T68" i="129"/>
  <c r="AG68" i="129"/>
  <c r="Y67" i="129"/>
  <c r="J68" i="129"/>
  <c r="AE68" i="129"/>
  <c r="N68" i="129"/>
  <c r="AG67" i="129"/>
  <c r="J67" i="129"/>
  <c r="AC67" i="129"/>
  <c r="AH68" i="129"/>
  <c r="AN68" i="129"/>
  <c r="P68" i="129"/>
  <c r="D68" i="129"/>
  <c r="S67" i="129"/>
  <c r="W67" i="129"/>
  <c r="D78" i="129"/>
  <c r="Z68" i="129"/>
  <c r="AI68" i="129"/>
  <c r="K67" i="129"/>
  <c r="M68" i="129"/>
  <c r="AN67" i="129"/>
  <c r="R68" i="129"/>
  <c r="AL67" i="129"/>
  <c r="C67" i="129"/>
  <c r="C84" i="129"/>
  <c r="H68" i="129"/>
  <c r="K78" i="129"/>
  <c r="F68" i="129"/>
  <c r="AK68" i="129"/>
  <c r="C78" i="129"/>
  <c r="C79" i="129" s="1"/>
  <c r="C80" i="129" s="1"/>
  <c r="E78" i="129"/>
  <c r="T67" i="129"/>
  <c r="D67" i="129"/>
  <c r="U68" i="129"/>
  <c r="AB67" i="129"/>
  <c r="S68" i="129"/>
  <c r="R67" i="129"/>
  <c r="M67" i="129"/>
  <c r="AI67" i="129"/>
  <c r="G68" i="129"/>
  <c r="AJ67" i="129"/>
  <c r="AF68" i="129"/>
  <c r="F67" i="129"/>
  <c r="AM67" i="129"/>
  <c r="J78" i="129"/>
  <c r="G67" i="129"/>
  <c r="N78" i="129"/>
  <c r="AC68" i="129"/>
  <c r="I67" i="129"/>
  <c r="E68" i="129"/>
  <c r="AO67" i="129"/>
  <c r="AK67" i="129"/>
  <c r="M78" i="129"/>
  <c r="I68" i="129"/>
  <c r="AM68" i="129"/>
  <c r="V73" i="129" s="1"/>
  <c r="U87" i="129" s="1"/>
  <c r="Q67" i="129"/>
  <c r="G78" i="129"/>
  <c r="AP67" i="129"/>
  <c r="P67" i="129"/>
  <c r="AE67" i="129"/>
  <c r="AH67" i="129"/>
  <c r="K68" i="129"/>
  <c r="Q68" i="129"/>
  <c r="O67" i="129"/>
  <c r="AJ68" i="129"/>
  <c r="H78" i="129"/>
  <c r="N67" i="129"/>
  <c r="X67" i="129"/>
  <c r="L67" i="129"/>
  <c r="X68" i="129"/>
  <c r="Z67" i="129"/>
  <c r="AO68" i="129"/>
  <c r="AP68" i="129"/>
  <c r="AA67" i="129"/>
  <c r="AF67" i="129"/>
  <c r="D19" i="129"/>
  <c r="L78" i="129"/>
  <c r="AB68" i="129"/>
  <c r="AA68" i="129"/>
  <c r="F159" i="129"/>
  <c r="G156" i="129"/>
  <c r="AM156" i="129"/>
  <c r="V159" i="129"/>
  <c r="V161" i="129" s="1"/>
  <c r="L156" i="129"/>
  <c r="L160" i="129"/>
  <c r="K174" i="129" s="1"/>
  <c r="W159" i="129"/>
  <c r="AO156" i="129"/>
  <c r="Q159" i="129"/>
  <c r="AC156" i="129"/>
  <c r="L159" i="129"/>
  <c r="S156" i="129"/>
  <c r="D156" i="129"/>
  <c r="M160" i="129"/>
  <c r="L174" i="129" s="1"/>
  <c r="M156" i="129"/>
  <c r="I159" i="129"/>
  <c r="W156" i="129"/>
  <c r="N159" i="129"/>
  <c r="AD156" i="129"/>
  <c r="T156" i="129"/>
  <c r="U159" i="129"/>
  <c r="AK156" i="129"/>
  <c r="F39" i="128"/>
  <c r="AD39" i="128" s="1"/>
  <c r="AD37" i="128"/>
  <c r="G107" i="129"/>
  <c r="T96" i="129"/>
  <c r="V96" i="129"/>
  <c r="X96" i="129"/>
  <c r="Q97" i="129"/>
  <c r="AP97" i="129"/>
  <c r="M107" i="129"/>
  <c r="I107" i="129"/>
  <c r="Z96" i="129"/>
  <c r="AA96" i="129"/>
  <c r="V97" i="129"/>
  <c r="T97" i="129"/>
  <c r="AA97" i="129"/>
  <c r="P96" i="129"/>
  <c r="AM97" i="129"/>
  <c r="F107" i="129"/>
  <c r="C96" i="129"/>
  <c r="AB96" i="129"/>
  <c r="G96" i="129"/>
  <c r="AH97" i="129"/>
  <c r="W97" i="129"/>
  <c r="C107" i="129"/>
  <c r="C108" i="129" s="1"/>
  <c r="C109" i="129" s="1"/>
  <c r="D107" i="129"/>
  <c r="AF96" i="129"/>
  <c r="AO96" i="129"/>
  <c r="R97" i="129"/>
  <c r="C97" i="129"/>
  <c r="N97" i="129"/>
  <c r="M96" i="129"/>
  <c r="AK97" i="129"/>
  <c r="U96" i="129"/>
  <c r="AL97" i="129"/>
  <c r="D96" i="129"/>
  <c r="K107" i="129"/>
  <c r="J107" i="129"/>
  <c r="K96" i="129"/>
  <c r="Z97" i="129"/>
  <c r="Q96" i="129"/>
  <c r="AN97" i="129"/>
  <c r="L107" i="129"/>
  <c r="AG96" i="129"/>
  <c r="AH96" i="129"/>
  <c r="AD96" i="129"/>
  <c r="H97" i="129"/>
  <c r="O97" i="129"/>
  <c r="H107" i="129"/>
  <c r="E96" i="129"/>
  <c r="C113" i="129"/>
  <c r="P97" i="129"/>
  <c r="J97" i="129"/>
  <c r="K97" i="129"/>
  <c r="E19" i="129"/>
  <c r="Y96" i="129"/>
  <c r="AB97" i="129"/>
  <c r="O96" i="129"/>
  <c r="I97" i="129"/>
  <c r="H96" i="129"/>
  <c r="AP96" i="129"/>
  <c r="AJ96" i="129"/>
  <c r="AN96" i="129"/>
  <c r="AJ97" i="129"/>
  <c r="R96" i="129"/>
  <c r="AE97" i="129"/>
  <c r="AI96" i="129"/>
  <c r="S97" i="129"/>
  <c r="AO97" i="129"/>
  <c r="W102" i="129" s="1"/>
  <c r="V116" i="129" s="1"/>
  <c r="AG97" i="129"/>
  <c r="AK96" i="129"/>
  <c r="G97" i="129"/>
  <c r="AC96" i="129"/>
  <c r="S96" i="129"/>
  <c r="L96" i="129"/>
  <c r="AD97" i="129"/>
  <c r="J96" i="129"/>
  <c r="M97" i="129"/>
  <c r="AE96" i="129"/>
  <c r="U97" i="129"/>
  <c r="AM96" i="129"/>
  <c r="W96" i="129"/>
  <c r="AF97" i="129"/>
  <c r="X97" i="129"/>
  <c r="AL96" i="129"/>
  <c r="E107" i="129"/>
  <c r="I96" i="129"/>
  <c r="N107" i="129"/>
  <c r="L97" i="129"/>
  <c r="E97" i="129"/>
  <c r="Y97" i="129"/>
  <c r="AC97" i="129"/>
  <c r="Q102" i="129" s="1"/>
  <c r="P116" i="129" s="1"/>
  <c r="F97" i="129"/>
  <c r="N96" i="129"/>
  <c r="D97" i="129"/>
  <c r="AI97" i="129"/>
  <c r="T102" i="129" s="1"/>
  <c r="S116" i="129" s="1"/>
  <c r="F96" i="129"/>
  <c r="AI156" i="129"/>
  <c r="T160" i="129"/>
  <c r="S174" i="129" s="1"/>
  <c r="U156" i="129"/>
  <c r="M159" i="129"/>
  <c r="AG156" i="129"/>
  <c r="S160" i="129"/>
  <c r="R174" i="129" s="1"/>
  <c r="P159" i="129"/>
  <c r="AA156" i="129"/>
  <c r="H156" i="129"/>
  <c r="F160" i="129"/>
  <c r="E174" i="129" s="1"/>
  <c r="R159" i="129"/>
  <c r="AE156" i="129"/>
  <c r="AF156" i="129"/>
  <c r="Z156" i="129"/>
  <c r="J156" i="129"/>
  <c r="T5" i="128"/>
  <c r="U5" i="126"/>
  <c r="AQ5" i="128"/>
  <c r="S76" i="128"/>
  <c r="AP76" i="128"/>
  <c r="D69" i="129" l="1"/>
  <c r="AP98" i="129"/>
  <c r="AI20" i="127"/>
  <c r="R98" i="129"/>
  <c r="F24" i="99"/>
  <c r="E48" i="99"/>
  <c r="T127" i="129"/>
  <c r="AL69" i="129"/>
  <c r="M73" i="129"/>
  <c r="L87" i="129" s="1"/>
  <c r="R161" i="129"/>
  <c r="U161" i="129"/>
  <c r="I161" i="129"/>
  <c r="I23" i="127"/>
  <c r="E30" i="128"/>
  <c r="AC30" i="128" s="1"/>
  <c r="J98" i="129"/>
  <c r="F98" i="129"/>
  <c r="E166" i="129"/>
  <c r="F166" i="129" s="1"/>
  <c r="W161" i="129"/>
  <c r="D175" i="129"/>
  <c r="E175" i="129" s="1"/>
  <c r="F175" i="129" s="1"/>
  <c r="G175" i="129" s="1"/>
  <c r="H175" i="129" s="1"/>
  <c r="I175" i="129" s="1"/>
  <c r="J175" i="129" s="1"/>
  <c r="K175" i="129" s="1"/>
  <c r="L175" i="129" s="1"/>
  <c r="M175" i="129" s="1"/>
  <c r="N175" i="129" s="1"/>
  <c r="O175" i="129" s="1"/>
  <c r="P175" i="129" s="1"/>
  <c r="Q175" i="129" s="1"/>
  <c r="R175" i="129" s="1"/>
  <c r="S175" i="129" s="1"/>
  <c r="T175" i="129" s="1"/>
  <c r="U175" i="129" s="1"/>
  <c r="V175" i="129" s="1"/>
  <c r="W175" i="129" s="1"/>
  <c r="E161" i="129"/>
  <c r="G161" i="129"/>
  <c r="N161" i="129"/>
  <c r="P161" i="129"/>
  <c r="J161" i="129"/>
  <c r="P131" i="129"/>
  <c r="O145" i="129" s="1"/>
  <c r="AD127" i="129"/>
  <c r="F20" i="127"/>
  <c r="AF20" i="127" s="1"/>
  <c r="D131" i="129"/>
  <c r="C145" i="129" s="1"/>
  <c r="C146" i="129" s="1"/>
  <c r="J69" i="129"/>
  <c r="K161" i="129"/>
  <c r="AJ127" i="129"/>
  <c r="V131" i="129"/>
  <c r="U145" i="129" s="1"/>
  <c r="T131" i="129"/>
  <c r="S145" i="129" s="1"/>
  <c r="N98" i="129"/>
  <c r="I102" i="129"/>
  <c r="H116" i="129" s="1"/>
  <c r="S102" i="129"/>
  <c r="R116" i="129" s="1"/>
  <c r="R102" i="129"/>
  <c r="Q116" i="129" s="1"/>
  <c r="Z69" i="129"/>
  <c r="L131" i="129"/>
  <c r="K145" i="129" s="1"/>
  <c r="M161" i="129"/>
  <c r="AL98" i="129"/>
  <c r="AH98" i="129"/>
  <c r="U102" i="129"/>
  <c r="T116" i="129" s="1"/>
  <c r="L161" i="129"/>
  <c r="H73" i="129"/>
  <c r="G87" i="129" s="1"/>
  <c r="G73" i="129"/>
  <c r="F87" i="129" s="1"/>
  <c r="E73" i="129"/>
  <c r="D87" i="129" s="1"/>
  <c r="AP69" i="129"/>
  <c r="O102" i="129"/>
  <c r="N116" i="129" s="1"/>
  <c r="W73" i="129"/>
  <c r="V87" i="129" s="1"/>
  <c r="L73" i="129"/>
  <c r="K87" i="129" s="1"/>
  <c r="AJ98" i="129"/>
  <c r="AD98" i="129"/>
  <c r="T69" i="129"/>
  <c r="X127" i="129"/>
  <c r="G131" i="129"/>
  <c r="F145" i="129" s="1"/>
  <c r="AB127" i="129"/>
  <c r="K131" i="129"/>
  <c r="J145" i="129" s="1"/>
  <c r="R127" i="129"/>
  <c r="D127" i="129"/>
  <c r="P98" i="129"/>
  <c r="T98" i="129"/>
  <c r="T73" i="129"/>
  <c r="S87" i="129" s="1"/>
  <c r="D73" i="129"/>
  <c r="C87" i="129" s="1"/>
  <c r="C88" i="129" s="1"/>
  <c r="F102" i="129"/>
  <c r="E116" i="129" s="1"/>
  <c r="L102" i="129"/>
  <c r="K116" i="129" s="1"/>
  <c r="H98" i="129"/>
  <c r="L69" i="129"/>
  <c r="AH69" i="129"/>
  <c r="D137" i="129"/>
  <c r="Q161" i="129"/>
  <c r="M131" i="129"/>
  <c r="L145" i="129" s="1"/>
  <c r="Z127" i="129"/>
  <c r="L127" i="129"/>
  <c r="H131" i="129"/>
  <c r="G145" i="129" s="1"/>
  <c r="N127" i="129"/>
  <c r="N131" i="129"/>
  <c r="M145" i="129" s="1"/>
  <c r="J127" i="129"/>
  <c r="E102" i="129"/>
  <c r="D116" i="129" s="1"/>
  <c r="H102" i="129"/>
  <c r="G116" i="129" s="1"/>
  <c r="D102" i="129"/>
  <c r="C116" i="129" s="1"/>
  <c r="C117" i="129" s="1"/>
  <c r="D108" i="129"/>
  <c r="D109" i="129" s="1"/>
  <c r="P73" i="129"/>
  <c r="O87" i="129" s="1"/>
  <c r="AF69" i="129"/>
  <c r="N69" i="129"/>
  <c r="K73" i="129"/>
  <c r="J87" i="129" s="1"/>
  <c r="P69" i="129"/>
  <c r="F69" i="129"/>
  <c r="AB69" i="129"/>
  <c r="J73" i="129"/>
  <c r="I87" i="129" s="1"/>
  <c r="S161" i="129"/>
  <c r="AL127" i="129"/>
  <c r="AP127" i="129"/>
  <c r="M101" i="129"/>
  <c r="U98" i="129"/>
  <c r="G98" i="129"/>
  <c r="F101" i="129"/>
  <c r="H72" i="129"/>
  <c r="K69" i="129"/>
  <c r="O72" i="129"/>
  <c r="Y69" i="129"/>
  <c r="E72" i="129"/>
  <c r="E69" i="129"/>
  <c r="Q130" i="129"/>
  <c r="AC127" i="129"/>
  <c r="M127" i="129"/>
  <c r="I130" i="129"/>
  <c r="AM98" i="129"/>
  <c r="V101" i="129"/>
  <c r="Q101" i="129"/>
  <c r="Q103" i="129" s="1"/>
  <c r="AC98" i="129"/>
  <c r="K101" i="129"/>
  <c r="Q98" i="129"/>
  <c r="AB98" i="129"/>
  <c r="AA98" i="129"/>
  <c r="P101" i="129"/>
  <c r="AA69" i="129"/>
  <c r="P72" i="129"/>
  <c r="F72" i="129"/>
  <c r="G69" i="129"/>
  <c r="M69" i="129"/>
  <c r="I72" i="129"/>
  <c r="L72" i="129"/>
  <c r="S69" i="129"/>
  <c r="S73" i="129"/>
  <c r="R87" i="129" s="1"/>
  <c r="N73" i="129"/>
  <c r="M87" i="129" s="1"/>
  <c r="G63" i="128"/>
  <c r="AE63" i="128" s="1"/>
  <c r="AE31" i="128"/>
  <c r="C127" i="129"/>
  <c r="D130" i="129"/>
  <c r="AI127" i="129"/>
  <c r="T130" i="129"/>
  <c r="AF127" i="129"/>
  <c r="AG127" i="129"/>
  <c r="S130" i="129"/>
  <c r="AH127" i="129"/>
  <c r="K127" i="129"/>
  <c r="H130" i="129"/>
  <c r="P130" i="129"/>
  <c r="AA127" i="129"/>
  <c r="E131" i="129"/>
  <c r="D145" i="129" s="1"/>
  <c r="R130" i="129"/>
  <c r="AE127" i="129"/>
  <c r="L101" i="129"/>
  <c r="S98" i="129"/>
  <c r="E101" i="129"/>
  <c r="E98" i="129"/>
  <c r="V102" i="129"/>
  <c r="U116" i="129" s="1"/>
  <c r="V98" i="129"/>
  <c r="W72" i="129"/>
  <c r="AO69" i="129"/>
  <c r="T72" i="129"/>
  <c r="AI69" i="129"/>
  <c r="S127" i="129"/>
  <c r="L130" i="129"/>
  <c r="U127" i="129"/>
  <c r="M130" i="129"/>
  <c r="M102" i="129"/>
  <c r="L116" i="129" s="1"/>
  <c r="Y98" i="129"/>
  <c r="O101" i="129"/>
  <c r="J102" i="129"/>
  <c r="I116" i="129" s="1"/>
  <c r="S101" i="129"/>
  <c r="AG98" i="129"/>
  <c r="D98" i="129"/>
  <c r="I101" i="129"/>
  <c r="M98" i="129"/>
  <c r="AO98" i="129"/>
  <c r="W101" i="129"/>
  <c r="W103" i="129" s="1"/>
  <c r="N102" i="129"/>
  <c r="M116" i="129" s="1"/>
  <c r="D101" i="129"/>
  <c r="C98" i="129"/>
  <c r="P102" i="129"/>
  <c r="O116" i="129" s="1"/>
  <c r="Z98" i="129"/>
  <c r="K102" i="129"/>
  <c r="J116" i="129" s="1"/>
  <c r="G72" i="129"/>
  <c r="I69" i="129"/>
  <c r="AJ69" i="129"/>
  <c r="R69" i="129"/>
  <c r="U73" i="129"/>
  <c r="T87" i="129" s="1"/>
  <c r="AN69" i="129"/>
  <c r="AC69" i="129"/>
  <c r="Q72" i="129"/>
  <c r="R73" i="129"/>
  <c r="Q87" i="129" s="1"/>
  <c r="V69" i="129"/>
  <c r="H69" i="129"/>
  <c r="AD69" i="129"/>
  <c r="S131" i="129"/>
  <c r="R145" i="129" s="1"/>
  <c r="R131" i="129"/>
  <c r="Q145" i="129" s="1"/>
  <c r="P127" i="129"/>
  <c r="E130" i="129"/>
  <c r="E127" i="129"/>
  <c r="F31" i="128"/>
  <c r="H21" i="127"/>
  <c r="AH21" i="127" s="1"/>
  <c r="F131" i="129"/>
  <c r="E145" i="129" s="1"/>
  <c r="AK127" i="129"/>
  <c r="U130" i="129"/>
  <c r="J131" i="129"/>
  <c r="I145" i="129" s="1"/>
  <c r="V127" i="129"/>
  <c r="W131" i="129"/>
  <c r="V145" i="129" s="1"/>
  <c r="U131" i="129"/>
  <c r="T145" i="129" s="1"/>
  <c r="Q131" i="129"/>
  <c r="P145" i="129" s="1"/>
  <c r="H20" i="127"/>
  <c r="AH20" i="127" s="1"/>
  <c r="F30" i="128"/>
  <c r="N101" i="129"/>
  <c r="W98" i="129"/>
  <c r="J101" i="129"/>
  <c r="O98" i="129"/>
  <c r="W69" i="129"/>
  <c r="N72" i="129"/>
  <c r="AG69" i="129"/>
  <c r="S72" i="129"/>
  <c r="F127" i="129"/>
  <c r="Y127" i="129"/>
  <c r="O130" i="129"/>
  <c r="I98" i="129"/>
  <c r="G101" i="129"/>
  <c r="R101" i="129"/>
  <c r="AE98" i="129"/>
  <c r="L98" i="129"/>
  <c r="U101" i="129"/>
  <c r="AK98" i="129"/>
  <c r="AI98" i="129"/>
  <c r="T101" i="129"/>
  <c r="T103" i="129" s="1"/>
  <c r="AN98" i="129"/>
  <c r="G102" i="129"/>
  <c r="F116" i="129" s="1"/>
  <c r="E31" i="128"/>
  <c r="G21" i="127"/>
  <c r="AG21" i="127" s="1"/>
  <c r="K98" i="129"/>
  <c r="H101" i="129"/>
  <c r="AF98" i="129"/>
  <c r="X98" i="129"/>
  <c r="F161" i="129"/>
  <c r="D31" i="128"/>
  <c r="F21" i="127"/>
  <c r="AF21" i="127" s="1"/>
  <c r="X69" i="129"/>
  <c r="J72" i="129"/>
  <c r="O69" i="129"/>
  <c r="R72" i="129"/>
  <c r="AE69" i="129"/>
  <c r="Q69" i="129"/>
  <c r="K72" i="129"/>
  <c r="AK69" i="129"/>
  <c r="U72" i="129"/>
  <c r="Q73" i="129"/>
  <c r="P87" i="129" s="1"/>
  <c r="V72" i="129"/>
  <c r="V74" i="129" s="1"/>
  <c r="AM69" i="129"/>
  <c r="F73" i="129"/>
  <c r="E87" i="129" s="1"/>
  <c r="D72" i="129"/>
  <c r="C69" i="129"/>
  <c r="I73" i="129"/>
  <c r="H87" i="129" s="1"/>
  <c r="D79" i="129"/>
  <c r="D80" i="129" s="1"/>
  <c r="U69" i="129"/>
  <c r="M72" i="129"/>
  <c r="O73" i="129"/>
  <c r="N87" i="129" s="1"/>
  <c r="T161" i="129"/>
  <c r="D161" i="129"/>
  <c r="O161" i="129"/>
  <c r="W130" i="129"/>
  <c r="AO127" i="129"/>
  <c r="Q127" i="129"/>
  <c r="K130" i="129"/>
  <c r="H127" i="129"/>
  <c r="O127" i="129"/>
  <c r="J130" i="129"/>
  <c r="I131" i="129"/>
  <c r="H145" i="129" s="1"/>
  <c r="O131" i="129"/>
  <c r="N145" i="129" s="1"/>
  <c r="G127" i="129"/>
  <c r="F130" i="129"/>
  <c r="W127" i="129"/>
  <c r="N130" i="129"/>
  <c r="G130" i="129"/>
  <c r="I127" i="129"/>
  <c r="AM127" i="129"/>
  <c r="V130" i="129"/>
  <c r="G61" i="128"/>
  <c r="AE61" i="128" s="1"/>
  <c r="G52" i="128"/>
  <c r="AE52" i="128" s="1"/>
  <c r="AE30" i="128"/>
  <c r="AR5" i="128"/>
  <c r="T76" i="128"/>
  <c r="T26" i="128" s="1"/>
  <c r="AR26" i="128" s="1"/>
  <c r="AQ76" i="128"/>
  <c r="S26" i="128"/>
  <c r="AQ26" i="128" s="1"/>
  <c r="V5" i="126"/>
  <c r="V5" i="128" s="1"/>
  <c r="U5" i="128"/>
  <c r="M74" i="129" l="1"/>
  <c r="I31" i="127"/>
  <c r="AI22" i="127"/>
  <c r="G24" i="99"/>
  <c r="F48" i="99"/>
  <c r="E74" i="129"/>
  <c r="F132" i="129"/>
  <c r="E167" i="129"/>
  <c r="H23" i="127"/>
  <c r="T132" i="129"/>
  <c r="O103" i="129"/>
  <c r="G23" i="127"/>
  <c r="F23" i="127"/>
  <c r="P74" i="129"/>
  <c r="N103" i="129"/>
  <c r="D74" i="129"/>
  <c r="N74" i="129"/>
  <c r="G74" i="129"/>
  <c r="K132" i="129"/>
  <c r="L103" i="129"/>
  <c r="W74" i="129"/>
  <c r="D132" i="129"/>
  <c r="D146" i="129"/>
  <c r="E146" i="129" s="1"/>
  <c r="F146" i="129" s="1"/>
  <c r="G146" i="129" s="1"/>
  <c r="H146" i="129" s="1"/>
  <c r="I146" i="129" s="1"/>
  <c r="J146" i="129" s="1"/>
  <c r="K146" i="129" s="1"/>
  <c r="L146" i="129" s="1"/>
  <c r="M146" i="129" s="1"/>
  <c r="N146" i="129" s="1"/>
  <c r="O146" i="129" s="1"/>
  <c r="P146" i="129" s="1"/>
  <c r="Q146" i="129" s="1"/>
  <c r="R146" i="129" s="1"/>
  <c r="S146" i="129" s="1"/>
  <c r="T146" i="129" s="1"/>
  <c r="U146" i="129" s="1"/>
  <c r="V146" i="129" s="1"/>
  <c r="W146" i="129" s="1"/>
  <c r="P132" i="129"/>
  <c r="L132" i="129"/>
  <c r="L74" i="129"/>
  <c r="U103" i="129"/>
  <c r="I103" i="129"/>
  <c r="D88" i="129"/>
  <c r="E88" i="129" s="1"/>
  <c r="F88" i="129" s="1"/>
  <c r="G88" i="129" s="1"/>
  <c r="H88" i="129" s="1"/>
  <c r="I88" i="129" s="1"/>
  <c r="J88" i="129" s="1"/>
  <c r="K88" i="129" s="1"/>
  <c r="L88" i="129" s="1"/>
  <c r="M88" i="129" s="1"/>
  <c r="N88" i="129" s="1"/>
  <c r="O88" i="129" s="1"/>
  <c r="P88" i="129" s="1"/>
  <c r="Q88" i="129" s="1"/>
  <c r="R88" i="129" s="1"/>
  <c r="S88" i="129" s="1"/>
  <c r="T88" i="129" s="1"/>
  <c r="U88" i="129" s="1"/>
  <c r="V88" i="129" s="1"/>
  <c r="W88" i="129" s="1"/>
  <c r="V132" i="129"/>
  <c r="U74" i="129"/>
  <c r="R103" i="129"/>
  <c r="S103" i="129"/>
  <c r="H74" i="129"/>
  <c r="G132" i="129"/>
  <c r="H103" i="129"/>
  <c r="R74" i="129"/>
  <c r="D103" i="129"/>
  <c r="N132" i="129"/>
  <c r="W132" i="129"/>
  <c r="F103" i="129"/>
  <c r="K74" i="129"/>
  <c r="S74" i="129"/>
  <c r="T74" i="129"/>
  <c r="J74" i="129"/>
  <c r="J103" i="129"/>
  <c r="E132" i="129"/>
  <c r="Q74" i="129"/>
  <c r="E103" i="129"/>
  <c r="R132" i="129"/>
  <c r="H132" i="129"/>
  <c r="I74" i="129"/>
  <c r="E108" i="129"/>
  <c r="E109" i="129" s="1"/>
  <c r="M132" i="129"/>
  <c r="D117" i="129"/>
  <c r="E117" i="129" s="1"/>
  <c r="F117" i="129" s="1"/>
  <c r="G117" i="129" s="1"/>
  <c r="H117" i="129" s="1"/>
  <c r="I117" i="129" s="1"/>
  <c r="J117" i="129" s="1"/>
  <c r="K117" i="129" s="1"/>
  <c r="L117" i="129" s="1"/>
  <c r="M117" i="129" s="1"/>
  <c r="N117" i="129" s="1"/>
  <c r="O117" i="129" s="1"/>
  <c r="P117" i="129" s="1"/>
  <c r="Q117" i="129" s="1"/>
  <c r="R117" i="129" s="1"/>
  <c r="S117" i="129" s="1"/>
  <c r="T117" i="129" s="1"/>
  <c r="U117" i="129" s="1"/>
  <c r="V117" i="129" s="1"/>
  <c r="W117" i="129" s="1"/>
  <c r="D138" i="129"/>
  <c r="E137" i="129"/>
  <c r="I132" i="129"/>
  <c r="F167" i="129"/>
  <c r="G166" i="129"/>
  <c r="G103" i="129"/>
  <c r="U132" i="129"/>
  <c r="F61" i="128"/>
  <c r="AD61" i="128" s="1"/>
  <c r="F63" i="128"/>
  <c r="AD63" i="128" s="1"/>
  <c r="AD31" i="128"/>
  <c r="V103" i="129"/>
  <c r="M103" i="129"/>
  <c r="D52" i="128"/>
  <c r="AB52" i="128" s="1"/>
  <c r="AB31" i="128"/>
  <c r="D63" i="128"/>
  <c r="AB63" i="128" s="1"/>
  <c r="D61" i="128"/>
  <c r="AB61" i="128" s="1"/>
  <c r="AD30" i="128"/>
  <c r="F52" i="128"/>
  <c r="AD52" i="128" s="1"/>
  <c r="W26" i="129"/>
  <c r="W85" i="128" s="1"/>
  <c r="P103" i="129"/>
  <c r="K103" i="129"/>
  <c r="E79" i="129"/>
  <c r="J132" i="129"/>
  <c r="E61" i="128"/>
  <c r="AC61" i="128" s="1"/>
  <c r="AC31" i="128"/>
  <c r="E63" i="128"/>
  <c r="AC63" i="128" s="1"/>
  <c r="E52" i="128"/>
  <c r="AC52" i="128" s="1"/>
  <c r="O132" i="129"/>
  <c r="S132" i="129"/>
  <c r="F74" i="129"/>
  <c r="Q132" i="129"/>
  <c r="O74" i="129"/>
  <c r="AS5" i="128"/>
  <c r="U76" i="128"/>
  <c r="U26" i="128" s="1"/>
  <c r="AS26" i="128" s="1"/>
  <c r="AT5" i="128"/>
  <c r="V76" i="128"/>
  <c r="AR76" i="128"/>
  <c r="H31" i="127" l="1"/>
  <c r="AH22" i="127"/>
  <c r="F31" i="127"/>
  <c r="AF22" i="127"/>
  <c r="G31" i="127"/>
  <c r="AG22" i="127"/>
  <c r="H24" i="99"/>
  <c r="G48" i="99"/>
  <c r="F108" i="129"/>
  <c r="E138" i="129"/>
  <c r="F137" i="129"/>
  <c r="G167" i="129"/>
  <c r="H166" i="129"/>
  <c r="E80" i="129"/>
  <c r="F79" i="129"/>
  <c r="W86" i="128"/>
  <c r="AU86" i="128" s="1"/>
  <c r="AU85" i="128"/>
  <c r="AT76" i="128"/>
  <c r="W26" i="128"/>
  <c r="AU26" i="128" s="1"/>
  <c r="AS76" i="128"/>
  <c r="V26" i="128"/>
  <c r="AT26" i="128" s="1"/>
  <c r="I24" i="99" l="1"/>
  <c r="H48" i="99"/>
  <c r="F109" i="129"/>
  <c r="G108" i="129"/>
  <c r="F138" i="129"/>
  <c r="G137" i="129"/>
  <c r="G79" i="129"/>
  <c r="F80" i="129"/>
  <c r="I166" i="129"/>
  <c r="H167" i="129"/>
  <c r="J24" i="99" l="1"/>
  <c r="I48" i="99"/>
  <c r="G109" i="129"/>
  <c r="H108" i="129"/>
  <c r="G138" i="129"/>
  <c r="H137" i="129"/>
  <c r="I167" i="129"/>
  <c r="J166" i="129"/>
  <c r="H79" i="129"/>
  <c r="G80" i="129"/>
  <c r="K24" i="99" l="1"/>
  <c r="J48" i="99"/>
  <c r="H109" i="129"/>
  <c r="I108" i="129"/>
  <c r="I137" i="129"/>
  <c r="H138" i="129"/>
  <c r="J167" i="129"/>
  <c r="K166" i="129"/>
  <c r="H80" i="129"/>
  <c r="I79" i="129"/>
  <c r="L24" i="99" l="1"/>
  <c r="K48" i="99"/>
  <c r="J108" i="129"/>
  <c r="I109" i="129"/>
  <c r="I138" i="129"/>
  <c r="J137" i="129"/>
  <c r="I80" i="129"/>
  <c r="J79" i="129"/>
  <c r="K167" i="129"/>
  <c r="L166" i="129"/>
  <c r="M24" i="99" l="1"/>
  <c r="N24" i="99" s="1"/>
  <c r="L48" i="99"/>
  <c r="J109" i="129"/>
  <c r="K108" i="129"/>
  <c r="K137" i="129"/>
  <c r="J138" i="129"/>
  <c r="L167" i="129"/>
  <c r="M166" i="129"/>
  <c r="J80" i="129"/>
  <c r="K79" i="129"/>
  <c r="K109" i="129" l="1"/>
  <c r="L108" i="129"/>
  <c r="K138" i="129"/>
  <c r="L137" i="129"/>
  <c r="N166" i="129"/>
  <c r="N167" i="129" s="1"/>
  <c r="M167" i="129"/>
  <c r="K80" i="129"/>
  <c r="L79" i="129"/>
  <c r="O167" i="129" l="1"/>
  <c r="C159" i="129" s="1"/>
  <c r="C161" i="129" s="1"/>
  <c r="L109" i="129"/>
  <c r="M108" i="129"/>
  <c r="L138" i="129"/>
  <c r="M137" i="129"/>
  <c r="L80" i="129"/>
  <c r="M79" i="129"/>
  <c r="C170" i="129" l="1"/>
  <c r="M109" i="129"/>
  <c r="N108" i="129"/>
  <c r="N109" i="129" s="1"/>
  <c r="M138" i="129"/>
  <c r="N137" i="129"/>
  <c r="N138" i="129" s="1"/>
  <c r="M80" i="129"/>
  <c r="N79" i="129"/>
  <c r="N80" i="129" s="1"/>
  <c r="R76" i="94"/>
  <c r="R77" i="94" s="1"/>
  <c r="J76" i="94"/>
  <c r="J77" i="94" s="1"/>
  <c r="E119" i="94" s="1"/>
  <c r="L76" i="94"/>
  <c r="L77" i="94" s="1"/>
  <c r="G119" i="94" s="1"/>
  <c r="Q76" i="94"/>
  <c r="I76" i="94"/>
  <c r="I77" i="94" s="1"/>
  <c r="D119" i="94" s="1"/>
  <c r="K76" i="94"/>
  <c r="O109" i="129" l="1"/>
  <c r="C112" i="129" s="1"/>
  <c r="O138" i="129"/>
  <c r="C130" i="129" s="1"/>
  <c r="C132" i="129" s="1"/>
  <c r="O80" i="129"/>
  <c r="C83" i="129" s="1"/>
  <c r="K77" i="94"/>
  <c r="Q77" i="94"/>
  <c r="N76" i="94"/>
  <c r="N77" i="94" s="1"/>
  <c r="I119" i="94" s="1"/>
  <c r="L78" i="94"/>
  <c r="L110" i="94" s="1"/>
  <c r="J78" i="94"/>
  <c r="J110" i="94" s="1"/>
  <c r="R78" i="94"/>
  <c r="R110" i="94" s="1"/>
  <c r="N6" i="126" s="1"/>
  <c r="N6" i="128" s="1"/>
  <c r="I78" i="94"/>
  <c r="I110" i="94" s="1"/>
  <c r="M76" i="94"/>
  <c r="O76" i="94"/>
  <c r="P76" i="94"/>
  <c r="F6" i="126" l="1"/>
  <c r="F6" i="128" s="1"/>
  <c r="F7" i="128" s="1"/>
  <c r="E123" i="94"/>
  <c r="K78" i="94"/>
  <c r="K110" i="94" s="1"/>
  <c r="F119" i="94"/>
  <c r="H6" i="126"/>
  <c r="H6" i="128" s="1"/>
  <c r="H75" i="128" s="1"/>
  <c r="G123" i="94"/>
  <c r="E6" i="126"/>
  <c r="E6" i="128" s="1"/>
  <c r="E75" i="128" s="1"/>
  <c r="D123" i="94"/>
  <c r="C101" i="129"/>
  <c r="C103" i="129" s="1"/>
  <c r="C141" i="129"/>
  <c r="C72" i="129"/>
  <c r="C74" i="129" s="1"/>
  <c r="Q78" i="94"/>
  <c r="Q110" i="94" s="1"/>
  <c r="M6" i="126" s="1"/>
  <c r="O77" i="94"/>
  <c r="J119" i="94" s="1"/>
  <c r="N78" i="94"/>
  <c r="N110" i="94" s="1"/>
  <c r="M77" i="94"/>
  <c r="H119" i="94" s="1"/>
  <c r="N75" i="128"/>
  <c r="N84" i="128"/>
  <c r="AL6" i="128"/>
  <c r="N7" i="128"/>
  <c r="P77" i="94"/>
  <c r="AD6" i="128" l="1"/>
  <c r="F75" i="128"/>
  <c r="F25" i="128" s="1"/>
  <c r="AD25" i="128" s="1"/>
  <c r="F84" i="128"/>
  <c r="AD84" i="128" s="1"/>
  <c r="E7" i="128"/>
  <c r="AC7" i="128" s="1"/>
  <c r="H7" i="128"/>
  <c r="AF7" i="128" s="1"/>
  <c r="H84" i="128"/>
  <c r="AF84" i="128" s="1"/>
  <c r="AF6" i="128"/>
  <c r="E84" i="128"/>
  <c r="AC6" i="128"/>
  <c r="J6" i="126"/>
  <c r="J6" i="128" s="1"/>
  <c r="J7" i="128" s="1"/>
  <c r="I123" i="94"/>
  <c r="G6" i="126"/>
  <c r="G6" i="128" s="1"/>
  <c r="F123" i="94"/>
  <c r="M6" i="128"/>
  <c r="AK6" i="128" s="1"/>
  <c r="O78" i="94"/>
  <c r="O110" i="94" s="1"/>
  <c r="AL7" i="128"/>
  <c r="M78" i="94"/>
  <c r="M110" i="94" s="1"/>
  <c r="AD7" i="128"/>
  <c r="AC75" i="128"/>
  <c r="AL84" i="128"/>
  <c r="P78" i="94"/>
  <c r="P110" i="94" s="1"/>
  <c r="L6" i="126" s="1"/>
  <c r="L6" i="128" s="1"/>
  <c r="AL75" i="128"/>
  <c r="AF75" i="128"/>
  <c r="AD75" i="128" l="1"/>
  <c r="F27" i="128"/>
  <c r="AD27" i="128" s="1"/>
  <c r="AC84" i="128"/>
  <c r="J75" i="128"/>
  <c r="AH75" i="128" s="1"/>
  <c r="AH6" i="128"/>
  <c r="J84" i="128"/>
  <c r="AH84" i="128" s="1"/>
  <c r="I6" i="126"/>
  <c r="I6" i="128" s="1"/>
  <c r="H123" i="94"/>
  <c r="K6" i="126"/>
  <c r="K6" i="128" s="1"/>
  <c r="K84" i="128" s="1"/>
  <c r="AI84" i="128" s="1"/>
  <c r="J123" i="94"/>
  <c r="AE6" i="128"/>
  <c r="G75" i="128"/>
  <c r="G84" i="128"/>
  <c r="G7" i="128"/>
  <c r="AE7" i="128" s="1"/>
  <c r="M75" i="128"/>
  <c r="N25" i="128" s="1"/>
  <c r="AL25" i="128" s="1"/>
  <c r="M84" i="128"/>
  <c r="N27" i="128" s="1"/>
  <c r="AL27" i="128" s="1"/>
  <c r="M7" i="128"/>
  <c r="AK7" i="128" s="1"/>
  <c r="AH7" i="128"/>
  <c r="L75" i="128"/>
  <c r="AJ6" i="128"/>
  <c r="L84" i="128"/>
  <c r="L7" i="128"/>
  <c r="K27" i="128" l="1"/>
  <c r="AI27" i="128" s="1"/>
  <c r="K75" i="128"/>
  <c r="AI75" i="128" s="1"/>
  <c r="AK75" i="128"/>
  <c r="AI6" i="128"/>
  <c r="K7" i="128"/>
  <c r="AI7" i="128" s="1"/>
  <c r="AK84" i="128"/>
  <c r="H27" i="128"/>
  <c r="AF27" i="128" s="1"/>
  <c r="G27" i="128"/>
  <c r="AE27" i="128" s="1"/>
  <c r="AE84" i="128"/>
  <c r="AE75" i="128"/>
  <c r="G25" i="128"/>
  <c r="AE25" i="128" s="1"/>
  <c r="H25" i="128"/>
  <c r="AF25" i="128" s="1"/>
  <c r="AJ7" i="128"/>
  <c r="AJ75" i="128"/>
  <c r="M25" i="128"/>
  <c r="AK25" i="128" s="1"/>
  <c r="L27" i="128"/>
  <c r="AJ27" i="128" s="1"/>
  <c r="AJ84" i="128"/>
  <c r="M27" i="128"/>
  <c r="AK27" i="128" s="1"/>
  <c r="I75" i="128"/>
  <c r="AG6" i="128"/>
  <c r="I84" i="128"/>
  <c r="I7" i="128"/>
  <c r="K25" i="128" l="1"/>
  <c r="AI25" i="128" s="1"/>
  <c r="L25" i="128"/>
  <c r="AJ25" i="128" s="1"/>
  <c r="AG84" i="128"/>
  <c r="I27" i="128"/>
  <c r="AG27" i="128" s="1"/>
  <c r="J27" i="128"/>
  <c r="AH27" i="128" s="1"/>
  <c r="J25" i="128"/>
  <c r="AH25" i="128" s="1"/>
  <c r="AG75" i="128"/>
  <c r="I25" i="128"/>
  <c r="AG25" i="128" s="1"/>
  <c r="AG7" i="128"/>
  <c r="H76" i="94" l="1"/>
  <c r="H77" i="94" s="1"/>
  <c r="C119" i="94" s="1"/>
  <c r="S76" i="94"/>
  <c r="S77" i="94" s="1"/>
  <c r="S78" i="94" l="1"/>
  <c r="S110" i="94" s="1"/>
  <c r="O6" i="126" s="1"/>
  <c r="H78" i="94"/>
  <c r="H110" i="94" s="1"/>
  <c r="O6" i="128" l="1"/>
  <c r="O7" i="128" s="1"/>
  <c r="D6" i="126"/>
  <c r="D6" i="128" s="1"/>
  <c r="D7" i="128" s="1"/>
  <c r="AB7" i="128" s="1"/>
  <c r="C123" i="94"/>
  <c r="P6" i="126"/>
  <c r="P6" i="128" s="1"/>
  <c r="O75" i="128" l="1"/>
  <c r="AM75" i="128" s="1"/>
  <c r="AM6" i="128"/>
  <c r="O84" i="128"/>
  <c r="O27" i="128" s="1"/>
  <c r="AM27" i="128" s="1"/>
  <c r="D84" i="128"/>
  <c r="E27" i="128" s="1"/>
  <c r="AC27" i="128" s="1"/>
  <c r="D75" i="128"/>
  <c r="D25" i="128" s="1"/>
  <c r="AB25" i="128" s="1"/>
  <c r="AB6" i="128"/>
  <c r="Q6" i="126"/>
  <c r="Q6" i="128" s="1"/>
  <c r="AM7" i="128"/>
  <c r="P75" i="128"/>
  <c r="AN6" i="128"/>
  <c r="P84" i="128"/>
  <c r="P7" i="128"/>
  <c r="O25" i="128" l="1"/>
  <c r="AM25" i="128" s="1"/>
  <c r="AM84" i="128"/>
  <c r="AB84" i="128"/>
  <c r="D27" i="128"/>
  <c r="AB27" i="128" s="1"/>
  <c r="E25" i="128"/>
  <c r="AC25" i="128" s="1"/>
  <c r="AB75" i="128"/>
  <c r="R6" i="126"/>
  <c r="S6" i="126" s="1"/>
  <c r="AN75" i="128"/>
  <c r="AN7" i="128"/>
  <c r="Q75" i="128"/>
  <c r="AO6" i="128"/>
  <c r="Q84" i="128"/>
  <c r="Q7" i="128"/>
  <c r="P25" i="128"/>
  <c r="AN25" i="128" s="1"/>
  <c r="AN84" i="128"/>
  <c r="P27" i="128"/>
  <c r="AN27" i="128" s="1"/>
  <c r="R6" i="128" l="1"/>
  <c r="R7" i="128" s="1"/>
  <c r="S6" i="128"/>
  <c r="T6" i="126"/>
  <c r="AO75" i="128"/>
  <c r="Q25" i="128"/>
  <c r="AO25" i="128" s="1"/>
  <c r="Q27" i="128"/>
  <c r="AO27" i="128" s="1"/>
  <c r="AO84" i="128"/>
  <c r="AO7" i="128"/>
  <c r="R84" i="128" l="1"/>
  <c r="AP84" i="128" s="1"/>
  <c r="R75" i="128"/>
  <c r="R25" i="128" s="1"/>
  <c r="AP25" i="128" s="1"/>
  <c r="AP6" i="128"/>
  <c r="AP7" i="128"/>
  <c r="S75" i="128"/>
  <c r="AQ6" i="128"/>
  <c r="S84" i="128"/>
  <c r="S7" i="128"/>
  <c r="T6" i="128"/>
  <c r="U6" i="126"/>
  <c r="R27" i="128" l="1"/>
  <c r="AP27" i="128" s="1"/>
  <c r="AP75" i="128"/>
  <c r="S25" i="128"/>
  <c r="AQ25" i="128" s="1"/>
  <c r="S27" i="128"/>
  <c r="AQ27" i="128" s="1"/>
  <c r="AQ84" i="128"/>
  <c r="AR6" i="128"/>
  <c r="T75" i="128"/>
  <c r="T84" i="128"/>
  <c r="T7" i="128"/>
  <c r="U6" i="128"/>
  <c r="V6" i="126"/>
  <c r="V6" i="128" s="1"/>
  <c r="AQ7" i="128"/>
  <c r="AQ75" i="128"/>
  <c r="AT6" i="128" l="1"/>
  <c r="V75" i="128"/>
  <c r="V84" i="128"/>
  <c r="V7" i="128"/>
  <c r="AR75" i="128"/>
  <c r="AS6" i="128"/>
  <c r="U75" i="128"/>
  <c r="U25" i="128" s="1"/>
  <c r="AS25" i="128" s="1"/>
  <c r="U84" i="128"/>
  <c r="U7" i="128"/>
  <c r="T25" i="128"/>
  <c r="AR25" i="128" s="1"/>
  <c r="AR7" i="128"/>
  <c r="AR84" i="128"/>
  <c r="T27" i="128"/>
  <c r="AR27" i="128" s="1"/>
  <c r="AS7" i="128" l="1"/>
  <c r="AT75" i="128"/>
  <c r="W25" i="128"/>
  <c r="AU25" i="128" s="1"/>
  <c r="AS84" i="128"/>
  <c r="U27" i="128"/>
  <c r="AS27" i="128" s="1"/>
  <c r="AT7" i="128"/>
  <c r="AS75" i="128"/>
  <c r="V25" i="128"/>
  <c r="AT25" i="128" s="1"/>
  <c r="AT84" i="128"/>
  <c r="W27" i="128"/>
  <c r="AU27" i="128" s="1"/>
  <c r="V27" i="128"/>
  <c r="AT27" i="128" s="1"/>
  <c r="D260" i="98" l="1"/>
  <c r="D12" i="126" l="1"/>
  <c r="D6" i="131" l="1"/>
  <c r="D7" i="131" s="1"/>
  <c r="C5" i="129" s="1"/>
  <c r="D13" i="126"/>
  <c r="D9" i="131" l="1"/>
  <c r="I15" i="131" s="1"/>
  <c r="I16" i="131" s="1"/>
  <c r="I29" i="131" s="1"/>
  <c r="I9" i="128" s="1"/>
  <c r="C10" i="129"/>
  <c r="E5" i="129"/>
  <c r="G5" i="129" s="1"/>
  <c r="C16" i="129"/>
  <c r="P15" i="131" l="1"/>
  <c r="P16" i="131" s="1"/>
  <c r="P29" i="131" s="1"/>
  <c r="P9" i="128" s="1"/>
  <c r="AN9" i="128" s="1"/>
  <c r="U15" i="131"/>
  <c r="U16" i="131" s="1"/>
  <c r="U29" i="131" s="1"/>
  <c r="U9" i="128" s="1"/>
  <c r="U50" i="128" s="1"/>
  <c r="S15" i="131"/>
  <c r="S16" i="131" s="1"/>
  <c r="S29" i="131" s="1"/>
  <c r="S9" i="128" s="1"/>
  <c r="S24" i="128" s="1"/>
  <c r="AQ24" i="128" s="1"/>
  <c r="J15" i="131"/>
  <c r="J16" i="131" s="1"/>
  <c r="J29" i="131" s="1"/>
  <c r="J9" i="128" s="1"/>
  <c r="J24" i="128" s="1"/>
  <c r="AH24" i="128" s="1"/>
  <c r="D15" i="131"/>
  <c r="D16" i="131" s="1"/>
  <c r="D29" i="131" s="1"/>
  <c r="D9" i="128" s="1"/>
  <c r="AB9" i="128" s="1"/>
  <c r="V15" i="131"/>
  <c r="V16" i="131" s="1"/>
  <c r="V29" i="131" s="1"/>
  <c r="V9" i="128" s="1"/>
  <c r="V50" i="128" s="1"/>
  <c r="N15" i="131"/>
  <c r="N16" i="131" s="1"/>
  <c r="N29" i="131" s="1"/>
  <c r="N9" i="128" s="1"/>
  <c r="N24" i="128" s="1"/>
  <c r="AL24" i="128" s="1"/>
  <c r="K15" i="131"/>
  <c r="K16" i="131" s="1"/>
  <c r="K29" i="131" s="1"/>
  <c r="K9" i="128" s="1"/>
  <c r="K24" i="128" s="1"/>
  <c r="AI24" i="128" s="1"/>
  <c r="T15" i="131"/>
  <c r="T16" i="131" s="1"/>
  <c r="T29" i="131" s="1"/>
  <c r="T9" i="128" s="1"/>
  <c r="T50" i="128" s="1"/>
  <c r="M15" i="131"/>
  <c r="M16" i="131" s="1"/>
  <c r="M29" i="131" s="1"/>
  <c r="M9" i="128" s="1"/>
  <c r="AK9" i="128" s="1"/>
  <c r="L15" i="131"/>
  <c r="L16" i="131" s="1"/>
  <c r="L29" i="131" s="1"/>
  <c r="L9" i="128" s="1"/>
  <c r="AJ9" i="128" s="1"/>
  <c r="H15" i="131"/>
  <c r="H16" i="131" s="1"/>
  <c r="H29" i="131" s="1"/>
  <c r="H9" i="128" s="1"/>
  <c r="H24" i="128" s="1"/>
  <c r="AF24" i="128" s="1"/>
  <c r="O15" i="131"/>
  <c r="O16" i="131" s="1"/>
  <c r="O29" i="131" s="1"/>
  <c r="O9" i="128" s="1"/>
  <c r="O24" i="128" s="1"/>
  <c r="AM24" i="128" s="1"/>
  <c r="Q15" i="131"/>
  <c r="Q16" i="131" s="1"/>
  <c r="Q29" i="131" s="1"/>
  <c r="Q9" i="128" s="1"/>
  <c r="AO9" i="128" s="1"/>
  <c r="E15" i="131"/>
  <c r="E16" i="131" s="1"/>
  <c r="E29" i="131" s="1"/>
  <c r="E9" i="128" s="1"/>
  <c r="AC9" i="128" s="1"/>
  <c r="W15" i="131"/>
  <c r="W16" i="131" s="1"/>
  <c r="W29" i="131" s="1"/>
  <c r="W9" i="128" s="1"/>
  <c r="W10" i="128" s="1"/>
  <c r="F15" i="131"/>
  <c r="F16" i="131" s="1"/>
  <c r="F29" i="131" s="1"/>
  <c r="F9" i="128" s="1"/>
  <c r="AD9" i="128" s="1"/>
  <c r="R15" i="131"/>
  <c r="R16" i="131" s="1"/>
  <c r="R29" i="131" s="1"/>
  <c r="R9" i="128" s="1"/>
  <c r="R50" i="128" s="1"/>
  <c r="G15" i="131"/>
  <c r="G16" i="131" s="1"/>
  <c r="G29" i="131" s="1"/>
  <c r="G9" i="128" s="1"/>
  <c r="G24" i="128" s="1"/>
  <c r="AE24" i="128" s="1"/>
  <c r="I5" i="129"/>
  <c r="AB39" i="129" s="1"/>
  <c r="E25" i="127"/>
  <c r="AE24" i="127" s="1"/>
  <c r="C37" i="128"/>
  <c r="I24" i="128"/>
  <c r="AG24" i="128" s="1"/>
  <c r="AG9" i="128"/>
  <c r="I50" i="128"/>
  <c r="G10" i="129"/>
  <c r="E10" i="129"/>
  <c r="C33" i="128"/>
  <c r="AA33" i="128" s="1"/>
  <c r="E27" i="127"/>
  <c r="AE26" i="127" l="1"/>
  <c r="AS9" i="128"/>
  <c r="U24" i="128"/>
  <c r="AS24" i="128" s="1"/>
  <c r="P50" i="128"/>
  <c r="P60" i="128" s="1"/>
  <c r="AN60" i="128" s="1"/>
  <c r="N50" i="128"/>
  <c r="N60" i="128" s="1"/>
  <c r="AL60" i="128" s="1"/>
  <c r="P24" i="128"/>
  <c r="AN24" i="128" s="1"/>
  <c r="S50" i="128"/>
  <c r="S60" i="128" s="1"/>
  <c r="AQ60" i="128" s="1"/>
  <c r="AQ9" i="128"/>
  <c r="J50" i="128"/>
  <c r="AH50" i="128" s="1"/>
  <c r="AI9" i="128"/>
  <c r="AH9" i="128"/>
  <c r="K50" i="128"/>
  <c r="AI50" i="128" s="1"/>
  <c r="H50" i="128"/>
  <c r="H60" i="128" s="1"/>
  <c r="AF60" i="128" s="1"/>
  <c r="D79" i="128"/>
  <c r="AB79" i="128" s="1"/>
  <c r="D24" i="128"/>
  <c r="AB24" i="128" s="1"/>
  <c r="D50" i="128"/>
  <c r="AB50" i="128" s="1"/>
  <c r="M50" i="128"/>
  <c r="AK50" i="128" s="1"/>
  <c r="AT9" i="128"/>
  <c r="M24" i="128"/>
  <c r="AK24" i="128" s="1"/>
  <c r="L50" i="128"/>
  <c r="L60" i="128" s="1"/>
  <c r="AJ60" i="128" s="1"/>
  <c r="AF9" i="128"/>
  <c r="V24" i="128"/>
  <c r="AT24" i="128" s="1"/>
  <c r="AM9" i="128"/>
  <c r="AL9" i="128"/>
  <c r="L24" i="128"/>
  <c r="AJ24" i="128" s="1"/>
  <c r="O50" i="128"/>
  <c r="O60" i="128" s="1"/>
  <c r="AM60" i="128" s="1"/>
  <c r="AR9" i="128"/>
  <c r="T24" i="128"/>
  <c r="AR24" i="128" s="1"/>
  <c r="F50" i="128"/>
  <c r="F60" i="128" s="1"/>
  <c r="AD60" i="128" s="1"/>
  <c r="Q50" i="128"/>
  <c r="AO50" i="128" s="1"/>
  <c r="F24" i="128"/>
  <c r="AD24" i="128" s="1"/>
  <c r="Q24" i="128"/>
  <c r="AO24" i="128" s="1"/>
  <c r="W50" i="128"/>
  <c r="W60" i="128" s="1"/>
  <c r="AU60" i="128" s="1"/>
  <c r="E50" i="128"/>
  <c r="AC50" i="128" s="1"/>
  <c r="E24" i="128"/>
  <c r="AC24" i="128" s="1"/>
  <c r="C27" i="127"/>
  <c r="D266" i="98"/>
  <c r="AU9" i="128"/>
  <c r="W24" i="128"/>
  <c r="AU24" i="128" s="1"/>
  <c r="G50" i="128"/>
  <c r="AE50" i="128" s="1"/>
  <c r="AE9" i="128"/>
  <c r="R24" i="128"/>
  <c r="AP24" i="128" s="1"/>
  <c r="AP9" i="128"/>
  <c r="E30" i="127"/>
  <c r="AE28" i="127" s="1"/>
  <c r="W39" i="129"/>
  <c r="D39" i="129"/>
  <c r="C18" i="129"/>
  <c r="C30" i="128" s="1"/>
  <c r="R38" i="129"/>
  <c r="E38" i="129"/>
  <c r="O39" i="129"/>
  <c r="Y38" i="129"/>
  <c r="AE39" i="129"/>
  <c r="AF39" i="129"/>
  <c r="C49" i="129"/>
  <c r="C50" i="129" s="1"/>
  <c r="C51" i="129" s="1"/>
  <c r="K39" i="129"/>
  <c r="S38" i="129"/>
  <c r="G49" i="129"/>
  <c r="AO39" i="129"/>
  <c r="Q39" i="129"/>
  <c r="AF38" i="129"/>
  <c r="W38" i="129"/>
  <c r="P38" i="129"/>
  <c r="AL38" i="129"/>
  <c r="AG39" i="129"/>
  <c r="G39" i="129"/>
  <c r="C38" i="129"/>
  <c r="AE38" i="129"/>
  <c r="AJ38" i="129"/>
  <c r="X38" i="129"/>
  <c r="AM39" i="129"/>
  <c r="AA39" i="129"/>
  <c r="P44" i="129" s="1"/>
  <c r="P24" i="129" s="1"/>
  <c r="P32" i="128" s="1"/>
  <c r="Y39" i="129"/>
  <c r="E39" i="129"/>
  <c r="N49" i="129"/>
  <c r="K49" i="129"/>
  <c r="C39" i="129"/>
  <c r="I38" i="129"/>
  <c r="AI38" i="129"/>
  <c r="AP38" i="129"/>
  <c r="J39" i="129"/>
  <c r="AI39" i="129"/>
  <c r="AC39" i="129"/>
  <c r="M39" i="129"/>
  <c r="F49" i="129"/>
  <c r="AA38" i="129"/>
  <c r="L49" i="129"/>
  <c r="J49" i="129"/>
  <c r="AC38" i="129"/>
  <c r="H49" i="129"/>
  <c r="AH38" i="129"/>
  <c r="V39" i="129"/>
  <c r="AK38" i="129"/>
  <c r="G38" i="129"/>
  <c r="AL39" i="129"/>
  <c r="T38" i="129"/>
  <c r="N38" i="129"/>
  <c r="AB38" i="129"/>
  <c r="AB40" i="129" s="1"/>
  <c r="P39" i="129"/>
  <c r="Z38" i="129"/>
  <c r="O38" i="129"/>
  <c r="AG38" i="129"/>
  <c r="Q38" i="129"/>
  <c r="AO38" i="129"/>
  <c r="AD39" i="129"/>
  <c r="I10" i="129"/>
  <c r="I11" i="129" s="1"/>
  <c r="F38" i="129"/>
  <c r="T39" i="129"/>
  <c r="AJ39" i="129"/>
  <c r="H39" i="129"/>
  <c r="Z39" i="129"/>
  <c r="L39" i="129"/>
  <c r="C55" i="129"/>
  <c r="E49" i="129"/>
  <c r="X39" i="129"/>
  <c r="R39" i="129"/>
  <c r="V38" i="129"/>
  <c r="AN39" i="129"/>
  <c r="AK39" i="129"/>
  <c r="U39" i="129"/>
  <c r="S39" i="129"/>
  <c r="I39" i="129"/>
  <c r="I49" i="129"/>
  <c r="AM38" i="129"/>
  <c r="C19" i="129"/>
  <c r="E21" i="127" s="1"/>
  <c r="K38" i="129"/>
  <c r="AD38" i="129"/>
  <c r="M49" i="129"/>
  <c r="M38" i="129"/>
  <c r="H38" i="129"/>
  <c r="U38" i="129"/>
  <c r="J38" i="129"/>
  <c r="L38" i="129"/>
  <c r="F39" i="129"/>
  <c r="D38" i="129"/>
  <c r="D49" i="129"/>
  <c r="N39" i="129"/>
  <c r="AP39" i="129"/>
  <c r="AH39" i="129"/>
  <c r="AN38" i="129"/>
  <c r="AS50" i="128"/>
  <c r="U60" i="128"/>
  <c r="AS60" i="128" s="1"/>
  <c r="AM50" i="128"/>
  <c r="I60" i="128"/>
  <c r="AG60" i="128" s="1"/>
  <c r="AG50" i="128"/>
  <c r="AU10" i="128"/>
  <c r="W16" i="128"/>
  <c r="AR50" i="128"/>
  <c r="T60" i="128"/>
  <c r="AR60" i="128" s="1"/>
  <c r="AL50" i="128"/>
  <c r="C25" i="127"/>
  <c r="AC24" i="127" s="1"/>
  <c r="AP50" i="128"/>
  <c r="R60" i="128"/>
  <c r="AP60" i="128" s="1"/>
  <c r="AA37" i="128"/>
  <c r="C39" i="128"/>
  <c r="AT50" i="128"/>
  <c r="V60" i="128"/>
  <c r="AT60" i="128" s="1"/>
  <c r="C266" i="98" l="1"/>
  <c r="C267" i="98" s="1"/>
  <c r="AN50" i="128"/>
  <c r="E79" i="128"/>
  <c r="F79" i="128" s="1"/>
  <c r="AQ50" i="128"/>
  <c r="J60" i="128"/>
  <c r="AH60" i="128" s="1"/>
  <c r="AF50" i="128"/>
  <c r="K60" i="128"/>
  <c r="AI60" i="128" s="1"/>
  <c r="D60" i="128"/>
  <c r="AB60" i="128" s="1"/>
  <c r="AD50" i="128"/>
  <c r="AU50" i="128"/>
  <c r="M60" i="128"/>
  <c r="AK60" i="128" s="1"/>
  <c r="AJ50" i="128"/>
  <c r="Q60" i="128"/>
  <c r="AO60" i="128" s="1"/>
  <c r="AC26" i="127"/>
  <c r="C21" i="127"/>
  <c r="AC21" i="127" s="1"/>
  <c r="AE21" i="127"/>
  <c r="E40" i="129"/>
  <c r="E60" i="128"/>
  <c r="AC60" i="128" s="1"/>
  <c r="Z27" i="127"/>
  <c r="G60" i="128"/>
  <c r="AE60" i="128" s="1"/>
  <c r="C30" i="127"/>
  <c r="AC28" i="127" s="1"/>
  <c r="W40" i="129"/>
  <c r="W44" i="129"/>
  <c r="W24" i="129" s="1"/>
  <c r="W32" i="128" s="1"/>
  <c r="AU32" i="128" s="1"/>
  <c r="R40" i="129"/>
  <c r="T40" i="129"/>
  <c r="D40" i="129"/>
  <c r="E20" i="127"/>
  <c r="R44" i="129"/>
  <c r="R24" i="129" s="1"/>
  <c r="R32" i="128" s="1"/>
  <c r="AP32" i="128" s="1"/>
  <c r="N43" i="129"/>
  <c r="N23" i="129" s="1"/>
  <c r="D44" i="129"/>
  <c r="C58" i="129" s="1"/>
  <c r="C26" i="129" s="1"/>
  <c r="C85" i="128" s="1"/>
  <c r="E43" i="129"/>
  <c r="E23" i="129" s="1"/>
  <c r="D50" i="129"/>
  <c r="E50" i="129" s="1"/>
  <c r="E51" i="129" s="1"/>
  <c r="J44" i="129"/>
  <c r="J24" i="129" s="1"/>
  <c r="J32" i="128" s="1"/>
  <c r="J35" i="128" s="1"/>
  <c r="AH35" i="128" s="1"/>
  <c r="U43" i="129"/>
  <c r="U23" i="129" s="1"/>
  <c r="M44" i="129"/>
  <c r="M24" i="129" s="1"/>
  <c r="M32" i="128" s="1"/>
  <c r="O54" i="127" s="1"/>
  <c r="O43" i="129"/>
  <c r="O23" i="129" s="1"/>
  <c r="Y40" i="129"/>
  <c r="AF40" i="129"/>
  <c r="AE40" i="129"/>
  <c r="S40" i="129"/>
  <c r="AG40" i="129"/>
  <c r="X40" i="129"/>
  <c r="V40" i="129"/>
  <c r="K40" i="129"/>
  <c r="Q40" i="129"/>
  <c r="H44" i="129"/>
  <c r="H24" i="129" s="1"/>
  <c r="H32" i="128" s="1"/>
  <c r="H64" i="128" s="1"/>
  <c r="AF64" i="128" s="1"/>
  <c r="L43" i="129"/>
  <c r="L23" i="129" s="1"/>
  <c r="AC40" i="129"/>
  <c r="AM40" i="129"/>
  <c r="J43" i="129"/>
  <c r="J23" i="129" s="1"/>
  <c r="V44" i="129"/>
  <c r="V24" i="129" s="1"/>
  <c r="V32" i="128" s="1"/>
  <c r="Q44" i="129"/>
  <c r="P58" i="129" s="1"/>
  <c r="P26" i="129" s="1"/>
  <c r="P85" i="128" s="1"/>
  <c r="AN85" i="128" s="1"/>
  <c r="T43" i="129"/>
  <c r="T23" i="129" s="1"/>
  <c r="AL40" i="129"/>
  <c r="AJ40" i="129"/>
  <c r="S44" i="129"/>
  <c r="S24" i="129" s="1"/>
  <c r="S32" i="128" s="1"/>
  <c r="S64" i="128" s="1"/>
  <c r="AQ64" i="128" s="1"/>
  <c r="R43" i="129"/>
  <c r="C40" i="129"/>
  <c r="F44" i="129"/>
  <c r="E58" i="129" s="1"/>
  <c r="E26" i="129" s="1"/>
  <c r="E85" i="128" s="1"/>
  <c r="AC85" i="128" s="1"/>
  <c r="G40" i="129"/>
  <c r="G43" i="129"/>
  <c r="G23" i="129" s="1"/>
  <c r="AI40" i="129"/>
  <c r="AA40" i="129"/>
  <c r="G44" i="129"/>
  <c r="G24" i="129" s="1"/>
  <c r="G32" i="128" s="1"/>
  <c r="I54" i="127" s="1"/>
  <c r="W43" i="129"/>
  <c r="I44" i="129"/>
  <c r="H58" i="129" s="1"/>
  <c r="H26" i="129" s="1"/>
  <c r="H85" i="128" s="1"/>
  <c r="AF85" i="128" s="1"/>
  <c r="O44" i="129"/>
  <c r="S43" i="129"/>
  <c r="S23" i="129" s="1"/>
  <c r="P43" i="129"/>
  <c r="P23" i="129" s="1"/>
  <c r="O40" i="129"/>
  <c r="K43" i="129"/>
  <c r="K23" i="129" s="1"/>
  <c r="H40" i="129"/>
  <c r="H10" i="129"/>
  <c r="P40" i="129"/>
  <c r="F40" i="129"/>
  <c r="AN40" i="129"/>
  <c r="U44" i="129"/>
  <c r="U24" i="129" s="1"/>
  <c r="U32" i="128" s="1"/>
  <c r="W54" i="127" s="1"/>
  <c r="AO40" i="129"/>
  <c r="AD40" i="129"/>
  <c r="T44" i="129"/>
  <c r="T24" i="129" s="1"/>
  <c r="T32" i="128" s="1"/>
  <c r="T35" i="128" s="1"/>
  <c r="AR35" i="128" s="1"/>
  <c r="I43" i="129"/>
  <c r="I23" i="129" s="1"/>
  <c r="Z40" i="129"/>
  <c r="U40" i="129"/>
  <c r="I40" i="129"/>
  <c r="N44" i="129"/>
  <c r="N24" i="129" s="1"/>
  <c r="N32" i="128" s="1"/>
  <c r="N35" i="128" s="1"/>
  <c r="AL35" i="128" s="1"/>
  <c r="AH40" i="129"/>
  <c r="K44" i="129"/>
  <c r="K24" i="129" s="1"/>
  <c r="K32" i="128" s="1"/>
  <c r="AI32" i="128" s="1"/>
  <c r="D43" i="129"/>
  <c r="Q43" i="129"/>
  <c r="L40" i="129"/>
  <c r="M43" i="129"/>
  <c r="M23" i="129" s="1"/>
  <c r="AK40" i="129"/>
  <c r="L44" i="129"/>
  <c r="K58" i="129" s="1"/>
  <c r="K26" i="129" s="1"/>
  <c r="K85" i="128" s="1"/>
  <c r="M40" i="129"/>
  <c r="AP40" i="129"/>
  <c r="V43" i="129"/>
  <c r="C31" i="128"/>
  <c r="C61" i="128" s="1"/>
  <c r="AA61" i="128" s="1"/>
  <c r="J40" i="129"/>
  <c r="O58" i="129"/>
  <c r="O26" i="129" s="1"/>
  <c r="O85" i="128" s="1"/>
  <c r="AM85" i="128" s="1"/>
  <c r="H43" i="129"/>
  <c r="N40" i="129"/>
  <c r="F43" i="129"/>
  <c r="E44" i="129"/>
  <c r="AN32" i="128"/>
  <c r="P35" i="128"/>
  <c r="AN35" i="128" s="1"/>
  <c r="P64" i="128"/>
  <c r="AN64" i="128" s="1"/>
  <c r="R54" i="127"/>
  <c r="Z25" i="127"/>
  <c r="AA39" i="128"/>
  <c r="C78" i="128"/>
  <c r="AA30" i="128"/>
  <c r="C89" i="128"/>
  <c r="W17" i="128"/>
  <c r="AU17" i="128" s="1"/>
  <c r="AU16" i="128"/>
  <c r="Y44" i="127"/>
  <c r="AC79" i="128" l="1"/>
  <c r="AE20" i="127"/>
  <c r="C20" i="127"/>
  <c r="Z21" i="127"/>
  <c r="V58" i="129"/>
  <c r="V26" i="129" s="1"/>
  <c r="V85" i="128" s="1"/>
  <c r="V86" i="128" s="1"/>
  <c r="AT86" i="128" s="1"/>
  <c r="W45" i="129"/>
  <c r="E23" i="127"/>
  <c r="R35" i="128"/>
  <c r="AP35" i="128" s="1"/>
  <c r="R64" i="128"/>
  <c r="AP64" i="128" s="1"/>
  <c r="T54" i="127"/>
  <c r="Q58" i="129"/>
  <c r="Q26" i="129" s="1"/>
  <c r="Q85" i="128" s="1"/>
  <c r="AO85" i="128" s="1"/>
  <c r="R45" i="129"/>
  <c r="O45" i="129"/>
  <c r="D45" i="129"/>
  <c r="C59" i="129"/>
  <c r="C27" i="129" s="1"/>
  <c r="C87" i="128" s="1"/>
  <c r="D24" i="129"/>
  <c r="D32" i="128" s="1"/>
  <c r="D35" i="128" s="1"/>
  <c r="AB35" i="128" s="1"/>
  <c r="E45" i="129"/>
  <c r="D51" i="129"/>
  <c r="I58" i="129"/>
  <c r="I26" i="129" s="1"/>
  <c r="I85" i="128" s="1"/>
  <c r="AG85" i="128" s="1"/>
  <c r="J54" i="127"/>
  <c r="AK32" i="128"/>
  <c r="M35" i="128"/>
  <c r="AK35" i="128" s="1"/>
  <c r="L58" i="129"/>
  <c r="L26" i="129" s="1"/>
  <c r="L85" i="128" s="1"/>
  <c r="AJ85" i="128" s="1"/>
  <c r="M64" i="128"/>
  <c r="AK64" i="128" s="1"/>
  <c r="AF32" i="128"/>
  <c r="H45" i="129"/>
  <c r="G58" i="129"/>
  <c r="G26" i="129" s="1"/>
  <c r="G85" i="128" s="1"/>
  <c r="AE85" i="128" s="1"/>
  <c r="H35" i="128"/>
  <c r="AF35" i="128" s="1"/>
  <c r="Q45" i="129"/>
  <c r="J45" i="129"/>
  <c r="U58" i="129"/>
  <c r="U26" i="129" s="1"/>
  <c r="U85" i="128" s="1"/>
  <c r="U86" i="128" s="1"/>
  <c r="V45" i="129"/>
  <c r="P86" i="128"/>
  <c r="AN86" i="128" s="1"/>
  <c r="Q24" i="129"/>
  <c r="Q32" i="128" s="1"/>
  <c r="Q35" i="128" s="1"/>
  <c r="AO35" i="128" s="1"/>
  <c r="E86" i="128"/>
  <c r="AC86" i="128" s="1"/>
  <c r="F45" i="129"/>
  <c r="F24" i="129"/>
  <c r="F32" i="128" s="1"/>
  <c r="AD32" i="128" s="1"/>
  <c r="AQ32" i="128"/>
  <c r="U54" i="127"/>
  <c r="R58" i="129"/>
  <c r="R26" i="129" s="1"/>
  <c r="R85" i="128" s="1"/>
  <c r="AP85" i="128" s="1"/>
  <c r="S35" i="128"/>
  <c r="AQ35" i="128" s="1"/>
  <c r="R23" i="129"/>
  <c r="T39" i="127" s="1"/>
  <c r="G45" i="129"/>
  <c r="W23" i="129"/>
  <c r="W11" i="128" s="1"/>
  <c r="F58" i="129"/>
  <c r="F26" i="129" s="1"/>
  <c r="F85" i="128" s="1"/>
  <c r="F86" i="128" s="1"/>
  <c r="AD86" i="128" s="1"/>
  <c r="I24" i="129"/>
  <c r="I32" i="128" s="1"/>
  <c r="AG32" i="128" s="1"/>
  <c r="P45" i="129"/>
  <c r="N58" i="129"/>
  <c r="N26" i="129" s="1"/>
  <c r="N85" i="128" s="1"/>
  <c r="AL85" i="128" s="1"/>
  <c r="O24" i="129"/>
  <c r="O32" i="128" s="1"/>
  <c r="O64" i="128" s="1"/>
  <c r="AM64" i="128" s="1"/>
  <c r="S45" i="129"/>
  <c r="L54" i="127"/>
  <c r="I45" i="129"/>
  <c r="AH32" i="128"/>
  <c r="J64" i="128"/>
  <c r="AH64" i="128" s="1"/>
  <c r="V54" i="127"/>
  <c r="T45" i="129"/>
  <c r="T64" i="128"/>
  <c r="AR64" i="128" s="1"/>
  <c r="U64" i="128"/>
  <c r="AS64" i="128" s="1"/>
  <c r="U35" i="128"/>
  <c r="AS35" i="128" s="1"/>
  <c r="U45" i="129"/>
  <c r="T58" i="129"/>
  <c r="T26" i="129" s="1"/>
  <c r="T85" i="128" s="1"/>
  <c r="AR85" i="128" s="1"/>
  <c r="AS32" i="128"/>
  <c r="AR32" i="128"/>
  <c r="S58" i="129"/>
  <c r="S26" i="129" s="1"/>
  <c r="S85" i="128" s="1"/>
  <c r="S86" i="128" s="1"/>
  <c r="AQ86" i="128" s="1"/>
  <c r="K35" i="128"/>
  <c r="AI35" i="128" s="1"/>
  <c r="J58" i="129"/>
  <c r="J26" i="129" s="1"/>
  <c r="J85" i="128" s="1"/>
  <c r="AH85" i="128" s="1"/>
  <c r="M58" i="129"/>
  <c r="M26" i="129" s="1"/>
  <c r="M85" i="128" s="1"/>
  <c r="N64" i="128"/>
  <c r="AL64" i="128" s="1"/>
  <c r="AL32" i="128"/>
  <c r="Q23" i="129"/>
  <c r="P54" i="127"/>
  <c r="L24" i="129"/>
  <c r="L32" i="128" s="1"/>
  <c r="N54" i="127" s="1"/>
  <c r="N45" i="129"/>
  <c r="K64" i="128"/>
  <c r="AI64" i="128" s="1"/>
  <c r="O86" i="128"/>
  <c r="AM86" i="128" s="1"/>
  <c r="K45" i="129"/>
  <c r="M54" i="127"/>
  <c r="AA31" i="128"/>
  <c r="C52" i="128"/>
  <c r="AA52" i="128" s="1"/>
  <c r="C63" i="128"/>
  <c r="AA63" i="128" s="1"/>
  <c r="M45" i="129"/>
  <c r="C35" i="128"/>
  <c r="AA35" i="128" s="1"/>
  <c r="D23" i="129"/>
  <c r="L45" i="129"/>
  <c r="F50" i="129"/>
  <c r="F51" i="129" s="1"/>
  <c r="V23" i="129"/>
  <c r="V11" i="128" s="1"/>
  <c r="W64" i="128"/>
  <c r="AU64" i="128" s="1"/>
  <c r="G64" i="128"/>
  <c r="AE64" i="128" s="1"/>
  <c r="AE32" i="128"/>
  <c r="H86" i="128"/>
  <c r="AF86" i="128" s="1"/>
  <c r="F23" i="129"/>
  <c r="F11" i="128" s="1"/>
  <c r="G35" i="128"/>
  <c r="AE35" i="128" s="1"/>
  <c r="Y54" i="127"/>
  <c r="H23" i="129"/>
  <c r="J39" i="127" s="1"/>
  <c r="W35" i="128"/>
  <c r="AU35" i="128" s="1"/>
  <c r="E24" i="129"/>
  <c r="E32" i="128" s="1"/>
  <c r="D58" i="129"/>
  <c r="D26" i="129" s="1"/>
  <c r="D85" i="128" s="1"/>
  <c r="X54" i="127"/>
  <c r="AT32" i="128"/>
  <c r="V35" i="128"/>
  <c r="AT35" i="128" s="1"/>
  <c r="V64" i="128"/>
  <c r="AT64" i="128" s="1"/>
  <c r="M11" i="128"/>
  <c r="O39" i="127"/>
  <c r="AA89" i="128"/>
  <c r="D89" i="128"/>
  <c r="Z30" i="127"/>
  <c r="D28" i="127"/>
  <c r="AD27" i="127" s="1"/>
  <c r="D29" i="127"/>
  <c r="D26" i="127"/>
  <c r="AD25" i="127" s="1"/>
  <c r="D30" i="127"/>
  <c r="AD28" i="127" s="1"/>
  <c r="D27" i="127"/>
  <c r="AD26" i="127" s="1"/>
  <c r="I11" i="128"/>
  <c r="AD79" i="128"/>
  <c r="G79" i="128"/>
  <c r="S11" i="128"/>
  <c r="U39" i="127"/>
  <c r="C86" i="128"/>
  <c r="AA85" i="128"/>
  <c r="P39" i="127"/>
  <c r="N11" i="128"/>
  <c r="G11" i="128"/>
  <c r="I39" i="127"/>
  <c r="R39" i="127"/>
  <c r="P11" i="128"/>
  <c r="K11" i="128"/>
  <c r="M39" i="127"/>
  <c r="AI85" i="128"/>
  <c r="K86" i="128"/>
  <c r="AA78" i="128"/>
  <c r="C81" i="128"/>
  <c r="AA81" i="128" s="1"/>
  <c r="D78" i="128"/>
  <c r="D25" i="127"/>
  <c r="AD24" i="127" s="1"/>
  <c r="L11" i="128"/>
  <c r="E11" i="128"/>
  <c r="O11" i="128"/>
  <c r="L39" i="127"/>
  <c r="J11" i="128"/>
  <c r="V39" i="127"/>
  <c r="V40" i="127" s="1"/>
  <c r="V47" i="127" s="1"/>
  <c r="T11" i="128"/>
  <c r="U11" i="128"/>
  <c r="W39" i="127"/>
  <c r="W40" i="127" s="1"/>
  <c r="W47" i="127" s="1"/>
  <c r="C23" i="127" l="1"/>
  <c r="AC20" i="127"/>
  <c r="E31" i="127"/>
  <c r="AE22" i="127"/>
  <c r="AT85" i="128"/>
  <c r="Q86" i="128"/>
  <c r="AO86" i="128" s="1"/>
  <c r="Z20" i="127"/>
  <c r="F39" i="127"/>
  <c r="F54" i="127"/>
  <c r="D64" i="128"/>
  <c r="AB64" i="128" s="1"/>
  <c r="AB32" i="128"/>
  <c r="G86" i="128"/>
  <c r="AE86" i="128" s="1"/>
  <c r="I86" i="128"/>
  <c r="AG86" i="128" s="1"/>
  <c r="L86" i="128"/>
  <c r="AJ86" i="128" s="1"/>
  <c r="S39" i="127"/>
  <c r="AO32" i="128"/>
  <c r="AS85" i="128"/>
  <c r="Q64" i="128"/>
  <c r="AO64" i="128" s="1"/>
  <c r="S54" i="127"/>
  <c r="R86" i="128"/>
  <c r="AP86" i="128" s="1"/>
  <c r="N86" i="128"/>
  <c r="AL86" i="128" s="1"/>
  <c r="K54" i="127"/>
  <c r="Q54" i="127"/>
  <c r="O35" i="128"/>
  <c r="AM35" i="128" s="1"/>
  <c r="H54" i="127"/>
  <c r="F64" i="128"/>
  <c r="AD64" i="128" s="1"/>
  <c r="F35" i="128"/>
  <c r="AD35" i="128" s="1"/>
  <c r="R11" i="128"/>
  <c r="AP11" i="128" s="1"/>
  <c r="Y39" i="127"/>
  <c r="Y40" i="127" s="1"/>
  <c r="Y47" i="127" s="1"/>
  <c r="K39" i="127"/>
  <c r="I35" i="128"/>
  <c r="AG35" i="128" s="1"/>
  <c r="I64" i="128"/>
  <c r="AG64" i="128" s="1"/>
  <c r="AD85" i="128"/>
  <c r="Q39" i="127"/>
  <c r="AM32" i="128"/>
  <c r="AQ85" i="128"/>
  <c r="T86" i="128"/>
  <c r="AR86" i="128" s="1"/>
  <c r="J86" i="128"/>
  <c r="AH86" i="128" s="1"/>
  <c r="L64" i="128"/>
  <c r="AJ64" i="128" s="1"/>
  <c r="N39" i="127"/>
  <c r="AJ32" i="128"/>
  <c r="L35" i="128"/>
  <c r="AJ35" i="128" s="1"/>
  <c r="D11" i="128"/>
  <c r="F53" i="127" s="1"/>
  <c r="Q11" i="128"/>
  <c r="S53" i="127" s="1"/>
  <c r="M86" i="128"/>
  <c r="AK86" i="128" s="1"/>
  <c r="AK85" i="128"/>
  <c r="H11" i="128"/>
  <c r="J53" i="127" s="1"/>
  <c r="H39" i="127"/>
  <c r="G50" i="129"/>
  <c r="H50" i="129" s="1"/>
  <c r="X39" i="127"/>
  <c r="X40" i="127" s="1"/>
  <c r="X47" i="127" s="1"/>
  <c r="D59" i="129"/>
  <c r="D27" i="129" s="1"/>
  <c r="D87" i="128" s="1"/>
  <c r="G39" i="127"/>
  <c r="AB85" i="128"/>
  <c r="D86" i="128"/>
  <c r="AB86" i="128" s="1"/>
  <c r="E35" i="128"/>
  <c r="AC35" i="128" s="1"/>
  <c r="AC32" i="128"/>
  <c r="E64" i="128"/>
  <c r="AC64" i="128" s="1"/>
  <c r="G54" i="127"/>
  <c r="AS11" i="128"/>
  <c r="W53" i="127"/>
  <c r="AT11" i="128"/>
  <c r="X53" i="127"/>
  <c r="U53" i="127"/>
  <c r="AQ11" i="128"/>
  <c r="AB89" i="128"/>
  <c r="E89" i="128"/>
  <c r="AK11" i="128"/>
  <c r="O53" i="127"/>
  <c r="AM11" i="128"/>
  <c r="Q53" i="127"/>
  <c r="N53" i="127"/>
  <c r="AJ11" i="128"/>
  <c r="H53" i="127"/>
  <c r="AD11" i="128"/>
  <c r="AH11" i="128"/>
  <c r="L53" i="127"/>
  <c r="AU11" i="128"/>
  <c r="Y53" i="127"/>
  <c r="W12" i="128"/>
  <c r="AE79" i="128"/>
  <c r="H79" i="128"/>
  <c r="AG11" i="128"/>
  <c r="K53" i="127"/>
  <c r="AC11" i="128"/>
  <c r="G53" i="127"/>
  <c r="AB78" i="128"/>
  <c r="D81" i="128"/>
  <c r="AB81" i="128" s="1"/>
  <c r="E78" i="128"/>
  <c r="AA87" i="128"/>
  <c r="C88" i="128"/>
  <c r="AA88" i="128" s="1"/>
  <c r="M53" i="127"/>
  <c r="AI11" i="128"/>
  <c r="I53" i="127"/>
  <c r="AE11" i="128"/>
  <c r="AA86" i="128"/>
  <c r="AR11" i="128"/>
  <c r="V53" i="127"/>
  <c r="AS86" i="128"/>
  <c r="AI86" i="128"/>
  <c r="AN11" i="128"/>
  <c r="R53" i="127"/>
  <c r="P53" i="127"/>
  <c r="AL11" i="128"/>
  <c r="D20" i="127" l="1"/>
  <c r="AD20" i="127" s="1"/>
  <c r="C13" i="127"/>
  <c r="D23" i="127"/>
  <c r="D31" i="127" s="1"/>
  <c r="Z23" i="127"/>
  <c r="C31" i="127"/>
  <c r="D22" i="127"/>
  <c r="D21" i="127"/>
  <c r="AD21" i="127" s="1"/>
  <c r="AC22" i="127"/>
  <c r="AB11" i="128"/>
  <c r="T53" i="127"/>
  <c r="E50" i="127"/>
  <c r="AO11" i="128"/>
  <c r="G51" i="129"/>
  <c r="E59" i="129"/>
  <c r="F59" i="129" s="1"/>
  <c r="AF11" i="128"/>
  <c r="AU12" i="128"/>
  <c r="H51" i="129"/>
  <c r="I50" i="129"/>
  <c r="AC78" i="128"/>
  <c r="E81" i="128"/>
  <c r="AC81" i="128" s="1"/>
  <c r="F78" i="128"/>
  <c r="AF79" i="128"/>
  <c r="I79" i="128"/>
  <c r="AB87" i="128"/>
  <c r="D88" i="128"/>
  <c r="AC89" i="128"/>
  <c r="F89" i="128"/>
  <c r="AD22" i="127" l="1"/>
  <c r="E27" i="129"/>
  <c r="E87" i="128" s="1"/>
  <c r="E88" i="128" s="1"/>
  <c r="AD89" i="128"/>
  <c r="G89" i="128"/>
  <c r="I51" i="129"/>
  <c r="J50" i="129"/>
  <c r="F27" i="129"/>
  <c r="F87" i="128" s="1"/>
  <c r="G59" i="129"/>
  <c r="AG79" i="128"/>
  <c r="J79" i="128"/>
  <c r="AB88" i="128"/>
  <c r="F50" i="127"/>
  <c r="F81" i="128"/>
  <c r="AD81" i="128" s="1"/>
  <c r="AD78" i="128"/>
  <c r="G78" i="128"/>
  <c r="AC87" i="128" l="1"/>
  <c r="AD87" i="128"/>
  <c r="F88" i="128"/>
  <c r="AH79" i="128"/>
  <c r="K79" i="128"/>
  <c r="AE89" i="128"/>
  <c r="H89" i="128"/>
  <c r="AE78" i="128"/>
  <c r="G81" i="128"/>
  <c r="AE81" i="128" s="1"/>
  <c r="H78" i="128"/>
  <c r="AC88" i="128"/>
  <c r="G50" i="127"/>
  <c r="G27" i="129"/>
  <c r="G87" i="128" s="1"/>
  <c r="H59" i="129"/>
  <c r="J51" i="129"/>
  <c r="K50" i="129"/>
  <c r="H27" i="129" l="1"/>
  <c r="H87" i="128" s="1"/>
  <c r="I59" i="129"/>
  <c r="AI79" i="128"/>
  <c r="L79" i="128"/>
  <c r="AE87" i="128"/>
  <c r="G88" i="128"/>
  <c r="AF89" i="128"/>
  <c r="I89" i="128"/>
  <c r="K51" i="129"/>
  <c r="L50" i="129"/>
  <c r="AF78" i="128"/>
  <c r="H81" i="128"/>
  <c r="AF81" i="128" s="1"/>
  <c r="I78" i="128"/>
  <c r="AD88" i="128"/>
  <c r="H50" i="127"/>
  <c r="AG78" i="128" l="1"/>
  <c r="I81" i="128"/>
  <c r="AG81" i="128" s="1"/>
  <c r="J78" i="128"/>
  <c r="AE88" i="128"/>
  <c r="I50" i="127"/>
  <c r="AJ79" i="128"/>
  <c r="M79" i="128"/>
  <c r="L51" i="129"/>
  <c r="M50" i="129"/>
  <c r="I27" i="129"/>
  <c r="I87" i="128" s="1"/>
  <c r="J59" i="129"/>
  <c r="AG89" i="128"/>
  <c r="J89" i="128"/>
  <c r="AF87" i="128"/>
  <c r="H88" i="128"/>
  <c r="AH89" i="128" l="1"/>
  <c r="K89" i="128"/>
  <c r="AH78" i="128"/>
  <c r="J81" i="128"/>
  <c r="AH81" i="128" s="1"/>
  <c r="K78" i="128"/>
  <c r="M51" i="129"/>
  <c r="N50" i="129"/>
  <c r="N51" i="129" s="1"/>
  <c r="AF88" i="128"/>
  <c r="J50" i="127"/>
  <c r="AG87" i="128"/>
  <c r="I88" i="128"/>
  <c r="J27" i="129"/>
  <c r="J87" i="128" s="1"/>
  <c r="K59" i="129"/>
  <c r="AK79" i="128"/>
  <c r="N79" i="128"/>
  <c r="O51" i="129" l="1"/>
  <c r="C54" i="129" s="1"/>
  <c r="K27" i="129"/>
  <c r="K87" i="128" s="1"/>
  <c r="L59" i="129"/>
  <c r="AI89" i="128"/>
  <c r="L89" i="128"/>
  <c r="AL79" i="128"/>
  <c r="O79" i="128"/>
  <c r="AG88" i="128"/>
  <c r="K50" i="127"/>
  <c r="AI78" i="128"/>
  <c r="K81" i="128"/>
  <c r="AI81" i="128" s="1"/>
  <c r="L78" i="128"/>
  <c r="AH87" i="128"/>
  <c r="J88" i="128"/>
  <c r="C43" i="129" l="1"/>
  <c r="C23" i="129" s="1"/>
  <c r="L27" i="129"/>
  <c r="L87" i="128" s="1"/>
  <c r="M59" i="129"/>
  <c r="L81" i="128"/>
  <c r="AJ81" i="128" s="1"/>
  <c r="AJ78" i="128"/>
  <c r="M78" i="128"/>
  <c r="AJ89" i="128"/>
  <c r="M89" i="128"/>
  <c r="AH88" i="128"/>
  <c r="L50" i="127"/>
  <c r="AM79" i="128"/>
  <c r="P79" i="128"/>
  <c r="AI87" i="128"/>
  <c r="K88" i="128"/>
  <c r="C45" i="129" l="1"/>
  <c r="AI88" i="128"/>
  <c r="M50" i="127"/>
  <c r="AK89" i="128"/>
  <c r="N89" i="128"/>
  <c r="M27" i="129"/>
  <c r="M87" i="128" s="1"/>
  <c r="N59" i="129"/>
  <c r="AN79" i="128"/>
  <c r="Q79" i="128"/>
  <c r="E39" i="127"/>
  <c r="E40" i="127" s="1"/>
  <c r="E47" i="127" s="1"/>
  <c r="C11" i="128"/>
  <c r="M81" i="128"/>
  <c r="AK81" i="128" s="1"/>
  <c r="AK78" i="128"/>
  <c r="N78" i="128"/>
  <c r="AJ87" i="128"/>
  <c r="L88" i="128"/>
  <c r="AL78" i="128" l="1"/>
  <c r="N81" i="128"/>
  <c r="AL81" i="128" s="1"/>
  <c r="O78" i="128"/>
  <c r="AK87" i="128"/>
  <c r="M88" i="128"/>
  <c r="AO79" i="128"/>
  <c r="R79" i="128"/>
  <c r="AL89" i="128"/>
  <c r="O89" i="128"/>
  <c r="AJ88" i="128"/>
  <c r="N50" i="127"/>
  <c r="AA11" i="128"/>
  <c r="E53" i="127"/>
  <c r="C51" i="128"/>
  <c r="AA51" i="128" s="1"/>
  <c r="C12" i="128"/>
  <c r="N27" i="129"/>
  <c r="N87" i="128" s="1"/>
  <c r="O59" i="129"/>
  <c r="N88" i="128" l="1"/>
  <c r="AL87" i="128"/>
  <c r="AA12" i="128"/>
  <c r="D13" i="128"/>
  <c r="C14" i="128"/>
  <c r="AP79" i="128"/>
  <c r="S79" i="128"/>
  <c r="AM78" i="128"/>
  <c r="O81" i="128"/>
  <c r="AM81" i="128" s="1"/>
  <c r="P78" i="128"/>
  <c r="AM89" i="128"/>
  <c r="P89" i="128"/>
  <c r="O27" i="129"/>
  <c r="O87" i="128" s="1"/>
  <c r="P59" i="129"/>
  <c r="AK88" i="128"/>
  <c r="O50" i="127"/>
  <c r="AN89" i="128" l="1"/>
  <c r="Q89" i="128"/>
  <c r="E45" i="127"/>
  <c r="AA14" i="128"/>
  <c r="C23" i="128"/>
  <c r="C15" i="128"/>
  <c r="C49" i="128"/>
  <c r="AB13" i="128"/>
  <c r="D51" i="128"/>
  <c r="AB51" i="128" s="1"/>
  <c r="E13" i="128"/>
  <c r="F13" i="128" s="1"/>
  <c r="P27" i="129"/>
  <c r="P87" i="128" s="1"/>
  <c r="Q59" i="129"/>
  <c r="AQ79" i="128"/>
  <c r="T79" i="128"/>
  <c r="AM87" i="128"/>
  <c r="O88" i="128"/>
  <c r="AN78" i="128"/>
  <c r="P81" i="128"/>
  <c r="AN81" i="128" s="1"/>
  <c r="Q78" i="128"/>
  <c r="AL88" i="128"/>
  <c r="P50" i="127"/>
  <c r="AD13" i="128" l="1"/>
  <c r="F51" i="128"/>
  <c r="AD51" i="128" s="1"/>
  <c r="P88" i="128"/>
  <c r="AN87" i="128"/>
  <c r="G13" i="128"/>
  <c r="E51" i="128"/>
  <c r="AC51" i="128" s="1"/>
  <c r="AC13" i="128"/>
  <c r="AA23" i="128"/>
  <c r="C28" i="128"/>
  <c r="AA49" i="128"/>
  <c r="C59" i="128"/>
  <c r="C54" i="128"/>
  <c r="Q27" i="129"/>
  <c r="Q87" i="128" s="1"/>
  <c r="R59" i="129"/>
  <c r="AA15" i="128"/>
  <c r="C90" i="128"/>
  <c r="E43" i="127"/>
  <c r="AO89" i="128"/>
  <c r="R89" i="128"/>
  <c r="AM88" i="128"/>
  <c r="Q50" i="127"/>
  <c r="AO78" i="128"/>
  <c r="R78" i="128"/>
  <c r="Q81" i="128"/>
  <c r="AO81" i="128" s="1"/>
  <c r="AR79" i="128"/>
  <c r="U79" i="128"/>
  <c r="AO87" i="128" l="1"/>
  <c r="Q88" i="128"/>
  <c r="AA54" i="128"/>
  <c r="C55" i="128"/>
  <c r="C56" i="128"/>
  <c r="AA28" i="128"/>
  <c r="C40" i="128"/>
  <c r="AE13" i="128"/>
  <c r="G51" i="128"/>
  <c r="AE51" i="128" s="1"/>
  <c r="H13" i="128"/>
  <c r="AP78" i="128"/>
  <c r="R81" i="128"/>
  <c r="AP81" i="128" s="1"/>
  <c r="S78" i="128"/>
  <c r="AP89" i="128"/>
  <c r="S89" i="128"/>
  <c r="AA90" i="128"/>
  <c r="C91" i="128"/>
  <c r="AN88" i="128"/>
  <c r="R50" i="127"/>
  <c r="AS79" i="128"/>
  <c r="V79" i="128"/>
  <c r="R27" i="129"/>
  <c r="R87" i="128" s="1"/>
  <c r="S59" i="129"/>
  <c r="AA59" i="128"/>
  <c r="C65" i="128"/>
  <c r="S27" i="129" l="1"/>
  <c r="S87" i="128" s="1"/>
  <c r="T59" i="129"/>
  <c r="AP87" i="128"/>
  <c r="R88" i="128"/>
  <c r="AQ78" i="128"/>
  <c r="S81" i="128"/>
  <c r="AQ81" i="128" s="1"/>
  <c r="T78" i="128"/>
  <c r="C42" i="128"/>
  <c r="AA40" i="128"/>
  <c r="E52" i="127"/>
  <c r="E55" i="127" s="1"/>
  <c r="E56" i="127" s="1"/>
  <c r="C41" i="128"/>
  <c r="AO88" i="128"/>
  <c r="S50" i="127"/>
  <c r="AA56" i="128"/>
  <c r="C57" i="128"/>
  <c r="AA91" i="128"/>
  <c r="C92" i="128"/>
  <c r="E49" i="127"/>
  <c r="AA55" i="128"/>
  <c r="AA65" i="128"/>
  <c r="C66" i="128"/>
  <c r="C67" i="128"/>
  <c r="AT79" i="128"/>
  <c r="W79" i="128"/>
  <c r="AU79" i="128" s="1"/>
  <c r="AQ89" i="128"/>
  <c r="T89" i="128"/>
  <c r="AF13" i="128"/>
  <c r="H51" i="128"/>
  <c r="AF51" i="128" s="1"/>
  <c r="AA42" i="128" l="1"/>
  <c r="C43" i="128"/>
  <c r="AA43" i="128" s="1"/>
  <c r="AP88" i="128"/>
  <c r="T50" i="127"/>
  <c r="AA41" i="128"/>
  <c r="C74" i="128"/>
  <c r="AR78" i="128"/>
  <c r="T81" i="128"/>
  <c r="AR81" i="128" s="1"/>
  <c r="U78" i="128"/>
  <c r="AA67" i="128"/>
  <c r="C68" i="128"/>
  <c r="T27" i="129"/>
  <c r="T87" i="128" s="1"/>
  <c r="U59" i="129"/>
  <c r="AR89" i="128"/>
  <c r="U89" i="128"/>
  <c r="AA92" i="128"/>
  <c r="AQ87" i="128"/>
  <c r="S88" i="128"/>
  <c r="AA66" i="128"/>
  <c r="AA57" i="128"/>
  <c r="AS89" i="128" l="1"/>
  <c r="V89" i="128"/>
  <c r="AS78" i="128"/>
  <c r="V78" i="128"/>
  <c r="U81" i="128"/>
  <c r="AS81" i="128" s="1"/>
  <c r="AQ88" i="128"/>
  <c r="U50" i="127"/>
  <c r="U27" i="129"/>
  <c r="U87" i="128" s="1"/>
  <c r="V59" i="129"/>
  <c r="T88" i="128"/>
  <c r="AR87" i="128"/>
  <c r="AA68" i="128"/>
  <c r="AA74" i="128"/>
  <c r="C77" i="128"/>
  <c r="E36" i="127" l="1"/>
  <c r="E48" i="127"/>
  <c r="AA77" i="128"/>
  <c r="C82" i="128"/>
  <c r="W78" i="128"/>
  <c r="V81" i="128"/>
  <c r="AT81" i="128" s="1"/>
  <c r="AT78" i="128"/>
  <c r="AR88" i="128"/>
  <c r="V50" i="127"/>
  <c r="V27" i="129"/>
  <c r="V87" i="128" s="1"/>
  <c r="W59" i="129"/>
  <c r="W27" i="129" s="1"/>
  <c r="W87" i="128" s="1"/>
  <c r="AT89" i="128"/>
  <c r="W89" i="128"/>
  <c r="AS87" i="128"/>
  <c r="U88" i="128"/>
  <c r="V88" i="128" l="1"/>
  <c r="AT87" i="128"/>
  <c r="AU89" i="128"/>
  <c r="AA82" i="128"/>
  <c r="E46" i="127"/>
  <c r="C93" i="128"/>
  <c r="AS88" i="128"/>
  <c r="W50" i="127"/>
  <c r="AU87" i="128"/>
  <c r="W88" i="128"/>
  <c r="AU78" i="128"/>
  <c r="W81" i="128"/>
  <c r="AU81" i="128" s="1"/>
  <c r="Y50" i="127" l="1"/>
  <c r="AU88" i="128"/>
  <c r="AT88" i="128"/>
  <c r="X50" i="127"/>
  <c r="K97" i="94" l="1"/>
  <c r="J97" i="94"/>
  <c r="I97" i="94"/>
  <c r="L97" i="94"/>
  <c r="N97" i="94"/>
  <c r="P97" i="94"/>
  <c r="M97" i="94"/>
  <c r="O97" i="94"/>
  <c r="Q97" i="94"/>
  <c r="R97" i="94"/>
  <c r="S97" i="94" l="1"/>
  <c r="F98" i="94" l="1"/>
  <c r="H97" i="94"/>
  <c r="R98" i="94" l="1"/>
  <c r="K98" i="94"/>
  <c r="S98" i="94"/>
  <c r="N98" i="94"/>
  <c r="P98" i="94"/>
  <c r="M98" i="94"/>
  <c r="Q98" i="94"/>
  <c r="H98" i="94"/>
  <c r="I98" i="94"/>
  <c r="O98" i="94"/>
  <c r="L98" i="94"/>
  <c r="J98" i="94"/>
  <c r="E104" i="94"/>
  <c r="F104" i="94" s="1"/>
  <c r="F105" i="94" l="1"/>
  <c r="K104" i="94"/>
  <c r="K105" i="94" s="1"/>
  <c r="F121" i="94" s="1"/>
  <c r="F122" i="94" s="1"/>
  <c r="H104" i="94"/>
  <c r="H105" i="94" s="1"/>
  <c r="C121" i="94" s="1"/>
  <c r="C122" i="94" s="1"/>
  <c r="I104" i="94"/>
  <c r="I105" i="94" s="1"/>
  <c r="D121" i="94" s="1"/>
  <c r="D122" i="94" s="1"/>
  <c r="R104" i="94"/>
  <c r="R105" i="94" s="1"/>
  <c r="P104" i="94"/>
  <c r="P105" i="94" s="1"/>
  <c r="M104" i="94"/>
  <c r="M105" i="94" s="1"/>
  <c r="H121" i="94" s="1"/>
  <c r="H122" i="94" s="1"/>
  <c r="J104" i="94"/>
  <c r="J105" i="94" s="1"/>
  <c r="E121" i="94" s="1"/>
  <c r="E122" i="94" s="1"/>
  <c r="S104" i="94"/>
  <c r="S105" i="94" s="1"/>
  <c r="N104" i="94"/>
  <c r="N105" i="94" s="1"/>
  <c r="I121" i="94" s="1"/>
  <c r="I122" i="94" s="1"/>
  <c r="L104" i="94"/>
  <c r="L105" i="94" s="1"/>
  <c r="G121" i="94" s="1"/>
  <c r="G122" i="94" s="1"/>
  <c r="Q104" i="94"/>
  <c r="Q105" i="94" s="1"/>
  <c r="O104" i="94"/>
  <c r="O105" i="94" s="1"/>
  <c r="J121" i="94" s="1"/>
  <c r="J122" i="94" s="1"/>
  <c r="F107" i="94" l="1"/>
  <c r="F111" i="94" s="1"/>
  <c r="F109" i="94"/>
  <c r="S109" i="94"/>
  <c r="S107" i="94"/>
  <c r="S111" i="94" s="1"/>
  <c r="O7" i="126" s="1"/>
  <c r="C11" i="127" s="1"/>
  <c r="R109" i="94"/>
  <c r="R107" i="94"/>
  <c r="R111" i="94" s="1"/>
  <c r="N7" i="126" s="1"/>
  <c r="N8" i="128" s="1"/>
  <c r="J109" i="94"/>
  <c r="J107" i="94"/>
  <c r="J111" i="94" s="1"/>
  <c r="I109" i="94"/>
  <c r="I107" i="94"/>
  <c r="I111" i="94" s="1"/>
  <c r="M109" i="94"/>
  <c r="M107" i="94"/>
  <c r="M111" i="94" s="1"/>
  <c r="H107" i="94"/>
  <c r="H111" i="94" s="1"/>
  <c r="H109" i="94"/>
  <c r="O109" i="94"/>
  <c r="O107" i="94"/>
  <c r="O111" i="94" s="1"/>
  <c r="N109" i="94"/>
  <c r="N107" i="94"/>
  <c r="N111" i="94" s="1"/>
  <c r="P109" i="94"/>
  <c r="P107" i="94"/>
  <c r="P111" i="94" s="1"/>
  <c r="L7" i="126" s="1"/>
  <c r="L8" i="128" s="1"/>
  <c r="L109" i="94"/>
  <c r="L107" i="94"/>
  <c r="L111" i="94" s="1"/>
  <c r="K109" i="94"/>
  <c r="K107" i="94"/>
  <c r="K111" i="94" s="1"/>
  <c r="Q109" i="94"/>
  <c r="Q107" i="94"/>
  <c r="Q111" i="94" s="1"/>
  <c r="M7" i="126" s="1"/>
  <c r="I7" i="126" l="1"/>
  <c r="I8" i="128" s="1"/>
  <c r="H124" i="94"/>
  <c r="F7" i="126"/>
  <c r="F8" i="128" s="1"/>
  <c r="AD8" i="128" s="1"/>
  <c r="E124" i="94"/>
  <c r="G7" i="126"/>
  <c r="G8" i="128" s="1"/>
  <c r="AE8" i="128" s="1"/>
  <c r="F124" i="94"/>
  <c r="K7" i="126"/>
  <c r="K8" i="128" s="1"/>
  <c r="K10" i="128" s="1"/>
  <c r="J124" i="94"/>
  <c r="J7" i="126"/>
  <c r="J8" i="128" s="1"/>
  <c r="AH8" i="128" s="1"/>
  <c r="I124" i="94"/>
  <c r="E7" i="126"/>
  <c r="E8" i="128" s="1"/>
  <c r="E10" i="128" s="1"/>
  <c r="D124" i="94"/>
  <c r="H7" i="126"/>
  <c r="H8" i="128" s="1"/>
  <c r="AF8" i="128" s="1"/>
  <c r="G124" i="94"/>
  <c r="D7" i="126"/>
  <c r="D8" i="128" s="1"/>
  <c r="D10" i="128" s="1"/>
  <c r="C124" i="94"/>
  <c r="M8" i="128"/>
  <c r="AK8" i="128" s="1"/>
  <c r="AL8" i="128"/>
  <c r="N10" i="128"/>
  <c r="O8" i="128"/>
  <c r="P7" i="126"/>
  <c r="AJ8" i="128"/>
  <c r="L10" i="128"/>
  <c r="H10" i="128" l="1"/>
  <c r="AF10" i="128" s="1"/>
  <c r="J10" i="128"/>
  <c r="J12" i="128" s="1"/>
  <c r="AH12" i="128" s="1"/>
  <c r="G10" i="128"/>
  <c r="G12" i="128" s="1"/>
  <c r="AI8" i="128"/>
  <c r="F10" i="128"/>
  <c r="F16" i="128" s="1"/>
  <c r="AB8" i="128"/>
  <c r="AC8" i="128"/>
  <c r="M10" i="128"/>
  <c r="M16" i="128" s="1"/>
  <c r="C12" i="127"/>
  <c r="Q7" i="126"/>
  <c r="P8" i="128"/>
  <c r="AL10" i="128"/>
  <c r="N16" i="128"/>
  <c r="N12" i="128"/>
  <c r="AL12" i="128" s="1"/>
  <c r="AC10" i="128"/>
  <c r="E16" i="128"/>
  <c r="E12" i="128"/>
  <c r="AM8" i="128"/>
  <c r="O10" i="128"/>
  <c r="I10" i="128"/>
  <c r="AG8" i="128"/>
  <c r="K16" i="128"/>
  <c r="K12" i="128"/>
  <c r="AI12" i="128" s="1"/>
  <c r="AI10" i="128"/>
  <c r="D12" i="128"/>
  <c r="AB10" i="128"/>
  <c r="D16" i="128"/>
  <c r="AJ10" i="128"/>
  <c r="L12" i="128"/>
  <c r="AJ12" i="128" s="1"/>
  <c r="L16" i="128"/>
  <c r="H16" i="128" l="1"/>
  <c r="AF16" i="128" s="1"/>
  <c r="H12" i="128"/>
  <c r="H14" i="128" s="1"/>
  <c r="J16" i="128"/>
  <c r="AH16" i="128" s="1"/>
  <c r="AH10" i="128"/>
  <c r="G16" i="128"/>
  <c r="AE16" i="128" s="1"/>
  <c r="AE10" i="128"/>
  <c r="AD10" i="128"/>
  <c r="F12" i="128"/>
  <c r="AD12" i="128" s="1"/>
  <c r="AK10" i="128"/>
  <c r="M12" i="128"/>
  <c r="AK12" i="128" s="1"/>
  <c r="F17" i="128"/>
  <c r="AD17" i="128" s="1"/>
  <c r="H44" i="127"/>
  <c r="AD16" i="128"/>
  <c r="H38" i="127"/>
  <c r="H40" i="127" s="1"/>
  <c r="H47" i="127" s="1"/>
  <c r="D17" i="128"/>
  <c r="AB17" i="128" s="1"/>
  <c r="F44" i="127"/>
  <c r="F38" i="127"/>
  <c r="F40" i="127" s="1"/>
  <c r="F47" i="127" s="1"/>
  <c r="AB16" i="128"/>
  <c r="G14" i="128"/>
  <c r="AE12" i="128"/>
  <c r="AL16" i="128"/>
  <c r="N17" i="128"/>
  <c r="AL17" i="128" s="1"/>
  <c r="P44" i="127"/>
  <c r="AJ16" i="128"/>
  <c r="N44" i="127"/>
  <c r="L17" i="128"/>
  <c r="AJ17" i="128" s="1"/>
  <c r="AI16" i="128"/>
  <c r="K17" i="128"/>
  <c r="AI17" i="128" s="1"/>
  <c r="M44" i="127"/>
  <c r="I16" i="128"/>
  <c r="AG10" i="128"/>
  <c r="I12" i="128"/>
  <c r="AC16" i="128"/>
  <c r="G38" i="127"/>
  <c r="G40" i="127" s="1"/>
  <c r="G47" i="127" s="1"/>
  <c r="E17" i="128"/>
  <c r="AC17" i="128" s="1"/>
  <c r="G44" i="127"/>
  <c r="AB12" i="128"/>
  <c r="D14" i="128"/>
  <c r="O12" i="128"/>
  <c r="AM12" i="128" s="1"/>
  <c r="AM10" i="128"/>
  <c r="O16" i="128"/>
  <c r="P10" i="128"/>
  <c r="AN8" i="128"/>
  <c r="E14" i="128"/>
  <c r="AC12" i="128"/>
  <c r="AK16" i="128"/>
  <c r="O44" i="127"/>
  <c r="M17" i="128"/>
  <c r="AK17" i="128" s="1"/>
  <c r="Q8" i="128"/>
  <c r="R7" i="126"/>
  <c r="J38" i="127" l="1"/>
  <c r="J40" i="127" s="1"/>
  <c r="J47" i="127" s="1"/>
  <c r="J44" i="127"/>
  <c r="H17" i="128"/>
  <c r="AF17" i="128" s="1"/>
  <c r="J17" i="128"/>
  <c r="AH17" i="128" s="1"/>
  <c r="AF12" i="128"/>
  <c r="I13" i="128"/>
  <c r="I51" i="128" s="1"/>
  <c r="AG51" i="128" s="1"/>
  <c r="I38" i="127"/>
  <c r="I40" i="127" s="1"/>
  <c r="I47" i="127" s="1"/>
  <c r="L44" i="127"/>
  <c r="G17" i="128"/>
  <c r="AE17" i="128" s="1"/>
  <c r="I44" i="127"/>
  <c r="F14" i="128"/>
  <c r="F23" i="128" s="1"/>
  <c r="Q44" i="127"/>
  <c r="AM16" i="128"/>
  <c r="O17" i="128"/>
  <c r="AM17" i="128" s="1"/>
  <c r="AB14" i="128"/>
  <c r="D49" i="128"/>
  <c r="F45" i="127"/>
  <c r="D23" i="128"/>
  <c r="D15" i="128"/>
  <c r="AO8" i="128"/>
  <c r="Q10" i="128"/>
  <c r="AF14" i="128"/>
  <c r="J45" i="127"/>
  <c r="H49" i="128"/>
  <c r="H23" i="128"/>
  <c r="P16" i="128"/>
  <c r="P12" i="128"/>
  <c r="AN12" i="128" s="1"/>
  <c r="AN10" i="128"/>
  <c r="AG12" i="128"/>
  <c r="R8" i="128"/>
  <c r="S7" i="126"/>
  <c r="E23" i="128"/>
  <c r="AC14" i="128"/>
  <c r="E49" i="128"/>
  <c r="G45" i="127"/>
  <c r="I17" i="128"/>
  <c r="AG17" i="128" s="1"/>
  <c r="AG16" i="128"/>
  <c r="K44" i="127"/>
  <c r="G49" i="128"/>
  <c r="G23" i="128"/>
  <c r="I45" i="127"/>
  <c r="AE14" i="128"/>
  <c r="K38" i="127" l="1"/>
  <c r="K40" i="127" s="1"/>
  <c r="K47" i="127" s="1"/>
  <c r="J13" i="128"/>
  <c r="J51" i="128" s="1"/>
  <c r="AH51" i="128" s="1"/>
  <c r="I14" i="128"/>
  <c r="I23" i="128" s="1"/>
  <c r="AG13" i="128"/>
  <c r="F49" i="128"/>
  <c r="F54" i="128" s="1"/>
  <c r="AD14" i="128"/>
  <c r="H45" i="127"/>
  <c r="AE49" i="128"/>
  <c r="G59" i="128"/>
  <c r="G54" i="128"/>
  <c r="AC23" i="128"/>
  <c r="E28" i="128"/>
  <c r="D90" i="128"/>
  <c r="E15" i="128"/>
  <c r="F43" i="127"/>
  <c r="AB15" i="128"/>
  <c r="T7" i="126"/>
  <c r="S8" i="128"/>
  <c r="R44" i="127"/>
  <c r="P17" i="128"/>
  <c r="AN17" i="128" s="1"/>
  <c r="AN16" i="128"/>
  <c r="AC49" i="128"/>
  <c r="E59" i="128"/>
  <c r="E54" i="128"/>
  <c r="AP8" i="128"/>
  <c r="R10" i="128"/>
  <c r="H28" i="128"/>
  <c r="AF23" i="128"/>
  <c r="Q16" i="128"/>
  <c r="Q12" i="128"/>
  <c r="AO12" i="128" s="1"/>
  <c r="AO10" i="128"/>
  <c r="AD23" i="128"/>
  <c r="F28" i="128"/>
  <c r="AB23" i="128"/>
  <c r="D28" i="128"/>
  <c r="G28" i="128"/>
  <c r="AE23" i="128"/>
  <c r="AF49" i="128"/>
  <c r="H54" i="128"/>
  <c r="H59" i="128"/>
  <c r="D54" i="128"/>
  <c r="D59" i="128"/>
  <c r="AB49" i="128"/>
  <c r="AG14" i="128" l="1"/>
  <c r="K13" i="128"/>
  <c r="M38" i="127" s="1"/>
  <c r="M40" i="127" s="1"/>
  <c r="M47" i="127" s="1"/>
  <c r="AD49" i="128"/>
  <c r="J14" i="128"/>
  <c r="J23" i="128" s="1"/>
  <c r="AH13" i="128"/>
  <c r="I49" i="128"/>
  <c r="AG49" i="128" s="1"/>
  <c r="L38" i="127"/>
  <c r="L40" i="127" s="1"/>
  <c r="L47" i="127" s="1"/>
  <c r="K45" i="127"/>
  <c r="F59" i="128"/>
  <c r="AD59" i="128" s="1"/>
  <c r="AD54" i="128"/>
  <c r="F56" i="128"/>
  <c r="AD56" i="128" s="1"/>
  <c r="AB54" i="128"/>
  <c r="D56" i="128"/>
  <c r="D55" i="128"/>
  <c r="AQ8" i="128"/>
  <c r="S10" i="128"/>
  <c r="AC15" i="128"/>
  <c r="E90" i="128"/>
  <c r="G43" i="127"/>
  <c r="F15" i="128"/>
  <c r="AF54" i="128"/>
  <c r="H56" i="128"/>
  <c r="AF56" i="128" s="1"/>
  <c r="AE28" i="128"/>
  <c r="G40" i="128"/>
  <c r="AG23" i="128"/>
  <c r="I28" i="128"/>
  <c r="Q17" i="128"/>
  <c r="AO17" i="128" s="1"/>
  <c r="AO16" i="128"/>
  <c r="S44" i="127"/>
  <c r="T8" i="128"/>
  <c r="U7" i="126"/>
  <c r="AB90" i="128"/>
  <c r="D91" i="128"/>
  <c r="G65" i="128"/>
  <c r="AE59" i="128"/>
  <c r="H40" i="128"/>
  <c r="AF28" i="128"/>
  <c r="AC59" i="128"/>
  <c r="E65" i="128"/>
  <c r="H65" i="128"/>
  <c r="AF59" i="128"/>
  <c r="F40" i="128"/>
  <c r="AD28" i="128"/>
  <c r="AP10" i="128"/>
  <c r="R16" i="128"/>
  <c r="R12" i="128"/>
  <c r="AP12" i="128" s="1"/>
  <c r="G56" i="128"/>
  <c r="AE56" i="128" s="1"/>
  <c r="AE54" i="128"/>
  <c r="D65" i="128"/>
  <c r="AB59" i="128"/>
  <c r="AB28" i="128"/>
  <c r="D40" i="128"/>
  <c r="AC54" i="128"/>
  <c r="E56" i="128"/>
  <c r="AC56" i="128" s="1"/>
  <c r="AC28" i="128"/>
  <c r="E40" i="128"/>
  <c r="L13" i="128" l="1"/>
  <c r="N38" i="127" s="1"/>
  <c r="N40" i="127" s="1"/>
  <c r="N47" i="127" s="1"/>
  <c r="K14" i="128"/>
  <c r="M45" i="127" s="1"/>
  <c r="AI13" i="128"/>
  <c r="AH14" i="128"/>
  <c r="K51" i="128"/>
  <c r="AI51" i="128" s="1"/>
  <c r="L45" i="127"/>
  <c r="J49" i="128"/>
  <c r="J59" i="128" s="1"/>
  <c r="I59" i="128"/>
  <c r="AG59" i="128" s="1"/>
  <c r="I54" i="128"/>
  <c r="AG54" i="128" s="1"/>
  <c r="F65" i="128"/>
  <c r="AD65" i="128" s="1"/>
  <c r="F42" i="128"/>
  <c r="AD42" i="128" s="1"/>
  <c r="H52" i="127"/>
  <c r="H55" i="127" s="1"/>
  <c r="AD40" i="128"/>
  <c r="F49" i="127"/>
  <c r="D92" i="128"/>
  <c r="AB92" i="128" s="1"/>
  <c r="AB91" i="128"/>
  <c r="D57" i="128"/>
  <c r="AB56" i="128"/>
  <c r="I52" i="127"/>
  <c r="I55" i="127" s="1"/>
  <c r="G42" i="128"/>
  <c r="AE42" i="128" s="1"/>
  <c r="AE40" i="128"/>
  <c r="H43" i="127"/>
  <c r="F90" i="128"/>
  <c r="G15" i="128"/>
  <c r="AD15" i="128"/>
  <c r="AC40" i="128"/>
  <c r="G52" i="127"/>
  <c r="G55" i="127" s="1"/>
  <c r="E42" i="128"/>
  <c r="AC42" i="128" s="1"/>
  <c r="AF65" i="128"/>
  <c r="H67" i="128"/>
  <c r="AF67" i="128" s="1"/>
  <c r="AF40" i="128"/>
  <c r="H42" i="128"/>
  <c r="AF42" i="128" s="1"/>
  <c r="J52" i="127"/>
  <c r="J55" i="127" s="1"/>
  <c r="U8" i="128"/>
  <c r="V7" i="126"/>
  <c r="V8" i="128" s="1"/>
  <c r="D41" i="128"/>
  <c r="F52" i="127"/>
  <c r="F55" i="127" s="1"/>
  <c r="F56" i="127" s="1"/>
  <c r="D42" i="128"/>
  <c r="AB40" i="128"/>
  <c r="T44" i="127"/>
  <c r="R17" i="128"/>
  <c r="AP17" i="128" s="1"/>
  <c r="AP16" i="128"/>
  <c r="S12" i="128"/>
  <c r="AQ12" i="128" s="1"/>
  <c r="S16" i="128"/>
  <c r="AQ10" i="128"/>
  <c r="AH23" i="128"/>
  <c r="J28" i="128"/>
  <c r="AB65" i="128"/>
  <c r="D66" i="128"/>
  <c r="D67" i="128"/>
  <c r="E67" i="128"/>
  <c r="AC67" i="128" s="1"/>
  <c r="AC65" i="128"/>
  <c r="AE65" i="128"/>
  <c r="G67" i="128"/>
  <c r="AE67" i="128" s="1"/>
  <c r="AR8" i="128"/>
  <c r="T10" i="128"/>
  <c r="AG28" i="128"/>
  <c r="I40" i="128"/>
  <c r="E91" i="128"/>
  <c r="AC90" i="128"/>
  <c r="E55" i="128"/>
  <c r="AB55" i="128"/>
  <c r="K49" i="128" l="1"/>
  <c r="K54" i="128" s="1"/>
  <c r="AI14" i="128"/>
  <c r="L14" i="128"/>
  <c r="L49" i="128" s="1"/>
  <c r="K23" i="128"/>
  <c r="K28" i="128" s="1"/>
  <c r="J54" i="128"/>
  <c r="J56" i="128" s="1"/>
  <c r="AH56" i="128" s="1"/>
  <c r="L51" i="128"/>
  <c r="AJ51" i="128" s="1"/>
  <c r="AJ13" i="128"/>
  <c r="M13" i="128"/>
  <c r="AK13" i="128" s="1"/>
  <c r="AH49" i="128"/>
  <c r="I56" i="128"/>
  <c r="AG56" i="128" s="1"/>
  <c r="I65" i="128"/>
  <c r="AG65" i="128" s="1"/>
  <c r="F67" i="128"/>
  <c r="AD67" i="128" s="1"/>
  <c r="G56" i="127"/>
  <c r="H56" i="127" s="1"/>
  <c r="I56" i="127" s="1"/>
  <c r="J56" i="127" s="1"/>
  <c r="F55" i="128"/>
  <c r="AC55" i="128"/>
  <c r="U44" i="127"/>
  <c r="AQ16" i="128"/>
  <c r="S17" i="128"/>
  <c r="AQ17" i="128" s="1"/>
  <c r="AS8" i="128"/>
  <c r="U10" i="128"/>
  <c r="E57" i="128"/>
  <c r="AB57" i="128"/>
  <c r="AR10" i="128"/>
  <c r="T16" i="128"/>
  <c r="T12" i="128"/>
  <c r="AR12" i="128" s="1"/>
  <c r="AB67" i="128"/>
  <c r="D68" i="128"/>
  <c r="AB68" i="128" s="1"/>
  <c r="G49" i="127"/>
  <c r="AC91" i="128"/>
  <c r="E92" i="128"/>
  <c r="AC92" i="128" s="1"/>
  <c r="AB66" i="128"/>
  <c r="E66" i="128"/>
  <c r="D74" i="128"/>
  <c r="AB41" i="128"/>
  <c r="E41" i="128"/>
  <c r="F91" i="128"/>
  <c r="AD90" i="128"/>
  <c r="AH59" i="128"/>
  <c r="J65" i="128"/>
  <c r="J40" i="128"/>
  <c r="AH28" i="128"/>
  <c r="D43" i="128"/>
  <c r="AB42" i="128"/>
  <c r="AE15" i="128"/>
  <c r="H15" i="128"/>
  <c r="I43" i="127"/>
  <c r="G90" i="128"/>
  <c r="I42" i="128"/>
  <c r="AG42" i="128" s="1"/>
  <c r="K52" i="127"/>
  <c r="K55" i="127" s="1"/>
  <c r="AG40" i="128"/>
  <c r="AT8" i="128"/>
  <c r="V10" i="128"/>
  <c r="AH54" i="128" l="1"/>
  <c r="AI49" i="128"/>
  <c r="AI23" i="128"/>
  <c r="L23" i="128"/>
  <c r="AJ23" i="128" s="1"/>
  <c r="N45" i="127"/>
  <c r="K59" i="128"/>
  <c r="AI59" i="128" s="1"/>
  <c r="I67" i="128"/>
  <c r="AG67" i="128" s="1"/>
  <c r="AJ14" i="128"/>
  <c r="M14" i="128"/>
  <c r="O45" i="127" s="1"/>
  <c r="N13" i="128"/>
  <c r="AL13" i="128" s="1"/>
  <c r="O38" i="127"/>
  <c r="O40" i="127" s="1"/>
  <c r="O47" i="127" s="1"/>
  <c r="M51" i="128"/>
  <c r="AK51" i="128" s="1"/>
  <c r="E68" i="128"/>
  <c r="K56" i="127"/>
  <c r="AE90" i="128"/>
  <c r="G91" i="128"/>
  <c r="F57" i="128"/>
  <c r="AC57" i="128"/>
  <c r="AB74" i="128"/>
  <c r="D98" i="128"/>
  <c r="D100" i="128" s="1"/>
  <c r="D77" i="128"/>
  <c r="AS10" i="128"/>
  <c r="U16" i="128"/>
  <c r="U12" i="128"/>
  <c r="AS12" i="128" s="1"/>
  <c r="K40" i="128"/>
  <c r="AI28" i="128"/>
  <c r="AH65" i="128"/>
  <c r="J67" i="128"/>
  <c r="AH67" i="128" s="1"/>
  <c r="F66" i="128"/>
  <c r="AC66" i="128"/>
  <c r="AR16" i="128"/>
  <c r="T17" i="128"/>
  <c r="AR17" i="128" s="1"/>
  <c r="V44" i="127"/>
  <c r="K56" i="128"/>
  <c r="AI56" i="128" s="1"/>
  <c r="AI54" i="128"/>
  <c r="AJ49" i="128"/>
  <c r="L54" i="128"/>
  <c r="L59" i="128"/>
  <c r="J42" i="128"/>
  <c r="AH42" i="128" s="1"/>
  <c r="AH40" i="128"/>
  <c r="L52" i="127"/>
  <c r="L55" i="127" s="1"/>
  <c r="F92" i="128"/>
  <c r="AD92" i="128" s="1"/>
  <c r="H49" i="127"/>
  <c r="AD91" i="128"/>
  <c r="V16" i="128"/>
  <c r="AT10" i="128"/>
  <c r="V12" i="128"/>
  <c r="AT12" i="128" s="1"/>
  <c r="J43" i="127"/>
  <c r="AF15" i="128"/>
  <c r="H90" i="128"/>
  <c r="I15" i="128"/>
  <c r="E43" i="128"/>
  <c r="AB43" i="128"/>
  <c r="AC41" i="128"/>
  <c r="E74" i="128"/>
  <c r="F41" i="128"/>
  <c r="G55" i="128"/>
  <c r="AD55" i="128"/>
  <c r="L28" i="128" l="1"/>
  <c r="L40" i="128" s="1"/>
  <c r="K65" i="128"/>
  <c r="K67" i="128" s="1"/>
  <c r="AI67" i="128" s="1"/>
  <c r="M49" i="128"/>
  <c r="M54" i="128" s="1"/>
  <c r="M23" i="128"/>
  <c r="AK23" i="128" s="1"/>
  <c r="N14" i="128"/>
  <c r="N23" i="128" s="1"/>
  <c r="AK14" i="128"/>
  <c r="N51" i="128"/>
  <c r="AL51" i="128" s="1"/>
  <c r="O13" i="128"/>
  <c r="P13" i="128" s="1"/>
  <c r="AN13" i="128" s="1"/>
  <c r="P38" i="127"/>
  <c r="P40" i="127" s="1"/>
  <c r="P47" i="127" s="1"/>
  <c r="L56" i="127"/>
  <c r="AC68" i="128"/>
  <c r="F68" i="128"/>
  <c r="AE55" i="128"/>
  <c r="H55" i="128"/>
  <c r="X44" i="127"/>
  <c r="V17" i="128"/>
  <c r="AT17" i="128" s="1"/>
  <c r="AT16" i="128"/>
  <c r="AI40" i="128"/>
  <c r="K42" i="128"/>
  <c r="AI42" i="128" s="1"/>
  <c r="M52" i="127"/>
  <c r="M55" i="127" s="1"/>
  <c r="F36" i="127"/>
  <c r="D82" i="128"/>
  <c r="F48" i="127"/>
  <c r="AB77" i="128"/>
  <c r="AD57" i="128"/>
  <c r="G57" i="128"/>
  <c r="F43" i="128"/>
  <c r="AC43" i="128"/>
  <c r="AE91" i="128"/>
  <c r="G92" i="128"/>
  <c r="AE92" i="128" s="1"/>
  <c r="I49" i="127"/>
  <c r="E77" i="128"/>
  <c r="AC74" i="128"/>
  <c r="E98" i="128"/>
  <c r="E100" i="128" s="1"/>
  <c r="J15" i="128"/>
  <c r="K43" i="127"/>
  <c r="AG15" i="128"/>
  <c r="I90" i="128"/>
  <c r="U17" i="128"/>
  <c r="AS17" i="128" s="1"/>
  <c r="AS16" i="128"/>
  <c r="W44" i="127"/>
  <c r="L56" i="128"/>
  <c r="AJ56" i="128" s="1"/>
  <c r="AJ54" i="128"/>
  <c r="AD66" i="128"/>
  <c r="G66" i="128"/>
  <c r="F74" i="128"/>
  <c r="G41" i="128"/>
  <c r="AD41" i="128"/>
  <c r="H91" i="128"/>
  <c r="AF90" i="128"/>
  <c r="L65" i="128"/>
  <c r="AJ59" i="128"/>
  <c r="AK49" i="128" l="1"/>
  <c r="AJ28" i="128"/>
  <c r="AI65" i="128"/>
  <c r="M28" i="128"/>
  <c r="M40" i="128" s="1"/>
  <c r="M59" i="128"/>
  <c r="AK59" i="128" s="1"/>
  <c r="N49" i="128"/>
  <c r="AL49" i="128" s="1"/>
  <c r="P45" i="127"/>
  <c r="AL14" i="128"/>
  <c r="AM13" i="128"/>
  <c r="Q13" i="128"/>
  <c r="Q51" i="128" s="1"/>
  <c r="AO51" i="128" s="1"/>
  <c r="O14" i="128"/>
  <c r="Q45" i="127" s="1"/>
  <c r="Q38" i="127"/>
  <c r="Q40" i="127" s="1"/>
  <c r="Q47" i="127" s="1"/>
  <c r="O51" i="128"/>
  <c r="AM51" i="128" s="1"/>
  <c r="P51" i="128"/>
  <c r="AN51" i="128" s="1"/>
  <c r="R38" i="127"/>
  <c r="R40" i="127" s="1"/>
  <c r="R47" i="127" s="1"/>
  <c r="P14" i="128"/>
  <c r="P49" i="128" s="1"/>
  <c r="M56" i="127"/>
  <c r="G68" i="128"/>
  <c r="AD68" i="128"/>
  <c r="L67" i="128"/>
  <c r="AJ67" i="128" s="1"/>
  <c r="AJ65" i="128"/>
  <c r="N28" i="128"/>
  <c r="AL23" i="128"/>
  <c r="L43" i="127"/>
  <c r="K15" i="128"/>
  <c r="AH15" i="128"/>
  <c r="J90" i="128"/>
  <c r="F77" i="128"/>
  <c r="AD74" i="128"/>
  <c r="F98" i="128"/>
  <c r="F100" i="128" s="1"/>
  <c r="H57" i="128"/>
  <c r="AE57" i="128"/>
  <c r="AB82" i="128"/>
  <c r="F46" i="127"/>
  <c r="D93" i="128"/>
  <c r="AF55" i="128"/>
  <c r="I55" i="128"/>
  <c r="H92" i="128"/>
  <c r="AF92" i="128" s="1"/>
  <c r="AF91" i="128"/>
  <c r="J49" i="127"/>
  <c r="H41" i="128"/>
  <c r="AE41" i="128"/>
  <c r="G74" i="128"/>
  <c r="I91" i="128"/>
  <c r="AG90" i="128"/>
  <c r="AD43" i="128"/>
  <c r="G43" i="128"/>
  <c r="N52" i="127"/>
  <c r="N55" i="127" s="1"/>
  <c r="L42" i="128"/>
  <c r="AJ42" i="128" s="1"/>
  <c r="AJ40" i="128"/>
  <c r="AE66" i="128"/>
  <c r="H66" i="128"/>
  <c r="M56" i="128"/>
  <c r="AK56" i="128" s="1"/>
  <c r="AK54" i="128"/>
  <c r="G36" i="127"/>
  <c r="G48" i="127"/>
  <c r="AC77" i="128"/>
  <c r="E82" i="128"/>
  <c r="N54" i="128" l="1"/>
  <c r="AL54" i="128" s="1"/>
  <c r="AK28" i="128"/>
  <c r="M65" i="128"/>
  <c r="M67" i="128" s="1"/>
  <c r="AK67" i="128" s="1"/>
  <c r="N59" i="128"/>
  <c r="AL59" i="128" s="1"/>
  <c r="O49" i="128"/>
  <c r="O59" i="128" s="1"/>
  <c r="Q14" i="128"/>
  <c r="Q23" i="128" s="1"/>
  <c r="R13" i="128"/>
  <c r="AP13" i="128" s="1"/>
  <c r="AO13" i="128"/>
  <c r="S38" i="127"/>
  <c r="S40" i="127" s="1"/>
  <c r="S47" i="127" s="1"/>
  <c r="AM14" i="128"/>
  <c r="O23" i="128"/>
  <c r="O28" i="128" s="1"/>
  <c r="R45" i="127"/>
  <c r="AN14" i="128"/>
  <c r="P23" i="128"/>
  <c r="P28" i="128" s="1"/>
  <c r="N56" i="127"/>
  <c r="AE68" i="128"/>
  <c r="H68" i="128"/>
  <c r="AF57" i="128"/>
  <c r="I57" i="128"/>
  <c r="AF66" i="128"/>
  <c r="I66" i="128"/>
  <c r="I92" i="128"/>
  <c r="AG92" i="128" s="1"/>
  <c r="AG91" i="128"/>
  <c r="K49" i="127"/>
  <c r="AL28" i="128"/>
  <c r="N40" i="128"/>
  <c r="H43" i="128"/>
  <c r="AE43" i="128"/>
  <c r="AE74" i="128"/>
  <c r="G98" i="128"/>
  <c r="G100" i="128" s="1"/>
  <c r="G77" i="128"/>
  <c r="J55" i="128"/>
  <c r="AG55" i="128"/>
  <c r="AK40" i="128"/>
  <c r="M42" i="128"/>
  <c r="AK42" i="128" s="1"/>
  <c r="O52" i="127"/>
  <c r="O55" i="127" s="1"/>
  <c r="L15" i="128"/>
  <c r="AI15" i="128"/>
  <c r="M43" i="127"/>
  <c r="K90" i="128"/>
  <c r="H74" i="128"/>
  <c r="AF41" i="128"/>
  <c r="I41" i="128"/>
  <c r="AH90" i="128"/>
  <c r="J91" i="128"/>
  <c r="P59" i="128"/>
  <c r="AN49" i="128"/>
  <c r="P54" i="128"/>
  <c r="AD77" i="128"/>
  <c r="F82" i="128"/>
  <c r="H36" i="127"/>
  <c r="H48" i="127"/>
  <c r="E93" i="128"/>
  <c r="AC82" i="128"/>
  <c r="G46" i="127"/>
  <c r="N56" i="128" l="1"/>
  <c r="AL56" i="128" s="1"/>
  <c r="AK65" i="128"/>
  <c r="O54" i="128"/>
  <c r="AM54" i="128" s="1"/>
  <c r="Q49" i="128"/>
  <c r="AO49" i="128" s="1"/>
  <c r="N65" i="128"/>
  <c r="N67" i="128" s="1"/>
  <c r="AL67" i="128" s="1"/>
  <c r="S45" i="127"/>
  <c r="AM49" i="128"/>
  <c r="AO14" i="128"/>
  <c r="R14" i="128"/>
  <c r="R49" i="128" s="1"/>
  <c r="T38" i="127"/>
  <c r="T40" i="127" s="1"/>
  <c r="T47" i="127" s="1"/>
  <c r="AM23" i="128"/>
  <c r="S13" i="128"/>
  <c r="T13" i="128" s="1"/>
  <c r="AR13" i="128" s="1"/>
  <c r="R51" i="128"/>
  <c r="AP51" i="128" s="1"/>
  <c r="AN23" i="128"/>
  <c r="O56" i="127"/>
  <c r="AF68" i="128"/>
  <c r="I68" i="128"/>
  <c r="AM28" i="128"/>
  <c r="O40" i="128"/>
  <c r="AH55" i="128"/>
  <c r="K55" i="128"/>
  <c r="AG57" i="128"/>
  <c r="J57" i="128"/>
  <c r="AJ15" i="128"/>
  <c r="M15" i="128"/>
  <c r="L90" i="128"/>
  <c r="N43" i="127"/>
  <c r="I43" i="128"/>
  <c r="AF43" i="128"/>
  <c r="N42" i="128"/>
  <c r="AL42" i="128" s="1"/>
  <c r="AL40" i="128"/>
  <c r="P52" i="127"/>
  <c r="P55" i="127" s="1"/>
  <c r="AD82" i="128"/>
  <c r="H46" i="127"/>
  <c r="F93" i="128"/>
  <c r="P65" i="128"/>
  <c r="AN59" i="128"/>
  <c r="AO23" i="128"/>
  <c r="Q28" i="128"/>
  <c r="K91" i="128"/>
  <c r="AI90" i="128"/>
  <c r="AN28" i="128"/>
  <c r="P40" i="128"/>
  <c r="AN54" i="128"/>
  <c r="P56" i="128"/>
  <c r="AN56" i="128" s="1"/>
  <c r="L49" i="127"/>
  <c r="AH91" i="128"/>
  <c r="J92" i="128"/>
  <c r="AH92" i="128" s="1"/>
  <c r="AG66" i="128"/>
  <c r="J66" i="128"/>
  <c r="H98" i="128"/>
  <c r="H100" i="128" s="1"/>
  <c r="H77" i="128"/>
  <c r="AF74" i="128"/>
  <c r="AE77" i="128"/>
  <c r="G82" i="128"/>
  <c r="I48" i="127"/>
  <c r="I36" i="127"/>
  <c r="J41" i="128"/>
  <c r="AG41" i="128"/>
  <c r="I74" i="128"/>
  <c r="O65" i="128"/>
  <c r="AM59" i="128"/>
  <c r="O56" i="128" l="1"/>
  <c r="AM56" i="128" s="1"/>
  <c r="Q59" i="128"/>
  <c r="AO59" i="128" s="1"/>
  <c r="Q54" i="128"/>
  <c r="Q56" i="128" s="1"/>
  <c r="AO56" i="128" s="1"/>
  <c r="AL65" i="128"/>
  <c r="T45" i="127"/>
  <c r="R23" i="128"/>
  <c r="R28" i="128" s="1"/>
  <c r="AP14" i="128"/>
  <c r="S14" i="128"/>
  <c r="AQ14" i="128" s="1"/>
  <c r="S51" i="128"/>
  <c r="AQ51" i="128" s="1"/>
  <c r="V38" i="127"/>
  <c r="U38" i="127"/>
  <c r="U40" i="127" s="1"/>
  <c r="U47" i="127" s="1"/>
  <c r="T51" i="128"/>
  <c r="AR51" i="128" s="1"/>
  <c r="AQ13" i="128"/>
  <c r="T14" i="128"/>
  <c r="T23" i="128" s="1"/>
  <c r="U13" i="128"/>
  <c r="V13" i="128" s="1"/>
  <c r="AT13" i="128" s="1"/>
  <c r="P56" i="127"/>
  <c r="J68" i="128"/>
  <c r="AG68" i="128"/>
  <c r="AE82" i="128"/>
  <c r="I46" i="127"/>
  <c r="G93" i="128"/>
  <c r="P67" i="128"/>
  <c r="AN67" i="128" s="1"/>
  <c r="AN65" i="128"/>
  <c r="J43" i="128"/>
  <c r="AG43" i="128"/>
  <c r="AH41" i="128"/>
  <c r="J74" i="128"/>
  <c r="K41" i="128"/>
  <c r="AH66" i="128"/>
  <c r="K66" i="128"/>
  <c r="AM65" i="128"/>
  <c r="O67" i="128"/>
  <c r="AM67" i="128" s="1"/>
  <c r="L91" i="128"/>
  <c r="AJ90" i="128"/>
  <c r="M49" i="127"/>
  <c r="AI91" i="128"/>
  <c r="K92" i="128"/>
  <c r="AI92" i="128" s="1"/>
  <c r="P42" i="128"/>
  <c r="AN42" i="128" s="1"/>
  <c r="AN40" i="128"/>
  <c r="R52" i="127"/>
  <c r="R55" i="127" s="1"/>
  <c r="AP49" i="128"/>
  <c r="R54" i="128"/>
  <c r="R59" i="128"/>
  <c r="Q40" i="128"/>
  <c r="AO28" i="128"/>
  <c r="AH57" i="128"/>
  <c r="K57" i="128"/>
  <c r="AM40" i="128"/>
  <c r="O42" i="128"/>
  <c r="AM42" i="128" s="1"/>
  <c r="Q52" i="127"/>
  <c r="Q55" i="127" s="1"/>
  <c r="I77" i="128"/>
  <c r="AG74" i="128"/>
  <c r="I98" i="128"/>
  <c r="I100" i="128" s="1"/>
  <c r="AF77" i="128"/>
  <c r="J36" i="127"/>
  <c r="J48" i="127"/>
  <c r="H82" i="128"/>
  <c r="O43" i="127"/>
  <c r="M90" i="128"/>
  <c r="N15" i="128"/>
  <c r="AK15" i="128"/>
  <c r="L55" i="128"/>
  <c r="AI55" i="128"/>
  <c r="AO54" i="128" l="1"/>
  <c r="Q65" i="128"/>
  <c r="Q67" i="128" s="1"/>
  <c r="AO67" i="128" s="1"/>
  <c r="AP23" i="128"/>
  <c r="S23" i="128"/>
  <c r="AQ23" i="128" s="1"/>
  <c r="S49" i="128"/>
  <c r="AQ49" i="128" s="1"/>
  <c r="U45" i="127"/>
  <c r="W38" i="127"/>
  <c r="T49" i="128"/>
  <c r="AR49" i="128" s="1"/>
  <c r="U14" i="128"/>
  <c r="W45" i="127" s="1"/>
  <c r="V45" i="127"/>
  <c r="V51" i="128"/>
  <c r="AT51" i="128" s="1"/>
  <c r="V14" i="128"/>
  <c r="X45" i="127" s="1"/>
  <c r="U51" i="128"/>
  <c r="AS51" i="128" s="1"/>
  <c r="AR14" i="128"/>
  <c r="X38" i="127"/>
  <c r="W13" i="128"/>
  <c r="W51" i="128" s="1"/>
  <c r="AU51" i="128" s="1"/>
  <c r="AS13" i="128"/>
  <c r="Q56" i="127"/>
  <c r="R56" i="127" s="1"/>
  <c r="AH68" i="128"/>
  <c r="K68" i="128"/>
  <c r="J46" i="127"/>
  <c r="H93" i="128"/>
  <c r="AF82" i="128"/>
  <c r="AH74" i="128"/>
  <c r="J77" i="128"/>
  <c r="J98" i="128"/>
  <c r="J100" i="128" s="1"/>
  <c r="AP28" i="128"/>
  <c r="R40" i="128"/>
  <c r="I82" i="128"/>
  <c r="K36" i="127"/>
  <c r="K48" i="127"/>
  <c r="AG77" i="128"/>
  <c r="AI57" i="128"/>
  <c r="L57" i="128"/>
  <c r="R65" i="128"/>
  <c r="AP59" i="128"/>
  <c r="T28" i="128"/>
  <c r="AR23" i="128"/>
  <c r="N49" i="127"/>
  <c r="AJ91" i="128"/>
  <c r="L92" i="128"/>
  <c r="AJ92" i="128" s="1"/>
  <c r="L66" i="128"/>
  <c r="AI66" i="128"/>
  <c r="M91" i="128"/>
  <c r="AK90" i="128"/>
  <c r="L41" i="128"/>
  <c r="AI41" i="128"/>
  <c r="K74" i="128"/>
  <c r="AH43" i="128"/>
  <c r="K43" i="128"/>
  <c r="M55" i="128"/>
  <c r="AJ55" i="128"/>
  <c r="Q42" i="128"/>
  <c r="AO42" i="128" s="1"/>
  <c r="S52" i="127"/>
  <c r="S55" i="127" s="1"/>
  <c r="AO40" i="128"/>
  <c r="AL15" i="128"/>
  <c r="P43" i="127"/>
  <c r="N90" i="128"/>
  <c r="O15" i="128"/>
  <c r="AP54" i="128"/>
  <c r="R56" i="128"/>
  <c r="AP56" i="128" s="1"/>
  <c r="AO65" i="128" l="1"/>
  <c r="S28" i="128"/>
  <c r="S40" i="128" s="1"/>
  <c r="S59" i="128"/>
  <c r="S65" i="128" s="1"/>
  <c r="S54" i="128"/>
  <c r="S56" i="128" s="1"/>
  <c r="AQ56" i="128" s="1"/>
  <c r="T59" i="128"/>
  <c r="T65" i="128" s="1"/>
  <c r="T54" i="128"/>
  <c r="T56" i="128" s="1"/>
  <c r="AR56" i="128" s="1"/>
  <c r="AS14" i="128"/>
  <c r="U23" i="128"/>
  <c r="AS23" i="128" s="1"/>
  <c r="U49" i="128"/>
  <c r="AS49" i="128" s="1"/>
  <c r="V23" i="128"/>
  <c r="V28" i="128" s="1"/>
  <c r="W14" i="128"/>
  <c r="AU14" i="128" s="1"/>
  <c r="AU13" i="128"/>
  <c r="V49" i="128"/>
  <c r="V54" i="128" s="1"/>
  <c r="Y38" i="127"/>
  <c r="AT14" i="128"/>
  <c r="L68" i="128"/>
  <c r="AI68" i="128"/>
  <c r="S56" i="127"/>
  <c r="AP65" i="128"/>
  <c r="R67" i="128"/>
  <c r="AP67" i="128" s="1"/>
  <c r="N91" i="128"/>
  <c r="AL90" i="128"/>
  <c r="L43" i="128"/>
  <c r="AI43" i="128"/>
  <c r="M66" i="128"/>
  <c r="AJ66" i="128"/>
  <c r="T40" i="128"/>
  <c r="AR28" i="128"/>
  <c r="K46" i="127"/>
  <c r="AG82" i="128"/>
  <c r="I93" i="128"/>
  <c r="AH77" i="128"/>
  <c r="L48" i="127"/>
  <c r="J82" i="128"/>
  <c r="L36" i="127"/>
  <c r="AM15" i="128"/>
  <c r="O90" i="128"/>
  <c r="P15" i="128"/>
  <c r="Q43" i="127"/>
  <c r="C14" i="127" s="1"/>
  <c r="AK55" i="128"/>
  <c r="N55" i="128"/>
  <c r="AJ41" i="128"/>
  <c r="M41" i="128"/>
  <c r="L74" i="128"/>
  <c r="AJ57" i="128"/>
  <c r="M57" i="128"/>
  <c r="AI74" i="128"/>
  <c r="K77" i="128"/>
  <c r="K98" i="128"/>
  <c r="K100" i="128" s="1"/>
  <c r="M92" i="128"/>
  <c r="AK92" i="128" s="1"/>
  <c r="AK91" i="128"/>
  <c r="O49" i="127"/>
  <c r="R42" i="128"/>
  <c r="AP42" i="128" s="1"/>
  <c r="T52" i="127"/>
  <c r="T55" i="127" s="1"/>
  <c r="AP40" i="128"/>
  <c r="AQ28" i="128" l="1"/>
  <c r="Y45" i="127"/>
  <c r="AQ59" i="128"/>
  <c r="AQ54" i="128"/>
  <c r="AR54" i="128"/>
  <c r="AR59" i="128"/>
  <c r="U28" i="128"/>
  <c r="U40" i="128" s="1"/>
  <c r="U59" i="128"/>
  <c r="AS59" i="128" s="1"/>
  <c r="U54" i="128"/>
  <c r="U56" i="128" s="1"/>
  <c r="AS56" i="128" s="1"/>
  <c r="AT23" i="128"/>
  <c r="W49" i="128"/>
  <c r="W54" i="128" s="1"/>
  <c r="W23" i="128"/>
  <c r="AU23" i="128" s="1"/>
  <c r="AT49" i="128"/>
  <c r="V59" i="128"/>
  <c r="V65" i="128" s="1"/>
  <c r="T56" i="127"/>
  <c r="M68" i="128"/>
  <c r="AJ68" i="128"/>
  <c r="N57" i="128"/>
  <c r="AK57" i="128"/>
  <c r="S67" i="128"/>
  <c r="AQ67" i="128" s="1"/>
  <c r="AQ65" i="128"/>
  <c r="R43" i="127"/>
  <c r="Q15" i="128"/>
  <c r="AN15" i="128"/>
  <c r="P90" i="128"/>
  <c r="AJ74" i="128"/>
  <c r="L98" i="128"/>
  <c r="L100" i="128" s="1"/>
  <c r="L77" i="128"/>
  <c r="AM90" i="128"/>
  <c r="O91" i="128"/>
  <c r="T42" i="128"/>
  <c r="AR42" i="128" s="1"/>
  <c r="V52" i="127"/>
  <c r="V55" i="127" s="1"/>
  <c r="AR40" i="128"/>
  <c r="AK66" i="128"/>
  <c r="N66" i="128"/>
  <c r="K82" i="128"/>
  <c r="M48" i="127"/>
  <c r="M36" i="127"/>
  <c r="AI77" i="128"/>
  <c r="N41" i="128"/>
  <c r="M74" i="128"/>
  <c r="AK41" i="128"/>
  <c r="L46" i="127"/>
  <c r="J93" i="128"/>
  <c r="AH82" i="128"/>
  <c r="T67" i="128"/>
  <c r="AR67" i="128" s="1"/>
  <c r="AR65" i="128"/>
  <c r="AT28" i="128"/>
  <c r="V40" i="128"/>
  <c r="V56" i="128"/>
  <c r="AT56" i="128" s="1"/>
  <c r="AT54" i="128"/>
  <c r="AL55" i="128"/>
  <c r="O55" i="128"/>
  <c r="N92" i="128"/>
  <c r="AL92" i="128" s="1"/>
  <c r="P49" i="127"/>
  <c r="AL91" i="128"/>
  <c r="AJ43" i="128"/>
  <c r="M43" i="128"/>
  <c r="S42" i="128"/>
  <c r="AQ42" i="128" s="1"/>
  <c r="U52" i="127"/>
  <c r="U55" i="127" s="1"/>
  <c r="AQ40" i="128"/>
  <c r="AS54" i="128" l="1"/>
  <c r="U65" i="128"/>
  <c r="AS65" i="128" s="1"/>
  <c r="AS28" i="128"/>
  <c r="W59" i="128"/>
  <c r="W65" i="128" s="1"/>
  <c r="AT59" i="128"/>
  <c r="AU49" i="128"/>
  <c r="W28" i="128"/>
  <c r="AU28" i="128" s="1"/>
  <c r="U56" i="127"/>
  <c r="V56" i="127" s="1"/>
  <c r="AK68" i="128"/>
  <c r="N68" i="128"/>
  <c r="P55" i="128"/>
  <c r="AM55" i="128"/>
  <c r="V42" i="128"/>
  <c r="AT42" i="128" s="1"/>
  <c r="AT40" i="128"/>
  <c r="X52" i="127"/>
  <c r="X55" i="127" s="1"/>
  <c r="AJ77" i="128"/>
  <c r="N48" i="127"/>
  <c r="L82" i="128"/>
  <c r="N36" i="127"/>
  <c r="AK43" i="128"/>
  <c r="N43" i="128"/>
  <c r="O66" i="128"/>
  <c r="AL66" i="128"/>
  <c r="Q90" i="128"/>
  <c r="S43" i="127"/>
  <c r="R15" i="128"/>
  <c r="AO15" i="128"/>
  <c r="AT65" i="128"/>
  <c r="V67" i="128"/>
  <c r="AT67" i="128" s="1"/>
  <c r="M98" i="128"/>
  <c r="M100" i="128" s="1"/>
  <c r="M77" i="128"/>
  <c r="AK74" i="128"/>
  <c r="AN90" i="128"/>
  <c r="P91" i="128"/>
  <c r="U42" i="128"/>
  <c r="AS42" i="128" s="1"/>
  <c r="AS40" i="128"/>
  <c r="W52" i="127"/>
  <c r="W55" i="127" s="1"/>
  <c r="AL41" i="128"/>
  <c r="N74" i="128"/>
  <c r="O41" i="128"/>
  <c r="AI82" i="128"/>
  <c r="M46" i="127"/>
  <c r="K93" i="128"/>
  <c r="W56" i="128"/>
  <c r="X54" i="128"/>
  <c r="D106" i="128" s="1"/>
  <c r="D7" i="127" s="1"/>
  <c r="AU54" i="128"/>
  <c r="AM91" i="128"/>
  <c r="Q49" i="127"/>
  <c r="O92" i="128"/>
  <c r="AM92" i="128" s="1"/>
  <c r="O57" i="128"/>
  <c r="AL57" i="128"/>
  <c r="U67" i="128" l="1"/>
  <c r="AS67" i="128" s="1"/>
  <c r="AU59" i="128"/>
  <c r="W40" i="128"/>
  <c r="Y52" i="127" s="1"/>
  <c r="Y55" i="127" s="1"/>
  <c r="O68" i="128"/>
  <c r="AL68" i="128"/>
  <c r="N98" i="128"/>
  <c r="AL74" i="128"/>
  <c r="N77" i="128"/>
  <c r="AK77" i="128"/>
  <c r="M82" i="128"/>
  <c r="O36" i="127"/>
  <c r="O48" i="127"/>
  <c r="R49" i="127"/>
  <c r="AN91" i="128"/>
  <c r="P92" i="128"/>
  <c r="AN92" i="128" s="1"/>
  <c r="AO90" i="128"/>
  <c r="Q91" i="128"/>
  <c r="L93" i="128"/>
  <c r="AJ82" i="128"/>
  <c r="N46" i="127"/>
  <c r="AN55" i="128"/>
  <c r="Q55" i="128"/>
  <c r="W56" i="127"/>
  <c r="X56" i="127" s="1"/>
  <c r="W67" i="128"/>
  <c r="AU65" i="128"/>
  <c r="X65" i="128"/>
  <c r="C106" i="128" s="1"/>
  <c r="O43" i="128"/>
  <c r="AL43" i="128"/>
  <c r="AM57" i="128"/>
  <c r="P57" i="128"/>
  <c r="X56" i="128"/>
  <c r="AU56" i="128"/>
  <c r="O74" i="128"/>
  <c r="P41" i="128"/>
  <c r="AM41" i="128"/>
  <c r="S15" i="128"/>
  <c r="T43" i="127"/>
  <c r="R90" i="128"/>
  <c r="AP15" i="128"/>
  <c r="AM66" i="128"/>
  <c r="P66" i="128"/>
  <c r="W42" i="128" l="1"/>
  <c r="AU42" i="128" s="1"/>
  <c r="AU40" i="128"/>
  <c r="P68" i="128"/>
  <c r="AM68" i="128"/>
  <c r="AM43" i="128"/>
  <c r="P43" i="128"/>
  <c r="C125" i="127"/>
  <c r="C117" i="127"/>
  <c r="C133" i="127"/>
  <c r="C109" i="127"/>
  <c r="C7" i="127"/>
  <c r="R55" i="128"/>
  <c r="AO55" i="128"/>
  <c r="AK82" i="128"/>
  <c r="O46" i="127"/>
  <c r="M93" i="128"/>
  <c r="AN66" i="128"/>
  <c r="Q66" i="128"/>
  <c r="AM74" i="128"/>
  <c r="O98" i="128"/>
  <c r="O77" i="128"/>
  <c r="Y56" i="127"/>
  <c r="U43" i="127"/>
  <c r="S90" i="128"/>
  <c r="T15" i="128"/>
  <c r="AQ15" i="128"/>
  <c r="AU67" i="128"/>
  <c r="X67" i="128"/>
  <c r="Q92" i="128"/>
  <c r="AO92" i="128" s="1"/>
  <c r="S49" i="127"/>
  <c r="AO91" i="128"/>
  <c r="N82" i="128"/>
  <c r="P48" i="127"/>
  <c r="AL77" i="128"/>
  <c r="P36" i="127"/>
  <c r="AP90" i="128"/>
  <c r="R91" i="128"/>
  <c r="AN41" i="128"/>
  <c r="P74" i="128"/>
  <c r="Q41" i="128"/>
  <c r="AN57" i="128"/>
  <c r="Q57" i="128"/>
  <c r="AN68" i="128" l="1"/>
  <c r="Q68" i="128"/>
  <c r="AL82" i="128"/>
  <c r="N93" i="128"/>
  <c r="P46" i="127"/>
  <c r="AQ90" i="128"/>
  <c r="S91" i="128"/>
  <c r="S55" i="128"/>
  <c r="AP55" i="128"/>
  <c r="R57" i="128"/>
  <c r="AO57" i="128"/>
  <c r="AN43" i="128"/>
  <c r="Q43" i="128"/>
  <c r="AO41" i="128"/>
  <c r="R41" i="128"/>
  <c r="Q74" i="128"/>
  <c r="AN74" i="128"/>
  <c r="P98" i="128"/>
  <c r="P77" i="128"/>
  <c r="R66" i="128"/>
  <c r="AO66" i="128"/>
  <c r="AP91" i="128"/>
  <c r="T49" i="127"/>
  <c r="R92" i="128"/>
  <c r="AP92" i="128" s="1"/>
  <c r="V43" i="127"/>
  <c r="AR15" i="128"/>
  <c r="T90" i="128"/>
  <c r="U15" i="128"/>
  <c r="AM77" i="128"/>
  <c r="O82" i="128"/>
  <c r="Q36" i="127"/>
  <c r="Q48" i="127"/>
  <c r="R68" i="128" l="1"/>
  <c r="AO68" i="128"/>
  <c r="R43" i="128"/>
  <c r="AO43" i="128"/>
  <c r="V15" i="128"/>
  <c r="AS15" i="128"/>
  <c r="U90" i="128"/>
  <c r="W43" i="127"/>
  <c r="S66" i="128"/>
  <c r="AP66" i="128"/>
  <c r="Q46" i="127"/>
  <c r="O93" i="128"/>
  <c r="AM82" i="128"/>
  <c r="AP57" i="128"/>
  <c r="S57" i="128"/>
  <c r="Q98" i="128"/>
  <c r="AO74" i="128"/>
  <c r="Q77" i="128"/>
  <c r="AQ55" i="128"/>
  <c r="T55" i="128"/>
  <c r="AR90" i="128"/>
  <c r="T91" i="128"/>
  <c r="R48" i="127"/>
  <c r="R36" i="127"/>
  <c r="AN77" i="128"/>
  <c r="P82" i="128"/>
  <c r="AP41" i="128"/>
  <c r="R74" i="128"/>
  <c r="S41" i="128"/>
  <c r="U49" i="127"/>
  <c r="AQ91" i="128"/>
  <c r="S92" i="128"/>
  <c r="AQ92" i="128" s="1"/>
  <c r="AP68" i="128" l="1"/>
  <c r="S68" i="128"/>
  <c r="AR91" i="128"/>
  <c r="V49" i="127"/>
  <c r="T92" i="128"/>
  <c r="AR92" i="128" s="1"/>
  <c r="AT15" i="128"/>
  <c r="V90" i="128"/>
  <c r="W15" i="128"/>
  <c r="X43" i="127"/>
  <c r="AN82" i="128"/>
  <c r="R46" i="127"/>
  <c r="P93" i="128"/>
  <c r="S48" i="127"/>
  <c r="AO77" i="128"/>
  <c r="S36" i="127"/>
  <c r="Q82" i="128"/>
  <c r="S74" i="128"/>
  <c r="AQ41" i="128"/>
  <c r="T41" i="128"/>
  <c r="AQ66" i="128"/>
  <c r="T66" i="128"/>
  <c r="R98" i="128"/>
  <c r="R77" i="128"/>
  <c r="AP74" i="128"/>
  <c r="U55" i="128"/>
  <c r="AR55" i="128"/>
  <c r="AQ57" i="128"/>
  <c r="T57" i="128"/>
  <c r="AS90" i="128"/>
  <c r="U91" i="128"/>
  <c r="AP43" i="128"/>
  <c r="S43" i="128"/>
  <c r="AQ68" i="128" l="1"/>
  <c r="T68" i="128"/>
  <c r="W49" i="127"/>
  <c r="U92" i="128"/>
  <c r="AS92" i="128" s="1"/>
  <c r="AS91" i="128"/>
  <c r="V55" i="128"/>
  <c r="AS55" i="128"/>
  <c r="AR57" i="128"/>
  <c r="U57" i="128"/>
  <c r="Q93" i="128"/>
  <c r="AO82" i="128"/>
  <c r="S46" i="127"/>
  <c r="AU15" i="128"/>
  <c r="W90" i="128"/>
  <c r="Y43" i="127"/>
  <c r="AR66" i="128"/>
  <c r="U66" i="128"/>
  <c r="AQ74" i="128"/>
  <c r="S98" i="128"/>
  <c r="S77" i="128"/>
  <c r="T43" i="128"/>
  <c r="AQ43" i="128"/>
  <c r="R82" i="128"/>
  <c r="T36" i="127"/>
  <c r="T48" i="127"/>
  <c r="AP77" i="128"/>
  <c r="T74" i="128"/>
  <c r="U41" i="128"/>
  <c r="AR41" i="128"/>
  <c r="AT90" i="128"/>
  <c r="V91" i="128"/>
  <c r="AR68" i="128" l="1"/>
  <c r="U68" i="128"/>
  <c r="W91" i="128"/>
  <c r="AU90" i="128"/>
  <c r="AT55" i="128"/>
  <c r="W55" i="128"/>
  <c r="U43" i="128"/>
  <c r="AR43" i="128"/>
  <c r="AS57" i="128"/>
  <c r="V57" i="128"/>
  <c r="U74" i="128"/>
  <c r="V41" i="128"/>
  <c r="AS41" i="128"/>
  <c r="AS66" i="128"/>
  <c r="V66" i="128"/>
  <c r="U48" i="127"/>
  <c r="AQ77" i="128"/>
  <c r="S82" i="128"/>
  <c r="U36" i="127"/>
  <c r="X49" i="127"/>
  <c r="AT91" i="128"/>
  <c r="V92" i="128"/>
  <c r="AT92" i="128" s="1"/>
  <c r="T77" i="128"/>
  <c r="T98" i="128"/>
  <c r="AR74" i="128"/>
  <c r="AP82" i="128"/>
  <c r="R93" i="128"/>
  <c r="T46" i="127"/>
  <c r="C117" i="128"/>
  <c r="C116" i="128"/>
  <c r="V68" i="128" l="1"/>
  <c r="AS68" i="128"/>
  <c r="C118" i="128"/>
  <c r="D107" i="128" s="1"/>
  <c r="D8" i="127" s="1"/>
  <c r="S93" i="128"/>
  <c r="U46" i="127"/>
  <c r="AQ82" i="128"/>
  <c r="AT57" i="128"/>
  <c r="W57" i="128"/>
  <c r="X55" i="128"/>
  <c r="AU55" i="128"/>
  <c r="W41" i="128"/>
  <c r="AT41" i="128"/>
  <c r="V74" i="128"/>
  <c r="V48" i="127"/>
  <c r="V36" i="127"/>
  <c r="T82" i="128"/>
  <c r="AR77" i="128"/>
  <c r="W66" i="128"/>
  <c r="AT66" i="128"/>
  <c r="U77" i="128"/>
  <c r="AS74" i="128"/>
  <c r="U98" i="128"/>
  <c r="AS43" i="128"/>
  <c r="V43" i="128"/>
  <c r="AU91" i="128"/>
  <c r="Y49" i="127"/>
  <c r="W92" i="128"/>
  <c r="AU92" i="128" s="1"/>
  <c r="C121" i="128"/>
  <c r="C120" i="128"/>
  <c r="D116" i="128"/>
  <c r="AT68" i="128" l="1"/>
  <c r="W68" i="128"/>
  <c r="C122" i="128"/>
  <c r="C107" i="128" s="1"/>
  <c r="AT43" i="128"/>
  <c r="W43" i="128"/>
  <c r="AU43" i="128" s="1"/>
  <c r="W48" i="127"/>
  <c r="U82" i="128"/>
  <c r="AS77" i="128"/>
  <c r="W36" i="127"/>
  <c r="AR82" i="128"/>
  <c r="V46" i="127"/>
  <c r="T93" i="128"/>
  <c r="AU57" i="128"/>
  <c r="X57" i="128"/>
  <c r="D105" i="128" s="1"/>
  <c r="D6" i="127" s="1"/>
  <c r="AU66" i="128"/>
  <c r="X66" i="128"/>
  <c r="AT74" i="128"/>
  <c r="V98" i="128"/>
  <c r="V77" i="128"/>
  <c r="W74" i="128"/>
  <c r="AU41" i="128"/>
  <c r="D121" i="128"/>
  <c r="D117" i="128"/>
  <c r="D120" i="128"/>
  <c r="D118" i="128" l="1"/>
  <c r="D108" i="128" s="1"/>
  <c r="D9" i="127" s="1"/>
  <c r="D122" i="128"/>
  <c r="C108" i="128" s="1"/>
  <c r="AU68" i="128"/>
  <c r="X68" i="128"/>
  <c r="C105" i="128" s="1"/>
  <c r="X36" i="127"/>
  <c r="V82" i="128"/>
  <c r="AT77" i="128"/>
  <c r="X48" i="127"/>
  <c r="C126" i="127"/>
  <c r="C134" i="127"/>
  <c r="C8" i="127"/>
  <c r="C118" i="127"/>
  <c r="C110" i="127"/>
  <c r="W98" i="128"/>
  <c r="W77" i="128"/>
  <c r="AU74" i="128"/>
  <c r="U93" i="128"/>
  <c r="AS82" i="128"/>
  <c r="W46" i="127"/>
  <c r="C6" i="127" l="1"/>
  <c r="C132" i="127"/>
  <c r="C124" i="127"/>
  <c r="C108" i="127"/>
  <c r="C116" i="127"/>
  <c r="C135" i="127"/>
  <c r="C9" i="127"/>
  <c r="C119" i="127"/>
  <c r="C111" i="127"/>
  <c r="C127" i="127"/>
  <c r="AU77" i="128"/>
  <c r="Y36" i="127"/>
  <c r="Y48" i="127"/>
  <c r="W82" i="128"/>
  <c r="X46" i="127"/>
  <c r="V93" i="128"/>
  <c r="AT82" i="128"/>
  <c r="Y46" i="127" l="1"/>
  <c r="W93" i="128"/>
  <c r="AU82" i="128"/>
  <c r="C52" i="98" l="1"/>
  <c r="C177" i="98"/>
  <c r="C175" i="98"/>
  <c r="C176" i="98"/>
  <c r="C179" i="98" s="1"/>
  <c r="D259" i="98" l="1"/>
  <c r="D267" i="9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Doron Nevo</author>
  </authors>
  <commentList>
    <comment ref="A20" authorId="0" shapeId="0" xr:uid="{00000000-0006-0000-0700-000001000000}">
      <text>
        <r>
          <rPr>
            <b/>
            <sz val="9"/>
            <color indexed="81"/>
            <rFont val="Tahoma"/>
            <family val="2"/>
          </rPr>
          <t>Doron Nevo:</t>
        </r>
        <r>
          <rPr>
            <sz val="9"/>
            <color indexed="81"/>
            <rFont val="Tahoma"/>
            <family val="2"/>
          </rPr>
          <t xml:space="preserve">
Amir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Doron Nevo</author>
  </authors>
  <commentList>
    <comment ref="H23" authorId="0" shapeId="0" xr:uid="{00000000-0006-0000-0800-000001000000}">
      <text>
        <r>
          <rPr>
            <b/>
            <sz val="9"/>
            <color indexed="81"/>
            <rFont val="Tahoma"/>
            <family val="2"/>
          </rPr>
          <t>Doron Nevo:</t>
        </r>
        <r>
          <rPr>
            <sz val="9"/>
            <color indexed="81"/>
            <rFont val="Tahoma"/>
            <family val="2"/>
          </rPr>
          <t xml:space="preserve">
50 lit * 365 days * fuel price
</t>
        </r>
      </text>
    </comment>
    <comment ref="H36" authorId="0" shapeId="0" xr:uid="{00000000-0006-0000-0800-000002000000}">
      <text>
        <r>
          <rPr>
            <b/>
            <sz val="9"/>
            <color indexed="81"/>
            <rFont val="Tahoma"/>
            <family val="2"/>
          </rPr>
          <t>Doron Nevo:</t>
        </r>
        <r>
          <rPr>
            <sz val="9"/>
            <color indexed="81"/>
            <rFont val="Tahoma"/>
            <family val="2"/>
          </rPr>
          <t xml:space="preserve">
50 lit/day * 365 days * fuel price
</t>
        </r>
      </text>
    </comment>
    <comment ref="H70" authorId="0" shapeId="0" xr:uid="{00000000-0006-0000-0800-000003000000}">
      <text>
        <r>
          <rPr>
            <b/>
            <sz val="9"/>
            <color indexed="81"/>
            <rFont val="Tahoma"/>
            <family val="2"/>
          </rPr>
          <t>Doron Nevo:</t>
        </r>
        <r>
          <rPr>
            <sz val="9"/>
            <color indexed="81"/>
            <rFont val="Tahoma"/>
            <family val="2"/>
          </rPr>
          <t xml:space="preserve">
50 lit/day * 365 days * fuel price
</t>
        </r>
      </text>
    </comment>
    <comment ref="H97" authorId="0" shapeId="0" xr:uid="{00000000-0006-0000-0800-000004000000}">
      <text>
        <r>
          <rPr>
            <b/>
            <sz val="9"/>
            <color indexed="81"/>
            <rFont val="Tahoma"/>
            <family val="2"/>
          </rPr>
          <t>Doron Nevo:</t>
        </r>
        <r>
          <rPr>
            <sz val="9"/>
            <color indexed="81"/>
            <rFont val="Tahoma"/>
            <family val="2"/>
          </rPr>
          <t xml:space="preserve">
2 vehicles*250km/day*0.2lit/km*300 days*fuel price*maintenance factor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4" refreshedVersion="4" background="1">
    <webPr sourceData="1" parsePre="1" consecutive="1" xl2000="1" url="http://www.x-rates.com/calculator/?from=USD&amp;to=EUR&amp;amount=1.00"/>
  </connection>
</connections>
</file>

<file path=xl/sharedStrings.xml><?xml version="1.0" encoding="utf-8"?>
<sst xmlns="http://schemas.openxmlformats.org/spreadsheetml/2006/main" count="1652" uniqueCount="563">
  <si>
    <t>Unit</t>
  </si>
  <si>
    <t>Total</t>
  </si>
  <si>
    <t>%</t>
  </si>
  <si>
    <t>Chemicals</t>
  </si>
  <si>
    <t>Year 1</t>
  </si>
  <si>
    <t>Year 2</t>
  </si>
  <si>
    <t>Year 3</t>
  </si>
  <si>
    <t>Year 4</t>
  </si>
  <si>
    <t>Year 5</t>
  </si>
  <si>
    <t>Year 6</t>
  </si>
  <si>
    <t>Year 7</t>
  </si>
  <si>
    <t>Year 8</t>
  </si>
  <si>
    <t>Year 9</t>
  </si>
  <si>
    <t>Year 10</t>
  </si>
  <si>
    <t>Year 11</t>
  </si>
  <si>
    <t>Year 12</t>
  </si>
  <si>
    <t>Year 0</t>
  </si>
  <si>
    <t>Fuel</t>
  </si>
  <si>
    <t>Total SG&amp;A</t>
  </si>
  <si>
    <t>Infrastructure</t>
  </si>
  <si>
    <t>Units</t>
  </si>
  <si>
    <t>Item</t>
  </si>
  <si>
    <t>kg</t>
  </si>
  <si>
    <t>Amount</t>
  </si>
  <si>
    <t>Heads</t>
  </si>
  <si>
    <t>Raw Milk</t>
  </si>
  <si>
    <t>Fertilizers</t>
  </si>
  <si>
    <t>Vehicles</t>
  </si>
  <si>
    <t>Electric power</t>
  </si>
  <si>
    <t>Seeds</t>
  </si>
  <si>
    <t>General equipment</t>
  </si>
  <si>
    <t>Garage</t>
  </si>
  <si>
    <t>Clinic</t>
  </si>
  <si>
    <t>Water</t>
  </si>
  <si>
    <t>Mt</t>
  </si>
  <si>
    <t>ATV</t>
  </si>
  <si>
    <t>Cultivation and accessory tools</t>
  </si>
  <si>
    <t xml:space="preserve">Tractors and self propelled tools </t>
  </si>
  <si>
    <t>Pickup</t>
  </si>
  <si>
    <t>Farm</t>
  </si>
  <si>
    <t>Silo including dryer and accessories</t>
  </si>
  <si>
    <t>Storage</t>
  </si>
  <si>
    <t>Machinery shed</t>
  </si>
  <si>
    <t>Workshop and spare parts warehouse</t>
  </si>
  <si>
    <t>Farm buildings, fully equipped</t>
  </si>
  <si>
    <t>Workers housing, dormitory</t>
  </si>
  <si>
    <t>Accommodation, fully equipped</t>
  </si>
  <si>
    <t>Central building: administration &amp; services, fully equipped</t>
  </si>
  <si>
    <t>Fence, guard building, gates</t>
  </si>
  <si>
    <t>Camp water purifying and supply system</t>
  </si>
  <si>
    <t>Fuel station</t>
  </si>
  <si>
    <t>Land reclamation, civil works, landscaping, roads, parking, drainage</t>
  </si>
  <si>
    <t>Miscellaneous</t>
  </si>
  <si>
    <t>Central building: administration &amp; services</t>
  </si>
  <si>
    <t>Farm logistic center</t>
  </si>
  <si>
    <t>Farm development cost</t>
  </si>
  <si>
    <t>Mechanized equipment and vehicles</t>
  </si>
  <si>
    <t>Office materials</t>
  </si>
  <si>
    <t>Feed Center</t>
  </si>
  <si>
    <t>Headquarters</t>
  </si>
  <si>
    <t>Dairy Farm</t>
  </si>
  <si>
    <t>Artificial insemination</t>
  </si>
  <si>
    <t>kWh</t>
  </si>
  <si>
    <t>Manpower, variable</t>
  </si>
  <si>
    <t>Manpower, permanent</t>
  </si>
  <si>
    <t xml:space="preserve">Miscellaneous </t>
  </si>
  <si>
    <t>Land leveling and reclamation, civil works, roads, parking, drainage</t>
  </si>
  <si>
    <t xml:space="preserve">Farm </t>
  </si>
  <si>
    <t>Herd</t>
  </si>
  <si>
    <t>Milking parlor, fully equipped</t>
  </si>
  <si>
    <t>Manure treatment</t>
  </si>
  <si>
    <t>Concrete work</t>
  </si>
  <si>
    <t>5 Mt wagon (for manure evacuation etc.)</t>
  </si>
  <si>
    <t>Vehicles, mechanized equipment and implements</t>
  </si>
  <si>
    <t xml:space="preserve">Bobcat </t>
  </si>
  <si>
    <t>Manure cultivator</t>
  </si>
  <si>
    <t>Feed grader</t>
  </si>
  <si>
    <t>Software</t>
  </si>
  <si>
    <t>Vehicles and machinery maitenance</t>
  </si>
  <si>
    <t>Power system (in camp)</t>
  </si>
  <si>
    <t>Water system (in camp)</t>
  </si>
  <si>
    <t>Engineering and design</t>
  </si>
  <si>
    <t>Construction supervision</t>
  </si>
  <si>
    <t>Construction work (local contractor)</t>
  </si>
  <si>
    <t>Coveyor</t>
  </si>
  <si>
    <t>Various machines and accessories</t>
  </si>
  <si>
    <t>Office equipment (furnitures, computers etc.)</t>
  </si>
  <si>
    <t>Transportation</t>
  </si>
  <si>
    <t>Large loader / shovel</t>
  </si>
  <si>
    <t>Barns and hay lofts</t>
  </si>
  <si>
    <t>Weigh bridge</t>
  </si>
  <si>
    <t xml:space="preserve">Office, control room, amenitiy </t>
  </si>
  <si>
    <t>Livestock pens shed and passages, fully equipped</t>
  </si>
  <si>
    <t>Variable manpower</t>
  </si>
  <si>
    <t>Permanent manpower</t>
  </si>
  <si>
    <t>Machinery</t>
  </si>
  <si>
    <t>Camp</t>
  </si>
  <si>
    <t>Within camp electric grid and work</t>
  </si>
  <si>
    <t>Communications</t>
  </si>
  <si>
    <t>Land reclamation: civil works, field roads, land clearing, leveling, drainage</t>
  </si>
  <si>
    <t>Power grid and work</t>
  </si>
  <si>
    <t>Reservoir construction</t>
  </si>
  <si>
    <t>Water, tap</t>
  </si>
  <si>
    <t>Generator shed</t>
  </si>
  <si>
    <t>Farm buildings</t>
  </si>
  <si>
    <t>Vehicles and machinery</t>
  </si>
  <si>
    <t>Grand total</t>
  </si>
  <si>
    <t>Miscellaneous, 10%</t>
  </si>
  <si>
    <t>month</t>
  </si>
  <si>
    <t>Heifer purchase + Transportation</t>
  </si>
  <si>
    <t>Veterinary care - Medication+Vaccination</t>
  </si>
  <si>
    <t>Other Equipment</t>
  </si>
  <si>
    <t>Plant</t>
  </si>
  <si>
    <t>Calves from dairy farm</t>
  </si>
  <si>
    <t>General Infrastructure and HQ</t>
  </si>
  <si>
    <t>Manpower, Vaiable</t>
  </si>
  <si>
    <t>Manpower, Permanent</t>
  </si>
  <si>
    <t>Total COGS</t>
  </si>
  <si>
    <t>number of cows</t>
  </si>
  <si>
    <t>Purches Pregnant cows 3-4 months</t>
  </si>
  <si>
    <t xml:space="preserve">calving cows 1 </t>
  </si>
  <si>
    <t>milking cows</t>
  </si>
  <si>
    <t>dry cow</t>
  </si>
  <si>
    <t>calving cows 3</t>
  </si>
  <si>
    <t>Calves to fatten</t>
  </si>
  <si>
    <t>Calves to import</t>
  </si>
  <si>
    <t>Imported calves 3 month age</t>
  </si>
  <si>
    <t>Death of calves</t>
  </si>
  <si>
    <t>Feeding calves</t>
  </si>
  <si>
    <t>Live weight for slaughter/kg</t>
  </si>
  <si>
    <t>calving cows</t>
  </si>
  <si>
    <t>Grand Total Investment</t>
  </si>
  <si>
    <t>Replacement</t>
  </si>
  <si>
    <t>calving cows 4</t>
  </si>
  <si>
    <t>calving cows 5</t>
  </si>
  <si>
    <t>calving cows 6</t>
  </si>
  <si>
    <t>Initial Herd</t>
  </si>
  <si>
    <t>Young Heifers 1</t>
  </si>
  <si>
    <t>Young Heifers 2</t>
  </si>
  <si>
    <t>Young Heifers 3</t>
  </si>
  <si>
    <t>Young Heifers 4</t>
  </si>
  <si>
    <t>Young Heifers 5</t>
  </si>
  <si>
    <t>Young Heifers 6</t>
  </si>
  <si>
    <t>Young Heifers 7</t>
  </si>
  <si>
    <t>calving cows 2</t>
  </si>
  <si>
    <t>Young Heifers</t>
  </si>
  <si>
    <t>2nd generation Heifers</t>
  </si>
  <si>
    <t>1st generation Heifers</t>
  </si>
  <si>
    <t>3rd generation Heifers</t>
  </si>
  <si>
    <t>1st generation Calves</t>
  </si>
  <si>
    <t>2nd generation Calves</t>
  </si>
  <si>
    <t>3rd generation Calves</t>
  </si>
  <si>
    <t>Purchased Pregnant cows</t>
  </si>
  <si>
    <t>Sold Heifers</t>
  </si>
  <si>
    <t>Sold Heifes</t>
  </si>
  <si>
    <t>Month 1</t>
  </si>
  <si>
    <t>Sold Young Bulls</t>
  </si>
  <si>
    <t>Construction, 6%</t>
  </si>
  <si>
    <t>Planning, 6%</t>
  </si>
  <si>
    <t>Construction supervision, 4%</t>
  </si>
  <si>
    <t>Vehicles and machinery - farm</t>
  </si>
  <si>
    <t>Meat</t>
  </si>
  <si>
    <t>Field Crops</t>
  </si>
  <si>
    <t>Spare Parts</t>
  </si>
  <si>
    <t>Operational Materials</t>
  </si>
  <si>
    <t>Cumulative</t>
  </si>
  <si>
    <t>Revenues</t>
  </si>
  <si>
    <t>EBITDA</t>
  </si>
  <si>
    <t>Company/Project:</t>
  </si>
  <si>
    <t>Last Update:</t>
  </si>
  <si>
    <t>COGS</t>
  </si>
  <si>
    <t>SG&amp;A</t>
  </si>
  <si>
    <t>Tax</t>
  </si>
  <si>
    <t>Land purchase</t>
  </si>
  <si>
    <t>Complete</t>
  </si>
  <si>
    <t>m³</t>
  </si>
  <si>
    <t>Dairy Processing Facility</t>
  </si>
  <si>
    <t>Building</t>
  </si>
  <si>
    <t>Equipment and Machinery</t>
  </si>
  <si>
    <t>Dairy Processing</t>
  </si>
  <si>
    <t>Liter</t>
  </si>
  <si>
    <t>Maintanance</t>
  </si>
  <si>
    <t>Flavoured yoghurt</t>
  </si>
  <si>
    <t>Subtotal Dairy Processing</t>
  </si>
  <si>
    <t>Planning, construction, miscellaneous</t>
  </si>
  <si>
    <t>Ice Cream</t>
  </si>
  <si>
    <t>UHT Milk</t>
  </si>
  <si>
    <t>Product</t>
  </si>
  <si>
    <t>Distribution by Income</t>
  </si>
  <si>
    <t>Distribution by Final Product</t>
  </si>
  <si>
    <t>Added Value</t>
  </si>
  <si>
    <t>Raw milk equivalent</t>
  </si>
  <si>
    <t>Income</t>
  </si>
  <si>
    <t>Added Value to Raw Milk</t>
  </si>
  <si>
    <t>Total per Liter of Raw Milk</t>
  </si>
  <si>
    <t>Kg</t>
  </si>
  <si>
    <t>Product Decomposition</t>
  </si>
  <si>
    <t>Soft Cheese/Milk</t>
  </si>
  <si>
    <t>Semi-Hard Cheese/Milk</t>
  </si>
  <si>
    <t>Hard Cheese/Milk</t>
  </si>
  <si>
    <t>Powder/Milk</t>
  </si>
  <si>
    <t>kg/lit</t>
  </si>
  <si>
    <t>Additives</t>
  </si>
  <si>
    <t>Benin dairy operation - farm development cost</t>
  </si>
  <si>
    <t>Lt</t>
  </si>
  <si>
    <t>Fat content</t>
  </si>
  <si>
    <t>Fresh raw milk</t>
  </si>
  <si>
    <t>Pasteurized Milk</t>
  </si>
  <si>
    <t>Plain yoghurt</t>
  </si>
  <si>
    <t>Infrastructure development</t>
  </si>
  <si>
    <t>head</t>
  </si>
  <si>
    <t>€/unit</t>
  </si>
  <si>
    <t>€/Ha</t>
  </si>
  <si>
    <t>זה תערובת של המרכז הלוגיסטי הכללי וחוות הגד"ש. לא רלוונטי</t>
  </si>
  <si>
    <t>Tractor 120 _hp</t>
  </si>
  <si>
    <t>Amenity, public are, service facilities</t>
  </si>
  <si>
    <t xml:space="preserve">Refrigirated truck </t>
  </si>
  <si>
    <t>General Assumptions</t>
  </si>
  <si>
    <t>Packing Materials</t>
  </si>
  <si>
    <t>Price €/Unit</t>
  </si>
  <si>
    <t>Total for Project (€)</t>
  </si>
  <si>
    <t>Income €</t>
  </si>
  <si>
    <t>Production (Lit.) (Year 7)</t>
  </si>
  <si>
    <t>Financial Model</t>
  </si>
  <si>
    <t>Submitted to</t>
  </si>
  <si>
    <t>Last Update</t>
  </si>
  <si>
    <t>Disclaimer:</t>
  </si>
  <si>
    <t>Except for statements of historical fact, information contained herein constitutes forward-looking statements. Such forward-looking statements necessarily involve known and unknown risks and uncertainties, which may cause actual performance and financial results in future periods to differ materially from any projections of future performance or result expressed or implied by such forward-looking statements.</t>
  </si>
  <si>
    <t>All rights reserved. No part of this financial model may be reproduced, distributed, or transmitted in any form or by any means, without the prior written permission of the publisher.</t>
  </si>
  <si>
    <t xml:space="preserve">Bulk water supply system </t>
  </si>
  <si>
    <t>Total OPEX without Internal Sale</t>
  </si>
  <si>
    <t>Operation - Annual Distribution (Before Inflation)</t>
  </si>
  <si>
    <t>Total Revenues</t>
  </si>
  <si>
    <t>Total Cost of Goods Sold (COGS)</t>
  </si>
  <si>
    <t>Total Sales, General &amp; Administration (SG&amp;A)</t>
  </si>
  <si>
    <t>CAPEX</t>
  </si>
  <si>
    <t>Depreciation</t>
  </si>
  <si>
    <t>Reinvestment*</t>
  </si>
  <si>
    <t>Establishment cost</t>
  </si>
  <si>
    <t>* 1-Yes; 2-No</t>
  </si>
  <si>
    <t>Financial Assumptions</t>
  </si>
  <si>
    <t>Comments</t>
  </si>
  <si>
    <t>CAPEX Loan Terms</t>
  </si>
  <si>
    <t>Loan Interest Rate</t>
  </si>
  <si>
    <t>Term</t>
  </si>
  <si>
    <t>Years</t>
  </si>
  <si>
    <t>Grace</t>
  </si>
  <si>
    <t>Incl. Year 0</t>
  </si>
  <si>
    <t>Loan/Equity</t>
  </si>
  <si>
    <t>% Equity</t>
  </si>
  <si>
    <t>No. of Payments</t>
  </si>
  <si>
    <t>Payments/Year</t>
  </si>
  <si>
    <t>Interest During Construction (IDC)</t>
  </si>
  <si>
    <t>Yes/No</t>
  </si>
  <si>
    <t>1=Yes; 0=No</t>
  </si>
  <si>
    <t>Debt Service Reserve Account (DSRA)</t>
  </si>
  <si>
    <t>Fees</t>
  </si>
  <si>
    <t>% CAPEX</t>
  </si>
  <si>
    <t>Management/Commitment/Commission</t>
  </si>
  <si>
    <t>Working Capital Loan Terms</t>
  </si>
  <si>
    <t>Raise Working Capital?</t>
  </si>
  <si>
    <t>Taxes</t>
  </si>
  <si>
    <t>Tax Holiday</t>
  </si>
  <si>
    <t>Corporate Tax</t>
  </si>
  <si>
    <t>Financial Statement Assumptions</t>
  </si>
  <si>
    <t>Minimum Cash</t>
  </si>
  <si>
    <t>Currency</t>
  </si>
  <si>
    <t>Inflation Rate</t>
  </si>
  <si>
    <t>Equity Interest Rate</t>
  </si>
  <si>
    <t>WACC</t>
  </si>
  <si>
    <t>Terminal Growth Rate</t>
  </si>
  <si>
    <t>Minimum Debt Service Coverage Ratio (DSCR)</t>
  </si>
  <si>
    <t>Ratio</t>
  </si>
  <si>
    <t>Working Capital Drivers</t>
  </si>
  <si>
    <t>Inventory</t>
  </si>
  <si>
    <t>% COGS</t>
  </si>
  <si>
    <t>Accounts receivable</t>
  </si>
  <si>
    <t>% Sales</t>
  </si>
  <si>
    <t>Accounts payable</t>
  </si>
  <si>
    <t>Main Financial Results</t>
  </si>
  <si>
    <t>Equity</t>
  </si>
  <si>
    <t>Firm</t>
  </si>
  <si>
    <t>NPV (20 Years; WACC)</t>
  </si>
  <si>
    <t>IRR (20 Years)</t>
  </si>
  <si>
    <t>Return Period</t>
  </si>
  <si>
    <t>Discounted Return Period</t>
  </si>
  <si>
    <t>% EBITDA</t>
  </si>
  <si>
    <t>Total Capital Requirements</t>
  </si>
  <si>
    <t>Sources and Uses</t>
  </si>
  <si>
    <t>Year 13</t>
  </si>
  <si>
    <t>Year 14</t>
  </si>
  <si>
    <t>Year 15</t>
  </si>
  <si>
    <t>Year 16</t>
  </si>
  <si>
    <t>Year 17</t>
  </si>
  <si>
    <t>Year 18</t>
  </si>
  <si>
    <t>Year 19</t>
  </si>
  <si>
    <t>Year 20</t>
  </si>
  <si>
    <t>Sources</t>
  </si>
  <si>
    <t>Establishment Equity</t>
  </si>
  <si>
    <t>Establishment Loan (+ IDC, DSRA &amp; Fees)</t>
  </si>
  <si>
    <t>Operations Loan</t>
  </si>
  <si>
    <t>Uses</t>
  </si>
  <si>
    <t>DSRA</t>
  </si>
  <si>
    <t>IDC</t>
  </si>
  <si>
    <t>Operations</t>
  </si>
  <si>
    <t>Check</t>
  </si>
  <si>
    <t>Financial Ratios</t>
  </si>
  <si>
    <t>Working Capital</t>
  </si>
  <si>
    <t>Debt Service Coverage Ratio (DSCR)</t>
  </si>
  <si>
    <t>EBIDTA - TAX</t>
  </si>
  <si>
    <t>Total Debt Service</t>
  </si>
  <si>
    <t>DSCR</t>
  </si>
  <si>
    <t>Minimum</t>
  </si>
  <si>
    <t>ROI</t>
  </si>
  <si>
    <t>Operating Profit Margin (% EBITDA)</t>
  </si>
  <si>
    <t>Net Profit Margin</t>
  </si>
  <si>
    <t>Return on Capital Employed (ROCE)</t>
  </si>
  <si>
    <t>Cash Flow / Debt Service Ratio</t>
  </si>
  <si>
    <t>Current Ratio</t>
  </si>
  <si>
    <t>Debt to Equity Ratio</t>
  </si>
  <si>
    <t>Debt to Tangible Net Worth Ratio</t>
  </si>
  <si>
    <t>Cash Flow Available for Debt Service (CFADS)</t>
  </si>
  <si>
    <t>Cash Available to Equity</t>
  </si>
  <si>
    <t>Interest</t>
  </si>
  <si>
    <t>Principal</t>
  </si>
  <si>
    <t>CFADS</t>
  </si>
  <si>
    <t>Accumulated CFADS</t>
  </si>
  <si>
    <t>Illustrations</t>
  </si>
  <si>
    <t>Sensitivity Analysis</t>
  </si>
  <si>
    <t>Sensitivity Analysis Engines</t>
  </si>
  <si>
    <t>Prices/Yields</t>
  </si>
  <si>
    <t>OPEX</t>
  </si>
  <si>
    <t>Sensitivity to Output Prices or Yields</t>
  </si>
  <si>
    <t>NPV (WACC)</t>
  </si>
  <si>
    <t>IRR</t>
  </si>
  <si>
    <t>Sensitivity to OPEX</t>
  </si>
  <si>
    <t>Sensitivity to CAPEX</t>
  </si>
  <si>
    <t>Sensitivity to Equity Share</t>
  </si>
  <si>
    <t>Income Statement</t>
  </si>
  <si>
    <t>Gross Profit</t>
  </si>
  <si>
    <t>Operating Profit</t>
  </si>
  <si>
    <t>Interest Payments</t>
  </si>
  <si>
    <t>Profit Before Tax</t>
  </si>
  <si>
    <t>Net Operating Profit After Tax</t>
  </si>
  <si>
    <t>Net Accumulated Profit After Tax</t>
  </si>
  <si>
    <t>Net Accumulated Profit</t>
  </si>
  <si>
    <t>EBITDA Margin</t>
  </si>
  <si>
    <t>Cash Flow</t>
  </si>
  <si>
    <t>Operating Activities</t>
  </si>
  <si>
    <t>Net Operating Profit after Tax</t>
  </si>
  <si>
    <t xml:space="preserve">Increase in inventory </t>
  </si>
  <si>
    <t>Increase in accounts receivable</t>
  </si>
  <si>
    <t>Increase in accounts payable</t>
  </si>
  <si>
    <t>Cash Flow From Operations</t>
  </si>
  <si>
    <t>Financing Activities</t>
  </si>
  <si>
    <t>Loans Received</t>
  </si>
  <si>
    <t>Principal Payments</t>
  </si>
  <si>
    <t>Cash Flow from Financing</t>
  </si>
  <si>
    <t>Investing Activities</t>
  </si>
  <si>
    <t>Initial Investment</t>
  </si>
  <si>
    <t>Reinvestment</t>
  </si>
  <si>
    <t>Cash Flow From Investment</t>
  </si>
  <si>
    <t>Net Cash Flow</t>
  </si>
  <si>
    <t>Net Accumulated Cash Flow</t>
  </si>
  <si>
    <t>Net Cash Flow - DSRA</t>
  </si>
  <si>
    <t>Net Accumulated Cash Flow - DSRA</t>
  </si>
  <si>
    <t>Free Cash Flow</t>
  </si>
  <si>
    <t>Terminal</t>
  </si>
  <si>
    <t>Free Cash Flow to Firm</t>
  </si>
  <si>
    <t>Interest (1-tax)</t>
  </si>
  <si>
    <t>Long-Term Investments</t>
  </si>
  <si>
    <t>Cumulative FCFF</t>
  </si>
  <si>
    <t>DCF to Firm at WACC</t>
  </si>
  <si>
    <t>Cumulative DCF to Firm</t>
  </si>
  <si>
    <t>Free Cash Flow to Equity</t>
  </si>
  <si>
    <t>New Debt</t>
  </si>
  <si>
    <t>Debt Repayment</t>
  </si>
  <si>
    <t>Cash Flow to Equity</t>
  </si>
  <si>
    <t>Cumulative Cash Flow to Equity</t>
  </si>
  <si>
    <t>DCF to Equity at WACC</t>
  </si>
  <si>
    <t>Cumulative DCF to Equity</t>
  </si>
  <si>
    <t>Balance of Payments</t>
  </si>
  <si>
    <t>Assets</t>
  </si>
  <si>
    <t>Cash</t>
  </si>
  <si>
    <t>Accounts Receivable</t>
  </si>
  <si>
    <t>Total Current assets</t>
  </si>
  <si>
    <t>Fixed Assets</t>
  </si>
  <si>
    <t>Accumulated Depreciation</t>
  </si>
  <si>
    <t>Total Long-Term Assets</t>
  </si>
  <si>
    <t>Total Assets</t>
  </si>
  <si>
    <t>Liabilities &amp; Shareholders' Equity</t>
  </si>
  <si>
    <t>Accounts Payable</t>
  </si>
  <si>
    <t>Current portion of long-term debt</t>
  </si>
  <si>
    <t>Total Current Liabilities</t>
  </si>
  <si>
    <t>Long Term Liabilities</t>
  </si>
  <si>
    <t>Total Long Term Liabilities</t>
  </si>
  <si>
    <t>Retained Earnings</t>
  </si>
  <si>
    <t>Total Shareholder's Equity</t>
  </si>
  <si>
    <t>Total Liabilities + Shareholder's Equity</t>
  </si>
  <si>
    <t>Total Liabilities</t>
  </si>
  <si>
    <t>Balance Check</t>
  </si>
  <si>
    <t>Cash Requirements Calculation</t>
  </si>
  <si>
    <t>Cash Required</t>
  </si>
  <si>
    <t>Return Period Decimal Calculation</t>
  </si>
  <si>
    <t>Calculate Decimal? (Linear CF Assumption)*</t>
  </si>
  <si>
    <t>Not Discounted</t>
  </si>
  <si>
    <t>Discounted</t>
  </si>
  <si>
    <t>* 1-Yes; 0-No</t>
  </si>
  <si>
    <t>Year</t>
  </si>
  <si>
    <t>Total Funding</t>
  </si>
  <si>
    <t>Loan %</t>
  </si>
  <si>
    <t>Loan</t>
  </si>
  <si>
    <t>Interest Rate</t>
  </si>
  <si>
    <t>Payments per Year</t>
  </si>
  <si>
    <t>IDC?</t>
  </si>
  <si>
    <t>DSRA?</t>
  </si>
  <si>
    <t>Investment Financing</t>
  </si>
  <si>
    <t>Investment</t>
  </si>
  <si>
    <t>Financing</t>
  </si>
  <si>
    <t>Bank Loan</t>
  </si>
  <si>
    <t>DSRA Repayment</t>
  </si>
  <si>
    <t>Interest &amp; Principal by Payment</t>
  </si>
  <si>
    <t>Interest Payment</t>
  </si>
  <si>
    <t>Principal Payment</t>
  </si>
  <si>
    <t>Current and Long-Term Liabilities</t>
  </si>
  <si>
    <t>Current Liabilities</t>
  </si>
  <si>
    <t>Long-Term Liabilities</t>
  </si>
  <si>
    <t>Year 0 Investment</t>
  </si>
  <si>
    <t>Interest Pmt.</t>
  </si>
  <si>
    <t>Principal Pmt.</t>
  </si>
  <si>
    <t>Interest &amp; Principal by Year</t>
  </si>
  <si>
    <t>Withdrawal</t>
  </si>
  <si>
    <t>Accumulated Principal</t>
  </si>
  <si>
    <t>DSRA &amp; IDC Calculation (to avoid circular references)</t>
  </si>
  <si>
    <t>% Loan</t>
  </si>
  <si>
    <t>Year 1 Investment</t>
  </si>
  <si>
    <t>Year 2 Investment</t>
  </si>
  <si>
    <t>Year 3 Investment</t>
  </si>
  <si>
    <t>Year 4 Investment</t>
  </si>
  <si>
    <t>Financing Assumptions</t>
  </si>
  <si>
    <t>Grace*</t>
  </si>
  <si>
    <t>* Including Year 0</t>
  </si>
  <si>
    <t>Working Capital Financing</t>
  </si>
  <si>
    <t>Depreciation Calculation</t>
  </si>
  <si>
    <t>Annual Depreciation</t>
  </si>
  <si>
    <t>Depreciation Years</t>
  </si>
  <si>
    <t>Depreciation by Year</t>
  </si>
  <si>
    <t>Depreciation on Year 0 Investment</t>
  </si>
  <si>
    <t>Depreciation on Year 1 Investment</t>
  </si>
  <si>
    <t>Depreciation on Year 2 Investment</t>
  </si>
  <si>
    <t>Depreciation on Year 3 Investment</t>
  </si>
  <si>
    <t>Depreciation on Year 4 Investment</t>
  </si>
  <si>
    <t>Grand Total</t>
  </si>
  <si>
    <t>Reinvestment by Year</t>
  </si>
  <si>
    <t>Reinvestment on Year 0 Investment</t>
  </si>
  <si>
    <t>Reinvestment on Year 1 Investment</t>
  </si>
  <si>
    <t>Reinvestment on Year 2 Investment</t>
  </si>
  <si>
    <t>Reinvestment on Year 3 Investment</t>
  </si>
  <si>
    <t>Reinvestment on Year 4 Investment</t>
  </si>
  <si>
    <t>Mr. Amir Artine</t>
  </si>
  <si>
    <t>Flavoured UHT Milk</t>
  </si>
  <si>
    <t>Gas system (in camp)</t>
  </si>
  <si>
    <t>Training</t>
  </si>
  <si>
    <t>Tractor 120_hp (cultivator manure)</t>
  </si>
  <si>
    <t>Operational materials</t>
  </si>
  <si>
    <t>Livestock pens and shed, fully equipped</t>
  </si>
  <si>
    <t>Tractor 120_hp</t>
  </si>
  <si>
    <t>Laboratory, fully equipped</t>
  </si>
  <si>
    <t>5 Mt wagon for feeding</t>
  </si>
  <si>
    <t xml:space="preserve">Mixer wagon </t>
  </si>
  <si>
    <t>Dairy processing plant, fully equipped</t>
  </si>
  <si>
    <t>Rrefrigirated truck, 10Mt</t>
  </si>
  <si>
    <t>Packing materials</t>
  </si>
  <si>
    <t>Marketing</t>
  </si>
  <si>
    <t>Slaughter hous, fully equipped</t>
  </si>
  <si>
    <t>Meat processing plant, fully equipped</t>
  </si>
  <si>
    <t>Beef Farm</t>
  </si>
  <si>
    <t>Beef Processing Facility</t>
  </si>
  <si>
    <t>Meat Processing Assumptions</t>
  </si>
  <si>
    <t>Live/Offal Ratio</t>
  </si>
  <si>
    <t>Production Live</t>
  </si>
  <si>
    <t>Beef Processing</t>
  </si>
  <si>
    <t>Calves Purchasing</t>
  </si>
  <si>
    <t>Lt.</t>
  </si>
  <si>
    <t>Kw</t>
  </si>
  <si>
    <t>Heads/Year</t>
  </si>
  <si>
    <t>Amount (Year 7)</t>
  </si>
  <si>
    <t>Total € (Year 7)</t>
  </si>
  <si>
    <t>Office Expenses</t>
  </si>
  <si>
    <t>Subtotal Beef Processing</t>
  </si>
  <si>
    <t>% of incomes</t>
  </si>
  <si>
    <t>Purchased Feed</t>
  </si>
  <si>
    <t>Mature Calf Weight</t>
  </si>
  <si>
    <t>Skin</t>
  </si>
  <si>
    <t>Carcass</t>
  </si>
  <si>
    <t>Offal</t>
  </si>
  <si>
    <t>Spent Cow Weight</t>
  </si>
  <si>
    <t>Calf Units</t>
  </si>
  <si>
    <t>Spent Cow Units</t>
  </si>
  <si>
    <t>Total Sources</t>
  </si>
  <si>
    <t>Total Uses</t>
  </si>
  <si>
    <t>Beef Operation</t>
  </si>
  <si>
    <t>Total Beef Operation</t>
  </si>
  <si>
    <t>Total Dairy Operation</t>
  </si>
  <si>
    <t>Dairy Operation</t>
  </si>
  <si>
    <t>Field Crop Operation</t>
  </si>
  <si>
    <t>Generators 800 KVA</t>
  </si>
  <si>
    <t>Milk tanker</t>
  </si>
  <si>
    <t>Concrete work / silage bunkers + open working space</t>
  </si>
  <si>
    <t>loader / shovel</t>
  </si>
  <si>
    <t>Milk tanker, 10 m³</t>
  </si>
  <si>
    <t xml:space="preserve">Water Supply System </t>
  </si>
  <si>
    <t>Staff housing, 2 rooms</t>
  </si>
  <si>
    <t>Field crop excess production</t>
  </si>
  <si>
    <t>Corn grain purchase</t>
  </si>
  <si>
    <t>Grain crusher</t>
  </si>
  <si>
    <t>Pregnant heifers</t>
  </si>
  <si>
    <t>Heifers</t>
  </si>
  <si>
    <t>Gos Aich Land</t>
  </si>
  <si>
    <t>Farcha Office</t>
  </si>
  <si>
    <t>Loan Financing</t>
  </si>
  <si>
    <t>Total OPEX</t>
  </si>
  <si>
    <t>Heifers, Land and Infrastructure</t>
  </si>
  <si>
    <t>Establishment Loan</t>
  </si>
  <si>
    <t>Generators 120 KVA</t>
  </si>
  <si>
    <t>Fuel and vehicles maintenance</t>
  </si>
  <si>
    <t>Heifers and Land</t>
  </si>
  <si>
    <t>Real Revenues (Year 12)</t>
  </si>
  <si>
    <t>Real EBITDA (Year 12)</t>
  </si>
  <si>
    <t>ROI (Year 12)</t>
  </si>
  <si>
    <t>Cattle Integration, Baghara, Chad</t>
  </si>
  <si>
    <t>Live/Carcass Ratio</t>
  </si>
  <si>
    <t>Carcass/Meat Ratio</t>
  </si>
  <si>
    <t>Presentation table</t>
  </si>
  <si>
    <t>Electricity Line (2000 m)</t>
  </si>
  <si>
    <t>Trenching &amp; fences (14000 m)</t>
  </si>
  <si>
    <t>Access Road, non paved (3000 m)</t>
  </si>
  <si>
    <t>Engineering, Design and Planning</t>
  </si>
  <si>
    <t>Office HQ</t>
  </si>
  <si>
    <t>Clinic equipment</t>
  </si>
  <si>
    <t>Office equipment</t>
  </si>
  <si>
    <t>Staff housing, 2 rooms equipment</t>
  </si>
  <si>
    <t>Workers housing, dormitory equipment</t>
  </si>
  <si>
    <t>Garage equipment</t>
  </si>
  <si>
    <t>Workshop and spare parts warehouse equipment</t>
  </si>
  <si>
    <t>Field Crop Farm &amp; 3 X 3Moissons Model</t>
  </si>
  <si>
    <t>Vehicles transport</t>
  </si>
  <si>
    <t>Irrigation system &amp; center pivots</t>
  </si>
  <si>
    <t>Construction (local contractor)</t>
  </si>
  <si>
    <t>Flour mill 200 T/day</t>
  </si>
  <si>
    <t>Peanut cleaning and packaging unit</t>
  </si>
  <si>
    <t>Sesame cleaning and packaging unit</t>
  </si>
  <si>
    <t>Arabic gum cleaning and packaging unit</t>
  </si>
  <si>
    <t>Processing of agricultural product &amp; Feed mill</t>
  </si>
  <si>
    <t>Feed mill 120 T/day</t>
  </si>
  <si>
    <t>Refrigirated room &amp; truck, 10Mt</t>
  </si>
  <si>
    <t>Building construction</t>
  </si>
  <si>
    <t>Rrefrigirated equipment</t>
  </si>
  <si>
    <t>Water system &amp; traitement</t>
  </si>
  <si>
    <t>Cattle cuting &amp; deboning</t>
  </si>
  <si>
    <t>HARAZ Agriculture &amp; Industrual Investment Plan</t>
  </si>
  <si>
    <r>
      <t xml:space="preserve">Processing of agricultural product &amp; Feed mill </t>
    </r>
    <r>
      <rPr>
        <sz val="11"/>
        <color rgb="FFFF0000"/>
        <rFont val="Calibri"/>
        <family val="2"/>
      </rPr>
      <t>Feed Center</t>
    </r>
  </si>
  <si>
    <r>
      <t xml:space="preserve">Field Crop Farm &amp; 3 X 3Moissons Model </t>
    </r>
    <r>
      <rPr>
        <sz val="11"/>
        <color rgb="FFFF0000"/>
        <rFont val="Calibri"/>
        <family val="2"/>
      </rPr>
      <t>Field Crop Farm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</si>
</sst>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4">
    <numFmt numFmtId="164" formatCode="&quot;$&quot;#,##0.00_);[Red]\(&quot;$&quot;#,##0.00\)"/>
    <numFmt numFmtId="165" formatCode="_(&quot;$&quot;* #,##0.00_);_(&quot;$&quot;* \(#,##0.00\);_(&quot;$&quot;* &quot;-&quot;??_);_(@_)"/>
    <numFmt numFmtId="166" formatCode="_(* #,##0.00_);_(* \(#,##0.00\);_(* &quot;-&quot;??_);_(@_)"/>
    <numFmt numFmtId="167" formatCode="_ * #,##0.00_ ;_ * \-#,##0.00_ ;_ * &quot;-&quot;??_ ;_ @_ "/>
    <numFmt numFmtId="168" formatCode="_-* #,##0.00_-;\-* #,##0.00_-;_-* &quot;-&quot;??_-;_-@_-"/>
    <numFmt numFmtId="169" formatCode="_ * #,##0_ ;_ * \-#,##0_ ;_ * &quot;-&quot;??_ ;_ @_ "/>
    <numFmt numFmtId="170" formatCode="#,##0;\-#,##0;&quot;-&quot;"/>
    <numFmt numFmtId="171" formatCode="#,##0.00;\-#,##0.00;&quot;-&quot;"/>
    <numFmt numFmtId="172" formatCode="#,##0%;\-#,##0%;&quot;- &quot;"/>
    <numFmt numFmtId="173" formatCode="#,##0.0%;\-#,##0.0%;&quot;- &quot;"/>
    <numFmt numFmtId="174" formatCode="#,##0.00%;\-#,##0.00%;&quot;- &quot;"/>
    <numFmt numFmtId="175" formatCode="#,##0.0;\-#,##0.0;&quot;-&quot;"/>
    <numFmt numFmtId="176" formatCode="#,##0.00;[Red]\(#,##0.00\)"/>
    <numFmt numFmtId="177" formatCode="_-&quot;שח&quot;* #,##0_-;\-&quot;שח&quot;* #,##0_-;_-&quot;שח&quot;* &quot;-&quot;_-;_-@_-"/>
    <numFmt numFmtId="178" formatCode="_-&quot;¤&quot;* #,##0.00_-;\-&quot;¤&quot;* #,##0.00_-;_-&quot;¤&quot;* &quot;-&quot;??_-;_-@_-"/>
    <numFmt numFmtId="179" formatCode="#,##0[$р.-419];[Red]\-#,##0[$р.-419]"/>
    <numFmt numFmtId="180" formatCode="[$€-2]\ #,##0.00;[Red][$€-2]\ \(#,##0.00\)"/>
    <numFmt numFmtId="181" formatCode="#,##0;[Red]\(#,##0\)"/>
    <numFmt numFmtId="182" formatCode="0%;\(0%\)"/>
    <numFmt numFmtId="183" formatCode="\ \ @"/>
    <numFmt numFmtId="184" formatCode="\ \ \ \ @"/>
    <numFmt numFmtId="185" formatCode="0.0%"/>
    <numFmt numFmtId="186" formatCode="[$$-409]#,##0.0_ &quot; M&quot;\ ;[Red]\-[$$-409]#,##0.0\ &quot; M&quot;"/>
    <numFmt numFmtId="187" formatCode="_-&quot;$&quot;* #,##0.00_-;\-&quot;$&quot;* #,##0.00_-;_-&quot;$&quot;* &quot;-&quot;??_-;_-@_-"/>
    <numFmt numFmtId="188" formatCode="[$€-1809]#,##0"/>
    <numFmt numFmtId="189" formatCode="[$€-1809]#,##0.00"/>
    <numFmt numFmtId="190" formatCode="0.0"/>
    <numFmt numFmtId="191" formatCode="dd/mm/yy;@"/>
    <numFmt numFmtId="192" formatCode="0.0000"/>
    <numFmt numFmtId="193" formatCode="[$€-2]\ #,##0.00"/>
    <numFmt numFmtId="194" formatCode="[$€-2]\ #,##0"/>
    <numFmt numFmtId="195" formatCode="#,##0.000000"/>
    <numFmt numFmtId="196" formatCode="[$$-1009]#,##0"/>
    <numFmt numFmtId="197" formatCode="[$$-C09]#,##0.00"/>
    <numFmt numFmtId="198" formatCode="&quot;AZN &quot;#,##0"/>
    <numFmt numFmtId="199" formatCode="[$$-409]#,##0_ ;[Red]\([$$-409]#,##0\)"/>
    <numFmt numFmtId="200" formatCode="0.00000"/>
    <numFmt numFmtId="201" formatCode="#,##0.00000"/>
    <numFmt numFmtId="202" formatCode="[$-1010409]d\ mmmm\ yyyy;@"/>
    <numFmt numFmtId="203" formatCode="[$€-2]\ #,##0.0"/>
    <numFmt numFmtId="204" formatCode="#,##0.000"/>
    <numFmt numFmtId="205" formatCode="[$€-413]\ #,##0"/>
    <numFmt numFmtId="206" formatCode="[$€-2]\ #,##0_);[Red]\([$€-2]\ #,##0\)"/>
    <numFmt numFmtId="207" formatCode="[$€-413]\ #,##0.00"/>
    <numFmt numFmtId="208" formatCode="B1mmm\-yy"/>
    <numFmt numFmtId="209" formatCode="[$-1010409]mmmm\ yyyy;@"/>
    <numFmt numFmtId="210" formatCode="&quot;Year &quot;#0"/>
    <numFmt numFmtId="211" formatCode="_(#,##0_)_%;[Red]_(\(#,##0\)_%;_(&quot;–&quot;_)_%;@_(_%"/>
    <numFmt numFmtId="212" formatCode="yyyy"/>
    <numFmt numFmtId="213" formatCode="_(#,##0&quot; K&quot;_%;[Red]_(\(#,##0&quot; K&quot;\)_%;_(&quot;–&quot;_%;@_(_%"/>
    <numFmt numFmtId="214" formatCode="#.0&quot; Years&quot;"/>
    <numFmt numFmtId="215" formatCode="&quot;Year &quot;0"/>
    <numFmt numFmtId="216" formatCode="#,##0.0;[Red]\(#,##0.0\)"/>
    <numFmt numFmtId="217" formatCode="#,##0.0_);\(#,##0.0\);#,##0.0_);@_)"/>
    <numFmt numFmtId="218" formatCode="#,##0_);\(#,##0\);#,##0_);@_)"/>
    <numFmt numFmtId="219" formatCode="_(#,##0.00_)_%;[Red]_(\(#,##0.00\)_%;_(&quot;–&quot;_)_%;@_(_%"/>
    <numFmt numFmtId="220" formatCode="#,##0;[Red]#,##0"/>
    <numFmt numFmtId="221" formatCode="&quot;Pmt. &quot;0"/>
    <numFmt numFmtId="222" formatCode="&quot;Month &quot;#0"/>
    <numFmt numFmtId="223" formatCode="0.0000%"/>
    <numFmt numFmtId="224" formatCode="0.000%"/>
    <numFmt numFmtId="225" formatCode="_(&quot;€&quot;#,##0_)_%;[Red]_(\(&quot;€&quot;#,##0\)_%;_(&quot;–&quot;_)_%;@_(_%"/>
    <numFmt numFmtId="226" formatCode="0.00000%"/>
    <numFmt numFmtId="227" formatCode="#,##0_-\ [$€-1]"/>
  </numFmts>
  <fonts count="142">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0"/>
      <name val="Arial"/>
      <family val="2"/>
    </font>
    <font>
      <sz val="11"/>
      <color indexed="8"/>
      <name val="Arial"/>
      <family val="2"/>
      <charset val="177"/>
    </font>
    <font>
      <sz val="11"/>
      <color indexed="9"/>
      <name val="Arial"/>
      <family val="2"/>
      <charset val="177"/>
    </font>
    <font>
      <sz val="11"/>
      <color indexed="20"/>
      <name val="Arial"/>
      <family val="2"/>
      <charset val="177"/>
    </font>
    <font>
      <b/>
      <sz val="11"/>
      <color indexed="52"/>
      <name val="Arial"/>
      <family val="2"/>
      <charset val="177"/>
    </font>
    <font>
      <b/>
      <sz val="11"/>
      <color indexed="9"/>
      <name val="Arial"/>
      <family val="2"/>
      <charset val="177"/>
    </font>
    <font>
      <sz val="11"/>
      <color indexed="8"/>
      <name val="Arial"/>
      <family val="2"/>
    </font>
    <font>
      <i/>
      <sz val="11"/>
      <color indexed="23"/>
      <name val="Arial"/>
      <family val="2"/>
      <charset val="177"/>
    </font>
    <font>
      <sz val="11"/>
      <color indexed="17"/>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2"/>
      <name val="Arial"/>
      <family val="2"/>
      <charset val="177"/>
    </font>
    <font>
      <sz val="11"/>
      <color indexed="52"/>
      <name val="Arial"/>
      <family val="2"/>
      <charset val="177"/>
    </font>
    <font>
      <sz val="11"/>
      <color indexed="60"/>
      <name val="Arial"/>
      <family val="2"/>
      <charset val="177"/>
    </font>
    <font>
      <b/>
      <sz val="11"/>
      <color indexed="63"/>
      <name val="Arial"/>
      <family val="2"/>
      <charset val="177"/>
    </font>
    <font>
      <b/>
      <sz val="18"/>
      <color indexed="56"/>
      <name val="Times New Roman"/>
      <family val="2"/>
      <charset val="177"/>
    </font>
    <font>
      <b/>
      <sz val="11"/>
      <color indexed="8"/>
      <name val="Arial"/>
      <family val="2"/>
      <charset val="177"/>
    </font>
    <font>
      <sz val="11"/>
      <color indexed="10"/>
      <name val="Arial"/>
      <family val="2"/>
      <charset val="177"/>
    </font>
    <font>
      <sz val="11"/>
      <color theme="1"/>
      <name val="Arial"/>
      <family val="2"/>
      <charset val="177"/>
    </font>
    <font>
      <sz val="11"/>
      <color theme="1"/>
      <name val="Calibri"/>
      <family val="2"/>
    </font>
    <font>
      <sz val="11"/>
      <color indexed="8"/>
      <name val="宋体"/>
      <charset val="134"/>
    </font>
    <font>
      <sz val="11"/>
      <color indexed="9"/>
      <name val="宋体"/>
      <charset val="134"/>
    </font>
    <font>
      <sz val="10"/>
      <color indexed="8"/>
      <name val="Arial"/>
      <family val="2"/>
      <charset val="177"/>
    </font>
    <font>
      <sz val="10"/>
      <color indexed="8"/>
      <name val="Verdana"/>
      <family val="2"/>
    </font>
    <font>
      <b/>
      <sz val="11"/>
      <color indexed="8"/>
      <name val="Verdana"/>
      <family val="2"/>
    </font>
    <font>
      <b/>
      <sz val="10"/>
      <color indexed="54"/>
      <name val="Verdana"/>
      <family val="2"/>
    </font>
    <font>
      <sz val="10"/>
      <name val="Arial"/>
      <family val="2"/>
      <charset val="177"/>
    </font>
    <font>
      <sz val="10"/>
      <name val="MS Serif"/>
      <family val="1"/>
      <charset val="177"/>
    </font>
    <font>
      <sz val="10"/>
      <color indexed="12"/>
      <name val="Arial"/>
      <family val="2"/>
      <charset val="177"/>
    </font>
    <font>
      <sz val="12"/>
      <name val="Arial (Hebrew)"/>
      <charset val="177"/>
    </font>
    <font>
      <b/>
      <sz val="12"/>
      <name val="Arial"/>
      <family val="2"/>
      <charset val="177"/>
    </font>
    <font>
      <sz val="10"/>
      <color indexed="14"/>
      <name val="Arial"/>
      <family val="2"/>
      <charset val="177"/>
    </font>
    <font>
      <sz val="10"/>
      <name val="MS Sans Serif"/>
      <family val="2"/>
      <charset val="177"/>
    </font>
    <font>
      <sz val="1"/>
      <color theme="3"/>
      <name val="Cambria"/>
      <family val="1"/>
      <scheme val="major"/>
    </font>
    <font>
      <sz val="12"/>
      <name val="Arial"/>
      <family val="2"/>
    </font>
    <font>
      <sz val="12"/>
      <name val="David"/>
      <family val="2"/>
      <charset val="177"/>
    </font>
    <font>
      <sz val="10"/>
      <color indexed="10"/>
      <name val="Arial"/>
      <family val="2"/>
      <charset val="177"/>
    </font>
    <font>
      <sz val="10"/>
      <name val="Arial (Hebrew)"/>
      <family val="2"/>
      <charset val="177"/>
    </font>
    <font>
      <b/>
      <sz val="18"/>
      <color indexed="56"/>
      <name val="Times New Roman"/>
      <family val="1"/>
      <charset val="177"/>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1"/>
      <color rgb="FF000000"/>
      <name val="Calibri"/>
      <family val="2"/>
      <charset val="204"/>
    </font>
    <font>
      <sz val="11"/>
      <color rgb="FF006100"/>
      <name val="Calibri"/>
      <family val="2"/>
      <charset val="177"/>
      <scheme val="minor"/>
    </font>
    <font>
      <sz val="11"/>
      <color rgb="FF9C0006"/>
      <name val="Calibri"/>
      <family val="2"/>
      <charset val="177"/>
      <scheme val="minor"/>
    </font>
    <font>
      <b/>
      <sz val="9"/>
      <color indexed="81"/>
      <name val="Tahoma"/>
      <family val="2"/>
    </font>
    <font>
      <sz val="9"/>
      <color indexed="81"/>
      <name val="Tahoma"/>
      <family val="2"/>
    </font>
    <font>
      <b/>
      <sz val="11"/>
      <color indexed="8"/>
      <name val="Calibri"/>
      <family val="2"/>
    </font>
    <font>
      <b/>
      <sz val="11"/>
      <color rgb="FF0000FF"/>
      <name val="Calibri"/>
      <family val="2"/>
    </font>
    <font>
      <sz val="11"/>
      <name val="Calibri"/>
      <family val="2"/>
    </font>
    <font>
      <sz val="11"/>
      <color indexed="8"/>
      <name val="Calibri"/>
      <family val="2"/>
    </font>
    <font>
      <sz val="11"/>
      <color rgb="FF000000"/>
      <name val="Calibri"/>
      <family val="2"/>
    </font>
    <font>
      <b/>
      <sz val="11"/>
      <name val="Calibri"/>
      <family val="2"/>
    </font>
    <font>
      <b/>
      <sz val="11"/>
      <color theme="0"/>
      <name val="Calibri"/>
      <family val="2"/>
    </font>
    <font>
      <sz val="11"/>
      <color rgb="FF0000FF"/>
      <name val="Calibri"/>
      <family val="2"/>
    </font>
    <font>
      <sz val="11"/>
      <color rgb="FF008000"/>
      <name val="Calibri"/>
      <family val="2"/>
    </font>
    <font>
      <sz val="10"/>
      <name val="Times New Roman"/>
      <family val="1"/>
      <charset val="204"/>
    </font>
    <font>
      <b/>
      <sz val="11"/>
      <color rgb="FF000000"/>
      <name val="Calibri"/>
      <family val="2"/>
    </font>
    <font>
      <b/>
      <sz val="11"/>
      <color theme="1"/>
      <name val="Calibri"/>
      <family val="2"/>
      <scheme val="minor"/>
    </font>
    <font>
      <b/>
      <sz val="10"/>
      <name val="Calibri"/>
      <family val="2"/>
      <scheme val="minor"/>
    </font>
    <font>
      <sz val="10"/>
      <name val="Calibri"/>
      <family val="2"/>
      <scheme val="minor"/>
    </font>
    <font>
      <sz val="10"/>
      <color theme="1"/>
      <name val="Times New Roman"/>
      <family val="1"/>
    </font>
    <font>
      <b/>
      <sz val="10"/>
      <color theme="1"/>
      <name val="Times New Roman"/>
      <family val="1"/>
    </font>
    <font>
      <b/>
      <sz val="10"/>
      <name val="Times New Roman"/>
      <family val="1"/>
    </font>
    <font>
      <b/>
      <sz val="10"/>
      <color rgb="FF0000FF"/>
      <name val="Times New Roman"/>
      <family val="1"/>
    </font>
    <font>
      <b/>
      <sz val="10"/>
      <color theme="1"/>
      <name val="Calibri"/>
      <family val="2"/>
    </font>
    <font>
      <sz val="10"/>
      <name val="Arial"/>
      <family val="2"/>
    </font>
    <font>
      <b/>
      <sz val="10"/>
      <color rgb="FF000000"/>
      <name val="Calibri"/>
      <family val="2"/>
    </font>
    <font>
      <b/>
      <sz val="10"/>
      <color rgb="FF0070C0"/>
      <name val="Calibri"/>
      <family val="2"/>
      <scheme val="minor"/>
    </font>
    <font>
      <b/>
      <sz val="10"/>
      <color indexed="8"/>
      <name val="Calibri"/>
      <family val="2"/>
      <scheme val="minor"/>
    </font>
    <font>
      <sz val="10"/>
      <color theme="1"/>
      <name val="Calibri"/>
      <family val="2"/>
      <charset val="177"/>
      <scheme val="minor"/>
    </font>
    <font>
      <b/>
      <sz val="10"/>
      <name val="Calibri"/>
      <family val="2"/>
      <charset val="177"/>
      <scheme val="minor"/>
    </font>
    <font>
      <sz val="10"/>
      <name val="Calibri"/>
      <family val="2"/>
      <charset val="177"/>
      <scheme val="minor"/>
    </font>
    <font>
      <b/>
      <sz val="20"/>
      <color indexed="8"/>
      <name val="Calibri"/>
      <family val="2"/>
    </font>
    <font>
      <b/>
      <u/>
      <sz val="14"/>
      <color theme="0"/>
      <name val="Calibri"/>
      <family val="2"/>
    </font>
    <font>
      <b/>
      <u/>
      <sz val="14"/>
      <color indexed="8"/>
      <name val="Calibri"/>
      <family val="2"/>
    </font>
    <font>
      <b/>
      <sz val="14"/>
      <color theme="0"/>
      <name val="Calibri"/>
      <family val="2"/>
    </font>
    <font>
      <b/>
      <u/>
      <sz val="14"/>
      <color rgb="FF000000"/>
      <name val="Calibri"/>
      <family val="2"/>
    </font>
    <font>
      <b/>
      <sz val="14"/>
      <color rgb="FF000000"/>
      <name val="Calibri"/>
      <family val="2"/>
    </font>
    <font>
      <b/>
      <sz val="14"/>
      <color rgb="FF008000"/>
      <name val="Calibri"/>
      <family val="2"/>
    </font>
    <font>
      <b/>
      <sz val="14"/>
      <color indexed="8"/>
      <name val="Calibri"/>
      <family val="2"/>
    </font>
    <font>
      <b/>
      <sz val="11"/>
      <color rgb="FFFF0000"/>
      <name val="Calibri"/>
      <family val="2"/>
    </font>
    <font>
      <sz val="8"/>
      <color theme="1"/>
      <name val="Calibri"/>
      <family val="2"/>
    </font>
    <font>
      <sz val="11"/>
      <color rgb="FFFF0000"/>
      <name val="Calibri"/>
      <family val="2"/>
    </font>
    <font>
      <b/>
      <sz val="11"/>
      <name val="Calibri"/>
      <family val="2"/>
      <scheme val="minor"/>
    </font>
    <font>
      <b/>
      <sz val="24"/>
      <color indexed="56"/>
      <name val="Calibri"/>
      <family val="2"/>
    </font>
    <font>
      <b/>
      <sz val="16"/>
      <color indexed="56"/>
      <name val="Calibri"/>
      <family val="2"/>
    </font>
    <font>
      <b/>
      <sz val="13"/>
      <color indexed="56"/>
      <name val="Calibri"/>
      <family val="2"/>
    </font>
    <font>
      <b/>
      <sz val="11"/>
      <color indexed="56"/>
      <name val="Calibri"/>
      <family val="2"/>
    </font>
    <font>
      <b/>
      <sz val="14"/>
      <color indexed="56"/>
      <name val="Calibri"/>
      <family val="2"/>
    </font>
    <font>
      <sz val="16"/>
      <name val="Calibri"/>
      <family val="2"/>
    </font>
    <font>
      <u/>
      <sz val="11"/>
      <color theme="10"/>
      <name val="Calibri"/>
      <family val="2"/>
      <charset val="177"/>
      <scheme val="minor"/>
    </font>
    <font>
      <u/>
      <sz val="11"/>
      <color theme="10"/>
      <name val="Calibri"/>
      <family val="2"/>
    </font>
    <font>
      <b/>
      <sz val="8"/>
      <color theme="1"/>
      <name val="Calibri"/>
      <family val="2"/>
    </font>
    <font>
      <b/>
      <sz val="11"/>
      <color rgb="FF003769"/>
      <name val="Calibri"/>
      <family val="2"/>
    </font>
    <font>
      <b/>
      <sz val="11"/>
      <color rgb="FFFFFFFF"/>
      <name val="Calibri"/>
      <family val="2"/>
    </font>
    <font>
      <b/>
      <sz val="11"/>
      <color rgb="FF800080"/>
      <name val="Calibri"/>
      <family val="2"/>
    </font>
    <font>
      <b/>
      <sz val="11"/>
      <color theme="1"/>
      <name val="Calibri"/>
      <family val="2"/>
    </font>
    <font>
      <sz val="11"/>
      <color theme="3" tint="-0.499984740745262"/>
      <name val="Calibri"/>
      <family val="2"/>
    </font>
    <font>
      <sz val="11"/>
      <color rgb="FF800080"/>
      <name val="Calibri"/>
      <family val="2"/>
    </font>
    <font>
      <sz val="10"/>
      <name val="Arial"/>
      <family val="2"/>
    </font>
    <font>
      <sz val="11"/>
      <name val="Calibri"/>
      <family val="2"/>
      <scheme val="minor"/>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9" tint="0.59999389629810485"/>
        <bgColor indexed="64"/>
      </patternFill>
    </fill>
    <fill>
      <patternFill patternType="solid">
        <fgColor indexed="27"/>
        <bgColor indexed="64"/>
      </patternFill>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rgb="FFFFC7CE"/>
      </patternFill>
    </fill>
    <fill>
      <patternFill patternType="solid">
        <fgColor theme="4"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bgColor indexed="64"/>
      </patternFill>
    </fill>
    <fill>
      <patternFill patternType="solid">
        <fgColor theme="2"/>
        <bgColor indexed="64"/>
      </patternFill>
    </fill>
    <fill>
      <patternFill patternType="solid">
        <fgColor rgb="FF92D050"/>
        <bgColor indexed="64"/>
      </patternFill>
    </fill>
    <fill>
      <patternFill patternType="solid">
        <fgColor rgb="FFFFFF66"/>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3"/>
        <bgColor indexed="64"/>
      </patternFill>
    </fill>
    <fill>
      <patternFill patternType="solid">
        <fgColor theme="3" tint="0.79998168889431442"/>
        <bgColor indexed="64"/>
      </patternFill>
    </fill>
    <fill>
      <patternFill patternType="solid">
        <fgColor theme="0"/>
        <bgColor indexed="64"/>
      </patternFill>
    </fill>
    <fill>
      <patternFill patternType="solid">
        <fgColor rgb="FFDCE6EB"/>
        <bgColor indexed="64"/>
      </patternFill>
    </fill>
    <fill>
      <patternFill patternType="solid">
        <fgColor rgb="FF7896AF"/>
        <bgColor indexed="64"/>
      </patternFill>
    </fill>
    <fill>
      <patternFill patternType="solid">
        <fgColor theme="4" tint="0.59999389629810485"/>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hair">
        <color indexed="64"/>
      </right>
      <top/>
      <bottom/>
      <diagonal/>
    </border>
    <border>
      <left/>
      <right/>
      <top/>
      <bottom style="medium">
        <color indexed="30"/>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indexed="64"/>
      </bottom>
      <diagonal/>
    </border>
    <border>
      <left style="medium">
        <color rgb="FF235A8C"/>
      </left>
      <right/>
      <top style="medium">
        <color rgb="FF235A8C"/>
      </top>
      <bottom/>
      <diagonal/>
    </border>
    <border>
      <left/>
      <right/>
      <top style="medium">
        <color rgb="FF235A8C"/>
      </top>
      <bottom/>
      <diagonal/>
    </border>
    <border>
      <left/>
      <right style="medium">
        <color rgb="FF235A8C"/>
      </right>
      <top style="medium">
        <color rgb="FF235A8C"/>
      </top>
      <bottom/>
      <diagonal/>
    </border>
    <border>
      <left style="medium">
        <color rgb="FF235A8C"/>
      </left>
      <right/>
      <top/>
      <bottom/>
      <diagonal/>
    </border>
    <border>
      <left/>
      <right style="medium">
        <color rgb="FF235A8C"/>
      </right>
      <top/>
      <bottom/>
      <diagonal/>
    </border>
    <border>
      <left style="medium">
        <color rgb="FF235A8C"/>
      </left>
      <right/>
      <top/>
      <bottom style="medium">
        <color rgb="FF235A8C"/>
      </bottom>
      <diagonal/>
    </border>
    <border>
      <left/>
      <right/>
      <top/>
      <bottom style="medium">
        <color rgb="FF235A8C"/>
      </bottom>
      <diagonal/>
    </border>
    <border>
      <left/>
      <right style="medium">
        <color rgb="FF235A8C"/>
      </right>
      <top/>
      <bottom style="medium">
        <color rgb="FF235A8C"/>
      </bottom>
      <diagonal/>
    </border>
    <border>
      <left/>
      <right/>
      <top style="thick">
        <color theme="0"/>
      </top>
      <bottom/>
      <diagonal/>
    </border>
    <border>
      <left/>
      <right/>
      <top style="hair">
        <color auto="1"/>
      </top>
      <bottom style="medium">
        <color rgb="FF235A8C"/>
      </bottom>
      <diagonal/>
    </border>
    <border>
      <left/>
      <right/>
      <top style="thin">
        <color rgb="FFB4C3D2"/>
      </top>
      <bottom style="thin">
        <color rgb="FFB4C3D2"/>
      </bottom>
      <diagonal/>
    </border>
    <border>
      <left/>
      <right/>
      <top style="medium">
        <color rgb="FF235A8C"/>
      </top>
      <bottom style="thin">
        <color rgb="FFB4C3D2"/>
      </bottom>
      <diagonal/>
    </border>
    <border>
      <left style="hair">
        <color auto="1"/>
      </left>
      <right/>
      <top/>
      <bottom style="medium">
        <color rgb="FF235A8C"/>
      </bottom>
      <diagonal/>
    </border>
    <border>
      <left style="hair">
        <color auto="1"/>
      </left>
      <right/>
      <top style="thin">
        <color rgb="FFB4C3D2"/>
      </top>
      <bottom style="thin">
        <color rgb="FFB4C3D2"/>
      </bottom>
      <diagonal/>
    </border>
    <border>
      <left style="hair">
        <color indexed="64"/>
      </left>
      <right/>
      <top/>
      <bottom/>
      <diagonal/>
    </border>
    <border>
      <left/>
      <right/>
      <top style="hair">
        <color auto="1"/>
      </top>
      <bottom style="thin">
        <color rgb="FFB4C3D2"/>
      </bottom>
      <diagonal/>
    </border>
    <border>
      <left style="hair">
        <color auto="1"/>
      </left>
      <right/>
      <top style="hair">
        <color auto="1"/>
      </top>
      <bottom style="thin">
        <color rgb="FFB4C3D2"/>
      </bottom>
      <diagonal/>
    </border>
    <border>
      <left style="hair">
        <color auto="1"/>
      </left>
      <right/>
      <top style="hair">
        <color auto="1"/>
      </top>
      <bottom style="medium">
        <color rgb="FF235A8C"/>
      </bottom>
      <diagonal/>
    </border>
    <border>
      <left/>
      <right style="hair">
        <color auto="1"/>
      </right>
      <top/>
      <bottom style="medium">
        <color rgb="FF235A8C"/>
      </bottom>
      <diagonal/>
    </border>
    <border>
      <left style="thin">
        <color rgb="FFB4C3D2"/>
      </left>
      <right/>
      <top style="thin">
        <color rgb="FFB4C3D2"/>
      </top>
      <bottom style="thin">
        <color rgb="FFB4C3D2"/>
      </bottom>
      <diagonal/>
    </border>
    <border>
      <left/>
      <right style="hair">
        <color auto="1"/>
      </right>
      <top style="medium">
        <color rgb="FF235A8C"/>
      </top>
      <bottom style="thin">
        <color rgb="FFB4C3D2"/>
      </bottom>
      <diagonal/>
    </border>
    <border>
      <left/>
      <right style="hair">
        <color auto="1"/>
      </right>
      <top style="thin">
        <color rgb="FFB4C3D2"/>
      </top>
      <bottom style="thin">
        <color rgb="FFB4C3D2"/>
      </bottom>
      <diagonal/>
    </border>
    <border>
      <left style="thin">
        <color rgb="FFB4C3D2"/>
      </left>
      <right/>
      <top style="thin">
        <color rgb="FFB4C3D2"/>
      </top>
      <bottom/>
      <diagonal/>
    </border>
    <border>
      <left/>
      <right/>
      <top style="thin">
        <color rgb="FFB4C3D2"/>
      </top>
      <bottom/>
      <diagonal/>
    </border>
    <border>
      <left/>
      <right style="hair">
        <color auto="1"/>
      </right>
      <top style="thin">
        <color rgb="FFB4C3D2"/>
      </top>
      <bottom/>
      <diagonal/>
    </border>
    <border>
      <left style="hair">
        <color rgb="FFB4C3D2"/>
      </left>
      <right style="hair">
        <color rgb="FFB4C3D2"/>
      </right>
      <top style="thin">
        <color rgb="FFB4C3D2"/>
      </top>
      <bottom style="medium">
        <color rgb="FF235A8C"/>
      </bottom>
      <diagonal/>
    </border>
    <border>
      <left style="hair">
        <color rgb="FFB4C3D2"/>
      </left>
      <right style="hair">
        <color rgb="FFB4C3D2"/>
      </right>
      <top/>
      <bottom/>
      <diagonal/>
    </border>
    <border>
      <left style="hair">
        <color rgb="FFB4C3D2"/>
      </left>
      <right style="hair">
        <color rgb="FFB4C3D2"/>
      </right>
      <top/>
      <bottom style="medium">
        <color rgb="FF235A8C"/>
      </bottom>
      <diagonal/>
    </border>
    <border>
      <left/>
      <right/>
      <top style="hair">
        <color auto="1"/>
      </top>
      <bottom/>
      <diagonal/>
    </border>
    <border>
      <left/>
      <right/>
      <top style="medium">
        <color rgb="FF235A8C"/>
      </top>
      <bottom style="medium">
        <color rgb="FF235A8C"/>
      </bottom>
      <diagonal/>
    </border>
    <border>
      <left style="thin">
        <color rgb="FFB4C3D2"/>
      </left>
      <right/>
      <top/>
      <bottom style="thin">
        <color rgb="FFB4C3D2"/>
      </bottom>
      <diagonal/>
    </border>
    <border>
      <left/>
      <right/>
      <top/>
      <bottom style="thin">
        <color rgb="FFB4C3D2"/>
      </bottom>
      <diagonal/>
    </border>
  </borders>
  <cellStyleXfs count="558">
    <xf numFmtId="0" fontId="0"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7" fillId="23" borderId="7" applyNumberFormat="0" applyFont="0" applyAlignment="0" applyProtection="0"/>
    <xf numFmtId="0" fontId="31" fillId="20" borderId="1" applyNumberFormat="0" applyAlignment="0" applyProtection="0"/>
    <xf numFmtId="0" fontId="35" fillId="4" borderId="0" applyNumberFormat="0" applyBorder="0" applyAlignment="0" applyProtection="0"/>
    <xf numFmtId="0" fontId="45" fillId="0" borderId="0" applyNumberFormat="0" applyFill="0" applyBorder="0" applyAlignment="0" applyProtection="0"/>
    <xf numFmtId="0" fontId="34" fillId="0" borderId="0" applyNumberFormat="0" applyFill="0" applyBorder="0" applyAlignment="0" applyProtection="0"/>
    <xf numFmtId="0" fontId="43" fillId="0" borderId="0" applyNumberFormat="0" applyFill="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5" applyNumberFormat="0" applyFill="0" applyAlignment="0" applyProtection="0"/>
    <xf numFmtId="0" fontId="38" fillId="0" borderId="0" applyNumberFormat="0" applyFill="0" applyBorder="0" applyAlignment="0" applyProtection="0"/>
    <xf numFmtId="0" fontId="41" fillId="22" borderId="0" applyNumberFormat="0" applyBorder="0" applyAlignment="0" applyProtection="0"/>
    <xf numFmtId="0" fontId="44" fillId="0" borderId="9" applyNumberFormat="0" applyFill="0" applyAlignment="0" applyProtection="0"/>
    <xf numFmtId="0" fontId="42" fillId="20" borderId="8" applyNumberFormat="0" applyAlignment="0" applyProtection="0"/>
    <xf numFmtId="0" fontId="39" fillId="7" borderId="1" applyNumberFormat="0" applyAlignment="0" applyProtection="0"/>
    <xf numFmtId="0" fontId="30" fillId="3" borderId="0" applyNumberFormat="0" applyBorder="0" applyAlignment="0" applyProtection="0"/>
    <xf numFmtId="0" fontId="32" fillId="21" borderId="2" applyNumberFormat="0" applyAlignment="0" applyProtection="0"/>
    <xf numFmtId="0" fontId="40" fillId="0" borderId="6" applyNumberFormat="0" applyFill="0" applyAlignment="0" applyProtection="0"/>
    <xf numFmtId="0" fontId="46" fillId="0" borderId="0"/>
    <xf numFmtId="167" fontId="28" fillId="0" borderId="0" applyFont="0" applyFill="0" applyBorder="0" applyAlignment="0" applyProtection="0"/>
    <xf numFmtId="9" fontId="28" fillId="0" borderId="0" applyFont="0" applyFill="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6" fillId="23" borderId="7" applyNumberFormat="0" applyFont="0" applyAlignment="0" applyProtection="0"/>
    <xf numFmtId="0" fontId="31" fillId="20" borderId="1" applyNumberFormat="0" applyAlignment="0" applyProtection="0"/>
    <xf numFmtId="0" fontId="35" fillId="4" borderId="0" applyNumberFormat="0" applyBorder="0" applyAlignment="0" applyProtection="0"/>
    <xf numFmtId="0" fontId="45" fillId="0" borderId="0" applyNumberFormat="0" applyFill="0" applyBorder="0" applyAlignment="0" applyProtection="0"/>
    <xf numFmtId="0" fontId="34" fillId="0" borderId="0" applyNumberFormat="0" applyFill="0" applyBorder="0" applyAlignment="0" applyProtection="0"/>
    <xf numFmtId="0" fontId="43" fillId="0" borderId="0" applyNumberFormat="0" applyFill="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5" applyNumberFormat="0" applyFill="0" applyAlignment="0" applyProtection="0"/>
    <xf numFmtId="0" fontId="38" fillId="0" borderId="0" applyNumberFormat="0" applyFill="0" applyBorder="0" applyAlignment="0" applyProtection="0"/>
    <xf numFmtId="0" fontId="41" fillId="22" borderId="0" applyNumberFormat="0" applyBorder="0" applyAlignment="0" applyProtection="0"/>
    <xf numFmtId="0" fontId="44" fillId="0" borderId="9" applyNumberFormat="0" applyFill="0" applyAlignment="0" applyProtection="0"/>
    <xf numFmtId="0" fontId="42" fillId="20" borderId="8" applyNumberFormat="0" applyAlignment="0" applyProtection="0"/>
    <xf numFmtId="0" fontId="39" fillId="7" borderId="1" applyNumberFormat="0" applyAlignment="0" applyProtection="0"/>
    <xf numFmtId="0" fontId="30" fillId="3" borderId="0" applyNumberFormat="0" applyBorder="0" applyAlignment="0" applyProtection="0"/>
    <xf numFmtId="0" fontId="32" fillId="21" borderId="2" applyNumberFormat="0" applyAlignment="0" applyProtection="0"/>
    <xf numFmtId="0" fontId="40" fillId="0" borderId="6" applyNumberFormat="0" applyFill="0" applyAlignment="0" applyProtection="0"/>
    <xf numFmtId="167" fontId="28" fillId="0" borderId="0" applyFont="0" applyFill="0" applyBorder="0" applyAlignment="0" applyProtection="0"/>
    <xf numFmtId="0" fontId="26" fillId="0" borderId="0"/>
    <xf numFmtId="0" fontId="26" fillId="0" borderId="0"/>
    <xf numFmtId="0" fontId="26" fillId="0" borderId="0"/>
    <xf numFmtId="0" fontId="48" fillId="2" borderId="0" applyNumberFormat="0" applyBorder="0" applyAlignment="0" applyProtection="0">
      <alignment vertical="center"/>
    </xf>
    <xf numFmtId="0" fontId="48" fillId="3" borderId="0" applyNumberFormat="0" applyBorder="0" applyAlignment="0" applyProtection="0">
      <alignment vertical="center"/>
    </xf>
    <xf numFmtId="0" fontId="48" fillId="4" borderId="0" applyNumberFormat="0" applyBorder="0" applyAlignment="0" applyProtection="0">
      <alignment vertical="center"/>
    </xf>
    <xf numFmtId="0" fontId="48" fillId="5" borderId="0" applyNumberFormat="0" applyBorder="0" applyAlignment="0" applyProtection="0">
      <alignment vertical="center"/>
    </xf>
    <xf numFmtId="0" fontId="48" fillId="6" borderId="0" applyNumberFormat="0" applyBorder="0" applyAlignment="0" applyProtection="0">
      <alignment vertical="center"/>
    </xf>
    <xf numFmtId="0" fontId="48" fillId="7" borderId="0" applyNumberFormat="0" applyBorder="0" applyAlignment="0" applyProtection="0">
      <alignment vertical="center"/>
    </xf>
    <xf numFmtId="0" fontId="48" fillId="8" borderId="0" applyNumberFormat="0" applyBorder="0" applyAlignment="0" applyProtection="0">
      <alignment vertical="center"/>
    </xf>
    <xf numFmtId="0" fontId="48" fillId="9" borderId="0" applyNumberFormat="0" applyBorder="0" applyAlignment="0" applyProtection="0">
      <alignment vertical="center"/>
    </xf>
    <xf numFmtId="0" fontId="48" fillId="10" borderId="0" applyNumberFormat="0" applyBorder="0" applyAlignment="0" applyProtection="0">
      <alignment vertical="center"/>
    </xf>
    <xf numFmtId="0" fontId="48" fillId="5" borderId="0" applyNumberFormat="0" applyBorder="0" applyAlignment="0" applyProtection="0">
      <alignment vertical="center"/>
    </xf>
    <xf numFmtId="0" fontId="48" fillId="8"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9" borderId="0" applyNumberFormat="0" applyBorder="0" applyAlignment="0" applyProtection="0">
      <alignment vertical="center"/>
    </xf>
    <xf numFmtId="0" fontId="49" fillId="10"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170" fontId="50" fillId="0" borderId="0" applyFill="0" applyBorder="0" applyAlignment="0"/>
    <xf numFmtId="171" fontId="50" fillId="0" borderId="0" applyFill="0" applyBorder="0" applyAlignment="0"/>
    <xf numFmtId="172" fontId="50" fillId="0" borderId="0" applyFill="0" applyBorder="0" applyAlignment="0"/>
    <xf numFmtId="173" fontId="50" fillId="0" borderId="0" applyFill="0" applyBorder="0" applyAlignment="0"/>
    <xf numFmtId="174" fontId="50" fillId="0" borderId="0" applyFill="0" applyBorder="0" applyAlignment="0"/>
    <xf numFmtId="170" fontId="50" fillId="0" borderId="0" applyFill="0" applyBorder="0" applyAlignment="0"/>
    <xf numFmtId="175" fontId="50" fillId="0" borderId="0" applyFill="0" applyBorder="0" applyAlignment="0"/>
    <xf numFmtId="171" fontId="50" fillId="0" borderId="0" applyFill="0" applyBorder="0" applyAlignment="0"/>
    <xf numFmtId="1" fontId="51" fillId="26" borderId="10">
      <alignment horizontal="right" vertical="center" indent="1"/>
    </xf>
    <xf numFmtId="0" fontId="52" fillId="27" borderId="10">
      <alignment horizontal="center" vertical="center"/>
    </xf>
    <xf numFmtId="1" fontId="51" fillId="24" borderId="10">
      <alignment horizontal="right" vertical="center" indent="1"/>
    </xf>
    <xf numFmtId="0" fontId="26" fillId="24" borderId="0"/>
    <xf numFmtId="0" fontId="53" fillId="24" borderId="10">
      <alignment horizontal="left" vertical="center" indent="1"/>
    </xf>
    <xf numFmtId="0" fontId="52" fillId="28" borderId="10">
      <alignment horizontal="left" vertical="center" indent="1"/>
    </xf>
    <xf numFmtId="170" fontId="54" fillId="0" borderId="0" applyFont="0" applyFill="0" applyBorder="0" applyAlignment="0" applyProtection="0"/>
    <xf numFmtId="166" fontId="26" fillId="0" borderId="0" applyFont="0" applyFill="0" applyBorder="0" applyAlignment="0" applyProtection="0"/>
    <xf numFmtId="176" fontId="26" fillId="0" borderId="0" applyFont="0" applyFill="0" applyBorder="0" applyAlignment="0" applyProtection="0"/>
    <xf numFmtId="167" fontId="28" fillId="0" borderId="0" applyFont="0" applyFill="0" applyBorder="0" applyAlignment="0" applyProtection="0"/>
    <xf numFmtId="167" fontId="26" fillId="0" borderId="0" applyFont="0" applyFill="0" applyBorder="0" applyAlignment="0" applyProtection="0"/>
    <xf numFmtId="168" fontId="26" fillId="0" borderId="0" applyFont="0" applyFill="0" applyBorder="0" applyAlignment="0" applyProtection="0"/>
    <xf numFmtId="167" fontId="25" fillId="0" borderId="0" applyFont="0" applyFill="0" applyBorder="0" applyAlignment="0" applyProtection="0"/>
    <xf numFmtId="166" fontId="33" fillId="0" borderId="0" applyFont="0" applyFill="0" applyBorder="0" applyAlignment="0" applyProtection="0"/>
    <xf numFmtId="177" fontId="55" fillId="0" borderId="0" applyFont="0" applyFill="0" applyBorder="0" applyAlignment="0" applyProtection="0"/>
    <xf numFmtId="171" fontId="54"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65" fontId="46" fillId="0" borderId="0" applyFont="0" applyFill="0" applyBorder="0" applyAlignment="0" applyProtection="0"/>
    <xf numFmtId="178" fontId="26" fillId="0" borderId="0" applyFont="0" applyFill="0" applyBorder="0" applyAlignment="0" applyProtection="0"/>
    <xf numFmtId="14" fontId="50" fillId="0" borderId="0" applyFill="0" applyBorder="0" applyAlignment="0"/>
    <xf numFmtId="170" fontId="56" fillId="0" borderId="0" applyFill="0" applyBorder="0" applyAlignment="0"/>
    <xf numFmtId="171" fontId="56" fillId="0" borderId="0" applyFill="0" applyBorder="0" applyAlignment="0"/>
    <xf numFmtId="170" fontId="56" fillId="0" borderId="0" applyFill="0" applyBorder="0" applyAlignment="0"/>
    <xf numFmtId="175" fontId="56" fillId="0" borderId="0" applyFill="0" applyBorder="0" applyAlignment="0"/>
    <xf numFmtId="171" fontId="56" fillId="0" borderId="0" applyFill="0" applyBorder="0" applyAlignment="0"/>
    <xf numFmtId="179" fontId="57" fillId="0" borderId="0" applyFont="0" applyFill="0" applyBorder="0" applyAlignment="0" applyProtection="0"/>
    <xf numFmtId="0" fontId="58" fillId="0" borderId="15" applyNumberFormat="0" applyAlignment="0" applyProtection="0">
      <alignment horizontal="left" vertical="center"/>
    </xf>
    <xf numFmtId="0" fontId="58" fillId="0" borderId="14">
      <alignment horizontal="left" vertical="center"/>
    </xf>
    <xf numFmtId="170" fontId="59" fillId="0" borderId="0" applyFill="0" applyBorder="0" applyAlignment="0"/>
    <xf numFmtId="171" fontId="59" fillId="0" borderId="0" applyFill="0" applyBorder="0" applyAlignment="0"/>
    <xf numFmtId="170" fontId="59" fillId="0" borderId="0" applyFill="0" applyBorder="0" applyAlignment="0"/>
    <xf numFmtId="175" fontId="59" fillId="0" borderId="0" applyFill="0" applyBorder="0" applyAlignment="0"/>
    <xf numFmtId="171" fontId="59" fillId="0" borderId="0" applyFill="0" applyBorder="0" applyAlignment="0"/>
    <xf numFmtId="0" fontId="60" fillId="0" borderId="0" applyNumberFormat="0">
      <alignment horizontal="left"/>
    </xf>
    <xf numFmtId="0" fontId="25" fillId="0" borderId="0"/>
    <xf numFmtId="0" fontId="33" fillId="0" borderId="0"/>
    <xf numFmtId="0" fontId="25" fillId="0" borderId="0"/>
    <xf numFmtId="0" fontId="46" fillId="0" borderId="0"/>
    <xf numFmtId="38" fontId="26" fillId="0" borderId="0"/>
    <xf numFmtId="179" fontId="26" fillId="0" borderId="0"/>
    <xf numFmtId="180" fontId="57" fillId="0" borderId="0"/>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180" fontId="57" fillId="0" borderId="0"/>
    <xf numFmtId="181" fontId="62" fillId="0" borderId="0"/>
    <xf numFmtId="180" fontId="57" fillId="0" borderId="0"/>
    <xf numFmtId="0" fontId="26" fillId="0" borderId="0"/>
    <xf numFmtId="174" fontId="54" fillId="0" borderId="0" applyFont="0" applyFill="0" applyBorder="0" applyAlignment="0" applyProtection="0"/>
    <xf numFmtId="182" fontId="54" fillId="0" borderId="0" applyFont="0" applyFill="0" applyBorder="0" applyAlignment="0" applyProtection="0"/>
    <xf numFmtId="9" fontId="63" fillId="0" borderId="0" applyFont="0" applyFill="0" applyBorder="0" applyAlignment="0" applyProtection="0"/>
    <xf numFmtId="9" fontId="46" fillId="0" borderId="0" applyFont="0" applyFill="0" applyBorder="0" applyAlignment="0" applyProtection="0"/>
    <xf numFmtId="9" fontId="26" fillId="0" borderId="0" applyFont="0" applyFill="0" applyBorder="0" applyAlignment="0" applyProtection="0"/>
    <xf numFmtId="9" fontId="28" fillId="0" borderId="0" applyFont="0" applyFill="0" applyBorder="0" applyAlignment="0" applyProtection="0"/>
    <xf numFmtId="9" fontId="25" fillId="0" borderId="0" applyFont="0" applyFill="0" applyBorder="0" applyAlignment="0" applyProtection="0"/>
    <xf numFmtId="9" fontId="33" fillId="0" borderId="0" applyFont="0" applyFill="0" applyBorder="0" applyAlignment="0" applyProtection="0"/>
    <xf numFmtId="170" fontId="64" fillId="0" borderId="0" applyFill="0" applyBorder="0" applyAlignment="0"/>
    <xf numFmtId="171" fontId="64" fillId="0" borderId="0" applyFill="0" applyBorder="0" applyAlignment="0"/>
    <xf numFmtId="170" fontId="64" fillId="0" borderId="0" applyFill="0" applyBorder="0" applyAlignment="0"/>
    <xf numFmtId="175" fontId="64" fillId="0" borderId="0" applyFill="0" applyBorder="0" applyAlignment="0"/>
    <xf numFmtId="171" fontId="64" fillId="0" borderId="0" applyFill="0" applyBorder="0" applyAlignment="0"/>
    <xf numFmtId="9" fontId="65" fillId="0" borderId="0">
      <alignment readingOrder="1"/>
    </xf>
    <xf numFmtId="49" fontId="50" fillId="0" borderId="0" applyFill="0" applyBorder="0" applyAlignment="0"/>
    <xf numFmtId="183" fontId="50" fillId="0" borderId="0" applyFill="0" applyBorder="0" applyAlignment="0"/>
    <xf numFmtId="184" fontId="50" fillId="0" borderId="0" applyFill="0" applyBorder="0" applyAlignment="0"/>
    <xf numFmtId="0" fontId="26" fillId="23" borderId="7" applyNumberFormat="0" applyFont="0" applyAlignment="0" applyProtection="0"/>
    <xf numFmtId="0" fontId="66" fillId="0" borderId="0" applyNumberFormat="0" applyFill="0" applyBorder="0" applyAlignment="0" applyProtection="0"/>
    <xf numFmtId="0" fontId="67" fillId="4" borderId="0" applyNumberFormat="0" applyBorder="0" applyAlignment="0" applyProtection="0">
      <alignment vertical="center"/>
    </xf>
    <xf numFmtId="0" fontId="68" fillId="3"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9" fillId="18"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49" fillId="19" borderId="0" applyNumberFormat="0" applyBorder="0" applyAlignment="0" applyProtection="0">
      <alignment vertical="center"/>
    </xf>
    <xf numFmtId="0" fontId="69" fillId="0" borderId="0" applyNumberFormat="0" applyFill="0" applyBorder="0" applyAlignment="0" applyProtection="0">
      <alignment vertical="center"/>
    </xf>
    <xf numFmtId="0" fontId="70" fillId="0" borderId="3" applyNumberFormat="0" applyFill="0" applyAlignment="0" applyProtection="0">
      <alignment vertical="center"/>
    </xf>
    <xf numFmtId="0" fontId="71" fillId="0" borderId="4" applyNumberFormat="0" applyFill="0" applyAlignment="0" applyProtection="0">
      <alignment vertical="center"/>
    </xf>
    <xf numFmtId="0" fontId="72" fillId="0" borderId="5" applyNumberFormat="0" applyFill="0" applyAlignment="0" applyProtection="0">
      <alignment vertical="center"/>
    </xf>
    <xf numFmtId="0" fontId="72" fillId="0" borderId="0" applyNumberFormat="0" applyFill="0" applyBorder="0" applyAlignment="0" applyProtection="0">
      <alignment vertical="center"/>
    </xf>
    <xf numFmtId="0" fontId="73" fillId="21" borderId="2" applyNumberFormat="0" applyAlignment="0" applyProtection="0">
      <alignment vertical="center"/>
    </xf>
    <xf numFmtId="0" fontId="74" fillId="0" borderId="9" applyNumberFormat="0" applyFill="0" applyAlignment="0" applyProtection="0">
      <alignment vertical="center"/>
    </xf>
    <xf numFmtId="0" fontId="33" fillId="23" borderId="7"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20" borderId="1" applyNumberFormat="0" applyAlignment="0" applyProtection="0">
      <alignment vertical="center"/>
    </xf>
    <xf numFmtId="0" fontId="78" fillId="7" borderId="1" applyNumberFormat="0" applyAlignment="0" applyProtection="0">
      <alignment vertical="center"/>
    </xf>
    <xf numFmtId="0" fontId="79" fillId="20" borderId="8" applyNumberFormat="0" applyAlignment="0" applyProtection="0">
      <alignment vertical="center"/>
    </xf>
    <xf numFmtId="0" fontId="80" fillId="22" borderId="0" applyNumberFormat="0" applyBorder="0" applyAlignment="0" applyProtection="0">
      <alignment vertical="center"/>
    </xf>
    <xf numFmtId="0" fontId="81" fillId="0" borderId="6" applyNumberFormat="0" applyFill="0" applyAlignment="0" applyProtection="0">
      <alignment vertical="center"/>
    </xf>
    <xf numFmtId="0" fontId="24" fillId="0" borderId="0"/>
    <xf numFmtId="167" fontId="24" fillId="0" borderId="0" applyFont="0" applyFill="0" applyBorder="0" applyAlignment="0" applyProtection="0"/>
    <xf numFmtId="9" fontId="28" fillId="0" borderId="0" applyFont="0" applyFill="0" applyBorder="0" applyAlignment="0" applyProtection="0"/>
    <xf numFmtId="167" fontId="23" fillId="0" borderId="0" applyFont="0" applyFill="0" applyBorder="0" applyAlignment="0" applyProtection="0"/>
    <xf numFmtId="0" fontId="22" fillId="0" borderId="0"/>
    <xf numFmtId="9" fontId="22" fillId="0" borderId="0" applyFont="0" applyFill="0" applyBorder="0" applyAlignment="0" applyProtection="0"/>
    <xf numFmtId="167" fontId="46" fillId="0" borderId="0" applyFont="0" applyFill="0" applyBorder="0" applyAlignment="0" applyProtection="0"/>
    <xf numFmtId="9" fontId="26" fillId="0" borderId="0" applyFont="0" applyFill="0" applyBorder="0" applyAlignment="0" applyProtection="0"/>
    <xf numFmtId="186" fontId="26" fillId="0" borderId="0"/>
    <xf numFmtId="187" fontId="26" fillId="0" borderId="0" applyFont="0" applyFill="0" applyBorder="0" applyAlignment="0" applyProtection="0"/>
    <xf numFmtId="0" fontId="21" fillId="0" borderId="0"/>
    <xf numFmtId="0" fontId="21" fillId="0" borderId="0"/>
    <xf numFmtId="0" fontId="21" fillId="0" borderId="0"/>
    <xf numFmtId="9" fontId="28" fillId="0" borderId="0" applyFont="0" applyFill="0" applyBorder="0" applyAlignment="0" applyProtection="0"/>
    <xf numFmtId="9" fontId="21" fillId="0" borderId="0" applyFont="0" applyFill="0" applyBorder="0" applyAlignment="0" applyProtection="0"/>
    <xf numFmtId="167" fontId="28" fillId="0" borderId="0" applyFont="0" applyFill="0" applyBorder="0" applyAlignment="0" applyProtection="0"/>
    <xf numFmtId="164" fontId="57" fillId="0" borderId="0"/>
    <xf numFmtId="0" fontId="21" fillId="0" borderId="0"/>
    <xf numFmtId="167" fontId="21" fillId="0" borderId="0" applyFont="0" applyFill="0" applyBorder="0" applyAlignment="0" applyProtection="0"/>
    <xf numFmtId="167" fontId="22" fillId="0" borderId="0" applyFont="0" applyFill="0" applyBorder="0" applyAlignment="0" applyProtection="0"/>
    <xf numFmtId="168" fontId="47" fillId="0" borderId="0" applyFont="0" applyFill="0" applyBorder="0" applyAlignment="0" applyProtection="0"/>
    <xf numFmtId="168" fontId="47" fillId="0" borderId="0" applyFont="0" applyFill="0" applyBorder="0" applyAlignment="0" applyProtection="0"/>
    <xf numFmtId="168" fontId="47" fillId="0" borderId="0" applyFont="0" applyFill="0" applyBorder="0" applyAlignment="0" applyProtection="0"/>
    <xf numFmtId="167" fontId="22" fillId="0" borderId="0" applyFont="0" applyFill="0" applyBorder="0" applyAlignment="0" applyProtection="0"/>
    <xf numFmtId="168" fontId="21" fillId="0" borderId="0" applyFont="0" applyFill="0" applyBorder="0" applyAlignment="0" applyProtection="0"/>
    <xf numFmtId="167" fontId="21" fillId="0" borderId="0" applyFont="0" applyFill="0" applyBorder="0" applyAlignment="0" applyProtection="0"/>
    <xf numFmtId="166" fontId="26" fillId="0" borderId="0" applyFont="0" applyFill="0" applyBorder="0" applyAlignment="0" applyProtection="0"/>
    <xf numFmtId="168" fontId="21" fillId="0" borderId="0" applyFont="0" applyFill="0" applyBorder="0" applyAlignment="0" applyProtection="0"/>
    <xf numFmtId="167" fontId="22" fillId="0" borderId="0" applyFont="0" applyFill="0" applyBorder="0" applyAlignment="0" applyProtection="0"/>
    <xf numFmtId="0" fontId="22" fillId="0" borderId="0"/>
    <xf numFmtId="0" fontId="22" fillId="0" borderId="0"/>
    <xf numFmtId="0" fontId="47" fillId="0" borderId="0"/>
    <xf numFmtId="0" fontId="47" fillId="0" borderId="0"/>
    <xf numFmtId="0" fontId="47" fillId="0" borderId="0"/>
    <xf numFmtId="0" fontId="47" fillId="0" borderId="0"/>
    <xf numFmtId="0" fontId="47" fillId="0" borderId="0"/>
    <xf numFmtId="0" fontId="47" fillId="0" borderId="0"/>
    <xf numFmtId="0" fontId="26" fillId="0" borderId="0"/>
    <xf numFmtId="0" fontId="82" fillId="0" borderId="0"/>
    <xf numFmtId="0" fontId="22" fillId="0" borderId="0"/>
    <xf numFmtId="0" fontId="47" fillId="0" borderId="0"/>
    <xf numFmtId="0" fontId="21" fillId="0" borderId="0"/>
    <xf numFmtId="0" fontId="22" fillId="0" borderId="0"/>
    <xf numFmtId="0" fontId="22" fillId="0" borderId="0"/>
    <xf numFmtId="0" fontId="21" fillId="0" borderId="0"/>
    <xf numFmtId="9" fontId="22" fillId="0" borderId="0" applyFont="0" applyFill="0" applyBorder="0" applyAlignment="0" applyProtection="0"/>
    <xf numFmtId="9" fontId="47" fillId="0" borderId="0" applyFont="0" applyFill="0" applyBorder="0" applyAlignment="0" applyProtection="0"/>
    <xf numFmtId="9" fontId="22"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47" fillId="0" borderId="0" applyFont="0" applyFill="0" applyBorder="0" applyAlignment="0" applyProtection="0"/>
    <xf numFmtId="0" fontId="83" fillId="29" borderId="0" applyNumberFormat="0" applyBorder="0" applyAlignment="0" applyProtection="0"/>
    <xf numFmtId="0" fontId="84" fillId="30" borderId="0" applyNumberFormat="0" applyBorder="0" applyAlignment="0" applyProtection="0"/>
    <xf numFmtId="0" fontId="20" fillId="0" borderId="0"/>
    <xf numFmtId="0" fontId="20" fillId="0" borderId="0"/>
    <xf numFmtId="0" fontId="19" fillId="0" borderId="0"/>
    <xf numFmtId="0" fontId="19" fillId="0" borderId="0"/>
    <xf numFmtId="167" fontId="26" fillId="0" borderId="0" applyFont="0" applyFill="0" applyBorder="0" applyAlignment="0" applyProtection="0"/>
    <xf numFmtId="0" fontId="26" fillId="0" borderId="0"/>
    <xf numFmtId="0" fontId="19" fillId="0" borderId="0"/>
    <xf numFmtId="9" fontId="19" fillId="0" borderId="0" applyFont="0" applyFill="0" applyBorder="0" applyAlignment="0" applyProtection="0"/>
    <xf numFmtId="0" fontId="19" fillId="0" borderId="0"/>
    <xf numFmtId="167" fontId="19" fillId="0" borderId="0" applyFont="0" applyFill="0" applyBorder="0" applyAlignment="0" applyProtection="0"/>
    <xf numFmtId="0" fontId="19" fillId="0" borderId="0"/>
    <xf numFmtId="165" fontId="22" fillId="0" borderId="0" applyFont="0" applyFill="0" applyBorder="0" applyAlignment="0" applyProtection="0"/>
    <xf numFmtId="0" fontId="18" fillId="0" borderId="0"/>
    <xf numFmtId="0" fontId="17" fillId="0" borderId="0"/>
    <xf numFmtId="9" fontId="18" fillId="0" borderId="0" applyFont="0" applyFill="0" applyBorder="0" applyAlignment="0" applyProtection="0"/>
    <xf numFmtId="0" fontId="18" fillId="0" borderId="0"/>
    <xf numFmtId="0" fontId="26" fillId="0" borderId="0"/>
    <xf numFmtId="166" fontId="18" fillId="0" borderId="0" applyFont="0" applyFill="0" applyBorder="0" applyAlignment="0" applyProtection="0"/>
    <xf numFmtId="0" fontId="18" fillId="0" borderId="0"/>
    <xf numFmtId="9" fontId="18" fillId="0" borderId="0" applyFont="0" applyFill="0" applyBorder="0" applyAlignment="0" applyProtection="0"/>
    <xf numFmtId="0" fontId="96" fillId="0" borderId="0" applyNumberFormat="0" applyFill="0" applyBorder="0" applyProtection="0">
      <alignment vertical="top" wrapText="1"/>
    </xf>
    <xf numFmtId="0" fontId="28" fillId="0" borderId="0"/>
    <xf numFmtId="9" fontId="17" fillId="0" borderId="0" applyFont="0" applyFill="0" applyBorder="0" applyAlignment="0" applyProtection="0"/>
    <xf numFmtId="0" fontId="17" fillId="0" borderId="0"/>
    <xf numFmtId="0" fontId="17" fillId="0" borderId="0"/>
    <xf numFmtId="9" fontId="96" fillId="0" borderId="0" applyFont="0" applyFill="0" applyBorder="0" applyAlignment="0" applyProtection="0"/>
    <xf numFmtId="167" fontId="17" fillId="0" borderId="0" applyFont="0" applyFill="0" applyBorder="0" applyAlignment="0" applyProtection="0"/>
    <xf numFmtId="0" fontId="18" fillId="0" borderId="0"/>
    <xf numFmtId="0" fontId="16" fillId="0" borderId="0"/>
    <xf numFmtId="167" fontId="16" fillId="0" borderId="0" applyFont="0" applyFill="0" applyBorder="0" applyAlignment="0" applyProtection="0"/>
    <xf numFmtId="9" fontId="16" fillId="0" borderId="0" applyFont="0" applyFill="0" applyBorder="0" applyAlignment="0" applyProtection="0"/>
    <xf numFmtId="0" fontId="15" fillId="0" borderId="0"/>
    <xf numFmtId="0" fontId="18" fillId="0" borderId="0"/>
    <xf numFmtId="0" fontId="15" fillId="0" borderId="0"/>
    <xf numFmtId="167" fontId="15" fillId="0" borderId="0" applyFont="0" applyFill="0" applyBorder="0" applyAlignment="0" applyProtection="0"/>
    <xf numFmtId="9" fontId="106" fillId="0" borderId="0" applyFont="0" applyFill="0" applyBorder="0" applyAlignment="0" applyProtection="0"/>
    <xf numFmtId="0" fontId="14" fillId="0" borderId="0"/>
    <xf numFmtId="0" fontId="106"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5" borderId="0" applyNumberFormat="0" applyBorder="0" applyAlignment="0" applyProtection="0"/>
    <xf numFmtId="0" fontId="28" fillId="8"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6" fillId="23" borderId="7" applyNumberFormat="0" applyFont="0" applyAlignment="0" applyProtection="0"/>
    <xf numFmtId="0" fontId="31" fillId="20" borderId="1" applyNumberFormat="0" applyAlignment="0" applyProtection="0"/>
    <xf numFmtId="0" fontId="35" fillId="4" borderId="0" applyNumberFormat="0" applyBorder="0" applyAlignment="0" applyProtection="0"/>
    <xf numFmtId="0" fontId="45" fillId="0" borderId="0" applyNumberFormat="0" applyFill="0" applyBorder="0" applyAlignment="0" applyProtection="0"/>
    <xf numFmtId="0" fontId="34" fillId="0" borderId="0" applyNumberFormat="0" applyFill="0" applyBorder="0" applyAlignment="0" applyProtection="0"/>
    <xf numFmtId="0" fontId="43" fillId="0" borderId="0" applyNumberFormat="0" applyFill="0" applyBorder="0" applyAlignment="0" applyProtection="0"/>
    <xf numFmtId="0" fontId="36" fillId="0" borderId="3" applyNumberFormat="0" applyFill="0" applyAlignment="0" applyProtection="0"/>
    <xf numFmtId="0" fontId="37" fillId="0" borderId="4" applyNumberFormat="0" applyFill="0" applyAlignment="0" applyProtection="0"/>
    <xf numFmtId="0" fontId="38" fillId="0" borderId="17" applyNumberFormat="0" applyFill="0" applyAlignment="0" applyProtection="0"/>
    <xf numFmtId="0" fontId="38" fillId="0" borderId="0" applyNumberFormat="0" applyFill="0" applyBorder="0" applyAlignment="0" applyProtection="0"/>
    <xf numFmtId="0" fontId="41" fillId="22" borderId="0" applyNumberFormat="0" applyBorder="0" applyAlignment="0" applyProtection="0"/>
    <xf numFmtId="0" fontId="44" fillId="0" borderId="9" applyNumberFormat="0" applyFill="0" applyAlignment="0" applyProtection="0"/>
    <xf numFmtId="0" fontId="42" fillId="20" borderId="8" applyNumberFormat="0" applyAlignment="0" applyProtection="0"/>
    <xf numFmtId="0" fontId="39" fillId="7" borderId="1" applyNumberFormat="0" applyAlignment="0" applyProtection="0"/>
    <xf numFmtId="0" fontId="30" fillId="3" borderId="0" applyNumberFormat="0" applyBorder="0" applyAlignment="0" applyProtection="0"/>
    <xf numFmtId="0" fontId="32" fillId="21" borderId="2" applyNumberFormat="0" applyAlignment="0" applyProtection="0"/>
    <xf numFmtId="0" fontId="40" fillId="0" borderId="6" applyNumberFormat="0" applyFill="0" applyAlignment="0" applyProtection="0"/>
    <xf numFmtId="167" fontId="28" fillId="0" borderId="0" applyFont="0" applyFill="0" applyBorder="0" applyAlignment="0" applyProtection="0"/>
    <xf numFmtId="0" fontId="38" fillId="0" borderId="17" applyNumberFormat="0" applyFill="0" applyAlignment="0" applyProtection="0"/>
    <xf numFmtId="167" fontId="28" fillId="0" borderId="0" applyFont="0" applyFill="0" applyBorder="0" applyAlignment="0" applyProtection="0"/>
    <xf numFmtId="167" fontId="26" fillId="0" borderId="0" applyFont="0" applyFill="0" applyBorder="0" applyAlignment="0" applyProtection="0"/>
    <xf numFmtId="167" fontId="28" fillId="0" borderId="0" applyFont="0" applyFill="0" applyBorder="0" applyAlignment="0" applyProtection="0"/>
    <xf numFmtId="167" fontId="26" fillId="0" borderId="0" applyFont="0" applyFill="0" applyBorder="0" applyAlignment="0" applyProtection="0"/>
    <xf numFmtId="167" fontId="14" fillId="0" borderId="0" applyFont="0" applyFill="0" applyBorder="0" applyAlignment="0" applyProtection="0"/>
    <xf numFmtId="167" fontId="33"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0" fontId="72" fillId="0" borderId="17" applyNumberFormat="0" applyFill="0" applyAlignment="0" applyProtection="0">
      <alignment vertical="center"/>
    </xf>
    <xf numFmtId="0" fontId="14" fillId="0" borderId="0"/>
    <xf numFmtId="167" fontId="14" fillId="0" borderId="0" applyFont="0" applyFill="0" applyBorder="0" applyAlignment="0" applyProtection="0"/>
    <xf numFmtId="167" fontId="14" fillId="0" borderId="0" applyFont="0" applyFill="0" applyBorder="0" applyAlignment="0" applyProtection="0"/>
    <xf numFmtId="0" fontId="14" fillId="0" borderId="0"/>
    <xf numFmtId="9" fontId="14" fillId="0" borderId="0" applyFont="0" applyFill="0" applyBorder="0" applyAlignment="0" applyProtection="0"/>
    <xf numFmtId="167" fontId="46" fillId="0" borderId="0" applyFont="0" applyFill="0" applyBorder="0" applyAlignment="0" applyProtection="0"/>
    <xf numFmtId="9" fontId="18" fillId="0" borderId="0" applyFont="0" applyFill="0" applyBorder="0" applyAlignment="0" applyProtection="0"/>
    <xf numFmtId="167" fontId="28" fillId="0" borderId="0" applyFont="0" applyFill="0" applyBorder="0" applyAlignment="0" applyProtection="0"/>
    <xf numFmtId="167" fontId="18"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8" fontId="18" fillId="0" borderId="0" applyFont="0" applyFill="0" applyBorder="0" applyAlignment="0" applyProtection="0"/>
    <xf numFmtId="167" fontId="18" fillId="0" borderId="0" applyFont="0" applyFill="0" applyBorder="0" applyAlignment="0" applyProtection="0"/>
    <xf numFmtId="167" fontId="26" fillId="0" borderId="0" applyFont="0" applyFill="0" applyBorder="0" applyAlignment="0" applyProtection="0"/>
    <xf numFmtId="168" fontId="18" fillId="0" borderId="0" applyFont="0" applyFill="0" applyBorder="0" applyAlignment="0" applyProtection="0"/>
    <xf numFmtId="167" fontId="14" fillId="0" borderId="0" applyFont="0" applyFill="0" applyBorder="0" applyAlignment="0" applyProtection="0"/>
    <xf numFmtId="0" fontId="14" fillId="0" borderId="0"/>
    <xf numFmtId="0" fontId="14" fillId="0" borderId="0"/>
    <xf numFmtId="0" fontId="14" fillId="0" borderId="0"/>
    <xf numFmtId="0" fontId="18" fillId="0" borderId="0"/>
    <xf numFmtId="0" fontId="14" fillId="0" borderId="0"/>
    <xf numFmtId="0" fontId="14" fillId="0" borderId="0"/>
    <xf numFmtId="0" fontId="18" fillId="0" borderId="0"/>
    <xf numFmtId="9" fontId="14" fillId="0" borderId="0" applyFont="0" applyFill="0" applyBorder="0" applyAlignment="0" applyProtection="0"/>
    <xf numFmtId="9" fontId="14" fillId="0" borderId="0" applyFont="0" applyFill="0" applyBorder="0" applyAlignment="0" applyProtection="0"/>
    <xf numFmtId="9" fontId="18" fillId="0" borderId="0" applyFont="0" applyFill="0" applyBorder="0" applyAlignment="0" applyProtection="0"/>
    <xf numFmtId="0" fontId="18" fillId="0" borderId="0"/>
    <xf numFmtId="167" fontId="26" fillId="0" borderId="0" applyFont="0" applyFill="0" applyBorder="0" applyAlignment="0" applyProtection="0"/>
    <xf numFmtId="0" fontId="18" fillId="0" borderId="0"/>
    <xf numFmtId="9" fontId="18" fillId="0" borderId="0" applyFont="0" applyFill="0" applyBorder="0" applyAlignment="0" applyProtection="0"/>
    <xf numFmtId="167" fontId="18" fillId="0" borderId="0" applyFont="0" applyFill="0" applyBorder="0" applyAlignment="0" applyProtection="0"/>
    <xf numFmtId="0" fontId="18" fillId="0" borderId="0"/>
    <xf numFmtId="165" fontId="14" fillId="0" borderId="0" applyFont="0" applyFill="0" applyBorder="0" applyAlignment="0" applyProtection="0"/>
    <xf numFmtId="0" fontId="14" fillId="0" borderId="0"/>
    <xf numFmtId="167" fontId="18"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67" fontId="14" fillId="0" borderId="0" applyFont="0" applyFill="0" applyBorder="0" applyAlignment="0" applyProtection="0"/>
    <xf numFmtId="0" fontId="14" fillId="0" borderId="0"/>
    <xf numFmtId="167"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167" fontId="14" fillId="0" borderId="0" applyFont="0" applyFill="0" applyBorder="0" applyAlignment="0" applyProtection="0"/>
    <xf numFmtId="9" fontId="106" fillId="0" borderId="0" applyFont="0" applyFill="0" applyBorder="0" applyAlignment="0" applyProtection="0"/>
    <xf numFmtId="167" fontId="106" fillId="0" borderId="0" applyFont="0" applyFill="0" applyBorder="0" applyAlignment="0" applyProtection="0"/>
    <xf numFmtId="9" fontId="12" fillId="0" borderId="0" applyFont="0" applyFill="0" applyBorder="0" applyAlignment="0" applyProtection="0"/>
    <xf numFmtId="199" fontId="26" fillId="0" borderId="0"/>
    <xf numFmtId="9" fontId="13" fillId="0" borderId="0" applyFont="0" applyFill="0" applyBorder="0" applyAlignment="0" applyProtection="0"/>
    <xf numFmtId="0" fontId="11" fillId="0" borderId="0"/>
    <xf numFmtId="167" fontId="11" fillId="0" borderId="0" applyFont="0" applyFill="0" applyBorder="0" applyAlignment="0" applyProtection="0"/>
    <xf numFmtId="0" fontId="7" fillId="0" borderId="0"/>
    <xf numFmtId="0" fontId="13" fillId="0" borderId="0"/>
    <xf numFmtId="166" fontId="13" fillId="0" borderId="0" applyFont="0" applyFill="0" applyBorder="0" applyAlignment="0" applyProtection="0"/>
    <xf numFmtId="0" fontId="6" fillId="0" borderId="0"/>
    <xf numFmtId="167" fontId="6"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0" fontId="131" fillId="0" borderId="0" applyNumberForma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7" fontId="4" fillId="0" borderId="0" applyFont="0" applyFill="0" applyBorder="0" applyAlignment="0" applyProtection="0"/>
    <xf numFmtId="168" fontId="33"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67" fontId="4" fillId="0" borderId="0" applyFont="0" applyFill="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167" fontId="3" fillId="0" borderId="0" applyFont="0" applyFill="0" applyBorder="0" applyAlignment="0" applyProtection="0"/>
    <xf numFmtId="167" fontId="4" fillId="0" borderId="0" applyFont="0" applyFill="0" applyBorder="0" applyAlignment="0" applyProtection="0"/>
    <xf numFmtId="168" fontId="47" fillId="0" borderId="0" applyFont="0" applyFill="0" applyBorder="0" applyAlignment="0" applyProtection="0"/>
    <xf numFmtId="168" fontId="47" fillId="0" borderId="0" applyFont="0" applyFill="0" applyBorder="0" applyAlignment="0" applyProtection="0"/>
    <xf numFmtId="168" fontId="47" fillId="0" borderId="0" applyFont="0" applyFill="0" applyBorder="0" applyAlignment="0" applyProtection="0"/>
    <xf numFmtId="167" fontId="4" fillId="0" borderId="0" applyFont="0" applyFill="0" applyBorder="0" applyAlignment="0" applyProtection="0"/>
    <xf numFmtId="168" fontId="3" fillId="0" borderId="0" applyFont="0" applyFill="0" applyBorder="0" applyAlignment="0" applyProtection="0"/>
    <xf numFmtId="167" fontId="3" fillId="0" borderId="0" applyFont="0" applyFill="0" applyBorder="0" applyAlignment="0" applyProtection="0"/>
    <xf numFmtId="168" fontId="26" fillId="0" borderId="0" applyFont="0" applyFill="0" applyBorder="0" applyAlignment="0" applyProtection="0"/>
    <xf numFmtId="168" fontId="3"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3" fillId="0" borderId="0"/>
    <xf numFmtId="0" fontId="4" fillId="0" borderId="0"/>
    <xf numFmtId="0" fontId="4" fillId="0" borderId="0"/>
    <xf numFmtId="0" fontId="3" fillId="0" borderId="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165" fontId="4" fillId="0" borderId="0" applyFont="0" applyFill="0" applyBorder="0" applyAlignment="0" applyProtection="0"/>
    <xf numFmtId="0" fontId="3" fillId="0" borderId="0"/>
    <xf numFmtId="0" fontId="4" fillId="0" borderId="0"/>
    <xf numFmtId="9" fontId="3" fillId="0" borderId="0" applyFont="0" applyFill="0" applyBorder="0" applyAlignment="0" applyProtection="0"/>
    <xf numFmtId="0" fontId="3" fillId="0" borderId="0"/>
    <xf numFmtId="168" fontId="3" fillId="0" borderId="0" applyFont="0" applyFill="0" applyBorder="0" applyAlignment="0" applyProtection="0"/>
    <xf numFmtId="0" fontId="3"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3" fillId="0" borderId="0"/>
    <xf numFmtId="0" fontId="4" fillId="0" borderId="0"/>
    <xf numFmtId="167" fontId="4" fillId="0" borderId="0" applyFont="0" applyFill="0" applyBorder="0" applyAlignment="0" applyProtection="0"/>
    <xf numFmtId="9" fontId="4" fillId="0" borderId="0" applyFont="0" applyFill="0" applyBorder="0" applyAlignment="0" applyProtection="0"/>
    <xf numFmtId="0" fontId="4" fillId="0" borderId="0"/>
    <xf numFmtId="0" fontId="3" fillId="0" borderId="0"/>
    <xf numFmtId="0" fontId="4" fillId="0" borderId="0"/>
    <xf numFmtId="167" fontId="4" fillId="0" borderId="0" applyFont="0" applyFill="0" applyBorder="0" applyAlignment="0" applyProtection="0"/>
    <xf numFmtId="9" fontId="26" fillId="0" borderId="0" applyFont="0" applyFill="0" applyBorder="0" applyAlignment="0" applyProtection="0"/>
    <xf numFmtId="0" fontId="4" fillId="0" borderId="0"/>
    <xf numFmtId="0" fontId="26" fillId="0" borderId="0"/>
    <xf numFmtId="167"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67" fontId="4" fillId="0" borderId="0" applyFont="0" applyFill="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8" fontId="3"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3" fillId="0" borderId="0"/>
    <xf numFmtId="0" fontId="4" fillId="0" borderId="0"/>
    <xf numFmtId="0" fontId="4" fillId="0" borderId="0"/>
    <xf numFmtId="0" fontId="3" fillId="0" borderId="0"/>
    <xf numFmtId="9"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165" fontId="4" fillId="0" borderId="0" applyFont="0" applyFill="0" applyBorder="0" applyAlignment="0" applyProtection="0"/>
    <xf numFmtId="0" fontId="4" fillId="0" borderId="0"/>
    <xf numFmtId="167" fontId="3"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9" fontId="26" fillId="0" borderId="0" applyFont="0" applyFill="0" applyBorder="0" applyAlignment="0" applyProtection="0"/>
    <xf numFmtId="167" fontId="26"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3" fillId="0" borderId="0"/>
    <xf numFmtId="168" fontId="3"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168" fontId="26"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0" fontId="26" fillId="0" borderId="0"/>
    <xf numFmtId="0" fontId="26" fillId="0" borderId="0"/>
    <xf numFmtId="167" fontId="140"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9" fontId="140" fillId="0" borderId="0" applyFont="0" applyFill="0" applyBorder="0" applyAlignment="0" applyProtection="0"/>
  </cellStyleXfs>
  <cellXfs count="618">
    <xf numFmtId="0" fontId="0" fillId="0" borderId="0" xfId="0"/>
    <xf numFmtId="0" fontId="101" fillId="0" borderId="0" xfId="293" applyFont="1" applyAlignment="1">
      <alignment horizontal="left" vertical="center"/>
    </xf>
    <xf numFmtId="3" fontId="101" fillId="0" borderId="0" xfId="293" applyNumberFormat="1" applyFont="1" applyAlignment="1">
      <alignment horizontal="left" vertical="center"/>
    </xf>
    <xf numFmtId="0" fontId="101" fillId="37" borderId="0" xfId="293" applyFont="1" applyFill="1" applyAlignment="1">
      <alignment horizontal="left" vertical="center"/>
    </xf>
    <xf numFmtId="0" fontId="101" fillId="0" borderId="0" xfId="293" applyFont="1" applyAlignment="1">
      <alignment horizontal="left"/>
    </xf>
    <xf numFmtId="0" fontId="101" fillId="0" borderId="10" xfId="293" applyFont="1" applyBorder="1" applyAlignment="1">
      <alignment horizontal="left"/>
    </xf>
    <xf numFmtId="0" fontId="104" fillId="0" borderId="0" xfId="293" applyFont="1" applyAlignment="1">
      <alignment horizontal="left"/>
    </xf>
    <xf numFmtId="0" fontId="102" fillId="0" borderId="0" xfId="293" applyFont="1" applyAlignment="1">
      <alignment horizontal="left"/>
    </xf>
    <xf numFmtId="0" fontId="47" fillId="0" borderId="0" xfId="290" applyFont="1"/>
    <xf numFmtId="0" fontId="90" fillId="0" borderId="0" xfId="290" applyFont="1"/>
    <xf numFmtId="0" fontId="89" fillId="0" borderId="0" xfId="0" applyFont="1"/>
    <xf numFmtId="0" fontId="109" fillId="37" borderId="0" xfId="293" applyFont="1" applyFill="1" applyAlignment="1">
      <alignment horizontal="left" vertical="center"/>
    </xf>
    <xf numFmtId="0" fontId="103" fillId="0" borderId="0" xfId="293" applyFont="1" applyAlignment="1">
      <alignment horizontal="left"/>
    </xf>
    <xf numFmtId="9" fontId="101" fillId="0" borderId="0" xfId="293" applyNumberFormat="1" applyFont="1" applyAlignment="1">
      <alignment horizontal="left"/>
    </xf>
    <xf numFmtId="0" fontId="110" fillId="0" borderId="0" xfId="293" applyFont="1" applyAlignment="1">
      <alignment horizontal="left"/>
    </xf>
    <xf numFmtId="0" fontId="108" fillId="0" borderId="0" xfId="293" applyFont="1" applyAlignment="1">
      <alignment horizontal="left"/>
    </xf>
    <xf numFmtId="0" fontId="110" fillId="0" borderId="10" xfId="293" applyFont="1" applyBorder="1" applyAlignment="1">
      <alignment horizontal="left"/>
    </xf>
    <xf numFmtId="196" fontId="110" fillId="0" borderId="0" xfId="293" applyNumberFormat="1" applyFont="1" applyAlignment="1">
      <alignment horizontal="left"/>
    </xf>
    <xf numFmtId="185" fontId="110" fillId="0" borderId="0" xfId="293" applyNumberFormat="1" applyFont="1" applyAlignment="1">
      <alignment horizontal="left"/>
    </xf>
    <xf numFmtId="185" fontId="110" fillId="36" borderId="0" xfId="293" applyNumberFormat="1" applyFont="1" applyFill="1" applyAlignment="1">
      <alignment horizontal="left"/>
    </xf>
    <xf numFmtId="185" fontId="112" fillId="36" borderId="0" xfId="293" applyNumberFormat="1" applyFont="1" applyFill="1" applyAlignment="1">
      <alignment horizontal="left"/>
    </xf>
    <xf numFmtId="185" fontId="112" fillId="0" borderId="0" xfId="293" applyNumberFormat="1" applyFont="1" applyAlignment="1">
      <alignment horizontal="left"/>
    </xf>
    <xf numFmtId="185" fontId="99" fillId="0" borderId="0" xfId="293" applyNumberFormat="1" applyFont="1" applyAlignment="1">
      <alignment horizontal="left"/>
    </xf>
    <xf numFmtId="0" fontId="110" fillId="0" borderId="13" xfId="293" applyFont="1" applyBorder="1" applyAlignment="1">
      <alignment horizontal="left"/>
    </xf>
    <xf numFmtId="185" fontId="110" fillId="0" borderId="10" xfId="293" applyNumberFormat="1" applyFont="1" applyBorder="1" applyAlignment="1">
      <alignment horizontal="left"/>
    </xf>
    <xf numFmtId="185" fontId="112" fillId="0" borderId="10" xfId="293" applyNumberFormat="1" applyFont="1" applyBorder="1" applyAlignment="1">
      <alignment horizontal="left"/>
    </xf>
    <xf numFmtId="0" fontId="89" fillId="0" borderId="0" xfId="87" applyFont="1"/>
    <xf numFmtId="0" fontId="113" fillId="0" borderId="0" xfId="87" applyFont="1"/>
    <xf numFmtId="0" fontId="89" fillId="0" borderId="0" xfId="87" applyFont="1" applyAlignment="1">
      <alignment horizontal="center"/>
    </xf>
    <xf numFmtId="0" fontId="114" fillId="34" borderId="0" xfId="87" applyFont="1" applyFill="1"/>
    <xf numFmtId="0" fontId="115" fillId="31" borderId="18" xfId="87" applyFont="1" applyFill="1" applyBorder="1"/>
    <xf numFmtId="0" fontId="117" fillId="31" borderId="18" xfId="87" applyFont="1" applyFill="1" applyBorder="1"/>
    <xf numFmtId="0" fontId="92" fillId="0" borderId="0" xfId="87" applyFont="1"/>
    <xf numFmtId="0" fontId="90" fillId="0" borderId="0" xfId="87" applyFont="1" applyAlignment="1">
      <alignment horizontal="left"/>
    </xf>
    <xf numFmtId="169" fontId="90" fillId="0" borderId="0" xfId="266" applyNumberFormat="1" applyFont="1" applyAlignment="1">
      <alignment horizontal="left"/>
    </xf>
    <xf numFmtId="169" fontId="89" fillId="0" borderId="0" xfId="266" applyNumberFormat="1" applyFont="1" applyAlignment="1">
      <alignment horizontal="left"/>
    </xf>
    <xf numFmtId="0" fontId="120" fillId="33" borderId="18" xfId="87" applyFont="1" applyFill="1" applyBorder="1"/>
    <xf numFmtId="0" fontId="87" fillId="34" borderId="0" xfId="87" applyFont="1" applyFill="1" applyAlignment="1">
      <alignment horizontal="left" vertical="center" wrapText="1"/>
    </xf>
    <xf numFmtId="191" fontId="121" fillId="0" borderId="0" xfId="395" applyNumberFormat="1" applyFont="1" applyAlignment="1">
      <alignment horizontal="left" vertical="center"/>
    </xf>
    <xf numFmtId="0" fontId="47" fillId="0" borderId="0" xfId="395" applyFont="1" applyAlignment="1">
      <alignment horizontal="left" vertical="center"/>
    </xf>
    <xf numFmtId="0" fontId="121" fillId="0" borderId="0" xfId="395" applyFont="1" applyAlignment="1">
      <alignment horizontal="left" vertical="center"/>
    </xf>
    <xf numFmtId="0" fontId="89" fillId="0" borderId="0" xfId="386" applyFont="1" applyAlignment="1">
      <alignment horizontal="left"/>
    </xf>
    <xf numFmtId="169" fontId="87" fillId="35" borderId="0" xfId="266" applyNumberFormat="1" applyFont="1" applyFill="1" applyAlignment="1">
      <alignment horizontal="left"/>
    </xf>
    <xf numFmtId="0" fontId="89" fillId="0" borderId="0" xfId="386" applyFont="1" applyAlignment="1">
      <alignment horizontal="left" vertical="center"/>
    </xf>
    <xf numFmtId="0" fontId="92" fillId="0" borderId="0" xfId="386" applyFont="1" applyAlignment="1">
      <alignment horizontal="left"/>
    </xf>
    <xf numFmtId="0" fontId="47" fillId="0" borderId="0" xfId="290" applyFont="1" applyAlignment="1">
      <alignment horizontal="left"/>
    </xf>
    <xf numFmtId="0" fontId="92" fillId="31" borderId="0" xfId="0" applyFont="1" applyFill="1"/>
    <xf numFmtId="0" fontId="89" fillId="0" borderId="0" xfId="0" applyFont="1" applyAlignment="1">
      <alignment horizontal="left" readingOrder="1"/>
    </xf>
    <xf numFmtId="0" fontId="87" fillId="31" borderId="0" xfId="87" applyFont="1" applyFill="1" applyAlignment="1">
      <alignment horizontal="left"/>
    </xf>
    <xf numFmtId="199" fontId="90" fillId="0" borderId="0" xfId="87" applyNumberFormat="1" applyFont="1" applyAlignment="1">
      <alignment horizontal="left"/>
    </xf>
    <xf numFmtId="3" fontId="90" fillId="0" borderId="0" xfId="87" applyNumberFormat="1" applyFont="1"/>
    <xf numFmtId="0" fontId="89" fillId="0" borderId="0" xfId="0" applyFont="1" applyAlignment="1">
      <alignment horizontal="left"/>
    </xf>
    <xf numFmtId="0" fontId="11" fillId="0" borderId="0" xfId="403"/>
    <xf numFmtId="0" fontId="98" fillId="0" borderId="19" xfId="403" applyFont="1" applyBorder="1"/>
    <xf numFmtId="0" fontId="98" fillId="0" borderId="15" xfId="403" applyFont="1" applyBorder="1"/>
    <xf numFmtId="0" fontId="98" fillId="0" borderId="20" xfId="403" applyFont="1" applyBorder="1"/>
    <xf numFmtId="9" fontId="11" fillId="0" borderId="0" xfId="403" applyNumberFormat="1"/>
    <xf numFmtId="1" fontId="11" fillId="0" borderId="0" xfId="403" applyNumberFormat="1"/>
    <xf numFmtId="3" fontId="11" fillId="0" borderId="0" xfId="403" applyNumberFormat="1"/>
    <xf numFmtId="169" fontId="11" fillId="0" borderId="0" xfId="404" applyNumberFormat="1"/>
    <xf numFmtId="0" fontId="11" fillId="38" borderId="0" xfId="403" applyFill="1"/>
    <xf numFmtId="9" fontId="11" fillId="38" borderId="0" xfId="403" applyNumberFormat="1" applyFill="1"/>
    <xf numFmtId="169" fontId="11" fillId="25" borderId="0" xfId="404" applyNumberFormat="1" applyFill="1"/>
    <xf numFmtId="169" fontId="11" fillId="0" borderId="0" xfId="403" applyNumberFormat="1"/>
    <xf numFmtId="0" fontId="11" fillId="40" borderId="0" xfId="403" applyFill="1"/>
    <xf numFmtId="1" fontId="11" fillId="40" borderId="0" xfId="403" applyNumberFormat="1" applyFill="1"/>
    <xf numFmtId="169" fontId="11" fillId="40" borderId="0" xfId="404" applyNumberFormat="1" applyFill="1"/>
    <xf numFmtId="10" fontId="11" fillId="0" borderId="0" xfId="403" applyNumberFormat="1"/>
    <xf numFmtId="9" fontId="89" fillId="0" borderId="0" xfId="0" applyNumberFormat="1" applyFont="1"/>
    <xf numFmtId="0" fontId="11" fillId="32" borderId="0" xfId="403" applyFill="1"/>
    <xf numFmtId="0" fontId="11" fillId="0" borderId="0" xfId="403" applyAlignment="1">
      <alignment wrapText="1"/>
    </xf>
    <xf numFmtId="0" fontId="10" fillId="0" borderId="0" xfId="403" applyFont="1"/>
    <xf numFmtId="0" fontId="98" fillId="0" borderId="0" xfId="403" applyFont="1"/>
    <xf numFmtId="9" fontId="11" fillId="0" borderId="11" xfId="403" applyNumberFormat="1" applyBorder="1"/>
    <xf numFmtId="0" fontId="11" fillId="0" borderId="11" xfId="403" applyBorder="1"/>
    <xf numFmtId="1" fontId="11" fillId="0" borderId="11" xfId="403" applyNumberFormat="1" applyBorder="1"/>
    <xf numFmtId="2" fontId="11" fillId="0" borderId="0" xfId="403" applyNumberFormat="1"/>
    <xf numFmtId="200" fontId="11" fillId="0" borderId="0" xfId="403" applyNumberFormat="1"/>
    <xf numFmtId="4" fontId="11" fillId="0" borderId="0" xfId="403" applyNumberFormat="1"/>
    <xf numFmtId="201" fontId="11" fillId="0" borderId="0" xfId="403" applyNumberFormat="1"/>
    <xf numFmtId="0" fontId="9" fillId="0" borderId="0" xfId="403" applyFont="1"/>
    <xf numFmtId="192" fontId="11" fillId="0" borderId="0" xfId="403" applyNumberFormat="1"/>
    <xf numFmtId="195" fontId="11" fillId="0" borderId="0" xfId="403" applyNumberFormat="1"/>
    <xf numFmtId="0" fontId="8" fillId="0" borderId="0" xfId="403" applyFont="1"/>
    <xf numFmtId="190" fontId="7" fillId="38" borderId="0" xfId="403" applyNumberFormat="1" applyFont="1" applyFill="1"/>
    <xf numFmtId="0" fontId="92" fillId="0" borderId="0" xfId="0" applyFont="1"/>
    <xf numFmtId="198" fontId="97" fillId="0" borderId="0" xfId="386" applyNumberFormat="1" applyFont="1" applyAlignment="1">
      <alignment horizontal="left" vertical="center"/>
    </xf>
    <xf numFmtId="3" fontId="110" fillId="0" borderId="10" xfId="293" applyNumberFormat="1" applyFont="1" applyBorder="1" applyAlignment="1">
      <alignment horizontal="left"/>
    </xf>
    <xf numFmtId="0" fontId="97" fillId="31" borderId="0" xfId="87" applyFont="1" applyFill="1" applyAlignment="1">
      <alignment horizontal="left"/>
    </xf>
    <xf numFmtId="0" fontId="87" fillId="35" borderId="0" xfId="290" applyFont="1" applyFill="1"/>
    <xf numFmtId="0" fontId="87" fillId="0" borderId="0" xfId="0" applyFont="1"/>
    <xf numFmtId="9" fontId="92" fillId="0" borderId="0" xfId="297" applyFont="1" applyAlignment="1">
      <alignment vertical="center"/>
    </xf>
    <xf numFmtId="9" fontId="89" fillId="0" borderId="0" xfId="297" applyFont="1"/>
    <xf numFmtId="9" fontId="87" fillId="0" borderId="0" xfId="297" applyFont="1" applyAlignment="1">
      <alignment horizontal="center" vertical="center" wrapText="1"/>
    </xf>
    <xf numFmtId="9" fontId="116" fillId="0" borderId="0" xfId="297" applyFont="1"/>
    <xf numFmtId="9" fontId="95" fillId="0" borderId="0" xfId="297" applyFont="1"/>
    <xf numFmtId="202" fontId="93" fillId="41" borderId="0" xfId="412" applyNumberFormat="1" applyFont="1" applyFill="1" applyAlignment="1" applyProtection="1">
      <alignment horizontal="center"/>
      <protection hidden="1"/>
    </xf>
    <xf numFmtId="0" fontId="90" fillId="0" borderId="0" xfId="87" applyFont="1" applyAlignment="1">
      <alignment horizontal="center"/>
    </xf>
    <xf numFmtId="9" fontId="95" fillId="0" borderId="0" xfId="216" applyFont="1"/>
    <xf numFmtId="9" fontId="119" fillId="0" borderId="0" xfId="216" applyFont="1"/>
    <xf numFmtId="9" fontId="89" fillId="0" borderId="0" xfId="216" applyFont="1"/>
    <xf numFmtId="9" fontId="116" fillId="0" borderId="0" xfId="216" applyFont="1"/>
    <xf numFmtId="9" fontId="118" fillId="0" borderId="0" xfId="216" applyFont="1"/>
    <xf numFmtId="197" fontId="91" fillId="0" borderId="0" xfId="386" applyNumberFormat="1" applyFont="1" applyAlignment="1">
      <alignment horizontal="left" vertical="center"/>
    </xf>
    <xf numFmtId="0" fontId="4" fillId="0" borderId="0" xfId="413"/>
    <xf numFmtId="3" fontId="4" fillId="0" borderId="0" xfId="413" applyNumberFormat="1"/>
    <xf numFmtId="9" fontId="26" fillId="0" borderId="0" xfId="414" applyFont="1" applyAlignment="1">
      <alignment horizontal="center"/>
    </xf>
    <xf numFmtId="194" fontId="101" fillId="0" borderId="0" xfId="293" applyNumberFormat="1" applyFont="1" applyAlignment="1">
      <alignment horizontal="left" vertical="center"/>
    </xf>
    <xf numFmtId="194" fontId="93" fillId="41" borderId="0" xfId="412" applyNumberFormat="1" applyFont="1" applyFill="1" applyAlignment="1" applyProtection="1">
      <alignment horizontal="center"/>
      <protection hidden="1"/>
    </xf>
    <xf numFmtId="194" fontId="110" fillId="0" borderId="0" xfId="293" applyNumberFormat="1" applyFont="1" applyAlignment="1">
      <alignment horizontal="left"/>
    </xf>
    <xf numFmtId="194" fontId="101" fillId="0" borderId="10" xfId="293" applyNumberFormat="1" applyFont="1" applyBorder="1" applyAlignment="1">
      <alignment horizontal="left"/>
    </xf>
    <xf numFmtId="194" fontId="110" fillId="0" borderId="10" xfId="293" applyNumberFormat="1" applyFont="1" applyBorder="1" applyAlignment="1">
      <alignment horizontal="left"/>
    </xf>
    <xf numFmtId="194" fontId="101" fillId="36" borderId="0" xfId="293" applyNumberFormat="1" applyFont="1" applyFill="1" applyAlignment="1">
      <alignment horizontal="left"/>
    </xf>
    <xf numFmtId="194" fontId="110" fillId="36" borderId="0" xfId="293" applyNumberFormat="1" applyFont="1" applyFill="1" applyAlignment="1">
      <alignment horizontal="left"/>
    </xf>
    <xf numFmtId="194" fontId="101" fillId="0" borderId="13" xfId="293" applyNumberFormat="1" applyFont="1" applyBorder="1" applyAlignment="1">
      <alignment horizontal="left"/>
    </xf>
    <xf numFmtId="194" fontId="101" fillId="36" borderId="12" xfId="293" applyNumberFormat="1" applyFont="1" applyFill="1" applyBorder="1" applyAlignment="1">
      <alignment horizontal="left"/>
    </xf>
    <xf numFmtId="194" fontId="112" fillId="36" borderId="0" xfId="293" applyNumberFormat="1" applyFont="1" applyFill="1" applyAlignment="1">
      <alignment horizontal="left"/>
    </xf>
    <xf numFmtId="194" fontId="112" fillId="0" borderId="0" xfId="293" applyNumberFormat="1" applyFont="1" applyAlignment="1">
      <alignment horizontal="left"/>
    </xf>
    <xf numFmtId="194" fontId="111" fillId="0" borderId="0" xfId="293" applyNumberFormat="1" applyFont="1" applyAlignment="1">
      <alignment horizontal="left"/>
    </xf>
    <xf numFmtId="194" fontId="99" fillId="0" borderId="0" xfId="293" applyNumberFormat="1" applyFont="1" applyAlignment="1">
      <alignment horizontal="left"/>
    </xf>
    <xf numFmtId="194" fontId="89" fillId="0" borderId="0" xfId="87" applyNumberFormat="1" applyFont="1" applyAlignment="1">
      <alignment horizontal="center"/>
    </xf>
    <xf numFmtId="194" fontId="87" fillId="34" borderId="0" xfId="87" applyNumberFormat="1" applyFont="1" applyFill="1" applyAlignment="1">
      <alignment horizontal="center" vertical="center" wrapText="1"/>
    </xf>
    <xf numFmtId="194" fontId="94" fillId="0" borderId="0" xfId="87" applyNumberFormat="1" applyFont="1" applyAlignment="1">
      <alignment horizontal="center"/>
    </xf>
    <xf numFmtId="194" fontId="89" fillId="0" borderId="0" xfId="266" applyNumberFormat="1" applyFont="1" applyAlignment="1">
      <alignment horizontal="center"/>
    </xf>
    <xf numFmtId="0" fontId="123" fillId="0" borderId="0" xfId="0" applyFont="1"/>
    <xf numFmtId="194" fontId="105" fillId="35" borderId="0" xfId="386" applyNumberFormat="1" applyFont="1" applyFill="1" applyAlignment="1">
      <alignment horizontal="center" vertical="center"/>
    </xf>
    <xf numFmtId="194" fontId="88" fillId="0" borderId="0" xfId="87" applyNumberFormat="1" applyFont="1" applyAlignment="1">
      <alignment horizontal="center"/>
    </xf>
    <xf numFmtId="194" fontId="92" fillId="0" borderId="0" xfId="87" applyNumberFormat="1" applyFont="1" applyAlignment="1">
      <alignment horizontal="center" vertical="center"/>
    </xf>
    <xf numFmtId="194" fontId="116" fillId="31" borderId="18" xfId="87" applyNumberFormat="1" applyFont="1" applyFill="1" applyBorder="1" applyAlignment="1">
      <alignment horizontal="center"/>
    </xf>
    <xf numFmtId="194" fontId="97" fillId="35" borderId="0" xfId="87" applyNumberFormat="1" applyFont="1" applyFill="1" applyAlignment="1">
      <alignment horizontal="center"/>
    </xf>
    <xf numFmtId="194" fontId="91" fillId="0" borderId="0" xfId="87" applyNumberFormat="1" applyFont="1" applyAlignment="1">
      <alignment horizontal="center"/>
    </xf>
    <xf numFmtId="194" fontId="118" fillId="31" borderId="18" xfId="87" applyNumberFormat="1" applyFont="1" applyFill="1" applyBorder="1" applyAlignment="1">
      <alignment horizontal="center"/>
    </xf>
    <xf numFmtId="194" fontId="107" fillId="35" borderId="0" xfId="386" applyNumberFormat="1" applyFont="1" applyFill="1" applyAlignment="1">
      <alignment horizontal="center" vertical="center"/>
    </xf>
    <xf numFmtId="194" fontId="118" fillId="33" borderId="18" xfId="87" applyNumberFormat="1" applyFont="1" applyFill="1" applyBorder="1" applyAlignment="1">
      <alignment horizontal="center"/>
    </xf>
    <xf numFmtId="205" fontId="92" fillId="0" borderId="0" xfId="297" applyNumberFormat="1" applyFont="1" applyAlignment="1">
      <alignment vertical="center"/>
    </xf>
    <xf numFmtId="205" fontId="89" fillId="0" borderId="0" xfId="297" applyNumberFormat="1" applyFont="1"/>
    <xf numFmtId="205" fontId="87" fillId="34" borderId="0" xfId="297" applyNumberFormat="1" applyFont="1" applyFill="1" applyAlignment="1">
      <alignment horizontal="center" vertical="center" wrapText="1"/>
    </xf>
    <xf numFmtId="205" fontId="116" fillId="31" borderId="0" xfId="297" applyNumberFormat="1" applyFont="1" applyFill="1"/>
    <xf numFmtId="205" fontId="97" fillId="35" borderId="0" xfId="297" applyNumberFormat="1" applyFont="1" applyFill="1" applyAlignment="1">
      <alignment horizontal="center"/>
    </xf>
    <xf numFmtId="205" fontId="91" fillId="0" borderId="0" xfId="87" applyNumberFormat="1" applyFont="1" applyAlignment="1">
      <alignment horizontal="center"/>
    </xf>
    <xf numFmtId="205" fontId="97" fillId="35" borderId="0" xfId="216" applyNumberFormat="1" applyFont="1" applyFill="1" applyAlignment="1">
      <alignment horizontal="center"/>
    </xf>
    <xf numFmtId="205" fontId="118" fillId="31" borderId="18" xfId="216" applyNumberFormat="1" applyFont="1" applyFill="1" applyBorder="1" applyAlignment="1">
      <alignment horizontal="center"/>
    </xf>
    <xf numFmtId="205" fontId="89" fillId="0" borderId="0" xfId="216" applyNumberFormat="1" applyFont="1" applyAlignment="1">
      <alignment horizontal="center"/>
    </xf>
    <xf numFmtId="205" fontId="116" fillId="31" borderId="18" xfId="216" applyNumberFormat="1" applyFont="1" applyFill="1" applyBorder="1" applyAlignment="1">
      <alignment horizontal="center"/>
    </xf>
    <xf numFmtId="205" fontId="107" fillId="35" borderId="0" xfId="216" applyNumberFormat="1" applyFont="1" applyFill="1" applyAlignment="1">
      <alignment horizontal="center" vertical="center"/>
    </xf>
    <xf numFmtId="205" fontId="105" fillId="35" borderId="0" xfId="216" applyNumberFormat="1" applyFont="1" applyFill="1" applyAlignment="1">
      <alignment horizontal="center" vertical="center"/>
    </xf>
    <xf numFmtId="0" fontId="124" fillId="35" borderId="0" xfId="413" applyFont="1" applyFill="1"/>
    <xf numFmtId="0" fontId="89" fillId="0" borderId="0" xfId="0" applyFont="1" applyAlignment="1">
      <alignment horizontal="left" vertical="center"/>
    </xf>
    <xf numFmtId="205" fontId="91" fillId="0" borderId="0" xfId="386" applyNumberFormat="1" applyFont="1" applyAlignment="1">
      <alignment horizontal="left" vertical="center"/>
    </xf>
    <xf numFmtId="205" fontId="89" fillId="0" borderId="0" xfId="0" applyNumberFormat="1" applyFont="1"/>
    <xf numFmtId="206" fontId="97" fillId="35" borderId="0" xfId="386" applyNumberFormat="1" applyFont="1" applyFill="1" applyAlignment="1">
      <alignment horizontal="left" vertical="center"/>
    </xf>
    <xf numFmtId="206" fontId="97" fillId="0" borderId="0" xfId="386" applyNumberFormat="1" applyFont="1" applyAlignment="1">
      <alignment horizontal="left" vertical="center"/>
    </xf>
    <xf numFmtId="205" fontId="94" fillId="0" borderId="0" xfId="386" applyNumberFormat="1" applyFont="1" applyAlignment="1">
      <alignment horizontal="left" vertical="center"/>
    </xf>
    <xf numFmtId="207" fontId="91" fillId="0" borderId="0" xfId="386" applyNumberFormat="1" applyFont="1" applyAlignment="1">
      <alignment horizontal="left" vertical="center"/>
    </xf>
    <xf numFmtId="9" fontId="89" fillId="0" borderId="0" xfId="0" applyNumberFormat="1" applyFont="1" applyAlignment="1">
      <alignment horizontal="left" vertical="center"/>
    </xf>
    <xf numFmtId="0" fontId="125" fillId="42" borderId="0" xfId="74" applyFont="1" applyFill="1"/>
    <xf numFmtId="0" fontId="126" fillId="42" borderId="0" xfId="76" applyFont="1" applyFill="1" applyBorder="1"/>
    <xf numFmtId="0" fontId="127" fillId="42" borderId="0" xfId="76" applyFont="1" applyFill="1" applyBorder="1"/>
    <xf numFmtId="0" fontId="128" fillId="42" borderId="0" xfId="342" applyFont="1" applyFill="1" applyBorder="1"/>
    <xf numFmtId="0" fontId="129" fillId="42" borderId="0" xfId="342" applyFont="1" applyFill="1" applyBorder="1"/>
    <xf numFmtId="208" fontId="128" fillId="42" borderId="0" xfId="78" applyNumberFormat="1" applyFont="1" applyFill="1" applyAlignment="1">
      <alignment horizontal="left"/>
    </xf>
    <xf numFmtId="209" fontId="129" fillId="42" borderId="0" xfId="78" applyNumberFormat="1" applyFont="1" applyFill="1" applyAlignment="1">
      <alignment horizontal="left"/>
    </xf>
    <xf numFmtId="0" fontId="132" fillId="42" borderId="0" xfId="415" applyFont="1" applyFill="1"/>
    <xf numFmtId="0" fontId="2" fillId="43" borderId="0" xfId="547" applyFill="1"/>
    <xf numFmtId="0" fontId="47" fillId="42" borderId="22" xfId="547" applyFont="1" applyFill="1" applyBorder="1"/>
    <xf numFmtId="0" fontId="47" fillId="42" borderId="23" xfId="547" applyFont="1" applyFill="1" applyBorder="1"/>
    <xf numFmtId="0" fontId="47" fillId="42" borderId="24" xfId="547" applyFont="1" applyFill="1" applyBorder="1"/>
    <xf numFmtId="0" fontId="47" fillId="42" borderId="25" xfId="547" applyFont="1" applyFill="1" applyBorder="1"/>
    <xf numFmtId="0" fontId="47" fillId="42" borderId="0" xfId="547" applyFont="1" applyFill="1"/>
    <xf numFmtId="0" fontId="47" fillId="42" borderId="26" xfId="547" applyFont="1" applyFill="1" applyBorder="1"/>
    <xf numFmtId="0" fontId="130" fillId="42" borderId="0" xfId="547" applyFont="1" applyFill="1"/>
    <xf numFmtId="0" fontId="133" fillId="42" borderId="0" xfId="547" applyFont="1" applyFill="1"/>
    <xf numFmtId="3" fontId="94" fillId="42" borderId="27" xfId="547" applyNumberFormat="1" applyFont="1" applyFill="1" applyBorder="1" applyAlignment="1">
      <alignment horizontal="center"/>
    </xf>
    <xf numFmtId="3" fontId="94" fillId="42" borderId="28" xfId="547" applyNumberFormat="1" applyFont="1" applyFill="1" applyBorder="1" applyAlignment="1">
      <alignment horizontal="center"/>
    </xf>
    <xf numFmtId="3" fontId="94" fillId="42" borderId="29" xfId="547" applyNumberFormat="1" applyFont="1" applyFill="1" applyBorder="1" applyAlignment="1">
      <alignment horizontal="center"/>
    </xf>
    <xf numFmtId="0" fontId="93" fillId="41" borderId="0" xfId="548" applyFont="1" applyFill="1"/>
    <xf numFmtId="0" fontId="93" fillId="41" borderId="0" xfId="548" applyFont="1" applyFill="1" applyAlignment="1">
      <alignment horizontal="left"/>
    </xf>
    <xf numFmtId="0" fontId="93" fillId="41" borderId="0" xfId="548" applyFont="1" applyFill="1" applyAlignment="1">
      <alignment horizontal="center"/>
    </xf>
    <xf numFmtId="202" fontId="93" fillId="41" borderId="0" xfId="548" applyNumberFormat="1" applyFont="1" applyFill="1" applyAlignment="1">
      <alignment horizontal="center"/>
    </xf>
    <xf numFmtId="0" fontId="47" fillId="0" borderId="0" xfId="548" applyFont="1"/>
    <xf numFmtId="0" fontId="47" fillId="0" borderId="0" xfId="548" applyFont="1" applyAlignment="1">
      <alignment horizontal="center"/>
    </xf>
    <xf numFmtId="0" fontId="87" fillId="42" borderId="30" xfId="548" applyFont="1" applyFill="1" applyBorder="1" applyAlignment="1">
      <alignment vertical="center"/>
    </xf>
    <xf numFmtId="0" fontId="88" fillId="42" borderId="30" xfId="548" applyFont="1" applyFill="1" applyBorder="1" applyAlignment="1">
      <alignment horizontal="center" vertical="center"/>
    </xf>
    <xf numFmtId="210" fontId="134" fillId="43" borderId="28" xfId="548" applyNumberFormat="1" applyFont="1" applyFill="1" applyBorder="1" applyAlignment="1">
      <alignment horizontal="center" vertical="center"/>
    </xf>
    <xf numFmtId="210" fontId="88" fillId="43" borderId="28" xfId="548" applyNumberFormat="1" applyFont="1" applyFill="1" applyBorder="1" applyAlignment="1">
      <alignment horizontal="center" vertical="center"/>
    </xf>
    <xf numFmtId="0" fontId="90" fillId="43" borderId="0" xfId="548" applyFont="1" applyFill="1" applyAlignment="1">
      <alignment horizontal="left"/>
    </xf>
    <xf numFmtId="3" fontId="95" fillId="43" borderId="23" xfId="548" applyNumberFormat="1" applyFont="1" applyFill="1" applyBorder="1" applyAlignment="1">
      <alignment horizontal="center"/>
    </xf>
    <xf numFmtId="3" fontId="91" fillId="43" borderId="23" xfId="548" applyNumberFormat="1" applyFont="1" applyFill="1" applyBorder="1" applyAlignment="1">
      <alignment horizontal="center"/>
    </xf>
    <xf numFmtId="3" fontId="95" fillId="43" borderId="0" xfId="548" applyNumberFormat="1" applyFont="1" applyFill="1" applyAlignment="1">
      <alignment horizontal="center"/>
    </xf>
    <xf numFmtId="3" fontId="91" fillId="43" borderId="0" xfId="548" applyNumberFormat="1" applyFont="1" applyFill="1" applyAlignment="1">
      <alignment horizontal="center"/>
    </xf>
    <xf numFmtId="211" fontId="90" fillId="43" borderId="28" xfId="549" applyNumberFormat="1" applyFont="1" applyFill="1" applyBorder="1" applyAlignment="1">
      <alignment horizontal="left" vertical="center"/>
    </xf>
    <xf numFmtId="3" fontId="95" fillId="43" borderId="28" xfId="548" applyNumberFormat="1" applyFont="1" applyFill="1" applyBorder="1" applyAlignment="1">
      <alignment horizontal="center"/>
    </xf>
    <xf numFmtId="3" fontId="91" fillId="43" borderId="28" xfId="548" applyNumberFormat="1" applyFont="1" applyFill="1" applyBorder="1" applyAlignment="1">
      <alignment horizontal="center"/>
    </xf>
    <xf numFmtId="3" fontId="47" fillId="0" borderId="0" xfId="548" applyNumberFormat="1" applyFont="1" applyAlignment="1">
      <alignment horizontal="center"/>
    </xf>
    <xf numFmtId="0" fontId="93" fillId="42" borderId="30" xfId="548" applyFont="1" applyFill="1" applyBorder="1" applyAlignment="1">
      <alignment vertical="center"/>
    </xf>
    <xf numFmtId="210" fontId="87" fillId="43" borderId="28" xfId="548" applyNumberFormat="1" applyFont="1" applyFill="1" applyBorder="1" applyAlignment="1">
      <alignment horizontal="center" vertical="center"/>
    </xf>
    <xf numFmtId="0" fontId="94" fillId="0" borderId="0" xfId="548" applyFont="1" applyAlignment="1" applyProtection="1">
      <alignment horizontal="center"/>
      <protection locked="0"/>
    </xf>
    <xf numFmtId="3" fontId="94" fillId="43" borderId="0" xfId="548" applyNumberFormat="1" applyFont="1" applyFill="1" applyAlignment="1">
      <alignment horizontal="center"/>
    </xf>
    <xf numFmtId="211" fontId="87" fillId="43" borderId="31" xfId="549" applyNumberFormat="1" applyFont="1" applyFill="1" applyBorder="1" applyAlignment="1">
      <alignment horizontal="left" vertical="center"/>
    </xf>
    <xf numFmtId="211" fontId="92" fillId="43" borderId="31" xfId="549" applyNumberFormat="1" applyFont="1" applyFill="1" applyBorder="1" applyAlignment="1">
      <alignment horizontal="center" vertical="center"/>
    </xf>
    <xf numFmtId="211" fontId="97" fillId="43" borderId="31" xfId="549" applyNumberFormat="1" applyFont="1" applyFill="1" applyBorder="1" applyAlignment="1">
      <alignment horizontal="center" vertical="center"/>
    </xf>
    <xf numFmtId="210" fontId="87" fillId="0" borderId="0" xfId="548" applyNumberFormat="1" applyFont="1" applyAlignment="1">
      <alignment horizontal="left" vertical="center"/>
    </xf>
    <xf numFmtId="0" fontId="135" fillId="42" borderId="30" xfId="548" applyFont="1" applyFill="1" applyBorder="1" applyAlignment="1">
      <alignment vertical="center"/>
    </xf>
    <xf numFmtId="210" fontId="87" fillId="43" borderId="28" xfId="548" applyNumberFormat="1" applyFont="1" applyFill="1" applyBorder="1" applyAlignment="1">
      <alignment horizontal="left" vertical="center"/>
    </xf>
    <xf numFmtId="0" fontId="87" fillId="44" borderId="32" xfId="548" applyFont="1" applyFill="1" applyBorder="1" applyAlignment="1">
      <alignment horizontal="left" vertical="center"/>
    </xf>
    <xf numFmtId="0" fontId="92" fillId="44" borderId="32" xfId="548" applyFont="1" applyFill="1" applyBorder="1" applyAlignment="1">
      <alignment horizontal="left" vertical="center"/>
    </xf>
    <xf numFmtId="0" fontId="90" fillId="43" borderId="0" xfId="548" applyFont="1" applyFill="1"/>
    <xf numFmtId="0" fontId="90" fillId="43" borderId="0" xfId="548" applyFont="1" applyFill="1" applyAlignment="1">
      <alignment horizontal="center"/>
    </xf>
    <xf numFmtId="185" fontId="94" fillId="43" borderId="0" xfId="548" applyNumberFormat="1" applyFont="1" applyFill="1" applyAlignment="1" applyProtection="1">
      <alignment horizontal="center"/>
      <protection locked="0"/>
    </xf>
    <xf numFmtId="0" fontId="47" fillId="43" borderId="0" xfId="548" applyFont="1" applyFill="1" applyAlignment="1">
      <alignment horizontal="left"/>
    </xf>
    <xf numFmtId="0" fontId="47" fillId="43" borderId="0" xfId="548" applyFont="1" applyFill="1" applyAlignment="1">
      <alignment horizontal="center"/>
    </xf>
    <xf numFmtId="0" fontId="94" fillId="43" borderId="0" xfId="548" applyFont="1" applyFill="1" applyAlignment="1" applyProtection="1">
      <alignment horizontal="center"/>
      <protection locked="0"/>
    </xf>
    <xf numFmtId="0" fontId="94" fillId="43" borderId="0" xfId="548" applyFont="1" applyFill="1" applyAlignment="1">
      <alignment horizontal="center"/>
    </xf>
    <xf numFmtId="9" fontId="95" fillId="0" borderId="0" xfId="548" applyNumberFormat="1" applyFont="1" applyAlignment="1">
      <alignment horizontal="center"/>
    </xf>
    <xf numFmtId="0" fontId="132" fillId="43" borderId="0" xfId="415" applyFont="1" applyFill="1" applyAlignment="1">
      <alignment horizontal="left"/>
    </xf>
    <xf numFmtId="0" fontId="90" fillId="0" borderId="0" xfId="548" applyFont="1"/>
    <xf numFmtId="0" fontId="90" fillId="0" borderId="0" xfId="548" applyFont="1" applyAlignment="1">
      <alignment horizontal="center"/>
    </xf>
    <xf numFmtId="0" fontId="87" fillId="44" borderId="33" xfId="548" applyFont="1" applyFill="1" applyBorder="1" applyAlignment="1">
      <alignment horizontal="left" vertical="center"/>
    </xf>
    <xf numFmtId="0" fontId="92" fillId="44" borderId="33" xfId="548" applyFont="1" applyFill="1" applyBorder="1" applyAlignment="1">
      <alignment horizontal="left" vertical="center"/>
    </xf>
    <xf numFmtId="0" fontId="136" fillId="44" borderId="33" xfId="548" applyFont="1" applyFill="1" applyBorder="1" applyAlignment="1">
      <alignment horizontal="center" vertical="center"/>
    </xf>
    <xf numFmtId="9" fontId="94" fillId="43" borderId="0" xfId="548" applyNumberFormat="1" applyFont="1" applyFill="1" applyAlignment="1" applyProtection="1">
      <alignment horizontal="center"/>
      <protection locked="0"/>
    </xf>
    <xf numFmtId="0" fontId="137" fillId="43" borderId="0" xfId="548" applyFont="1" applyFill="1" applyAlignment="1">
      <alignment horizontal="center"/>
    </xf>
    <xf numFmtId="9" fontId="94" fillId="0" borderId="0" xfId="548" applyNumberFormat="1" applyFont="1" applyAlignment="1" applyProtection="1">
      <alignment horizontal="center"/>
      <protection locked="0"/>
    </xf>
    <xf numFmtId="0" fontId="92" fillId="44" borderId="33" xfId="548" applyFont="1" applyFill="1" applyBorder="1" applyAlignment="1">
      <alignment horizontal="center" vertical="center"/>
    </xf>
    <xf numFmtId="3" fontId="94" fillId="0" borderId="0" xfId="550" applyNumberFormat="1" applyFont="1" applyAlignment="1" applyProtection="1">
      <alignment horizontal="center"/>
      <protection locked="0"/>
    </xf>
    <xf numFmtId="0" fontId="47" fillId="43" borderId="0" xfId="548" applyFont="1" applyFill="1"/>
    <xf numFmtId="0" fontId="2" fillId="0" borderId="0" xfId="548"/>
    <xf numFmtId="10" fontId="91" fillId="43" borderId="0" xfId="548" applyNumberFormat="1" applyFont="1" applyFill="1" applyAlignment="1">
      <alignment horizontal="center"/>
    </xf>
    <xf numFmtId="0" fontId="88" fillId="44" borderId="33" xfId="548" applyFont="1" applyFill="1" applyBorder="1" applyAlignment="1">
      <alignment horizontal="center" vertical="center"/>
    </xf>
    <xf numFmtId="9" fontId="91" fillId="43" borderId="0" xfId="548" applyNumberFormat="1" applyFont="1" applyFill="1" applyAlignment="1" applyProtection="1">
      <alignment horizontal="center"/>
      <protection locked="0"/>
    </xf>
    <xf numFmtId="3" fontId="90" fillId="43" borderId="28" xfId="548" applyNumberFormat="1" applyFont="1" applyFill="1" applyBorder="1" applyAlignment="1">
      <alignment horizontal="left"/>
    </xf>
    <xf numFmtId="3" fontId="90" fillId="43" borderId="28" xfId="548" applyNumberFormat="1" applyFont="1" applyFill="1" applyBorder="1" applyAlignment="1">
      <alignment horizontal="center"/>
    </xf>
    <xf numFmtId="9" fontId="91" fillId="43" borderId="28" xfId="549" applyFont="1" applyFill="1" applyBorder="1" applyAlignment="1" applyProtection="1">
      <alignment horizontal="center"/>
      <protection locked="0"/>
    </xf>
    <xf numFmtId="0" fontId="47" fillId="0" borderId="0" xfId="548" applyFont="1" applyAlignment="1">
      <alignment horizontal="left"/>
    </xf>
    <xf numFmtId="0" fontId="2" fillId="0" borderId="0" xfId="548" applyAlignment="1">
      <alignment horizontal="left"/>
    </xf>
    <xf numFmtId="0" fontId="135" fillId="45" borderId="30" xfId="548" applyFont="1" applyFill="1" applyBorder="1" applyAlignment="1">
      <alignment vertical="center"/>
    </xf>
    <xf numFmtId="212" fontId="134" fillId="43" borderId="28" xfId="548" applyNumberFormat="1" applyFont="1" applyFill="1" applyBorder="1" applyAlignment="1">
      <alignment horizontal="center" vertical="center"/>
    </xf>
    <xf numFmtId="213" fontId="47" fillId="43" borderId="0" xfId="548" applyNumberFormat="1" applyFont="1" applyFill="1" applyAlignment="1">
      <alignment horizontal="center"/>
    </xf>
    <xf numFmtId="9" fontId="47" fillId="43" borderId="0" xfId="548" applyNumberFormat="1" applyFont="1" applyFill="1" applyAlignment="1">
      <alignment horizontal="center"/>
    </xf>
    <xf numFmtId="214" fontId="47" fillId="43" borderId="0" xfId="548" applyNumberFormat="1" applyFont="1" applyFill="1" applyAlignment="1">
      <alignment horizontal="center"/>
    </xf>
    <xf numFmtId="211" fontId="89" fillId="43" borderId="0" xfId="549" applyNumberFormat="1" applyFont="1" applyFill="1" applyAlignment="1">
      <alignment horizontal="left" vertical="center"/>
    </xf>
    <xf numFmtId="211" fontId="89" fillId="43" borderId="28" xfId="549" applyNumberFormat="1" applyFont="1" applyFill="1" applyBorder="1" applyAlignment="1">
      <alignment horizontal="left" vertical="center"/>
    </xf>
    <xf numFmtId="214" fontId="89" fillId="43" borderId="28" xfId="549" applyNumberFormat="1" applyFont="1" applyFill="1" applyBorder="1" applyAlignment="1">
      <alignment horizontal="center" vertical="center"/>
    </xf>
    <xf numFmtId="0" fontId="3" fillId="0" borderId="0" xfId="548" applyFont="1"/>
    <xf numFmtId="0" fontId="135" fillId="45" borderId="30" xfId="548" applyFont="1" applyFill="1" applyBorder="1" applyAlignment="1">
      <alignment horizontal="left" vertical="center"/>
    </xf>
    <xf numFmtId="9" fontId="135" fillId="45" borderId="30" xfId="549" applyFont="1" applyFill="1" applyBorder="1" applyAlignment="1">
      <alignment horizontal="left" vertical="center"/>
    </xf>
    <xf numFmtId="210" fontId="134" fillId="43" borderId="28" xfId="548" applyNumberFormat="1" applyFont="1" applyFill="1" applyBorder="1" applyAlignment="1">
      <alignment horizontal="left" vertical="center"/>
    </xf>
    <xf numFmtId="9" fontId="134" fillId="43" borderId="28" xfId="549" applyFont="1" applyFill="1" applyBorder="1" applyAlignment="1">
      <alignment horizontal="center" vertical="center"/>
    </xf>
    <xf numFmtId="210" fontId="134" fillId="43" borderId="34" xfId="548" applyNumberFormat="1" applyFont="1" applyFill="1" applyBorder="1" applyAlignment="1">
      <alignment horizontal="center" vertical="center"/>
    </xf>
    <xf numFmtId="0" fontId="99" fillId="44" borderId="32" xfId="548" applyFont="1" applyFill="1" applyBorder="1" applyAlignment="1">
      <alignment horizontal="left" vertical="center"/>
    </xf>
    <xf numFmtId="0" fontId="100" fillId="44" borderId="35" xfId="548" applyFont="1" applyFill="1" applyBorder="1" applyAlignment="1">
      <alignment horizontal="left" vertical="center"/>
    </xf>
    <xf numFmtId="0" fontId="100" fillId="44" borderId="32" xfId="548" applyFont="1" applyFill="1" applyBorder="1" applyAlignment="1">
      <alignment horizontal="left" vertical="center"/>
    </xf>
    <xf numFmtId="9" fontId="91" fillId="43" borderId="0" xfId="549" applyFont="1" applyFill="1" applyAlignment="1">
      <alignment horizontal="center"/>
    </xf>
    <xf numFmtId="211" fontId="89" fillId="43" borderId="36" xfId="549" applyNumberFormat="1" applyFont="1" applyFill="1" applyBorder="1" applyAlignment="1">
      <alignment horizontal="center" vertical="center"/>
    </xf>
    <xf numFmtId="211" fontId="89" fillId="43" borderId="0" xfId="549" applyNumberFormat="1" applyFont="1" applyFill="1" applyAlignment="1">
      <alignment horizontal="center" vertical="center"/>
    </xf>
    <xf numFmtId="211" fontId="47" fillId="0" borderId="0" xfId="548" applyNumberFormat="1" applyFont="1" applyAlignment="1">
      <alignment horizontal="center"/>
    </xf>
    <xf numFmtId="0" fontId="137" fillId="43" borderId="37" xfId="548" applyFont="1" applyFill="1" applyBorder="1"/>
    <xf numFmtId="3" fontId="137" fillId="43" borderId="37" xfId="548" applyNumberFormat="1" applyFont="1" applyFill="1" applyBorder="1" applyAlignment="1">
      <alignment horizontal="center"/>
    </xf>
    <xf numFmtId="9" fontId="137" fillId="43" borderId="37" xfId="549" applyFont="1" applyFill="1" applyBorder="1" applyAlignment="1">
      <alignment horizontal="center"/>
    </xf>
    <xf numFmtId="211" fontId="137" fillId="43" borderId="37" xfId="548" applyNumberFormat="1" applyFont="1" applyFill="1" applyBorder="1" applyAlignment="1">
      <alignment horizontal="center"/>
    </xf>
    <xf numFmtId="211" fontId="92" fillId="43" borderId="31" xfId="549" applyNumberFormat="1" applyFont="1" applyFill="1" applyBorder="1" applyAlignment="1">
      <alignment horizontal="left" vertical="center"/>
    </xf>
    <xf numFmtId="9" fontId="92" fillId="43" borderId="31" xfId="549" applyFont="1" applyFill="1" applyBorder="1" applyAlignment="1">
      <alignment horizontal="center" vertical="center"/>
    </xf>
    <xf numFmtId="211" fontId="92" fillId="43" borderId="39" xfId="549" applyNumberFormat="1" applyFont="1" applyFill="1" applyBorder="1" applyAlignment="1">
      <alignment horizontal="center" vertical="center"/>
    </xf>
    <xf numFmtId="0" fontId="135" fillId="45" borderId="30" xfId="548" applyFont="1" applyFill="1" applyBorder="1" applyAlignment="1">
      <alignment horizontal="center" vertical="center"/>
    </xf>
    <xf numFmtId="215" fontId="47" fillId="0" borderId="0" xfId="548" applyNumberFormat="1" applyFont="1"/>
    <xf numFmtId="212" fontId="134" fillId="43" borderId="40" xfId="548" applyNumberFormat="1" applyFont="1" applyFill="1" applyBorder="1" applyAlignment="1">
      <alignment horizontal="center" vertical="center"/>
    </xf>
    <xf numFmtId="215" fontId="47" fillId="0" borderId="0" xfId="548" applyNumberFormat="1" applyFont="1" applyAlignment="1">
      <alignment horizontal="center"/>
    </xf>
    <xf numFmtId="0" fontId="99" fillId="44" borderId="41" xfId="548" applyFont="1" applyFill="1" applyBorder="1" applyAlignment="1">
      <alignment horizontal="left" vertical="center"/>
    </xf>
    <xf numFmtId="0" fontId="99" fillId="44" borderId="42" xfId="548" applyFont="1" applyFill="1" applyBorder="1" applyAlignment="1">
      <alignment horizontal="left" vertical="center"/>
    </xf>
    <xf numFmtId="0" fontId="99" fillId="44" borderId="32" xfId="548" applyFont="1" applyFill="1" applyBorder="1" applyAlignment="1">
      <alignment horizontal="center" vertical="center"/>
    </xf>
    <xf numFmtId="0" fontId="47" fillId="43" borderId="16" xfId="548" applyFont="1" applyFill="1" applyBorder="1"/>
    <xf numFmtId="211" fontId="47" fillId="43" borderId="0" xfId="548" applyNumberFormat="1" applyFont="1" applyFill="1" applyAlignment="1">
      <alignment horizontal="center"/>
    </xf>
    <xf numFmtId="0" fontId="99" fillId="44" borderId="43" xfId="548" applyFont="1" applyFill="1" applyBorder="1" applyAlignment="1">
      <alignment horizontal="left" vertical="center"/>
    </xf>
    <xf numFmtId="0" fontId="90" fillId="43" borderId="16" xfId="551" applyFont="1" applyFill="1" applyBorder="1" applyAlignment="1">
      <alignment wrapText="1"/>
    </xf>
    <xf numFmtId="211" fontId="91" fillId="43" borderId="0" xfId="548" applyNumberFormat="1" applyFont="1" applyFill="1" applyAlignment="1">
      <alignment horizontal="center"/>
    </xf>
    <xf numFmtId="0" fontId="89" fillId="0" borderId="0" xfId="551" applyFont="1"/>
    <xf numFmtId="0" fontId="90" fillId="43" borderId="0" xfId="551" applyFont="1" applyFill="1" applyAlignment="1">
      <alignment wrapText="1"/>
    </xf>
    <xf numFmtId="181" fontId="95" fillId="43" borderId="0" xfId="283" applyNumberFormat="1" applyFont="1" applyFill="1" applyAlignment="1">
      <alignment horizontal="center"/>
    </xf>
    <xf numFmtId="0" fontId="89" fillId="0" borderId="0" xfId="551" applyFont="1" applyAlignment="1">
      <alignment horizontal="center"/>
    </xf>
    <xf numFmtId="176" fontId="91" fillId="43" borderId="0" xfId="283" applyNumberFormat="1" applyFont="1" applyFill="1" applyAlignment="1">
      <alignment horizontal="center"/>
    </xf>
    <xf numFmtId="0" fontId="95" fillId="0" borderId="0" xfId="551" applyFont="1"/>
    <xf numFmtId="216" fontId="95" fillId="43" borderId="0" xfId="283" applyNumberFormat="1" applyFont="1" applyFill="1" applyAlignment="1">
      <alignment horizontal="center"/>
    </xf>
    <xf numFmtId="0" fontId="138" fillId="0" borderId="0" xfId="551" applyFont="1"/>
    <xf numFmtId="0" fontId="138" fillId="0" borderId="0" xfId="551" applyFont="1" applyAlignment="1">
      <alignment horizontal="center"/>
    </xf>
    <xf numFmtId="0" fontId="99" fillId="44" borderId="44" xfId="548" applyFont="1" applyFill="1" applyBorder="1" applyAlignment="1">
      <alignment horizontal="left" vertical="center"/>
    </xf>
    <xf numFmtId="0" fontId="99" fillId="44" borderId="45" xfId="548" applyFont="1" applyFill="1" applyBorder="1" applyAlignment="1">
      <alignment horizontal="left" vertical="center"/>
    </xf>
    <xf numFmtId="0" fontId="99" fillId="44" borderId="46" xfId="548" applyFont="1" applyFill="1" applyBorder="1" applyAlignment="1">
      <alignment horizontal="left" vertical="center"/>
    </xf>
    <xf numFmtId="0" fontId="99" fillId="44" borderId="45" xfId="548" applyFont="1" applyFill="1" applyBorder="1" applyAlignment="1">
      <alignment horizontal="center" vertical="center"/>
    </xf>
    <xf numFmtId="9" fontId="47" fillId="43" borderId="0" xfId="549" applyFont="1" applyFill="1" applyAlignment="1">
      <alignment horizontal="center"/>
    </xf>
    <xf numFmtId="0" fontId="47" fillId="0" borderId="0" xfId="550" applyFont="1"/>
    <xf numFmtId="0" fontId="47" fillId="43" borderId="0" xfId="550" applyFont="1" applyFill="1"/>
    <xf numFmtId="0" fontId="47" fillId="43" borderId="16" xfId="550" applyFont="1" applyFill="1" applyBorder="1"/>
    <xf numFmtId="185" fontId="47" fillId="43" borderId="0" xfId="549" applyNumberFormat="1" applyFont="1" applyFill="1" applyAlignment="1">
      <alignment horizontal="center"/>
    </xf>
    <xf numFmtId="176" fontId="47" fillId="43" borderId="0" xfId="550" applyNumberFormat="1" applyFont="1" applyFill="1" applyAlignment="1">
      <alignment horizontal="center"/>
    </xf>
    <xf numFmtId="2" fontId="47" fillId="43" borderId="0" xfId="548" applyNumberFormat="1" applyFont="1" applyFill="1" applyAlignment="1">
      <alignment horizontal="center"/>
    </xf>
    <xf numFmtId="211" fontId="92" fillId="43" borderId="28" xfId="549" applyNumberFormat="1" applyFont="1" applyFill="1" applyBorder="1" applyAlignment="1">
      <alignment horizontal="left" vertical="center"/>
    </xf>
    <xf numFmtId="211" fontId="92" fillId="43" borderId="40" xfId="549" applyNumberFormat="1" applyFont="1" applyFill="1" applyBorder="1" applyAlignment="1">
      <alignment horizontal="left" vertical="center"/>
    </xf>
    <xf numFmtId="211" fontId="89" fillId="43" borderId="28" xfId="549" applyNumberFormat="1" applyFont="1" applyFill="1" applyBorder="1" applyAlignment="1">
      <alignment horizontal="center" vertical="center"/>
    </xf>
    <xf numFmtId="0" fontId="89" fillId="43" borderId="0" xfId="548" applyFont="1" applyFill="1" applyAlignment="1">
      <alignment horizontal="left"/>
    </xf>
    <xf numFmtId="9" fontId="94" fillId="43" borderId="0" xfId="549" applyFont="1" applyFill="1" applyAlignment="1">
      <alignment horizontal="center"/>
    </xf>
    <xf numFmtId="214" fontId="89" fillId="43" borderId="28" xfId="549" applyNumberFormat="1" applyFont="1" applyFill="1" applyBorder="1" applyAlignment="1">
      <alignment horizontal="left" vertical="center"/>
    </xf>
    <xf numFmtId="9" fontId="94" fillId="43" borderId="28" xfId="549" applyFont="1" applyFill="1" applyBorder="1" applyAlignment="1">
      <alignment horizontal="center" vertical="center"/>
    </xf>
    <xf numFmtId="9" fontId="97" fillId="40" borderId="47" xfId="549" applyFont="1" applyFill="1" applyBorder="1" applyAlignment="1">
      <alignment horizontal="center" vertical="center"/>
    </xf>
    <xf numFmtId="9" fontId="88" fillId="43" borderId="28" xfId="549" applyFont="1" applyFill="1" applyBorder="1" applyAlignment="1">
      <alignment horizontal="center" vertical="center"/>
    </xf>
    <xf numFmtId="211" fontId="91" fillId="40" borderId="48" xfId="548" applyNumberFormat="1" applyFont="1" applyFill="1" applyBorder="1" applyAlignment="1">
      <alignment horizontal="center"/>
    </xf>
    <xf numFmtId="9" fontId="91" fillId="40" borderId="48" xfId="548" applyNumberFormat="1" applyFont="1" applyFill="1" applyBorder="1" applyAlignment="1">
      <alignment horizontal="center"/>
    </xf>
    <xf numFmtId="9" fontId="91" fillId="43" borderId="0" xfId="548" applyNumberFormat="1" applyFont="1" applyFill="1" applyAlignment="1">
      <alignment horizontal="center"/>
    </xf>
    <xf numFmtId="214" fontId="91" fillId="40" borderId="48" xfId="548" applyNumberFormat="1" applyFont="1" applyFill="1" applyBorder="1" applyAlignment="1">
      <alignment horizontal="center"/>
    </xf>
    <xf numFmtId="214" fontId="91" fillId="43" borderId="0" xfId="548" applyNumberFormat="1" applyFont="1" applyFill="1" applyAlignment="1">
      <alignment horizontal="center"/>
    </xf>
    <xf numFmtId="214" fontId="89" fillId="40" borderId="49" xfId="549" applyNumberFormat="1" applyFont="1" applyFill="1" applyBorder="1" applyAlignment="1">
      <alignment horizontal="center" vertical="center"/>
    </xf>
    <xf numFmtId="214" fontId="91" fillId="0" borderId="0" xfId="548" applyNumberFormat="1" applyFont="1" applyAlignment="1">
      <alignment horizontal="center"/>
    </xf>
    <xf numFmtId="0" fontId="93" fillId="41" borderId="0" xfId="550" applyFont="1" applyFill="1"/>
    <xf numFmtId="0" fontId="93" fillId="41" borderId="0" xfId="550" applyFont="1" applyFill="1" applyAlignment="1">
      <alignment horizontal="center"/>
    </xf>
    <xf numFmtId="202" fontId="93" fillId="41" borderId="0" xfId="550" applyNumberFormat="1" applyFont="1" applyFill="1" applyAlignment="1">
      <alignment horizontal="center"/>
    </xf>
    <xf numFmtId="0" fontId="47" fillId="0" borderId="0" xfId="550" applyFont="1" applyAlignment="1">
      <alignment horizontal="center"/>
    </xf>
    <xf numFmtId="0" fontId="135" fillId="45" borderId="30" xfId="550" applyFont="1" applyFill="1" applyBorder="1" applyAlignment="1">
      <alignment vertical="center"/>
    </xf>
    <xf numFmtId="0" fontId="135" fillId="45" borderId="30" xfId="550" applyFont="1" applyFill="1" applyBorder="1" applyAlignment="1">
      <alignment horizontal="center" vertical="center"/>
    </xf>
    <xf numFmtId="212" fontId="134" fillId="43" borderId="28" xfId="550" applyNumberFormat="1" applyFont="1" applyFill="1" applyBorder="1" applyAlignment="1">
      <alignment horizontal="center" vertical="center"/>
    </xf>
    <xf numFmtId="210" fontId="134" fillId="43" borderId="28" xfId="550" applyNumberFormat="1" applyFont="1" applyFill="1" applyBorder="1" applyAlignment="1">
      <alignment horizontal="center" vertical="center"/>
    </xf>
    <xf numFmtId="211" fontId="47" fillId="43" borderId="0" xfId="550" applyNumberFormat="1" applyFont="1" applyFill="1" applyAlignment="1">
      <alignment horizontal="center"/>
    </xf>
    <xf numFmtId="217" fontId="89" fillId="43" borderId="0" xfId="550" applyNumberFormat="1" applyFont="1" applyFill="1" applyAlignment="1">
      <alignment vertical="center"/>
    </xf>
    <xf numFmtId="211" fontId="89" fillId="43" borderId="0" xfId="550" applyNumberFormat="1" applyFont="1" applyFill="1" applyAlignment="1">
      <alignment horizontal="center" vertical="center"/>
    </xf>
    <xf numFmtId="0" fontId="92" fillId="43" borderId="50" xfId="550" applyFont="1" applyFill="1" applyBorder="1" applyAlignment="1">
      <alignment vertical="center"/>
    </xf>
    <xf numFmtId="211" fontId="92" fillId="43" borderId="50" xfId="550" applyNumberFormat="1" applyFont="1" applyFill="1" applyBorder="1" applyAlignment="1">
      <alignment horizontal="center" vertical="center"/>
    </xf>
    <xf numFmtId="0" fontId="137" fillId="0" borderId="0" xfId="550" applyFont="1" applyAlignment="1">
      <alignment horizontal="center"/>
    </xf>
    <xf numFmtId="0" fontId="137" fillId="0" borderId="0" xfId="550" applyFont="1"/>
    <xf numFmtId="218" fontId="89" fillId="43" borderId="0" xfId="550" applyNumberFormat="1" applyFont="1" applyFill="1" applyAlignment="1">
      <alignment vertical="center"/>
    </xf>
    <xf numFmtId="218" fontId="92" fillId="43" borderId="50" xfId="550" applyNumberFormat="1" applyFont="1" applyFill="1" applyBorder="1" applyAlignment="1">
      <alignment vertical="center"/>
    </xf>
    <xf numFmtId="9" fontId="92" fillId="43" borderId="28" xfId="549" applyFont="1" applyFill="1" applyBorder="1" applyAlignment="1">
      <alignment horizontal="left" vertical="center"/>
    </xf>
    <xf numFmtId="9" fontId="92" fillId="43" borderId="28" xfId="549" applyFont="1" applyFill="1" applyBorder="1" applyAlignment="1">
      <alignment horizontal="center" vertical="center"/>
    </xf>
    <xf numFmtId="9" fontId="92" fillId="43" borderId="28" xfId="471" applyFont="1" applyFill="1" applyBorder="1" applyAlignment="1">
      <alignment horizontal="center" vertical="center"/>
    </xf>
    <xf numFmtId="211" fontId="47" fillId="0" borderId="0" xfId="550" applyNumberFormat="1" applyFont="1" applyAlignment="1">
      <alignment horizontal="center"/>
    </xf>
    <xf numFmtId="0" fontId="99" fillId="44" borderId="41" xfId="550" applyFont="1" applyFill="1" applyBorder="1" applyAlignment="1">
      <alignment horizontal="left" vertical="center"/>
    </xf>
    <xf numFmtId="0" fontId="99" fillId="44" borderId="32" xfId="550" applyFont="1" applyFill="1" applyBorder="1" applyAlignment="1">
      <alignment horizontal="left" vertical="center"/>
    </xf>
    <xf numFmtId="218" fontId="89" fillId="43" borderId="21" xfId="550" applyNumberFormat="1" applyFont="1" applyFill="1" applyBorder="1" applyAlignment="1">
      <alignment vertical="center"/>
    </xf>
    <xf numFmtId="211" fontId="89" fillId="43" borderId="21" xfId="550" applyNumberFormat="1" applyFont="1" applyFill="1" applyBorder="1" applyAlignment="1">
      <alignment horizontal="center" vertical="center"/>
    </xf>
    <xf numFmtId="181" fontId="92" fillId="43" borderId="50" xfId="550" applyNumberFormat="1" applyFont="1" applyFill="1" applyBorder="1" applyAlignment="1">
      <alignment vertical="center"/>
    </xf>
    <xf numFmtId="9" fontId="92" fillId="43" borderId="0" xfId="549" applyFont="1" applyFill="1" applyAlignment="1">
      <alignment horizontal="left" vertical="center"/>
    </xf>
    <xf numFmtId="211" fontId="92" fillId="43" borderId="0" xfId="549" applyNumberFormat="1" applyFont="1" applyFill="1" applyAlignment="1">
      <alignment horizontal="center" vertical="center"/>
    </xf>
    <xf numFmtId="211" fontId="92" fillId="43" borderId="28" xfId="549" applyNumberFormat="1" applyFont="1" applyFill="1" applyBorder="1" applyAlignment="1">
      <alignment horizontal="center" vertical="center"/>
    </xf>
    <xf numFmtId="0" fontId="135" fillId="0" borderId="0" xfId="550" applyFont="1" applyAlignment="1">
      <alignment horizontal="center" vertical="center"/>
    </xf>
    <xf numFmtId="210" fontId="134" fillId="0" borderId="0" xfId="550" applyNumberFormat="1" applyFont="1" applyAlignment="1">
      <alignment horizontal="center" vertical="center"/>
    </xf>
    <xf numFmtId="211" fontId="47" fillId="0" borderId="0" xfId="550" applyNumberFormat="1" applyFont="1"/>
    <xf numFmtId="211" fontId="92" fillId="43" borderId="50" xfId="550" applyNumberFormat="1" applyFont="1" applyFill="1" applyBorder="1" applyAlignment="1">
      <alignment vertical="center"/>
    </xf>
    <xf numFmtId="211" fontId="92" fillId="0" borderId="0" xfId="550" applyNumberFormat="1" applyFont="1" applyAlignment="1">
      <alignment horizontal="center" vertical="center"/>
    </xf>
    <xf numFmtId="0" fontId="137" fillId="43" borderId="0" xfId="550" applyFont="1" applyFill="1"/>
    <xf numFmtId="211" fontId="137" fillId="43" borderId="0" xfId="550" applyNumberFormat="1" applyFont="1" applyFill="1" applyAlignment="1">
      <alignment horizontal="center"/>
    </xf>
    <xf numFmtId="211" fontId="137" fillId="0" borderId="0" xfId="550" applyNumberFormat="1" applyFont="1" applyAlignment="1">
      <alignment horizontal="center"/>
    </xf>
    <xf numFmtId="211" fontId="92" fillId="0" borderId="0" xfId="549" applyNumberFormat="1" applyFont="1" applyAlignment="1">
      <alignment horizontal="center" vertical="center"/>
    </xf>
    <xf numFmtId="211" fontId="89" fillId="43" borderId="0" xfId="550" applyNumberFormat="1" applyFont="1" applyFill="1" applyAlignment="1">
      <alignment vertical="center"/>
    </xf>
    <xf numFmtId="211" fontId="89" fillId="0" borderId="0" xfId="550" applyNumberFormat="1" applyFont="1" applyAlignment="1">
      <alignment horizontal="center" vertical="center"/>
    </xf>
    <xf numFmtId="0" fontId="137" fillId="43" borderId="51" xfId="550" applyFont="1" applyFill="1" applyBorder="1" applyAlignment="1">
      <alignment horizontal="left"/>
    </xf>
    <xf numFmtId="211" fontId="137" fillId="43" borderId="51" xfId="550" applyNumberFormat="1" applyFont="1" applyFill="1" applyBorder="1" applyAlignment="1">
      <alignment horizontal="center"/>
    </xf>
    <xf numFmtId="0" fontId="99" fillId="44" borderId="52" xfId="550" applyFont="1" applyFill="1" applyBorder="1" applyAlignment="1">
      <alignment horizontal="left" vertical="center"/>
    </xf>
    <xf numFmtId="0" fontId="99" fillId="44" borderId="53" xfId="550" applyFont="1" applyFill="1" applyBorder="1" applyAlignment="1">
      <alignment horizontal="left" vertical="center"/>
    </xf>
    <xf numFmtId="0" fontId="47" fillId="35" borderId="0" xfId="548" applyFont="1" applyFill="1"/>
    <xf numFmtId="211" fontId="47" fillId="35" borderId="0" xfId="548" applyNumberFormat="1" applyFont="1" applyFill="1" applyAlignment="1">
      <alignment horizontal="center"/>
    </xf>
    <xf numFmtId="211" fontId="92" fillId="0" borderId="0" xfId="549" applyNumberFormat="1" applyFont="1" applyAlignment="1">
      <alignment horizontal="left" vertical="center"/>
    </xf>
    <xf numFmtId="9" fontId="47" fillId="0" borderId="0" xfId="550" applyNumberFormat="1" applyFont="1"/>
    <xf numFmtId="9" fontId="47" fillId="43" borderId="0" xfId="550" applyNumberFormat="1" applyFont="1" applyFill="1" applyAlignment="1">
      <alignment horizontal="center"/>
    </xf>
    <xf numFmtId="214" fontId="47" fillId="43" borderId="0" xfId="550" applyNumberFormat="1" applyFont="1" applyFill="1" applyAlignment="1">
      <alignment horizontal="center"/>
    </xf>
    <xf numFmtId="210" fontId="134" fillId="43" borderId="0" xfId="550" applyNumberFormat="1" applyFont="1" applyFill="1" applyAlignment="1">
      <alignment horizontal="center" vertical="center"/>
    </xf>
    <xf numFmtId="0" fontId="94" fillId="43" borderId="0" xfId="551" applyFont="1" applyFill="1" applyAlignment="1">
      <alignment horizontal="center"/>
    </xf>
    <xf numFmtId="0" fontId="47" fillId="43" borderId="0" xfId="550" applyFont="1" applyFill="1" applyAlignment="1">
      <alignment horizontal="center"/>
    </xf>
    <xf numFmtId="0" fontId="89" fillId="43" borderId="0" xfId="551" applyFont="1" applyFill="1" applyAlignment="1">
      <alignment horizontal="center"/>
    </xf>
    <xf numFmtId="0" fontId="99" fillId="44" borderId="32" xfId="550" applyFont="1" applyFill="1" applyBorder="1" applyAlignment="1">
      <alignment horizontal="center" vertical="center"/>
    </xf>
    <xf numFmtId="181" fontId="91" fillId="43" borderId="0" xfId="283" applyNumberFormat="1" applyFont="1" applyFill="1" applyAlignment="1">
      <alignment horizontal="center"/>
    </xf>
    <xf numFmtId="176" fontId="89" fillId="43" borderId="0" xfId="551" applyNumberFormat="1" applyFont="1" applyFill="1" applyAlignment="1">
      <alignment horizontal="center"/>
    </xf>
    <xf numFmtId="219" fontId="89" fillId="43" borderId="28" xfId="549" applyNumberFormat="1" applyFont="1" applyFill="1" applyBorder="1" applyAlignment="1">
      <alignment horizontal="center" vertical="center"/>
    </xf>
    <xf numFmtId="210" fontId="134" fillId="0" borderId="0" xfId="550" applyNumberFormat="1" applyFont="1" applyAlignment="1">
      <alignment horizontal="left" vertical="center"/>
    </xf>
    <xf numFmtId="2" fontId="47" fillId="0" borderId="0" xfId="550" applyNumberFormat="1" applyFont="1" applyAlignment="1">
      <alignment horizontal="center"/>
    </xf>
    <xf numFmtId="0" fontId="93" fillId="41" borderId="0" xfId="550" applyFont="1" applyFill="1" applyProtection="1">
      <protection hidden="1"/>
    </xf>
    <xf numFmtId="0" fontId="93" fillId="41" borderId="0" xfId="550" applyFont="1" applyFill="1" applyAlignment="1" applyProtection="1">
      <alignment horizontal="center"/>
      <protection hidden="1"/>
    </xf>
    <xf numFmtId="202" fontId="93" fillId="41" borderId="0" xfId="550" applyNumberFormat="1" applyFont="1" applyFill="1" applyAlignment="1" applyProtection="1">
      <alignment horizontal="center"/>
      <protection hidden="1"/>
    </xf>
    <xf numFmtId="0" fontId="47" fillId="0" borderId="0" xfId="550" applyFont="1" applyAlignment="1" applyProtection="1">
      <alignment horizontal="center"/>
      <protection hidden="1"/>
    </xf>
    <xf numFmtId="9" fontId="95" fillId="0" borderId="0" xfId="550" applyNumberFormat="1" applyFont="1" applyAlignment="1" applyProtection="1">
      <alignment horizontal="center"/>
      <protection hidden="1"/>
    </xf>
    <xf numFmtId="0" fontId="95" fillId="0" borderId="0" xfId="550" applyFont="1" applyAlignment="1" applyProtection="1">
      <alignment horizontal="center"/>
      <protection hidden="1"/>
    </xf>
    <xf numFmtId="0" fontId="47" fillId="0" borderId="0" xfId="550" applyFont="1" applyProtection="1">
      <protection hidden="1"/>
    </xf>
    <xf numFmtId="0" fontId="26" fillId="0" borderId="0" xfId="552"/>
    <xf numFmtId="0" fontId="135" fillId="45" borderId="30" xfId="550" applyFont="1" applyFill="1" applyBorder="1" applyAlignment="1" applyProtection="1">
      <alignment vertical="center"/>
      <protection hidden="1"/>
    </xf>
    <xf numFmtId="210" fontId="87" fillId="43" borderId="28" xfId="550" applyNumberFormat="1" applyFont="1" applyFill="1" applyBorder="1" applyAlignment="1" applyProtection="1">
      <alignment horizontal="center" vertical="center"/>
      <protection hidden="1"/>
    </xf>
    <xf numFmtId="220" fontId="91" fillId="43" borderId="23" xfId="550" applyNumberFormat="1" applyFont="1" applyFill="1" applyBorder="1" applyAlignment="1" applyProtection="1">
      <alignment horizontal="center" vertical="center"/>
      <protection hidden="1"/>
    </xf>
    <xf numFmtId="211" fontId="95" fillId="43" borderId="23" xfId="550" applyNumberFormat="1" applyFont="1" applyFill="1" applyBorder="1" applyAlignment="1" applyProtection="1">
      <alignment horizontal="center" vertical="center"/>
      <protection hidden="1"/>
    </xf>
    <xf numFmtId="211" fontId="91" fillId="43" borderId="23" xfId="550" applyNumberFormat="1" applyFont="1" applyFill="1" applyBorder="1" applyAlignment="1" applyProtection="1">
      <alignment horizontal="center" vertical="center"/>
      <protection hidden="1"/>
    </xf>
    <xf numFmtId="9" fontId="95" fillId="43" borderId="23" xfId="549" applyFont="1" applyFill="1" applyBorder="1" applyAlignment="1" applyProtection="1">
      <alignment horizontal="center" vertical="center"/>
      <protection locked="0"/>
    </xf>
    <xf numFmtId="211" fontId="95" fillId="43" borderId="23" xfId="550" applyNumberFormat="1" applyFont="1" applyFill="1" applyBorder="1" applyAlignment="1" applyProtection="1">
      <alignment horizontal="center" vertical="center"/>
      <protection locked="0"/>
    </xf>
    <xf numFmtId="220" fontId="91" fillId="43" borderId="0" xfId="550" applyNumberFormat="1" applyFont="1" applyFill="1" applyAlignment="1" applyProtection="1">
      <alignment horizontal="center" vertical="center"/>
      <protection hidden="1"/>
    </xf>
    <xf numFmtId="211" fontId="95" fillId="43" borderId="0" xfId="550" applyNumberFormat="1" applyFont="1" applyFill="1" applyAlignment="1" applyProtection="1">
      <alignment horizontal="center" vertical="center"/>
      <protection hidden="1"/>
    </xf>
    <xf numFmtId="211" fontId="91" fillId="43" borderId="0" xfId="550" applyNumberFormat="1" applyFont="1" applyFill="1" applyAlignment="1" applyProtection="1">
      <alignment horizontal="center" vertical="center"/>
      <protection hidden="1"/>
    </xf>
    <xf numFmtId="9" fontId="95" fillId="43" borderId="0" xfId="549" applyFont="1" applyFill="1" applyAlignment="1" applyProtection="1">
      <alignment horizontal="center" vertical="center"/>
      <protection locked="0"/>
    </xf>
    <xf numFmtId="211" fontId="95" fillId="43" borderId="0" xfId="550" applyNumberFormat="1" applyFont="1" applyFill="1" applyAlignment="1" applyProtection="1">
      <alignment horizontal="center" vertical="center"/>
      <protection locked="0"/>
    </xf>
    <xf numFmtId="220" fontId="91" fillId="43" borderId="21" xfId="550" applyNumberFormat="1" applyFont="1" applyFill="1" applyBorder="1" applyAlignment="1" applyProtection="1">
      <alignment horizontal="center" vertical="center"/>
      <protection hidden="1"/>
    </xf>
    <xf numFmtId="211" fontId="95" fillId="43" borderId="21" xfId="550" applyNumberFormat="1" applyFont="1" applyFill="1" applyBorder="1" applyAlignment="1" applyProtection="1">
      <alignment horizontal="center" vertical="center"/>
      <protection hidden="1"/>
    </xf>
    <xf numFmtId="211" fontId="91" fillId="43" borderId="21" xfId="550" applyNumberFormat="1" applyFont="1" applyFill="1" applyBorder="1" applyAlignment="1" applyProtection="1">
      <alignment horizontal="center" vertical="center"/>
      <protection hidden="1"/>
    </xf>
    <xf numFmtId="9" fontId="95" fillId="43" borderId="21" xfId="549" applyFont="1" applyFill="1" applyBorder="1" applyAlignment="1" applyProtection="1">
      <alignment horizontal="center" vertical="center"/>
      <protection locked="0"/>
    </xf>
    <xf numFmtId="211" fontId="95" fillId="43" borderId="21" xfId="550" applyNumberFormat="1" applyFont="1" applyFill="1" applyBorder="1" applyAlignment="1" applyProtection="1">
      <alignment horizontal="center" vertical="center"/>
      <protection locked="0"/>
    </xf>
    <xf numFmtId="211" fontId="87" fillId="43" borderId="31" xfId="549" applyNumberFormat="1" applyFont="1" applyFill="1" applyBorder="1" applyAlignment="1" applyProtection="1">
      <alignment horizontal="center" vertical="center"/>
      <protection hidden="1"/>
    </xf>
    <xf numFmtId="211" fontId="97" fillId="43" borderId="31" xfId="549" applyNumberFormat="1" applyFont="1" applyFill="1" applyBorder="1" applyAlignment="1" applyProtection="1">
      <alignment horizontal="center" vertical="center"/>
      <protection hidden="1"/>
    </xf>
    <xf numFmtId="9" fontId="97" fillId="43" borderId="31" xfId="549" applyFont="1" applyFill="1" applyBorder="1" applyAlignment="1" applyProtection="1">
      <alignment horizontal="center" vertical="center"/>
      <protection hidden="1"/>
    </xf>
    <xf numFmtId="0" fontId="91" fillId="0" borderId="0" xfId="550" applyFont="1" applyAlignment="1" applyProtection="1">
      <alignment horizontal="center"/>
      <protection hidden="1"/>
    </xf>
    <xf numFmtId="3" fontId="94" fillId="0" borderId="0" xfId="550" applyNumberFormat="1" applyFont="1" applyAlignment="1" applyProtection="1">
      <alignment horizontal="center"/>
      <protection hidden="1"/>
    </xf>
    <xf numFmtId="3" fontId="91" fillId="0" borderId="0" xfId="550" applyNumberFormat="1" applyFont="1" applyAlignment="1" applyProtection="1">
      <alignment horizontal="center"/>
      <protection hidden="1"/>
    </xf>
    <xf numFmtId="9" fontId="91" fillId="0" borderId="0" xfId="550" applyNumberFormat="1" applyFont="1" applyAlignment="1" applyProtection="1">
      <alignment horizontal="center"/>
      <protection hidden="1"/>
    </xf>
    <xf numFmtId="0" fontId="94" fillId="0" borderId="0" xfId="550" applyFont="1" applyAlignment="1" applyProtection="1">
      <alignment horizontal="center"/>
      <protection hidden="1"/>
    </xf>
    <xf numFmtId="9" fontId="94" fillId="0" borderId="0" xfId="550" applyNumberFormat="1" applyFont="1" applyAlignment="1" applyProtection="1">
      <alignment horizontal="center"/>
      <protection hidden="1"/>
    </xf>
    <xf numFmtId="210" fontId="134" fillId="43" borderId="28" xfId="550" applyNumberFormat="1" applyFont="1" applyFill="1" applyBorder="1" applyAlignment="1" applyProtection="1">
      <alignment horizontal="center" vertical="center"/>
      <protection hidden="1"/>
    </xf>
    <xf numFmtId="0" fontId="92" fillId="44" borderId="32" xfId="550" applyFont="1" applyFill="1" applyBorder="1" applyAlignment="1" applyProtection="1">
      <alignment horizontal="left" vertical="center"/>
      <protection hidden="1"/>
    </xf>
    <xf numFmtId="0" fontId="91" fillId="43" borderId="0" xfId="550" applyFont="1" applyFill="1" applyAlignment="1" applyProtection="1">
      <alignment horizontal="center"/>
      <protection hidden="1"/>
    </xf>
    <xf numFmtId="3" fontId="91" fillId="43" borderId="0" xfId="550" applyNumberFormat="1" applyFont="1" applyFill="1" applyAlignment="1" applyProtection="1">
      <alignment horizontal="center"/>
      <protection hidden="1"/>
    </xf>
    <xf numFmtId="210" fontId="92" fillId="43" borderId="0" xfId="550" applyNumberFormat="1" applyFont="1" applyFill="1" applyAlignment="1" applyProtection="1">
      <alignment horizontal="center"/>
      <protection hidden="1"/>
    </xf>
    <xf numFmtId="3" fontId="139" fillId="43" borderId="0" xfId="550" applyNumberFormat="1" applyFont="1" applyFill="1" applyAlignment="1" applyProtection="1">
      <alignment horizontal="center"/>
      <protection hidden="1"/>
    </xf>
    <xf numFmtId="0" fontId="91" fillId="43" borderId="0" xfId="550" applyFont="1" applyFill="1" applyAlignment="1" applyProtection="1">
      <alignment horizontal="left"/>
      <protection hidden="1"/>
    </xf>
    <xf numFmtId="0" fontId="47" fillId="43" borderId="0" xfId="550" applyFont="1" applyFill="1" applyAlignment="1" applyProtection="1">
      <alignment horizontal="center"/>
      <protection hidden="1"/>
    </xf>
    <xf numFmtId="3" fontId="89" fillId="43" borderId="0" xfId="550" applyNumberFormat="1" applyFont="1" applyFill="1" applyAlignment="1" applyProtection="1">
      <alignment horizontal="center"/>
      <protection hidden="1"/>
    </xf>
    <xf numFmtId="211" fontId="89" fillId="43" borderId="28" xfId="549" applyNumberFormat="1" applyFont="1" applyFill="1" applyBorder="1" applyAlignment="1" applyProtection="1">
      <alignment horizontal="left" vertical="center"/>
      <protection hidden="1"/>
    </xf>
    <xf numFmtId="211" fontId="89" fillId="43" borderId="28" xfId="549" applyNumberFormat="1" applyFont="1" applyFill="1" applyBorder="1" applyAlignment="1" applyProtection="1">
      <alignment horizontal="center" vertical="center"/>
      <protection hidden="1"/>
    </xf>
    <xf numFmtId="211" fontId="89" fillId="43" borderId="51" xfId="549" applyNumberFormat="1" applyFont="1" applyFill="1" applyBorder="1" applyAlignment="1" applyProtection="1">
      <alignment horizontal="left" vertical="center"/>
      <protection hidden="1"/>
    </xf>
    <xf numFmtId="0" fontId="89" fillId="0" borderId="0" xfId="550" applyFont="1" applyAlignment="1" applyProtection="1">
      <alignment horizontal="center"/>
      <protection hidden="1"/>
    </xf>
    <xf numFmtId="0" fontId="89" fillId="43" borderId="0" xfId="550" applyFont="1" applyFill="1" applyProtection="1">
      <protection hidden="1"/>
    </xf>
    <xf numFmtId="221" fontId="89" fillId="43" borderId="0" xfId="550" applyNumberFormat="1" applyFont="1" applyFill="1" applyAlignment="1" applyProtection="1">
      <alignment horizontal="center"/>
      <protection hidden="1"/>
    </xf>
    <xf numFmtId="0" fontId="89" fillId="0" borderId="0" xfId="550" applyFont="1" applyProtection="1">
      <protection hidden="1"/>
    </xf>
    <xf numFmtId="0" fontId="47" fillId="43" borderId="0" xfId="550" applyFont="1" applyFill="1" applyProtection="1">
      <protection hidden="1"/>
    </xf>
    <xf numFmtId="221" fontId="91" fillId="43" borderId="0" xfId="550" applyNumberFormat="1" applyFont="1" applyFill="1" applyAlignment="1" applyProtection="1">
      <alignment horizontal="center"/>
      <protection hidden="1"/>
    </xf>
    <xf numFmtId="210" fontId="89" fillId="43" borderId="0" xfId="550" applyNumberFormat="1" applyFont="1" applyFill="1" applyAlignment="1" applyProtection="1">
      <alignment horizontal="center"/>
      <protection hidden="1"/>
    </xf>
    <xf numFmtId="211" fontId="90" fillId="43" borderId="21" xfId="550" applyNumberFormat="1" applyFont="1" applyFill="1" applyBorder="1" applyAlignment="1" applyProtection="1">
      <alignment horizontal="left" vertical="center"/>
      <protection hidden="1"/>
    </xf>
    <xf numFmtId="211" fontId="87" fillId="43" borderId="31" xfId="549" applyNumberFormat="1" applyFont="1" applyFill="1" applyBorder="1" applyAlignment="1" applyProtection="1">
      <alignment horizontal="left" vertical="center"/>
      <protection hidden="1"/>
    </xf>
    <xf numFmtId="211" fontId="90" fillId="43" borderId="0" xfId="550" applyNumberFormat="1" applyFont="1" applyFill="1" applyAlignment="1" applyProtection="1">
      <alignment horizontal="left" vertical="center"/>
      <protection hidden="1"/>
    </xf>
    <xf numFmtId="0" fontId="92" fillId="0" borderId="0" xfId="550" applyFont="1" applyAlignment="1" applyProtection="1">
      <alignment horizontal="center"/>
      <protection hidden="1"/>
    </xf>
    <xf numFmtId="222" fontId="134" fillId="43" borderId="28" xfId="550" applyNumberFormat="1" applyFont="1" applyFill="1" applyBorder="1" applyAlignment="1" applyProtection="1">
      <alignment horizontal="center" vertical="center"/>
      <protection hidden="1"/>
    </xf>
    <xf numFmtId="0" fontId="92" fillId="43" borderId="0" xfId="550" applyFont="1" applyFill="1" applyAlignment="1" applyProtection="1">
      <alignment horizontal="center"/>
      <protection hidden="1"/>
    </xf>
    <xf numFmtId="0" fontId="92" fillId="0" borderId="0" xfId="550" applyFont="1" applyProtection="1">
      <protection hidden="1"/>
    </xf>
    <xf numFmtId="9" fontId="94" fillId="43" borderId="0" xfId="550" applyNumberFormat="1" applyFont="1" applyFill="1" applyAlignment="1" applyProtection="1">
      <alignment horizontal="center"/>
      <protection hidden="1"/>
    </xf>
    <xf numFmtId="0" fontId="137" fillId="43" borderId="0" xfId="550" applyFont="1" applyFill="1" applyAlignment="1" applyProtection="1">
      <alignment horizontal="center"/>
      <protection hidden="1"/>
    </xf>
    <xf numFmtId="0" fontId="137" fillId="0" borderId="0" xfId="550" applyFont="1" applyAlignment="1" applyProtection="1">
      <alignment horizontal="center"/>
      <protection hidden="1"/>
    </xf>
    <xf numFmtId="0" fontId="92" fillId="44" borderId="53" xfId="550" applyFont="1" applyFill="1" applyBorder="1" applyAlignment="1" applyProtection="1">
      <alignment horizontal="left" vertical="center"/>
      <protection hidden="1"/>
    </xf>
    <xf numFmtId="0" fontId="137" fillId="0" borderId="0" xfId="550" applyFont="1" applyProtection="1">
      <protection hidden="1"/>
    </xf>
    <xf numFmtId="9" fontId="47" fillId="0" borderId="0" xfId="550" applyNumberFormat="1" applyFont="1" applyAlignment="1" applyProtection="1">
      <alignment horizontal="center"/>
      <protection hidden="1"/>
    </xf>
    <xf numFmtId="0" fontId="90" fillId="43" borderId="0" xfId="550" applyFont="1" applyFill="1" applyProtection="1">
      <protection hidden="1"/>
    </xf>
    <xf numFmtId="9" fontId="91" fillId="43" borderId="0" xfId="550" applyNumberFormat="1" applyFont="1" applyFill="1" applyAlignment="1" applyProtection="1">
      <alignment horizontal="center"/>
      <protection hidden="1"/>
    </xf>
    <xf numFmtId="223" fontId="91" fillId="43" borderId="0" xfId="550" applyNumberFormat="1" applyFont="1" applyFill="1" applyAlignment="1" applyProtection="1">
      <alignment horizontal="center"/>
      <protection hidden="1"/>
    </xf>
    <xf numFmtId="3" fontId="47" fillId="43" borderId="0" xfId="550" applyNumberFormat="1" applyFont="1" applyFill="1" applyAlignment="1" applyProtection="1">
      <alignment horizontal="center"/>
      <protection hidden="1"/>
    </xf>
    <xf numFmtId="211" fontId="90" fillId="43" borderId="0" xfId="549" applyNumberFormat="1" applyFont="1" applyFill="1" applyAlignment="1" applyProtection="1">
      <alignment horizontal="left" vertical="center"/>
      <protection hidden="1"/>
    </xf>
    <xf numFmtId="211" fontId="91" fillId="43" borderId="0" xfId="549" applyNumberFormat="1" applyFont="1" applyFill="1" applyAlignment="1" applyProtection="1">
      <alignment horizontal="center" vertical="center"/>
      <protection hidden="1"/>
    </xf>
    <xf numFmtId="211" fontId="90" fillId="43" borderId="28" xfId="549" applyNumberFormat="1" applyFont="1" applyFill="1" applyBorder="1" applyAlignment="1" applyProtection="1">
      <alignment horizontal="left" vertical="center"/>
      <protection hidden="1"/>
    </xf>
    <xf numFmtId="211" fontId="91" fillId="43" borderId="28" xfId="549" applyNumberFormat="1" applyFont="1" applyFill="1" applyBorder="1" applyAlignment="1" applyProtection="1">
      <alignment horizontal="center" vertical="center"/>
      <protection hidden="1"/>
    </xf>
    <xf numFmtId="211" fontId="90" fillId="0" borderId="0" xfId="549" applyNumberFormat="1" applyFont="1" applyAlignment="1" applyProtection="1">
      <alignment horizontal="left" vertical="center"/>
      <protection hidden="1"/>
    </xf>
    <xf numFmtId="211" fontId="91" fillId="0" borderId="0" xfId="549" applyNumberFormat="1" applyFont="1" applyAlignment="1" applyProtection="1">
      <alignment horizontal="center" vertical="center"/>
      <protection hidden="1"/>
    </xf>
    <xf numFmtId="9" fontId="92" fillId="43" borderId="31" xfId="549" applyFont="1" applyFill="1" applyBorder="1" applyAlignment="1" applyProtection="1">
      <alignment horizontal="center" vertical="center"/>
      <protection hidden="1"/>
    </xf>
    <xf numFmtId="211" fontId="92" fillId="43" borderId="31" xfId="549" applyNumberFormat="1" applyFont="1" applyFill="1" applyBorder="1" applyAlignment="1" applyProtection="1">
      <alignment horizontal="center" vertical="center"/>
      <protection hidden="1"/>
    </xf>
    <xf numFmtId="210" fontId="134" fillId="0" borderId="23" xfId="550" applyNumberFormat="1" applyFont="1" applyBorder="1" applyAlignment="1" applyProtection="1">
      <alignment horizontal="left" vertical="center"/>
      <protection hidden="1"/>
    </xf>
    <xf numFmtId="3" fontId="92" fillId="43" borderId="0" xfId="550" applyNumberFormat="1" applyFont="1" applyFill="1" applyAlignment="1" applyProtection="1">
      <alignment horizontal="center"/>
      <protection hidden="1"/>
    </xf>
    <xf numFmtId="210" fontId="89" fillId="0" borderId="0" xfId="550" applyNumberFormat="1" applyFont="1" applyAlignment="1" applyProtection="1">
      <alignment horizontal="center"/>
      <protection hidden="1"/>
    </xf>
    <xf numFmtId="221" fontId="89" fillId="0" borderId="0" xfId="550" applyNumberFormat="1" applyFont="1" applyAlignment="1" applyProtection="1">
      <alignment horizontal="center"/>
      <protection hidden="1"/>
    </xf>
    <xf numFmtId="221" fontId="91" fillId="0" borderId="0" xfId="550" applyNumberFormat="1" applyFont="1" applyAlignment="1" applyProtection="1">
      <alignment horizontal="center"/>
      <protection hidden="1"/>
    </xf>
    <xf numFmtId="211" fontId="89" fillId="43" borderId="21" xfId="550" applyNumberFormat="1" applyFont="1" applyFill="1" applyBorder="1" applyAlignment="1" applyProtection="1">
      <alignment horizontal="left" vertical="center"/>
      <protection hidden="1"/>
    </xf>
    <xf numFmtId="211" fontId="89" fillId="43" borderId="21" xfId="550" applyNumberFormat="1" applyFont="1" applyFill="1" applyBorder="1" applyAlignment="1" applyProtection="1">
      <alignment horizontal="center" vertical="center"/>
      <protection hidden="1"/>
    </xf>
    <xf numFmtId="211" fontId="92" fillId="43" borderId="31" xfId="549" applyNumberFormat="1" applyFont="1" applyFill="1" applyBorder="1" applyAlignment="1" applyProtection="1">
      <alignment horizontal="left" vertical="center"/>
      <protection hidden="1"/>
    </xf>
    <xf numFmtId="211" fontId="89" fillId="43" borderId="0" xfId="550" applyNumberFormat="1" applyFont="1" applyFill="1" applyAlignment="1" applyProtection="1">
      <alignment horizontal="left" vertical="center"/>
      <protection hidden="1"/>
    </xf>
    <xf numFmtId="211" fontId="89" fillId="43" borderId="0" xfId="550" applyNumberFormat="1" applyFont="1" applyFill="1" applyAlignment="1" applyProtection="1">
      <alignment horizontal="center" vertical="center"/>
      <protection hidden="1"/>
    </xf>
    <xf numFmtId="210" fontId="92" fillId="43" borderId="28" xfId="550" applyNumberFormat="1" applyFont="1" applyFill="1" applyBorder="1" applyAlignment="1" applyProtection="1">
      <alignment horizontal="center" vertical="center"/>
      <protection hidden="1"/>
    </xf>
    <xf numFmtId="0" fontId="47" fillId="32" borderId="0" xfId="550" applyFont="1" applyFill="1" applyAlignment="1" applyProtection="1">
      <alignment horizontal="center"/>
      <protection hidden="1"/>
    </xf>
    <xf numFmtId="0" fontId="47" fillId="32" borderId="0" xfId="550" applyFont="1" applyFill="1" applyProtection="1">
      <protection hidden="1"/>
    </xf>
    <xf numFmtId="0" fontId="87" fillId="44" borderId="32" xfId="550" applyFont="1" applyFill="1" applyBorder="1" applyAlignment="1" applyProtection="1">
      <alignment horizontal="left" vertical="center"/>
      <protection hidden="1"/>
    </xf>
    <xf numFmtId="0" fontId="95" fillId="43" borderId="0" xfId="550" applyFont="1" applyFill="1" applyProtection="1">
      <protection hidden="1"/>
    </xf>
    <xf numFmtId="3" fontId="95" fillId="43" borderId="0" xfId="550" applyNumberFormat="1" applyFont="1" applyFill="1" applyAlignment="1" applyProtection="1">
      <alignment horizontal="center"/>
      <protection hidden="1"/>
    </xf>
    <xf numFmtId="0" fontId="95" fillId="43" borderId="0" xfId="550" applyFont="1" applyFill="1" applyAlignment="1" applyProtection="1">
      <alignment horizontal="center"/>
      <protection hidden="1"/>
    </xf>
    <xf numFmtId="211" fontId="97" fillId="43" borderId="31" xfId="549" applyNumberFormat="1" applyFont="1" applyFill="1" applyBorder="1" applyAlignment="1" applyProtection="1">
      <alignment horizontal="left" vertical="center"/>
      <protection hidden="1"/>
    </xf>
    <xf numFmtId="210" fontId="87" fillId="0" borderId="0" xfId="550" applyNumberFormat="1" applyFont="1" applyAlignment="1" applyProtection="1">
      <alignment horizontal="left" vertical="center"/>
      <protection hidden="1"/>
    </xf>
    <xf numFmtId="3" fontId="92" fillId="43" borderId="51" xfId="550" applyNumberFormat="1" applyFont="1" applyFill="1" applyBorder="1" applyAlignment="1" applyProtection="1">
      <alignment horizontal="left" vertical="center"/>
      <protection hidden="1"/>
    </xf>
    <xf numFmtId="0" fontId="137" fillId="43" borderId="0" xfId="550" applyFont="1" applyFill="1" applyProtection="1">
      <protection hidden="1"/>
    </xf>
    <xf numFmtId="193" fontId="89" fillId="0" borderId="0" xfId="87" applyNumberFormat="1" applyFont="1" applyAlignment="1">
      <alignment horizontal="center"/>
    </xf>
    <xf numFmtId="224" fontId="89" fillId="0" borderId="0" xfId="297" applyNumberFormat="1" applyFont="1" applyAlignment="1">
      <alignment horizontal="center"/>
    </xf>
    <xf numFmtId="9" fontId="4" fillId="0" borderId="0" xfId="297" applyFont="1"/>
    <xf numFmtId="0" fontId="89" fillId="0" borderId="0" xfId="0" applyFont="1" applyAlignment="1">
      <alignment horizontal="center"/>
    </xf>
    <xf numFmtId="203" fontId="94" fillId="0" borderId="0" xfId="297" applyNumberFormat="1" applyFont="1" applyAlignment="1">
      <alignment horizontal="left" vertical="center"/>
    </xf>
    <xf numFmtId="0" fontId="93" fillId="0" borderId="0" xfId="550" applyFont="1" applyAlignment="1" applyProtection="1">
      <alignment horizontal="center"/>
      <protection hidden="1"/>
    </xf>
    <xf numFmtId="0" fontId="137" fillId="0" borderId="0" xfId="290" applyFont="1"/>
    <xf numFmtId="0" fontId="87" fillId="46" borderId="0" xfId="290" applyFont="1" applyFill="1"/>
    <xf numFmtId="206" fontId="97" fillId="46" borderId="0" xfId="386" applyNumberFormat="1" applyFont="1" applyFill="1" applyAlignment="1">
      <alignment horizontal="left" vertical="center"/>
    </xf>
    <xf numFmtId="9" fontId="89" fillId="0" borderId="0" xfId="297" applyFont="1" applyAlignment="1">
      <alignment horizontal="center"/>
    </xf>
    <xf numFmtId="1" fontId="92" fillId="0" borderId="0" xfId="87" applyNumberFormat="1" applyFont="1" applyAlignment="1">
      <alignment horizontal="center" vertical="center"/>
    </xf>
    <xf numFmtId="1" fontId="89" fillId="0" borderId="0" xfId="87" applyNumberFormat="1" applyFont="1" applyAlignment="1">
      <alignment horizontal="center" vertical="center"/>
    </xf>
    <xf numFmtId="1" fontId="92" fillId="41" borderId="0" xfId="550" applyNumberFormat="1" applyFont="1" applyFill="1" applyAlignment="1" applyProtection="1">
      <alignment horizontal="center" vertical="center"/>
      <protection hidden="1"/>
    </xf>
    <xf numFmtId="185" fontId="89" fillId="0" borderId="0" xfId="297" applyNumberFormat="1" applyFont="1" applyAlignment="1">
      <alignment horizontal="center"/>
    </xf>
    <xf numFmtId="10" fontId="89" fillId="0" borderId="0" xfId="297" applyNumberFormat="1" applyFont="1" applyAlignment="1">
      <alignment horizontal="center"/>
    </xf>
    <xf numFmtId="3" fontId="99" fillId="43" borderId="38" xfId="548" applyNumberFormat="1" applyFont="1" applyFill="1" applyBorder="1" applyAlignment="1">
      <alignment horizontal="center" vertical="center"/>
    </xf>
    <xf numFmtId="211" fontId="95" fillId="32" borderId="21" xfId="550" applyNumberFormat="1" applyFont="1" applyFill="1" applyBorder="1" applyAlignment="1" applyProtection="1">
      <alignment horizontal="center" vertical="center"/>
      <protection locked="0"/>
    </xf>
    <xf numFmtId="3" fontId="137" fillId="0" borderId="0" xfId="550" applyNumberFormat="1" applyFont="1" applyAlignment="1" applyProtection="1">
      <alignment horizontal="center"/>
      <protection hidden="1"/>
    </xf>
    <xf numFmtId="0" fontId="89" fillId="0" borderId="0" xfId="290" applyFont="1"/>
    <xf numFmtId="206" fontId="92" fillId="46" borderId="0" xfId="386" applyNumberFormat="1" applyFont="1" applyFill="1" applyAlignment="1">
      <alignment horizontal="left" vertical="center"/>
    </xf>
    <xf numFmtId="205" fontId="89" fillId="0" borderId="0" xfId="0" applyNumberFormat="1" applyFont="1" applyAlignment="1">
      <alignment horizontal="center"/>
    </xf>
    <xf numFmtId="194" fontId="91" fillId="43" borderId="0" xfId="548" applyNumberFormat="1" applyFont="1" applyFill="1" applyAlignment="1">
      <alignment horizontal="center"/>
    </xf>
    <xf numFmtId="194" fontId="137" fillId="43" borderId="37" xfId="548" applyNumberFormat="1" applyFont="1" applyFill="1" applyBorder="1" applyAlignment="1">
      <alignment horizontal="center"/>
    </xf>
    <xf numFmtId="194" fontId="99" fillId="44" borderId="32" xfId="548" applyNumberFormat="1" applyFont="1" applyFill="1" applyBorder="1" applyAlignment="1">
      <alignment horizontal="left" vertical="center"/>
    </xf>
    <xf numFmtId="194" fontId="92" fillId="43" borderId="31" xfId="549" applyNumberFormat="1" applyFont="1" applyFill="1" applyBorder="1" applyAlignment="1">
      <alignment horizontal="center" vertical="center"/>
    </xf>
    <xf numFmtId="205" fontId="89" fillId="43" borderId="36" xfId="549" applyNumberFormat="1" applyFont="1" applyFill="1" applyBorder="1" applyAlignment="1">
      <alignment horizontal="center" vertical="center"/>
    </xf>
    <xf numFmtId="205" fontId="89" fillId="43" borderId="0" xfId="549" applyNumberFormat="1" applyFont="1" applyFill="1" applyAlignment="1">
      <alignment horizontal="center" vertical="center"/>
    </xf>
    <xf numFmtId="205" fontId="99" fillId="43" borderId="38" xfId="548" applyNumberFormat="1" applyFont="1" applyFill="1" applyBorder="1" applyAlignment="1">
      <alignment horizontal="center" vertical="center"/>
    </xf>
    <xf numFmtId="205" fontId="137" fillId="43" borderId="37" xfId="548" applyNumberFormat="1" applyFont="1" applyFill="1" applyBorder="1" applyAlignment="1">
      <alignment horizontal="center"/>
    </xf>
    <xf numFmtId="205" fontId="100" fillId="44" borderId="35" xfId="548" applyNumberFormat="1" applyFont="1" applyFill="1" applyBorder="1" applyAlignment="1">
      <alignment horizontal="left" vertical="center"/>
    </xf>
    <xf numFmtId="205" fontId="100" fillId="44" borderId="32" xfId="548" applyNumberFormat="1" applyFont="1" applyFill="1" applyBorder="1" applyAlignment="1">
      <alignment horizontal="left" vertical="center"/>
    </xf>
    <xf numFmtId="205" fontId="92" fillId="43" borderId="39" xfId="549" applyNumberFormat="1" applyFont="1" applyFill="1" applyBorder="1" applyAlignment="1">
      <alignment horizontal="center" vertical="center"/>
    </xf>
    <xf numFmtId="205" fontId="92" fillId="43" borderId="31" xfId="549" applyNumberFormat="1" applyFont="1" applyFill="1" applyBorder="1" applyAlignment="1">
      <alignment horizontal="center" vertical="center"/>
    </xf>
    <xf numFmtId="225" fontId="47" fillId="43" borderId="0" xfId="550" applyNumberFormat="1" applyFont="1" applyFill="1" applyAlignment="1">
      <alignment horizontal="center"/>
    </xf>
    <xf numFmtId="225" fontId="89" fillId="43" borderId="0" xfId="550" applyNumberFormat="1" applyFont="1" applyFill="1" applyAlignment="1">
      <alignment horizontal="center" vertical="center"/>
    </xf>
    <xf numFmtId="225" fontId="92" fillId="43" borderId="50" xfId="550" applyNumberFormat="1" applyFont="1" applyFill="1" applyBorder="1" applyAlignment="1">
      <alignment horizontal="center" vertical="center"/>
    </xf>
    <xf numFmtId="225" fontId="89" fillId="43" borderId="21" xfId="550" applyNumberFormat="1" applyFont="1" applyFill="1" applyBorder="1" applyAlignment="1">
      <alignment horizontal="center" vertical="center"/>
    </xf>
    <xf numFmtId="225" fontId="92" fillId="43" borderId="31" xfId="549" applyNumberFormat="1" applyFont="1" applyFill="1" applyBorder="1" applyAlignment="1">
      <alignment horizontal="center" vertical="center"/>
    </xf>
    <xf numFmtId="225" fontId="99" fillId="44" borderId="32" xfId="550" applyNumberFormat="1" applyFont="1" applyFill="1" applyBorder="1" applyAlignment="1">
      <alignment horizontal="left" vertical="center"/>
    </xf>
    <xf numFmtId="225" fontId="92" fillId="43" borderId="0" xfId="549" applyNumberFormat="1" applyFont="1" applyFill="1" applyAlignment="1">
      <alignment horizontal="center" vertical="center"/>
    </xf>
    <xf numFmtId="225" fontId="92" fillId="43" borderId="28" xfId="549" applyNumberFormat="1" applyFont="1" applyFill="1" applyBorder="1" applyAlignment="1">
      <alignment horizontal="center" vertical="center"/>
    </xf>
    <xf numFmtId="225" fontId="47" fillId="43" borderId="0" xfId="550" applyNumberFormat="1" applyFont="1" applyFill="1"/>
    <xf numFmtId="225" fontId="137" fillId="43" borderId="0" xfId="550" applyNumberFormat="1" applyFont="1" applyFill="1" applyAlignment="1">
      <alignment horizontal="center"/>
    </xf>
    <xf numFmtId="225" fontId="137" fillId="43" borderId="51" xfId="550" applyNumberFormat="1" applyFont="1" applyFill="1" applyBorder="1" applyAlignment="1">
      <alignment horizontal="center"/>
    </xf>
    <xf numFmtId="225" fontId="99" fillId="44" borderId="53" xfId="550" applyNumberFormat="1" applyFont="1" applyFill="1" applyBorder="1" applyAlignment="1">
      <alignment horizontal="left" vertical="center"/>
    </xf>
    <xf numFmtId="9" fontId="91" fillId="43" borderId="0" xfId="297" applyFont="1" applyFill="1" applyAlignment="1" applyProtection="1">
      <alignment horizontal="center"/>
      <protection hidden="1"/>
    </xf>
    <xf numFmtId="226" fontId="91" fillId="0" borderId="0" xfId="550" applyNumberFormat="1" applyFont="1" applyAlignment="1" applyProtection="1">
      <alignment horizontal="center"/>
      <protection hidden="1"/>
    </xf>
    <xf numFmtId="227" fontId="2" fillId="0" borderId="0" xfId="548" applyNumberFormat="1"/>
    <xf numFmtId="206" fontId="91" fillId="0" borderId="0" xfId="386" applyNumberFormat="1" applyFont="1" applyAlignment="1">
      <alignment horizontal="left" vertical="center"/>
    </xf>
    <xf numFmtId="206" fontId="89" fillId="0" borderId="0" xfId="386" applyNumberFormat="1" applyFont="1" applyAlignment="1">
      <alignment horizontal="left" vertical="center"/>
    </xf>
    <xf numFmtId="0" fontId="92" fillId="46" borderId="0" xfId="290" applyFont="1" applyFill="1"/>
    <xf numFmtId="9" fontId="89" fillId="0" borderId="0" xfId="297" applyFont="1" applyFill="1"/>
    <xf numFmtId="188" fontId="89" fillId="0" borderId="0" xfId="297" applyNumberFormat="1" applyFont="1" applyFill="1"/>
    <xf numFmtId="0" fontId="92" fillId="0" borderId="0" xfId="290" applyFont="1"/>
    <xf numFmtId="0" fontId="92" fillId="35" borderId="0" xfId="290" applyFont="1" applyFill="1"/>
    <xf numFmtId="206" fontId="92" fillId="35" borderId="0" xfId="386" applyNumberFormat="1" applyFont="1" applyFill="1" applyAlignment="1">
      <alignment horizontal="left" vertical="center"/>
    </xf>
    <xf numFmtId="189" fontId="89" fillId="0" borderId="0" xfId="297" applyNumberFormat="1" applyFont="1" applyFill="1"/>
    <xf numFmtId="189" fontId="92" fillId="0" borderId="0" xfId="297" applyNumberFormat="1" applyFont="1" applyFill="1"/>
    <xf numFmtId="206" fontId="92" fillId="0" borderId="0" xfId="386" applyNumberFormat="1" applyFont="1" applyAlignment="1">
      <alignment horizontal="left" vertical="center"/>
    </xf>
    <xf numFmtId="0" fontId="92" fillId="34" borderId="0" xfId="87" applyFont="1" applyFill="1" applyAlignment="1">
      <alignment horizontal="left" vertical="center" wrapText="1"/>
    </xf>
    <xf numFmtId="0" fontId="92" fillId="0" borderId="0" xfId="87" applyFont="1" applyAlignment="1">
      <alignment horizontal="left" vertical="center" wrapText="1"/>
    </xf>
    <xf numFmtId="0" fontId="92" fillId="31" borderId="0" xfId="87" applyFont="1" applyFill="1"/>
    <xf numFmtId="9" fontId="92" fillId="31" borderId="0" xfId="297" applyFont="1" applyFill="1"/>
    <xf numFmtId="0" fontId="89" fillId="0" borderId="0" xfId="87" applyFont="1" applyAlignment="1">
      <alignment horizontal="left" vertical="center" wrapText="1"/>
    </xf>
    <xf numFmtId="205" fontId="89" fillId="0" borderId="0" xfId="386" applyNumberFormat="1" applyFont="1" applyAlignment="1">
      <alignment horizontal="left" vertical="center"/>
    </xf>
    <xf numFmtId="3" fontId="89" fillId="0" borderId="0" xfId="0" applyNumberFormat="1" applyFont="1" applyAlignment="1">
      <alignment horizontal="left" vertical="center"/>
    </xf>
    <xf numFmtId="9" fontId="89" fillId="0" borderId="0" xfId="386" applyNumberFormat="1" applyFont="1" applyAlignment="1">
      <alignment horizontal="left"/>
    </xf>
    <xf numFmtId="0" fontId="92" fillId="35" borderId="0" xfId="87" applyFont="1" applyFill="1"/>
    <xf numFmtId="205" fontId="92" fillId="35" borderId="0" xfId="87" applyNumberFormat="1" applyFont="1" applyFill="1" applyAlignment="1">
      <alignment horizontal="left"/>
    </xf>
    <xf numFmtId="205" fontId="92" fillId="35" borderId="0" xfId="386" applyNumberFormat="1" applyFont="1" applyFill="1" applyAlignment="1">
      <alignment horizontal="left" vertical="center"/>
    </xf>
    <xf numFmtId="0" fontId="89" fillId="35" borderId="0" xfId="0" applyFont="1" applyFill="1"/>
    <xf numFmtId="205" fontId="89" fillId="35" borderId="0" xfId="386" applyNumberFormat="1" applyFont="1" applyFill="1" applyAlignment="1">
      <alignment horizontal="left" vertical="center"/>
    </xf>
    <xf numFmtId="0" fontId="89" fillId="35" borderId="0" xfId="0" applyFont="1" applyFill="1" applyAlignment="1">
      <alignment horizontal="left" vertical="center"/>
    </xf>
    <xf numFmtId="205" fontId="92" fillId="39" borderId="0" xfId="87" applyNumberFormat="1" applyFont="1" applyFill="1"/>
    <xf numFmtId="193" fontId="89" fillId="0" borderId="0" xfId="386" applyNumberFormat="1" applyFont="1" applyAlignment="1">
      <alignment horizontal="left" vertical="center"/>
    </xf>
    <xf numFmtId="194" fontId="89" fillId="0" borderId="0" xfId="386" applyNumberFormat="1" applyFont="1" applyAlignment="1">
      <alignment horizontal="left" vertical="center"/>
    </xf>
    <xf numFmtId="205" fontId="92" fillId="31" borderId="0" xfId="87" applyNumberFormat="1" applyFont="1" applyFill="1"/>
    <xf numFmtId="203" fontId="89" fillId="0" borderId="0" xfId="386" applyNumberFormat="1" applyFont="1" applyAlignment="1">
      <alignment horizontal="left" vertical="center"/>
    </xf>
    <xf numFmtId="193" fontId="89" fillId="0" borderId="0" xfId="0" applyNumberFormat="1" applyFont="1" applyAlignment="1">
      <alignment horizontal="left" vertical="center"/>
    </xf>
    <xf numFmtId="194" fontId="89" fillId="0" borderId="0" xfId="0" applyNumberFormat="1" applyFont="1" applyAlignment="1">
      <alignment horizontal="left" vertical="center"/>
    </xf>
    <xf numFmtId="207" fontId="89" fillId="0" borderId="0" xfId="386" applyNumberFormat="1" applyFont="1" applyAlignment="1">
      <alignment horizontal="left" vertical="center"/>
    </xf>
    <xf numFmtId="9" fontId="89" fillId="31" borderId="0" xfId="297" applyFont="1" applyFill="1"/>
    <xf numFmtId="205" fontId="89" fillId="0" borderId="0" xfId="0" applyNumberFormat="1" applyFont="1" applyAlignment="1">
      <alignment horizontal="left" vertical="center"/>
    </xf>
    <xf numFmtId="185" fontId="89" fillId="0" borderId="0" xfId="297" applyNumberFormat="1" applyFont="1" applyAlignment="1">
      <alignment horizontal="left" vertical="center"/>
    </xf>
    <xf numFmtId="9" fontId="89" fillId="0" borderId="0" xfId="297" applyFont="1" applyAlignment="1">
      <alignment horizontal="left" vertical="center"/>
    </xf>
    <xf numFmtId="205" fontId="92" fillId="35" borderId="0" xfId="87" applyNumberFormat="1" applyFont="1" applyFill="1"/>
    <xf numFmtId="3" fontId="89" fillId="0" borderId="0" xfId="0" applyNumberFormat="1" applyFont="1" applyAlignment="1">
      <alignment vertical="center"/>
    </xf>
    <xf numFmtId="0" fontId="89" fillId="0" borderId="0" xfId="0" applyFont="1" applyAlignment="1">
      <alignment vertical="center"/>
    </xf>
    <xf numFmtId="207" fontId="89" fillId="0" borderId="0" xfId="0" applyNumberFormat="1" applyFont="1" applyAlignment="1">
      <alignment horizontal="left" vertical="center"/>
    </xf>
    <xf numFmtId="3" fontId="89" fillId="0" borderId="0" xfId="386" applyNumberFormat="1" applyFont="1" applyAlignment="1">
      <alignment horizontal="left" vertical="center"/>
    </xf>
    <xf numFmtId="9" fontId="92" fillId="31" borderId="0" xfId="87" applyNumberFormat="1" applyFont="1" applyFill="1"/>
    <xf numFmtId="9" fontId="92" fillId="39" borderId="0" xfId="87" applyNumberFormat="1" applyFont="1" applyFill="1"/>
    <xf numFmtId="203" fontId="89" fillId="0" borderId="0" xfId="0" applyNumberFormat="1" applyFont="1" applyAlignment="1">
      <alignment horizontal="left" vertical="center"/>
    </xf>
    <xf numFmtId="205" fontId="92" fillId="39" borderId="0" xfId="386" applyNumberFormat="1" applyFont="1" applyFill="1" applyAlignment="1">
      <alignment horizontal="left" vertical="center"/>
    </xf>
    <xf numFmtId="0" fontId="124" fillId="34" borderId="0" xfId="413" applyFont="1" applyFill="1"/>
    <xf numFmtId="0" fontId="141" fillId="34" borderId="0" xfId="413" applyFont="1" applyFill="1"/>
    <xf numFmtId="0" fontId="141" fillId="0" borderId="0" xfId="413" applyFont="1"/>
    <xf numFmtId="3" fontId="141" fillId="0" borderId="0" xfId="413" applyNumberFormat="1" applyFont="1"/>
    <xf numFmtId="9" fontId="141" fillId="0" borderId="0" xfId="413" applyNumberFormat="1" applyFont="1"/>
    <xf numFmtId="9" fontId="124" fillId="35" borderId="0" xfId="413" applyNumberFormat="1" applyFont="1" applyFill="1"/>
    <xf numFmtId="10" fontId="141" fillId="0" borderId="0" xfId="413" applyNumberFormat="1" applyFont="1"/>
    <xf numFmtId="3" fontId="141" fillId="0" borderId="0" xfId="413" applyNumberFormat="1" applyFont="1" applyAlignment="1">
      <alignment horizontal="left"/>
    </xf>
    <xf numFmtId="9" fontId="141" fillId="0" borderId="0" xfId="297" applyFont="1"/>
    <xf numFmtId="0" fontId="124" fillId="41" borderId="0" xfId="413" applyFont="1" applyFill="1"/>
    <xf numFmtId="0" fontId="124" fillId="41" borderId="0" xfId="413" applyFont="1" applyFill="1" applyAlignment="1">
      <alignment horizontal="center"/>
    </xf>
    <xf numFmtId="0" fontId="124" fillId="34" borderId="0" xfId="413" applyFont="1" applyFill="1" applyAlignment="1">
      <alignment horizontal="center"/>
    </xf>
    <xf numFmtId="0" fontId="141" fillId="0" borderId="0" xfId="0" applyFont="1"/>
    <xf numFmtId="9" fontId="141" fillId="0" borderId="0" xfId="414" applyFont="1" applyAlignment="1">
      <alignment horizontal="center"/>
    </xf>
    <xf numFmtId="3" fontId="141" fillId="0" borderId="0" xfId="413" applyNumberFormat="1" applyFont="1" applyAlignment="1">
      <alignment horizontal="center"/>
    </xf>
    <xf numFmtId="193" fontId="141" fillId="0" borderId="0" xfId="413" applyNumberFormat="1" applyFont="1" applyAlignment="1">
      <alignment horizontal="center"/>
    </xf>
    <xf numFmtId="194" fontId="141" fillId="0" borderId="0" xfId="413" applyNumberFormat="1" applyFont="1" applyAlignment="1">
      <alignment horizontal="center"/>
    </xf>
    <xf numFmtId="9" fontId="124" fillId="35" borderId="0" xfId="413" applyNumberFormat="1" applyFont="1" applyFill="1" applyAlignment="1">
      <alignment horizontal="center"/>
    </xf>
    <xf numFmtId="3" fontId="124" fillId="35" borderId="0" xfId="413" applyNumberFormat="1" applyFont="1" applyFill="1" applyAlignment="1">
      <alignment horizontal="center"/>
    </xf>
    <xf numFmtId="193" fontId="124" fillId="35" borderId="0" xfId="413" applyNumberFormat="1" applyFont="1" applyFill="1" applyAlignment="1">
      <alignment horizontal="center"/>
    </xf>
    <xf numFmtId="194" fontId="124" fillId="35" borderId="0" xfId="413" applyNumberFormat="1" applyFont="1" applyFill="1" applyAlignment="1">
      <alignment horizontal="center"/>
    </xf>
    <xf numFmtId="0" fontId="124" fillId="35" borderId="0" xfId="413" applyFont="1" applyFill="1" applyAlignment="1">
      <alignment horizontal="center"/>
    </xf>
    <xf numFmtId="4" fontId="124" fillId="35" borderId="0" xfId="413" applyNumberFormat="1" applyFont="1" applyFill="1" applyAlignment="1">
      <alignment horizontal="center"/>
    </xf>
    <xf numFmtId="0" fontId="141" fillId="0" borderId="0" xfId="413" applyFont="1" applyAlignment="1">
      <alignment horizontal="center"/>
    </xf>
    <xf numFmtId="204" fontId="141" fillId="0" borderId="0" xfId="413" applyNumberFormat="1" applyFont="1" applyAlignment="1">
      <alignment horizontal="center"/>
    </xf>
    <xf numFmtId="0" fontId="141" fillId="41" borderId="0" xfId="413" applyFont="1" applyFill="1" applyAlignment="1">
      <alignment horizontal="center"/>
    </xf>
    <xf numFmtId="3" fontId="141" fillId="41" borderId="0" xfId="413" applyNumberFormat="1" applyFont="1" applyFill="1" applyAlignment="1">
      <alignment horizontal="center"/>
    </xf>
    <xf numFmtId="185" fontId="141" fillId="0" borderId="0" xfId="414" applyNumberFormat="1" applyFont="1" applyAlignment="1">
      <alignment horizontal="center"/>
    </xf>
    <xf numFmtId="4" fontId="141" fillId="0" borderId="0" xfId="413" applyNumberFormat="1" applyFont="1" applyAlignment="1">
      <alignment horizontal="center"/>
    </xf>
    <xf numFmtId="185" fontId="124" fillId="35" borderId="0" xfId="414" applyNumberFormat="1" applyFont="1" applyFill="1" applyAlignment="1">
      <alignment horizontal="center"/>
    </xf>
    <xf numFmtId="9" fontId="124" fillId="35" borderId="0" xfId="414" applyFont="1" applyFill="1" applyAlignment="1">
      <alignment horizontal="center"/>
    </xf>
    <xf numFmtId="0" fontId="124" fillId="0" borderId="0" xfId="413" applyFont="1"/>
    <xf numFmtId="3" fontId="124" fillId="0" borderId="0" xfId="413" applyNumberFormat="1" applyFont="1" applyAlignment="1">
      <alignment horizontal="center"/>
    </xf>
    <xf numFmtId="0" fontId="124" fillId="0" borderId="0" xfId="413" applyFont="1" applyAlignment="1">
      <alignment horizontal="center"/>
    </xf>
    <xf numFmtId="0" fontId="92" fillId="41" borderId="0" xfId="413" applyFont="1" applyFill="1" applyAlignment="1">
      <alignment horizontal="center"/>
    </xf>
    <xf numFmtId="0" fontId="92" fillId="34" borderId="0" xfId="413" applyFont="1" applyFill="1" applyAlignment="1">
      <alignment horizontal="center"/>
    </xf>
    <xf numFmtId="0" fontId="89" fillId="0" borderId="0" xfId="413" applyFont="1"/>
    <xf numFmtId="3" fontId="89" fillId="0" borderId="0" xfId="413" applyNumberFormat="1" applyFont="1"/>
    <xf numFmtId="0" fontId="92" fillId="39" borderId="0" xfId="290" applyFont="1" applyFill="1"/>
    <xf numFmtId="0" fontId="92" fillId="35" borderId="0" xfId="290" applyFont="1" applyFill="1" applyAlignment="1">
      <alignment horizontal="left" readingOrder="1"/>
    </xf>
    <xf numFmtId="3" fontId="89" fillId="0" borderId="0" xfId="413" applyNumberFormat="1" applyFont="1" applyAlignment="1">
      <alignment horizontal="center"/>
    </xf>
    <xf numFmtId="9" fontId="89" fillId="0" borderId="0" xfId="532" applyFont="1" applyAlignment="1">
      <alignment horizontal="center" readingOrder="1"/>
    </xf>
    <xf numFmtId="0" fontId="89" fillId="0" borderId="0" xfId="413" applyFont="1" applyAlignment="1">
      <alignment horizontal="center"/>
    </xf>
    <xf numFmtId="0" fontId="122" fillId="42" borderId="0" xfId="547" applyFont="1" applyFill="1" applyAlignment="1">
      <alignment horizontal="justify" wrapText="1"/>
    </xf>
    <xf numFmtId="0" fontId="122" fillId="42" borderId="0" xfId="547" applyFont="1" applyFill="1" applyAlignment="1">
      <alignment horizontal="left" wrapText="1"/>
    </xf>
    <xf numFmtId="213" fontId="47" fillId="43" borderId="0" xfId="548" applyNumberFormat="1" applyFont="1" applyFill="1" applyAlignment="1">
      <alignment horizontal="center"/>
    </xf>
    <xf numFmtId="9" fontId="47" fillId="43" borderId="0" xfId="216" applyFont="1" applyFill="1" applyAlignment="1">
      <alignment horizontal="center"/>
    </xf>
    <xf numFmtId="9" fontId="89" fillId="43" borderId="28" xfId="216" applyFont="1" applyFill="1" applyBorder="1" applyAlignment="1">
      <alignment horizontal="center" vertical="center"/>
    </xf>
    <xf numFmtId="3" fontId="101" fillId="0" borderId="0" xfId="293" applyNumberFormat="1" applyFont="1" applyAlignment="1">
      <alignment horizontal="center" vertical="center"/>
    </xf>
    <xf numFmtId="194" fontId="95" fillId="0" borderId="0" xfId="216" applyNumberFormat="1" applyFont="1"/>
    <xf numFmtId="194" fontId="119" fillId="0" borderId="0" xfId="216" applyNumberFormat="1" applyFont="1"/>
    <xf numFmtId="0" fontId="90" fillId="0" borderId="0" xfId="87" applyFont="1" applyBorder="1" applyAlignment="1">
      <alignment horizontal="left"/>
    </xf>
    <xf numFmtId="0" fontId="90" fillId="43" borderId="0" xfId="87" applyFont="1" applyFill="1" applyBorder="1" applyAlignment="1">
      <alignment horizontal="left"/>
    </xf>
    <xf numFmtId="205" fontId="95" fillId="0" borderId="0" xfId="216" applyNumberFormat="1" applyFont="1"/>
  </cellXfs>
  <cellStyles count="558">
    <cellStyle name="0,0_x000d__x000a_NA_x000d__x000a_" xfId="88" xr:uid="{00000000-0005-0000-0000-000000000000}"/>
    <cellStyle name="0,0_x000d__x000a_NA_x000d__x000a_ 2" xfId="89" xr:uid="{00000000-0005-0000-0000-000001000000}"/>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20% - Accent1 2" xfId="300" xr:uid="{00000000-0005-0000-0000-000003000000}"/>
    <cellStyle name="20% - Accent2 2" xfId="301" xr:uid="{00000000-0005-0000-0000-000005000000}"/>
    <cellStyle name="20% - Accent3 2" xfId="302" xr:uid="{00000000-0005-0000-0000-000007000000}"/>
    <cellStyle name="20% - Accent4 2" xfId="303" xr:uid="{00000000-0005-0000-0000-000009000000}"/>
    <cellStyle name="20% - Accent5 2" xfId="304" xr:uid="{00000000-0005-0000-0000-00000B000000}"/>
    <cellStyle name="20% - Accent6 2" xfId="305" xr:uid="{00000000-0005-0000-0000-00000D000000}"/>
    <cellStyle name="20% - הדגשה1" xfId="45" xr:uid="{00000000-0005-0000-0000-00000E000000}"/>
    <cellStyle name="20% - הדגשה2" xfId="46" xr:uid="{00000000-0005-0000-0000-00000F000000}"/>
    <cellStyle name="20% - הדגשה3" xfId="47" xr:uid="{00000000-0005-0000-0000-000010000000}"/>
    <cellStyle name="20% - הדגשה4" xfId="48" xr:uid="{00000000-0005-0000-0000-000011000000}"/>
    <cellStyle name="20% - הדגשה5" xfId="49" xr:uid="{00000000-0005-0000-0000-000012000000}"/>
    <cellStyle name="20% - הדגשה6" xfId="50" xr:uid="{00000000-0005-0000-0000-000013000000}"/>
    <cellStyle name="20% - 强调文字颜色 1" xfId="90" xr:uid="{00000000-0005-0000-0000-000014000000}"/>
    <cellStyle name="20% - 强调文字颜色 2" xfId="91" xr:uid="{00000000-0005-0000-0000-000015000000}"/>
    <cellStyle name="20% - 强调文字颜色 3" xfId="92" xr:uid="{00000000-0005-0000-0000-000016000000}"/>
    <cellStyle name="20% - 强调文字颜色 4" xfId="93" xr:uid="{00000000-0005-0000-0000-000017000000}"/>
    <cellStyle name="20% - 强调文字颜色 5" xfId="94" xr:uid="{00000000-0005-0000-0000-000018000000}"/>
    <cellStyle name="20% - 强调文字颜色 6" xfId="95" xr:uid="{00000000-0005-0000-0000-000019000000}"/>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40% - Accent1 2" xfId="306" xr:uid="{00000000-0005-0000-0000-00001B000000}"/>
    <cellStyle name="40% - Accent2 2" xfId="307" xr:uid="{00000000-0005-0000-0000-00001D000000}"/>
    <cellStyle name="40% - Accent3 2" xfId="308" xr:uid="{00000000-0005-0000-0000-00001F000000}"/>
    <cellStyle name="40% - Accent4 2" xfId="309" xr:uid="{00000000-0005-0000-0000-000021000000}"/>
    <cellStyle name="40% - Accent5 2" xfId="310" xr:uid="{00000000-0005-0000-0000-000023000000}"/>
    <cellStyle name="40% - Accent6 2" xfId="311" xr:uid="{00000000-0005-0000-0000-000025000000}"/>
    <cellStyle name="40% - הדגשה1" xfId="51" xr:uid="{00000000-0005-0000-0000-000026000000}"/>
    <cellStyle name="40% - הדגשה2" xfId="52" xr:uid="{00000000-0005-0000-0000-000027000000}"/>
    <cellStyle name="40% - הדגשה3" xfId="53" xr:uid="{00000000-0005-0000-0000-000028000000}"/>
    <cellStyle name="40% - הדגשה4" xfId="54" xr:uid="{00000000-0005-0000-0000-000029000000}"/>
    <cellStyle name="40% - הדגשה5" xfId="55" xr:uid="{00000000-0005-0000-0000-00002A000000}"/>
    <cellStyle name="40% - הדגשה6" xfId="56" xr:uid="{00000000-0005-0000-0000-00002B000000}"/>
    <cellStyle name="40% - 强调文字颜色 1" xfId="96" xr:uid="{00000000-0005-0000-0000-00002C000000}"/>
    <cellStyle name="40% - 强调文字颜色 2" xfId="97" xr:uid="{00000000-0005-0000-0000-00002D000000}"/>
    <cellStyle name="40% - 强调文字颜色 3" xfId="98" xr:uid="{00000000-0005-0000-0000-00002E000000}"/>
    <cellStyle name="40% - 强调文字颜色 4" xfId="99" xr:uid="{00000000-0005-0000-0000-00002F000000}"/>
    <cellStyle name="40% - 强调文字颜色 5" xfId="100" xr:uid="{00000000-0005-0000-0000-000030000000}"/>
    <cellStyle name="40% - 强调文字颜色 6" xfId="101" xr:uid="{00000000-0005-0000-0000-000031000000}"/>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60% - Accent1 2" xfId="312" xr:uid="{00000000-0005-0000-0000-000033000000}"/>
    <cellStyle name="60% - Accent2 2" xfId="313" xr:uid="{00000000-0005-0000-0000-000035000000}"/>
    <cellStyle name="60% - Accent3 2" xfId="314" xr:uid="{00000000-0005-0000-0000-000037000000}"/>
    <cellStyle name="60% - Accent4 2" xfId="315" xr:uid="{00000000-0005-0000-0000-000039000000}"/>
    <cellStyle name="60% - Accent5 2" xfId="316" xr:uid="{00000000-0005-0000-0000-00003B000000}"/>
    <cellStyle name="60% - Accent6 2" xfId="317" xr:uid="{00000000-0005-0000-0000-00003D000000}"/>
    <cellStyle name="60% - הדגשה1" xfId="57" xr:uid="{00000000-0005-0000-0000-00003E000000}"/>
    <cellStyle name="60% - הדגשה2" xfId="58" xr:uid="{00000000-0005-0000-0000-00003F000000}"/>
    <cellStyle name="60% - הדגשה3" xfId="59" xr:uid="{00000000-0005-0000-0000-000040000000}"/>
    <cellStyle name="60% - הדגשה4" xfId="60" xr:uid="{00000000-0005-0000-0000-000041000000}"/>
    <cellStyle name="60% - הדגשה5" xfId="61" xr:uid="{00000000-0005-0000-0000-000042000000}"/>
    <cellStyle name="60% - הדגשה6" xfId="62" xr:uid="{00000000-0005-0000-0000-000043000000}"/>
    <cellStyle name="60% - 强调文字颜色 1" xfId="102" xr:uid="{00000000-0005-0000-0000-000044000000}"/>
    <cellStyle name="60% - 强调文字颜色 2" xfId="103" xr:uid="{00000000-0005-0000-0000-000045000000}"/>
    <cellStyle name="60% - 强调文字颜色 3" xfId="104" xr:uid="{00000000-0005-0000-0000-000046000000}"/>
    <cellStyle name="60% - 强调文字颜色 4" xfId="105" xr:uid="{00000000-0005-0000-0000-000047000000}"/>
    <cellStyle name="60% - 强调文字颜色 5" xfId="106" xr:uid="{00000000-0005-0000-0000-000048000000}"/>
    <cellStyle name="60% - 强调文字颜色 6" xfId="107" xr:uid="{00000000-0005-0000-0000-000049000000}"/>
    <cellStyle name="Accent1" xfId="19" builtinId="29" customBuiltin="1"/>
    <cellStyle name="Accent1 2" xfId="318" xr:uid="{00000000-0005-0000-0000-00004B000000}"/>
    <cellStyle name="Accent2" xfId="20" builtinId="33" customBuiltin="1"/>
    <cellStyle name="Accent2 2" xfId="319" xr:uid="{00000000-0005-0000-0000-00004D000000}"/>
    <cellStyle name="Accent3" xfId="21" builtinId="37" customBuiltin="1"/>
    <cellStyle name="Accent3 2" xfId="320" xr:uid="{00000000-0005-0000-0000-00004F000000}"/>
    <cellStyle name="Accent4" xfId="22" builtinId="41" customBuiltin="1"/>
    <cellStyle name="Accent4 2" xfId="321" xr:uid="{00000000-0005-0000-0000-000051000000}"/>
    <cellStyle name="Accent5" xfId="23" builtinId="45" customBuiltin="1"/>
    <cellStyle name="Accent5 2" xfId="322" xr:uid="{00000000-0005-0000-0000-000053000000}"/>
    <cellStyle name="Accent6" xfId="24" builtinId="49" customBuiltin="1"/>
    <cellStyle name="Accent6 2" xfId="323" xr:uid="{00000000-0005-0000-0000-000055000000}"/>
    <cellStyle name="Avertissement" xfId="28" builtinId="11" customBuiltin="1"/>
    <cellStyle name="Bad 2" xfId="338" xr:uid="{00000000-0005-0000-0000-000057000000}"/>
    <cellStyle name="Calc Currency (0)" xfId="108" xr:uid="{00000000-0005-0000-0000-000058000000}"/>
    <cellStyle name="Calc Currency (2)" xfId="109" xr:uid="{00000000-0005-0000-0000-000059000000}"/>
    <cellStyle name="Calc Percent (0)" xfId="110" xr:uid="{00000000-0005-0000-0000-00005A000000}"/>
    <cellStyle name="Calc Percent (1)" xfId="111" xr:uid="{00000000-0005-0000-0000-00005B000000}"/>
    <cellStyle name="Calc Percent (2)" xfId="112" xr:uid="{00000000-0005-0000-0000-00005C000000}"/>
    <cellStyle name="Calc Units (0)" xfId="113" xr:uid="{00000000-0005-0000-0000-00005D000000}"/>
    <cellStyle name="Calc Units (1)" xfId="114" xr:uid="{00000000-0005-0000-0000-00005E000000}"/>
    <cellStyle name="Calc Units (2)" xfId="115" xr:uid="{00000000-0005-0000-0000-00005F000000}"/>
    <cellStyle name="Calcul" xfId="26" builtinId="22" customBuiltin="1"/>
    <cellStyle name="Calculation 2" xfId="325" xr:uid="{00000000-0005-0000-0000-000061000000}"/>
    <cellStyle name="Cellule liée" xfId="41" builtinId="24" customBuiltin="1"/>
    <cellStyle name="Check Cell 2" xfId="339" xr:uid="{00000000-0005-0000-0000-000063000000}"/>
    <cellStyle name="clsAltData" xfId="116" xr:uid="{00000000-0005-0000-0000-000064000000}"/>
    <cellStyle name="clsColumnHeader" xfId="117" xr:uid="{00000000-0005-0000-0000-000065000000}"/>
    <cellStyle name="clsData" xfId="118" xr:uid="{00000000-0005-0000-0000-000066000000}"/>
    <cellStyle name="clsDefault" xfId="119" xr:uid="{00000000-0005-0000-0000-000067000000}"/>
    <cellStyle name="clsRowHeader" xfId="120" xr:uid="{00000000-0005-0000-0000-000068000000}"/>
    <cellStyle name="clsSection" xfId="121" xr:uid="{00000000-0005-0000-0000-000069000000}"/>
    <cellStyle name="Comma [00]" xfId="122" xr:uid="{00000000-0005-0000-0000-00006A000000}"/>
    <cellStyle name="Comma 10" xfId="212" xr:uid="{00000000-0005-0000-0000-00006B000000}"/>
    <cellStyle name="Comma 10 2" xfId="228" xr:uid="{00000000-0005-0000-0000-00006C000000}"/>
    <cellStyle name="Comma 10 2 2" xfId="288" xr:uid="{00000000-0005-0000-0000-00006D000000}"/>
    <cellStyle name="Comma 10 2 2 2" xfId="391" xr:uid="{00000000-0005-0000-0000-00006E000000}"/>
    <cellStyle name="Comma 10 2 2 2 2" xfId="525" xr:uid="{00000000-0005-0000-0000-00006F000000}"/>
    <cellStyle name="Comma 10 2 2 2 3" xfId="556" xr:uid="{00000000-0005-0000-0000-000070000000}"/>
    <cellStyle name="Comma 10 2 2 3" xfId="475" xr:uid="{00000000-0005-0000-0000-000071000000}"/>
    <cellStyle name="Comma 10 2 3" xfId="296" xr:uid="{00000000-0005-0000-0000-000072000000}"/>
    <cellStyle name="Comma 10 2 3 2" xfId="397" xr:uid="{00000000-0005-0000-0000-000073000000}"/>
    <cellStyle name="Comma 10 2 3 2 2" xfId="531" xr:uid="{00000000-0005-0000-0000-000074000000}"/>
    <cellStyle name="Comma 10 2 3 3" xfId="483" xr:uid="{00000000-0005-0000-0000-000075000000}"/>
    <cellStyle name="Comma 10 2 4" xfId="362" xr:uid="{00000000-0005-0000-0000-000076000000}"/>
    <cellStyle name="Comma 10 2 4 2" xfId="498" xr:uid="{00000000-0005-0000-0000-000077000000}"/>
    <cellStyle name="Comma 10 2 5" xfId="409" xr:uid="{00000000-0005-0000-0000-000078000000}"/>
    <cellStyle name="Comma 10 2 5 2" xfId="542" xr:uid="{00000000-0005-0000-0000-000079000000}"/>
    <cellStyle name="Comma 10 2 6" xfId="434" xr:uid="{00000000-0005-0000-0000-00007A000000}"/>
    <cellStyle name="Comma 10 3" xfId="355" xr:uid="{00000000-0005-0000-0000-00007B000000}"/>
    <cellStyle name="Comma 10 3 2" xfId="493" xr:uid="{00000000-0005-0000-0000-00007C000000}"/>
    <cellStyle name="Comma 10 4" xfId="425" xr:uid="{00000000-0005-0000-0000-00007D000000}"/>
    <cellStyle name="Comma 11" xfId="227" xr:uid="{00000000-0005-0000-0000-00007E000000}"/>
    <cellStyle name="Comma 11 2" xfId="229" xr:uid="{00000000-0005-0000-0000-00007F000000}"/>
    <cellStyle name="Comma 11 2 2" xfId="435" xr:uid="{00000000-0005-0000-0000-000080000000}"/>
    <cellStyle name="Comma 11 3" xfId="271" xr:uid="{00000000-0005-0000-0000-000081000000}"/>
    <cellStyle name="Comma 11 3 2" xfId="383" xr:uid="{00000000-0005-0000-0000-000082000000}"/>
    <cellStyle name="Comma 11 3 2 2" xfId="517" xr:uid="{00000000-0005-0000-0000-000083000000}"/>
    <cellStyle name="Comma 11 3 3" xfId="462" xr:uid="{00000000-0005-0000-0000-000084000000}"/>
    <cellStyle name="Comma 11 4" xfId="361" xr:uid="{00000000-0005-0000-0000-000085000000}"/>
    <cellStyle name="Comma 11 4 2" xfId="497" xr:uid="{00000000-0005-0000-0000-000086000000}"/>
    <cellStyle name="Comma 11 5" xfId="433" xr:uid="{00000000-0005-0000-0000-000087000000}"/>
    <cellStyle name="Comma 12" xfId="230" xr:uid="{00000000-0005-0000-0000-000088000000}"/>
    <cellStyle name="Comma 12 2" xfId="231" xr:uid="{00000000-0005-0000-0000-000089000000}"/>
    <cellStyle name="Comma 12 2 2" xfId="437" xr:uid="{00000000-0005-0000-0000-00008A000000}"/>
    <cellStyle name="Comma 12 3" xfId="436" xr:uid="{00000000-0005-0000-0000-00008B000000}"/>
    <cellStyle name="Comma 13" xfId="232" xr:uid="{00000000-0005-0000-0000-00008C000000}"/>
    <cellStyle name="Comma 13 2" xfId="363" xr:uid="{00000000-0005-0000-0000-00008D000000}"/>
    <cellStyle name="Comma 13 2 2" xfId="499" xr:uid="{00000000-0005-0000-0000-00008E000000}"/>
    <cellStyle name="Comma 13 3" xfId="438" xr:uid="{00000000-0005-0000-0000-00008F000000}"/>
    <cellStyle name="Comma 14" xfId="233" xr:uid="{00000000-0005-0000-0000-000090000000}"/>
    <cellStyle name="Comma 14 2" xfId="364" xr:uid="{00000000-0005-0000-0000-000091000000}"/>
    <cellStyle name="Comma 14 2 2" xfId="500" xr:uid="{00000000-0005-0000-0000-000092000000}"/>
    <cellStyle name="Comma 14 3" xfId="439" xr:uid="{00000000-0005-0000-0000-000093000000}"/>
    <cellStyle name="Comma 15" xfId="234" xr:uid="{00000000-0005-0000-0000-000094000000}"/>
    <cellStyle name="Comma 15 2" xfId="365" xr:uid="{00000000-0005-0000-0000-000095000000}"/>
    <cellStyle name="Comma 15 2 2" xfId="501" xr:uid="{00000000-0005-0000-0000-000096000000}"/>
    <cellStyle name="Comma 15 3" xfId="440" xr:uid="{00000000-0005-0000-0000-000097000000}"/>
    <cellStyle name="Comma 16" xfId="279" xr:uid="{00000000-0005-0000-0000-000098000000}"/>
    <cellStyle name="Comma 16 2" xfId="387" xr:uid="{00000000-0005-0000-0000-000099000000}"/>
    <cellStyle name="Comma 16 2 2" xfId="521" xr:uid="{00000000-0005-0000-0000-00009A000000}"/>
    <cellStyle name="Comma 16 3" xfId="469" xr:uid="{00000000-0005-0000-0000-00009B000000}"/>
    <cellStyle name="Comma 17" xfId="291" xr:uid="{00000000-0005-0000-0000-00009C000000}"/>
    <cellStyle name="Comma 17 2" xfId="393" xr:uid="{00000000-0005-0000-0000-00009D000000}"/>
    <cellStyle name="Comma 17 2 2" xfId="527" xr:uid="{00000000-0005-0000-0000-00009E000000}"/>
    <cellStyle name="Comma 17 3" xfId="478" xr:uid="{00000000-0005-0000-0000-00009F000000}"/>
    <cellStyle name="Comma 18" xfId="399" xr:uid="{00000000-0005-0000-0000-0000A0000000}"/>
    <cellStyle name="Comma 18 2" xfId="533" xr:uid="{00000000-0005-0000-0000-0000A1000000}"/>
    <cellStyle name="Comma 19" xfId="404" xr:uid="{00000000-0005-0000-0000-0000A2000000}"/>
    <cellStyle name="Comma 19 2" xfId="537" xr:uid="{00000000-0005-0000-0000-0000A3000000}"/>
    <cellStyle name="Comma 2" xfId="43" xr:uid="{00000000-0005-0000-0000-0000A4000000}"/>
    <cellStyle name="Comma 2 2" xfId="123" xr:uid="{00000000-0005-0000-0000-0000A5000000}"/>
    <cellStyle name="Comma 2 2 2" xfId="235" xr:uid="{00000000-0005-0000-0000-0000A6000000}"/>
    <cellStyle name="Comma 2 2 2 2" xfId="366" xr:uid="{00000000-0005-0000-0000-0000A7000000}"/>
    <cellStyle name="Comma 2 2 2 3" xfId="441" xr:uid="{00000000-0005-0000-0000-0000A8000000}"/>
    <cellStyle name="Comma 2 2 3" xfId="344" xr:uid="{00000000-0005-0000-0000-0000A9000000}"/>
    <cellStyle name="Comma 2 2 4" xfId="416" xr:uid="{00000000-0005-0000-0000-0000AA000000}"/>
    <cellStyle name="Comma 2 3" xfId="215" xr:uid="{00000000-0005-0000-0000-0000AB000000}"/>
    <cellStyle name="Comma 2 3 2" xfId="358" xr:uid="{00000000-0005-0000-0000-0000AC000000}"/>
    <cellStyle name="Comma 2 4" xfId="224" xr:uid="{00000000-0005-0000-0000-0000AD000000}"/>
    <cellStyle name="Comma 2 4 2" xfId="360" xr:uid="{00000000-0005-0000-0000-0000AE000000}"/>
    <cellStyle name="Comma 2 5" xfId="236" xr:uid="{00000000-0005-0000-0000-0000AF000000}"/>
    <cellStyle name="Comma 2 5 2" xfId="367" xr:uid="{00000000-0005-0000-0000-0000B0000000}"/>
    <cellStyle name="Comma 2 5 2 2" xfId="502" xr:uid="{00000000-0005-0000-0000-0000B1000000}"/>
    <cellStyle name="Comma 2 5 3" xfId="442" xr:uid="{00000000-0005-0000-0000-0000B2000000}"/>
    <cellStyle name="Comma 2 6" xfId="341" xr:uid="{00000000-0005-0000-0000-0000B3000000}"/>
    <cellStyle name="Comma 20" xfId="407" xr:uid="{00000000-0005-0000-0000-0000B4000000}"/>
    <cellStyle name="Comma 20 2" xfId="540" xr:uid="{00000000-0005-0000-0000-0000B5000000}"/>
    <cellStyle name="Comma 21" xfId="546" xr:uid="{00000000-0005-0000-0000-0000B6000000}"/>
    <cellStyle name="Comma 22" xfId="553" xr:uid="{00000000-0005-0000-0000-0000B7000000}"/>
    <cellStyle name="Comma 3" xfId="124" xr:uid="{00000000-0005-0000-0000-0000B8000000}"/>
    <cellStyle name="Comma 3 2" xfId="125" xr:uid="{00000000-0005-0000-0000-0000B9000000}"/>
    <cellStyle name="Comma 3 2 2" xfId="345" xr:uid="{00000000-0005-0000-0000-0000BA000000}"/>
    <cellStyle name="Comma 3 3" xfId="266" xr:uid="{00000000-0005-0000-0000-0000BB000000}"/>
    <cellStyle name="Comma 3 3 2" xfId="380" xr:uid="{00000000-0005-0000-0000-0000BC000000}"/>
    <cellStyle name="Comma 4" xfId="126" xr:uid="{00000000-0005-0000-0000-0000BD000000}"/>
    <cellStyle name="Comma 4 2" xfId="346" xr:uid="{00000000-0005-0000-0000-0000BE000000}"/>
    <cellStyle name="Comma 5" xfId="86" xr:uid="{00000000-0005-0000-0000-0000BF000000}"/>
    <cellStyle name="Comma 5 2" xfId="343" xr:uid="{00000000-0005-0000-0000-0000C0000000}"/>
    <cellStyle name="Comma 6" xfId="127" xr:uid="{00000000-0005-0000-0000-0000C1000000}"/>
    <cellStyle name="Comma 6 2" xfId="417" xr:uid="{00000000-0005-0000-0000-0000C2000000}"/>
    <cellStyle name="Comma 7" xfId="128" xr:uid="{00000000-0005-0000-0000-0000C3000000}"/>
    <cellStyle name="Comma 7 2" xfId="237" xr:uid="{00000000-0005-0000-0000-0000C4000000}"/>
    <cellStyle name="Comma 7 2 2" xfId="368" xr:uid="{00000000-0005-0000-0000-0000C5000000}"/>
    <cellStyle name="Comma 7 2 2 2" xfId="503" xr:uid="{00000000-0005-0000-0000-0000C6000000}"/>
    <cellStyle name="Comma 7 2 3" xfId="443" xr:uid="{00000000-0005-0000-0000-0000C7000000}"/>
    <cellStyle name="Comma 7 3" xfId="347" xr:uid="{00000000-0005-0000-0000-0000C8000000}"/>
    <cellStyle name="Comma 7 3 2" xfId="487" xr:uid="{00000000-0005-0000-0000-0000C9000000}"/>
    <cellStyle name="Comma 7 4" xfId="418" xr:uid="{00000000-0005-0000-0000-0000CA000000}"/>
    <cellStyle name="Comma 8" xfId="129" xr:uid="{00000000-0005-0000-0000-0000CB000000}"/>
    <cellStyle name="Comma 8 2" xfId="348" xr:uid="{00000000-0005-0000-0000-0000CC000000}"/>
    <cellStyle name="Comma 8 3" xfId="419" xr:uid="{00000000-0005-0000-0000-0000CD000000}"/>
    <cellStyle name="Comma 9" xfId="210" xr:uid="{00000000-0005-0000-0000-0000CE000000}"/>
    <cellStyle name="Comma 9 2" xfId="354" xr:uid="{00000000-0005-0000-0000-0000CF000000}"/>
    <cellStyle name="Comma 9 2 2" xfId="492" xr:uid="{00000000-0005-0000-0000-0000D0000000}"/>
    <cellStyle name="Comma 9 3" xfId="424" xr:uid="{00000000-0005-0000-0000-0000D1000000}"/>
    <cellStyle name="Currency [0] _laroux" xfId="130" xr:uid="{00000000-0005-0000-0000-0000D2000000}"/>
    <cellStyle name="Currency [00]" xfId="131" xr:uid="{00000000-0005-0000-0000-0000D3000000}"/>
    <cellStyle name="Currency 2" xfId="132" xr:uid="{00000000-0005-0000-0000-0000D4000000}"/>
    <cellStyle name="Currency 3" xfId="133" xr:uid="{00000000-0005-0000-0000-0000D5000000}"/>
    <cellStyle name="Currency 4" xfId="134" xr:uid="{00000000-0005-0000-0000-0000D6000000}"/>
    <cellStyle name="Currency 5" xfId="135" xr:uid="{00000000-0005-0000-0000-0000D7000000}"/>
    <cellStyle name="Currency 6" xfId="218" xr:uid="{00000000-0005-0000-0000-0000D8000000}"/>
    <cellStyle name="Currency 7" xfId="273" xr:uid="{00000000-0005-0000-0000-0000D9000000}"/>
    <cellStyle name="Currency 7 2" xfId="385" xr:uid="{00000000-0005-0000-0000-0000DA000000}"/>
    <cellStyle name="Currency 7 2 2" xfId="519" xr:uid="{00000000-0005-0000-0000-0000DB000000}"/>
    <cellStyle name="Currency 7 3" xfId="464" xr:uid="{00000000-0005-0000-0000-0000DC000000}"/>
    <cellStyle name="Date Short" xfId="136" xr:uid="{00000000-0005-0000-0000-0000DD000000}"/>
    <cellStyle name="Enter Currency (0)" xfId="137" xr:uid="{00000000-0005-0000-0000-0000DE000000}"/>
    <cellStyle name="Enter Currency (2)" xfId="138" xr:uid="{00000000-0005-0000-0000-0000DF000000}"/>
    <cellStyle name="Enter Units (0)" xfId="139" xr:uid="{00000000-0005-0000-0000-0000E0000000}"/>
    <cellStyle name="Enter Units (1)" xfId="140" xr:uid="{00000000-0005-0000-0000-0000E1000000}"/>
    <cellStyle name="Enter Units (2)" xfId="141" xr:uid="{00000000-0005-0000-0000-0000E2000000}"/>
    <cellStyle name="Entrée" xfId="38" builtinId="20" customBuiltin="1"/>
    <cellStyle name="Euro" xfId="142" xr:uid="{00000000-0005-0000-0000-0000E3000000}"/>
    <cellStyle name="Explanatory Text 2" xfId="328" xr:uid="{00000000-0005-0000-0000-0000E5000000}"/>
    <cellStyle name="Good 2" xfId="326" xr:uid="{00000000-0005-0000-0000-0000E7000000}"/>
    <cellStyle name="Header1" xfId="143" xr:uid="{00000000-0005-0000-0000-0000E8000000}"/>
    <cellStyle name="Header2" xfId="144" xr:uid="{00000000-0005-0000-0000-0000E9000000}"/>
    <cellStyle name="Heading 1 2" xfId="330" xr:uid="{00000000-0005-0000-0000-0000EB000000}"/>
    <cellStyle name="Heading 2 2" xfId="331" xr:uid="{00000000-0005-0000-0000-0000ED000000}"/>
    <cellStyle name="Heading 3 2" xfId="332" xr:uid="{00000000-0005-0000-0000-0000EF000000}"/>
    <cellStyle name="Heading 4 2" xfId="333" xr:uid="{00000000-0005-0000-0000-0000F1000000}"/>
    <cellStyle name="Input 2" xfId="337" xr:uid="{00000000-0005-0000-0000-0000F4000000}"/>
    <cellStyle name="Insatisfaisant" xfId="39" builtinId="27" customBuiltin="1"/>
    <cellStyle name="Lien hypertexte" xfId="415" builtinId="8"/>
    <cellStyle name="Link Currency (0)" xfId="145" xr:uid="{00000000-0005-0000-0000-0000F5000000}"/>
    <cellStyle name="Link Currency (2)" xfId="146" xr:uid="{00000000-0005-0000-0000-0000F6000000}"/>
    <cellStyle name="Link Units (0)" xfId="147" xr:uid="{00000000-0005-0000-0000-0000F7000000}"/>
    <cellStyle name="Link Units (1)" xfId="148" xr:uid="{00000000-0005-0000-0000-0000F8000000}"/>
    <cellStyle name="Link Units (2)" xfId="149" xr:uid="{00000000-0005-0000-0000-0000F9000000}"/>
    <cellStyle name="Linked Cell 2" xfId="340" xr:uid="{00000000-0005-0000-0000-0000FB000000}"/>
    <cellStyle name="MS_English" xfId="150" xr:uid="{00000000-0005-0000-0000-0000FC000000}"/>
    <cellStyle name="Neutral 2" xfId="334" xr:uid="{00000000-0005-0000-0000-0000FE000000}"/>
    <cellStyle name="Neutre" xfId="35" builtinId="28" customBuiltin="1"/>
    <cellStyle name="Normal" xfId="0" builtinId="0"/>
    <cellStyle name="Normal 10" xfId="87" xr:uid="{00000000-0005-0000-0000-000000010000}"/>
    <cellStyle name="Normal 10 2" xfId="401" xr:uid="{00000000-0005-0000-0000-000001010000}"/>
    <cellStyle name="Normal 11" xfId="151" xr:uid="{00000000-0005-0000-0000-000002010000}"/>
    <cellStyle name="Normal 11 2" xfId="349" xr:uid="{00000000-0005-0000-0000-000003010000}"/>
    <cellStyle name="Normal 11 2 2" xfId="488" xr:uid="{00000000-0005-0000-0000-000004010000}"/>
    <cellStyle name="Normal 11 3" xfId="420" xr:uid="{00000000-0005-0000-0000-000005010000}"/>
    <cellStyle name="Normal 12" xfId="152" xr:uid="{00000000-0005-0000-0000-000006010000}"/>
    <cellStyle name="Normal 12 2" xfId="283" xr:uid="{00000000-0005-0000-0000-000007010000}"/>
    <cellStyle name="Normal 13" xfId="153" xr:uid="{00000000-0005-0000-0000-000008010000}"/>
    <cellStyle name="Normal 13 2" xfId="238" xr:uid="{00000000-0005-0000-0000-000009010000}"/>
    <cellStyle name="Normal 13 2 2" xfId="275" xr:uid="{00000000-0005-0000-0000-00000A010000}"/>
    <cellStyle name="Normal 13 2 2 2" xfId="386" xr:uid="{00000000-0005-0000-0000-00000B010000}"/>
    <cellStyle name="Normal 13 2 2 2 2" xfId="520" xr:uid="{00000000-0005-0000-0000-00000C010000}"/>
    <cellStyle name="Normal 13 2 2 2 3" xfId="555" xr:uid="{00000000-0005-0000-0000-00000D010000}"/>
    <cellStyle name="Normal 13 2 2 3" xfId="466" xr:uid="{00000000-0005-0000-0000-00000E010000}"/>
    <cellStyle name="Normal 13 2 3" xfId="293" xr:uid="{00000000-0005-0000-0000-00000F010000}"/>
    <cellStyle name="Normal 13 2 3 2" xfId="395" xr:uid="{00000000-0005-0000-0000-000010010000}"/>
    <cellStyle name="Normal 13 2 3 2 2" xfId="529" xr:uid="{00000000-0005-0000-0000-000011010000}"/>
    <cellStyle name="Normal 13 2 3 3" xfId="480" xr:uid="{00000000-0005-0000-0000-000012010000}"/>
    <cellStyle name="Normal 13 2 3 4" xfId="554" xr:uid="{00000000-0005-0000-0000-000013010000}"/>
    <cellStyle name="Normal 13 2 4" xfId="369" xr:uid="{00000000-0005-0000-0000-000014010000}"/>
    <cellStyle name="Normal 13 2 4 2" xfId="504" xr:uid="{00000000-0005-0000-0000-000015010000}"/>
    <cellStyle name="Normal 13 2 5" xfId="408" xr:uid="{00000000-0005-0000-0000-000016010000}"/>
    <cellStyle name="Normal 13 2 5 2" xfId="541" xr:uid="{00000000-0005-0000-0000-000017010000}"/>
    <cellStyle name="Normal 13 2 6" xfId="412" xr:uid="{00000000-0005-0000-0000-000018010000}"/>
    <cellStyle name="Normal 13 2 6 2" xfId="545" xr:uid="{00000000-0005-0000-0000-000019010000}"/>
    <cellStyle name="Normal 13 2 6 2 2" xfId="547" xr:uid="{00000000-0005-0000-0000-00001A010000}"/>
    <cellStyle name="Normal 13 2 6 3 2" xfId="550" xr:uid="{00000000-0005-0000-0000-00001B010000}"/>
    <cellStyle name="Normal 13 2 7" xfId="444" xr:uid="{00000000-0005-0000-0000-00001C010000}"/>
    <cellStyle name="Normal 13 3" xfId="239" xr:uid="{00000000-0005-0000-0000-00001D010000}"/>
    <cellStyle name="Normal 13 3 2" xfId="370" xr:uid="{00000000-0005-0000-0000-00001E010000}"/>
    <cellStyle name="Normal 13 3 2 2" xfId="505" xr:uid="{00000000-0005-0000-0000-00001F010000}"/>
    <cellStyle name="Normal 13 3 3" xfId="445" xr:uid="{00000000-0005-0000-0000-000020010000}"/>
    <cellStyle name="Normal 13 4" xfId="350" xr:uid="{00000000-0005-0000-0000-000021010000}"/>
    <cellStyle name="Normal 13 4 2" xfId="489" xr:uid="{00000000-0005-0000-0000-000022010000}"/>
    <cellStyle name="Normal 13 5" xfId="421" xr:uid="{00000000-0005-0000-0000-000023010000}"/>
    <cellStyle name="Normal 14" xfId="209" xr:uid="{00000000-0005-0000-0000-000024010000}"/>
    <cellStyle name="Normal 14 2" xfId="353" xr:uid="{00000000-0005-0000-0000-000025010000}"/>
    <cellStyle name="Normal 14 2 2" xfId="491" xr:uid="{00000000-0005-0000-0000-000026010000}"/>
    <cellStyle name="Normal 14 3" xfId="423" xr:uid="{00000000-0005-0000-0000-000027010000}"/>
    <cellStyle name="Normal 15" xfId="213" xr:uid="{00000000-0005-0000-0000-000028010000}"/>
    <cellStyle name="Normal 15 2" xfId="356" xr:uid="{00000000-0005-0000-0000-000029010000}"/>
    <cellStyle name="Normal 15 2 2" xfId="494" xr:uid="{00000000-0005-0000-0000-00002A010000}"/>
    <cellStyle name="Normal 15 3" xfId="426" xr:uid="{00000000-0005-0000-0000-00002B010000}"/>
    <cellStyle name="Normal 16" xfId="217" xr:uid="{00000000-0005-0000-0000-00002C010000}"/>
    <cellStyle name="Normal 17" xfId="219" xr:uid="{00000000-0005-0000-0000-00002D010000}"/>
    <cellStyle name="Normal 17 2" xfId="240" xr:uid="{00000000-0005-0000-0000-00002E010000}"/>
    <cellStyle name="Normal 17 3" xfId="241" xr:uid="{00000000-0005-0000-0000-00002F010000}"/>
    <cellStyle name="Normal 17 4" xfId="264" xr:uid="{00000000-0005-0000-0000-000030010000}"/>
    <cellStyle name="Normal 17 4 2" xfId="280" xr:uid="{00000000-0005-0000-0000-000031010000}"/>
    <cellStyle name="Normal 17 4 2 2" xfId="470" xr:uid="{00000000-0005-0000-0000-000032010000}"/>
    <cellStyle name="Normal 17 4 3" xfId="457" xr:uid="{00000000-0005-0000-0000-000033010000}"/>
    <cellStyle name="Normal 17 5" xfId="428" xr:uid="{00000000-0005-0000-0000-000034010000}"/>
    <cellStyle name="Normal 18" xfId="242" xr:uid="{00000000-0005-0000-0000-000035010000}"/>
    <cellStyle name="Normal 18 2" xfId="243" xr:uid="{00000000-0005-0000-0000-000036010000}"/>
    <cellStyle name="Normal 18 2 2" xfId="244" xr:uid="{00000000-0005-0000-0000-000037010000}"/>
    <cellStyle name="Normal 18 3" xfId="245" xr:uid="{00000000-0005-0000-0000-000038010000}"/>
    <cellStyle name="Normal 19" xfId="246" xr:uid="{00000000-0005-0000-0000-000039010000}"/>
    <cellStyle name="Normal 2" xfId="42" xr:uid="{00000000-0005-0000-0000-00003A010000}"/>
    <cellStyle name="Normal 2 2" xfId="154" xr:uid="{00000000-0005-0000-0000-00003B010000}"/>
    <cellStyle name="Normal 2 3" xfId="220" xr:uid="{00000000-0005-0000-0000-00003C010000}"/>
    <cellStyle name="Normal 2 3 2" xfId="263" xr:uid="{00000000-0005-0000-0000-00003D010000}"/>
    <cellStyle name="Normal 2 3 2 2" xfId="265" xr:uid="{00000000-0005-0000-0000-00003E010000}"/>
    <cellStyle name="Normal 2 3 2 2 2" xfId="294" xr:uid="{00000000-0005-0000-0000-00003F010000}"/>
    <cellStyle name="Normal 2 3 2 2 2 2" xfId="481" xr:uid="{00000000-0005-0000-0000-000040010000}"/>
    <cellStyle name="Normal 2 3 2 2 3" xfId="458" xr:uid="{00000000-0005-0000-0000-000041010000}"/>
    <cellStyle name="Normal 2 3 2 3" xfId="456" xr:uid="{00000000-0005-0000-0000-000042010000}"/>
    <cellStyle name="Normal 2 3 3" xfId="282" xr:uid="{00000000-0005-0000-0000-000043010000}"/>
    <cellStyle name="Normal 2 3 4" xfId="429" xr:uid="{00000000-0005-0000-0000-000044010000}"/>
    <cellStyle name="Normal 2 4" xfId="221" xr:uid="{00000000-0005-0000-0000-000045010000}"/>
    <cellStyle name="Normal 2 4 2" xfId="262" xr:uid="{00000000-0005-0000-0000-000046010000}"/>
    <cellStyle name="Normal 2 4 2 2" xfId="272" xr:uid="{00000000-0005-0000-0000-000047010000}"/>
    <cellStyle name="Normal 2 4 2 2 2" xfId="384" xr:uid="{00000000-0005-0000-0000-000048010000}"/>
    <cellStyle name="Normal 2 4 2 2 2 2" xfId="518" xr:uid="{00000000-0005-0000-0000-000049010000}"/>
    <cellStyle name="Normal 2 4 2 2 3" xfId="463" xr:uid="{00000000-0005-0000-0000-00004A010000}"/>
    <cellStyle name="Normal 2 4 2 3" xfId="379" xr:uid="{00000000-0005-0000-0000-00004B010000}"/>
    <cellStyle name="Normal 2 4 2 3 2" xfId="514" xr:uid="{00000000-0005-0000-0000-00004C010000}"/>
    <cellStyle name="Normal 2 4 2 4" xfId="455" xr:uid="{00000000-0005-0000-0000-00004D010000}"/>
    <cellStyle name="Normal 2 4 3" xfId="268" xr:uid="{00000000-0005-0000-0000-00004E010000}"/>
    <cellStyle name="Normal 2 4 3 2" xfId="381" xr:uid="{00000000-0005-0000-0000-00004F010000}"/>
    <cellStyle name="Normal 2 4 3 2 2" xfId="515" xr:uid="{00000000-0005-0000-0000-000050010000}"/>
    <cellStyle name="Normal 2 4 3 3" xfId="459" xr:uid="{00000000-0005-0000-0000-000051010000}"/>
    <cellStyle name="Normal 2 4 4" xfId="289" xr:uid="{00000000-0005-0000-0000-000052010000}"/>
    <cellStyle name="Normal 2 4 4 2" xfId="476" xr:uid="{00000000-0005-0000-0000-000053010000}"/>
    <cellStyle name="Normal 2 4 5" xfId="430" xr:uid="{00000000-0005-0000-0000-000054010000}"/>
    <cellStyle name="Normal 2 5" xfId="247" xr:uid="{00000000-0005-0000-0000-000055010000}"/>
    <cellStyle name="Normal 2 6" xfId="225" xr:uid="{00000000-0005-0000-0000-000056010000}"/>
    <cellStyle name="Normal 2 7" xfId="285" xr:uid="{00000000-0005-0000-0000-000057010000}"/>
    <cellStyle name="Normal 2 7 2" xfId="389" xr:uid="{00000000-0005-0000-0000-000058010000}"/>
    <cellStyle name="Normal 2 7 2 2" xfId="523" xr:uid="{00000000-0005-0000-0000-000059010000}"/>
    <cellStyle name="Normal 2 7 3" xfId="473" xr:uid="{00000000-0005-0000-0000-00005A010000}"/>
    <cellStyle name="Normal 20" xfId="248" xr:uid="{00000000-0005-0000-0000-00005B010000}"/>
    <cellStyle name="Normal 20 2" xfId="249" xr:uid="{00000000-0005-0000-0000-00005C010000}"/>
    <cellStyle name="Normal 20 3" xfId="371" xr:uid="{00000000-0005-0000-0000-00005D010000}"/>
    <cellStyle name="Normal 20 3 2" xfId="506" xr:uid="{00000000-0005-0000-0000-00005E010000}"/>
    <cellStyle name="Normal 20 4" xfId="446" xr:uid="{00000000-0005-0000-0000-00005F010000}"/>
    <cellStyle name="Normal 21" xfId="226" xr:uid="{00000000-0005-0000-0000-000060010000}"/>
    <cellStyle name="Normal 21 2" xfId="270" xr:uid="{00000000-0005-0000-0000-000061010000}"/>
    <cellStyle name="Normal 21 2 2" xfId="277" xr:uid="{00000000-0005-0000-0000-000062010000}"/>
    <cellStyle name="Normal 21 2 2 2" xfId="468" xr:uid="{00000000-0005-0000-0000-000063010000}"/>
    <cellStyle name="Normal 21 2 3" xfId="461" xr:uid="{00000000-0005-0000-0000-000064010000}"/>
    <cellStyle name="Normal 21 3" xfId="432" xr:uid="{00000000-0005-0000-0000-000065010000}"/>
    <cellStyle name="Normal 22" xfId="250" xr:uid="{00000000-0005-0000-0000-000066010000}"/>
    <cellStyle name="Normal 22 2" xfId="267" xr:uid="{00000000-0005-0000-0000-000067010000}"/>
    <cellStyle name="Normal 22 3" xfId="372" xr:uid="{00000000-0005-0000-0000-000068010000}"/>
    <cellStyle name="Normal 22 3 2" xfId="507" xr:uid="{00000000-0005-0000-0000-000069010000}"/>
    <cellStyle name="Normal 22 4" xfId="447" xr:uid="{00000000-0005-0000-0000-00006A010000}"/>
    <cellStyle name="Normal 23" xfId="251" xr:uid="{00000000-0005-0000-0000-00006B010000}"/>
    <cellStyle name="Normal 23 2" xfId="252" xr:uid="{00000000-0005-0000-0000-00006C010000}"/>
    <cellStyle name="Normal 23 2 2" xfId="374" xr:uid="{00000000-0005-0000-0000-00006D010000}"/>
    <cellStyle name="Normal 23 2 2 2" xfId="509" xr:uid="{00000000-0005-0000-0000-00006E010000}"/>
    <cellStyle name="Normal 23 2 3" xfId="449" xr:uid="{00000000-0005-0000-0000-00006F010000}"/>
    <cellStyle name="Normal 23 3" xfId="373" xr:uid="{00000000-0005-0000-0000-000070010000}"/>
    <cellStyle name="Normal 23 3 2" xfId="508" xr:uid="{00000000-0005-0000-0000-000071010000}"/>
    <cellStyle name="Normal 23 4" xfId="448" xr:uid="{00000000-0005-0000-0000-000072010000}"/>
    <cellStyle name="Normal 24" xfId="253" xr:uid="{00000000-0005-0000-0000-000073010000}"/>
    <cellStyle name="Normal 24 2" xfId="375" xr:uid="{00000000-0005-0000-0000-000074010000}"/>
    <cellStyle name="Normal 24 2 2" xfId="510" xr:uid="{00000000-0005-0000-0000-000075010000}"/>
    <cellStyle name="Normal 24 3" xfId="450" xr:uid="{00000000-0005-0000-0000-000076010000}"/>
    <cellStyle name="Normal 25" xfId="274" xr:uid="{00000000-0005-0000-0000-000077010000}"/>
    <cellStyle name="Normal 25 2" xfId="465" xr:uid="{00000000-0005-0000-0000-000078010000}"/>
    <cellStyle name="Normal 26" xfId="278" xr:uid="{00000000-0005-0000-0000-000079010000}"/>
    <cellStyle name="Normal 27" xfId="290" xr:uid="{00000000-0005-0000-0000-00007A010000}"/>
    <cellStyle name="Normal 27 2" xfId="295" xr:uid="{00000000-0005-0000-0000-00007B010000}"/>
    <cellStyle name="Normal 27 2 2" xfId="396" xr:uid="{00000000-0005-0000-0000-00007C010000}"/>
    <cellStyle name="Normal 27 2 2 2" xfId="530" xr:uid="{00000000-0005-0000-0000-00007D010000}"/>
    <cellStyle name="Normal 27 2 3" xfId="482" xr:uid="{00000000-0005-0000-0000-00007E010000}"/>
    <cellStyle name="Normal 27 3" xfId="392" xr:uid="{00000000-0005-0000-0000-00007F010000}"/>
    <cellStyle name="Normal 27 3 2" xfId="526" xr:uid="{00000000-0005-0000-0000-000080010000}"/>
    <cellStyle name="Normal 27 4" xfId="477" xr:uid="{00000000-0005-0000-0000-000081010000}"/>
    <cellStyle name="Normal 28" xfId="299" xr:uid="{00000000-0005-0000-0000-000082010000}"/>
    <cellStyle name="Normal 28 2" xfId="405" xr:uid="{00000000-0005-0000-0000-000083010000}"/>
    <cellStyle name="Normal 28 2 2" xfId="538" xr:uid="{00000000-0005-0000-0000-000084010000}"/>
    <cellStyle name="Normal 28 3" xfId="486" xr:uid="{00000000-0005-0000-0000-000085010000}"/>
    <cellStyle name="Normal 29" xfId="298" xr:uid="{00000000-0005-0000-0000-000086010000}"/>
    <cellStyle name="Normal 29 2" xfId="485" xr:uid="{00000000-0005-0000-0000-000087010000}"/>
    <cellStyle name="Normal 3" xfId="155" xr:uid="{00000000-0005-0000-0000-000088010000}"/>
    <cellStyle name="Normal 3 3" xfId="286" xr:uid="{00000000-0005-0000-0000-000089010000}"/>
    <cellStyle name="Normal 3 3 2" xfId="390" xr:uid="{00000000-0005-0000-0000-00008A010000}"/>
    <cellStyle name="Normal 3 3 2 2" xfId="524" xr:uid="{00000000-0005-0000-0000-00008B010000}"/>
    <cellStyle name="Normal 3 3 3" xfId="474" xr:uid="{00000000-0005-0000-0000-00008C010000}"/>
    <cellStyle name="Normal 30" xfId="403" xr:uid="{00000000-0005-0000-0000-00008D010000}"/>
    <cellStyle name="Normal 30 2" xfId="536" xr:uid="{00000000-0005-0000-0000-00008E010000}"/>
    <cellStyle name="Normal 31" xfId="406" xr:uid="{00000000-0005-0000-0000-00008F010000}"/>
    <cellStyle name="Normal 31 2" xfId="539" xr:uid="{00000000-0005-0000-0000-000090010000}"/>
    <cellStyle name="Normal 32" xfId="410" xr:uid="{00000000-0005-0000-0000-000091010000}"/>
    <cellStyle name="Normal 32 2" xfId="543" xr:uid="{00000000-0005-0000-0000-000092010000}"/>
    <cellStyle name="Normal 32 3 2" xfId="548" xr:uid="{00000000-0005-0000-0000-000093010000}"/>
    <cellStyle name="Normal 33" xfId="413" xr:uid="{00000000-0005-0000-0000-000094010000}"/>
    <cellStyle name="Normal 4" xfId="156" xr:uid="{00000000-0005-0000-0000-000095010000}"/>
    <cellStyle name="Normal 5" xfId="157" xr:uid="{00000000-0005-0000-0000-000096010000}"/>
    <cellStyle name="Normal 52" xfId="158" xr:uid="{00000000-0005-0000-0000-000097010000}"/>
    <cellStyle name="Normal 53" xfId="159" xr:uid="{00000000-0005-0000-0000-000098010000}"/>
    <cellStyle name="Normal 54" xfId="160" xr:uid="{00000000-0005-0000-0000-000099010000}"/>
    <cellStyle name="Normal 55" xfId="161" xr:uid="{00000000-0005-0000-0000-00009A010000}"/>
    <cellStyle name="Normal 56" xfId="162" xr:uid="{00000000-0005-0000-0000-00009B010000}"/>
    <cellStyle name="Normal 6" xfId="163" xr:uid="{00000000-0005-0000-0000-00009C010000}"/>
    <cellStyle name="Normal 7" xfId="164" xr:uid="{00000000-0005-0000-0000-00009D010000}"/>
    <cellStyle name="Normal 7 2" xfId="552" xr:uid="{00000000-0005-0000-0000-00009E010000}"/>
    <cellStyle name="Normal 8" xfId="165" xr:uid="{00000000-0005-0000-0000-00009F010000}"/>
    <cellStyle name="Normal 9" xfId="166" xr:uid="{00000000-0005-0000-0000-0000A0010000}"/>
    <cellStyle name="Normal_Afram  - Financials- 25 11 08" xfId="551" xr:uid="{00000000-0005-0000-0000-0000A1010000}"/>
    <cellStyle name="Note" xfId="25" builtinId="10" customBuiltin="1"/>
    <cellStyle name="Note 2" xfId="324" xr:uid="{00000000-0005-0000-0000-0000A3010000}"/>
    <cellStyle name="Output 2" xfId="336" xr:uid="{00000000-0005-0000-0000-0000A5010000}"/>
    <cellStyle name="Percent [0]" xfId="167" xr:uid="{00000000-0005-0000-0000-0000A7010000}"/>
    <cellStyle name="Percent [00]" xfId="168" xr:uid="{00000000-0005-0000-0000-0000A8010000}"/>
    <cellStyle name="Percent 10" xfId="254" xr:uid="{00000000-0005-0000-0000-0000A9010000}"/>
    <cellStyle name="Percent 10 2" xfId="255" xr:uid="{00000000-0005-0000-0000-0000AA010000}"/>
    <cellStyle name="Percent 10 3" xfId="256" xr:uid="{00000000-0005-0000-0000-0000AB010000}"/>
    <cellStyle name="Percent 10 3 2" xfId="377" xr:uid="{00000000-0005-0000-0000-0000AC010000}"/>
    <cellStyle name="Percent 10 3 2 2" xfId="512" xr:uid="{00000000-0005-0000-0000-0000AD010000}"/>
    <cellStyle name="Percent 10 3 3" xfId="452" xr:uid="{00000000-0005-0000-0000-0000AE010000}"/>
    <cellStyle name="Percent 10 4" xfId="376" xr:uid="{00000000-0005-0000-0000-0000AF010000}"/>
    <cellStyle name="Percent 10 4 2" xfId="511" xr:uid="{00000000-0005-0000-0000-0000B0010000}"/>
    <cellStyle name="Percent 10 5" xfId="451" xr:uid="{00000000-0005-0000-0000-0000B1010000}"/>
    <cellStyle name="Percent 11" xfId="257" xr:uid="{00000000-0005-0000-0000-0000B2010000}"/>
    <cellStyle name="Percent 11 2" xfId="281" xr:uid="{00000000-0005-0000-0000-0000B3010000}"/>
    <cellStyle name="Percent 11 2 2" xfId="471" xr:uid="{00000000-0005-0000-0000-0000B4010000}"/>
    <cellStyle name="Percent 11 3" xfId="453" xr:uid="{00000000-0005-0000-0000-0000B5010000}"/>
    <cellStyle name="Percent 12" xfId="276" xr:uid="{00000000-0005-0000-0000-0000B6010000}"/>
    <cellStyle name="Percent 12 2" xfId="467" xr:uid="{00000000-0005-0000-0000-0000B7010000}"/>
    <cellStyle name="Percent 13" xfId="292" xr:uid="{00000000-0005-0000-0000-0000B8010000}"/>
    <cellStyle name="Percent 13 2" xfId="394" xr:uid="{00000000-0005-0000-0000-0000B9010000}"/>
    <cellStyle name="Percent 13 2 2" xfId="528" xr:uid="{00000000-0005-0000-0000-0000BA010000}"/>
    <cellStyle name="Percent 13 3" xfId="479" xr:uid="{00000000-0005-0000-0000-0000BB010000}"/>
    <cellStyle name="Percent 14" xfId="398" xr:uid="{00000000-0005-0000-0000-0000BC010000}"/>
    <cellStyle name="Percent 14 2" xfId="532" xr:uid="{00000000-0005-0000-0000-0000BD010000}"/>
    <cellStyle name="Percent 15" xfId="411" xr:uid="{00000000-0005-0000-0000-0000BE010000}"/>
    <cellStyle name="Percent 15 2" xfId="544" xr:uid="{00000000-0005-0000-0000-0000BF010000}"/>
    <cellStyle name="Percent 15 3 2" xfId="549" xr:uid="{00000000-0005-0000-0000-0000C0010000}"/>
    <cellStyle name="Percent 16" xfId="414" xr:uid="{00000000-0005-0000-0000-0000C1010000}"/>
    <cellStyle name="Percent 17" xfId="484" xr:uid="{00000000-0005-0000-0000-0000C2010000}"/>
    <cellStyle name="Percent 18" xfId="557" xr:uid="{00000000-0005-0000-0000-0000C3010000}"/>
    <cellStyle name="Percent 2" xfId="44" xr:uid="{00000000-0005-0000-0000-0000C4010000}"/>
    <cellStyle name="Percent 2 2" xfId="216" xr:uid="{00000000-0005-0000-0000-0000C5010000}"/>
    <cellStyle name="Percent 2 3" xfId="222" xr:uid="{00000000-0005-0000-0000-0000C6010000}"/>
    <cellStyle name="Percent 2 3 2" xfId="400" xr:uid="{00000000-0005-0000-0000-0000C7010000}"/>
    <cellStyle name="Percent 2 3 2 2" xfId="534" xr:uid="{00000000-0005-0000-0000-0000C8010000}"/>
    <cellStyle name="Percent 2 4" xfId="258" xr:uid="{00000000-0005-0000-0000-0000C9010000}"/>
    <cellStyle name="Percent 2 4 2" xfId="287" xr:uid="{00000000-0005-0000-0000-0000CA010000}"/>
    <cellStyle name="Percent 2 4 3" xfId="378" xr:uid="{00000000-0005-0000-0000-0000CB010000}"/>
    <cellStyle name="Percent 2 4 3 2" xfId="513" xr:uid="{00000000-0005-0000-0000-0000CC010000}"/>
    <cellStyle name="Percent 2 4 4" xfId="454" xr:uid="{00000000-0005-0000-0000-0000CD010000}"/>
    <cellStyle name="Percent 2 5" xfId="284" xr:uid="{00000000-0005-0000-0000-0000CE010000}"/>
    <cellStyle name="Percent 2 5 2" xfId="388" xr:uid="{00000000-0005-0000-0000-0000CF010000}"/>
    <cellStyle name="Percent 2 5 2 2" xfId="522" xr:uid="{00000000-0005-0000-0000-0000D0010000}"/>
    <cellStyle name="Percent 2 5 3" xfId="472" xr:uid="{00000000-0005-0000-0000-0000D1010000}"/>
    <cellStyle name="Percent 2 6" xfId="402" xr:uid="{00000000-0005-0000-0000-0000D2010000}"/>
    <cellStyle name="Percent 2 6 2" xfId="535" xr:uid="{00000000-0005-0000-0000-0000D3010000}"/>
    <cellStyle name="Percent 3" xfId="169" xr:uid="{00000000-0005-0000-0000-0000D4010000}"/>
    <cellStyle name="Percent 3 2" xfId="211" xr:uid="{00000000-0005-0000-0000-0000D5010000}"/>
    <cellStyle name="Percent 4" xfId="170" xr:uid="{00000000-0005-0000-0000-0000D6010000}"/>
    <cellStyle name="Percent 5" xfId="171" xr:uid="{00000000-0005-0000-0000-0000D7010000}"/>
    <cellStyle name="Percent 6" xfId="172" xr:uid="{00000000-0005-0000-0000-0000D8010000}"/>
    <cellStyle name="Percent 7" xfId="173" xr:uid="{00000000-0005-0000-0000-0000D9010000}"/>
    <cellStyle name="Percent 7 2" xfId="174" xr:uid="{00000000-0005-0000-0000-0000DA010000}"/>
    <cellStyle name="Percent 7 3" xfId="351" xr:uid="{00000000-0005-0000-0000-0000DB010000}"/>
    <cellStyle name="Percent 7 3 2" xfId="490" xr:uid="{00000000-0005-0000-0000-0000DC010000}"/>
    <cellStyle name="Percent 7 4" xfId="422" xr:uid="{00000000-0005-0000-0000-0000DD010000}"/>
    <cellStyle name="Percent 8" xfId="214" xr:uid="{00000000-0005-0000-0000-0000DE010000}"/>
    <cellStyle name="Percent 8 2" xfId="357" xr:uid="{00000000-0005-0000-0000-0000DF010000}"/>
    <cellStyle name="Percent 8 2 2" xfId="495" xr:uid="{00000000-0005-0000-0000-0000E0010000}"/>
    <cellStyle name="Percent 8 3" xfId="427" xr:uid="{00000000-0005-0000-0000-0000E1010000}"/>
    <cellStyle name="Percent 9" xfId="223" xr:uid="{00000000-0005-0000-0000-0000E2010000}"/>
    <cellStyle name="Percent 9 2" xfId="259" xr:uid="{00000000-0005-0000-0000-0000E3010000}"/>
    <cellStyle name="Percent 9 3" xfId="269" xr:uid="{00000000-0005-0000-0000-0000E4010000}"/>
    <cellStyle name="Percent 9 3 2" xfId="382" xr:uid="{00000000-0005-0000-0000-0000E5010000}"/>
    <cellStyle name="Percent 9 3 2 2" xfId="516" xr:uid="{00000000-0005-0000-0000-0000E6010000}"/>
    <cellStyle name="Percent 9 3 3" xfId="460" xr:uid="{00000000-0005-0000-0000-0000E7010000}"/>
    <cellStyle name="Percent 9 4" xfId="359" xr:uid="{00000000-0005-0000-0000-0000E8010000}"/>
    <cellStyle name="Percent 9 4 2" xfId="496" xr:uid="{00000000-0005-0000-0000-0000E9010000}"/>
    <cellStyle name="Percent 9 5" xfId="431" xr:uid="{00000000-0005-0000-0000-0000EA010000}"/>
    <cellStyle name="Pourcentage" xfId="297" builtinId="5"/>
    <cellStyle name="PrePop Currency (0)" xfId="175" xr:uid="{00000000-0005-0000-0000-0000EB010000}"/>
    <cellStyle name="PrePop Currency (2)" xfId="176" xr:uid="{00000000-0005-0000-0000-0000EC010000}"/>
    <cellStyle name="PrePop Units (0)" xfId="177" xr:uid="{00000000-0005-0000-0000-0000ED010000}"/>
    <cellStyle name="PrePop Units (1)" xfId="178" xr:uid="{00000000-0005-0000-0000-0000EE010000}"/>
    <cellStyle name="PrePop Units (2)" xfId="179" xr:uid="{00000000-0005-0000-0000-0000EF010000}"/>
    <cellStyle name="Satisfaisant" xfId="27" builtinId="26" customBuiltin="1"/>
    <cellStyle name="Sortie" xfId="37" builtinId="21" customBuiltin="1"/>
    <cellStyle name="Style 1" xfId="180" xr:uid="{00000000-0005-0000-0000-0000F0010000}"/>
    <cellStyle name="Text Indent A" xfId="181" xr:uid="{00000000-0005-0000-0000-0000F1010000}"/>
    <cellStyle name="Text Indent B" xfId="182" xr:uid="{00000000-0005-0000-0000-0000F2010000}"/>
    <cellStyle name="Text Indent C" xfId="183" xr:uid="{00000000-0005-0000-0000-0000F3010000}"/>
    <cellStyle name="Texte explicatif" xfId="29" builtinId="53" customBuiltin="1"/>
    <cellStyle name="Title 2" xfId="329" xr:uid="{00000000-0005-0000-0000-0000F5010000}"/>
    <cellStyle name="Titre" xfId="30" builtinId="15" customBuiltin="1"/>
    <cellStyle name="Titre 1" xfId="31" builtinId="16" customBuiltin="1"/>
    <cellStyle name="Titre 2" xfId="32" builtinId="17" customBuiltin="1"/>
    <cellStyle name="Titre 3" xfId="33" builtinId="18" customBuiltin="1"/>
    <cellStyle name="Titre 4" xfId="34" builtinId="19" customBuiltin="1"/>
    <cellStyle name="Total" xfId="36" builtinId="25" customBuiltin="1"/>
    <cellStyle name="Total 2" xfId="335" xr:uid="{00000000-0005-0000-0000-0000F7010000}"/>
    <cellStyle name="Vérification" xfId="40" builtinId="23" customBuiltin="1"/>
    <cellStyle name="Warning Text 2" xfId="327" xr:uid="{00000000-0005-0000-0000-0000F9010000}"/>
    <cellStyle name="הדגשה1" xfId="63" xr:uid="{00000000-0005-0000-0000-0000FA010000}"/>
    <cellStyle name="הדגשה2" xfId="64" xr:uid="{00000000-0005-0000-0000-0000FB010000}"/>
    <cellStyle name="הדגשה3" xfId="65" xr:uid="{00000000-0005-0000-0000-0000FC010000}"/>
    <cellStyle name="הדגשה4" xfId="66" xr:uid="{00000000-0005-0000-0000-0000FD010000}"/>
    <cellStyle name="הדגשה5" xfId="67" xr:uid="{00000000-0005-0000-0000-0000FE010000}"/>
    <cellStyle name="הדגשה6" xfId="68" xr:uid="{00000000-0005-0000-0000-0000FF010000}"/>
    <cellStyle name="הערה" xfId="69" xr:uid="{00000000-0005-0000-0000-000000020000}"/>
    <cellStyle name="הערה 2" xfId="184" xr:uid="{00000000-0005-0000-0000-000001020000}"/>
    <cellStyle name="חישוב" xfId="70" xr:uid="{00000000-0005-0000-0000-000002020000}"/>
    <cellStyle name="טוב" xfId="71" xr:uid="{00000000-0005-0000-0000-000003020000}"/>
    <cellStyle name="טוב 2" xfId="260" xr:uid="{00000000-0005-0000-0000-000004020000}"/>
    <cellStyle name="טקסט אזהרה" xfId="72" xr:uid="{00000000-0005-0000-0000-000005020000}"/>
    <cellStyle name="טקסט הסברי" xfId="73" xr:uid="{00000000-0005-0000-0000-000006020000}"/>
    <cellStyle name="כותרת" xfId="74" xr:uid="{00000000-0005-0000-0000-000007020000}"/>
    <cellStyle name="כותרת 1" xfId="75" xr:uid="{00000000-0005-0000-0000-000008020000}"/>
    <cellStyle name="כותרת 2" xfId="76" xr:uid="{00000000-0005-0000-0000-000009020000}"/>
    <cellStyle name="כותרת 3" xfId="77" xr:uid="{00000000-0005-0000-0000-00000A020000}"/>
    <cellStyle name="כותרת 3 2" xfId="342" xr:uid="{00000000-0005-0000-0000-00000B020000}"/>
    <cellStyle name="כותרת 4" xfId="78" xr:uid="{00000000-0005-0000-0000-00000C020000}"/>
    <cellStyle name="כותרת_Operational cost list" xfId="185" xr:uid="{00000000-0005-0000-0000-00000D020000}"/>
    <cellStyle name="ניטראלי" xfId="79" xr:uid="{00000000-0005-0000-0000-00000E020000}"/>
    <cellStyle name="סה&quot;כ" xfId="80" xr:uid="{00000000-0005-0000-0000-00000F020000}"/>
    <cellStyle name="פלט" xfId="81" xr:uid="{00000000-0005-0000-0000-000010020000}"/>
    <cellStyle name="קלט" xfId="82" xr:uid="{00000000-0005-0000-0000-000011020000}"/>
    <cellStyle name="רע" xfId="83" xr:uid="{00000000-0005-0000-0000-000012020000}"/>
    <cellStyle name="רע 2" xfId="261" xr:uid="{00000000-0005-0000-0000-000013020000}"/>
    <cellStyle name="תא מסומן" xfId="84" xr:uid="{00000000-0005-0000-0000-000014020000}"/>
    <cellStyle name="תא מקושר" xfId="85" xr:uid="{00000000-0005-0000-0000-000015020000}"/>
    <cellStyle name="好" xfId="186" xr:uid="{00000000-0005-0000-0000-000016020000}"/>
    <cellStyle name="差" xfId="187" xr:uid="{00000000-0005-0000-0000-000017020000}"/>
    <cellStyle name="强调文字颜色 1" xfId="188" xr:uid="{00000000-0005-0000-0000-000018020000}"/>
    <cellStyle name="强调文字颜色 2" xfId="189" xr:uid="{00000000-0005-0000-0000-000019020000}"/>
    <cellStyle name="强调文字颜色 3" xfId="190" xr:uid="{00000000-0005-0000-0000-00001A020000}"/>
    <cellStyle name="强调文字颜色 4" xfId="191" xr:uid="{00000000-0005-0000-0000-00001B020000}"/>
    <cellStyle name="强调文字颜色 5" xfId="192" xr:uid="{00000000-0005-0000-0000-00001C020000}"/>
    <cellStyle name="强调文字颜色 6" xfId="193" xr:uid="{00000000-0005-0000-0000-00001D020000}"/>
    <cellStyle name="标题" xfId="194" xr:uid="{00000000-0005-0000-0000-00001E020000}"/>
    <cellStyle name="标题 1" xfId="195" xr:uid="{00000000-0005-0000-0000-00001F020000}"/>
    <cellStyle name="标题 2" xfId="196" xr:uid="{00000000-0005-0000-0000-000020020000}"/>
    <cellStyle name="标题 3" xfId="197" xr:uid="{00000000-0005-0000-0000-000021020000}"/>
    <cellStyle name="标题 3 2" xfId="352" xr:uid="{00000000-0005-0000-0000-000022020000}"/>
    <cellStyle name="标题 4" xfId="198" xr:uid="{00000000-0005-0000-0000-000023020000}"/>
    <cellStyle name="检查单元格" xfId="199" xr:uid="{00000000-0005-0000-0000-000024020000}"/>
    <cellStyle name="汇总" xfId="200" xr:uid="{00000000-0005-0000-0000-000025020000}"/>
    <cellStyle name="注释" xfId="201" xr:uid="{00000000-0005-0000-0000-000026020000}"/>
    <cellStyle name="解释性文本" xfId="202" xr:uid="{00000000-0005-0000-0000-000027020000}"/>
    <cellStyle name="警告文本" xfId="203" xr:uid="{00000000-0005-0000-0000-000028020000}"/>
    <cellStyle name="计算" xfId="204" xr:uid="{00000000-0005-0000-0000-000029020000}"/>
    <cellStyle name="输入" xfId="205" xr:uid="{00000000-0005-0000-0000-00002A020000}"/>
    <cellStyle name="输出" xfId="206" xr:uid="{00000000-0005-0000-0000-00002B020000}"/>
    <cellStyle name="适中" xfId="207" xr:uid="{00000000-0005-0000-0000-00002C020000}"/>
    <cellStyle name="链接单元格" xfId="208" xr:uid="{00000000-0005-0000-0000-00002D020000}"/>
  </cellStyles>
  <dxfs count="5">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ont>
        <color rgb="FF006100"/>
      </font>
      <fill>
        <patternFill>
          <bgColor theme="9" tint="0.79998168889431442"/>
        </patternFill>
      </fill>
    </dxf>
  </dxfs>
  <tableStyles count="0" defaultTableStyle="TableStyleMedium9" defaultPivotStyle="PivotStyleLight16"/>
  <colors>
    <mruColors>
      <color rgb="FF00FF00"/>
      <color rgb="FF0000FF"/>
      <color rgb="FFCC9900"/>
      <color rgb="FF008000"/>
      <color rgb="FFFFCC66"/>
      <color rgb="FFFFFF99"/>
      <color rgb="FFFFCCFF"/>
      <color rgb="FFFFFFCC"/>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on Investment (ROI)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Dashboard!$E$34:$Y$34</c15:sqref>
                  </c15:fullRef>
                </c:ext>
              </c:extLst>
              <c:f>Dashboard!$E$34:$T$34</c:f>
              <c:numCache>
                <c:formatCode>"Year "#0</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extLst>
                <c:ext xmlns:c15="http://schemas.microsoft.com/office/drawing/2012/chart" uri="{02D57815-91ED-43cb-92C2-25804820EDAC}">
                  <c15:fullRef>
                    <c15:sqref>Dashboard!$E$43:$Y$43</c15:sqref>
                  </c15:fullRef>
                </c:ext>
              </c:extLst>
              <c:f>Dashboard!$E$43:$T$43</c:f>
              <c:numCache>
                <c:formatCode>0%</c:formatCode>
                <c:ptCount val="16"/>
                <c:pt idx="0">
                  <c:v>-1.0433377079574735</c:v>
                </c:pt>
                <c:pt idx="1">
                  <c:v>-1.1268924790837296</c:v>
                </c:pt>
                <c:pt idx="2">
                  <c:v>-1.1749623031849408</c:v>
                </c:pt>
                <c:pt idx="3">
                  <c:v>-1.1701896087630537</c:v>
                </c:pt>
                <c:pt idx="4">
                  <c:v>-1.1001558684341153</c:v>
                </c:pt>
                <c:pt idx="5">
                  <c:v>-0.94097586269301958</c:v>
                </c:pt>
                <c:pt idx="6">
                  <c:v>-0.78558722361824496</c:v>
                </c:pt>
                <c:pt idx="7">
                  <c:v>-0.56366821760642472</c:v>
                </c:pt>
                <c:pt idx="8">
                  <c:v>-0.31277877018713568</c:v>
                </c:pt>
                <c:pt idx="9">
                  <c:v>-3.1483163260692108E-2</c:v>
                </c:pt>
                <c:pt idx="10">
                  <c:v>0.26197320756603348</c:v>
                </c:pt>
                <c:pt idx="11">
                  <c:v>0.57727211428662517</c:v>
                </c:pt>
                <c:pt idx="12">
                  <c:v>0.90716364153221962</c:v>
                </c:pt>
                <c:pt idx="13">
                  <c:v>1.2479269145951817</c:v>
                </c:pt>
                <c:pt idx="14">
                  <c:v>1.5998880858500326</c:v>
                </c:pt>
                <c:pt idx="15">
                  <c:v>1.963383092242529</c:v>
                </c:pt>
              </c:numCache>
            </c:numRef>
          </c:val>
          <c:extLst>
            <c:ext xmlns:c15="http://schemas.microsoft.com/office/drawing/2012/chart" uri="{02D57815-91ED-43cb-92C2-25804820EDAC}">
              <c15:filteredSeriesTitle>
                <c15:tx>
                  <c:strRef>
                    <c:extLst>
                      <c:ext uri="{02D57815-91ED-43cb-92C2-25804820EDAC}">
                        <c15:formulaRef>
                          <c15:sqref>'Financial Results'!#REF!</c15:sqref>
                        </c15:formulaRef>
                      </c:ext>
                    </c:extLst>
                    <c:strCache>
                      <c:ptCount val="1"/>
                      <c:pt idx="0">
                        <c:v>#REF!</c:v>
                      </c:pt>
                    </c:strCache>
                  </c:strRef>
                </c15:tx>
              </c15:filteredSeriesTitle>
            </c:ext>
            <c:ext xmlns:c16="http://schemas.microsoft.com/office/drawing/2014/chart" uri="{C3380CC4-5D6E-409C-BE32-E72D297353CC}">
              <c16:uniqueId val="{00000000-7E72-49BA-A6AE-B1361443CF7D}"/>
            </c:ext>
          </c:extLst>
        </c:ser>
        <c:dLbls>
          <c:showLegendKey val="0"/>
          <c:showVal val="0"/>
          <c:showCatName val="0"/>
          <c:showSerName val="0"/>
          <c:showPercent val="0"/>
          <c:showBubbleSize val="0"/>
        </c:dLbls>
        <c:gapWidth val="150"/>
        <c:axId val="126524032"/>
        <c:axId val="126525824"/>
      </c:barChart>
      <c:catAx>
        <c:axId val="126524032"/>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6525824"/>
        <c:crosses val="autoZero"/>
        <c:auto val="1"/>
        <c:lblAlgn val="ctr"/>
        <c:lblOffset val="100"/>
        <c:noMultiLvlLbl val="0"/>
      </c:catAx>
      <c:valAx>
        <c:axId val="126525824"/>
        <c:scaling>
          <c:orientation val="minMax"/>
        </c:scaling>
        <c:delete val="1"/>
        <c:axPos val="l"/>
        <c:numFmt formatCode="0%" sourceLinked="1"/>
        <c:majorTickMark val="none"/>
        <c:minorTickMark val="none"/>
        <c:tickLblPos val="nextTo"/>
        <c:crossAx val="12652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Debt Service Coverage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Dashboard!$B$40</c:f>
              <c:strCache>
                <c:ptCount val="1"/>
                <c:pt idx="0">
                  <c:v>DSCR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Dashboard!$E$34:$Y$34</c15:sqref>
                  </c15:fullRef>
                </c:ext>
              </c:extLst>
              <c:f>Dashboard!$F$34:$Y$34</c:f>
              <c:numCache>
                <c:formatCode>"Year "#0</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extLst>
                <c:ext xmlns:c15="http://schemas.microsoft.com/office/drawing/2012/chart" uri="{02D57815-91ED-43cb-92C2-25804820EDAC}">
                  <c15:fullRef>
                    <c15:sqref>Dashboard!$E$40:$M$40</c15:sqref>
                  </c15:fullRef>
                </c:ext>
              </c:extLst>
              <c:f>Dashboard!$F$40:$M$40</c:f>
              <c:numCache>
                <c:formatCode>#,##0.00;[Red]\(#,##0.00\)</c:formatCode>
                <c:ptCount val="8"/>
                <c:pt idx="0">
                  <c:v>-8.6971795728158982E-2</c:v>
                </c:pt>
                <c:pt idx="1">
                  <c:v>0.38543358256192328</c:v>
                </c:pt>
                <c:pt idx="2">
                  <c:v>0.68717569661501643</c:v>
                </c:pt>
                <c:pt idx="3">
                  <c:v>1.164658355895543</c:v>
                </c:pt>
                <c:pt idx="4">
                  <c:v>3.0782252630878273</c:v>
                </c:pt>
                <c:pt idx="5">
                  <c:v>2.998980667927182</c:v>
                </c:pt>
                <c:pt idx="6">
                  <c:v>3.7922605128149787</c:v>
                </c:pt>
                <c:pt idx="7">
                  <c:v>4.1163691639498126</c:v>
                </c:pt>
              </c:numCache>
            </c:numRef>
          </c:val>
          <c:smooth val="0"/>
          <c:extLst>
            <c:ext xmlns:c16="http://schemas.microsoft.com/office/drawing/2014/chart" uri="{C3380CC4-5D6E-409C-BE32-E72D297353CC}">
              <c16:uniqueId val="{00000000-F9DD-4AFB-B0D0-B6E686A183EB}"/>
            </c:ext>
          </c:extLst>
        </c:ser>
        <c:ser>
          <c:idx val="1"/>
          <c:order val="1"/>
          <c:tx>
            <c:strRef>
              <c:f>Dashboard!$B$41</c:f>
              <c:strCache>
                <c:ptCount val="1"/>
                <c:pt idx="0">
                  <c:v>Minimum</c:v>
                </c:pt>
              </c:strCache>
            </c:strRef>
          </c:tx>
          <c:spPr>
            <a:ln w="28575" cap="rnd">
              <a:solidFill>
                <a:schemeClr val="accent2"/>
              </a:solidFill>
              <a:round/>
            </a:ln>
            <a:effectLst/>
          </c:spPr>
          <c:marker>
            <c:symbol val="none"/>
          </c:marker>
          <c:cat>
            <c:strLit>
              <c:ptCount val="8"/>
              <c:pt idx="0">
                <c:v>Year 1</c:v>
              </c:pt>
              <c:pt idx="1">
                <c:v>Year 2</c:v>
              </c:pt>
              <c:pt idx="2">
                <c:v>Year 3</c:v>
              </c:pt>
              <c:pt idx="3">
                <c:v>Year 4</c:v>
              </c:pt>
              <c:pt idx="4">
                <c:v>Year 5</c:v>
              </c:pt>
              <c:pt idx="5">
                <c:v>Year 6</c:v>
              </c:pt>
              <c:pt idx="6">
                <c:v>Year 7</c:v>
              </c:pt>
              <c:pt idx="7">
                <c:v>Year 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Dashboard!$E$41:$M$41</c15:sqref>
                  </c15:fullRef>
                </c:ext>
              </c:extLst>
              <c:f>Dashboard!$F$41:$M$41</c:f>
              <c:numCache>
                <c:formatCode>General</c:formatCode>
                <c:ptCount val="8"/>
                <c:pt idx="0">
                  <c:v>1.2</c:v>
                </c:pt>
                <c:pt idx="1">
                  <c:v>1.2</c:v>
                </c:pt>
                <c:pt idx="2">
                  <c:v>1.2</c:v>
                </c:pt>
                <c:pt idx="3">
                  <c:v>1.2</c:v>
                </c:pt>
                <c:pt idx="4">
                  <c:v>1.2</c:v>
                </c:pt>
                <c:pt idx="5">
                  <c:v>1.2</c:v>
                </c:pt>
                <c:pt idx="6">
                  <c:v>1.2</c:v>
                </c:pt>
                <c:pt idx="7">
                  <c:v>1.2</c:v>
                </c:pt>
              </c:numCache>
            </c:numRef>
          </c:val>
          <c:smooth val="0"/>
          <c:extLst>
            <c:ext xmlns:c16="http://schemas.microsoft.com/office/drawing/2014/chart" uri="{C3380CC4-5D6E-409C-BE32-E72D297353CC}">
              <c16:uniqueId val="{00000001-F9DD-4AFB-B0D0-B6E686A183EB}"/>
            </c:ext>
          </c:extLst>
        </c:ser>
        <c:dLbls>
          <c:showLegendKey val="0"/>
          <c:showVal val="0"/>
          <c:showCatName val="0"/>
          <c:showSerName val="0"/>
          <c:showPercent val="0"/>
          <c:showBubbleSize val="0"/>
        </c:dLbls>
        <c:smooth val="0"/>
        <c:axId val="334133504"/>
        <c:axId val="334151680"/>
      </c:lineChart>
      <c:catAx>
        <c:axId val="334133504"/>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151680"/>
        <c:crosses val="autoZero"/>
        <c:auto val="1"/>
        <c:lblAlgn val="ctr"/>
        <c:lblOffset val="100"/>
        <c:noMultiLvlLbl val="0"/>
      </c:catAx>
      <c:valAx>
        <c:axId val="334151680"/>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133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Flow Available for Debt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areaChart>
        <c:grouping val="standard"/>
        <c:varyColors val="0"/>
        <c:ser>
          <c:idx val="1"/>
          <c:order val="0"/>
          <c:tx>
            <c:strRef>
              <c:f>Dashboard!$B$56</c:f>
              <c:strCache>
                <c:ptCount val="1"/>
                <c:pt idx="0">
                  <c:v>Accumulated CFADS  </c:v>
                </c:pt>
              </c:strCache>
            </c:strRef>
          </c:tx>
          <c:spPr>
            <a:solidFill>
              <a:schemeClr val="accent2"/>
            </a:solidFill>
            <a:ln>
              <a:noFill/>
            </a:ln>
            <a:effectLst/>
          </c:spPr>
          <c:cat>
            <c:numRef>
              <c:f>Dashboard!$E$34:$J$34</c:f>
              <c:numCache>
                <c:formatCode>"Year "#0</c:formatCode>
                <c:ptCount val="6"/>
                <c:pt idx="0">
                  <c:v>0</c:v>
                </c:pt>
                <c:pt idx="1">
                  <c:v>1</c:v>
                </c:pt>
                <c:pt idx="2">
                  <c:v>2</c:v>
                </c:pt>
                <c:pt idx="3">
                  <c:v>3</c:v>
                </c:pt>
                <c:pt idx="4">
                  <c:v>4</c:v>
                </c:pt>
                <c:pt idx="5">
                  <c:v>5</c:v>
                </c:pt>
              </c:numCache>
            </c:numRef>
          </c:cat>
          <c:val>
            <c:numRef>
              <c:f>Dashboard!$E$56:$J$56</c:f>
              <c:numCache>
                <c:formatCode>_(#,##0_)_%;[Red]_(\(#,##0\)_%;_("–"_)_%;@_(_%</c:formatCode>
                <c:ptCount val="6"/>
                <c:pt idx="0">
                  <c:v>2355265.1701572165</c:v>
                </c:pt>
                <c:pt idx="1">
                  <c:v>5332659.8964581154</c:v>
                </c:pt>
                <c:pt idx="2">
                  <c:v>13626657.752038132</c:v>
                </c:pt>
                <c:pt idx="3">
                  <c:v>21779473.28262122</c:v>
                </c:pt>
                <c:pt idx="4">
                  <c:v>29852610.970515851</c:v>
                </c:pt>
                <c:pt idx="5">
                  <c:v>41867367.728016943</c:v>
                </c:pt>
              </c:numCache>
            </c:numRef>
          </c:val>
          <c:extLst>
            <c:ext xmlns:c16="http://schemas.microsoft.com/office/drawing/2014/chart" uri="{C3380CC4-5D6E-409C-BE32-E72D297353CC}">
              <c16:uniqueId val="{00000000-DCFC-44D2-A7CF-1A536F63E0E4}"/>
            </c:ext>
          </c:extLst>
        </c:ser>
        <c:ser>
          <c:idx val="0"/>
          <c:order val="1"/>
          <c:tx>
            <c:strRef>
              <c:f>Dashboard!$B$55</c:f>
              <c:strCache>
                <c:ptCount val="1"/>
                <c:pt idx="0">
                  <c:v>CFADS</c:v>
                </c:pt>
              </c:strCache>
            </c:strRef>
          </c:tx>
          <c:spPr>
            <a:solidFill>
              <a:schemeClr val="accent1"/>
            </a:solidFill>
            <a:ln>
              <a:noFill/>
            </a:ln>
            <a:effectLst/>
          </c:spPr>
          <c:cat>
            <c:numRef>
              <c:f>Dashboard!$E$34:$J$34</c:f>
              <c:numCache>
                <c:formatCode>"Year "#0</c:formatCode>
                <c:ptCount val="6"/>
                <c:pt idx="0">
                  <c:v>0</c:v>
                </c:pt>
                <c:pt idx="1">
                  <c:v>1</c:v>
                </c:pt>
                <c:pt idx="2">
                  <c:v>2</c:v>
                </c:pt>
                <c:pt idx="3">
                  <c:v>3</c:v>
                </c:pt>
                <c:pt idx="4">
                  <c:v>4</c:v>
                </c:pt>
                <c:pt idx="5">
                  <c:v>5</c:v>
                </c:pt>
              </c:numCache>
            </c:numRef>
          </c:cat>
          <c:val>
            <c:numRef>
              <c:f>Dashboard!$E$55:$J$55</c:f>
              <c:numCache>
                <c:formatCode>_(#,##0_)_%;[Red]_(\(#,##0\)_%;_("–"_)_%;@_(_%</c:formatCode>
                <c:ptCount val="6"/>
                <c:pt idx="0">
                  <c:v>2355265.1701572165</c:v>
                </c:pt>
                <c:pt idx="1">
                  <c:v>2977394.7263008989</c:v>
                </c:pt>
                <c:pt idx="2">
                  <c:v>8293997.855580017</c:v>
                </c:pt>
                <c:pt idx="3">
                  <c:v>8152815.5305830855</c:v>
                </c:pt>
                <c:pt idx="4">
                  <c:v>8073137.6878946321</c:v>
                </c:pt>
                <c:pt idx="5">
                  <c:v>12014756.757501092</c:v>
                </c:pt>
              </c:numCache>
            </c:numRef>
          </c:val>
          <c:extLst>
            <c:ext xmlns:c16="http://schemas.microsoft.com/office/drawing/2014/chart" uri="{C3380CC4-5D6E-409C-BE32-E72D297353CC}">
              <c16:uniqueId val="{00000001-DCFC-44D2-A7CF-1A536F63E0E4}"/>
            </c:ext>
          </c:extLst>
        </c:ser>
        <c:dLbls>
          <c:showLegendKey val="0"/>
          <c:showVal val="0"/>
          <c:showCatName val="0"/>
          <c:showSerName val="0"/>
          <c:showPercent val="0"/>
          <c:showBubbleSize val="0"/>
        </c:dLbls>
        <c:axId val="334193024"/>
        <c:axId val="334194560"/>
      </c:areaChart>
      <c:barChart>
        <c:barDir val="col"/>
        <c:grouping val="stacked"/>
        <c:varyColors val="0"/>
        <c:ser>
          <c:idx val="2"/>
          <c:order val="2"/>
          <c:tx>
            <c:strRef>
              <c:f>Dashboard!$B$53</c:f>
              <c:strCache>
                <c:ptCount val="1"/>
                <c:pt idx="0">
                  <c:v>Interest</c:v>
                </c:pt>
              </c:strCache>
            </c:strRef>
          </c:tx>
          <c:spPr>
            <a:solidFill>
              <a:schemeClr val="accent3"/>
            </a:solidFill>
            <a:ln>
              <a:noFill/>
            </a:ln>
            <a:effectLst/>
          </c:spPr>
          <c:invertIfNegative val="0"/>
          <c:val>
            <c:numRef>
              <c:f>Dashboard!$E$53:$J$53</c:f>
              <c:numCache>
                <c:formatCode>_(#,##0_)_%;[Red]_(\(#,##0\)_%;_("–"_)_%;@_(_%</c:formatCode>
                <c:ptCount val="6"/>
                <c:pt idx="0">
                  <c:v>1608881.6493810785</c:v>
                </c:pt>
                <c:pt idx="1">
                  <c:v>2708311.6814941913</c:v>
                </c:pt>
                <c:pt idx="2">
                  <c:v>3099204.3998772409</c:v>
                </c:pt>
                <c:pt idx="3">
                  <c:v>2835671.6040085941</c:v>
                </c:pt>
                <c:pt idx="4">
                  <c:v>2347120.0964476159</c:v>
                </c:pt>
                <c:pt idx="5">
                  <c:v>1937094.262292509</c:v>
                </c:pt>
              </c:numCache>
            </c:numRef>
          </c:val>
          <c:extLst>
            <c:ext xmlns:c16="http://schemas.microsoft.com/office/drawing/2014/chart" uri="{C3380CC4-5D6E-409C-BE32-E72D297353CC}">
              <c16:uniqueId val="{00000002-DCFC-44D2-A7CF-1A536F63E0E4}"/>
            </c:ext>
          </c:extLst>
        </c:ser>
        <c:ser>
          <c:idx val="3"/>
          <c:order val="3"/>
          <c:tx>
            <c:strRef>
              <c:f>Dashboard!$B$54</c:f>
              <c:strCache>
                <c:ptCount val="1"/>
                <c:pt idx="0">
                  <c:v>Principal</c:v>
                </c:pt>
              </c:strCache>
            </c:strRef>
          </c:tx>
          <c:spPr>
            <a:solidFill>
              <a:schemeClr val="accent4"/>
            </a:solidFill>
            <a:ln>
              <a:noFill/>
            </a:ln>
            <a:effectLst/>
          </c:spPr>
          <c:invertIfNegative val="0"/>
          <c:val>
            <c:numRef>
              <c:f>Dashboard!$E$54:$J$54</c:f>
              <c:numCache>
                <c:formatCode>_(#,##0_)_%;[Red]_(\(#,##0\)_%;_("–"_)_%;@_(_%</c:formatCode>
                <c:ptCount val="6"/>
                <c:pt idx="0">
                  <c:v>0</c:v>
                </c:pt>
                <c:pt idx="1">
                  <c:v>0</c:v>
                </c:pt>
                <c:pt idx="2">
                  <c:v>5194550.6847972833</c:v>
                </c:pt>
                <c:pt idx="3">
                  <c:v>5316645.8304254655</c:v>
                </c:pt>
                <c:pt idx="4">
                  <c:v>4873590.182037035</c:v>
                </c:pt>
                <c:pt idx="5">
                  <c:v>2124383.1700555952</c:v>
                </c:pt>
              </c:numCache>
            </c:numRef>
          </c:val>
          <c:extLst>
            <c:ext xmlns:c16="http://schemas.microsoft.com/office/drawing/2014/chart" uri="{C3380CC4-5D6E-409C-BE32-E72D297353CC}">
              <c16:uniqueId val="{00000003-DCFC-44D2-A7CF-1A536F63E0E4}"/>
            </c:ext>
          </c:extLst>
        </c:ser>
        <c:dLbls>
          <c:showLegendKey val="0"/>
          <c:showVal val="0"/>
          <c:showCatName val="0"/>
          <c:showSerName val="0"/>
          <c:showPercent val="0"/>
          <c:showBubbleSize val="0"/>
        </c:dLbls>
        <c:gapWidth val="150"/>
        <c:overlap val="100"/>
        <c:axId val="334193024"/>
        <c:axId val="334194560"/>
      </c:barChart>
      <c:catAx>
        <c:axId val="334193024"/>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194560"/>
        <c:crosses val="autoZero"/>
        <c:auto val="1"/>
        <c:lblAlgn val="ctr"/>
        <c:lblOffset val="100"/>
        <c:noMultiLvlLbl val="0"/>
      </c:catAx>
      <c:valAx>
        <c:axId val="334194560"/>
        <c:scaling>
          <c:orientation val="minMax"/>
        </c:scaling>
        <c:delete val="0"/>
        <c:axPos val="l"/>
        <c:majorGridlines>
          <c:spPr>
            <a:ln w="9525" cap="flat" cmpd="sng" algn="ctr">
              <a:solidFill>
                <a:schemeClr val="tx1">
                  <a:lumMod val="15000"/>
                  <a:lumOff val="85000"/>
                </a:schemeClr>
              </a:solidFill>
              <a:round/>
            </a:ln>
            <a:effectLst/>
          </c:spPr>
        </c:majorGridlines>
        <c:numFmt formatCode="_(#,##0_)_%;[Red]_(\(#,##0\)_%;_(&quot;–&quot;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19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Dashboard!$B$117</c:f>
              <c:strCache>
                <c:ptCount val="1"/>
                <c:pt idx="0">
                  <c:v>IRR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Dashboard!$D$115:$H$115</c:f>
              <c:numCache>
                <c:formatCode>0%</c:formatCode>
                <c:ptCount val="5"/>
                <c:pt idx="0">
                  <c:v>0.8</c:v>
                </c:pt>
                <c:pt idx="1">
                  <c:v>0.9</c:v>
                </c:pt>
                <c:pt idx="2">
                  <c:v>1</c:v>
                </c:pt>
                <c:pt idx="3">
                  <c:v>1.1000000000000001</c:v>
                </c:pt>
                <c:pt idx="4">
                  <c:v>1.2</c:v>
                </c:pt>
              </c:numCache>
            </c:numRef>
          </c:cat>
          <c:val>
            <c:numRef>
              <c:f>Dashboard!$D$117:$H$117</c:f>
              <c:numCache>
                <c:formatCode>0%</c:formatCode>
                <c:ptCount val="5"/>
                <c:pt idx="0">
                  <c:v>0.37404064735677656</c:v>
                </c:pt>
                <c:pt idx="1">
                  <c:v>0.3303966085424157</c:v>
                </c:pt>
                <c:pt idx="2">
                  <c:v>0.29057437185544388</c:v>
                </c:pt>
                <c:pt idx="3">
                  <c:v>0.25414252401368209</c:v>
                </c:pt>
                <c:pt idx="4">
                  <c:v>0.22041462658124034</c:v>
                </c:pt>
              </c:numCache>
            </c:numRef>
          </c:val>
          <c:smooth val="0"/>
          <c:extLst>
            <c:ext xmlns:c16="http://schemas.microsoft.com/office/drawing/2014/chart" uri="{C3380CC4-5D6E-409C-BE32-E72D297353CC}">
              <c16:uniqueId val="{00000000-4FED-4338-9C6D-D6CA5D9BF0FA}"/>
            </c:ext>
          </c:extLst>
        </c:ser>
        <c:dLbls>
          <c:showLegendKey val="0"/>
          <c:showVal val="0"/>
          <c:showCatName val="0"/>
          <c:showSerName val="0"/>
          <c:showPercent val="0"/>
          <c:showBubbleSize val="0"/>
        </c:dLbls>
        <c:marker val="1"/>
        <c:smooth val="0"/>
        <c:axId val="334280960"/>
        <c:axId val="334299520"/>
      </c:lineChart>
      <c:lineChart>
        <c:grouping val="standard"/>
        <c:varyColors val="0"/>
        <c:ser>
          <c:idx val="1"/>
          <c:order val="1"/>
          <c:tx>
            <c:strRef>
              <c:f>Dashboard!$B$118</c:f>
              <c:strCache>
                <c:ptCount val="1"/>
                <c:pt idx="0">
                  <c:v>Return Period</c:v>
                </c:pt>
              </c:strCache>
            </c:strRef>
          </c:tx>
          <c:spPr>
            <a:ln w="28575" cap="rnd">
              <a:solidFill>
                <a:schemeClr val="accent2"/>
              </a:solidFill>
              <a:round/>
            </a:ln>
            <a:effectLst/>
          </c:spPr>
          <c:marker>
            <c:symbol val="none"/>
          </c:marker>
          <c:dLbls>
            <c:dLbl>
              <c:idx val="0"/>
              <c:tx>
                <c:rich>
                  <a:bodyPr/>
                  <a:lstStyle/>
                  <a:p>
                    <a:fld id="{B754EFA7-29DD-5642-B499-E777C1CCA4FC}"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FED-4338-9C6D-D6CA5D9BF0FA}"/>
                </c:ext>
              </c:extLst>
            </c:dLbl>
            <c:dLbl>
              <c:idx val="1"/>
              <c:tx>
                <c:rich>
                  <a:bodyPr/>
                  <a:lstStyle/>
                  <a:p>
                    <a:fld id="{24911286-5B6E-144B-B8EB-854FBBEEF1EE}"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FED-4338-9C6D-D6CA5D9BF0FA}"/>
                </c:ext>
              </c:extLst>
            </c:dLbl>
            <c:dLbl>
              <c:idx val="2"/>
              <c:tx>
                <c:rich>
                  <a:bodyPr/>
                  <a:lstStyle/>
                  <a:p>
                    <a:fld id="{B9231508-8D44-C14E-8F80-FD1DDF873062}"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FED-4338-9C6D-D6CA5D9BF0FA}"/>
                </c:ext>
              </c:extLst>
            </c:dLbl>
            <c:dLbl>
              <c:idx val="3"/>
              <c:tx>
                <c:rich>
                  <a:bodyPr/>
                  <a:lstStyle/>
                  <a:p>
                    <a:fld id="{C4037C8E-F37E-0D43-A17C-54B602EA4B49}"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FED-4338-9C6D-D6CA5D9BF0FA}"/>
                </c:ext>
              </c:extLst>
            </c:dLbl>
            <c:dLbl>
              <c:idx val="4"/>
              <c:tx>
                <c:rich>
                  <a:bodyPr/>
                  <a:lstStyle/>
                  <a:p>
                    <a:fld id="{410A7382-9589-3A4B-B1FA-5562A24C05A6}"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FED-4338-9C6D-D6CA5D9BF0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Dashboard!$D$118:$H$118</c:f>
              <c:numCache>
                <c:formatCode>#.0" Years"</c:formatCode>
                <c:ptCount val="5"/>
                <c:pt idx="0">
                  <c:v>5.4</c:v>
                </c:pt>
                <c:pt idx="1">
                  <c:v>6</c:v>
                </c:pt>
                <c:pt idx="2">
                  <c:v>6.9</c:v>
                </c:pt>
                <c:pt idx="3">
                  <c:v>7.5</c:v>
                </c:pt>
                <c:pt idx="4">
                  <c:v>8.1999999999999993</c:v>
                </c:pt>
              </c:numCache>
            </c:numRef>
          </c:val>
          <c:smooth val="0"/>
          <c:extLst>
            <c:ext xmlns:c15="http://schemas.microsoft.com/office/drawing/2012/chart" uri="{02D57815-91ED-43cb-92C2-25804820EDAC}">
              <c15:datalabelsRange>
                <c15:f>Dashboard!$D$120:$H$120</c15:f>
                <c15:dlblRangeCache>
                  <c:ptCount val="5"/>
                  <c:pt idx="0">
                    <c:v>5,4 Years</c:v>
                  </c:pt>
                  <c:pt idx="1">
                    <c:v>6,0 Years</c:v>
                  </c:pt>
                  <c:pt idx="2">
                    <c:v>6,9 Years</c:v>
                  </c:pt>
                  <c:pt idx="3">
                    <c:v>7,5 Years</c:v>
                  </c:pt>
                  <c:pt idx="4">
                    <c:v>8,2 Years</c:v>
                  </c:pt>
                </c15:dlblRangeCache>
              </c15:datalabelsRange>
            </c:ext>
            <c:ext xmlns:c16="http://schemas.microsoft.com/office/drawing/2014/chart" uri="{C3380CC4-5D6E-409C-BE32-E72D297353CC}">
              <c16:uniqueId val="{00000006-4FED-4338-9C6D-D6CA5D9BF0FA}"/>
            </c:ext>
          </c:extLst>
        </c:ser>
        <c:dLbls>
          <c:showLegendKey val="0"/>
          <c:showVal val="0"/>
          <c:showCatName val="0"/>
          <c:showSerName val="0"/>
          <c:showPercent val="0"/>
          <c:showBubbleSize val="0"/>
        </c:dLbls>
        <c:marker val="1"/>
        <c:smooth val="0"/>
        <c:axId val="334311808"/>
        <c:axId val="334301440"/>
      </c:lineChart>
      <c:catAx>
        <c:axId val="3342809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OPEX</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334299520"/>
        <c:crosses val="autoZero"/>
        <c:auto val="1"/>
        <c:lblAlgn val="ctr"/>
        <c:lblOffset val="100"/>
        <c:noMultiLvlLbl val="0"/>
      </c:catAx>
      <c:valAx>
        <c:axId val="334299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fr-FR"/>
          </a:p>
        </c:txPr>
        <c:crossAx val="334280960"/>
        <c:crosses val="autoZero"/>
        <c:crossBetween val="between"/>
      </c:valAx>
      <c:valAx>
        <c:axId val="33430144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fr-FR"/>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fr-FR"/>
          </a:p>
        </c:txPr>
        <c:crossAx val="334311808"/>
        <c:crosses val="max"/>
        <c:crossBetween val="between"/>
      </c:valAx>
      <c:catAx>
        <c:axId val="334311808"/>
        <c:scaling>
          <c:orientation val="minMax"/>
        </c:scaling>
        <c:delete val="1"/>
        <c:axPos val="b"/>
        <c:numFmt formatCode="0%" sourceLinked="1"/>
        <c:majorTickMark val="none"/>
        <c:minorTickMark val="none"/>
        <c:tickLblPos val="nextTo"/>
        <c:crossAx val="33430144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Dashboard!$B$125</c:f>
              <c:strCache>
                <c:ptCount val="1"/>
                <c:pt idx="0">
                  <c:v>IRR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Dashboard!$D$123:$H$123</c:f>
              <c:numCache>
                <c:formatCode>0%</c:formatCode>
                <c:ptCount val="5"/>
                <c:pt idx="0">
                  <c:v>0.8</c:v>
                </c:pt>
                <c:pt idx="1">
                  <c:v>0.9</c:v>
                </c:pt>
                <c:pt idx="2">
                  <c:v>1</c:v>
                </c:pt>
                <c:pt idx="3">
                  <c:v>1.1000000000000001</c:v>
                </c:pt>
                <c:pt idx="4">
                  <c:v>1.2</c:v>
                </c:pt>
              </c:numCache>
            </c:numRef>
          </c:cat>
          <c:val>
            <c:numRef>
              <c:f>Dashboard!$D$125:$H$125</c:f>
              <c:numCache>
                <c:formatCode>0%</c:formatCode>
                <c:ptCount val="5"/>
                <c:pt idx="0">
                  <c:v>0.34507343758224862</c:v>
                </c:pt>
                <c:pt idx="1">
                  <c:v>0.31509711610658364</c:v>
                </c:pt>
                <c:pt idx="2">
                  <c:v>0.29057437185544388</c:v>
                </c:pt>
                <c:pt idx="3">
                  <c:v>0.27002081951545787</c:v>
                </c:pt>
                <c:pt idx="4">
                  <c:v>0.25246469923396808</c:v>
                </c:pt>
              </c:numCache>
            </c:numRef>
          </c:val>
          <c:smooth val="0"/>
          <c:extLst>
            <c:ext xmlns:c16="http://schemas.microsoft.com/office/drawing/2014/chart" uri="{C3380CC4-5D6E-409C-BE32-E72D297353CC}">
              <c16:uniqueId val="{00000000-D489-427A-AD78-5DE1A209CBA8}"/>
            </c:ext>
          </c:extLst>
        </c:ser>
        <c:dLbls>
          <c:showLegendKey val="0"/>
          <c:showVal val="0"/>
          <c:showCatName val="0"/>
          <c:showSerName val="0"/>
          <c:showPercent val="0"/>
          <c:showBubbleSize val="0"/>
        </c:dLbls>
        <c:marker val="1"/>
        <c:smooth val="0"/>
        <c:axId val="334369536"/>
        <c:axId val="334371456"/>
      </c:lineChart>
      <c:lineChart>
        <c:grouping val="standard"/>
        <c:varyColors val="0"/>
        <c:ser>
          <c:idx val="1"/>
          <c:order val="1"/>
          <c:tx>
            <c:strRef>
              <c:f>Dashboard!$B$126</c:f>
              <c:strCache>
                <c:ptCount val="1"/>
                <c:pt idx="0">
                  <c:v>Return Period</c:v>
                </c:pt>
              </c:strCache>
            </c:strRef>
          </c:tx>
          <c:spPr>
            <a:ln w="28575" cap="rnd">
              <a:solidFill>
                <a:schemeClr val="accent2"/>
              </a:solidFill>
              <a:round/>
            </a:ln>
            <a:effectLst/>
          </c:spPr>
          <c:marker>
            <c:symbol val="none"/>
          </c:marker>
          <c:dLbls>
            <c:dLbl>
              <c:idx val="0"/>
              <c:tx>
                <c:rich>
                  <a:bodyPr/>
                  <a:lstStyle/>
                  <a:p>
                    <a:fld id="{B6A571B1-77A3-AC42-9BBB-05B1EEA5420F}"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489-427A-AD78-5DE1A209CBA8}"/>
                </c:ext>
              </c:extLst>
            </c:dLbl>
            <c:dLbl>
              <c:idx val="1"/>
              <c:tx>
                <c:rich>
                  <a:bodyPr/>
                  <a:lstStyle/>
                  <a:p>
                    <a:fld id="{5AACF101-9C27-6744-851D-82368039C4FC}"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489-427A-AD78-5DE1A209CBA8}"/>
                </c:ext>
              </c:extLst>
            </c:dLbl>
            <c:dLbl>
              <c:idx val="2"/>
              <c:tx>
                <c:rich>
                  <a:bodyPr/>
                  <a:lstStyle/>
                  <a:p>
                    <a:fld id="{A0D5EB17-6B58-234F-ABF4-55BE417AA86A}"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489-427A-AD78-5DE1A209CBA8}"/>
                </c:ext>
              </c:extLst>
            </c:dLbl>
            <c:dLbl>
              <c:idx val="3"/>
              <c:tx>
                <c:rich>
                  <a:bodyPr/>
                  <a:lstStyle/>
                  <a:p>
                    <a:fld id="{0C367394-BC6A-A74D-883F-6B62CB9188B3}"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489-427A-AD78-5DE1A209CBA8}"/>
                </c:ext>
              </c:extLst>
            </c:dLbl>
            <c:dLbl>
              <c:idx val="4"/>
              <c:tx>
                <c:rich>
                  <a:bodyPr/>
                  <a:lstStyle/>
                  <a:p>
                    <a:fld id="{10E116E2-CC38-884D-AC08-72476EBB942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489-427A-AD78-5DE1A209CB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Dashboard!$D$126:$H$126</c:f>
              <c:numCache>
                <c:formatCode>#.0" Years"</c:formatCode>
                <c:ptCount val="5"/>
                <c:pt idx="0">
                  <c:v>6</c:v>
                </c:pt>
                <c:pt idx="1">
                  <c:v>6.5</c:v>
                </c:pt>
                <c:pt idx="2">
                  <c:v>6.9</c:v>
                </c:pt>
                <c:pt idx="3">
                  <c:v>7.2</c:v>
                </c:pt>
                <c:pt idx="4">
                  <c:v>7.4</c:v>
                </c:pt>
              </c:numCache>
            </c:numRef>
          </c:val>
          <c:smooth val="0"/>
          <c:extLst>
            <c:ext xmlns:c15="http://schemas.microsoft.com/office/drawing/2012/chart" uri="{02D57815-91ED-43cb-92C2-25804820EDAC}">
              <c15:datalabelsRange>
                <c15:f>Dashboard!$D$128:$H$128</c15:f>
                <c15:dlblRangeCache>
                  <c:ptCount val="5"/>
                  <c:pt idx="0">
                    <c:v>6,0 Years</c:v>
                  </c:pt>
                  <c:pt idx="1">
                    <c:v>6,5 Years</c:v>
                  </c:pt>
                  <c:pt idx="2">
                    <c:v>6,9 Years</c:v>
                  </c:pt>
                  <c:pt idx="3">
                    <c:v>7,2 Years</c:v>
                  </c:pt>
                  <c:pt idx="4">
                    <c:v>7,4 Years</c:v>
                  </c:pt>
                </c15:dlblRangeCache>
              </c15:datalabelsRange>
            </c:ext>
            <c:ext xmlns:c16="http://schemas.microsoft.com/office/drawing/2014/chart" uri="{C3380CC4-5D6E-409C-BE32-E72D297353CC}">
              <c16:uniqueId val="{00000006-D489-427A-AD78-5DE1A209CBA8}"/>
            </c:ext>
          </c:extLst>
        </c:ser>
        <c:dLbls>
          <c:showLegendKey val="0"/>
          <c:showVal val="0"/>
          <c:showCatName val="0"/>
          <c:showSerName val="0"/>
          <c:showPercent val="0"/>
          <c:showBubbleSize val="0"/>
        </c:dLbls>
        <c:marker val="1"/>
        <c:smooth val="0"/>
        <c:axId val="334379648"/>
        <c:axId val="334377728"/>
      </c:lineChart>
      <c:catAx>
        <c:axId val="3343695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CAPEX</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334371456"/>
        <c:crosses val="autoZero"/>
        <c:auto val="1"/>
        <c:lblAlgn val="ctr"/>
        <c:lblOffset val="100"/>
        <c:noMultiLvlLbl val="0"/>
      </c:catAx>
      <c:valAx>
        <c:axId val="334371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fr-FR"/>
          </a:p>
        </c:txPr>
        <c:crossAx val="334369536"/>
        <c:crosses val="autoZero"/>
        <c:crossBetween val="between"/>
      </c:valAx>
      <c:valAx>
        <c:axId val="33437772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fr-FR"/>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fr-FR"/>
          </a:p>
        </c:txPr>
        <c:crossAx val="334379648"/>
        <c:crosses val="max"/>
        <c:crossBetween val="between"/>
      </c:valAx>
      <c:catAx>
        <c:axId val="334379648"/>
        <c:scaling>
          <c:orientation val="minMax"/>
        </c:scaling>
        <c:delete val="1"/>
        <c:axPos val="b"/>
        <c:numFmt formatCode="0%" sourceLinked="1"/>
        <c:majorTickMark val="none"/>
        <c:minorTickMark val="none"/>
        <c:tickLblPos val="nextTo"/>
        <c:crossAx val="33437772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Dashboard!$B$133</c:f>
              <c:strCache>
                <c:ptCount val="1"/>
                <c:pt idx="0">
                  <c:v>IRR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Dashboard!$D$131:$H$131</c:f>
              <c:numCache>
                <c:formatCode>0%</c:formatCode>
                <c:ptCount val="5"/>
                <c:pt idx="0">
                  <c:v>0.2</c:v>
                </c:pt>
                <c:pt idx="1">
                  <c:v>0.4</c:v>
                </c:pt>
                <c:pt idx="2">
                  <c:v>0.6</c:v>
                </c:pt>
                <c:pt idx="3">
                  <c:v>0.8</c:v>
                </c:pt>
                <c:pt idx="4">
                  <c:v>0.999</c:v>
                </c:pt>
              </c:numCache>
            </c:numRef>
          </c:cat>
          <c:val>
            <c:numRef>
              <c:f>Dashboard!$D$133:$H$133</c:f>
              <c:numCache>
                <c:formatCode>0%</c:formatCode>
                <c:ptCount val="5"/>
                <c:pt idx="0">
                  <c:v>0.35292376908902257</c:v>
                </c:pt>
                <c:pt idx="1">
                  <c:v>0.27049282475658365</c:v>
                </c:pt>
                <c:pt idx="2">
                  <c:v>0.22957753687556148</c:v>
                </c:pt>
                <c:pt idx="3">
                  <c:v>0.20350942771792702</c:v>
                </c:pt>
                <c:pt idx="4">
                  <c:v>0.1849878238103706</c:v>
                </c:pt>
              </c:numCache>
            </c:numRef>
          </c:val>
          <c:smooth val="0"/>
          <c:extLst>
            <c:ext xmlns:c16="http://schemas.microsoft.com/office/drawing/2014/chart" uri="{C3380CC4-5D6E-409C-BE32-E72D297353CC}">
              <c16:uniqueId val="{00000000-3B5E-47E9-9DBF-2F403311F34A}"/>
            </c:ext>
          </c:extLst>
        </c:ser>
        <c:dLbls>
          <c:showLegendKey val="0"/>
          <c:showVal val="0"/>
          <c:showCatName val="0"/>
          <c:showSerName val="0"/>
          <c:showPercent val="0"/>
          <c:showBubbleSize val="0"/>
        </c:dLbls>
        <c:marker val="1"/>
        <c:smooth val="0"/>
        <c:axId val="334430592"/>
        <c:axId val="334432512"/>
      </c:lineChart>
      <c:lineChart>
        <c:grouping val="standard"/>
        <c:varyColors val="0"/>
        <c:ser>
          <c:idx val="1"/>
          <c:order val="1"/>
          <c:tx>
            <c:strRef>
              <c:f>Dashboard!$B$134</c:f>
              <c:strCache>
                <c:ptCount val="1"/>
                <c:pt idx="0">
                  <c:v>Return Period</c:v>
                </c:pt>
              </c:strCache>
            </c:strRef>
          </c:tx>
          <c:spPr>
            <a:ln w="28575" cap="rnd">
              <a:solidFill>
                <a:schemeClr val="accent2"/>
              </a:solidFill>
              <a:round/>
            </a:ln>
            <a:effectLst/>
          </c:spPr>
          <c:marker>
            <c:symbol val="none"/>
          </c:marker>
          <c:dLbls>
            <c:dLbl>
              <c:idx val="0"/>
              <c:tx>
                <c:rich>
                  <a:bodyPr/>
                  <a:lstStyle/>
                  <a:p>
                    <a:fld id="{CAC89E00-20DA-5744-8ED0-44B73FA46A8A}"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B5E-47E9-9DBF-2F403311F34A}"/>
                </c:ext>
              </c:extLst>
            </c:dLbl>
            <c:dLbl>
              <c:idx val="1"/>
              <c:tx>
                <c:rich>
                  <a:bodyPr/>
                  <a:lstStyle/>
                  <a:p>
                    <a:fld id="{FC98C9AA-57B5-6E48-8364-7C41A7B3D8E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B5E-47E9-9DBF-2F403311F34A}"/>
                </c:ext>
              </c:extLst>
            </c:dLbl>
            <c:dLbl>
              <c:idx val="2"/>
              <c:tx>
                <c:rich>
                  <a:bodyPr/>
                  <a:lstStyle/>
                  <a:p>
                    <a:fld id="{B4D33F31-C701-B04E-9A63-0B96DF901FF0}"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B5E-47E9-9DBF-2F403311F34A}"/>
                </c:ext>
              </c:extLst>
            </c:dLbl>
            <c:dLbl>
              <c:idx val="3"/>
              <c:tx>
                <c:rich>
                  <a:bodyPr/>
                  <a:lstStyle/>
                  <a:p>
                    <a:fld id="{71B196DB-A45B-0A42-95A7-A39CF1DC794F}"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B5E-47E9-9DBF-2F403311F34A}"/>
                </c:ext>
              </c:extLst>
            </c:dLbl>
            <c:dLbl>
              <c:idx val="4"/>
              <c:tx>
                <c:rich>
                  <a:bodyPr/>
                  <a:lstStyle/>
                  <a:p>
                    <a:fld id="{22D01C69-0B82-7E42-9171-7AB203308C2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B5E-47E9-9DBF-2F403311F34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Dashboard!$D$134:$H$134</c:f>
              <c:numCache>
                <c:formatCode>#.0" Years"</c:formatCode>
                <c:ptCount val="5"/>
                <c:pt idx="0">
                  <c:v>6.4</c:v>
                </c:pt>
                <c:pt idx="1">
                  <c:v>7.1</c:v>
                </c:pt>
                <c:pt idx="2">
                  <c:v>7.5</c:v>
                </c:pt>
                <c:pt idx="3">
                  <c:v>7.9</c:v>
                </c:pt>
                <c:pt idx="4">
                  <c:v>8.1999999999999993</c:v>
                </c:pt>
              </c:numCache>
            </c:numRef>
          </c:val>
          <c:smooth val="0"/>
          <c:extLst>
            <c:ext xmlns:c15="http://schemas.microsoft.com/office/drawing/2012/chart" uri="{02D57815-91ED-43cb-92C2-25804820EDAC}">
              <c15:datalabelsRange>
                <c15:f>Dashboard!$D$136:$H$136</c15:f>
                <c15:dlblRangeCache>
                  <c:ptCount val="5"/>
                  <c:pt idx="0">
                    <c:v>6,4 Years</c:v>
                  </c:pt>
                  <c:pt idx="1">
                    <c:v>7,1 Years</c:v>
                  </c:pt>
                  <c:pt idx="2">
                    <c:v>7,5 Years</c:v>
                  </c:pt>
                  <c:pt idx="3">
                    <c:v>7,9 Years</c:v>
                  </c:pt>
                  <c:pt idx="4">
                    <c:v>8,2 Years</c:v>
                  </c:pt>
                </c15:dlblRangeCache>
              </c15:datalabelsRange>
            </c:ext>
            <c:ext xmlns:c16="http://schemas.microsoft.com/office/drawing/2014/chart" uri="{C3380CC4-5D6E-409C-BE32-E72D297353CC}">
              <c16:uniqueId val="{00000006-3B5E-47E9-9DBF-2F403311F34A}"/>
            </c:ext>
          </c:extLst>
        </c:ser>
        <c:dLbls>
          <c:showLegendKey val="0"/>
          <c:showVal val="0"/>
          <c:showCatName val="0"/>
          <c:showSerName val="0"/>
          <c:showPercent val="0"/>
          <c:showBubbleSize val="0"/>
        </c:dLbls>
        <c:marker val="1"/>
        <c:smooth val="0"/>
        <c:axId val="334448896"/>
        <c:axId val="334446976"/>
      </c:lineChart>
      <c:catAx>
        <c:axId val="3344305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Equity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334432512"/>
        <c:crosses val="autoZero"/>
        <c:auto val="1"/>
        <c:lblAlgn val="ctr"/>
        <c:lblOffset val="100"/>
        <c:noMultiLvlLbl val="0"/>
      </c:catAx>
      <c:valAx>
        <c:axId val="334432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fr-FR"/>
          </a:p>
        </c:txPr>
        <c:crossAx val="334430592"/>
        <c:crosses val="autoZero"/>
        <c:crossBetween val="between"/>
      </c:valAx>
      <c:valAx>
        <c:axId val="334446976"/>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fr-FR"/>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fr-FR"/>
          </a:p>
        </c:txPr>
        <c:crossAx val="334448896"/>
        <c:crosses val="max"/>
        <c:crossBetween val="between"/>
      </c:valAx>
      <c:catAx>
        <c:axId val="334448896"/>
        <c:scaling>
          <c:orientation val="minMax"/>
        </c:scaling>
        <c:delete val="1"/>
        <c:axPos val="b"/>
        <c:numFmt formatCode="0%" sourceLinked="1"/>
        <c:majorTickMark val="none"/>
        <c:minorTickMark val="none"/>
        <c:tickLblPos val="nextTo"/>
        <c:crossAx val="33444697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Dashboard!$B$109</c:f>
              <c:strCache>
                <c:ptCount val="1"/>
                <c:pt idx="0">
                  <c:v>IRR</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Dashboard!$D$109:$H$109</c:f>
              <c:numCache>
                <c:formatCode>0%</c:formatCode>
                <c:ptCount val="5"/>
                <c:pt idx="0">
                  <c:v>0.17455248506430765</c:v>
                </c:pt>
                <c:pt idx="1">
                  <c:v>0.23234634473357474</c:v>
                </c:pt>
                <c:pt idx="2">
                  <c:v>0.29057437185544388</c:v>
                </c:pt>
                <c:pt idx="3">
                  <c:v>0.35155955557286855</c:v>
                </c:pt>
                <c:pt idx="4">
                  <c:v>0.41585310256765573</c:v>
                </c:pt>
              </c:numCache>
            </c:numRef>
          </c:val>
          <c:smooth val="0"/>
          <c:extLst>
            <c:ext xmlns:c16="http://schemas.microsoft.com/office/drawing/2014/chart" uri="{C3380CC4-5D6E-409C-BE32-E72D297353CC}">
              <c16:uniqueId val="{00000000-13B9-44AC-8D48-A21C2CC639AA}"/>
            </c:ext>
          </c:extLst>
        </c:ser>
        <c:dLbls>
          <c:showLegendKey val="0"/>
          <c:showVal val="0"/>
          <c:showCatName val="0"/>
          <c:showSerName val="0"/>
          <c:showPercent val="0"/>
          <c:showBubbleSize val="0"/>
        </c:dLbls>
        <c:marker val="1"/>
        <c:smooth val="0"/>
        <c:axId val="334491648"/>
        <c:axId val="334493568"/>
      </c:lineChart>
      <c:lineChart>
        <c:grouping val="standard"/>
        <c:varyColors val="0"/>
        <c:ser>
          <c:idx val="1"/>
          <c:order val="1"/>
          <c:tx>
            <c:strRef>
              <c:f>Dashboard!$B$110</c:f>
              <c:strCache>
                <c:ptCount val="1"/>
                <c:pt idx="0">
                  <c:v>Return Period</c:v>
                </c:pt>
              </c:strCache>
            </c:strRef>
          </c:tx>
          <c:spPr>
            <a:ln w="28575" cap="rnd">
              <a:solidFill>
                <a:schemeClr val="accent2"/>
              </a:solidFill>
              <a:round/>
            </a:ln>
            <a:effectLst/>
          </c:spPr>
          <c:marker>
            <c:symbol val="none"/>
          </c:marker>
          <c:dLbls>
            <c:dLbl>
              <c:idx val="0"/>
              <c:tx>
                <c:rich>
                  <a:bodyPr/>
                  <a:lstStyle/>
                  <a:p>
                    <a:fld id="{44A91A4C-6021-A04F-8022-32EA9E532F96}" type="CELLRANGE">
                      <a:rPr lang="en-US"/>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3B9-44AC-8D48-A21C2CC639AA}"/>
                </c:ext>
              </c:extLst>
            </c:dLbl>
            <c:dLbl>
              <c:idx val="1"/>
              <c:tx>
                <c:rich>
                  <a:bodyPr/>
                  <a:lstStyle/>
                  <a:p>
                    <a:fld id="{B446B1E0-CAA8-024B-BA16-BBEB2AB6113B}"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3B9-44AC-8D48-A21C2CC639AA}"/>
                </c:ext>
              </c:extLst>
            </c:dLbl>
            <c:dLbl>
              <c:idx val="2"/>
              <c:tx>
                <c:rich>
                  <a:bodyPr/>
                  <a:lstStyle/>
                  <a:p>
                    <a:fld id="{34AE4E11-A8C6-4445-9C56-6393B307E405}"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3B9-44AC-8D48-A21C2CC639AA}"/>
                </c:ext>
              </c:extLst>
            </c:dLbl>
            <c:dLbl>
              <c:idx val="3"/>
              <c:tx>
                <c:rich>
                  <a:bodyPr/>
                  <a:lstStyle/>
                  <a:p>
                    <a:fld id="{7E6F81E0-970F-814C-8625-25CDD504F3C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3B9-44AC-8D48-A21C2CC639AA}"/>
                </c:ext>
              </c:extLst>
            </c:dLbl>
            <c:dLbl>
              <c:idx val="4"/>
              <c:tx>
                <c:rich>
                  <a:bodyPr/>
                  <a:lstStyle/>
                  <a:p>
                    <a:fld id="{0FF92266-6844-624B-97D8-6CF25BBEEED8}" type="CELLRANGE">
                      <a:rPr lang="fr-FR"/>
                      <a:pPr/>
                      <a:t>[PLAGECELL]</a:t>
                    </a:fld>
                    <a:endParaRPr lang="fr-FR"/>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3B9-44AC-8D48-A21C2CC639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fr-FR"/>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Dashboard!$D$107:$H$107</c:f>
              <c:numCache>
                <c:formatCode>0%</c:formatCode>
                <c:ptCount val="5"/>
                <c:pt idx="0">
                  <c:v>0.8</c:v>
                </c:pt>
                <c:pt idx="1">
                  <c:v>0.9</c:v>
                </c:pt>
                <c:pt idx="2">
                  <c:v>1</c:v>
                </c:pt>
                <c:pt idx="3">
                  <c:v>1.1000000000000001</c:v>
                </c:pt>
                <c:pt idx="4">
                  <c:v>1.2</c:v>
                </c:pt>
              </c:numCache>
            </c:numRef>
          </c:cat>
          <c:val>
            <c:numRef>
              <c:f>Dashboard!$D$110:$H$110</c:f>
              <c:numCache>
                <c:formatCode>#.0" Years"</c:formatCode>
                <c:ptCount val="5"/>
                <c:pt idx="0">
                  <c:v>9.5</c:v>
                </c:pt>
                <c:pt idx="1">
                  <c:v>7.9</c:v>
                </c:pt>
                <c:pt idx="2">
                  <c:v>6.9</c:v>
                </c:pt>
                <c:pt idx="3">
                  <c:v>5.7</c:v>
                </c:pt>
                <c:pt idx="4">
                  <c:v>5.0999999999999996</c:v>
                </c:pt>
              </c:numCache>
            </c:numRef>
          </c:val>
          <c:smooth val="0"/>
          <c:extLst>
            <c:ext xmlns:c15="http://schemas.microsoft.com/office/drawing/2012/chart" uri="{02D57815-91ED-43cb-92C2-25804820EDAC}">
              <c15:datalabelsRange>
                <c15:f>Dashboard!$D$112:$H$112</c15:f>
                <c15:dlblRangeCache>
                  <c:ptCount val="5"/>
                  <c:pt idx="0">
                    <c:v>9,5 Years</c:v>
                  </c:pt>
                  <c:pt idx="1">
                    <c:v>7,9 Years</c:v>
                  </c:pt>
                  <c:pt idx="2">
                    <c:v>6,9 Years</c:v>
                  </c:pt>
                  <c:pt idx="3">
                    <c:v>5,7 Years</c:v>
                  </c:pt>
                  <c:pt idx="4">
                    <c:v>5,1 Years</c:v>
                  </c:pt>
                </c15:dlblRangeCache>
              </c15:datalabelsRange>
            </c:ext>
            <c:ext xmlns:c16="http://schemas.microsoft.com/office/drawing/2014/chart" uri="{C3380CC4-5D6E-409C-BE32-E72D297353CC}">
              <c16:uniqueId val="{00000006-13B9-44AC-8D48-A21C2CC639AA}"/>
            </c:ext>
          </c:extLst>
        </c:ser>
        <c:dLbls>
          <c:showLegendKey val="0"/>
          <c:showVal val="0"/>
          <c:showCatName val="0"/>
          <c:showSerName val="0"/>
          <c:showPercent val="0"/>
          <c:showBubbleSize val="0"/>
        </c:dLbls>
        <c:marker val="1"/>
        <c:smooth val="0"/>
        <c:axId val="334575488"/>
        <c:axId val="334573568"/>
      </c:lineChart>
      <c:catAx>
        <c:axId val="33449164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Change in Output Prices</a:t>
                </a:r>
                <a:r>
                  <a:rPr lang="en-US" b="1" baseline="0"/>
                  <a:t> or Yields</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334493568"/>
        <c:crosses val="autoZero"/>
        <c:auto val="1"/>
        <c:lblAlgn val="ctr"/>
        <c:lblOffset val="100"/>
        <c:noMultiLvlLbl val="0"/>
      </c:catAx>
      <c:valAx>
        <c:axId val="33449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r>
                  <a:rPr lang="en-US" b="1">
                    <a:solidFill>
                      <a:schemeClr val="accent5"/>
                    </a:solidFill>
                  </a:rPr>
                  <a:t>IRR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solidFill>
                <a:latin typeface="+mn-lt"/>
                <a:ea typeface="+mn-ea"/>
                <a:cs typeface="+mn-cs"/>
              </a:defRPr>
            </a:pPr>
            <a:endParaRPr lang="fr-FR"/>
          </a:p>
        </c:txPr>
        <c:crossAx val="334491648"/>
        <c:crosses val="autoZero"/>
        <c:crossBetween val="between"/>
      </c:valAx>
      <c:valAx>
        <c:axId val="33457356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r>
                  <a:rPr lang="en-US" b="1">
                    <a:solidFill>
                      <a:schemeClr val="accent2"/>
                    </a:solidFill>
                  </a:rPr>
                  <a:t>Return Period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solidFill>
                  <a:latin typeface="+mn-lt"/>
                  <a:ea typeface="+mn-ea"/>
                  <a:cs typeface="+mn-cs"/>
                </a:defRPr>
              </a:pPr>
              <a:endParaRPr lang="fr-FR"/>
            </a:p>
          </c:txPr>
        </c:title>
        <c:numFmt formatCode="#.0&quot; Years&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fr-FR"/>
          </a:p>
        </c:txPr>
        <c:crossAx val="334575488"/>
        <c:crosses val="max"/>
        <c:crossBetween val="between"/>
      </c:valAx>
      <c:catAx>
        <c:axId val="334575488"/>
        <c:scaling>
          <c:orientation val="minMax"/>
        </c:scaling>
        <c:delete val="1"/>
        <c:axPos val="b"/>
        <c:numFmt formatCode="0%" sourceLinked="1"/>
        <c:majorTickMark val="none"/>
        <c:minorTickMark val="none"/>
        <c:tickLblPos val="nextTo"/>
        <c:crossAx val="33457356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Fin.Statements!$B$39</c:f>
              <c:strCache>
                <c:ptCount val="1"/>
                <c:pt idx="0">
                  <c:v>Cash Flow From Investment  </c:v>
                </c:pt>
              </c:strCache>
            </c:strRef>
          </c:tx>
          <c:spPr>
            <a:solidFill>
              <a:schemeClr val="accent1"/>
            </a:solidFill>
            <a:ln>
              <a:noFill/>
            </a:ln>
            <a:effectLst/>
          </c:spPr>
          <c:invertIfNegative val="0"/>
          <c:cat>
            <c:numRef>
              <c:f>Fin.Statements!$C$21:$M$21</c:f>
              <c:numCache>
                <c:formatCode>"Year "#0</c:formatCode>
                <c:ptCount val="11"/>
                <c:pt idx="0">
                  <c:v>0</c:v>
                </c:pt>
                <c:pt idx="1">
                  <c:v>1</c:v>
                </c:pt>
                <c:pt idx="2">
                  <c:v>2</c:v>
                </c:pt>
                <c:pt idx="3">
                  <c:v>3</c:v>
                </c:pt>
                <c:pt idx="4">
                  <c:v>4</c:v>
                </c:pt>
                <c:pt idx="5">
                  <c:v>5</c:v>
                </c:pt>
                <c:pt idx="6">
                  <c:v>6</c:v>
                </c:pt>
                <c:pt idx="7">
                  <c:v>7</c:v>
                </c:pt>
                <c:pt idx="8">
                  <c:v>8</c:v>
                </c:pt>
                <c:pt idx="9">
                  <c:v>9</c:v>
                </c:pt>
                <c:pt idx="10">
                  <c:v>10</c:v>
                </c:pt>
              </c:numCache>
            </c:numRef>
          </c:cat>
          <c:val>
            <c:numRef>
              <c:f>Fin.Statements!$C$39:$M$39</c:f>
              <c:numCache>
                <c:formatCode>_(#,##0_)_%;[Red]_(\(#,##0\)_%;_("–"_)_%;@_(_%</c:formatCode>
                <c:ptCount val="11"/>
                <c:pt idx="0">
                  <c:v>-37124290.259186015</c:v>
                </c:pt>
                <c:pt idx="1">
                  <c:v>-13382679.266854554</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89F3-4D52-9390-D37CC310E32B}"/>
            </c:ext>
          </c:extLst>
        </c:ser>
        <c:ser>
          <c:idx val="2"/>
          <c:order val="2"/>
          <c:tx>
            <c:strRef>
              <c:f>Fin.Statements!$B$28</c:f>
              <c:strCache>
                <c:ptCount val="1"/>
                <c:pt idx="0">
                  <c:v>Cash Flow From Operations  </c:v>
                </c:pt>
              </c:strCache>
            </c:strRef>
          </c:tx>
          <c:spPr>
            <a:solidFill>
              <a:schemeClr val="accent3"/>
            </a:solidFill>
            <a:ln>
              <a:noFill/>
            </a:ln>
            <a:effectLst/>
          </c:spPr>
          <c:invertIfNegative val="0"/>
          <c:val>
            <c:numRef>
              <c:f>Fin.Statements!$C$28:$M$28</c:f>
              <c:numCache>
                <c:formatCode>_(#,##0_)_%;[Red]_(\(#,##0\)_%;_("–"_)_%;@_(_%</c:formatCode>
                <c:ptCount val="11"/>
                <c:pt idx="0">
                  <c:v>-1608881.6493810785</c:v>
                </c:pt>
                <c:pt idx="1">
                  <c:v>-5774508.8786335373</c:v>
                </c:pt>
                <c:pt idx="2">
                  <c:v>1285866.2718722806</c:v>
                </c:pt>
                <c:pt idx="3">
                  <c:v>2445114.0664503588</c:v>
                </c:pt>
                <c:pt idx="4">
                  <c:v>5726017.5914470162</c:v>
                </c:pt>
                <c:pt idx="5">
                  <c:v>10077662.495208584</c:v>
                </c:pt>
                <c:pt idx="6">
                  <c:v>9810242.3859793376</c:v>
                </c:pt>
                <c:pt idx="7">
                  <c:v>13363637.526339252</c:v>
                </c:pt>
                <c:pt idx="8">
                  <c:v>14947527.600700574</c:v>
                </c:pt>
                <c:pt idx="9">
                  <c:v>16472273.54814367</c:v>
                </c:pt>
                <c:pt idx="10">
                  <c:v>17221226.423582871</c:v>
                </c:pt>
              </c:numCache>
            </c:numRef>
          </c:val>
          <c:extLst>
            <c:ext xmlns:c16="http://schemas.microsoft.com/office/drawing/2014/chart" uri="{C3380CC4-5D6E-409C-BE32-E72D297353CC}">
              <c16:uniqueId val="{00000001-89F3-4D52-9390-D37CC310E32B}"/>
            </c:ext>
          </c:extLst>
        </c:ser>
        <c:ser>
          <c:idx val="3"/>
          <c:order val="3"/>
          <c:tx>
            <c:strRef>
              <c:f>Fin.Statements!$B$35</c:f>
              <c:strCache>
                <c:ptCount val="1"/>
                <c:pt idx="0">
                  <c:v>Cash Flow from Financing  </c:v>
                </c:pt>
              </c:strCache>
            </c:strRef>
          </c:tx>
          <c:spPr>
            <a:solidFill>
              <a:schemeClr val="accent4"/>
            </a:solidFill>
            <a:ln>
              <a:noFill/>
            </a:ln>
            <a:effectLst/>
          </c:spPr>
          <c:invertIfNegative val="0"/>
          <c:val>
            <c:numRef>
              <c:f>Fin.Statements!$C$35:$M$35</c:f>
              <c:numCache>
                <c:formatCode>_(#,##0_)_%;[Red]_(\(#,##0\)_%;_("–"_)_%;@_(_%</c:formatCode>
                <c:ptCount val="11"/>
                <c:pt idx="0">
                  <c:v>39479555.429343231</c:v>
                </c:pt>
                <c:pt idx="1">
                  <c:v>19426271.190294798</c:v>
                </c:pt>
                <c:pt idx="2">
                  <c:v>-1285623.5009667883</c:v>
                </c:pt>
                <c:pt idx="3">
                  <c:v>-2444615.9703013329</c:v>
                </c:pt>
                <c:pt idx="4">
                  <c:v>-4873590.182037035</c:v>
                </c:pt>
                <c:pt idx="5">
                  <c:v>-2124383.1700555952</c:v>
                </c:pt>
                <c:pt idx="6">
                  <c:v>-2254742.8642581999</c:v>
                </c:pt>
                <c:pt idx="7">
                  <c:v>-2393101.8921554652</c:v>
                </c:pt>
                <c:pt idx="8">
                  <c:v>-2539951.1212655306</c:v>
                </c:pt>
                <c:pt idx="9">
                  <c:v>-2695811.5404803334</c:v>
                </c:pt>
                <c:pt idx="10">
                  <c:v>-2861236.1084200577</c:v>
                </c:pt>
              </c:numCache>
            </c:numRef>
          </c:val>
          <c:extLst>
            <c:ext xmlns:c16="http://schemas.microsoft.com/office/drawing/2014/chart" uri="{C3380CC4-5D6E-409C-BE32-E72D297353CC}">
              <c16:uniqueId val="{00000002-89F3-4D52-9390-D37CC310E32B}"/>
            </c:ext>
          </c:extLst>
        </c:ser>
        <c:dLbls>
          <c:showLegendKey val="0"/>
          <c:showVal val="0"/>
          <c:showCatName val="0"/>
          <c:showSerName val="0"/>
          <c:showPercent val="0"/>
          <c:showBubbleSize val="0"/>
        </c:dLbls>
        <c:gapWidth val="150"/>
        <c:axId val="334623872"/>
        <c:axId val="334625408"/>
      </c:barChart>
      <c:lineChart>
        <c:grouping val="standard"/>
        <c:varyColors val="0"/>
        <c:ser>
          <c:idx val="1"/>
          <c:order val="1"/>
          <c:tx>
            <c:strRef>
              <c:f>Fin.Statements!$B$41</c:f>
              <c:strCache>
                <c:ptCount val="1"/>
                <c:pt idx="0">
                  <c:v>Net Accumulated Cash Flow</c:v>
                </c:pt>
              </c:strCache>
            </c:strRef>
          </c:tx>
          <c:spPr>
            <a:ln w="28575" cap="rnd">
              <a:solidFill>
                <a:schemeClr val="accent2"/>
              </a:solidFill>
              <a:round/>
            </a:ln>
            <a:effectLst/>
          </c:spPr>
          <c:marker>
            <c:symbol val="none"/>
          </c:marker>
          <c:cat>
            <c:numRef>
              <c:f>Fin.Statements!$C$4:$M$4</c:f>
              <c:numCache>
                <c:formatCode>"Year "#0</c:formatCode>
                <c:ptCount val="11"/>
                <c:pt idx="0">
                  <c:v>0</c:v>
                </c:pt>
                <c:pt idx="1">
                  <c:v>1</c:v>
                </c:pt>
                <c:pt idx="2">
                  <c:v>2</c:v>
                </c:pt>
                <c:pt idx="3">
                  <c:v>3</c:v>
                </c:pt>
                <c:pt idx="4">
                  <c:v>4</c:v>
                </c:pt>
                <c:pt idx="5">
                  <c:v>5</c:v>
                </c:pt>
                <c:pt idx="6">
                  <c:v>6</c:v>
                </c:pt>
                <c:pt idx="7">
                  <c:v>7</c:v>
                </c:pt>
                <c:pt idx="8">
                  <c:v>8</c:v>
                </c:pt>
                <c:pt idx="9">
                  <c:v>9</c:v>
                </c:pt>
                <c:pt idx="10">
                  <c:v>10</c:v>
                </c:pt>
              </c:numCache>
            </c:numRef>
          </c:cat>
          <c:val>
            <c:numRef>
              <c:f>Fin.Statements!$C$41:$M$41</c:f>
              <c:numCache>
                <c:formatCode>_(#,##0_)_%;[Red]_(\(#,##0\)_%;_("–"_)_%;@_(_%</c:formatCode>
                <c:ptCount val="11"/>
                <c:pt idx="0">
                  <c:v>746383.52077613771</c:v>
                </c:pt>
                <c:pt idx="1">
                  <c:v>1015466.5655828454</c:v>
                </c:pt>
                <c:pt idx="2">
                  <c:v>1015709.3364883377</c:v>
                </c:pt>
                <c:pt idx="3">
                  <c:v>1016207.4326373637</c:v>
                </c:pt>
                <c:pt idx="4">
                  <c:v>1868634.8420473449</c:v>
                </c:pt>
                <c:pt idx="5">
                  <c:v>9821914.1672003344</c:v>
                </c:pt>
                <c:pt idx="6">
                  <c:v>17377413.688921474</c:v>
                </c:pt>
                <c:pt idx="7">
                  <c:v>28347949.323105261</c:v>
                </c:pt>
                <c:pt idx="8">
                  <c:v>40755525.802540302</c:v>
                </c:pt>
                <c:pt idx="9">
                  <c:v>54531987.810203642</c:v>
                </c:pt>
                <c:pt idx="10">
                  <c:v>68891978.125366449</c:v>
                </c:pt>
              </c:numCache>
            </c:numRef>
          </c:val>
          <c:smooth val="0"/>
          <c:extLst>
            <c:ext xmlns:c16="http://schemas.microsoft.com/office/drawing/2014/chart" uri="{C3380CC4-5D6E-409C-BE32-E72D297353CC}">
              <c16:uniqueId val="{00000003-89F3-4D52-9390-D37CC310E32B}"/>
            </c:ext>
          </c:extLst>
        </c:ser>
        <c:dLbls>
          <c:showLegendKey val="0"/>
          <c:showVal val="0"/>
          <c:showCatName val="0"/>
          <c:showSerName val="0"/>
          <c:showPercent val="0"/>
          <c:showBubbleSize val="0"/>
        </c:dLbls>
        <c:marker val="1"/>
        <c:smooth val="0"/>
        <c:axId val="334623872"/>
        <c:axId val="334625408"/>
      </c:lineChart>
      <c:catAx>
        <c:axId val="334623872"/>
        <c:scaling>
          <c:orientation val="minMax"/>
        </c:scaling>
        <c:delete val="0"/>
        <c:axPos val="b"/>
        <c:numFmt formatCode="&quot;Year &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625408"/>
        <c:crosses val="autoZero"/>
        <c:auto val="1"/>
        <c:lblAlgn val="ctr"/>
        <c:lblOffset val="100"/>
        <c:noMultiLvlLbl val="0"/>
      </c:catAx>
      <c:valAx>
        <c:axId val="334625408"/>
        <c:scaling>
          <c:orientation val="minMax"/>
        </c:scaling>
        <c:delete val="0"/>
        <c:axPos val="l"/>
        <c:majorGridlines>
          <c:spPr>
            <a:ln w="9525" cap="flat" cmpd="sng" algn="ctr">
              <a:solidFill>
                <a:schemeClr val="tx1">
                  <a:lumMod val="15000"/>
                  <a:lumOff val="85000"/>
                </a:schemeClr>
              </a:solidFill>
              <a:round/>
            </a:ln>
            <a:effectLst/>
          </c:spPr>
        </c:majorGridlines>
        <c:numFmt formatCode="_(#,##0_)_%;[Red]_(\(#,##0\)_%;_(&quot;–&quot;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62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Rwturn on Capital Employed (ROCE)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Dashboard!$E$34</c:f>
              <c:strCache>
                <c:ptCount val="1"/>
                <c:pt idx="0">
                  <c:v>Year 0</c:v>
                </c:pt>
              </c:strCache>
            </c:strRef>
          </c:tx>
          <c:spPr>
            <a:solidFill>
              <a:schemeClr val="accent2">
                <a:shade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Dashboard!$E$46:$E$50</c15:sqref>
                  </c15:fullRef>
                </c:ext>
              </c:extLst>
              <c:f>Dashboard!$E$46</c:f>
              <c:numCache>
                <c:formatCode>#,##0.00;[Red]\(#,##0.00\)</c:formatCode>
                <c:ptCount val="1"/>
                <c:pt idx="0" formatCode="0.0%">
                  <c:v>0</c:v>
                </c:pt>
              </c:numCache>
            </c:numRef>
          </c:val>
          <c:extLst>
            <c:ext xmlns:c16="http://schemas.microsoft.com/office/drawing/2014/chart" uri="{C3380CC4-5D6E-409C-BE32-E72D297353CC}">
              <c16:uniqueId val="{00000000-A7EA-4A77-8866-CD3010D60325}"/>
            </c:ext>
          </c:extLst>
        </c:ser>
        <c:ser>
          <c:idx val="1"/>
          <c:order val="1"/>
          <c:tx>
            <c:strRef>
              <c:f>Dashboard!$F$34</c:f>
              <c:strCache>
                <c:ptCount val="1"/>
                <c:pt idx="0">
                  <c:v>Year 1</c:v>
                </c:pt>
              </c:strCache>
            </c:strRef>
          </c:tx>
          <c:spPr>
            <a:solidFill>
              <a:schemeClr val="accent2">
                <a:shade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Dashboard!$F$46:$F$50</c15:sqref>
                  </c15:fullRef>
                </c:ext>
              </c:extLst>
              <c:f>Dashboard!$F$46</c:f>
              <c:numCache>
                <c:formatCode>#,##0.00;[Red]\(#,##0.00\)</c:formatCode>
                <c:ptCount val="1"/>
                <c:pt idx="0" formatCode="0.0%">
                  <c:v>-4.4221111842290939E-2</c:v>
                </c:pt>
              </c:numCache>
            </c:numRef>
          </c:val>
          <c:extLst>
            <c:ext xmlns:c16="http://schemas.microsoft.com/office/drawing/2014/chart" uri="{C3380CC4-5D6E-409C-BE32-E72D297353CC}">
              <c16:uniqueId val="{00000001-A7EA-4A77-8866-CD3010D60325}"/>
            </c:ext>
          </c:extLst>
        </c:ser>
        <c:ser>
          <c:idx val="2"/>
          <c:order val="2"/>
          <c:tx>
            <c:strRef>
              <c:f>Dashboard!$G$34</c:f>
              <c:strCache>
                <c:ptCount val="1"/>
                <c:pt idx="0">
                  <c:v>Year 2</c:v>
                </c:pt>
              </c:strCache>
            </c:strRef>
          </c:tx>
          <c:spPr>
            <a:solidFill>
              <a:schemeClr val="accent2">
                <a:shade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Dashboard!$G$46:$G$50</c15:sqref>
                  </c15:fullRef>
                </c:ext>
              </c:extLst>
              <c:f>Dashboard!$G$46</c:f>
              <c:numCache>
                <c:formatCode>#,##0.00;[Red]\(#,##0.00\)</c:formatCode>
                <c:ptCount val="1"/>
                <c:pt idx="0" formatCode="0.0%">
                  <c:v>1.5444987007975974E-2</c:v>
                </c:pt>
              </c:numCache>
            </c:numRef>
          </c:val>
          <c:extLst>
            <c:ext xmlns:c16="http://schemas.microsoft.com/office/drawing/2014/chart" uri="{C3380CC4-5D6E-409C-BE32-E72D297353CC}">
              <c16:uniqueId val="{00000002-A7EA-4A77-8866-CD3010D60325}"/>
            </c:ext>
          </c:extLst>
        </c:ser>
        <c:ser>
          <c:idx val="3"/>
          <c:order val="3"/>
          <c:tx>
            <c:strRef>
              <c:f>Dashboard!$H$34</c:f>
              <c:strCache>
                <c:ptCount val="1"/>
                <c:pt idx="0">
                  <c:v>Year 3</c:v>
                </c:pt>
              </c:strCache>
            </c:strRef>
          </c:tx>
          <c:spPr>
            <a:solidFill>
              <a:schemeClr val="accent2">
                <a:shade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Dashboard!$H$46:$H$50</c15:sqref>
                  </c15:fullRef>
                </c:ext>
              </c:extLst>
              <c:f>Dashboard!$H$46</c:f>
              <c:numCache>
                <c:formatCode>#,##0.00;[Red]\(#,##0.00\)</c:formatCode>
                <c:ptCount val="1"/>
                <c:pt idx="0" formatCode="0.0%">
                  <c:v>7.3771365186319396E-2</c:v>
                </c:pt>
              </c:numCache>
            </c:numRef>
          </c:val>
          <c:extLst>
            <c:ext xmlns:c16="http://schemas.microsoft.com/office/drawing/2014/chart" uri="{C3380CC4-5D6E-409C-BE32-E72D297353CC}">
              <c16:uniqueId val="{00000003-A7EA-4A77-8866-CD3010D60325}"/>
            </c:ext>
          </c:extLst>
        </c:ser>
        <c:ser>
          <c:idx val="4"/>
          <c:order val="4"/>
          <c:tx>
            <c:strRef>
              <c:f>Dashboard!$I$34</c:f>
              <c:strCache>
                <c:ptCount val="1"/>
                <c:pt idx="0">
                  <c:v>Year 4</c:v>
                </c:pt>
              </c:strCache>
            </c:strRef>
          </c:tx>
          <c:spPr>
            <a:solidFill>
              <a:schemeClr val="accent2"/>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Dashboard!$I$46:$I$50</c15:sqref>
                  </c15:fullRef>
                </c:ext>
              </c:extLst>
              <c:f>Dashboard!$I$46</c:f>
              <c:numCache>
                <c:formatCode>#,##0.00;[Red]\(#,##0.00\)</c:formatCode>
                <c:ptCount val="1"/>
                <c:pt idx="0" formatCode="0.0%">
                  <c:v>0.13646666262487939</c:v>
                </c:pt>
              </c:numCache>
            </c:numRef>
          </c:val>
          <c:extLst>
            <c:ext xmlns:c16="http://schemas.microsoft.com/office/drawing/2014/chart" uri="{C3380CC4-5D6E-409C-BE32-E72D297353CC}">
              <c16:uniqueId val="{00000004-A7EA-4A77-8866-CD3010D60325}"/>
            </c:ext>
          </c:extLst>
        </c:ser>
        <c:ser>
          <c:idx val="5"/>
          <c:order val="5"/>
          <c:tx>
            <c:strRef>
              <c:f>Dashboard!$J$34</c:f>
              <c:strCache>
                <c:ptCount val="1"/>
                <c:pt idx="0">
                  <c:v>Year 5</c:v>
                </c:pt>
              </c:strCache>
            </c:strRef>
          </c:tx>
          <c:spPr>
            <a:solidFill>
              <a:schemeClr val="accent2">
                <a:tint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Dashboard!$J$46:$J$50</c15:sqref>
                  </c15:fullRef>
                </c:ext>
              </c:extLst>
              <c:f>Dashboard!$J$46</c:f>
              <c:numCache>
                <c:formatCode>#,##0.00;[Red]\(#,##0.00\)</c:formatCode>
                <c:ptCount val="1"/>
                <c:pt idx="0" formatCode="0.0%">
                  <c:v>0.20400772348277421</c:v>
                </c:pt>
              </c:numCache>
            </c:numRef>
          </c:val>
          <c:extLst>
            <c:ext xmlns:c16="http://schemas.microsoft.com/office/drawing/2014/chart" uri="{C3380CC4-5D6E-409C-BE32-E72D297353CC}">
              <c16:uniqueId val="{00000005-A7EA-4A77-8866-CD3010D60325}"/>
            </c:ext>
          </c:extLst>
        </c:ser>
        <c:ser>
          <c:idx val="6"/>
          <c:order val="6"/>
          <c:tx>
            <c:strRef>
              <c:f>Dashboard!$K$34</c:f>
              <c:strCache>
                <c:ptCount val="1"/>
                <c:pt idx="0">
                  <c:v>Year 6</c:v>
                </c:pt>
              </c:strCache>
            </c:strRef>
          </c:tx>
          <c:spPr>
            <a:solidFill>
              <a:schemeClr val="accent2">
                <a:tint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Dashboard!$K$46:$K$50</c15:sqref>
                  </c15:fullRef>
                </c:ext>
              </c:extLst>
              <c:f>Dashboard!$K$46</c:f>
              <c:numCache>
                <c:formatCode>#,##0.00;[Red]\(#,##0.00\)</c:formatCode>
                <c:ptCount val="1"/>
                <c:pt idx="0" formatCode="0.0%">
                  <c:v>0.28488558893067945</c:v>
                </c:pt>
              </c:numCache>
            </c:numRef>
          </c:val>
          <c:extLst>
            <c:ext xmlns:c16="http://schemas.microsoft.com/office/drawing/2014/chart" uri="{C3380CC4-5D6E-409C-BE32-E72D297353CC}">
              <c16:uniqueId val="{00000006-A7EA-4A77-8866-CD3010D60325}"/>
            </c:ext>
          </c:extLst>
        </c:ser>
        <c:ser>
          <c:idx val="7"/>
          <c:order val="7"/>
          <c:tx>
            <c:strRef>
              <c:f>Dashboard!$L$34</c:f>
              <c:strCache>
                <c:ptCount val="1"/>
                <c:pt idx="0">
                  <c:v>Year 7</c:v>
                </c:pt>
              </c:strCache>
            </c:strRef>
          </c:tx>
          <c:spPr>
            <a:solidFill>
              <a:schemeClr val="accent2">
                <a:tint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Dashboard!$L$46:$L$50</c15:sqref>
                  </c15:fullRef>
                </c:ext>
              </c:extLst>
              <c:f>Dashboard!$L$46</c:f>
              <c:numCache>
                <c:formatCode>#,##0.00;[Red]\(#,##0.00\)</c:formatCode>
                <c:ptCount val="1"/>
                <c:pt idx="0" formatCode="0.0%">
                  <c:v>0.30006141029287003</c:v>
                </c:pt>
              </c:numCache>
            </c:numRef>
          </c:val>
          <c:extLst>
            <c:ext xmlns:c16="http://schemas.microsoft.com/office/drawing/2014/chart" uri="{C3380CC4-5D6E-409C-BE32-E72D297353CC}">
              <c16:uniqueId val="{00000007-A7EA-4A77-8866-CD3010D60325}"/>
            </c:ext>
          </c:extLst>
        </c:ser>
        <c:ser>
          <c:idx val="8"/>
          <c:order val="8"/>
          <c:tx>
            <c:strRef>
              <c:f>Dashboard!$M$34</c:f>
              <c:strCache>
                <c:ptCount val="1"/>
                <c:pt idx="0">
                  <c:v>Year 8</c:v>
                </c:pt>
              </c:strCache>
            </c:strRef>
          </c:tx>
          <c:spPr>
            <a:solidFill>
              <a:schemeClr val="accent2">
                <a:tint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Dashboard!$B$46</c:f>
              <c:strCache>
                <c:ptCount val="1"/>
                <c:pt idx="0">
                  <c:v>Return on Capital Employed (ROCE)</c:v>
                </c:pt>
              </c:strCache>
            </c:strRef>
          </c:cat>
          <c:val>
            <c:numRef>
              <c:extLst>
                <c:ext xmlns:c15="http://schemas.microsoft.com/office/drawing/2012/chart" uri="{02D57815-91ED-43cb-92C2-25804820EDAC}">
                  <c15:fullRef>
                    <c15:sqref>Dashboard!$M$46:$M$50</c15:sqref>
                  </c15:fullRef>
                </c:ext>
              </c:extLst>
              <c:f>Dashboard!$M$46</c:f>
              <c:numCache>
                <c:formatCode>#,##0.00;[Red]\(#,##0.00\)</c:formatCode>
                <c:ptCount val="1"/>
                <c:pt idx="0" formatCode="0.0%">
                  <c:v>0.28788216684104206</c:v>
                </c:pt>
              </c:numCache>
            </c:numRef>
          </c:val>
          <c:extLst>
            <c:ext xmlns:c16="http://schemas.microsoft.com/office/drawing/2014/chart" uri="{C3380CC4-5D6E-409C-BE32-E72D297353CC}">
              <c16:uniqueId val="{00000008-A7EA-4A77-8866-CD3010D60325}"/>
            </c:ext>
          </c:extLst>
        </c:ser>
        <c:dLbls>
          <c:showLegendKey val="0"/>
          <c:showVal val="0"/>
          <c:showCatName val="0"/>
          <c:showSerName val="0"/>
          <c:showPercent val="0"/>
          <c:showBubbleSize val="0"/>
        </c:dLbls>
        <c:gapWidth val="150"/>
        <c:axId val="334708736"/>
        <c:axId val="334710272"/>
      </c:barChart>
      <c:catAx>
        <c:axId val="3347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710272"/>
        <c:crosses val="autoZero"/>
        <c:auto val="1"/>
        <c:lblAlgn val="ctr"/>
        <c:lblOffset val="100"/>
        <c:noMultiLvlLbl val="0"/>
      </c:catAx>
      <c:valAx>
        <c:axId val="334710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708736"/>
        <c:crosses val="autoZero"/>
        <c:crossBetween val="between"/>
      </c:valAx>
      <c:spPr>
        <a:no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Dashboard!$E$34</c:f>
              <c:strCache>
                <c:ptCount val="1"/>
                <c:pt idx="0">
                  <c:v>Year 0</c:v>
                </c:pt>
              </c:strCache>
            </c:strRef>
          </c:tx>
          <c:spPr>
            <a:solidFill>
              <a:schemeClr val="accent2">
                <a:shade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Dashboard!$E$46:$E$50</c15:sqref>
                  </c15:fullRef>
                </c:ext>
              </c:extLst>
              <c:f>Dashboard!$E$48</c:f>
              <c:numCache>
                <c:formatCode>#,##0.00;[Red]\(#,##0.00\)</c:formatCode>
                <c:ptCount val="1"/>
                <c:pt idx="0" formatCode="0.00">
                  <c:v>0</c:v>
                </c:pt>
              </c:numCache>
            </c:numRef>
          </c:val>
          <c:extLst>
            <c:ext xmlns:c16="http://schemas.microsoft.com/office/drawing/2014/chart" uri="{C3380CC4-5D6E-409C-BE32-E72D297353CC}">
              <c16:uniqueId val="{00000000-EE60-4950-8D22-893A02AA824D}"/>
            </c:ext>
          </c:extLst>
        </c:ser>
        <c:ser>
          <c:idx val="1"/>
          <c:order val="1"/>
          <c:tx>
            <c:strRef>
              <c:f>Dashboard!$F$34</c:f>
              <c:strCache>
                <c:ptCount val="1"/>
                <c:pt idx="0">
                  <c:v>Year 1</c:v>
                </c:pt>
              </c:strCache>
            </c:strRef>
          </c:tx>
          <c:spPr>
            <a:solidFill>
              <a:schemeClr val="accent2">
                <a:shade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Dashboard!$F$46:$F$50</c15:sqref>
                  </c15:fullRef>
                </c:ext>
              </c:extLst>
              <c:f>Dashboard!$F$48</c:f>
              <c:numCache>
                <c:formatCode>#,##0.00;[Red]\(#,##0.00\)</c:formatCode>
                <c:ptCount val="1"/>
                <c:pt idx="0" formatCode="0.00">
                  <c:v>0.59081169687096724</c:v>
                </c:pt>
              </c:numCache>
            </c:numRef>
          </c:val>
          <c:extLst>
            <c:ext xmlns:c16="http://schemas.microsoft.com/office/drawing/2014/chart" uri="{C3380CC4-5D6E-409C-BE32-E72D297353CC}">
              <c16:uniqueId val="{00000001-EE60-4950-8D22-893A02AA824D}"/>
            </c:ext>
          </c:extLst>
        </c:ser>
        <c:ser>
          <c:idx val="2"/>
          <c:order val="2"/>
          <c:tx>
            <c:strRef>
              <c:f>Dashboard!$G$34</c:f>
              <c:strCache>
                <c:ptCount val="1"/>
                <c:pt idx="0">
                  <c:v>Year 2</c:v>
                </c:pt>
              </c:strCache>
            </c:strRef>
          </c:tx>
          <c:spPr>
            <a:solidFill>
              <a:schemeClr val="accent2">
                <a:shade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Dashboard!$G$46:$G$50</c15:sqref>
                  </c15:fullRef>
                </c:ext>
              </c:extLst>
              <c:f>Dashboard!$G$48</c:f>
              <c:numCache>
                <c:formatCode>#,##0.00;[Red]\(#,##0.00\)</c:formatCode>
                <c:ptCount val="1"/>
                <c:pt idx="0" formatCode="0.00">
                  <c:v>0.41596955162231036</c:v>
                </c:pt>
              </c:numCache>
            </c:numRef>
          </c:val>
          <c:extLst>
            <c:ext xmlns:c16="http://schemas.microsoft.com/office/drawing/2014/chart" uri="{C3380CC4-5D6E-409C-BE32-E72D297353CC}">
              <c16:uniqueId val="{00000002-EE60-4950-8D22-893A02AA824D}"/>
            </c:ext>
          </c:extLst>
        </c:ser>
        <c:ser>
          <c:idx val="3"/>
          <c:order val="3"/>
          <c:tx>
            <c:strRef>
              <c:f>Dashboard!$H$34</c:f>
              <c:strCache>
                <c:ptCount val="1"/>
                <c:pt idx="0">
                  <c:v>Year 3</c:v>
                </c:pt>
              </c:strCache>
            </c:strRef>
          </c:tx>
          <c:spPr>
            <a:solidFill>
              <a:schemeClr val="accent2">
                <a:shade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Dashboard!$H$46:$H$50</c15:sqref>
                  </c15:fullRef>
                </c:ext>
              </c:extLst>
              <c:f>Dashboard!$H$48</c:f>
              <c:numCache>
                <c:formatCode>#,##0.00;[Red]\(#,##0.00\)</c:formatCode>
                <c:ptCount val="1"/>
                <c:pt idx="0" formatCode="0.00">
                  <c:v>0.51048325999650657</c:v>
                </c:pt>
              </c:numCache>
            </c:numRef>
          </c:val>
          <c:extLst>
            <c:ext xmlns:c16="http://schemas.microsoft.com/office/drawing/2014/chart" uri="{C3380CC4-5D6E-409C-BE32-E72D297353CC}">
              <c16:uniqueId val="{00000003-EE60-4950-8D22-893A02AA824D}"/>
            </c:ext>
          </c:extLst>
        </c:ser>
        <c:ser>
          <c:idx val="4"/>
          <c:order val="4"/>
          <c:tx>
            <c:strRef>
              <c:f>Dashboard!$I$34</c:f>
              <c:strCache>
                <c:ptCount val="1"/>
                <c:pt idx="0">
                  <c:v>Year 4</c:v>
                </c:pt>
              </c:strCache>
            </c:strRef>
          </c:tx>
          <c:spPr>
            <a:solidFill>
              <a:schemeClr val="accent2"/>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Dashboard!$I$46:$I$50</c15:sqref>
                  </c15:fullRef>
                </c:ext>
              </c:extLst>
              <c:f>Dashboard!$I$48</c:f>
              <c:numCache>
                <c:formatCode>#,##0.00;[Red]\(#,##0.00\)</c:formatCode>
                <c:ptCount val="1"/>
                <c:pt idx="0" formatCode="0.00">
                  <c:v>1.3143116115004578</c:v>
                </c:pt>
              </c:numCache>
            </c:numRef>
          </c:val>
          <c:extLst>
            <c:ext xmlns:c16="http://schemas.microsoft.com/office/drawing/2014/chart" uri="{C3380CC4-5D6E-409C-BE32-E72D297353CC}">
              <c16:uniqueId val="{00000004-EE60-4950-8D22-893A02AA824D}"/>
            </c:ext>
          </c:extLst>
        </c:ser>
        <c:ser>
          <c:idx val="5"/>
          <c:order val="5"/>
          <c:tx>
            <c:strRef>
              <c:f>Dashboard!$J$34</c:f>
              <c:strCache>
                <c:ptCount val="1"/>
                <c:pt idx="0">
                  <c:v>Year 5</c:v>
                </c:pt>
              </c:strCache>
            </c:strRef>
          </c:tx>
          <c:spPr>
            <a:solidFill>
              <a:schemeClr val="accent2">
                <a:tint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Dashboard!$J$46:$J$50</c15:sqref>
                  </c15:fullRef>
                </c:ext>
              </c:extLst>
              <c:f>Dashboard!$J$48</c:f>
              <c:numCache>
                <c:formatCode>#,##0.00;[Red]\(#,##0.00\)</c:formatCode>
                <c:ptCount val="1"/>
                <c:pt idx="0" formatCode="0.00">
                  <c:v>3.6532240946905041</c:v>
                </c:pt>
              </c:numCache>
            </c:numRef>
          </c:val>
          <c:extLst>
            <c:ext xmlns:c16="http://schemas.microsoft.com/office/drawing/2014/chart" uri="{C3380CC4-5D6E-409C-BE32-E72D297353CC}">
              <c16:uniqueId val="{00000005-EE60-4950-8D22-893A02AA824D}"/>
            </c:ext>
          </c:extLst>
        </c:ser>
        <c:ser>
          <c:idx val="6"/>
          <c:order val="6"/>
          <c:tx>
            <c:strRef>
              <c:f>Dashboard!$K$34</c:f>
              <c:strCache>
                <c:ptCount val="1"/>
                <c:pt idx="0">
                  <c:v>Year 6</c:v>
                </c:pt>
              </c:strCache>
            </c:strRef>
          </c:tx>
          <c:spPr>
            <a:solidFill>
              <a:schemeClr val="accent2">
                <a:tint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Dashboard!$K$46:$K$50</c15:sqref>
                  </c15:fullRef>
                </c:ext>
              </c:extLst>
              <c:f>Dashboard!$K$48</c:f>
              <c:numCache>
                <c:formatCode>#,##0.00;[Red]\(#,##0.00\)</c:formatCode>
                <c:ptCount val="1"/>
                <c:pt idx="0" formatCode="0.00">
                  <c:v>5.5948419276342944</c:v>
                </c:pt>
              </c:numCache>
            </c:numRef>
          </c:val>
          <c:extLst>
            <c:ext xmlns:c16="http://schemas.microsoft.com/office/drawing/2014/chart" uri="{C3380CC4-5D6E-409C-BE32-E72D297353CC}">
              <c16:uniqueId val="{00000006-EE60-4950-8D22-893A02AA824D}"/>
            </c:ext>
          </c:extLst>
        </c:ser>
        <c:ser>
          <c:idx val="7"/>
          <c:order val="7"/>
          <c:tx>
            <c:strRef>
              <c:f>Dashboard!$L$34</c:f>
              <c:strCache>
                <c:ptCount val="1"/>
                <c:pt idx="0">
                  <c:v>Year 7</c:v>
                </c:pt>
              </c:strCache>
            </c:strRef>
          </c:tx>
          <c:spPr>
            <a:solidFill>
              <a:schemeClr val="accent2">
                <a:tint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Dashboard!$L$46:$L$50</c15:sqref>
                  </c15:fullRef>
                </c:ext>
              </c:extLst>
              <c:f>Dashboard!$L$48</c:f>
              <c:numCache>
                <c:formatCode>#,##0.00;[Red]\(#,##0.00\)</c:formatCode>
                <c:ptCount val="1"/>
                <c:pt idx="0" formatCode="0.00">
                  <c:v>8.161490024508991</c:v>
                </c:pt>
              </c:numCache>
            </c:numRef>
          </c:val>
          <c:extLst>
            <c:ext xmlns:c16="http://schemas.microsoft.com/office/drawing/2014/chart" uri="{C3380CC4-5D6E-409C-BE32-E72D297353CC}">
              <c16:uniqueId val="{00000007-EE60-4950-8D22-893A02AA824D}"/>
            </c:ext>
          </c:extLst>
        </c:ser>
        <c:ser>
          <c:idx val="8"/>
          <c:order val="8"/>
          <c:tx>
            <c:strRef>
              <c:f>Dashboard!$M$34</c:f>
              <c:strCache>
                <c:ptCount val="1"/>
                <c:pt idx="0">
                  <c:v>Year 8</c:v>
                </c:pt>
              </c:strCache>
            </c:strRef>
          </c:tx>
          <c:spPr>
            <a:solidFill>
              <a:schemeClr val="accent2">
                <a:tint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Dashboard!$B$48</c:f>
              <c:strCache>
                <c:ptCount val="1"/>
                <c:pt idx="0">
                  <c:v>Current Ratio</c:v>
                </c:pt>
              </c:strCache>
            </c:strRef>
          </c:cat>
          <c:val>
            <c:numRef>
              <c:extLst>
                <c:ext xmlns:c15="http://schemas.microsoft.com/office/drawing/2012/chart" uri="{02D57815-91ED-43cb-92C2-25804820EDAC}">
                  <c15:fullRef>
                    <c15:sqref>Dashboard!$M$46:$M$50</c15:sqref>
                  </c15:fullRef>
                </c:ext>
              </c:extLst>
              <c:f>Dashboard!$M$48</c:f>
              <c:numCache>
                <c:formatCode>#,##0.00;[Red]\(#,##0.00\)</c:formatCode>
                <c:ptCount val="1"/>
                <c:pt idx="0" formatCode="0.00">
                  <c:v>10.779684143070792</c:v>
                </c:pt>
              </c:numCache>
            </c:numRef>
          </c:val>
          <c:extLst>
            <c:ext xmlns:c16="http://schemas.microsoft.com/office/drawing/2014/chart" uri="{C3380CC4-5D6E-409C-BE32-E72D297353CC}">
              <c16:uniqueId val="{00000008-EE60-4950-8D22-893A02AA824D}"/>
            </c:ext>
          </c:extLst>
        </c:ser>
        <c:dLbls>
          <c:showLegendKey val="0"/>
          <c:showVal val="0"/>
          <c:showCatName val="0"/>
          <c:showSerName val="0"/>
          <c:showPercent val="0"/>
          <c:showBubbleSize val="0"/>
        </c:dLbls>
        <c:gapWidth val="150"/>
        <c:axId val="334943744"/>
        <c:axId val="334945280"/>
      </c:barChart>
      <c:catAx>
        <c:axId val="3349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945280"/>
        <c:crosses val="autoZero"/>
        <c:auto val="1"/>
        <c:lblAlgn val="ctr"/>
        <c:lblOffset val="100"/>
        <c:noMultiLvlLbl val="0"/>
      </c:catAx>
      <c:valAx>
        <c:axId val="3349452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943744"/>
        <c:crosses val="autoZero"/>
        <c:crossBetween val="between"/>
      </c:valAx>
      <c:spPr>
        <a:no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Dashboard!$E$34</c:f>
              <c:strCache>
                <c:ptCount val="1"/>
                <c:pt idx="0">
                  <c:v>Year 0</c:v>
                </c:pt>
              </c:strCache>
            </c:strRef>
          </c:tx>
          <c:spPr>
            <a:solidFill>
              <a:schemeClr val="accent2">
                <a:shade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Dashboard!$E$46:$E$50</c15:sqref>
                  </c15:fullRef>
                </c:ext>
              </c:extLst>
              <c:f>(Dashboard!$E$47,Dashboard!$E$49:$E$50)</c:f>
              <c:numCache>
                <c:formatCode>#,##0.00;[Red]\(#,##0.00\)</c:formatCode>
                <c:ptCount val="3"/>
                <c:pt idx="0">
                  <c:v>0</c:v>
                </c:pt>
                <c:pt idx="1" formatCode="0.00">
                  <c:v>2.425356691060335</c:v>
                </c:pt>
                <c:pt idx="2">
                  <c:v>2.0000000000000004</c:v>
                </c:pt>
              </c:numCache>
            </c:numRef>
          </c:val>
          <c:extLst>
            <c:ext xmlns:c16="http://schemas.microsoft.com/office/drawing/2014/chart" uri="{C3380CC4-5D6E-409C-BE32-E72D297353CC}">
              <c16:uniqueId val="{00000000-1A68-491A-8311-1772D5AFC3A3}"/>
            </c:ext>
          </c:extLst>
        </c:ser>
        <c:ser>
          <c:idx val="1"/>
          <c:order val="1"/>
          <c:tx>
            <c:strRef>
              <c:f>Dashboard!$F$34</c:f>
              <c:strCache>
                <c:ptCount val="1"/>
                <c:pt idx="0">
                  <c:v>Year 1</c:v>
                </c:pt>
              </c:strCache>
            </c:strRef>
          </c:tx>
          <c:spPr>
            <a:solidFill>
              <a:schemeClr val="accent2">
                <a:shade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Dashboard!$F$46:$F$50</c15:sqref>
                  </c15:fullRef>
                </c:ext>
              </c:extLst>
              <c:f>(Dashboard!$F$47,Dashboard!$F$49:$F$50)</c:f>
              <c:numCache>
                <c:formatCode>#,##0.00;[Red]\(#,##0.00\)</c:formatCode>
                <c:ptCount val="3"/>
                <c:pt idx="0">
                  <c:v>-8.6971795728158982E-2</c:v>
                </c:pt>
                <c:pt idx="1" formatCode="0.00">
                  <c:v>3.9050309868064317</c:v>
                </c:pt>
                <c:pt idx="2">
                  <c:v>2.3167062886675391</c:v>
                </c:pt>
              </c:numCache>
            </c:numRef>
          </c:val>
          <c:extLst>
            <c:ext xmlns:c16="http://schemas.microsoft.com/office/drawing/2014/chart" uri="{C3380CC4-5D6E-409C-BE32-E72D297353CC}">
              <c16:uniqueId val="{00000001-1A68-491A-8311-1772D5AFC3A3}"/>
            </c:ext>
          </c:extLst>
        </c:ser>
        <c:ser>
          <c:idx val="2"/>
          <c:order val="2"/>
          <c:tx>
            <c:strRef>
              <c:f>Dashboard!$G$34</c:f>
              <c:strCache>
                <c:ptCount val="1"/>
                <c:pt idx="0">
                  <c:v>Year 2</c:v>
                </c:pt>
              </c:strCache>
            </c:strRef>
          </c:tx>
          <c:spPr>
            <a:solidFill>
              <a:schemeClr val="accent2">
                <a:shade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Dashboard!$G$46:$G$50</c15:sqref>
                  </c15:fullRef>
                </c:ext>
              </c:extLst>
              <c:f>(Dashboard!$G$47,Dashboard!$G$49:$G$50)</c:f>
              <c:numCache>
                <c:formatCode>#,##0.00;[Red]\(#,##0.00\)</c:formatCode>
                <c:ptCount val="3"/>
                <c:pt idx="0">
                  <c:v>0.38543358256192328</c:v>
                </c:pt>
                <c:pt idx="1" formatCode="0.00">
                  <c:v>4.9281006815800765</c:v>
                </c:pt>
                <c:pt idx="2">
                  <c:v>2.2677097242573074</c:v>
                </c:pt>
              </c:numCache>
            </c:numRef>
          </c:val>
          <c:extLst>
            <c:ext xmlns:c16="http://schemas.microsoft.com/office/drawing/2014/chart" uri="{C3380CC4-5D6E-409C-BE32-E72D297353CC}">
              <c16:uniqueId val="{00000002-1A68-491A-8311-1772D5AFC3A3}"/>
            </c:ext>
          </c:extLst>
        </c:ser>
        <c:ser>
          <c:idx val="3"/>
          <c:order val="3"/>
          <c:tx>
            <c:strRef>
              <c:f>Dashboard!$H$34</c:f>
              <c:strCache>
                <c:ptCount val="1"/>
                <c:pt idx="0">
                  <c:v>Year 3</c:v>
                </c:pt>
              </c:strCache>
            </c:strRef>
          </c:tx>
          <c:spPr>
            <a:solidFill>
              <a:schemeClr val="accent2">
                <a:shade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Dashboard!$H$46:$H$50</c15:sqref>
                  </c15:fullRef>
                </c:ext>
              </c:extLst>
              <c:f>(Dashboard!$H$47,Dashboard!$H$49:$H$50)</c:f>
              <c:numCache>
                <c:formatCode>#,##0.00;[Red]\(#,##0.00\)</c:formatCode>
                <c:ptCount val="3"/>
                <c:pt idx="0">
                  <c:v>0.68717569661501643</c:v>
                </c:pt>
                <c:pt idx="1" formatCode="0.00">
                  <c:v>4.5184299351311461</c:v>
                </c:pt>
                <c:pt idx="2">
                  <c:v>2.1389087173639183</c:v>
                </c:pt>
              </c:numCache>
            </c:numRef>
          </c:val>
          <c:extLst>
            <c:ext xmlns:c16="http://schemas.microsoft.com/office/drawing/2014/chart" uri="{C3380CC4-5D6E-409C-BE32-E72D297353CC}">
              <c16:uniqueId val="{00000003-1A68-491A-8311-1772D5AFC3A3}"/>
            </c:ext>
          </c:extLst>
        </c:ser>
        <c:ser>
          <c:idx val="4"/>
          <c:order val="4"/>
          <c:tx>
            <c:strRef>
              <c:f>Dashboard!$I$34</c:f>
              <c:strCache>
                <c:ptCount val="1"/>
                <c:pt idx="0">
                  <c:v>Year 4</c:v>
                </c:pt>
              </c:strCache>
            </c:strRef>
          </c:tx>
          <c:spPr>
            <a:solidFill>
              <a:schemeClr val="accent2"/>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Dashboard!$I$46:$I$50</c15:sqref>
                  </c15:fullRef>
                </c:ext>
              </c:extLst>
              <c:f>(Dashboard!$I$47,Dashboard!$I$49:$I$50)</c:f>
              <c:numCache>
                <c:formatCode>#,##0.00;[Red]\(#,##0.00\)</c:formatCode>
                <c:ptCount val="3"/>
                <c:pt idx="0">
                  <c:v>1.164658355895543</c:v>
                </c:pt>
                <c:pt idx="1" formatCode="0.00">
                  <c:v>2.8114999935705791</c:v>
                </c:pt>
                <c:pt idx="2">
                  <c:v>1.8760979424931006</c:v>
                </c:pt>
              </c:numCache>
            </c:numRef>
          </c:val>
          <c:extLst>
            <c:ext xmlns:c16="http://schemas.microsoft.com/office/drawing/2014/chart" uri="{C3380CC4-5D6E-409C-BE32-E72D297353CC}">
              <c16:uniqueId val="{00000004-1A68-491A-8311-1772D5AFC3A3}"/>
            </c:ext>
          </c:extLst>
        </c:ser>
        <c:ser>
          <c:idx val="5"/>
          <c:order val="5"/>
          <c:tx>
            <c:strRef>
              <c:f>Dashboard!$J$34</c:f>
              <c:strCache>
                <c:ptCount val="1"/>
                <c:pt idx="0">
                  <c:v>Year 5</c:v>
                </c:pt>
              </c:strCache>
            </c:strRef>
          </c:tx>
          <c:spPr>
            <a:solidFill>
              <a:schemeClr val="accent2">
                <a:tint val="86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Dashboard!$J$46:$J$50</c15:sqref>
                  </c15:fullRef>
                </c:ext>
              </c:extLst>
              <c:f>(Dashboard!$J$47,Dashboard!$J$49:$J$50)</c:f>
              <c:numCache>
                <c:formatCode>#,##0.00;[Red]\(#,##0.00\)</c:formatCode>
                <c:ptCount val="3"/>
                <c:pt idx="0">
                  <c:v>3.0782252630878273</c:v>
                </c:pt>
                <c:pt idx="1" formatCode="0.00">
                  <c:v>1.5937737917303765</c:v>
                </c:pt>
                <c:pt idx="2">
                  <c:v>1.7659904811225908</c:v>
                </c:pt>
              </c:numCache>
            </c:numRef>
          </c:val>
          <c:extLst>
            <c:ext xmlns:c16="http://schemas.microsoft.com/office/drawing/2014/chart" uri="{C3380CC4-5D6E-409C-BE32-E72D297353CC}">
              <c16:uniqueId val="{00000005-1A68-491A-8311-1772D5AFC3A3}"/>
            </c:ext>
          </c:extLst>
        </c:ser>
        <c:ser>
          <c:idx val="6"/>
          <c:order val="6"/>
          <c:tx>
            <c:strRef>
              <c:f>Dashboard!$K$34</c:f>
              <c:strCache>
                <c:ptCount val="1"/>
                <c:pt idx="0">
                  <c:v>Year 6</c:v>
                </c:pt>
              </c:strCache>
            </c:strRef>
          </c:tx>
          <c:spPr>
            <a:solidFill>
              <a:schemeClr val="accent2">
                <a:tint val="72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Dashboard!$K$46:$K$50</c15:sqref>
                  </c15:fullRef>
                </c:ext>
              </c:extLst>
              <c:f>(Dashboard!$K$47,Dashboard!$K$49:$K$50)</c:f>
              <c:numCache>
                <c:formatCode>#,##0.00;[Red]\(#,##0.00\)</c:formatCode>
                <c:ptCount val="3"/>
                <c:pt idx="0">
                  <c:v>2.998980667927182</c:v>
                </c:pt>
                <c:pt idx="1" formatCode="0.00">
                  <c:v>1.0716025408402328</c:v>
                </c:pt>
                <c:pt idx="2">
                  <c:v>1.6484669982544162</c:v>
                </c:pt>
              </c:numCache>
            </c:numRef>
          </c:val>
          <c:extLst>
            <c:ext xmlns:c16="http://schemas.microsoft.com/office/drawing/2014/chart" uri="{C3380CC4-5D6E-409C-BE32-E72D297353CC}">
              <c16:uniqueId val="{00000006-1A68-491A-8311-1772D5AFC3A3}"/>
            </c:ext>
          </c:extLst>
        </c:ser>
        <c:ser>
          <c:idx val="7"/>
          <c:order val="7"/>
          <c:tx>
            <c:strRef>
              <c:f>Dashboard!$L$34</c:f>
              <c:strCache>
                <c:ptCount val="1"/>
                <c:pt idx="0">
                  <c:v>Year 7</c:v>
                </c:pt>
              </c:strCache>
            </c:strRef>
          </c:tx>
          <c:spPr>
            <a:solidFill>
              <a:schemeClr val="accent2">
                <a:tint val="58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Dashboard!$L$46:$L$50</c15:sqref>
                  </c15:fullRef>
                </c:ext>
              </c:extLst>
              <c:f>(Dashboard!$L$47,Dashboard!$L$49:$L$50)</c:f>
              <c:numCache>
                <c:formatCode>#,##0.00;[Red]\(#,##0.00\)</c:formatCode>
                <c:ptCount val="3"/>
                <c:pt idx="0">
                  <c:v>3.7922605128149787</c:v>
                </c:pt>
                <c:pt idx="1" formatCode="0.00">
                  <c:v>0.70645070590569148</c:v>
                </c:pt>
                <c:pt idx="2">
                  <c:v>1.5208486592208907</c:v>
                </c:pt>
              </c:numCache>
            </c:numRef>
          </c:val>
          <c:extLst>
            <c:ext xmlns:c16="http://schemas.microsoft.com/office/drawing/2014/chart" uri="{C3380CC4-5D6E-409C-BE32-E72D297353CC}">
              <c16:uniqueId val="{00000007-1A68-491A-8311-1772D5AFC3A3}"/>
            </c:ext>
          </c:extLst>
        </c:ser>
        <c:ser>
          <c:idx val="8"/>
          <c:order val="8"/>
          <c:tx>
            <c:strRef>
              <c:f>Dashboard!$M$34</c:f>
              <c:strCache>
                <c:ptCount val="1"/>
                <c:pt idx="0">
                  <c:v>Year 8</c:v>
                </c:pt>
              </c:strCache>
            </c:strRef>
          </c:tx>
          <c:spPr>
            <a:solidFill>
              <a:schemeClr val="accent2">
                <a:tint val="44000"/>
              </a:schemeClr>
            </a:solidFill>
            <a:ln>
              <a:noFill/>
            </a:ln>
            <a:effectLst/>
          </c:spPr>
          <c:invertIfNegative val="0"/>
          <c:cat>
            <c:strRef>
              <c:extLst>
                <c:ext xmlns:c15="http://schemas.microsoft.com/office/drawing/2012/chart" uri="{02D57815-91ED-43cb-92C2-25804820EDAC}">
                  <c15:fullRef>
                    <c15:sqref>Dashboard!$B$46:$B$50</c15:sqref>
                  </c15:fullRef>
                </c:ext>
              </c:extLst>
              <c:f>(Dashboard!$B$47,Dashboard!$B$49:$B$50)</c:f>
              <c:strCache>
                <c:ptCount val="3"/>
                <c:pt idx="0">
                  <c:v>Cash Flow / Debt Service Ratio</c:v>
                </c:pt>
                <c:pt idx="1">
                  <c:v>Debt to Equity Ratio</c:v>
                </c:pt>
                <c:pt idx="2">
                  <c:v>Debt to Tangible Net Worth Ratio</c:v>
                </c:pt>
              </c:strCache>
            </c:strRef>
          </c:cat>
          <c:val>
            <c:numRef>
              <c:extLst>
                <c:ext xmlns:c15="http://schemas.microsoft.com/office/drawing/2012/chart" uri="{02D57815-91ED-43cb-92C2-25804820EDAC}">
                  <c15:fullRef>
                    <c15:sqref>Dashboard!$M$46:$M$50</c15:sqref>
                  </c15:fullRef>
                </c:ext>
              </c:extLst>
              <c:f>(Dashboard!$M$47,Dashboard!$M$49:$M$50)</c:f>
              <c:numCache>
                <c:formatCode>#,##0.00;[Red]\(#,##0.00\)</c:formatCode>
                <c:ptCount val="3"/>
                <c:pt idx="0">
                  <c:v>4.1163691639498126</c:v>
                </c:pt>
                <c:pt idx="1" formatCode="0.00">
                  <c:v>0.48628508971409645</c:v>
                </c:pt>
                <c:pt idx="2">
                  <c:v>1.3846981450530871</c:v>
                </c:pt>
              </c:numCache>
            </c:numRef>
          </c:val>
          <c:extLst>
            <c:ext xmlns:c16="http://schemas.microsoft.com/office/drawing/2014/chart" uri="{C3380CC4-5D6E-409C-BE32-E72D297353CC}">
              <c16:uniqueId val="{00000008-1A68-491A-8311-1772D5AFC3A3}"/>
            </c:ext>
          </c:extLst>
        </c:ser>
        <c:dLbls>
          <c:showLegendKey val="0"/>
          <c:showVal val="0"/>
          <c:showCatName val="0"/>
          <c:showSerName val="0"/>
          <c:showPercent val="0"/>
          <c:showBubbleSize val="0"/>
        </c:dLbls>
        <c:gapWidth val="150"/>
        <c:axId val="334708736"/>
        <c:axId val="334710272"/>
      </c:barChart>
      <c:catAx>
        <c:axId val="3347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710272"/>
        <c:crosses val="autoZero"/>
        <c:auto val="1"/>
        <c:lblAlgn val="ctr"/>
        <c:lblOffset val="100"/>
        <c:noMultiLvlLbl val="0"/>
      </c:catAx>
      <c:valAx>
        <c:axId val="334710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4708736"/>
        <c:crosses val="autoZero"/>
        <c:crossBetween val="between"/>
      </c:valAx>
      <c:spPr>
        <a:no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'Dairy Product Composition'!$C$38</c:f>
              <c:strCache>
                <c:ptCount val="1"/>
                <c:pt idx="0">
                  <c:v>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D8-4829-8D4B-8638F62559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D8-4829-8D4B-8638F62559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D8-4829-8D4B-8638F62559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D8-4829-8D4B-8638F62559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D8-4829-8D4B-8638F62559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D8-4829-8D4B-8638F625597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BD8-4829-8D4B-8638F625597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BD8-4829-8D4B-8638F625597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BD8-4829-8D4B-8638F625597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A66-4A8A-A578-DB87CF1D9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'Dairy Product Composition'!$B$39:$B$44</c:f>
              <c:strCache>
                <c:ptCount val="6"/>
                <c:pt idx="0">
                  <c:v>Pasteurized Milk</c:v>
                </c:pt>
                <c:pt idx="1">
                  <c:v>UHT Milk</c:v>
                </c:pt>
                <c:pt idx="2">
                  <c:v>Flavoured UHT Milk</c:v>
                </c:pt>
                <c:pt idx="3">
                  <c:v>Plain yoghurt</c:v>
                </c:pt>
                <c:pt idx="4">
                  <c:v>Flavoured yoghurt</c:v>
                </c:pt>
                <c:pt idx="5">
                  <c:v>Ice Cream</c:v>
                </c:pt>
              </c:strCache>
            </c:strRef>
          </c:cat>
          <c:val>
            <c:numRef>
              <c:f>'Dairy Product Composition'!$E$39:$E$44</c:f>
              <c:numCache>
                <c:formatCode>#,##0</c:formatCode>
                <c:ptCount val="6"/>
                <c:pt idx="0">
                  <c:v>783.22948661145051</c:v>
                </c:pt>
                <c:pt idx="1">
                  <c:v>1566.458973222901</c:v>
                </c:pt>
                <c:pt idx="2">
                  <c:v>0</c:v>
                </c:pt>
                <c:pt idx="3">
                  <c:v>2741.3032031400762</c:v>
                </c:pt>
                <c:pt idx="4">
                  <c:v>2349.6884598343513</c:v>
                </c:pt>
                <c:pt idx="5">
                  <c:v>391.61474330572526</c:v>
                </c:pt>
              </c:numCache>
            </c:numRef>
          </c:val>
          <c:extLst>
            <c:ext xmlns:c16="http://schemas.microsoft.com/office/drawing/2014/chart" uri="{C3380CC4-5D6E-409C-BE32-E72D297353CC}">
              <c16:uniqueId val="{00000000-7F8B-4FD1-9838-C01BFEB100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'Dairy Product Composition'!$C$38</c:f>
              <c:strCache>
                <c:ptCount val="1"/>
                <c:pt idx="0">
                  <c:v>Product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09-4401-81E9-F1B3D9B913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09-4401-81E9-F1B3D9B913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09-4401-81E9-F1B3D9B913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09-4401-81E9-F1B3D9B913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09-4401-81E9-F1B3D9B913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09-4401-81E9-F1B3D9B913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09-4401-81E9-F1B3D9B913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009-4401-81E9-F1B3D9B913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009-4401-81E9-F1B3D9B913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1FE-41D0-9C87-01A2077159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'Dairy Product Composition'!$B$49:$B$54</c:f>
              <c:strCache>
                <c:ptCount val="6"/>
                <c:pt idx="0">
                  <c:v>Pasteurized Milk</c:v>
                </c:pt>
                <c:pt idx="1">
                  <c:v>UHT Milk</c:v>
                </c:pt>
                <c:pt idx="2">
                  <c:v>Flavoured UHT Milk</c:v>
                </c:pt>
                <c:pt idx="3">
                  <c:v>Plain yoghurt</c:v>
                </c:pt>
                <c:pt idx="4">
                  <c:v>Flavoured yoghurt</c:v>
                </c:pt>
                <c:pt idx="5">
                  <c:v>Ice Cream</c:v>
                </c:pt>
              </c:strCache>
            </c:strRef>
          </c:cat>
          <c:val>
            <c:numRef>
              <c:f>'Dairy Product Composition'!$E$49:$E$54</c:f>
              <c:numCache>
                <c:formatCode>#,##0</c:formatCode>
                <c:ptCount val="6"/>
                <c:pt idx="0">
                  <c:v>783.22948661145051</c:v>
                </c:pt>
                <c:pt idx="1">
                  <c:v>1361.1000224650209</c:v>
                </c:pt>
                <c:pt idx="2">
                  <c:v>0</c:v>
                </c:pt>
                <c:pt idx="3">
                  <c:v>8566.5725098127368</c:v>
                </c:pt>
                <c:pt idx="4">
                  <c:v>9402.3356815017851</c:v>
                </c:pt>
                <c:pt idx="5">
                  <c:v>1052.1661357871046</c:v>
                </c:pt>
              </c:numCache>
            </c:numRef>
          </c:val>
          <c:extLst>
            <c:ext xmlns:c16="http://schemas.microsoft.com/office/drawing/2014/chart" uri="{C3380CC4-5D6E-409C-BE32-E72D297353CC}">
              <c16:uniqueId val="{00000012-E009-4401-81E9-F1B3D9B9137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'Dairy Herd Movement'!$B$4</c:f>
              <c:strCache>
                <c:ptCount val="1"/>
                <c:pt idx="0">
                  <c:v>Purchased Pregnant cows</c:v>
                </c:pt>
              </c:strCache>
            </c:strRef>
          </c:tx>
          <c:spPr>
            <a:ln w="28575" cap="rnd">
              <a:solidFill>
                <a:schemeClr val="accent1"/>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Movement'!$C$4:$AY$4</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3-2C74-44BF-9BE5-8F02EFEB339F}"/>
            </c:ext>
          </c:extLst>
        </c:ser>
        <c:ser>
          <c:idx val="1"/>
          <c:order val="1"/>
          <c:tx>
            <c:strRef>
              <c:f>'Dairy Herd Movement'!$B$8</c:f>
              <c:strCache>
                <c:ptCount val="1"/>
                <c:pt idx="0">
                  <c:v>calving cows</c:v>
                </c:pt>
              </c:strCache>
            </c:strRef>
          </c:tx>
          <c:spPr>
            <a:ln w="28575" cap="rnd">
              <a:solidFill>
                <a:schemeClr val="accent2"/>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Movement'!$C$8:$AY$8</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4-2C74-44BF-9BE5-8F02EFEB339F}"/>
            </c:ext>
          </c:extLst>
        </c:ser>
        <c:ser>
          <c:idx val="2"/>
          <c:order val="2"/>
          <c:tx>
            <c:strRef>
              <c:f>'Dairy Herd Movement'!$B$9</c:f>
              <c:strCache>
                <c:ptCount val="1"/>
                <c:pt idx="0">
                  <c:v>milking cows</c:v>
                </c:pt>
              </c:strCache>
            </c:strRef>
          </c:tx>
          <c:spPr>
            <a:ln w="28575" cap="rnd">
              <a:solidFill>
                <a:schemeClr val="accent3"/>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Movement'!$C$9:$AY$9</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5-2C74-44BF-9BE5-8F02EFEB339F}"/>
            </c:ext>
          </c:extLst>
        </c:ser>
        <c:ser>
          <c:idx val="3"/>
          <c:order val="3"/>
          <c:tx>
            <c:strRef>
              <c:f>'Dairy Herd Movement'!$B$12</c:f>
              <c:strCache>
                <c:ptCount val="1"/>
                <c:pt idx="0">
                  <c:v>dry cow</c:v>
                </c:pt>
              </c:strCache>
            </c:strRef>
          </c:tx>
          <c:spPr>
            <a:ln w="28575" cap="rnd">
              <a:solidFill>
                <a:schemeClr val="accent4"/>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Movement'!$C$12:$AY$12</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6-2C74-44BF-9BE5-8F02EFEB339F}"/>
            </c:ext>
          </c:extLst>
        </c:ser>
        <c:ser>
          <c:idx val="4"/>
          <c:order val="4"/>
          <c:tx>
            <c:strRef>
              <c:f>'Dairy Herd Movement'!$B$13</c:f>
              <c:strCache>
                <c:ptCount val="1"/>
                <c:pt idx="0">
                  <c:v>Young Heifers</c:v>
                </c:pt>
              </c:strCache>
            </c:strRef>
          </c:tx>
          <c:spPr>
            <a:ln w="28575" cap="rnd">
              <a:solidFill>
                <a:schemeClr val="accent5"/>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Movement'!$C$13:$AY$13</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7-2C74-44BF-9BE5-8F02EFEB339F}"/>
            </c:ext>
          </c:extLst>
        </c:ser>
        <c:ser>
          <c:idx val="5"/>
          <c:order val="5"/>
          <c:tx>
            <c:strRef>
              <c:f>'Dairy Herd Movement'!$B$14</c:f>
              <c:strCache>
                <c:ptCount val="1"/>
                <c:pt idx="0">
                  <c:v>Sold Young Bulls</c:v>
                </c:pt>
              </c:strCache>
            </c:strRef>
          </c:tx>
          <c:spPr>
            <a:ln w="28575" cap="rnd">
              <a:solidFill>
                <a:schemeClr val="accent6"/>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Movement'!$C$14:$AY$14</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8-2C74-44BF-9BE5-8F02EFEB339F}"/>
            </c:ext>
          </c:extLst>
        </c:ser>
        <c:ser>
          <c:idx val="6"/>
          <c:order val="6"/>
          <c:tx>
            <c:strRef>
              <c:f>'Dairy Herd Movement'!$B$6</c:f>
              <c:strCache>
                <c:ptCount val="1"/>
                <c:pt idx="0">
                  <c:v>Sold Heifes</c:v>
                </c:pt>
              </c:strCache>
            </c:strRef>
          </c:tx>
          <c:spPr>
            <a:ln w="28575" cap="rnd">
              <a:solidFill>
                <a:schemeClr val="accent1">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Movement'!$C$6:$AY$6</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9-2C74-44BF-9BE5-8F02EFEB339F}"/>
            </c:ext>
          </c:extLst>
        </c:ser>
        <c:ser>
          <c:idx val="7"/>
          <c:order val="7"/>
          <c:tx>
            <c:strRef>
              <c:f>'Dairy Herd Movement'!$B$10</c:f>
              <c:strCache>
                <c:ptCount val="1"/>
                <c:pt idx="0">
                  <c:v>Replacement</c:v>
                </c:pt>
              </c:strCache>
            </c:strRef>
          </c:tx>
          <c:spPr>
            <a:ln w="28575" cap="rnd">
              <a:solidFill>
                <a:schemeClr val="accent2">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Movement'!$C$10:$AY$10</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1A-2C74-44BF-9BE5-8F02EFEB339F}"/>
            </c:ext>
          </c:extLst>
        </c:ser>
        <c:dLbls>
          <c:showLegendKey val="0"/>
          <c:showVal val="0"/>
          <c:showCatName val="0"/>
          <c:showSerName val="0"/>
          <c:showPercent val="0"/>
          <c:showBubbleSize val="0"/>
        </c:dLbls>
        <c:smooth val="0"/>
        <c:axId val="412662744"/>
        <c:axId val="412660120"/>
      </c:lineChart>
      <c:catAx>
        <c:axId val="412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660120"/>
        <c:crosses val="autoZero"/>
        <c:auto val="1"/>
        <c:lblAlgn val="ctr"/>
        <c:lblOffset val="100"/>
        <c:noMultiLvlLbl val="0"/>
      </c:catAx>
      <c:valAx>
        <c:axId val="412660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66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'Dairy Herd Movement'!$B$5</c:f>
              <c:strCache>
                <c:ptCount val="1"/>
                <c:pt idx="0">
                  <c:v>Purchased Pregnant cows (Cumulative)</c:v>
                </c:pt>
              </c:strCache>
            </c:strRef>
          </c:tx>
          <c:spPr>
            <a:ln w="28575" cap="rnd">
              <a:solidFill>
                <a:schemeClr val="accent1"/>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Movement'!$C$5:$AY$5</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A329-49C6-AFDE-3134D27FE9BC}"/>
            </c:ext>
          </c:extLst>
        </c:ser>
        <c:ser>
          <c:idx val="2"/>
          <c:order val="1"/>
          <c:tx>
            <c:strRef>
              <c:f>'Dairy Herd Movement'!$B$9</c:f>
              <c:strCache>
                <c:ptCount val="1"/>
                <c:pt idx="0">
                  <c:v>milking cows</c:v>
                </c:pt>
              </c:strCache>
            </c:strRef>
          </c:tx>
          <c:spPr>
            <a:ln w="28575" cap="rnd">
              <a:solidFill>
                <a:schemeClr val="accent3"/>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Movement'!$C$9:$AY$9</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2-A329-49C6-AFDE-3134D27FE9BC}"/>
            </c:ext>
          </c:extLst>
        </c:ser>
        <c:ser>
          <c:idx val="3"/>
          <c:order val="2"/>
          <c:tx>
            <c:strRef>
              <c:f>'Dairy Herd Movement'!$B$12</c:f>
              <c:strCache>
                <c:ptCount val="1"/>
                <c:pt idx="0">
                  <c:v>dry cow</c:v>
                </c:pt>
              </c:strCache>
            </c:strRef>
          </c:tx>
          <c:spPr>
            <a:ln w="28575" cap="rnd">
              <a:solidFill>
                <a:schemeClr val="accent4"/>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Movement'!$C$12:$AY$12</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3-A329-49C6-AFDE-3134D27FE9BC}"/>
            </c:ext>
          </c:extLst>
        </c:ser>
        <c:ser>
          <c:idx val="4"/>
          <c:order val="3"/>
          <c:tx>
            <c:strRef>
              <c:f>'Dairy Herd Movement'!$B$13</c:f>
              <c:strCache>
                <c:ptCount val="1"/>
                <c:pt idx="0">
                  <c:v>Young Heifers</c:v>
                </c:pt>
              </c:strCache>
            </c:strRef>
          </c:tx>
          <c:spPr>
            <a:ln w="28575" cap="rnd">
              <a:solidFill>
                <a:schemeClr val="accent5"/>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Movement'!$C$13:$AY$13</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4-A329-49C6-AFDE-3134D27FE9BC}"/>
            </c:ext>
          </c:extLst>
        </c:ser>
        <c:ser>
          <c:idx val="5"/>
          <c:order val="4"/>
          <c:tx>
            <c:strRef>
              <c:f>'Dairy Herd Movement'!$B$15</c:f>
              <c:strCache>
                <c:ptCount val="1"/>
                <c:pt idx="0">
                  <c:v>Sold Young Bulls (Cumulative)</c:v>
                </c:pt>
              </c:strCache>
            </c:strRef>
          </c:tx>
          <c:spPr>
            <a:ln w="28575" cap="rnd">
              <a:solidFill>
                <a:schemeClr val="accent6"/>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Movement'!$C$15:$AY$15</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5-A329-49C6-AFDE-3134D27FE9BC}"/>
            </c:ext>
          </c:extLst>
        </c:ser>
        <c:ser>
          <c:idx val="6"/>
          <c:order val="5"/>
          <c:tx>
            <c:strRef>
              <c:f>'Dairy Herd Movement'!$B$7</c:f>
              <c:strCache>
                <c:ptCount val="1"/>
                <c:pt idx="0">
                  <c:v>Sold Heifes (Cumulative)</c:v>
                </c:pt>
              </c:strCache>
            </c:strRef>
          </c:tx>
          <c:spPr>
            <a:ln w="28575" cap="rnd">
              <a:solidFill>
                <a:schemeClr val="accent1">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Movement'!$C$7:$AY$7</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6-A329-49C6-AFDE-3134D27FE9BC}"/>
            </c:ext>
          </c:extLst>
        </c:ser>
        <c:ser>
          <c:idx val="7"/>
          <c:order val="6"/>
          <c:tx>
            <c:strRef>
              <c:f>'Dairy Herd Movement'!$B$11</c:f>
              <c:strCache>
                <c:ptCount val="1"/>
                <c:pt idx="0">
                  <c:v>Replacement (Cumulative)</c:v>
                </c:pt>
              </c:strCache>
            </c:strRef>
          </c:tx>
          <c:spPr>
            <a:ln w="28575" cap="rnd">
              <a:solidFill>
                <a:schemeClr val="accent2">
                  <a:lumMod val="60000"/>
                </a:schemeClr>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Movement'!$C$11:$AY$11</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7-A329-49C6-AFDE-3134D27FE9BC}"/>
            </c:ext>
          </c:extLst>
        </c:ser>
        <c:dLbls>
          <c:showLegendKey val="0"/>
          <c:showVal val="0"/>
          <c:showCatName val="0"/>
          <c:showSerName val="0"/>
          <c:showPercent val="0"/>
          <c:showBubbleSize val="0"/>
        </c:dLbls>
        <c:smooth val="0"/>
        <c:axId val="412662744"/>
        <c:axId val="412660120"/>
      </c:lineChart>
      <c:catAx>
        <c:axId val="412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660120"/>
        <c:crosses val="autoZero"/>
        <c:auto val="1"/>
        <c:lblAlgn val="ctr"/>
        <c:lblOffset val="100"/>
        <c:noMultiLvlLbl val="0"/>
      </c:catAx>
      <c:valAx>
        <c:axId val="412660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66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'Dairy Herd Movement'!$B$5</c:f>
              <c:strCache>
                <c:ptCount val="1"/>
                <c:pt idx="0">
                  <c:v>Purchased Pregnant cows (Cumulative)</c:v>
                </c:pt>
              </c:strCache>
            </c:strRef>
          </c:tx>
          <c:spPr>
            <a:ln w="28575" cap="rnd">
              <a:solidFill>
                <a:schemeClr val="accent1"/>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Movement'!$C$5:$AY$5</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13FD-41E9-9792-CEFF7C1E309B}"/>
            </c:ext>
          </c:extLst>
        </c:ser>
        <c:ser>
          <c:idx val="2"/>
          <c:order val="1"/>
          <c:tx>
            <c:strRef>
              <c:f>'Dairy Herd Movement'!$B$9</c:f>
              <c:strCache>
                <c:ptCount val="1"/>
                <c:pt idx="0">
                  <c:v>milking cows</c:v>
                </c:pt>
              </c:strCache>
            </c:strRef>
          </c:tx>
          <c:spPr>
            <a:ln w="28575" cap="rnd">
              <a:solidFill>
                <a:schemeClr val="accent3"/>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Movement'!$C$9:$AY$9</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2-13FD-41E9-9792-CEFF7C1E309B}"/>
            </c:ext>
          </c:extLst>
        </c:ser>
        <c:ser>
          <c:idx val="3"/>
          <c:order val="2"/>
          <c:tx>
            <c:strRef>
              <c:f>'Dairy Herd Movement'!$B$12</c:f>
              <c:strCache>
                <c:ptCount val="1"/>
                <c:pt idx="0">
                  <c:v>dry cow</c:v>
                </c:pt>
              </c:strCache>
            </c:strRef>
          </c:tx>
          <c:spPr>
            <a:ln w="28575" cap="rnd">
              <a:solidFill>
                <a:schemeClr val="accent4"/>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Movement'!$C$12:$AY$12</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3-13FD-41E9-9792-CEFF7C1E309B}"/>
            </c:ext>
          </c:extLst>
        </c:ser>
        <c:ser>
          <c:idx val="4"/>
          <c:order val="3"/>
          <c:tx>
            <c:strRef>
              <c:f>'Dairy Herd Movement'!$B$13</c:f>
              <c:strCache>
                <c:ptCount val="1"/>
                <c:pt idx="0">
                  <c:v>Young Heifers</c:v>
                </c:pt>
              </c:strCache>
            </c:strRef>
          </c:tx>
          <c:spPr>
            <a:ln w="28575" cap="rnd">
              <a:solidFill>
                <a:schemeClr val="accent5"/>
              </a:solidFill>
              <a:round/>
            </a:ln>
            <a:effectLst/>
          </c:spPr>
          <c:marker>
            <c:symbol val="none"/>
          </c:marker>
          <c:cat>
            <c:numRef>
              <c:f>'Dairy Herd Movement'!$C$3:$AY$3</c:f>
              <c:numCache>
                <c:formatCode>General</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'Dairy Herd Movement'!$C$13:$AY$13</c:f>
              <c:numCache>
                <c:formatCode>#,##0</c:formatCode>
                <c:ptCount val="49"/>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4-13FD-41E9-9792-CEFF7C1E309B}"/>
            </c:ext>
          </c:extLst>
        </c:ser>
        <c:dLbls>
          <c:showLegendKey val="0"/>
          <c:showVal val="0"/>
          <c:showCatName val="0"/>
          <c:showSerName val="0"/>
          <c:showPercent val="0"/>
          <c:showBubbleSize val="0"/>
        </c:dLbls>
        <c:smooth val="0"/>
        <c:axId val="412662744"/>
        <c:axId val="412660120"/>
      </c:lineChart>
      <c:catAx>
        <c:axId val="412662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660120"/>
        <c:crosses val="autoZero"/>
        <c:auto val="1"/>
        <c:lblAlgn val="ctr"/>
        <c:lblOffset val="100"/>
        <c:noMultiLvlLbl val="0"/>
      </c:catAx>
      <c:valAx>
        <c:axId val="412660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662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'Beef Herd Movement'!$A$25</c:f>
              <c:strCache>
                <c:ptCount val="1"/>
                <c:pt idx="0">
                  <c:v>Imported calves 3 month age</c:v>
                </c:pt>
              </c:strCache>
            </c:strRef>
          </c:tx>
          <c:spPr>
            <a:ln w="28575" cap="rnd">
              <a:solidFill>
                <a:schemeClr val="accent1"/>
              </a:solidFill>
              <a:round/>
            </a:ln>
            <a:effectLst/>
          </c:spPr>
          <c:marker>
            <c:symbol val="none"/>
          </c:marker>
          <c:val>
            <c:numRef>
              <c:f>'Beef Herd Movement'!$B$25:$AL$25</c:f>
              <c:numCache>
                <c:formatCode>0</c:formatCode>
                <c:ptCount val="37"/>
                <c:pt idx="1">
                  <c:v>629.69166666666661</c:v>
                </c:pt>
                <c:pt idx="2">
                  <c:v>629.69166666666661</c:v>
                </c:pt>
                <c:pt idx="3">
                  <c:v>629.69166666666661</c:v>
                </c:pt>
                <c:pt idx="4">
                  <c:v>629.69166666666661</c:v>
                </c:pt>
                <c:pt idx="5">
                  <c:v>629.69166666666661</c:v>
                </c:pt>
                <c:pt idx="6">
                  <c:v>629.69166666666661</c:v>
                </c:pt>
                <c:pt idx="7">
                  <c:v>629.69166666666661</c:v>
                </c:pt>
                <c:pt idx="8">
                  <c:v>629.69166666666661</c:v>
                </c:pt>
                <c:pt idx="9">
                  <c:v>629.69166666666661</c:v>
                </c:pt>
                <c:pt idx="10">
                  <c:v>629.69166666666661</c:v>
                </c:pt>
                <c:pt idx="11">
                  <c:v>629.69166666666661</c:v>
                </c:pt>
                <c:pt idx="12">
                  <c:v>629.69166666666661</c:v>
                </c:pt>
                <c:pt idx="13">
                  <c:v>8185.9916666666659</c:v>
                </c:pt>
                <c:pt idx="14">
                  <c:v>629.69166666666661</c:v>
                </c:pt>
                <c:pt idx="15">
                  <c:v>629.69166666666661</c:v>
                </c:pt>
                <c:pt idx="16">
                  <c:v>629.69166666666661</c:v>
                </c:pt>
                <c:pt idx="17">
                  <c:v>629.69166666666661</c:v>
                </c:pt>
                <c:pt idx="18">
                  <c:v>629.69166666666661</c:v>
                </c:pt>
                <c:pt idx="19">
                  <c:v>629.69166666666661</c:v>
                </c:pt>
                <c:pt idx="20">
                  <c:v>629.69166666666661</c:v>
                </c:pt>
                <c:pt idx="21">
                  <c:v>629.69166666666661</c:v>
                </c:pt>
                <c:pt idx="22">
                  <c:v>629.69166666666661</c:v>
                </c:pt>
                <c:pt idx="23">
                  <c:v>629.69166666666661</c:v>
                </c:pt>
                <c:pt idx="24">
                  <c:v>629.69166666666661</c:v>
                </c:pt>
                <c:pt idx="25">
                  <c:v>629.69166666666661</c:v>
                </c:pt>
                <c:pt idx="26">
                  <c:v>629.69166666666661</c:v>
                </c:pt>
                <c:pt idx="27">
                  <c:v>629.69166666666661</c:v>
                </c:pt>
                <c:pt idx="28">
                  <c:v>629.69166666666661</c:v>
                </c:pt>
                <c:pt idx="29">
                  <c:v>629.69166666666661</c:v>
                </c:pt>
                <c:pt idx="30">
                  <c:v>629.69166666666661</c:v>
                </c:pt>
                <c:pt idx="31">
                  <c:v>629.69166666666661</c:v>
                </c:pt>
                <c:pt idx="32">
                  <c:v>629.69166666666661</c:v>
                </c:pt>
                <c:pt idx="33">
                  <c:v>629.69166666666661</c:v>
                </c:pt>
                <c:pt idx="34">
                  <c:v>629.69166666666661</c:v>
                </c:pt>
                <c:pt idx="35">
                  <c:v>629.69166666666661</c:v>
                </c:pt>
                <c:pt idx="36">
                  <c:v>629.69166666666661</c:v>
                </c:pt>
              </c:numCache>
            </c:numRef>
          </c:val>
          <c:smooth val="0"/>
          <c:extLst>
            <c:ext xmlns:c16="http://schemas.microsoft.com/office/drawing/2014/chart" uri="{C3380CC4-5D6E-409C-BE32-E72D297353CC}">
              <c16:uniqueId val="{00000000-42F2-4577-BE0F-2718878A9AD9}"/>
            </c:ext>
          </c:extLst>
        </c:ser>
        <c:ser>
          <c:idx val="1"/>
          <c:order val="1"/>
          <c:tx>
            <c:strRef>
              <c:f>'Beef Herd Movement'!$A$26</c:f>
              <c:strCache>
                <c:ptCount val="1"/>
                <c:pt idx="0">
                  <c:v>Calves from dairy farm</c:v>
                </c:pt>
              </c:strCache>
            </c:strRef>
          </c:tx>
          <c:spPr>
            <a:ln w="28575" cap="rnd">
              <a:solidFill>
                <a:schemeClr val="accent2"/>
              </a:solidFill>
              <a:round/>
            </a:ln>
            <a:effectLst/>
          </c:spPr>
          <c:marker>
            <c:symbol val="none"/>
          </c:marker>
          <c:val>
            <c:numRef>
              <c:f>'Beef Herd Movement'!$B$26:$AL$26</c:f>
              <c:numCache>
                <c:formatCode>0</c:formatCode>
                <c:ptCount val="37"/>
                <c:pt idx="1">
                  <c:v>37.5</c:v>
                </c:pt>
                <c:pt idx="2">
                  <c:v>37.5</c:v>
                </c:pt>
                <c:pt idx="3">
                  <c:v>37.5</c:v>
                </c:pt>
                <c:pt idx="4">
                  <c:v>37.5</c:v>
                </c:pt>
                <c:pt idx="5">
                  <c:v>37.5</c:v>
                </c:pt>
                <c:pt idx="6">
                  <c:v>37.5</c:v>
                </c:pt>
                <c:pt idx="7">
                  <c:v>37.5</c:v>
                </c:pt>
                <c:pt idx="8">
                  <c:v>37.5</c:v>
                </c:pt>
                <c:pt idx="9">
                  <c:v>37.5</c:v>
                </c:pt>
                <c:pt idx="10">
                  <c:v>37.5</c:v>
                </c:pt>
                <c:pt idx="11">
                  <c:v>37.5</c:v>
                </c:pt>
                <c:pt idx="12">
                  <c:v>37.5</c:v>
                </c:pt>
                <c:pt idx="13">
                  <c:v>487.5</c:v>
                </c:pt>
                <c:pt idx="14">
                  <c:v>37.5</c:v>
                </c:pt>
                <c:pt idx="15">
                  <c:v>37.5</c:v>
                </c:pt>
                <c:pt idx="16">
                  <c:v>37.5</c:v>
                </c:pt>
                <c:pt idx="17">
                  <c:v>37.5</c:v>
                </c:pt>
                <c:pt idx="18">
                  <c:v>37.5</c:v>
                </c:pt>
                <c:pt idx="19">
                  <c:v>37.5</c:v>
                </c:pt>
                <c:pt idx="20">
                  <c:v>37.5</c:v>
                </c:pt>
                <c:pt idx="21">
                  <c:v>37.5</c:v>
                </c:pt>
                <c:pt idx="22">
                  <c:v>37.5</c:v>
                </c:pt>
                <c:pt idx="23">
                  <c:v>37.5</c:v>
                </c:pt>
                <c:pt idx="24">
                  <c:v>37.5</c:v>
                </c:pt>
                <c:pt idx="25">
                  <c:v>37.5</c:v>
                </c:pt>
                <c:pt idx="26">
                  <c:v>37.5</c:v>
                </c:pt>
                <c:pt idx="27">
                  <c:v>37.5</c:v>
                </c:pt>
                <c:pt idx="28">
                  <c:v>37.5</c:v>
                </c:pt>
                <c:pt idx="29">
                  <c:v>37.5</c:v>
                </c:pt>
                <c:pt idx="30">
                  <c:v>37.5</c:v>
                </c:pt>
                <c:pt idx="31">
                  <c:v>37.5</c:v>
                </c:pt>
                <c:pt idx="32">
                  <c:v>37.5</c:v>
                </c:pt>
                <c:pt idx="33">
                  <c:v>37.5</c:v>
                </c:pt>
                <c:pt idx="34">
                  <c:v>37.5</c:v>
                </c:pt>
                <c:pt idx="35">
                  <c:v>37.5</c:v>
                </c:pt>
                <c:pt idx="36">
                  <c:v>37.5</c:v>
                </c:pt>
              </c:numCache>
            </c:numRef>
          </c:val>
          <c:smooth val="0"/>
          <c:extLst>
            <c:ext xmlns:c16="http://schemas.microsoft.com/office/drawing/2014/chart" uri="{C3380CC4-5D6E-409C-BE32-E72D297353CC}">
              <c16:uniqueId val="{00000001-42F2-4577-BE0F-2718878A9AD9}"/>
            </c:ext>
          </c:extLst>
        </c:ser>
        <c:ser>
          <c:idx val="2"/>
          <c:order val="2"/>
          <c:tx>
            <c:strRef>
              <c:f>'Beef Herd Movement'!$A$27</c:f>
              <c:strCache>
                <c:ptCount val="1"/>
                <c:pt idx="0">
                  <c:v>Death of calves</c:v>
                </c:pt>
              </c:strCache>
            </c:strRef>
          </c:tx>
          <c:spPr>
            <a:ln w="28575" cap="rnd">
              <a:solidFill>
                <a:schemeClr val="accent3"/>
              </a:solidFill>
              <a:round/>
            </a:ln>
            <a:effectLst/>
          </c:spPr>
          <c:marker>
            <c:symbol val="none"/>
          </c:marker>
          <c:val>
            <c:numRef>
              <c:f>'Beef Herd Movement'!$B$27:$AL$27</c:f>
              <c:numCache>
                <c:formatCode>0</c:formatCode>
                <c:ptCount val="37"/>
                <c:pt idx="1">
                  <c:v>20.524999999999999</c:v>
                </c:pt>
                <c:pt idx="2">
                  <c:v>20.524999999999999</c:v>
                </c:pt>
                <c:pt idx="3">
                  <c:v>20.524999999999999</c:v>
                </c:pt>
                <c:pt idx="4">
                  <c:v>20.524999999999999</c:v>
                </c:pt>
                <c:pt idx="5">
                  <c:v>20.524999999999999</c:v>
                </c:pt>
                <c:pt idx="6">
                  <c:v>20.524999999999999</c:v>
                </c:pt>
                <c:pt idx="7">
                  <c:v>20.524999999999999</c:v>
                </c:pt>
                <c:pt idx="8">
                  <c:v>20.524999999999999</c:v>
                </c:pt>
                <c:pt idx="9">
                  <c:v>20.524999999999999</c:v>
                </c:pt>
                <c:pt idx="10">
                  <c:v>20.524999999999999</c:v>
                </c:pt>
                <c:pt idx="11">
                  <c:v>20.524999999999999</c:v>
                </c:pt>
                <c:pt idx="12">
                  <c:v>20.524999999999999</c:v>
                </c:pt>
                <c:pt idx="13">
                  <c:v>266.82500000000005</c:v>
                </c:pt>
                <c:pt idx="14">
                  <c:v>20.524999999999999</c:v>
                </c:pt>
                <c:pt idx="15">
                  <c:v>20.524999999999999</c:v>
                </c:pt>
                <c:pt idx="16">
                  <c:v>20.524999999999999</c:v>
                </c:pt>
                <c:pt idx="17">
                  <c:v>20.524999999999999</c:v>
                </c:pt>
                <c:pt idx="18">
                  <c:v>20.524999999999999</c:v>
                </c:pt>
                <c:pt idx="19">
                  <c:v>20.524999999999999</c:v>
                </c:pt>
                <c:pt idx="20">
                  <c:v>20.524999999999999</c:v>
                </c:pt>
                <c:pt idx="21">
                  <c:v>20.524999999999999</c:v>
                </c:pt>
                <c:pt idx="22">
                  <c:v>20.524999999999999</c:v>
                </c:pt>
                <c:pt idx="23">
                  <c:v>20.524999999999999</c:v>
                </c:pt>
                <c:pt idx="24">
                  <c:v>20.524999999999999</c:v>
                </c:pt>
                <c:pt idx="25">
                  <c:v>20.524999999999999</c:v>
                </c:pt>
                <c:pt idx="26">
                  <c:v>20.524999999999999</c:v>
                </c:pt>
                <c:pt idx="27">
                  <c:v>20.524999999999999</c:v>
                </c:pt>
                <c:pt idx="28">
                  <c:v>20.524999999999999</c:v>
                </c:pt>
                <c:pt idx="29">
                  <c:v>20.524999999999999</c:v>
                </c:pt>
                <c:pt idx="30">
                  <c:v>20.524999999999999</c:v>
                </c:pt>
                <c:pt idx="31">
                  <c:v>20.524999999999999</c:v>
                </c:pt>
                <c:pt idx="32">
                  <c:v>20.524999999999999</c:v>
                </c:pt>
                <c:pt idx="33">
                  <c:v>20.524999999999999</c:v>
                </c:pt>
                <c:pt idx="34">
                  <c:v>20.524999999999999</c:v>
                </c:pt>
                <c:pt idx="35">
                  <c:v>20.524999999999999</c:v>
                </c:pt>
                <c:pt idx="36">
                  <c:v>20.524999999999999</c:v>
                </c:pt>
              </c:numCache>
            </c:numRef>
          </c:val>
          <c:smooth val="0"/>
          <c:extLst>
            <c:ext xmlns:c16="http://schemas.microsoft.com/office/drawing/2014/chart" uri="{C3380CC4-5D6E-409C-BE32-E72D297353CC}">
              <c16:uniqueId val="{00000002-42F2-4577-BE0F-2718878A9AD9}"/>
            </c:ext>
          </c:extLst>
        </c:ser>
        <c:ser>
          <c:idx val="3"/>
          <c:order val="3"/>
          <c:tx>
            <c:strRef>
              <c:f>'Beef Herd Movement'!$A$28</c:f>
              <c:strCache>
                <c:ptCount val="1"/>
                <c:pt idx="0">
                  <c:v>Feeding calves</c:v>
                </c:pt>
              </c:strCache>
            </c:strRef>
          </c:tx>
          <c:spPr>
            <a:ln w="28575" cap="rnd">
              <a:solidFill>
                <a:schemeClr val="accent4"/>
              </a:solidFill>
              <a:round/>
            </a:ln>
            <a:effectLst/>
          </c:spPr>
          <c:marker>
            <c:symbol val="none"/>
          </c:marker>
          <c:val>
            <c:numRef>
              <c:f>'Beef Herd Movement'!$B$28:$AL$28</c:f>
              <c:numCache>
                <c:formatCode>0</c:formatCode>
                <c:ptCount val="37"/>
                <c:pt idx="1">
                  <c:v>646.66666666666663</c:v>
                </c:pt>
                <c:pt idx="2">
                  <c:v>646.66666666666663</c:v>
                </c:pt>
                <c:pt idx="3">
                  <c:v>646.66666666666663</c:v>
                </c:pt>
                <c:pt idx="4">
                  <c:v>646.66666666666663</c:v>
                </c:pt>
                <c:pt idx="5">
                  <c:v>646.66666666666663</c:v>
                </c:pt>
                <c:pt idx="6">
                  <c:v>646.66666666666663</c:v>
                </c:pt>
                <c:pt idx="7">
                  <c:v>646.66666666666663</c:v>
                </c:pt>
                <c:pt idx="8">
                  <c:v>646.66666666666663</c:v>
                </c:pt>
                <c:pt idx="9">
                  <c:v>646.66666666666663</c:v>
                </c:pt>
                <c:pt idx="10">
                  <c:v>646.66666666666663</c:v>
                </c:pt>
                <c:pt idx="11">
                  <c:v>646.66666666666663</c:v>
                </c:pt>
                <c:pt idx="12">
                  <c:v>646.66666666666663</c:v>
                </c:pt>
                <c:pt idx="13">
                  <c:v>8406.6666666666679</c:v>
                </c:pt>
                <c:pt idx="14">
                  <c:v>646.66666666666663</c:v>
                </c:pt>
                <c:pt idx="15">
                  <c:v>646.66666666666663</c:v>
                </c:pt>
                <c:pt idx="16">
                  <c:v>646.66666666666663</c:v>
                </c:pt>
                <c:pt idx="17">
                  <c:v>646.66666666666663</c:v>
                </c:pt>
                <c:pt idx="18">
                  <c:v>646.66666666666663</c:v>
                </c:pt>
                <c:pt idx="19">
                  <c:v>646.66666666666663</c:v>
                </c:pt>
                <c:pt idx="20">
                  <c:v>646.66666666666663</c:v>
                </c:pt>
                <c:pt idx="21">
                  <c:v>646.66666666666663</c:v>
                </c:pt>
                <c:pt idx="22">
                  <c:v>646.66666666666663</c:v>
                </c:pt>
                <c:pt idx="23">
                  <c:v>646.66666666666663</c:v>
                </c:pt>
                <c:pt idx="24">
                  <c:v>646.66666666666663</c:v>
                </c:pt>
                <c:pt idx="25">
                  <c:v>646.66666666666663</c:v>
                </c:pt>
                <c:pt idx="26">
                  <c:v>646.66666666666663</c:v>
                </c:pt>
                <c:pt idx="27">
                  <c:v>646.66666666666663</c:v>
                </c:pt>
                <c:pt idx="28">
                  <c:v>646.66666666666663</c:v>
                </c:pt>
                <c:pt idx="29">
                  <c:v>646.66666666666663</c:v>
                </c:pt>
                <c:pt idx="30">
                  <c:v>646.66666666666663</c:v>
                </c:pt>
                <c:pt idx="31">
                  <c:v>646.66666666666663</c:v>
                </c:pt>
                <c:pt idx="32">
                  <c:v>646.66666666666663</c:v>
                </c:pt>
                <c:pt idx="33">
                  <c:v>646.66666666666663</c:v>
                </c:pt>
                <c:pt idx="34">
                  <c:v>646.66666666666663</c:v>
                </c:pt>
                <c:pt idx="35">
                  <c:v>646.66666666666663</c:v>
                </c:pt>
                <c:pt idx="36">
                  <c:v>646.66666666666663</c:v>
                </c:pt>
              </c:numCache>
            </c:numRef>
          </c:val>
          <c:smooth val="0"/>
          <c:extLst>
            <c:ext xmlns:c16="http://schemas.microsoft.com/office/drawing/2014/chart" uri="{C3380CC4-5D6E-409C-BE32-E72D297353CC}">
              <c16:uniqueId val="{00000003-42F2-4577-BE0F-2718878A9AD9}"/>
            </c:ext>
          </c:extLst>
        </c:ser>
        <c:dLbls>
          <c:showLegendKey val="0"/>
          <c:showVal val="0"/>
          <c:showCatName val="0"/>
          <c:showSerName val="0"/>
          <c:showPercent val="0"/>
          <c:showBubbleSize val="0"/>
        </c:dLbls>
        <c:smooth val="0"/>
        <c:axId val="703260624"/>
        <c:axId val="703254064"/>
      </c:lineChart>
      <c:catAx>
        <c:axId val="7032606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03254064"/>
        <c:crosses val="autoZero"/>
        <c:auto val="1"/>
        <c:lblAlgn val="ctr"/>
        <c:lblOffset val="100"/>
        <c:noMultiLvlLbl val="0"/>
      </c:catAx>
      <c:valAx>
        <c:axId val="7032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03260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2</xdr:col>
      <xdr:colOff>937260</xdr:colOff>
      <xdr:row>14</xdr:row>
      <xdr:rowOff>160020</xdr:rowOff>
    </xdr:from>
    <xdr:to>
      <xdr:col>6</xdr:col>
      <xdr:colOff>396240</xdr:colOff>
      <xdr:row>18</xdr:row>
      <xdr:rowOff>182658</xdr:rowOff>
    </xdr:to>
    <xdr:pic>
      <xdr:nvPicPr>
        <xdr:cNvPr id="4" name="Picture 3">
          <a:extLst>
            <a:ext uri="{FF2B5EF4-FFF2-40B4-BE49-F238E27FC236}">
              <a16:creationId xmlns:a16="http://schemas.microsoft.com/office/drawing/2014/main" id="{458BCABA-767A-4C1E-8CEE-5AB0B6E709D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262" t="30380" r="24145" b="38999"/>
        <a:stretch/>
      </xdr:blipFill>
      <xdr:spPr bwMode="auto">
        <a:xfrm>
          <a:off x="1577340" y="3200400"/>
          <a:ext cx="2849880" cy="1089438"/>
        </a:xfrm>
        <a:prstGeom prst="rect">
          <a:avLst/>
        </a:prstGeom>
        <a:ln>
          <a:noFill/>
        </a:ln>
        <a:extLst>
          <a:ext uri="{53640926-AAD7-44D8-BBD7-CCE9431645EC}">
            <a14:shadowObscured xmlns:a14="http://schemas.microsoft.com/office/drawing/2010/main"/>
          </a:ext>
          <a:ext uri="{FAA26D3D-D897-4be2-8F04-BA451C77F1D7}">
            <ma14:placeholder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id="http://schemas.microsoft.com/office/word/2016/wordml/cid"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twoCellAnchor editAs="oneCell">
    <xdr:from>
      <xdr:col>4</xdr:col>
      <xdr:colOff>68580</xdr:colOff>
      <xdr:row>6</xdr:row>
      <xdr:rowOff>137159</xdr:rowOff>
    </xdr:from>
    <xdr:to>
      <xdr:col>5</xdr:col>
      <xdr:colOff>533400</xdr:colOff>
      <xdr:row>14</xdr:row>
      <xdr:rowOff>61268</xdr:rowOff>
    </xdr:to>
    <xdr:pic>
      <xdr:nvPicPr>
        <xdr:cNvPr id="3" name="Image 0" descr="LOGO_HARAZ_GROUP.png">
          <a:extLst>
            <a:ext uri="{FF2B5EF4-FFF2-40B4-BE49-F238E27FC236}">
              <a16:creationId xmlns:a16="http://schemas.microsoft.com/office/drawing/2014/main" id="{3BF2455C-DC75-4CFE-BC9D-96FD0113310D}"/>
            </a:ext>
          </a:extLst>
        </xdr:cNvPr>
        <xdr:cNvPicPr/>
      </xdr:nvPicPr>
      <xdr:blipFill>
        <a:blip xmlns:r="http://schemas.openxmlformats.org/officeDocument/2006/relationships" r:embed="rId2"/>
        <a:stretch>
          <a:fillRect/>
        </a:stretch>
      </xdr:blipFill>
      <xdr:spPr>
        <a:xfrm>
          <a:off x="2727960" y="1539239"/>
          <a:ext cx="1150620" cy="15624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638175</xdr:colOff>
      <xdr:row>60</xdr:row>
      <xdr:rowOff>161925</xdr:rowOff>
    </xdr:from>
    <xdr:to>
      <xdr:col>5</xdr:col>
      <xdr:colOff>592950</xdr:colOff>
      <xdr:row>76</xdr:row>
      <xdr:rowOff>109200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676275</xdr:colOff>
      <xdr:row>77</xdr:row>
      <xdr:rowOff>9525</xdr:rowOff>
    </xdr:from>
    <xdr:to>
      <xdr:col>11</xdr:col>
      <xdr:colOff>695325</xdr:colOff>
      <xdr:row>92</xdr:row>
      <xdr:rowOff>137775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647699</xdr:colOff>
      <xdr:row>60</xdr:row>
      <xdr:rowOff>152400</xdr:rowOff>
    </xdr:from>
    <xdr:to>
      <xdr:col>11</xdr:col>
      <xdr:colOff>707249</xdr:colOff>
      <xdr:row>76</xdr:row>
      <xdr:rowOff>99675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342900</xdr:colOff>
      <xdr:row>118</xdr:row>
      <xdr:rowOff>152399</xdr:rowOff>
    </xdr:from>
    <xdr:to>
      <xdr:col>13</xdr:col>
      <xdr:colOff>200025</xdr:colOff>
      <xdr:row>131</xdr:row>
      <xdr:rowOff>90824</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228600</xdr:colOff>
      <xdr:row>105</xdr:row>
      <xdr:rowOff>161925</xdr:rowOff>
    </xdr:from>
    <xdr:to>
      <xdr:col>18</xdr:col>
      <xdr:colOff>85725</xdr:colOff>
      <xdr:row>118</xdr:row>
      <xdr:rowOff>109537</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238125</xdr:colOff>
      <xdr:row>118</xdr:row>
      <xdr:rowOff>142875</xdr:rowOff>
    </xdr:from>
    <xdr:to>
      <xdr:col>18</xdr:col>
      <xdr:colOff>95250</xdr:colOff>
      <xdr:row>131</xdr:row>
      <xdr:rowOff>81300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333375</xdr:colOff>
      <xdr:row>105</xdr:row>
      <xdr:rowOff>161925</xdr:rowOff>
    </xdr:from>
    <xdr:to>
      <xdr:col>13</xdr:col>
      <xdr:colOff>190500</xdr:colOff>
      <xdr:row>118</xdr:row>
      <xdr:rowOff>109875</xdr:rowOff>
    </xdr:to>
    <xdr:graphicFrame macro="">
      <xdr:nvGraphicFramePr>
        <xdr:cNvPr id="8" name="Chart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9525</xdr:colOff>
      <xdr:row>77</xdr:row>
      <xdr:rowOff>28575</xdr:rowOff>
    </xdr:from>
    <xdr:to>
      <xdr:col>5</xdr:col>
      <xdr:colOff>615810</xdr:colOff>
      <xdr:row>92</xdr:row>
      <xdr:rowOff>156825</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752475</xdr:colOff>
      <xdr:row>60</xdr:row>
      <xdr:rowOff>147638</xdr:rowOff>
    </xdr:from>
    <xdr:to>
      <xdr:col>17</xdr:col>
      <xdr:colOff>638175</xdr:colOff>
      <xdr:row>76</xdr:row>
      <xdr:rowOff>114301</xdr:rowOff>
    </xdr:to>
    <xdr:graphicFrame macro="">
      <xdr:nvGraphicFramePr>
        <xdr:cNvPr id="10" name="Chart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685801</xdr:colOff>
      <xdr:row>60</xdr:row>
      <xdr:rowOff>174172</xdr:rowOff>
    </xdr:from>
    <xdr:to>
      <xdr:col>23</xdr:col>
      <xdr:colOff>571501</xdr:colOff>
      <xdr:row>76</xdr:row>
      <xdr:rowOff>140835</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762000</xdr:colOff>
      <xdr:row>77</xdr:row>
      <xdr:rowOff>0</xdr:rowOff>
    </xdr:from>
    <xdr:to>
      <xdr:col>17</xdr:col>
      <xdr:colOff>647700</xdr:colOff>
      <xdr:row>92</xdr:row>
      <xdr:rowOff>147638</xdr:rowOff>
    </xdr:to>
    <xdr:graphicFrame macro="">
      <xdr:nvGraphicFramePr>
        <xdr:cNvPr id="12" name="Chart 11">
          <a:extLst>
            <a:ext uri="{FF2B5EF4-FFF2-40B4-BE49-F238E27FC236}">
              <a16:creationId xmlns:a16="http://schemas.microsoft.com/office/drawing/2014/main"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172811</xdr:colOff>
      <xdr:row>34</xdr:row>
      <xdr:rowOff>172131</xdr:rowOff>
    </xdr:from>
    <xdr:to>
      <xdr:col>10</xdr:col>
      <xdr:colOff>595993</xdr:colOff>
      <xdr:row>45</xdr:row>
      <xdr:rowOff>172131</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176893</xdr:colOff>
      <xdr:row>46</xdr:row>
      <xdr:rowOff>32657</xdr:rowOff>
    </xdr:from>
    <xdr:to>
      <xdr:col>11</xdr:col>
      <xdr:colOff>76200</xdr:colOff>
      <xdr:row>57</xdr:row>
      <xdr:rowOff>32657</xdr:rowOff>
    </xdr:to>
    <xdr:graphicFrame macro="">
      <xdr:nvGraphicFramePr>
        <xdr:cNvPr id="4" name="Chart 3">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25</xdr:row>
      <xdr:rowOff>119063</xdr:rowOff>
    </xdr:from>
    <xdr:to>
      <xdr:col>14</xdr:col>
      <xdr:colOff>370113</xdr:colOff>
      <xdr:row>41</xdr:row>
      <xdr:rowOff>119063</xdr:rowOff>
    </xdr:to>
    <xdr:graphicFrame macro="">
      <xdr:nvGraphicFramePr>
        <xdr:cNvPr id="3" name="Chart 2">
          <a:extLst>
            <a:ext uri="{FF2B5EF4-FFF2-40B4-BE49-F238E27FC236}">
              <a16:creationId xmlns:a16="http://schemas.microsoft.com/office/drawing/2014/main" id="{00000000-0008-0000-1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25</xdr:row>
      <xdr:rowOff>152401</xdr:rowOff>
    </xdr:from>
    <xdr:to>
      <xdr:col>26</xdr:col>
      <xdr:colOff>55789</xdr:colOff>
      <xdr:row>41</xdr:row>
      <xdr:rowOff>152401</xdr:rowOff>
    </xdr:to>
    <xdr:graphicFrame macro="">
      <xdr:nvGraphicFramePr>
        <xdr:cNvPr id="7" name="Chart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108858</xdr:colOff>
      <xdr:row>25</xdr:row>
      <xdr:rowOff>152400</xdr:rowOff>
    </xdr:from>
    <xdr:to>
      <xdr:col>37</xdr:col>
      <xdr:colOff>273504</xdr:colOff>
      <xdr:row>41</xdr:row>
      <xdr:rowOff>152400</xdr:rowOff>
    </xdr:to>
    <xdr:graphicFrame macro="">
      <xdr:nvGraphicFramePr>
        <xdr:cNvPr id="8" name="Chart 7">
          <a:extLst>
            <a:ext uri="{FF2B5EF4-FFF2-40B4-BE49-F238E27FC236}">
              <a16:creationId xmlns:a16="http://schemas.microsoft.com/office/drawing/2014/main" id="{00000000-0008-0000-1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428624</xdr:colOff>
      <xdr:row>29</xdr:row>
      <xdr:rowOff>14288</xdr:rowOff>
    </xdr:from>
    <xdr:to>
      <xdr:col>19</xdr:col>
      <xdr:colOff>485774</xdr:colOff>
      <xdr:row>45</xdr:row>
      <xdr:rowOff>14288</xdr:rowOff>
    </xdr:to>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oav3/Google%20Drive/LR-Honduras-2015/Model/HondurasV5%20PlanB%201208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CAPEX"/>
      <sheetName val="2500 cows feed center "/>
      <sheetName val="Honduras DF 500 MCs + 750 H"/>
      <sheetName val="Dairy Herd Movement"/>
      <sheetName val="Feed Center Operation"/>
      <sheetName val="Commercial Dairy Cattle P&amp;L"/>
      <sheetName val="Dairy Operation"/>
      <sheetName val="HH Dairy Cattle"/>
      <sheetName val="HH Crop Budgets"/>
      <sheetName val="Household economics"/>
      <sheetName val="HH Investment Payback"/>
      <sheetName val="Labor Costs"/>
      <sheetName val="Consolidated P&amp;L CF Sheets "/>
      <sheetName val="Financing"/>
      <sheetName val="Depreciation"/>
      <sheetName val="Profit &amp; Loss"/>
      <sheetName val="Cash Flow"/>
      <sheetName val="Balance Sheet"/>
      <sheetName val="DSCR chart"/>
      <sheetName val="CFADS"/>
      <sheetName val="CFADS Chart"/>
      <sheetName val="Fin Ratios and Econ Analysis"/>
      <sheetName val="Sensitivity Analysis"/>
    </sheetNames>
    <sheetDataSet>
      <sheetData sheetId="0">
        <row r="32">
          <cell r="D32">
            <v>22</v>
          </cell>
        </row>
        <row r="33">
          <cell r="D33">
            <v>0.2</v>
          </cell>
        </row>
      </sheetData>
      <sheetData sheetId="1"/>
      <sheetData sheetId="2"/>
      <sheetData sheetId="3"/>
      <sheetData sheetId="4"/>
      <sheetData sheetId="5"/>
      <sheetData sheetId="6"/>
      <sheetData sheetId="7"/>
      <sheetData sheetId="8"/>
      <sheetData sheetId="9"/>
      <sheetData sheetId="10"/>
      <sheetData sheetId="11"/>
      <sheetData sheetId="12"/>
      <sheetData sheetId="13">
        <row r="4">
          <cell r="D4" t="str">
            <v>Year 1</v>
          </cell>
        </row>
      </sheetData>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7" tint="0.59999389629810485"/>
  </sheetPr>
  <dimension ref="B1:I30"/>
  <sheetViews>
    <sheetView workbookViewId="0">
      <selection activeCell="L14" sqref="L14"/>
    </sheetView>
  </sheetViews>
  <sheetFormatPr baseColWidth="10" defaultColWidth="10" defaultRowHeight="15"/>
  <cols>
    <col min="1" max="1" width="3" style="163" customWidth="1"/>
    <col min="2" max="2" width="6.33203125" style="163" customWidth="1"/>
    <col min="3" max="3" width="19.5" style="163" customWidth="1"/>
    <col min="4" max="16384" width="10" style="163"/>
  </cols>
  <sheetData>
    <row r="1" spans="2:9" ht="16" thickBot="1"/>
    <row r="2" spans="2:9">
      <c r="B2" s="164"/>
      <c r="C2" s="165"/>
      <c r="D2" s="165"/>
      <c r="E2" s="165"/>
      <c r="F2" s="165"/>
      <c r="G2" s="165"/>
      <c r="H2" s="165"/>
      <c r="I2" s="166"/>
    </row>
    <row r="3" spans="2:9" ht="31">
      <c r="B3" s="167"/>
      <c r="C3" s="155" t="s">
        <v>530</v>
      </c>
      <c r="D3" s="168"/>
      <c r="E3" s="168"/>
      <c r="F3" s="168"/>
      <c r="G3" s="168"/>
      <c r="H3" s="168"/>
      <c r="I3" s="169"/>
    </row>
    <row r="4" spans="2:9">
      <c r="B4" s="167"/>
      <c r="C4" s="168"/>
      <c r="D4" s="168"/>
      <c r="E4" s="168"/>
      <c r="F4" s="168"/>
      <c r="G4" s="168"/>
      <c r="H4" s="168"/>
      <c r="I4" s="169"/>
    </row>
    <row r="5" spans="2:9" ht="21">
      <c r="B5" s="167"/>
      <c r="C5" s="156" t="s">
        <v>223</v>
      </c>
      <c r="D5" s="157"/>
      <c r="E5" s="157"/>
      <c r="F5" s="157"/>
      <c r="G5" s="157"/>
      <c r="H5" s="157"/>
      <c r="I5" s="169"/>
    </row>
    <row r="6" spans="2:9">
      <c r="B6" s="167"/>
      <c r="C6" s="168"/>
      <c r="D6" s="168"/>
      <c r="E6" s="168"/>
      <c r="F6" s="168"/>
      <c r="G6" s="168"/>
      <c r="H6" s="168"/>
      <c r="I6" s="169"/>
    </row>
    <row r="7" spans="2:9">
      <c r="B7" s="167"/>
      <c r="C7" s="168"/>
      <c r="D7" s="168"/>
      <c r="E7" s="168"/>
      <c r="F7" s="168"/>
      <c r="G7" s="168"/>
      <c r="H7" s="168"/>
      <c r="I7" s="169"/>
    </row>
    <row r="8" spans="2:9">
      <c r="B8" s="167"/>
      <c r="C8" s="168"/>
      <c r="D8" s="168"/>
      <c r="E8" s="168"/>
      <c r="F8" s="168"/>
      <c r="G8" s="168"/>
      <c r="H8" s="168"/>
      <c r="I8" s="169"/>
    </row>
    <row r="9" spans="2:9">
      <c r="B9" s="167"/>
      <c r="C9" s="158" t="s">
        <v>224</v>
      </c>
      <c r="D9" s="158"/>
      <c r="E9" s="158"/>
      <c r="F9" s="168"/>
      <c r="G9" s="168"/>
      <c r="H9" s="168"/>
      <c r="I9" s="169"/>
    </row>
    <row r="10" spans="2:9" ht="19">
      <c r="B10" s="167"/>
      <c r="C10" s="159" t="s">
        <v>459</v>
      </c>
      <c r="D10" s="159"/>
      <c r="E10" s="158"/>
      <c r="F10" s="168"/>
      <c r="G10" s="168"/>
      <c r="H10" s="168"/>
      <c r="I10" s="169"/>
    </row>
    <row r="11" spans="2:9">
      <c r="B11" s="167"/>
      <c r="C11" s="168"/>
      <c r="D11" s="168"/>
      <c r="E11" s="168"/>
      <c r="F11" s="168"/>
      <c r="G11" s="168"/>
      <c r="H11" s="168"/>
      <c r="I11" s="169"/>
    </row>
    <row r="12" spans="2:9">
      <c r="B12" s="167"/>
      <c r="C12" s="158" t="s">
        <v>225</v>
      </c>
      <c r="D12" s="160"/>
      <c r="E12" s="168"/>
      <c r="F12" s="168"/>
      <c r="G12" s="168"/>
      <c r="H12" s="168"/>
      <c r="I12" s="169"/>
    </row>
    <row r="13" spans="2:9" ht="19">
      <c r="B13" s="167"/>
      <c r="C13" s="161">
        <f ca="1">TODAY()</f>
        <v>45763</v>
      </c>
      <c r="D13" s="168"/>
      <c r="E13" s="168"/>
      <c r="F13" s="168"/>
      <c r="G13" s="168"/>
      <c r="H13" s="168"/>
      <c r="I13" s="169"/>
    </row>
    <row r="14" spans="2:9" ht="21">
      <c r="B14" s="167"/>
      <c r="C14" s="170"/>
      <c r="D14" s="168"/>
      <c r="E14" s="168"/>
      <c r="F14" s="168"/>
      <c r="G14" s="168"/>
      <c r="H14" s="168"/>
      <c r="I14" s="169"/>
    </row>
    <row r="15" spans="2:9" ht="21">
      <c r="B15" s="167"/>
      <c r="C15" s="170"/>
      <c r="D15" s="168"/>
      <c r="E15" s="168"/>
      <c r="F15" s="168"/>
      <c r="G15" s="168"/>
      <c r="H15" s="168"/>
      <c r="I15" s="169"/>
    </row>
    <row r="16" spans="2:9" ht="21">
      <c r="B16" s="167"/>
      <c r="C16" s="170"/>
      <c r="D16" s="168"/>
      <c r="E16" s="168"/>
      <c r="F16" s="168"/>
      <c r="G16" s="168"/>
      <c r="H16" s="168"/>
      <c r="I16" s="169"/>
    </row>
    <row r="17" spans="2:9" ht="21">
      <c r="B17" s="167"/>
      <c r="C17" s="170"/>
      <c r="D17" s="168"/>
      <c r="E17" s="168"/>
      <c r="F17" s="168"/>
      <c r="G17" s="168"/>
      <c r="H17" s="168"/>
      <c r="I17" s="169"/>
    </row>
    <row r="18" spans="2:9" ht="21">
      <c r="B18" s="167"/>
      <c r="C18" s="170"/>
      <c r="D18" s="168"/>
      <c r="E18" s="168"/>
      <c r="F18" s="168"/>
      <c r="G18" s="168"/>
      <c r="H18" s="168"/>
      <c r="I18" s="169"/>
    </row>
    <row r="19" spans="2:9">
      <c r="B19" s="167"/>
      <c r="C19" s="168"/>
      <c r="D19" s="168"/>
      <c r="E19" s="168"/>
      <c r="F19" s="168"/>
      <c r="G19" s="168"/>
      <c r="H19" s="168"/>
      <c r="I19" s="169"/>
    </row>
    <row r="20" spans="2:9">
      <c r="B20" s="167"/>
      <c r="C20" s="168"/>
      <c r="D20" s="168"/>
      <c r="E20" s="168"/>
      <c r="F20" s="168"/>
      <c r="G20" s="168"/>
      <c r="H20" s="168"/>
      <c r="I20" s="169"/>
    </row>
    <row r="21" spans="2:9">
      <c r="B21" s="167"/>
      <c r="C21" s="168"/>
      <c r="D21" s="168"/>
      <c r="E21" s="168"/>
      <c r="F21" s="168"/>
      <c r="G21" s="168"/>
      <c r="H21" s="168"/>
      <c r="I21" s="169"/>
    </row>
    <row r="22" spans="2:9">
      <c r="B22" s="167"/>
      <c r="C22" s="168"/>
      <c r="D22" s="168"/>
      <c r="E22" s="168"/>
      <c r="F22" s="168"/>
      <c r="G22" s="168"/>
      <c r="H22" s="168"/>
      <c r="I22" s="169"/>
    </row>
    <row r="23" spans="2:9">
      <c r="B23" s="167"/>
      <c r="C23" s="168"/>
      <c r="D23" s="168"/>
      <c r="E23" s="168"/>
      <c r="F23" s="168"/>
      <c r="G23" s="168"/>
      <c r="H23" s="168"/>
      <c r="I23" s="169"/>
    </row>
    <row r="24" spans="2:9">
      <c r="B24" s="167"/>
      <c r="C24" s="168"/>
      <c r="D24" s="162"/>
      <c r="E24" s="168"/>
      <c r="F24" s="168"/>
      <c r="G24" s="168"/>
      <c r="H24" s="168"/>
      <c r="I24" s="169"/>
    </row>
    <row r="25" spans="2:9">
      <c r="B25" s="167"/>
      <c r="C25" s="168"/>
      <c r="D25" s="162"/>
      <c r="E25" s="168"/>
      <c r="F25" s="168"/>
      <c r="G25" s="168"/>
      <c r="H25" s="168"/>
      <c r="I25" s="169"/>
    </row>
    <row r="26" spans="2:9">
      <c r="B26" s="167"/>
      <c r="C26" s="171" t="s">
        <v>226</v>
      </c>
      <c r="D26" s="168"/>
      <c r="E26" s="168"/>
      <c r="F26" s="168"/>
      <c r="G26" s="168"/>
      <c r="H26" s="168"/>
      <c r="I26" s="169"/>
    </row>
    <row r="27" spans="2:9" ht="56.25" customHeight="1">
      <c r="B27" s="167"/>
      <c r="C27" s="607" t="s">
        <v>227</v>
      </c>
      <c r="D27" s="607"/>
      <c r="E27" s="607"/>
      <c r="F27" s="607"/>
      <c r="G27" s="607"/>
      <c r="H27" s="607"/>
      <c r="I27" s="169"/>
    </row>
    <row r="28" spans="2:9" ht="36.75" customHeight="1">
      <c r="B28" s="167"/>
      <c r="C28" s="607" t="s">
        <v>228</v>
      </c>
      <c r="D28" s="607"/>
      <c r="E28" s="607"/>
      <c r="F28" s="607"/>
      <c r="G28" s="607"/>
      <c r="H28" s="607"/>
      <c r="I28" s="169"/>
    </row>
    <row r="29" spans="2:9" ht="18" customHeight="1">
      <c r="B29" s="167"/>
      <c r="C29" s="608"/>
      <c r="D29" s="608"/>
      <c r="E29" s="608"/>
      <c r="F29" s="608"/>
      <c r="G29" s="608"/>
      <c r="H29" s="608"/>
      <c r="I29" s="169"/>
    </row>
    <row r="30" spans="2:9" ht="16" thickBot="1">
      <c r="B30" s="172"/>
      <c r="C30" s="173"/>
      <c r="D30" s="173"/>
      <c r="E30" s="173"/>
      <c r="F30" s="173"/>
      <c r="G30" s="173"/>
      <c r="H30" s="173"/>
      <c r="I30" s="174"/>
    </row>
  </sheetData>
  <mergeCells count="3">
    <mergeCell ref="C27:H27"/>
    <mergeCell ref="C28:H28"/>
    <mergeCell ref="C29:H2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theme="7" tint="0.59999389629810485"/>
  </sheetPr>
  <dimension ref="B1:V65"/>
  <sheetViews>
    <sheetView zoomScale="80" zoomScaleNormal="80" workbookViewId="0">
      <selection activeCell="L14" sqref="L14"/>
    </sheetView>
  </sheetViews>
  <sheetFormatPr baseColWidth="10" defaultColWidth="10" defaultRowHeight="15" outlineLevelRow="1"/>
  <cols>
    <col min="1" max="1" width="5.33203125" style="179" customWidth="1"/>
    <col min="2" max="2" width="49.5" style="179" customWidth="1"/>
    <col min="3" max="3" width="22.5" style="180" customWidth="1"/>
    <col min="4" max="4" width="15.33203125" style="180" bestFit="1" customWidth="1"/>
    <col min="5" max="5" width="20.1640625" style="180" customWidth="1"/>
    <col min="6" max="6" width="16" style="180" customWidth="1"/>
    <col min="7" max="7" width="16.83203125" style="180" customWidth="1"/>
    <col min="8" max="8" width="17.5" style="180" bestFit="1" customWidth="1"/>
    <col min="9" max="9" width="16.83203125" style="180" bestFit="1" customWidth="1"/>
    <col min="10" max="22" width="13.5" style="180" bestFit="1" customWidth="1"/>
    <col min="23" max="16384" width="10" style="179"/>
  </cols>
  <sheetData>
    <row r="1" spans="2:22" s="175" customFormat="1">
      <c r="B1" s="175" t="s">
        <v>168</v>
      </c>
      <c r="C1" s="175" t="str">
        <f>Cover!$C$10</f>
        <v>Mr. Amir Artine</v>
      </c>
      <c r="D1" s="176" t="str">
        <f>Cover!$C$3</f>
        <v>Cattle Integration, Baghara, Chad</v>
      </c>
      <c r="E1" s="177"/>
      <c r="F1" s="177"/>
      <c r="G1" s="177" t="s">
        <v>169</v>
      </c>
      <c r="H1" s="178">
        <f ca="1">Cover!$C$13</f>
        <v>45763</v>
      </c>
      <c r="I1" s="177"/>
      <c r="J1" s="177"/>
      <c r="K1" s="177"/>
      <c r="L1" s="177"/>
      <c r="M1" s="177"/>
      <c r="N1" s="177"/>
      <c r="O1" s="177"/>
      <c r="P1" s="177"/>
      <c r="Q1" s="177"/>
      <c r="R1" s="177"/>
      <c r="S1" s="177"/>
      <c r="T1" s="177"/>
      <c r="U1" s="177"/>
      <c r="V1" s="177"/>
    </row>
    <row r="2" spans="2:22" ht="16" thickBot="1"/>
    <row r="3" spans="2:22" ht="16" thickTop="1">
      <c r="B3" s="181" t="s">
        <v>231</v>
      </c>
      <c r="C3" s="182">
        <v>2018</v>
      </c>
      <c r="D3" s="182">
        <v>2019</v>
      </c>
      <c r="E3" s="182">
        <v>2020</v>
      </c>
      <c r="F3" s="182">
        <v>2021</v>
      </c>
      <c r="G3" s="182">
        <v>2022</v>
      </c>
      <c r="H3" s="182">
        <v>2023</v>
      </c>
      <c r="I3" s="182">
        <v>2024</v>
      </c>
      <c r="J3" s="182">
        <v>2025</v>
      </c>
      <c r="K3" s="182">
        <v>2026</v>
      </c>
      <c r="L3" s="182">
        <v>2027</v>
      </c>
      <c r="M3" s="182">
        <v>2028</v>
      </c>
      <c r="N3" s="182">
        <v>2029</v>
      </c>
      <c r="O3" s="182">
        <v>2030</v>
      </c>
      <c r="P3" s="182">
        <v>2031</v>
      </c>
      <c r="Q3" s="182">
        <v>2032</v>
      </c>
      <c r="R3" s="182">
        <v>2033</v>
      </c>
      <c r="S3" s="182">
        <v>2034</v>
      </c>
      <c r="T3" s="182">
        <v>2035</v>
      </c>
      <c r="U3" s="182">
        <v>2036</v>
      </c>
      <c r="V3" s="182">
        <v>2037</v>
      </c>
    </row>
    <row r="4" spans="2:22" ht="16" outlineLevel="1" thickBot="1">
      <c r="B4" s="183"/>
      <c r="C4" s="184">
        <v>0</v>
      </c>
      <c r="D4" s="184">
        <v>1</v>
      </c>
      <c r="E4" s="184">
        <v>2</v>
      </c>
      <c r="F4" s="184">
        <v>3</v>
      </c>
      <c r="G4" s="184">
        <v>4</v>
      </c>
      <c r="H4" s="184">
        <v>5</v>
      </c>
      <c r="I4" s="184">
        <v>6</v>
      </c>
      <c r="J4" s="184">
        <v>7</v>
      </c>
      <c r="K4" s="184">
        <v>8</v>
      </c>
      <c r="L4" s="184">
        <v>9</v>
      </c>
      <c r="M4" s="184">
        <v>10</v>
      </c>
      <c r="N4" s="184">
        <v>11</v>
      </c>
      <c r="O4" s="184">
        <v>12</v>
      </c>
      <c r="P4" s="184">
        <v>13</v>
      </c>
      <c r="Q4" s="184">
        <v>14</v>
      </c>
      <c r="R4" s="184">
        <v>15</v>
      </c>
      <c r="S4" s="184">
        <v>16</v>
      </c>
      <c r="T4" s="184">
        <v>17</v>
      </c>
      <c r="U4" s="184">
        <v>18</v>
      </c>
      <c r="V4" s="184">
        <v>19</v>
      </c>
    </row>
    <row r="5" spans="2:22" outlineLevel="1">
      <c r="B5" s="185" t="s">
        <v>232</v>
      </c>
      <c r="C5" s="186"/>
      <c r="D5" s="186">
        <f>Revenues!C23</f>
        <v>9047287.2662634104</v>
      </c>
      <c r="E5" s="186">
        <f>Revenues!D23</f>
        <v>16863222.910531491</v>
      </c>
      <c r="F5" s="186">
        <f>Revenues!E23</f>
        <v>19790786.013813488</v>
      </c>
      <c r="G5" s="186">
        <f>Revenues!F23</f>
        <v>22734685.770036731</v>
      </c>
      <c r="H5" s="186">
        <f>Revenues!G23</f>
        <v>27021647.596992251</v>
      </c>
      <c r="I5" s="186">
        <f>Revenues!H23</f>
        <v>31835737.219939463</v>
      </c>
      <c r="J5" s="186">
        <f>Revenues!I23</f>
        <v>34497378.688346982</v>
      </c>
      <c r="K5" s="186">
        <f>Revenues!J23</f>
        <v>35816607.271818668</v>
      </c>
      <c r="L5" s="186">
        <f>Revenues!K23</f>
        <v>37130176.575471893</v>
      </c>
      <c r="M5" s="186">
        <f>Revenues!L23</f>
        <v>37121776.456114456</v>
      </c>
      <c r="N5" s="186">
        <f>Revenues!M23</f>
        <v>37113418.0390369</v>
      </c>
      <c r="O5" s="186">
        <f>Revenues!N23</f>
        <v>37105101.484202266</v>
      </c>
      <c r="P5" s="187">
        <f t="shared" ref="P5:V7" si="0">O5</f>
        <v>37105101.484202266</v>
      </c>
      <c r="Q5" s="187">
        <f t="shared" si="0"/>
        <v>37105101.484202266</v>
      </c>
      <c r="R5" s="187">
        <f t="shared" si="0"/>
        <v>37105101.484202266</v>
      </c>
      <c r="S5" s="187">
        <f t="shared" si="0"/>
        <v>37105101.484202266</v>
      </c>
      <c r="T5" s="187">
        <f t="shared" si="0"/>
        <v>37105101.484202266</v>
      </c>
      <c r="U5" s="187">
        <f t="shared" si="0"/>
        <v>37105101.484202266</v>
      </c>
      <c r="V5" s="187">
        <f t="shared" si="0"/>
        <v>37105101.484202266</v>
      </c>
    </row>
    <row r="6" spans="2:22" outlineLevel="1">
      <c r="B6" s="185" t="s">
        <v>233</v>
      </c>
      <c r="C6" s="188"/>
      <c r="D6" s="188">
        <f>OPEX!H110</f>
        <v>6987857.2157534128</v>
      </c>
      <c r="E6" s="188">
        <f>OPEX!I110</f>
        <v>11350188.179536402</v>
      </c>
      <c r="F6" s="188">
        <f>OPEX!J110</f>
        <v>12096702.703729773</v>
      </c>
      <c r="G6" s="188">
        <f>OPEX!K110</f>
        <v>12620685.521714829</v>
      </c>
      <c r="H6" s="188">
        <f>OPEX!L110</f>
        <v>13489558.888878461</v>
      </c>
      <c r="I6" s="188">
        <f>OPEX!M110</f>
        <v>14246265.696459886</v>
      </c>
      <c r="J6" s="188">
        <f>OPEX!N110</f>
        <v>14487409.554925952</v>
      </c>
      <c r="K6" s="188">
        <f>OPEX!O110</f>
        <v>14616736.95183371</v>
      </c>
      <c r="L6" s="188">
        <f>OPEX!P110</f>
        <v>14743890.541854858</v>
      </c>
      <c r="M6" s="188">
        <f>OPEX!Q110</f>
        <v>14730110.389392624</v>
      </c>
      <c r="N6" s="188">
        <f>OPEX!R110</f>
        <v>14716283.055067454</v>
      </c>
      <c r="O6" s="188">
        <f>OPEX!S110</f>
        <v>14702408.295176517</v>
      </c>
      <c r="P6" s="189">
        <f t="shared" si="0"/>
        <v>14702408.295176517</v>
      </c>
      <c r="Q6" s="189">
        <f t="shared" si="0"/>
        <v>14702408.295176517</v>
      </c>
      <c r="R6" s="189">
        <f t="shared" si="0"/>
        <v>14702408.295176517</v>
      </c>
      <c r="S6" s="189">
        <f t="shared" si="0"/>
        <v>14702408.295176517</v>
      </c>
      <c r="T6" s="189">
        <f t="shared" si="0"/>
        <v>14702408.295176517</v>
      </c>
      <c r="U6" s="189">
        <f t="shared" si="0"/>
        <v>14702408.295176517</v>
      </c>
      <c r="V6" s="189">
        <f t="shared" si="0"/>
        <v>14702408.295176517</v>
      </c>
    </row>
    <row r="7" spans="2:22" ht="16" outlineLevel="1" thickBot="1">
      <c r="B7" s="190" t="s">
        <v>234</v>
      </c>
      <c r="C7" s="191"/>
      <c r="D7" s="191">
        <f>OPEX!H111</f>
        <v>2294976.7808410972</v>
      </c>
      <c r="E7" s="191">
        <f>OPEX!I111</f>
        <v>2409450.5220851181</v>
      </c>
      <c r="F7" s="191">
        <f>OPEX!J111</f>
        <v>2413590.8866376127</v>
      </c>
      <c r="G7" s="191">
        <f>OPEX!K111</f>
        <v>2417969.5276222378</v>
      </c>
      <c r="H7" s="191">
        <f>OPEX!L111</f>
        <v>2424097.0810069181</v>
      </c>
      <c r="I7" s="191">
        <f>OPEX!M111</f>
        <v>2052614.8442961527</v>
      </c>
      <c r="J7" s="191">
        <f>OPEX!N111</f>
        <v>2056397.6948761914</v>
      </c>
      <c r="K7" s="191">
        <f>OPEX!O111</f>
        <v>2058277.2519774504</v>
      </c>
      <c r="L7" s="191">
        <f>OPEX!P111</f>
        <v>2060154.4477589461</v>
      </c>
      <c r="M7" s="191">
        <f>OPEX!Q111</f>
        <v>2060133.1023698095</v>
      </c>
      <c r="N7" s="191">
        <f>OPEX!R111</f>
        <v>2060111.770321541</v>
      </c>
      <c r="O7" s="191">
        <f>OPEX!S111</f>
        <v>2060090.4516058024</v>
      </c>
      <c r="P7" s="192">
        <f t="shared" si="0"/>
        <v>2060090.4516058024</v>
      </c>
      <c r="Q7" s="192">
        <f t="shared" si="0"/>
        <v>2060090.4516058024</v>
      </c>
      <c r="R7" s="192">
        <f t="shared" si="0"/>
        <v>2060090.4516058024</v>
      </c>
      <c r="S7" s="192">
        <f t="shared" si="0"/>
        <v>2060090.4516058024</v>
      </c>
      <c r="T7" s="192">
        <f t="shared" si="0"/>
        <v>2060090.4516058024</v>
      </c>
      <c r="U7" s="192">
        <f t="shared" si="0"/>
        <v>2060090.4516058024</v>
      </c>
      <c r="V7" s="192">
        <f t="shared" si="0"/>
        <v>2060090.4516058024</v>
      </c>
    </row>
    <row r="8" spans="2:22" outlineLevel="1">
      <c r="C8" s="193"/>
      <c r="D8" s="193"/>
      <c r="E8" s="193"/>
      <c r="F8" s="193"/>
      <c r="G8" s="193"/>
      <c r="H8" s="193"/>
      <c r="I8" s="193"/>
      <c r="J8" s="193"/>
      <c r="K8" s="193"/>
      <c r="L8" s="193"/>
      <c r="M8" s="193"/>
      <c r="N8" s="193"/>
      <c r="O8" s="193"/>
      <c r="P8" s="193"/>
      <c r="Q8" s="193"/>
      <c r="R8" s="193"/>
      <c r="S8" s="193"/>
      <c r="T8" s="193"/>
      <c r="U8" s="193"/>
      <c r="V8" s="193"/>
    </row>
    <row r="9" spans="2:22" ht="16" thickBot="1">
      <c r="C9" s="193"/>
      <c r="D9" s="193"/>
      <c r="E9" s="193"/>
      <c r="F9" s="193"/>
      <c r="G9" s="193"/>
      <c r="H9" s="193"/>
      <c r="I9" s="193"/>
      <c r="J9" s="193"/>
      <c r="K9" s="193"/>
      <c r="L9" s="193"/>
      <c r="M9" s="193"/>
      <c r="N9" s="193"/>
      <c r="O9" s="193"/>
      <c r="P9" s="193"/>
      <c r="Q9" s="193"/>
      <c r="R9" s="193"/>
      <c r="S9" s="193"/>
      <c r="T9" s="193"/>
      <c r="U9" s="193"/>
      <c r="V9" s="193"/>
    </row>
    <row r="10" spans="2:22" ht="16" thickTop="1">
      <c r="B10" s="181" t="s">
        <v>235</v>
      </c>
      <c r="C10" s="194"/>
      <c r="D10" s="182">
        <v>2018</v>
      </c>
      <c r="E10" s="182">
        <v>2019</v>
      </c>
      <c r="F10" s="182">
        <v>2020</v>
      </c>
      <c r="G10" s="182">
        <v>2021</v>
      </c>
      <c r="H10" s="182">
        <v>2022</v>
      </c>
      <c r="I10" s="194"/>
    </row>
    <row r="11" spans="2:22" ht="16" outlineLevel="1" thickBot="1">
      <c r="B11" s="183"/>
      <c r="C11" s="195" t="s">
        <v>236</v>
      </c>
      <c r="D11" s="184">
        <v>0</v>
      </c>
      <c r="E11" s="184">
        <v>1</v>
      </c>
      <c r="F11" s="184">
        <v>2</v>
      </c>
      <c r="G11" s="184">
        <v>3</v>
      </c>
      <c r="H11" s="184">
        <v>4</v>
      </c>
      <c r="I11" s="195" t="s">
        <v>237</v>
      </c>
    </row>
    <row r="12" spans="2:22" outlineLevel="1">
      <c r="B12" s="185" t="s">
        <v>238</v>
      </c>
      <c r="C12" s="196">
        <v>20</v>
      </c>
      <c r="D12" s="188">
        <f>CAPEX!E249</f>
        <v>37124290.259186015</v>
      </c>
      <c r="E12" s="188">
        <f>CAPEX!F249</f>
        <v>13382679.266854554</v>
      </c>
      <c r="F12" s="188">
        <f>CAPEX!G249</f>
        <v>0</v>
      </c>
      <c r="G12" s="188">
        <f>CAPEX!H249</f>
        <v>0</v>
      </c>
      <c r="H12" s="188">
        <f>CAPEX!I249</f>
        <v>0</v>
      </c>
      <c r="I12" s="197">
        <v>0</v>
      </c>
    </row>
    <row r="13" spans="2:22" ht="16" outlineLevel="1" thickBot="1">
      <c r="B13" s="198" t="s">
        <v>1</v>
      </c>
      <c r="C13" s="199"/>
      <c r="D13" s="200">
        <f>SUM(D12:D12)</f>
        <v>37124290.259186015</v>
      </c>
      <c r="E13" s="200">
        <f>SUM(E12:E12)</f>
        <v>13382679.266854554</v>
      </c>
      <c r="F13" s="200">
        <f>SUM(F12:F12)</f>
        <v>0</v>
      </c>
      <c r="G13" s="200">
        <f>SUM(G12:G12)</f>
        <v>0</v>
      </c>
      <c r="H13" s="200">
        <f>SUM(H12:H12)</f>
        <v>0</v>
      </c>
      <c r="I13" s="199"/>
    </row>
    <row r="14" spans="2:22" outlineLevel="1">
      <c r="I14" s="201" t="s">
        <v>239</v>
      </c>
    </row>
    <row r="15" spans="2:22" ht="16" thickBot="1"/>
    <row r="16" spans="2:22" ht="16" thickTop="1">
      <c r="B16" s="181" t="s">
        <v>240</v>
      </c>
      <c r="C16" s="202"/>
      <c r="D16" s="202"/>
      <c r="E16" s="202"/>
      <c r="F16" s="202"/>
      <c r="G16" s="202"/>
      <c r="H16" s="202"/>
      <c r="I16" s="202"/>
    </row>
    <row r="17" spans="2:9" ht="16" thickBot="1">
      <c r="B17" s="203" t="s">
        <v>21</v>
      </c>
      <c r="C17" s="195" t="s">
        <v>0</v>
      </c>
      <c r="D17" s="195" t="s">
        <v>23</v>
      </c>
      <c r="E17" s="195" t="s">
        <v>241</v>
      </c>
      <c r="F17" s="183"/>
      <c r="G17" s="183"/>
      <c r="H17" s="183"/>
      <c r="I17" s="183"/>
    </row>
    <row r="18" spans="2:9">
      <c r="B18" s="204" t="s">
        <v>242</v>
      </c>
      <c r="C18" s="205"/>
      <c r="D18" s="205"/>
      <c r="E18" s="205"/>
      <c r="F18" s="205"/>
      <c r="G18" s="205"/>
      <c r="H18" s="205"/>
      <c r="I18" s="205"/>
    </row>
    <row r="19" spans="2:9">
      <c r="B19" s="206" t="s">
        <v>243</v>
      </c>
      <c r="C19" s="207" t="s">
        <v>2</v>
      </c>
      <c r="D19" s="208">
        <v>0.06</v>
      </c>
      <c r="E19" s="209"/>
      <c r="F19" s="210"/>
      <c r="G19" s="210"/>
      <c r="H19" s="210"/>
      <c r="I19" s="210"/>
    </row>
    <row r="20" spans="2:9">
      <c r="B20" s="206" t="s">
        <v>244</v>
      </c>
      <c r="C20" s="207" t="s">
        <v>245</v>
      </c>
      <c r="D20" s="211">
        <v>13</v>
      </c>
      <c r="E20" s="209"/>
      <c r="F20" s="210"/>
      <c r="G20" s="210"/>
      <c r="H20" s="210"/>
      <c r="I20" s="210"/>
    </row>
    <row r="21" spans="2:9">
      <c r="B21" s="206" t="s">
        <v>246</v>
      </c>
      <c r="C21" s="207" t="s">
        <v>245</v>
      </c>
      <c r="D21" s="212">
        <v>3</v>
      </c>
      <c r="E21" s="185" t="s">
        <v>247</v>
      </c>
      <c r="F21" s="210"/>
      <c r="G21" s="210"/>
      <c r="H21" s="210"/>
      <c r="I21" s="210"/>
    </row>
    <row r="22" spans="2:9">
      <c r="B22" s="206" t="s">
        <v>248</v>
      </c>
      <c r="C22" s="207" t="s">
        <v>249</v>
      </c>
      <c r="D22" s="213">
        <f>Dashboard!C103</f>
        <v>0.33333333333333331</v>
      </c>
      <c r="E22" s="214"/>
      <c r="F22" s="210"/>
      <c r="G22" s="210"/>
      <c r="H22" s="210"/>
      <c r="I22" s="210"/>
    </row>
    <row r="23" spans="2:9">
      <c r="B23" s="215" t="s">
        <v>250</v>
      </c>
      <c r="C23" s="216" t="s">
        <v>251</v>
      </c>
      <c r="D23" s="196">
        <v>4</v>
      </c>
      <c r="E23" s="209"/>
      <c r="F23" s="210"/>
      <c r="G23" s="210"/>
      <c r="H23" s="210"/>
      <c r="I23" s="210"/>
    </row>
    <row r="24" spans="2:9">
      <c r="B24" s="206" t="s">
        <v>252</v>
      </c>
      <c r="C24" s="207" t="s">
        <v>253</v>
      </c>
      <c r="D24" s="211">
        <v>1</v>
      </c>
      <c r="E24" s="185" t="s">
        <v>254</v>
      </c>
      <c r="F24" s="210"/>
      <c r="G24" s="210"/>
      <c r="H24" s="210"/>
      <c r="I24" s="210"/>
    </row>
    <row r="25" spans="2:9">
      <c r="B25" s="206" t="s">
        <v>255</v>
      </c>
      <c r="C25" s="207" t="s">
        <v>253</v>
      </c>
      <c r="D25" s="211">
        <v>1</v>
      </c>
      <c r="E25" s="185" t="s">
        <v>254</v>
      </c>
      <c r="F25" s="210"/>
      <c r="G25" s="210"/>
      <c r="H25" s="210"/>
      <c r="I25" s="210"/>
    </row>
    <row r="26" spans="2:9" ht="16" thickBot="1">
      <c r="B26" s="206" t="s">
        <v>256</v>
      </c>
      <c r="C26" s="207" t="s">
        <v>257</v>
      </c>
      <c r="D26" s="208">
        <v>0.02</v>
      </c>
      <c r="E26" s="185" t="s">
        <v>258</v>
      </c>
      <c r="F26" s="210"/>
      <c r="G26" s="210"/>
      <c r="H26" s="210"/>
      <c r="I26" s="210"/>
    </row>
    <row r="27" spans="2:9">
      <c r="B27" s="217" t="s">
        <v>259</v>
      </c>
      <c r="C27" s="218"/>
      <c r="D27" s="219"/>
      <c r="E27" s="218"/>
      <c r="F27" s="218"/>
      <c r="G27" s="218"/>
      <c r="H27" s="218"/>
      <c r="I27" s="218"/>
    </row>
    <row r="28" spans="2:9">
      <c r="B28" s="206" t="s">
        <v>260</v>
      </c>
      <c r="C28" s="207" t="s">
        <v>253</v>
      </c>
      <c r="D28" s="211">
        <v>1</v>
      </c>
      <c r="E28" s="185" t="s">
        <v>254</v>
      </c>
      <c r="F28" s="210"/>
      <c r="G28" s="210"/>
      <c r="H28" s="210"/>
      <c r="I28" s="210"/>
    </row>
    <row r="29" spans="2:9">
      <c r="B29" s="206" t="s">
        <v>243</v>
      </c>
      <c r="C29" s="207" t="s">
        <v>2</v>
      </c>
      <c r="D29" s="222">
        <v>0.1</v>
      </c>
      <c r="E29" s="233"/>
      <c r="F29" s="210"/>
      <c r="G29" s="210"/>
      <c r="H29" s="210"/>
      <c r="I29" s="210"/>
    </row>
    <row r="30" spans="2:9">
      <c r="B30" s="206" t="s">
        <v>244</v>
      </c>
      <c r="C30" s="207" t="s">
        <v>245</v>
      </c>
      <c r="D30" s="211">
        <v>1</v>
      </c>
      <c r="E30" s="209"/>
      <c r="F30" s="210"/>
      <c r="G30" s="221"/>
      <c r="H30" s="210"/>
      <c r="I30" s="210"/>
    </row>
    <row r="31" spans="2:9">
      <c r="B31" s="206" t="s">
        <v>246</v>
      </c>
      <c r="C31" s="207" t="s">
        <v>245</v>
      </c>
      <c r="D31" s="211">
        <v>0</v>
      </c>
      <c r="E31" s="209"/>
      <c r="F31" s="210"/>
      <c r="G31" s="210"/>
      <c r="H31" s="210"/>
      <c r="I31" s="210"/>
    </row>
    <row r="32" spans="2:9" ht="16" thickBot="1">
      <c r="B32" s="206" t="s">
        <v>248</v>
      </c>
      <c r="C32" s="207" t="s">
        <v>249</v>
      </c>
      <c r="D32" s="222">
        <v>0</v>
      </c>
      <c r="E32" s="209"/>
      <c r="F32" s="210"/>
      <c r="G32" s="210"/>
      <c r="H32" s="210"/>
      <c r="I32" s="210"/>
    </row>
    <row r="33" spans="2:15">
      <c r="B33" s="217" t="s">
        <v>261</v>
      </c>
      <c r="C33" s="218"/>
      <c r="D33" s="219"/>
      <c r="E33" s="218"/>
      <c r="F33" s="218"/>
      <c r="G33" s="218"/>
      <c r="H33" s="218"/>
      <c r="I33" s="218"/>
    </row>
    <row r="34" spans="2:15">
      <c r="B34" s="206" t="s">
        <v>262</v>
      </c>
      <c r="C34" s="207" t="s">
        <v>245</v>
      </c>
      <c r="D34" s="211">
        <v>5</v>
      </c>
      <c r="E34" s="209"/>
      <c r="F34" s="210"/>
      <c r="G34" s="210"/>
      <c r="H34" s="210"/>
      <c r="I34" s="210"/>
    </row>
    <row r="35" spans="2:15" ht="16" thickBot="1">
      <c r="B35" s="206" t="s">
        <v>263</v>
      </c>
      <c r="C35" s="207" t="s">
        <v>2</v>
      </c>
      <c r="D35" s="220">
        <v>0.35</v>
      </c>
      <c r="E35" s="209"/>
      <c r="F35" s="210"/>
      <c r="G35" s="210"/>
      <c r="H35" s="210"/>
      <c r="I35" s="210"/>
    </row>
    <row r="36" spans="2:15">
      <c r="B36" s="217" t="s">
        <v>264</v>
      </c>
      <c r="C36" s="223"/>
      <c r="D36" s="219"/>
      <c r="E36" s="218"/>
      <c r="F36" s="218"/>
      <c r="G36" s="218"/>
      <c r="H36" s="218"/>
      <c r="I36" s="218"/>
    </row>
    <row r="37" spans="2:15">
      <c r="B37" s="206" t="s">
        <v>265</v>
      </c>
      <c r="C37" s="207" t="s">
        <v>266</v>
      </c>
      <c r="D37" s="224">
        <v>0</v>
      </c>
      <c r="E37" s="209"/>
      <c r="F37" s="210"/>
      <c r="G37" s="210"/>
      <c r="H37" s="210"/>
      <c r="I37" s="210"/>
    </row>
    <row r="38" spans="2:15">
      <c r="B38" s="206" t="s">
        <v>267</v>
      </c>
      <c r="C38" s="207" t="s">
        <v>2</v>
      </c>
      <c r="D38" s="220">
        <v>0.03</v>
      </c>
      <c r="E38" s="209"/>
      <c r="F38" s="210"/>
      <c r="G38" s="210"/>
      <c r="H38" s="210"/>
      <c r="I38" s="210"/>
    </row>
    <row r="39" spans="2:15">
      <c r="B39" s="206" t="s">
        <v>268</v>
      </c>
      <c r="C39" s="207" t="s">
        <v>2</v>
      </c>
      <c r="D39" s="220">
        <v>0.1</v>
      </c>
      <c r="E39" s="209"/>
      <c r="F39" s="225"/>
      <c r="G39" s="225"/>
      <c r="H39" s="225"/>
      <c r="I39" s="225"/>
      <c r="J39" s="226"/>
      <c r="K39" s="226"/>
      <c r="L39" s="226"/>
      <c r="M39" s="226"/>
      <c r="N39" s="226"/>
      <c r="O39" s="226"/>
    </row>
    <row r="40" spans="2:15">
      <c r="B40" s="206" t="s">
        <v>269</v>
      </c>
      <c r="C40" s="207" t="s">
        <v>2</v>
      </c>
      <c r="D40" s="227">
        <f>D39*D22+D19*(1-D35)*(1-D22)</f>
        <v>5.9333333333333335E-2</v>
      </c>
      <c r="E40" s="209"/>
      <c r="F40" s="225"/>
      <c r="G40" s="225"/>
      <c r="H40" s="225"/>
      <c r="I40" s="225"/>
      <c r="J40" s="226"/>
      <c r="K40" s="226"/>
      <c r="L40" s="226"/>
      <c r="M40" s="226"/>
      <c r="N40" s="226"/>
      <c r="O40" s="226"/>
    </row>
    <row r="41" spans="2:15">
      <c r="B41" s="206" t="s">
        <v>270</v>
      </c>
      <c r="C41" s="207" t="s">
        <v>2</v>
      </c>
      <c r="D41" s="220">
        <v>0.02</v>
      </c>
      <c r="E41" s="209"/>
      <c r="F41" s="225"/>
      <c r="G41" s="225"/>
      <c r="H41" s="225"/>
      <c r="I41" s="225"/>
      <c r="J41" s="226"/>
      <c r="K41" s="226"/>
      <c r="L41" s="226"/>
      <c r="M41" s="226"/>
      <c r="N41" s="226"/>
      <c r="O41" s="226"/>
    </row>
    <row r="42" spans="2:15" ht="16" thickBot="1">
      <c r="B42" s="206" t="s">
        <v>271</v>
      </c>
      <c r="C42" s="207" t="s">
        <v>272</v>
      </c>
      <c r="D42" s="211">
        <v>1.2</v>
      </c>
      <c r="E42" s="209"/>
      <c r="F42" s="225"/>
      <c r="G42" s="225"/>
      <c r="H42" s="225"/>
      <c r="I42" s="225"/>
      <c r="J42" s="226"/>
      <c r="K42" s="226"/>
      <c r="L42" s="226"/>
      <c r="M42" s="226"/>
      <c r="N42" s="226"/>
      <c r="O42" s="226"/>
    </row>
    <row r="43" spans="2:15">
      <c r="B43" s="217" t="s">
        <v>273</v>
      </c>
      <c r="C43" s="223"/>
      <c r="D43" s="228"/>
      <c r="E43" s="218"/>
      <c r="F43" s="218"/>
      <c r="G43" s="218"/>
      <c r="H43" s="218"/>
      <c r="I43" s="218"/>
      <c r="J43" s="218"/>
      <c r="K43" s="218"/>
      <c r="L43" s="218"/>
      <c r="M43" s="218"/>
      <c r="N43" s="218"/>
      <c r="O43" s="218"/>
    </row>
    <row r="44" spans="2:15" ht="16" outlineLevel="1" thickBot="1">
      <c r="B44" s="183"/>
      <c r="C44" s="195"/>
      <c r="D44" s="184">
        <v>1</v>
      </c>
      <c r="E44" s="184">
        <v>2</v>
      </c>
      <c r="F44" s="184">
        <v>3</v>
      </c>
      <c r="G44" s="184">
        <v>4</v>
      </c>
      <c r="H44" s="184">
        <v>5</v>
      </c>
      <c r="I44" s="184">
        <v>6</v>
      </c>
      <c r="J44" s="184">
        <v>7</v>
      </c>
      <c r="K44" s="184">
        <v>8</v>
      </c>
      <c r="L44" s="184">
        <v>9</v>
      </c>
      <c r="M44" s="184">
        <v>10</v>
      </c>
      <c r="N44" s="184">
        <v>11</v>
      </c>
      <c r="O44" s="184">
        <v>12</v>
      </c>
    </row>
    <row r="45" spans="2:15">
      <c r="B45" s="206" t="s">
        <v>274</v>
      </c>
      <c r="C45" s="207" t="s">
        <v>275</v>
      </c>
      <c r="D45" s="220">
        <v>0.1</v>
      </c>
      <c r="E45" s="220">
        <v>0.1</v>
      </c>
      <c r="F45" s="220">
        <v>0.1</v>
      </c>
      <c r="G45" s="220">
        <v>0.1</v>
      </c>
      <c r="H45" s="220">
        <v>0.1</v>
      </c>
      <c r="I45" s="220">
        <v>0.1</v>
      </c>
      <c r="J45" s="220">
        <v>0.1</v>
      </c>
      <c r="K45" s="220">
        <v>0.1</v>
      </c>
      <c r="L45" s="220">
        <v>0.1</v>
      </c>
      <c r="M45" s="220">
        <v>0.1</v>
      </c>
      <c r="N45" s="220">
        <v>0.1</v>
      </c>
      <c r="O45" s="220">
        <v>0.1</v>
      </c>
    </row>
    <row r="46" spans="2:15">
      <c r="B46" s="206" t="s">
        <v>276</v>
      </c>
      <c r="C46" s="207" t="s">
        <v>277</v>
      </c>
      <c r="D46" s="220">
        <v>0.3</v>
      </c>
      <c r="E46" s="229">
        <f t="shared" ref="E46:O47" si="1">1/12</f>
        <v>8.3333333333333329E-2</v>
      </c>
      <c r="F46" s="229">
        <f t="shared" si="1"/>
        <v>8.3333333333333329E-2</v>
      </c>
      <c r="G46" s="229">
        <f t="shared" si="1"/>
        <v>8.3333333333333329E-2</v>
      </c>
      <c r="H46" s="229">
        <f t="shared" si="1"/>
        <v>8.3333333333333329E-2</v>
      </c>
      <c r="I46" s="229">
        <f t="shared" si="1"/>
        <v>8.3333333333333329E-2</v>
      </c>
      <c r="J46" s="229">
        <f t="shared" si="1"/>
        <v>8.3333333333333329E-2</v>
      </c>
      <c r="K46" s="229">
        <f t="shared" si="1"/>
        <v>8.3333333333333329E-2</v>
      </c>
      <c r="L46" s="229">
        <f t="shared" si="1"/>
        <v>8.3333333333333329E-2</v>
      </c>
      <c r="M46" s="229">
        <f t="shared" si="1"/>
        <v>8.3333333333333329E-2</v>
      </c>
      <c r="N46" s="229">
        <f t="shared" si="1"/>
        <v>8.3333333333333329E-2</v>
      </c>
      <c r="O46" s="229">
        <f t="shared" si="1"/>
        <v>8.3333333333333329E-2</v>
      </c>
    </row>
    <row r="47" spans="2:15" ht="16" thickBot="1">
      <c r="B47" s="230" t="s">
        <v>278</v>
      </c>
      <c r="C47" s="231" t="s">
        <v>275</v>
      </c>
      <c r="D47" s="232">
        <f>1/12</f>
        <v>8.3333333333333329E-2</v>
      </c>
      <c r="E47" s="232">
        <f t="shared" si="1"/>
        <v>8.3333333333333329E-2</v>
      </c>
      <c r="F47" s="232">
        <f t="shared" si="1"/>
        <v>8.3333333333333329E-2</v>
      </c>
      <c r="G47" s="232">
        <f t="shared" si="1"/>
        <v>8.3333333333333329E-2</v>
      </c>
      <c r="H47" s="232">
        <f t="shared" si="1"/>
        <v>8.3333333333333329E-2</v>
      </c>
      <c r="I47" s="232">
        <f t="shared" si="1"/>
        <v>8.3333333333333329E-2</v>
      </c>
      <c r="J47" s="232">
        <f t="shared" si="1"/>
        <v>8.3333333333333329E-2</v>
      </c>
      <c r="K47" s="232">
        <f t="shared" si="1"/>
        <v>8.3333333333333329E-2</v>
      </c>
      <c r="L47" s="232">
        <f t="shared" si="1"/>
        <v>8.3333333333333329E-2</v>
      </c>
      <c r="M47" s="232">
        <f t="shared" si="1"/>
        <v>8.3333333333333329E-2</v>
      </c>
      <c r="N47" s="232">
        <f t="shared" si="1"/>
        <v>8.3333333333333329E-2</v>
      </c>
      <c r="O47" s="232">
        <f t="shared" si="1"/>
        <v>8.3333333333333329E-2</v>
      </c>
    </row>
    <row r="48" spans="2:15">
      <c r="B48" s="226"/>
      <c r="E48" s="233"/>
      <c r="F48" s="179"/>
      <c r="G48" s="179"/>
      <c r="H48" s="179"/>
      <c r="I48" s="179"/>
      <c r="J48" s="226"/>
      <c r="K48" s="226"/>
      <c r="L48" s="226"/>
      <c r="M48" s="226"/>
      <c r="N48" s="226"/>
      <c r="O48" s="226"/>
    </row>
    <row r="49" spans="2:15">
      <c r="C49" s="179"/>
      <c r="D49" s="179"/>
      <c r="E49" s="234"/>
      <c r="F49" s="226"/>
      <c r="G49" s="226"/>
      <c r="H49" s="226"/>
      <c r="I49" s="226"/>
      <c r="J49" s="226"/>
      <c r="K49" s="226"/>
      <c r="L49" s="226"/>
      <c r="M49" s="226"/>
      <c r="N49" s="226"/>
      <c r="O49" s="226"/>
    </row>
    <row r="50" spans="2:15">
      <c r="C50" s="179"/>
      <c r="D50" s="179"/>
      <c r="E50" s="234"/>
      <c r="F50" s="226"/>
      <c r="G50" s="226"/>
      <c r="H50" s="226"/>
      <c r="I50" s="226"/>
      <c r="J50" s="226"/>
      <c r="K50" s="226"/>
      <c r="L50" s="226"/>
      <c r="M50" s="226"/>
      <c r="N50" s="226"/>
      <c r="O50" s="226"/>
    </row>
    <row r="51" spans="2:15">
      <c r="C51" s="179"/>
      <c r="D51" s="179"/>
      <c r="E51" s="234"/>
      <c r="F51" s="226"/>
      <c r="G51" s="226"/>
      <c r="H51" s="226"/>
      <c r="I51" s="226"/>
      <c r="J51" s="226"/>
      <c r="K51" s="226"/>
      <c r="L51" s="226"/>
      <c r="M51" s="226"/>
      <c r="N51" s="226"/>
      <c r="O51" s="226"/>
    </row>
    <row r="52" spans="2:15">
      <c r="C52" s="179"/>
      <c r="D52" s="179"/>
      <c r="E52" s="234"/>
      <c r="F52" s="226"/>
      <c r="G52" s="226"/>
      <c r="H52" s="226"/>
      <c r="I52" s="226"/>
      <c r="J52" s="226"/>
      <c r="K52" s="226"/>
      <c r="L52" s="226"/>
      <c r="M52" s="226"/>
      <c r="N52" s="226"/>
      <c r="O52" s="226"/>
    </row>
    <row r="53" spans="2:15">
      <c r="B53" s="226"/>
      <c r="E53" s="234"/>
      <c r="F53" s="226"/>
      <c r="G53" s="226"/>
      <c r="H53" s="226"/>
      <c r="I53" s="226"/>
      <c r="J53" s="226"/>
      <c r="K53" s="226"/>
      <c r="L53" s="226"/>
      <c r="M53" s="226"/>
      <c r="N53" s="226"/>
      <c r="O53" s="226"/>
    </row>
    <row r="54" spans="2:15">
      <c r="C54" s="179"/>
      <c r="D54" s="179"/>
      <c r="E54" s="234"/>
      <c r="F54" s="226"/>
      <c r="G54" s="226"/>
      <c r="H54" s="226"/>
      <c r="I54" s="226"/>
      <c r="J54" s="226"/>
      <c r="K54" s="226"/>
      <c r="L54" s="226"/>
      <c r="M54" s="226"/>
      <c r="N54" s="226"/>
      <c r="O54" s="226"/>
    </row>
    <row r="55" spans="2:15">
      <c r="B55" s="226"/>
      <c r="E55" s="226"/>
      <c r="F55" s="226"/>
      <c r="G55" s="226"/>
      <c r="H55" s="226"/>
      <c r="I55" s="226"/>
      <c r="J55" s="226"/>
      <c r="K55" s="226"/>
      <c r="L55" s="226"/>
      <c r="M55" s="226"/>
      <c r="N55" s="226"/>
      <c r="O55" s="226"/>
    </row>
    <row r="56" spans="2:15">
      <c r="B56" s="226"/>
      <c r="C56" s="226"/>
      <c r="D56" s="226"/>
      <c r="E56" s="226"/>
      <c r="F56" s="226"/>
      <c r="G56" s="226"/>
      <c r="H56" s="226"/>
      <c r="I56" s="226"/>
      <c r="J56" s="226"/>
      <c r="K56" s="226"/>
      <c r="L56" s="226"/>
      <c r="M56" s="226"/>
      <c r="N56" s="226"/>
      <c r="O56" s="226"/>
    </row>
    <row r="57" spans="2:15">
      <c r="B57" s="226"/>
      <c r="C57" s="226"/>
      <c r="D57" s="226"/>
      <c r="E57" s="226"/>
      <c r="F57" s="226"/>
      <c r="G57" s="226"/>
      <c r="H57" s="226"/>
      <c r="I57" s="226"/>
      <c r="J57" s="226"/>
      <c r="K57" s="226"/>
      <c r="L57" s="226"/>
      <c r="M57" s="226"/>
      <c r="N57" s="226"/>
      <c r="O57" s="226"/>
    </row>
    <row r="58" spans="2:15">
      <c r="B58" s="226"/>
      <c r="C58" s="226"/>
      <c r="D58" s="226"/>
      <c r="E58" s="226"/>
      <c r="F58" s="226"/>
      <c r="G58" s="226"/>
      <c r="H58" s="226"/>
      <c r="I58" s="226"/>
      <c r="J58" s="226"/>
      <c r="K58" s="226"/>
      <c r="L58" s="226"/>
      <c r="M58" s="226"/>
      <c r="N58" s="226"/>
      <c r="O58" s="226"/>
    </row>
    <row r="60" spans="2:15">
      <c r="B60" s="226"/>
      <c r="C60" s="226"/>
      <c r="D60" s="226"/>
      <c r="E60" s="226"/>
      <c r="F60" s="226"/>
      <c r="G60" s="226"/>
      <c r="H60" s="226"/>
      <c r="I60" s="226"/>
      <c r="J60" s="226"/>
      <c r="K60" s="226"/>
      <c r="L60" s="226"/>
      <c r="M60" s="226"/>
      <c r="N60" s="226"/>
      <c r="O60" s="226"/>
    </row>
    <row r="61" spans="2:15">
      <c r="B61" s="226"/>
      <c r="C61" s="226"/>
      <c r="D61" s="226"/>
      <c r="E61" s="226"/>
      <c r="F61" s="226"/>
      <c r="G61" s="226"/>
      <c r="H61" s="226"/>
      <c r="I61" s="226"/>
      <c r="J61" s="226"/>
      <c r="K61" s="226"/>
      <c r="L61" s="226"/>
      <c r="M61" s="226"/>
      <c r="N61" s="226"/>
      <c r="O61" s="226"/>
    </row>
    <row r="62" spans="2:15">
      <c r="B62" s="226"/>
      <c r="C62" s="226"/>
      <c r="D62" s="226"/>
      <c r="E62" s="226"/>
      <c r="F62" s="226"/>
      <c r="G62" s="226"/>
      <c r="H62" s="226"/>
      <c r="I62" s="226"/>
      <c r="J62" s="226"/>
      <c r="K62" s="226"/>
      <c r="L62" s="226"/>
      <c r="M62" s="226"/>
      <c r="N62" s="226"/>
      <c r="O62" s="226"/>
    </row>
    <row r="63" spans="2:15">
      <c r="B63" s="226"/>
      <c r="C63" s="226"/>
      <c r="D63" s="226"/>
      <c r="E63" s="226"/>
      <c r="F63" s="226"/>
      <c r="G63" s="226"/>
      <c r="H63" s="226"/>
      <c r="I63" s="226"/>
      <c r="J63" s="226"/>
      <c r="K63" s="226"/>
      <c r="L63" s="226"/>
      <c r="M63" s="226"/>
      <c r="N63" s="226"/>
      <c r="O63" s="226"/>
    </row>
    <row r="64" spans="2:15">
      <c r="B64" s="226"/>
      <c r="C64" s="226"/>
      <c r="D64" s="226"/>
      <c r="E64" s="226"/>
      <c r="F64" s="226"/>
      <c r="G64" s="226"/>
      <c r="H64" s="226"/>
      <c r="I64" s="226"/>
      <c r="J64" s="226"/>
      <c r="K64" s="226"/>
      <c r="L64" s="226"/>
      <c r="M64" s="226"/>
      <c r="N64" s="226"/>
      <c r="O64" s="226"/>
    </row>
    <row r="65" spans="2:15">
      <c r="B65" s="226"/>
      <c r="C65" s="226"/>
      <c r="D65" s="226"/>
      <c r="E65" s="226"/>
      <c r="F65" s="226"/>
      <c r="G65" s="226"/>
      <c r="H65" s="226"/>
      <c r="I65" s="226"/>
      <c r="J65" s="226"/>
      <c r="K65" s="226"/>
      <c r="L65" s="226"/>
      <c r="M65" s="226"/>
      <c r="N65" s="226"/>
      <c r="O65" s="226"/>
    </row>
  </sheetData>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theme="7" tint="0.59999389629810485"/>
  </sheetPr>
  <dimension ref="A1:AM162"/>
  <sheetViews>
    <sheetView topLeftCell="A51" zoomScale="80" zoomScaleNormal="80" workbookViewId="0">
      <selection activeCell="L14" sqref="L14"/>
    </sheetView>
  </sheetViews>
  <sheetFormatPr baseColWidth="10" defaultColWidth="10" defaultRowHeight="15" outlineLevelRow="1"/>
  <cols>
    <col min="1" max="1" width="4.6640625" style="226" customWidth="1"/>
    <col min="2" max="2" width="42.1640625" style="226" bestFit="1" customWidth="1"/>
    <col min="3" max="3" width="16.83203125" style="226" bestFit="1" customWidth="1"/>
    <col min="4" max="4" width="15.1640625" style="226" bestFit="1" customWidth="1"/>
    <col min="5" max="8" width="16.83203125" style="226" bestFit="1" customWidth="1"/>
    <col min="9" max="9" width="15.83203125" style="226" bestFit="1" customWidth="1"/>
    <col min="10" max="10" width="16.83203125" style="226" bestFit="1" customWidth="1"/>
    <col min="11" max="11" width="14.5" style="226" bestFit="1" customWidth="1"/>
    <col min="12" max="15" width="14.1640625" style="226" bestFit="1" customWidth="1"/>
    <col min="16" max="25" width="14.6640625" style="226" bestFit="1" customWidth="1"/>
    <col min="26" max="26" width="13" style="226" bestFit="1" customWidth="1"/>
    <col min="27" max="27" width="10" style="226"/>
    <col min="28" max="28" width="20.5" style="226" bestFit="1" customWidth="1"/>
    <col min="29" max="16384" width="10" style="226"/>
  </cols>
  <sheetData>
    <row r="1" spans="1:22" s="175" customFormat="1">
      <c r="B1" s="175" t="s">
        <v>168</v>
      </c>
      <c r="C1" s="175" t="str">
        <f>Cover!$C$10</f>
        <v>Mr. Amir Artine</v>
      </c>
      <c r="D1" s="176" t="str">
        <f>Cover!$C$3</f>
        <v>Cattle Integration, Baghara, Chad</v>
      </c>
      <c r="E1" s="177"/>
      <c r="F1" s="177"/>
      <c r="G1" s="177" t="s">
        <v>169</v>
      </c>
      <c r="H1" s="178">
        <f ca="1">Cover!$C$13</f>
        <v>45763</v>
      </c>
      <c r="I1" s="177"/>
      <c r="J1" s="177"/>
      <c r="K1" s="177"/>
      <c r="L1" s="177"/>
      <c r="M1" s="177"/>
      <c r="N1" s="177"/>
      <c r="O1" s="177"/>
      <c r="P1" s="177"/>
      <c r="Q1" s="177"/>
      <c r="R1" s="177"/>
      <c r="S1" s="177"/>
      <c r="T1" s="177"/>
      <c r="U1" s="177"/>
      <c r="V1" s="177"/>
    </row>
    <row r="3" spans="1:22" ht="16" thickBot="1"/>
    <row r="4" spans="1:22" ht="16" thickTop="1">
      <c r="B4" s="235" t="s">
        <v>279</v>
      </c>
      <c r="C4" s="235"/>
      <c r="D4" s="235"/>
    </row>
    <row r="5" spans="1:22" ht="16" outlineLevel="1" thickBot="1">
      <c r="B5" s="236"/>
      <c r="C5" s="183" t="s">
        <v>280</v>
      </c>
      <c r="D5" s="183" t="s">
        <v>281</v>
      </c>
    </row>
    <row r="6" spans="1:22" outlineLevel="1">
      <c r="B6" s="225" t="s">
        <v>282</v>
      </c>
      <c r="C6" s="237">
        <f>Fin.Statements!C105/1000</f>
        <v>115391.95966484197</v>
      </c>
      <c r="D6" s="237">
        <f>Fin.Statements!D105/1000</f>
        <v>97128.47419801561</v>
      </c>
    </row>
    <row r="7" spans="1:22" outlineLevel="1">
      <c r="B7" s="225" t="s">
        <v>283</v>
      </c>
      <c r="C7" s="238">
        <f>Fin.Statements!C106</f>
        <v>0.29057220304306353</v>
      </c>
      <c r="D7" s="238">
        <f>Fin.Statements!D106</f>
        <v>0.16573040910311931</v>
      </c>
    </row>
    <row r="8" spans="1:22" outlineLevel="1">
      <c r="B8" s="225" t="s">
        <v>284</v>
      </c>
      <c r="C8" s="239">
        <f ca="1">Fin.Statements!C107</f>
        <v>6.9</v>
      </c>
      <c r="D8" s="239">
        <f ca="1">Fin.Statements!D107</f>
        <v>8.6</v>
      </c>
    </row>
    <row r="9" spans="1:22" outlineLevel="1">
      <c r="B9" s="225" t="s">
        <v>285</v>
      </c>
      <c r="C9" s="239">
        <f ca="1">Fin.Statements!C108</f>
        <v>7.5</v>
      </c>
      <c r="D9" s="239">
        <f ca="1">Fin.Statements!D108</f>
        <v>10.1</v>
      </c>
    </row>
    <row r="10" spans="1:22" outlineLevel="1">
      <c r="B10" s="225" t="s">
        <v>527</v>
      </c>
      <c r="C10" s="609">
        <f>'Data Input'!O5/1000</f>
        <v>37105.101484202263</v>
      </c>
      <c r="D10" s="609"/>
    </row>
    <row r="11" spans="1:22" outlineLevel="1">
      <c r="B11" s="240" t="s">
        <v>528</v>
      </c>
      <c r="C11" s="609">
        <f>('Data Input'!O5-SUM('Data Input'!O6:O7))/1000</f>
        <v>20342.602737419948</v>
      </c>
      <c r="D11" s="609"/>
    </row>
    <row r="12" spans="1:22" outlineLevel="1">
      <c r="B12" s="240" t="s">
        <v>286</v>
      </c>
      <c r="C12" s="610">
        <f>C11/C10</f>
        <v>0.54824274624557867</v>
      </c>
      <c r="D12" s="610"/>
    </row>
    <row r="13" spans="1:22" outlineLevel="1">
      <c r="B13" s="240" t="s">
        <v>287</v>
      </c>
      <c r="C13" s="609">
        <f>C23/1000</f>
        <v>54721.415325361566</v>
      </c>
      <c r="D13" s="609"/>
    </row>
    <row r="14" spans="1:22" ht="16" outlineLevel="1" thickBot="1">
      <c r="B14" s="241" t="s">
        <v>529</v>
      </c>
      <c r="C14" s="611">
        <f>Q43</f>
        <v>0.90716364153221962</v>
      </c>
      <c r="D14" s="611"/>
    </row>
    <row r="15" spans="1:22" outlineLevel="1">
      <c r="B15" s="243"/>
      <c r="C15" s="243"/>
      <c r="D15" s="243"/>
    </row>
    <row r="16" spans="1:22" ht="16" thickBot="1">
      <c r="A16" s="243"/>
      <c r="B16" s="243"/>
      <c r="C16" s="243"/>
      <c r="D16" s="243"/>
      <c r="E16" s="243"/>
    </row>
    <row r="17" spans="1:35" ht="16" thickTop="1">
      <c r="A17" s="243"/>
      <c r="B17" s="244" t="s">
        <v>288</v>
      </c>
      <c r="C17" s="244"/>
      <c r="D17" s="245"/>
      <c r="E17" s="245"/>
      <c r="F17" s="244"/>
      <c r="G17" s="244"/>
      <c r="H17" s="244"/>
      <c r="I17" s="244"/>
      <c r="J17" s="244"/>
      <c r="K17" s="244"/>
      <c r="L17" s="244"/>
      <c r="M17" s="244"/>
      <c r="N17" s="244"/>
      <c r="O17" s="244"/>
      <c r="P17" s="244"/>
      <c r="Q17" s="244"/>
      <c r="R17" s="244"/>
      <c r="S17" s="244"/>
      <c r="T17" s="244"/>
      <c r="U17" s="244"/>
      <c r="V17" s="244"/>
      <c r="W17" s="244"/>
      <c r="X17" s="244"/>
      <c r="Y17" s="244"/>
      <c r="AB17" s="244" t="s">
        <v>288</v>
      </c>
      <c r="AC17" s="244"/>
      <c r="AD17" s="245"/>
      <c r="AE17" s="245"/>
      <c r="AF17" s="244"/>
      <c r="AG17" s="244"/>
      <c r="AH17" s="244"/>
      <c r="AI17" s="244"/>
    </row>
    <row r="18" spans="1:35" ht="16" outlineLevel="1" thickBot="1">
      <c r="A18" s="243"/>
      <c r="B18" s="246" t="s">
        <v>21</v>
      </c>
      <c r="C18" s="183" t="s">
        <v>23</v>
      </c>
      <c r="D18" s="247" t="s">
        <v>2</v>
      </c>
      <c r="E18" s="248" t="s">
        <v>16</v>
      </c>
      <c r="F18" s="183" t="s">
        <v>4</v>
      </c>
      <c r="G18" s="183" t="s">
        <v>5</v>
      </c>
      <c r="H18" s="183" t="s">
        <v>6</v>
      </c>
      <c r="I18" s="183" t="s">
        <v>7</v>
      </c>
      <c r="J18" s="183" t="s">
        <v>8</v>
      </c>
      <c r="K18" s="183" t="s">
        <v>9</v>
      </c>
      <c r="L18" s="183" t="s">
        <v>10</v>
      </c>
      <c r="M18" s="183" t="s">
        <v>11</v>
      </c>
      <c r="N18" s="183" t="s">
        <v>12</v>
      </c>
      <c r="O18" s="183" t="s">
        <v>13</v>
      </c>
      <c r="P18" s="183" t="s">
        <v>14</v>
      </c>
      <c r="Q18" s="183" t="s">
        <v>15</v>
      </c>
      <c r="R18" s="183" t="s">
        <v>289</v>
      </c>
      <c r="S18" s="183" t="s">
        <v>290</v>
      </c>
      <c r="T18" s="183" t="s">
        <v>291</v>
      </c>
      <c r="U18" s="183" t="s">
        <v>292</v>
      </c>
      <c r="V18" s="183" t="s">
        <v>293</v>
      </c>
      <c r="W18" s="183" t="s">
        <v>294</v>
      </c>
      <c r="X18" s="183" t="s">
        <v>295</v>
      </c>
      <c r="Y18" s="183" t="s">
        <v>296</v>
      </c>
      <c r="AB18" s="246" t="s">
        <v>21</v>
      </c>
      <c r="AC18" s="183" t="s">
        <v>23</v>
      </c>
      <c r="AD18" s="247" t="s">
        <v>2</v>
      </c>
      <c r="AE18" s="248" t="s">
        <v>16</v>
      </c>
      <c r="AF18" s="183" t="s">
        <v>4</v>
      </c>
      <c r="AG18" s="183" t="s">
        <v>5</v>
      </c>
      <c r="AH18" s="183" t="s">
        <v>6</v>
      </c>
      <c r="AI18" s="183" t="s">
        <v>7</v>
      </c>
    </row>
    <row r="19" spans="1:35" outlineLevel="1">
      <c r="A19" s="243"/>
      <c r="B19" s="249" t="s">
        <v>297</v>
      </c>
      <c r="C19" s="249"/>
      <c r="D19" s="249"/>
      <c r="E19" s="250"/>
      <c r="F19" s="251"/>
      <c r="G19" s="251"/>
      <c r="H19" s="251"/>
      <c r="I19" s="251"/>
      <c r="J19" s="251"/>
      <c r="K19" s="251"/>
      <c r="L19" s="251"/>
      <c r="M19" s="251"/>
      <c r="N19" s="251"/>
      <c r="O19" s="251"/>
      <c r="P19" s="251"/>
      <c r="Q19" s="251"/>
      <c r="R19" s="251"/>
      <c r="S19" s="251"/>
      <c r="T19" s="251"/>
      <c r="U19" s="251"/>
      <c r="V19" s="251"/>
      <c r="W19" s="251"/>
      <c r="X19" s="251"/>
      <c r="Y19" s="251"/>
      <c r="AB19" s="249" t="s">
        <v>297</v>
      </c>
      <c r="AC19" s="249"/>
      <c r="AD19" s="249"/>
      <c r="AE19" s="250"/>
      <c r="AF19" s="251"/>
      <c r="AG19" s="251"/>
      <c r="AH19" s="251"/>
      <c r="AI19" s="251"/>
    </row>
    <row r="20" spans="1:35" outlineLevel="1">
      <c r="A20" s="243"/>
      <c r="B20" s="225" t="s">
        <v>298</v>
      </c>
      <c r="C20" s="189">
        <f>SUM(E20:Y20)</f>
        <v>18240471.775120519</v>
      </c>
      <c r="D20" s="252">
        <f>C20/$C$23</f>
        <v>0.33333333333333331</v>
      </c>
      <c r="E20" s="253">
        <f>'CAPEX Financing'!C18+'WC Financing'!C23</f>
        <v>13407347.078175653</v>
      </c>
      <c r="F20" s="254">
        <f>'CAPEX Financing'!D18+'WC Financing'!D23</f>
        <v>4833124.6969448682</v>
      </c>
      <c r="G20" s="254">
        <f>'CAPEX Financing'!E18+'WC Financing'!E23</f>
        <v>2.7183389607728517E-138</v>
      </c>
      <c r="H20" s="254">
        <f>'CAPEX Financing'!F18+'WC Financing'!F23</f>
        <v>2.8769343687993079E-138</v>
      </c>
      <c r="I20" s="254">
        <f>'CAPEX Financing'!G18+'WC Financing'!G23</f>
        <v>0</v>
      </c>
      <c r="J20" s="254">
        <f>'CAPEX Financing'!H18+'WC Financing'!H23</f>
        <v>0</v>
      </c>
      <c r="K20" s="254">
        <f>'CAPEX Financing'!I18+'WC Financing'!I23</f>
        <v>0</v>
      </c>
      <c r="L20" s="254">
        <f>'CAPEX Financing'!J18+'WC Financing'!J23</f>
        <v>0</v>
      </c>
      <c r="M20" s="254">
        <f>'CAPEX Financing'!K18+'WC Financing'!K23</f>
        <v>0</v>
      </c>
      <c r="N20" s="254">
        <f>'CAPEX Financing'!L18+'WC Financing'!L23</f>
        <v>0</v>
      </c>
      <c r="O20" s="254">
        <f>'CAPEX Financing'!M18+'WC Financing'!M23</f>
        <v>0</v>
      </c>
      <c r="P20" s="254">
        <f>'CAPEX Financing'!N18+'WC Financing'!N23</f>
        <v>0</v>
      </c>
      <c r="Q20" s="254">
        <f>'CAPEX Financing'!O18+'WC Financing'!O23</f>
        <v>0</v>
      </c>
      <c r="R20" s="254">
        <f>'CAPEX Financing'!P18+'WC Financing'!P23</f>
        <v>0</v>
      </c>
      <c r="S20" s="254">
        <f>'CAPEX Financing'!Q18+'WC Financing'!Q23</f>
        <v>0</v>
      </c>
      <c r="T20" s="254">
        <f>'CAPEX Financing'!R18+'WC Financing'!R23</f>
        <v>0</v>
      </c>
      <c r="U20" s="254">
        <f>'CAPEX Financing'!S18+'WC Financing'!S23</f>
        <v>0</v>
      </c>
      <c r="V20" s="254">
        <f>'CAPEX Financing'!T18+'WC Financing'!T23</f>
        <v>0</v>
      </c>
      <c r="W20" s="254">
        <f>'CAPEX Financing'!U18+'WC Financing'!U23</f>
        <v>0</v>
      </c>
      <c r="X20" s="254">
        <f>'CAPEX Financing'!V18+'WC Financing'!V23</f>
        <v>0</v>
      </c>
      <c r="Y20" s="254">
        <f>'CAPEX Financing'!W18+'WC Financing'!W23</f>
        <v>0</v>
      </c>
      <c r="Z20" s="255">
        <f t="shared" ref="Z20:Z30" si="0">ROUND(C20-SUM(E20:J20),0)</f>
        <v>0</v>
      </c>
      <c r="AB20" s="225" t="s">
        <v>298</v>
      </c>
      <c r="AC20" s="491">
        <f>C20/1000</f>
        <v>18240.471775120521</v>
      </c>
      <c r="AD20" s="252">
        <f t="shared" ref="AD20:AD21" si="1">D20</f>
        <v>0.33333333333333331</v>
      </c>
      <c r="AE20" s="495">
        <f>E20/1000</f>
        <v>13407.347078175653</v>
      </c>
      <c r="AF20" s="496">
        <f t="shared" ref="AF20:AI20" si="2">F20/1000</f>
        <v>4833.1246969448684</v>
      </c>
      <c r="AG20" s="496">
        <f t="shared" si="2"/>
        <v>2.7183389607728515E-141</v>
      </c>
      <c r="AH20" s="496">
        <f t="shared" si="2"/>
        <v>2.8769343687993077E-141</v>
      </c>
      <c r="AI20" s="496">
        <f t="shared" si="2"/>
        <v>0</v>
      </c>
    </row>
    <row r="21" spans="1:35" outlineLevel="1">
      <c r="A21" s="243"/>
      <c r="B21" s="225" t="s">
        <v>299</v>
      </c>
      <c r="C21" s="189">
        <f>SUM(E21:Y21)</f>
        <v>36480943.550241046</v>
      </c>
      <c r="D21" s="252">
        <f>C21/$C$23</f>
        <v>0.66666666666666674</v>
      </c>
      <c r="E21" s="253">
        <f>SUM('CAPEX Financing'!C19:C20)</f>
        <v>26814694.156351306</v>
      </c>
      <c r="F21" s="254">
        <f>SUM('CAPEX Financing'!D19:D20)</f>
        <v>9666249.3938897401</v>
      </c>
      <c r="G21" s="254">
        <f>SUM('CAPEX Financing'!E19:E20)</f>
        <v>5.4366779215457047E-138</v>
      </c>
      <c r="H21" s="254">
        <f>SUM('CAPEX Financing'!F19:F20)</f>
        <v>5.7538687375986169E-138</v>
      </c>
      <c r="I21" s="254">
        <f>SUM('CAPEX Financing'!G19:G20)</f>
        <v>0</v>
      </c>
      <c r="J21" s="254">
        <f>SUM('CAPEX Financing'!H19:H20)</f>
        <v>0</v>
      </c>
      <c r="K21" s="254">
        <f>SUM('CAPEX Financing'!I19:I20)</f>
        <v>0</v>
      </c>
      <c r="L21" s="254">
        <f>SUM('CAPEX Financing'!J19:J20)</f>
        <v>0</v>
      </c>
      <c r="M21" s="254">
        <f>SUM('CAPEX Financing'!K19:K20)</f>
        <v>0</v>
      </c>
      <c r="N21" s="254">
        <f>SUM('CAPEX Financing'!L19:L20)</f>
        <v>0</v>
      </c>
      <c r="O21" s="254">
        <f>SUM('CAPEX Financing'!M19:M20)</f>
        <v>0</v>
      </c>
      <c r="P21" s="254">
        <f>SUM('CAPEX Financing'!N19:N20)</f>
        <v>0</v>
      </c>
      <c r="Q21" s="254">
        <f>SUM('CAPEX Financing'!O19:O20)</f>
        <v>0</v>
      </c>
      <c r="R21" s="254">
        <f>SUM('CAPEX Financing'!P19:P20)</f>
        <v>0</v>
      </c>
      <c r="S21" s="254">
        <f>SUM('CAPEX Financing'!Q19:Q20)</f>
        <v>0</v>
      </c>
      <c r="T21" s="254">
        <f>SUM('CAPEX Financing'!R19:R20)</f>
        <v>0</v>
      </c>
      <c r="U21" s="254">
        <f>SUM('CAPEX Financing'!S19:S20)</f>
        <v>0</v>
      </c>
      <c r="V21" s="254">
        <f>SUM('CAPEX Financing'!T19:T20)</f>
        <v>0</v>
      </c>
      <c r="W21" s="254">
        <f>SUM('CAPEX Financing'!U19:U20)</f>
        <v>0</v>
      </c>
      <c r="X21" s="254">
        <f>SUM('CAPEX Financing'!V19:V20)</f>
        <v>0</v>
      </c>
      <c r="Y21" s="254">
        <f>SUM('CAPEX Financing'!W19:W20)</f>
        <v>0</v>
      </c>
      <c r="Z21" s="255">
        <f t="shared" si="0"/>
        <v>0</v>
      </c>
      <c r="AB21" s="225" t="s">
        <v>523</v>
      </c>
      <c r="AC21" s="491">
        <f t="shared" ref="AC21" si="3">C21/1000</f>
        <v>36480.943550241049</v>
      </c>
      <c r="AD21" s="252">
        <f t="shared" si="1"/>
        <v>0.66666666666666674</v>
      </c>
      <c r="AE21" s="495">
        <f t="shared" ref="AE21" si="4">E21/1000</f>
        <v>26814.694156351306</v>
      </c>
      <c r="AF21" s="496">
        <f t="shared" ref="AF21" si="5">F21/1000</f>
        <v>9666.2493938897405</v>
      </c>
      <c r="AG21" s="496">
        <f t="shared" ref="AG21" si="6">G21/1000</f>
        <v>5.4366779215457053E-141</v>
      </c>
      <c r="AH21" s="496">
        <f t="shared" ref="AH21" si="7">H21/1000</f>
        <v>5.7538687375986165E-141</v>
      </c>
      <c r="AI21" s="496">
        <f t="shared" ref="AI21" si="8">I21/1000</f>
        <v>0</v>
      </c>
    </row>
    <row r="22" spans="1:35" outlineLevel="1">
      <c r="A22" s="243"/>
      <c r="B22" s="225" t="s">
        <v>300</v>
      </c>
      <c r="C22" s="189">
        <f>SUM(E22:Y22)</f>
        <v>11975507.728751909</v>
      </c>
      <c r="D22" s="252">
        <f>C22/$C$23</f>
        <v>0.21884499254173453</v>
      </c>
      <c r="E22" s="253">
        <f>'WC Financing'!C24</f>
        <v>0</v>
      </c>
      <c r="F22" s="254">
        <f>+'WC Financing'!D24</f>
        <v>5194550.6847972823</v>
      </c>
      <c r="G22" s="254">
        <f>+'WC Financing'!E24</f>
        <v>3908927.183830495</v>
      </c>
      <c r="H22" s="254">
        <f>+'WC Financing'!F24</f>
        <v>2872029.8601241326</v>
      </c>
      <c r="I22" s="254">
        <f>+'WC Financing'!G24</f>
        <v>0</v>
      </c>
      <c r="J22" s="254">
        <f>+'WC Financing'!H24</f>
        <v>0</v>
      </c>
      <c r="K22" s="254">
        <f>+'WC Financing'!I24</f>
        <v>0</v>
      </c>
      <c r="L22" s="254">
        <f>+'WC Financing'!J24</f>
        <v>0</v>
      </c>
      <c r="M22" s="254">
        <f>+'WC Financing'!K24</f>
        <v>0</v>
      </c>
      <c r="N22" s="254">
        <f>+'WC Financing'!L24</f>
        <v>0</v>
      </c>
      <c r="O22" s="254">
        <f>+'WC Financing'!M24</f>
        <v>0</v>
      </c>
      <c r="P22" s="254">
        <f>+'WC Financing'!N24</f>
        <v>0</v>
      </c>
      <c r="Q22" s="254">
        <f>+'WC Financing'!O24</f>
        <v>0</v>
      </c>
      <c r="R22" s="254">
        <f>+'WC Financing'!P24</f>
        <v>0</v>
      </c>
      <c r="S22" s="254">
        <f>+'WC Financing'!Q24</f>
        <v>0</v>
      </c>
      <c r="T22" s="254">
        <f>+'WC Financing'!R24</f>
        <v>0</v>
      </c>
      <c r="U22" s="254">
        <f>+'WC Financing'!S24</f>
        <v>0</v>
      </c>
      <c r="V22" s="254">
        <f>+'WC Financing'!T24</f>
        <v>0</v>
      </c>
      <c r="W22" s="254">
        <f>+'WC Financing'!U24</f>
        <v>0</v>
      </c>
      <c r="X22" s="254">
        <f>+'WC Financing'!V24</f>
        <v>0</v>
      </c>
      <c r="Y22" s="254">
        <f>+'WC Financing'!W24</f>
        <v>0</v>
      </c>
      <c r="Z22" s="255"/>
      <c r="AB22" s="256" t="s">
        <v>499</v>
      </c>
      <c r="AC22" s="492">
        <f>C23/1000</f>
        <v>54721.415325361566</v>
      </c>
      <c r="AD22" s="258">
        <f>D23</f>
        <v>1</v>
      </c>
      <c r="AE22" s="497">
        <f>E23/1000</f>
        <v>40222.041234526965</v>
      </c>
      <c r="AF22" s="498">
        <f>F23/1000</f>
        <v>14499.374090834608</v>
      </c>
      <c r="AG22" s="498">
        <f>G23/1000</f>
        <v>8.1550168823185567E-141</v>
      </c>
      <c r="AH22" s="498">
        <f>H23/1000</f>
        <v>8.6308031063979248E-141</v>
      </c>
      <c r="AI22" s="498">
        <f>I23/1000</f>
        <v>0</v>
      </c>
    </row>
    <row r="23" spans="1:35" outlineLevel="1">
      <c r="A23" s="243"/>
      <c r="B23" s="256" t="s">
        <v>499</v>
      </c>
      <c r="C23" s="257">
        <f>SUM(C20:C21)</f>
        <v>54721415.325361565</v>
      </c>
      <c r="D23" s="258">
        <f>C23/$C$23</f>
        <v>1</v>
      </c>
      <c r="E23" s="485">
        <f>SUM(E20:E21)</f>
        <v>40222041.234526962</v>
      </c>
      <c r="F23" s="259">
        <f t="shared" ref="F23:I23" si="9">SUM(F20:F21)</f>
        <v>14499374.090834608</v>
      </c>
      <c r="G23" s="259">
        <f t="shared" si="9"/>
        <v>8.1550168823185564E-138</v>
      </c>
      <c r="H23" s="259">
        <f t="shared" si="9"/>
        <v>8.6308031063979247E-138</v>
      </c>
      <c r="I23" s="259">
        <f t="shared" si="9"/>
        <v>0</v>
      </c>
      <c r="J23" s="259">
        <f t="shared" ref="J23:Y23" si="10">SUM(J20:J21)</f>
        <v>0</v>
      </c>
      <c r="K23" s="259">
        <f t="shared" si="10"/>
        <v>0</v>
      </c>
      <c r="L23" s="259">
        <f t="shared" si="10"/>
        <v>0</v>
      </c>
      <c r="M23" s="259">
        <f t="shared" si="10"/>
        <v>0</v>
      </c>
      <c r="N23" s="259">
        <f t="shared" si="10"/>
        <v>0</v>
      </c>
      <c r="O23" s="259">
        <f t="shared" si="10"/>
        <v>0</v>
      </c>
      <c r="P23" s="259">
        <f t="shared" si="10"/>
        <v>0</v>
      </c>
      <c r="Q23" s="259">
        <f t="shared" si="10"/>
        <v>0</v>
      </c>
      <c r="R23" s="259">
        <f t="shared" si="10"/>
        <v>0</v>
      </c>
      <c r="S23" s="259">
        <f t="shared" si="10"/>
        <v>0</v>
      </c>
      <c r="T23" s="259">
        <f t="shared" si="10"/>
        <v>0</v>
      </c>
      <c r="U23" s="259">
        <f t="shared" si="10"/>
        <v>0</v>
      </c>
      <c r="V23" s="259">
        <f t="shared" si="10"/>
        <v>0</v>
      </c>
      <c r="W23" s="259">
        <f t="shared" si="10"/>
        <v>0</v>
      </c>
      <c r="X23" s="259">
        <f t="shared" si="10"/>
        <v>0</v>
      </c>
      <c r="Y23" s="259">
        <f t="shared" si="10"/>
        <v>0</v>
      </c>
      <c r="Z23" s="255">
        <f t="shared" si="0"/>
        <v>0</v>
      </c>
      <c r="AB23" s="249" t="s">
        <v>301</v>
      </c>
      <c r="AC23" s="493"/>
      <c r="AD23" s="249"/>
      <c r="AE23" s="499"/>
      <c r="AF23" s="500"/>
      <c r="AG23" s="500"/>
      <c r="AH23" s="500"/>
      <c r="AI23" s="500"/>
    </row>
    <row r="24" spans="1:35" outlineLevel="1">
      <c r="A24" s="243"/>
      <c r="B24" s="249" t="s">
        <v>301</v>
      </c>
      <c r="C24" s="249"/>
      <c r="D24" s="249"/>
      <c r="E24" s="250"/>
      <c r="F24" s="251"/>
      <c r="G24" s="251"/>
      <c r="H24" s="251"/>
      <c r="I24" s="251"/>
      <c r="J24" s="251"/>
      <c r="K24" s="251"/>
      <c r="L24" s="251"/>
      <c r="M24" s="251"/>
      <c r="N24" s="251"/>
      <c r="O24" s="251"/>
      <c r="P24" s="251"/>
      <c r="Q24" s="251"/>
      <c r="R24" s="251"/>
      <c r="S24" s="251"/>
      <c r="T24" s="251"/>
      <c r="U24" s="251"/>
      <c r="V24" s="251"/>
      <c r="W24" s="251"/>
      <c r="X24" s="251"/>
      <c r="Y24" s="251"/>
      <c r="Z24" s="255">
        <f t="shared" si="0"/>
        <v>0</v>
      </c>
      <c r="AB24" s="225" t="s">
        <v>235</v>
      </c>
      <c r="AC24" s="491">
        <f>C25/1000</f>
        <v>50506.969526040572</v>
      </c>
      <c r="AD24" s="252">
        <f>D25</f>
        <v>0.92298361118288297</v>
      </c>
      <c r="AE24" s="495">
        <f t="shared" ref="AE24:AI27" si="11">E25/1000</f>
        <v>37124.290259186011</v>
      </c>
      <c r="AF24" s="496">
        <f t="shared" si="11"/>
        <v>13382.679266854555</v>
      </c>
      <c r="AG24" s="496">
        <f t="shared" si="11"/>
        <v>0</v>
      </c>
      <c r="AH24" s="496">
        <f t="shared" si="11"/>
        <v>0</v>
      </c>
      <c r="AI24" s="496">
        <f t="shared" si="11"/>
        <v>0</v>
      </c>
    </row>
    <row r="25" spans="1:35" outlineLevel="1">
      <c r="A25" s="243"/>
      <c r="B25" s="225" t="s">
        <v>235</v>
      </c>
      <c r="C25" s="189">
        <f>SUM(E25:Y25)</f>
        <v>50506969.526040569</v>
      </c>
      <c r="D25" s="252">
        <f t="shared" ref="D25:D30" si="12">C25/$C$30</f>
        <v>0.92298361118288297</v>
      </c>
      <c r="E25" s="253">
        <f>'CAPEX Financing'!C16</f>
        <v>37124290.259186015</v>
      </c>
      <c r="F25" s="254">
        <f>'CAPEX Financing'!D16</f>
        <v>13382679.266854554</v>
      </c>
      <c r="G25" s="254">
        <f>'CAPEX Financing'!E16</f>
        <v>0</v>
      </c>
      <c r="H25" s="254">
        <f>'CAPEX Financing'!F16</f>
        <v>0</v>
      </c>
      <c r="I25" s="254">
        <f>'CAPEX Financing'!G16</f>
        <v>0</v>
      </c>
      <c r="J25" s="254">
        <f>'CAPEX Financing'!H16</f>
        <v>0</v>
      </c>
      <c r="K25" s="254">
        <f>'CAPEX Financing'!I16</f>
        <v>0</v>
      </c>
      <c r="L25" s="254">
        <f>'CAPEX Financing'!J16</f>
        <v>0</v>
      </c>
      <c r="M25" s="254">
        <f>'CAPEX Financing'!K16</f>
        <v>0</v>
      </c>
      <c r="N25" s="254">
        <f>'CAPEX Financing'!L16</f>
        <v>0</v>
      </c>
      <c r="O25" s="254">
        <f>'CAPEX Financing'!M16</f>
        <v>0</v>
      </c>
      <c r="P25" s="254">
        <f>'CAPEX Financing'!N16</f>
        <v>0</v>
      </c>
      <c r="Q25" s="254">
        <f>'CAPEX Financing'!O16</f>
        <v>0</v>
      </c>
      <c r="R25" s="254">
        <f>'CAPEX Financing'!P16</f>
        <v>0</v>
      </c>
      <c r="S25" s="254">
        <f>'CAPEX Financing'!Q16</f>
        <v>0</v>
      </c>
      <c r="T25" s="254">
        <f>'CAPEX Financing'!R16</f>
        <v>0</v>
      </c>
      <c r="U25" s="254">
        <f>'CAPEX Financing'!S16</f>
        <v>0</v>
      </c>
      <c r="V25" s="254">
        <f>'CAPEX Financing'!T16</f>
        <v>0</v>
      </c>
      <c r="W25" s="254">
        <f>'CAPEX Financing'!U16</f>
        <v>0</v>
      </c>
      <c r="X25" s="254">
        <f>'CAPEX Financing'!V16</f>
        <v>0</v>
      </c>
      <c r="Y25" s="254">
        <f>'CAPEX Financing'!W16</f>
        <v>0</v>
      </c>
      <c r="Z25" s="255">
        <f t="shared" si="0"/>
        <v>0</v>
      </c>
      <c r="AB25" s="225" t="s">
        <v>302</v>
      </c>
      <c r="AC25" s="491">
        <f>C26/1000</f>
        <v>1015.3948475422736</v>
      </c>
      <c r="AD25" s="252">
        <f>D26</f>
        <v>1.8555712448315855E-2</v>
      </c>
      <c r="AE25" s="495">
        <f t="shared" si="11"/>
        <v>746.34688861384427</v>
      </c>
      <c r="AF25" s="496">
        <f t="shared" si="11"/>
        <v>269.0479589284293</v>
      </c>
      <c r="AG25" s="496">
        <f t="shared" si="11"/>
        <v>2.5841979721992541E-141</v>
      </c>
      <c r="AH25" s="496">
        <f t="shared" si="11"/>
        <v>2.7349672242080462E-141</v>
      </c>
      <c r="AI25" s="496">
        <f t="shared" si="11"/>
        <v>0</v>
      </c>
    </row>
    <row r="26" spans="1:35" outlineLevel="1">
      <c r="A26" s="243"/>
      <c r="B26" s="225" t="s">
        <v>302</v>
      </c>
      <c r="C26" s="189">
        <f>SUM(E26:Y26)</f>
        <v>1015394.8475422736</v>
      </c>
      <c r="D26" s="252">
        <f t="shared" si="12"/>
        <v>1.8555712448315855E-2</v>
      </c>
      <c r="E26" s="253">
        <f>'CAPEX Financing'!C20</f>
        <v>746346.88861384429</v>
      </c>
      <c r="F26" s="254">
        <f>'CAPEX Financing'!D20</f>
        <v>269047.95892842929</v>
      </c>
      <c r="G26" s="254">
        <f>'CAPEX Financing'!E20</f>
        <v>2.5841979721992542E-138</v>
      </c>
      <c r="H26" s="254">
        <f>'CAPEX Financing'!F20</f>
        <v>2.7349672242080463E-138</v>
      </c>
      <c r="I26" s="254">
        <f>'CAPEX Financing'!G20</f>
        <v>0</v>
      </c>
      <c r="J26" s="254">
        <f>'CAPEX Financing'!H20</f>
        <v>0</v>
      </c>
      <c r="K26" s="254">
        <f>'CAPEX Financing'!I20</f>
        <v>0</v>
      </c>
      <c r="L26" s="254">
        <f>'CAPEX Financing'!J20</f>
        <v>0</v>
      </c>
      <c r="M26" s="254">
        <f>'CAPEX Financing'!K20</f>
        <v>0</v>
      </c>
      <c r="N26" s="254">
        <f>'CAPEX Financing'!L20</f>
        <v>0</v>
      </c>
      <c r="O26" s="254">
        <f>'CAPEX Financing'!M20</f>
        <v>0</v>
      </c>
      <c r="P26" s="254">
        <f>'CAPEX Financing'!N20</f>
        <v>0</v>
      </c>
      <c r="Q26" s="254">
        <f>'CAPEX Financing'!O20</f>
        <v>0</v>
      </c>
      <c r="R26" s="254">
        <f>'CAPEX Financing'!P20</f>
        <v>0</v>
      </c>
      <c r="S26" s="254">
        <f>'CAPEX Financing'!Q20</f>
        <v>0</v>
      </c>
      <c r="T26" s="254">
        <f>'CAPEX Financing'!R20</f>
        <v>0</v>
      </c>
      <c r="U26" s="254">
        <f>'CAPEX Financing'!S20</f>
        <v>0</v>
      </c>
      <c r="V26" s="254">
        <f>'CAPEX Financing'!T20</f>
        <v>0</v>
      </c>
      <c r="W26" s="254">
        <f>'CAPEX Financing'!U20</f>
        <v>0</v>
      </c>
      <c r="X26" s="254">
        <f>'CAPEX Financing'!V20</f>
        <v>0</v>
      </c>
      <c r="Y26" s="254">
        <f>'CAPEX Financing'!W20</f>
        <v>0</v>
      </c>
      <c r="Z26" s="255">
        <f t="shared" si="0"/>
        <v>0</v>
      </c>
      <c r="AB26" s="225" t="s">
        <v>256</v>
      </c>
      <c r="AC26" s="491">
        <f>C27/1000</f>
        <v>1010.1393905208114</v>
      </c>
      <c r="AD26" s="252">
        <f>D27</f>
        <v>1.8459672223657658E-2</v>
      </c>
      <c r="AE26" s="495">
        <f t="shared" si="11"/>
        <v>742.48580518372034</v>
      </c>
      <c r="AF26" s="496">
        <f t="shared" si="11"/>
        <v>267.6535853370911</v>
      </c>
      <c r="AG26" s="496">
        <f t="shared" si="11"/>
        <v>0</v>
      </c>
      <c r="AH26" s="496">
        <f t="shared" si="11"/>
        <v>0</v>
      </c>
      <c r="AI26" s="496">
        <f t="shared" si="11"/>
        <v>0</v>
      </c>
    </row>
    <row r="27" spans="1:35" outlineLevel="1">
      <c r="A27" s="243"/>
      <c r="B27" s="225" t="s">
        <v>256</v>
      </c>
      <c r="C27" s="189">
        <f>SUM(E27:Y27)</f>
        <v>1010139.3905208114</v>
      </c>
      <c r="D27" s="252">
        <f t="shared" si="12"/>
        <v>1.8459672223657658E-2</v>
      </c>
      <c r="E27" s="253">
        <f>'CAPEX Financing'!$E$5</f>
        <v>742485.80518372031</v>
      </c>
      <c r="F27" s="254">
        <f>'CAPEX Financing'!$E$6</f>
        <v>267653.58533709112</v>
      </c>
      <c r="G27" s="254">
        <f>'CAPEX Financing'!$E$7</f>
        <v>0</v>
      </c>
      <c r="H27" s="254">
        <f>'CAPEX Financing'!$E$8</f>
        <v>0</v>
      </c>
      <c r="I27" s="254">
        <f>'CAPEX Financing'!$E$9</f>
        <v>0</v>
      </c>
      <c r="J27" s="254"/>
      <c r="K27" s="254"/>
      <c r="L27" s="254"/>
      <c r="M27" s="254"/>
      <c r="N27" s="254"/>
      <c r="O27" s="254"/>
      <c r="P27" s="254"/>
      <c r="Q27" s="254"/>
      <c r="R27" s="254"/>
      <c r="S27" s="254"/>
      <c r="T27" s="254"/>
      <c r="U27" s="254"/>
      <c r="V27" s="254"/>
      <c r="W27" s="254"/>
      <c r="X27" s="254"/>
      <c r="Y27" s="254"/>
      <c r="Z27" s="255">
        <f t="shared" si="0"/>
        <v>0</v>
      </c>
      <c r="AB27" s="225" t="s">
        <v>303</v>
      </c>
      <c r="AC27" s="491">
        <f>C28/1000</f>
        <v>2188.911561257913</v>
      </c>
      <c r="AD27" s="252">
        <f>D28</f>
        <v>4.0001004145143612E-2</v>
      </c>
      <c r="AE27" s="495">
        <f t="shared" si="11"/>
        <v>1608.9182815433787</v>
      </c>
      <c r="AF27" s="496">
        <f t="shared" si="11"/>
        <v>579.99327971453465</v>
      </c>
      <c r="AG27" s="496">
        <f t="shared" si="11"/>
        <v>5.5708189101193029E-141</v>
      </c>
      <c r="AH27" s="496">
        <f t="shared" si="11"/>
        <v>5.8958358821898786E-141</v>
      </c>
      <c r="AI27" s="496">
        <f t="shared" si="11"/>
        <v>0</v>
      </c>
    </row>
    <row r="28" spans="1:35" ht="16" outlineLevel="1" thickBot="1">
      <c r="A28" s="243"/>
      <c r="B28" s="225" t="s">
        <v>303</v>
      </c>
      <c r="C28" s="189">
        <f>SUM(E28:Y28)</f>
        <v>2188911.5612579132</v>
      </c>
      <c r="D28" s="252">
        <f t="shared" si="12"/>
        <v>4.0001004145143612E-2</v>
      </c>
      <c r="E28" s="253">
        <f>'CAPEX Financing'!$F$5</f>
        <v>1608918.2815433787</v>
      </c>
      <c r="F28" s="254">
        <f>'CAPEX Financing'!$F$6</f>
        <v>579993.27971453464</v>
      </c>
      <c r="G28" s="254">
        <f>'CAPEX Financing'!$F$7</f>
        <v>5.5708189101193025E-138</v>
      </c>
      <c r="H28" s="254">
        <f>'CAPEX Financing'!$F$8</f>
        <v>5.895835882189879E-138</v>
      </c>
      <c r="I28" s="254">
        <f>'CAPEX Financing'!$F$9</f>
        <v>0</v>
      </c>
      <c r="J28" s="254"/>
      <c r="K28" s="254"/>
      <c r="L28" s="254"/>
      <c r="M28" s="254"/>
      <c r="N28" s="254"/>
      <c r="O28" s="254"/>
      <c r="P28" s="254"/>
      <c r="Q28" s="254"/>
      <c r="R28" s="254"/>
      <c r="S28" s="254"/>
      <c r="T28" s="254"/>
      <c r="U28" s="254"/>
      <c r="V28" s="254"/>
      <c r="W28" s="254"/>
      <c r="X28" s="254"/>
      <c r="Y28" s="254"/>
      <c r="Z28" s="255">
        <f t="shared" si="0"/>
        <v>0</v>
      </c>
      <c r="AB28" s="260" t="s">
        <v>500</v>
      </c>
      <c r="AC28" s="494">
        <f>C30/1000</f>
        <v>54721.415325361566</v>
      </c>
      <c r="AD28" s="261">
        <f>D30</f>
        <v>1</v>
      </c>
      <c r="AE28" s="501">
        <f>E30/1000</f>
        <v>40222.041234526965</v>
      </c>
      <c r="AF28" s="502">
        <f>F30/1000</f>
        <v>14499.374090834608</v>
      </c>
      <c r="AG28" s="502">
        <f>G30/1000</f>
        <v>8.1550168823185567E-141</v>
      </c>
      <c r="AH28" s="502">
        <f>H30/1000</f>
        <v>8.6308031063979248E-141</v>
      </c>
      <c r="AI28" s="502">
        <f>I30/1000</f>
        <v>0</v>
      </c>
    </row>
    <row r="29" spans="1:35" outlineLevel="1">
      <c r="A29" s="243"/>
      <c r="B29" s="225" t="s">
        <v>304</v>
      </c>
      <c r="C29" s="189">
        <f>SUM(E29:Y29)</f>
        <v>11975507.728751909</v>
      </c>
      <c r="D29" s="252">
        <f t="shared" si="12"/>
        <v>0.21884499254173453</v>
      </c>
      <c r="E29" s="253">
        <f>'WC Financing'!C21</f>
        <v>0</v>
      </c>
      <c r="F29" s="254">
        <f>'WC Financing'!D21</f>
        <v>5194550.6847972823</v>
      </c>
      <c r="G29" s="254">
        <f>'WC Financing'!E21</f>
        <v>3908927.183830495</v>
      </c>
      <c r="H29" s="254">
        <f>'WC Financing'!F21</f>
        <v>2872029.8601241326</v>
      </c>
      <c r="I29" s="254">
        <f>'WC Financing'!G21</f>
        <v>0</v>
      </c>
      <c r="J29" s="254">
        <f>'WC Financing'!H21</f>
        <v>0</v>
      </c>
      <c r="K29" s="254">
        <f>'WC Financing'!I21</f>
        <v>0</v>
      </c>
      <c r="L29" s="254">
        <f>'WC Financing'!J21</f>
        <v>0</v>
      </c>
      <c r="M29" s="254">
        <f>'WC Financing'!K21</f>
        <v>0</v>
      </c>
      <c r="N29" s="254">
        <f>'WC Financing'!L21</f>
        <v>0</v>
      </c>
      <c r="O29" s="254">
        <f>'WC Financing'!M21</f>
        <v>0</v>
      </c>
      <c r="P29" s="254">
        <f>'WC Financing'!N21</f>
        <v>0</v>
      </c>
      <c r="Q29" s="254">
        <f>'WC Financing'!O21</f>
        <v>0</v>
      </c>
      <c r="R29" s="254">
        <f>'WC Financing'!P21</f>
        <v>0</v>
      </c>
      <c r="S29" s="254">
        <f>'WC Financing'!Q21</f>
        <v>0</v>
      </c>
      <c r="T29" s="254">
        <f>'WC Financing'!R21</f>
        <v>0</v>
      </c>
      <c r="U29" s="254">
        <f>'WC Financing'!S21</f>
        <v>0</v>
      </c>
      <c r="V29" s="254">
        <f>'WC Financing'!T21</f>
        <v>0</v>
      </c>
      <c r="W29" s="254">
        <f>'WC Financing'!U21</f>
        <v>0</v>
      </c>
      <c r="X29" s="254">
        <f>'WC Financing'!V21</f>
        <v>0</v>
      </c>
      <c r="Y29" s="254">
        <f>'WC Financing'!W21</f>
        <v>0</v>
      </c>
      <c r="Z29" s="255">
        <f t="shared" si="0"/>
        <v>0</v>
      </c>
    </row>
    <row r="30" spans="1:35" ht="16" outlineLevel="1" thickBot="1">
      <c r="A30" s="243"/>
      <c r="B30" s="260" t="s">
        <v>500</v>
      </c>
      <c r="C30" s="199">
        <f>SUM(C25:C28)</f>
        <v>54721415.325361565</v>
      </c>
      <c r="D30" s="261">
        <f t="shared" si="12"/>
        <v>1</v>
      </c>
      <c r="E30" s="262">
        <f>SUM(E25:E28)</f>
        <v>40222041.234526962</v>
      </c>
      <c r="F30" s="199">
        <f t="shared" ref="F30:I30" si="13">SUM(F25:F28)</f>
        <v>14499374.090834608</v>
      </c>
      <c r="G30" s="199">
        <f t="shared" si="13"/>
        <v>8.1550168823185564E-138</v>
      </c>
      <c r="H30" s="199">
        <f t="shared" si="13"/>
        <v>8.6308031063979247E-138</v>
      </c>
      <c r="I30" s="199">
        <f t="shared" si="13"/>
        <v>0</v>
      </c>
      <c r="J30" s="199">
        <f t="shared" ref="J30:Y30" si="14">SUM(J25:J29)</f>
        <v>0</v>
      </c>
      <c r="K30" s="199">
        <f t="shared" si="14"/>
        <v>0</v>
      </c>
      <c r="L30" s="199">
        <f t="shared" si="14"/>
        <v>0</v>
      </c>
      <c r="M30" s="199">
        <f t="shared" si="14"/>
        <v>0</v>
      </c>
      <c r="N30" s="199">
        <f t="shared" si="14"/>
        <v>0</v>
      </c>
      <c r="O30" s="199">
        <f t="shared" si="14"/>
        <v>0</v>
      </c>
      <c r="P30" s="199">
        <f t="shared" si="14"/>
        <v>0</v>
      </c>
      <c r="Q30" s="199">
        <f t="shared" si="14"/>
        <v>0</v>
      </c>
      <c r="R30" s="199">
        <f t="shared" si="14"/>
        <v>0</v>
      </c>
      <c r="S30" s="199">
        <f t="shared" si="14"/>
        <v>0</v>
      </c>
      <c r="T30" s="199">
        <f t="shared" si="14"/>
        <v>0</v>
      </c>
      <c r="U30" s="199">
        <f t="shared" si="14"/>
        <v>0</v>
      </c>
      <c r="V30" s="199">
        <f t="shared" si="14"/>
        <v>0</v>
      </c>
      <c r="W30" s="199">
        <f t="shared" si="14"/>
        <v>0</v>
      </c>
      <c r="X30" s="199">
        <f t="shared" si="14"/>
        <v>0</v>
      </c>
      <c r="Y30" s="199">
        <f t="shared" si="14"/>
        <v>0</v>
      </c>
      <c r="Z30" s="255">
        <f t="shared" si="0"/>
        <v>0</v>
      </c>
    </row>
    <row r="31" spans="1:35" outlineLevel="1">
      <c r="A31" s="243"/>
      <c r="B31" s="243" t="s">
        <v>305</v>
      </c>
      <c r="C31" s="255">
        <f>ROUND(C30-C23,0)</f>
        <v>0</v>
      </c>
      <c r="D31" s="255">
        <f>ROUND(D30-D23,0)</f>
        <v>0</v>
      </c>
      <c r="E31" s="255">
        <f>ROUND(E30-E23,0)</f>
        <v>0</v>
      </c>
      <c r="F31" s="255">
        <f t="shared" ref="F31:Y31" si="15">ROUND(F30-F23,0)</f>
        <v>0</v>
      </c>
      <c r="G31" s="255">
        <f t="shared" si="15"/>
        <v>0</v>
      </c>
      <c r="H31" s="255">
        <f t="shared" si="15"/>
        <v>0</v>
      </c>
      <c r="I31" s="255">
        <f t="shared" si="15"/>
        <v>0</v>
      </c>
      <c r="J31" s="255">
        <f t="shared" si="15"/>
        <v>0</v>
      </c>
      <c r="K31" s="255">
        <f t="shared" si="15"/>
        <v>0</v>
      </c>
      <c r="L31" s="255">
        <f t="shared" si="15"/>
        <v>0</v>
      </c>
      <c r="M31" s="255">
        <f t="shared" si="15"/>
        <v>0</v>
      </c>
      <c r="N31" s="255">
        <f t="shared" si="15"/>
        <v>0</v>
      </c>
      <c r="O31" s="255">
        <f t="shared" si="15"/>
        <v>0</v>
      </c>
      <c r="P31" s="255">
        <f t="shared" si="15"/>
        <v>0</v>
      </c>
      <c r="Q31" s="255">
        <f t="shared" si="15"/>
        <v>0</v>
      </c>
      <c r="R31" s="255">
        <f t="shared" si="15"/>
        <v>0</v>
      </c>
      <c r="S31" s="255">
        <f t="shared" si="15"/>
        <v>0</v>
      </c>
      <c r="T31" s="255">
        <f t="shared" si="15"/>
        <v>0</v>
      </c>
      <c r="U31" s="255">
        <f t="shared" si="15"/>
        <v>0</v>
      </c>
      <c r="V31" s="255">
        <f t="shared" si="15"/>
        <v>0</v>
      </c>
      <c r="W31" s="255">
        <f t="shared" si="15"/>
        <v>0</v>
      </c>
      <c r="X31" s="255">
        <f t="shared" si="15"/>
        <v>0</v>
      </c>
      <c r="Y31" s="255">
        <f t="shared" si="15"/>
        <v>0</v>
      </c>
    </row>
    <row r="32" spans="1:35" ht="16" thickBot="1">
      <c r="F32" s="517"/>
      <c r="G32" s="517"/>
      <c r="H32" s="517"/>
      <c r="I32" s="517"/>
    </row>
    <row r="33" spans="1:39" s="179" customFormat="1" ht="16" thickTop="1">
      <c r="B33" s="235" t="s">
        <v>306</v>
      </c>
      <c r="C33" s="235"/>
      <c r="D33" s="235"/>
      <c r="E33" s="263"/>
      <c r="F33" s="235"/>
      <c r="G33" s="263"/>
      <c r="H33" s="235"/>
      <c r="I33" s="263"/>
      <c r="J33" s="235"/>
      <c r="K33" s="263"/>
      <c r="L33" s="235"/>
      <c r="M33" s="263"/>
      <c r="N33" s="235"/>
      <c r="O33" s="263"/>
      <c r="P33" s="235"/>
      <c r="Q33" s="263"/>
      <c r="R33" s="235"/>
      <c r="S33" s="263"/>
      <c r="T33" s="235"/>
      <c r="U33" s="263"/>
      <c r="V33" s="235"/>
      <c r="W33" s="263"/>
      <c r="X33" s="235"/>
      <c r="Y33" s="263"/>
      <c r="Z33" s="180"/>
      <c r="AA33" s="180"/>
    </row>
    <row r="34" spans="1:39" s="264" customFormat="1" ht="16" outlineLevel="1" thickBot="1">
      <c r="B34" s="236"/>
      <c r="C34" s="236"/>
      <c r="D34" s="265"/>
      <c r="E34" s="183">
        <v>0</v>
      </c>
      <c r="F34" s="183">
        <v>1</v>
      </c>
      <c r="G34" s="183">
        <v>2</v>
      </c>
      <c r="H34" s="183">
        <v>3</v>
      </c>
      <c r="I34" s="183">
        <v>4</v>
      </c>
      <c r="J34" s="183">
        <v>5</v>
      </c>
      <c r="K34" s="183">
        <v>6</v>
      </c>
      <c r="L34" s="183">
        <v>7</v>
      </c>
      <c r="M34" s="183">
        <v>8</v>
      </c>
      <c r="N34" s="183">
        <v>9</v>
      </c>
      <c r="O34" s="183">
        <v>10</v>
      </c>
      <c r="P34" s="183">
        <v>11</v>
      </c>
      <c r="Q34" s="183">
        <v>12</v>
      </c>
      <c r="R34" s="183">
        <v>13</v>
      </c>
      <c r="S34" s="183">
        <v>14</v>
      </c>
      <c r="T34" s="183">
        <v>15</v>
      </c>
      <c r="U34" s="183">
        <v>16</v>
      </c>
      <c r="V34" s="183">
        <v>17</v>
      </c>
      <c r="W34" s="183">
        <v>18</v>
      </c>
      <c r="X34" s="183">
        <v>19</v>
      </c>
      <c r="Y34" s="183">
        <v>20</v>
      </c>
      <c r="Z34" s="266"/>
      <c r="AA34" s="266"/>
    </row>
    <row r="35" spans="1:39" s="179" customFormat="1" outlineLevel="1">
      <c r="B35" s="267" t="s">
        <v>307</v>
      </c>
      <c r="C35" s="249"/>
      <c r="D35" s="268"/>
      <c r="E35" s="269"/>
      <c r="F35" s="269"/>
      <c r="G35" s="269"/>
      <c r="H35" s="269"/>
      <c r="I35" s="269"/>
      <c r="J35" s="269"/>
      <c r="K35" s="269"/>
      <c r="L35" s="269"/>
      <c r="M35" s="269"/>
      <c r="N35" s="269"/>
      <c r="O35" s="269"/>
      <c r="P35" s="269"/>
      <c r="Q35" s="269"/>
      <c r="R35" s="269"/>
      <c r="S35" s="269"/>
      <c r="T35" s="269"/>
      <c r="U35" s="269"/>
      <c r="V35" s="269"/>
      <c r="W35" s="269"/>
      <c r="X35" s="269"/>
      <c r="Y35" s="269"/>
      <c r="Z35" s="180"/>
      <c r="AA35" s="180"/>
    </row>
    <row r="36" spans="1:39" s="179" customFormat="1" outlineLevel="1">
      <c r="B36" s="225" t="s">
        <v>307</v>
      </c>
      <c r="C36" s="225"/>
      <c r="D36" s="270"/>
      <c r="E36" s="271">
        <f>Fin.Statements!C77-Fin.Statements!C86</f>
        <v>36.632162293419242</v>
      </c>
      <c r="F36" s="271">
        <f>Fin.Statements!D77-Fin.Statements!D86</f>
        <v>-2363828.4999484643</v>
      </c>
      <c r="G36" s="271">
        <f>Fin.Statements!E77-Fin.Statements!E86</f>
        <v>-3674059.8112434065</v>
      </c>
      <c r="H36" s="271">
        <f>Fin.Statements!F77-Fin.Statements!F86</f>
        <v>-2909217.3251309353</v>
      </c>
      <c r="I36" s="271">
        <f>Fin.Statements!G77-Fin.Statements!G86</f>
        <v>1028939.9697038345</v>
      </c>
      <c r="J36" s="271">
        <f>Fin.Statements!H77-Fin.Statements!H86</f>
        <v>9339245.2808681466</v>
      </c>
      <c r="K36" s="271">
        <f>Fin.Statements!I77-Fin.Statements!I86</f>
        <v>17319701.123457275</v>
      </c>
      <c r="L36" s="271">
        <f>Fin.Statements!J77-Fin.Statements!J86</f>
        <v>28513554.952381991</v>
      </c>
      <c r="M36" s="271">
        <f>Fin.Statements!K77-Fin.Statements!K86</f>
        <v>41014757.563414887</v>
      </c>
      <c r="N36" s="271">
        <f>Fin.Statements!L77-Fin.Statements!L86</f>
        <v>54886258.578139827</v>
      </c>
      <c r="O36" s="271">
        <f>Fin.Statements!M77-Fin.Statements!M86</f>
        <v>71463270.890348405</v>
      </c>
      <c r="P36" s="271">
        <f>Fin.Statements!N77-Fin.Statements!N86</f>
        <v>89913411.63998127</v>
      </c>
      <c r="Q36" s="271">
        <f>Fin.Statements!O77-Fin.Statements!O86</f>
        <v>109100581.42977551</v>
      </c>
      <c r="R36" s="271">
        <f>Fin.Statements!P77-Fin.Statements!P86</f>
        <v>128836850.15426239</v>
      </c>
      <c r="S36" s="271">
        <f>Fin.Statements!Q77-Fin.Statements!Q86</f>
        <v>149138690.78148273</v>
      </c>
      <c r="T36" s="271">
        <f>Fin.Statements!R77-Fin.Statements!R86</f>
        <v>170769417.35713238</v>
      </c>
      <c r="U36" s="271">
        <f>Fin.Statements!S77-Fin.Statements!S86</f>
        <v>192522860.23470649</v>
      </c>
      <c r="V36" s="271">
        <f>Fin.Statements!T77-Fin.Statements!T86</f>
        <v>214625270.84191033</v>
      </c>
      <c r="W36" s="271">
        <f>Fin.Statements!U77-Fin.Statements!U86</f>
        <v>237364237.60832918</v>
      </c>
      <c r="X36" s="271">
        <f>Fin.Statements!V77-Fin.Statements!V86</f>
        <v>260758857.21873939</v>
      </c>
      <c r="Y36" s="271">
        <f>Fin.Statements!W77-Fin.Statements!W86</f>
        <v>261642729.1854451</v>
      </c>
      <c r="Z36" s="180"/>
      <c r="AA36" s="180"/>
    </row>
    <row r="37" spans="1:39" s="179" customFormat="1" outlineLevel="1">
      <c r="B37" s="267" t="s">
        <v>308</v>
      </c>
      <c r="C37" s="249"/>
      <c r="D37" s="272"/>
      <c r="E37" s="269"/>
      <c r="F37" s="269"/>
      <c r="G37" s="269"/>
      <c r="H37" s="269"/>
      <c r="I37" s="269"/>
      <c r="J37" s="269"/>
      <c r="K37" s="269"/>
      <c r="L37" s="269"/>
      <c r="M37" s="269"/>
      <c r="N37" s="269"/>
      <c r="O37" s="269"/>
      <c r="P37" s="269"/>
      <c r="Q37" s="269"/>
      <c r="R37" s="269"/>
      <c r="S37" s="269"/>
      <c r="T37" s="269"/>
      <c r="U37" s="269"/>
      <c r="V37" s="269"/>
      <c r="W37" s="269"/>
      <c r="X37" s="269"/>
      <c r="Y37" s="269"/>
      <c r="Z37" s="180"/>
      <c r="AA37" s="180"/>
    </row>
    <row r="38" spans="1:39" s="179" customFormat="1" outlineLevel="1">
      <c r="B38" s="225" t="s">
        <v>309</v>
      </c>
      <c r="C38" s="225"/>
      <c r="D38" s="273"/>
      <c r="E38" s="274">
        <f>Fin.Statements!C16+Fin.Statements!C13</f>
        <v>0</v>
      </c>
      <c r="F38" s="274">
        <f>Fin.Statements!D16+Fin.Statements!D13</f>
        <v>-235546.73033109959</v>
      </c>
      <c r="G38" s="274">
        <f>Fin.Statements!E16+Fin.Statements!E13</f>
        <v>3196691.7351772692</v>
      </c>
      <c r="H38" s="274">
        <f>Fin.Statements!F16+Fin.Statements!F13</f>
        <v>5602074.4120339677</v>
      </c>
      <c r="I38" s="274">
        <f>Fin.Statements!G16+Fin.Statements!G13</f>
        <v>8409660.5613379814</v>
      </c>
      <c r="J38" s="274">
        <f>Fin.Statements!H16+Fin.Statements!H13</f>
        <v>12502142.437715016</v>
      </c>
      <c r="K38" s="274">
        <f>Fin.Statements!I16+Fin.Statements!I13</f>
        <v>12180292.302834496</v>
      </c>
      <c r="L38" s="274">
        <f>Fin.Statements!J16+Fin.Statements!J13</f>
        <v>15402180.490382884</v>
      </c>
      <c r="M38" s="274">
        <f>Fin.Statements!K16+Fin.Statements!K13</f>
        <v>16718540.462595798</v>
      </c>
      <c r="N38" s="274">
        <f>Fin.Statements!L16+Fin.Statements!L13</f>
        <v>18098403.015012775</v>
      </c>
      <c r="O38" s="274">
        <f>Fin.Statements!M16+Fin.Statements!M13</f>
        <v>18547181.778797965</v>
      </c>
      <c r="P38" s="274">
        <f>Fin.Statements!N16+Fin.Statements!N13</f>
        <v>18756370.456744913</v>
      </c>
      <c r="Q38" s="274">
        <f>Fin.Statements!O16+Fin.Statements!O13</f>
        <v>19187169.789794244</v>
      </c>
      <c r="R38" s="274">
        <f>Fin.Statements!P16+Fin.Statements!P13</f>
        <v>19736268.724486891</v>
      </c>
      <c r="S38" s="274">
        <f>Fin.Statements!Q16+Fin.Statements!Q13</f>
        <v>20301840.627220336</v>
      </c>
      <c r="T38" s="274">
        <f>Fin.Statements!R16+Fin.Statements!R13</f>
        <v>20884379.68703578</v>
      </c>
      <c r="U38" s="274">
        <f>Fin.Statements!S16+Fin.Statements!S13</f>
        <v>21484394.918645676</v>
      </c>
      <c r="V38" s="274">
        <f>Fin.Statements!T16+Fin.Statements!T13</f>
        <v>22102410.607203864</v>
      </c>
      <c r="W38" s="274">
        <f>Fin.Statements!U16+Fin.Statements!U13</f>
        <v>22738966.766418807</v>
      </c>
      <c r="X38" s="274">
        <f>Fin.Statements!V16+Fin.Statements!V13</f>
        <v>23394619.610410199</v>
      </c>
      <c r="Y38" s="274">
        <f>Fin.Statements!W16+Fin.Statements!W13</f>
        <v>883871.9667057097</v>
      </c>
      <c r="Z38" s="180"/>
      <c r="AA38" s="180"/>
    </row>
    <row r="39" spans="1:39" s="275" customFormat="1" ht="16" outlineLevel="1">
      <c r="B39" s="276" t="s">
        <v>310</v>
      </c>
      <c r="C39" s="276"/>
      <c r="D39" s="273"/>
      <c r="E39" s="277">
        <f>SUM('CAPEX Financing'!C23:C24)+SUM('WC Financing'!C28:C29)</f>
        <v>1608881.6493810785</v>
      </c>
      <c r="F39" s="277">
        <f>SUM('CAPEX Financing'!D23:D24)+SUM('WC Financing'!D28:D29)</f>
        <v>2708311.6814941913</v>
      </c>
      <c r="G39" s="277">
        <f>SUM('CAPEX Financing'!E23:E24)+SUM('WC Financing'!E28:E29)</f>
        <v>8293755.0846745241</v>
      </c>
      <c r="H39" s="277">
        <f>SUM('CAPEX Financing'!F23:F24)+SUM('WC Financing'!F28:F29)</f>
        <v>8152317.4344340591</v>
      </c>
      <c r="I39" s="277">
        <f>SUM('CAPEX Financing'!G23:G24)+SUM('WC Financing'!G28:G29)</f>
        <v>7220710.27848465</v>
      </c>
      <c r="J39" s="277">
        <f>SUM('CAPEX Financing'!H23:H24)+SUM('WC Financing'!H28:H29)</f>
        <v>4061477.4323481042</v>
      </c>
      <c r="K39" s="277">
        <f>SUM('CAPEX Financing'!I23:I24)+SUM('WC Financing'!I28:I29)</f>
        <v>4061477.4323481047</v>
      </c>
      <c r="L39" s="277">
        <f>SUM('CAPEX Financing'!J23:J24)+SUM('WC Financing'!J28:J29)</f>
        <v>4061477.4323481042</v>
      </c>
      <c r="M39" s="277">
        <f>SUM('CAPEX Financing'!K23:K24)+SUM('WC Financing'!K28:K29)</f>
        <v>4061477.4323481042</v>
      </c>
      <c r="N39" s="277">
        <f>SUM('CAPEX Financing'!L23:L24)+SUM('WC Financing'!L28:L29)</f>
        <v>4061477.4323481042</v>
      </c>
      <c r="O39" s="277">
        <f>SUM('CAPEX Financing'!M23:M24)+SUM('WC Financing'!M28:M29)</f>
        <v>4061477.4323481042</v>
      </c>
      <c r="P39" s="277">
        <f>SUM('CAPEX Financing'!N23:N24)+SUM('WC Financing'!N28:N29)</f>
        <v>1076157.8497733872</v>
      </c>
      <c r="Q39" s="277">
        <f>SUM('CAPEX Financing'!O23:O24)+SUM('WC Financing'!O28:O29)</f>
        <v>1.2458601200695321E-138</v>
      </c>
      <c r="R39" s="277">
        <f>SUM('CAPEX Financing'!P23:P24)+SUM('WC Financing'!P28:P29)</f>
        <v>6.4058672151026768E-139</v>
      </c>
      <c r="S39" s="277">
        <f>SUM('CAPEX Financing'!Q23:Q24)+SUM('WC Financing'!Q28:Q29)</f>
        <v>0</v>
      </c>
      <c r="T39" s="277">
        <f>SUM('CAPEX Financing'!R23:R24)+SUM('WC Financing'!R28:R29)</f>
        <v>0</v>
      </c>
      <c r="U39" s="277">
        <f>SUM('CAPEX Financing'!S23:S24)+SUM('WC Financing'!S28:S29)</f>
        <v>0</v>
      </c>
      <c r="V39" s="277">
        <f>SUM('CAPEX Financing'!T23:T24)+SUM('WC Financing'!T28:T29)</f>
        <v>0</v>
      </c>
      <c r="W39" s="277">
        <f>SUM('CAPEX Financing'!U23:U24)+SUM('WC Financing'!U28:U29)</f>
        <v>0</v>
      </c>
      <c r="X39" s="277">
        <f>SUM('CAPEX Financing'!V23:V24)+SUM('WC Financing'!V28:V29)</f>
        <v>0</v>
      </c>
      <c r="Y39" s="277">
        <f>SUM('CAPEX Financing'!W23:W24)+SUM('WC Financing'!W28:W29)</f>
        <v>0</v>
      </c>
      <c r="AC39" s="278"/>
      <c r="AD39" s="278"/>
      <c r="AE39" s="278"/>
      <c r="AF39" s="278"/>
      <c r="AG39" s="278"/>
    </row>
    <row r="40" spans="1:39" s="275" customFormat="1" ht="16" outlineLevel="1">
      <c r="B40" s="276" t="s">
        <v>311</v>
      </c>
      <c r="C40" s="276"/>
      <c r="D40" s="273"/>
      <c r="E40" s="279">
        <f t="shared" ref="E40:Y40" si="16">IF(E39&lt;1,0,E38/E39)</f>
        <v>0</v>
      </c>
      <c r="F40" s="279">
        <f t="shared" si="16"/>
        <v>-8.6971795728158982E-2</v>
      </c>
      <c r="G40" s="279">
        <f t="shared" si="16"/>
        <v>0.38543358256192328</v>
      </c>
      <c r="H40" s="279">
        <f t="shared" si="16"/>
        <v>0.68717569661501643</v>
      </c>
      <c r="I40" s="279">
        <f t="shared" si="16"/>
        <v>1.164658355895543</v>
      </c>
      <c r="J40" s="279">
        <f t="shared" si="16"/>
        <v>3.0782252630878273</v>
      </c>
      <c r="K40" s="279">
        <f t="shared" si="16"/>
        <v>2.998980667927182</v>
      </c>
      <c r="L40" s="279">
        <f t="shared" si="16"/>
        <v>3.7922605128149787</v>
      </c>
      <c r="M40" s="279">
        <f t="shared" si="16"/>
        <v>4.1163691639498126</v>
      </c>
      <c r="N40" s="279">
        <f t="shared" si="16"/>
        <v>4.456113154997726</v>
      </c>
      <c r="O40" s="279">
        <f t="shared" si="16"/>
        <v>4.5666095867175827</v>
      </c>
      <c r="P40" s="279">
        <f t="shared" si="16"/>
        <v>17.429014210781951</v>
      </c>
      <c r="Q40" s="279">
        <f t="shared" si="16"/>
        <v>0</v>
      </c>
      <c r="R40" s="279">
        <f t="shared" si="16"/>
        <v>0</v>
      </c>
      <c r="S40" s="279">
        <f t="shared" si="16"/>
        <v>0</v>
      </c>
      <c r="T40" s="279">
        <f t="shared" si="16"/>
        <v>0</v>
      </c>
      <c r="U40" s="279">
        <f t="shared" si="16"/>
        <v>0</v>
      </c>
      <c r="V40" s="279">
        <f t="shared" si="16"/>
        <v>0</v>
      </c>
      <c r="W40" s="279">
        <f t="shared" si="16"/>
        <v>0</v>
      </c>
      <c r="X40" s="279">
        <f t="shared" si="16"/>
        <v>0</v>
      </c>
      <c r="Y40" s="279">
        <f t="shared" si="16"/>
        <v>0</v>
      </c>
      <c r="AC40" s="278"/>
      <c r="AD40" s="278"/>
      <c r="AE40" s="278"/>
      <c r="AF40" s="278"/>
      <c r="AG40" s="278"/>
    </row>
    <row r="41" spans="1:39" s="275" customFormat="1" ht="16" outlineLevel="1">
      <c r="A41" s="280"/>
      <c r="B41" s="276" t="s">
        <v>312</v>
      </c>
      <c r="C41" s="276"/>
      <c r="D41" s="273"/>
      <c r="E41" s="281">
        <f>'Data Input'!$D$42</f>
        <v>1.2</v>
      </c>
      <c r="F41" s="281">
        <f>'Data Input'!$D$42</f>
        <v>1.2</v>
      </c>
      <c r="G41" s="281">
        <f>'Data Input'!$D$42</f>
        <v>1.2</v>
      </c>
      <c r="H41" s="281">
        <f>'Data Input'!$D$42</f>
        <v>1.2</v>
      </c>
      <c r="I41" s="281">
        <f>'Data Input'!$D$42</f>
        <v>1.2</v>
      </c>
      <c r="J41" s="281">
        <f>'Data Input'!$D$42</f>
        <v>1.2</v>
      </c>
      <c r="K41" s="281">
        <f>'Data Input'!$D$42</f>
        <v>1.2</v>
      </c>
      <c r="L41" s="281">
        <f>'Data Input'!$D$42</f>
        <v>1.2</v>
      </c>
      <c r="M41" s="281">
        <f>'Data Input'!$D$42</f>
        <v>1.2</v>
      </c>
      <c r="N41" s="281">
        <f>'Data Input'!$D$42</f>
        <v>1.2</v>
      </c>
      <c r="O41" s="281">
        <f>'Data Input'!$D$42</f>
        <v>1.2</v>
      </c>
      <c r="P41" s="281">
        <f>'Data Input'!$D$42</f>
        <v>1.2</v>
      </c>
      <c r="Q41" s="281">
        <f>'Data Input'!$D$42</f>
        <v>1.2</v>
      </c>
      <c r="R41" s="281">
        <f>'Data Input'!$D$42</f>
        <v>1.2</v>
      </c>
      <c r="S41" s="281">
        <f>'Data Input'!$D$42</f>
        <v>1.2</v>
      </c>
      <c r="T41" s="281">
        <f>'Data Input'!$D$42</f>
        <v>1.2</v>
      </c>
      <c r="U41" s="281">
        <f>'Data Input'!$D$42</f>
        <v>1.2</v>
      </c>
      <c r="V41" s="281">
        <f>'Data Input'!$D$42</f>
        <v>1.2</v>
      </c>
      <c r="W41" s="281">
        <f>'Data Input'!$D$42</f>
        <v>1.2</v>
      </c>
      <c r="X41" s="281">
        <f>'Data Input'!$D$42</f>
        <v>1.2</v>
      </c>
      <c r="Y41" s="281">
        <f>'Data Input'!$D$42</f>
        <v>1.2</v>
      </c>
      <c r="AB41" s="282"/>
      <c r="AC41" s="283"/>
      <c r="AD41" s="283"/>
      <c r="AE41" s="283"/>
      <c r="AF41" s="283"/>
      <c r="AG41" s="283"/>
      <c r="AH41" s="282"/>
      <c r="AI41" s="282"/>
      <c r="AJ41" s="282"/>
      <c r="AK41" s="282"/>
      <c r="AL41" s="282"/>
      <c r="AM41" s="282"/>
    </row>
    <row r="42" spans="1:39" s="179" customFormat="1" outlineLevel="1">
      <c r="B42" s="284" t="s">
        <v>306</v>
      </c>
      <c r="C42" s="285"/>
      <c r="D42" s="286"/>
      <c r="E42" s="287"/>
      <c r="F42" s="287"/>
      <c r="G42" s="287"/>
      <c r="H42" s="287"/>
      <c r="I42" s="287"/>
      <c r="J42" s="287"/>
      <c r="K42" s="287"/>
      <c r="L42" s="287"/>
      <c r="M42" s="287"/>
      <c r="N42" s="287"/>
      <c r="O42" s="287"/>
      <c r="P42" s="287"/>
      <c r="Q42" s="287"/>
      <c r="R42" s="287"/>
      <c r="S42" s="287"/>
      <c r="T42" s="287"/>
      <c r="U42" s="287"/>
      <c r="V42" s="287"/>
      <c r="W42" s="287"/>
      <c r="X42" s="287"/>
      <c r="Y42" s="287"/>
      <c r="Z42" s="180"/>
      <c r="AA42" s="180"/>
    </row>
    <row r="43" spans="1:39" s="179" customFormat="1" outlineLevel="1">
      <c r="B43" s="225" t="s">
        <v>313</v>
      </c>
      <c r="C43" s="225"/>
      <c r="D43" s="270"/>
      <c r="E43" s="288">
        <f>(Fin.Statements!C15+SUM(Fin.Statements!$C$39:C39))/(-SUM(Fin.Statements!$C$39:C39))</f>
        <v>-1.0433377079574735</v>
      </c>
      <c r="F43" s="288">
        <f>(Fin.Statements!D15+SUM(Fin.Statements!$C$39:D39))/(-SUM(Fin.Statements!$C$39:D39))</f>
        <v>-1.1268924790837296</v>
      </c>
      <c r="G43" s="288">
        <f>(Fin.Statements!E15+SUM(Fin.Statements!$C$39:E39))/(-SUM(Fin.Statements!$C$39:E39))</f>
        <v>-1.1749623031849408</v>
      </c>
      <c r="H43" s="288">
        <f>(Fin.Statements!F15+SUM(Fin.Statements!$C$39:F39))/(-SUM(Fin.Statements!$C$39:F39))</f>
        <v>-1.1701896087630537</v>
      </c>
      <c r="I43" s="288">
        <f>(Fin.Statements!G15+SUM(Fin.Statements!$C$39:G39))/(-SUM(Fin.Statements!$C$39:G39))</f>
        <v>-1.1001558684341153</v>
      </c>
      <c r="J43" s="288">
        <f>(Fin.Statements!H15+SUM(Fin.Statements!$C$39:H39))/(-SUM(Fin.Statements!$C$39:H39))</f>
        <v>-0.94097586269301958</v>
      </c>
      <c r="K43" s="288">
        <f>(Fin.Statements!I15+SUM(Fin.Statements!$C$39:I39))/(-SUM(Fin.Statements!$C$39:I39))</f>
        <v>-0.78558722361824496</v>
      </c>
      <c r="L43" s="288">
        <f>(Fin.Statements!J15+SUM(Fin.Statements!$C$39:J39))/(-SUM(Fin.Statements!$C$39:J39))</f>
        <v>-0.56366821760642472</v>
      </c>
      <c r="M43" s="288">
        <f>(Fin.Statements!K15+SUM(Fin.Statements!$C$39:K39))/(-SUM(Fin.Statements!$C$39:K39))</f>
        <v>-0.31277877018713568</v>
      </c>
      <c r="N43" s="288">
        <f>(Fin.Statements!L15+SUM(Fin.Statements!$C$39:L39))/(-SUM(Fin.Statements!$C$39:L39))</f>
        <v>-3.1483163260692108E-2</v>
      </c>
      <c r="O43" s="288">
        <f>(Fin.Statements!M15+SUM(Fin.Statements!$C$39:M39))/(-SUM(Fin.Statements!$C$39:M39))</f>
        <v>0.26197320756603348</v>
      </c>
      <c r="P43" s="288">
        <f>(Fin.Statements!N15+SUM(Fin.Statements!$C$39:N39))/(-SUM(Fin.Statements!$C$39:N39))</f>
        <v>0.57727211428662517</v>
      </c>
      <c r="Q43" s="288">
        <f>(Fin.Statements!O15+SUM(Fin.Statements!$C$39:O39))/(-SUM(Fin.Statements!$C$39:O39))</f>
        <v>0.90716364153221962</v>
      </c>
      <c r="R43" s="288">
        <f>(Fin.Statements!P15+SUM(Fin.Statements!$C$39:P39))/(-SUM(Fin.Statements!$C$39:P39))</f>
        <v>1.2479269145951817</v>
      </c>
      <c r="S43" s="288">
        <f>(Fin.Statements!Q15+SUM(Fin.Statements!$C$39:Q39))/(-SUM(Fin.Statements!$C$39:Q39))</f>
        <v>1.5998880858500326</v>
      </c>
      <c r="T43" s="288">
        <f>(Fin.Statements!R15+SUM(Fin.Statements!$C$39:R39))/(-SUM(Fin.Statements!$C$39:R39))</f>
        <v>1.963383092242529</v>
      </c>
      <c r="U43" s="288">
        <f>(Fin.Statements!S15+SUM(Fin.Statements!$C$39:S39))/(-SUM(Fin.Statements!$C$39:S39))</f>
        <v>2.3387579488268004</v>
      </c>
      <c r="V43" s="288">
        <f>(Fin.Statements!T15+SUM(Fin.Statements!$C$39:T39))/(-SUM(Fin.Statements!$C$39:T39))</f>
        <v>2.7263690511086005</v>
      </c>
      <c r="W43" s="288">
        <f>(Fin.Statements!U15+SUM(Fin.Statements!$C$39:U39))/(-SUM(Fin.Statements!$C$39:U39))</f>
        <v>3.1265834864588538</v>
      </c>
      <c r="X43" s="288">
        <f>(Fin.Statements!V15+SUM(Fin.Statements!$C$39:V39))/(-SUM(Fin.Statements!$C$39:V39))</f>
        <v>3.5397793548696153</v>
      </c>
      <c r="Y43" s="288">
        <f>(Fin.Statements!W15+SUM(Fin.Statements!$C$39:W39))/(-SUM(Fin.Statements!$C$39:W39))</f>
        <v>3.5072793548696146</v>
      </c>
      <c r="Z43" s="180"/>
      <c r="AA43" s="180"/>
    </row>
    <row r="44" spans="1:39" s="289" customFormat="1" outlineLevel="1">
      <c r="B44" s="290" t="s">
        <v>314</v>
      </c>
      <c r="C44" s="290"/>
      <c r="D44" s="291"/>
      <c r="E44" s="292">
        <f>IFERROR(Fin.Statements!C16/Fin.Statements!C5,0)</f>
        <v>0</v>
      </c>
      <c r="F44" s="292">
        <f>IFERROR(Fin.Statements!D16/Fin.Statements!D5,0)</f>
        <v>-2.6035067020523817E-2</v>
      </c>
      <c r="G44" s="292">
        <f>IFERROR(Fin.Statements!E16/Fin.Statements!E5,0)</f>
        <v>0.18404454625169586</v>
      </c>
      <c r="H44" s="292">
        <f>IFERROR(Fin.Statements!F16/Fin.Statements!F5,0)</f>
        <v>0.26681569998081156</v>
      </c>
      <c r="I44" s="292">
        <f>IFERROR(Fin.Statements!G16/Fin.Statements!G5,0)</f>
        <v>0.33851493697980545</v>
      </c>
      <c r="J44" s="292">
        <f>IFERROR(Fin.Statements!H16/Fin.Statements!H5,0)</f>
        <v>0.41107751062312309</v>
      </c>
      <c r="K44" s="292">
        <f>IFERROR(Fin.Statements!I16/Fin.Statements!I5,0)</f>
        <v>0.48803194258847987</v>
      </c>
      <c r="L44" s="292">
        <f>IFERROR(Fin.Statements!J16/Fin.Statements!J5,0)</f>
        <v>0.52043291754829624</v>
      </c>
      <c r="M44" s="292">
        <f>IFERROR(Fin.Statements!K16/Fin.Statements!K5,0)</f>
        <v>0.53443345213404825</v>
      </c>
      <c r="N44" s="292">
        <f>IFERROR(Fin.Statements!L16/Fin.Statements!L5,0)</f>
        <v>0.54742889640027947</v>
      </c>
      <c r="O44" s="292">
        <f>IFERROR(Fin.Statements!M16/Fin.Statements!M5,0)</f>
        <v>0.54769827592674769</v>
      </c>
      <c r="P44" s="292">
        <f>IFERROR(Fin.Statements!N16/Fin.Statements!N5,0)</f>
        <v>0.54796955624666188</v>
      </c>
      <c r="Q44" s="292">
        <f>IFERROR(Fin.Statements!O16/Fin.Statements!O5,0)</f>
        <v>0.54824274624557867</v>
      </c>
      <c r="R44" s="292">
        <f>IFERROR(Fin.Statements!P16/Fin.Statements!P5,0)</f>
        <v>0.54824274624557867</v>
      </c>
      <c r="S44" s="292">
        <f>IFERROR(Fin.Statements!Q16/Fin.Statements!Q5,0)</f>
        <v>0.54824274624557867</v>
      </c>
      <c r="T44" s="292">
        <f>IFERROR(Fin.Statements!R16/Fin.Statements!R5,0)</f>
        <v>0.54824274624557867</v>
      </c>
      <c r="U44" s="292">
        <f>IFERROR(Fin.Statements!S16/Fin.Statements!S5,0)</f>
        <v>0.54824274624557867</v>
      </c>
      <c r="V44" s="292">
        <f>IFERROR(Fin.Statements!T16/Fin.Statements!T5,0)</f>
        <v>0.54824274624557856</v>
      </c>
      <c r="W44" s="292">
        <f>IFERROR(Fin.Statements!U16/Fin.Statements!U5,0)</f>
        <v>0.54824274624557856</v>
      </c>
      <c r="X44" s="292">
        <f>IFERROR(Fin.Statements!V16/Fin.Statements!V5,0)</f>
        <v>0.54824274624557856</v>
      </c>
      <c r="Y44" s="292">
        <f>IFERROR(Fin.Statements!W16/Fin.Statements!W5,0)</f>
        <v>0</v>
      </c>
    </row>
    <row r="45" spans="1:39" s="289" customFormat="1" outlineLevel="1">
      <c r="B45" s="290" t="s">
        <v>315</v>
      </c>
      <c r="C45" s="290"/>
      <c r="D45" s="291"/>
      <c r="E45" s="292">
        <f>IFERROR(Fin.Statements!C14/Fin.Statements!C5,0)</f>
        <v>0</v>
      </c>
      <c r="F45" s="292">
        <f>IFERROR(Fin.Statements!D14/Fin.Statements!D5,0)</f>
        <v>-0.53055383160913527</v>
      </c>
      <c r="G45" s="292">
        <f>IFERROR(Fin.Statements!E14/Fin.Statements!E5,0)</f>
        <v>-0.13978032261939669</v>
      </c>
      <c r="H45" s="292">
        <f>IFERROR(Fin.Statements!F14/Fin.Statements!F5,0)</f>
        <v>1.1480940009295445E-2</v>
      </c>
      <c r="I45" s="292">
        <f>IFERROR(Fin.Statements!G14/Fin.Statements!G5,0)</f>
        <v>0.14238295521786767</v>
      </c>
      <c r="J45" s="292">
        <f>IFERROR(Fin.Statements!H14/Fin.Statements!H5,0)</f>
        <v>0.26434987082709593</v>
      </c>
      <c r="K45" s="292">
        <f>IFERROR(Fin.Statements!I14/Fin.Statements!I5,0)</f>
        <v>0.21265203319298392</v>
      </c>
      <c r="L45" s="292">
        <f>IFERROR(Fin.Statements!J14/Fin.Statements!J5,0)</f>
        <v>0.27210490174942514</v>
      </c>
      <c r="M45" s="292">
        <f>IFERROR(Fin.Statements!K14/Fin.Statements!K5,0)</f>
        <v>0.28766610184214697</v>
      </c>
      <c r="N45" s="292">
        <f>IFERROR(Fin.Statements!L14/Fin.Statements!L5,0)</f>
        <v>0.30205737832967144</v>
      </c>
      <c r="O45" s="292">
        <f>IFERROR(Fin.Statements!M14/Fin.Statements!M5,0)</f>
        <v>0.30600680185049306</v>
      </c>
      <c r="P45" s="292">
        <f>IFERROR(Fin.Statements!N14/Fin.Statements!N5,0)</f>
        <v>0.31927916243435706</v>
      </c>
      <c r="Q45" s="292">
        <f>IFERROR(Fin.Statements!O14/Fin.Statements!O5,0)</f>
        <v>0.32439890317718928</v>
      </c>
      <c r="R45" s="292">
        <f>IFERROR(Fin.Statements!P14/Fin.Statements!P5,0)</f>
        <v>0.32532974439706597</v>
      </c>
      <c r="S45" s="292">
        <f>IFERROR(Fin.Statements!Q14/Fin.Statements!Q5,0)</f>
        <v>0.32623347373675238</v>
      </c>
      <c r="T45" s="292">
        <f>IFERROR(Fin.Statements!R14/Fin.Statements!R5,0)</f>
        <v>0.32711088086266138</v>
      </c>
      <c r="U45" s="292">
        <f>IFERROR(Fin.Statements!S14/Fin.Statements!S5,0)</f>
        <v>0.3279627324412136</v>
      </c>
      <c r="V45" s="292">
        <f>IFERROR(Fin.Statements!T14/Fin.Statements!T5,0)</f>
        <v>0.32878977280874006</v>
      </c>
      <c r="W45" s="292">
        <f>IFERROR(Fin.Statements!U14/Fin.Statements!U5,0)</f>
        <v>0.32959272462187267</v>
      </c>
      <c r="X45" s="292">
        <f>IFERROR(Fin.Statements!V14/Fin.Statements!V5,0)</f>
        <v>0.33037228948899167</v>
      </c>
      <c r="Y45" s="292">
        <f>IFERROR(Fin.Statements!W14/Fin.Statements!W5,0)</f>
        <v>0</v>
      </c>
    </row>
    <row r="46" spans="1:39" s="289" customFormat="1" outlineLevel="1">
      <c r="B46" s="290" t="s">
        <v>316</v>
      </c>
      <c r="C46" s="290"/>
      <c r="D46" s="291"/>
      <c r="E46" s="292">
        <f>SUM(Fin.Statements!C14,-Fin.Statements!C13,-Fin.Statements!C11)/SUM(Fin.Statements!C82,-Fin.Statements!C86)</f>
        <v>0</v>
      </c>
      <c r="F46" s="292">
        <f>SUM(Fin.Statements!D14,-Fin.Statements!D13,-Fin.Statements!D11)/SUM(Fin.Statements!D82,-Fin.Statements!D86)</f>
        <v>-4.4221111842290939E-2</v>
      </c>
      <c r="G46" s="292">
        <f>SUM(Fin.Statements!E14,-Fin.Statements!E13,-Fin.Statements!E11)/SUM(Fin.Statements!E82,-Fin.Statements!E86)</f>
        <v>1.5444987007975974E-2</v>
      </c>
      <c r="H46" s="292">
        <f>SUM(Fin.Statements!F14,-Fin.Statements!F13,-Fin.Statements!F11)/SUM(Fin.Statements!F82,-Fin.Statements!F86)</f>
        <v>7.3771365186319396E-2</v>
      </c>
      <c r="I46" s="292">
        <f>SUM(Fin.Statements!G14,-Fin.Statements!G13,-Fin.Statements!G11)/SUM(Fin.Statements!G82,-Fin.Statements!G86)</f>
        <v>0.13646666262487939</v>
      </c>
      <c r="J46" s="292">
        <f>SUM(Fin.Statements!H14,-Fin.Statements!H13,-Fin.Statements!H11)/SUM(Fin.Statements!H82,-Fin.Statements!H86)</f>
        <v>0.20400772348277421</v>
      </c>
      <c r="K46" s="292">
        <f>SUM(Fin.Statements!I14,-Fin.Statements!I13,-Fin.Statements!I11)/SUM(Fin.Statements!I82,-Fin.Statements!I86)</f>
        <v>0.28488558893067945</v>
      </c>
      <c r="L46" s="292">
        <f>SUM(Fin.Statements!J14,-Fin.Statements!J13,-Fin.Statements!J11)/SUM(Fin.Statements!J82,-Fin.Statements!J86)</f>
        <v>0.30006141029287003</v>
      </c>
      <c r="M46" s="292">
        <f>SUM(Fin.Statements!K14,-Fin.Statements!K13,-Fin.Statements!K11)/SUM(Fin.Statements!K82,-Fin.Statements!K86)</f>
        <v>0.28788216684104206</v>
      </c>
      <c r="N46" s="292">
        <f>SUM(Fin.Statements!L14,-Fin.Statements!L13,-Fin.Statements!L11)/SUM(Fin.Statements!L82,-Fin.Statements!L86)</f>
        <v>0.27532058489432332</v>
      </c>
      <c r="O46" s="292">
        <f>SUM(Fin.Statements!M14,-Fin.Statements!M13,-Fin.Statements!M11)/SUM(Fin.Statements!M82,-Fin.Statements!M86)</f>
        <v>0.24392659762936603</v>
      </c>
      <c r="P46" s="292">
        <f>SUM(Fin.Statements!N14,-Fin.Statements!N13,-Fin.Statements!N11)/SUM(Fin.Statements!N82,-Fin.Statements!N86)</f>
        <v>0.21697508421074083</v>
      </c>
      <c r="Q46" s="292">
        <f>SUM(Fin.Statements!O14,-Fin.Statements!O13,-Fin.Statements!O11)/SUM(Fin.Statements!O82,-Fin.Statements!O86)</f>
        <v>0.19569419490593751</v>
      </c>
      <c r="R46" s="292">
        <f>SUM(Fin.Statements!P14,-Fin.Statements!P13,-Fin.Statements!P11)/SUM(Fin.Statements!P82,-Fin.Statements!P86)</f>
        <v>0.17866767864432606</v>
      </c>
      <c r="S46" s="292">
        <f>SUM(Fin.Statements!Q14,-Fin.Statements!Q13,-Fin.Statements!Q11)/SUM(Fin.Statements!Q82,-Fin.Statements!Q86)</f>
        <v>0.16477420279421803</v>
      </c>
      <c r="T46" s="292">
        <f>SUM(Fin.Statements!R14,-Fin.Statements!R13,-Fin.Statements!R11)/SUM(Fin.Statements!R82,-Fin.Statements!R86)</f>
        <v>0.15322518390569567</v>
      </c>
      <c r="U46" s="292">
        <f>SUM(Fin.Statements!S14,-Fin.Statements!S13,-Fin.Statements!S11)/SUM(Fin.Statements!S82,-Fin.Statements!S86)</f>
        <v>0.14347620465962621</v>
      </c>
      <c r="V46" s="292">
        <f>SUM(Fin.Statements!T14,-Fin.Statements!T13,-Fin.Statements!T11)/SUM(Fin.Statements!T82,-Fin.Statements!T86)</f>
        <v>0.13513930219470668</v>
      </c>
      <c r="W46" s="292">
        <f>SUM(Fin.Statements!U14,-Fin.Statements!U13,-Fin.Statements!U11)/SUM(Fin.Statements!U82,-Fin.Statements!U86)</f>
        <v>0.12793053235153387</v>
      </c>
      <c r="X46" s="292">
        <f>SUM(Fin.Statements!V14,-Fin.Statements!V13,-Fin.Statements!V11)/SUM(Fin.Statements!V82,-Fin.Statements!V86)</f>
        <v>0.12163729777810074</v>
      </c>
      <c r="Y46" s="292">
        <f>SUM(Fin.Statements!W14,-Fin.Statements!W13,-Fin.Statements!W11)/SUM(Fin.Statements!W82,-Fin.Statements!W86)</f>
        <v>-9.627275129640657E-3</v>
      </c>
    </row>
    <row r="47" spans="1:39" s="289" customFormat="1" outlineLevel="1">
      <c r="B47" s="290" t="s">
        <v>317</v>
      </c>
      <c r="C47" s="290"/>
      <c r="D47" s="291"/>
      <c r="E47" s="293">
        <f t="shared" ref="E47:Y47" si="17">E40</f>
        <v>0</v>
      </c>
      <c r="F47" s="293">
        <f t="shared" si="17"/>
        <v>-8.6971795728158982E-2</v>
      </c>
      <c r="G47" s="293">
        <f t="shared" si="17"/>
        <v>0.38543358256192328</v>
      </c>
      <c r="H47" s="293">
        <f t="shared" si="17"/>
        <v>0.68717569661501643</v>
      </c>
      <c r="I47" s="293">
        <f t="shared" si="17"/>
        <v>1.164658355895543</v>
      </c>
      <c r="J47" s="293">
        <f t="shared" si="17"/>
        <v>3.0782252630878273</v>
      </c>
      <c r="K47" s="293">
        <f t="shared" si="17"/>
        <v>2.998980667927182</v>
      </c>
      <c r="L47" s="293">
        <f t="shared" si="17"/>
        <v>3.7922605128149787</v>
      </c>
      <c r="M47" s="293">
        <f t="shared" si="17"/>
        <v>4.1163691639498126</v>
      </c>
      <c r="N47" s="293">
        <f t="shared" si="17"/>
        <v>4.456113154997726</v>
      </c>
      <c r="O47" s="293">
        <f t="shared" si="17"/>
        <v>4.5666095867175827</v>
      </c>
      <c r="P47" s="293">
        <f t="shared" si="17"/>
        <v>17.429014210781951</v>
      </c>
      <c r="Q47" s="293">
        <f t="shared" si="17"/>
        <v>0</v>
      </c>
      <c r="R47" s="293">
        <f t="shared" si="17"/>
        <v>0</v>
      </c>
      <c r="S47" s="293">
        <f t="shared" si="17"/>
        <v>0</v>
      </c>
      <c r="T47" s="293">
        <f t="shared" si="17"/>
        <v>0</v>
      </c>
      <c r="U47" s="293">
        <f t="shared" si="17"/>
        <v>0</v>
      </c>
      <c r="V47" s="293">
        <f t="shared" si="17"/>
        <v>0</v>
      </c>
      <c r="W47" s="293">
        <f t="shared" si="17"/>
        <v>0</v>
      </c>
      <c r="X47" s="293">
        <f t="shared" si="17"/>
        <v>0</v>
      </c>
      <c r="Y47" s="293">
        <f t="shared" si="17"/>
        <v>0</v>
      </c>
    </row>
    <row r="48" spans="1:39" s="289" customFormat="1" outlineLevel="1">
      <c r="B48" s="290" t="s">
        <v>318</v>
      </c>
      <c r="C48" s="290"/>
      <c r="D48" s="291"/>
      <c r="E48" s="294">
        <f>IFERROR(Fin.Statements!C77/Fin.Statements!C86,0)</f>
        <v>0</v>
      </c>
      <c r="F48" s="294">
        <f>IFERROR(Fin.Statements!D77/Fin.Statements!D86,0)</f>
        <v>0.59081169687096724</v>
      </c>
      <c r="G48" s="294">
        <f>IFERROR(Fin.Statements!E77/Fin.Statements!E86,0)</f>
        <v>0.41596955162231036</v>
      </c>
      <c r="H48" s="294">
        <f>IFERROR(Fin.Statements!F77/Fin.Statements!F86,0)</f>
        <v>0.51048325999650657</v>
      </c>
      <c r="I48" s="294">
        <f>IFERROR(Fin.Statements!G77/Fin.Statements!G86,0)</f>
        <v>1.3143116115004578</v>
      </c>
      <c r="J48" s="294">
        <f>IFERROR(Fin.Statements!H77/Fin.Statements!H86,0)</f>
        <v>3.6532240946905041</v>
      </c>
      <c r="K48" s="294">
        <f>IFERROR(Fin.Statements!I77/Fin.Statements!I86,0)</f>
        <v>5.5948419276342944</v>
      </c>
      <c r="L48" s="294">
        <f>IFERROR(Fin.Statements!J77/Fin.Statements!J86,0)</f>
        <v>8.161490024508991</v>
      </c>
      <c r="M48" s="294">
        <f>IFERROR(Fin.Statements!K77/Fin.Statements!K86,0)</f>
        <v>10.779684143070792</v>
      </c>
      <c r="N48" s="294">
        <f>IFERROR(Fin.Statements!L77/Fin.Statements!L86,0)</f>
        <v>13.424275453174255</v>
      </c>
      <c r="O48" s="294">
        <f>IFERROR(Fin.Statements!M77/Fin.Statements!M86,0)</f>
        <v>31.133581048785128</v>
      </c>
      <c r="P48" s="294">
        <f>IFERROR(Fin.Statements!N77/Fin.Statements!N86,0)</f>
        <v>55.555098364360276</v>
      </c>
      <c r="Q48" s="294">
        <f>IFERROR(Fin.Statements!O77/Fin.Statements!O86,0)</f>
        <v>65.329527297937986</v>
      </c>
      <c r="R48" s="294">
        <f>IFERROR(Fin.Statements!P77/Fin.Statements!P86,0)</f>
        <v>74.754100181219357</v>
      </c>
      <c r="S48" s="294">
        <f>IFERROR(Fin.Statements!Q77/Fin.Statements!Q86,0)</f>
        <v>83.889433589567943</v>
      </c>
      <c r="T48" s="294">
        <f>IFERROR(Fin.Statements!R77/Fin.Statements!R86,0)</f>
        <v>93.147109701294767</v>
      </c>
      <c r="U48" s="294">
        <f>IFERROR(Fin.Statements!S77/Fin.Statements!S86,0)</f>
        <v>101.85947459030314</v>
      </c>
      <c r="V48" s="294">
        <f>IFERROR(Fin.Statements!T77/Fin.Statements!T86,0)</f>
        <v>110.16364483257107</v>
      </c>
      <c r="W48" s="294">
        <f>IFERROR(Fin.Statements!U77/Fin.Statements!U86,0)</f>
        <v>118.21285209217834</v>
      </c>
      <c r="X48" s="294">
        <f>IFERROR(Fin.Statements!V77/Fin.Statements!V86,0)</f>
        <v>126.01490385249795</v>
      </c>
      <c r="Y48" s="294">
        <f>IFERROR(Fin.Statements!W77/Fin.Statements!W86,0)</f>
        <v>0</v>
      </c>
    </row>
    <row r="49" spans="2:27" s="289" customFormat="1" outlineLevel="1">
      <c r="B49" s="290" t="s">
        <v>319</v>
      </c>
      <c r="C49" s="290"/>
      <c r="D49" s="291"/>
      <c r="E49" s="294">
        <f>(Fin.Statements!C86+Fin.Statements!C88)/Fin.Statements!C91</f>
        <v>2.425356691060335</v>
      </c>
      <c r="F49" s="294">
        <f>(Fin.Statements!D86+Fin.Statements!D88)/Fin.Statements!D91</f>
        <v>3.9050309868064317</v>
      </c>
      <c r="G49" s="294">
        <f>(Fin.Statements!E86+Fin.Statements!E88)/Fin.Statements!E91</f>
        <v>4.9281006815800765</v>
      </c>
      <c r="H49" s="294">
        <f>(Fin.Statements!F86+Fin.Statements!F88)/Fin.Statements!F91</f>
        <v>4.5184299351311461</v>
      </c>
      <c r="I49" s="294">
        <f>(Fin.Statements!G86+Fin.Statements!G88)/Fin.Statements!G91</f>
        <v>2.8114999935705791</v>
      </c>
      <c r="J49" s="294">
        <f>(Fin.Statements!H86+Fin.Statements!H88)/Fin.Statements!H91</f>
        <v>1.5937737917303765</v>
      </c>
      <c r="K49" s="294">
        <f>(Fin.Statements!I86+Fin.Statements!I88)/Fin.Statements!I91</f>
        <v>1.0716025408402328</v>
      </c>
      <c r="L49" s="294">
        <f>(Fin.Statements!J86+Fin.Statements!J88)/Fin.Statements!J91</f>
        <v>0.70645070590569148</v>
      </c>
      <c r="M49" s="294">
        <f>(Fin.Statements!K86+Fin.Statements!K88)/Fin.Statements!K91</f>
        <v>0.48628508971409645</v>
      </c>
      <c r="N49" s="294">
        <f>(Fin.Statements!L86+Fin.Statements!L88)/Fin.Statements!L91</f>
        <v>0.34196619831552205</v>
      </c>
      <c r="O49" s="294">
        <f>(Fin.Statements!M86+Fin.Statements!M88)/Fin.Statements!M91</f>
        <v>0.24458884352701127</v>
      </c>
      <c r="P49" s="294">
        <f>(Fin.Statements!N86+Fin.Statements!N88)/Fin.Statements!N91</f>
        <v>0.19692360894082489</v>
      </c>
      <c r="Q49" s="294">
        <f>(Fin.Statements!O86+Fin.Statements!O88)/Fin.Statements!O91</f>
        <v>0.16845060655096047</v>
      </c>
      <c r="R49" s="294">
        <f>(Fin.Statements!P86+Fin.Statements!P88)/Fin.Statements!P91</f>
        <v>0.14666891784472391</v>
      </c>
      <c r="S49" s="294">
        <f>(Fin.Statements!Q86+Fin.Statements!Q88)/Fin.Statements!Q91</f>
        <v>0.12946947392719063</v>
      </c>
      <c r="T49" s="294">
        <f>(Fin.Statements!R86+Fin.Statements!R88)/Fin.Statements!R91</f>
        <v>0.11555137230817891</v>
      </c>
      <c r="U49" s="294">
        <f>(Fin.Statements!S86+Fin.Statements!S88)/Fin.Statements!S91</f>
        <v>0.10406349452774857</v>
      </c>
      <c r="V49" s="294">
        <f>(Fin.Statements!T86+Fin.Statements!T88)/Fin.Statements!T91</f>
        <v>9.4425582414164766E-2</v>
      </c>
      <c r="W49" s="294">
        <f>(Fin.Statements!U86+Fin.Statements!U88)/Fin.Statements!U91</f>
        <v>8.622843072341857E-2</v>
      </c>
      <c r="X49" s="294">
        <f>(Fin.Statements!V86+Fin.Statements!V88)/Fin.Statements!V91</f>
        <v>7.9175183340712246E-2</v>
      </c>
      <c r="Y49" s="294">
        <f>(Fin.Statements!W86+Fin.Statements!W88)/Fin.Statements!W91</f>
        <v>7.1188156534819275E-2</v>
      </c>
    </row>
    <row r="50" spans="2:27" s="289" customFormat="1" outlineLevel="1">
      <c r="B50" s="290" t="s">
        <v>320</v>
      </c>
      <c r="C50" s="290"/>
      <c r="D50" s="291"/>
      <c r="E50" s="293">
        <f>IFERROR(SUM(Fin.Statements!C86,Fin.Statements!C88)/Fin.Statements!C89,0)</f>
        <v>2.0000000000000004</v>
      </c>
      <c r="F50" s="293">
        <f>IFERROR(SUM(Fin.Statements!D86,Fin.Statements!D88)/Fin.Statements!D89,0)</f>
        <v>2.3167062886675391</v>
      </c>
      <c r="G50" s="293">
        <f>IFERROR(SUM(Fin.Statements!E86,Fin.Statements!E88)/Fin.Statements!E89,0)</f>
        <v>2.2677097242573074</v>
      </c>
      <c r="H50" s="293">
        <f>IFERROR(SUM(Fin.Statements!F86,Fin.Statements!F88)/Fin.Statements!F89,0)</f>
        <v>2.1389087173639183</v>
      </c>
      <c r="I50" s="293">
        <f>IFERROR(SUM(Fin.Statements!G86,Fin.Statements!G88)/Fin.Statements!G89,0)</f>
        <v>1.8760979424931006</v>
      </c>
      <c r="J50" s="293">
        <f>IFERROR(SUM(Fin.Statements!H86,Fin.Statements!H88)/Fin.Statements!H89,0)</f>
        <v>1.7659904811225908</v>
      </c>
      <c r="K50" s="293">
        <f>IFERROR(SUM(Fin.Statements!I86,Fin.Statements!I88)/Fin.Statements!I89,0)</f>
        <v>1.6484669982544162</v>
      </c>
      <c r="L50" s="293">
        <f>IFERROR(SUM(Fin.Statements!J86,Fin.Statements!J88)/Fin.Statements!J89,0)</f>
        <v>1.5208486592208907</v>
      </c>
      <c r="M50" s="293">
        <f>IFERROR(SUM(Fin.Statements!K86,Fin.Statements!K88)/Fin.Statements!K89,0)</f>
        <v>1.3846981450530871</v>
      </c>
      <c r="N50" s="293">
        <f>IFERROR(SUM(Fin.Statements!L86,Fin.Statements!L88)/Fin.Statements!L89,0)</f>
        <v>1.2401050198078858</v>
      </c>
      <c r="O50" s="293">
        <f>IFERROR(SUM(Fin.Statements!M86,Fin.Statements!M88)/Fin.Statements!M89,0)</f>
        <v>1.0857207650747553</v>
      </c>
      <c r="P50" s="293">
        <f>IFERROR(SUM(Fin.Statements!N86,Fin.Statements!N88)/Fin.Statements!N89,0)</f>
        <v>1.0460601639624008</v>
      </c>
      <c r="Q50" s="293">
        <f>IFERROR(SUM(Fin.Statements!O86,Fin.Statements!O88)/Fin.Statements!O89,0)</f>
        <v>1.0486830753912275</v>
      </c>
      <c r="R50" s="293">
        <f>IFERROR(SUM(Fin.Statements!P86,Fin.Statements!P88)/Fin.Statements!P89,0)</f>
        <v>1.0514724182046029</v>
      </c>
      <c r="S50" s="293">
        <f>IFERROR(SUM(Fin.Statements!Q86,Fin.Statements!Q88)/Fin.Statements!Q89,0)</f>
        <v>1.0543454413023796</v>
      </c>
      <c r="T50" s="293">
        <f>IFERROR(SUM(Fin.Statements!R86,Fin.Statements!R88)/Fin.Statements!R89,0)</f>
        <v>1.0573046550930894</v>
      </c>
      <c r="U50" s="293">
        <f>IFERROR(SUM(Fin.Statements!S86,Fin.Statements!S88)/Fin.Statements!S89,0)</f>
        <v>1.0603526452975207</v>
      </c>
      <c r="V50" s="293">
        <f>IFERROR(SUM(Fin.Statements!T86,Fin.Statements!T88)/Fin.Statements!T89,0)</f>
        <v>1.0634920752080848</v>
      </c>
      <c r="W50" s="293">
        <f>IFERROR(SUM(Fin.Statements!U86,Fin.Statements!U88)/Fin.Statements!U89,0)</f>
        <v>1.0667256880159659</v>
      </c>
      <c r="X50" s="293">
        <f>IFERROR(SUM(Fin.Statements!V86,Fin.Statements!V88)/Fin.Statements!V89,0)</f>
        <v>1.0700563092080835</v>
      </c>
      <c r="Y50" s="293">
        <f>IFERROR(SUM(Fin.Statements!W86,Fin.Statements!W88)/Fin.Statements!W89,0)</f>
        <v>0.95570498161204898</v>
      </c>
    </row>
    <row r="51" spans="2:27" s="179" customFormat="1" outlineLevel="1">
      <c r="B51" s="284" t="s">
        <v>321</v>
      </c>
      <c r="C51" s="285"/>
      <c r="D51" s="286"/>
      <c r="E51" s="287"/>
      <c r="F51" s="287"/>
      <c r="G51" s="287"/>
      <c r="H51" s="287"/>
      <c r="I51" s="287"/>
      <c r="J51" s="287"/>
      <c r="K51" s="287"/>
      <c r="L51" s="287"/>
      <c r="M51" s="287"/>
      <c r="N51" s="287"/>
      <c r="O51" s="287"/>
      <c r="P51" s="287"/>
      <c r="Q51" s="287"/>
      <c r="R51" s="287"/>
      <c r="S51" s="287"/>
      <c r="T51" s="287"/>
      <c r="U51" s="287"/>
      <c r="V51" s="287"/>
      <c r="W51" s="287"/>
      <c r="X51" s="287"/>
      <c r="Y51" s="287"/>
      <c r="Z51" s="180"/>
      <c r="AA51" s="180"/>
    </row>
    <row r="52" spans="2:27" s="179" customFormat="1" outlineLevel="1">
      <c r="B52" s="225" t="s">
        <v>322</v>
      </c>
      <c r="C52" s="225"/>
      <c r="D52" s="270"/>
      <c r="E52" s="271">
        <f>Fin.Statements!C40</f>
        <v>746383.52077613771</v>
      </c>
      <c r="F52" s="271">
        <f>Fin.Statements!D40</f>
        <v>269083.04480670765</v>
      </c>
      <c r="G52" s="271">
        <f>Fin.Statements!E40</f>
        <v>242.77090549236163</v>
      </c>
      <c r="H52" s="271">
        <f>Fin.Statements!F40</f>
        <v>498.09614902595058</v>
      </c>
      <c r="I52" s="271">
        <f>Fin.Statements!G40</f>
        <v>852427.40940998122</v>
      </c>
      <c r="J52" s="271">
        <f>Fin.Statements!H40</f>
        <v>7953279.3251529885</v>
      </c>
      <c r="K52" s="271">
        <f>Fin.Statements!I40</f>
        <v>7555499.5217211377</v>
      </c>
      <c r="L52" s="271">
        <f>Fin.Statements!J40</f>
        <v>10970535.634183787</v>
      </c>
      <c r="M52" s="271">
        <f>Fin.Statements!K40</f>
        <v>12407576.479435043</v>
      </c>
      <c r="N52" s="271">
        <f>Fin.Statements!L40</f>
        <v>13776462.007663336</v>
      </c>
      <c r="O52" s="271">
        <f>Fin.Statements!M40</f>
        <v>14359990.315162813</v>
      </c>
      <c r="P52" s="271">
        <f>Fin.Statements!N40</f>
        <v>17550759.93180199</v>
      </c>
      <c r="Q52" s="271">
        <f>Fin.Statements!O40</f>
        <v>19053867.173500896</v>
      </c>
      <c r="R52" s="271">
        <f>Fin.Statements!P40</f>
        <v>19597687.593087438</v>
      </c>
      <c r="S52" s="271">
        <f>Fin.Statements!Q40</f>
        <v>20159102.061878897</v>
      </c>
      <c r="T52" s="271">
        <f>Fin.Statements!R40</f>
        <v>19991012.076120257</v>
      </c>
      <c r="U52" s="271">
        <f>Fin.Statements!S40</f>
        <v>21063915.615746517</v>
      </c>
      <c r="V52" s="271">
        <f>Fin.Statements!T40</f>
        <v>21946436.322914016</v>
      </c>
      <c r="W52" s="271">
        <f>Fin.Statements!U40</f>
        <v>22578313.253600262</v>
      </c>
      <c r="X52" s="271">
        <f>Fin.Statements!V40</f>
        <v>23229146.492207095</v>
      </c>
      <c r="Y52" s="271">
        <f>Fin.Statements!W40</f>
        <v>6565115.6916789589</v>
      </c>
      <c r="Z52" s="180"/>
      <c r="AA52" s="180"/>
    </row>
    <row r="53" spans="2:27" s="179" customFormat="1" outlineLevel="1">
      <c r="B53" s="225" t="s">
        <v>323</v>
      </c>
      <c r="C53" s="225"/>
      <c r="D53" s="270"/>
      <c r="E53" s="271">
        <f>-Fin.Statements!C11</f>
        <v>1608881.6493810785</v>
      </c>
      <c r="F53" s="271">
        <f>-Fin.Statements!D11</f>
        <v>2708311.6814941913</v>
      </c>
      <c r="G53" s="271">
        <f>-Fin.Statements!E11</f>
        <v>3099204.3998772409</v>
      </c>
      <c r="H53" s="271">
        <f>-Fin.Statements!F11</f>
        <v>2835671.6040085941</v>
      </c>
      <c r="I53" s="271">
        <f>-Fin.Statements!G11</f>
        <v>2347120.0964476159</v>
      </c>
      <c r="J53" s="271">
        <f>-Fin.Statements!H11</f>
        <v>1937094.262292509</v>
      </c>
      <c r="K53" s="271">
        <f>-Fin.Statements!I11</f>
        <v>1806734.5680899047</v>
      </c>
      <c r="L53" s="271">
        <f>-Fin.Statements!J11</f>
        <v>1668375.540192639</v>
      </c>
      <c r="M53" s="271">
        <f>-Fin.Statements!K11</f>
        <v>1521526.3110825738</v>
      </c>
      <c r="N53" s="271">
        <f>-Fin.Statements!L11</f>
        <v>1365665.891867771</v>
      </c>
      <c r="O53" s="271">
        <f>-Fin.Statements!M11</f>
        <v>1200241.3239280467</v>
      </c>
      <c r="P53" s="271">
        <f>-Fin.Statements!N11</f>
        <v>306229.70711204992</v>
      </c>
      <c r="Q53" s="271">
        <f>-Fin.Statements!O11</f>
        <v>3.8101701299210105E-139</v>
      </c>
      <c r="R53" s="271">
        <f>-Fin.Statements!P11</f>
        <v>1.8228430350553639E-139</v>
      </c>
      <c r="S53" s="271">
        <f>-Fin.Statements!Q11</f>
        <v>0</v>
      </c>
      <c r="T53" s="271">
        <f>-Fin.Statements!R11</f>
        <v>0</v>
      </c>
      <c r="U53" s="271">
        <f>-Fin.Statements!S11</f>
        <v>0</v>
      </c>
      <c r="V53" s="271">
        <f>-Fin.Statements!T11</f>
        <v>0</v>
      </c>
      <c r="W53" s="271">
        <f>-Fin.Statements!U11</f>
        <v>0</v>
      </c>
      <c r="X53" s="271">
        <f>-Fin.Statements!V11</f>
        <v>0</v>
      </c>
      <c r="Y53" s="271">
        <f>-Fin.Statements!W11</f>
        <v>0</v>
      </c>
      <c r="Z53" s="180"/>
      <c r="AA53" s="180"/>
    </row>
    <row r="54" spans="2:27" s="179" customFormat="1" outlineLevel="1">
      <c r="B54" s="225" t="s">
        <v>324</v>
      </c>
      <c r="C54" s="225"/>
      <c r="D54" s="270"/>
      <c r="E54" s="271">
        <f>-Fin.Statements!C32</f>
        <v>0</v>
      </c>
      <c r="F54" s="271">
        <f>-Fin.Statements!D32</f>
        <v>0</v>
      </c>
      <c r="G54" s="271">
        <f>-Fin.Statements!E32</f>
        <v>5194550.6847972833</v>
      </c>
      <c r="H54" s="271">
        <f>-Fin.Statements!F32</f>
        <v>5316645.8304254655</v>
      </c>
      <c r="I54" s="271">
        <f>-Fin.Statements!G32</f>
        <v>4873590.182037035</v>
      </c>
      <c r="J54" s="271">
        <f>-Fin.Statements!H32</f>
        <v>2124383.1700555952</v>
      </c>
      <c r="K54" s="271">
        <f>-Fin.Statements!I32</f>
        <v>2254742.8642581999</v>
      </c>
      <c r="L54" s="271">
        <f>-Fin.Statements!J32</f>
        <v>2393101.8921554652</v>
      </c>
      <c r="M54" s="271">
        <f>-Fin.Statements!K32</f>
        <v>2539951.1212655306</v>
      </c>
      <c r="N54" s="271">
        <f>-Fin.Statements!L32</f>
        <v>2695811.5404803334</v>
      </c>
      <c r="O54" s="271">
        <f>-Fin.Statements!M32</f>
        <v>2861236.1084200577</v>
      </c>
      <c r="P54" s="271">
        <f>-Fin.Statements!N32</f>
        <v>769928.14266133728</v>
      </c>
      <c r="Q54" s="271">
        <f>-Fin.Statements!O32</f>
        <v>8.64843107077431E-139</v>
      </c>
      <c r="R54" s="271">
        <f>-Fin.Statements!P32</f>
        <v>4.5830241800473128E-139</v>
      </c>
      <c r="S54" s="271">
        <f>-Fin.Statements!Q32</f>
        <v>0</v>
      </c>
      <c r="T54" s="271">
        <f>-Fin.Statements!R32</f>
        <v>0</v>
      </c>
      <c r="U54" s="271">
        <f>-Fin.Statements!S32</f>
        <v>0</v>
      </c>
      <c r="V54" s="271">
        <f>-Fin.Statements!T32</f>
        <v>0</v>
      </c>
      <c r="W54" s="271">
        <f>-Fin.Statements!U32</f>
        <v>0</v>
      </c>
      <c r="X54" s="271">
        <f>-Fin.Statements!V32</f>
        <v>0</v>
      </c>
      <c r="Y54" s="271">
        <f>-Fin.Statements!W32</f>
        <v>0</v>
      </c>
      <c r="Z54" s="180"/>
      <c r="AA54" s="180"/>
    </row>
    <row r="55" spans="2:27" s="179" customFormat="1" outlineLevel="1">
      <c r="B55" s="225" t="s">
        <v>325</v>
      </c>
      <c r="C55" s="225"/>
      <c r="D55" s="270"/>
      <c r="E55" s="271">
        <f>SUM(E52:E54)</f>
        <v>2355265.1701572165</v>
      </c>
      <c r="F55" s="271">
        <f t="shared" ref="F55:Y55" si="18">SUM(F52:F54)</f>
        <v>2977394.7263008989</v>
      </c>
      <c r="G55" s="271">
        <f>SUM(G52:G54)</f>
        <v>8293997.855580017</v>
      </c>
      <c r="H55" s="271">
        <f t="shared" si="18"/>
        <v>8152815.5305830855</v>
      </c>
      <c r="I55" s="271">
        <f t="shared" si="18"/>
        <v>8073137.6878946321</v>
      </c>
      <c r="J55" s="271">
        <f t="shared" si="18"/>
        <v>12014756.757501092</v>
      </c>
      <c r="K55" s="271">
        <f t="shared" si="18"/>
        <v>11616976.954069242</v>
      </c>
      <c r="L55" s="271">
        <f t="shared" si="18"/>
        <v>15032013.066531891</v>
      </c>
      <c r="M55" s="271">
        <f t="shared" si="18"/>
        <v>16469053.911783148</v>
      </c>
      <c r="N55" s="271">
        <f t="shared" si="18"/>
        <v>17837939.440011442</v>
      </c>
      <c r="O55" s="271">
        <f t="shared" si="18"/>
        <v>18421467.747510917</v>
      </c>
      <c r="P55" s="271">
        <f t="shared" si="18"/>
        <v>18626917.781575378</v>
      </c>
      <c r="Q55" s="271">
        <f t="shared" si="18"/>
        <v>19053867.173500896</v>
      </c>
      <c r="R55" s="271">
        <f t="shared" si="18"/>
        <v>19597687.593087438</v>
      </c>
      <c r="S55" s="271">
        <f t="shared" si="18"/>
        <v>20159102.061878897</v>
      </c>
      <c r="T55" s="271">
        <f t="shared" si="18"/>
        <v>19991012.076120257</v>
      </c>
      <c r="U55" s="271">
        <f t="shared" si="18"/>
        <v>21063915.615746517</v>
      </c>
      <c r="V55" s="271">
        <f t="shared" si="18"/>
        <v>21946436.322914016</v>
      </c>
      <c r="W55" s="271">
        <f t="shared" si="18"/>
        <v>22578313.253600262</v>
      </c>
      <c r="X55" s="271">
        <f t="shared" si="18"/>
        <v>23229146.492207095</v>
      </c>
      <c r="Y55" s="271">
        <f t="shared" si="18"/>
        <v>6565115.6916789589</v>
      </c>
      <c r="Z55" s="180"/>
      <c r="AA55" s="180"/>
    </row>
    <row r="56" spans="2:27" s="179" customFormat="1" ht="16" outlineLevel="1" thickBot="1">
      <c r="B56" s="295" t="s">
        <v>326</v>
      </c>
      <c r="C56" s="295"/>
      <c r="D56" s="296"/>
      <c r="E56" s="297">
        <f>E55</f>
        <v>2355265.1701572165</v>
      </c>
      <c r="F56" s="297">
        <f t="shared" ref="F56:Y56" si="19">F55+E56</f>
        <v>5332659.8964581154</v>
      </c>
      <c r="G56" s="297">
        <f t="shared" si="19"/>
        <v>13626657.752038132</v>
      </c>
      <c r="H56" s="297">
        <f t="shared" si="19"/>
        <v>21779473.28262122</v>
      </c>
      <c r="I56" s="297">
        <f t="shared" si="19"/>
        <v>29852610.970515851</v>
      </c>
      <c r="J56" s="297">
        <f t="shared" si="19"/>
        <v>41867367.728016943</v>
      </c>
      <c r="K56" s="297">
        <f t="shared" si="19"/>
        <v>53484344.682086185</v>
      </c>
      <c r="L56" s="297">
        <f t="shared" si="19"/>
        <v>68516357.748618081</v>
      </c>
      <c r="M56" s="297">
        <f t="shared" si="19"/>
        <v>84985411.660401225</v>
      </c>
      <c r="N56" s="297">
        <f t="shared" si="19"/>
        <v>102823351.10041267</v>
      </c>
      <c r="O56" s="297">
        <f t="shared" si="19"/>
        <v>121244818.84792358</v>
      </c>
      <c r="P56" s="297">
        <f t="shared" si="19"/>
        <v>139871736.62949896</v>
      </c>
      <c r="Q56" s="297">
        <f t="shared" si="19"/>
        <v>158925603.80299985</v>
      </c>
      <c r="R56" s="297">
        <f t="shared" si="19"/>
        <v>178523291.39608729</v>
      </c>
      <c r="S56" s="297">
        <f t="shared" si="19"/>
        <v>198682393.45796618</v>
      </c>
      <c r="T56" s="297">
        <f t="shared" si="19"/>
        <v>218673405.53408644</v>
      </c>
      <c r="U56" s="297">
        <f t="shared" si="19"/>
        <v>239737321.14983296</v>
      </c>
      <c r="V56" s="297">
        <f t="shared" si="19"/>
        <v>261683757.47274697</v>
      </c>
      <c r="W56" s="297">
        <f t="shared" si="19"/>
        <v>284262070.72634721</v>
      </c>
      <c r="X56" s="297">
        <f t="shared" si="19"/>
        <v>307491217.21855432</v>
      </c>
      <c r="Y56" s="297">
        <f t="shared" si="19"/>
        <v>314056332.91023326</v>
      </c>
      <c r="Z56" s="180"/>
      <c r="AA56" s="180"/>
    </row>
    <row r="57" spans="2:27" s="179" customFormat="1" outlineLevel="1">
      <c r="C57" s="180"/>
      <c r="D57" s="255"/>
      <c r="E57" s="255"/>
      <c r="F57" s="180"/>
      <c r="G57" s="180"/>
      <c r="H57" s="180"/>
      <c r="I57" s="180"/>
      <c r="J57" s="180"/>
      <c r="K57" s="180"/>
      <c r="L57" s="180"/>
      <c r="M57" s="180"/>
      <c r="N57" s="180"/>
      <c r="O57" s="180"/>
      <c r="P57" s="180"/>
      <c r="Q57" s="180"/>
      <c r="R57" s="180"/>
      <c r="S57" s="180"/>
      <c r="T57" s="180"/>
      <c r="U57" s="180"/>
      <c r="V57" s="180"/>
      <c r="W57" s="180"/>
      <c r="X57" s="180"/>
      <c r="Y57" s="180"/>
    </row>
    <row r="58" spans="2:27" s="179" customFormat="1" outlineLevel="1">
      <c r="C58" s="180"/>
      <c r="D58" s="255"/>
      <c r="E58" s="255"/>
      <c r="F58" s="180"/>
      <c r="G58" s="180"/>
      <c r="H58" s="180"/>
      <c r="I58" s="180"/>
      <c r="J58" s="180"/>
      <c r="K58" s="180"/>
      <c r="L58" s="180"/>
      <c r="M58" s="180"/>
      <c r="N58" s="180"/>
      <c r="O58" s="180"/>
      <c r="P58" s="180"/>
      <c r="Q58" s="180"/>
      <c r="R58" s="180"/>
      <c r="S58" s="180"/>
      <c r="T58" s="180"/>
      <c r="U58" s="180"/>
      <c r="V58" s="180"/>
      <c r="W58" s="180"/>
      <c r="X58" s="180"/>
      <c r="Y58" s="180"/>
    </row>
    <row r="59" spans="2:27" s="179" customFormat="1" ht="16" thickBot="1">
      <c r="C59" s="180"/>
      <c r="D59" s="255"/>
      <c r="E59" s="255"/>
      <c r="F59" s="180"/>
      <c r="G59" s="180"/>
      <c r="H59" s="180"/>
      <c r="I59" s="180"/>
      <c r="J59" s="180"/>
      <c r="K59" s="180"/>
      <c r="L59" s="180"/>
      <c r="M59" s="180"/>
      <c r="N59" s="180"/>
      <c r="O59" s="180"/>
      <c r="P59" s="180"/>
      <c r="Q59" s="180"/>
      <c r="R59" s="180"/>
      <c r="S59" s="180"/>
      <c r="T59" s="180"/>
      <c r="U59" s="180"/>
      <c r="V59" s="180"/>
      <c r="W59" s="180"/>
      <c r="X59" s="180"/>
      <c r="Y59" s="180"/>
    </row>
    <row r="60" spans="2:27" s="179" customFormat="1" ht="16" thickTop="1">
      <c r="B60" s="235" t="s">
        <v>327</v>
      </c>
      <c r="C60" s="263"/>
      <c r="D60" s="235"/>
      <c r="E60" s="263"/>
      <c r="F60" s="235"/>
      <c r="G60" s="263"/>
      <c r="H60" s="235"/>
      <c r="I60" s="263"/>
      <c r="J60" s="235"/>
      <c r="K60" s="263"/>
      <c r="L60" s="235"/>
      <c r="M60" s="263"/>
      <c r="N60" s="235"/>
      <c r="O60" s="263"/>
      <c r="P60" s="235"/>
      <c r="Q60" s="263"/>
      <c r="R60" s="235"/>
      <c r="S60" s="263"/>
      <c r="T60" s="235"/>
      <c r="U60" s="263"/>
      <c r="V60" s="235"/>
      <c r="W60" s="263"/>
      <c r="X60" s="180"/>
      <c r="Y60" s="180"/>
    </row>
    <row r="61" spans="2:27" s="179" customFormat="1" outlineLevel="1">
      <c r="C61" s="180"/>
      <c r="D61" s="255"/>
      <c r="E61" s="255"/>
      <c r="F61" s="180"/>
      <c r="G61" s="180"/>
      <c r="H61" s="180"/>
      <c r="I61" s="180"/>
      <c r="J61" s="180"/>
      <c r="K61" s="180"/>
      <c r="L61" s="180"/>
      <c r="M61" s="180"/>
      <c r="N61" s="180"/>
      <c r="O61" s="180"/>
      <c r="P61" s="180"/>
      <c r="Q61" s="180"/>
      <c r="R61" s="180"/>
      <c r="S61" s="180"/>
      <c r="T61" s="180"/>
      <c r="U61" s="180"/>
      <c r="V61" s="180"/>
      <c r="W61" s="180"/>
      <c r="X61" s="180"/>
      <c r="Y61" s="180"/>
    </row>
    <row r="62" spans="2:27" outlineLevel="1"/>
    <row r="63" spans="2:27" outlineLevel="1"/>
    <row r="64" spans="2:27" outlineLevel="1"/>
    <row r="65" outlineLevel="1"/>
    <row r="66" outlineLevel="1"/>
    <row r="67" outlineLevel="1"/>
    <row r="68" outlineLevel="1"/>
    <row r="69" outlineLevel="1"/>
    <row r="70" outlineLevel="1"/>
    <row r="71" outlineLevel="1"/>
    <row r="72" outlineLevel="1"/>
    <row r="73" outlineLevel="1"/>
    <row r="74" outlineLevel="1"/>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row r="90" outlineLevel="1"/>
    <row r="91" outlineLevel="1"/>
    <row r="92" outlineLevel="1"/>
    <row r="93" outlineLevel="1"/>
    <row r="94" outlineLevel="1"/>
    <row r="96" ht="16" thickBot="1"/>
    <row r="97" spans="2:25" s="179" customFormat="1" ht="16" thickTop="1">
      <c r="B97" s="235" t="s">
        <v>328</v>
      </c>
      <c r="C97" s="263"/>
      <c r="D97" s="235"/>
      <c r="E97" s="263"/>
      <c r="F97" s="235"/>
      <c r="G97" s="263"/>
      <c r="H97" s="235"/>
      <c r="I97" s="263"/>
      <c r="J97" s="235"/>
      <c r="K97" s="263"/>
      <c r="L97" s="235"/>
      <c r="M97" s="263"/>
      <c r="N97" s="235"/>
      <c r="O97" s="263"/>
      <c r="P97" s="235"/>
      <c r="Q97" s="263"/>
      <c r="R97" s="235"/>
      <c r="S97" s="263"/>
      <c r="T97" s="235"/>
      <c r="U97" s="263"/>
      <c r="V97" s="235"/>
      <c r="W97" s="263"/>
      <c r="X97" s="180"/>
      <c r="Y97" s="180"/>
    </row>
    <row r="98" spans="2:25" ht="16" thickBot="1"/>
    <row r="99" spans="2:25">
      <c r="B99" s="218" t="s">
        <v>329</v>
      </c>
      <c r="C99" s="218"/>
      <c r="D99" s="180"/>
      <c r="E99" s="255"/>
      <c r="F99" s="180"/>
      <c r="G99" s="180"/>
      <c r="H99" s="180"/>
      <c r="I99" s="180"/>
      <c r="J99" s="180"/>
      <c r="K99" s="180"/>
      <c r="L99" s="180"/>
      <c r="M99" s="180"/>
      <c r="N99" s="180"/>
      <c r="O99" s="180"/>
    </row>
    <row r="100" spans="2:25">
      <c r="B100" s="298" t="s">
        <v>330</v>
      </c>
      <c r="C100" s="299">
        <v>1</v>
      </c>
      <c r="E100" s="180"/>
      <c r="F100" s="180"/>
      <c r="G100" s="180"/>
      <c r="H100" s="180"/>
      <c r="I100" s="180"/>
      <c r="J100" s="180"/>
      <c r="K100" s="180"/>
      <c r="L100" s="180"/>
      <c r="M100" s="180"/>
      <c r="N100" s="180"/>
    </row>
    <row r="101" spans="2:25">
      <c r="B101" s="298" t="s">
        <v>331</v>
      </c>
      <c r="C101" s="299">
        <v>1</v>
      </c>
      <c r="E101" s="180"/>
      <c r="F101" s="180"/>
      <c r="G101" s="180"/>
      <c r="H101" s="180"/>
      <c r="I101" s="180"/>
      <c r="J101" s="180"/>
      <c r="K101" s="180"/>
      <c r="L101" s="180"/>
      <c r="M101" s="180"/>
      <c r="N101" s="180"/>
    </row>
    <row r="102" spans="2:25">
      <c r="B102" s="298" t="s">
        <v>235</v>
      </c>
      <c r="C102" s="299">
        <v>1</v>
      </c>
      <c r="E102" s="180"/>
      <c r="F102" s="180"/>
      <c r="G102" s="180"/>
      <c r="H102" s="180"/>
      <c r="I102" s="180"/>
      <c r="J102" s="180"/>
      <c r="K102" s="180"/>
      <c r="L102" s="180"/>
      <c r="M102" s="180"/>
      <c r="N102" s="180"/>
    </row>
    <row r="103" spans="2:25" ht="16" thickBot="1">
      <c r="B103" s="300" t="s">
        <v>280</v>
      </c>
      <c r="C103" s="301">
        <f>1/3</f>
        <v>0.33333333333333331</v>
      </c>
      <c r="E103" s="180"/>
      <c r="F103" s="180"/>
      <c r="G103" s="180"/>
      <c r="H103" s="180"/>
      <c r="I103" s="180"/>
      <c r="J103" s="180"/>
      <c r="K103" s="180"/>
      <c r="L103" s="180"/>
      <c r="M103" s="180"/>
      <c r="N103" s="180"/>
    </row>
    <row r="104" spans="2:25">
      <c r="B104" s="180"/>
      <c r="C104" s="180"/>
      <c r="D104" s="180"/>
      <c r="E104" s="180"/>
      <c r="F104" s="180"/>
      <c r="G104" s="180"/>
      <c r="H104" s="180"/>
      <c r="I104" s="180"/>
      <c r="J104" s="180"/>
      <c r="K104" s="180"/>
      <c r="L104" s="180"/>
      <c r="M104" s="180"/>
      <c r="N104" s="180"/>
    </row>
    <row r="105" spans="2:25" ht="16" thickBot="1">
      <c r="B105" s="180"/>
      <c r="C105" s="180"/>
      <c r="D105" s="180"/>
      <c r="E105" s="180"/>
      <c r="F105" s="180"/>
      <c r="G105" s="180"/>
      <c r="H105" s="180"/>
      <c r="I105" s="180"/>
      <c r="J105" s="180"/>
      <c r="K105" s="180"/>
      <c r="L105" s="180"/>
      <c r="M105" s="180"/>
      <c r="N105" s="180"/>
    </row>
    <row r="106" spans="2:25">
      <c r="B106" s="218" t="s">
        <v>332</v>
      </c>
      <c r="C106" s="218"/>
      <c r="D106" s="218"/>
      <c r="E106" s="218"/>
      <c r="F106" s="218"/>
      <c r="G106" s="218"/>
      <c r="H106" s="218"/>
      <c r="I106" s="180"/>
      <c r="J106" s="180"/>
      <c r="K106" s="180"/>
      <c r="L106" s="180"/>
      <c r="M106" s="180"/>
      <c r="N106" s="180"/>
    </row>
    <row r="107" spans="2:25" ht="16" thickBot="1">
      <c r="B107" s="247"/>
      <c r="C107" s="302">
        <f>C100</f>
        <v>1</v>
      </c>
      <c r="D107" s="303">
        <v>0.8</v>
      </c>
      <c r="E107" s="303">
        <v>0.9</v>
      </c>
      <c r="F107" s="303">
        <v>1</v>
      </c>
      <c r="G107" s="303">
        <v>1.1000000000000001</v>
      </c>
      <c r="H107" s="303">
        <v>1.2</v>
      </c>
      <c r="I107" s="180"/>
      <c r="J107" s="180"/>
      <c r="K107" s="180"/>
      <c r="L107" s="180"/>
      <c r="M107" s="180"/>
      <c r="N107" s="180"/>
    </row>
    <row r="108" spans="2:25">
      <c r="B108" s="209" t="s">
        <v>333</v>
      </c>
      <c r="C108" s="304">
        <f>Fin.Statements!$C$105</f>
        <v>115391959.66484196</v>
      </c>
      <c r="D108" s="274">
        <f t="dataTable" ref="D108:H111" dt2D="0" dtr="1" r1="C100" ca="1"/>
        <v>57955802.899129838</v>
      </c>
      <c r="E108" s="274">
        <v>86766480.769088641</v>
      </c>
      <c r="F108" s="274">
        <v>115391556.55877256</v>
      </c>
      <c r="G108" s="274">
        <v>144016632.34845653</v>
      </c>
      <c r="H108" s="274">
        <v>172641708.13814038</v>
      </c>
      <c r="I108" s="180"/>
      <c r="J108" s="180"/>
      <c r="K108" s="180"/>
      <c r="L108" s="180"/>
      <c r="M108" s="180"/>
      <c r="N108" s="180"/>
    </row>
    <row r="109" spans="2:25">
      <c r="B109" s="209" t="s">
        <v>334</v>
      </c>
      <c r="C109" s="305">
        <f>Fin.Statements!$C$106</f>
        <v>0.29057220304306353</v>
      </c>
      <c r="D109" s="306">
        <v>0.17455248506430765</v>
      </c>
      <c r="E109" s="306">
        <v>0.23234634473357474</v>
      </c>
      <c r="F109" s="306">
        <v>0.29057437185544388</v>
      </c>
      <c r="G109" s="306">
        <v>0.35155955557286855</v>
      </c>
      <c r="H109" s="306">
        <v>0.41585310256765573</v>
      </c>
      <c r="I109" s="180"/>
      <c r="J109" s="180"/>
      <c r="K109" s="180"/>
      <c r="L109" s="180"/>
      <c r="M109" s="180"/>
      <c r="N109" s="180"/>
    </row>
    <row r="110" spans="2:25">
      <c r="B110" s="209" t="s">
        <v>284</v>
      </c>
      <c r="C110" s="307">
        <f ca="1">Fin.Statements!$C$107</f>
        <v>6.9</v>
      </c>
      <c r="D110" s="308">
        <v>9.5</v>
      </c>
      <c r="E110" s="308">
        <v>7.9</v>
      </c>
      <c r="F110" s="308">
        <v>6.9</v>
      </c>
      <c r="G110" s="308">
        <v>5.7</v>
      </c>
      <c r="H110" s="308">
        <v>5.0999999999999996</v>
      </c>
      <c r="I110" s="180"/>
      <c r="J110" s="180"/>
      <c r="K110" s="180"/>
      <c r="L110" s="180"/>
      <c r="M110" s="180"/>
      <c r="N110" s="180"/>
    </row>
    <row r="111" spans="2:25" ht="16" thickBot="1">
      <c r="B111" s="241" t="s">
        <v>285</v>
      </c>
      <c r="C111" s="309">
        <f ca="1">Fin.Statements!$C$108</f>
        <v>7.5</v>
      </c>
      <c r="D111" s="242">
        <v>11.2</v>
      </c>
      <c r="E111" s="242">
        <v>8.8000000000000007</v>
      </c>
      <c r="F111" s="242">
        <v>7.5</v>
      </c>
      <c r="G111" s="242">
        <v>6.1</v>
      </c>
      <c r="H111" s="242">
        <v>5.3</v>
      </c>
      <c r="I111" s="180"/>
      <c r="J111" s="180"/>
      <c r="K111" s="180"/>
      <c r="L111" s="180"/>
      <c r="M111" s="180"/>
      <c r="N111" s="180"/>
    </row>
    <row r="112" spans="2:25">
      <c r="B112" s="179"/>
      <c r="C112" s="179"/>
      <c r="D112" s="310">
        <f>IF(D110=21,"Over 20 Years",D110)</f>
        <v>9.5</v>
      </c>
      <c r="E112" s="310">
        <f>IF(E110=21,"Over 20 Years",E110)</f>
        <v>7.9</v>
      </c>
      <c r="F112" s="310">
        <f>IF(F110=21,"Over 20 Years",F110)</f>
        <v>6.9</v>
      </c>
      <c r="G112" s="310">
        <f>IF(G110=21,"Over 20 Years",G110)</f>
        <v>5.7</v>
      </c>
      <c r="H112" s="310">
        <f>IF(H110=21,"Over 20 Years",H110)</f>
        <v>5.0999999999999996</v>
      </c>
      <c r="I112" s="180"/>
      <c r="J112" s="180"/>
      <c r="K112" s="180"/>
      <c r="L112" s="180"/>
      <c r="M112" s="180"/>
      <c r="N112" s="180"/>
    </row>
    <row r="113" spans="2:14" ht="16" thickBot="1">
      <c r="B113" s="179"/>
      <c r="C113" s="179"/>
      <c r="D113" s="179"/>
      <c r="E113" s="179"/>
      <c r="F113" s="179"/>
      <c r="G113" s="179"/>
      <c r="H113" s="179"/>
      <c r="I113" s="180"/>
      <c r="J113" s="180"/>
      <c r="K113" s="180"/>
      <c r="L113" s="180"/>
      <c r="M113" s="180"/>
      <c r="N113" s="180"/>
    </row>
    <row r="114" spans="2:14">
      <c r="B114" s="218" t="s">
        <v>335</v>
      </c>
      <c r="C114" s="218"/>
      <c r="D114" s="218"/>
      <c r="E114" s="218"/>
      <c r="F114" s="218"/>
      <c r="G114" s="218"/>
      <c r="H114" s="218"/>
      <c r="I114" s="180"/>
      <c r="J114" s="180"/>
      <c r="K114" s="180"/>
      <c r="L114" s="180"/>
      <c r="M114" s="180"/>
      <c r="N114" s="180"/>
    </row>
    <row r="115" spans="2:14" ht="16" thickBot="1">
      <c r="B115" s="247"/>
      <c r="C115" s="302">
        <f>C101</f>
        <v>1</v>
      </c>
      <c r="D115" s="303">
        <v>0.8</v>
      </c>
      <c r="E115" s="303">
        <v>0.9</v>
      </c>
      <c r="F115" s="303">
        <v>1</v>
      </c>
      <c r="G115" s="303">
        <v>1.1000000000000001</v>
      </c>
      <c r="H115" s="303">
        <v>1.2</v>
      </c>
      <c r="I115" s="180"/>
      <c r="J115" s="180"/>
      <c r="K115" s="180"/>
      <c r="L115" s="180"/>
      <c r="M115" s="180"/>
      <c r="N115" s="180"/>
    </row>
    <row r="116" spans="2:14">
      <c r="B116" s="209" t="s">
        <v>333</v>
      </c>
      <c r="C116" s="304">
        <f>Fin.Statements!$C$105</f>
        <v>115391959.66484196</v>
      </c>
      <c r="D116" s="274">
        <f t="dataTable" ref="D116:H119" dt2D="0" dtr="1" r1="C101" ca="1"/>
        <v>144841552.95445633</v>
      </c>
      <c r="E116" s="274">
        <v>130116554.75661446</v>
      </c>
      <c r="F116" s="274">
        <v>115391556.55877256</v>
      </c>
      <c r="G116" s="274">
        <v>100666558.3609307</v>
      </c>
      <c r="H116" s="274">
        <v>85917169.643562734</v>
      </c>
      <c r="I116" s="180"/>
      <c r="J116" s="180"/>
      <c r="K116" s="180"/>
      <c r="L116" s="180"/>
      <c r="M116" s="180"/>
      <c r="N116" s="180"/>
    </row>
    <row r="117" spans="2:14">
      <c r="B117" s="209" t="s">
        <v>334</v>
      </c>
      <c r="C117" s="305">
        <f>Fin.Statements!$C$106</f>
        <v>0.29057220304306353</v>
      </c>
      <c r="D117" s="306">
        <v>0.37404064735677656</v>
      </c>
      <c r="E117" s="306">
        <v>0.3303966085424157</v>
      </c>
      <c r="F117" s="306">
        <v>0.29057437185544388</v>
      </c>
      <c r="G117" s="306">
        <v>0.25414252401368209</v>
      </c>
      <c r="H117" s="306">
        <v>0.22041462658124034</v>
      </c>
      <c r="I117" s="180"/>
      <c r="J117" s="180"/>
      <c r="K117" s="180"/>
      <c r="L117" s="180"/>
      <c r="M117" s="180"/>
      <c r="N117" s="180"/>
    </row>
    <row r="118" spans="2:14">
      <c r="B118" s="209" t="s">
        <v>284</v>
      </c>
      <c r="C118" s="307">
        <f ca="1">Fin.Statements!$C$107</f>
        <v>6.9</v>
      </c>
      <c r="D118" s="308">
        <v>5.4</v>
      </c>
      <c r="E118" s="308">
        <v>6</v>
      </c>
      <c r="F118" s="308">
        <v>6.9</v>
      </c>
      <c r="G118" s="308">
        <v>7.5</v>
      </c>
      <c r="H118" s="308">
        <v>8.1999999999999993</v>
      </c>
      <c r="I118" s="180"/>
      <c r="J118" s="180"/>
      <c r="K118" s="180"/>
      <c r="L118" s="180"/>
      <c r="M118" s="180"/>
      <c r="N118" s="180"/>
    </row>
    <row r="119" spans="2:14" ht="16" thickBot="1">
      <c r="B119" s="241" t="s">
        <v>285</v>
      </c>
      <c r="C119" s="309">
        <f ca="1">Fin.Statements!$C$108</f>
        <v>7.5</v>
      </c>
      <c r="D119" s="242">
        <v>5.7</v>
      </c>
      <c r="E119" s="242">
        <v>6.6</v>
      </c>
      <c r="F119" s="242">
        <v>7.5</v>
      </c>
      <c r="G119" s="242">
        <v>8.3000000000000007</v>
      </c>
      <c r="H119" s="242">
        <v>9.1999999999999993</v>
      </c>
      <c r="I119" s="180"/>
      <c r="J119" s="180"/>
      <c r="K119" s="180"/>
      <c r="L119" s="180"/>
      <c r="M119" s="180"/>
      <c r="N119" s="180"/>
    </row>
    <row r="120" spans="2:14">
      <c r="B120" s="179"/>
      <c r="C120" s="180"/>
      <c r="D120" s="310">
        <f>IF(D118=21,"Over 20 Years",D118)</f>
        <v>5.4</v>
      </c>
      <c r="E120" s="310">
        <f>IF(E118=21,"Over 20 Years",E118)</f>
        <v>6</v>
      </c>
      <c r="F120" s="310">
        <f>IF(F118=21,"Over 20 Years",F118)</f>
        <v>6.9</v>
      </c>
      <c r="G120" s="310">
        <f>IF(G118=21,"Over 20 Years",G118)</f>
        <v>7.5</v>
      </c>
      <c r="H120" s="310">
        <f>IF(H118=21,"Over 20 Years",H118)</f>
        <v>8.1999999999999993</v>
      </c>
      <c r="I120" s="180"/>
      <c r="J120" s="180"/>
      <c r="K120" s="180"/>
      <c r="L120" s="180"/>
      <c r="M120" s="180"/>
      <c r="N120" s="180"/>
    </row>
    <row r="121" spans="2:14" ht="16" thickBot="1">
      <c r="B121" s="179"/>
      <c r="C121" s="180"/>
      <c r="D121" s="180"/>
      <c r="E121" s="180"/>
      <c r="F121" s="180"/>
      <c r="G121" s="180"/>
      <c r="H121" s="180"/>
      <c r="I121" s="180"/>
      <c r="J121" s="180"/>
      <c r="K121" s="180"/>
      <c r="L121" s="180"/>
      <c r="M121" s="180"/>
      <c r="N121" s="180"/>
    </row>
    <row r="122" spans="2:14">
      <c r="B122" s="218" t="s">
        <v>336</v>
      </c>
      <c r="C122" s="218"/>
      <c r="D122" s="218"/>
      <c r="E122" s="218"/>
      <c r="F122" s="218"/>
      <c r="G122" s="218"/>
      <c r="H122" s="218"/>
      <c r="I122" s="180"/>
      <c r="J122" s="180"/>
      <c r="K122" s="180"/>
      <c r="L122" s="180"/>
      <c r="M122" s="180"/>
      <c r="N122" s="180"/>
    </row>
    <row r="123" spans="2:14" ht="16" thickBot="1">
      <c r="B123" s="247"/>
      <c r="C123" s="302">
        <f>C102</f>
        <v>1</v>
      </c>
      <c r="D123" s="303">
        <v>0.8</v>
      </c>
      <c r="E123" s="303">
        <v>0.9</v>
      </c>
      <c r="F123" s="303">
        <v>1</v>
      </c>
      <c r="G123" s="303">
        <v>1.1000000000000001</v>
      </c>
      <c r="H123" s="303">
        <v>1.2</v>
      </c>
      <c r="I123" s="180"/>
      <c r="J123" s="180"/>
      <c r="K123" s="180"/>
      <c r="L123" s="180"/>
      <c r="M123" s="180"/>
      <c r="N123" s="180"/>
    </row>
    <row r="124" spans="2:14">
      <c r="B124" s="209" t="s">
        <v>333</v>
      </c>
      <c r="C124" s="304">
        <f>Fin.Statements!$C$105</f>
        <v>115391959.66484196</v>
      </c>
      <c r="D124" s="274">
        <f t="dataTable" ref="D124:H127" dt2D="0" dtr="1" r1="C102" ca="1"/>
        <v>119877926.29553272</v>
      </c>
      <c r="E124" s="274">
        <v>117634741.42715269</v>
      </c>
      <c r="F124" s="274">
        <v>115391556.55877256</v>
      </c>
      <c r="G124" s="274">
        <v>113148371.69039255</v>
      </c>
      <c r="H124" s="274">
        <v>110905186.82201239</v>
      </c>
      <c r="I124" s="180"/>
      <c r="J124" s="180"/>
      <c r="K124" s="180"/>
      <c r="L124" s="180"/>
      <c r="M124" s="180"/>
      <c r="N124" s="180"/>
    </row>
    <row r="125" spans="2:14">
      <c r="B125" s="209" t="s">
        <v>334</v>
      </c>
      <c r="C125" s="305">
        <f>Fin.Statements!$C$106</f>
        <v>0.29057220304306353</v>
      </c>
      <c r="D125" s="306">
        <v>0.34507343758224862</v>
      </c>
      <c r="E125" s="306">
        <v>0.31509711610658364</v>
      </c>
      <c r="F125" s="306">
        <v>0.29057437185544388</v>
      </c>
      <c r="G125" s="306">
        <v>0.27002081951545787</v>
      </c>
      <c r="H125" s="306">
        <v>0.25246469923396808</v>
      </c>
      <c r="I125" s="180"/>
      <c r="J125" s="180"/>
      <c r="K125" s="180"/>
      <c r="L125" s="180"/>
      <c r="M125" s="180"/>
      <c r="N125" s="180"/>
    </row>
    <row r="126" spans="2:14">
      <c r="B126" s="209" t="s">
        <v>284</v>
      </c>
      <c r="C126" s="307">
        <f ca="1">Fin.Statements!$C$107</f>
        <v>6.9</v>
      </c>
      <c r="D126" s="308">
        <v>6</v>
      </c>
      <c r="E126" s="308">
        <v>6.5</v>
      </c>
      <c r="F126" s="308">
        <v>6.9</v>
      </c>
      <c r="G126" s="308">
        <v>7.2</v>
      </c>
      <c r="H126" s="308">
        <v>7.4</v>
      </c>
      <c r="I126" s="180"/>
      <c r="J126" s="180"/>
      <c r="K126" s="180"/>
      <c r="L126" s="180"/>
      <c r="M126" s="180"/>
      <c r="N126" s="180"/>
    </row>
    <row r="127" spans="2:14" ht="16" thickBot="1">
      <c r="B127" s="241" t="s">
        <v>285</v>
      </c>
      <c r="C127" s="309">
        <f ca="1">Fin.Statements!$C$108</f>
        <v>7.5</v>
      </c>
      <c r="D127" s="242">
        <v>6.6</v>
      </c>
      <c r="E127" s="242">
        <v>7.1</v>
      </c>
      <c r="F127" s="242">
        <v>7.5</v>
      </c>
      <c r="G127" s="242">
        <v>7.8</v>
      </c>
      <c r="H127" s="242">
        <v>8.1999999999999993</v>
      </c>
      <c r="I127" s="180"/>
      <c r="J127" s="180"/>
      <c r="K127" s="180"/>
      <c r="L127" s="180"/>
      <c r="M127" s="180"/>
      <c r="N127" s="180"/>
    </row>
    <row r="128" spans="2:14">
      <c r="B128" s="180"/>
      <c r="C128" s="180"/>
      <c r="D128" s="310">
        <f>IF(D126=21,"Over 20 Years",D126)</f>
        <v>6</v>
      </c>
      <c r="E128" s="310">
        <f>IF(E126=21,"Over 20 Years",E126)</f>
        <v>6.5</v>
      </c>
      <c r="F128" s="310">
        <f>IF(F126=21,"Over 20 Years",F126)</f>
        <v>6.9</v>
      </c>
      <c r="G128" s="310">
        <f>IF(G126=21,"Over 20 Years",G126)</f>
        <v>7.2</v>
      </c>
      <c r="H128" s="310">
        <f>IF(H126=21,"Over 20 Years",H126)</f>
        <v>7.4</v>
      </c>
      <c r="I128" s="180"/>
      <c r="J128" s="180"/>
      <c r="K128" s="180"/>
      <c r="L128" s="180"/>
      <c r="M128" s="180"/>
      <c r="N128" s="180"/>
    </row>
    <row r="129" spans="2:14" ht="16" thickBot="1">
      <c r="B129" s="180"/>
      <c r="C129" s="180"/>
      <c r="D129" s="180"/>
      <c r="E129" s="180"/>
      <c r="F129" s="180"/>
      <c r="G129" s="180"/>
      <c r="H129" s="180"/>
      <c r="I129" s="180"/>
      <c r="J129" s="180"/>
      <c r="K129" s="180"/>
      <c r="L129" s="180"/>
      <c r="M129" s="180"/>
      <c r="N129" s="180"/>
    </row>
    <row r="130" spans="2:14">
      <c r="B130" s="218" t="s">
        <v>337</v>
      </c>
      <c r="C130" s="218"/>
      <c r="D130" s="218"/>
      <c r="E130" s="218"/>
      <c r="F130" s="218"/>
      <c r="G130" s="218"/>
      <c r="H130" s="218"/>
      <c r="I130" s="180"/>
      <c r="J130" s="180"/>
      <c r="K130" s="180"/>
      <c r="L130" s="180"/>
      <c r="M130" s="180"/>
      <c r="N130" s="180"/>
    </row>
    <row r="131" spans="2:14" ht="16" thickBot="1">
      <c r="B131" s="247"/>
      <c r="C131" s="302">
        <f>C103</f>
        <v>0.33333333333333331</v>
      </c>
      <c r="D131" s="303">
        <v>0.2</v>
      </c>
      <c r="E131" s="303">
        <v>0.4</v>
      </c>
      <c r="F131" s="303">
        <v>0.6</v>
      </c>
      <c r="G131" s="303">
        <v>0.8</v>
      </c>
      <c r="H131" s="303">
        <v>0.999</v>
      </c>
      <c r="I131" s="180"/>
      <c r="J131" s="180"/>
      <c r="K131" s="180"/>
      <c r="L131" s="180"/>
      <c r="M131" s="180"/>
      <c r="N131" s="180"/>
    </row>
    <row r="132" spans="2:14">
      <c r="B132" s="209" t="s">
        <v>333</v>
      </c>
      <c r="C132" s="304">
        <f>Fin.Statements!$C$105</f>
        <v>115391959.66484196</v>
      </c>
      <c r="D132" s="274">
        <f t="dataTable" ref="D132:H135" dt2D="0" dtr="1" r1="C103" ca="1"/>
        <v>133381442.5065337</v>
      </c>
      <c r="E132" s="274">
        <v>107325894.15338914</v>
      </c>
      <c r="F132" s="274">
        <v>85692191.877570987</v>
      </c>
      <c r="G132" s="274">
        <v>66863539.311916418</v>
      </c>
      <c r="H132" s="274">
        <v>50156040.955574803</v>
      </c>
      <c r="I132" s="180"/>
      <c r="J132" s="180"/>
      <c r="K132" s="180"/>
      <c r="L132" s="180"/>
      <c r="M132" s="180"/>
      <c r="N132" s="180"/>
    </row>
    <row r="133" spans="2:14">
      <c r="B133" s="209" t="s">
        <v>334</v>
      </c>
      <c r="C133" s="305">
        <f>Fin.Statements!$C$106</f>
        <v>0.29057220304306353</v>
      </c>
      <c r="D133" s="306">
        <v>0.35292376908902257</v>
      </c>
      <c r="E133" s="306">
        <v>0.27049282475658365</v>
      </c>
      <c r="F133" s="306">
        <v>0.22957753687556148</v>
      </c>
      <c r="G133" s="306">
        <v>0.20350942771792702</v>
      </c>
      <c r="H133" s="306">
        <v>0.1849878238103706</v>
      </c>
      <c r="I133" s="180"/>
      <c r="J133" s="180"/>
      <c r="K133" s="180"/>
      <c r="L133" s="180"/>
      <c r="M133" s="180"/>
      <c r="N133" s="180"/>
    </row>
    <row r="134" spans="2:14">
      <c r="B134" s="209" t="s">
        <v>284</v>
      </c>
      <c r="C134" s="307">
        <f ca="1">Fin.Statements!$C$107</f>
        <v>6.9</v>
      </c>
      <c r="D134" s="308">
        <v>6.4</v>
      </c>
      <c r="E134" s="308">
        <v>7.1</v>
      </c>
      <c r="F134" s="308">
        <v>7.5</v>
      </c>
      <c r="G134" s="308">
        <v>7.9</v>
      </c>
      <c r="H134" s="308">
        <v>8.1999999999999993</v>
      </c>
      <c r="I134" s="180"/>
      <c r="J134" s="180"/>
      <c r="K134" s="180"/>
      <c r="L134" s="180"/>
      <c r="M134" s="180"/>
      <c r="N134" s="180"/>
    </row>
    <row r="135" spans="2:14" ht="16" thickBot="1">
      <c r="B135" s="241" t="s">
        <v>285</v>
      </c>
      <c r="C135" s="309">
        <f ca="1">Fin.Statements!$C$108</f>
        <v>7.5</v>
      </c>
      <c r="D135" s="242">
        <v>6.8</v>
      </c>
      <c r="E135" s="242">
        <v>7.8</v>
      </c>
      <c r="F135" s="242">
        <v>8.6999999999999993</v>
      </c>
      <c r="G135" s="242">
        <v>9.6</v>
      </c>
      <c r="H135" s="242">
        <v>10.7</v>
      </c>
      <c r="I135" s="180"/>
      <c r="J135" s="180"/>
      <c r="K135" s="180"/>
      <c r="L135" s="180"/>
      <c r="M135" s="180"/>
      <c r="N135" s="180"/>
    </row>
    <row r="136" spans="2:14">
      <c r="B136" s="180"/>
      <c r="C136" s="180"/>
      <c r="D136" s="310">
        <f>IF(D134=21,"Over 20 Years",D134)</f>
        <v>6.4</v>
      </c>
      <c r="E136" s="310">
        <f>IF(E134=21,"Over 20 Years",E134)</f>
        <v>7.1</v>
      </c>
      <c r="F136" s="310">
        <f>IF(F134=21,"Over 20 Years",F134)</f>
        <v>7.5</v>
      </c>
      <c r="G136" s="310">
        <f>IF(G134=21,"Over 20 Years",G134)</f>
        <v>7.9</v>
      </c>
      <c r="H136" s="310">
        <f>IF(H134=21,"Over 20 Years",H134)</f>
        <v>8.1999999999999993</v>
      </c>
      <c r="I136" s="180"/>
      <c r="J136" s="180"/>
      <c r="K136" s="180"/>
      <c r="L136" s="180"/>
      <c r="M136" s="180"/>
      <c r="N136" s="180"/>
    </row>
    <row r="137" spans="2:14">
      <c r="B137" s="180"/>
      <c r="C137" s="180"/>
      <c r="D137" s="180"/>
      <c r="E137" s="180"/>
      <c r="F137" s="180"/>
      <c r="G137" s="180"/>
      <c r="H137" s="180"/>
      <c r="I137" s="180"/>
      <c r="J137" s="180"/>
      <c r="K137" s="180"/>
      <c r="L137" s="180"/>
      <c r="M137" s="180"/>
      <c r="N137" s="180"/>
    </row>
    <row r="138" spans="2:14">
      <c r="B138" s="180"/>
      <c r="C138" s="180"/>
      <c r="D138" s="180"/>
      <c r="E138" s="180"/>
      <c r="F138" s="180"/>
      <c r="G138" s="180"/>
      <c r="H138" s="180"/>
      <c r="I138" s="180"/>
      <c r="J138" s="180"/>
      <c r="K138" s="180"/>
      <c r="L138" s="180"/>
      <c r="M138" s="180"/>
      <c r="N138" s="180"/>
    </row>
    <row r="139" spans="2:14">
      <c r="B139" s="180"/>
      <c r="C139" s="180"/>
      <c r="D139" s="180"/>
      <c r="E139" s="180"/>
      <c r="F139" s="180"/>
      <c r="G139" s="180"/>
      <c r="H139" s="180"/>
      <c r="I139" s="180"/>
      <c r="J139" s="180"/>
      <c r="K139" s="180"/>
      <c r="L139" s="180"/>
      <c r="M139" s="180"/>
      <c r="N139" s="180"/>
    </row>
    <row r="140" spans="2:14">
      <c r="B140" s="180"/>
      <c r="C140" s="180"/>
      <c r="D140" s="180"/>
      <c r="E140" s="180"/>
      <c r="F140" s="180"/>
      <c r="G140" s="180"/>
      <c r="H140" s="180"/>
      <c r="I140" s="180"/>
      <c r="J140" s="180"/>
      <c r="K140" s="180"/>
      <c r="L140" s="180"/>
      <c r="M140" s="180"/>
      <c r="N140" s="180"/>
    </row>
    <row r="141" spans="2:14">
      <c r="B141" s="180"/>
      <c r="C141" s="180"/>
      <c r="D141" s="180"/>
      <c r="E141" s="180"/>
      <c r="F141" s="180"/>
      <c r="G141" s="180"/>
      <c r="H141" s="180"/>
      <c r="I141" s="180"/>
      <c r="J141" s="180"/>
      <c r="K141" s="180"/>
      <c r="L141" s="180"/>
      <c r="M141" s="180"/>
      <c r="N141" s="180"/>
    </row>
    <row r="142" spans="2:14">
      <c r="B142" s="180"/>
      <c r="C142" s="180"/>
      <c r="D142" s="180"/>
      <c r="E142" s="180"/>
      <c r="F142" s="180"/>
      <c r="G142" s="180"/>
      <c r="H142" s="180"/>
      <c r="I142" s="180"/>
      <c r="J142" s="180"/>
      <c r="K142" s="180"/>
      <c r="L142" s="180"/>
      <c r="M142" s="180"/>
      <c r="N142" s="180"/>
    </row>
    <row r="143" spans="2:14">
      <c r="B143" s="180"/>
      <c r="C143" s="180"/>
      <c r="D143" s="180"/>
      <c r="E143" s="180"/>
      <c r="F143" s="180"/>
      <c r="G143" s="180"/>
      <c r="H143" s="180"/>
      <c r="I143" s="180"/>
      <c r="J143" s="180"/>
      <c r="K143" s="180"/>
      <c r="L143" s="180"/>
      <c r="M143" s="180"/>
      <c r="N143" s="180"/>
    </row>
    <row r="144" spans="2:14">
      <c r="B144" s="180"/>
      <c r="C144" s="180"/>
      <c r="D144" s="180"/>
      <c r="E144" s="180"/>
      <c r="F144" s="180"/>
      <c r="G144" s="180"/>
      <c r="H144" s="180"/>
      <c r="I144" s="180"/>
      <c r="J144" s="180"/>
      <c r="K144" s="180"/>
      <c r="L144" s="180"/>
      <c r="M144" s="180"/>
      <c r="N144" s="180"/>
    </row>
    <row r="145" spans="2:15">
      <c r="B145" s="180"/>
      <c r="C145" s="180"/>
      <c r="D145" s="180"/>
      <c r="E145" s="180"/>
      <c r="F145" s="180"/>
      <c r="G145" s="180"/>
      <c r="H145" s="180"/>
      <c r="I145" s="180"/>
      <c r="J145" s="180"/>
      <c r="K145" s="180"/>
      <c r="L145" s="180"/>
      <c r="M145" s="180"/>
      <c r="N145" s="180"/>
    </row>
    <row r="146" spans="2:15">
      <c r="B146" s="180"/>
      <c r="C146" s="180"/>
      <c r="D146" s="180"/>
      <c r="E146" s="180"/>
      <c r="F146" s="180"/>
      <c r="G146" s="180"/>
      <c r="H146" s="180"/>
      <c r="I146" s="180"/>
      <c r="J146" s="180"/>
      <c r="K146" s="180"/>
      <c r="L146" s="180"/>
      <c r="M146" s="180"/>
      <c r="N146" s="180"/>
    </row>
    <row r="147" spans="2:15">
      <c r="B147" s="180"/>
      <c r="C147" s="180"/>
      <c r="D147" s="180"/>
      <c r="E147" s="180"/>
      <c r="F147" s="180"/>
      <c r="G147" s="180"/>
      <c r="H147" s="180"/>
      <c r="I147" s="180"/>
      <c r="J147" s="180"/>
      <c r="K147" s="180"/>
      <c r="L147" s="180"/>
      <c r="M147" s="180"/>
      <c r="N147" s="180"/>
    </row>
    <row r="148" spans="2:15">
      <c r="B148" s="180"/>
      <c r="C148" s="180"/>
      <c r="D148" s="180"/>
      <c r="E148" s="180"/>
      <c r="F148" s="180"/>
      <c r="G148" s="180"/>
      <c r="H148" s="180"/>
      <c r="I148" s="180"/>
      <c r="J148" s="180"/>
      <c r="K148" s="180"/>
      <c r="L148" s="180"/>
      <c r="M148" s="180"/>
      <c r="N148" s="180"/>
    </row>
    <row r="149" spans="2:15">
      <c r="B149" s="180"/>
      <c r="C149" s="180"/>
      <c r="D149" s="180"/>
      <c r="E149" s="180"/>
      <c r="F149" s="180"/>
      <c r="G149" s="180"/>
      <c r="H149" s="180"/>
      <c r="I149" s="180"/>
      <c r="J149" s="180"/>
      <c r="K149" s="180"/>
      <c r="L149" s="180"/>
      <c r="M149" s="180"/>
      <c r="N149" s="180"/>
    </row>
    <row r="150" spans="2:15">
      <c r="B150" s="180"/>
      <c r="C150" s="180"/>
      <c r="D150" s="180"/>
      <c r="E150" s="180"/>
      <c r="F150" s="180"/>
      <c r="G150" s="180"/>
      <c r="H150" s="180"/>
      <c r="I150" s="180"/>
      <c r="J150" s="180"/>
      <c r="K150" s="180"/>
      <c r="L150" s="180"/>
      <c r="M150" s="180"/>
      <c r="N150" s="180"/>
    </row>
    <row r="151" spans="2:15">
      <c r="B151" s="180"/>
      <c r="C151" s="180"/>
      <c r="D151" s="180"/>
      <c r="E151" s="180"/>
      <c r="F151" s="180"/>
      <c r="G151" s="180"/>
      <c r="H151" s="180"/>
      <c r="I151" s="180"/>
      <c r="J151" s="180"/>
      <c r="K151" s="180"/>
      <c r="L151" s="180"/>
      <c r="M151" s="180"/>
      <c r="N151" s="180"/>
    </row>
    <row r="152" spans="2:15">
      <c r="B152" s="180"/>
      <c r="C152" s="180"/>
      <c r="D152" s="180"/>
      <c r="E152" s="180"/>
      <c r="F152" s="180"/>
      <c r="G152" s="180"/>
      <c r="H152" s="180"/>
      <c r="I152" s="180"/>
      <c r="J152" s="180"/>
      <c r="K152" s="180"/>
      <c r="L152" s="180"/>
      <c r="M152" s="180"/>
      <c r="N152" s="180"/>
    </row>
    <row r="153" spans="2:15">
      <c r="B153" s="180"/>
      <c r="C153" s="180"/>
      <c r="D153" s="180"/>
      <c r="E153" s="180"/>
      <c r="F153" s="180"/>
      <c r="G153" s="180"/>
      <c r="H153" s="180"/>
      <c r="I153" s="180"/>
      <c r="J153" s="180"/>
      <c r="K153" s="180"/>
      <c r="L153" s="180"/>
      <c r="M153" s="180"/>
      <c r="N153" s="180"/>
    </row>
    <row r="154" spans="2:15">
      <c r="B154" s="180"/>
      <c r="C154" s="180"/>
      <c r="D154" s="180"/>
      <c r="E154" s="180"/>
      <c r="F154" s="180"/>
      <c r="G154" s="180"/>
      <c r="H154" s="180"/>
      <c r="I154" s="180"/>
      <c r="J154" s="180"/>
      <c r="K154" s="180"/>
      <c r="L154" s="180"/>
      <c r="M154" s="180"/>
      <c r="N154" s="180"/>
    </row>
    <row r="155" spans="2:15">
      <c r="B155" s="180"/>
      <c r="C155" s="180"/>
      <c r="D155" s="180"/>
      <c r="E155" s="180"/>
      <c r="F155" s="180"/>
      <c r="G155" s="180"/>
      <c r="H155" s="180"/>
      <c r="I155" s="180"/>
      <c r="J155" s="180"/>
      <c r="K155" s="180"/>
      <c r="L155" s="180"/>
      <c r="M155" s="180"/>
      <c r="N155" s="180"/>
    </row>
    <row r="156" spans="2:15">
      <c r="B156" s="180"/>
      <c r="C156" s="180"/>
      <c r="D156" s="180"/>
      <c r="E156" s="180"/>
      <c r="F156" s="180"/>
      <c r="G156" s="180"/>
      <c r="H156" s="180"/>
      <c r="I156" s="180"/>
      <c r="J156" s="180"/>
      <c r="K156" s="180"/>
      <c r="L156" s="180"/>
      <c r="M156" s="180"/>
      <c r="N156" s="180"/>
      <c r="O156" s="180"/>
    </row>
    <row r="157" spans="2:15">
      <c r="B157" s="180"/>
      <c r="C157" s="180"/>
      <c r="D157" s="180"/>
      <c r="E157" s="180"/>
      <c r="F157" s="180"/>
      <c r="G157" s="180"/>
      <c r="H157" s="180"/>
      <c r="I157" s="180"/>
      <c r="J157" s="180"/>
      <c r="K157" s="180"/>
      <c r="L157" s="180"/>
      <c r="M157" s="180"/>
      <c r="N157" s="180"/>
      <c r="O157" s="180"/>
    </row>
    <row r="158" spans="2:15">
      <c r="B158" s="180"/>
      <c r="C158" s="180"/>
      <c r="D158" s="180"/>
      <c r="E158" s="180"/>
      <c r="F158" s="180"/>
      <c r="G158" s="180"/>
      <c r="H158" s="180"/>
      <c r="I158" s="180"/>
      <c r="J158" s="180"/>
      <c r="K158" s="180"/>
      <c r="L158" s="180"/>
      <c r="M158" s="180"/>
      <c r="N158" s="180"/>
      <c r="O158" s="180"/>
    </row>
    <row r="159" spans="2:15">
      <c r="B159" s="180"/>
      <c r="C159" s="180"/>
      <c r="D159" s="180"/>
      <c r="E159" s="180"/>
      <c r="F159" s="180"/>
      <c r="G159" s="180"/>
      <c r="H159" s="180"/>
      <c r="I159" s="180"/>
      <c r="J159" s="180"/>
      <c r="K159" s="180"/>
      <c r="L159" s="180"/>
      <c r="M159" s="180"/>
      <c r="N159" s="180"/>
      <c r="O159" s="180"/>
    </row>
    <row r="160" spans="2:15">
      <c r="B160" s="180"/>
      <c r="C160" s="180"/>
      <c r="D160" s="180"/>
      <c r="E160" s="180"/>
      <c r="F160" s="180"/>
      <c r="G160" s="180"/>
      <c r="H160" s="180"/>
      <c r="I160" s="180"/>
      <c r="J160" s="180"/>
      <c r="K160" s="180"/>
      <c r="L160" s="180"/>
      <c r="M160" s="180"/>
      <c r="N160" s="180"/>
      <c r="O160" s="180"/>
    </row>
    <row r="161" spans="2:15">
      <c r="B161" s="180"/>
      <c r="C161" s="180"/>
      <c r="D161" s="180"/>
      <c r="E161" s="180"/>
      <c r="F161" s="180"/>
      <c r="G161" s="180"/>
      <c r="H161" s="180"/>
      <c r="I161" s="180"/>
      <c r="J161" s="180"/>
      <c r="K161" s="180"/>
      <c r="L161" s="180"/>
      <c r="M161" s="180"/>
      <c r="N161" s="180"/>
      <c r="O161" s="180"/>
    </row>
    <row r="162" spans="2:15">
      <c r="B162" s="180"/>
      <c r="C162" s="180"/>
      <c r="D162" s="180"/>
      <c r="E162" s="180"/>
      <c r="F162" s="180"/>
      <c r="G162" s="180"/>
      <c r="H162" s="180"/>
      <c r="I162" s="180"/>
      <c r="J162" s="180"/>
      <c r="K162" s="180"/>
      <c r="L162" s="180"/>
      <c r="M162" s="180"/>
      <c r="N162" s="180"/>
      <c r="O162" s="180"/>
    </row>
  </sheetData>
  <mergeCells count="5">
    <mergeCell ref="C10:D10"/>
    <mergeCell ref="C11:D11"/>
    <mergeCell ref="C12:D12"/>
    <mergeCell ref="C13:D13"/>
    <mergeCell ref="C14:D14"/>
  </mergeCells>
  <conditionalFormatting sqref="Z20:Z30 C31:Y31">
    <cfRule type="cellIs" dxfId="3" priority="1" operator="equal">
      <formula>0</formula>
    </cfRule>
    <cfRule type="cellIs" dxfId="2" priority="2" operator="notEqual">
      <formula>0</formula>
    </cfRule>
  </conditionalFormatting>
  <pageMargins left="0.7" right="0.7" top="0.75" bottom="0.75" header="0.3" footer="0.3"/>
  <pageSetup paperSize="9" orientation="portrait" horizontalDpi="4294967293" verticalDpi="4294967293" r:id="rId1"/>
  <drawing r:id="rId2"/>
  <extLst>
    <ext xmlns:x14="http://schemas.microsoft.com/office/spreadsheetml/2009/9/main" uri="{78C0D931-6437-407d-A8EE-F0AAD7539E65}">
      <x14:conditionalFormattings>
        <x14:conditionalFormatting xmlns:xm="http://schemas.microsoft.com/office/excel/2006/main">
          <x14:cfRule type="cellIs" priority="5" operator="greaterThan" id="{B8B45E4D-8F05-4767-82C3-C878F7C08200}">
            <xm:f>'Data Input'!$D$42</xm:f>
            <x14:dxf>
              <font>
                <color rgb="FF006100"/>
              </font>
              <fill>
                <patternFill>
                  <bgColor theme="9" tint="0.79998168889431442"/>
                </patternFill>
              </fill>
            </x14:dxf>
          </x14:cfRule>
          <xm:sqref>E40:Y40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7" tint="0.59999389629810485"/>
  </sheetPr>
  <dimension ref="A1:AU138"/>
  <sheetViews>
    <sheetView zoomScale="80" zoomScaleNormal="80" workbookViewId="0">
      <selection activeCell="L14" sqref="L14"/>
    </sheetView>
  </sheetViews>
  <sheetFormatPr baseColWidth="10" defaultColWidth="10" defaultRowHeight="15" outlineLevelRow="1"/>
  <cols>
    <col min="1" max="1" width="6.6640625" style="289" customWidth="1"/>
    <col min="2" max="2" width="39.1640625" style="289" bestFit="1" customWidth="1"/>
    <col min="3" max="3" width="16.83203125" style="314" customWidth="1"/>
    <col min="4" max="8" width="16.83203125" style="314" bestFit="1" customWidth="1"/>
    <col min="9" max="23" width="18" style="314" bestFit="1" customWidth="1"/>
    <col min="24" max="24" width="16.83203125" style="314" bestFit="1" customWidth="1"/>
    <col min="25" max="25" width="14" style="314" customWidth="1"/>
    <col min="26" max="26" width="31.83203125" style="314" bestFit="1" customWidth="1"/>
    <col min="27" max="34" width="13.5" style="289" bestFit="1" customWidth="1"/>
    <col min="35" max="37" width="13.1640625" style="289" bestFit="1" customWidth="1"/>
    <col min="38" max="47" width="13.83203125" style="289" bestFit="1" customWidth="1"/>
    <col min="48" max="16384" width="10" style="289"/>
  </cols>
  <sheetData>
    <row r="1" spans="2:47" s="311" customFormat="1">
      <c r="B1" s="311" t="s">
        <v>168</v>
      </c>
      <c r="C1" s="311" t="str">
        <f>Cover!$C$10</f>
        <v>Mr. Amir Artine</v>
      </c>
      <c r="D1" s="312"/>
      <c r="E1" s="312"/>
      <c r="F1" s="312"/>
      <c r="G1" s="312" t="s">
        <v>169</v>
      </c>
      <c r="H1" s="313">
        <f ca="1">Cover!$C$13</f>
        <v>45763</v>
      </c>
      <c r="I1" s="312"/>
      <c r="J1" s="312"/>
      <c r="K1" s="312"/>
      <c r="L1" s="312"/>
      <c r="M1" s="312"/>
      <c r="N1" s="312"/>
      <c r="O1" s="312"/>
      <c r="P1" s="312"/>
      <c r="Q1" s="312"/>
      <c r="R1" s="312"/>
      <c r="S1" s="312"/>
      <c r="T1" s="312"/>
      <c r="U1" s="312"/>
      <c r="V1" s="312"/>
    </row>
    <row r="2" spans="2:47" ht="16" thickBot="1"/>
    <row r="3" spans="2:47" ht="16" thickTop="1">
      <c r="B3" s="315" t="s">
        <v>338</v>
      </c>
      <c r="C3" s="316"/>
      <c r="D3" s="316"/>
      <c r="E3" s="316"/>
      <c r="F3" s="316"/>
      <c r="G3" s="316"/>
      <c r="H3" s="316"/>
      <c r="I3" s="316"/>
      <c r="J3" s="316"/>
      <c r="K3" s="316"/>
      <c r="L3" s="316"/>
      <c r="M3" s="316"/>
      <c r="N3" s="316"/>
      <c r="O3" s="316"/>
      <c r="P3" s="316"/>
      <c r="Q3" s="316"/>
      <c r="R3" s="316"/>
      <c r="S3" s="316"/>
      <c r="T3" s="316"/>
      <c r="U3" s="316"/>
      <c r="V3" s="316"/>
      <c r="W3" s="316"/>
      <c r="Z3" s="315" t="s">
        <v>338</v>
      </c>
      <c r="AA3" s="316"/>
      <c r="AB3" s="316"/>
      <c r="AC3" s="316"/>
      <c r="AD3" s="316"/>
      <c r="AE3" s="316"/>
      <c r="AF3" s="316"/>
      <c r="AG3" s="316"/>
      <c r="AH3" s="316"/>
      <c r="AI3" s="316"/>
      <c r="AJ3" s="316"/>
      <c r="AK3" s="316"/>
      <c r="AL3" s="316"/>
      <c r="AM3" s="316"/>
      <c r="AN3" s="316"/>
      <c r="AO3" s="316"/>
      <c r="AP3" s="316"/>
      <c r="AQ3" s="316"/>
      <c r="AR3" s="316"/>
      <c r="AS3" s="316"/>
      <c r="AT3" s="316"/>
      <c r="AU3" s="316"/>
    </row>
    <row r="4" spans="2:47" ht="16" outlineLevel="1" thickBot="1">
      <c r="B4" s="317"/>
      <c r="C4" s="318">
        <v>0</v>
      </c>
      <c r="D4" s="318">
        <v>1</v>
      </c>
      <c r="E4" s="318">
        <v>2</v>
      </c>
      <c r="F4" s="318">
        <v>3</v>
      </c>
      <c r="G4" s="318">
        <v>4</v>
      </c>
      <c r="H4" s="318">
        <v>5</v>
      </c>
      <c r="I4" s="318">
        <v>6</v>
      </c>
      <c r="J4" s="318">
        <v>7</v>
      </c>
      <c r="K4" s="318">
        <v>8</v>
      </c>
      <c r="L4" s="318">
        <v>9</v>
      </c>
      <c r="M4" s="318">
        <v>10</v>
      </c>
      <c r="N4" s="318">
        <v>11</v>
      </c>
      <c r="O4" s="318">
        <v>12</v>
      </c>
      <c r="P4" s="318">
        <v>13</v>
      </c>
      <c r="Q4" s="318">
        <v>14</v>
      </c>
      <c r="R4" s="318">
        <v>15</v>
      </c>
      <c r="S4" s="318">
        <v>16</v>
      </c>
      <c r="T4" s="318">
        <v>17</v>
      </c>
      <c r="U4" s="318">
        <v>18</v>
      </c>
      <c r="V4" s="318">
        <v>19</v>
      </c>
      <c r="W4" s="318">
        <v>20</v>
      </c>
      <c r="Z4" s="317"/>
      <c r="AA4" s="318">
        <v>0</v>
      </c>
      <c r="AB4" s="318">
        <v>1</v>
      </c>
      <c r="AC4" s="318">
        <v>2</v>
      </c>
      <c r="AD4" s="318">
        <v>3</v>
      </c>
      <c r="AE4" s="318">
        <v>4</v>
      </c>
      <c r="AF4" s="318">
        <v>5</v>
      </c>
      <c r="AG4" s="318">
        <v>6</v>
      </c>
      <c r="AH4" s="318">
        <v>7</v>
      </c>
      <c r="AI4" s="318">
        <v>8</v>
      </c>
      <c r="AJ4" s="318">
        <v>9</v>
      </c>
      <c r="AK4" s="318">
        <v>10</v>
      </c>
      <c r="AL4" s="318">
        <v>11</v>
      </c>
      <c r="AM4" s="318">
        <v>12</v>
      </c>
      <c r="AN4" s="318">
        <v>13</v>
      </c>
      <c r="AO4" s="318">
        <v>14</v>
      </c>
      <c r="AP4" s="318">
        <v>15</v>
      </c>
      <c r="AQ4" s="318">
        <v>16</v>
      </c>
      <c r="AR4" s="318">
        <v>17</v>
      </c>
      <c r="AS4" s="318">
        <v>18</v>
      </c>
      <c r="AT4" s="318">
        <v>19</v>
      </c>
      <c r="AU4" s="318">
        <v>20</v>
      </c>
    </row>
    <row r="5" spans="2:47" outlineLevel="1">
      <c r="B5" s="290" t="s">
        <v>166</v>
      </c>
      <c r="C5" s="319">
        <f>'Data Input'!C5*(1+'Data Input'!$D$38)^(C$4-1)*Dashboard!$C$100</f>
        <v>0</v>
      </c>
      <c r="D5" s="319">
        <f>'Data Input'!D5*(1+'Data Input'!$D$38)^(D$4-1)*Dashboard!$C$100</f>
        <v>9047287.2662634104</v>
      </c>
      <c r="E5" s="319">
        <f>'Data Input'!E5*(1+'Data Input'!$D$38)^(E$4-1)*Dashboard!$C$100</f>
        <v>17369119.597847436</v>
      </c>
      <c r="F5" s="319">
        <f>'Data Input'!F5*(1+'Data Input'!$D$38)^(F$4-1)*Dashboard!$C$100</f>
        <v>20996044.882054728</v>
      </c>
      <c r="G5" s="319">
        <f>'Data Input'!G5*(1+'Data Input'!$D$38)^(G$4-1)*Dashboard!$C$100</f>
        <v>24842804.977434926</v>
      </c>
      <c r="H5" s="319">
        <f>'Data Input'!H5*(1+'Data Input'!$D$38)^(H$4-1)*Dashboard!$C$100</f>
        <v>30413102.431130104</v>
      </c>
      <c r="I5" s="319">
        <f>'Data Input'!I5*(1+'Data Input'!$D$38)^(I$4-1)*Dashboard!$C$100</f>
        <v>36906344.795303375</v>
      </c>
      <c r="J5" s="319">
        <f>'Data Input'!J5*(1+'Data Input'!$D$38)^(J$4-1)*Dashboard!$C$100</f>
        <v>41191674.247051291</v>
      </c>
      <c r="K5" s="319">
        <f>'Data Input'!K5*(1+'Data Input'!$D$38)^(K$4-1)*Dashboard!$C$100</f>
        <v>44049909.231796131</v>
      </c>
      <c r="L5" s="319">
        <f>'Data Input'!L5*(1+'Data Input'!$D$38)^(L$4-1)*Dashboard!$C$100</f>
        <v>47035396.802447081</v>
      </c>
      <c r="M5" s="319">
        <f>'Data Input'!M5*(1+'Data Input'!$D$38)^(M$4-1)*Dashboard!$C$100</f>
        <v>48435498.456041947</v>
      </c>
      <c r="N5" s="319">
        <f>'Data Input'!N5*(1+'Data Input'!$D$38)^(N$4-1)*Dashboard!$C$100</f>
        <v>49877330.396107286</v>
      </c>
      <c r="O5" s="319">
        <f>'Data Input'!O5*(1+'Data Input'!$D$38)^(O$4-1)*Dashboard!$C$100</f>
        <v>51362138.251100667</v>
      </c>
      <c r="P5" s="319">
        <f>'Data Input'!P5*(1+'Data Input'!$D$38)^(P$4-1)*Dashboard!$C$100</f>
        <v>52903002.398633681</v>
      </c>
      <c r="Q5" s="319">
        <f>'Data Input'!Q5*(1+'Data Input'!$D$38)^(Q$4-1)*Dashboard!$C$100</f>
        <v>54490092.470592692</v>
      </c>
      <c r="R5" s="319">
        <f>'Data Input'!R5*(1+'Data Input'!$D$38)^(R$4-1)*Dashboard!$C$100</f>
        <v>56124795.244710475</v>
      </c>
      <c r="S5" s="319">
        <f>'Data Input'!S5*(1+'Data Input'!$D$38)^(S$4-1)*Dashboard!$C$100</f>
        <v>57808539.102051795</v>
      </c>
      <c r="T5" s="319">
        <f>'Data Input'!T5*(1+'Data Input'!$D$38)^(T$4-1)*Dashboard!$C$100</f>
        <v>59542795.275113337</v>
      </c>
      <c r="U5" s="319">
        <f>'Data Input'!U5*(1+'Data Input'!$D$38)^(U$4-1)*Dashboard!$C$100</f>
        <v>61329079.133366734</v>
      </c>
      <c r="V5" s="319">
        <f>'Data Input'!V5*(1+'Data Input'!$D$38)^(V$4-1)*Dashboard!$C$100</f>
        <v>63168951.507367738</v>
      </c>
      <c r="W5" s="319">
        <f>'Data Input'!W5*(1+'Data Input'!$D$38)^(W$4-1)*Dashboard!$C$100</f>
        <v>0</v>
      </c>
      <c r="Z5" s="290" t="s">
        <v>166</v>
      </c>
      <c r="AA5" s="503">
        <f t="shared" ref="AA5:AP16" si="0">C5/1000</f>
        <v>0</v>
      </c>
      <c r="AB5" s="503">
        <f t="shared" si="0"/>
        <v>9047.2872662634109</v>
      </c>
      <c r="AC5" s="503">
        <f t="shared" si="0"/>
        <v>17369.119597847435</v>
      </c>
      <c r="AD5" s="503">
        <f t="shared" si="0"/>
        <v>20996.044882054728</v>
      </c>
      <c r="AE5" s="503">
        <f t="shared" si="0"/>
        <v>24842.804977434927</v>
      </c>
      <c r="AF5" s="503">
        <f t="shared" si="0"/>
        <v>30413.102431130104</v>
      </c>
      <c r="AG5" s="503">
        <f t="shared" si="0"/>
        <v>36906.344795303376</v>
      </c>
      <c r="AH5" s="503">
        <f t="shared" si="0"/>
        <v>41191.674247051291</v>
      </c>
      <c r="AI5" s="503">
        <f t="shared" si="0"/>
        <v>44049.909231796133</v>
      </c>
      <c r="AJ5" s="503">
        <f t="shared" si="0"/>
        <v>47035.396802447081</v>
      </c>
      <c r="AK5" s="503">
        <f t="shared" si="0"/>
        <v>48435.498456041947</v>
      </c>
      <c r="AL5" s="503">
        <f t="shared" si="0"/>
        <v>49877.330396107289</v>
      </c>
      <c r="AM5" s="503">
        <f t="shared" si="0"/>
        <v>51362.138251100667</v>
      </c>
      <c r="AN5" s="503">
        <f t="shared" si="0"/>
        <v>52903.002398633682</v>
      </c>
      <c r="AO5" s="503">
        <f t="shared" si="0"/>
        <v>54490.092470592695</v>
      </c>
      <c r="AP5" s="503">
        <f t="shared" si="0"/>
        <v>56124.795244710476</v>
      </c>
      <c r="AQ5" s="503">
        <f t="shared" ref="AQ5:AU16" si="1">S5/1000</f>
        <v>57808.539102051793</v>
      </c>
      <c r="AR5" s="503">
        <f t="shared" si="1"/>
        <v>59542.795275113334</v>
      </c>
      <c r="AS5" s="503">
        <f t="shared" si="1"/>
        <v>61329.079133366737</v>
      </c>
      <c r="AT5" s="503">
        <f t="shared" si="1"/>
        <v>63168.951507367739</v>
      </c>
      <c r="AU5" s="503">
        <f t="shared" si="1"/>
        <v>0</v>
      </c>
    </row>
    <row r="6" spans="2:47" outlineLevel="1">
      <c r="B6" s="320" t="s">
        <v>170</v>
      </c>
      <c r="C6" s="321">
        <f>-'Data Input'!C6*(1+'Data Input'!$D$38)^(C$4-1)*Dashboard!$C$101</f>
        <v>0</v>
      </c>
      <c r="D6" s="321">
        <f>-'Data Input'!D6*(1+'Data Input'!$D$38)^(D$4-1)*Dashboard!$C$101</f>
        <v>-6987857.2157534128</v>
      </c>
      <c r="E6" s="321">
        <f>-'Data Input'!E6*(1+'Data Input'!$D$38)^(E$4-1)*Dashboard!$C$101</f>
        <v>-11690693.824922495</v>
      </c>
      <c r="F6" s="321">
        <f>-'Data Input'!F6*(1+'Data Input'!$D$38)^(F$4-1)*Dashboard!$C$101</f>
        <v>-12833391.898386916</v>
      </c>
      <c r="G6" s="321">
        <f>-'Data Input'!G6*(1+'Data Input'!$D$38)^(G$4-1)*Dashboard!$C$101</f>
        <v>-13790963.828086879</v>
      </c>
      <c r="H6" s="321">
        <f>-'Data Input'!H6*(1+'Data Input'!$D$38)^(H$4-1)*Dashboard!$C$101</f>
        <v>-15182617.372446518</v>
      </c>
      <c r="I6" s="321">
        <f>-'Data Input'!I6*(1+'Data Input'!$D$38)^(I$4-1)*Dashboard!$C$101</f>
        <v>-16515326.477495376</v>
      </c>
      <c r="J6" s="321">
        <f>-'Data Input'!J6*(1+'Data Input'!$D$38)^(J$4-1)*Dashboard!$C$101</f>
        <v>-17298724.649815511</v>
      </c>
      <c r="K6" s="321">
        <f>-'Data Input'!K6*(1+'Data Input'!$D$38)^(K$4-1)*Dashboard!$C$101</f>
        <v>-17976742.774850257</v>
      </c>
      <c r="L6" s="321">
        <f>-'Data Input'!L6*(1+'Data Input'!$D$38)^(L$4-1)*Dashboard!$C$101</f>
        <v>-18677119.421675581</v>
      </c>
      <c r="M6" s="321">
        <f>-'Data Input'!M6*(1+'Data Input'!$D$38)^(M$4-1)*Dashboard!$C$101</f>
        <v>-19219453.030924045</v>
      </c>
      <c r="N6" s="321">
        <f>-'Data Input'!N6*(1+'Data Input'!$D$38)^(N$4-1)*Dashboard!$C$101</f>
        <v>-19777453.840769503</v>
      </c>
      <c r="O6" s="321">
        <f>-'Data Input'!O6*(1+'Data Input'!$D$38)^(O$4-1)*Dashboard!$C$101</f>
        <v>-20351571.543403387</v>
      </c>
      <c r="P6" s="321">
        <f>-'Data Input'!P6*(1+'Data Input'!$D$38)^(P$4-1)*Dashboard!$C$101</f>
        <v>-20962118.689705484</v>
      </c>
      <c r="Q6" s="321">
        <f>-'Data Input'!Q6*(1+'Data Input'!$D$38)^(Q$4-1)*Dashboard!$C$101</f>
        <v>-21590982.250396647</v>
      </c>
      <c r="R6" s="321">
        <f>-'Data Input'!R6*(1+'Data Input'!$D$38)^(R$4-1)*Dashboard!$C$101</f>
        <v>-22238711.71790855</v>
      </c>
      <c r="S6" s="321">
        <f>-'Data Input'!S6*(1+'Data Input'!$D$38)^(S$4-1)*Dashboard!$C$101</f>
        <v>-22905873.069445807</v>
      </c>
      <c r="T6" s="321">
        <f>-'Data Input'!T6*(1+'Data Input'!$D$38)^(T$4-1)*Dashboard!$C$101</f>
        <v>-23593049.261529177</v>
      </c>
      <c r="U6" s="321">
        <f>-'Data Input'!U6*(1+'Data Input'!$D$38)^(U$4-1)*Dashboard!$C$101</f>
        <v>-24300840.739375055</v>
      </c>
      <c r="V6" s="321">
        <f>-'Data Input'!V6*(1+'Data Input'!$D$38)^(V$4-1)*Dashboard!$C$101</f>
        <v>-25029865.961556304</v>
      </c>
      <c r="W6" s="321">
        <f>-'Data Input'!W6*(1+'Data Input'!$D$38)^(W$4-1)*Dashboard!$C$101</f>
        <v>0</v>
      </c>
      <c r="Z6" s="320" t="s">
        <v>170</v>
      </c>
      <c r="AA6" s="504">
        <f t="shared" si="0"/>
        <v>0</v>
      </c>
      <c r="AB6" s="504">
        <f t="shared" si="0"/>
        <v>-6987.8572157534127</v>
      </c>
      <c r="AC6" s="504">
        <f t="shared" si="0"/>
        <v>-11690.693824922495</v>
      </c>
      <c r="AD6" s="504">
        <f t="shared" si="0"/>
        <v>-12833.391898386915</v>
      </c>
      <c r="AE6" s="504">
        <f t="shared" si="0"/>
        <v>-13790.963828086878</v>
      </c>
      <c r="AF6" s="504">
        <f t="shared" si="0"/>
        <v>-15182.617372446519</v>
      </c>
      <c r="AG6" s="504">
        <f t="shared" si="0"/>
        <v>-16515.326477495375</v>
      </c>
      <c r="AH6" s="504">
        <f t="shared" si="0"/>
        <v>-17298.724649815511</v>
      </c>
      <c r="AI6" s="504">
        <f t="shared" si="0"/>
        <v>-17976.742774850256</v>
      </c>
      <c r="AJ6" s="504">
        <f t="shared" si="0"/>
        <v>-18677.119421675583</v>
      </c>
      <c r="AK6" s="504">
        <f t="shared" si="0"/>
        <v>-19219.453030924044</v>
      </c>
      <c r="AL6" s="504">
        <f t="shared" si="0"/>
        <v>-19777.453840769504</v>
      </c>
      <c r="AM6" s="504">
        <f t="shared" si="0"/>
        <v>-20351.571543403388</v>
      </c>
      <c r="AN6" s="504">
        <f t="shared" si="0"/>
        <v>-20962.118689705483</v>
      </c>
      <c r="AO6" s="504">
        <f t="shared" si="0"/>
        <v>-21590.982250396646</v>
      </c>
      <c r="AP6" s="504">
        <f t="shared" si="0"/>
        <v>-22238.711717908551</v>
      </c>
      <c r="AQ6" s="504">
        <f t="shared" si="1"/>
        <v>-22905.873069445806</v>
      </c>
      <c r="AR6" s="504">
        <f t="shared" si="1"/>
        <v>-23593.049261529177</v>
      </c>
      <c r="AS6" s="504">
        <f t="shared" si="1"/>
        <v>-24300.840739375053</v>
      </c>
      <c r="AT6" s="504">
        <f t="shared" si="1"/>
        <v>-25029.865961556305</v>
      </c>
      <c r="AU6" s="504">
        <f t="shared" si="1"/>
        <v>0</v>
      </c>
    </row>
    <row r="7" spans="2:47" s="325" customFormat="1" outlineLevel="1">
      <c r="B7" s="322" t="s">
        <v>339</v>
      </c>
      <c r="C7" s="323">
        <f>SUM(C5:C6)</f>
        <v>0</v>
      </c>
      <c r="D7" s="323">
        <f>SUM(D5:D6)</f>
        <v>2059430.0505099976</v>
      </c>
      <c r="E7" s="323">
        <f t="shared" ref="E7:W7" si="2">SUM(E5:E6)</f>
        <v>5678425.772924941</v>
      </c>
      <c r="F7" s="323">
        <f t="shared" si="2"/>
        <v>8162652.9836678114</v>
      </c>
      <c r="G7" s="323">
        <f t="shared" si="2"/>
        <v>11051841.149348047</v>
      </c>
      <c r="H7" s="323">
        <f t="shared" si="2"/>
        <v>15230485.058683585</v>
      </c>
      <c r="I7" s="323">
        <f t="shared" si="2"/>
        <v>20391018.317807999</v>
      </c>
      <c r="J7" s="323">
        <f t="shared" si="2"/>
        <v>23892949.59723578</v>
      </c>
      <c r="K7" s="323">
        <f t="shared" si="2"/>
        <v>26073166.456945874</v>
      </c>
      <c r="L7" s="323">
        <f t="shared" si="2"/>
        <v>28358277.380771499</v>
      </c>
      <c r="M7" s="323">
        <f t="shared" si="2"/>
        <v>29216045.425117902</v>
      </c>
      <c r="N7" s="323">
        <f t="shared" si="2"/>
        <v>30099876.555337783</v>
      </c>
      <c r="O7" s="323">
        <f t="shared" si="2"/>
        <v>31010566.70769728</v>
      </c>
      <c r="P7" s="323">
        <f t="shared" si="2"/>
        <v>31940883.708928198</v>
      </c>
      <c r="Q7" s="323">
        <f t="shared" si="2"/>
        <v>32899110.220196046</v>
      </c>
      <c r="R7" s="323">
        <f t="shared" si="2"/>
        <v>33886083.526801929</v>
      </c>
      <c r="S7" s="323">
        <f t="shared" si="2"/>
        <v>34902666.032605991</v>
      </c>
      <c r="T7" s="323">
        <f t="shared" si="2"/>
        <v>35949746.013584159</v>
      </c>
      <c r="U7" s="323">
        <f t="shared" si="2"/>
        <v>37028238.393991679</v>
      </c>
      <c r="V7" s="323">
        <f t="shared" si="2"/>
        <v>38139085.54581143</v>
      </c>
      <c r="W7" s="323">
        <f t="shared" si="2"/>
        <v>0</v>
      </c>
      <c r="X7" s="324"/>
      <c r="Y7" s="324"/>
      <c r="Z7" s="322" t="s">
        <v>339</v>
      </c>
      <c r="AA7" s="505">
        <f t="shared" si="0"/>
        <v>0</v>
      </c>
      <c r="AB7" s="505">
        <f t="shared" si="0"/>
        <v>2059.4300505099977</v>
      </c>
      <c r="AC7" s="505">
        <f t="shared" si="0"/>
        <v>5678.4257729249412</v>
      </c>
      <c r="AD7" s="505">
        <f t="shared" si="0"/>
        <v>8162.652983667811</v>
      </c>
      <c r="AE7" s="505">
        <f t="shared" si="0"/>
        <v>11051.841149348047</v>
      </c>
      <c r="AF7" s="505">
        <f t="shared" si="0"/>
        <v>15230.485058683586</v>
      </c>
      <c r="AG7" s="505">
        <f t="shared" si="0"/>
        <v>20391.018317807997</v>
      </c>
      <c r="AH7" s="505">
        <f t="shared" si="0"/>
        <v>23892.94959723578</v>
      </c>
      <c r="AI7" s="505">
        <f t="shared" si="0"/>
        <v>26073.166456945874</v>
      </c>
      <c r="AJ7" s="505">
        <f t="shared" si="0"/>
        <v>28358.277380771498</v>
      </c>
      <c r="AK7" s="505">
        <f t="shared" si="0"/>
        <v>29216.045425117904</v>
      </c>
      <c r="AL7" s="505">
        <f t="shared" si="0"/>
        <v>30099.876555337782</v>
      </c>
      <c r="AM7" s="505">
        <f t="shared" si="0"/>
        <v>31010.566707697279</v>
      </c>
      <c r="AN7" s="505">
        <f t="shared" si="0"/>
        <v>31940.883708928199</v>
      </c>
      <c r="AO7" s="505">
        <f t="shared" si="0"/>
        <v>32899.110220196046</v>
      </c>
      <c r="AP7" s="505">
        <f t="shared" si="0"/>
        <v>33886.083526801929</v>
      </c>
      <c r="AQ7" s="505">
        <f t="shared" si="1"/>
        <v>34902.666032605994</v>
      </c>
      <c r="AR7" s="505">
        <f t="shared" si="1"/>
        <v>35949.746013584161</v>
      </c>
      <c r="AS7" s="505">
        <f t="shared" si="1"/>
        <v>37028.238393991676</v>
      </c>
      <c r="AT7" s="505">
        <f t="shared" si="1"/>
        <v>38139.085545811431</v>
      </c>
      <c r="AU7" s="505">
        <f t="shared" si="1"/>
        <v>0</v>
      </c>
    </row>
    <row r="8" spans="2:47" outlineLevel="1">
      <c r="B8" s="326" t="s">
        <v>171</v>
      </c>
      <c r="C8" s="321">
        <f>-'Data Input'!C7*(1+'Data Input'!$D$38)^(C$4-1)*Dashboard!$C$101</f>
        <v>0</v>
      </c>
      <c r="D8" s="321">
        <f>-'Data Input'!D7*(1+'Data Input'!$D$38)^(D$4-1)*Dashboard!$C$101</f>
        <v>-2294976.7808410972</v>
      </c>
      <c r="E8" s="321">
        <f>-'Data Input'!E7*(1+'Data Input'!$D$38)^(E$4-1)*Dashboard!$C$101</f>
        <v>-2481734.0377476718</v>
      </c>
      <c r="F8" s="321">
        <f>-'Data Input'!F7*(1+'Data Input'!$D$38)^(F$4-1)*Dashboard!$C$101</f>
        <v>-2560578.5716338432</v>
      </c>
      <c r="G8" s="321">
        <f>-'Data Input'!G7*(1+'Data Input'!$D$38)^(G$4-1)*Dashboard!$C$101</f>
        <v>-2642180.5880100653</v>
      </c>
      <c r="H8" s="321">
        <f>-'Data Input'!H7*(1+'Data Input'!$D$38)^(H$4-1)*Dashboard!$C$101</f>
        <v>-2728342.62096857</v>
      </c>
      <c r="I8" s="321">
        <f>-'Data Input'!I7*(1+'Data Input'!$D$38)^(I$4-1)*Dashboard!$C$101</f>
        <v>-2379543.1735158609</v>
      </c>
      <c r="J8" s="321">
        <f>-'Data Input'!J7*(1+'Data Input'!$D$38)^(J$4-1)*Dashboard!$C$101</f>
        <v>-2455446.3901438578</v>
      </c>
      <c r="K8" s="321">
        <f>-'Data Input'!K7*(1+'Data Input'!$D$38)^(K$4-1)*Dashboard!$C$101</f>
        <v>-2531421.400005586</v>
      </c>
      <c r="L8" s="321">
        <f>-'Data Input'!L7*(1+'Data Input'!$D$38)^(L$4-1)*Dashboard!$C$101</f>
        <v>-2609742.0174586591</v>
      </c>
      <c r="M8" s="321">
        <f>-'Data Input'!M7*(1+'Data Input'!$D$38)^(M$4-1)*Dashboard!$C$101</f>
        <v>-2688006.4270910751</v>
      </c>
      <c r="N8" s="321">
        <f>-'Data Input'!N7*(1+'Data Input'!$D$38)^(N$4-1)*Dashboard!$C$101</f>
        <v>-2768617.9514147346</v>
      </c>
      <c r="O8" s="321">
        <f>-'Data Input'!O7*(1+'Data Input'!$D$38)^(O$4-1)*Dashboard!$C$101</f>
        <v>-2851646.9798687706</v>
      </c>
      <c r="P8" s="321">
        <f>-'Data Input'!P7*(1+'Data Input'!$D$38)^(P$4-1)*Dashboard!$C$101</f>
        <v>-2937196.3892648336</v>
      </c>
      <c r="Q8" s="321">
        <f>-'Data Input'!Q7*(1+'Data Input'!$D$38)^(Q$4-1)*Dashboard!$C$101</f>
        <v>-3025312.2809427781</v>
      </c>
      <c r="R8" s="321">
        <f>-'Data Input'!R7*(1+'Data Input'!$D$38)^(R$4-1)*Dashboard!$C$101</f>
        <v>-3116071.6493710619</v>
      </c>
      <c r="S8" s="321">
        <f>-'Data Input'!S7*(1+'Data Input'!$D$38)^(S$4-1)*Dashboard!$C$101</f>
        <v>-3209553.7988521941</v>
      </c>
      <c r="T8" s="321">
        <f>-'Data Input'!T7*(1+'Data Input'!$D$38)^(T$4-1)*Dashboard!$C$101</f>
        <v>-3305840.4128177594</v>
      </c>
      <c r="U8" s="321">
        <f>-'Data Input'!U7*(1+'Data Input'!$D$38)^(U$4-1)*Dashboard!$C$101</f>
        <v>-3405015.6252022921</v>
      </c>
      <c r="V8" s="321">
        <f>-'Data Input'!V7*(1+'Data Input'!$D$38)^(V$4-1)*Dashboard!$C$101</f>
        <v>-3507166.0939583611</v>
      </c>
      <c r="W8" s="321">
        <f>-'Data Input'!W7*(1+'Data Input'!$D$38)^(W$4-1)*Dashboard!$C$101</f>
        <v>0</v>
      </c>
      <c r="Z8" s="326" t="s">
        <v>171</v>
      </c>
      <c r="AA8" s="504">
        <f t="shared" si="0"/>
        <v>0</v>
      </c>
      <c r="AB8" s="504">
        <f t="shared" si="0"/>
        <v>-2294.976780841097</v>
      </c>
      <c r="AC8" s="504">
        <f t="shared" si="0"/>
        <v>-2481.7340377476717</v>
      </c>
      <c r="AD8" s="504">
        <f t="shared" si="0"/>
        <v>-2560.5785716338432</v>
      </c>
      <c r="AE8" s="504">
        <f t="shared" si="0"/>
        <v>-2642.1805880100651</v>
      </c>
      <c r="AF8" s="504">
        <f t="shared" si="0"/>
        <v>-2728.3426209685699</v>
      </c>
      <c r="AG8" s="504">
        <f t="shared" si="0"/>
        <v>-2379.5431735158609</v>
      </c>
      <c r="AH8" s="504">
        <f t="shared" si="0"/>
        <v>-2455.446390143858</v>
      </c>
      <c r="AI8" s="504">
        <f t="shared" si="0"/>
        <v>-2531.4214000055858</v>
      </c>
      <c r="AJ8" s="504">
        <f t="shared" si="0"/>
        <v>-2609.7420174586591</v>
      </c>
      <c r="AK8" s="504">
        <f t="shared" si="0"/>
        <v>-2688.0064270910752</v>
      </c>
      <c r="AL8" s="504">
        <f t="shared" si="0"/>
        <v>-2768.6179514147348</v>
      </c>
      <c r="AM8" s="504">
        <f t="shared" si="0"/>
        <v>-2851.6469798687704</v>
      </c>
      <c r="AN8" s="504">
        <f t="shared" si="0"/>
        <v>-2937.1963892648337</v>
      </c>
      <c r="AO8" s="504">
        <f t="shared" si="0"/>
        <v>-3025.3122809427782</v>
      </c>
      <c r="AP8" s="504">
        <f t="shared" si="0"/>
        <v>-3116.071649371062</v>
      </c>
      <c r="AQ8" s="504">
        <f t="shared" si="1"/>
        <v>-3209.5537988521942</v>
      </c>
      <c r="AR8" s="504">
        <f t="shared" si="1"/>
        <v>-3305.8404128177594</v>
      </c>
      <c r="AS8" s="504">
        <f t="shared" si="1"/>
        <v>-3405.0156252022921</v>
      </c>
      <c r="AT8" s="504">
        <f t="shared" si="1"/>
        <v>-3507.1660939583612</v>
      </c>
      <c r="AU8" s="504">
        <f t="shared" si="1"/>
        <v>0</v>
      </c>
    </row>
    <row r="9" spans="2:47" outlineLevel="1">
      <c r="B9" s="326" t="s">
        <v>236</v>
      </c>
      <c r="C9" s="321"/>
      <c r="D9" s="321">
        <f>-Depreciation!D29</f>
        <v>-1856214.5129593008</v>
      </c>
      <c r="E9" s="321">
        <f>-Depreciation!E29</f>
        <v>-2525348.4763020286</v>
      </c>
      <c r="F9" s="321">
        <f>-Depreciation!F29</f>
        <v>-2525348.4763020286</v>
      </c>
      <c r="G9" s="321">
        <f>-Depreciation!G29</f>
        <v>-2525348.4763020286</v>
      </c>
      <c r="H9" s="321">
        <f>-Depreciation!H29</f>
        <v>-2525348.4763020286</v>
      </c>
      <c r="I9" s="321">
        <f>-Depreciation!I29</f>
        <v>-2525348.4763020286</v>
      </c>
      <c r="J9" s="321">
        <f>-Depreciation!J29</f>
        <v>-2525348.4763020286</v>
      </c>
      <c r="K9" s="321">
        <f>-Depreciation!K29</f>
        <v>-2525348.4763020286</v>
      </c>
      <c r="L9" s="321">
        <f>-Depreciation!L29</f>
        <v>-2525348.4763020286</v>
      </c>
      <c r="M9" s="321">
        <f>-Depreciation!M29</f>
        <v>-2525348.4763020286</v>
      </c>
      <c r="N9" s="321">
        <f>-Depreciation!N29</f>
        <v>-2525348.4763020286</v>
      </c>
      <c r="O9" s="321">
        <f>-Depreciation!O29</f>
        <v>-2525348.4763020286</v>
      </c>
      <c r="P9" s="321">
        <f>-Depreciation!P29</f>
        <v>-2525348.4763020286</v>
      </c>
      <c r="Q9" s="321">
        <f>-Depreciation!Q29</f>
        <v>-2525348.4763020286</v>
      </c>
      <c r="R9" s="321">
        <f>-Depreciation!R29</f>
        <v>-2525348.4763020286</v>
      </c>
      <c r="S9" s="321">
        <f>-Depreciation!S29</f>
        <v>-2525348.4763020286</v>
      </c>
      <c r="T9" s="321">
        <f>-Depreciation!T29</f>
        <v>-2525348.4763020286</v>
      </c>
      <c r="U9" s="321">
        <f>-Depreciation!U29</f>
        <v>-2525348.4763020286</v>
      </c>
      <c r="V9" s="321">
        <f>-Depreciation!V29</f>
        <v>-2525348.4763020286</v>
      </c>
      <c r="W9" s="321">
        <f>-Depreciation!W29</f>
        <v>-2525348.4763020286</v>
      </c>
      <c r="Z9" s="326" t="s">
        <v>236</v>
      </c>
      <c r="AA9" s="504">
        <f t="shared" si="0"/>
        <v>0</v>
      </c>
      <c r="AB9" s="504">
        <f t="shared" si="0"/>
        <v>-1856.2145129593007</v>
      </c>
      <c r="AC9" s="504">
        <f t="shared" si="0"/>
        <v>-2525.3484763020288</v>
      </c>
      <c r="AD9" s="504">
        <f t="shared" si="0"/>
        <v>-2525.3484763020288</v>
      </c>
      <c r="AE9" s="504">
        <f t="shared" si="0"/>
        <v>-2525.3484763020288</v>
      </c>
      <c r="AF9" s="504">
        <f t="shared" si="0"/>
        <v>-2525.3484763020288</v>
      </c>
      <c r="AG9" s="504">
        <f t="shared" si="0"/>
        <v>-2525.3484763020288</v>
      </c>
      <c r="AH9" s="504">
        <f t="shared" si="0"/>
        <v>-2525.3484763020288</v>
      </c>
      <c r="AI9" s="504">
        <f t="shared" si="0"/>
        <v>-2525.3484763020288</v>
      </c>
      <c r="AJ9" s="504">
        <f t="shared" si="0"/>
        <v>-2525.3484763020288</v>
      </c>
      <c r="AK9" s="504">
        <f t="shared" si="0"/>
        <v>-2525.3484763020288</v>
      </c>
      <c r="AL9" s="504">
        <f t="shared" si="0"/>
        <v>-2525.3484763020288</v>
      </c>
      <c r="AM9" s="504">
        <f t="shared" si="0"/>
        <v>-2525.3484763020288</v>
      </c>
      <c r="AN9" s="504">
        <f t="shared" si="0"/>
        <v>-2525.3484763020288</v>
      </c>
      <c r="AO9" s="504">
        <f t="shared" si="0"/>
        <v>-2525.3484763020288</v>
      </c>
      <c r="AP9" s="504">
        <f t="shared" si="0"/>
        <v>-2525.3484763020288</v>
      </c>
      <c r="AQ9" s="504">
        <f t="shared" si="1"/>
        <v>-2525.3484763020288</v>
      </c>
      <c r="AR9" s="504">
        <f t="shared" si="1"/>
        <v>-2525.3484763020288</v>
      </c>
      <c r="AS9" s="504">
        <f t="shared" si="1"/>
        <v>-2525.3484763020288</v>
      </c>
      <c r="AT9" s="504">
        <f t="shared" si="1"/>
        <v>-2525.3484763020288</v>
      </c>
      <c r="AU9" s="504">
        <f t="shared" si="1"/>
        <v>-2525.3484763020288</v>
      </c>
    </row>
    <row r="10" spans="2:47" s="325" customFormat="1" outlineLevel="1">
      <c r="B10" s="327" t="s">
        <v>340</v>
      </c>
      <c r="C10" s="323">
        <f t="shared" ref="C10:W10" si="3">SUM(C7:C9)</f>
        <v>0</v>
      </c>
      <c r="D10" s="323">
        <f t="shared" si="3"/>
        <v>-2091761.2432904004</v>
      </c>
      <c r="E10" s="323">
        <f t="shared" si="3"/>
        <v>671343.25887524057</v>
      </c>
      <c r="F10" s="323">
        <f t="shared" si="3"/>
        <v>3076725.935731939</v>
      </c>
      <c r="G10" s="323">
        <f t="shared" si="3"/>
        <v>5884312.0850359527</v>
      </c>
      <c r="H10" s="323">
        <f t="shared" si="3"/>
        <v>9976793.9614129886</v>
      </c>
      <c r="I10" s="323">
        <f t="shared" si="3"/>
        <v>15486126.667990111</v>
      </c>
      <c r="J10" s="323">
        <f t="shared" si="3"/>
        <v>18912154.730789896</v>
      </c>
      <c r="K10" s="323">
        <f t="shared" si="3"/>
        <v>21016396.58063826</v>
      </c>
      <c r="L10" s="323">
        <f t="shared" si="3"/>
        <v>23223186.887010813</v>
      </c>
      <c r="M10" s="323">
        <f t="shared" si="3"/>
        <v>24002690.521724798</v>
      </c>
      <c r="N10" s="323">
        <f t="shared" si="3"/>
        <v>24805910.127621021</v>
      </c>
      <c r="O10" s="323">
        <f t="shared" si="3"/>
        <v>25633571.251526482</v>
      </c>
      <c r="P10" s="323">
        <f t="shared" si="3"/>
        <v>26478338.843361337</v>
      </c>
      <c r="Q10" s="323">
        <f t="shared" si="3"/>
        <v>27348449.462951239</v>
      </c>
      <c r="R10" s="323">
        <f t="shared" si="3"/>
        <v>28244663.40112884</v>
      </c>
      <c r="S10" s="323">
        <f t="shared" si="3"/>
        <v>29167763.757451769</v>
      </c>
      <c r="T10" s="323">
        <f t="shared" si="3"/>
        <v>30118557.12446437</v>
      </c>
      <c r="U10" s="323">
        <f t="shared" si="3"/>
        <v>31097874.292487361</v>
      </c>
      <c r="V10" s="323">
        <f t="shared" si="3"/>
        <v>32106570.975551039</v>
      </c>
      <c r="W10" s="323">
        <f t="shared" si="3"/>
        <v>-2525348.4763020286</v>
      </c>
      <c r="X10" s="324"/>
      <c r="Y10" s="324"/>
      <c r="Z10" s="327" t="s">
        <v>340</v>
      </c>
      <c r="AA10" s="505">
        <f t="shared" si="0"/>
        <v>0</v>
      </c>
      <c r="AB10" s="505">
        <f t="shared" si="0"/>
        <v>-2091.7612432904002</v>
      </c>
      <c r="AC10" s="505">
        <f t="shared" si="0"/>
        <v>671.34325887524062</v>
      </c>
      <c r="AD10" s="505">
        <f t="shared" si="0"/>
        <v>3076.725935731939</v>
      </c>
      <c r="AE10" s="505">
        <f t="shared" si="0"/>
        <v>5884.3120850359528</v>
      </c>
      <c r="AF10" s="505">
        <f t="shared" si="0"/>
        <v>9976.7939614129882</v>
      </c>
      <c r="AG10" s="505">
        <f t="shared" si="0"/>
        <v>15486.126667990111</v>
      </c>
      <c r="AH10" s="505">
        <f t="shared" si="0"/>
        <v>18912.154730789895</v>
      </c>
      <c r="AI10" s="505">
        <f t="shared" si="0"/>
        <v>21016.396580638258</v>
      </c>
      <c r="AJ10" s="505">
        <f t="shared" si="0"/>
        <v>23223.186887010812</v>
      </c>
      <c r="AK10" s="505">
        <f t="shared" si="0"/>
        <v>24002.690521724799</v>
      </c>
      <c r="AL10" s="505">
        <f t="shared" si="0"/>
        <v>24805.91012762102</v>
      </c>
      <c r="AM10" s="505">
        <f t="shared" si="0"/>
        <v>25633.571251526482</v>
      </c>
      <c r="AN10" s="505">
        <f t="shared" si="0"/>
        <v>26478.338843361336</v>
      </c>
      <c r="AO10" s="505">
        <f t="shared" si="0"/>
        <v>27348.449462951241</v>
      </c>
      <c r="AP10" s="505">
        <f t="shared" si="0"/>
        <v>28244.663401128841</v>
      </c>
      <c r="AQ10" s="505">
        <f t="shared" si="1"/>
        <v>29167.763757451768</v>
      </c>
      <c r="AR10" s="505">
        <f t="shared" si="1"/>
        <v>30118.557124464369</v>
      </c>
      <c r="AS10" s="505">
        <f t="shared" si="1"/>
        <v>31097.874292487362</v>
      </c>
      <c r="AT10" s="505">
        <f t="shared" si="1"/>
        <v>32106.57097555104</v>
      </c>
      <c r="AU10" s="505">
        <f t="shared" si="1"/>
        <v>-2525.3484763020288</v>
      </c>
    </row>
    <row r="11" spans="2:47" outlineLevel="1">
      <c r="B11" s="326" t="s">
        <v>341</v>
      </c>
      <c r="C11" s="321">
        <f>-'CAPEX Financing'!C23-'WC Financing'!C28</f>
        <v>-1608881.6493810785</v>
      </c>
      <c r="D11" s="321">
        <f>-'CAPEX Financing'!D23-'WC Financing'!D28</f>
        <v>-2708311.6814941913</v>
      </c>
      <c r="E11" s="321">
        <f>-'CAPEX Financing'!E23-'WC Financing'!E28</f>
        <v>-3099204.3998772409</v>
      </c>
      <c r="F11" s="321">
        <f>-'CAPEX Financing'!F23-'WC Financing'!F28</f>
        <v>-2835671.6040085941</v>
      </c>
      <c r="G11" s="321">
        <f>-'CAPEX Financing'!G23-'WC Financing'!G28</f>
        <v>-2347120.0964476159</v>
      </c>
      <c r="H11" s="321">
        <f>-'CAPEX Financing'!H23-'WC Financing'!H28</f>
        <v>-1937094.262292509</v>
      </c>
      <c r="I11" s="321">
        <f>-'CAPEX Financing'!I23-'WC Financing'!I28</f>
        <v>-1806734.5680899047</v>
      </c>
      <c r="J11" s="321">
        <f>-'CAPEX Financing'!J23-'WC Financing'!J28</f>
        <v>-1668375.540192639</v>
      </c>
      <c r="K11" s="321">
        <f>-'CAPEX Financing'!K23-'WC Financing'!K28</f>
        <v>-1521526.3110825738</v>
      </c>
      <c r="L11" s="321">
        <f>-'CAPEX Financing'!L23-'WC Financing'!L28</f>
        <v>-1365665.891867771</v>
      </c>
      <c r="M11" s="321">
        <f>-'CAPEX Financing'!M23-'WC Financing'!M28</f>
        <v>-1200241.3239280467</v>
      </c>
      <c r="N11" s="321">
        <f>-'CAPEX Financing'!N23-'WC Financing'!N28</f>
        <v>-306229.70711204992</v>
      </c>
      <c r="O11" s="321">
        <f>-'CAPEX Financing'!O23-'WC Financing'!O28</f>
        <v>-3.8101701299210105E-139</v>
      </c>
      <c r="P11" s="321">
        <f>-'CAPEX Financing'!P23-'WC Financing'!P28</f>
        <v>-1.8228430350553639E-139</v>
      </c>
      <c r="Q11" s="321">
        <f>-'CAPEX Financing'!Q23-'WC Financing'!Q28</f>
        <v>0</v>
      </c>
      <c r="R11" s="321">
        <f>-'CAPEX Financing'!R23-'WC Financing'!R28</f>
        <v>0</v>
      </c>
      <c r="S11" s="321">
        <f>-'CAPEX Financing'!S23-'WC Financing'!S28</f>
        <v>0</v>
      </c>
      <c r="T11" s="321">
        <f>-'CAPEX Financing'!T23-'WC Financing'!T28</f>
        <v>0</v>
      </c>
      <c r="U11" s="321">
        <f>-'CAPEX Financing'!U23-'WC Financing'!U28</f>
        <v>0</v>
      </c>
      <c r="V11" s="321">
        <f>-'CAPEX Financing'!V23-'WC Financing'!V28</f>
        <v>0</v>
      </c>
      <c r="W11" s="321">
        <f>-'CAPEX Financing'!W23-'WC Financing'!W28</f>
        <v>0</v>
      </c>
      <c r="Z11" s="326" t="s">
        <v>341</v>
      </c>
      <c r="AA11" s="504">
        <f t="shared" si="0"/>
        <v>-1608.8816493810787</v>
      </c>
      <c r="AB11" s="504">
        <f t="shared" si="0"/>
        <v>-2708.3116814941914</v>
      </c>
      <c r="AC11" s="504">
        <f t="shared" si="0"/>
        <v>-3099.204399877241</v>
      </c>
      <c r="AD11" s="504">
        <f t="shared" si="0"/>
        <v>-2835.6716040085939</v>
      </c>
      <c r="AE11" s="504">
        <f t="shared" si="0"/>
        <v>-2347.1200964476161</v>
      </c>
      <c r="AF11" s="504">
        <f t="shared" si="0"/>
        <v>-1937.094262292509</v>
      </c>
      <c r="AG11" s="504">
        <f t="shared" si="0"/>
        <v>-1806.7345680899048</v>
      </c>
      <c r="AH11" s="504">
        <f t="shared" si="0"/>
        <v>-1668.3755401926389</v>
      </c>
      <c r="AI11" s="504">
        <f t="shared" si="0"/>
        <v>-1521.5263110825738</v>
      </c>
      <c r="AJ11" s="504">
        <f t="shared" si="0"/>
        <v>-1365.6658918677711</v>
      </c>
      <c r="AK11" s="504">
        <f t="shared" si="0"/>
        <v>-1200.2413239280468</v>
      </c>
      <c r="AL11" s="504">
        <f t="shared" si="0"/>
        <v>-306.22970711204994</v>
      </c>
      <c r="AM11" s="504">
        <f t="shared" si="0"/>
        <v>-3.8101701299210106E-142</v>
      </c>
      <c r="AN11" s="504">
        <f t="shared" si="0"/>
        <v>-1.8228430350553641E-142</v>
      </c>
      <c r="AO11" s="504">
        <f t="shared" si="0"/>
        <v>0</v>
      </c>
      <c r="AP11" s="504">
        <f t="shared" si="0"/>
        <v>0</v>
      </c>
      <c r="AQ11" s="504">
        <f t="shared" si="1"/>
        <v>0</v>
      </c>
      <c r="AR11" s="504">
        <f t="shared" si="1"/>
        <v>0</v>
      </c>
      <c r="AS11" s="504">
        <f t="shared" si="1"/>
        <v>0</v>
      </c>
      <c r="AT11" s="504">
        <f t="shared" si="1"/>
        <v>0</v>
      </c>
      <c r="AU11" s="504">
        <f t="shared" si="1"/>
        <v>0</v>
      </c>
    </row>
    <row r="12" spans="2:47" s="325" customFormat="1" outlineLevel="1">
      <c r="B12" s="327" t="s">
        <v>342</v>
      </c>
      <c r="C12" s="323">
        <f>SUM(C10:C11)</f>
        <v>-1608881.6493810785</v>
      </c>
      <c r="D12" s="323">
        <f t="shared" ref="D12:W12" si="4">SUM(D10:D11)</f>
        <v>-4800072.9247845914</v>
      </c>
      <c r="E12" s="323">
        <f t="shared" si="4"/>
        <v>-2427861.1410020003</v>
      </c>
      <c r="F12" s="323">
        <f t="shared" si="4"/>
        <v>241054.33172334498</v>
      </c>
      <c r="G12" s="323">
        <f t="shared" si="4"/>
        <v>3537191.9885883369</v>
      </c>
      <c r="H12" s="323">
        <f t="shared" si="4"/>
        <v>8039699.6991204796</v>
      </c>
      <c r="I12" s="323">
        <f t="shared" si="4"/>
        <v>13679392.099900207</v>
      </c>
      <c r="J12" s="323">
        <f t="shared" si="4"/>
        <v>17243779.190597259</v>
      </c>
      <c r="K12" s="323">
        <f t="shared" si="4"/>
        <v>19494870.269555684</v>
      </c>
      <c r="L12" s="323">
        <f t="shared" si="4"/>
        <v>21857520.995143041</v>
      </c>
      <c r="M12" s="323">
        <f t="shared" si="4"/>
        <v>22802449.197796751</v>
      </c>
      <c r="N12" s="323">
        <f t="shared" si="4"/>
        <v>24499680.42050897</v>
      </c>
      <c r="O12" s="323">
        <f t="shared" si="4"/>
        <v>25633571.251526482</v>
      </c>
      <c r="P12" s="323">
        <f t="shared" si="4"/>
        <v>26478338.843361337</v>
      </c>
      <c r="Q12" s="323">
        <f t="shared" si="4"/>
        <v>27348449.462951239</v>
      </c>
      <c r="R12" s="323">
        <f t="shared" si="4"/>
        <v>28244663.40112884</v>
      </c>
      <c r="S12" s="323">
        <f t="shared" si="4"/>
        <v>29167763.757451769</v>
      </c>
      <c r="T12" s="323">
        <f t="shared" si="4"/>
        <v>30118557.12446437</v>
      </c>
      <c r="U12" s="323">
        <f t="shared" si="4"/>
        <v>31097874.292487361</v>
      </c>
      <c r="V12" s="323">
        <f t="shared" si="4"/>
        <v>32106570.975551039</v>
      </c>
      <c r="W12" s="323">
        <f t="shared" si="4"/>
        <v>-2525348.4763020286</v>
      </c>
      <c r="X12" s="324"/>
      <c r="Y12" s="324"/>
      <c r="Z12" s="327" t="s">
        <v>342</v>
      </c>
      <c r="AA12" s="505">
        <f t="shared" si="0"/>
        <v>-1608.8816493810787</v>
      </c>
      <c r="AB12" s="505">
        <f t="shared" si="0"/>
        <v>-4800.0729247845911</v>
      </c>
      <c r="AC12" s="505">
        <f t="shared" si="0"/>
        <v>-2427.8611410020003</v>
      </c>
      <c r="AD12" s="505">
        <f t="shared" si="0"/>
        <v>241.05433172334497</v>
      </c>
      <c r="AE12" s="505">
        <f t="shared" si="0"/>
        <v>3537.1919885883367</v>
      </c>
      <c r="AF12" s="505">
        <f t="shared" si="0"/>
        <v>8039.6996991204796</v>
      </c>
      <c r="AG12" s="505">
        <f t="shared" si="0"/>
        <v>13679.392099900206</v>
      </c>
      <c r="AH12" s="505">
        <f t="shared" si="0"/>
        <v>17243.779190597259</v>
      </c>
      <c r="AI12" s="505">
        <f t="shared" si="0"/>
        <v>19494.870269555686</v>
      </c>
      <c r="AJ12" s="505">
        <f t="shared" si="0"/>
        <v>21857.520995143041</v>
      </c>
      <c r="AK12" s="505">
        <f t="shared" si="0"/>
        <v>22802.449197796752</v>
      </c>
      <c r="AL12" s="505">
        <f t="shared" si="0"/>
        <v>24499.680420508968</v>
      </c>
      <c r="AM12" s="505">
        <f t="shared" si="0"/>
        <v>25633.571251526482</v>
      </c>
      <c r="AN12" s="505">
        <f t="shared" si="0"/>
        <v>26478.338843361336</v>
      </c>
      <c r="AO12" s="505">
        <f t="shared" si="0"/>
        <v>27348.449462951241</v>
      </c>
      <c r="AP12" s="505">
        <f t="shared" si="0"/>
        <v>28244.663401128841</v>
      </c>
      <c r="AQ12" s="505">
        <f t="shared" si="1"/>
        <v>29167.763757451768</v>
      </c>
      <c r="AR12" s="505">
        <f t="shared" si="1"/>
        <v>30118.557124464369</v>
      </c>
      <c r="AS12" s="505">
        <f t="shared" si="1"/>
        <v>31097.874292487362</v>
      </c>
      <c r="AT12" s="505">
        <f t="shared" si="1"/>
        <v>32106.57097555104</v>
      </c>
      <c r="AU12" s="505">
        <f t="shared" si="1"/>
        <v>-2525.3484763020288</v>
      </c>
    </row>
    <row r="13" spans="2:47" outlineLevel="1">
      <c r="B13" s="326" t="s">
        <v>172</v>
      </c>
      <c r="C13" s="321">
        <f>-IF(C4&gt;'Data Input'!$D$34,IF(SUM($C12:C$12)&gt;0,(SUM($C12:C$12)*'Data Input'!$D$35+SUM(B13:$C$13)),0),0)</f>
        <v>0</v>
      </c>
      <c r="D13" s="321">
        <f>-IF(D4&gt;'Data Input'!$D$34,IF(SUM($C12:D$12)&gt;0,(SUM($C12:D$12)*'Data Input'!$D$35+SUM(C13:$C$13)),0),0)</f>
        <v>0</v>
      </c>
      <c r="E13" s="321">
        <f>-IF(E4&gt;'Data Input'!$D$34,IF(SUM($C12:E$12)&gt;0,(SUM($C12:E$12)*'Data Input'!$D$35+SUM($C13:D$13)),0),0)</f>
        <v>0</v>
      </c>
      <c r="F13" s="321">
        <f>-IF(F4&gt;'Data Input'!$D$34,IF(SUM($C12:F$12)&gt;0,(SUM($C12:F$12)*'Data Input'!$D$35+SUM($C13:E$13)),0),0)</f>
        <v>0</v>
      </c>
      <c r="G13" s="321">
        <f>-IF(G4&gt;'Data Input'!$D$34,IF(SUM($C12:G$12)&gt;0,(SUM($C12:G$12)*'Data Input'!$D$35+SUM($C13:F$13)),0),0)</f>
        <v>0</v>
      </c>
      <c r="H13" s="321">
        <f>-IF(H4&gt;'Data Input'!$D$34,IF(SUM($C12:H$12)&gt;0,(SUM($C12:H$12)*'Data Input'!$D$35+SUM($C13:G$13)),0),0)</f>
        <v>0</v>
      </c>
      <c r="I13" s="321">
        <f>-IF(I4&gt;'Data Input'!$D$34,IF(SUM($C12:I$12)&gt;0,(SUM($C12:I$12)*'Data Input'!$D$35+SUM($C13:H$13)),0),0)</f>
        <v>-5831182.8414576435</v>
      </c>
      <c r="J13" s="321">
        <f>-IF(J4&gt;'Data Input'!$D$34,IF(SUM($C12:J$12)&gt;0,(SUM($C12:J$12)*'Data Input'!$D$35+SUM($C13:I$13)),0),0)</f>
        <v>-6035322.7167090392</v>
      </c>
      <c r="K13" s="321">
        <f>-IF(K4&gt;'Data Input'!$D$34,IF(SUM($C12:K$12)&gt;0,(SUM($C12:K$12)*'Data Input'!$D$35+SUM($C13:J$13)),0),0)</f>
        <v>-6823204.5943444893</v>
      </c>
      <c r="L13" s="321">
        <f>-IF(L4&gt;'Data Input'!$D$34,IF(SUM($C12:L$12)&gt;0,(SUM($C12:L$12)*'Data Input'!$D$35+SUM($C13:K$13)),0),0)</f>
        <v>-7650132.3483000658</v>
      </c>
      <c r="M13" s="321">
        <f>-IF(M4&gt;'Data Input'!$D$34,IF(SUM($C12:M$12)&gt;0,(SUM($C12:M$12)*'Data Input'!$D$35+SUM($C13:L$13)),0),0)</f>
        <v>-7980857.21922886</v>
      </c>
      <c r="N13" s="321">
        <f>-IF(N4&gt;'Data Input'!$D$34,IF(SUM($C12:N$12)&gt;0,(SUM($C12:N$12)*'Data Input'!$D$35+SUM($C13:M$13)),0),0)</f>
        <v>-8574888.1471781358</v>
      </c>
      <c r="O13" s="321">
        <f>-IF(O4&gt;'Data Input'!$D$34,IF(SUM($C12:O$12)&gt;0,(SUM($C12:O$12)*'Data Input'!$D$35+SUM($C13:N$13)),0),0)</f>
        <v>-8971749.9380342662</v>
      </c>
      <c r="P13" s="321">
        <f>-IF(P4&gt;'Data Input'!$D$34,IF(SUM($C12:P$12)&gt;0,(SUM($C12:P$12)*'Data Input'!$D$35+SUM($C13:O$13)),0),0)</f>
        <v>-9267418.5951764733</v>
      </c>
      <c r="Q13" s="321">
        <f>-IF(Q4&gt;'Data Input'!$D$34,IF(SUM($C12:Q$12)&gt;0,(SUM($C12:Q$12)*'Data Input'!$D$35+SUM($C13:P$13)),0),0)</f>
        <v>-9571957.3120329306</v>
      </c>
      <c r="R13" s="321">
        <f>-IF(R4&gt;'Data Input'!$D$34,IF(SUM($C12:R$12)&gt;0,(SUM($C12:R$12)*'Data Input'!$D$35+SUM($C13:Q$13)),0),0)</f>
        <v>-9885632.190395087</v>
      </c>
      <c r="S13" s="321">
        <f>-IF(S4&gt;'Data Input'!$D$34,IF(SUM($C12:S$12)&gt;0,(SUM($C12:S$12)*'Data Input'!$D$35+SUM($C13:R$13)),0),0)</f>
        <v>-10208717.31510812</v>
      </c>
      <c r="T13" s="321">
        <f>-IF(T4&gt;'Data Input'!$D$34,IF(SUM($C12:T$12)&gt;0,(SUM($C12:T$12)*'Data Input'!$D$35+SUM($C13:S$13)),0),0)</f>
        <v>-10541494.993562534</v>
      </c>
      <c r="U13" s="321">
        <f>-IF(U4&gt;'Data Input'!$D$34,IF(SUM($C12:U$12)&gt;0,(SUM($C12:U$12)*'Data Input'!$D$35+SUM($C13:T$13)),0),0)</f>
        <v>-10884256.002370581</v>
      </c>
      <c r="V13" s="321">
        <f>-IF(V4&gt;'Data Input'!$D$34,IF(SUM($C12:V$12)&gt;0,(SUM($C12:V$12)*'Data Input'!$D$35+SUM($C13:U$13)),0),0)</f>
        <v>-11237299.841442868</v>
      </c>
      <c r="W13" s="321">
        <f>-IF(W4&gt;'Data Input'!$D$34,IF(SUM($C12:W$12)&gt;0,(SUM($C12:W$12)*'Data Input'!$D$35+SUM($C13:V$13)),0),0)</f>
        <v>883871.9667057097</v>
      </c>
      <c r="Z13" s="326" t="s">
        <v>172</v>
      </c>
      <c r="AA13" s="504">
        <f t="shared" si="0"/>
        <v>0</v>
      </c>
      <c r="AB13" s="504">
        <f t="shared" si="0"/>
        <v>0</v>
      </c>
      <c r="AC13" s="504">
        <f t="shared" si="0"/>
        <v>0</v>
      </c>
      <c r="AD13" s="504">
        <f t="shared" si="0"/>
        <v>0</v>
      </c>
      <c r="AE13" s="504">
        <f t="shared" si="0"/>
        <v>0</v>
      </c>
      <c r="AF13" s="504">
        <f t="shared" si="0"/>
        <v>0</v>
      </c>
      <c r="AG13" s="504">
        <f t="shared" si="0"/>
        <v>-5831.1828414576439</v>
      </c>
      <c r="AH13" s="504">
        <f t="shared" si="0"/>
        <v>-6035.322716709039</v>
      </c>
      <c r="AI13" s="504">
        <f t="shared" si="0"/>
        <v>-6823.2045943444891</v>
      </c>
      <c r="AJ13" s="504">
        <f t="shared" si="0"/>
        <v>-7650.132348300066</v>
      </c>
      <c r="AK13" s="504">
        <f t="shared" si="0"/>
        <v>-7980.8572192288602</v>
      </c>
      <c r="AL13" s="504">
        <f t="shared" si="0"/>
        <v>-8574.8881471781351</v>
      </c>
      <c r="AM13" s="504">
        <f t="shared" si="0"/>
        <v>-8971.749938034267</v>
      </c>
      <c r="AN13" s="504">
        <f t="shared" si="0"/>
        <v>-9267.4185951764739</v>
      </c>
      <c r="AO13" s="504">
        <f t="shared" si="0"/>
        <v>-9571.9573120329314</v>
      </c>
      <c r="AP13" s="504">
        <f t="shared" si="0"/>
        <v>-9885.6321903950866</v>
      </c>
      <c r="AQ13" s="504">
        <f t="shared" si="1"/>
        <v>-10208.717315108121</v>
      </c>
      <c r="AR13" s="504">
        <f t="shared" si="1"/>
        <v>-10541.494993562534</v>
      </c>
      <c r="AS13" s="504">
        <f t="shared" si="1"/>
        <v>-10884.256002370581</v>
      </c>
      <c r="AT13" s="504">
        <f t="shared" si="1"/>
        <v>-11237.299841442868</v>
      </c>
      <c r="AU13" s="504">
        <f t="shared" si="1"/>
        <v>883.87196670570972</v>
      </c>
    </row>
    <row r="14" spans="2:47" s="325" customFormat="1" outlineLevel="1">
      <c r="B14" s="327" t="s">
        <v>343</v>
      </c>
      <c r="C14" s="323">
        <f>SUM(C12:C13)</f>
        <v>-1608881.6493810785</v>
      </c>
      <c r="D14" s="323">
        <f>SUM(D12:D13)</f>
        <v>-4800072.9247845914</v>
      </c>
      <c r="E14" s="323">
        <f t="shared" ref="E14:W14" si="5">SUM(E12:E13)</f>
        <v>-2427861.1410020003</v>
      </c>
      <c r="F14" s="323">
        <f t="shared" si="5"/>
        <v>241054.33172334498</v>
      </c>
      <c r="G14" s="323">
        <f t="shared" si="5"/>
        <v>3537191.9885883369</v>
      </c>
      <c r="H14" s="323">
        <f t="shared" si="5"/>
        <v>8039699.6991204796</v>
      </c>
      <c r="I14" s="323">
        <f t="shared" si="5"/>
        <v>7848209.258442563</v>
      </c>
      <c r="J14" s="323">
        <f t="shared" si="5"/>
        <v>11208456.473888218</v>
      </c>
      <c r="K14" s="323">
        <f t="shared" si="5"/>
        <v>12671665.675211195</v>
      </c>
      <c r="L14" s="323">
        <f t="shared" si="5"/>
        <v>14207388.646842975</v>
      </c>
      <c r="M14" s="323">
        <f t="shared" si="5"/>
        <v>14821591.978567891</v>
      </c>
      <c r="N14" s="323">
        <f t="shared" si="5"/>
        <v>15924792.273330834</v>
      </c>
      <c r="O14" s="323">
        <f t="shared" si="5"/>
        <v>16661821.313492216</v>
      </c>
      <c r="P14" s="323">
        <f t="shared" si="5"/>
        <v>17210920.248184863</v>
      </c>
      <c r="Q14" s="323">
        <f t="shared" si="5"/>
        <v>17776492.150918309</v>
      </c>
      <c r="R14" s="323">
        <f t="shared" si="5"/>
        <v>18359031.210733753</v>
      </c>
      <c r="S14" s="323">
        <f t="shared" si="5"/>
        <v>18959046.442343649</v>
      </c>
      <c r="T14" s="323">
        <f t="shared" si="5"/>
        <v>19577062.130901836</v>
      </c>
      <c r="U14" s="323">
        <f t="shared" si="5"/>
        <v>20213618.29011678</v>
      </c>
      <c r="V14" s="323">
        <f t="shared" si="5"/>
        <v>20869271.134108171</v>
      </c>
      <c r="W14" s="323">
        <f t="shared" si="5"/>
        <v>-1641476.5095963189</v>
      </c>
      <c r="X14" s="324"/>
      <c r="Y14" s="324"/>
      <c r="Z14" s="327" t="s">
        <v>343</v>
      </c>
      <c r="AA14" s="505">
        <f t="shared" si="0"/>
        <v>-1608.8816493810787</v>
      </c>
      <c r="AB14" s="505">
        <f t="shared" si="0"/>
        <v>-4800.0729247845911</v>
      </c>
      <c r="AC14" s="505">
        <f t="shared" si="0"/>
        <v>-2427.8611410020003</v>
      </c>
      <c r="AD14" s="505">
        <f t="shared" si="0"/>
        <v>241.05433172334497</v>
      </c>
      <c r="AE14" s="505">
        <f t="shared" si="0"/>
        <v>3537.1919885883367</v>
      </c>
      <c r="AF14" s="505">
        <f t="shared" si="0"/>
        <v>8039.6996991204796</v>
      </c>
      <c r="AG14" s="505">
        <f t="shared" si="0"/>
        <v>7848.2092584425627</v>
      </c>
      <c r="AH14" s="505">
        <f t="shared" si="0"/>
        <v>11208.456473888218</v>
      </c>
      <c r="AI14" s="505">
        <f t="shared" si="0"/>
        <v>12671.665675211196</v>
      </c>
      <c r="AJ14" s="505">
        <f t="shared" si="0"/>
        <v>14207.388646842976</v>
      </c>
      <c r="AK14" s="505">
        <f t="shared" si="0"/>
        <v>14821.591978567891</v>
      </c>
      <c r="AL14" s="505">
        <f t="shared" si="0"/>
        <v>15924.792273330833</v>
      </c>
      <c r="AM14" s="505">
        <f t="shared" si="0"/>
        <v>16661.821313492215</v>
      </c>
      <c r="AN14" s="505">
        <f t="shared" si="0"/>
        <v>17210.920248184862</v>
      </c>
      <c r="AO14" s="505">
        <f t="shared" si="0"/>
        <v>17776.492150918308</v>
      </c>
      <c r="AP14" s="505">
        <f t="shared" si="0"/>
        <v>18359.031210733752</v>
      </c>
      <c r="AQ14" s="505">
        <f t="shared" si="1"/>
        <v>18959.04644234365</v>
      </c>
      <c r="AR14" s="505">
        <f t="shared" si="1"/>
        <v>19577.062130901835</v>
      </c>
      <c r="AS14" s="505">
        <f t="shared" si="1"/>
        <v>20213.618290116781</v>
      </c>
      <c r="AT14" s="505">
        <f t="shared" si="1"/>
        <v>20869.27113410817</v>
      </c>
      <c r="AU14" s="505">
        <f t="shared" si="1"/>
        <v>-1641.4765095963189</v>
      </c>
    </row>
    <row r="15" spans="2:47" outlineLevel="1">
      <c r="B15" s="326" t="s">
        <v>344</v>
      </c>
      <c r="C15" s="321">
        <f>C14</f>
        <v>-1608881.6493810785</v>
      </c>
      <c r="D15" s="321">
        <f>D14+C15</f>
        <v>-6408954.5741656702</v>
      </c>
      <c r="E15" s="321">
        <f t="shared" ref="E15:W15" si="6">E14+D15</f>
        <v>-8836815.7151676714</v>
      </c>
      <c r="F15" s="321">
        <f t="shared" si="6"/>
        <v>-8595761.383444326</v>
      </c>
      <c r="G15" s="321">
        <f t="shared" si="6"/>
        <v>-5058569.3948559891</v>
      </c>
      <c r="H15" s="321">
        <f t="shared" si="6"/>
        <v>2981130.3042644905</v>
      </c>
      <c r="I15" s="321">
        <f t="shared" si="6"/>
        <v>10829339.562707053</v>
      </c>
      <c r="J15" s="321">
        <f t="shared" si="6"/>
        <v>22037796.03659527</v>
      </c>
      <c r="K15" s="321">
        <f t="shared" si="6"/>
        <v>34709461.711806461</v>
      </c>
      <c r="L15" s="321">
        <f t="shared" si="6"/>
        <v>48916850.358649433</v>
      </c>
      <c r="M15" s="321">
        <f t="shared" si="6"/>
        <v>63738442.337217323</v>
      </c>
      <c r="N15" s="321">
        <f t="shared" si="6"/>
        <v>79663234.610548154</v>
      </c>
      <c r="O15" s="321">
        <f t="shared" si="6"/>
        <v>96325055.924040377</v>
      </c>
      <c r="P15" s="321">
        <f t="shared" si="6"/>
        <v>113535976.17222524</v>
      </c>
      <c r="Q15" s="321">
        <f t="shared" si="6"/>
        <v>131312468.32314354</v>
      </c>
      <c r="R15" s="321">
        <f t="shared" si="6"/>
        <v>149671499.53387728</v>
      </c>
      <c r="S15" s="321">
        <f t="shared" si="6"/>
        <v>168630545.97622094</v>
      </c>
      <c r="T15" s="321">
        <f t="shared" si="6"/>
        <v>188207608.10712278</v>
      </c>
      <c r="U15" s="321">
        <f t="shared" si="6"/>
        <v>208421226.39723957</v>
      </c>
      <c r="V15" s="321">
        <f t="shared" si="6"/>
        <v>229290497.53134775</v>
      </c>
      <c r="W15" s="321">
        <f t="shared" si="6"/>
        <v>227649021.02175143</v>
      </c>
      <c r="Z15" s="326" t="s">
        <v>345</v>
      </c>
      <c r="AA15" s="504">
        <f t="shared" si="0"/>
        <v>-1608.8816493810787</v>
      </c>
      <c r="AB15" s="504">
        <f t="shared" si="0"/>
        <v>-6408.9545741656702</v>
      </c>
      <c r="AC15" s="504">
        <f t="shared" si="0"/>
        <v>-8836.8157151676714</v>
      </c>
      <c r="AD15" s="504">
        <f t="shared" si="0"/>
        <v>-8595.7613834443255</v>
      </c>
      <c r="AE15" s="504">
        <f t="shared" si="0"/>
        <v>-5058.5693948559892</v>
      </c>
      <c r="AF15" s="504">
        <f t="shared" si="0"/>
        <v>2981.1303042644904</v>
      </c>
      <c r="AG15" s="504">
        <f t="shared" si="0"/>
        <v>10829.339562707053</v>
      </c>
      <c r="AH15" s="504">
        <f t="shared" si="0"/>
        <v>22037.796036595271</v>
      </c>
      <c r="AI15" s="504">
        <f t="shared" si="0"/>
        <v>34709.461711806463</v>
      </c>
      <c r="AJ15" s="504">
        <f t="shared" si="0"/>
        <v>48916.850358649433</v>
      </c>
      <c r="AK15" s="504">
        <f t="shared" si="0"/>
        <v>63738.442337217326</v>
      </c>
      <c r="AL15" s="504">
        <f t="shared" si="0"/>
        <v>79663.234610548156</v>
      </c>
      <c r="AM15" s="504">
        <f t="shared" si="0"/>
        <v>96325.055924040382</v>
      </c>
      <c r="AN15" s="504">
        <f t="shared" si="0"/>
        <v>113535.97617222523</v>
      </c>
      <c r="AO15" s="504">
        <f t="shared" si="0"/>
        <v>131312.46832314355</v>
      </c>
      <c r="AP15" s="504">
        <f t="shared" si="0"/>
        <v>149671.49953387727</v>
      </c>
      <c r="AQ15" s="504">
        <f t="shared" si="1"/>
        <v>168630.54597622092</v>
      </c>
      <c r="AR15" s="504">
        <f t="shared" si="1"/>
        <v>188207.60810712277</v>
      </c>
      <c r="AS15" s="504">
        <f t="shared" si="1"/>
        <v>208421.22639723957</v>
      </c>
      <c r="AT15" s="504">
        <f t="shared" si="1"/>
        <v>229290.49753134776</v>
      </c>
      <c r="AU15" s="504">
        <f t="shared" si="1"/>
        <v>227649.02102175142</v>
      </c>
    </row>
    <row r="16" spans="2:47" s="325" customFormat="1" outlineLevel="1">
      <c r="B16" s="327" t="s">
        <v>167</v>
      </c>
      <c r="C16" s="323">
        <f t="shared" ref="C16:W16" si="7">C10-C9</f>
        <v>0</v>
      </c>
      <c r="D16" s="323">
        <f>D10-D9</f>
        <v>-235546.73033109959</v>
      </c>
      <c r="E16" s="323">
        <f t="shared" si="7"/>
        <v>3196691.7351772692</v>
      </c>
      <c r="F16" s="323">
        <f t="shared" si="7"/>
        <v>5602074.4120339677</v>
      </c>
      <c r="G16" s="323">
        <f t="shared" si="7"/>
        <v>8409660.5613379814</v>
      </c>
      <c r="H16" s="323">
        <f t="shared" si="7"/>
        <v>12502142.437715016</v>
      </c>
      <c r="I16" s="323">
        <f t="shared" si="7"/>
        <v>18011475.144292139</v>
      </c>
      <c r="J16" s="323">
        <f t="shared" si="7"/>
        <v>21437503.207091924</v>
      </c>
      <c r="K16" s="323">
        <f t="shared" si="7"/>
        <v>23541745.056940287</v>
      </c>
      <c r="L16" s="323">
        <f t="shared" si="7"/>
        <v>25748535.36331284</v>
      </c>
      <c r="M16" s="323">
        <f t="shared" si="7"/>
        <v>26528038.998026825</v>
      </c>
      <c r="N16" s="323">
        <f t="shared" si="7"/>
        <v>27331258.603923049</v>
      </c>
      <c r="O16" s="323">
        <f t="shared" si="7"/>
        <v>28158919.72782851</v>
      </c>
      <c r="P16" s="323">
        <f t="shared" si="7"/>
        <v>29003687.319663364</v>
      </c>
      <c r="Q16" s="323">
        <f t="shared" si="7"/>
        <v>29873797.939253267</v>
      </c>
      <c r="R16" s="323">
        <f t="shared" si="7"/>
        <v>30770011.877430867</v>
      </c>
      <c r="S16" s="323">
        <f t="shared" si="7"/>
        <v>31693112.233753797</v>
      </c>
      <c r="T16" s="323">
        <f t="shared" si="7"/>
        <v>32643905.600766398</v>
      </c>
      <c r="U16" s="323">
        <f t="shared" si="7"/>
        <v>33623222.768789388</v>
      </c>
      <c r="V16" s="323">
        <f t="shared" si="7"/>
        <v>34631919.451853067</v>
      </c>
      <c r="W16" s="323">
        <f t="shared" si="7"/>
        <v>0</v>
      </c>
      <c r="X16" s="324"/>
      <c r="Y16" s="324"/>
      <c r="Z16" s="327" t="s">
        <v>167</v>
      </c>
      <c r="AA16" s="505">
        <f t="shared" si="0"/>
        <v>0</v>
      </c>
      <c r="AB16" s="505">
        <f t="shared" si="0"/>
        <v>-235.54673033109958</v>
      </c>
      <c r="AC16" s="505">
        <f t="shared" si="0"/>
        <v>3196.691735177269</v>
      </c>
      <c r="AD16" s="505">
        <f t="shared" si="0"/>
        <v>5602.0744120339677</v>
      </c>
      <c r="AE16" s="505">
        <f t="shared" si="0"/>
        <v>8409.6605613379816</v>
      </c>
      <c r="AF16" s="505">
        <f t="shared" si="0"/>
        <v>12502.142437715016</v>
      </c>
      <c r="AG16" s="505">
        <f t="shared" si="0"/>
        <v>18011.475144292137</v>
      </c>
      <c r="AH16" s="505">
        <f t="shared" si="0"/>
        <v>21437.503207091922</v>
      </c>
      <c r="AI16" s="505">
        <f t="shared" si="0"/>
        <v>23541.745056940286</v>
      </c>
      <c r="AJ16" s="505">
        <f t="shared" si="0"/>
        <v>25748.53536331284</v>
      </c>
      <c r="AK16" s="505">
        <f t="shared" si="0"/>
        <v>26528.038998026826</v>
      </c>
      <c r="AL16" s="505">
        <f t="shared" si="0"/>
        <v>27331.258603923048</v>
      </c>
      <c r="AM16" s="505">
        <f t="shared" si="0"/>
        <v>28158.91972782851</v>
      </c>
      <c r="AN16" s="505">
        <f t="shared" si="0"/>
        <v>29003.687319663364</v>
      </c>
      <c r="AO16" s="505">
        <f t="shared" si="0"/>
        <v>29873.797939253265</v>
      </c>
      <c r="AP16" s="505">
        <f t="shared" si="0"/>
        <v>30770.011877430868</v>
      </c>
      <c r="AQ16" s="505">
        <f t="shared" si="1"/>
        <v>31693.112233753796</v>
      </c>
      <c r="AR16" s="505">
        <f t="shared" si="1"/>
        <v>32643.905600766397</v>
      </c>
      <c r="AS16" s="505">
        <f t="shared" si="1"/>
        <v>33623.22276878939</v>
      </c>
      <c r="AT16" s="505">
        <f t="shared" si="1"/>
        <v>34631.919451853064</v>
      </c>
      <c r="AU16" s="505">
        <f t="shared" si="1"/>
        <v>0</v>
      </c>
    </row>
    <row r="17" spans="2:47" ht="16" outlineLevel="1" thickBot="1">
      <c r="B17" s="328" t="s">
        <v>346</v>
      </c>
      <c r="C17" s="329" t="str">
        <f>IFERROR(C16/C5,"-")</f>
        <v>-</v>
      </c>
      <c r="D17" s="329">
        <f>IFERROR(D16/D5,"-")</f>
        <v>-2.6035067020523817E-2</v>
      </c>
      <c r="E17" s="329">
        <f>IFERROR(E16/E5,"-")</f>
        <v>0.18404454625169586</v>
      </c>
      <c r="F17" s="329">
        <f t="shared" ref="F17:W17" si="8">IFERROR(F16/F5,"-")</f>
        <v>0.26681569998081156</v>
      </c>
      <c r="G17" s="329">
        <f t="shared" si="8"/>
        <v>0.33851493697980545</v>
      </c>
      <c r="H17" s="329">
        <f t="shared" si="8"/>
        <v>0.41107751062312309</v>
      </c>
      <c r="I17" s="329">
        <f t="shared" si="8"/>
        <v>0.48803194258847987</v>
      </c>
      <c r="J17" s="329">
        <f t="shared" si="8"/>
        <v>0.52043291754829624</v>
      </c>
      <c r="K17" s="329">
        <f t="shared" si="8"/>
        <v>0.53443345213404825</v>
      </c>
      <c r="L17" s="329">
        <f t="shared" si="8"/>
        <v>0.54742889640027947</v>
      </c>
      <c r="M17" s="329">
        <f t="shared" si="8"/>
        <v>0.54769827592674769</v>
      </c>
      <c r="N17" s="329">
        <f t="shared" si="8"/>
        <v>0.54796955624666188</v>
      </c>
      <c r="O17" s="329">
        <f t="shared" si="8"/>
        <v>0.54824274624557867</v>
      </c>
      <c r="P17" s="329">
        <f t="shared" si="8"/>
        <v>0.54824274624557867</v>
      </c>
      <c r="Q17" s="329">
        <f t="shared" si="8"/>
        <v>0.54824274624557867</v>
      </c>
      <c r="R17" s="329">
        <f t="shared" si="8"/>
        <v>0.54824274624557867</v>
      </c>
      <c r="S17" s="329">
        <f t="shared" si="8"/>
        <v>0.54824274624557867</v>
      </c>
      <c r="T17" s="329">
        <f t="shared" si="8"/>
        <v>0.54824274624557856</v>
      </c>
      <c r="U17" s="329">
        <f t="shared" si="8"/>
        <v>0.54824274624557856</v>
      </c>
      <c r="V17" s="329">
        <f t="shared" si="8"/>
        <v>0.54824274624557856</v>
      </c>
      <c r="W17" s="329" t="str">
        <f t="shared" si="8"/>
        <v>-</v>
      </c>
      <c r="Z17" s="328" t="s">
        <v>346</v>
      </c>
      <c r="AA17" s="330" t="str">
        <f>C17</f>
        <v>-</v>
      </c>
      <c r="AB17" s="330">
        <f t="shared" ref="AB17:AU17" si="9">D17</f>
        <v>-2.6035067020523817E-2</v>
      </c>
      <c r="AC17" s="330">
        <f t="shared" si="9"/>
        <v>0.18404454625169586</v>
      </c>
      <c r="AD17" s="330">
        <f t="shared" si="9"/>
        <v>0.26681569998081156</v>
      </c>
      <c r="AE17" s="330">
        <f t="shared" si="9"/>
        <v>0.33851493697980545</v>
      </c>
      <c r="AF17" s="330">
        <f t="shared" si="9"/>
        <v>0.41107751062312309</v>
      </c>
      <c r="AG17" s="330">
        <f t="shared" si="9"/>
        <v>0.48803194258847987</v>
      </c>
      <c r="AH17" s="330">
        <f t="shared" si="9"/>
        <v>0.52043291754829624</v>
      </c>
      <c r="AI17" s="330">
        <f t="shared" si="9"/>
        <v>0.53443345213404825</v>
      </c>
      <c r="AJ17" s="330">
        <f t="shared" si="9"/>
        <v>0.54742889640027947</v>
      </c>
      <c r="AK17" s="330">
        <f t="shared" si="9"/>
        <v>0.54769827592674769</v>
      </c>
      <c r="AL17" s="330">
        <f t="shared" si="9"/>
        <v>0.54796955624666188</v>
      </c>
      <c r="AM17" s="330">
        <f t="shared" si="9"/>
        <v>0.54824274624557867</v>
      </c>
      <c r="AN17" s="330">
        <f t="shared" si="9"/>
        <v>0.54824274624557867</v>
      </c>
      <c r="AO17" s="330">
        <f t="shared" si="9"/>
        <v>0.54824274624557867</v>
      </c>
      <c r="AP17" s="330">
        <f t="shared" si="9"/>
        <v>0.54824274624557867</v>
      </c>
      <c r="AQ17" s="330">
        <f t="shared" si="9"/>
        <v>0.54824274624557867</v>
      </c>
      <c r="AR17" s="330">
        <f t="shared" si="9"/>
        <v>0.54824274624557856</v>
      </c>
      <c r="AS17" s="330">
        <f t="shared" si="9"/>
        <v>0.54824274624557856</v>
      </c>
      <c r="AT17" s="330">
        <f t="shared" si="9"/>
        <v>0.54824274624557856</v>
      </c>
      <c r="AU17" s="330" t="str">
        <f t="shared" si="9"/>
        <v>-</v>
      </c>
    </row>
    <row r="18" spans="2:47" outlineLevel="1">
      <c r="F18" s="331"/>
      <c r="Z18" s="289"/>
      <c r="AA18" s="314"/>
      <c r="AB18" s="314"/>
      <c r="AC18" s="314"/>
      <c r="AD18" s="314"/>
      <c r="AE18" s="314"/>
      <c r="AF18" s="314"/>
      <c r="AG18" s="314"/>
      <c r="AH18" s="314"/>
      <c r="AI18" s="314"/>
      <c r="AJ18" s="314"/>
      <c r="AK18" s="314"/>
      <c r="AL18" s="314"/>
      <c r="AM18" s="314"/>
      <c r="AN18" s="314"/>
      <c r="AO18" s="314"/>
      <c r="AP18" s="314"/>
      <c r="AQ18" s="314"/>
      <c r="AR18" s="314"/>
      <c r="AS18" s="314"/>
      <c r="AT18" s="314"/>
      <c r="AU18" s="314"/>
    </row>
    <row r="19" spans="2:47" ht="16" thickBot="1">
      <c r="Z19" s="289"/>
      <c r="AA19" s="314"/>
      <c r="AB19" s="314"/>
      <c r="AC19" s="314"/>
      <c r="AD19" s="314"/>
      <c r="AE19" s="314"/>
      <c r="AF19" s="314"/>
      <c r="AG19" s="314"/>
      <c r="AH19" s="314"/>
      <c r="AI19" s="314"/>
      <c r="AJ19" s="314"/>
      <c r="AK19" s="314"/>
      <c r="AL19" s="314"/>
      <c r="AM19" s="314"/>
      <c r="AN19" s="314"/>
      <c r="AO19" s="314"/>
      <c r="AP19" s="314"/>
      <c r="AQ19" s="314"/>
      <c r="AR19" s="314"/>
      <c r="AS19" s="314"/>
      <c r="AT19" s="314"/>
      <c r="AU19" s="314"/>
    </row>
    <row r="20" spans="2:47" ht="16" thickTop="1">
      <c r="B20" s="315" t="s">
        <v>347</v>
      </c>
      <c r="C20" s="316"/>
      <c r="D20" s="316"/>
      <c r="E20" s="316"/>
      <c r="F20" s="316"/>
      <c r="G20" s="316"/>
      <c r="H20" s="316"/>
      <c r="I20" s="316"/>
      <c r="J20" s="316"/>
      <c r="K20" s="316"/>
      <c r="L20" s="316"/>
      <c r="M20" s="316"/>
      <c r="N20" s="316"/>
      <c r="O20" s="316"/>
      <c r="P20" s="316"/>
      <c r="Q20" s="316"/>
      <c r="R20" s="316"/>
      <c r="S20" s="316"/>
      <c r="T20" s="316"/>
      <c r="U20" s="316"/>
      <c r="V20" s="316"/>
      <c r="W20" s="316"/>
      <c r="Z20" s="315" t="s">
        <v>347</v>
      </c>
      <c r="AA20" s="316"/>
      <c r="AB20" s="316"/>
      <c r="AC20" s="316"/>
      <c r="AD20" s="316"/>
      <c r="AE20" s="316"/>
      <c r="AF20" s="316"/>
      <c r="AG20" s="316"/>
      <c r="AH20" s="316"/>
      <c r="AI20" s="316"/>
      <c r="AJ20" s="316"/>
      <c r="AK20" s="316"/>
      <c r="AL20" s="316"/>
      <c r="AM20" s="316"/>
      <c r="AN20" s="316"/>
      <c r="AO20" s="316"/>
      <c r="AP20" s="316"/>
      <c r="AQ20" s="316"/>
      <c r="AR20" s="316"/>
      <c r="AS20" s="316"/>
      <c r="AT20" s="316"/>
      <c r="AU20" s="316"/>
    </row>
    <row r="21" spans="2:47" ht="16" outlineLevel="1" thickBot="1">
      <c r="B21" s="317"/>
      <c r="C21" s="318">
        <v>0</v>
      </c>
      <c r="D21" s="318">
        <v>1</v>
      </c>
      <c r="E21" s="318">
        <v>2</v>
      </c>
      <c r="F21" s="318">
        <v>3</v>
      </c>
      <c r="G21" s="318">
        <v>4</v>
      </c>
      <c r="H21" s="318">
        <v>5</v>
      </c>
      <c r="I21" s="318">
        <v>6</v>
      </c>
      <c r="J21" s="318">
        <v>7</v>
      </c>
      <c r="K21" s="318">
        <v>8</v>
      </c>
      <c r="L21" s="318">
        <v>9</v>
      </c>
      <c r="M21" s="318">
        <v>10</v>
      </c>
      <c r="N21" s="318">
        <v>11</v>
      </c>
      <c r="O21" s="318">
        <v>12</v>
      </c>
      <c r="P21" s="318">
        <v>13</v>
      </c>
      <c r="Q21" s="318">
        <v>14</v>
      </c>
      <c r="R21" s="318">
        <v>15</v>
      </c>
      <c r="S21" s="318">
        <v>16</v>
      </c>
      <c r="T21" s="318">
        <v>17</v>
      </c>
      <c r="U21" s="318">
        <v>18</v>
      </c>
      <c r="V21" s="318">
        <v>19</v>
      </c>
      <c r="W21" s="318">
        <v>20</v>
      </c>
      <c r="Z21" s="317"/>
      <c r="AA21" s="318">
        <v>0</v>
      </c>
      <c r="AB21" s="318">
        <v>1</v>
      </c>
      <c r="AC21" s="318">
        <v>2</v>
      </c>
      <c r="AD21" s="318">
        <v>3</v>
      </c>
      <c r="AE21" s="318">
        <v>4</v>
      </c>
      <c r="AF21" s="318">
        <v>5</v>
      </c>
      <c r="AG21" s="318">
        <v>6</v>
      </c>
      <c r="AH21" s="318">
        <v>7</v>
      </c>
      <c r="AI21" s="318">
        <v>8</v>
      </c>
      <c r="AJ21" s="318">
        <v>9</v>
      </c>
      <c r="AK21" s="318">
        <v>10</v>
      </c>
      <c r="AL21" s="318">
        <v>11</v>
      </c>
      <c r="AM21" s="318">
        <v>12</v>
      </c>
      <c r="AN21" s="318">
        <v>13</v>
      </c>
      <c r="AO21" s="318">
        <v>14</v>
      </c>
      <c r="AP21" s="318">
        <v>15</v>
      </c>
      <c r="AQ21" s="318">
        <v>16</v>
      </c>
      <c r="AR21" s="318">
        <v>17</v>
      </c>
      <c r="AS21" s="318">
        <v>18</v>
      </c>
      <c r="AT21" s="318">
        <v>19</v>
      </c>
      <c r="AU21" s="318">
        <v>20</v>
      </c>
    </row>
    <row r="22" spans="2:47" outlineLevel="1">
      <c r="B22" s="332" t="s">
        <v>348</v>
      </c>
      <c r="C22" s="333"/>
      <c r="D22" s="333"/>
      <c r="E22" s="333"/>
      <c r="F22" s="333"/>
      <c r="G22" s="333"/>
      <c r="H22" s="333"/>
      <c r="I22" s="333"/>
      <c r="J22" s="333"/>
      <c r="K22" s="333"/>
      <c r="L22" s="333"/>
      <c r="M22" s="333"/>
      <c r="N22" s="333"/>
      <c r="O22" s="333"/>
      <c r="P22" s="333"/>
      <c r="Q22" s="333"/>
      <c r="R22" s="333"/>
      <c r="S22" s="333"/>
      <c r="T22" s="333"/>
      <c r="U22" s="333"/>
      <c r="V22" s="333"/>
      <c r="W22" s="333"/>
      <c r="Z22" s="333" t="s">
        <v>348</v>
      </c>
      <c r="AA22" s="333"/>
      <c r="AB22" s="333"/>
      <c r="AC22" s="333"/>
      <c r="AD22" s="333"/>
      <c r="AE22" s="333"/>
      <c r="AF22" s="333"/>
      <c r="AG22" s="333"/>
      <c r="AH22" s="333"/>
      <c r="AI22" s="333"/>
      <c r="AJ22" s="333"/>
      <c r="AK22" s="333"/>
      <c r="AL22" s="333"/>
      <c r="AM22" s="333"/>
      <c r="AN22" s="333"/>
      <c r="AO22" s="333"/>
      <c r="AP22" s="333"/>
      <c r="AQ22" s="333"/>
      <c r="AR22" s="333"/>
      <c r="AS22" s="333"/>
      <c r="AT22" s="333"/>
      <c r="AU22" s="333"/>
    </row>
    <row r="23" spans="2:47" outlineLevel="1">
      <c r="B23" s="290" t="s">
        <v>349</v>
      </c>
      <c r="C23" s="321">
        <f>C14</f>
        <v>-1608881.6493810785</v>
      </c>
      <c r="D23" s="321">
        <f>D14</f>
        <v>-4800072.9247845914</v>
      </c>
      <c r="E23" s="321">
        <f>E14</f>
        <v>-2427861.1410020003</v>
      </c>
      <c r="F23" s="321">
        <f t="shared" ref="F23:W23" si="10">F14</f>
        <v>241054.33172334498</v>
      </c>
      <c r="G23" s="321">
        <f t="shared" si="10"/>
        <v>3537191.9885883369</v>
      </c>
      <c r="H23" s="321">
        <f t="shared" si="10"/>
        <v>8039699.6991204796</v>
      </c>
      <c r="I23" s="321">
        <f t="shared" si="10"/>
        <v>7848209.258442563</v>
      </c>
      <c r="J23" s="321">
        <f t="shared" si="10"/>
        <v>11208456.473888218</v>
      </c>
      <c r="K23" s="321">
        <f t="shared" si="10"/>
        <v>12671665.675211195</v>
      </c>
      <c r="L23" s="321">
        <f t="shared" si="10"/>
        <v>14207388.646842975</v>
      </c>
      <c r="M23" s="321">
        <f t="shared" si="10"/>
        <v>14821591.978567891</v>
      </c>
      <c r="N23" s="321">
        <f t="shared" si="10"/>
        <v>15924792.273330834</v>
      </c>
      <c r="O23" s="321">
        <f t="shared" si="10"/>
        <v>16661821.313492216</v>
      </c>
      <c r="P23" s="321">
        <f t="shared" si="10"/>
        <v>17210920.248184863</v>
      </c>
      <c r="Q23" s="321">
        <f t="shared" si="10"/>
        <v>17776492.150918309</v>
      </c>
      <c r="R23" s="321">
        <f t="shared" si="10"/>
        <v>18359031.210733753</v>
      </c>
      <c r="S23" s="321">
        <f t="shared" si="10"/>
        <v>18959046.442343649</v>
      </c>
      <c r="T23" s="321">
        <f t="shared" si="10"/>
        <v>19577062.130901836</v>
      </c>
      <c r="U23" s="321">
        <f t="shared" si="10"/>
        <v>20213618.29011678</v>
      </c>
      <c r="V23" s="321">
        <f t="shared" si="10"/>
        <v>20869271.134108171</v>
      </c>
      <c r="W23" s="321">
        <f t="shared" si="10"/>
        <v>-1641476.5095963189</v>
      </c>
      <c r="Z23" s="290" t="s">
        <v>349</v>
      </c>
      <c r="AA23" s="504">
        <f t="shared" ref="AA23:AP28" si="11">C23/1000</f>
        <v>-1608.8816493810787</v>
      </c>
      <c r="AB23" s="504">
        <f t="shared" si="11"/>
        <v>-4800.0729247845911</v>
      </c>
      <c r="AC23" s="504">
        <f t="shared" si="11"/>
        <v>-2427.8611410020003</v>
      </c>
      <c r="AD23" s="504">
        <f t="shared" si="11"/>
        <v>241.05433172334497</v>
      </c>
      <c r="AE23" s="504">
        <f t="shared" si="11"/>
        <v>3537.1919885883367</v>
      </c>
      <c r="AF23" s="504">
        <f t="shared" si="11"/>
        <v>8039.6996991204796</v>
      </c>
      <c r="AG23" s="504">
        <f t="shared" si="11"/>
        <v>7848.2092584425627</v>
      </c>
      <c r="AH23" s="504">
        <f t="shared" si="11"/>
        <v>11208.456473888218</v>
      </c>
      <c r="AI23" s="504">
        <f t="shared" si="11"/>
        <v>12671.665675211196</v>
      </c>
      <c r="AJ23" s="504">
        <f t="shared" si="11"/>
        <v>14207.388646842976</v>
      </c>
      <c r="AK23" s="504">
        <f t="shared" si="11"/>
        <v>14821.591978567891</v>
      </c>
      <c r="AL23" s="504">
        <f t="shared" si="11"/>
        <v>15924.792273330833</v>
      </c>
      <c r="AM23" s="504">
        <f t="shared" si="11"/>
        <v>16661.821313492215</v>
      </c>
      <c r="AN23" s="504">
        <f t="shared" si="11"/>
        <v>17210.920248184862</v>
      </c>
      <c r="AO23" s="504">
        <f t="shared" si="11"/>
        <v>17776.492150918308</v>
      </c>
      <c r="AP23" s="504">
        <f t="shared" si="11"/>
        <v>18359.031210733752</v>
      </c>
      <c r="AQ23" s="504">
        <f t="shared" ref="AK23:AU28" si="12">S23/1000</f>
        <v>18959.04644234365</v>
      </c>
      <c r="AR23" s="504">
        <f t="shared" si="12"/>
        <v>19577.062130901835</v>
      </c>
      <c r="AS23" s="504">
        <f t="shared" si="12"/>
        <v>20213.618290116781</v>
      </c>
      <c r="AT23" s="504">
        <f t="shared" si="12"/>
        <v>20869.27113410817</v>
      </c>
      <c r="AU23" s="504">
        <f t="shared" si="12"/>
        <v>-1641.4765095963189</v>
      </c>
    </row>
    <row r="24" spans="2:47" outlineLevel="1">
      <c r="B24" s="290" t="s">
        <v>236</v>
      </c>
      <c r="C24" s="321">
        <f t="shared" ref="C24:W24" si="13">-C9</f>
        <v>0</v>
      </c>
      <c r="D24" s="321">
        <f t="shared" si="13"/>
        <v>1856214.5129593008</v>
      </c>
      <c r="E24" s="321">
        <f t="shared" si="13"/>
        <v>2525348.4763020286</v>
      </c>
      <c r="F24" s="321">
        <f t="shared" si="13"/>
        <v>2525348.4763020286</v>
      </c>
      <c r="G24" s="321">
        <f t="shared" si="13"/>
        <v>2525348.4763020286</v>
      </c>
      <c r="H24" s="321">
        <f t="shared" si="13"/>
        <v>2525348.4763020286</v>
      </c>
      <c r="I24" s="321">
        <f t="shared" si="13"/>
        <v>2525348.4763020286</v>
      </c>
      <c r="J24" s="321">
        <f t="shared" si="13"/>
        <v>2525348.4763020286</v>
      </c>
      <c r="K24" s="321">
        <f t="shared" si="13"/>
        <v>2525348.4763020286</v>
      </c>
      <c r="L24" s="321">
        <f t="shared" si="13"/>
        <v>2525348.4763020286</v>
      </c>
      <c r="M24" s="321">
        <f t="shared" si="13"/>
        <v>2525348.4763020286</v>
      </c>
      <c r="N24" s="321">
        <f t="shared" si="13"/>
        <v>2525348.4763020286</v>
      </c>
      <c r="O24" s="321">
        <f t="shared" si="13"/>
        <v>2525348.4763020286</v>
      </c>
      <c r="P24" s="321">
        <f t="shared" si="13"/>
        <v>2525348.4763020286</v>
      </c>
      <c r="Q24" s="321">
        <f t="shared" si="13"/>
        <v>2525348.4763020286</v>
      </c>
      <c r="R24" s="321">
        <f t="shared" si="13"/>
        <v>2525348.4763020286</v>
      </c>
      <c r="S24" s="321">
        <f t="shared" si="13"/>
        <v>2525348.4763020286</v>
      </c>
      <c r="T24" s="321">
        <f t="shared" si="13"/>
        <v>2525348.4763020286</v>
      </c>
      <c r="U24" s="321">
        <f t="shared" si="13"/>
        <v>2525348.4763020286</v>
      </c>
      <c r="V24" s="321">
        <f t="shared" si="13"/>
        <v>2525348.4763020286</v>
      </c>
      <c r="W24" s="321">
        <f t="shared" si="13"/>
        <v>2525348.4763020286</v>
      </c>
      <c r="Z24" s="290" t="s">
        <v>236</v>
      </c>
      <c r="AA24" s="504">
        <f t="shared" si="11"/>
        <v>0</v>
      </c>
      <c r="AB24" s="504">
        <f t="shared" si="11"/>
        <v>1856.2145129593007</v>
      </c>
      <c r="AC24" s="504">
        <f t="shared" si="11"/>
        <v>2525.3484763020288</v>
      </c>
      <c r="AD24" s="504">
        <f t="shared" si="11"/>
        <v>2525.3484763020288</v>
      </c>
      <c r="AE24" s="504">
        <f t="shared" si="11"/>
        <v>2525.3484763020288</v>
      </c>
      <c r="AF24" s="504">
        <f t="shared" si="11"/>
        <v>2525.3484763020288</v>
      </c>
      <c r="AG24" s="504">
        <f t="shared" si="11"/>
        <v>2525.3484763020288</v>
      </c>
      <c r="AH24" s="504">
        <f t="shared" si="11"/>
        <v>2525.3484763020288</v>
      </c>
      <c r="AI24" s="504">
        <f t="shared" si="11"/>
        <v>2525.3484763020288</v>
      </c>
      <c r="AJ24" s="504">
        <f t="shared" si="11"/>
        <v>2525.3484763020288</v>
      </c>
      <c r="AK24" s="504">
        <f t="shared" si="12"/>
        <v>2525.3484763020288</v>
      </c>
      <c r="AL24" s="504">
        <f t="shared" si="12"/>
        <v>2525.3484763020288</v>
      </c>
      <c r="AM24" s="504">
        <f t="shared" si="12"/>
        <v>2525.3484763020288</v>
      </c>
      <c r="AN24" s="504">
        <f t="shared" si="12"/>
        <v>2525.3484763020288</v>
      </c>
      <c r="AO24" s="504">
        <f t="shared" si="12"/>
        <v>2525.3484763020288</v>
      </c>
      <c r="AP24" s="504">
        <f t="shared" si="12"/>
        <v>2525.3484763020288</v>
      </c>
      <c r="AQ24" s="504">
        <f t="shared" si="12"/>
        <v>2525.3484763020288</v>
      </c>
      <c r="AR24" s="504">
        <f t="shared" si="12"/>
        <v>2525.3484763020288</v>
      </c>
      <c r="AS24" s="504">
        <f t="shared" si="12"/>
        <v>2525.3484763020288</v>
      </c>
      <c r="AT24" s="504">
        <f t="shared" si="12"/>
        <v>2525.3484763020288</v>
      </c>
      <c r="AU24" s="504">
        <f t="shared" si="12"/>
        <v>2525.3484763020288</v>
      </c>
    </row>
    <row r="25" spans="2:47" outlineLevel="1">
      <c r="B25" s="290" t="s">
        <v>350</v>
      </c>
      <c r="C25" s="321"/>
      <c r="D25" s="321">
        <f>C75-D75</f>
        <v>-698785.7215753413</v>
      </c>
      <c r="E25" s="321">
        <f t="shared" ref="E25:W25" si="14">D75-E75</f>
        <v>-470283.66091690829</v>
      </c>
      <c r="F25" s="321">
        <f t="shared" si="14"/>
        <v>-114269.80734644202</v>
      </c>
      <c r="G25" s="321">
        <f t="shared" si="14"/>
        <v>-95757.192969996482</v>
      </c>
      <c r="H25" s="321">
        <f t="shared" si="14"/>
        <v>-139165.35443596379</v>
      </c>
      <c r="I25" s="321">
        <f t="shared" si="14"/>
        <v>-133270.91050488572</v>
      </c>
      <c r="J25" s="321">
        <f t="shared" si="14"/>
        <v>-78339.81723201368</v>
      </c>
      <c r="K25" s="321">
        <f t="shared" si="14"/>
        <v>-67801.812503474532</v>
      </c>
      <c r="L25" s="321">
        <f t="shared" si="14"/>
        <v>-70037.664682532428</v>
      </c>
      <c r="M25" s="321">
        <f t="shared" si="14"/>
        <v>-54233.36092484626</v>
      </c>
      <c r="N25" s="321">
        <f t="shared" si="14"/>
        <v>-55800.080984545872</v>
      </c>
      <c r="O25" s="321">
        <f t="shared" si="14"/>
        <v>-57411.77026338852</v>
      </c>
      <c r="P25" s="321">
        <f t="shared" si="14"/>
        <v>-61054.714630209608</v>
      </c>
      <c r="Q25" s="321">
        <f t="shared" si="14"/>
        <v>-62886.356069116155</v>
      </c>
      <c r="R25" s="321">
        <f t="shared" si="14"/>
        <v>-64772.946751190349</v>
      </c>
      <c r="S25" s="321">
        <f t="shared" si="14"/>
        <v>-66716.135153725743</v>
      </c>
      <c r="T25" s="321">
        <f t="shared" si="14"/>
        <v>-68717.619208337273</v>
      </c>
      <c r="U25" s="321">
        <f t="shared" si="14"/>
        <v>-70779.147784587462</v>
      </c>
      <c r="V25" s="321">
        <f t="shared" si="14"/>
        <v>-72902.522218124941</v>
      </c>
      <c r="W25" s="321">
        <f t="shared" si="14"/>
        <v>2502986.5961556304</v>
      </c>
      <c r="Z25" s="290" t="s">
        <v>350</v>
      </c>
      <c r="AA25" s="504">
        <f t="shared" si="11"/>
        <v>0</v>
      </c>
      <c r="AB25" s="504">
        <f t="shared" si="11"/>
        <v>-698.78572157534131</v>
      </c>
      <c r="AC25" s="504">
        <f t="shared" si="11"/>
        <v>-470.28366091690827</v>
      </c>
      <c r="AD25" s="504">
        <f t="shared" si="11"/>
        <v>-114.26980734644202</v>
      </c>
      <c r="AE25" s="504">
        <f t="shared" si="11"/>
        <v>-95.757192969996481</v>
      </c>
      <c r="AF25" s="504">
        <f t="shared" si="11"/>
        <v>-139.16535443596379</v>
      </c>
      <c r="AG25" s="504">
        <f t="shared" si="11"/>
        <v>-133.27091050488571</v>
      </c>
      <c r="AH25" s="504">
        <f t="shared" si="11"/>
        <v>-78.339817232013687</v>
      </c>
      <c r="AI25" s="504">
        <f t="shared" si="11"/>
        <v>-67.801812503474537</v>
      </c>
      <c r="AJ25" s="504">
        <f t="shared" si="11"/>
        <v>-70.037664682532423</v>
      </c>
      <c r="AK25" s="504">
        <f t="shared" si="12"/>
        <v>-54.233360924846259</v>
      </c>
      <c r="AL25" s="504">
        <f t="shared" si="12"/>
        <v>-55.800080984545872</v>
      </c>
      <c r="AM25" s="504">
        <f t="shared" si="12"/>
        <v>-57.411770263388519</v>
      </c>
      <c r="AN25" s="504">
        <f t="shared" si="12"/>
        <v>-61.05471463020961</v>
      </c>
      <c r="AO25" s="504">
        <f t="shared" si="12"/>
        <v>-62.886356069116154</v>
      </c>
      <c r="AP25" s="504">
        <f t="shared" si="12"/>
        <v>-64.772946751190347</v>
      </c>
      <c r="AQ25" s="504">
        <f t="shared" si="12"/>
        <v>-66.716135153725745</v>
      </c>
      <c r="AR25" s="504">
        <f t="shared" si="12"/>
        <v>-68.717619208337268</v>
      </c>
      <c r="AS25" s="504">
        <f t="shared" si="12"/>
        <v>-70.779147784587465</v>
      </c>
      <c r="AT25" s="504">
        <f t="shared" si="12"/>
        <v>-72.902522218124943</v>
      </c>
      <c r="AU25" s="504">
        <f t="shared" si="12"/>
        <v>2502.9865961556307</v>
      </c>
    </row>
    <row r="26" spans="2:47" outlineLevel="1">
      <c r="B26" s="290" t="s">
        <v>351</v>
      </c>
      <c r="C26" s="321"/>
      <c r="D26" s="321">
        <f t="shared" ref="D26:W26" si="15">C76-D76</f>
        <v>-2714186.1798790232</v>
      </c>
      <c r="E26" s="321">
        <f t="shared" si="15"/>
        <v>1266759.5467250703</v>
      </c>
      <c r="F26" s="321">
        <f t="shared" si="15"/>
        <v>-302243.77368394099</v>
      </c>
      <c r="G26" s="321">
        <f t="shared" si="15"/>
        <v>-320563.34128168318</v>
      </c>
      <c r="H26" s="321">
        <f t="shared" si="15"/>
        <v>-464191.45447459794</v>
      </c>
      <c r="I26" s="321">
        <f t="shared" si="15"/>
        <v>-541103.53034777287</v>
      </c>
      <c r="J26" s="321">
        <f t="shared" si="15"/>
        <v>-357110.78764565941</v>
      </c>
      <c r="K26" s="321">
        <f t="shared" si="15"/>
        <v>-238186.24872873677</v>
      </c>
      <c r="L26" s="321">
        <f t="shared" si="15"/>
        <v>-248790.63088757917</v>
      </c>
      <c r="M26" s="321">
        <f t="shared" si="15"/>
        <v>-116675.1377995722</v>
      </c>
      <c r="N26" s="321">
        <f t="shared" si="15"/>
        <v>-120152.6616721116</v>
      </c>
      <c r="O26" s="321">
        <f t="shared" si="15"/>
        <v>-123733.98791611521</v>
      </c>
      <c r="P26" s="321">
        <f t="shared" si="15"/>
        <v>-128405.3456277512</v>
      </c>
      <c r="Q26" s="321">
        <f t="shared" si="15"/>
        <v>-132257.50599658396</v>
      </c>
      <c r="R26" s="321">
        <f t="shared" si="15"/>
        <v>-136225.23117648158</v>
      </c>
      <c r="S26" s="321">
        <f t="shared" si="15"/>
        <v>-140311.98811177723</v>
      </c>
      <c r="T26" s="321">
        <f t="shared" si="15"/>
        <v>-144521.34775512852</v>
      </c>
      <c r="U26" s="321">
        <f t="shared" si="15"/>
        <v>-148856.98818778247</v>
      </c>
      <c r="V26" s="321">
        <f t="shared" si="15"/>
        <v>-153322.69783341698</v>
      </c>
      <c r="W26" s="321">
        <f t="shared" si="15"/>
        <v>5264079.2922806442</v>
      </c>
      <c r="Z26" s="290" t="s">
        <v>351</v>
      </c>
      <c r="AA26" s="504">
        <f t="shared" si="11"/>
        <v>0</v>
      </c>
      <c r="AB26" s="504">
        <f t="shared" si="11"/>
        <v>-2714.1861798790233</v>
      </c>
      <c r="AC26" s="504">
        <f t="shared" si="11"/>
        <v>1266.7595467250703</v>
      </c>
      <c r="AD26" s="504">
        <f t="shared" si="11"/>
        <v>-302.24377368394101</v>
      </c>
      <c r="AE26" s="504">
        <f t="shared" si="11"/>
        <v>-320.56334128168317</v>
      </c>
      <c r="AF26" s="504">
        <f t="shared" si="11"/>
        <v>-464.19145447459795</v>
      </c>
      <c r="AG26" s="504">
        <f t="shared" si="11"/>
        <v>-541.1035303477729</v>
      </c>
      <c r="AH26" s="504">
        <f t="shared" si="11"/>
        <v>-357.1107876456594</v>
      </c>
      <c r="AI26" s="504">
        <f t="shared" si="11"/>
        <v>-238.18624872873676</v>
      </c>
      <c r="AJ26" s="504">
        <f t="shared" si="11"/>
        <v>-248.79063088757917</v>
      </c>
      <c r="AK26" s="504">
        <f t="shared" si="12"/>
        <v>-116.6751377995722</v>
      </c>
      <c r="AL26" s="504">
        <f t="shared" si="12"/>
        <v>-120.15266167211161</v>
      </c>
      <c r="AM26" s="504">
        <f t="shared" si="12"/>
        <v>-123.73398791611521</v>
      </c>
      <c r="AN26" s="504">
        <f t="shared" si="12"/>
        <v>-128.40534562775119</v>
      </c>
      <c r="AO26" s="504">
        <f t="shared" si="12"/>
        <v>-132.25750599658397</v>
      </c>
      <c r="AP26" s="504">
        <f t="shared" si="12"/>
        <v>-136.22523117648157</v>
      </c>
      <c r="AQ26" s="504">
        <f t="shared" si="12"/>
        <v>-140.31198811177723</v>
      </c>
      <c r="AR26" s="504">
        <f t="shared" si="12"/>
        <v>-144.52134775512852</v>
      </c>
      <c r="AS26" s="504">
        <f t="shared" si="12"/>
        <v>-148.85698818778246</v>
      </c>
      <c r="AT26" s="504">
        <f t="shared" si="12"/>
        <v>-153.32269783341698</v>
      </c>
      <c r="AU26" s="504">
        <f t="shared" si="12"/>
        <v>5264.079292280644</v>
      </c>
    </row>
    <row r="27" spans="2:47" outlineLevel="1">
      <c r="B27" s="334" t="s">
        <v>352</v>
      </c>
      <c r="C27" s="335"/>
      <c r="D27" s="335">
        <f t="shared" ref="D27:W27" si="16">D84-C84</f>
        <v>582321.43464611773</v>
      </c>
      <c r="E27" s="335">
        <f t="shared" si="16"/>
        <v>391903.05076409015</v>
      </c>
      <c r="F27" s="335">
        <f t="shared" si="16"/>
        <v>95224.839455368463</v>
      </c>
      <c r="G27" s="335">
        <f t="shared" si="16"/>
        <v>79797.660808330169</v>
      </c>
      <c r="H27" s="335">
        <f t="shared" si="16"/>
        <v>115971.12869663653</v>
      </c>
      <c r="I27" s="335">
        <f t="shared" si="16"/>
        <v>111059.0920874048</v>
      </c>
      <c r="J27" s="335">
        <f t="shared" si="16"/>
        <v>65283.181026678067</v>
      </c>
      <c r="K27" s="335">
        <f t="shared" si="16"/>
        <v>56501.510419561993</v>
      </c>
      <c r="L27" s="335">
        <f t="shared" si="16"/>
        <v>58364.720568777062</v>
      </c>
      <c r="M27" s="335">
        <f t="shared" si="16"/>
        <v>45194.467437372077</v>
      </c>
      <c r="N27" s="335">
        <f t="shared" si="16"/>
        <v>46500.06748712156</v>
      </c>
      <c r="O27" s="335">
        <f t="shared" si="16"/>
        <v>47843.141886156984</v>
      </c>
      <c r="P27" s="335">
        <f t="shared" si="16"/>
        <v>50878.92885850789</v>
      </c>
      <c r="Q27" s="335">
        <f t="shared" si="16"/>
        <v>52405.296724263579</v>
      </c>
      <c r="R27" s="335">
        <f t="shared" si="16"/>
        <v>53977.455625992035</v>
      </c>
      <c r="S27" s="335">
        <f t="shared" si="16"/>
        <v>55596.779294771375</v>
      </c>
      <c r="T27" s="335">
        <f t="shared" si="16"/>
        <v>57264.682673614239</v>
      </c>
      <c r="U27" s="335">
        <f t="shared" si="16"/>
        <v>58982.623153823195</v>
      </c>
      <c r="V27" s="335">
        <f t="shared" si="16"/>
        <v>60752.101848437451</v>
      </c>
      <c r="W27" s="335">
        <f t="shared" si="16"/>
        <v>-2085822.1634630254</v>
      </c>
      <c r="Z27" s="334" t="s">
        <v>352</v>
      </c>
      <c r="AA27" s="506">
        <f t="shared" si="11"/>
        <v>0</v>
      </c>
      <c r="AB27" s="506">
        <f t="shared" si="11"/>
        <v>582.32143464611772</v>
      </c>
      <c r="AC27" s="506">
        <f t="shared" si="11"/>
        <v>391.90305076409015</v>
      </c>
      <c r="AD27" s="506">
        <f t="shared" si="11"/>
        <v>95.224839455368468</v>
      </c>
      <c r="AE27" s="506">
        <f t="shared" si="11"/>
        <v>79.797660808330164</v>
      </c>
      <c r="AF27" s="506">
        <f t="shared" si="11"/>
        <v>115.97112869663653</v>
      </c>
      <c r="AG27" s="506">
        <f t="shared" si="11"/>
        <v>111.05909208740481</v>
      </c>
      <c r="AH27" s="506">
        <f t="shared" si="11"/>
        <v>65.283181026678065</v>
      </c>
      <c r="AI27" s="506">
        <f t="shared" si="11"/>
        <v>56.501510419561995</v>
      </c>
      <c r="AJ27" s="506">
        <f t="shared" si="11"/>
        <v>58.364720568777059</v>
      </c>
      <c r="AK27" s="506">
        <f t="shared" si="12"/>
        <v>45.194467437372076</v>
      </c>
      <c r="AL27" s="506">
        <f t="shared" si="12"/>
        <v>46.500067487121562</v>
      </c>
      <c r="AM27" s="506">
        <f t="shared" si="12"/>
        <v>47.843141886156985</v>
      </c>
      <c r="AN27" s="506">
        <f t="shared" si="12"/>
        <v>50.878928858507891</v>
      </c>
      <c r="AO27" s="506">
        <f t="shared" si="12"/>
        <v>52.405296724263579</v>
      </c>
      <c r="AP27" s="506">
        <f t="shared" si="12"/>
        <v>53.977455625992036</v>
      </c>
      <c r="AQ27" s="506">
        <f t="shared" si="12"/>
        <v>55.596779294771373</v>
      </c>
      <c r="AR27" s="506">
        <f t="shared" si="12"/>
        <v>57.264682673614239</v>
      </c>
      <c r="AS27" s="506">
        <f t="shared" si="12"/>
        <v>58.982623153823198</v>
      </c>
      <c r="AT27" s="506">
        <f t="shared" si="12"/>
        <v>60.752101848437448</v>
      </c>
      <c r="AU27" s="506">
        <f t="shared" si="12"/>
        <v>-2085.8221634630254</v>
      </c>
    </row>
    <row r="28" spans="2:47" ht="16" outlineLevel="1" thickBot="1">
      <c r="B28" s="260" t="s">
        <v>353</v>
      </c>
      <c r="C28" s="199">
        <f t="shared" ref="C28:W28" si="17">SUM(C23:C27)</f>
        <v>-1608881.6493810785</v>
      </c>
      <c r="D28" s="199">
        <f>SUM(D23:D27)</f>
        <v>-5774508.8786335373</v>
      </c>
      <c r="E28" s="199">
        <f>SUM(E23:E27)</f>
        <v>1285866.2718722806</v>
      </c>
      <c r="F28" s="199">
        <f t="shared" si="17"/>
        <v>2445114.0664503588</v>
      </c>
      <c r="G28" s="199">
        <f t="shared" si="17"/>
        <v>5726017.5914470162</v>
      </c>
      <c r="H28" s="199">
        <f t="shared" si="17"/>
        <v>10077662.495208584</v>
      </c>
      <c r="I28" s="199">
        <f t="shared" si="17"/>
        <v>9810242.3859793376</v>
      </c>
      <c r="J28" s="199">
        <f t="shared" si="17"/>
        <v>13363637.526339252</v>
      </c>
      <c r="K28" s="199">
        <f t="shared" si="17"/>
        <v>14947527.600700574</v>
      </c>
      <c r="L28" s="199">
        <f t="shared" si="17"/>
        <v>16472273.54814367</v>
      </c>
      <c r="M28" s="199">
        <f t="shared" si="17"/>
        <v>17221226.423582871</v>
      </c>
      <c r="N28" s="199">
        <f t="shared" si="17"/>
        <v>18320688.074463326</v>
      </c>
      <c r="O28" s="199">
        <f t="shared" si="17"/>
        <v>19053867.173500896</v>
      </c>
      <c r="P28" s="199">
        <f t="shared" si="17"/>
        <v>19597687.593087438</v>
      </c>
      <c r="Q28" s="199">
        <f t="shared" si="17"/>
        <v>20159102.061878897</v>
      </c>
      <c r="R28" s="199">
        <f t="shared" si="17"/>
        <v>20737358.964734104</v>
      </c>
      <c r="S28" s="199">
        <f t="shared" si="17"/>
        <v>21332963.574674945</v>
      </c>
      <c r="T28" s="199">
        <f t="shared" si="17"/>
        <v>21946436.322914016</v>
      </c>
      <c r="U28" s="199">
        <f t="shared" si="17"/>
        <v>22578313.253600262</v>
      </c>
      <c r="V28" s="199">
        <f t="shared" si="17"/>
        <v>23229146.492207095</v>
      </c>
      <c r="W28" s="199">
        <f t="shared" si="17"/>
        <v>6565115.6916789589</v>
      </c>
      <c r="Z28" s="260" t="s">
        <v>353</v>
      </c>
      <c r="AA28" s="507">
        <f t="shared" si="11"/>
        <v>-1608.8816493810787</v>
      </c>
      <c r="AB28" s="507">
        <f t="shared" si="11"/>
        <v>-5774.5088786335373</v>
      </c>
      <c r="AC28" s="507">
        <f t="shared" si="11"/>
        <v>1285.8662718722805</v>
      </c>
      <c r="AD28" s="507">
        <f t="shared" si="11"/>
        <v>2445.1140664503587</v>
      </c>
      <c r="AE28" s="507">
        <f t="shared" si="11"/>
        <v>5726.0175914470165</v>
      </c>
      <c r="AF28" s="507">
        <f t="shared" si="11"/>
        <v>10077.662495208584</v>
      </c>
      <c r="AG28" s="507">
        <f t="shared" si="11"/>
        <v>9810.242385979338</v>
      </c>
      <c r="AH28" s="507">
        <f t="shared" si="11"/>
        <v>13363.637526339251</v>
      </c>
      <c r="AI28" s="507">
        <f t="shared" si="11"/>
        <v>14947.527600700574</v>
      </c>
      <c r="AJ28" s="507">
        <f t="shared" si="11"/>
        <v>16472.273548143668</v>
      </c>
      <c r="AK28" s="507">
        <f t="shared" si="12"/>
        <v>17221.22642358287</v>
      </c>
      <c r="AL28" s="507">
        <f t="shared" si="12"/>
        <v>18320.688074463327</v>
      </c>
      <c r="AM28" s="507">
        <f t="shared" si="12"/>
        <v>19053.867173500894</v>
      </c>
      <c r="AN28" s="507">
        <f t="shared" si="12"/>
        <v>19597.687593087438</v>
      </c>
      <c r="AO28" s="507">
        <f t="shared" si="12"/>
        <v>20159.102061878897</v>
      </c>
      <c r="AP28" s="507">
        <f t="shared" si="12"/>
        <v>20737.358964734103</v>
      </c>
      <c r="AQ28" s="507">
        <f t="shared" si="12"/>
        <v>21332.963574674945</v>
      </c>
      <c r="AR28" s="507">
        <f t="shared" si="12"/>
        <v>21946.436322914014</v>
      </c>
      <c r="AS28" s="507">
        <f t="shared" si="12"/>
        <v>22578.313253600263</v>
      </c>
      <c r="AT28" s="507">
        <f t="shared" si="12"/>
        <v>23229.146492207095</v>
      </c>
      <c r="AU28" s="507">
        <f t="shared" si="12"/>
        <v>6565.1156916789587</v>
      </c>
    </row>
    <row r="29" spans="2:47" outlineLevel="1">
      <c r="B29" s="332" t="s">
        <v>354</v>
      </c>
      <c r="C29" s="333"/>
      <c r="D29" s="333"/>
      <c r="E29" s="333"/>
      <c r="F29" s="333"/>
      <c r="G29" s="333"/>
      <c r="H29" s="333"/>
      <c r="I29" s="333"/>
      <c r="J29" s="333"/>
      <c r="K29" s="333"/>
      <c r="L29" s="333"/>
      <c r="M29" s="333"/>
      <c r="N29" s="333"/>
      <c r="O29" s="333"/>
      <c r="P29" s="333"/>
      <c r="Q29" s="333"/>
      <c r="R29" s="333"/>
      <c r="S29" s="333"/>
      <c r="T29" s="333"/>
      <c r="U29" s="333"/>
      <c r="V29" s="333"/>
      <c r="W29" s="333"/>
      <c r="Z29" s="333" t="s">
        <v>354</v>
      </c>
      <c r="AA29" s="508"/>
      <c r="AB29" s="508"/>
      <c r="AC29" s="508"/>
      <c r="AD29" s="508"/>
      <c r="AE29" s="508"/>
      <c r="AF29" s="508"/>
      <c r="AG29" s="508"/>
      <c r="AH29" s="508"/>
      <c r="AI29" s="508"/>
      <c r="AJ29" s="508"/>
      <c r="AK29" s="508"/>
      <c r="AL29" s="508"/>
      <c r="AM29" s="508"/>
      <c r="AN29" s="508"/>
      <c r="AO29" s="508"/>
      <c r="AP29" s="508"/>
      <c r="AQ29" s="508"/>
      <c r="AR29" s="508"/>
      <c r="AS29" s="508"/>
      <c r="AT29" s="508"/>
      <c r="AU29" s="508"/>
    </row>
    <row r="30" spans="2:47" outlineLevel="1">
      <c r="B30" s="290" t="s">
        <v>280</v>
      </c>
      <c r="C30" s="321">
        <f>'CAPEX Financing'!C18+'WC Financing'!C23</f>
        <v>13407347.078175653</v>
      </c>
      <c r="D30" s="321">
        <f>'CAPEX Financing'!D18+'WC Financing'!D23</f>
        <v>4833124.6969448682</v>
      </c>
      <c r="E30" s="321">
        <f>'CAPEX Financing'!E18+'WC Financing'!E23</f>
        <v>2.7183389607728517E-138</v>
      </c>
      <c r="F30" s="321">
        <f>'CAPEX Financing'!F18+'WC Financing'!F23</f>
        <v>2.8769343687993079E-138</v>
      </c>
      <c r="G30" s="321">
        <f>'CAPEX Financing'!G18+'WC Financing'!G23</f>
        <v>0</v>
      </c>
      <c r="H30" s="321">
        <f>'CAPEX Financing'!H18+'WC Financing'!H23</f>
        <v>0</v>
      </c>
      <c r="I30" s="321">
        <f>'CAPEX Financing'!I18+'WC Financing'!I23</f>
        <v>0</v>
      </c>
      <c r="J30" s="321">
        <f>'CAPEX Financing'!J18+'WC Financing'!J23</f>
        <v>0</v>
      </c>
      <c r="K30" s="321">
        <f>'CAPEX Financing'!K18+'WC Financing'!K23</f>
        <v>0</v>
      </c>
      <c r="L30" s="321">
        <f>'CAPEX Financing'!L18+'WC Financing'!L23</f>
        <v>0</v>
      </c>
      <c r="M30" s="321">
        <f>'CAPEX Financing'!M18+'WC Financing'!M23</f>
        <v>0</v>
      </c>
      <c r="N30" s="321">
        <f>'CAPEX Financing'!N18+'WC Financing'!N23</f>
        <v>0</v>
      </c>
      <c r="O30" s="321">
        <f>'CAPEX Financing'!O18+'WC Financing'!O23</f>
        <v>0</v>
      </c>
      <c r="P30" s="321">
        <f>'CAPEX Financing'!P18+'WC Financing'!P23</f>
        <v>0</v>
      </c>
      <c r="Q30" s="321">
        <f>'CAPEX Financing'!Q18+'WC Financing'!Q23</f>
        <v>0</v>
      </c>
      <c r="R30" s="321">
        <f>'CAPEX Financing'!R18+'WC Financing'!R23</f>
        <v>0</v>
      </c>
      <c r="S30" s="321">
        <f>'CAPEX Financing'!S18+'WC Financing'!S23</f>
        <v>0</v>
      </c>
      <c r="T30" s="321">
        <f>'CAPEX Financing'!T18+'WC Financing'!T23</f>
        <v>0</v>
      </c>
      <c r="U30" s="321">
        <f>'CAPEX Financing'!U18+'WC Financing'!U23</f>
        <v>0</v>
      </c>
      <c r="V30" s="321">
        <f>'CAPEX Financing'!V18+'WC Financing'!V23</f>
        <v>0</v>
      </c>
      <c r="W30" s="321">
        <f>'CAPEX Financing'!W18+'WC Financing'!W23</f>
        <v>0</v>
      </c>
      <c r="Z30" s="290" t="s">
        <v>280</v>
      </c>
      <c r="AA30" s="504">
        <f t="shared" ref="AA30:AP35" si="18">C30/1000</f>
        <v>13407.347078175653</v>
      </c>
      <c r="AB30" s="504">
        <f t="shared" si="18"/>
        <v>4833.1246969448684</v>
      </c>
      <c r="AC30" s="504">
        <f t="shared" si="18"/>
        <v>2.7183389607728515E-141</v>
      </c>
      <c r="AD30" s="504">
        <f t="shared" si="18"/>
        <v>2.8769343687993077E-141</v>
      </c>
      <c r="AE30" s="504">
        <f t="shared" si="18"/>
        <v>0</v>
      </c>
      <c r="AF30" s="504">
        <f t="shared" si="18"/>
        <v>0</v>
      </c>
      <c r="AG30" s="504">
        <f t="shared" si="18"/>
        <v>0</v>
      </c>
      <c r="AH30" s="504">
        <f t="shared" si="18"/>
        <v>0</v>
      </c>
      <c r="AI30" s="504">
        <f t="shared" si="18"/>
        <v>0</v>
      </c>
      <c r="AJ30" s="504">
        <f t="shared" si="18"/>
        <v>0</v>
      </c>
      <c r="AK30" s="504">
        <f t="shared" si="18"/>
        <v>0</v>
      </c>
      <c r="AL30" s="504">
        <f t="shared" si="18"/>
        <v>0</v>
      </c>
      <c r="AM30" s="504">
        <f t="shared" si="18"/>
        <v>0</v>
      </c>
      <c r="AN30" s="504">
        <f t="shared" si="18"/>
        <v>0</v>
      </c>
      <c r="AO30" s="504">
        <f t="shared" si="18"/>
        <v>0</v>
      </c>
      <c r="AP30" s="504">
        <f t="shared" si="18"/>
        <v>0</v>
      </c>
      <c r="AQ30" s="504">
        <f t="shared" ref="AQ30:AU35" si="19">S30/1000</f>
        <v>0</v>
      </c>
      <c r="AR30" s="504">
        <f t="shared" si="19"/>
        <v>0</v>
      </c>
      <c r="AS30" s="504">
        <f t="shared" si="19"/>
        <v>0</v>
      </c>
      <c r="AT30" s="504">
        <f t="shared" si="19"/>
        <v>0</v>
      </c>
      <c r="AU30" s="504">
        <f t="shared" si="19"/>
        <v>0</v>
      </c>
    </row>
    <row r="31" spans="2:47" outlineLevel="1">
      <c r="B31" s="290" t="s">
        <v>355</v>
      </c>
      <c r="C31" s="321">
        <f>'CAPEX Financing'!C19+'WC Financing'!C24</f>
        <v>26068347.267737463</v>
      </c>
      <c r="D31" s="321">
        <f>'CAPEX Financing'!D19+'WC Financing'!D24</f>
        <v>14591752.119758595</v>
      </c>
      <c r="E31" s="321">
        <f>'CAPEX Financing'!E19+'WC Financing'!E24</f>
        <v>3908927.183830495</v>
      </c>
      <c r="F31" s="321">
        <f>'CAPEX Financing'!F19+'WC Financing'!F24</f>
        <v>2872029.8601241326</v>
      </c>
      <c r="G31" s="321">
        <f>'CAPEX Financing'!G19+'WC Financing'!G24</f>
        <v>0</v>
      </c>
      <c r="H31" s="321">
        <f>'CAPEX Financing'!H19+'WC Financing'!H24</f>
        <v>0</v>
      </c>
      <c r="I31" s="321">
        <f>'CAPEX Financing'!I19+'WC Financing'!I24</f>
        <v>0</v>
      </c>
      <c r="J31" s="321">
        <f>'CAPEX Financing'!J19+'WC Financing'!J24</f>
        <v>0</v>
      </c>
      <c r="K31" s="321">
        <f>'CAPEX Financing'!K19+'WC Financing'!K24</f>
        <v>0</v>
      </c>
      <c r="L31" s="321">
        <f>'CAPEX Financing'!L19+'WC Financing'!L24</f>
        <v>0</v>
      </c>
      <c r="M31" s="321">
        <f>'CAPEX Financing'!M19+'WC Financing'!M24</f>
        <v>0</v>
      </c>
      <c r="N31" s="321">
        <f>'CAPEX Financing'!N19+'WC Financing'!N24</f>
        <v>0</v>
      </c>
      <c r="O31" s="321">
        <f>'CAPEX Financing'!O19+'WC Financing'!O24</f>
        <v>0</v>
      </c>
      <c r="P31" s="321">
        <f>'CAPEX Financing'!P19+'WC Financing'!P24</f>
        <v>0</v>
      </c>
      <c r="Q31" s="321">
        <f>'CAPEX Financing'!Q19+'WC Financing'!Q24</f>
        <v>0</v>
      </c>
      <c r="R31" s="321">
        <f>'CAPEX Financing'!R19+'WC Financing'!R24</f>
        <v>0</v>
      </c>
      <c r="S31" s="321">
        <f>'CAPEX Financing'!S19+'WC Financing'!S24</f>
        <v>0</v>
      </c>
      <c r="T31" s="321">
        <f>'CAPEX Financing'!T19+'WC Financing'!T24</f>
        <v>0</v>
      </c>
      <c r="U31" s="321">
        <f>'CAPEX Financing'!U19+'WC Financing'!U24</f>
        <v>0</v>
      </c>
      <c r="V31" s="321">
        <f>'CAPEX Financing'!V19+'WC Financing'!V24</f>
        <v>0</v>
      </c>
      <c r="W31" s="321">
        <f>'CAPEX Financing'!W19+'WC Financing'!W24</f>
        <v>0</v>
      </c>
      <c r="Z31" s="290" t="s">
        <v>355</v>
      </c>
      <c r="AA31" s="504">
        <f t="shared" si="18"/>
        <v>26068.347267737463</v>
      </c>
      <c r="AB31" s="504">
        <f t="shared" si="18"/>
        <v>14591.752119758596</v>
      </c>
      <c r="AC31" s="504">
        <f t="shared" si="18"/>
        <v>3908.9271838304949</v>
      </c>
      <c r="AD31" s="504">
        <f t="shared" si="18"/>
        <v>2872.0298601241325</v>
      </c>
      <c r="AE31" s="504">
        <f t="shared" si="18"/>
        <v>0</v>
      </c>
      <c r="AF31" s="504">
        <f t="shared" si="18"/>
        <v>0</v>
      </c>
      <c r="AG31" s="504">
        <f t="shared" si="18"/>
        <v>0</v>
      </c>
      <c r="AH31" s="504">
        <f t="shared" si="18"/>
        <v>0</v>
      </c>
      <c r="AI31" s="504">
        <f t="shared" si="18"/>
        <v>0</v>
      </c>
      <c r="AJ31" s="504">
        <f t="shared" si="18"/>
        <v>0</v>
      </c>
      <c r="AK31" s="504">
        <f t="shared" si="18"/>
        <v>0</v>
      </c>
      <c r="AL31" s="504">
        <f t="shared" si="18"/>
        <v>0</v>
      </c>
      <c r="AM31" s="504">
        <f t="shared" si="18"/>
        <v>0</v>
      </c>
      <c r="AN31" s="504">
        <f t="shared" si="18"/>
        <v>0</v>
      </c>
      <c r="AO31" s="504">
        <f t="shared" si="18"/>
        <v>0</v>
      </c>
      <c r="AP31" s="504">
        <f t="shared" si="18"/>
        <v>0</v>
      </c>
      <c r="AQ31" s="504">
        <f t="shared" si="19"/>
        <v>0</v>
      </c>
      <c r="AR31" s="504">
        <f t="shared" si="19"/>
        <v>0</v>
      </c>
      <c r="AS31" s="504">
        <f t="shared" si="19"/>
        <v>0</v>
      </c>
      <c r="AT31" s="504">
        <f t="shared" si="19"/>
        <v>0</v>
      </c>
      <c r="AU31" s="504">
        <f t="shared" si="19"/>
        <v>0</v>
      </c>
    </row>
    <row r="32" spans="2:47" outlineLevel="1">
      <c r="B32" s="290" t="s">
        <v>356</v>
      </c>
      <c r="C32" s="321">
        <f>-'CAPEX Financing'!C24-'WC Financing'!C29</f>
        <v>0</v>
      </c>
      <c r="D32" s="321">
        <f>-'CAPEX Financing'!D24-'WC Financing'!D29</f>
        <v>0</v>
      </c>
      <c r="E32" s="321">
        <f>-'CAPEX Financing'!E24-'WC Financing'!E29</f>
        <v>-5194550.6847972833</v>
      </c>
      <c r="F32" s="321">
        <f>-'CAPEX Financing'!F24-'WC Financing'!F29</f>
        <v>-5316645.8304254655</v>
      </c>
      <c r="G32" s="321">
        <f>-'CAPEX Financing'!G24-'WC Financing'!G29</f>
        <v>-4873590.182037035</v>
      </c>
      <c r="H32" s="321">
        <f>-'CAPEX Financing'!H24-'WC Financing'!H29</f>
        <v>-2124383.1700555952</v>
      </c>
      <c r="I32" s="321">
        <f>-'CAPEX Financing'!I24-'WC Financing'!I29</f>
        <v>-2254742.8642581999</v>
      </c>
      <c r="J32" s="321">
        <f>-'CAPEX Financing'!J24-'WC Financing'!J29</f>
        <v>-2393101.8921554652</v>
      </c>
      <c r="K32" s="321">
        <f>-'CAPEX Financing'!K24-'WC Financing'!K29</f>
        <v>-2539951.1212655306</v>
      </c>
      <c r="L32" s="321">
        <f>-'CAPEX Financing'!L24-'WC Financing'!L29</f>
        <v>-2695811.5404803334</v>
      </c>
      <c r="M32" s="321">
        <f>-'CAPEX Financing'!M24-'WC Financing'!M29</f>
        <v>-2861236.1084200577</v>
      </c>
      <c r="N32" s="321">
        <f>-'CAPEX Financing'!N24-'WC Financing'!N29</f>
        <v>-769928.14266133728</v>
      </c>
      <c r="O32" s="321">
        <f>-'CAPEX Financing'!O24-'WC Financing'!O29</f>
        <v>-8.64843107077431E-139</v>
      </c>
      <c r="P32" s="321">
        <f>-'CAPEX Financing'!P24-'WC Financing'!P29</f>
        <v>-4.5830241800473128E-139</v>
      </c>
      <c r="Q32" s="321">
        <f>-'CAPEX Financing'!Q24-'WC Financing'!Q29</f>
        <v>0</v>
      </c>
      <c r="R32" s="321">
        <f>-'CAPEX Financing'!R24-'WC Financing'!R29</f>
        <v>0</v>
      </c>
      <c r="S32" s="321">
        <f>-'CAPEX Financing'!S24-'WC Financing'!S29</f>
        <v>0</v>
      </c>
      <c r="T32" s="321">
        <f>-'CAPEX Financing'!T24-'WC Financing'!T29</f>
        <v>0</v>
      </c>
      <c r="U32" s="321">
        <f>-'CAPEX Financing'!U24-'WC Financing'!U29</f>
        <v>0</v>
      </c>
      <c r="V32" s="321">
        <f>-'CAPEX Financing'!V24-'WC Financing'!V29</f>
        <v>0</v>
      </c>
      <c r="W32" s="321">
        <f>-'CAPEX Financing'!W24-'WC Financing'!W29</f>
        <v>0</v>
      </c>
      <c r="Z32" s="290" t="s">
        <v>356</v>
      </c>
      <c r="AA32" s="504">
        <f t="shared" si="18"/>
        <v>0</v>
      </c>
      <c r="AB32" s="504">
        <f t="shared" si="18"/>
        <v>0</v>
      </c>
      <c r="AC32" s="504">
        <f t="shared" si="18"/>
        <v>-5194.5506847972829</v>
      </c>
      <c r="AD32" s="504">
        <f t="shared" si="18"/>
        <v>-5316.6458304254656</v>
      </c>
      <c r="AE32" s="504">
        <f t="shared" si="18"/>
        <v>-4873.5901820370354</v>
      </c>
      <c r="AF32" s="504">
        <f t="shared" si="18"/>
        <v>-2124.3831700555952</v>
      </c>
      <c r="AG32" s="504">
        <f t="shared" si="18"/>
        <v>-2254.7428642581999</v>
      </c>
      <c r="AH32" s="504">
        <f t="shared" si="18"/>
        <v>-2393.1018921554651</v>
      </c>
      <c r="AI32" s="504">
        <f t="shared" si="18"/>
        <v>-2539.9511212655307</v>
      </c>
      <c r="AJ32" s="504">
        <f t="shared" si="18"/>
        <v>-2695.8115404803334</v>
      </c>
      <c r="AK32" s="504">
        <f t="shared" si="18"/>
        <v>-2861.2361084200575</v>
      </c>
      <c r="AL32" s="504">
        <f t="shared" si="18"/>
        <v>-769.92814266133723</v>
      </c>
      <c r="AM32" s="504">
        <f t="shared" si="18"/>
        <v>-8.6484310707743105E-142</v>
      </c>
      <c r="AN32" s="504">
        <f t="shared" si="18"/>
        <v>-4.5830241800473129E-142</v>
      </c>
      <c r="AO32" s="504">
        <f t="shared" si="18"/>
        <v>0</v>
      </c>
      <c r="AP32" s="504">
        <f t="shared" si="18"/>
        <v>0</v>
      </c>
      <c r="AQ32" s="504">
        <f t="shared" si="19"/>
        <v>0</v>
      </c>
      <c r="AR32" s="504">
        <f t="shared" si="19"/>
        <v>0</v>
      </c>
      <c r="AS32" s="504">
        <f t="shared" si="19"/>
        <v>0</v>
      </c>
      <c r="AT32" s="504">
        <f t="shared" si="19"/>
        <v>0</v>
      </c>
      <c r="AU32" s="504">
        <f t="shared" si="19"/>
        <v>0</v>
      </c>
    </row>
    <row r="33" spans="2:47" outlineLevel="1">
      <c r="B33" s="290" t="s">
        <v>256</v>
      </c>
      <c r="C33" s="321">
        <f>-'CAPEX Financing'!E5</f>
        <v>-742485.80518372031</v>
      </c>
      <c r="D33" s="321">
        <f>-'CAPEX Financing'!E6</f>
        <v>-267653.58533709112</v>
      </c>
      <c r="E33" s="321">
        <f>-'CAPEX Financing'!E7</f>
        <v>0</v>
      </c>
      <c r="F33" s="321">
        <f>-'CAPEX Financing'!E8</f>
        <v>0</v>
      </c>
      <c r="G33" s="321">
        <f>-'CAPEX Financing'!E9</f>
        <v>0</v>
      </c>
      <c r="H33" s="321"/>
      <c r="I33" s="321"/>
      <c r="J33" s="321"/>
      <c r="K33" s="321"/>
      <c r="L33" s="321"/>
      <c r="M33" s="321"/>
      <c r="N33" s="321"/>
      <c r="O33" s="321"/>
      <c r="P33" s="321"/>
      <c r="Q33" s="321"/>
      <c r="R33" s="321"/>
      <c r="S33" s="321"/>
      <c r="T33" s="321"/>
      <c r="U33" s="321"/>
      <c r="V33" s="321"/>
      <c r="W33" s="321"/>
      <c r="Z33" s="290" t="s">
        <v>256</v>
      </c>
      <c r="AA33" s="504">
        <f t="shared" ref="AA33" si="20">C33/1000</f>
        <v>-742.48580518372034</v>
      </c>
      <c r="AB33" s="504">
        <f t="shared" ref="AB33" si="21">D33/1000</f>
        <v>-267.6535853370911</v>
      </c>
      <c r="AC33" s="504">
        <f t="shared" ref="AC33" si="22">E33/1000</f>
        <v>0</v>
      </c>
      <c r="AD33" s="504">
        <f t="shared" ref="AD33" si="23">F33/1000</f>
        <v>0</v>
      </c>
      <c r="AE33" s="504">
        <f t="shared" ref="AE33" si="24">G33/1000</f>
        <v>0</v>
      </c>
      <c r="AF33" s="504">
        <f t="shared" ref="AF33" si="25">H33/1000</f>
        <v>0</v>
      </c>
      <c r="AG33" s="504">
        <f t="shared" ref="AG33" si="26">I33/1000</f>
        <v>0</v>
      </c>
      <c r="AH33" s="504">
        <f t="shared" ref="AH33" si="27">J33/1000</f>
        <v>0</v>
      </c>
      <c r="AI33" s="504">
        <f t="shared" ref="AI33" si="28">K33/1000</f>
        <v>0</v>
      </c>
      <c r="AJ33" s="504">
        <f t="shared" ref="AJ33" si="29">L33/1000</f>
        <v>0</v>
      </c>
      <c r="AK33" s="504">
        <f t="shared" ref="AK33" si="30">M33/1000</f>
        <v>0</v>
      </c>
      <c r="AL33" s="504">
        <f t="shared" ref="AL33" si="31">N33/1000</f>
        <v>0</v>
      </c>
      <c r="AM33" s="504">
        <f t="shared" ref="AM33" si="32">O33/1000</f>
        <v>0</v>
      </c>
      <c r="AN33" s="504">
        <f t="shared" ref="AN33" si="33">P33/1000</f>
        <v>0</v>
      </c>
      <c r="AO33" s="504">
        <f t="shared" ref="AO33" si="34">Q33/1000</f>
        <v>0</v>
      </c>
      <c r="AP33" s="504">
        <f t="shared" ref="AP33" si="35">R33/1000</f>
        <v>0</v>
      </c>
      <c r="AQ33" s="504">
        <f t="shared" ref="AQ33" si="36">S33/1000</f>
        <v>0</v>
      </c>
      <c r="AR33" s="504">
        <f t="shared" ref="AR33" si="37">T33/1000</f>
        <v>0</v>
      </c>
      <c r="AS33" s="504">
        <f t="shared" ref="AS33" si="38">U33/1000</f>
        <v>0</v>
      </c>
      <c r="AT33" s="504">
        <f t="shared" ref="AT33" si="39">V33/1000</f>
        <v>0</v>
      </c>
      <c r="AU33" s="504">
        <f t="shared" ref="AU33" si="40">W33/1000</f>
        <v>0</v>
      </c>
    </row>
    <row r="34" spans="2:47" outlineLevel="1">
      <c r="B34" s="334" t="s">
        <v>302</v>
      </c>
      <c r="C34" s="335">
        <f>'CAPEX Financing'!C20+'CAPEX Financing'!C21</f>
        <v>746346.88861384429</v>
      </c>
      <c r="D34" s="335">
        <f>'CAPEX Financing'!D20+'CAPEX Financing'!D21</f>
        <v>269047.95892842929</v>
      </c>
      <c r="E34" s="335">
        <f>'CAPEX Financing'!E20+'CAPEX Financing'!E21</f>
        <v>2.5841979721992542E-138</v>
      </c>
      <c r="F34" s="335">
        <f>'CAPEX Financing'!F20+'CAPEX Financing'!F21</f>
        <v>2.7349672242080463E-138</v>
      </c>
      <c r="G34" s="335">
        <f>'CAPEX Financing'!G20+'CAPEX Financing'!G21</f>
        <v>0</v>
      </c>
      <c r="H34" s="335">
        <f>'CAPEX Financing'!H20+'CAPEX Financing'!H21</f>
        <v>0</v>
      </c>
      <c r="I34" s="335">
        <f>'CAPEX Financing'!I20+'CAPEX Financing'!I21</f>
        <v>0</v>
      </c>
      <c r="J34" s="335">
        <f>'CAPEX Financing'!J20+'CAPEX Financing'!J21</f>
        <v>0</v>
      </c>
      <c r="K34" s="335">
        <f>'CAPEX Financing'!K20+'CAPEX Financing'!K21</f>
        <v>0</v>
      </c>
      <c r="L34" s="335">
        <f>'CAPEX Financing'!L20+'CAPEX Financing'!L21</f>
        <v>0</v>
      </c>
      <c r="M34" s="335">
        <f>'CAPEX Financing'!M20+'CAPEX Financing'!M21</f>
        <v>0</v>
      </c>
      <c r="N34" s="335">
        <f>'CAPEX Financing'!N20+'CAPEX Financing'!N21</f>
        <v>0</v>
      </c>
      <c r="O34" s="335">
        <f>'CAPEX Financing'!O20+'CAPEX Financing'!O21</f>
        <v>0</v>
      </c>
      <c r="P34" s="335">
        <f>'CAPEX Financing'!P20+'CAPEX Financing'!P21</f>
        <v>0</v>
      </c>
      <c r="Q34" s="335">
        <f>'CAPEX Financing'!Q20+'CAPEX Financing'!Q21</f>
        <v>0</v>
      </c>
      <c r="R34" s="335">
        <f>'CAPEX Financing'!R20+'CAPEX Financing'!R21</f>
        <v>-746346.88861384429</v>
      </c>
      <c r="S34" s="335">
        <f>'CAPEX Financing'!S20+'CAPEX Financing'!S21</f>
        <v>-269047.95892842929</v>
      </c>
      <c r="T34" s="335">
        <f>'CAPEX Financing'!T20+'CAPEX Financing'!T21</f>
        <v>-2.5841979721992542E-138</v>
      </c>
      <c r="U34" s="335">
        <f>'CAPEX Financing'!U20+'CAPEX Financing'!U21</f>
        <v>-2.7349672242080463E-138</v>
      </c>
      <c r="V34" s="335">
        <f>'CAPEX Financing'!V20+'CAPEX Financing'!V21</f>
        <v>0</v>
      </c>
      <c r="W34" s="335">
        <f>'CAPEX Financing'!W20+'CAPEX Financing'!W21</f>
        <v>0</v>
      </c>
      <c r="Z34" s="334" t="s">
        <v>302</v>
      </c>
      <c r="AA34" s="506">
        <f t="shared" si="18"/>
        <v>746.34688861384427</v>
      </c>
      <c r="AB34" s="506">
        <f t="shared" si="18"/>
        <v>269.0479589284293</v>
      </c>
      <c r="AC34" s="506">
        <f t="shared" si="18"/>
        <v>2.5841979721992541E-141</v>
      </c>
      <c r="AD34" s="506">
        <f t="shared" si="18"/>
        <v>2.7349672242080462E-141</v>
      </c>
      <c r="AE34" s="506">
        <f t="shared" si="18"/>
        <v>0</v>
      </c>
      <c r="AF34" s="506">
        <f t="shared" si="18"/>
        <v>0</v>
      </c>
      <c r="AG34" s="506">
        <f t="shared" si="18"/>
        <v>0</v>
      </c>
      <c r="AH34" s="506">
        <f t="shared" si="18"/>
        <v>0</v>
      </c>
      <c r="AI34" s="506">
        <f t="shared" si="18"/>
        <v>0</v>
      </c>
      <c r="AJ34" s="506">
        <f t="shared" si="18"/>
        <v>0</v>
      </c>
      <c r="AK34" s="506">
        <f t="shared" si="18"/>
        <v>0</v>
      </c>
      <c r="AL34" s="506">
        <f t="shared" si="18"/>
        <v>0</v>
      </c>
      <c r="AM34" s="506">
        <f t="shared" si="18"/>
        <v>0</v>
      </c>
      <c r="AN34" s="506">
        <f t="shared" si="18"/>
        <v>0</v>
      </c>
      <c r="AO34" s="506">
        <f t="shared" si="18"/>
        <v>0</v>
      </c>
      <c r="AP34" s="506">
        <f t="shared" si="18"/>
        <v>-746.34688861384427</v>
      </c>
      <c r="AQ34" s="506">
        <f t="shared" si="19"/>
        <v>-269.0479589284293</v>
      </c>
      <c r="AR34" s="506">
        <f t="shared" si="19"/>
        <v>-2.5841979721992541E-141</v>
      </c>
      <c r="AS34" s="506">
        <f t="shared" si="19"/>
        <v>-2.7349672242080462E-141</v>
      </c>
      <c r="AT34" s="506">
        <f t="shared" si="19"/>
        <v>0</v>
      </c>
      <c r="AU34" s="506">
        <f t="shared" si="19"/>
        <v>0</v>
      </c>
    </row>
    <row r="35" spans="2:47" ht="16" outlineLevel="1" thickBot="1">
      <c r="B35" s="260" t="s">
        <v>357</v>
      </c>
      <c r="C35" s="199">
        <f>SUM(C30:C34)</f>
        <v>39479555.429343231</v>
      </c>
      <c r="D35" s="199">
        <f>SUM(D30:D34)</f>
        <v>19426271.190294798</v>
      </c>
      <c r="E35" s="199">
        <f t="shared" ref="E35:W35" si="41">SUM(E30:E34)</f>
        <v>-1285623.5009667883</v>
      </c>
      <c r="F35" s="199">
        <f t="shared" si="41"/>
        <v>-2444615.9703013329</v>
      </c>
      <c r="G35" s="199">
        <f t="shared" si="41"/>
        <v>-4873590.182037035</v>
      </c>
      <c r="H35" s="199">
        <f t="shared" si="41"/>
        <v>-2124383.1700555952</v>
      </c>
      <c r="I35" s="199">
        <f t="shared" si="41"/>
        <v>-2254742.8642581999</v>
      </c>
      <c r="J35" s="199">
        <f t="shared" si="41"/>
        <v>-2393101.8921554652</v>
      </c>
      <c r="K35" s="199">
        <f t="shared" si="41"/>
        <v>-2539951.1212655306</v>
      </c>
      <c r="L35" s="199">
        <f t="shared" si="41"/>
        <v>-2695811.5404803334</v>
      </c>
      <c r="M35" s="199">
        <f t="shared" si="41"/>
        <v>-2861236.1084200577</v>
      </c>
      <c r="N35" s="199">
        <f t="shared" si="41"/>
        <v>-769928.14266133728</v>
      </c>
      <c r="O35" s="199">
        <f t="shared" si="41"/>
        <v>-8.64843107077431E-139</v>
      </c>
      <c r="P35" s="199">
        <f t="shared" si="41"/>
        <v>-4.5830241800473128E-139</v>
      </c>
      <c r="Q35" s="199">
        <f t="shared" si="41"/>
        <v>0</v>
      </c>
      <c r="R35" s="199">
        <f t="shared" si="41"/>
        <v>-746346.88861384429</v>
      </c>
      <c r="S35" s="199">
        <f t="shared" si="41"/>
        <v>-269047.95892842929</v>
      </c>
      <c r="T35" s="199">
        <f t="shared" si="41"/>
        <v>-2.5841979721992542E-138</v>
      </c>
      <c r="U35" s="199">
        <f t="shared" si="41"/>
        <v>-2.7349672242080463E-138</v>
      </c>
      <c r="V35" s="199">
        <f t="shared" si="41"/>
        <v>0</v>
      </c>
      <c r="W35" s="199">
        <f t="shared" si="41"/>
        <v>0</v>
      </c>
      <c r="Z35" s="260" t="s">
        <v>357</v>
      </c>
      <c r="AA35" s="507">
        <f t="shared" si="18"/>
        <v>39479.555429343229</v>
      </c>
      <c r="AB35" s="507">
        <f t="shared" si="18"/>
        <v>19426.271190294799</v>
      </c>
      <c r="AC35" s="507">
        <f t="shared" si="18"/>
        <v>-1285.6235009667882</v>
      </c>
      <c r="AD35" s="507">
        <f t="shared" si="18"/>
        <v>-2444.6159703013327</v>
      </c>
      <c r="AE35" s="507">
        <f t="shared" si="18"/>
        <v>-4873.5901820370354</v>
      </c>
      <c r="AF35" s="507">
        <f t="shared" si="18"/>
        <v>-2124.3831700555952</v>
      </c>
      <c r="AG35" s="507">
        <f t="shared" si="18"/>
        <v>-2254.7428642581999</v>
      </c>
      <c r="AH35" s="507">
        <f t="shared" si="18"/>
        <v>-2393.1018921554651</v>
      </c>
      <c r="AI35" s="507">
        <f t="shared" si="18"/>
        <v>-2539.9511212655307</v>
      </c>
      <c r="AJ35" s="507">
        <f t="shared" si="18"/>
        <v>-2695.8115404803334</v>
      </c>
      <c r="AK35" s="507">
        <f t="shared" si="18"/>
        <v>-2861.2361084200575</v>
      </c>
      <c r="AL35" s="507">
        <f t="shared" si="18"/>
        <v>-769.92814266133723</v>
      </c>
      <c r="AM35" s="507">
        <f t="shared" si="18"/>
        <v>-8.6484310707743105E-142</v>
      </c>
      <c r="AN35" s="507">
        <f t="shared" si="18"/>
        <v>-4.5830241800473129E-142</v>
      </c>
      <c r="AO35" s="507">
        <f t="shared" si="18"/>
        <v>0</v>
      </c>
      <c r="AP35" s="507">
        <f t="shared" si="18"/>
        <v>-746.34688861384427</v>
      </c>
      <c r="AQ35" s="507">
        <f t="shared" si="19"/>
        <v>-269.0479589284293</v>
      </c>
      <c r="AR35" s="507">
        <f t="shared" si="19"/>
        <v>-2.5841979721992541E-141</v>
      </c>
      <c r="AS35" s="507">
        <f t="shared" si="19"/>
        <v>-2.7349672242080462E-141</v>
      </c>
      <c r="AT35" s="507">
        <f t="shared" si="19"/>
        <v>0</v>
      </c>
      <c r="AU35" s="507">
        <f t="shared" si="19"/>
        <v>0</v>
      </c>
    </row>
    <row r="36" spans="2:47" outlineLevel="1">
      <c r="B36" s="332" t="s">
        <v>358</v>
      </c>
      <c r="C36" s="333"/>
      <c r="D36" s="333"/>
      <c r="E36" s="333"/>
      <c r="F36" s="333"/>
      <c r="G36" s="333"/>
      <c r="H36" s="333"/>
      <c r="I36" s="333"/>
      <c r="J36" s="333"/>
      <c r="K36" s="333"/>
      <c r="L36" s="333"/>
      <c r="M36" s="333"/>
      <c r="N36" s="333"/>
      <c r="O36" s="333"/>
      <c r="P36" s="333"/>
      <c r="Q36" s="333"/>
      <c r="R36" s="333"/>
      <c r="S36" s="333"/>
      <c r="T36" s="333"/>
      <c r="U36" s="333"/>
      <c r="V36" s="333"/>
      <c r="W36" s="333"/>
      <c r="Z36" s="333" t="s">
        <v>358</v>
      </c>
      <c r="AA36" s="508"/>
      <c r="AB36" s="508"/>
      <c r="AC36" s="508"/>
      <c r="AD36" s="508"/>
      <c r="AE36" s="508"/>
      <c r="AF36" s="508"/>
      <c r="AG36" s="508"/>
      <c r="AH36" s="508"/>
      <c r="AI36" s="508"/>
      <c r="AJ36" s="508"/>
      <c r="AK36" s="508"/>
      <c r="AL36" s="508"/>
      <c r="AM36" s="508"/>
      <c r="AN36" s="508"/>
      <c r="AO36" s="508"/>
      <c r="AP36" s="508"/>
      <c r="AQ36" s="508"/>
      <c r="AR36" s="508"/>
      <c r="AS36" s="508"/>
      <c r="AT36" s="508"/>
      <c r="AU36" s="508"/>
    </row>
    <row r="37" spans="2:47" outlineLevel="1">
      <c r="B37" s="326" t="s">
        <v>359</v>
      </c>
      <c r="C37" s="321">
        <f>-'CAPEX Financing'!C16</f>
        <v>-37124290.259186015</v>
      </c>
      <c r="D37" s="321">
        <f>-'CAPEX Financing'!D16</f>
        <v>-13382679.266854554</v>
      </c>
      <c r="E37" s="321">
        <f>-'CAPEX Financing'!E16</f>
        <v>0</v>
      </c>
      <c r="F37" s="321">
        <f>-'CAPEX Financing'!F16</f>
        <v>0</v>
      </c>
      <c r="G37" s="321">
        <f>-'CAPEX Financing'!G16</f>
        <v>0</v>
      </c>
      <c r="H37" s="321">
        <f>-'CAPEX Financing'!H16</f>
        <v>0</v>
      </c>
      <c r="I37" s="321">
        <f>-'CAPEX Financing'!I16</f>
        <v>0</v>
      </c>
      <c r="J37" s="321">
        <f>-'CAPEX Financing'!J16</f>
        <v>0</v>
      </c>
      <c r="K37" s="321">
        <f>-'CAPEX Financing'!K16</f>
        <v>0</v>
      </c>
      <c r="L37" s="321">
        <f>-'CAPEX Financing'!L16</f>
        <v>0</v>
      </c>
      <c r="M37" s="321">
        <f>-'CAPEX Financing'!M16</f>
        <v>0</v>
      </c>
      <c r="N37" s="321">
        <f>-'CAPEX Financing'!N16</f>
        <v>0</v>
      </c>
      <c r="O37" s="321">
        <f>-'CAPEX Financing'!O16</f>
        <v>0</v>
      </c>
      <c r="P37" s="321">
        <f>-'CAPEX Financing'!P16</f>
        <v>0</v>
      </c>
      <c r="Q37" s="321">
        <f>-'CAPEX Financing'!Q16</f>
        <v>0</v>
      </c>
      <c r="R37" s="321">
        <f>-'CAPEX Financing'!R16</f>
        <v>0</v>
      </c>
      <c r="S37" s="321">
        <f>-'CAPEX Financing'!S16</f>
        <v>0</v>
      </c>
      <c r="T37" s="321">
        <f>-'CAPEX Financing'!T16</f>
        <v>0</v>
      </c>
      <c r="U37" s="321">
        <f>-'CAPEX Financing'!U16</f>
        <v>0</v>
      </c>
      <c r="V37" s="321">
        <f>-'CAPEX Financing'!V16</f>
        <v>0</v>
      </c>
      <c r="W37" s="321">
        <f>-'CAPEX Financing'!W16</f>
        <v>0</v>
      </c>
      <c r="Z37" s="326" t="s">
        <v>359</v>
      </c>
      <c r="AA37" s="504">
        <f t="shared" ref="AA37:AP43" si="42">C37/1000</f>
        <v>-37124.290259186011</v>
      </c>
      <c r="AB37" s="504">
        <f t="shared" si="42"/>
        <v>-13382.679266854555</v>
      </c>
      <c r="AC37" s="504">
        <f t="shared" si="42"/>
        <v>0</v>
      </c>
      <c r="AD37" s="504">
        <f t="shared" si="42"/>
        <v>0</v>
      </c>
      <c r="AE37" s="504">
        <f t="shared" si="42"/>
        <v>0</v>
      </c>
      <c r="AF37" s="504">
        <f t="shared" si="42"/>
        <v>0</v>
      </c>
      <c r="AG37" s="504">
        <f t="shared" si="42"/>
        <v>0</v>
      </c>
      <c r="AH37" s="504">
        <f t="shared" si="42"/>
        <v>0</v>
      </c>
      <c r="AI37" s="504">
        <f t="shared" si="42"/>
        <v>0</v>
      </c>
      <c r="AJ37" s="504">
        <f t="shared" si="42"/>
        <v>0</v>
      </c>
      <c r="AK37" s="504">
        <f t="shared" si="42"/>
        <v>0</v>
      </c>
      <c r="AL37" s="504">
        <f t="shared" si="42"/>
        <v>0</v>
      </c>
      <c r="AM37" s="504">
        <f t="shared" si="42"/>
        <v>0</v>
      </c>
      <c r="AN37" s="504">
        <f t="shared" si="42"/>
        <v>0</v>
      </c>
      <c r="AO37" s="504">
        <f t="shared" si="42"/>
        <v>0</v>
      </c>
      <c r="AP37" s="504">
        <f t="shared" si="42"/>
        <v>0</v>
      </c>
      <c r="AQ37" s="504">
        <f t="shared" ref="AQ37:AU43" si="43">S37/1000</f>
        <v>0</v>
      </c>
      <c r="AR37" s="504">
        <f t="shared" si="43"/>
        <v>0</v>
      </c>
      <c r="AS37" s="504">
        <f t="shared" si="43"/>
        <v>0</v>
      </c>
      <c r="AT37" s="504">
        <f t="shared" si="43"/>
        <v>0</v>
      </c>
      <c r="AU37" s="504">
        <f t="shared" si="43"/>
        <v>0</v>
      </c>
    </row>
    <row r="38" spans="2:47" outlineLevel="1">
      <c r="B38" s="326" t="s">
        <v>360</v>
      </c>
      <c r="C38" s="321"/>
      <c r="D38" s="321">
        <f>-Depreciation!D49*(1+'Data Input'!$D$38)^(D$21-1)</f>
        <v>0</v>
      </c>
      <c r="E38" s="321">
        <f>-Depreciation!E49*(1+'Data Input'!$D$38)^(E$21-1)</f>
        <v>0</v>
      </c>
      <c r="F38" s="321">
        <f>-Depreciation!F49*(1+'Data Input'!$D$38)^(F$21-1)</f>
        <v>0</v>
      </c>
      <c r="G38" s="321">
        <f>-Depreciation!G49*(1+'Data Input'!$D$38)^(G$21-1)</f>
        <v>0</v>
      </c>
      <c r="H38" s="321">
        <f>-Depreciation!H49*(1+'Data Input'!$D$38)^(H$21-1)</f>
        <v>0</v>
      </c>
      <c r="I38" s="321">
        <f>-Depreciation!I49*(1+'Data Input'!$D$38)^(I$21-1)</f>
        <v>0</v>
      </c>
      <c r="J38" s="321">
        <f>-Depreciation!J49*(1+'Data Input'!$D$38)^(J$21-1)</f>
        <v>0</v>
      </c>
      <c r="K38" s="321">
        <f>-Depreciation!K49*(1+'Data Input'!$D$38)^(K$21-1)</f>
        <v>0</v>
      </c>
      <c r="L38" s="321">
        <f>-Depreciation!L49*(1+'Data Input'!$D$38)^(L$21-1)</f>
        <v>0</v>
      </c>
      <c r="M38" s="321">
        <f>-Depreciation!M49*(1+'Data Input'!$D$38)^(M$21-1)</f>
        <v>0</v>
      </c>
      <c r="N38" s="321">
        <f>-Depreciation!N49*(1+'Data Input'!$D$38)^(N$21-1)</f>
        <v>0</v>
      </c>
      <c r="O38" s="321">
        <f>-Depreciation!O49*(1+'Data Input'!$D$38)^(O$21-1)</f>
        <v>0</v>
      </c>
      <c r="P38" s="321">
        <f>-Depreciation!P49*(1+'Data Input'!$D$38)^(P$21-1)</f>
        <v>0</v>
      </c>
      <c r="Q38" s="321">
        <f>-Depreciation!Q49*(1+'Data Input'!$D$38)^(Q$21-1)</f>
        <v>0</v>
      </c>
      <c r="R38" s="321">
        <f>-Depreciation!R49*(1+'Data Input'!$D$38)^(R$21-1)</f>
        <v>0</v>
      </c>
      <c r="S38" s="321">
        <f>-Depreciation!S49*(1+'Data Input'!$D$38)^(S$21-1)</f>
        <v>0</v>
      </c>
      <c r="T38" s="321">
        <f>-Depreciation!T49*(1+'Data Input'!$D$38)^(T$21-1)</f>
        <v>0</v>
      </c>
      <c r="U38" s="321">
        <f>-Depreciation!U49*(1+'Data Input'!$D$38)^(U$21-1)</f>
        <v>0</v>
      </c>
      <c r="V38" s="321">
        <f>-Depreciation!V49*(1+'Data Input'!$D$38)^(V$21-1)</f>
        <v>0</v>
      </c>
      <c r="W38" s="321">
        <f>-Depreciation!W49*(1+'Data Input'!$D$38)^(W$21-1)</f>
        <v>0</v>
      </c>
      <c r="Z38" s="326" t="s">
        <v>360</v>
      </c>
      <c r="AA38" s="504">
        <f t="shared" si="42"/>
        <v>0</v>
      </c>
      <c r="AB38" s="504">
        <f t="shared" si="42"/>
        <v>0</v>
      </c>
      <c r="AC38" s="504">
        <f t="shared" si="42"/>
        <v>0</v>
      </c>
      <c r="AD38" s="504">
        <f t="shared" si="42"/>
        <v>0</v>
      </c>
      <c r="AE38" s="504">
        <f t="shared" si="42"/>
        <v>0</v>
      </c>
      <c r="AF38" s="504">
        <f t="shared" si="42"/>
        <v>0</v>
      </c>
      <c r="AG38" s="504">
        <f t="shared" si="42"/>
        <v>0</v>
      </c>
      <c r="AH38" s="504">
        <f t="shared" si="42"/>
        <v>0</v>
      </c>
      <c r="AI38" s="504">
        <f t="shared" si="42"/>
        <v>0</v>
      </c>
      <c r="AJ38" s="504">
        <f t="shared" si="42"/>
        <v>0</v>
      </c>
      <c r="AK38" s="504">
        <f t="shared" si="42"/>
        <v>0</v>
      </c>
      <c r="AL38" s="504">
        <f t="shared" si="42"/>
        <v>0</v>
      </c>
      <c r="AM38" s="504">
        <f t="shared" si="42"/>
        <v>0</v>
      </c>
      <c r="AN38" s="504">
        <f t="shared" si="42"/>
        <v>0</v>
      </c>
      <c r="AO38" s="504">
        <f t="shared" si="42"/>
        <v>0</v>
      </c>
      <c r="AP38" s="504">
        <f t="shared" si="42"/>
        <v>0</v>
      </c>
      <c r="AQ38" s="504">
        <f t="shared" si="43"/>
        <v>0</v>
      </c>
      <c r="AR38" s="504">
        <f t="shared" si="43"/>
        <v>0</v>
      </c>
      <c r="AS38" s="504">
        <f t="shared" si="43"/>
        <v>0</v>
      </c>
      <c r="AT38" s="504">
        <f t="shared" si="43"/>
        <v>0</v>
      </c>
      <c r="AU38" s="504">
        <f t="shared" si="43"/>
        <v>0</v>
      </c>
    </row>
    <row r="39" spans="2:47" ht="16" outlineLevel="1" thickBot="1">
      <c r="B39" s="260" t="s">
        <v>361</v>
      </c>
      <c r="C39" s="199">
        <f>SUM(C37:C38)</f>
        <v>-37124290.259186015</v>
      </c>
      <c r="D39" s="199">
        <f>SUM(D37:D38)</f>
        <v>-13382679.266854554</v>
      </c>
      <c r="E39" s="199">
        <f t="shared" ref="E39:W39" si="44">SUM(E37:E38)</f>
        <v>0</v>
      </c>
      <c r="F39" s="199">
        <f t="shared" si="44"/>
        <v>0</v>
      </c>
      <c r="G39" s="199">
        <f t="shared" si="44"/>
        <v>0</v>
      </c>
      <c r="H39" s="199">
        <f t="shared" si="44"/>
        <v>0</v>
      </c>
      <c r="I39" s="199">
        <f t="shared" si="44"/>
        <v>0</v>
      </c>
      <c r="J39" s="199">
        <f t="shared" si="44"/>
        <v>0</v>
      </c>
      <c r="K39" s="199">
        <f t="shared" si="44"/>
        <v>0</v>
      </c>
      <c r="L39" s="199">
        <f t="shared" si="44"/>
        <v>0</v>
      </c>
      <c r="M39" s="199">
        <f t="shared" si="44"/>
        <v>0</v>
      </c>
      <c r="N39" s="199">
        <f t="shared" si="44"/>
        <v>0</v>
      </c>
      <c r="O39" s="199">
        <f t="shared" si="44"/>
        <v>0</v>
      </c>
      <c r="P39" s="199">
        <f t="shared" si="44"/>
        <v>0</v>
      </c>
      <c r="Q39" s="199">
        <f t="shared" si="44"/>
        <v>0</v>
      </c>
      <c r="R39" s="199">
        <f t="shared" si="44"/>
        <v>0</v>
      </c>
      <c r="S39" s="199">
        <f t="shared" si="44"/>
        <v>0</v>
      </c>
      <c r="T39" s="199">
        <f t="shared" si="44"/>
        <v>0</v>
      </c>
      <c r="U39" s="199">
        <f t="shared" si="44"/>
        <v>0</v>
      </c>
      <c r="V39" s="199">
        <f t="shared" si="44"/>
        <v>0</v>
      </c>
      <c r="W39" s="199">
        <f t="shared" si="44"/>
        <v>0</v>
      </c>
      <c r="Z39" s="260" t="s">
        <v>361</v>
      </c>
      <c r="AA39" s="507">
        <f t="shared" si="42"/>
        <v>-37124.290259186011</v>
      </c>
      <c r="AB39" s="507">
        <f t="shared" si="42"/>
        <v>-13382.679266854555</v>
      </c>
      <c r="AC39" s="507">
        <f t="shared" si="42"/>
        <v>0</v>
      </c>
      <c r="AD39" s="507">
        <f t="shared" si="42"/>
        <v>0</v>
      </c>
      <c r="AE39" s="507">
        <f t="shared" si="42"/>
        <v>0</v>
      </c>
      <c r="AF39" s="507">
        <f t="shared" si="42"/>
        <v>0</v>
      </c>
      <c r="AG39" s="507">
        <f t="shared" si="42"/>
        <v>0</v>
      </c>
      <c r="AH39" s="507">
        <f t="shared" si="42"/>
        <v>0</v>
      </c>
      <c r="AI39" s="507">
        <f t="shared" si="42"/>
        <v>0</v>
      </c>
      <c r="AJ39" s="507">
        <f t="shared" si="42"/>
        <v>0</v>
      </c>
      <c r="AK39" s="507">
        <f t="shared" si="42"/>
        <v>0</v>
      </c>
      <c r="AL39" s="507">
        <f t="shared" si="42"/>
        <v>0</v>
      </c>
      <c r="AM39" s="507">
        <f t="shared" si="42"/>
        <v>0</v>
      </c>
      <c r="AN39" s="507">
        <f t="shared" si="42"/>
        <v>0</v>
      </c>
      <c r="AO39" s="507">
        <f t="shared" si="42"/>
        <v>0</v>
      </c>
      <c r="AP39" s="507">
        <f t="shared" si="42"/>
        <v>0</v>
      </c>
      <c r="AQ39" s="507">
        <f t="shared" si="43"/>
        <v>0</v>
      </c>
      <c r="AR39" s="507">
        <f t="shared" si="43"/>
        <v>0</v>
      </c>
      <c r="AS39" s="507">
        <f t="shared" si="43"/>
        <v>0</v>
      </c>
      <c r="AT39" s="507">
        <f t="shared" si="43"/>
        <v>0</v>
      </c>
      <c r="AU39" s="507">
        <f t="shared" si="43"/>
        <v>0</v>
      </c>
    </row>
    <row r="40" spans="2:47" s="325" customFormat="1" outlineLevel="1">
      <c r="B40" s="336" t="s">
        <v>362</v>
      </c>
      <c r="C40" s="323">
        <f t="shared" ref="C40:W40" si="45">SUM(C28+C35+C39)</f>
        <v>746383.52077613771</v>
      </c>
      <c r="D40" s="323">
        <f>SUM(D28+D35+D39)</f>
        <v>269083.04480670765</v>
      </c>
      <c r="E40" s="323">
        <f>SUM(E28+E35+E39)</f>
        <v>242.77090549236163</v>
      </c>
      <c r="F40" s="323">
        <f t="shared" si="45"/>
        <v>498.09614902595058</v>
      </c>
      <c r="G40" s="323">
        <f t="shared" si="45"/>
        <v>852427.40940998122</v>
      </c>
      <c r="H40" s="323">
        <f t="shared" si="45"/>
        <v>7953279.3251529885</v>
      </c>
      <c r="I40" s="323">
        <f t="shared" si="45"/>
        <v>7555499.5217211377</v>
      </c>
      <c r="J40" s="323">
        <f t="shared" si="45"/>
        <v>10970535.634183787</v>
      </c>
      <c r="K40" s="323">
        <f t="shared" si="45"/>
        <v>12407576.479435043</v>
      </c>
      <c r="L40" s="323">
        <f t="shared" si="45"/>
        <v>13776462.007663336</v>
      </c>
      <c r="M40" s="323">
        <f t="shared" si="45"/>
        <v>14359990.315162813</v>
      </c>
      <c r="N40" s="323">
        <f t="shared" si="45"/>
        <v>17550759.93180199</v>
      </c>
      <c r="O40" s="323">
        <f t="shared" si="45"/>
        <v>19053867.173500896</v>
      </c>
      <c r="P40" s="323">
        <f t="shared" si="45"/>
        <v>19597687.593087438</v>
      </c>
      <c r="Q40" s="323">
        <f t="shared" si="45"/>
        <v>20159102.061878897</v>
      </c>
      <c r="R40" s="323">
        <f t="shared" si="45"/>
        <v>19991012.076120257</v>
      </c>
      <c r="S40" s="323">
        <f t="shared" si="45"/>
        <v>21063915.615746517</v>
      </c>
      <c r="T40" s="323">
        <f t="shared" si="45"/>
        <v>21946436.322914016</v>
      </c>
      <c r="U40" s="323">
        <f t="shared" si="45"/>
        <v>22578313.253600262</v>
      </c>
      <c r="V40" s="323">
        <f t="shared" si="45"/>
        <v>23229146.492207095</v>
      </c>
      <c r="W40" s="323">
        <f t="shared" si="45"/>
        <v>6565115.6916789589</v>
      </c>
      <c r="X40" s="324"/>
      <c r="Y40" s="324"/>
      <c r="Z40" s="336" t="s">
        <v>362</v>
      </c>
      <c r="AA40" s="505">
        <f t="shared" si="42"/>
        <v>746.38352077613774</v>
      </c>
      <c r="AB40" s="505">
        <f t="shared" si="42"/>
        <v>269.08304480670768</v>
      </c>
      <c r="AC40" s="505">
        <f t="shared" si="42"/>
        <v>0.24277090549236163</v>
      </c>
      <c r="AD40" s="505">
        <f t="shared" si="42"/>
        <v>0.49809614902595056</v>
      </c>
      <c r="AE40" s="505">
        <f t="shared" si="42"/>
        <v>852.42740940998124</v>
      </c>
      <c r="AF40" s="505">
        <f t="shared" si="42"/>
        <v>7953.2793251529883</v>
      </c>
      <c r="AG40" s="505">
        <f t="shared" si="42"/>
        <v>7555.4995217211381</v>
      </c>
      <c r="AH40" s="505">
        <f t="shared" si="42"/>
        <v>10970.535634183787</v>
      </c>
      <c r="AI40" s="505">
        <f t="shared" si="42"/>
        <v>12407.576479435043</v>
      </c>
      <c r="AJ40" s="505">
        <f t="shared" si="42"/>
        <v>13776.462007663336</v>
      </c>
      <c r="AK40" s="505">
        <f t="shared" si="42"/>
        <v>14359.990315162813</v>
      </c>
      <c r="AL40" s="505">
        <f t="shared" si="42"/>
        <v>17550.759931801989</v>
      </c>
      <c r="AM40" s="505">
        <f t="shared" si="42"/>
        <v>19053.867173500894</v>
      </c>
      <c r="AN40" s="505">
        <f t="shared" si="42"/>
        <v>19597.687593087438</v>
      </c>
      <c r="AO40" s="505">
        <f t="shared" si="42"/>
        <v>20159.102061878897</v>
      </c>
      <c r="AP40" s="505">
        <f t="shared" si="42"/>
        <v>19991.012076120256</v>
      </c>
      <c r="AQ40" s="505">
        <f t="shared" si="43"/>
        <v>21063.915615746515</v>
      </c>
      <c r="AR40" s="505">
        <f t="shared" si="43"/>
        <v>21946.436322914014</v>
      </c>
      <c r="AS40" s="505">
        <f t="shared" si="43"/>
        <v>22578.313253600263</v>
      </c>
      <c r="AT40" s="505">
        <f t="shared" si="43"/>
        <v>23229.146492207095</v>
      </c>
      <c r="AU40" s="505">
        <f t="shared" si="43"/>
        <v>6565.1156916789587</v>
      </c>
    </row>
    <row r="41" spans="2:47" s="325" customFormat="1" outlineLevel="1">
      <c r="B41" s="337" t="s">
        <v>363</v>
      </c>
      <c r="C41" s="338">
        <f>C40</f>
        <v>746383.52077613771</v>
      </c>
      <c r="D41" s="338">
        <f>D40+C41</f>
        <v>1015466.5655828454</v>
      </c>
      <c r="E41" s="338">
        <f>E40+D41</f>
        <v>1015709.3364883377</v>
      </c>
      <c r="F41" s="338">
        <f t="shared" ref="D41:W43" si="46">F40+E41</f>
        <v>1016207.4326373637</v>
      </c>
      <c r="G41" s="338">
        <f t="shared" si="46"/>
        <v>1868634.8420473449</v>
      </c>
      <c r="H41" s="338">
        <f t="shared" si="46"/>
        <v>9821914.1672003344</v>
      </c>
      <c r="I41" s="338">
        <f>I40+H41</f>
        <v>17377413.688921474</v>
      </c>
      <c r="J41" s="338">
        <f t="shared" si="46"/>
        <v>28347949.323105261</v>
      </c>
      <c r="K41" s="338">
        <f t="shared" si="46"/>
        <v>40755525.802540302</v>
      </c>
      <c r="L41" s="338">
        <f t="shared" si="46"/>
        <v>54531987.810203642</v>
      </c>
      <c r="M41" s="338">
        <f t="shared" si="46"/>
        <v>68891978.125366449</v>
      </c>
      <c r="N41" s="338">
        <f t="shared" si="46"/>
        <v>86442738.057168439</v>
      </c>
      <c r="O41" s="338">
        <f t="shared" si="46"/>
        <v>105496605.23066933</v>
      </c>
      <c r="P41" s="338">
        <f t="shared" si="46"/>
        <v>125094292.82375677</v>
      </c>
      <c r="Q41" s="338">
        <f t="shared" si="46"/>
        <v>145253394.88563567</v>
      </c>
      <c r="R41" s="338">
        <f t="shared" si="46"/>
        <v>165244406.96175593</v>
      </c>
      <c r="S41" s="338">
        <f t="shared" si="46"/>
        <v>186308322.57750246</v>
      </c>
      <c r="T41" s="338">
        <f t="shared" si="46"/>
        <v>208254758.90041646</v>
      </c>
      <c r="U41" s="338">
        <f t="shared" si="46"/>
        <v>230833072.15401673</v>
      </c>
      <c r="V41" s="338">
        <f t="shared" si="46"/>
        <v>254062218.64622384</v>
      </c>
      <c r="W41" s="338">
        <f t="shared" si="46"/>
        <v>260627334.33790281</v>
      </c>
      <c r="X41" s="324"/>
      <c r="Y41" s="324"/>
      <c r="Z41" s="337" t="s">
        <v>363</v>
      </c>
      <c r="AA41" s="509">
        <f t="shared" si="42"/>
        <v>746.38352077613774</v>
      </c>
      <c r="AB41" s="509">
        <f t="shared" si="42"/>
        <v>1015.4665655828453</v>
      </c>
      <c r="AC41" s="509">
        <f t="shared" si="42"/>
        <v>1015.7093364883377</v>
      </c>
      <c r="AD41" s="509">
        <f t="shared" si="42"/>
        <v>1016.2074326373637</v>
      </c>
      <c r="AE41" s="509">
        <f t="shared" si="42"/>
        <v>1868.6348420473448</v>
      </c>
      <c r="AF41" s="509">
        <f t="shared" si="42"/>
        <v>9821.9141672003352</v>
      </c>
      <c r="AG41" s="509">
        <f t="shared" si="42"/>
        <v>17377.413688921475</v>
      </c>
      <c r="AH41" s="509">
        <f t="shared" si="42"/>
        <v>28347.949323105262</v>
      </c>
      <c r="AI41" s="509">
        <f t="shared" si="42"/>
        <v>40755.525802540302</v>
      </c>
      <c r="AJ41" s="509">
        <f t="shared" si="42"/>
        <v>54531.987810203638</v>
      </c>
      <c r="AK41" s="509">
        <f t="shared" si="42"/>
        <v>68891.978125366455</v>
      </c>
      <c r="AL41" s="509">
        <f t="shared" si="42"/>
        <v>86442.738057168433</v>
      </c>
      <c r="AM41" s="509">
        <f t="shared" si="42"/>
        <v>105496.60523066933</v>
      </c>
      <c r="AN41" s="509">
        <f t="shared" si="42"/>
        <v>125094.29282375677</v>
      </c>
      <c r="AO41" s="509">
        <f t="shared" si="42"/>
        <v>145253.39488563567</v>
      </c>
      <c r="AP41" s="509">
        <f t="shared" si="42"/>
        <v>165244.40696175594</v>
      </c>
      <c r="AQ41" s="509">
        <f t="shared" si="43"/>
        <v>186308.32257750246</v>
      </c>
      <c r="AR41" s="509">
        <f t="shared" si="43"/>
        <v>208254.75890041646</v>
      </c>
      <c r="AS41" s="509">
        <f t="shared" si="43"/>
        <v>230833.07215401673</v>
      </c>
      <c r="AT41" s="509">
        <f t="shared" si="43"/>
        <v>254062.21864622383</v>
      </c>
      <c r="AU41" s="509">
        <f t="shared" si="43"/>
        <v>260627.33433790281</v>
      </c>
    </row>
    <row r="42" spans="2:47" s="325" customFormat="1" outlineLevel="1">
      <c r="B42" s="336" t="s">
        <v>364</v>
      </c>
      <c r="C42" s="323">
        <f>C40-C34</f>
        <v>36.632162293419242</v>
      </c>
      <c r="D42" s="323">
        <f>D40-D34</f>
        <v>35.085878278361633</v>
      </c>
      <c r="E42" s="323">
        <f t="shared" ref="E42:W42" si="47">E40-E34</f>
        <v>242.77090549236163</v>
      </c>
      <c r="F42" s="323">
        <f t="shared" si="47"/>
        <v>498.09614902595058</v>
      </c>
      <c r="G42" s="323">
        <f t="shared" si="47"/>
        <v>852427.40940998122</v>
      </c>
      <c r="H42" s="323">
        <f t="shared" si="47"/>
        <v>7953279.3251529885</v>
      </c>
      <c r="I42" s="323">
        <f t="shared" si="47"/>
        <v>7555499.5217211377</v>
      </c>
      <c r="J42" s="323">
        <f t="shared" si="47"/>
        <v>10970535.634183787</v>
      </c>
      <c r="K42" s="323">
        <f t="shared" si="47"/>
        <v>12407576.479435043</v>
      </c>
      <c r="L42" s="323">
        <f t="shared" si="47"/>
        <v>13776462.007663336</v>
      </c>
      <c r="M42" s="323">
        <f t="shared" si="47"/>
        <v>14359990.315162813</v>
      </c>
      <c r="N42" s="323">
        <f t="shared" si="47"/>
        <v>17550759.93180199</v>
      </c>
      <c r="O42" s="323">
        <f t="shared" si="47"/>
        <v>19053867.173500896</v>
      </c>
      <c r="P42" s="323">
        <f t="shared" si="47"/>
        <v>19597687.593087438</v>
      </c>
      <c r="Q42" s="323">
        <f t="shared" si="47"/>
        <v>20159102.061878897</v>
      </c>
      <c r="R42" s="323">
        <f t="shared" si="47"/>
        <v>20737358.9647341</v>
      </c>
      <c r="S42" s="323">
        <f t="shared" si="47"/>
        <v>21332963.574674945</v>
      </c>
      <c r="T42" s="323">
        <f t="shared" si="47"/>
        <v>21946436.322914016</v>
      </c>
      <c r="U42" s="323">
        <f t="shared" si="47"/>
        <v>22578313.253600262</v>
      </c>
      <c r="V42" s="323">
        <f t="shared" si="47"/>
        <v>23229146.492207095</v>
      </c>
      <c r="W42" s="323">
        <f t="shared" si="47"/>
        <v>6565115.6916789589</v>
      </c>
      <c r="X42" s="324"/>
      <c r="Y42" s="324"/>
      <c r="Z42" s="336" t="s">
        <v>362</v>
      </c>
      <c r="AA42" s="505">
        <f t="shared" si="42"/>
        <v>3.6632162293419243E-2</v>
      </c>
      <c r="AB42" s="505">
        <f t="shared" si="42"/>
        <v>3.5085878278361633E-2</v>
      </c>
      <c r="AC42" s="505">
        <f t="shared" si="42"/>
        <v>0.24277090549236163</v>
      </c>
      <c r="AD42" s="505">
        <f t="shared" si="42"/>
        <v>0.49809614902595056</v>
      </c>
      <c r="AE42" s="505">
        <f t="shared" si="42"/>
        <v>852.42740940998124</v>
      </c>
      <c r="AF42" s="505">
        <f t="shared" si="42"/>
        <v>7953.2793251529883</v>
      </c>
      <c r="AG42" s="505">
        <f t="shared" si="42"/>
        <v>7555.4995217211381</v>
      </c>
      <c r="AH42" s="505">
        <f t="shared" si="42"/>
        <v>10970.535634183787</v>
      </c>
      <c r="AI42" s="505">
        <f t="shared" si="42"/>
        <v>12407.576479435043</v>
      </c>
      <c r="AJ42" s="505">
        <f t="shared" si="42"/>
        <v>13776.462007663336</v>
      </c>
      <c r="AK42" s="505">
        <f t="shared" si="42"/>
        <v>14359.990315162813</v>
      </c>
      <c r="AL42" s="505">
        <f t="shared" si="42"/>
        <v>17550.759931801989</v>
      </c>
      <c r="AM42" s="505">
        <f t="shared" si="42"/>
        <v>19053.867173500894</v>
      </c>
      <c r="AN42" s="505">
        <f t="shared" si="42"/>
        <v>19597.687593087438</v>
      </c>
      <c r="AO42" s="505">
        <f t="shared" si="42"/>
        <v>20159.102061878897</v>
      </c>
      <c r="AP42" s="505">
        <f t="shared" si="42"/>
        <v>20737.3589647341</v>
      </c>
      <c r="AQ42" s="505">
        <f t="shared" si="43"/>
        <v>21332.963574674945</v>
      </c>
      <c r="AR42" s="505">
        <f t="shared" si="43"/>
        <v>21946.436322914014</v>
      </c>
      <c r="AS42" s="505">
        <f t="shared" si="43"/>
        <v>22578.313253600263</v>
      </c>
      <c r="AT42" s="505">
        <f t="shared" si="43"/>
        <v>23229.146492207095</v>
      </c>
      <c r="AU42" s="505">
        <f t="shared" si="43"/>
        <v>6565.1156916789587</v>
      </c>
    </row>
    <row r="43" spans="2:47" s="325" customFormat="1" ht="16" outlineLevel="1" thickBot="1">
      <c r="B43" s="328" t="s">
        <v>365</v>
      </c>
      <c r="C43" s="339">
        <f>C42</f>
        <v>36.632162293419242</v>
      </c>
      <c r="D43" s="339">
        <f t="shared" si="46"/>
        <v>71.718040571780875</v>
      </c>
      <c r="E43" s="339">
        <f t="shared" si="46"/>
        <v>314.48894606414251</v>
      </c>
      <c r="F43" s="339">
        <f t="shared" si="46"/>
        <v>812.58509509009309</v>
      </c>
      <c r="G43" s="339">
        <f t="shared" si="46"/>
        <v>853239.99450507131</v>
      </c>
      <c r="H43" s="339">
        <f t="shared" si="46"/>
        <v>8806519.3196580596</v>
      </c>
      <c r="I43" s="339">
        <f t="shared" si="46"/>
        <v>16362018.841379197</v>
      </c>
      <c r="J43" s="339">
        <f t="shared" si="46"/>
        <v>27332554.475562982</v>
      </c>
      <c r="K43" s="339">
        <f t="shared" si="46"/>
        <v>39740130.954998024</v>
      </c>
      <c r="L43" s="339">
        <f t="shared" si="46"/>
        <v>53516592.962661356</v>
      </c>
      <c r="M43" s="339">
        <f t="shared" si="46"/>
        <v>67876583.277824163</v>
      </c>
      <c r="N43" s="339">
        <f t="shared" si="46"/>
        <v>85427343.209626153</v>
      </c>
      <c r="O43" s="339">
        <f t="shared" si="46"/>
        <v>104481210.38312705</v>
      </c>
      <c r="P43" s="339">
        <f t="shared" si="46"/>
        <v>124078897.97621448</v>
      </c>
      <c r="Q43" s="339">
        <f t="shared" si="46"/>
        <v>144238000.03809339</v>
      </c>
      <c r="R43" s="339">
        <f t="shared" si="46"/>
        <v>164975359.0028275</v>
      </c>
      <c r="S43" s="339">
        <f t="shared" si="46"/>
        <v>186308322.57750243</v>
      </c>
      <c r="T43" s="339">
        <f t="shared" si="46"/>
        <v>208254758.90041643</v>
      </c>
      <c r="U43" s="339">
        <f t="shared" si="46"/>
        <v>230833072.1540167</v>
      </c>
      <c r="V43" s="339">
        <f t="shared" si="46"/>
        <v>254062218.64622378</v>
      </c>
      <c r="W43" s="339">
        <f t="shared" si="46"/>
        <v>260627334.33790275</v>
      </c>
      <c r="X43" s="324"/>
      <c r="Y43" s="324"/>
      <c r="Z43" s="328" t="s">
        <v>363</v>
      </c>
      <c r="AA43" s="510">
        <f t="shared" si="42"/>
        <v>3.6632162293419243E-2</v>
      </c>
      <c r="AB43" s="510">
        <f t="shared" si="42"/>
        <v>7.1718040571780869E-2</v>
      </c>
      <c r="AC43" s="510">
        <f t="shared" si="42"/>
        <v>0.31448894606414252</v>
      </c>
      <c r="AD43" s="510">
        <f t="shared" si="42"/>
        <v>0.81258509509009313</v>
      </c>
      <c r="AE43" s="510">
        <f t="shared" si="42"/>
        <v>853.23999450507131</v>
      </c>
      <c r="AF43" s="510">
        <f t="shared" si="42"/>
        <v>8806.5193196580603</v>
      </c>
      <c r="AG43" s="510">
        <f t="shared" si="42"/>
        <v>16362.018841379197</v>
      </c>
      <c r="AH43" s="510">
        <f t="shared" si="42"/>
        <v>27332.554475562982</v>
      </c>
      <c r="AI43" s="510">
        <f t="shared" si="42"/>
        <v>39740.130954998021</v>
      </c>
      <c r="AJ43" s="510">
        <f t="shared" si="42"/>
        <v>53516.592962661358</v>
      </c>
      <c r="AK43" s="510">
        <f t="shared" si="42"/>
        <v>67876.58327782416</v>
      </c>
      <c r="AL43" s="510">
        <f t="shared" si="42"/>
        <v>85427.343209626153</v>
      </c>
      <c r="AM43" s="510">
        <f t="shared" si="42"/>
        <v>104481.21038312705</v>
      </c>
      <c r="AN43" s="510">
        <f t="shared" si="42"/>
        <v>124078.89797621449</v>
      </c>
      <c r="AO43" s="510">
        <f t="shared" si="42"/>
        <v>144238.00003809339</v>
      </c>
      <c r="AP43" s="510">
        <f t="shared" si="42"/>
        <v>164975.35900282749</v>
      </c>
      <c r="AQ43" s="510">
        <f t="shared" si="43"/>
        <v>186308.32257750243</v>
      </c>
      <c r="AR43" s="510">
        <f t="shared" si="43"/>
        <v>208254.75890041643</v>
      </c>
      <c r="AS43" s="510">
        <f t="shared" si="43"/>
        <v>230833.0721540167</v>
      </c>
      <c r="AT43" s="510">
        <f t="shared" si="43"/>
        <v>254062.21864622377</v>
      </c>
      <c r="AU43" s="510">
        <f t="shared" si="43"/>
        <v>260627.33433790275</v>
      </c>
    </row>
    <row r="44" spans="2:47" outlineLevel="1">
      <c r="C44" s="331"/>
      <c r="D44" s="331"/>
      <c r="E44" s="331"/>
      <c r="F44" s="331"/>
      <c r="G44" s="331"/>
      <c r="H44" s="331"/>
      <c r="Z44" s="289"/>
      <c r="AA44" s="314"/>
      <c r="AB44" s="331"/>
      <c r="AC44" s="331"/>
      <c r="AD44" s="331"/>
      <c r="AE44" s="331"/>
      <c r="AF44" s="331"/>
      <c r="AG44" s="314"/>
      <c r="AH44" s="314"/>
      <c r="AI44" s="314"/>
      <c r="AJ44" s="314"/>
      <c r="AK44" s="314"/>
      <c r="AL44" s="314"/>
      <c r="AM44" s="314"/>
      <c r="AN44" s="314"/>
      <c r="AO44" s="314"/>
      <c r="AP44" s="314"/>
      <c r="AQ44" s="314"/>
      <c r="AR44" s="314"/>
      <c r="AS44" s="314"/>
      <c r="AT44" s="314"/>
      <c r="AU44" s="314"/>
    </row>
    <row r="45" spans="2:47" ht="16" thickBot="1">
      <c r="Z45" s="289"/>
      <c r="AA45" s="314"/>
      <c r="AB45" s="314"/>
      <c r="AC45" s="314"/>
      <c r="AD45" s="314"/>
      <c r="AE45" s="314"/>
      <c r="AF45" s="314"/>
      <c r="AG45" s="314"/>
      <c r="AH45" s="314"/>
      <c r="AI45" s="314"/>
      <c r="AJ45" s="314"/>
      <c r="AK45" s="314"/>
      <c r="AL45" s="314"/>
      <c r="AM45" s="314"/>
      <c r="AN45" s="314"/>
      <c r="AO45" s="314"/>
      <c r="AP45" s="314"/>
      <c r="AQ45" s="314"/>
      <c r="AR45" s="314"/>
      <c r="AS45" s="314"/>
      <c r="AT45" s="314"/>
      <c r="AU45" s="314"/>
    </row>
    <row r="46" spans="2:47" ht="16" thickTop="1">
      <c r="B46" s="315" t="s">
        <v>366</v>
      </c>
      <c r="C46" s="316"/>
      <c r="D46" s="316"/>
      <c r="E46" s="316"/>
      <c r="F46" s="316"/>
      <c r="G46" s="316"/>
      <c r="H46" s="316"/>
      <c r="I46" s="316"/>
      <c r="J46" s="316"/>
      <c r="K46" s="316"/>
      <c r="L46" s="316"/>
      <c r="M46" s="316"/>
      <c r="N46" s="316"/>
      <c r="O46" s="316"/>
      <c r="P46" s="316"/>
      <c r="Q46" s="316"/>
      <c r="R46" s="316"/>
      <c r="S46" s="316"/>
      <c r="T46" s="316"/>
      <c r="U46" s="316"/>
      <c r="V46" s="316"/>
      <c r="W46" s="316"/>
      <c r="X46" s="316"/>
      <c r="Y46" s="340"/>
      <c r="Z46" s="315" t="s">
        <v>366</v>
      </c>
      <c r="AA46" s="316"/>
      <c r="AB46" s="316"/>
      <c r="AC46" s="316"/>
      <c r="AD46" s="316"/>
      <c r="AE46" s="316"/>
      <c r="AF46" s="316"/>
      <c r="AG46" s="316"/>
      <c r="AH46" s="316"/>
      <c r="AI46" s="316"/>
      <c r="AJ46" s="316"/>
      <c r="AK46" s="316"/>
      <c r="AL46" s="316"/>
      <c r="AM46" s="316"/>
      <c r="AN46" s="316"/>
      <c r="AO46" s="316"/>
      <c r="AP46" s="316"/>
      <c r="AQ46" s="316"/>
      <c r="AR46" s="316"/>
      <c r="AS46" s="316"/>
      <c r="AT46" s="316"/>
      <c r="AU46" s="316"/>
    </row>
    <row r="47" spans="2:47" ht="16" outlineLevel="1" thickBot="1">
      <c r="B47" s="318"/>
      <c r="C47" s="318">
        <v>0</v>
      </c>
      <c r="D47" s="318">
        <v>1</v>
      </c>
      <c r="E47" s="318">
        <v>2</v>
      </c>
      <c r="F47" s="318">
        <v>3</v>
      </c>
      <c r="G47" s="318">
        <v>4</v>
      </c>
      <c r="H47" s="318">
        <v>5</v>
      </c>
      <c r="I47" s="318">
        <v>6</v>
      </c>
      <c r="J47" s="318">
        <v>7</v>
      </c>
      <c r="K47" s="318">
        <v>8</v>
      </c>
      <c r="L47" s="318">
        <v>9</v>
      </c>
      <c r="M47" s="318">
        <v>10</v>
      </c>
      <c r="N47" s="318">
        <v>11</v>
      </c>
      <c r="O47" s="318">
        <v>12</v>
      </c>
      <c r="P47" s="318">
        <v>13</v>
      </c>
      <c r="Q47" s="318">
        <v>14</v>
      </c>
      <c r="R47" s="318">
        <v>15</v>
      </c>
      <c r="S47" s="318">
        <v>16</v>
      </c>
      <c r="T47" s="318">
        <v>17</v>
      </c>
      <c r="U47" s="318">
        <v>18</v>
      </c>
      <c r="V47" s="318">
        <v>19</v>
      </c>
      <c r="W47" s="318">
        <v>20</v>
      </c>
      <c r="X47" s="318" t="s">
        <v>367</v>
      </c>
      <c r="Y47" s="341"/>
      <c r="Z47" s="318"/>
      <c r="AA47" s="318">
        <v>0</v>
      </c>
      <c r="AB47" s="318">
        <v>1</v>
      </c>
      <c r="AC47" s="318">
        <v>2</v>
      </c>
      <c r="AD47" s="318">
        <v>3</v>
      </c>
      <c r="AE47" s="318">
        <v>4</v>
      </c>
      <c r="AF47" s="318">
        <v>5</v>
      </c>
      <c r="AG47" s="318">
        <v>6</v>
      </c>
      <c r="AH47" s="318">
        <v>7</v>
      </c>
      <c r="AI47" s="318">
        <v>8</v>
      </c>
      <c r="AJ47" s="318">
        <v>9</v>
      </c>
      <c r="AK47" s="318">
        <v>10</v>
      </c>
      <c r="AL47" s="318">
        <v>11</v>
      </c>
      <c r="AM47" s="318">
        <v>12</v>
      </c>
      <c r="AN47" s="318">
        <v>13</v>
      </c>
      <c r="AO47" s="318">
        <v>14</v>
      </c>
      <c r="AP47" s="318">
        <v>15</v>
      </c>
      <c r="AQ47" s="318">
        <v>16</v>
      </c>
      <c r="AR47" s="318">
        <v>17</v>
      </c>
      <c r="AS47" s="318">
        <v>18</v>
      </c>
      <c r="AT47" s="318">
        <v>19</v>
      </c>
      <c r="AU47" s="318">
        <v>20</v>
      </c>
    </row>
    <row r="48" spans="2:47" outlineLevel="1">
      <c r="B48" s="332" t="s">
        <v>368</v>
      </c>
      <c r="C48" s="333"/>
      <c r="D48" s="333"/>
      <c r="E48" s="333"/>
      <c r="F48" s="333"/>
      <c r="G48" s="333"/>
      <c r="H48" s="333"/>
      <c r="I48" s="333"/>
      <c r="J48" s="333"/>
      <c r="K48" s="333"/>
      <c r="L48" s="333"/>
      <c r="M48" s="333"/>
      <c r="N48" s="333"/>
      <c r="O48" s="333"/>
      <c r="P48" s="333"/>
      <c r="Q48" s="333"/>
      <c r="R48" s="333"/>
      <c r="S48" s="333"/>
      <c r="T48" s="333"/>
      <c r="U48" s="333"/>
      <c r="V48" s="333"/>
      <c r="W48" s="333"/>
      <c r="Z48" s="333" t="s">
        <v>368</v>
      </c>
      <c r="AA48" s="333"/>
      <c r="AB48" s="333"/>
      <c r="AC48" s="333"/>
      <c r="AD48" s="333"/>
      <c r="AE48" s="333"/>
      <c r="AF48" s="333"/>
      <c r="AG48" s="333"/>
      <c r="AH48" s="333"/>
      <c r="AI48" s="333"/>
      <c r="AJ48" s="333"/>
      <c r="AK48" s="333"/>
      <c r="AL48" s="333"/>
      <c r="AM48" s="333"/>
      <c r="AN48" s="333"/>
      <c r="AO48" s="333"/>
      <c r="AP48" s="333"/>
      <c r="AQ48" s="333"/>
      <c r="AR48" s="333"/>
      <c r="AS48" s="333"/>
      <c r="AT48" s="333"/>
      <c r="AU48" s="333"/>
    </row>
    <row r="49" spans="2:47" outlineLevel="1">
      <c r="B49" s="290" t="s">
        <v>349</v>
      </c>
      <c r="C49" s="319">
        <f>C14</f>
        <v>-1608881.6493810785</v>
      </c>
      <c r="D49" s="319">
        <f>D14</f>
        <v>-4800072.9247845914</v>
      </c>
      <c r="E49" s="319">
        <f t="shared" ref="E49:W49" si="48">E14</f>
        <v>-2427861.1410020003</v>
      </c>
      <c r="F49" s="319">
        <f t="shared" si="48"/>
        <v>241054.33172334498</v>
      </c>
      <c r="G49" s="319">
        <f t="shared" si="48"/>
        <v>3537191.9885883369</v>
      </c>
      <c r="H49" s="319">
        <f t="shared" si="48"/>
        <v>8039699.6991204796</v>
      </c>
      <c r="I49" s="319">
        <f t="shared" si="48"/>
        <v>7848209.258442563</v>
      </c>
      <c r="J49" s="319">
        <f t="shared" si="48"/>
        <v>11208456.473888218</v>
      </c>
      <c r="K49" s="319">
        <f t="shared" si="48"/>
        <v>12671665.675211195</v>
      </c>
      <c r="L49" s="319">
        <f t="shared" si="48"/>
        <v>14207388.646842975</v>
      </c>
      <c r="M49" s="319">
        <f t="shared" si="48"/>
        <v>14821591.978567891</v>
      </c>
      <c r="N49" s="319">
        <f t="shared" si="48"/>
        <v>15924792.273330834</v>
      </c>
      <c r="O49" s="319">
        <f t="shared" si="48"/>
        <v>16661821.313492216</v>
      </c>
      <c r="P49" s="319">
        <f t="shared" si="48"/>
        <v>17210920.248184863</v>
      </c>
      <c r="Q49" s="319">
        <f t="shared" si="48"/>
        <v>17776492.150918309</v>
      </c>
      <c r="R49" s="319">
        <f t="shared" si="48"/>
        <v>18359031.210733753</v>
      </c>
      <c r="S49" s="319">
        <f t="shared" si="48"/>
        <v>18959046.442343649</v>
      </c>
      <c r="T49" s="319">
        <f t="shared" si="48"/>
        <v>19577062.130901836</v>
      </c>
      <c r="U49" s="319">
        <f t="shared" si="48"/>
        <v>20213618.29011678</v>
      </c>
      <c r="V49" s="319">
        <f t="shared" si="48"/>
        <v>20869271.134108171</v>
      </c>
      <c r="W49" s="319">
        <f t="shared" si="48"/>
        <v>-1641476.5095963189</v>
      </c>
      <c r="X49" s="319"/>
      <c r="Y49" s="331"/>
      <c r="Z49" s="290" t="s">
        <v>349</v>
      </c>
      <c r="AA49" s="503">
        <f t="shared" ref="AA49:AP57" si="49">C49/1000</f>
        <v>-1608.8816493810787</v>
      </c>
      <c r="AB49" s="503">
        <f t="shared" si="49"/>
        <v>-4800.0729247845911</v>
      </c>
      <c r="AC49" s="503">
        <f t="shared" si="49"/>
        <v>-2427.8611410020003</v>
      </c>
      <c r="AD49" s="503">
        <f t="shared" si="49"/>
        <v>241.05433172334497</v>
      </c>
      <c r="AE49" s="503">
        <f t="shared" si="49"/>
        <v>3537.1919885883367</v>
      </c>
      <c r="AF49" s="503">
        <f t="shared" si="49"/>
        <v>8039.6996991204796</v>
      </c>
      <c r="AG49" s="503">
        <f t="shared" si="49"/>
        <v>7848.2092584425627</v>
      </c>
      <c r="AH49" s="503">
        <f t="shared" si="49"/>
        <v>11208.456473888218</v>
      </c>
      <c r="AI49" s="503">
        <f t="shared" si="49"/>
        <v>12671.665675211196</v>
      </c>
      <c r="AJ49" s="503">
        <f t="shared" si="49"/>
        <v>14207.388646842976</v>
      </c>
      <c r="AK49" s="503">
        <f t="shared" si="49"/>
        <v>14821.591978567891</v>
      </c>
      <c r="AL49" s="503">
        <f t="shared" si="49"/>
        <v>15924.792273330833</v>
      </c>
      <c r="AM49" s="503">
        <f t="shared" si="49"/>
        <v>16661.821313492215</v>
      </c>
      <c r="AN49" s="503">
        <f t="shared" si="49"/>
        <v>17210.920248184862</v>
      </c>
      <c r="AO49" s="503">
        <f t="shared" si="49"/>
        <v>17776.492150918308</v>
      </c>
      <c r="AP49" s="503">
        <f t="shared" si="49"/>
        <v>18359.031210733752</v>
      </c>
      <c r="AQ49" s="503">
        <f t="shared" ref="AQ49:AU57" si="50">S49/1000</f>
        <v>18959.04644234365</v>
      </c>
      <c r="AR49" s="503">
        <f t="shared" si="50"/>
        <v>19577.062130901835</v>
      </c>
      <c r="AS49" s="503">
        <f t="shared" si="50"/>
        <v>20213.618290116781</v>
      </c>
      <c r="AT49" s="503">
        <f t="shared" si="50"/>
        <v>20869.27113410817</v>
      </c>
      <c r="AU49" s="503">
        <f t="shared" si="50"/>
        <v>-1641.4765095963189</v>
      </c>
    </row>
    <row r="50" spans="2:47" outlineLevel="1">
      <c r="B50" s="290" t="s">
        <v>236</v>
      </c>
      <c r="C50" s="319">
        <f>C9</f>
        <v>0</v>
      </c>
      <c r="D50" s="319">
        <f t="shared" ref="D50:W50" si="51">-D9</f>
        <v>1856214.5129593008</v>
      </c>
      <c r="E50" s="319">
        <f t="shared" si="51"/>
        <v>2525348.4763020286</v>
      </c>
      <c r="F50" s="319">
        <f t="shared" si="51"/>
        <v>2525348.4763020286</v>
      </c>
      <c r="G50" s="319">
        <f t="shared" si="51"/>
        <v>2525348.4763020286</v>
      </c>
      <c r="H50" s="319">
        <f t="shared" si="51"/>
        <v>2525348.4763020286</v>
      </c>
      <c r="I50" s="319">
        <f t="shared" si="51"/>
        <v>2525348.4763020286</v>
      </c>
      <c r="J50" s="319">
        <f t="shared" si="51"/>
        <v>2525348.4763020286</v>
      </c>
      <c r="K50" s="319">
        <f t="shared" si="51"/>
        <v>2525348.4763020286</v>
      </c>
      <c r="L50" s="319">
        <f t="shared" si="51"/>
        <v>2525348.4763020286</v>
      </c>
      <c r="M50" s="319">
        <f t="shared" si="51"/>
        <v>2525348.4763020286</v>
      </c>
      <c r="N50" s="319">
        <f t="shared" si="51"/>
        <v>2525348.4763020286</v>
      </c>
      <c r="O50" s="319">
        <f t="shared" si="51"/>
        <v>2525348.4763020286</v>
      </c>
      <c r="P50" s="319">
        <f t="shared" si="51"/>
        <v>2525348.4763020286</v>
      </c>
      <c r="Q50" s="319">
        <f t="shared" si="51"/>
        <v>2525348.4763020286</v>
      </c>
      <c r="R50" s="319">
        <f t="shared" si="51"/>
        <v>2525348.4763020286</v>
      </c>
      <c r="S50" s="319">
        <f t="shared" si="51"/>
        <v>2525348.4763020286</v>
      </c>
      <c r="T50" s="319">
        <f t="shared" si="51"/>
        <v>2525348.4763020286</v>
      </c>
      <c r="U50" s="319">
        <f t="shared" si="51"/>
        <v>2525348.4763020286</v>
      </c>
      <c r="V50" s="319">
        <f t="shared" si="51"/>
        <v>2525348.4763020286</v>
      </c>
      <c r="W50" s="319">
        <f t="shared" si="51"/>
        <v>2525348.4763020286</v>
      </c>
      <c r="X50" s="319"/>
      <c r="Y50" s="331"/>
      <c r="Z50" s="290" t="s">
        <v>236</v>
      </c>
      <c r="AA50" s="503">
        <f t="shared" si="49"/>
        <v>0</v>
      </c>
      <c r="AB50" s="503">
        <f t="shared" si="49"/>
        <v>1856.2145129593007</v>
      </c>
      <c r="AC50" s="503">
        <f t="shared" si="49"/>
        <v>2525.3484763020288</v>
      </c>
      <c r="AD50" s="503">
        <f t="shared" si="49"/>
        <v>2525.3484763020288</v>
      </c>
      <c r="AE50" s="503">
        <f t="shared" si="49"/>
        <v>2525.3484763020288</v>
      </c>
      <c r="AF50" s="503">
        <f t="shared" si="49"/>
        <v>2525.3484763020288</v>
      </c>
      <c r="AG50" s="503">
        <f t="shared" si="49"/>
        <v>2525.3484763020288</v>
      </c>
      <c r="AH50" s="503">
        <f t="shared" si="49"/>
        <v>2525.3484763020288</v>
      </c>
      <c r="AI50" s="503">
        <f t="shared" si="49"/>
        <v>2525.3484763020288</v>
      </c>
      <c r="AJ50" s="503">
        <f t="shared" si="49"/>
        <v>2525.3484763020288</v>
      </c>
      <c r="AK50" s="503">
        <f t="shared" si="49"/>
        <v>2525.3484763020288</v>
      </c>
      <c r="AL50" s="503">
        <f t="shared" si="49"/>
        <v>2525.3484763020288</v>
      </c>
      <c r="AM50" s="503">
        <f t="shared" si="49"/>
        <v>2525.3484763020288</v>
      </c>
      <c r="AN50" s="503">
        <f t="shared" si="49"/>
        <v>2525.3484763020288</v>
      </c>
      <c r="AO50" s="503">
        <f t="shared" si="49"/>
        <v>2525.3484763020288</v>
      </c>
      <c r="AP50" s="503">
        <f t="shared" si="49"/>
        <v>2525.3484763020288</v>
      </c>
      <c r="AQ50" s="503">
        <f t="shared" si="50"/>
        <v>2525.3484763020288</v>
      </c>
      <c r="AR50" s="503">
        <f t="shared" si="50"/>
        <v>2525.3484763020288</v>
      </c>
      <c r="AS50" s="503">
        <f t="shared" si="50"/>
        <v>2525.3484763020288</v>
      </c>
      <c r="AT50" s="503">
        <f t="shared" si="50"/>
        <v>2525.3484763020288</v>
      </c>
      <c r="AU50" s="503">
        <f t="shared" si="50"/>
        <v>2525.3484763020288</v>
      </c>
    </row>
    <row r="51" spans="2:47" outlineLevel="1">
      <c r="B51" s="290" t="s">
        <v>369</v>
      </c>
      <c r="C51" s="319">
        <f>IF(C13=0,-C11,-C11*(1-'Data Input'!$D$35))</f>
        <v>1608881.6493810785</v>
      </c>
      <c r="D51" s="319">
        <f>IF(D13=0,-D11,-D11*(1-'Data Input'!$D$35))</f>
        <v>2708311.6814941913</v>
      </c>
      <c r="E51" s="319">
        <f>IF(E13=0,-E11,-E11*(1-'Data Input'!$D$35))</f>
        <v>3099204.3998772409</v>
      </c>
      <c r="F51" s="319">
        <f>IF(F13=0,-F11,-F11*(1-'Data Input'!$D$35))</f>
        <v>2835671.6040085941</v>
      </c>
      <c r="G51" s="319">
        <f>IF(G13=0,-G11,-G11*(1-'Data Input'!$D$35))</f>
        <v>2347120.0964476159</v>
      </c>
      <c r="H51" s="319">
        <f>IF(H13=0,-H11,-H11*(1-'Data Input'!$D$35))</f>
        <v>1937094.262292509</v>
      </c>
      <c r="I51" s="319">
        <f>IF(I13=0,-I11,-I11*(1-'Data Input'!$D$35))</f>
        <v>1174377.4692584381</v>
      </c>
      <c r="J51" s="319">
        <f>IF(J13=0,-J11,-J11*(1-'Data Input'!$D$35))</f>
        <v>1084444.1011252154</v>
      </c>
      <c r="K51" s="319">
        <f>IF(K13=0,-K11,-K11*(1-'Data Input'!$D$35))</f>
        <v>988992.10220367298</v>
      </c>
      <c r="L51" s="319">
        <f>IF(L13=0,-L11,-L11*(1-'Data Input'!$D$35))</f>
        <v>887682.82971405121</v>
      </c>
      <c r="M51" s="319">
        <f>IF(M13=0,-M11,-M11*(1-'Data Input'!$D$35))</f>
        <v>780156.86055323039</v>
      </c>
      <c r="N51" s="319">
        <f>IF(N13=0,-N11,-N11*(1-'Data Input'!$D$35))</f>
        <v>199049.30962283246</v>
      </c>
      <c r="O51" s="319">
        <f>IF(O13=0,-O11,-O11*(1-'Data Input'!$D$35))</f>
        <v>2.4766105844486567E-139</v>
      </c>
      <c r="P51" s="319">
        <f>IF(P13=0,-P11,-P11*(1-'Data Input'!$D$35))</f>
        <v>1.1848479727859867E-139</v>
      </c>
      <c r="Q51" s="319">
        <f>IF(Q13=0,-Q11,-Q11*(1-'Data Input'!$D$35))</f>
        <v>0</v>
      </c>
      <c r="R51" s="319">
        <f>IF(R13=0,-R11,-R11*(1-'Data Input'!$D$35))</f>
        <v>0</v>
      </c>
      <c r="S51" s="319">
        <f>IF(S13=0,-S11,-S11*(1-'Data Input'!$D$35))</f>
        <v>0</v>
      </c>
      <c r="T51" s="319">
        <f>IF(T13=0,-T11,-T11*(1-'Data Input'!$D$35))</f>
        <v>0</v>
      </c>
      <c r="U51" s="319">
        <f>IF(U13=0,-U11,-U11*(1-'Data Input'!$D$35))</f>
        <v>0</v>
      </c>
      <c r="V51" s="319">
        <f>IF(V13=0,-V11,-V11*(1-'Data Input'!$D$35))</f>
        <v>0</v>
      </c>
      <c r="W51" s="319">
        <f>IF(W13=0,-W11,-W11*(1-'Data Input'!$D$35))</f>
        <v>0</v>
      </c>
      <c r="X51" s="319"/>
      <c r="Y51" s="331"/>
      <c r="Z51" s="290" t="s">
        <v>369</v>
      </c>
      <c r="AA51" s="503">
        <f t="shared" si="49"/>
        <v>1608.8816493810787</v>
      </c>
      <c r="AB51" s="503">
        <f t="shared" si="49"/>
        <v>2708.3116814941914</v>
      </c>
      <c r="AC51" s="503">
        <f t="shared" si="49"/>
        <v>3099.204399877241</v>
      </c>
      <c r="AD51" s="503">
        <f t="shared" si="49"/>
        <v>2835.6716040085939</v>
      </c>
      <c r="AE51" s="503">
        <f t="shared" si="49"/>
        <v>2347.1200964476161</v>
      </c>
      <c r="AF51" s="503">
        <f t="shared" si="49"/>
        <v>1937.094262292509</v>
      </c>
      <c r="AG51" s="503">
        <f t="shared" si="49"/>
        <v>1174.3774692584382</v>
      </c>
      <c r="AH51" s="503">
        <f t="shared" si="49"/>
        <v>1084.4441011252154</v>
      </c>
      <c r="AI51" s="503">
        <f t="shared" si="49"/>
        <v>988.99210220367297</v>
      </c>
      <c r="AJ51" s="503">
        <f t="shared" si="49"/>
        <v>887.68282971405119</v>
      </c>
      <c r="AK51" s="503">
        <f t="shared" si="49"/>
        <v>780.15686055323044</v>
      </c>
      <c r="AL51" s="503">
        <f t="shared" si="49"/>
        <v>199.04930962283245</v>
      </c>
      <c r="AM51" s="503">
        <f t="shared" si="49"/>
        <v>2.4766105844486567E-142</v>
      </c>
      <c r="AN51" s="503">
        <f t="shared" si="49"/>
        <v>1.1848479727859867E-142</v>
      </c>
      <c r="AO51" s="503">
        <f t="shared" si="49"/>
        <v>0</v>
      </c>
      <c r="AP51" s="503">
        <f t="shared" si="49"/>
        <v>0</v>
      </c>
      <c r="AQ51" s="503">
        <f t="shared" si="50"/>
        <v>0</v>
      </c>
      <c r="AR51" s="503">
        <f t="shared" si="50"/>
        <v>0</v>
      </c>
      <c r="AS51" s="503">
        <f t="shared" si="50"/>
        <v>0</v>
      </c>
      <c r="AT51" s="503">
        <f t="shared" si="50"/>
        <v>0</v>
      </c>
      <c r="AU51" s="503">
        <f t="shared" si="50"/>
        <v>0</v>
      </c>
    </row>
    <row r="52" spans="2:47" outlineLevel="1">
      <c r="B52" s="290" t="s">
        <v>370</v>
      </c>
      <c r="C52" s="319">
        <f>-SUM(C30:C31)+SUM('CAPEX Financing'!$F$5)</f>
        <v>-37866776.064369731</v>
      </c>
      <c r="D52" s="319">
        <f>-SUM(D30:D31)+SUM('CAPEX Financing'!$F$6)</f>
        <v>-18844883.536988925</v>
      </c>
      <c r="E52" s="319">
        <f>-SUM(E30:E31)+SUM('CAPEX Financing'!$F$7)</f>
        <v>-3908927.183830495</v>
      </c>
      <c r="F52" s="319">
        <f>-SUM(F30:F31)+SUM('CAPEX Financing'!$F$8)</f>
        <v>-2872029.8601241326</v>
      </c>
      <c r="G52" s="319">
        <f>-SUM(G30:G31)+SUM('CAPEX Financing'!$F$9)</f>
        <v>0</v>
      </c>
      <c r="H52" s="319">
        <f t="shared" ref="H52:W52" si="52">-SUM(H30:H31)</f>
        <v>0</v>
      </c>
      <c r="I52" s="319">
        <f t="shared" si="52"/>
        <v>0</v>
      </c>
      <c r="J52" s="319">
        <f t="shared" si="52"/>
        <v>0</v>
      </c>
      <c r="K52" s="319">
        <f t="shared" si="52"/>
        <v>0</v>
      </c>
      <c r="L52" s="319">
        <f t="shared" si="52"/>
        <v>0</v>
      </c>
      <c r="M52" s="319">
        <f t="shared" si="52"/>
        <v>0</v>
      </c>
      <c r="N52" s="319">
        <f t="shared" si="52"/>
        <v>0</v>
      </c>
      <c r="O52" s="319">
        <f t="shared" si="52"/>
        <v>0</v>
      </c>
      <c r="P52" s="319">
        <f t="shared" si="52"/>
        <v>0</v>
      </c>
      <c r="Q52" s="319">
        <f t="shared" si="52"/>
        <v>0</v>
      </c>
      <c r="R52" s="319">
        <f t="shared" si="52"/>
        <v>0</v>
      </c>
      <c r="S52" s="319">
        <f t="shared" si="52"/>
        <v>0</v>
      </c>
      <c r="T52" s="319">
        <f t="shared" si="52"/>
        <v>0</v>
      </c>
      <c r="U52" s="319">
        <f t="shared" si="52"/>
        <v>0</v>
      </c>
      <c r="V52" s="319">
        <f t="shared" si="52"/>
        <v>0</v>
      </c>
      <c r="W52" s="319">
        <f t="shared" si="52"/>
        <v>0</v>
      </c>
      <c r="X52" s="319"/>
      <c r="Y52" s="342"/>
      <c r="Z52" s="290" t="s">
        <v>370</v>
      </c>
      <c r="AA52" s="511">
        <f t="shared" si="49"/>
        <v>-37866.776064369733</v>
      </c>
      <c r="AB52" s="511">
        <f t="shared" si="49"/>
        <v>-18844.883536988924</v>
      </c>
      <c r="AC52" s="511">
        <f t="shared" si="49"/>
        <v>-3908.9271838304949</v>
      </c>
      <c r="AD52" s="511">
        <f t="shared" si="49"/>
        <v>-2872.0298601241325</v>
      </c>
      <c r="AE52" s="511">
        <f t="shared" si="49"/>
        <v>0</v>
      </c>
      <c r="AF52" s="511">
        <f t="shared" si="49"/>
        <v>0</v>
      </c>
      <c r="AG52" s="511">
        <f t="shared" si="49"/>
        <v>0</v>
      </c>
      <c r="AH52" s="511">
        <f t="shared" si="49"/>
        <v>0</v>
      </c>
      <c r="AI52" s="511">
        <f t="shared" si="49"/>
        <v>0</v>
      </c>
      <c r="AJ52" s="511">
        <f t="shared" si="49"/>
        <v>0</v>
      </c>
      <c r="AK52" s="511">
        <f t="shared" si="49"/>
        <v>0</v>
      </c>
      <c r="AL52" s="511">
        <f t="shared" si="49"/>
        <v>0</v>
      </c>
      <c r="AM52" s="511">
        <f t="shared" si="49"/>
        <v>0</v>
      </c>
      <c r="AN52" s="511">
        <f t="shared" si="49"/>
        <v>0</v>
      </c>
      <c r="AO52" s="511">
        <f t="shared" si="49"/>
        <v>0</v>
      </c>
      <c r="AP52" s="511">
        <f t="shared" si="49"/>
        <v>0</v>
      </c>
      <c r="AQ52" s="511">
        <f t="shared" si="50"/>
        <v>0</v>
      </c>
      <c r="AR52" s="511">
        <f t="shared" si="50"/>
        <v>0</v>
      </c>
      <c r="AS52" s="511">
        <f t="shared" si="50"/>
        <v>0</v>
      </c>
      <c r="AT52" s="511">
        <f t="shared" si="50"/>
        <v>0</v>
      </c>
      <c r="AU52" s="511">
        <f t="shared" si="50"/>
        <v>0</v>
      </c>
    </row>
    <row r="53" spans="2:47" outlineLevel="1">
      <c r="B53" s="290" t="s">
        <v>302</v>
      </c>
      <c r="C53" s="319">
        <f t="shared" ref="C53:W53" si="53">-C34</f>
        <v>-746346.88861384429</v>
      </c>
      <c r="D53" s="319">
        <f t="shared" si="53"/>
        <v>-269047.95892842929</v>
      </c>
      <c r="E53" s="319">
        <f t="shared" si="53"/>
        <v>-2.5841979721992542E-138</v>
      </c>
      <c r="F53" s="319">
        <f t="shared" si="53"/>
        <v>-2.7349672242080463E-138</v>
      </c>
      <c r="G53" s="319">
        <f t="shared" si="53"/>
        <v>0</v>
      </c>
      <c r="H53" s="319">
        <f t="shared" si="53"/>
        <v>0</v>
      </c>
      <c r="I53" s="319">
        <f t="shared" si="53"/>
        <v>0</v>
      </c>
      <c r="J53" s="319">
        <f t="shared" si="53"/>
        <v>0</v>
      </c>
      <c r="K53" s="319">
        <f t="shared" si="53"/>
        <v>0</v>
      </c>
      <c r="L53" s="319">
        <f t="shared" si="53"/>
        <v>0</v>
      </c>
      <c r="M53" s="319">
        <f t="shared" si="53"/>
        <v>0</v>
      </c>
      <c r="N53" s="319">
        <f t="shared" si="53"/>
        <v>0</v>
      </c>
      <c r="O53" s="319">
        <f t="shared" si="53"/>
        <v>0</v>
      </c>
      <c r="P53" s="319">
        <f t="shared" si="53"/>
        <v>0</v>
      </c>
      <c r="Q53" s="319">
        <f t="shared" si="53"/>
        <v>0</v>
      </c>
      <c r="R53" s="319">
        <f t="shared" si="53"/>
        <v>746346.88861384429</v>
      </c>
      <c r="S53" s="319">
        <f t="shared" si="53"/>
        <v>269047.95892842929</v>
      </c>
      <c r="T53" s="319">
        <f t="shared" si="53"/>
        <v>2.5841979721992542E-138</v>
      </c>
      <c r="U53" s="319">
        <f t="shared" si="53"/>
        <v>2.7349672242080463E-138</v>
      </c>
      <c r="V53" s="319">
        <f t="shared" si="53"/>
        <v>0</v>
      </c>
      <c r="W53" s="319">
        <f t="shared" si="53"/>
        <v>0</v>
      </c>
      <c r="X53" s="319"/>
      <c r="Y53" s="342"/>
      <c r="Z53" s="290" t="s">
        <v>302</v>
      </c>
      <c r="AA53" s="511">
        <f t="shared" si="49"/>
        <v>-746.34688861384427</v>
      </c>
      <c r="AB53" s="511">
        <f t="shared" si="49"/>
        <v>-269.0479589284293</v>
      </c>
      <c r="AC53" s="511">
        <f t="shared" si="49"/>
        <v>-2.5841979721992541E-141</v>
      </c>
      <c r="AD53" s="511">
        <f t="shared" si="49"/>
        <v>-2.7349672242080462E-141</v>
      </c>
      <c r="AE53" s="511">
        <f t="shared" si="49"/>
        <v>0</v>
      </c>
      <c r="AF53" s="511">
        <f t="shared" si="49"/>
        <v>0</v>
      </c>
      <c r="AG53" s="511">
        <f t="shared" si="49"/>
        <v>0</v>
      </c>
      <c r="AH53" s="511">
        <f t="shared" si="49"/>
        <v>0</v>
      </c>
      <c r="AI53" s="511">
        <f t="shared" si="49"/>
        <v>0</v>
      </c>
      <c r="AJ53" s="511">
        <f t="shared" si="49"/>
        <v>0</v>
      </c>
      <c r="AK53" s="511">
        <f t="shared" si="49"/>
        <v>0</v>
      </c>
      <c r="AL53" s="511">
        <f t="shared" si="49"/>
        <v>0</v>
      </c>
      <c r="AM53" s="511">
        <f t="shared" si="49"/>
        <v>0</v>
      </c>
      <c r="AN53" s="511">
        <f t="shared" si="49"/>
        <v>0</v>
      </c>
      <c r="AO53" s="511">
        <f t="shared" si="49"/>
        <v>0</v>
      </c>
      <c r="AP53" s="511">
        <f t="shared" si="49"/>
        <v>746.34688861384427</v>
      </c>
      <c r="AQ53" s="511">
        <f t="shared" si="50"/>
        <v>269.0479589284293</v>
      </c>
      <c r="AR53" s="511">
        <f t="shared" si="50"/>
        <v>2.5841979721992541E-141</v>
      </c>
      <c r="AS53" s="511">
        <f t="shared" si="50"/>
        <v>2.7349672242080462E-141</v>
      </c>
      <c r="AT53" s="511">
        <f t="shared" si="50"/>
        <v>0</v>
      </c>
      <c r="AU53" s="511">
        <f t="shared" si="50"/>
        <v>0</v>
      </c>
    </row>
    <row r="54" spans="2:47" outlineLevel="1">
      <c r="B54" s="343" t="s">
        <v>368</v>
      </c>
      <c r="C54" s="323">
        <f>SUM(C49:C53)</f>
        <v>-38613122.952983573</v>
      </c>
      <c r="D54" s="323">
        <f t="shared" ref="D54:W54" si="54">SUM(D49:D53)</f>
        <v>-19349478.226248454</v>
      </c>
      <c r="E54" s="323">
        <f t="shared" si="54"/>
        <v>-712235.44865322579</v>
      </c>
      <c r="F54" s="323">
        <f t="shared" si="54"/>
        <v>2730044.5519098351</v>
      </c>
      <c r="G54" s="323">
        <f t="shared" si="54"/>
        <v>8409660.5613379814</v>
      </c>
      <c r="H54" s="323">
        <f t="shared" si="54"/>
        <v>12502142.437715016</v>
      </c>
      <c r="I54" s="323">
        <f t="shared" si="54"/>
        <v>11547935.20400303</v>
      </c>
      <c r="J54" s="323">
        <f t="shared" si="54"/>
        <v>14818249.051315462</v>
      </c>
      <c r="K54" s="323">
        <f t="shared" si="54"/>
        <v>16186006.253716895</v>
      </c>
      <c r="L54" s="323">
        <f t="shared" si="54"/>
        <v>17620419.952859055</v>
      </c>
      <c r="M54" s="323">
        <f t="shared" si="54"/>
        <v>18127097.31542315</v>
      </c>
      <c r="N54" s="323">
        <f t="shared" si="54"/>
        <v>18649190.059255693</v>
      </c>
      <c r="O54" s="323">
        <f t="shared" si="54"/>
        <v>19187169.789794244</v>
      </c>
      <c r="P54" s="323">
        <f t="shared" si="54"/>
        <v>19736268.724486891</v>
      </c>
      <c r="Q54" s="323">
        <f t="shared" si="54"/>
        <v>20301840.627220336</v>
      </c>
      <c r="R54" s="323">
        <f t="shared" si="54"/>
        <v>21630726.575649627</v>
      </c>
      <c r="S54" s="323">
        <f t="shared" si="54"/>
        <v>21753442.877574105</v>
      </c>
      <c r="T54" s="323">
        <f t="shared" si="54"/>
        <v>22102410.607203864</v>
      </c>
      <c r="U54" s="323">
        <f t="shared" si="54"/>
        <v>22738966.766418807</v>
      </c>
      <c r="V54" s="323">
        <f t="shared" si="54"/>
        <v>23394619.610410199</v>
      </c>
      <c r="W54" s="323">
        <f t="shared" si="54"/>
        <v>883871.9667057097</v>
      </c>
      <c r="X54" s="323">
        <f>(W54*(1+'Data Input'!$D$41))/('Data Input'!$D$40-'Data Input'!$D$41)</f>
        <v>22920747.611181963</v>
      </c>
      <c r="Y54" s="344"/>
      <c r="Z54" s="343" t="s">
        <v>368</v>
      </c>
      <c r="AA54" s="505">
        <f t="shared" si="49"/>
        <v>-38613.122952983576</v>
      </c>
      <c r="AB54" s="505">
        <f t="shared" si="49"/>
        <v>-19349.478226248455</v>
      </c>
      <c r="AC54" s="505">
        <f t="shared" si="49"/>
        <v>-712.23544865322583</v>
      </c>
      <c r="AD54" s="505">
        <f t="shared" si="49"/>
        <v>2730.0445519098353</v>
      </c>
      <c r="AE54" s="505">
        <f t="shared" si="49"/>
        <v>8409.6605613379816</v>
      </c>
      <c r="AF54" s="505">
        <f t="shared" si="49"/>
        <v>12502.142437715016</v>
      </c>
      <c r="AG54" s="505">
        <f t="shared" si="49"/>
        <v>11547.93520400303</v>
      </c>
      <c r="AH54" s="505">
        <f t="shared" si="49"/>
        <v>14818.249051315463</v>
      </c>
      <c r="AI54" s="505">
        <f t="shared" si="49"/>
        <v>16186.006253716896</v>
      </c>
      <c r="AJ54" s="505">
        <f t="shared" si="49"/>
        <v>17620.419952859054</v>
      </c>
      <c r="AK54" s="505">
        <f t="shared" si="49"/>
        <v>18127.097315423151</v>
      </c>
      <c r="AL54" s="505">
        <f t="shared" si="49"/>
        <v>18649.190059255692</v>
      </c>
      <c r="AM54" s="505">
        <f t="shared" si="49"/>
        <v>19187.169789794243</v>
      </c>
      <c r="AN54" s="505">
        <f t="shared" si="49"/>
        <v>19736.26872448689</v>
      </c>
      <c r="AO54" s="505">
        <f t="shared" si="49"/>
        <v>20301.840627220336</v>
      </c>
      <c r="AP54" s="505">
        <f t="shared" si="49"/>
        <v>21630.726575649627</v>
      </c>
      <c r="AQ54" s="505">
        <f t="shared" si="50"/>
        <v>21753.442877574103</v>
      </c>
      <c r="AR54" s="505">
        <f t="shared" si="50"/>
        <v>22102.410607203863</v>
      </c>
      <c r="AS54" s="505">
        <f t="shared" si="50"/>
        <v>22738.966766418805</v>
      </c>
      <c r="AT54" s="505">
        <f t="shared" si="50"/>
        <v>23394.619610410198</v>
      </c>
      <c r="AU54" s="505">
        <f t="shared" si="50"/>
        <v>883.87196670570972</v>
      </c>
    </row>
    <row r="55" spans="2:47" outlineLevel="1">
      <c r="B55" s="345" t="s">
        <v>371</v>
      </c>
      <c r="C55" s="346">
        <f>C54</f>
        <v>-38613122.952983573</v>
      </c>
      <c r="D55" s="346">
        <f t="shared" ref="D55:X55" si="55">D54+C55</f>
        <v>-57962601.179232031</v>
      </c>
      <c r="E55" s="346">
        <f t="shared" si="55"/>
        <v>-58674836.62788526</v>
      </c>
      <c r="F55" s="346">
        <f t="shared" si="55"/>
        <v>-55944792.075975426</v>
      </c>
      <c r="G55" s="346">
        <f t="shared" si="55"/>
        <v>-47535131.51463744</v>
      </c>
      <c r="H55" s="346">
        <f t="shared" si="55"/>
        <v>-35032989.076922424</v>
      </c>
      <c r="I55" s="346">
        <f t="shared" si="55"/>
        <v>-23485053.872919396</v>
      </c>
      <c r="J55" s="346">
        <f t="shared" si="55"/>
        <v>-8666804.8216039333</v>
      </c>
      <c r="K55" s="346">
        <f t="shared" si="55"/>
        <v>7519201.432112962</v>
      </c>
      <c r="L55" s="346">
        <f t="shared" si="55"/>
        <v>25139621.384972017</v>
      </c>
      <c r="M55" s="346">
        <f t="shared" si="55"/>
        <v>43266718.700395167</v>
      </c>
      <c r="N55" s="346">
        <f t="shared" si="55"/>
        <v>61915908.759650856</v>
      </c>
      <c r="O55" s="346">
        <f t="shared" si="55"/>
        <v>81103078.549445093</v>
      </c>
      <c r="P55" s="346">
        <f t="shared" si="55"/>
        <v>100839347.27393198</v>
      </c>
      <c r="Q55" s="346">
        <f t="shared" si="55"/>
        <v>121141187.90115231</v>
      </c>
      <c r="R55" s="346">
        <f t="shared" si="55"/>
        <v>142771914.47680193</v>
      </c>
      <c r="S55" s="346">
        <f t="shared" si="55"/>
        <v>164525357.35437605</v>
      </c>
      <c r="T55" s="346">
        <f t="shared" si="55"/>
        <v>186627767.96157992</v>
      </c>
      <c r="U55" s="346">
        <f t="shared" si="55"/>
        <v>209366734.72799873</v>
      </c>
      <c r="V55" s="346">
        <f t="shared" si="55"/>
        <v>232761354.33840895</v>
      </c>
      <c r="W55" s="346">
        <f t="shared" si="55"/>
        <v>233645226.30511466</v>
      </c>
      <c r="X55" s="346">
        <f t="shared" si="55"/>
        <v>256565973.91629663</v>
      </c>
      <c r="Y55" s="347"/>
      <c r="Z55" s="345" t="s">
        <v>371</v>
      </c>
      <c r="AA55" s="512">
        <f t="shared" si="49"/>
        <v>-38613.122952983576</v>
      </c>
      <c r="AB55" s="512">
        <f t="shared" si="49"/>
        <v>-57962.601179232028</v>
      </c>
      <c r="AC55" s="512">
        <f t="shared" si="49"/>
        <v>-58674.836627885263</v>
      </c>
      <c r="AD55" s="512">
        <f t="shared" si="49"/>
        <v>-55944.792075975427</v>
      </c>
      <c r="AE55" s="512">
        <f t="shared" si="49"/>
        <v>-47535.13151463744</v>
      </c>
      <c r="AF55" s="512">
        <f t="shared" si="49"/>
        <v>-35032.989076922422</v>
      </c>
      <c r="AG55" s="512">
        <f t="shared" si="49"/>
        <v>-23485.053872919394</v>
      </c>
      <c r="AH55" s="512">
        <f t="shared" si="49"/>
        <v>-8666.8048216039333</v>
      </c>
      <c r="AI55" s="512">
        <f t="shared" si="49"/>
        <v>7519.2014321129618</v>
      </c>
      <c r="AJ55" s="512">
        <f t="shared" si="49"/>
        <v>25139.621384972019</v>
      </c>
      <c r="AK55" s="512">
        <f t="shared" si="49"/>
        <v>43266.718700395169</v>
      </c>
      <c r="AL55" s="512">
        <f t="shared" si="49"/>
        <v>61915.908759650854</v>
      </c>
      <c r="AM55" s="512">
        <f t="shared" si="49"/>
        <v>81103.078549445097</v>
      </c>
      <c r="AN55" s="512">
        <f t="shared" si="49"/>
        <v>100839.34727393198</v>
      </c>
      <c r="AO55" s="512">
        <f t="shared" si="49"/>
        <v>121141.18790115231</v>
      </c>
      <c r="AP55" s="512">
        <f t="shared" si="49"/>
        <v>142771.91447680193</v>
      </c>
      <c r="AQ55" s="512">
        <f t="shared" si="50"/>
        <v>164525.35735437606</v>
      </c>
      <c r="AR55" s="512">
        <f t="shared" si="50"/>
        <v>186627.76796157993</v>
      </c>
      <c r="AS55" s="512">
        <f t="shared" si="50"/>
        <v>209366.73472799873</v>
      </c>
      <c r="AT55" s="512">
        <f t="shared" si="50"/>
        <v>232761.35433840894</v>
      </c>
      <c r="AU55" s="512">
        <f t="shared" si="50"/>
        <v>233645.22630511466</v>
      </c>
    </row>
    <row r="56" spans="2:47" outlineLevel="1">
      <c r="B56" s="345" t="s">
        <v>372</v>
      </c>
      <c r="C56" s="346">
        <f>C54/(1+'Data Input'!$D$40)^C47</f>
        <v>-38613122.952983573</v>
      </c>
      <c r="D56" s="346">
        <f>D54/(1+'Data Input'!$D$40)^D47</f>
        <v>-18265712.611310687</v>
      </c>
      <c r="E56" s="346">
        <f>E54/(1+'Data Input'!$D$40)^E47</f>
        <v>-634685.10874984146</v>
      </c>
      <c r="F56" s="346">
        <f>F54/(1+'Data Input'!$D$40)^F47</f>
        <v>2296528.3971367306</v>
      </c>
      <c r="G56" s="346">
        <f>G54/(1+'Data Input'!$D$40)^G47</f>
        <v>6678023.0561543796</v>
      </c>
      <c r="H56" s="346">
        <f>H54/(1+'Data Input'!$D$40)^H47</f>
        <v>9371762.0175893102</v>
      </c>
      <c r="I56" s="346">
        <f>I54/(1+'Data Input'!$D$40)^I47</f>
        <v>8171626.5247336021</v>
      </c>
      <c r="J56" s="346">
        <f>J54/(1+'Data Input'!$D$40)^J47</f>
        <v>9898478.0111905299</v>
      </c>
      <c r="K56" s="346">
        <f>K54/(1+'Data Input'!$D$40)^K47</f>
        <v>10206541.332697833</v>
      </c>
      <c r="L56" s="346">
        <f>L54/(1+'Data Input'!$D$40)^L47</f>
        <v>10488720.472931655</v>
      </c>
      <c r="M56" s="346">
        <f>M54/(1+'Data Input'!$D$40)^M47</f>
        <v>10185958.085452233</v>
      </c>
      <c r="N56" s="346">
        <f>N54/(1+'Data Input'!$D$40)^N47</f>
        <v>9892383.7489756569</v>
      </c>
      <c r="O56" s="346">
        <f>O54/(1+'Data Input'!$D$40)^O47</f>
        <v>9607696.1749808453</v>
      </c>
      <c r="P56" s="346">
        <f>P54/(1+'Data Input'!$D$40)^P47</f>
        <v>9329121.5978433881</v>
      </c>
      <c r="Q56" s="346">
        <f>Q54/(1+'Data Input'!$D$40)^Q47</f>
        <v>9058962.8789396305</v>
      </c>
      <c r="R56" s="346">
        <f>R54/(1+'Data Input'!$D$40)^R47</f>
        <v>9111324.9412281439</v>
      </c>
      <c r="S56" s="346">
        <f>S54/(1+'Data Input'!$D$40)^S47</f>
        <v>8649794.5315774884</v>
      </c>
      <c r="T56" s="346">
        <f>T54/(1+'Data Input'!$D$40)^T47</f>
        <v>8296306.6117889695</v>
      </c>
      <c r="U56" s="346">
        <f>U54/(1+'Data Input'!$D$40)^U47</f>
        <v>8057183.2313693333</v>
      </c>
      <c r="V56" s="346">
        <f>V54/(1+'Data Input'!$D$40)^V47</f>
        <v>7825207.5126610855</v>
      </c>
      <c r="W56" s="346">
        <f>W54/(1+'Data Input'!$D$40)^W47</f>
        <v>279085.06537742307</v>
      </c>
      <c r="X56" s="346">
        <f>(W56*(1+'Data Input'!$D$41))/('Data Input'!$D$40-'Data Input'!$D$41)</f>
        <v>7237290.6784314793</v>
      </c>
      <c r="Y56" s="347"/>
      <c r="Z56" s="345" t="s">
        <v>372</v>
      </c>
      <c r="AA56" s="512">
        <f t="shared" si="49"/>
        <v>-38613.122952983576</v>
      </c>
      <c r="AB56" s="512">
        <f t="shared" si="49"/>
        <v>-18265.712611310686</v>
      </c>
      <c r="AC56" s="512">
        <f t="shared" si="49"/>
        <v>-634.68510874984145</v>
      </c>
      <c r="AD56" s="512">
        <f t="shared" si="49"/>
        <v>2296.5283971367307</v>
      </c>
      <c r="AE56" s="512">
        <f t="shared" si="49"/>
        <v>6678.0230561543794</v>
      </c>
      <c r="AF56" s="512">
        <f t="shared" si="49"/>
        <v>9371.7620175893098</v>
      </c>
      <c r="AG56" s="512">
        <f t="shared" si="49"/>
        <v>8171.6265247336023</v>
      </c>
      <c r="AH56" s="512">
        <f t="shared" si="49"/>
        <v>9898.4780111905293</v>
      </c>
      <c r="AI56" s="512">
        <f t="shared" si="49"/>
        <v>10206.541332697832</v>
      </c>
      <c r="AJ56" s="512">
        <f t="shared" si="49"/>
        <v>10488.720472931655</v>
      </c>
      <c r="AK56" s="512">
        <f t="shared" si="49"/>
        <v>10185.958085452232</v>
      </c>
      <c r="AL56" s="512">
        <f t="shared" si="49"/>
        <v>9892.383748975657</v>
      </c>
      <c r="AM56" s="512">
        <f t="shared" si="49"/>
        <v>9607.6961749808452</v>
      </c>
      <c r="AN56" s="512">
        <f t="shared" si="49"/>
        <v>9329.1215978433884</v>
      </c>
      <c r="AO56" s="512">
        <f t="shared" si="49"/>
        <v>9058.9628789396302</v>
      </c>
      <c r="AP56" s="512">
        <f t="shared" si="49"/>
        <v>9111.3249412281439</v>
      </c>
      <c r="AQ56" s="512">
        <f t="shared" si="50"/>
        <v>8649.7945315774887</v>
      </c>
      <c r="AR56" s="512">
        <f t="shared" si="50"/>
        <v>8296.3066117889703</v>
      </c>
      <c r="AS56" s="512">
        <f t="shared" si="50"/>
        <v>8057.183231369333</v>
      </c>
      <c r="AT56" s="512">
        <f t="shared" si="50"/>
        <v>7825.2075126610853</v>
      </c>
      <c r="AU56" s="512">
        <f t="shared" si="50"/>
        <v>279.08506537742306</v>
      </c>
    </row>
    <row r="57" spans="2:47" ht="16" outlineLevel="1" thickBot="1">
      <c r="B57" s="295" t="s">
        <v>373</v>
      </c>
      <c r="C57" s="339">
        <f>C56</f>
        <v>-38613122.952983573</v>
      </c>
      <c r="D57" s="339">
        <f t="shared" ref="D57:X57" si="56">D56+C57</f>
        <v>-56878835.564294264</v>
      </c>
      <c r="E57" s="339">
        <f t="shared" si="56"/>
        <v>-57513520.673044108</v>
      </c>
      <c r="F57" s="339">
        <f t="shared" si="56"/>
        <v>-55216992.275907375</v>
      </c>
      <c r="G57" s="339">
        <f t="shared" si="56"/>
        <v>-48538969.219752997</v>
      </c>
      <c r="H57" s="339">
        <f t="shared" si="56"/>
        <v>-39167207.202163689</v>
      </c>
      <c r="I57" s="339">
        <f t="shared" si="56"/>
        <v>-30995580.677430086</v>
      </c>
      <c r="J57" s="339">
        <f t="shared" si="56"/>
        <v>-21097102.666239556</v>
      </c>
      <c r="K57" s="339">
        <f t="shared" si="56"/>
        <v>-10890561.333541723</v>
      </c>
      <c r="L57" s="339">
        <f t="shared" si="56"/>
        <v>-401840.86061006784</v>
      </c>
      <c r="M57" s="339">
        <f t="shared" si="56"/>
        <v>9784117.2248421647</v>
      </c>
      <c r="N57" s="339">
        <f t="shared" si="56"/>
        <v>19676500.973817822</v>
      </c>
      <c r="O57" s="339">
        <f t="shared" si="56"/>
        <v>29284197.148798667</v>
      </c>
      <c r="P57" s="339">
        <f t="shared" si="56"/>
        <v>38613318.746642053</v>
      </c>
      <c r="Q57" s="339">
        <f t="shared" si="56"/>
        <v>47672281.625581682</v>
      </c>
      <c r="R57" s="339">
        <f t="shared" si="56"/>
        <v>56783606.566809826</v>
      </c>
      <c r="S57" s="339">
        <f t="shared" si="56"/>
        <v>65433401.098387316</v>
      </c>
      <c r="T57" s="339">
        <f t="shared" si="56"/>
        <v>73729707.710176289</v>
      </c>
      <c r="U57" s="339">
        <f t="shared" si="56"/>
        <v>81786890.941545621</v>
      </c>
      <c r="V57" s="339">
        <f t="shared" si="56"/>
        <v>89612098.454206705</v>
      </c>
      <c r="W57" s="339">
        <f t="shared" si="56"/>
        <v>89891183.519584134</v>
      </c>
      <c r="X57" s="339">
        <f t="shared" si="56"/>
        <v>97128474.198015615</v>
      </c>
      <c r="Y57" s="348"/>
      <c r="Z57" s="295" t="s">
        <v>373</v>
      </c>
      <c r="AA57" s="510">
        <f t="shared" si="49"/>
        <v>-38613.122952983576</v>
      </c>
      <c r="AB57" s="510">
        <f t="shared" si="49"/>
        <v>-56878.835564294262</v>
      </c>
      <c r="AC57" s="510">
        <f t="shared" si="49"/>
        <v>-57513.520673044106</v>
      </c>
      <c r="AD57" s="510">
        <f t="shared" si="49"/>
        <v>-55216.992275907374</v>
      </c>
      <c r="AE57" s="510">
        <f t="shared" si="49"/>
        <v>-48538.969219752995</v>
      </c>
      <c r="AF57" s="510">
        <f t="shared" si="49"/>
        <v>-39167.207202163692</v>
      </c>
      <c r="AG57" s="510">
        <f t="shared" si="49"/>
        <v>-30995.580677430087</v>
      </c>
      <c r="AH57" s="510">
        <f t="shared" si="49"/>
        <v>-21097.102666239556</v>
      </c>
      <c r="AI57" s="510">
        <f t="shared" si="49"/>
        <v>-10890.561333541724</v>
      </c>
      <c r="AJ57" s="510">
        <f t="shared" si="49"/>
        <v>-401.84086061006786</v>
      </c>
      <c r="AK57" s="510">
        <f t="shared" si="49"/>
        <v>9784.1172248421644</v>
      </c>
      <c r="AL57" s="510">
        <f t="shared" si="49"/>
        <v>19676.500973817823</v>
      </c>
      <c r="AM57" s="510">
        <f t="shared" si="49"/>
        <v>29284.197148798667</v>
      </c>
      <c r="AN57" s="510">
        <f t="shared" si="49"/>
        <v>38613.31874664205</v>
      </c>
      <c r="AO57" s="510">
        <f t="shared" si="49"/>
        <v>47672.28162558168</v>
      </c>
      <c r="AP57" s="510">
        <f t="shared" si="49"/>
        <v>56783.606566809824</v>
      </c>
      <c r="AQ57" s="510">
        <f t="shared" si="50"/>
        <v>65433.401098387316</v>
      </c>
      <c r="AR57" s="510">
        <f t="shared" si="50"/>
        <v>73729.707710176284</v>
      </c>
      <c r="AS57" s="510">
        <f t="shared" si="50"/>
        <v>81786.890941545615</v>
      </c>
      <c r="AT57" s="510">
        <f t="shared" si="50"/>
        <v>89612.098454206702</v>
      </c>
      <c r="AU57" s="510">
        <f t="shared" si="50"/>
        <v>89891.183519584141</v>
      </c>
    </row>
    <row r="58" spans="2:47" outlineLevel="1">
      <c r="B58" s="332" t="s">
        <v>374</v>
      </c>
      <c r="C58" s="333"/>
      <c r="D58" s="333"/>
      <c r="E58" s="333"/>
      <c r="F58" s="333"/>
      <c r="G58" s="333"/>
      <c r="H58" s="333"/>
      <c r="I58" s="333"/>
      <c r="J58" s="333"/>
      <c r="K58" s="333"/>
      <c r="L58" s="333"/>
      <c r="M58" s="333"/>
      <c r="N58" s="333"/>
      <c r="O58" s="333"/>
      <c r="P58" s="333"/>
      <c r="Q58" s="333"/>
      <c r="R58" s="333"/>
      <c r="S58" s="333"/>
      <c r="T58" s="333"/>
      <c r="U58" s="333"/>
      <c r="V58" s="333"/>
      <c r="W58" s="333"/>
      <c r="Z58" s="333" t="s">
        <v>374</v>
      </c>
      <c r="AA58" s="508"/>
      <c r="AB58" s="508"/>
      <c r="AC58" s="508"/>
      <c r="AD58" s="508"/>
      <c r="AE58" s="508"/>
      <c r="AF58" s="508"/>
      <c r="AG58" s="508"/>
      <c r="AH58" s="508"/>
      <c r="AI58" s="508"/>
      <c r="AJ58" s="508"/>
      <c r="AK58" s="508"/>
      <c r="AL58" s="508"/>
      <c r="AM58" s="508"/>
      <c r="AN58" s="508"/>
      <c r="AO58" s="508"/>
      <c r="AP58" s="508"/>
      <c r="AQ58" s="508"/>
      <c r="AR58" s="508"/>
      <c r="AS58" s="508"/>
      <c r="AT58" s="508"/>
      <c r="AU58" s="508"/>
    </row>
    <row r="59" spans="2:47" outlineLevel="1">
      <c r="B59" s="349" t="s">
        <v>349</v>
      </c>
      <c r="C59" s="321">
        <f t="shared" ref="C59:W60" si="57">C49</f>
        <v>-1608881.6493810785</v>
      </c>
      <c r="D59" s="321">
        <f t="shared" si="57"/>
        <v>-4800072.9247845914</v>
      </c>
      <c r="E59" s="321">
        <f t="shared" si="57"/>
        <v>-2427861.1410020003</v>
      </c>
      <c r="F59" s="321">
        <f t="shared" si="57"/>
        <v>241054.33172334498</v>
      </c>
      <c r="G59" s="321">
        <f t="shared" si="57"/>
        <v>3537191.9885883369</v>
      </c>
      <c r="H59" s="321">
        <f t="shared" si="57"/>
        <v>8039699.6991204796</v>
      </c>
      <c r="I59" s="321">
        <f t="shared" si="57"/>
        <v>7848209.258442563</v>
      </c>
      <c r="J59" s="321">
        <f t="shared" si="57"/>
        <v>11208456.473888218</v>
      </c>
      <c r="K59" s="321">
        <f t="shared" si="57"/>
        <v>12671665.675211195</v>
      </c>
      <c r="L59" s="321">
        <f t="shared" si="57"/>
        <v>14207388.646842975</v>
      </c>
      <c r="M59" s="321">
        <f t="shared" si="57"/>
        <v>14821591.978567891</v>
      </c>
      <c r="N59" s="321">
        <f t="shared" si="57"/>
        <v>15924792.273330834</v>
      </c>
      <c r="O59" s="321">
        <f t="shared" si="57"/>
        <v>16661821.313492216</v>
      </c>
      <c r="P59" s="321">
        <f t="shared" si="57"/>
        <v>17210920.248184863</v>
      </c>
      <c r="Q59" s="321">
        <f t="shared" si="57"/>
        <v>17776492.150918309</v>
      </c>
      <c r="R59" s="321">
        <f t="shared" si="57"/>
        <v>18359031.210733753</v>
      </c>
      <c r="S59" s="321">
        <f t="shared" si="57"/>
        <v>18959046.442343649</v>
      </c>
      <c r="T59" s="321">
        <f t="shared" si="57"/>
        <v>19577062.130901836</v>
      </c>
      <c r="U59" s="321">
        <f t="shared" si="57"/>
        <v>20213618.29011678</v>
      </c>
      <c r="V59" s="321">
        <f t="shared" si="57"/>
        <v>20869271.134108171</v>
      </c>
      <c r="W59" s="321">
        <f t="shared" si="57"/>
        <v>-1641476.5095963189</v>
      </c>
      <c r="X59" s="321"/>
      <c r="Y59" s="350"/>
      <c r="Z59" s="349" t="s">
        <v>349</v>
      </c>
      <c r="AA59" s="504">
        <f t="shared" ref="AA59:AP68" si="58">C59/1000</f>
        <v>-1608.8816493810787</v>
      </c>
      <c r="AB59" s="504">
        <f t="shared" si="58"/>
        <v>-4800.0729247845911</v>
      </c>
      <c r="AC59" s="504">
        <f t="shared" si="58"/>
        <v>-2427.8611410020003</v>
      </c>
      <c r="AD59" s="504">
        <f t="shared" si="58"/>
        <v>241.05433172334497</v>
      </c>
      <c r="AE59" s="504">
        <f t="shared" si="58"/>
        <v>3537.1919885883367</v>
      </c>
      <c r="AF59" s="504">
        <f t="shared" si="58"/>
        <v>8039.6996991204796</v>
      </c>
      <c r="AG59" s="504">
        <f t="shared" si="58"/>
        <v>7848.2092584425627</v>
      </c>
      <c r="AH59" s="504">
        <f t="shared" si="58"/>
        <v>11208.456473888218</v>
      </c>
      <c r="AI59" s="504">
        <f t="shared" si="58"/>
        <v>12671.665675211196</v>
      </c>
      <c r="AJ59" s="504">
        <f t="shared" si="58"/>
        <v>14207.388646842976</v>
      </c>
      <c r="AK59" s="504">
        <f t="shared" si="58"/>
        <v>14821.591978567891</v>
      </c>
      <c r="AL59" s="504">
        <f t="shared" si="58"/>
        <v>15924.792273330833</v>
      </c>
      <c r="AM59" s="504">
        <f t="shared" si="58"/>
        <v>16661.821313492215</v>
      </c>
      <c r="AN59" s="504">
        <f t="shared" si="58"/>
        <v>17210.920248184862</v>
      </c>
      <c r="AO59" s="504">
        <f t="shared" si="58"/>
        <v>17776.492150918308</v>
      </c>
      <c r="AP59" s="504">
        <f t="shared" si="58"/>
        <v>18359.031210733752</v>
      </c>
      <c r="AQ59" s="504">
        <f t="shared" ref="AQ59:AU68" si="59">S59/1000</f>
        <v>18959.04644234365</v>
      </c>
      <c r="AR59" s="504">
        <f t="shared" si="59"/>
        <v>19577.062130901835</v>
      </c>
      <c r="AS59" s="504">
        <f t="shared" si="59"/>
        <v>20213.618290116781</v>
      </c>
      <c r="AT59" s="504">
        <f t="shared" si="59"/>
        <v>20869.27113410817</v>
      </c>
      <c r="AU59" s="504">
        <f t="shared" si="59"/>
        <v>-1641.4765095963189</v>
      </c>
    </row>
    <row r="60" spans="2:47" outlineLevel="1">
      <c r="B60" s="290" t="s">
        <v>236</v>
      </c>
      <c r="C60" s="319">
        <f t="shared" si="57"/>
        <v>0</v>
      </c>
      <c r="D60" s="319">
        <f t="shared" si="57"/>
        <v>1856214.5129593008</v>
      </c>
      <c r="E60" s="319">
        <f t="shared" si="57"/>
        <v>2525348.4763020286</v>
      </c>
      <c r="F60" s="319">
        <f t="shared" si="57"/>
        <v>2525348.4763020286</v>
      </c>
      <c r="G60" s="319">
        <f t="shared" si="57"/>
        <v>2525348.4763020286</v>
      </c>
      <c r="H60" s="319">
        <f t="shared" si="57"/>
        <v>2525348.4763020286</v>
      </c>
      <c r="I60" s="319">
        <f t="shared" si="57"/>
        <v>2525348.4763020286</v>
      </c>
      <c r="J60" s="319">
        <f t="shared" si="57"/>
        <v>2525348.4763020286</v>
      </c>
      <c r="K60" s="319">
        <f t="shared" si="57"/>
        <v>2525348.4763020286</v>
      </c>
      <c r="L60" s="319">
        <f t="shared" si="57"/>
        <v>2525348.4763020286</v>
      </c>
      <c r="M60" s="319">
        <f t="shared" si="57"/>
        <v>2525348.4763020286</v>
      </c>
      <c r="N60" s="319">
        <f t="shared" si="57"/>
        <v>2525348.4763020286</v>
      </c>
      <c r="O60" s="319">
        <f t="shared" si="57"/>
        <v>2525348.4763020286</v>
      </c>
      <c r="P60" s="319">
        <f t="shared" si="57"/>
        <v>2525348.4763020286</v>
      </c>
      <c r="Q60" s="319">
        <f t="shared" si="57"/>
        <v>2525348.4763020286</v>
      </c>
      <c r="R60" s="319">
        <f t="shared" si="57"/>
        <v>2525348.4763020286</v>
      </c>
      <c r="S60" s="319">
        <f t="shared" si="57"/>
        <v>2525348.4763020286</v>
      </c>
      <c r="T60" s="319">
        <f t="shared" si="57"/>
        <v>2525348.4763020286</v>
      </c>
      <c r="U60" s="319">
        <f t="shared" si="57"/>
        <v>2525348.4763020286</v>
      </c>
      <c r="V60" s="319">
        <f t="shared" si="57"/>
        <v>2525348.4763020286</v>
      </c>
      <c r="W60" s="319">
        <f t="shared" si="57"/>
        <v>2525348.4763020286</v>
      </c>
      <c r="X60" s="319"/>
      <c r="Y60" s="331"/>
      <c r="Z60" s="290" t="s">
        <v>236</v>
      </c>
      <c r="AA60" s="503">
        <f t="shared" si="58"/>
        <v>0</v>
      </c>
      <c r="AB60" s="503">
        <f t="shared" si="58"/>
        <v>1856.2145129593007</v>
      </c>
      <c r="AC60" s="503">
        <f t="shared" si="58"/>
        <v>2525.3484763020288</v>
      </c>
      <c r="AD60" s="503">
        <f t="shared" si="58"/>
        <v>2525.3484763020288</v>
      </c>
      <c r="AE60" s="503">
        <f t="shared" si="58"/>
        <v>2525.3484763020288</v>
      </c>
      <c r="AF60" s="503">
        <f t="shared" si="58"/>
        <v>2525.3484763020288</v>
      </c>
      <c r="AG60" s="503">
        <f t="shared" si="58"/>
        <v>2525.3484763020288</v>
      </c>
      <c r="AH60" s="503">
        <f t="shared" si="58"/>
        <v>2525.3484763020288</v>
      </c>
      <c r="AI60" s="503">
        <f t="shared" si="58"/>
        <v>2525.3484763020288</v>
      </c>
      <c r="AJ60" s="503">
        <f t="shared" si="58"/>
        <v>2525.3484763020288</v>
      </c>
      <c r="AK60" s="503">
        <f t="shared" si="58"/>
        <v>2525.3484763020288</v>
      </c>
      <c r="AL60" s="503">
        <f t="shared" si="58"/>
        <v>2525.3484763020288</v>
      </c>
      <c r="AM60" s="503">
        <f t="shared" si="58"/>
        <v>2525.3484763020288</v>
      </c>
      <c r="AN60" s="503">
        <f t="shared" si="58"/>
        <v>2525.3484763020288</v>
      </c>
      <c r="AO60" s="503">
        <f t="shared" si="58"/>
        <v>2525.3484763020288</v>
      </c>
      <c r="AP60" s="503">
        <f t="shared" si="58"/>
        <v>2525.3484763020288</v>
      </c>
      <c r="AQ60" s="503">
        <f t="shared" si="59"/>
        <v>2525.3484763020288</v>
      </c>
      <c r="AR60" s="503">
        <f t="shared" si="59"/>
        <v>2525.3484763020288</v>
      </c>
      <c r="AS60" s="503">
        <f t="shared" si="59"/>
        <v>2525.3484763020288</v>
      </c>
      <c r="AT60" s="503">
        <f t="shared" si="59"/>
        <v>2525.3484763020288</v>
      </c>
      <c r="AU60" s="503">
        <f t="shared" si="59"/>
        <v>2525.3484763020288</v>
      </c>
    </row>
    <row r="61" spans="2:47" outlineLevel="1">
      <c r="B61" s="290" t="s">
        <v>370</v>
      </c>
      <c r="C61" s="319">
        <f>-SUM(C30:C31)+SUM('CAPEX Financing'!$F$5)+'WC Financing'!C24</f>
        <v>-37866776.064369731</v>
      </c>
      <c r="D61" s="319">
        <f>-SUM(D30:D31)+SUM('CAPEX Financing'!$F$6)+'WC Financing'!D24</f>
        <v>-13650332.852191642</v>
      </c>
      <c r="E61" s="319">
        <f>-SUM(E30:E31)+SUM('CAPEX Financing'!$F$7)+'WC Financing'!E24</f>
        <v>0</v>
      </c>
      <c r="F61" s="319">
        <f>-SUM(F30:F31)+SUM('CAPEX Financing'!$F$8)+'WC Financing'!F24</f>
        <v>0</v>
      </c>
      <c r="G61" s="319">
        <f>-SUM(G30:G31)+SUM('CAPEX Financing'!$F$9)+'WC Financing'!G24</f>
        <v>0</v>
      </c>
      <c r="H61" s="319">
        <f>-SUM(H30:H31)+'WC Financing'!H24</f>
        <v>0</v>
      </c>
      <c r="I61" s="319">
        <f>-SUM(I30:I31)+'WC Financing'!I24</f>
        <v>0</v>
      </c>
      <c r="J61" s="319">
        <f>-SUM(J30:J31)+'WC Financing'!J24</f>
        <v>0</v>
      </c>
      <c r="K61" s="319">
        <f>-SUM(K30:K31)+'WC Financing'!K24</f>
        <v>0</v>
      </c>
      <c r="L61" s="319">
        <f>-SUM(L30:L31)+'WC Financing'!L24</f>
        <v>0</v>
      </c>
      <c r="M61" s="319">
        <f>-SUM(M30:M31)+'WC Financing'!M24</f>
        <v>0</v>
      </c>
      <c r="N61" s="319">
        <f>-SUM(N30:N31)+'WC Financing'!N24</f>
        <v>0</v>
      </c>
      <c r="O61" s="319">
        <f>-SUM(O30:O31)+'WC Financing'!O24</f>
        <v>0</v>
      </c>
      <c r="P61" s="319">
        <f>-SUM(P30:P31)+'WC Financing'!P24</f>
        <v>0</v>
      </c>
      <c r="Q61" s="319">
        <f>-SUM(Q30:Q31)+'WC Financing'!Q24</f>
        <v>0</v>
      </c>
      <c r="R61" s="319">
        <f>-SUM(R30:R31)+'WC Financing'!R24</f>
        <v>0</v>
      </c>
      <c r="S61" s="319">
        <f>-SUM(S30:S31)+'WC Financing'!S24</f>
        <v>0</v>
      </c>
      <c r="T61" s="319">
        <f>-SUM(T30:T31)+'WC Financing'!T24</f>
        <v>0</v>
      </c>
      <c r="U61" s="319">
        <f>-SUM(U30:U31)+'WC Financing'!U24</f>
        <v>0</v>
      </c>
      <c r="V61" s="319">
        <f>-SUM(V30:V31)+'WC Financing'!V24</f>
        <v>0</v>
      </c>
      <c r="W61" s="319">
        <f>-SUM(W30:W31)+'WC Financing'!W24</f>
        <v>0</v>
      </c>
      <c r="X61" s="319"/>
      <c r="Y61" s="331"/>
      <c r="Z61" s="290" t="s">
        <v>370</v>
      </c>
      <c r="AA61" s="503">
        <f t="shared" si="58"/>
        <v>-37866.776064369733</v>
      </c>
      <c r="AB61" s="503">
        <f t="shared" si="58"/>
        <v>-13650.332852191643</v>
      </c>
      <c r="AC61" s="503">
        <f t="shared" si="58"/>
        <v>0</v>
      </c>
      <c r="AD61" s="503">
        <f t="shared" si="58"/>
        <v>0</v>
      </c>
      <c r="AE61" s="503">
        <f t="shared" si="58"/>
        <v>0</v>
      </c>
      <c r="AF61" s="503">
        <f t="shared" si="58"/>
        <v>0</v>
      </c>
      <c r="AG61" s="503">
        <f t="shared" si="58"/>
        <v>0</v>
      </c>
      <c r="AH61" s="503">
        <f t="shared" si="58"/>
        <v>0</v>
      </c>
      <c r="AI61" s="503">
        <f t="shared" si="58"/>
        <v>0</v>
      </c>
      <c r="AJ61" s="503">
        <f t="shared" si="58"/>
        <v>0</v>
      </c>
      <c r="AK61" s="503">
        <f t="shared" si="58"/>
        <v>0</v>
      </c>
      <c r="AL61" s="503">
        <f t="shared" si="58"/>
        <v>0</v>
      </c>
      <c r="AM61" s="503">
        <f t="shared" si="58"/>
        <v>0</v>
      </c>
      <c r="AN61" s="503">
        <f t="shared" si="58"/>
        <v>0</v>
      </c>
      <c r="AO61" s="503">
        <f t="shared" si="58"/>
        <v>0</v>
      </c>
      <c r="AP61" s="503">
        <f t="shared" si="58"/>
        <v>0</v>
      </c>
      <c r="AQ61" s="503">
        <f t="shared" si="59"/>
        <v>0</v>
      </c>
      <c r="AR61" s="503">
        <f t="shared" si="59"/>
        <v>0</v>
      </c>
      <c r="AS61" s="503">
        <f t="shared" si="59"/>
        <v>0</v>
      </c>
      <c r="AT61" s="503">
        <f t="shared" si="59"/>
        <v>0</v>
      </c>
      <c r="AU61" s="503">
        <f t="shared" si="59"/>
        <v>0</v>
      </c>
    </row>
    <row r="62" spans="2:47" outlineLevel="1">
      <c r="B62" s="290" t="s">
        <v>302</v>
      </c>
      <c r="C62" s="319">
        <f t="shared" ref="C62:W62" si="60">C53</f>
        <v>-746346.88861384429</v>
      </c>
      <c r="D62" s="319">
        <f t="shared" si="60"/>
        <v>-269047.95892842929</v>
      </c>
      <c r="E62" s="319">
        <f t="shared" si="60"/>
        <v>-2.5841979721992542E-138</v>
      </c>
      <c r="F62" s="319">
        <f t="shared" si="60"/>
        <v>-2.7349672242080463E-138</v>
      </c>
      <c r="G62" s="319">
        <f t="shared" si="60"/>
        <v>0</v>
      </c>
      <c r="H62" s="319">
        <f t="shared" si="60"/>
        <v>0</v>
      </c>
      <c r="I62" s="319">
        <f t="shared" si="60"/>
        <v>0</v>
      </c>
      <c r="J62" s="319">
        <f t="shared" si="60"/>
        <v>0</v>
      </c>
      <c r="K62" s="319">
        <f t="shared" si="60"/>
        <v>0</v>
      </c>
      <c r="L62" s="319">
        <f t="shared" si="60"/>
        <v>0</v>
      </c>
      <c r="M62" s="319">
        <f t="shared" si="60"/>
        <v>0</v>
      </c>
      <c r="N62" s="319">
        <f t="shared" si="60"/>
        <v>0</v>
      </c>
      <c r="O62" s="319">
        <f t="shared" si="60"/>
        <v>0</v>
      </c>
      <c r="P62" s="319">
        <f t="shared" si="60"/>
        <v>0</v>
      </c>
      <c r="Q62" s="319">
        <f t="shared" si="60"/>
        <v>0</v>
      </c>
      <c r="R62" s="319">
        <f t="shared" si="60"/>
        <v>746346.88861384429</v>
      </c>
      <c r="S62" s="319">
        <f t="shared" si="60"/>
        <v>269047.95892842929</v>
      </c>
      <c r="T62" s="319">
        <f t="shared" si="60"/>
        <v>2.5841979721992542E-138</v>
      </c>
      <c r="U62" s="319">
        <f t="shared" si="60"/>
        <v>2.7349672242080463E-138</v>
      </c>
      <c r="V62" s="319">
        <f t="shared" si="60"/>
        <v>0</v>
      </c>
      <c r="W62" s="319">
        <f t="shared" si="60"/>
        <v>0</v>
      </c>
      <c r="X62" s="319"/>
      <c r="Y62" s="331"/>
      <c r="Z62" s="290" t="s">
        <v>302</v>
      </c>
      <c r="AA62" s="503">
        <f t="shared" si="58"/>
        <v>-746.34688861384427</v>
      </c>
      <c r="AB62" s="503">
        <f t="shared" si="58"/>
        <v>-269.0479589284293</v>
      </c>
      <c r="AC62" s="503">
        <f t="shared" si="58"/>
        <v>-2.5841979721992541E-141</v>
      </c>
      <c r="AD62" s="503">
        <f t="shared" si="58"/>
        <v>-2.7349672242080462E-141</v>
      </c>
      <c r="AE62" s="503">
        <f t="shared" si="58"/>
        <v>0</v>
      </c>
      <c r="AF62" s="503">
        <f t="shared" si="58"/>
        <v>0</v>
      </c>
      <c r="AG62" s="503">
        <f t="shared" si="58"/>
        <v>0</v>
      </c>
      <c r="AH62" s="503">
        <f t="shared" si="58"/>
        <v>0</v>
      </c>
      <c r="AI62" s="503">
        <f t="shared" si="58"/>
        <v>0</v>
      </c>
      <c r="AJ62" s="503">
        <f t="shared" si="58"/>
        <v>0</v>
      </c>
      <c r="AK62" s="503">
        <f t="shared" si="58"/>
        <v>0</v>
      </c>
      <c r="AL62" s="503">
        <f t="shared" si="58"/>
        <v>0</v>
      </c>
      <c r="AM62" s="503">
        <f t="shared" si="58"/>
        <v>0</v>
      </c>
      <c r="AN62" s="503">
        <f t="shared" si="58"/>
        <v>0</v>
      </c>
      <c r="AO62" s="503">
        <f t="shared" si="58"/>
        <v>0</v>
      </c>
      <c r="AP62" s="503">
        <f t="shared" si="58"/>
        <v>746.34688861384427</v>
      </c>
      <c r="AQ62" s="503">
        <f t="shared" si="59"/>
        <v>269.0479589284293</v>
      </c>
      <c r="AR62" s="503">
        <f t="shared" si="59"/>
        <v>2.5841979721992541E-141</v>
      </c>
      <c r="AS62" s="503">
        <f t="shared" si="59"/>
        <v>2.7349672242080462E-141</v>
      </c>
      <c r="AT62" s="503">
        <f t="shared" si="59"/>
        <v>0</v>
      </c>
      <c r="AU62" s="503">
        <f t="shared" si="59"/>
        <v>0</v>
      </c>
    </row>
    <row r="63" spans="2:47" outlineLevel="1">
      <c r="B63" s="290" t="s">
        <v>375</v>
      </c>
      <c r="C63" s="319">
        <f t="shared" ref="C63:W63" si="61">C31+C34</f>
        <v>26814694.156351306</v>
      </c>
      <c r="D63" s="319">
        <f t="shared" si="61"/>
        <v>14860800.078687023</v>
      </c>
      <c r="E63" s="319">
        <f t="shared" si="61"/>
        <v>3908927.183830495</v>
      </c>
      <c r="F63" s="319">
        <f t="shared" si="61"/>
        <v>2872029.8601241326</v>
      </c>
      <c r="G63" s="319">
        <f t="shared" si="61"/>
        <v>0</v>
      </c>
      <c r="H63" s="319">
        <f t="shared" si="61"/>
        <v>0</v>
      </c>
      <c r="I63" s="319">
        <f t="shared" si="61"/>
        <v>0</v>
      </c>
      <c r="J63" s="319">
        <f t="shared" si="61"/>
        <v>0</v>
      </c>
      <c r="K63" s="319">
        <f t="shared" si="61"/>
        <v>0</v>
      </c>
      <c r="L63" s="319">
        <f t="shared" si="61"/>
        <v>0</v>
      </c>
      <c r="M63" s="319">
        <f t="shared" si="61"/>
        <v>0</v>
      </c>
      <c r="N63" s="319">
        <f t="shared" si="61"/>
        <v>0</v>
      </c>
      <c r="O63" s="319">
        <f t="shared" si="61"/>
        <v>0</v>
      </c>
      <c r="P63" s="319">
        <f t="shared" si="61"/>
        <v>0</v>
      </c>
      <c r="Q63" s="319">
        <f t="shared" si="61"/>
        <v>0</v>
      </c>
      <c r="R63" s="319">
        <f t="shared" si="61"/>
        <v>-746346.88861384429</v>
      </c>
      <c r="S63" s="319">
        <f t="shared" si="61"/>
        <v>-269047.95892842929</v>
      </c>
      <c r="T63" s="319">
        <f t="shared" si="61"/>
        <v>-2.5841979721992542E-138</v>
      </c>
      <c r="U63" s="319">
        <f t="shared" si="61"/>
        <v>-2.7349672242080463E-138</v>
      </c>
      <c r="V63" s="319">
        <f t="shared" si="61"/>
        <v>0</v>
      </c>
      <c r="W63" s="319">
        <f t="shared" si="61"/>
        <v>0</v>
      </c>
      <c r="X63" s="319"/>
      <c r="Y63" s="331"/>
      <c r="Z63" s="290" t="s">
        <v>375</v>
      </c>
      <c r="AA63" s="503">
        <f t="shared" si="58"/>
        <v>26814.694156351306</v>
      </c>
      <c r="AB63" s="503">
        <f t="shared" si="58"/>
        <v>14860.800078687023</v>
      </c>
      <c r="AC63" s="503">
        <f t="shared" si="58"/>
        <v>3908.9271838304949</v>
      </c>
      <c r="AD63" s="503">
        <f t="shared" si="58"/>
        <v>2872.0298601241325</v>
      </c>
      <c r="AE63" s="503">
        <f t="shared" si="58"/>
        <v>0</v>
      </c>
      <c r="AF63" s="503">
        <f t="shared" si="58"/>
        <v>0</v>
      </c>
      <c r="AG63" s="503">
        <f t="shared" si="58"/>
        <v>0</v>
      </c>
      <c r="AH63" s="503">
        <f t="shared" si="58"/>
        <v>0</v>
      </c>
      <c r="AI63" s="503">
        <f t="shared" si="58"/>
        <v>0</v>
      </c>
      <c r="AJ63" s="503">
        <f t="shared" si="58"/>
        <v>0</v>
      </c>
      <c r="AK63" s="503">
        <f t="shared" si="58"/>
        <v>0</v>
      </c>
      <c r="AL63" s="503">
        <f t="shared" si="58"/>
        <v>0</v>
      </c>
      <c r="AM63" s="503">
        <f t="shared" si="58"/>
        <v>0</v>
      </c>
      <c r="AN63" s="503">
        <f t="shared" si="58"/>
        <v>0</v>
      </c>
      <c r="AO63" s="503">
        <f t="shared" si="58"/>
        <v>0</v>
      </c>
      <c r="AP63" s="503">
        <f t="shared" si="58"/>
        <v>-746.34688861384427</v>
      </c>
      <c r="AQ63" s="503">
        <f t="shared" si="59"/>
        <v>-269.0479589284293</v>
      </c>
      <c r="AR63" s="503">
        <f t="shared" si="59"/>
        <v>-2.5841979721992541E-141</v>
      </c>
      <c r="AS63" s="503">
        <f t="shared" si="59"/>
        <v>-2.7349672242080462E-141</v>
      </c>
      <c r="AT63" s="503">
        <f t="shared" si="59"/>
        <v>0</v>
      </c>
      <c r="AU63" s="503">
        <f t="shared" si="59"/>
        <v>0</v>
      </c>
    </row>
    <row r="64" spans="2:47" outlineLevel="1">
      <c r="B64" s="349" t="s">
        <v>376</v>
      </c>
      <c r="C64" s="321">
        <f t="shared" ref="C64:W64" si="62">C32</f>
        <v>0</v>
      </c>
      <c r="D64" s="321">
        <f t="shared" si="62"/>
        <v>0</v>
      </c>
      <c r="E64" s="321">
        <f t="shared" si="62"/>
        <v>-5194550.6847972833</v>
      </c>
      <c r="F64" s="321">
        <f t="shared" si="62"/>
        <v>-5316645.8304254655</v>
      </c>
      <c r="G64" s="321">
        <f t="shared" si="62"/>
        <v>-4873590.182037035</v>
      </c>
      <c r="H64" s="321">
        <f t="shared" si="62"/>
        <v>-2124383.1700555952</v>
      </c>
      <c r="I64" s="321">
        <f t="shared" si="62"/>
        <v>-2254742.8642581999</v>
      </c>
      <c r="J64" s="321">
        <f t="shared" si="62"/>
        <v>-2393101.8921554652</v>
      </c>
      <c r="K64" s="321">
        <f t="shared" si="62"/>
        <v>-2539951.1212655306</v>
      </c>
      <c r="L64" s="321">
        <f t="shared" si="62"/>
        <v>-2695811.5404803334</v>
      </c>
      <c r="M64" s="321">
        <f t="shared" si="62"/>
        <v>-2861236.1084200577</v>
      </c>
      <c r="N64" s="321">
        <f t="shared" si="62"/>
        <v>-769928.14266133728</v>
      </c>
      <c r="O64" s="321">
        <f t="shared" si="62"/>
        <v>-8.64843107077431E-139</v>
      </c>
      <c r="P64" s="321">
        <f t="shared" si="62"/>
        <v>-4.5830241800473128E-139</v>
      </c>
      <c r="Q64" s="321">
        <f t="shared" si="62"/>
        <v>0</v>
      </c>
      <c r="R64" s="321">
        <f t="shared" si="62"/>
        <v>0</v>
      </c>
      <c r="S64" s="321">
        <f t="shared" si="62"/>
        <v>0</v>
      </c>
      <c r="T64" s="321">
        <f t="shared" si="62"/>
        <v>0</v>
      </c>
      <c r="U64" s="321">
        <f t="shared" si="62"/>
        <v>0</v>
      </c>
      <c r="V64" s="321">
        <f t="shared" si="62"/>
        <v>0</v>
      </c>
      <c r="W64" s="321">
        <f t="shared" si="62"/>
        <v>0</v>
      </c>
      <c r="X64" s="321"/>
      <c r="Y64" s="350"/>
      <c r="Z64" s="349" t="s">
        <v>376</v>
      </c>
      <c r="AA64" s="504">
        <f t="shared" si="58"/>
        <v>0</v>
      </c>
      <c r="AB64" s="504">
        <f t="shared" si="58"/>
        <v>0</v>
      </c>
      <c r="AC64" s="504">
        <f t="shared" si="58"/>
        <v>-5194.5506847972829</v>
      </c>
      <c r="AD64" s="504">
        <f t="shared" si="58"/>
        <v>-5316.6458304254656</v>
      </c>
      <c r="AE64" s="504">
        <f t="shared" si="58"/>
        <v>-4873.5901820370354</v>
      </c>
      <c r="AF64" s="504">
        <f t="shared" si="58"/>
        <v>-2124.3831700555952</v>
      </c>
      <c r="AG64" s="504">
        <f t="shared" si="58"/>
        <v>-2254.7428642581999</v>
      </c>
      <c r="AH64" s="504">
        <f t="shared" si="58"/>
        <v>-2393.1018921554651</v>
      </c>
      <c r="AI64" s="504">
        <f t="shared" si="58"/>
        <v>-2539.9511212655307</v>
      </c>
      <c r="AJ64" s="504">
        <f t="shared" si="58"/>
        <v>-2695.8115404803334</v>
      </c>
      <c r="AK64" s="504">
        <f t="shared" si="58"/>
        <v>-2861.2361084200575</v>
      </c>
      <c r="AL64" s="504">
        <f t="shared" si="58"/>
        <v>-769.92814266133723</v>
      </c>
      <c r="AM64" s="504">
        <f t="shared" si="58"/>
        <v>-8.6484310707743105E-142</v>
      </c>
      <c r="AN64" s="504">
        <f t="shared" si="58"/>
        <v>-4.5830241800473129E-142</v>
      </c>
      <c r="AO64" s="504">
        <f t="shared" si="58"/>
        <v>0</v>
      </c>
      <c r="AP64" s="504">
        <f t="shared" si="58"/>
        <v>0</v>
      </c>
      <c r="AQ64" s="504">
        <f t="shared" si="59"/>
        <v>0</v>
      </c>
      <c r="AR64" s="504">
        <f t="shared" si="59"/>
        <v>0</v>
      </c>
      <c r="AS64" s="504">
        <f t="shared" si="59"/>
        <v>0</v>
      </c>
      <c r="AT64" s="504">
        <f t="shared" si="59"/>
        <v>0</v>
      </c>
      <c r="AU64" s="504">
        <f t="shared" si="59"/>
        <v>0</v>
      </c>
    </row>
    <row r="65" spans="2:47" outlineLevel="1">
      <c r="B65" s="343" t="s">
        <v>374</v>
      </c>
      <c r="C65" s="323">
        <f t="shared" ref="C65:W65" si="63">SUM(C58:C64)</f>
        <v>-13407310.446013346</v>
      </c>
      <c r="D65" s="323">
        <f t="shared" si="63"/>
        <v>-2002439.144258339</v>
      </c>
      <c r="E65" s="323">
        <f t="shared" si="63"/>
        <v>-1188136.1656667599</v>
      </c>
      <c r="F65" s="323">
        <f t="shared" si="63"/>
        <v>321786.83772404119</v>
      </c>
      <c r="G65" s="323">
        <f>SUM(G58:G64)</f>
        <v>1188950.2828533305</v>
      </c>
      <c r="H65" s="323">
        <f t="shared" si="63"/>
        <v>8440665.005366914</v>
      </c>
      <c r="I65" s="323">
        <f t="shared" si="63"/>
        <v>8118814.8704863917</v>
      </c>
      <c r="J65" s="323">
        <f t="shared" si="63"/>
        <v>11340703.058034781</v>
      </c>
      <c r="K65" s="323">
        <f t="shared" si="63"/>
        <v>12657063.030247692</v>
      </c>
      <c r="L65" s="323">
        <f t="shared" si="63"/>
        <v>14036925.582664669</v>
      </c>
      <c r="M65" s="323">
        <f t="shared" si="63"/>
        <v>14485704.346449861</v>
      </c>
      <c r="N65" s="323">
        <f t="shared" si="63"/>
        <v>17680212.606971525</v>
      </c>
      <c r="O65" s="323">
        <f t="shared" si="63"/>
        <v>19187169.789794244</v>
      </c>
      <c r="P65" s="323">
        <f t="shared" si="63"/>
        <v>19736268.724486891</v>
      </c>
      <c r="Q65" s="323">
        <f t="shared" si="63"/>
        <v>20301840.627220336</v>
      </c>
      <c r="R65" s="323">
        <f t="shared" si="63"/>
        <v>20884379.687035784</v>
      </c>
      <c r="S65" s="323">
        <f t="shared" si="63"/>
        <v>21484394.918645676</v>
      </c>
      <c r="T65" s="323">
        <f t="shared" si="63"/>
        <v>22102410.607203864</v>
      </c>
      <c r="U65" s="323">
        <f t="shared" si="63"/>
        <v>22738966.766418807</v>
      </c>
      <c r="V65" s="323">
        <f t="shared" si="63"/>
        <v>23394619.610410199</v>
      </c>
      <c r="W65" s="323">
        <f t="shared" si="63"/>
        <v>883871.9667057097</v>
      </c>
      <c r="X65" s="323">
        <f>(W65*(1+'Data Input'!$D$41))/('Data Input'!$D$40-'Data Input'!$D$41)</f>
        <v>22920747.611181963</v>
      </c>
      <c r="Y65" s="344"/>
      <c r="Z65" s="343" t="s">
        <v>377</v>
      </c>
      <c r="AA65" s="505">
        <f t="shared" si="58"/>
        <v>-13407.310446013345</v>
      </c>
      <c r="AB65" s="505">
        <f t="shared" si="58"/>
        <v>-2002.439144258339</v>
      </c>
      <c r="AC65" s="505">
        <f t="shared" si="58"/>
        <v>-1188.13616566676</v>
      </c>
      <c r="AD65" s="505">
        <f t="shared" si="58"/>
        <v>321.78683772404122</v>
      </c>
      <c r="AE65" s="505">
        <f t="shared" si="58"/>
        <v>1188.9502828533305</v>
      </c>
      <c r="AF65" s="505">
        <f t="shared" si="58"/>
        <v>8440.6650053669146</v>
      </c>
      <c r="AG65" s="505">
        <f t="shared" si="58"/>
        <v>8118.8148704863916</v>
      </c>
      <c r="AH65" s="505">
        <f t="shared" si="58"/>
        <v>11340.703058034782</v>
      </c>
      <c r="AI65" s="505">
        <f t="shared" si="58"/>
        <v>12657.063030247691</v>
      </c>
      <c r="AJ65" s="505">
        <f t="shared" si="58"/>
        <v>14036.925582664668</v>
      </c>
      <c r="AK65" s="505">
        <f t="shared" si="58"/>
        <v>14485.704346449862</v>
      </c>
      <c r="AL65" s="505">
        <f t="shared" si="58"/>
        <v>17680.212606971523</v>
      </c>
      <c r="AM65" s="505">
        <f t="shared" si="58"/>
        <v>19187.169789794243</v>
      </c>
      <c r="AN65" s="505">
        <f t="shared" si="58"/>
        <v>19736.26872448689</v>
      </c>
      <c r="AO65" s="505">
        <f t="shared" si="58"/>
        <v>20301.840627220336</v>
      </c>
      <c r="AP65" s="505">
        <f t="shared" si="58"/>
        <v>20884.379687035784</v>
      </c>
      <c r="AQ65" s="505">
        <f t="shared" si="59"/>
        <v>21484.394918645678</v>
      </c>
      <c r="AR65" s="505">
        <f t="shared" si="59"/>
        <v>22102.410607203863</v>
      </c>
      <c r="AS65" s="505">
        <f t="shared" si="59"/>
        <v>22738.966766418805</v>
      </c>
      <c r="AT65" s="505">
        <f t="shared" si="59"/>
        <v>23394.619610410198</v>
      </c>
      <c r="AU65" s="505">
        <f t="shared" si="59"/>
        <v>883.87196670570972</v>
      </c>
    </row>
    <row r="66" spans="2:47" outlineLevel="1">
      <c r="B66" s="345" t="s">
        <v>378</v>
      </c>
      <c r="C66" s="346">
        <f>C65</f>
        <v>-13407310.446013346</v>
      </c>
      <c r="D66" s="346">
        <f t="shared" ref="D66:X66" si="64">D65+C66</f>
        <v>-15409749.590271685</v>
      </c>
      <c r="E66" s="346">
        <f t="shared" si="64"/>
        <v>-16597885.755938444</v>
      </c>
      <c r="F66" s="346">
        <f t="shared" si="64"/>
        <v>-16276098.918214403</v>
      </c>
      <c r="G66" s="346">
        <f t="shared" si="64"/>
        <v>-15087148.635361072</v>
      </c>
      <c r="H66" s="346">
        <f t="shared" si="64"/>
        <v>-6646483.6299941577</v>
      </c>
      <c r="I66" s="346">
        <f t="shared" si="64"/>
        <v>1472331.240492234</v>
      </c>
      <c r="J66" s="346">
        <f t="shared" si="64"/>
        <v>12813034.298527015</v>
      </c>
      <c r="K66" s="346">
        <f t="shared" si="64"/>
        <v>25470097.328774706</v>
      </c>
      <c r="L66" s="346">
        <f t="shared" si="64"/>
        <v>39507022.911439374</v>
      </c>
      <c r="M66" s="346">
        <f t="shared" si="64"/>
        <v>53992727.257889234</v>
      </c>
      <c r="N66" s="346">
        <f t="shared" si="64"/>
        <v>71672939.864860758</v>
      </c>
      <c r="O66" s="346">
        <f t="shared" si="64"/>
        <v>90860109.65465501</v>
      </c>
      <c r="P66" s="346">
        <f t="shared" si="64"/>
        <v>110596378.3791419</v>
      </c>
      <c r="Q66" s="346">
        <f t="shared" si="64"/>
        <v>130898219.00636223</v>
      </c>
      <c r="R66" s="346">
        <f t="shared" si="64"/>
        <v>151782598.693398</v>
      </c>
      <c r="S66" s="346">
        <f t="shared" si="64"/>
        <v>173266993.61204368</v>
      </c>
      <c r="T66" s="346">
        <f t="shared" si="64"/>
        <v>195369404.21924755</v>
      </c>
      <c r="U66" s="346">
        <f t="shared" si="64"/>
        <v>218108370.98566636</v>
      </c>
      <c r="V66" s="346">
        <f t="shared" si="64"/>
        <v>241502990.59607655</v>
      </c>
      <c r="W66" s="346">
        <f t="shared" si="64"/>
        <v>242386862.56278226</v>
      </c>
      <c r="X66" s="346">
        <f t="shared" si="64"/>
        <v>265307610.17396423</v>
      </c>
      <c r="Y66" s="347"/>
      <c r="Z66" s="345" t="s">
        <v>378</v>
      </c>
      <c r="AA66" s="512">
        <f t="shared" si="58"/>
        <v>-13407.310446013345</v>
      </c>
      <c r="AB66" s="512">
        <f t="shared" si="58"/>
        <v>-15409.749590271686</v>
      </c>
      <c r="AC66" s="512">
        <f t="shared" si="58"/>
        <v>-16597.885755938445</v>
      </c>
      <c r="AD66" s="512">
        <f t="shared" si="58"/>
        <v>-16276.098918214404</v>
      </c>
      <c r="AE66" s="512">
        <f t="shared" si="58"/>
        <v>-15087.148635361071</v>
      </c>
      <c r="AF66" s="512">
        <f t="shared" si="58"/>
        <v>-6646.483629994158</v>
      </c>
      <c r="AG66" s="512">
        <f t="shared" si="58"/>
        <v>1472.331240492234</v>
      </c>
      <c r="AH66" s="512">
        <f t="shared" si="58"/>
        <v>12813.034298527014</v>
      </c>
      <c r="AI66" s="512">
        <f t="shared" si="58"/>
        <v>25470.097328774704</v>
      </c>
      <c r="AJ66" s="512">
        <f t="shared" si="58"/>
        <v>39507.022911439373</v>
      </c>
      <c r="AK66" s="512">
        <f t="shared" si="58"/>
        <v>53992.727257889237</v>
      </c>
      <c r="AL66" s="512">
        <f t="shared" si="58"/>
        <v>71672.93986486076</v>
      </c>
      <c r="AM66" s="512">
        <f t="shared" si="58"/>
        <v>90860.109654655011</v>
      </c>
      <c r="AN66" s="512">
        <f t="shared" si="58"/>
        <v>110596.3783791419</v>
      </c>
      <c r="AO66" s="512">
        <f t="shared" si="58"/>
        <v>130898.21900636223</v>
      </c>
      <c r="AP66" s="512">
        <f t="shared" si="58"/>
        <v>151782.598693398</v>
      </c>
      <c r="AQ66" s="512">
        <f t="shared" si="59"/>
        <v>173266.99361204368</v>
      </c>
      <c r="AR66" s="512">
        <f t="shared" si="59"/>
        <v>195369.40421924755</v>
      </c>
      <c r="AS66" s="512">
        <f t="shared" si="59"/>
        <v>218108.37098566638</v>
      </c>
      <c r="AT66" s="512">
        <f t="shared" si="59"/>
        <v>241502.99059607656</v>
      </c>
      <c r="AU66" s="512">
        <f t="shared" si="59"/>
        <v>242386.86256278225</v>
      </c>
    </row>
    <row r="67" spans="2:47" outlineLevel="1">
      <c r="B67" s="345" t="s">
        <v>379</v>
      </c>
      <c r="C67" s="346">
        <f>C65/(1+'Data Input'!$D$40)^C47</f>
        <v>-13407310.446013346</v>
      </c>
      <c r="D67" s="346">
        <f>D65/(1+'Data Input'!$D$40)^D47</f>
        <v>-1890282.3891677209</v>
      </c>
      <c r="E67" s="346">
        <f>E65/(1+'Data Input'!$D$40)^E47</f>
        <v>-1058768.3229495934</v>
      </c>
      <c r="F67" s="346">
        <f>F65/(1+'Data Input'!$D$40)^F47</f>
        <v>270688.84650293289</v>
      </c>
      <c r="G67" s="346">
        <f>G65/(1+'Data Input'!$D$40)^G47</f>
        <v>944132.92232244147</v>
      </c>
      <c r="H67" s="346">
        <f>H65/(1+'Data Input'!$D$40)^H47</f>
        <v>6327227.8407148365</v>
      </c>
      <c r="I67" s="346">
        <f>I65/(1+'Data Input'!$D$40)^I47</f>
        <v>5745089.6435641963</v>
      </c>
      <c r="J67" s="346">
        <f>J65/(1+'Data Input'!$D$40)^J47</f>
        <v>7575503.6551658707</v>
      </c>
      <c r="K67" s="346">
        <f>K65/(1+'Data Input'!$D$40)^K47</f>
        <v>7981266.9625726379</v>
      </c>
      <c r="L67" s="346">
        <f>L65/(1+'Data Input'!$D$40)^L47</f>
        <v>8355611.791875815</v>
      </c>
      <c r="M67" s="346">
        <f>M65/(1+'Data Input'!$D$40)^M47</f>
        <v>8139790.65394272</v>
      </c>
      <c r="N67" s="346">
        <f>N65/(1+'Data Input'!$D$40)^N47</f>
        <v>9378393.7702343334</v>
      </c>
      <c r="O67" s="346">
        <f>O65/(1+'Data Input'!$D$40)^O47</f>
        <v>9607696.1749808453</v>
      </c>
      <c r="P67" s="346">
        <f>P65/(1+'Data Input'!$D$40)^P47</f>
        <v>9329121.5978433881</v>
      </c>
      <c r="Q67" s="346">
        <f>Q65/(1+'Data Input'!$D$40)^Q47</f>
        <v>9058962.8789396305</v>
      </c>
      <c r="R67" s="346">
        <f>R65/(1+'Data Input'!$D$40)^R47</f>
        <v>8796947.659574993</v>
      </c>
      <c r="S67" s="346">
        <f>S65/(1+'Data Input'!$D$40)^S47</f>
        <v>8542813.3251096904</v>
      </c>
      <c r="T67" s="346">
        <f>T65/(1+'Data Input'!$D$40)^T47</f>
        <v>8296306.6117889695</v>
      </c>
      <c r="U67" s="346">
        <f>U65/(1+'Data Input'!$D$40)^U47</f>
        <v>8057183.2313693333</v>
      </c>
      <c r="V67" s="346">
        <f>V65/(1+'Data Input'!$D$40)^V47</f>
        <v>7825207.5126610855</v>
      </c>
      <c r="W67" s="346">
        <f>W65/(1+'Data Input'!$D$40)^W47</f>
        <v>279085.06537742307</v>
      </c>
      <c r="X67" s="346">
        <f>(W67*(1+'Data Input'!$D$41))/('Data Input'!$D$40-'Data Input'!$D$41)</f>
        <v>7237290.6784314793</v>
      </c>
      <c r="Y67" s="347"/>
      <c r="Z67" s="345" t="s">
        <v>379</v>
      </c>
      <c r="AA67" s="512">
        <f t="shared" si="58"/>
        <v>-13407.310446013345</v>
      </c>
      <c r="AB67" s="512">
        <f t="shared" si="58"/>
        <v>-1890.282389167721</v>
      </c>
      <c r="AC67" s="512">
        <f t="shared" si="58"/>
        <v>-1058.7683229495933</v>
      </c>
      <c r="AD67" s="512">
        <f t="shared" si="58"/>
        <v>270.6888465029329</v>
      </c>
      <c r="AE67" s="512">
        <f t="shared" si="58"/>
        <v>944.13292232244146</v>
      </c>
      <c r="AF67" s="512">
        <f t="shared" si="58"/>
        <v>6327.2278407148369</v>
      </c>
      <c r="AG67" s="512">
        <f t="shared" si="58"/>
        <v>5745.0896435641962</v>
      </c>
      <c r="AH67" s="512">
        <f t="shared" si="58"/>
        <v>7575.5036551658704</v>
      </c>
      <c r="AI67" s="512">
        <f t="shared" si="58"/>
        <v>7981.2669625726376</v>
      </c>
      <c r="AJ67" s="512">
        <f t="shared" si="58"/>
        <v>8355.6117918758155</v>
      </c>
      <c r="AK67" s="512">
        <f t="shared" si="58"/>
        <v>8139.7906539427204</v>
      </c>
      <c r="AL67" s="512">
        <f t="shared" si="58"/>
        <v>9378.3937702343337</v>
      </c>
      <c r="AM67" s="512">
        <f t="shared" si="58"/>
        <v>9607.6961749808452</v>
      </c>
      <c r="AN67" s="512">
        <f t="shared" si="58"/>
        <v>9329.1215978433884</v>
      </c>
      <c r="AO67" s="512">
        <f t="shared" si="58"/>
        <v>9058.9628789396302</v>
      </c>
      <c r="AP67" s="512">
        <f t="shared" si="58"/>
        <v>8796.9476595749929</v>
      </c>
      <c r="AQ67" s="512">
        <f t="shared" si="59"/>
        <v>8542.8133251096897</v>
      </c>
      <c r="AR67" s="512">
        <f t="shared" si="59"/>
        <v>8296.3066117889703</v>
      </c>
      <c r="AS67" s="512">
        <f t="shared" si="59"/>
        <v>8057.183231369333</v>
      </c>
      <c r="AT67" s="512">
        <f t="shared" si="59"/>
        <v>7825.2075126610853</v>
      </c>
      <c r="AU67" s="512">
        <f t="shared" si="59"/>
        <v>279.08506537742306</v>
      </c>
    </row>
    <row r="68" spans="2:47" s="325" customFormat="1" ht="16" outlineLevel="1" thickBot="1">
      <c r="B68" s="328" t="s">
        <v>380</v>
      </c>
      <c r="C68" s="339">
        <f>C67</f>
        <v>-13407310.446013346</v>
      </c>
      <c r="D68" s="339">
        <f t="shared" ref="D68:X68" si="65">D67+C68</f>
        <v>-15297592.835181067</v>
      </c>
      <c r="E68" s="339">
        <f t="shared" si="65"/>
        <v>-16356361.158130661</v>
      </c>
      <c r="F68" s="339">
        <f t="shared" si="65"/>
        <v>-16085672.311627727</v>
      </c>
      <c r="G68" s="339">
        <f t="shared" si="65"/>
        <v>-15141539.389305286</v>
      </c>
      <c r="H68" s="339">
        <f t="shared" si="65"/>
        <v>-8814311.5485904496</v>
      </c>
      <c r="I68" s="339">
        <f t="shared" si="65"/>
        <v>-3069221.9050262533</v>
      </c>
      <c r="J68" s="339">
        <f t="shared" si="65"/>
        <v>4506281.7501396174</v>
      </c>
      <c r="K68" s="339">
        <f t="shared" si="65"/>
        <v>12487548.712712254</v>
      </c>
      <c r="L68" s="339">
        <f t="shared" si="65"/>
        <v>20843160.504588068</v>
      </c>
      <c r="M68" s="339">
        <f t="shared" si="65"/>
        <v>28982951.158530787</v>
      </c>
      <c r="N68" s="339">
        <f t="shared" si="65"/>
        <v>38361344.928765118</v>
      </c>
      <c r="O68" s="339">
        <f t="shared" si="65"/>
        <v>47969041.103745967</v>
      </c>
      <c r="P68" s="339">
        <f t="shared" si="65"/>
        <v>57298162.701589353</v>
      </c>
      <c r="Q68" s="339">
        <f t="shared" si="65"/>
        <v>66357125.580528982</v>
      </c>
      <c r="R68" s="339">
        <f t="shared" si="65"/>
        <v>75154073.240103975</v>
      </c>
      <c r="S68" s="339">
        <f t="shared" si="65"/>
        <v>83696886.565213665</v>
      </c>
      <c r="T68" s="339">
        <f t="shared" si="65"/>
        <v>91993193.177002639</v>
      </c>
      <c r="U68" s="339">
        <f t="shared" si="65"/>
        <v>100050376.40837197</v>
      </c>
      <c r="V68" s="339">
        <f t="shared" si="65"/>
        <v>107875583.92103305</v>
      </c>
      <c r="W68" s="339">
        <f t="shared" si="65"/>
        <v>108154668.98641048</v>
      </c>
      <c r="X68" s="339">
        <f t="shared" si="65"/>
        <v>115391959.66484196</v>
      </c>
      <c r="Y68" s="348"/>
      <c r="Z68" s="328" t="s">
        <v>380</v>
      </c>
      <c r="AA68" s="510">
        <f t="shared" si="58"/>
        <v>-13407.310446013345</v>
      </c>
      <c r="AB68" s="510">
        <f t="shared" si="58"/>
        <v>-15297.592835181067</v>
      </c>
      <c r="AC68" s="510">
        <f t="shared" si="58"/>
        <v>-16356.361158130661</v>
      </c>
      <c r="AD68" s="510">
        <f t="shared" si="58"/>
        <v>-16085.672311627726</v>
      </c>
      <c r="AE68" s="510">
        <f t="shared" si="58"/>
        <v>-15141.539389305286</v>
      </c>
      <c r="AF68" s="510">
        <f t="shared" si="58"/>
        <v>-8814.3115485904491</v>
      </c>
      <c r="AG68" s="510">
        <f t="shared" si="58"/>
        <v>-3069.2219050262534</v>
      </c>
      <c r="AH68" s="510">
        <f t="shared" si="58"/>
        <v>4506.2817501396175</v>
      </c>
      <c r="AI68" s="510">
        <f t="shared" si="58"/>
        <v>12487.548712712254</v>
      </c>
      <c r="AJ68" s="510">
        <f t="shared" si="58"/>
        <v>20843.160504588068</v>
      </c>
      <c r="AK68" s="510">
        <f t="shared" si="58"/>
        <v>28982.951158530788</v>
      </c>
      <c r="AL68" s="510">
        <f t="shared" si="58"/>
        <v>38361.344928765116</v>
      </c>
      <c r="AM68" s="510">
        <f t="shared" si="58"/>
        <v>47969.041103745971</v>
      </c>
      <c r="AN68" s="510">
        <f t="shared" si="58"/>
        <v>57298.162701589354</v>
      </c>
      <c r="AO68" s="510">
        <f t="shared" si="58"/>
        <v>66357.125580528984</v>
      </c>
      <c r="AP68" s="510">
        <f t="shared" si="58"/>
        <v>75154.073240103971</v>
      </c>
      <c r="AQ68" s="510">
        <f t="shared" si="59"/>
        <v>83696.886565213659</v>
      </c>
      <c r="AR68" s="510">
        <f t="shared" si="59"/>
        <v>91993.193177002642</v>
      </c>
      <c r="AS68" s="510">
        <f t="shared" si="59"/>
        <v>100050.37640837197</v>
      </c>
      <c r="AT68" s="510">
        <f t="shared" si="59"/>
        <v>107875.58392103306</v>
      </c>
      <c r="AU68" s="510">
        <f t="shared" si="59"/>
        <v>108154.66898641048</v>
      </c>
    </row>
    <row r="69" spans="2:47" outlineLevel="1">
      <c r="C69" s="331"/>
      <c r="D69" s="331"/>
      <c r="E69" s="331"/>
      <c r="F69" s="331"/>
      <c r="G69" s="331"/>
      <c r="H69" s="331"/>
      <c r="I69" s="331"/>
      <c r="J69" s="331"/>
      <c r="Z69" s="289"/>
      <c r="AA69" s="314"/>
      <c r="AB69" s="314"/>
      <c r="AC69" s="314"/>
      <c r="AD69" s="314"/>
      <c r="AE69" s="314"/>
      <c r="AF69" s="314"/>
      <c r="AG69" s="314"/>
      <c r="AH69" s="314"/>
      <c r="AI69" s="314"/>
      <c r="AJ69" s="314"/>
      <c r="AK69" s="314"/>
      <c r="AL69" s="314"/>
      <c r="AM69" s="314"/>
      <c r="AN69" s="314"/>
      <c r="AO69" s="314"/>
      <c r="AP69" s="314"/>
      <c r="AQ69" s="314"/>
      <c r="AR69" s="314"/>
      <c r="AS69" s="314"/>
      <c r="AT69" s="314"/>
      <c r="AU69" s="314"/>
    </row>
    <row r="70" spans="2:47" ht="16" thickBot="1">
      <c r="Z70" s="289"/>
      <c r="AA70" s="314"/>
      <c r="AB70" s="314"/>
      <c r="AC70" s="314"/>
      <c r="AD70" s="314"/>
      <c r="AE70" s="314"/>
      <c r="AF70" s="314"/>
      <c r="AG70" s="314"/>
      <c r="AH70" s="314"/>
      <c r="AI70" s="314"/>
      <c r="AJ70" s="314"/>
      <c r="AK70" s="314"/>
      <c r="AL70" s="314"/>
      <c r="AM70" s="314"/>
      <c r="AN70" s="314"/>
      <c r="AO70" s="314"/>
      <c r="AP70" s="314"/>
      <c r="AQ70" s="314"/>
      <c r="AR70" s="314"/>
      <c r="AS70" s="314"/>
      <c r="AT70" s="314"/>
      <c r="AU70" s="314"/>
    </row>
    <row r="71" spans="2:47" ht="16" thickTop="1">
      <c r="B71" s="315" t="s">
        <v>381</v>
      </c>
      <c r="C71" s="316"/>
      <c r="D71" s="316"/>
      <c r="E71" s="316"/>
      <c r="F71" s="316"/>
      <c r="G71" s="316"/>
      <c r="H71" s="316"/>
      <c r="I71" s="316"/>
      <c r="J71" s="316"/>
      <c r="K71" s="316"/>
      <c r="L71" s="316"/>
      <c r="M71" s="316"/>
      <c r="N71" s="316"/>
      <c r="O71" s="316"/>
      <c r="P71" s="316"/>
      <c r="Q71" s="316"/>
      <c r="R71" s="316"/>
      <c r="S71" s="316"/>
      <c r="T71" s="316"/>
      <c r="U71" s="316"/>
      <c r="V71" s="316"/>
      <c r="W71" s="316"/>
      <c r="Z71" s="315" t="s">
        <v>381</v>
      </c>
      <c r="AA71" s="316"/>
      <c r="AB71" s="316"/>
      <c r="AC71" s="316"/>
      <c r="AD71" s="316"/>
      <c r="AE71" s="316"/>
      <c r="AF71" s="316"/>
      <c r="AG71" s="316"/>
      <c r="AH71" s="316"/>
      <c r="AI71" s="316"/>
      <c r="AJ71" s="316"/>
      <c r="AK71" s="316"/>
      <c r="AL71" s="316"/>
      <c r="AM71" s="316"/>
      <c r="AN71" s="316"/>
      <c r="AO71" s="316"/>
      <c r="AP71" s="316"/>
      <c r="AQ71" s="316"/>
      <c r="AR71" s="316"/>
      <c r="AS71" s="316"/>
      <c r="AT71" s="316"/>
      <c r="AU71" s="316"/>
    </row>
    <row r="72" spans="2:47" ht="16" outlineLevel="1" thickBot="1">
      <c r="B72" s="317"/>
      <c r="C72" s="318">
        <v>0</v>
      </c>
      <c r="D72" s="318">
        <v>1</v>
      </c>
      <c r="E72" s="318">
        <v>2</v>
      </c>
      <c r="F72" s="318">
        <v>3</v>
      </c>
      <c r="G72" s="318">
        <v>4</v>
      </c>
      <c r="H72" s="318">
        <v>5</v>
      </c>
      <c r="I72" s="318">
        <v>6</v>
      </c>
      <c r="J72" s="318">
        <v>7</v>
      </c>
      <c r="K72" s="318">
        <v>8</v>
      </c>
      <c r="L72" s="318">
        <v>9</v>
      </c>
      <c r="M72" s="318">
        <v>10</v>
      </c>
      <c r="N72" s="318">
        <v>11</v>
      </c>
      <c r="O72" s="318">
        <v>12</v>
      </c>
      <c r="P72" s="318">
        <v>13</v>
      </c>
      <c r="Q72" s="318">
        <v>14</v>
      </c>
      <c r="R72" s="318">
        <v>15</v>
      </c>
      <c r="S72" s="318">
        <v>16</v>
      </c>
      <c r="T72" s="318">
        <v>17</v>
      </c>
      <c r="U72" s="318">
        <v>18</v>
      </c>
      <c r="V72" s="318">
        <v>19</v>
      </c>
      <c r="W72" s="318">
        <v>20</v>
      </c>
      <c r="Z72" s="317"/>
      <c r="AA72" s="318">
        <v>0</v>
      </c>
      <c r="AB72" s="318">
        <v>1</v>
      </c>
      <c r="AC72" s="318">
        <v>2</v>
      </c>
      <c r="AD72" s="318">
        <v>3</v>
      </c>
      <c r="AE72" s="318">
        <v>4</v>
      </c>
      <c r="AF72" s="318">
        <v>5</v>
      </c>
      <c r="AG72" s="318">
        <v>6</v>
      </c>
      <c r="AH72" s="318">
        <v>7</v>
      </c>
      <c r="AI72" s="318">
        <v>8</v>
      </c>
      <c r="AJ72" s="318">
        <v>9</v>
      </c>
      <c r="AK72" s="318">
        <v>10</v>
      </c>
      <c r="AL72" s="318">
        <v>11</v>
      </c>
      <c r="AM72" s="318">
        <v>12</v>
      </c>
      <c r="AN72" s="318">
        <v>13</v>
      </c>
      <c r="AO72" s="318">
        <v>14</v>
      </c>
      <c r="AP72" s="318">
        <v>15</v>
      </c>
      <c r="AQ72" s="318">
        <v>16</v>
      </c>
      <c r="AR72" s="318">
        <v>17</v>
      </c>
      <c r="AS72" s="318">
        <v>18</v>
      </c>
      <c r="AT72" s="318">
        <v>19</v>
      </c>
      <c r="AU72" s="318">
        <v>20</v>
      </c>
    </row>
    <row r="73" spans="2:47" outlineLevel="1">
      <c r="B73" s="332" t="s">
        <v>382</v>
      </c>
      <c r="C73" s="333"/>
      <c r="D73" s="333"/>
      <c r="E73" s="333"/>
      <c r="F73" s="333"/>
      <c r="G73" s="333"/>
      <c r="H73" s="333"/>
      <c r="I73" s="333"/>
      <c r="J73" s="333"/>
      <c r="K73" s="333"/>
      <c r="L73" s="333"/>
      <c r="M73" s="333"/>
      <c r="N73" s="333"/>
      <c r="O73" s="333"/>
      <c r="P73" s="333"/>
      <c r="Q73" s="333"/>
      <c r="R73" s="333"/>
      <c r="S73" s="333"/>
      <c r="T73" s="333"/>
      <c r="U73" s="333"/>
      <c r="V73" s="333"/>
      <c r="W73" s="333"/>
      <c r="Z73" s="333" t="s">
        <v>382</v>
      </c>
      <c r="AA73" s="333"/>
      <c r="AB73" s="333"/>
      <c r="AC73" s="333"/>
      <c r="AD73" s="333"/>
      <c r="AE73" s="333"/>
      <c r="AF73" s="333"/>
      <c r="AG73" s="333"/>
      <c r="AH73" s="333"/>
      <c r="AI73" s="333"/>
      <c r="AJ73" s="333"/>
      <c r="AK73" s="333"/>
      <c r="AL73" s="333"/>
      <c r="AM73" s="333"/>
      <c r="AN73" s="333"/>
      <c r="AO73" s="333"/>
      <c r="AP73" s="333"/>
      <c r="AQ73" s="333"/>
      <c r="AR73" s="333"/>
      <c r="AS73" s="333"/>
      <c r="AT73" s="333"/>
      <c r="AU73" s="333"/>
    </row>
    <row r="74" spans="2:47" outlineLevel="1">
      <c r="B74" s="290" t="s">
        <v>383</v>
      </c>
      <c r="C74" s="319">
        <f>Fin.Statements!C41-C80-SUM('CAPEX Financing'!$C$21:C21)</f>
        <v>36.632162293419242</v>
      </c>
      <c r="D74" s="319">
        <f>Fin.Statements!D41-D80-SUM('CAPEX Financing'!$C$21:D21)</f>
        <v>71.718040571780875</v>
      </c>
      <c r="E74" s="319">
        <f>Fin.Statements!E41-E80-SUM('CAPEX Financing'!$C$21:E21)</f>
        <v>314.48894606414251</v>
      </c>
      <c r="F74" s="319">
        <f>Fin.Statements!F41-F80-SUM('CAPEX Financing'!$C$21:F21)</f>
        <v>812.58509509009309</v>
      </c>
      <c r="G74" s="319">
        <f>Fin.Statements!G41-G80-SUM('CAPEX Financing'!$C$21:G21)</f>
        <v>853239.99450507131</v>
      </c>
      <c r="H74" s="319">
        <f>Fin.Statements!H41-H80-SUM('CAPEX Financing'!$C$21:H21)</f>
        <v>8806519.3196580615</v>
      </c>
      <c r="I74" s="319">
        <f>Fin.Statements!I41-I80-SUM('CAPEX Financing'!$C$21:I21)</f>
        <v>16362018.841379201</v>
      </c>
      <c r="J74" s="319">
        <f>Fin.Statements!J41-J80-SUM('CAPEX Financing'!$C$21:J21)</f>
        <v>27332554.475562986</v>
      </c>
      <c r="K74" s="319">
        <f>Fin.Statements!K41-K80-SUM('CAPEX Financing'!$C$21:K21)</f>
        <v>39740130.954998031</v>
      </c>
      <c r="L74" s="319">
        <f>Fin.Statements!L41-L80-SUM('CAPEX Financing'!$C$21:L21)</f>
        <v>53516592.962661371</v>
      </c>
      <c r="M74" s="319">
        <f>Fin.Statements!M41-M80-SUM('CAPEX Financing'!$C$21:M21)</f>
        <v>67876583.277824178</v>
      </c>
      <c r="N74" s="319">
        <f>Fin.Statements!N41-N80-SUM('CAPEX Financing'!$C$21:N21)</f>
        <v>85427343.209626168</v>
      </c>
      <c r="O74" s="319">
        <f>Fin.Statements!O41-O80-SUM('CAPEX Financing'!$C$21:O21)</f>
        <v>104481210.38312706</v>
      </c>
      <c r="P74" s="319">
        <f>Fin.Statements!P41-P80-SUM('CAPEX Financing'!$C$21:P21)</f>
        <v>124078897.9762145</v>
      </c>
      <c r="Q74" s="319">
        <f>Fin.Statements!Q41-Q80-SUM('CAPEX Financing'!$C$21:Q21)</f>
        <v>144238000.03809339</v>
      </c>
      <c r="R74" s="319">
        <f>Fin.Statements!R41-R80-SUM('CAPEX Financing'!$C$21:R21)</f>
        <v>165721705.89144135</v>
      </c>
      <c r="S74" s="319">
        <f>Fin.Statements!S41-S80-SUM('CAPEX Financing'!$C$21:S21)</f>
        <v>187323717.42504475</v>
      </c>
      <c r="T74" s="319">
        <f>Fin.Statements!T41-T80-SUM('CAPEX Financing'!$C$21:T21)</f>
        <v>209270153.74795875</v>
      </c>
      <c r="U74" s="319">
        <f>Fin.Statements!U41-U80-SUM('CAPEX Financing'!$C$21:U21)</f>
        <v>231848467.00155902</v>
      </c>
      <c r="V74" s="319">
        <f>Fin.Statements!V41-V80-SUM('CAPEX Financing'!$C$21:V21)</f>
        <v>255077613.49376613</v>
      </c>
      <c r="W74" s="319">
        <f>Fin.Statements!W41-W80-SUM('CAPEX Financing'!$C$21:W21)</f>
        <v>261642729.1854451</v>
      </c>
      <c r="Z74" s="290" t="s">
        <v>383</v>
      </c>
      <c r="AA74" s="503">
        <f t="shared" ref="AA74:AP82" si="66">C74/1000</f>
        <v>3.6632162293419243E-2</v>
      </c>
      <c r="AB74" s="503">
        <f t="shared" si="66"/>
        <v>7.1718040571780869E-2</v>
      </c>
      <c r="AC74" s="503">
        <f t="shared" si="66"/>
        <v>0.31448894606414252</v>
      </c>
      <c r="AD74" s="503">
        <f t="shared" si="66"/>
        <v>0.81258509509009313</v>
      </c>
      <c r="AE74" s="503">
        <f t="shared" si="66"/>
        <v>853.23999450507131</v>
      </c>
      <c r="AF74" s="503">
        <f t="shared" si="66"/>
        <v>8806.5193196580622</v>
      </c>
      <c r="AG74" s="503">
        <f t="shared" si="66"/>
        <v>16362.0188413792</v>
      </c>
      <c r="AH74" s="503">
        <f t="shared" si="66"/>
        <v>27332.554475562985</v>
      </c>
      <c r="AI74" s="503">
        <f t="shared" si="66"/>
        <v>39740.130954998029</v>
      </c>
      <c r="AJ74" s="503">
        <f t="shared" si="66"/>
        <v>53516.592962661372</v>
      </c>
      <c r="AK74" s="503">
        <f t="shared" si="66"/>
        <v>67876.583277824175</v>
      </c>
      <c r="AL74" s="503">
        <f t="shared" si="66"/>
        <v>85427.343209626168</v>
      </c>
      <c r="AM74" s="503">
        <f t="shared" si="66"/>
        <v>104481.21038312707</v>
      </c>
      <c r="AN74" s="503">
        <f t="shared" si="66"/>
        <v>124078.8979762145</v>
      </c>
      <c r="AO74" s="503">
        <f t="shared" si="66"/>
        <v>144238.00003809339</v>
      </c>
      <c r="AP74" s="503">
        <f t="shared" si="66"/>
        <v>165721.70589144135</v>
      </c>
      <c r="AQ74" s="503">
        <f t="shared" ref="AQ74:AU82" si="67">S74/1000</f>
        <v>187323.71742504474</v>
      </c>
      <c r="AR74" s="503">
        <f t="shared" si="67"/>
        <v>209270.15374795874</v>
      </c>
      <c r="AS74" s="503">
        <f t="shared" si="67"/>
        <v>231848.46700155901</v>
      </c>
      <c r="AT74" s="503">
        <f t="shared" si="67"/>
        <v>255077.61349376614</v>
      </c>
      <c r="AU74" s="503">
        <f t="shared" si="67"/>
        <v>261642.72918544509</v>
      </c>
    </row>
    <row r="75" spans="2:47" outlineLevel="1">
      <c r="B75" s="290" t="s">
        <v>274</v>
      </c>
      <c r="C75" s="319"/>
      <c r="D75" s="319">
        <f>-D6*'Data Input'!D$45</f>
        <v>698785.7215753413</v>
      </c>
      <c r="E75" s="319">
        <f>-E6*'Data Input'!E$45</f>
        <v>1169069.3824922496</v>
      </c>
      <c r="F75" s="319">
        <f>-F6*'Data Input'!F$45</f>
        <v>1283339.1898386916</v>
      </c>
      <c r="G75" s="319">
        <f>-G6*'Data Input'!G$45</f>
        <v>1379096.3828086881</v>
      </c>
      <c r="H75" s="319">
        <f>-H6*'Data Input'!H$45</f>
        <v>1518261.7372446519</v>
      </c>
      <c r="I75" s="319">
        <f>-I6*'Data Input'!I$45</f>
        <v>1651532.6477495376</v>
      </c>
      <c r="J75" s="319">
        <f>-J6*'Data Input'!J$45</f>
        <v>1729872.4649815513</v>
      </c>
      <c r="K75" s="319">
        <f>-K6*'Data Input'!K$45</f>
        <v>1797674.2774850258</v>
      </c>
      <c r="L75" s="319">
        <f>-L6*'Data Input'!L$45</f>
        <v>1867711.9421675582</v>
      </c>
      <c r="M75" s="319">
        <f>-M6*'Data Input'!M$45</f>
        <v>1921945.3030924045</v>
      </c>
      <c r="N75" s="319">
        <f>-N6*'Data Input'!N$45</f>
        <v>1977745.3840769504</v>
      </c>
      <c r="O75" s="319">
        <f>-O6*'Data Input'!$O$45</f>
        <v>2035157.1543403389</v>
      </c>
      <c r="P75" s="319">
        <f>-P6*'Data Input'!$O$45</f>
        <v>2096211.8689705485</v>
      </c>
      <c r="Q75" s="319">
        <f>-Q6*'Data Input'!$O$45</f>
        <v>2159098.2250396647</v>
      </c>
      <c r="R75" s="319">
        <f>-R6*'Data Input'!$O$45</f>
        <v>2223871.171790855</v>
      </c>
      <c r="S75" s="319">
        <f>-S6*'Data Input'!$O$45</f>
        <v>2290587.3069445807</v>
      </c>
      <c r="T75" s="319">
        <f>-T6*'Data Input'!$O$45</f>
        <v>2359304.926152918</v>
      </c>
      <c r="U75" s="319">
        <f>-U6*'Data Input'!$O$45</f>
        <v>2430084.0739375055</v>
      </c>
      <c r="V75" s="319">
        <f>-V6*'Data Input'!$O$45</f>
        <v>2502986.5961556304</v>
      </c>
      <c r="W75" s="319">
        <f>-W6*'Data Input'!$O$45</f>
        <v>0</v>
      </c>
      <c r="Z75" s="290" t="s">
        <v>274</v>
      </c>
      <c r="AA75" s="503">
        <f t="shared" si="66"/>
        <v>0</v>
      </c>
      <c r="AB75" s="503">
        <f t="shared" si="66"/>
        <v>698.78572157534131</v>
      </c>
      <c r="AC75" s="503">
        <f t="shared" si="66"/>
        <v>1169.0693824922496</v>
      </c>
      <c r="AD75" s="503">
        <f t="shared" si="66"/>
        <v>1283.3391898386917</v>
      </c>
      <c r="AE75" s="503">
        <f t="shared" si="66"/>
        <v>1379.0963828086881</v>
      </c>
      <c r="AF75" s="503">
        <f t="shared" si="66"/>
        <v>1518.2617372446518</v>
      </c>
      <c r="AG75" s="503">
        <f t="shared" si="66"/>
        <v>1651.5326477495375</v>
      </c>
      <c r="AH75" s="503">
        <f t="shared" si="66"/>
        <v>1729.8724649815513</v>
      </c>
      <c r="AI75" s="503">
        <f t="shared" si="66"/>
        <v>1797.6742774850259</v>
      </c>
      <c r="AJ75" s="503">
        <f t="shared" si="66"/>
        <v>1867.7119421675582</v>
      </c>
      <c r="AK75" s="503">
        <f t="shared" si="66"/>
        <v>1921.9453030924044</v>
      </c>
      <c r="AL75" s="503">
        <f t="shared" si="66"/>
        <v>1977.7453840769504</v>
      </c>
      <c r="AM75" s="503">
        <f t="shared" si="66"/>
        <v>2035.1571543403388</v>
      </c>
      <c r="AN75" s="503">
        <f t="shared" si="66"/>
        <v>2096.2118689705485</v>
      </c>
      <c r="AO75" s="503">
        <f t="shared" si="66"/>
        <v>2159.0982250396646</v>
      </c>
      <c r="AP75" s="503">
        <f t="shared" si="66"/>
        <v>2223.871171790855</v>
      </c>
      <c r="AQ75" s="503">
        <f t="shared" si="67"/>
        <v>2290.5873069445806</v>
      </c>
      <c r="AR75" s="503">
        <f t="shared" si="67"/>
        <v>2359.3049261529181</v>
      </c>
      <c r="AS75" s="503">
        <f t="shared" si="67"/>
        <v>2430.0840739375053</v>
      </c>
      <c r="AT75" s="503">
        <f t="shared" si="67"/>
        <v>2502.9865961556307</v>
      </c>
      <c r="AU75" s="503">
        <f t="shared" si="67"/>
        <v>0</v>
      </c>
    </row>
    <row r="76" spans="2:47" outlineLevel="1">
      <c r="B76" s="326" t="s">
        <v>384</v>
      </c>
      <c r="C76" s="321"/>
      <c r="D76" s="321">
        <f>D5*'Data Input'!D$46</f>
        <v>2714186.1798790232</v>
      </c>
      <c r="E76" s="321">
        <f>E5*'Data Input'!E$46</f>
        <v>1447426.6331539529</v>
      </c>
      <c r="F76" s="321">
        <f>F5*'Data Input'!F$46</f>
        <v>1749670.4068378939</v>
      </c>
      <c r="G76" s="321">
        <f>G5*'Data Input'!G$46</f>
        <v>2070233.7481195771</v>
      </c>
      <c r="H76" s="321">
        <f>H5*'Data Input'!H$46</f>
        <v>2534425.202594175</v>
      </c>
      <c r="I76" s="321">
        <f>I5*'Data Input'!I$46</f>
        <v>3075528.7329419479</v>
      </c>
      <c r="J76" s="321">
        <f>J5*'Data Input'!J$46</f>
        <v>3432639.5205876073</v>
      </c>
      <c r="K76" s="321">
        <f>K5*'Data Input'!K$46</f>
        <v>3670825.7693163441</v>
      </c>
      <c r="L76" s="321">
        <f>L5*'Data Input'!L$46</f>
        <v>3919616.4002039232</v>
      </c>
      <c r="M76" s="321">
        <f>M5*'Data Input'!M$46</f>
        <v>4036291.5380034954</v>
      </c>
      <c r="N76" s="321">
        <f>N5*'Data Input'!N$46</f>
        <v>4156444.199675607</v>
      </c>
      <c r="O76" s="321">
        <f>O5*'Data Input'!$O$46</f>
        <v>4280178.1875917222</v>
      </c>
      <c r="P76" s="321">
        <f>P5*'Data Input'!$O$46</f>
        <v>4408583.5332194734</v>
      </c>
      <c r="Q76" s="321">
        <f>Q5*'Data Input'!$O$46</f>
        <v>4540841.0392160574</v>
      </c>
      <c r="R76" s="321">
        <f>R5*'Data Input'!$O$46</f>
        <v>4677066.270392539</v>
      </c>
      <c r="S76" s="321">
        <f>S5*'Data Input'!$O$46</f>
        <v>4817378.2585043162</v>
      </c>
      <c r="T76" s="321">
        <f>T5*'Data Input'!$O$46</f>
        <v>4961899.6062594447</v>
      </c>
      <c r="U76" s="321">
        <f>U5*'Data Input'!$O$46</f>
        <v>5110756.5944472272</v>
      </c>
      <c r="V76" s="321">
        <f>V5*'Data Input'!$O$46</f>
        <v>5264079.2922806442</v>
      </c>
      <c r="W76" s="321">
        <f>W5*'Data Input'!$O$46</f>
        <v>0</v>
      </c>
      <c r="Z76" s="326" t="s">
        <v>384</v>
      </c>
      <c r="AA76" s="504">
        <f t="shared" si="66"/>
        <v>0</v>
      </c>
      <c r="AB76" s="504">
        <f t="shared" si="66"/>
        <v>2714.1861798790233</v>
      </c>
      <c r="AC76" s="504">
        <f t="shared" si="66"/>
        <v>1447.4266331539529</v>
      </c>
      <c r="AD76" s="504">
        <f t="shared" si="66"/>
        <v>1749.6704068378938</v>
      </c>
      <c r="AE76" s="504">
        <f t="shared" si="66"/>
        <v>2070.2337481195773</v>
      </c>
      <c r="AF76" s="504">
        <f t="shared" si="66"/>
        <v>2534.4252025941751</v>
      </c>
      <c r="AG76" s="504">
        <f t="shared" si="66"/>
        <v>3075.528732941948</v>
      </c>
      <c r="AH76" s="504">
        <f t="shared" si="66"/>
        <v>3432.6395205876074</v>
      </c>
      <c r="AI76" s="504">
        <f t="shared" si="66"/>
        <v>3670.8257693163441</v>
      </c>
      <c r="AJ76" s="504">
        <f t="shared" si="66"/>
        <v>3919.6164002039231</v>
      </c>
      <c r="AK76" s="504">
        <f t="shared" si="66"/>
        <v>4036.2915380034956</v>
      </c>
      <c r="AL76" s="504">
        <f t="shared" si="66"/>
        <v>4156.4441996756068</v>
      </c>
      <c r="AM76" s="504">
        <f t="shared" si="66"/>
        <v>4280.1781875917222</v>
      </c>
      <c r="AN76" s="504">
        <f t="shared" si="66"/>
        <v>4408.5835332194738</v>
      </c>
      <c r="AO76" s="504">
        <f t="shared" si="66"/>
        <v>4540.8410392160577</v>
      </c>
      <c r="AP76" s="504">
        <f t="shared" si="66"/>
        <v>4677.0662703925391</v>
      </c>
      <c r="AQ76" s="504">
        <f t="shared" si="67"/>
        <v>4817.3782585043164</v>
      </c>
      <c r="AR76" s="504">
        <f t="shared" si="67"/>
        <v>4961.8996062594451</v>
      </c>
      <c r="AS76" s="504">
        <f t="shared" si="67"/>
        <v>5110.7565944472271</v>
      </c>
      <c r="AT76" s="504">
        <f t="shared" si="67"/>
        <v>5264.079292280644</v>
      </c>
      <c r="AU76" s="504">
        <f t="shared" si="67"/>
        <v>0</v>
      </c>
    </row>
    <row r="77" spans="2:47" outlineLevel="1">
      <c r="B77" s="327" t="s">
        <v>385</v>
      </c>
      <c r="C77" s="323">
        <f t="shared" ref="C77:W77" si="68">SUM(C74:C76)</f>
        <v>36.632162293419242</v>
      </c>
      <c r="D77" s="323">
        <f t="shared" si="68"/>
        <v>3413043.6194949364</v>
      </c>
      <c r="E77" s="323">
        <f t="shared" si="68"/>
        <v>2616810.5045922669</v>
      </c>
      <c r="F77" s="323">
        <f t="shared" si="68"/>
        <v>3033822.1817716756</v>
      </c>
      <c r="G77" s="323">
        <f t="shared" si="68"/>
        <v>4302570.125433336</v>
      </c>
      <c r="H77" s="323">
        <f t="shared" si="68"/>
        <v>12859206.25949689</v>
      </c>
      <c r="I77" s="323">
        <f t="shared" si="68"/>
        <v>21089080.222070687</v>
      </c>
      <c r="J77" s="323">
        <f t="shared" si="68"/>
        <v>32495066.461132146</v>
      </c>
      <c r="K77" s="323">
        <f t="shared" si="68"/>
        <v>45208631.001799405</v>
      </c>
      <c r="L77" s="323">
        <f t="shared" si="68"/>
        <v>59303921.305032849</v>
      </c>
      <c r="M77" s="323">
        <f t="shared" si="68"/>
        <v>73834820.118920073</v>
      </c>
      <c r="N77" s="323">
        <f t="shared" si="68"/>
        <v>91561532.793378726</v>
      </c>
      <c r="O77" s="323">
        <f t="shared" si="68"/>
        <v>110796545.72505912</v>
      </c>
      <c r="P77" s="323">
        <f t="shared" si="68"/>
        <v>130583693.37840451</v>
      </c>
      <c r="Q77" s="323">
        <f t="shared" si="68"/>
        <v>150937939.30234912</v>
      </c>
      <c r="R77" s="323">
        <f t="shared" si="68"/>
        <v>172622643.33362475</v>
      </c>
      <c r="S77" s="323">
        <f t="shared" si="68"/>
        <v>194431682.99049366</v>
      </c>
      <c r="T77" s="323">
        <f t="shared" si="68"/>
        <v>216591358.2803711</v>
      </c>
      <c r="U77" s="323">
        <f t="shared" si="68"/>
        <v>239389307.66994375</v>
      </c>
      <c r="V77" s="323">
        <f t="shared" si="68"/>
        <v>262844679.38220242</v>
      </c>
      <c r="W77" s="323">
        <f t="shared" si="68"/>
        <v>261642729.1854451</v>
      </c>
      <c r="Z77" s="327" t="s">
        <v>385</v>
      </c>
      <c r="AA77" s="505">
        <f t="shared" si="66"/>
        <v>3.6632162293419243E-2</v>
      </c>
      <c r="AB77" s="505">
        <f t="shared" si="66"/>
        <v>3413.0436194949366</v>
      </c>
      <c r="AC77" s="505">
        <f t="shared" si="66"/>
        <v>2616.8105045922671</v>
      </c>
      <c r="AD77" s="505">
        <f t="shared" si="66"/>
        <v>3033.8221817716758</v>
      </c>
      <c r="AE77" s="505">
        <f t="shared" si="66"/>
        <v>4302.5701254333362</v>
      </c>
      <c r="AF77" s="505">
        <f t="shared" si="66"/>
        <v>12859.20625949689</v>
      </c>
      <c r="AG77" s="505">
        <f t="shared" si="66"/>
        <v>21089.080222070686</v>
      </c>
      <c r="AH77" s="505">
        <f t="shared" si="66"/>
        <v>32495.066461132148</v>
      </c>
      <c r="AI77" s="505">
        <f t="shared" si="66"/>
        <v>45208.631001799404</v>
      </c>
      <c r="AJ77" s="505">
        <f t="shared" si="66"/>
        <v>59303.921305032847</v>
      </c>
      <c r="AK77" s="505">
        <f t="shared" si="66"/>
        <v>73834.820118920077</v>
      </c>
      <c r="AL77" s="505">
        <f t="shared" si="66"/>
        <v>91561.532793378719</v>
      </c>
      <c r="AM77" s="505">
        <f t="shared" si="66"/>
        <v>110796.54572505913</v>
      </c>
      <c r="AN77" s="505">
        <f t="shared" si="66"/>
        <v>130583.69337840451</v>
      </c>
      <c r="AO77" s="505">
        <f t="shared" si="66"/>
        <v>150937.93930234911</v>
      </c>
      <c r="AP77" s="505">
        <f t="shared" si="66"/>
        <v>172622.64333362476</v>
      </c>
      <c r="AQ77" s="505">
        <f t="shared" si="67"/>
        <v>194431.68299049366</v>
      </c>
      <c r="AR77" s="505">
        <f t="shared" si="67"/>
        <v>216591.35828037109</v>
      </c>
      <c r="AS77" s="505">
        <f t="shared" si="67"/>
        <v>239389.30766994375</v>
      </c>
      <c r="AT77" s="505">
        <f t="shared" si="67"/>
        <v>262844.67938220239</v>
      </c>
      <c r="AU77" s="505">
        <f t="shared" si="67"/>
        <v>261642.72918544509</v>
      </c>
    </row>
    <row r="78" spans="2:47" outlineLevel="1">
      <c r="B78" s="290" t="s">
        <v>386</v>
      </c>
      <c r="C78" s="319">
        <f>-C39</f>
        <v>37124290.259186015</v>
      </c>
      <c r="D78" s="319">
        <f t="shared" ref="D78:W78" si="69">C78-D39</f>
        <v>50506969.526040569</v>
      </c>
      <c r="E78" s="319">
        <f t="shared" si="69"/>
        <v>50506969.526040569</v>
      </c>
      <c r="F78" s="319">
        <f t="shared" si="69"/>
        <v>50506969.526040569</v>
      </c>
      <c r="G78" s="319">
        <f t="shared" si="69"/>
        <v>50506969.526040569</v>
      </c>
      <c r="H78" s="319">
        <f t="shared" si="69"/>
        <v>50506969.526040569</v>
      </c>
      <c r="I78" s="319">
        <f t="shared" si="69"/>
        <v>50506969.526040569</v>
      </c>
      <c r="J78" s="319">
        <f t="shared" si="69"/>
        <v>50506969.526040569</v>
      </c>
      <c r="K78" s="319">
        <f t="shared" si="69"/>
        <v>50506969.526040569</v>
      </c>
      <c r="L78" s="319">
        <f t="shared" si="69"/>
        <v>50506969.526040569</v>
      </c>
      <c r="M78" s="319">
        <f t="shared" si="69"/>
        <v>50506969.526040569</v>
      </c>
      <c r="N78" s="319">
        <f t="shared" si="69"/>
        <v>50506969.526040569</v>
      </c>
      <c r="O78" s="319">
        <f t="shared" si="69"/>
        <v>50506969.526040569</v>
      </c>
      <c r="P78" s="319">
        <f t="shared" si="69"/>
        <v>50506969.526040569</v>
      </c>
      <c r="Q78" s="319">
        <f t="shared" si="69"/>
        <v>50506969.526040569</v>
      </c>
      <c r="R78" s="319">
        <f t="shared" si="69"/>
        <v>50506969.526040569</v>
      </c>
      <c r="S78" s="319">
        <f t="shared" si="69"/>
        <v>50506969.526040569</v>
      </c>
      <c r="T78" s="319">
        <f t="shared" si="69"/>
        <v>50506969.526040569</v>
      </c>
      <c r="U78" s="319">
        <f t="shared" si="69"/>
        <v>50506969.526040569</v>
      </c>
      <c r="V78" s="319">
        <f t="shared" si="69"/>
        <v>50506969.526040569</v>
      </c>
      <c r="W78" s="319">
        <f t="shared" si="69"/>
        <v>50506969.526040569</v>
      </c>
      <c r="Z78" s="290" t="s">
        <v>386</v>
      </c>
      <c r="AA78" s="503">
        <f t="shared" si="66"/>
        <v>37124.290259186011</v>
      </c>
      <c r="AB78" s="503">
        <f t="shared" si="66"/>
        <v>50506.969526040572</v>
      </c>
      <c r="AC78" s="503">
        <f t="shared" si="66"/>
        <v>50506.969526040572</v>
      </c>
      <c r="AD78" s="503">
        <f t="shared" si="66"/>
        <v>50506.969526040572</v>
      </c>
      <c r="AE78" s="503">
        <f t="shared" si="66"/>
        <v>50506.969526040572</v>
      </c>
      <c r="AF78" s="503">
        <f t="shared" si="66"/>
        <v>50506.969526040572</v>
      </c>
      <c r="AG78" s="503">
        <f t="shared" si="66"/>
        <v>50506.969526040572</v>
      </c>
      <c r="AH78" s="503">
        <f t="shared" si="66"/>
        <v>50506.969526040572</v>
      </c>
      <c r="AI78" s="503">
        <f t="shared" si="66"/>
        <v>50506.969526040572</v>
      </c>
      <c r="AJ78" s="503">
        <f t="shared" si="66"/>
        <v>50506.969526040572</v>
      </c>
      <c r="AK78" s="503">
        <f t="shared" si="66"/>
        <v>50506.969526040572</v>
      </c>
      <c r="AL78" s="503">
        <f t="shared" si="66"/>
        <v>50506.969526040572</v>
      </c>
      <c r="AM78" s="503">
        <f t="shared" si="66"/>
        <v>50506.969526040572</v>
      </c>
      <c r="AN78" s="503">
        <f t="shared" si="66"/>
        <v>50506.969526040572</v>
      </c>
      <c r="AO78" s="503">
        <f t="shared" si="66"/>
        <v>50506.969526040572</v>
      </c>
      <c r="AP78" s="503">
        <f t="shared" si="66"/>
        <v>50506.969526040572</v>
      </c>
      <c r="AQ78" s="503">
        <f t="shared" si="67"/>
        <v>50506.969526040572</v>
      </c>
      <c r="AR78" s="503">
        <f t="shared" si="67"/>
        <v>50506.969526040572</v>
      </c>
      <c r="AS78" s="503">
        <f t="shared" si="67"/>
        <v>50506.969526040572</v>
      </c>
      <c r="AT78" s="503">
        <f t="shared" si="67"/>
        <v>50506.969526040572</v>
      </c>
      <c r="AU78" s="503">
        <f t="shared" si="67"/>
        <v>50506.969526040572</v>
      </c>
    </row>
    <row r="79" spans="2:47" outlineLevel="1">
      <c r="B79" s="290" t="s">
        <v>387</v>
      </c>
      <c r="C79" s="319">
        <f>C9</f>
        <v>0</v>
      </c>
      <c r="D79" s="319">
        <f t="shared" ref="D79:W79" si="70">D9+C79</f>
        <v>-1856214.5129593008</v>
      </c>
      <c r="E79" s="319">
        <f t="shared" si="70"/>
        <v>-4381562.9892613292</v>
      </c>
      <c r="F79" s="319">
        <f t="shared" si="70"/>
        <v>-6906911.4655633578</v>
      </c>
      <c r="G79" s="319">
        <f t="shared" si="70"/>
        <v>-9432259.9418653864</v>
      </c>
      <c r="H79" s="319">
        <f t="shared" si="70"/>
        <v>-11957608.418167416</v>
      </c>
      <c r="I79" s="319">
        <f t="shared" si="70"/>
        <v>-14482956.894469444</v>
      </c>
      <c r="J79" s="319">
        <f t="shared" si="70"/>
        <v>-17008305.370771471</v>
      </c>
      <c r="K79" s="319">
        <f t="shared" si="70"/>
        <v>-19533653.847073499</v>
      </c>
      <c r="L79" s="319">
        <f t="shared" si="70"/>
        <v>-22059002.323375527</v>
      </c>
      <c r="M79" s="319">
        <f t="shared" si="70"/>
        <v>-24584350.799677555</v>
      </c>
      <c r="N79" s="319">
        <f t="shared" si="70"/>
        <v>-27109699.275979582</v>
      </c>
      <c r="O79" s="319">
        <f t="shared" si="70"/>
        <v>-29635047.75228161</v>
      </c>
      <c r="P79" s="319">
        <f t="shared" si="70"/>
        <v>-32160396.228583638</v>
      </c>
      <c r="Q79" s="319">
        <f t="shared" si="70"/>
        <v>-34685744.704885669</v>
      </c>
      <c r="R79" s="319">
        <f t="shared" si="70"/>
        <v>-37211093.181187697</v>
      </c>
      <c r="S79" s="319">
        <f t="shared" si="70"/>
        <v>-39736441.657489724</v>
      </c>
      <c r="T79" s="319">
        <f t="shared" si="70"/>
        <v>-42261790.133791752</v>
      </c>
      <c r="U79" s="319">
        <f t="shared" si="70"/>
        <v>-44787138.61009378</v>
      </c>
      <c r="V79" s="319">
        <f t="shared" si="70"/>
        <v>-47312487.086395808</v>
      </c>
      <c r="W79" s="319">
        <f t="shared" si="70"/>
        <v>-49837835.562697835</v>
      </c>
      <c r="Z79" s="290" t="s">
        <v>387</v>
      </c>
      <c r="AA79" s="503">
        <f t="shared" si="66"/>
        <v>0</v>
      </c>
      <c r="AB79" s="503">
        <f t="shared" si="66"/>
        <v>-1856.2145129593007</v>
      </c>
      <c r="AC79" s="503">
        <f t="shared" si="66"/>
        <v>-4381.5629892613288</v>
      </c>
      <c r="AD79" s="503">
        <f t="shared" si="66"/>
        <v>-6906.9114655633575</v>
      </c>
      <c r="AE79" s="503">
        <f t="shared" si="66"/>
        <v>-9432.2599418653863</v>
      </c>
      <c r="AF79" s="503">
        <f t="shared" si="66"/>
        <v>-11957.608418167416</v>
      </c>
      <c r="AG79" s="503">
        <f t="shared" si="66"/>
        <v>-14482.956894469444</v>
      </c>
      <c r="AH79" s="503">
        <f t="shared" si="66"/>
        <v>-17008.305370771472</v>
      </c>
      <c r="AI79" s="503">
        <f t="shared" si="66"/>
        <v>-19533.653847073499</v>
      </c>
      <c r="AJ79" s="503">
        <f t="shared" si="66"/>
        <v>-22059.002323375527</v>
      </c>
      <c r="AK79" s="503">
        <f t="shared" si="66"/>
        <v>-24584.350799677555</v>
      </c>
      <c r="AL79" s="503">
        <f t="shared" si="66"/>
        <v>-27109.699275979583</v>
      </c>
      <c r="AM79" s="503">
        <f t="shared" si="66"/>
        <v>-29635.047752281611</v>
      </c>
      <c r="AN79" s="503">
        <f t="shared" si="66"/>
        <v>-32160.396228583639</v>
      </c>
      <c r="AO79" s="503">
        <f t="shared" si="66"/>
        <v>-34685.74470488567</v>
      </c>
      <c r="AP79" s="503">
        <f t="shared" si="66"/>
        <v>-37211.093181187694</v>
      </c>
      <c r="AQ79" s="503">
        <f t="shared" si="67"/>
        <v>-39736.441657489726</v>
      </c>
      <c r="AR79" s="503">
        <f t="shared" si="67"/>
        <v>-42261.79013379175</v>
      </c>
      <c r="AS79" s="503">
        <f t="shared" si="67"/>
        <v>-44787.138610093782</v>
      </c>
      <c r="AT79" s="503">
        <f t="shared" si="67"/>
        <v>-47312.487086395806</v>
      </c>
      <c r="AU79" s="503">
        <f t="shared" si="67"/>
        <v>-49837.835562697837</v>
      </c>
    </row>
    <row r="80" spans="2:47" outlineLevel="1">
      <c r="B80" s="334" t="s">
        <v>302</v>
      </c>
      <c r="C80" s="335">
        <f>C34</f>
        <v>746346.88861384429</v>
      </c>
      <c r="D80" s="335">
        <f t="shared" ref="D80:W80" si="71">D34+C80</f>
        <v>1015394.8475422736</v>
      </c>
      <c r="E80" s="335">
        <f t="shared" si="71"/>
        <v>1015394.8475422736</v>
      </c>
      <c r="F80" s="335">
        <f t="shared" si="71"/>
        <v>1015394.8475422736</v>
      </c>
      <c r="G80" s="335">
        <f t="shared" si="71"/>
        <v>1015394.8475422736</v>
      </c>
      <c r="H80" s="335">
        <f t="shared" si="71"/>
        <v>1015394.8475422736</v>
      </c>
      <c r="I80" s="335">
        <f t="shared" si="71"/>
        <v>1015394.8475422736</v>
      </c>
      <c r="J80" s="335">
        <f t="shared" si="71"/>
        <v>1015394.8475422736</v>
      </c>
      <c r="K80" s="335">
        <f t="shared" si="71"/>
        <v>1015394.8475422736</v>
      </c>
      <c r="L80" s="335">
        <f t="shared" si="71"/>
        <v>1015394.8475422736</v>
      </c>
      <c r="M80" s="335">
        <f t="shared" si="71"/>
        <v>1015394.8475422736</v>
      </c>
      <c r="N80" s="335">
        <f t="shared" si="71"/>
        <v>1015394.8475422736</v>
      </c>
      <c r="O80" s="335">
        <f t="shared" si="71"/>
        <v>1015394.8475422736</v>
      </c>
      <c r="P80" s="335">
        <f t="shared" si="71"/>
        <v>1015394.8475422736</v>
      </c>
      <c r="Q80" s="335">
        <f t="shared" si="71"/>
        <v>1015394.8475422736</v>
      </c>
      <c r="R80" s="335">
        <f t="shared" si="71"/>
        <v>269047.95892842929</v>
      </c>
      <c r="S80" s="335">
        <f t="shared" si="71"/>
        <v>0</v>
      </c>
      <c r="T80" s="335">
        <f t="shared" si="71"/>
        <v>-2.5841979721992542E-138</v>
      </c>
      <c r="U80" s="335">
        <f t="shared" si="71"/>
        <v>-5.3191651964073008E-138</v>
      </c>
      <c r="V80" s="335">
        <f t="shared" si="71"/>
        <v>-5.3191651964073008E-138</v>
      </c>
      <c r="W80" s="335">
        <f t="shared" si="71"/>
        <v>-5.3191651964073008E-138</v>
      </c>
      <c r="Z80" s="334" t="s">
        <v>302</v>
      </c>
      <c r="AA80" s="506">
        <f t="shared" si="66"/>
        <v>746.34688861384427</v>
      </c>
      <c r="AB80" s="506">
        <f t="shared" si="66"/>
        <v>1015.3948475422736</v>
      </c>
      <c r="AC80" s="506">
        <f t="shared" si="66"/>
        <v>1015.3948475422736</v>
      </c>
      <c r="AD80" s="506">
        <f t="shared" si="66"/>
        <v>1015.3948475422736</v>
      </c>
      <c r="AE80" s="506">
        <f t="shared" si="66"/>
        <v>1015.3948475422736</v>
      </c>
      <c r="AF80" s="506">
        <f t="shared" si="66"/>
        <v>1015.3948475422736</v>
      </c>
      <c r="AG80" s="506">
        <f t="shared" si="66"/>
        <v>1015.3948475422736</v>
      </c>
      <c r="AH80" s="506">
        <f t="shared" si="66"/>
        <v>1015.3948475422736</v>
      </c>
      <c r="AI80" s="506">
        <f t="shared" si="66"/>
        <v>1015.3948475422736</v>
      </c>
      <c r="AJ80" s="506">
        <f t="shared" si="66"/>
        <v>1015.3948475422736</v>
      </c>
      <c r="AK80" s="506">
        <f t="shared" si="66"/>
        <v>1015.3948475422736</v>
      </c>
      <c r="AL80" s="506">
        <f t="shared" si="66"/>
        <v>1015.3948475422736</v>
      </c>
      <c r="AM80" s="506">
        <f t="shared" si="66"/>
        <v>1015.3948475422736</v>
      </c>
      <c r="AN80" s="506">
        <f t="shared" si="66"/>
        <v>1015.3948475422736</v>
      </c>
      <c r="AO80" s="506">
        <f t="shared" si="66"/>
        <v>1015.3948475422736</v>
      </c>
      <c r="AP80" s="506">
        <f t="shared" si="66"/>
        <v>269.0479589284293</v>
      </c>
      <c r="AQ80" s="506">
        <f t="shared" si="67"/>
        <v>0</v>
      </c>
      <c r="AR80" s="506">
        <f t="shared" si="67"/>
        <v>-2.5841979721992541E-141</v>
      </c>
      <c r="AS80" s="506">
        <f t="shared" si="67"/>
        <v>-5.3191651964073012E-141</v>
      </c>
      <c r="AT80" s="506">
        <f t="shared" si="67"/>
        <v>-5.3191651964073012E-141</v>
      </c>
      <c r="AU80" s="506">
        <f t="shared" si="67"/>
        <v>-5.3191651964073012E-141</v>
      </c>
    </row>
    <row r="81" spans="2:47" ht="16" outlineLevel="1" thickBot="1">
      <c r="B81" s="260" t="s">
        <v>388</v>
      </c>
      <c r="C81" s="199">
        <f t="shared" ref="C81:W81" si="72">SUM(C78:C80)</f>
        <v>37870637.147799857</v>
      </c>
      <c r="D81" s="199">
        <f t="shared" si="72"/>
        <v>49666149.860623538</v>
      </c>
      <c r="E81" s="199">
        <f t="shared" si="72"/>
        <v>47140801.384321511</v>
      </c>
      <c r="F81" s="199">
        <f t="shared" si="72"/>
        <v>44615452.908019483</v>
      </c>
      <c r="G81" s="199">
        <f t="shared" si="72"/>
        <v>42090104.431717455</v>
      </c>
      <c r="H81" s="199">
        <f t="shared" si="72"/>
        <v>39564755.955415428</v>
      </c>
      <c r="I81" s="199">
        <f t="shared" si="72"/>
        <v>37039407.4791134</v>
      </c>
      <c r="J81" s="199">
        <f t="shared" si="72"/>
        <v>34514059.002811372</v>
      </c>
      <c r="K81" s="199">
        <f t="shared" si="72"/>
        <v>31988710.526509345</v>
      </c>
      <c r="L81" s="199">
        <f t="shared" si="72"/>
        <v>29463362.050207317</v>
      </c>
      <c r="M81" s="199">
        <f t="shared" si="72"/>
        <v>26938013.573905289</v>
      </c>
      <c r="N81" s="199">
        <f t="shared" si="72"/>
        <v>24412665.097603261</v>
      </c>
      <c r="O81" s="199">
        <f t="shared" si="72"/>
        <v>21887316.621301234</v>
      </c>
      <c r="P81" s="199">
        <f t="shared" si="72"/>
        <v>19361968.144999206</v>
      </c>
      <c r="Q81" s="199">
        <f t="shared" si="72"/>
        <v>16836619.668697175</v>
      </c>
      <c r="R81" s="199">
        <f t="shared" si="72"/>
        <v>13564924.303781301</v>
      </c>
      <c r="S81" s="199">
        <f t="shared" si="72"/>
        <v>10770527.868550844</v>
      </c>
      <c r="T81" s="199">
        <f t="shared" si="72"/>
        <v>8245179.3922488168</v>
      </c>
      <c r="U81" s="199">
        <f t="shared" si="72"/>
        <v>5719830.9159467891</v>
      </c>
      <c r="V81" s="199">
        <f t="shared" si="72"/>
        <v>3194482.4396447614</v>
      </c>
      <c r="W81" s="199">
        <f t="shared" si="72"/>
        <v>669133.96334273368</v>
      </c>
      <c r="Z81" s="260" t="s">
        <v>388</v>
      </c>
      <c r="AA81" s="507">
        <f t="shared" si="66"/>
        <v>37870.637147799855</v>
      </c>
      <c r="AB81" s="507">
        <f t="shared" si="66"/>
        <v>49666.14986062354</v>
      </c>
      <c r="AC81" s="507">
        <f t="shared" si="66"/>
        <v>47140.801384321509</v>
      </c>
      <c r="AD81" s="507">
        <f t="shared" si="66"/>
        <v>44615.452908019484</v>
      </c>
      <c r="AE81" s="507">
        <f t="shared" si="66"/>
        <v>42090.104431717453</v>
      </c>
      <c r="AF81" s="507">
        <f t="shared" si="66"/>
        <v>39564.755955415429</v>
      </c>
      <c r="AG81" s="507">
        <f t="shared" si="66"/>
        <v>37039.407479113397</v>
      </c>
      <c r="AH81" s="507">
        <f t="shared" si="66"/>
        <v>34514.059002811373</v>
      </c>
      <c r="AI81" s="507">
        <f t="shared" si="66"/>
        <v>31988.710526509345</v>
      </c>
      <c r="AJ81" s="507">
        <f t="shared" si="66"/>
        <v>29463.362050207317</v>
      </c>
      <c r="AK81" s="507">
        <f t="shared" si="66"/>
        <v>26938.013573905289</v>
      </c>
      <c r="AL81" s="507">
        <f t="shared" si="66"/>
        <v>24412.665097603262</v>
      </c>
      <c r="AM81" s="507">
        <f t="shared" si="66"/>
        <v>21887.316621301234</v>
      </c>
      <c r="AN81" s="507">
        <f t="shared" si="66"/>
        <v>19361.968144999206</v>
      </c>
      <c r="AO81" s="507">
        <f t="shared" si="66"/>
        <v>16836.619668697174</v>
      </c>
      <c r="AP81" s="507">
        <f t="shared" si="66"/>
        <v>13564.924303781301</v>
      </c>
      <c r="AQ81" s="507">
        <f t="shared" si="67"/>
        <v>10770.527868550844</v>
      </c>
      <c r="AR81" s="507">
        <f t="shared" si="67"/>
        <v>8245.1793922488159</v>
      </c>
      <c r="AS81" s="507">
        <f t="shared" si="67"/>
        <v>5719.830915946789</v>
      </c>
      <c r="AT81" s="507">
        <f t="shared" si="67"/>
        <v>3194.4824396447616</v>
      </c>
      <c r="AU81" s="507">
        <f t="shared" si="67"/>
        <v>669.13396334273364</v>
      </c>
    </row>
    <row r="82" spans="2:47" s="325" customFormat="1" ht="16" outlineLevel="1" thickBot="1">
      <c r="B82" s="351" t="s">
        <v>389</v>
      </c>
      <c r="C82" s="352">
        <f t="shared" ref="C82:W82" si="73">SUM(C77,C81)</f>
        <v>37870673.779962152</v>
      </c>
      <c r="D82" s="352">
        <f t="shared" si="73"/>
        <v>53079193.480118476</v>
      </c>
      <c r="E82" s="352">
        <f t="shared" si="73"/>
        <v>49757611.88891378</v>
      </c>
      <c r="F82" s="352">
        <f t="shared" si="73"/>
        <v>47649275.089791156</v>
      </c>
      <c r="G82" s="352">
        <f t="shared" si="73"/>
        <v>46392674.557150789</v>
      </c>
      <c r="H82" s="352">
        <f t="shared" si="73"/>
        <v>52423962.214912318</v>
      </c>
      <c r="I82" s="352">
        <f t="shared" si="73"/>
        <v>58128487.701184087</v>
      </c>
      <c r="J82" s="352">
        <f t="shared" si="73"/>
        <v>67009125.463943519</v>
      </c>
      <c r="K82" s="352">
        <f t="shared" si="73"/>
        <v>77197341.528308749</v>
      </c>
      <c r="L82" s="352">
        <f t="shared" si="73"/>
        <v>88767283.355240166</v>
      </c>
      <c r="M82" s="352">
        <f t="shared" si="73"/>
        <v>100772833.69282536</v>
      </c>
      <c r="N82" s="352">
        <f t="shared" si="73"/>
        <v>115974197.89098199</v>
      </c>
      <c r="O82" s="352">
        <f t="shared" si="73"/>
        <v>132683862.34636036</v>
      </c>
      <c r="P82" s="352">
        <f t="shared" si="73"/>
        <v>149945661.5234037</v>
      </c>
      <c r="Q82" s="352">
        <f t="shared" si="73"/>
        <v>167774558.9710463</v>
      </c>
      <c r="R82" s="352">
        <f t="shared" si="73"/>
        <v>186187567.63740605</v>
      </c>
      <c r="S82" s="352">
        <f t="shared" si="73"/>
        <v>205202210.85904449</v>
      </c>
      <c r="T82" s="352">
        <f t="shared" si="73"/>
        <v>224836537.67261991</v>
      </c>
      <c r="U82" s="352">
        <f t="shared" si="73"/>
        <v>245109138.58589053</v>
      </c>
      <c r="V82" s="352">
        <f t="shared" si="73"/>
        <v>266039161.82184717</v>
      </c>
      <c r="W82" s="352">
        <f t="shared" si="73"/>
        <v>262311863.14878783</v>
      </c>
      <c r="X82" s="324"/>
      <c r="Y82" s="324"/>
      <c r="Z82" s="351" t="s">
        <v>389</v>
      </c>
      <c r="AA82" s="513">
        <f t="shared" si="66"/>
        <v>37870.673779962155</v>
      </c>
      <c r="AB82" s="513">
        <f t="shared" si="66"/>
        <v>53079.193480118476</v>
      </c>
      <c r="AC82" s="513">
        <f t="shared" si="66"/>
        <v>49757.61188891378</v>
      </c>
      <c r="AD82" s="513">
        <f t="shared" si="66"/>
        <v>47649.275089791154</v>
      </c>
      <c r="AE82" s="513">
        <f t="shared" si="66"/>
        <v>46392.674557150785</v>
      </c>
      <c r="AF82" s="513">
        <f t="shared" si="66"/>
        <v>52423.962214912317</v>
      </c>
      <c r="AG82" s="513">
        <f t="shared" si="66"/>
        <v>58128.487701184087</v>
      </c>
      <c r="AH82" s="513">
        <f t="shared" si="66"/>
        <v>67009.125463943521</v>
      </c>
      <c r="AI82" s="513">
        <f t="shared" si="66"/>
        <v>77197.341528308752</v>
      </c>
      <c r="AJ82" s="513">
        <f t="shared" si="66"/>
        <v>88767.283355240172</v>
      </c>
      <c r="AK82" s="513">
        <f t="shared" si="66"/>
        <v>100772.83369282536</v>
      </c>
      <c r="AL82" s="513">
        <f t="shared" si="66"/>
        <v>115974.19789098199</v>
      </c>
      <c r="AM82" s="513">
        <f t="shared" si="66"/>
        <v>132683.86234636034</v>
      </c>
      <c r="AN82" s="513">
        <f t="shared" si="66"/>
        <v>149945.66152340372</v>
      </c>
      <c r="AO82" s="513">
        <f t="shared" si="66"/>
        <v>167774.5589710463</v>
      </c>
      <c r="AP82" s="513">
        <f t="shared" si="66"/>
        <v>186187.56763740606</v>
      </c>
      <c r="AQ82" s="513">
        <f t="shared" si="67"/>
        <v>205202.21085904448</v>
      </c>
      <c r="AR82" s="513">
        <f t="shared" si="67"/>
        <v>224836.53767261992</v>
      </c>
      <c r="AS82" s="513">
        <f t="shared" si="67"/>
        <v>245109.13858589053</v>
      </c>
      <c r="AT82" s="513">
        <f t="shared" si="67"/>
        <v>266039.1618218472</v>
      </c>
      <c r="AU82" s="513">
        <f t="shared" si="67"/>
        <v>262311.86314878782</v>
      </c>
    </row>
    <row r="83" spans="2:47" outlineLevel="1">
      <c r="B83" s="353" t="s">
        <v>390</v>
      </c>
      <c r="C83" s="354"/>
      <c r="D83" s="354"/>
      <c r="E83" s="354"/>
      <c r="F83" s="354"/>
      <c r="G83" s="354"/>
      <c r="H83" s="354"/>
      <c r="I83" s="354"/>
      <c r="J83" s="354"/>
      <c r="K83" s="354"/>
      <c r="L83" s="354"/>
      <c r="M83" s="354"/>
      <c r="N83" s="354"/>
      <c r="O83" s="354"/>
      <c r="P83" s="354"/>
      <c r="Q83" s="354"/>
      <c r="R83" s="354"/>
      <c r="S83" s="354"/>
      <c r="T83" s="354"/>
      <c r="U83" s="354"/>
      <c r="V83" s="354"/>
      <c r="W83" s="354"/>
      <c r="Z83" s="354" t="s">
        <v>390</v>
      </c>
      <c r="AA83" s="514"/>
      <c r="AB83" s="514"/>
      <c r="AC83" s="514"/>
      <c r="AD83" s="514"/>
      <c r="AE83" s="514"/>
      <c r="AF83" s="514"/>
      <c r="AG83" s="514"/>
      <c r="AH83" s="514"/>
      <c r="AI83" s="514"/>
      <c r="AJ83" s="514"/>
      <c r="AK83" s="514"/>
      <c r="AL83" s="514"/>
      <c r="AM83" s="514"/>
      <c r="AN83" s="514"/>
      <c r="AO83" s="514"/>
      <c r="AP83" s="514"/>
      <c r="AQ83" s="514"/>
      <c r="AR83" s="514"/>
      <c r="AS83" s="514"/>
      <c r="AT83" s="514"/>
      <c r="AU83" s="514"/>
    </row>
    <row r="84" spans="2:47" outlineLevel="1">
      <c r="B84" s="290" t="s">
        <v>391</v>
      </c>
      <c r="C84" s="319"/>
      <c r="D84" s="319">
        <f>-'Data Input'!D$47*D6</f>
        <v>582321.43464611773</v>
      </c>
      <c r="E84" s="319">
        <f>-'Data Input'!E$47*E6</f>
        <v>974224.48541020788</v>
      </c>
      <c r="F84" s="319">
        <f>-'Data Input'!F$47*F6</f>
        <v>1069449.3248655763</v>
      </c>
      <c r="G84" s="319">
        <f>-'Data Input'!G$47*G6</f>
        <v>1149246.9856739065</v>
      </c>
      <c r="H84" s="319">
        <f>-'Data Input'!H$47*H6</f>
        <v>1265218.114370543</v>
      </c>
      <c r="I84" s="319">
        <f>-'Data Input'!I$47*I6</f>
        <v>1376277.2064579478</v>
      </c>
      <c r="J84" s="319">
        <f>-'Data Input'!J$47*J6</f>
        <v>1441560.3874846259</v>
      </c>
      <c r="K84" s="319">
        <f>-'Data Input'!K$47*K6</f>
        <v>1498061.8979041879</v>
      </c>
      <c r="L84" s="319">
        <f>-'Data Input'!L$47*L6</f>
        <v>1556426.618472965</v>
      </c>
      <c r="M84" s="319">
        <f>-'Data Input'!M$47*M6</f>
        <v>1601621.085910337</v>
      </c>
      <c r="N84" s="319">
        <f>-'Data Input'!N$47*N6</f>
        <v>1648121.1533974586</v>
      </c>
      <c r="O84" s="319">
        <f>-'Data Input'!$O$47*O6</f>
        <v>1695964.2952836156</v>
      </c>
      <c r="P84" s="319">
        <f>-'Data Input'!$O$47*P6</f>
        <v>1746843.2241421235</v>
      </c>
      <c r="Q84" s="319">
        <f>-'Data Input'!$O$47*Q6</f>
        <v>1799248.5208663871</v>
      </c>
      <c r="R84" s="319">
        <f>-'Data Input'!$O$47*R6</f>
        <v>1853225.9764923791</v>
      </c>
      <c r="S84" s="319">
        <f>-'Data Input'!$O$47*S6</f>
        <v>1908822.7557871505</v>
      </c>
      <c r="T84" s="319">
        <f>-'Data Input'!$O$47*T6</f>
        <v>1966087.4384607647</v>
      </c>
      <c r="U84" s="319">
        <f>-'Data Input'!$O$47*U6</f>
        <v>2025070.0616145879</v>
      </c>
      <c r="V84" s="319">
        <f>-'Data Input'!$O$47*V6</f>
        <v>2085822.1634630254</v>
      </c>
      <c r="W84" s="319">
        <f>-'Data Input'!$O$47*W6</f>
        <v>0</v>
      </c>
      <c r="Z84" s="290" t="s">
        <v>391</v>
      </c>
      <c r="AA84" s="503">
        <f t="shared" ref="AA84:AP92" si="74">C84/1000</f>
        <v>0</v>
      </c>
      <c r="AB84" s="503">
        <f t="shared" si="74"/>
        <v>582.32143464611772</v>
      </c>
      <c r="AC84" s="503">
        <f t="shared" si="74"/>
        <v>974.22448541020788</v>
      </c>
      <c r="AD84" s="503">
        <f t="shared" si="74"/>
        <v>1069.4493248655763</v>
      </c>
      <c r="AE84" s="503">
        <f t="shared" si="74"/>
        <v>1149.2469856739065</v>
      </c>
      <c r="AF84" s="503">
        <f t="shared" si="74"/>
        <v>1265.2181143705429</v>
      </c>
      <c r="AG84" s="503">
        <f t="shared" si="74"/>
        <v>1376.2772064579478</v>
      </c>
      <c r="AH84" s="503">
        <f t="shared" si="74"/>
        <v>1441.5603874846258</v>
      </c>
      <c r="AI84" s="503">
        <f t="shared" si="74"/>
        <v>1498.0618979041878</v>
      </c>
      <c r="AJ84" s="503">
        <f t="shared" si="74"/>
        <v>1556.4266184729649</v>
      </c>
      <c r="AK84" s="503">
        <f t="shared" si="74"/>
        <v>1601.6210859103371</v>
      </c>
      <c r="AL84" s="503">
        <f t="shared" si="74"/>
        <v>1648.1211533974586</v>
      </c>
      <c r="AM84" s="503">
        <f t="shared" si="74"/>
        <v>1695.9642952836157</v>
      </c>
      <c r="AN84" s="503">
        <f t="shared" si="74"/>
        <v>1746.8432241421235</v>
      </c>
      <c r="AO84" s="503">
        <f t="shared" si="74"/>
        <v>1799.248520866387</v>
      </c>
      <c r="AP84" s="503">
        <f t="shared" si="74"/>
        <v>1853.225976492379</v>
      </c>
      <c r="AQ84" s="503">
        <f t="shared" ref="AQ84:AU92" si="75">S84/1000</f>
        <v>1908.8227557871505</v>
      </c>
      <c r="AR84" s="503">
        <f t="shared" si="75"/>
        <v>1966.0874384607648</v>
      </c>
      <c r="AS84" s="503">
        <f t="shared" si="75"/>
        <v>2025.070061614588</v>
      </c>
      <c r="AT84" s="503">
        <f t="shared" si="75"/>
        <v>2085.8221634630254</v>
      </c>
      <c r="AU84" s="503">
        <f t="shared" si="75"/>
        <v>0</v>
      </c>
    </row>
    <row r="85" spans="2:47" outlineLevel="1">
      <c r="B85" s="326" t="s">
        <v>392</v>
      </c>
      <c r="C85" s="321">
        <f>'CAPEX Financing'!C26+'WC Financing'!C31</f>
        <v>0</v>
      </c>
      <c r="D85" s="321">
        <f>'CAPEX Financing'!D26+'WC Financing'!D31</f>
        <v>5194550.6847972833</v>
      </c>
      <c r="E85" s="321">
        <f>'CAPEX Financing'!E26+'WC Financing'!E31</f>
        <v>5316645.8304254655</v>
      </c>
      <c r="F85" s="321">
        <f>'CAPEX Financing'!F26+'WC Financing'!F31</f>
        <v>4873590.182037035</v>
      </c>
      <c r="G85" s="321">
        <f>'CAPEX Financing'!G26+'WC Financing'!G31</f>
        <v>2124383.1700555952</v>
      </c>
      <c r="H85" s="321">
        <f>'CAPEX Financing'!H26+'WC Financing'!H31</f>
        <v>2254742.8642581999</v>
      </c>
      <c r="I85" s="321">
        <f>'CAPEX Financing'!I26+'WC Financing'!I31</f>
        <v>2393101.8921554652</v>
      </c>
      <c r="J85" s="321">
        <f>'CAPEX Financing'!J26+'WC Financing'!J31</f>
        <v>2539951.1212655306</v>
      </c>
      <c r="K85" s="321">
        <f>'CAPEX Financing'!K26+'WC Financing'!K31</f>
        <v>2695811.5404803334</v>
      </c>
      <c r="L85" s="321">
        <f>'CAPEX Financing'!L26+'WC Financing'!L31</f>
        <v>2861236.1084200577</v>
      </c>
      <c r="M85" s="321">
        <f>'CAPEX Financing'!M26+'WC Financing'!M31</f>
        <v>769928.14266133728</v>
      </c>
      <c r="N85" s="321">
        <f>'CAPEX Financing'!N26+'WC Financing'!N31</f>
        <v>8.64843107077431E-139</v>
      </c>
      <c r="O85" s="321">
        <f>'CAPEX Financing'!O26+'WC Financing'!O31</f>
        <v>4.5830241800473128E-139</v>
      </c>
      <c r="P85" s="321">
        <f>'CAPEX Financing'!P26+'WC Financing'!P31</f>
        <v>0</v>
      </c>
      <c r="Q85" s="321">
        <f>'CAPEX Financing'!Q26+'WC Financing'!Q31</f>
        <v>0</v>
      </c>
      <c r="R85" s="321">
        <f>'CAPEX Financing'!R26+'WC Financing'!R31</f>
        <v>0</v>
      </c>
      <c r="S85" s="321">
        <f>'CAPEX Financing'!S26+'WC Financing'!S31</f>
        <v>0</v>
      </c>
      <c r="T85" s="321">
        <f>'CAPEX Financing'!T26+'WC Financing'!T31</f>
        <v>0</v>
      </c>
      <c r="U85" s="321">
        <f>'CAPEX Financing'!U26+'WC Financing'!U31</f>
        <v>0</v>
      </c>
      <c r="V85" s="321">
        <f>'CAPEX Financing'!V26+'WC Financing'!V31</f>
        <v>0</v>
      </c>
      <c r="W85" s="321">
        <f>'CAPEX Financing'!W26+'WC Financing'!W31</f>
        <v>0</v>
      </c>
      <c r="Z85" s="326" t="s">
        <v>392</v>
      </c>
      <c r="AA85" s="504">
        <f t="shared" si="74"/>
        <v>0</v>
      </c>
      <c r="AB85" s="504">
        <f t="shared" si="74"/>
        <v>5194.5506847972829</v>
      </c>
      <c r="AC85" s="504">
        <f t="shared" si="74"/>
        <v>5316.6458304254656</v>
      </c>
      <c r="AD85" s="504">
        <f t="shared" si="74"/>
        <v>4873.5901820370354</v>
      </c>
      <c r="AE85" s="504">
        <f t="shared" si="74"/>
        <v>2124.3831700555952</v>
      </c>
      <c r="AF85" s="504">
        <f t="shared" si="74"/>
        <v>2254.7428642581999</v>
      </c>
      <c r="AG85" s="504">
        <f t="shared" si="74"/>
        <v>2393.1018921554651</v>
      </c>
      <c r="AH85" s="504">
        <f t="shared" si="74"/>
        <v>2539.9511212655307</v>
      </c>
      <c r="AI85" s="504">
        <f t="shared" si="74"/>
        <v>2695.8115404803334</v>
      </c>
      <c r="AJ85" s="504">
        <f t="shared" si="74"/>
        <v>2861.2361084200575</v>
      </c>
      <c r="AK85" s="504">
        <f t="shared" si="74"/>
        <v>769.92814266133723</v>
      </c>
      <c r="AL85" s="504">
        <f t="shared" si="74"/>
        <v>8.6484310707743105E-142</v>
      </c>
      <c r="AM85" s="504">
        <f t="shared" si="74"/>
        <v>4.5830241800473129E-142</v>
      </c>
      <c r="AN85" s="504">
        <f t="shared" si="74"/>
        <v>0</v>
      </c>
      <c r="AO85" s="504">
        <f t="shared" si="74"/>
        <v>0</v>
      </c>
      <c r="AP85" s="504">
        <f t="shared" si="74"/>
        <v>0</v>
      </c>
      <c r="AQ85" s="504">
        <f t="shared" si="75"/>
        <v>0</v>
      </c>
      <c r="AR85" s="504">
        <f t="shared" si="75"/>
        <v>0</v>
      </c>
      <c r="AS85" s="504">
        <f t="shared" si="75"/>
        <v>0</v>
      </c>
      <c r="AT85" s="504">
        <f t="shared" si="75"/>
        <v>0</v>
      </c>
      <c r="AU85" s="504">
        <f t="shared" si="75"/>
        <v>0</v>
      </c>
    </row>
    <row r="86" spans="2:47" outlineLevel="1">
      <c r="B86" s="327" t="s">
        <v>393</v>
      </c>
      <c r="C86" s="323">
        <f t="shared" ref="C86:W86" si="76">SUM(C84:C85)</f>
        <v>0</v>
      </c>
      <c r="D86" s="323">
        <f t="shared" si="76"/>
        <v>5776872.1194434008</v>
      </c>
      <c r="E86" s="323">
        <f t="shared" si="76"/>
        <v>6290870.3158356734</v>
      </c>
      <c r="F86" s="323">
        <f t="shared" si="76"/>
        <v>5943039.5069026109</v>
      </c>
      <c r="G86" s="323">
        <f t="shared" si="76"/>
        <v>3273630.1557295015</v>
      </c>
      <c r="H86" s="323">
        <f t="shared" si="76"/>
        <v>3519960.978628743</v>
      </c>
      <c r="I86" s="323">
        <f t="shared" si="76"/>
        <v>3769379.0986134131</v>
      </c>
      <c r="J86" s="323">
        <f t="shared" si="76"/>
        <v>3981511.5087501565</v>
      </c>
      <c r="K86" s="323">
        <f t="shared" si="76"/>
        <v>4193873.4383845213</v>
      </c>
      <c r="L86" s="323">
        <f t="shared" si="76"/>
        <v>4417662.7268930227</v>
      </c>
      <c r="M86" s="323">
        <f t="shared" si="76"/>
        <v>2371549.2285716743</v>
      </c>
      <c r="N86" s="323">
        <f t="shared" si="76"/>
        <v>1648121.1533974586</v>
      </c>
      <c r="O86" s="323">
        <f t="shared" si="76"/>
        <v>1695964.2952836156</v>
      </c>
      <c r="P86" s="323">
        <f t="shared" si="76"/>
        <v>1746843.2241421235</v>
      </c>
      <c r="Q86" s="323">
        <f t="shared" si="76"/>
        <v>1799248.5208663871</v>
      </c>
      <c r="R86" s="323">
        <f t="shared" si="76"/>
        <v>1853225.9764923791</v>
      </c>
      <c r="S86" s="323">
        <f t="shared" si="76"/>
        <v>1908822.7557871505</v>
      </c>
      <c r="T86" s="323">
        <f t="shared" si="76"/>
        <v>1966087.4384607647</v>
      </c>
      <c r="U86" s="323">
        <f t="shared" si="76"/>
        <v>2025070.0616145879</v>
      </c>
      <c r="V86" s="323">
        <f t="shared" si="76"/>
        <v>2085822.1634630254</v>
      </c>
      <c r="W86" s="323">
        <f t="shared" si="76"/>
        <v>0</v>
      </c>
      <c r="Z86" s="327" t="s">
        <v>393</v>
      </c>
      <c r="AA86" s="505">
        <f t="shared" si="74"/>
        <v>0</v>
      </c>
      <c r="AB86" s="505">
        <f t="shared" si="74"/>
        <v>5776.8721194434011</v>
      </c>
      <c r="AC86" s="505">
        <f t="shared" si="74"/>
        <v>6290.870315835673</v>
      </c>
      <c r="AD86" s="505">
        <f t="shared" si="74"/>
        <v>5943.0395069026108</v>
      </c>
      <c r="AE86" s="505">
        <f t="shared" si="74"/>
        <v>3273.6301557295014</v>
      </c>
      <c r="AF86" s="505">
        <f t="shared" si="74"/>
        <v>3519.9609786287429</v>
      </c>
      <c r="AG86" s="505">
        <f t="shared" si="74"/>
        <v>3769.3790986134131</v>
      </c>
      <c r="AH86" s="505">
        <f t="shared" si="74"/>
        <v>3981.5115087501563</v>
      </c>
      <c r="AI86" s="505">
        <f t="shared" si="74"/>
        <v>4193.8734383845213</v>
      </c>
      <c r="AJ86" s="505">
        <f t="shared" si="74"/>
        <v>4417.6627268930224</v>
      </c>
      <c r="AK86" s="505">
        <f t="shared" si="74"/>
        <v>2371.5492285716741</v>
      </c>
      <c r="AL86" s="505">
        <f t="shared" si="74"/>
        <v>1648.1211533974586</v>
      </c>
      <c r="AM86" s="505">
        <f t="shared" si="74"/>
        <v>1695.9642952836157</v>
      </c>
      <c r="AN86" s="505">
        <f t="shared" si="74"/>
        <v>1746.8432241421235</v>
      </c>
      <c r="AO86" s="505">
        <f t="shared" si="74"/>
        <v>1799.248520866387</v>
      </c>
      <c r="AP86" s="505">
        <f t="shared" si="74"/>
        <v>1853.225976492379</v>
      </c>
      <c r="AQ86" s="505">
        <f t="shared" si="75"/>
        <v>1908.8227557871505</v>
      </c>
      <c r="AR86" s="505">
        <f t="shared" si="75"/>
        <v>1966.0874384607648</v>
      </c>
      <c r="AS86" s="505">
        <f t="shared" si="75"/>
        <v>2025.070061614588</v>
      </c>
      <c r="AT86" s="505">
        <f t="shared" si="75"/>
        <v>2085.8221634630254</v>
      </c>
      <c r="AU86" s="505">
        <f t="shared" si="75"/>
        <v>0</v>
      </c>
    </row>
    <row r="87" spans="2:47" outlineLevel="1">
      <c r="B87" s="326" t="s">
        <v>394</v>
      </c>
      <c r="C87" s="321">
        <f>'CAPEX Financing'!C27+'WC Financing'!C32</f>
        <v>26814694.156351309</v>
      </c>
      <c r="D87" s="321">
        <f>'CAPEX Financing'!D27+'WC Financing'!D32</f>
        <v>36480943.550241053</v>
      </c>
      <c r="E87" s="321">
        <f>'CAPEX Financing'!E27+'WC Financing'!E32</f>
        <v>35073224.903646082</v>
      </c>
      <c r="F87" s="321">
        <f>'CAPEX Financing'!F27+'WC Financing'!F32</f>
        <v>33071664.581733175</v>
      </c>
      <c r="G87" s="321">
        <f>'CAPEX Financing'!G27+'WC Financing'!G32</f>
        <v>30947281.41167758</v>
      </c>
      <c r="H87" s="321">
        <f>'CAPEX Financing'!H27+'WC Financing'!H32</f>
        <v>28692538.54741938</v>
      </c>
      <c r="I87" s="321">
        <f>'CAPEX Financing'!I27+'WC Financing'!I32</f>
        <v>26299436.655263916</v>
      </c>
      <c r="J87" s="321">
        <f>'CAPEX Financing'!J27+'WC Financing'!J32</f>
        <v>23759485.533998385</v>
      </c>
      <c r="K87" s="321">
        <f>'CAPEX Financing'!K27+'WC Financing'!K32</f>
        <v>21063673.993518051</v>
      </c>
      <c r="L87" s="321">
        <f>'CAPEX Financing'!L27+'WC Financing'!L32</f>
        <v>18202437.885097992</v>
      </c>
      <c r="M87" s="321">
        <f>'CAPEX Financing'!M27+'WC Financing'!M32</f>
        <v>17432509.742436655</v>
      </c>
      <c r="N87" s="321">
        <f>'CAPEX Financing'!N27+'WC Financing'!N32</f>
        <v>17432509.742436655</v>
      </c>
      <c r="O87" s="321">
        <f>'CAPEX Financing'!O27+'WC Financing'!O32</f>
        <v>17432509.742436655</v>
      </c>
      <c r="P87" s="321">
        <f>'CAPEX Financing'!P27+'WC Financing'!P32</f>
        <v>17432509.742436655</v>
      </c>
      <c r="Q87" s="321">
        <f>'CAPEX Financing'!Q27+'WC Financing'!Q32</f>
        <v>17432509.742436655</v>
      </c>
      <c r="R87" s="321">
        <f>'CAPEX Financing'!R27+'WC Financing'!R32</f>
        <v>17432509.742436655</v>
      </c>
      <c r="S87" s="321">
        <f>'CAPEX Financing'!S27+'WC Financing'!S32</f>
        <v>17432509.742436655</v>
      </c>
      <c r="T87" s="321">
        <f>'CAPEX Financing'!T27+'WC Financing'!T32</f>
        <v>17432509.742436655</v>
      </c>
      <c r="U87" s="321">
        <f>'CAPEX Financing'!U27+'WC Financing'!U32</f>
        <v>17432509.742436655</v>
      </c>
      <c r="V87" s="321">
        <f>'CAPEX Financing'!V27+'WC Financing'!V32</f>
        <v>17432509.742436655</v>
      </c>
      <c r="W87" s="321">
        <f>'CAPEX Financing'!W27+'WC Financing'!W32</f>
        <v>17432509.742436655</v>
      </c>
      <c r="Z87" s="326" t="s">
        <v>394</v>
      </c>
      <c r="AA87" s="504">
        <f t="shared" si="74"/>
        <v>26814.69415635131</v>
      </c>
      <c r="AB87" s="504">
        <f t="shared" si="74"/>
        <v>36480.943550241056</v>
      </c>
      <c r="AC87" s="504">
        <f t="shared" si="74"/>
        <v>35073.224903646085</v>
      </c>
      <c r="AD87" s="504">
        <f t="shared" si="74"/>
        <v>33071.664581733174</v>
      </c>
      <c r="AE87" s="504">
        <f t="shared" si="74"/>
        <v>30947.281411677581</v>
      </c>
      <c r="AF87" s="504">
        <f t="shared" si="74"/>
        <v>28692.538547419379</v>
      </c>
      <c r="AG87" s="504">
        <f t="shared" si="74"/>
        <v>26299.436655263915</v>
      </c>
      <c r="AH87" s="504">
        <f t="shared" si="74"/>
        <v>23759.485533998384</v>
      </c>
      <c r="AI87" s="504">
        <f t="shared" si="74"/>
        <v>21063.673993518052</v>
      </c>
      <c r="AJ87" s="504">
        <f t="shared" si="74"/>
        <v>18202.437885097992</v>
      </c>
      <c r="AK87" s="504">
        <f t="shared" si="74"/>
        <v>17432.509742436654</v>
      </c>
      <c r="AL87" s="504">
        <f t="shared" si="74"/>
        <v>17432.509742436654</v>
      </c>
      <c r="AM87" s="504">
        <f t="shared" si="74"/>
        <v>17432.509742436654</v>
      </c>
      <c r="AN87" s="504">
        <f t="shared" si="74"/>
        <v>17432.509742436654</v>
      </c>
      <c r="AO87" s="504">
        <f t="shared" si="74"/>
        <v>17432.509742436654</v>
      </c>
      <c r="AP87" s="504">
        <f t="shared" si="74"/>
        <v>17432.509742436654</v>
      </c>
      <c r="AQ87" s="504">
        <f t="shared" si="75"/>
        <v>17432.509742436654</v>
      </c>
      <c r="AR87" s="504">
        <f t="shared" si="75"/>
        <v>17432.509742436654</v>
      </c>
      <c r="AS87" s="504">
        <f t="shared" si="75"/>
        <v>17432.509742436654</v>
      </c>
      <c r="AT87" s="504">
        <f t="shared" si="75"/>
        <v>17432.509742436654</v>
      </c>
      <c r="AU87" s="504">
        <f t="shared" si="75"/>
        <v>17432.509742436654</v>
      </c>
    </row>
    <row r="88" spans="2:47" outlineLevel="1">
      <c r="B88" s="327" t="s">
        <v>395</v>
      </c>
      <c r="C88" s="323">
        <f t="shared" ref="C88:W88" si="77">SUM(C87)</f>
        <v>26814694.156351309</v>
      </c>
      <c r="D88" s="323">
        <f t="shared" si="77"/>
        <v>36480943.550241053</v>
      </c>
      <c r="E88" s="323">
        <f t="shared" si="77"/>
        <v>35073224.903646082</v>
      </c>
      <c r="F88" s="323">
        <f t="shared" si="77"/>
        <v>33071664.581733175</v>
      </c>
      <c r="G88" s="323">
        <f t="shared" si="77"/>
        <v>30947281.41167758</v>
      </c>
      <c r="H88" s="323">
        <f t="shared" si="77"/>
        <v>28692538.54741938</v>
      </c>
      <c r="I88" s="323">
        <f t="shared" si="77"/>
        <v>26299436.655263916</v>
      </c>
      <c r="J88" s="323">
        <f t="shared" si="77"/>
        <v>23759485.533998385</v>
      </c>
      <c r="K88" s="323">
        <f t="shared" si="77"/>
        <v>21063673.993518051</v>
      </c>
      <c r="L88" s="323">
        <f t="shared" si="77"/>
        <v>18202437.885097992</v>
      </c>
      <c r="M88" s="323">
        <f t="shared" si="77"/>
        <v>17432509.742436655</v>
      </c>
      <c r="N88" s="323">
        <f t="shared" si="77"/>
        <v>17432509.742436655</v>
      </c>
      <c r="O88" s="323">
        <f t="shared" si="77"/>
        <v>17432509.742436655</v>
      </c>
      <c r="P88" s="323">
        <f t="shared" si="77"/>
        <v>17432509.742436655</v>
      </c>
      <c r="Q88" s="323">
        <f t="shared" si="77"/>
        <v>17432509.742436655</v>
      </c>
      <c r="R88" s="323">
        <f t="shared" si="77"/>
        <v>17432509.742436655</v>
      </c>
      <c r="S88" s="323">
        <f t="shared" si="77"/>
        <v>17432509.742436655</v>
      </c>
      <c r="T88" s="323">
        <f t="shared" si="77"/>
        <v>17432509.742436655</v>
      </c>
      <c r="U88" s="323">
        <f t="shared" si="77"/>
        <v>17432509.742436655</v>
      </c>
      <c r="V88" s="323">
        <f t="shared" si="77"/>
        <v>17432509.742436655</v>
      </c>
      <c r="W88" s="323">
        <f t="shared" si="77"/>
        <v>17432509.742436655</v>
      </c>
      <c r="Z88" s="327" t="s">
        <v>395</v>
      </c>
      <c r="AA88" s="505">
        <f t="shared" si="74"/>
        <v>26814.69415635131</v>
      </c>
      <c r="AB88" s="505">
        <f t="shared" si="74"/>
        <v>36480.943550241056</v>
      </c>
      <c r="AC88" s="505">
        <f t="shared" si="74"/>
        <v>35073.224903646085</v>
      </c>
      <c r="AD88" s="505">
        <f t="shared" si="74"/>
        <v>33071.664581733174</v>
      </c>
      <c r="AE88" s="505">
        <f t="shared" si="74"/>
        <v>30947.281411677581</v>
      </c>
      <c r="AF88" s="505">
        <f t="shared" si="74"/>
        <v>28692.538547419379</v>
      </c>
      <c r="AG88" s="505">
        <f t="shared" si="74"/>
        <v>26299.436655263915</v>
      </c>
      <c r="AH88" s="505">
        <f t="shared" si="74"/>
        <v>23759.485533998384</v>
      </c>
      <c r="AI88" s="505">
        <f t="shared" si="74"/>
        <v>21063.673993518052</v>
      </c>
      <c r="AJ88" s="505">
        <f t="shared" si="74"/>
        <v>18202.437885097992</v>
      </c>
      <c r="AK88" s="505">
        <f t="shared" si="74"/>
        <v>17432.509742436654</v>
      </c>
      <c r="AL88" s="505">
        <f t="shared" si="74"/>
        <v>17432.509742436654</v>
      </c>
      <c r="AM88" s="505">
        <f t="shared" si="74"/>
        <v>17432.509742436654</v>
      </c>
      <c r="AN88" s="505">
        <f t="shared" si="74"/>
        <v>17432.509742436654</v>
      </c>
      <c r="AO88" s="505">
        <f t="shared" si="74"/>
        <v>17432.509742436654</v>
      </c>
      <c r="AP88" s="505">
        <f t="shared" si="74"/>
        <v>17432.509742436654</v>
      </c>
      <c r="AQ88" s="505">
        <f t="shared" si="75"/>
        <v>17432.509742436654</v>
      </c>
      <c r="AR88" s="505">
        <f t="shared" si="75"/>
        <v>17432.509742436654</v>
      </c>
      <c r="AS88" s="505">
        <f t="shared" si="75"/>
        <v>17432.509742436654</v>
      </c>
      <c r="AT88" s="505">
        <f t="shared" si="75"/>
        <v>17432.509742436654</v>
      </c>
      <c r="AU88" s="505">
        <f t="shared" si="75"/>
        <v>17432.509742436654</v>
      </c>
    </row>
    <row r="89" spans="2:47" outlineLevel="1">
      <c r="B89" s="290" t="s">
        <v>280</v>
      </c>
      <c r="C89" s="319">
        <f>C30</f>
        <v>13407347.078175653</v>
      </c>
      <c r="D89" s="319">
        <f t="shared" ref="D89:W89" si="78">D30+C89</f>
        <v>18240471.775120519</v>
      </c>
      <c r="E89" s="319">
        <f t="shared" si="78"/>
        <v>18240471.775120519</v>
      </c>
      <c r="F89" s="319">
        <f t="shared" si="78"/>
        <v>18240471.775120519</v>
      </c>
      <c r="G89" s="319">
        <f t="shared" si="78"/>
        <v>18240471.775120519</v>
      </c>
      <c r="H89" s="319">
        <f t="shared" si="78"/>
        <v>18240471.775120519</v>
      </c>
      <c r="I89" s="319">
        <f t="shared" si="78"/>
        <v>18240471.775120519</v>
      </c>
      <c r="J89" s="319">
        <f t="shared" si="78"/>
        <v>18240471.775120519</v>
      </c>
      <c r="K89" s="319">
        <f t="shared" si="78"/>
        <v>18240471.775120519</v>
      </c>
      <c r="L89" s="319">
        <f t="shared" si="78"/>
        <v>18240471.775120519</v>
      </c>
      <c r="M89" s="319">
        <f t="shared" si="78"/>
        <v>18240471.775120519</v>
      </c>
      <c r="N89" s="319">
        <f t="shared" si="78"/>
        <v>18240471.775120519</v>
      </c>
      <c r="O89" s="319">
        <f t="shared" si="78"/>
        <v>18240471.775120519</v>
      </c>
      <c r="P89" s="319">
        <f t="shared" si="78"/>
        <v>18240471.775120519</v>
      </c>
      <c r="Q89" s="319">
        <f t="shared" si="78"/>
        <v>18240471.775120519</v>
      </c>
      <c r="R89" s="319">
        <f t="shared" si="78"/>
        <v>18240471.775120519</v>
      </c>
      <c r="S89" s="319">
        <f t="shared" si="78"/>
        <v>18240471.775120519</v>
      </c>
      <c r="T89" s="319">
        <f t="shared" si="78"/>
        <v>18240471.775120519</v>
      </c>
      <c r="U89" s="319">
        <f t="shared" si="78"/>
        <v>18240471.775120519</v>
      </c>
      <c r="V89" s="319">
        <f t="shared" si="78"/>
        <v>18240471.775120519</v>
      </c>
      <c r="W89" s="319">
        <f t="shared" si="78"/>
        <v>18240471.775120519</v>
      </c>
      <c r="Z89" s="290" t="s">
        <v>280</v>
      </c>
      <c r="AA89" s="503">
        <f t="shared" si="74"/>
        <v>13407.347078175653</v>
      </c>
      <c r="AB89" s="503">
        <f t="shared" si="74"/>
        <v>18240.471775120521</v>
      </c>
      <c r="AC89" s="503">
        <f t="shared" si="74"/>
        <v>18240.471775120521</v>
      </c>
      <c r="AD89" s="503">
        <f t="shared" si="74"/>
        <v>18240.471775120521</v>
      </c>
      <c r="AE89" s="503">
        <f t="shared" si="74"/>
        <v>18240.471775120521</v>
      </c>
      <c r="AF89" s="503">
        <f t="shared" si="74"/>
        <v>18240.471775120521</v>
      </c>
      <c r="AG89" s="503">
        <f t="shared" si="74"/>
        <v>18240.471775120521</v>
      </c>
      <c r="AH89" s="503">
        <f t="shared" si="74"/>
        <v>18240.471775120521</v>
      </c>
      <c r="AI89" s="503">
        <f t="shared" si="74"/>
        <v>18240.471775120521</v>
      </c>
      <c r="AJ89" s="503">
        <f t="shared" si="74"/>
        <v>18240.471775120521</v>
      </c>
      <c r="AK89" s="503">
        <f t="shared" si="74"/>
        <v>18240.471775120521</v>
      </c>
      <c r="AL89" s="503">
        <f t="shared" si="74"/>
        <v>18240.471775120521</v>
      </c>
      <c r="AM89" s="503">
        <f t="shared" si="74"/>
        <v>18240.471775120521</v>
      </c>
      <c r="AN89" s="503">
        <f t="shared" si="74"/>
        <v>18240.471775120521</v>
      </c>
      <c r="AO89" s="503">
        <f t="shared" si="74"/>
        <v>18240.471775120521</v>
      </c>
      <c r="AP89" s="503">
        <f t="shared" si="74"/>
        <v>18240.471775120521</v>
      </c>
      <c r="AQ89" s="503">
        <f t="shared" si="75"/>
        <v>18240.471775120521</v>
      </c>
      <c r="AR89" s="503">
        <f t="shared" si="75"/>
        <v>18240.471775120521</v>
      </c>
      <c r="AS89" s="503">
        <f t="shared" si="75"/>
        <v>18240.471775120521</v>
      </c>
      <c r="AT89" s="503">
        <f t="shared" si="75"/>
        <v>18240.471775120521</v>
      </c>
      <c r="AU89" s="503">
        <f t="shared" si="75"/>
        <v>18240.471775120521</v>
      </c>
    </row>
    <row r="90" spans="2:47" outlineLevel="1">
      <c r="B90" s="334" t="s">
        <v>396</v>
      </c>
      <c r="C90" s="335">
        <f>C15-SUM(Dashboard!$E$27:E27)</f>
        <v>-2351367.4545647986</v>
      </c>
      <c r="D90" s="335">
        <f>D15-SUM(Dashboard!$E$27:F27)</f>
        <v>-7419093.9646864813</v>
      </c>
      <c r="E90" s="335">
        <f>E15-SUM(Dashboard!$E$27:G27)</f>
        <v>-9846955.1056884825</v>
      </c>
      <c r="F90" s="335">
        <f>F15-SUM(Dashboard!$E$27:H27)</f>
        <v>-9605900.7739651371</v>
      </c>
      <c r="G90" s="335">
        <f>G15-SUM(Dashboard!$E$27:I27)</f>
        <v>-6068708.7853768002</v>
      </c>
      <c r="H90" s="335">
        <f>H15-SUM(Dashboard!$E$27:J27)</f>
        <v>1970990.9137436789</v>
      </c>
      <c r="I90" s="335">
        <f>I15-SUM(Dashboard!$E$27:Z27)</f>
        <v>9819200.1721862424</v>
      </c>
      <c r="J90" s="335">
        <f>J15-SUM(Dashboard!$E$27:L27)</f>
        <v>21027656.646074459</v>
      </c>
      <c r="K90" s="335">
        <f>K15-SUM(Dashboard!$E$27:M27)</f>
        <v>33699322.32128565</v>
      </c>
      <c r="L90" s="335">
        <f>L15-SUM(Dashboard!$E$27:N27)</f>
        <v>47906710.968128622</v>
      </c>
      <c r="M90" s="335">
        <f>M15-SUM(Dashboard!$E$27:O27)</f>
        <v>62728302.946696512</v>
      </c>
      <c r="N90" s="335">
        <f>N15-SUM(Dashboard!$E$27:P27)</f>
        <v>78653095.220027342</v>
      </c>
      <c r="O90" s="335">
        <f>O15-SUM(Dashboard!$E$27:Q27)</f>
        <v>95314916.533519566</v>
      </c>
      <c r="P90" s="335">
        <f>P15-SUM(Dashboard!$E$27:R27)</f>
        <v>112525836.78170443</v>
      </c>
      <c r="Q90" s="335">
        <f>Q15-SUM(Dashboard!$E$27:S27)</f>
        <v>130302328.93262273</v>
      </c>
      <c r="R90" s="335">
        <f>R15-SUM(Dashboard!$E$27:T27)</f>
        <v>148661360.14335647</v>
      </c>
      <c r="S90" s="335">
        <f>S15-SUM(Dashboard!$E$27:U27)</f>
        <v>167620406.58570012</v>
      </c>
      <c r="T90" s="335">
        <f>T15-SUM(Dashboard!$E$27:V27)</f>
        <v>187197468.71660197</v>
      </c>
      <c r="U90" s="335">
        <f>U15-SUM(Dashboard!$E$27:W27)</f>
        <v>207411087.00671875</v>
      </c>
      <c r="V90" s="335">
        <f>V15-SUM(Dashboard!$E$27:Z27)</f>
        <v>228280358.14082694</v>
      </c>
      <c r="W90" s="335">
        <f>W15-SUM(Dashboard!$E$27:Y27)</f>
        <v>226638881.63123062</v>
      </c>
      <c r="Z90" s="334" t="s">
        <v>396</v>
      </c>
      <c r="AA90" s="506">
        <f t="shared" si="74"/>
        <v>-2351.3674545647987</v>
      </c>
      <c r="AB90" s="506">
        <f t="shared" si="74"/>
        <v>-7419.0939646864808</v>
      </c>
      <c r="AC90" s="506">
        <f t="shared" si="74"/>
        <v>-9846.9551056884829</v>
      </c>
      <c r="AD90" s="506">
        <f t="shared" si="74"/>
        <v>-9605.900773965137</v>
      </c>
      <c r="AE90" s="506">
        <f t="shared" si="74"/>
        <v>-6068.7087853767998</v>
      </c>
      <c r="AF90" s="506">
        <f t="shared" si="74"/>
        <v>1970.9909137436789</v>
      </c>
      <c r="AG90" s="506">
        <f t="shared" si="74"/>
        <v>9819.2001721862416</v>
      </c>
      <c r="AH90" s="506">
        <f t="shared" si="74"/>
        <v>21027.656646074458</v>
      </c>
      <c r="AI90" s="506">
        <f t="shared" si="74"/>
        <v>33699.322321285654</v>
      </c>
      <c r="AJ90" s="506">
        <f t="shared" si="74"/>
        <v>47906.710968128624</v>
      </c>
      <c r="AK90" s="506">
        <f t="shared" si="74"/>
        <v>62728.302946696509</v>
      </c>
      <c r="AL90" s="506">
        <f t="shared" si="74"/>
        <v>78653.095220027346</v>
      </c>
      <c r="AM90" s="506">
        <f t="shared" si="74"/>
        <v>95314.916533519572</v>
      </c>
      <c r="AN90" s="506">
        <f t="shared" si="74"/>
        <v>112525.83678170442</v>
      </c>
      <c r="AO90" s="506">
        <f t="shared" si="74"/>
        <v>130302.32893262272</v>
      </c>
      <c r="AP90" s="506">
        <f t="shared" si="74"/>
        <v>148661.36014335646</v>
      </c>
      <c r="AQ90" s="506">
        <f t="shared" si="75"/>
        <v>167620.40658570011</v>
      </c>
      <c r="AR90" s="506">
        <f t="shared" si="75"/>
        <v>187197.46871660196</v>
      </c>
      <c r="AS90" s="506">
        <f t="shared" si="75"/>
        <v>207411.08700671876</v>
      </c>
      <c r="AT90" s="506">
        <f t="shared" si="75"/>
        <v>228280.35814082695</v>
      </c>
      <c r="AU90" s="506">
        <f t="shared" si="75"/>
        <v>226638.88163123062</v>
      </c>
    </row>
    <row r="91" spans="2:47" ht="16" outlineLevel="1" thickBot="1">
      <c r="B91" s="260" t="s">
        <v>397</v>
      </c>
      <c r="C91" s="199">
        <f t="shared" ref="C91:W91" si="79">SUM(C89:C90)</f>
        <v>11055979.623610854</v>
      </c>
      <c r="D91" s="199">
        <f t="shared" si="79"/>
        <v>10821377.810434038</v>
      </c>
      <c r="E91" s="199">
        <f t="shared" si="79"/>
        <v>8393516.6694320366</v>
      </c>
      <c r="F91" s="199">
        <f t="shared" si="79"/>
        <v>8634571.001155382</v>
      </c>
      <c r="G91" s="199">
        <f t="shared" si="79"/>
        <v>12171762.989743719</v>
      </c>
      <c r="H91" s="199">
        <f t="shared" si="79"/>
        <v>20211462.688864198</v>
      </c>
      <c r="I91" s="199">
        <f t="shared" si="79"/>
        <v>28059671.94730676</v>
      </c>
      <c r="J91" s="199">
        <f t="shared" si="79"/>
        <v>39268128.421194978</v>
      </c>
      <c r="K91" s="199">
        <f t="shared" si="79"/>
        <v>51939794.096406169</v>
      </c>
      <c r="L91" s="199">
        <f t="shared" si="79"/>
        <v>66147182.743249141</v>
      </c>
      <c r="M91" s="199">
        <f t="shared" si="79"/>
        <v>80968774.721817032</v>
      </c>
      <c r="N91" s="199">
        <f t="shared" si="79"/>
        <v>96893566.995147854</v>
      </c>
      <c r="O91" s="199">
        <f t="shared" si="79"/>
        <v>113555388.30864009</v>
      </c>
      <c r="P91" s="199">
        <f t="shared" si="79"/>
        <v>130766308.55682495</v>
      </c>
      <c r="Q91" s="199">
        <f t="shared" si="79"/>
        <v>148542800.70774326</v>
      </c>
      <c r="R91" s="199">
        <f t="shared" si="79"/>
        <v>166901831.918477</v>
      </c>
      <c r="S91" s="199">
        <f t="shared" si="79"/>
        <v>185860878.36082065</v>
      </c>
      <c r="T91" s="199">
        <f t="shared" si="79"/>
        <v>205437940.49172249</v>
      </c>
      <c r="U91" s="199">
        <f t="shared" si="79"/>
        <v>225651558.78183928</v>
      </c>
      <c r="V91" s="199">
        <f t="shared" si="79"/>
        <v>246520829.91594747</v>
      </c>
      <c r="W91" s="199">
        <f t="shared" si="79"/>
        <v>244879353.40635115</v>
      </c>
      <c r="Z91" s="260" t="s">
        <v>397</v>
      </c>
      <c r="AA91" s="507">
        <f t="shared" si="74"/>
        <v>11055.979623610854</v>
      </c>
      <c r="AB91" s="507">
        <f t="shared" si="74"/>
        <v>10821.377810434038</v>
      </c>
      <c r="AC91" s="507">
        <f t="shared" si="74"/>
        <v>8393.516669432036</v>
      </c>
      <c r="AD91" s="507">
        <f t="shared" si="74"/>
        <v>8634.571001155382</v>
      </c>
      <c r="AE91" s="507">
        <f t="shared" si="74"/>
        <v>12171.762989743718</v>
      </c>
      <c r="AF91" s="507">
        <f t="shared" si="74"/>
        <v>20211.462688864198</v>
      </c>
      <c r="AG91" s="507">
        <f t="shared" si="74"/>
        <v>28059.671947306761</v>
      </c>
      <c r="AH91" s="507">
        <f t="shared" si="74"/>
        <v>39268.128421194975</v>
      </c>
      <c r="AI91" s="507">
        <f t="shared" si="74"/>
        <v>51939.794096406171</v>
      </c>
      <c r="AJ91" s="507">
        <f t="shared" si="74"/>
        <v>66147.182743249141</v>
      </c>
      <c r="AK91" s="507">
        <f t="shared" si="74"/>
        <v>80968.774721817026</v>
      </c>
      <c r="AL91" s="507">
        <f t="shared" si="74"/>
        <v>96893.566995147849</v>
      </c>
      <c r="AM91" s="507">
        <f t="shared" si="74"/>
        <v>113555.38830864009</v>
      </c>
      <c r="AN91" s="507">
        <f t="shared" si="74"/>
        <v>130766.30855682495</v>
      </c>
      <c r="AO91" s="507">
        <f t="shared" si="74"/>
        <v>148542.80070774327</v>
      </c>
      <c r="AP91" s="507">
        <f t="shared" si="74"/>
        <v>166901.83191847699</v>
      </c>
      <c r="AQ91" s="507">
        <f t="shared" si="75"/>
        <v>185860.87836082064</v>
      </c>
      <c r="AR91" s="507">
        <f t="shared" si="75"/>
        <v>205437.94049172249</v>
      </c>
      <c r="AS91" s="507">
        <f t="shared" si="75"/>
        <v>225651.55878183927</v>
      </c>
      <c r="AT91" s="507">
        <f t="shared" si="75"/>
        <v>246520.82991594746</v>
      </c>
      <c r="AU91" s="507">
        <f t="shared" si="75"/>
        <v>244879.35340635115</v>
      </c>
    </row>
    <row r="92" spans="2:47" ht="16" outlineLevel="1" thickBot="1">
      <c r="B92" s="295" t="s">
        <v>398</v>
      </c>
      <c r="C92" s="339">
        <f t="shared" ref="C92:W92" si="80">SUM(C86,C88,C91)</f>
        <v>37870673.779962167</v>
      </c>
      <c r="D92" s="339">
        <f t="shared" si="80"/>
        <v>53079193.480118491</v>
      </c>
      <c r="E92" s="339">
        <f t="shared" si="80"/>
        <v>49757611.888913788</v>
      </c>
      <c r="F92" s="339">
        <f t="shared" si="80"/>
        <v>47649275.089791171</v>
      </c>
      <c r="G92" s="339">
        <f t="shared" si="80"/>
        <v>46392674.557150796</v>
      </c>
      <c r="H92" s="339">
        <f t="shared" si="80"/>
        <v>52423962.214912325</v>
      </c>
      <c r="I92" s="339">
        <f t="shared" si="80"/>
        <v>58128487.701184087</v>
      </c>
      <c r="J92" s="339">
        <f t="shared" si="80"/>
        <v>67009125.463943519</v>
      </c>
      <c r="K92" s="339">
        <f t="shared" si="80"/>
        <v>77197341.528308749</v>
      </c>
      <c r="L92" s="339">
        <f t="shared" si="80"/>
        <v>88767283.355240151</v>
      </c>
      <c r="M92" s="339">
        <f t="shared" si="80"/>
        <v>100772833.69282536</v>
      </c>
      <c r="N92" s="339">
        <f t="shared" si="80"/>
        <v>115974197.89098197</v>
      </c>
      <c r="O92" s="339">
        <f t="shared" si="80"/>
        <v>132683862.34636036</v>
      </c>
      <c r="P92" s="339">
        <f t="shared" si="80"/>
        <v>149945661.52340373</v>
      </c>
      <c r="Q92" s="339">
        <f t="shared" si="80"/>
        <v>167774558.9710463</v>
      </c>
      <c r="R92" s="339">
        <f t="shared" si="80"/>
        <v>186187567.63740602</v>
      </c>
      <c r="S92" s="339">
        <f t="shared" si="80"/>
        <v>205202210.85904446</v>
      </c>
      <c r="T92" s="339">
        <f t="shared" si="80"/>
        <v>224836537.67261991</v>
      </c>
      <c r="U92" s="339">
        <f t="shared" si="80"/>
        <v>245109138.58589053</v>
      </c>
      <c r="V92" s="339">
        <f t="shared" si="80"/>
        <v>266039161.82184714</v>
      </c>
      <c r="W92" s="339">
        <f t="shared" si="80"/>
        <v>262311863.1487878</v>
      </c>
      <c r="Z92" s="295" t="s">
        <v>399</v>
      </c>
      <c r="AA92" s="510">
        <f t="shared" si="74"/>
        <v>37870.67377996217</v>
      </c>
      <c r="AB92" s="510">
        <f t="shared" si="74"/>
        <v>53079.193480118491</v>
      </c>
      <c r="AC92" s="510">
        <f t="shared" si="74"/>
        <v>49757.611888913787</v>
      </c>
      <c r="AD92" s="510">
        <f t="shared" si="74"/>
        <v>47649.275089791168</v>
      </c>
      <c r="AE92" s="510">
        <f t="shared" si="74"/>
        <v>46392.674557150793</v>
      </c>
      <c r="AF92" s="510">
        <f t="shared" si="74"/>
        <v>52423.962214912324</v>
      </c>
      <c r="AG92" s="510">
        <f t="shared" si="74"/>
        <v>58128.487701184087</v>
      </c>
      <c r="AH92" s="510">
        <f t="shared" si="74"/>
        <v>67009.125463943521</v>
      </c>
      <c r="AI92" s="510">
        <f t="shared" si="74"/>
        <v>77197.341528308752</v>
      </c>
      <c r="AJ92" s="510">
        <f t="shared" si="74"/>
        <v>88767.283355240157</v>
      </c>
      <c r="AK92" s="510">
        <f t="shared" si="74"/>
        <v>100772.83369282536</v>
      </c>
      <c r="AL92" s="510">
        <f t="shared" si="74"/>
        <v>115974.19789098197</v>
      </c>
      <c r="AM92" s="510">
        <f t="shared" si="74"/>
        <v>132683.86234636034</v>
      </c>
      <c r="AN92" s="510">
        <f t="shared" si="74"/>
        <v>149945.66152340375</v>
      </c>
      <c r="AO92" s="510">
        <f t="shared" si="74"/>
        <v>167774.5589710463</v>
      </c>
      <c r="AP92" s="510">
        <f t="shared" si="74"/>
        <v>186187.56763740603</v>
      </c>
      <c r="AQ92" s="510">
        <f t="shared" si="75"/>
        <v>205202.21085904445</v>
      </c>
      <c r="AR92" s="510">
        <f t="shared" si="75"/>
        <v>224836.53767261992</v>
      </c>
      <c r="AS92" s="510">
        <f t="shared" si="75"/>
        <v>245109.13858589053</v>
      </c>
      <c r="AT92" s="510">
        <f t="shared" si="75"/>
        <v>266039.16182184714</v>
      </c>
      <c r="AU92" s="510">
        <f t="shared" si="75"/>
        <v>262311.86314878782</v>
      </c>
    </row>
    <row r="93" spans="2:47" outlineLevel="1">
      <c r="B93" s="289" t="s">
        <v>400</v>
      </c>
      <c r="C93" s="331">
        <f t="shared" ref="C93:W93" si="81">ROUND(C92-C82,0)</f>
        <v>0</v>
      </c>
      <c r="D93" s="331">
        <f t="shared" si="81"/>
        <v>0</v>
      </c>
      <c r="E93" s="331">
        <f t="shared" si="81"/>
        <v>0</v>
      </c>
      <c r="F93" s="331">
        <f t="shared" si="81"/>
        <v>0</v>
      </c>
      <c r="G93" s="331">
        <f t="shared" si="81"/>
        <v>0</v>
      </c>
      <c r="H93" s="331">
        <f t="shared" si="81"/>
        <v>0</v>
      </c>
      <c r="I93" s="331">
        <f t="shared" si="81"/>
        <v>0</v>
      </c>
      <c r="J93" s="331">
        <f t="shared" si="81"/>
        <v>0</v>
      </c>
      <c r="K93" s="331">
        <f t="shared" si="81"/>
        <v>0</v>
      </c>
      <c r="L93" s="331">
        <f t="shared" si="81"/>
        <v>0</v>
      </c>
      <c r="M93" s="331">
        <f t="shared" si="81"/>
        <v>0</v>
      </c>
      <c r="N93" s="331">
        <f t="shared" si="81"/>
        <v>0</v>
      </c>
      <c r="O93" s="331">
        <f t="shared" si="81"/>
        <v>0</v>
      </c>
      <c r="P93" s="331">
        <f t="shared" si="81"/>
        <v>0</v>
      </c>
      <c r="Q93" s="331">
        <f t="shared" si="81"/>
        <v>0</v>
      </c>
      <c r="R93" s="331">
        <f t="shared" si="81"/>
        <v>0</v>
      </c>
      <c r="S93" s="331">
        <f t="shared" si="81"/>
        <v>0</v>
      </c>
      <c r="T93" s="331">
        <f t="shared" si="81"/>
        <v>0</v>
      </c>
      <c r="U93" s="331">
        <f t="shared" si="81"/>
        <v>0</v>
      </c>
      <c r="V93" s="331">
        <f t="shared" si="81"/>
        <v>0</v>
      </c>
      <c r="W93" s="331">
        <f t="shared" si="81"/>
        <v>0</v>
      </c>
    </row>
    <row r="94" spans="2:47" ht="16" outlineLevel="1" thickBot="1"/>
    <row r="95" spans="2:47" ht="16" thickTop="1">
      <c r="B95" s="315" t="s">
        <v>401</v>
      </c>
      <c r="C95" s="315"/>
      <c r="D95" s="315"/>
      <c r="E95" s="315"/>
      <c r="F95" s="315"/>
      <c r="G95" s="315"/>
      <c r="H95" s="315"/>
      <c r="I95" s="315"/>
      <c r="J95" s="315"/>
      <c r="K95" s="315"/>
      <c r="L95" s="315"/>
      <c r="M95" s="315"/>
      <c r="N95" s="315"/>
      <c r="O95" s="315"/>
      <c r="P95" s="315"/>
      <c r="Q95" s="315"/>
      <c r="R95" s="315"/>
      <c r="S95" s="315"/>
      <c r="T95" s="315"/>
      <c r="U95" s="315"/>
      <c r="V95" s="315"/>
      <c r="W95" s="315"/>
      <c r="Z95" s="289"/>
    </row>
    <row r="96" spans="2:47" s="264" customFormat="1" ht="16" outlineLevel="1" thickBot="1">
      <c r="B96" s="236"/>
      <c r="C96" s="183"/>
      <c r="D96" s="183">
        <v>1</v>
      </c>
      <c r="E96" s="183">
        <v>2</v>
      </c>
      <c r="F96" s="183">
        <v>3</v>
      </c>
      <c r="G96" s="183">
        <v>4</v>
      </c>
      <c r="H96" s="183">
        <v>5</v>
      </c>
      <c r="I96" s="183">
        <v>6</v>
      </c>
      <c r="J96" s="183">
        <v>7</v>
      </c>
      <c r="K96" s="183">
        <v>8</v>
      </c>
      <c r="L96" s="183">
        <v>9</v>
      </c>
      <c r="M96" s="183">
        <v>10</v>
      </c>
      <c r="N96" s="183">
        <v>11</v>
      </c>
      <c r="O96" s="183">
        <v>12</v>
      </c>
      <c r="P96" s="183">
        <v>13</v>
      </c>
      <c r="Q96" s="183">
        <v>14</v>
      </c>
      <c r="R96" s="183">
        <v>15</v>
      </c>
      <c r="S96" s="183">
        <v>16</v>
      </c>
      <c r="T96" s="183">
        <v>17</v>
      </c>
      <c r="U96" s="183">
        <v>18</v>
      </c>
      <c r="V96" s="183">
        <v>19</v>
      </c>
      <c r="W96" s="183">
        <v>20</v>
      </c>
      <c r="X96" s="266"/>
      <c r="Y96" s="266"/>
    </row>
    <row r="97" spans="1:27" s="179" customFormat="1" outlineLevel="1">
      <c r="B97" s="267"/>
      <c r="C97" s="269"/>
      <c r="D97" s="269"/>
      <c r="E97" s="269"/>
      <c r="F97" s="269"/>
      <c r="G97" s="269"/>
      <c r="H97" s="269"/>
      <c r="I97" s="269"/>
      <c r="J97" s="269"/>
      <c r="K97" s="269"/>
      <c r="L97" s="269"/>
      <c r="M97" s="269"/>
      <c r="N97" s="269"/>
      <c r="O97" s="269"/>
      <c r="P97" s="269"/>
      <c r="Q97" s="269"/>
      <c r="R97" s="269"/>
      <c r="S97" s="269"/>
      <c r="T97" s="269"/>
      <c r="U97" s="269"/>
      <c r="V97" s="269"/>
      <c r="W97" s="269"/>
      <c r="X97" s="180"/>
      <c r="Y97" s="180"/>
    </row>
    <row r="98" spans="1:27" s="179" customFormat="1" outlineLevel="1">
      <c r="B98" s="225" t="s">
        <v>365</v>
      </c>
      <c r="C98" s="271"/>
      <c r="D98" s="271">
        <f>D74</f>
        <v>71.718040571780875</v>
      </c>
      <c r="E98" s="271">
        <f>E74</f>
        <v>314.48894606414251</v>
      </c>
      <c r="F98" s="271">
        <f t="shared" ref="F98:W98" si="82">F74</f>
        <v>812.58509509009309</v>
      </c>
      <c r="G98" s="271">
        <f t="shared" si="82"/>
        <v>853239.99450507131</v>
      </c>
      <c r="H98" s="271">
        <f t="shared" si="82"/>
        <v>8806519.3196580615</v>
      </c>
      <c r="I98" s="271">
        <f t="shared" si="82"/>
        <v>16362018.841379201</v>
      </c>
      <c r="J98" s="271">
        <f t="shared" si="82"/>
        <v>27332554.475562986</v>
      </c>
      <c r="K98" s="271">
        <f t="shared" si="82"/>
        <v>39740130.954998031</v>
      </c>
      <c r="L98" s="271">
        <f t="shared" si="82"/>
        <v>53516592.962661371</v>
      </c>
      <c r="M98" s="271">
        <f t="shared" si="82"/>
        <v>67876583.277824178</v>
      </c>
      <c r="N98" s="271">
        <f t="shared" si="82"/>
        <v>85427343.209626168</v>
      </c>
      <c r="O98" s="271">
        <f t="shared" si="82"/>
        <v>104481210.38312706</v>
      </c>
      <c r="P98" s="271">
        <f t="shared" si="82"/>
        <v>124078897.9762145</v>
      </c>
      <c r="Q98" s="271">
        <f t="shared" si="82"/>
        <v>144238000.03809339</v>
      </c>
      <c r="R98" s="271">
        <f t="shared" si="82"/>
        <v>165721705.89144135</v>
      </c>
      <c r="S98" s="271">
        <f t="shared" si="82"/>
        <v>187323717.42504475</v>
      </c>
      <c r="T98" s="271">
        <f t="shared" si="82"/>
        <v>209270153.74795875</v>
      </c>
      <c r="U98" s="271">
        <f t="shared" si="82"/>
        <v>231848467.00155902</v>
      </c>
      <c r="V98" s="271">
        <f t="shared" si="82"/>
        <v>255077613.49376613</v>
      </c>
      <c r="W98" s="271">
        <f t="shared" si="82"/>
        <v>261642729.1854451</v>
      </c>
      <c r="X98" s="180"/>
      <c r="Y98" s="180"/>
    </row>
    <row r="99" spans="1:27" s="179" customFormat="1" outlineLevel="1">
      <c r="B99" s="225" t="s">
        <v>402</v>
      </c>
      <c r="C99" s="271"/>
      <c r="D99" s="271">
        <f>MAX(D101+'Data Input'!$D$37,0)</f>
        <v>5194550.6847972823</v>
      </c>
      <c r="E99" s="271">
        <f>MAX(E101+'Data Input'!$D$37,0)</f>
        <v>3908927.183830495</v>
      </c>
      <c r="F99" s="271">
        <f>MAX(F101+'Data Input'!$D$37,0)</f>
        <v>2872029.8601241326</v>
      </c>
      <c r="G99" s="271">
        <f>MAX(G101+'Data Input'!$D$37,0)</f>
        <v>0</v>
      </c>
      <c r="H99" s="271">
        <f>MAX(H101+'Data Input'!$D$37,0)</f>
        <v>0</v>
      </c>
      <c r="I99" s="271">
        <f>MAX(I101+'Data Input'!$D$37,0)</f>
        <v>0</v>
      </c>
      <c r="J99" s="271">
        <f>MAX(J101+'Data Input'!$D$37,0)</f>
        <v>0</v>
      </c>
      <c r="K99" s="271">
        <f>MAX(K101+'Data Input'!$D$37,0)</f>
        <v>0</v>
      </c>
      <c r="L99" s="271">
        <f>MAX(L101+'Data Input'!$D$37,0)</f>
        <v>0</v>
      </c>
      <c r="M99" s="271">
        <f>MAX(M101+'Data Input'!$D$37,0)</f>
        <v>0</v>
      </c>
      <c r="N99" s="271">
        <f>MAX(N101+'Data Input'!$D$37,0)</f>
        <v>0</v>
      </c>
      <c r="O99" s="271">
        <f>MAX(O101+'Data Input'!$D$37,0)</f>
        <v>0</v>
      </c>
      <c r="P99" s="271">
        <f>MAX(P101+'Data Input'!$D$37,0)</f>
        <v>0</v>
      </c>
      <c r="Q99" s="271">
        <f>MAX(Q101+'Data Input'!$D$37,0)</f>
        <v>0</v>
      </c>
      <c r="R99" s="271">
        <f>MAX(R101+'Data Input'!$D$37,0)</f>
        <v>0</v>
      </c>
      <c r="S99" s="271">
        <f>MAX(S101+'Data Input'!$D$37,0)</f>
        <v>0</v>
      </c>
      <c r="T99" s="271">
        <f>MAX(T101+'Data Input'!$D$37,0)</f>
        <v>0</v>
      </c>
      <c r="U99" s="271">
        <f>MAX(U101+'Data Input'!$D$37,0)</f>
        <v>0</v>
      </c>
      <c r="V99" s="271">
        <f>MAX(V101+'Data Input'!$D$37,0)</f>
        <v>0</v>
      </c>
      <c r="W99" s="271">
        <f>MAX(W101+'Data Input'!$D$37,0)</f>
        <v>0</v>
      </c>
      <c r="X99" s="180"/>
      <c r="Y99" s="180"/>
    </row>
    <row r="100" spans="1:27" s="179" customFormat="1" outlineLevel="1">
      <c r="B100" s="355"/>
      <c r="C100" s="356"/>
      <c r="D100" s="356">
        <f>-D98+'WC Financing'!$C5</f>
        <v>5194478.9667567108</v>
      </c>
      <c r="E100" s="356">
        <f>-E98+'WC Financing'!$C6</f>
        <v>3908612.6948844306</v>
      </c>
      <c r="F100" s="356">
        <f>-F98+'WC Financing'!$C7</f>
        <v>2871217.2750290427</v>
      </c>
      <c r="G100" s="356">
        <f>-G98+'WC Financing'!$C8</f>
        <v>-853239.99450507131</v>
      </c>
      <c r="H100" s="356">
        <f>-H98+'WC Financing'!$C9</f>
        <v>-8806519.3196580615</v>
      </c>
      <c r="I100" s="356">
        <f>-I98+'WC Financing'!$C10</f>
        <v>-16362018.841379201</v>
      </c>
      <c r="J100" s="356">
        <f>-J98+'WC Financing'!$C11</f>
        <v>-27332554.475562986</v>
      </c>
      <c r="K100" s="356">
        <f>-K98+'WC Financing'!$C12</f>
        <v>-39740130.954998031</v>
      </c>
      <c r="L100" s="356">
        <f>-L98+'WC Financing'!$C13</f>
        <v>-53516592.962661371</v>
      </c>
      <c r="M100" s="356">
        <f>-M98+'WC Financing'!$C14</f>
        <v>-67876583.277824178</v>
      </c>
      <c r="N100" s="356"/>
      <c r="O100" s="356"/>
      <c r="P100" s="356"/>
      <c r="Q100" s="356"/>
      <c r="R100" s="356"/>
      <c r="S100" s="356"/>
      <c r="T100" s="356"/>
      <c r="U100" s="356"/>
      <c r="V100" s="356"/>
      <c r="W100" s="356"/>
      <c r="X100" s="180"/>
      <c r="Y100" s="180"/>
    </row>
    <row r="101" spans="1:27" s="179" customFormat="1" outlineLevel="1">
      <c r="B101" s="355"/>
      <c r="C101" s="356"/>
      <c r="D101" s="356">
        <f t="dataTable" ref="D101:M101" dt2D="0" dtr="0" r1="A100"/>
        <v>5194550.6847972823</v>
      </c>
      <c r="E101" s="356">
        <v>3908927.183830495</v>
      </c>
      <c r="F101" s="356">
        <v>2872029.8601241326</v>
      </c>
      <c r="G101" s="356">
        <v>-852100.36612587445</v>
      </c>
      <c r="H101" s="356">
        <v>-8805379.6912788637</v>
      </c>
      <c r="I101" s="356">
        <v>-16361278.082932724</v>
      </c>
      <c r="J101" s="356">
        <v>-27331813.717116509</v>
      </c>
      <c r="K101" s="356">
        <v>-39739390.196551554</v>
      </c>
      <c r="L101" s="356">
        <v>-53515852.204214886</v>
      </c>
      <c r="M101" s="356">
        <v>-67875842.519377694</v>
      </c>
      <c r="N101" s="356"/>
      <c r="O101" s="356"/>
      <c r="P101" s="356"/>
      <c r="Q101" s="356"/>
      <c r="R101" s="356"/>
      <c r="S101" s="356"/>
      <c r="T101" s="356"/>
      <c r="U101" s="356"/>
      <c r="V101" s="356"/>
      <c r="W101" s="356"/>
      <c r="X101" s="180"/>
      <c r="Y101" s="180"/>
    </row>
    <row r="102" spans="1:27" ht="16" thickBot="1">
      <c r="B102" s="357"/>
      <c r="C102" s="348"/>
      <c r="D102" s="348"/>
      <c r="E102" s="348"/>
      <c r="F102" s="348"/>
      <c r="G102" s="348"/>
      <c r="H102" s="348"/>
      <c r="I102" s="348"/>
      <c r="J102" s="348"/>
      <c r="K102" s="348"/>
      <c r="L102" s="348"/>
      <c r="M102" s="348"/>
      <c r="N102" s="348"/>
      <c r="O102" s="348"/>
      <c r="P102" s="348"/>
      <c r="Q102" s="348"/>
      <c r="R102" s="348"/>
      <c r="S102" s="348"/>
      <c r="T102" s="348"/>
      <c r="U102" s="348"/>
      <c r="V102" s="348"/>
      <c r="W102" s="348"/>
    </row>
    <row r="103" spans="1:27" ht="16" thickTop="1">
      <c r="B103" s="315" t="s">
        <v>279</v>
      </c>
      <c r="C103" s="315"/>
      <c r="D103" s="315"/>
    </row>
    <row r="104" spans="1:27" ht="16" hidden="1" outlineLevel="1" thickBot="1">
      <c r="B104" s="317"/>
      <c r="C104" s="318" t="s">
        <v>280</v>
      </c>
      <c r="D104" s="318" t="s">
        <v>281</v>
      </c>
    </row>
    <row r="105" spans="1:27" hidden="1" outlineLevel="1">
      <c r="A105" s="358"/>
      <c r="B105" s="290" t="s">
        <v>333</v>
      </c>
      <c r="C105" s="319">
        <f>X68</f>
        <v>115391959.66484196</v>
      </c>
      <c r="D105" s="319">
        <f>X57</f>
        <v>97128474.198015615</v>
      </c>
    </row>
    <row r="106" spans="1:27" hidden="1" outlineLevel="1">
      <c r="B106" s="290" t="s">
        <v>334</v>
      </c>
      <c r="C106" s="359">
        <f>IRR(C65:X65)</f>
        <v>0.29057220304306353</v>
      </c>
      <c r="D106" s="359">
        <f>IRR(C54:X54)</f>
        <v>0.16573040910311931</v>
      </c>
    </row>
    <row r="107" spans="1:27" hidden="1" outlineLevel="1">
      <c r="B107" s="290" t="s">
        <v>284</v>
      </c>
      <c r="C107" s="360">
        <f ca="1">IFERROR(IF(COUNTIF(C66:W66,"&lt;0")&gt;20,21,COUNTIF(C66:W66,"&lt;0")+C122),"--")</f>
        <v>6.9</v>
      </c>
      <c r="D107" s="360">
        <f ca="1">IF(COUNTIF(C55:W55,"&lt;0")&gt;20,21,COUNTIF(C55:W55,"&lt;0")+C118)</f>
        <v>8.6</v>
      </c>
    </row>
    <row r="108" spans="1:27" ht="16" hidden="1" outlineLevel="1" thickBot="1">
      <c r="B108" s="241" t="s">
        <v>285</v>
      </c>
      <c r="C108" s="242">
        <f ca="1">IFERROR(IF(COUNTIF(C68:W68,"&lt;0")&gt;20,21,COUNTIF(C68:W68,"&lt;0")+D122),"--")</f>
        <v>7.5</v>
      </c>
      <c r="D108" s="242">
        <f ca="1">IF(COUNTIF(C57:W57,"&lt;0")&gt;20,21,COUNTIF(C57:W57,"&lt;0")+D118)</f>
        <v>10.1</v>
      </c>
    </row>
    <row r="109" spans="1:27" hidden="1" outlineLevel="1">
      <c r="D109" s="331"/>
    </row>
    <row r="110" spans="1:27" ht="16" collapsed="1" thickBot="1">
      <c r="D110" s="331"/>
      <c r="AA110" s="314"/>
    </row>
    <row r="111" spans="1:27" ht="16" thickTop="1">
      <c r="B111" s="315" t="s">
        <v>403</v>
      </c>
      <c r="C111" s="315"/>
      <c r="D111" s="315"/>
      <c r="E111" s="289"/>
      <c r="F111" s="289"/>
      <c r="G111" s="289"/>
      <c r="H111" s="289"/>
      <c r="I111" s="289"/>
      <c r="J111" s="289"/>
      <c r="K111" s="289"/>
      <c r="L111" s="289"/>
      <c r="M111" s="289"/>
      <c r="N111" s="289"/>
      <c r="O111" s="289"/>
      <c r="P111" s="289"/>
      <c r="Q111" s="289"/>
      <c r="R111" s="289"/>
      <c r="AA111" s="314"/>
    </row>
    <row r="112" spans="1:27" hidden="1" outlineLevel="1">
      <c r="B112" s="361" t="s">
        <v>404</v>
      </c>
      <c r="C112" s="362">
        <v>1</v>
      </c>
      <c r="D112" s="363"/>
      <c r="E112" s="289"/>
      <c r="F112" s="289"/>
      <c r="G112" s="289"/>
      <c r="H112" s="289"/>
      <c r="I112" s="289"/>
      <c r="J112" s="289"/>
      <c r="K112" s="289"/>
      <c r="L112" s="289"/>
      <c r="M112" s="289"/>
      <c r="N112" s="289"/>
      <c r="O112" s="289"/>
      <c r="P112" s="289"/>
      <c r="Q112" s="289"/>
      <c r="R112" s="289"/>
      <c r="AA112" s="314"/>
    </row>
    <row r="113" spans="2:27" hidden="1" outlineLevel="1">
      <c r="B113" s="361"/>
      <c r="C113" s="364"/>
      <c r="D113" s="363"/>
      <c r="E113" s="289"/>
      <c r="F113" s="289"/>
      <c r="G113" s="289"/>
      <c r="H113" s="289"/>
      <c r="I113" s="289"/>
      <c r="J113" s="289"/>
      <c r="K113" s="289"/>
      <c r="L113" s="289"/>
      <c r="M113" s="289"/>
      <c r="N113" s="289"/>
      <c r="O113" s="289"/>
      <c r="P113" s="289"/>
      <c r="Q113" s="289"/>
      <c r="R113" s="289"/>
      <c r="AA113" s="314"/>
    </row>
    <row r="114" spans="2:27" ht="16" hidden="1" outlineLevel="1" thickBot="1">
      <c r="B114" s="317"/>
      <c r="C114" s="318" t="s">
        <v>405</v>
      </c>
      <c r="D114" s="318" t="s">
        <v>406</v>
      </c>
      <c r="AA114" s="314"/>
    </row>
    <row r="115" spans="2:27" hidden="1" outlineLevel="1">
      <c r="B115" s="333" t="s">
        <v>281</v>
      </c>
      <c r="C115" s="365"/>
      <c r="D115" s="365"/>
      <c r="E115" s="289"/>
      <c r="F115" s="289"/>
      <c r="G115" s="289"/>
      <c r="H115" s="289"/>
      <c r="I115" s="289"/>
      <c r="J115" s="289"/>
      <c r="K115" s="289"/>
      <c r="L115" s="289"/>
      <c r="M115" s="289"/>
      <c r="N115" s="289"/>
      <c r="O115" s="289"/>
      <c r="P115" s="289"/>
      <c r="Q115" s="289"/>
      <c r="R115" s="289"/>
      <c r="AA115" s="314"/>
    </row>
    <row r="116" spans="2:27" hidden="1" outlineLevel="1">
      <c r="B116" s="290"/>
      <c r="C116" s="366">
        <f ca="1">INDIRECT(ADDRESS(ROW(C55),COUNTIF(C55:W55,"&lt;=0")+2))</f>
        <v>-8666804.8216039333</v>
      </c>
      <c r="D116" s="366">
        <f ca="1">INDIRECT(ADDRESS(ROW(C57),COUNTIF(C57:W57,"&lt;=0")+2))</f>
        <v>-401840.86061006784</v>
      </c>
      <c r="E116" s="289"/>
      <c r="F116" s="289"/>
      <c r="G116" s="289"/>
      <c r="H116" s="289"/>
      <c r="I116" s="289"/>
      <c r="J116" s="289"/>
      <c r="K116" s="289"/>
      <c r="L116" s="289"/>
      <c r="M116" s="289"/>
      <c r="N116" s="289"/>
      <c r="O116" s="289"/>
      <c r="P116" s="289"/>
      <c r="Q116" s="289"/>
      <c r="R116" s="289"/>
      <c r="AA116" s="314"/>
    </row>
    <row r="117" spans="2:27" hidden="1" outlineLevel="1">
      <c r="B117" s="290"/>
      <c r="C117" s="366">
        <f ca="1">INDIRECT(ADDRESS(ROW(C55),COUNTIF(C55:W55,"&lt;=0")+3))</f>
        <v>7519201.432112962</v>
      </c>
      <c r="D117" s="366">
        <f ca="1">INDIRECT(ADDRESS(ROW(C57),COUNTIF(C57:W57,"&lt;=0")+3))</f>
        <v>9784117.2248421647</v>
      </c>
      <c r="E117" s="289"/>
      <c r="F117" s="289"/>
      <c r="G117" s="289"/>
      <c r="H117" s="289"/>
      <c r="I117" s="289"/>
      <c r="J117" s="289"/>
      <c r="K117" s="289"/>
      <c r="L117" s="289"/>
      <c r="M117" s="289"/>
      <c r="N117" s="289"/>
      <c r="O117" s="289"/>
      <c r="P117" s="289"/>
      <c r="Q117" s="289"/>
      <c r="R117" s="289"/>
      <c r="AA117" s="314"/>
    </row>
    <row r="118" spans="2:27" hidden="1" outlineLevel="1">
      <c r="B118" s="290"/>
      <c r="C118" s="367">
        <f ca="1">ROUNDUP(-C116/(C117-C116),1)*$C$112</f>
        <v>0.6</v>
      </c>
      <c r="D118" s="367">
        <f ca="1">ROUNDUP(-D116/(D117-D116),1)*$C$112</f>
        <v>0.1</v>
      </c>
      <c r="E118" s="289"/>
      <c r="F118" s="289"/>
      <c r="G118" s="289"/>
      <c r="H118" s="289"/>
      <c r="I118" s="289"/>
      <c r="J118" s="289"/>
      <c r="K118" s="289"/>
      <c r="L118" s="289"/>
      <c r="M118" s="289"/>
      <c r="N118" s="289"/>
      <c r="O118" s="289"/>
      <c r="P118" s="289"/>
      <c r="Q118" s="289"/>
      <c r="R118" s="289"/>
      <c r="AA118" s="314"/>
    </row>
    <row r="119" spans="2:27" hidden="1" outlineLevel="1">
      <c r="B119" s="333" t="s">
        <v>280</v>
      </c>
      <c r="C119" s="365"/>
      <c r="D119" s="365"/>
      <c r="AA119" s="314"/>
    </row>
    <row r="120" spans="2:27" hidden="1" outlineLevel="1">
      <c r="B120" s="290"/>
      <c r="C120" s="366">
        <f ca="1">INDIRECT(ADDRESS(ROW(C66),COUNTIF(C66:W66,"&lt;=0")+2))</f>
        <v>-6646483.6299941577</v>
      </c>
      <c r="D120" s="366">
        <f ca="1">INDIRECT(ADDRESS(ROW(C68),COUNTIF(C68:W68,"&lt;=0")+2))</f>
        <v>-3069221.9050262533</v>
      </c>
      <c r="AA120" s="314"/>
    </row>
    <row r="121" spans="2:27" hidden="1" outlineLevel="1">
      <c r="B121" s="290"/>
      <c r="C121" s="366">
        <f ca="1">INDIRECT(ADDRESS(ROW(C66),COUNTIF(C66:W66,"&lt;=0")+3))</f>
        <v>1472331.240492234</v>
      </c>
      <c r="D121" s="366">
        <f ca="1">INDIRECT(ADDRESS(ROW(C68),COUNTIF(C68:W68,"&lt;=0")+3))</f>
        <v>4506281.7501396174</v>
      </c>
      <c r="AA121" s="314"/>
    </row>
    <row r="122" spans="2:27" ht="16" hidden="1" outlineLevel="1" thickBot="1">
      <c r="B122" s="241"/>
      <c r="C122" s="368">
        <f ca="1">ROUNDUP(-C120/(C121-C120),1)*$C$112</f>
        <v>0.9</v>
      </c>
      <c r="D122" s="368">
        <f ca="1">ROUNDUP(-D120/(D121-D120),1)*$C$112</f>
        <v>0.5</v>
      </c>
      <c r="AA122" s="314"/>
    </row>
    <row r="123" spans="2:27" hidden="1" outlineLevel="1">
      <c r="B123" s="369" t="s">
        <v>407</v>
      </c>
      <c r="C123" s="289"/>
      <c r="D123" s="289"/>
      <c r="AA123" s="314"/>
    </row>
    <row r="124" spans="2:27" hidden="1" outlineLevel="1">
      <c r="C124" s="289"/>
      <c r="D124" s="289"/>
      <c r="AA124" s="314"/>
    </row>
    <row r="125" spans="2:27" collapsed="1">
      <c r="AA125" s="314"/>
    </row>
    <row r="126" spans="2:27">
      <c r="AA126" s="314"/>
    </row>
    <row r="127" spans="2:27">
      <c r="AA127" s="314"/>
    </row>
    <row r="128" spans="2:27">
      <c r="AA128" s="314"/>
    </row>
    <row r="129" spans="3:27">
      <c r="AA129" s="314"/>
    </row>
    <row r="130" spans="3:27">
      <c r="C130" s="370"/>
      <c r="D130" s="370"/>
      <c r="E130" s="370"/>
      <c r="F130" s="370"/>
      <c r="G130" s="370"/>
      <c r="H130" s="370"/>
      <c r="I130" s="370"/>
      <c r="J130" s="370"/>
      <c r="K130" s="370"/>
      <c r="L130" s="370"/>
      <c r="M130" s="370"/>
      <c r="N130" s="370"/>
      <c r="O130" s="370"/>
      <c r="P130" s="370"/>
      <c r="Q130" s="370"/>
      <c r="R130" s="370"/>
      <c r="S130" s="370"/>
      <c r="T130" s="370"/>
      <c r="U130" s="370"/>
      <c r="V130" s="370"/>
      <c r="W130" s="370"/>
      <c r="X130" s="370"/>
      <c r="AA130" s="314"/>
    </row>
    <row r="131" spans="3:27">
      <c r="C131" s="289"/>
      <c r="D131" s="370"/>
      <c r="E131" s="370"/>
      <c r="F131" s="370"/>
      <c r="G131" s="370"/>
      <c r="H131" s="370"/>
      <c r="I131" s="370"/>
      <c r="J131" s="370"/>
      <c r="K131" s="370"/>
      <c r="L131" s="370"/>
      <c r="M131" s="370"/>
      <c r="N131" s="370"/>
      <c r="O131" s="370"/>
      <c r="P131" s="370"/>
      <c r="Q131" s="370"/>
      <c r="R131" s="370"/>
      <c r="S131" s="370"/>
      <c r="T131" s="370"/>
      <c r="U131" s="370"/>
      <c r="V131" s="370"/>
      <c r="W131" s="370"/>
      <c r="AA131" s="314"/>
    </row>
    <row r="132" spans="3:27">
      <c r="AA132" s="314"/>
    </row>
    <row r="133" spans="3:27">
      <c r="AA133" s="314"/>
    </row>
    <row r="134" spans="3:27">
      <c r="C134" s="289"/>
      <c r="AA134" s="314"/>
    </row>
    <row r="135" spans="3:27">
      <c r="AA135" s="314"/>
    </row>
    <row r="136" spans="3:27">
      <c r="AA136" s="314"/>
    </row>
    <row r="137" spans="3:27">
      <c r="AA137" s="314"/>
    </row>
    <row r="138" spans="3:27">
      <c r="AA138" s="314"/>
    </row>
  </sheetData>
  <conditionalFormatting sqref="C93:W93">
    <cfRule type="cellIs" dxfId="1" priority="1" operator="equal">
      <formula>0</formula>
    </cfRule>
    <cfRule type="cellIs" dxfId="0" priority="3" operator="notEqual">
      <formula>0</formula>
    </cfRule>
  </conditionalFormatting>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theme="7" tint="0.59999389629810485"/>
  </sheetPr>
  <dimension ref="A1:AP176"/>
  <sheetViews>
    <sheetView zoomScale="55" zoomScaleNormal="55" workbookViewId="0">
      <selection activeCell="Q53" sqref="Q53"/>
    </sheetView>
  </sheetViews>
  <sheetFormatPr baseColWidth="10" defaultColWidth="10" defaultRowHeight="13" outlineLevelRow="1"/>
  <cols>
    <col min="1" max="1" width="10.83203125" style="378" bestFit="1" customWidth="1"/>
    <col min="2" max="2" width="22.5" style="378" customWidth="1"/>
    <col min="3" max="3" width="16.83203125" style="378" customWidth="1"/>
    <col min="4" max="12" width="15.33203125" style="378" bestFit="1" customWidth="1"/>
    <col min="13" max="13" width="18.6640625" style="378" bestFit="1" customWidth="1"/>
    <col min="14" max="14" width="18.83203125" style="378" bestFit="1" customWidth="1"/>
    <col min="15" max="23" width="14.1640625" style="378" bestFit="1" customWidth="1"/>
    <col min="24" max="42" width="13" style="378" bestFit="1" customWidth="1"/>
    <col min="43" max="16384" width="10" style="378"/>
  </cols>
  <sheetData>
    <row r="1" spans="2:23" s="371" customFormat="1" ht="15">
      <c r="B1" s="371" t="s">
        <v>168</v>
      </c>
      <c r="C1" s="371" t="str">
        <f>Cover!$C$10</f>
        <v>Mr. Amir Artine</v>
      </c>
      <c r="D1" s="176" t="str">
        <f>Cover!$C$3</f>
        <v>Cattle Integration, Baghara, Chad</v>
      </c>
      <c r="E1" s="372"/>
      <c r="F1" s="372"/>
      <c r="G1" s="372" t="s">
        <v>169</v>
      </c>
      <c r="H1" s="373">
        <f ca="1">Cover!$C$13</f>
        <v>45763</v>
      </c>
      <c r="I1" s="372"/>
      <c r="J1" s="372"/>
      <c r="K1" s="372"/>
      <c r="L1" s="372"/>
      <c r="M1" s="372"/>
      <c r="N1" s="372"/>
      <c r="O1" s="372"/>
      <c r="P1" s="372"/>
      <c r="Q1" s="372"/>
      <c r="R1" s="372"/>
      <c r="S1" s="372"/>
      <c r="T1" s="372"/>
      <c r="U1" s="372"/>
      <c r="V1" s="372"/>
    </row>
    <row r="2" spans="2:23" ht="16" thickBot="1">
      <c r="B2" s="374"/>
      <c r="C2" s="374"/>
      <c r="D2" s="374"/>
      <c r="E2" s="375"/>
      <c r="F2" s="374"/>
      <c r="G2" s="374"/>
      <c r="H2" s="374"/>
      <c r="I2" s="374"/>
      <c r="J2" s="375"/>
      <c r="K2" s="376"/>
      <c r="L2" s="376"/>
      <c r="M2" s="376"/>
      <c r="N2" s="374"/>
      <c r="O2" s="374"/>
      <c r="P2" s="374"/>
      <c r="Q2" s="374"/>
      <c r="R2" s="374"/>
      <c r="S2" s="377"/>
      <c r="T2" s="377"/>
      <c r="U2" s="377"/>
      <c r="V2" s="377"/>
      <c r="W2" s="377"/>
    </row>
    <row r="3" spans="2:23" ht="16" thickTop="1">
      <c r="B3" s="379" t="s">
        <v>240</v>
      </c>
      <c r="C3" s="379"/>
      <c r="D3" s="379"/>
      <c r="E3" s="379"/>
      <c r="F3" s="379"/>
      <c r="G3" s="379"/>
      <c r="H3" s="379"/>
      <c r="I3" s="379"/>
      <c r="J3" s="379"/>
      <c r="K3" s="379"/>
      <c r="L3" s="379"/>
      <c r="M3" s="379"/>
      <c r="N3" s="379"/>
      <c r="O3" s="379"/>
      <c r="P3" s="374"/>
      <c r="Q3" s="374"/>
      <c r="R3" s="374"/>
      <c r="S3" s="377"/>
      <c r="T3" s="377"/>
      <c r="U3" s="377"/>
      <c r="V3" s="377"/>
      <c r="W3" s="377"/>
    </row>
    <row r="4" spans="2:23" ht="16" outlineLevel="1" thickBot="1">
      <c r="B4" s="380" t="s">
        <v>408</v>
      </c>
      <c r="C4" s="380" t="s">
        <v>235</v>
      </c>
      <c r="D4" s="380" t="s">
        <v>302</v>
      </c>
      <c r="E4" s="380" t="s">
        <v>256</v>
      </c>
      <c r="F4" s="380" t="s">
        <v>303</v>
      </c>
      <c r="G4" s="380" t="s">
        <v>409</v>
      </c>
      <c r="H4" s="380" t="s">
        <v>410</v>
      </c>
      <c r="I4" s="380" t="s">
        <v>411</v>
      </c>
      <c r="J4" s="380" t="s">
        <v>412</v>
      </c>
      <c r="K4" s="380" t="s">
        <v>244</v>
      </c>
      <c r="L4" s="380" t="s">
        <v>246</v>
      </c>
      <c r="M4" s="380" t="s">
        <v>413</v>
      </c>
      <c r="N4" s="380" t="s">
        <v>414</v>
      </c>
      <c r="O4" s="380" t="s">
        <v>415</v>
      </c>
      <c r="P4" s="374"/>
      <c r="Q4" s="374"/>
      <c r="R4" s="374"/>
      <c r="S4" s="377"/>
      <c r="T4" s="377"/>
      <c r="U4" s="377"/>
      <c r="V4" s="377"/>
      <c r="W4" s="377"/>
    </row>
    <row r="5" spans="2:23" ht="15" outlineLevel="1">
      <c r="B5" s="381">
        <f>0</f>
        <v>0</v>
      </c>
      <c r="C5" s="382">
        <f>Depreciation!D7</f>
        <v>37124290.259186015</v>
      </c>
      <c r="D5" s="383">
        <f>A55</f>
        <v>746346.88861384429</v>
      </c>
      <c r="E5" s="382">
        <f>'Data Input'!$D$26*C5</f>
        <v>742485.80518372031</v>
      </c>
      <c r="F5" s="383">
        <f>A54</f>
        <v>1608918.2815433787</v>
      </c>
      <c r="G5" s="383">
        <f>SUM(C5:F5)</f>
        <v>40222041.234526962</v>
      </c>
      <c r="H5" s="384">
        <f>1-'Data Input'!$D$22</f>
        <v>0.66666666666666674</v>
      </c>
      <c r="I5" s="383">
        <f>SUM(C5:F5)*H5</f>
        <v>26814694.156351309</v>
      </c>
      <c r="J5" s="384">
        <f>'Data Input'!D$19</f>
        <v>0.06</v>
      </c>
      <c r="K5" s="385">
        <f>'Data Input'!D$20</f>
        <v>13</v>
      </c>
      <c r="L5" s="385">
        <f>'Data Input'!D$21</f>
        <v>3</v>
      </c>
      <c r="M5" s="385">
        <f>'Data Input'!D$23</f>
        <v>4</v>
      </c>
      <c r="N5" s="385">
        <f>'Data Input'!$D$24</f>
        <v>1</v>
      </c>
      <c r="O5" s="385">
        <f>'Data Input'!$D$25</f>
        <v>1</v>
      </c>
      <c r="P5" s="374"/>
      <c r="Q5" s="374"/>
      <c r="R5" s="374"/>
      <c r="S5" s="377"/>
      <c r="T5" s="377"/>
      <c r="U5" s="377"/>
      <c r="V5" s="377"/>
      <c r="W5" s="377"/>
    </row>
    <row r="6" spans="2:23" ht="15" outlineLevel="1">
      <c r="B6" s="386">
        <f>1</f>
        <v>1</v>
      </c>
      <c r="C6" s="387">
        <f>Depreciation!E7</f>
        <v>13382679.266854554</v>
      </c>
      <c r="D6" s="388">
        <f>A84</f>
        <v>269047.95892842929</v>
      </c>
      <c r="E6" s="387">
        <f>'Data Input'!$D$26*C6</f>
        <v>267653.58533709112</v>
      </c>
      <c r="F6" s="388">
        <f>A83</f>
        <v>579993.27971453464</v>
      </c>
      <c r="G6" s="388">
        <f>SUM(C6:F6)</f>
        <v>14499374.090834608</v>
      </c>
      <c r="H6" s="389">
        <f>1-'Data Input'!$D$22</f>
        <v>0.66666666666666674</v>
      </c>
      <c r="I6" s="388">
        <f t="shared" ref="I6:I9" si="0">SUM(C6:F6)*H6</f>
        <v>9666249.3938897401</v>
      </c>
      <c r="J6" s="389">
        <f>'Data Input'!D$19</f>
        <v>0.06</v>
      </c>
      <c r="K6" s="390">
        <f>'Data Input'!D$20</f>
        <v>13</v>
      </c>
      <c r="L6" s="390">
        <f>'Data Input'!D$21</f>
        <v>3</v>
      </c>
      <c r="M6" s="390">
        <f>'Data Input'!D$23</f>
        <v>4</v>
      </c>
      <c r="N6" s="390">
        <f>'Data Input'!$D$24</f>
        <v>1</v>
      </c>
      <c r="O6" s="390">
        <f>'Data Input'!$D$25</f>
        <v>1</v>
      </c>
      <c r="P6" s="374"/>
      <c r="Q6" s="374"/>
      <c r="R6" s="374"/>
      <c r="S6" s="377"/>
      <c r="T6" s="377"/>
      <c r="U6" s="377"/>
      <c r="V6" s="377"/>
      <c r="W6" s="377"/>
    </row>
    <row r="7" spans="2:23" ht="15" outlineLevel="1">
      <c r="B7" s="386">
        <f>2</f>
        <v>2</v>
      </c>
      <c r="C7" s="387">
        <f>Depreciation!F7</f>
        <v>0</v>
      </c>
      <c r="D7" s="388">
        <f>A113</f>
        <v>2.5841979721992542E-138</v>
      </c>
      <c r="E7" s="387">
        <f>'Data Input'!$D$26*C7</f>
        <v>0</v>
      </c>
      <c r="F7" s="388">
        <f>A112</f>
        <v>5.5708189101193025E-138</v>
      </c>
      <c r="G7" s="388">
        <f>SUM(C7:F7)</f>
        <v>8.1550168823185564E-138</v>
      </c>
      <c r="H7" s="389">
        <f>1-'Data Input'!$D$22</f>
        <v>0.66666666666666674</v>
      </c>
      <c r="I7" s="388">
        <f t="shared" si="0"/>
        <v>5.4366779215457047E-138</v>
      </c>
      <c r="J7" s="389">
        <f>'Data Input'!D$19</f>
        <v>0.06</v>
      </c>
      <c r="K7" s="390">
        <f>'Data Input'!D$20</f>
        <v>13</v>
      </c>
      <c r="L7" s="390">
        <f>'Data Input'!D$21</f>
        <v>3</v>
      </c>
      <c r="M7" s="390">
        <f>'Data Input'!D$23</f>
        <v>4</v>
      </c>
      <c r="N7" s="390">
        <f>'Data Input'!$D$24</f>
        <v>1</v>
      </c>
      <c r="O7" s="390">
        <f>'Data Input'!$D$25</f>
        <v>1</v>
      </c>
      <c r="P7" s="374"/>
      <c r="Q7" s="374"/>
      <c r="R7" s="374"/>
      <c r="S7" s="377"/>
      <c r="T7" s="377"/>
      <c r="U7" s="377"/>
      <c r="V7" s="377"/>
      <c r="W7" s="377"/>
    </row>
    <row r="8" spans="2:23" ht="15" outlineLevel="1">
      <c r="B8" s="386">
        <f>3</f>
        <v>3</v>
      </c>
      <c r="C8" s="387">
        <f>Depreciation!G7</f>
        <v>0</v>
      </c>
      <c r="D8" s="388">
        <f>A142</f>
        <v>2.7349672242080463E-138</v>
      </c>
      <c r="E8" s="387">
        <f>'Data Input'!$D$26*C8</f>
        <v>0</v>
      </c>
      <c r="F8" s="388">
        <f>A141</f>
        <v>5.895835882189879E-138</v>
      </c>
      <c r="G8" s="388">
        <f>SUM(C8:F8)</f>
        <v>8.6308031063979247E-138</v>
      </c>
      <c r="H8" s="389">
        <f>1-'Data Input'!$D$22</f>
        <v>0.66666666666666674</v>
      </c>
      <c r="I8" s="388">
        <f t="shared" si="0"/>
        <v>5.7538687375986169E-138</v>
      </c>
      <c r="J8" s="389">
        <f>'Data Input'!D$19</f>
        <v>0.06</v>
      </c>
      <c r="K8" s="390">
        <f>'Data Input'!D$20</f>
        <v>13</v>
      </c>
      <c r="L8" s="390">
        <f>'Data Input'!D$21</f>
        <v>3</v>
      </c>
      <c r="M8" s="390">
        <f>'Data Input'!D$23</f>
        <v>4</v>
      </c>
      <c r="N8" s="390">
        <f>'Data Input'!$D$24</f>
        <v>1</v>
      </c>
      <c r="O8" s="390">
        <f>'Data Input'!$D$25</f>
        <v>1</v>
      </c>
      <c r="P8" s="374"/>
      <c r="Q8" s="374"/>
      <c r="R8" s="374"/>
      <c r="S8" s="377"/>
      <c r="T8" s="377"/>
      <c r="U8" s="377"/>
      <c r="V8" s="377"/>
      <c r="W8" s="377"/>
    </row>
    <row r="9" spans="2:23" ht="15" outlineLevel="1">
      <c r="B9" s="391">
        <f>4</f>
        <v>4</v>
      </c>
      <c r="C9" s="392">
        <f>Depreciation!H7</f>
        <v>0</v>
      </c>
      <c r="D9" s="393">
        <f>A171</f>
        <v>0</v>
      </c>
      <c r="E9" s="392">
        <f>'Data Input'!$D$26*C9</f>
        <v>0</v>
      </c>
      <c r="F9" s="393">
        <f>A170</f>
        <v>0</v>
      </c>
      <c r="G9" s="393">
        <f>SUM(C9:F9)</f>
        <v>0</v>
      </c>
      <c r="H9" s="394">
        <f>1-'Data Input'!$D$22</f>
        <v>0.66666666666666674</v>
      </c>
      <c r="I9" s="393">
        <f t="shared" si="0"/>
        <v>0</v>
      </c>
      <c r="J9" s="394">
        <f>'Data Input'!D$19</f>
        <v>0.06</v>
      </c>
      <c r="K9" s="395">
        <f>'Data Input'!D$20</f>
        <v>13</v>
      </c>
      <c r="L9" s="395">
        <f>'Data Input'!D$21</f>
        <v>3</v>
      </c>
      <c r="M9" s="395">
        <f>'Data Input'!D$23</f>
        <v>4</v>
      </c>
      <c r="N9" s="486">
        <v>0</v>
      </c>
      <c r="O9" s="486">
        <v>0</v>
      </c>
      <c r="P9" s="374"/>
      <c r="Q9" s="374"/>
      <c r="R9" s="374"/>
      <c r="S9" s="377"/>
      <c r="T9" s="377"/>
      <c r="U9" s="377"/>
      <c r="V9" s="377"/>
      <c r="W9" s="377"/>
    </row>
    <row r="10" spans="2:23" ht="16" outlineLevel="1" thickBot="1">
      <c r="B10" s="396" t="s">
        <v>1</v>
      </c>
      <c r="C10" s="397">
        <f>SUM(C5:C9)</f>
        <v>50506969.526040569</v>
      </c>
      <c r="D10" s="397">
        <f>SUM(D5:D9)</f>
        <v>1015394.8475422736</v>
      </c>
      <c r="E10" s="397">
        <f>SUM(E5:E9)</f>
        <v>1010139.3905208114</v>
      </c>
      <c r="F10" s="397">
        <f>SUM(F5:F9)</f>
        <v>2188911.5612579132</v>
      </c>
      <c r="G10" s="397">
        <f>SUM(G5:G9)</f>
        <v>54721415.325361572</v>
      </c>
      <c r="H10" s="398">
        <f>IFERROR(I10/G10,0)</f>
        <v>0.66666666666666674</v>
      </c>
      <c r="I10" s="397">
        <f>SUM(I5:I9)</f>
        <v>36480943.550241053</v>
      </c>
      <c r="J10" s="397"/>
      <c r="K10" s="397"/>
      <c r="L10" s="397"/>
      <c r="M10" s="397"/>
      <c r="N10" s="397"/>
      <c r="O10" s="397"/>
      <c r="P10" s="374"/>
      <c r="Q10" s="374"/>
      <c r="R10" s="374"/>
      <c r="S10" s="377"/>
      <c r="T10" s="377"/>
      <c r="U10" s="377"/>
      <c r="V10" s="377"/>
      <c r="W10" s="377"/>
    </row>
    <row r="11" spans="2:23" ht="15" outlineLevel="1">
      <c r="B11" s="399"/>
      <c r="C11" s="400"/>
      <c r="D11" s="401"/>
      <c r="E11" s="401"/>
      <c r="F11" s="401"/>
      <c r="G11" s="401"/>
      <c r="H11" s="401"/>
      <c r="I11" s="516">
        <f>I10/G10</f>
        <v>0.66666666666666674</v>
      </c>
      <c r="J11" s="401"/>
      <c r="K11" s="402"/>
      <c r="L11" s="399"/>
      <c r="M11" s="399"/>
      <c r="N11" s="399"/>
      <c r="O11" s="403"/>
      <c r="P11" s="403"/>
      <c r="Q11" s="374"/>
      <c r="R11" s="374"/>
      <c r="S11" s="377"/>
      <c r="T11" s="377"/>
      <c r="U11" s="377"/>
      <c r="V11" s="377"/>
      <c r="W11" s="377"/>
    </row>
    <row r="12" spans="2:23" ht="16" thickBot="1">
      <c r="B12" s="399"/>
      <c r="C12" s="400"/>
      <c r="D12" s="401"/>
      <c r="E12" s="401"/>
      <c r="F12" s="401"/>
      <c r="G12" s="401"/>
      <c r="H12" s="401"/>
      <c r="I12" s="404"/>
      <c r="J12" s="401"/>
      <c r="K12" s="402"/>
      <c r="L12" s="399"/>
      <c r="M12" s="399"/>
      <c r="N12" s="402"/>
      <c r="O12" s="403"/>
      <c r="P12" s="403"/>
      <c r="Q12" s="374"/>
      <c r="R12" s="374"/>
      <c r="S12" s="377"/>
      <c r="T12" s="377"/>
      <c r="U12" s="377"/>
      <c r="V12" s="377"/>
      <c r="W12" s="377"/>
    </row>
    <row r="13" spans="2:23" ht="16" thickTop="1">
      <c r="B13" s="379" t="s">
        <v>416</v>
      </c>
      <c r="C13" s="379"/>
      <c r="D13" s="379"/>
      <c r="E13" s="379"/>
      <c r="F13" s="379"/>
      <c r="G13" s="379"/>
      <c r="H13" s="379"/>
      <c r="I13" s="379"/>
      <c r="J13" s="379"/>
      <c r="K13" s="379"/>
      <c r="L13" s="379"/>
      <c r="M13" s="379"/>
      <c r="N13" s="379"/>
      <c r="O13" s="379"/>
      <c r="P13" s="379"/>
      <c r="Q13" s="379"/>
      <c r="R13" s="379"/>
      <c r="S13" s="379"/>
      <c r="T13" s="379"/>
      <c r="U13" s="379"/>
      <c r="V13" s="379"/>
      <c r="W13" s="379"/>
    </row>
    <row r="14" spans="2:23" ht="16" outlineLevel="1" thickBot="1">
      <c r="B14" s="405"/>
      <c r="C14" s="405">
        <v>0</v>
      </c>
      <c r="D14" s="405">
        <v>1</v>
      </c>
      <c r="E14" s="405">
        <v>2</v>
      </c>
      <c r="F14" s="405">
        <v>3</v>
      </c>
      <c r="G14" s="405">
        <v>4</v>
      </c>
      <c r="H14" s="405">
        <v>5</v>
      </c>
      <c r="I14" s="405">
        <v>6</v>
      </c>
      <c r="J14" s="405">
        <v>7</v>
      </c>
      <c r="K14" s="405">
        <v>8</v>
      </c>
      <c r="L14" s="405">
        <v>9</v>
      </c>
      <c r="M14" s="405">
        <v>10</v>
      </c>
      <c r="N14" s="405">
        <v>11</v>
      </c>
      <c r="O14" s="405">
        <v>12</v>
      </c>
      <c r="P14" s="405">
        <v>13</v>
      </c>
      <c r="Q14" s="405">
        <v>14</v>
      </c>
      <c r="R14" s="405">
        <v>15</v>
      </c>
      <c r="S14" s="405">
        <v>16</v>
      </c>
      <c r="T14" s="405">
        <v>17</v>
      </c>
      <c r="U14" s="405">
        <v>18</v>
      </c>
      <c r="V14" s="405">
        <v>19</v>
      </c>
      <c r="W14" s="405">
        <v>20</v>
      </c>
    </row>
    <row r="15" spans="2:23" ht="15" outlineLevel="1">
      <c r="B15" s="406" t="s">
        <v>417</v>
      </c>
      <c r="C15" s="406"/>
      <c r="D15" s="406"/>
      <c r="E15" s="406"/>
      <c r="F15" s="406"/>
      <c r="G15" s="406"/>
      <c r="H15" s="406"/>
      <c r="I15" s="406"/>
      <c r="J15" s="406"/>
      <c r="K15" s="406"/>
      <c r="L15" s="406"/>
      <c r="M15" s="406"/>
      <c r="N15" s="406"/>
      <c r="O15" s="406"/>
      <c r="P15" s="406"/>
      <c r="Q15" s="406"/>
      <c r="R15" s="406"/>
      <c r="S15" s="406"/>
      <c r="T15" s="406"/>
      <c r="U15" s="406"/>
      <c r="V15" s="406"/>
      <c r="W15" s="406"/>
    </row>
    <row r="16" spans="2:23" ht="15" outlineLevel="1">
      <c r="B16" s="407"/>
      <c r="C16" s="408">
        <f>C5</f>
        <v>37124290.259186015</v>
      </c>
      <c r="D16" s="408">
        <f>C6</f>
        <v>13382679.266854554</v>
      </c>
      <c r="E16" s="408">
        <f>C7</f>
        <v>0</v>
      </c>
      <c r="F16" s="408">
        <f>C8</f>
        <v>0</v>
      </c>
      <c r="G16" s="408">
        <f>C9</f>
        <v>0</v>
      </c>
      <c r="H16" s="409"/>
      <c r="I16" s="410"/>
      <c r="J16" s="409"/>
      <c r="K16" s="409"/>
      <c r="L16" s="409"/>
      <c r="M16" s="409"/>
      <c r="N16" s="409"/>
      <c r="O16" s="409"/>
      <c r="P16" s="409"/>
      <c r="Q16" s="409"/>
      <c r="R16" s="409"/>
      <c r="S16" s="409"/>
      <c r="T16" s="409"/>
      <c r="U16" s="409"/>
      <c r="V16" s="409"/>
      <c r="W16" s="409"/>
    </row>
    <row r="17" spans="1:24" ht="15" outlineLevel="1">
      <c r="A17" s="374"/>
      <c r="B17" s="406" t="s">
        <v>418</v>
      </c>
      <c r="C17" s="406"/>
      <c r="D17" s="406"/>
      <c r="E17" s="406"/>
      <c r="F17" s="406"/>
      <c r="G17" s="406"/>
      <c r="H17" s="406"/>
      <c r="I17" s="406"/>
      <c r="J17" s="406"/>
      <c r="K17" s="406"/>
      <c r="L17" s="406"/>
      <c r="M17" s="406"/>
      <c r="N17" s="406"/>
      <c r="O17" s="406"/>
      <c r="P17" s="406"/>
      <c r="Q17" s="406"/>
      <c r="R17" s="406"/>
      <c r="S17" s="406"/>
      <c r="T17" s="406"/>
      <c r="U17" s="406"/>
      <c r="V17" s="406"/>
      <c r="W17" s="406"/>
      <c r="X17" s="377"/>
    </row>
    <row r="18" spans="1:24" ht="15" outlineLevel="1">
      <c r="A18" s="374"/>
      <c r="B18" s="411" t="s">
        <v>280</v>
      </c>
      <c r="C18" s="408">
        <f>G5-I5</f>
        <v>13407347.078175653</v>
      </c>
      <c r="D18" s="408">
        <f>G6-I6</f>
        <v>4833124.6969448682</v>
      </c>
      <c r="E18" s="408">
        <f>G7-I7</f>
        <v>2.7183389607728517E-138</v>
      </c>
      <c r="F18" s="408">
        <f>G8-I8</f>
        <v>2.8769343687993079E-138</v>
      </c>
      <c r="G18" s="408">
        <f>G9-I9</f>
        <v>0</v>
      </c>
      <c r="H18" s="412"/>
      <c r="I18" s="409"/>
      <c r="J18" s="409"/>
      <c r="K18" s="409"/>
      <c r="L18" s="409"/>
      <c r="M18" s="409"/>
      <c r="N18" s="409"/>
      <c r="O18" s="409"/>
      <c r="P18" s="409"/>
      <c r="Q18" s="409"/>
      <c r="R18" s="409"/>
      <c r="S18" s="409"/>
      <c r="T18" s="409"/>
      <c r="U18" s="409"/>
      <c r="V18" s="409"/>
      <c r="W18" s="409"/>
      <c r="X18" s="377"/>
    </row>
    <row r="19" spans="1:24" ht="15" outlineLevel="1">
      <c r="A19" s="374"/>
      <c r="B19" s="411" t="s">
        <v>419</v>
      </c>
      <c r="C19" s="408">
        <f>I5-D5</f>
        <v>26068347.267737463</v>
      </c>
      <c r="D19" s="408">
        <f>I6-D6</f>
        <v>9397201.4349613115</v>
      </c>
      <c r="E19" s="408">
        <f>I7-D7</f>
        <v>2.8524799493464507E-138</v>
      </c>
      <c r="F19" s="408">
        <f>I8-D8</f>
        <v>3.0189015133905706E-138</v>
      </c>
      <c r="G19" s="408">
        <f>I9-D9</f>
        <v>0</v>
      </c>
      <c r="H19" s="409"/>
      <c r="I19" s="409"/>
      <c r="J19" s="409"/>
      <c r="K19" s="409"/>
      <c r="L19" s="409"/>
      <c r="M19" s="409"/>
      <c r="N19" s="409"/>
      <c r="O19" s="409"/>
      <c r="P19" s="409"/>
      <c r="Q19" s="409"/>
      <c r="R19" s="409"/>
      <c r="S19" s="409"/>
      <c r="T19" s="409"/>
      <c r="U19" s="409"/>
      <c r="V19" s="409"/>
      <c r="W19" s="409"/>
      <c r="X19" s="377"/>
    </row>
    <row r="20" spans="1:24" ht="15" outlineLevel="1">
      <c r="A20" s="374"/>
      <c r="B20" s="411" t="s">
        <v>302</v>
      </c>
      <c r="C20" s="408">
        <f>D5</f>
        <v>746346.88861384429</v>
      </c>
      <c r="D20" s="408">
        <f>D6</f>
        <v>269047.95892842929</v>
      </c>
      <c r="E20" s="408">
        <f>D7</f>
        <v>2.5841979721992542E-138</v>
      </c>
      <c r="F20" s="408">
        <f>D8</f>
        <v>2.7349672242080463E-138</v>
      </c>
      <c r="G20" s="408">
        <f>D9</f>
        <v>0</v>
      </c>
      <c r="H20" s="409"/>
      <c r="I20" s="409"/>
      <c r="J20" s="409"/>
      <c r="K20" s="409"/>
      <c r="L20" s="409"/>
      <c r="M20" s="409"/>
      <c r="N20" s="409"/>
      <c r="O20" s="409"/>
      <c r="P20" s="409"/>
      <c r="Q20" s="409"/>
      <c r="R20" s="409"/>
      <c r="S20" s="409"/>
      <c r="T20" s="409"/>
      <c r="U20" s="409"/>
      <c r="V20" s="409"/>
      <c r="W20" s="409"/>
      <c r="X20" s="377"/>
    </row>
    <row r="21" spans="1:24" ht="15" outlineLevel="1">
      <c r="A21" s="374"/>
      <c r="B21" s="411" t="s">
        <v>420</v>
      </c>
      <c r="C21" s="408">
        <f>-IF(C14=SUM($K$5:$L$5)-1,$D$5,0)</f>
        <v>0</v>
      </c>
      <c r="D21" s="408">
        <f>-IF(D14=SUM($K$5:$L$5)-1,$D$5,0)-IF(C14=SUM($K$6:$L$6)-1,$D$6,0)</f>
        <v>0</v>
      </c>
      <c r="E21" s="408">
        <f>-IF(E14=SUM($K$5:$L$5)-1,$D$5,0)-IF(D14=SUM($K$6:$L$6)-1,$D$6,0)-IF(C14=SUM($K$7:$L$7)-1,$D$7,0)</f>
        <v>0</v>
      </c>
      <c r="F21" s="408">
        <f>-IF(F14=SUM($K$5:$L$5)-1,$D$5,0)-IF(E14=SUM($K$6:$L$6)-1,$D$6,0)-IF(D14=SUM($K$7:$L$7)-1,$D$7,0)-IF(C14=SUM($K$8:$L$8)-1,$D$8,0)</f>
        <v>0</v>
      </c>
      <c r="G21" s="408">
        <f t="shared" ref="G21:W21" si="1">-IF(G14=SUM($K$5:$L$5)-1,$D$5,0)-IF(F14=SUM($K$6:$L$6)-1,$D$6,0)-IF(E14=SUM($K$7:$L$7)-1,$D$7,0)-IF(D14=SUM($K$8:$L$8)-1,$D$8,0)-IF(C14=SUM($K$9:$L$9)-1,$D$9,0)</f>
        <v>0</v>
      </c>
      <c r="H21" s="408">
        <f t="shared" si="1"/>
        <v>0</v>
      </c>
      <c r="I21" s="408">
        <f t="shared" si="1"/>
        <v>0</v>
      </c>
      <c r="J21" s="408">
        <f t="shared" si="1"/>
        <v>0</v>
      </c>
      <c r="K21" s="408">
        <f t="shared" si="1"/>
        <v>0</v>
      </c>
      <c r="L21" s="408">
        <f t="shared" si="1"/>
        <v>0</v>
      </c>
      <c r="M21" s="408">
        <f t="shared" si="1"/>
        <v>0</v>
      </c>
      <c r="N21" s="408">
        <f t="shared" si="1"/>
        <v>0</v>
      </c>
      <c r="O21" s="408">
        <f t="shared" si="1"/>
        <v>0</v>
      </c>
      <c r="P21" s="408">
        <f t="shared" si="1"/>
        <v>0</v>
      </c>
      <c r="Q21" s="408">
        <f t="shared" si="1"/>
        <v>0</v>
      </c>
      <c r="R21" s="408">
        <f t="shared" si="1"/>
        <v>-746346.88861384429</v>
      </c>
      <c r="S21" s="408">
        <f t="shared" si="1"/>
        <v>-269047.95892842929</v>
      </c>
      <c r="T21" s="408">
        <f t="shared" si="1"/>
        <v>-2.5841979721992542E-138</v>
      </c>
      <c r="U21" s="408">
        <f t="shared" si="1"/>
        <v>-2.7349672242080463E-138</v>
      </c>
      <c r="V21" s="408">
        <f t="shared" si="1"/>
        <v>0</v>
      </c>
      <c r="W21" s="408">
        <f t="shared" si="1"/>
        <v>0</v>
      </c>
      <c r="X21" s="377"/>
    </row>
    <row r="22" spans="1:24" ht="15" outlineLevel="1">
      <c r="A22" s="374"/>
      <c r="B22" s="406" t="s">
        <v>421</v>
      </c>
      <c r="C22" s="406"/>
      <c r="D22" s="406"/>
      <c r="E22" s="406"/>
      <c r="F22" s="406"/>
      <c r="G22" s="406"/>
      <c r="H22" s="406"/>
      <c r="I22" s="406"/>
      <c r="J22" s="406"/>
      <c r="K22" s="406"/>
      <c r="L22" s="406"/>
      <c r="M22" s="406"/>
      <c r="N22" s="406"/>
      <c r="O22" s="406"/>
      <c r="P22" s="406"/>
      <c r="Q22" s="406"/>
      <c r="R22" s="406"/>
      <c r="S22" s="406"/>
      <c r="T22" s="406"/>
      <c r="U22" s="406"/>
      <c r="V22" s="406"/>
      <c r="W22" s="406"/>
      <c r="X22" s="377"/>
    </row>
    <row r="23" spans="1:24" ht="15" outlineLevel="1">
      <c r="A23" s="374"/>
      <c r="B23" s="411" t="s">
        <v>422</v>
      </c>
      <c r="C23" s="408">
        <f>C43</f>
        <v>1608881.6493810785</v>
      </c>
      <c r="D23" s="408">
        <f>SUM(D43,C72)</f>
        <v>2188856.6130144629</v>
      </c>
      <c r="E23" s="408">
        <f>SUM(E43,D72,C101)</f>
        <v>2188856.6130144629</v>
      </c>
      <c r="F23" s="408">
        <f>SUM(F43,E72,D101,C130)</f>
        <v>2157575.8996131313</v>
      </c>
      <c r="G23" s="408">
        <f>SUM(G43,F72,E101,D130,C159)</f>
        <v>2059917.1104352027</v>
      </c>
      <c r="H23" s="408">
        <f t="shared" ref="H23:W24" si="2">SUM(H43,G72,F101,E130,D159)</f>
        <v>1937094.262292509</v>
      </c>
      <c r="I23" s="408">
        <f t="shared" si="2"/>
        <v>1806734.5680899047</v>
      </c>
      <c r="J23" s="408">
        <f t="shared" si="2"/>
        <v>1668375.540192639</v>
      </c>
      <c r="K23" s="408">
        <f t="shared" si="2"/>
        <v>1521526.3110825738</v>
      </c>
      <c r="L23" s="408">
        <f t="shared" si="2"/>
        <v>1365665.891867771</v>
      </c>
      <c r="M23" s="408">
        <f t="shared" si="2"/>
        <v>1200241.3239280467</v>
      </c>
      <c r="N23" s="408">
        <f t="shared" si="2"/>
        <v>306229.70711204992</v>
      </c>
      <c r="O23" s="408">
        <f t="shared" si="2"/>
        <v>3.8101701299210105E-139</v>
      </c>
      <c r="P23" s="408">
        <f t="shared" si="2"/>
        <v>1.8228430350553639E-139</v>
      </c>
      <c r="Q23" s="408">
        <f t="shared" si="2"/>
        <v>0</v>
      </c>
      <c r="R23" s="408">
        <f t="shared" si="2"/>
        <v>0</v>
      </c>
      <c r="S23" s="408">
        <f t="shared" si="2"/>
        <v>0</v>
      </c>
      <c r="T23" s="408">
        <f t="shared" si="2"/>
        <v>0</v>
      </c>
      <c r="U23" s="408">
        <f t="shared" si="2"/>
        <v>0</v>
      </c>
      <c r="V23" s="408">
        <f t="shared" si="2"/>
        <v>0</v>
      </c>
      <c r="W23" s="408">
        <f t="shared" si="2"/>
        <v>0</v>
      </c>
      <c r="X23" s="377"/>
    </row>
    <row r="24" spans="1:24" ht="15" outlineLevel="1">
      <c r="A24" s="374"/>
      <c r="B24" s="411" t="s">
        <v>423</v>
      </c>
      <c r="C24" s="408">
        <f>C44</f>
        <v>0</v>
      </c>
      <c r="D24" s="408">
        <f>SUM(D44,C73)</f>
        <v>0</v>
      </c>
      <c r="E24" s="408">
        <f>SUM(E44,D73,C102)</f>
        <v>0</v>
      </c>
      <c r="F24" s="408">
        <f>SUM(F44,E73,D102,C131)</f>
        <v>1407718.6465949703</v>
      </c>
      <c r="G24" s="408">
        <f>SUM(G44,F73,E102,D131,C160)</f>
        <v>2001560.3219129017</v>
      </c>
      <c r="H24" s="408">
        <f t="shared" si="2"/>
        <v>2124383.1700555952</v>
      </c>
      <c r="I24" s="408">
        <f t="shared" si="2"/>
        <v>2254742.8642581999</v>
      </c>
      <c r="J24" s="408">
        <f t="shared" si="2"/>
        <v>2393101.8921554652</v>
      </c>
      <c r="K24" s="408">
        <f t="shared" si="2"/>
        <v>2539951.1212655306</v>
      </c>
      <c r="L24" s="408">
        <f t="shared" si="2"/>
        <v>2695811.5404803334</v>
      </c>
      <c r="M24" s="408">
        <f t="shared" si="2"/>
        <v>2861236.1084200577</v>
      </c>
      <c r="N24" s="408">
        <f t="shared" si="2"/>
        <v>769928.14266133728</v>
      </c>
      <c r="O24" s="408">
        <f t="shared" si="2"/>
        <v>8.64843107077431E-139</v>
      </c>
      <c r="P24" s="408">
        <f t="shared" si="2"/>
        <v>4.5830241800473128E-139</v>
      </c>
      <c r="Q24" s="408">
        <f t="shared" si="2"/>
        <v>0</v>
      </c>
      <c r="R24" s="408">
        <f t="shared" si="2"/>
        <v>0</v>
      </c>
      <c r="S24" s="408">
        <f t="shared" si="2"/>
        <v>0</v>
      </c>
      <c r="T24" s="408">
        <f t="shared" si="2"/>
        <v>0</v>
      </c>
      <c r="U24" s="408">
        <f t="shared" si="2"/>
        <v>0</v>
      </c>
      <c r="V24" s="408">
        <f t="shared" si="2"/>
        <v>0</v>
      </c>
      <c r="W24" s="408">
        <f t="shared" si="2"/>
        <v>0</v>
      </c>
      <c r="X24" s="377"/>
    </row>
    <row r="25" spans="1:24" ht="15" outlineLevel="1">
      <c r="A25" s="374"/>
      <c r="B25" s="406" t="s">
        <v>424</v>
      </c>
      <c r="C25" s="406"/>
      <c r="D25" s="406"/>
      <c r="E25" s="406"/>
      <c r="F25" s="406"/>
      <c r="G25" s="406"/>
      <c r="H25" s="406"/>
      <c r="I25" s="406"/>
      <c r="J25" s="406"/>
      <c r="K25" s="406"/>
      <c r="L25" s="406"/>
      <c r="M25" s="406"/>
      <c r="N25" s="406"/>
      <c r="O25" s="406"/>
      <c r="P25" s="406"/>
      <c r="Q25" s="406"/>
      <c r="R25" s="406"/>
      <c r="S25" s="406"/>
      <c r="T25" s="406"/>
      <c r="U25" s="406"/>
      <c r="V25" s="406"/>
      <c r="W25" s="406"/>
      <c r="X25" s="377"/>
    </row>
    <row r="26" spans="1:24" ht="15" outlineLevel="1">
      <c r="A26" s="374"/>
      <c r="B26" s="411" t="s">
        <v>425</v>
      </c>
      <c r="C26" s="408">
        <f>SUM(C58)</f>
        <v>0</v>
      </c>
      <c r="D26" s="408">
        <f>SUM(D58,C87)</f>
        <v>0</v>
      </c>
      <c r="E26" s="408">
        <f>SUM(E58,D87,C116)</f>
        <v>1407718.6465949703</v>
      </c>
      <c r="F26" s="408">
        <f>SUM(F58,E87,D116,C145)</f>
        <v>2001560.3219129017</v>
      </c>
      <c r="G26" s="408">
        <f>SUM(G58,F87,E116,D145,C174)</f>
        <v>2124383.1700555952</v>
      </c>
      <c r="H26" s="408">
        <f t="shared" ref="H26:W27" si="3">SUM(H58,G87,F116,E145,D174)</f>
        <v>2254742.8642581999</v>
      </c>
      <c r="I26" s="413">
        <f t="shared" si="3"/>
        <v>2393101.8921554652</v>
      </c>
      <c r="J26" s="413">
        <f t="shared" si="3"/>
        <v>2539951.1212655306</v>
      </c>
      <c r="K26" s="413">
        <f t="shared" si="3"/>
        <v>2695811.5404803334</v>
      </c>
      <c r="L26" s="413">
        <f t="shared" si="3"/>
        <v>2861236.1084200577</v>
      </c>
      <c r="M26" s="413">
        <f t="shared" si="3"/>
        <v>769928.14266133728</v>
      </c>
      <c r="N26" s="413">
        <f t="shared" si="3"/>
        <v>8.64843107077431E-139</v>
      </c>
      <c r="O26" s="413">
        <f t="shared" si="3"/>
        <v>4.5830241800473128E-139</v>
      </c>
      <c r="P26" s="413">
        <f t="shared" si="3"/>
        <v>0</v>
      </c>
      <c r="Q26" s="413">
        <f t="shared" si="3"/>
        <v>0</v>
      </c>
      <c r="R26" s="413">
        <f t="shared" si="3"/>
        <v>0</v>
      </c>
      <c r="S26" s="413">
        <f t="shared" si="3"/>
        <v>0</v>
      </c>
      <c r="T26" s="413">
        <f t="shared" si="3"/>
        <v>0</v>
      </c>
      <c r="U26" s="413">
        <f t="shared" si="3"/>
        <v>0</v>
      </c>
      <c r="V26" s="413">
        <f t="shared" si="3"/>
        <v>0</v>
      </c>
      <c r="W26" s="413">
        <f t="shared" si="3"/>
        <v>0</v>
      </c>
      <c r="X26" s="377"/>
    </row>
    <row r="27" spans="1:24" s="377" customFormat="1" ht="16" outlineLevel="1" thickBot="1">
      <c r="A27" s="374"/>
      <c r="B27" s="414" t="s">
        <v>426</v>
      </c>
      <c r="C27" s="415">
        <f>SUM(C59)</f>
        <v>26814694.156351309</v>
      </c>
      <c r="D27" s="415">
        <f>SUM(D59,C88)</f>
        <v>36480943.550241053</v>
      </c>
      <c r="E27" s="415">
        <f>SUM(E59,D88,C117)</f>
        <v>35073224.903646082</v>
      </c>
      <c r="F27" s="415">
        <f>SUM(F59,E88,D117,C146)</f>
        <v>33071664.581733175</v>
      </c>
      <c r="G27" s="415">
        <f>SUM(G59,F88,E117,D146,C175)</f>
        <v>30947281.41167758</v>
      </c>
      <c r="H27" s="415">
        <f t="shared" si="3"/>
        <v>28692538.54741938</v>
      </c>
      <c r="I27" s="415">
        <f t="shared" si="3"/>
        <v>26299436.655263916</v>
      </c>
      <c r="J27" s="415">
        <f t="shared" si="3"/>
        <v>23759485.533998385</v>
      </c>
      <c r="K27" s="415">
        <f t="shared" si="3"/>
        <v>21063673.993518051</v>
      </c>
      <c r="L27" s="415">
        <f t="shared" si="3"/>
        <v>18202437.885097992</v>
      </c>
      <c r="M27" s="415">
        <f t="shared" si="3"/>
        <v>17432509.742436655</v>
      </c>
      <c r="N27" s="415">
        <f t="shared" si="3"/>
        <v>17432509.742436655</v>
      </c>
      <c r="O27" s="415">
        <f t="shared" si="3"/>
        <v>17432509.742436655</v>
      </c>
      <c r="P27" s="415">
        <f t="shared" si="3"/>
        <v>17432509.742436655</v>
      </c>
      <c r="Q27" s="415">
        <f t="shared" si="3"/>
        <v>17432509.742436655</v>
      </c>
      <c r="R27" s="415">
        <f t="shared" si="3"/>
        <v>17432509.742436655</v>
      </c>
      <c r="S27" s="415">
        <f t="shared" si="3"/>
        <v>17432509.742436655</v>
      </c>
      <c r="T27" s="415">
        <f t="shared" si="3"/>
        <v>17432509.742436655</v>
      </c>
      <c r="U27" s="415">
        <f t="shared" si="3"/>
        <v>17432509.742436655</v>
      </c>
      <c r="V27" s="415">
        <f t="shared" si="3"/>
        <v>17432509.742436655</v>
      </c>
      <c r="W27" s="415">
        <f t="shared" si="3"/>
        <v>17432509.742436655</v>
      </c>
      <c r="X27" s="401"/>
    </row>
    <row r="28" spans="1:24" ht="15" outlineLevel="1">
      <c r="A28" s="374"/>
      <c r="B28" s="399"/>
      <c r="C28" s="400"/>
      <c r="D28" s="401"/>
      <c r="E28" s="401"/>
      <c r="F28" s="401"/>
      <c r="G28" s="401"/>
      <c r="H28" s="401"/>
      <c r="I28" s="404"/>
      <c r="J28" s="401"/>
      <c r="K28" s="402"/>
      <c r="L28" s="399"/>
      <c r="M28" s="399"/>
      <c r="N28" s="399"/>
      <c r="O28" s="403"/>
      <c r="P28" s="403"/>
      <c r="Q28" s="374"/>
      <c r="R28" s="374"/>
      <c r="S28" s="377"/>
      <c r="T28" s="377"/>
      <c r="U28" s="377"/>
      <c r="V28" s="377"/>
      <c r="W28" s="377"/>
      <c r="X28" s="377"/>
    </row>
    <row r="29" spans="1:24" ht="16" thickBot="1">
      <c r="A29" s="374"/>
      <c r="B29" s="399"/>
      <c r="C29" s="400"/>
      <c r="D29" s="401"/>
      <c r="E29" s="401"/>
      <c r="F29" s="401"/>
      <c r="G29" s="401"/>
      <c r="H29" s="401"/>
      <c r="I29" s="404"/>
      <c r="J29" s="401"/>
      <c r="K29" s="402"/>
      <c r="L29" s="399"/>
      <c r="M29" s="399"/>
      <c r="N29" s="399"/>
      <c r="O29" s="403"/>
      <c r="P29" s="403"/>
      <c r="Q29" s="374"/>
      <c r="R29" s="374"/>
      <c r="S29" s="377"/>
      <c r="T29" s="377"/>
      <c r="U29" s="377"/>
      <c r="V29" s="377"/>
      <c r="W29" s="377"/>
      <c r="X29" s="377"/>
    </row>
    <row r="30" spans="1:24" s="377" customFormat="1" ht="16" thickBot="1">
      <c r="A30" s="416"/>
      <c r="B30" s="416"/>
      <c r="C30" s="416"/>
      <c r="D30" s="416"/>
      <c r="E30" s="416"/>
      <c r="F30" s="416"/>
      <c r="G30" s="416"/>
      <c r="H30" s="416"/>
      <c r="I30" s="416"/>
      <c r="J30" s="416"/>
      <c r="K30" s="416"/>
      <c r="L30" s="416"/>
      <c r="M30" s="416"/>
      <c r="N30" s="416"/>
      <c r="O30" s="416"/>
      <c r="P30" s="416"/>
      <c r="Q30" s="416"/>
      <c r="R30" s="416"/>
      <c r="S30" s="416"/>
      <c r="T30" s="416"/>
      <c r="U30" s="416"/>
      <c r="V30" s="416"/>
      <c r="W30" s="416"/>
      <c r="X30" s="416"/>
    </row>
    <row r="32" spans="1:24" ht="16" thickBot="1">
      <c r="A32" s="374"/>
      <c r="B32" s="374"/>
      <c r="C32" s="374"/>
      <c r="D32" s="374"/>
      <c r="E32" s="374"/>
      <c r="F32" s="374"/>
      <c r="G32" s="374"/>
      <c r="H32" s="374"/>
      <c r="I32" s="374"/>
      <c r="J32" s="374"/>
      <c r="K32" s="374"/>
      <c r="L32" s="374"/>
      <c r="M32" s="374"/>
      <c r="N32" s="374"/>
      <c r="O32" s="374"/>
      <c r="P32" s="374"/>
      <c r="Q32" s="374"/>
      <c r="R32" s="374"/>
      <c r="S32" s="377"/>
      <c r="T32" s="377"/>
      <c r="U32" s="377"/>
      <c r="V32" s="377"/>
      <c r="W32" s="377"/>
      <c r="X32" s="377"/>
    </row>
    <row r="33" spans="1:42" ht="16" thickTop="1">
      <c r="A33" s="374"/>
      <c r="B33" s="379" t="s">
        <v>427</v>
      </c>
      <c r="C33" s="379"/>
      <c r="D33" s="379"/>
      <c r="E33" s="379"/>
      <c r="F33" s="379"/>
      <c r="G33" s="379"/>
      <c r="H33" s="379"/>
      <c r="I33" s="379"/>
      <c r="J33" s="379"/>
      <c r="K33" s="379"/>
      <c r="L33" s="379"/>
      <c r="M33" s="379"/>
      <c r="N33" s="379"/>
      <c r="O33" s="379"/>
      <c r="P33" s="379"/>
      <c r="Q33" s="379"/>
      <c r="R33" s="379"/>
      <c r="S33" s="379"/>
      <c r="T33" s="379"/>
      <c r="U33" s="379"/>
      <c r="V33" s="379"/>
      <c r="W33" s="379"/>
      <c r="X33" s="379"/>
      <c r="Y33" s="379"/>
      <c r="Z33" s="379"/>
      <c r="AA33" s="379"/>
      <c r="AB33" s="379"/>
      <c r="AC33" s="379"/>
      <c r="AD33" s="379"/>
      <c r="AE33" s="379"/>
      <c r="AF33" s="379"/>
      <c r="AG33" s="379"/>
      <c r="AH33" s="379"/>
      <c r="AI33" s="379"/>
      <c r="AJ33" s="379"/>
      <c r="AK33" s="379"/>
      <c r="AL33" s="379"/>
      <c r="AM33" s="379"/>
      <c r="AN33" s="379"/>
      <c r="AO33" s="379"/>
      <c r="AP33" s="379"/>
    </row>
    <row r="34" spans="1:42" ht="15" outlineLevel="1">
      <c r="A34" s="374"/>
      <c r="B34" s="406" t="s">
        <v>421</v>
      </c>
      <c r="C34" s="406"/>
      <c r="D34" s="406"/>
      <c r="E34" s="406"/>
      <c r="F34" s="406"/>
      <c r="G34" s="406"/>
      <c r="H34" s="406"/>
      <c r="I34" s="406"/>
      <c r="J34" s="406"/>
      <c r="K34" s="406"/>
      <c r="L34" s="406"/>
      <c r="M34" s="406"/>
      <c r="N34" s="406"/>
      <c r="O34" s="406"/>
      <c r="P34" s="406"/>
      <c r="Q34" s="406"/>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row>
    <row r="35" spans="1:42" s="420" customFormat="1" ht="15" outlineLevel="1">
      <c r="A35" s="417"/>
      <c r="B35" s="418" t="s">
        <v>428</v>
      </c>
      <c r="C35" s="419">
        <v>1</v>
      </c>
      <c r="D35" s="419">
        <v>2</v>
      </c>
      <c r="E35" s="419">
        <v>3</v>
      </c>
      <c r="F35" s="419">
        <v>4</v>
      </c>
      <c r="G35" s="419">
        <v>5</v>
      </c>
      <c r="H35" s="419">
        <v>6</v>
      </c>
      <c r="I35" s="419">
        <v>7</v>
      </c>
      <c r="J35" s="419">
        <v>8</v>
      </c>
      <c r="K35" s="419">
        <v>9</v>
      </c>
      <c r="L35" s="419">
        <v>10</v>
      </c>
      <c r="M35" s="419">
        <v>11</v>
      </c>
      <c r="N35" s="419">
        <v>12</v>
      </c>
      <c r="O35" s="419">
        <v>13</v>
      </c>
      <c r="P35" s="419">
        <v>14</v>
      </c>
      <c r="Q35" s="419">
        <v>15</v>
      </c>
      <c r="R35" s="419">
        <v>16</v>
      </c>
      <c r="S35" s="419">
        <v>17</v>
      </c>
      <c r="T35" s="419">
        <v>18</v>
      </c>
      <c r="U35" s="419">
        <v>19</v>
      </c>
      <c r="V35" s="419">
        <v>20</v>
      </c>
      <c r="W35" s="419">
        <v>21</v>
      </c>
      <c r="X35" s="419">
        <v>22</v>
      </c>
      <c r="Y35" s="419">
        <v>23</v>
      </c>
      <c r="Z35" s="419">
        <v>24</v>
      </c>
      <c r="AA35" s="419">
        <v>25</v>
      </c>
      <c r="AB35" s="419">
        <v>26</v>
      </c>
      <c r="AC35" s="419">
        <v>27</v>
      </c>
      <c r="AD35" s="419">
        <v>28</v>
      </c>
      <c r="AE35" s="419">
        <v>29</v>
      </c>
      <c r="AF35" s="419">
        <v>30</v>
      </c>
      <c r="AG35" s="419">
        <v>31</v>
      </c>
      <c r="AH35" s="419">
        <v>32</v>
      </c>
      <c r="AI35" s="419">
        <v>33</v>
      </c>
      <c r="AJ35" s="419">
        <v>34</v>
      </c>
      <c r="AK35" s="419">
        <v>35</v>
      </c>
      <c r="AL35" s="419">
        <v>36</v>
      </c>
      <c r="AM35" s="419">
        <v>37</v>
      </c>
      <c r="AN35" s="419">
        <v>38</v>
      </c>
      <c r="AO35" s="419">
        <v>39</v>
      </c>
      <c r="AP35" s="419">
        <v>40</v>
      </c>
    </row>
    <row r="36" spans="1:42" ht="15" outlineLevel="1">
      <c r="A36" s="374"/>
      <c r="B36" s="421" t="s">
        <v>429</v>
      </c>
      <c r="C36" s="422">
        <f t="shared" ref="C36:AP36" si="4">MAX(C35-($L$5-1)*$M$5,0)</f>
        <v>0</v>
      </c>
      <c r="D36" s="422">
        <f t="shared" si="4"/>
        <v>0</v>
      </c>
      <c r="E36" s="422">
        <f t="shared" si="4"/>
        <v>0</v>
      </c>
      <c r="F36" s="422">
        <f t="shared" si="4"/>
        <v>0</v>
      </c>
      <c r="G36" s="422">
        <f t="shared" si="4"/>
        <v>0</v>
      </c>
      <c r="H36" s="422">
        <f t="shared" si="4"/>
        <v>0</v>
      </c>
      <c r="I36" s="422">
        <f t="shared" si="4"/>
        <v>0</v>
      </c>
      <c r="J36" s="422">
        <f t="shared" si="4"/>
        <v>0</v>
      </c>
      <c r="K36" s="422">
        <f t="shared" si="4"/>
        <v>1</v>
      </c>
      <c r="L36" s="422">
        <f t="shared" si="4"/>
        <v>2</v>
      </c>
      <c r="M36" s="422">
        <f t="shared" si="4"/>
        <v>3</v>
      </c>
      <c r="N36" s="422">
        <f t="shared" si="4"/>
        <v>4</v>
      </c>
      <c r="O36" s="422">
        <f t="shared" si="4"/>
        <v>5</v>
      </c>
      <c r="P36" s="422">
        <f t="shared" si="4"/>
        <v>6</v>
      </c>
      <c r="Q36" s="422">
        <f t="shared" si="4"/>
        <v>7</v>
      </c>
      <c r="R36" s="422">
        <f t="shared" si="4"/>
        <v>8</v>
      </c>
      <c r="S36" s="422">
        <f t="shared" si="4"/>
        <v>9</v>
      </c>
      <c r="T36" s="422">
        <f t="shared" si="4"/>
        <v>10</v>
      </c>
      <c r="U36" s="422">
        <f t="shared" si="4"/>
        <v>11</v>
      </c>
      <c r="V36" s="422">
        <f t="shared" si="4"/>
        <v>12</v>
      </c>
      <c r="W36" s="422">
        <f t="shared" si="4"/>
        <v>13</v>
      </c>
      <c r="X36" s="422">
        <f t="shared" si="4"/>
        <v>14</v>
      </c>
      <c r="Y36" s="422">
        <f t="shared" si="4"/>
        <v>15</v>
      </c>
      <c r="Z36" s="422">
        <f t="shared" si="4"/>
        <v>16</v>
      </c>
      <c r="AA36" s="422">
        <f t="shared" si="4"/>
        <v>17</v>
      </c>
      <c r="AB36" s="422">
        <f t="shared" si="4"/>
        <v>18</v>
      </c>
      <c r="AC36" s="422">
        <f t="shared" si="4"/>
        <v>19</v>
      </c>
      <c r="AD36" s="422">
        <f t="shared" si="4"/>
        <v>20</v>
      </c>
      <c r="AE36" s="422">
        <f t="shared" si="4"/>
        <v>21</v>
      </c>
      <c r="AF36" s="422">
        <f t="shared" si="4"/>
        <v>22</v>
      </c>
      <c r="AG36" s="422">
        <f t="shared" si="4"/>
        <v>23</v>
      </c>
      <c r="AH36" s="422">
        <f t="shared" si="4"/>
        <v>24</v>
      </c>
      <c r="AI36" s="422">
        <f t="shared" si="4"/>
        <v>25</v>
      </c>
      <c r="AJ36" s="422">
        <f t="shared" si="4"/>
        <v>26</v>
      </c>
      <c r="AK36" s="422">
        <f t="shared" si="4"/>
        <v>27</v>
      </c>
      <c r="AL36" s="422">
        <f t="shared" si="4"/>
        <v>28</v>
      </c>
      <c r="AM36" s="422">
        <f t="shared" si="4"/>
        <v>29</v>
      </c>
      <c r="AN36" s="422">
        <f t="shared" si="4"/>
        <v>30</v>
      </c>
      <c r="AO36" s="422">
        <f t="shared" si="4"/>
        <v>31</v>
      </c>
      <c r="AP36" s="422">
        <f t="shared" si="4"/>
        <v>32</v>
      </c>
    </row>
    <row r="37" spans="1:42" s="420" customFormat="1" ht="15" outlineLevel="1">
      <c r="A37" s="417"/>
      <c r="B37" s="418" t="s">
        <v>408</v>
      </c>
      <c r="C37" s="423">
        <f>ROUNDUP(C35/$M$5,0)</f>
        <v>1</v>
      </c>
      <c r="D37" s="423">
        <f t="shared" ref="D37:AP37" si="5">ROUNDUP(D35/$M$5,0)</f>
        <v>1</v>
      </c>
      <c r="E37" s="423">
        <f t="shared" si="5"/>
        <v>1</v>
      </c>
      <c r="F37" s="423">
        <f t="shared" si="5"/>
        <v>1</v>
      </c>
      <c r="G37" s="423">
        <f t="shared" si="5"/>
        <v>2</v>
      </c>
      <c r="H37" s="423">
        <f t="shared" si="5"/>
        <v>2</v>
      </c>
      <c r="I37" s="423">
        <f t="shared" si="5"/>
        <v>2</v>
      </c>
      <c r="J37" s="423">
        <f t="shared" si="5"/>
        <v>2</v>
      </c>
      <c r="K37" s="423">
        <f t="shared" si="5"/>
        <v>3</v>
      </c>
      <c r="L37" s="423">
        <f t="shared" si="5"/>
        <v>3</v>
      </c>
      <c r="M37" s="423">
        <f t="shared" si="5"/>
        <v>3</v>
      </c>
      <c r="N37" s="423">
        <f t="shared" si="5"/>
        <v>3</v>
      </c>
      <c r="O37" s="423">
        <f t="shared" si="5"/>
        <v>4</v>
      </c>
      <c r="P37" s="423">
        <f t="shared" si="5"/>
        <v>4</v>
      </c>
      <c r="Q37" s="423">
        <f t="shared" si="5"/>
        <v>4</v>
      </c>
      <c r="R37" s="423">
        <f t="shared" si="5"/>
        <v>4</v>
      </c>
      <c r="S37" s="423">
        <f t="shared" si="5"/>
        <v>5</v>
      </c>
      <c r="T37" s="423">
        <f t="shared" si="5"/>
        <v>5</v>
      </c>
      <c r="U37" s="423">
        <f t="shared" si="5"/>
        <v>5</v>
      </c>
      <c r="V37" s="423">
        <f t="shared" si="5"/>
        <v>5</v>
      </c>
      <c r="W37" s="423">
        <f t="shared" si="5"/>
        <v>6</v>
      </c>
      <c r="X37" s="423">
        <f t="shared" si="5"/>
        <v>6</v>
      </c>
      <c r="Y37" s="423">
        <f t="shared" si="5"/>
        <v>6</v>
      </c>
      <c r="Z37" s="423">
        <f t="shared" si="5"/>
        <v>6</v>
      </c>
      <c r="AA37" s="423">
        <f t="shared" si="5"/>
        <v>7</v>
      </c>
      <c r="AB37" s="423">
        <f t="shared" si="5"/>
        <v>7</v>
      </c>
      <c r="AC37" s="423">
        <f t="shared" si="5"/>
        <v>7</v>
      </c>
      <c r="AD37" s="423">
        <f t="shared" si="5"/>
        <v>7</v>
      </c>
      <c r="AE37" s="423">
        <f t="shared" si="5"/>
        <v>8</v>
      </c>
      <c r="AF37" s="423">
        <f t="shared" si="5"/>
        <v>8</v>
      </c>
      <c r="AG37" s="423">
        <f t="shared" si="5"/>
        <v>8</v>
      </c>
      <c r="AH37" s="423">
        <f t="shared" si="5"/>
        <v>8</v>
      </c>
      <c r="AI37" s="423">
        <f t="shared" si="5"/>
        <v>9</v>
      </c>
      <c r="AJ37" s="423">
        <f t="shared" si="5"/>
        <v>9</v>
      </c>
      <c r="AK37" s="423">
        <f t="shared" si="5"/>
        <v>9</v>
      </c>
      <c r="AL37" s="423">
        <f t="shared" si="5"/>
        <v>9</v>
      </c>
      <c r="AM37" s="423">
        <f t="shared" si="5"/>
        <v>10</v>
      </c>
      <c r="AN37" s="423">
        <f t="shared" si="5"/>
        <v>10</v>
      </c>
      <c r="AO37" s="423">
        <f t="shared" si="5"/>
        <v>10</v>
      </c>
      <c r="AP37" s="423">
        <f t="shared" si="5"/>
        <v>10</v>
      </c>
    </row>
    <row r="38" spans="1:42" ht="15" outlineLevel="1">
      <c r="A38" s="374"/>
      <c r="B38" s="421" t="s">
        <v>323</v>
      </c>
      <c r="C38" s="408">
        <f t="shared" ref="C38:AP38" si="6">-IFERROR(IPMT($J$5/$M$5,MAX(C36,1),$K$5*$M$5,$I$5),0)</f>
        <v>402220.41234526964</v>
      </c>
      <c r="D38" s="408">
        <f t="shared" si="6"/>
        <v>402220.41234526964</v>
      </c>
      <c r="E38" s="408">
        <f t="shared" si="6"/>
        <v>402220.41234526964</v>
      </c>
      <c r="F38" s="408">
        <f t="shared" si="6"/>
        <v>402220.41234526964</v>
      </c>
      <c r="G38" s="408">
        <f t="shared" si="6"/>
        <v>402220.41234526964</v>
      </c>
      <c r="H38" s="408">
        <f t="shared" si="6"/>
        <v>402220.41234526964</v>
      </c>
      <c r="I38" s="408">
        <f t="shared" si="6"/>
        <v>402220.41234526964</v>
      </c>
      <c r="J38" s="408">
        <f t="shared" si="6"/>
        <v>402220.41234526964</v>
      </c>
      <c r="K38" s="408">
        <f t="shared" si="6"/>
        <v>402220.41234526964</v>
      </c>
      <c r="L38" s="408">
        <f t="shared" si="6"/>
        <v>397058.77009579341</v>
      </c>
      <c r="M38" s="408">
        <f t="shared" si="6"/>
        <v>391819.70321257523</v>
      </c>
      <c r="N38" s="408">
        <f t="shared" si="6"/>
        <v>386502.05032610864</v>
      </c>
      <c r="O38" s="408">
        <f t="shared" si="6"/>
        <v>381104.63264634513</v>
      </c>
      <c r="P38" s="408">
        <f t="shared" si="6"/>
        <v>375626.25370138505</v>
      </c>
      <c r="Q38" s="408">
        <f t="shared" si="6"/>
        <v>370065.69907225069</v>
      </c>
      <c r="R38" s="408">
        <f t="shared" si="6"/>
        <v>364421.73612367926</v>
      </c>
      <c r="S38" s="408">
        <f t="shared" si="6"/>
        <v>358693.11373087927</v>
      </c>
      <c r="T38" s="408">
        <f t="shared" si="6"/>
        <v>352878.56200218719</v>
      </c>
      <c r="U38" s="408">
        <f t="shared" si="6"/>
        <v>346976.79199756484</v>
      </c>
      <c r="V38" s="408">
        <f t="shared" si="6"/>
        <v>340986.4954428731</v>
      </c>
      <c r="W38" s="408">
        <f t="shared" si="6"/>
        <v>334906.34443986102</v>
      </c>
      <c r="X38" s="408">
        <f t="shared" si="6"/>
        <v>328734.99117180373</v>
      </c>
      <c r="Y38" s="408">
        <f t="shared" si="6"/>
        <v>322471.06760472566</v>
      </c>
      <c r="Z38" s="408">
        <f t="shared" si="6"/>
        <v>316113.18518414133</v>
      </c>
      <c r="AA38" s="408">
        <f t="shared" si="6"/>
        <v>309659.93452724826</v>
      </c>
      <c r="AB38" s="408">
        <f t="shared" si="6"/>
        <v>303109.88511050178</v>
      </c>
      <c r="AC38" s="408">
        <f t="shared" si="6"/>
        <v>296461.5849525042</v>
      </c>
      <c r="AD38" s="408">
        <f t="shared" si="6"/>
        <v>289713.56029213651</v>
      </c>
      <c r="AE38" s="408">
        <f t="shared" si="6"/>
        <v>282864.31526186335</v>
      </c>
      <c r="AF38" s="408">
        <f t="shared" si="6"/>
        <v>275912.33155613614</v>
      </c>
      <c r="AG38" s="408">
        <f t="shared" si="6"/>
        <v>268856.06809482299</v>
      </c>
      <c r="AH38" s="408">
        <f t="shared" si="6"/>
        <v>261693.96068159011</v>
      </c>
      <c r="AI38" s="408">
        <f t="shared" si="6"/>
        <v>254424.42165715873</v>
      </c>
      <c r="AJ38" s="408">
        <f t="shared" si="6"/>
        <v>247045.83954736099</v>
      </c>
      <c r="AK38" s="408">
        <f t="shared" si="6"/>
        <v>239556.57870591618</v>
      </c>
      <c r="AL38" s="408">
        <f t="shared" si="6"/>
        <v>231954.97895184974</v>
      </c>
      <c r="AM38" s="408">
        <f t="shared" si="6"/>
        <v>224239.35520147232</v>
      </c>
      <c r="AN38" s="408">
        <f t="shared" si="6"/>
        <v>216407.9970948392</v>
      </c>
      <c r="AO38" s="408">
        <f t="shared" si="6"/>
        <v>208459.16861660659</v>
      </c>
      <c r="AP38" s="408">
        <f t="shared" si="6"/>
        <v>200391.10771120049</v>
      </c>
    </row>
    <row r="39" spans="1:42" ht="15" outlineLevel="1">
      <c r="A39" s="374"/>
      <c r="B39" s="424" t="s">
        <v>324</v>
      </c>
      <c r="C39" s="393">
        <f t="shared" ref="C39:AP39" si="7">-IFERROR(PPMT($J$5/$M$5,C36,$K$5*$M$5,$I$5),0)</f>
        <v>0</v>
      </c>
      <c r="D39" s="393">
        <f t="shared" si="7"/>
        <v>0</v>
      </c>
      <c r="E39" s="393">
        <f t="shared" si="7"/>
        <v>0</v>
      </c>
      <c r="F39" s="393">
        <f t="shared" si="7"/>
        <v>0</v>
      </c>
      <c r="G39" s="393">
        <f t="shared" si="7"/>
        <v>0</v>
      </c>
      <c r="H39" s="393">
        <f t="shared" si="7"/>
        <v>0</v>
      </c>
      <c r="I39" s="393">
        <f t="shared" si="7"/>
        <v>0</v>
      </c>
      <c r="J39" s="393">
        <f t="shared" si="7"/>
        <v>0</v>
      </c>
      <c r="K39" s="393">
        <f t="shared" si="7"/>
        <v>344109.48329840967</v>
      </c>
      <c r="L39" s="393">
        <f t="shared" si="7"/>
        <v>349271.12554788584</v>
      </c>
      <c r="M39" s="393">
        <f t="shared" si="7"/>
        <v>354510.19243110408</v>
      </c>
      <c r="N39" s="393">
        <f t="shared" si="7"/>
        <v>359827.84531757067</v>
      </c>
      <c r="O39" s="393">
        <f t="shared" si="7"/>
        <v>365225.26299733424</v>
      </c>
      <c r="P39" s="393">
        <f t="shared" si="7"/>
        <v>370703.64194229426</v>
      </c>
      <c r="Q39" s="393">
        <f t="shared" si="7"/>
        <v>376264.19657142868</v>
      </c>
      <c r="R39" s="393">
        <f t="shared" si="7"/>
        <v>381908.1595200001</v>
      </c>
      <c r="S39" s="393">
        <f t="shared" si="7"/>
        <v>387636.78191280016</v>
      </c>
      <c r="T39" s="393">
        <f t="shared" si="7"/>
        <v>393451.33364149206</v>
      </c>
      <c r="U39" s="393">
        <f t="shared" si="7"/>
        <v>399353.10364611447</v>
      </c>
      <c r="V39" s="393">
        <f t="shared" si="7"/>
        <v>405343.40020080615</v>
      </c>
      <c r="W39" s="393">
        <f t="shared" si="7"/>
        <v>411423.55120381835</v>
      </c>
      <c r="X39" s="393">
        <f t="shared" si="7"/>
        <v>417594.90447187558</v>
      </c>
      <c r="Y39" s="393">
        <f t="shared" si="7"/>
        <v>423858.82803895371</v>
      </c>
      <c r="Z39" s="393">
        <f t="shared" si="7"/>
        <v>430216.71045953804</v>
      </c>
      <c r="AA39" s="393">
        <f t="shared" si="7"/>
        <v>436669.96111643105</v>
      </c>
      <c r="AB39" s="393">
        <f t="shared" si="7"/>
        <v>443220.01053317758</v>
      </c>
      <c r="AC39" s="393">
        <f t="shared" si="7"/>
        <v>449868.31069117517</v>
      </c>
      <c r="AD39" s="393">
        <f t="shared" si="7"/>
        <v>456616.3353515428</v>
      </c>
      <c r="AE39" s="393">
        <f t="shared" si="7"/>
        <v>463465.58038181596</v>
      </c>
      <c r="AF39" s="393">
        <f t="shared" si="7"/>
        <v>470417.56408754323</v>
      </c>
      <c r="AG39" s="393">
        <f t="shared" si="7"/>
        <v>477473.82754885632</v>
      </c>
      <c r="AH39" s="393">
        <f t="shared" si="7"/>
        <v>484635.93496208923</v>
      </c>
      <c r="AI39" s="393">
        <f t="shared" si="7"/>
        <v>491905.47398652055</v>
      </c>
      <c r="AJ39" s="393">
        <f t="shared" si="7"/>
        <v>499284.05609631835</v>
      </c>
      <c r="AK39" s="393">
        <f t="shared" si="7"/>
        <v>506773.31693776319</v>
      </c>
      <c r="AL39" s="393">
        <f t="shared" si="7"/>
        <v>514374.91669182957</v>
      </c>
      <c r="AM39" s="393">
        <f t="shared" si="7"/>
        <v>522090.54044220707</v>
      </c>
      <c r="AN39" s="393">
        <f t="shared" si="7"/>
        <v>529921.8985488402</v>
      </c>
      <c r="AO39" s="393">
        <f t="shared" si="7"/>
        <v>537870.7270270728</v>
      </c>
      <c r="AP39" s="393">
        <f t="shared" si="7"/>
        <v>545938.78793247882</v>
      </c>
    </row>
    <row r="40" spans="1:42" ht="16" outlineLevel="1" thickBot="1">
      <c r="A40" s="374"/>
      <c r="B40" s="425" t="s">
        <v>1</v>
      </c>
      <c r="C40" s="397">
        <f t="shared" ref="C40:AP40" si="8">SUM(C38:C39)</f>
        <v>402220.41234526964</v>
      </c>
      <c r="D40" s="397">
        <f t="shared" si="8"/>
        <v>402220.41234526964</v>
      </c>
      <c r="E40" s="397">
        <f t="shared" si="8"/>
        <v>402220.41234526964</v>
      </c>
      <c r="F40" s="397">
        <f t="shared" si="8"/>
        <v>402220.41234526964</v>
      </c>
      <c r="G40" s="397">
        <f t="shared" si="8"/>
        <v>402220.41234526964</v>
      </c>
      <c r="H40" s="397">
        <f t="shared" si="8"/>
        <v>402220.41234526964</v>
      </c>
      <c r="I40" s="397">
        <f t="shared" si="8"/>
        <v>402220.41234526964</v>
      </c>
      <c r="J40" s="397">
        <f t="shared" si="8"/>
        <v>402220.41234526964</v>
      </c>
      <c r="K40" s="397">
        <f t="shared" si="8"/>
        <v>746329.89564367931</v>
      </c>
      <c r="L40" s="397">
        <f t="shared" si="8"/>
        <v>746329.89564367919</v>
      </c>
      <c r="M40" s="397">
        <f t="shared" si="8"/>
        <v>746329.89564367931</v>
      </c>
      <c r="N40" s="397">
        <f t="shared" si="8"/>
        <v>746329.89564367931</v>
      </c>
      <c r="O40" s="397">
        <f t="shared" si="8"/>
        <v>746329.89564367943</v>
      </c>
      <c r="P40" s="397">
        <f t="shared" si="8"/>
        <v>746329.89564367931</v>
      </c>
      <c r="Q40" s="397">
        <f t="shared" si="8"/>
        <v>746329.89564367943</v>
      </c>
      <c r="R40" s="397">
        <f t="shared" si="8"/>
        <v>746329.89564367943</v>
      </c>
      <c r="S40" s="397">
        <f t="shared" si="8"/>
        <v>746329.89564367943</v>
      </c>
      <c r="T40" s="397">
        <f t="shared" si="8"/>
        <v>746329.89564367919</v>
      </c>
      <c r="U40" s="397">
        <f t="shared" si="8"/>
        <v>746329.89564367931</v>
      </c>
      <c r="V40" s="397">
        <f t="shared" si="8"/>
        <v>746329.89564367919</v>
      </c>
      <c r="W40" s="397">
        <f t="shared" si="8"/>
        <v>746329.89564367943</v>
      </c>
      <c r="X40" s="397">
        <f t="shared" si="8"/>
        <v>746329.89564367931</v>
      </c>
      <c r="Y40" s="397">
        <f t="shared" si="8"/>
        <v>746329.89564367943</v>
      </c>
      <c r="Z40" s="397">
        <f t="shared" si="8"/>
        <v>746329.89564367943</v>
      </c>
      <c r="AA40" s="397">
        <f t="shared" si="8"/>
        <v>746329.89564367931</v>
      </c>
      <c r="AB40" s="397">
        <f t="shared" si="8"/>
        <v>746329.89564367943</v>
      </c>
      <c r="AC40" s="397">
        <f t="shared" si="8"/>
        <v>746329.89564367943</v>
      </c>
      <c r="AD40" s="397">
        <f t="shared" si="8"/>
        <v>746329.89564367931</v>
      </c>
      <c r="AE40" s="397">
        <f t="shared" si="8"/>
        <v>746329.89564367931</v>
      </c>
      <c r="AF40" s="397">
        <f t="shared" si="8"/>
        <v>746329.89564367943</v>
      </c>
      <c r="AG40" s="397">
        <f t="shared" si="8"/>
        <v>746329.89564367931</v>
      </c>
      <c r="AH40" s="397">
        <f t="shared" si="8"/>
        <v>746329.89564367931</v>
      </c>
      <c r="AI40" s="397">
        <f t="shared" si="8"/>
        <v>746329.89564367931</v>
      </c>
      <c r="AJ40" s="397">
        <f t="shared" si="8"/>
        <v>746329.89564367931</v>
      </c>
      <c r="AK40" s="397">
        <f t="shared" si="8"/>
        <v>746329.89564367943</v>
      </c>
      <c r="AL40" s="397">
        <f t="shared" si="8"/>
        <v>746329.89564367931</v>
      </c>
      <c r="AM40" s="397">
        <f t="shared" si="8"/>
        <v>746329.89564367943</v>
      </c>
      <c r="AN40" s="397">
        <f t="shared" si="8"/>
        <v>746329.89564367943</v>
      </c>
      <c r="AO40" s="397">
        <f t="shared" si="8"/>
        <v>746329.89564367943</v>
      </c>
      <c r="AP40" s="397">
        <f t="shared" si="8"/>
        <v>746329.89564367931</v>
      </c>
    </row>
    <row r="41" spans="1:42" ht="15" outlineLevel="1">
      <c r="A41" s="374"/>
      <c r="B41" s="406" t="s">
        <v>430</v>
      </c>
      <c r="C41" s="406"/>
      <c r="D41" s="406"/>
      <c r="E41" s="406"/>
      <c r="F41" s="406"/>
      <c r="G41" s="406"/>
      <c r="H41" s="406"/>
      <c r="I41" s="406"/>
      <c r="J41" s="406"/>
      <c r="K41" s="406"/>
      <c r="L41" s="406"/>
      <c r="M41" s="406"/>
      <c r="N41" s="406"/>
      <c r="O41" s="406"/>
      <c r="P41" s="406"/>
      <c r="Q41" s="406"/>
      <c r="R41" s="406"/>
      <c r="S41" s="406"/>
      <c r="T41" s="406"/>
      <c r="U41" s="406"/>
      <c r="V41" s="406"/>
      <c r="W41" s="406"/>
      <c r="X41" s="406"/>
      <c r="Y41" s="406"/>
      <c r="Z41" s="406"/>
      <c r="AA41" s="406"/>
      <c r="AB41" s="406"/>
      <c r="AC41" s="406"/>
      <c r="AD41" s="406"/>
      <c r="AE41" s="406"/>
      <c r="AF41" s="406"/>
      <c r="AG41" s="406"/>
      <c r="AH41" s="406"/>
      <c r="AI41" s="406"/>
      <c r="AJ41" s="406"/>
      <c r="AK41" s="406"/>
      <c r="AL41" s="406"/>
      <c r="AM41" s="406"/>
      <c r="AN41" s="406"/>
      <c r="AO41" s="406"/>
      <c r="AP41" s="406"/>
    </row>
    <row r="42" spans="1:42" ht="16" outlineLevel="1" thickBot="1">
      <c r="A42" s="374"/>
      <c r="B42" s="405"/>
      <c r="C42" s="405">
        <v>0</v>
      </c>
      <c r="D42" s="405">
        <v>1</v>
      </c>
      <c r="E42" s="405">
        <v>2</v>
      </c>
      <c r="F42" s="405">
        <v>3</v>
      </c>
      <c r="G42" s="405">
        <v>4</v>
      </c>
      <c r="H42" s="405">
        <v>5</v>
      </c>
      <c r="I42" s="405">
        <v>6</v>
      </c>
      <c r="J42" s="405">
        <v>7</v>
      </c>
      <c r="K42" s="405">
        <v>8</v>
      </c>
      <c r="L42" s="405">
        <v>9</v>
      </c>
      <c r="M42" s="405">
        <v>10</v>
      </c>
      <c r="N42" s="405">
        <v>11</v>
      </c>
      <c r="O42" s="405">
        <v>12</v>
      </c>
      <c r="P42" s="405">
        <v>13</v>
      </c>
      <c r="Q42" s="405">
        <v>14</v>
      </c>
      <c r="R42" s="405">
        <v>15</v>
      </c>
      <c r="S42" s="405">
        <v>16</v>
      </c>
      <c r="T42" s="405">
        <v>17</v>
      </c>
      <c r="U42" s="405">
        <v>18</v>
      </c>
      <c r="V42" s="405">
        <v>19</v>
      </c>
      <c r="W42" s="405">
        <v>20</v>
      </c>
      <c r="X42" s="421"/>
      <c r="Y42" s="421"/>
      <c r="Z42" s="421"/>
      <c r="AA42" s="421"/>
      <c r="AB42" s="421"/>
      <c r="AC42" s="421"/>
      <c r="AD42" s="421"/>
      <c r="AE42" s="421"/>
      <c r="AF42" s="421"/>
      <c r="AG42" s="421"/>
      <c r="AH42" s="421"/>
      <c r="AI42" s="421"/>
      <c r="AJ42" s="421"/>
      <c r="AK42" s="421"/>
      <c r="AL42" s="421"/>
      <c r="AM42" s="421"/>
      <c r="AN42" s="421"/>
      <c r="AO42" s="421"/>
      <c r="AP42" s="421"/>
    </row>
    <row r="43" spans="1:42" s="377" customFormat="1" ht="15" outlineLevel="1">
      <c r="A43" s="374"/>
      <c r="B43" s="426" t="s">
        <v>323</v>
      </c>
      <c r="C43" s="388">
        <f>O51</f>
        <v>1608881.6493810785</v>
      </c>
      <c r="D43" s="388">
        <f t="shared" ref="D43:W44" si="9">SUMIF($C$37:$AP$37,D$42,$C38:$AP38)</f>
        <v>1608881.6493810785</v>
      </c>
      <c r="E43" s="388">
        <f t="shared" si="9"/>
        <v>1608881.6493810785</v>
      </c>
      <c r="F43" s="388">
        <f t="shared" si="9"/>
        <v>1577600.935979747</v>
      </c>
      <c r="G43" s="388">
        <f t="shared" si="9"/>
        <v>1491218.32154366</v>
      </c>
      <c r="H43" s="388">
        <f t="shared" si="9"/>
        <v>1399534.9631735042</v>
      </c>
      <c r="I43" s="388">
        <f t="shared" si="9"/>
        <v>1302225.5884005318</v>
      </c>
      <c r="J43" s="388">
        <f t="shared" si="9"/>
        <v>1198944.9648823906</v>
      </c>
      <c r="K43" s="388">
        <f t="shared" si="9"/>
        <v>1089326.6755944125</v>
      </c>
      <c r="L43" s="388">
        <f t="shared" si="9"/>
        <v>972981.8188622857</v>
      </c>
      <c r="M43" s="388">
        <f t="shared" si="9"/>
        <v>849497.62862411863</v>
      </c>
      <c r="N43" s="388">
        <f t="shared" si="9"/>
        <v>0</v>
      </c>
      <c r="O43" s="388">
        <f t="shared" si="9"/>
        <v>0</v>
      </c>
      <c r="P43" s="388">
        <f t="shared" si="9"/>
        <v>0</v>
      </c>
      <c r="Q43" s="388">
        <f t="shared" si="9"/>
        <v>0</v>
      </c>
      <c r="R43" s="388">
        <f t="shared" si="9"/>
        <v>0</v>
      </c>
      <c r="S43" s="388">
        <f t="shared" si="9"/>
        <v>0</v>
      </c>
      <c r="T43" s="388">
        <f t="shared" si="9"/>
        <v>0</v>
      </c>
      <c r="U43" s="388">
        <f t="shared" si="9"/>
        <v>0</v>
      </c>
      <c r="V43" s="388">
        <f t="shared" si="9"/>
        <v>0</v>
      </c>
      <c r="W43" s="388">
        <f t="shared" si="9"/>
        <v>0</v>
      </c>
      <c r="X43" s="388"/>
      <c r="Y43" s="388"/>
      <c r="Z43" s="388"/>
      <c r="AA43" s="388"/>
      <c r="AB43" s="388"/>
      <c r="AC43" s="388"/>
      <c r="AD43" s="388"/>
      <c r="AE43" s="388"/>
      <c r="AF43" s="388"/>
      <c r="AG43" s="388"/>
      <c r="AH43" s="388"/>
      <c r="AI43" s="388"/>
      <c r="AJ43" s="388"/>
      <c r="AK43" s="388"/>
      <c r="AL43" s="388"/>
      <c r="AM43" s="388"/>
      <c r="AN43" s="388"/>
      <c r="AO43" s="388"/>
      <c r="AP43" s="388"/>
    </row>
    <row r="44" spans="1:42" ht="15" outlineLevel="1">
      <c r="A44" s="374"/>
      <c r="B44" s="424" t="s">
        <v>324</v>
      </c>
      <c r="C44" s="393"/>
      <c r="D44" s="393">
        <f t="shared" si="9"/>
        <v>0</v>
      </c>
      <c r="E44" s="393">
        <f t="shared" si="9"/>
        <v>0</v>
      </c>
      <c r="F44" s="393">
        <f t="shared" si="9"/>
        <v>1407718.6465949703</v>
      </c>
      <c r="G44" s="393">
        <f t="shared" si="9"/>
        <v>1494101.2610310572</v>
      </c>
      <c r="H44" s="393">
        <f t="shared" si="9"/>
        <v>1585784.6194012128</v>
      </c>
      <c r="I44" s="393">
        <f t="shared" si="9"/>
        <v>1683093.9941741857</v>
      </c>
      <c r="J44" s="393">
        <f t="shared" si="9"/>
        <v>1786374.6176923264</v>
      </c>
      <c r="K44" s="393">
        <f t="shared" si="9"/>
        <v>1895992.9069803047</v>
      </c>
      <c r="L44" s="393">
        <f t="shared" si="9"/>
        <v>2012337.7637124318</v>
      </c>
      <c r="M44" s="393">
        <f t="shared" si="9"/>
        <v>2135821.9539505988</v>
      </c>
      <c r="N44" s="393">
        <f t="shared" si="9"/>
        <v>0</v>
      </c>
      <c r="O44" s="393">
        <f t="shared" si="9"/>
        <v>0</v>
      </c>
      <c r="P44" s="393">
        <f t="shared" si="9"/>
        <v>0</v>
      </c>
      <c r="Q44" s="393">
        <f t="shared" si="9"/>
        <v>0</v>
      </c>
      <c r="R44" s="393">
        <f t="shared" si="9"/>
        <v>0</v>
      </c>
      <c r="S44" s="393">
        <f t="shared" si="9"/>
        <v>0</v>
      </c>
      <c r="T44" s="393">
        <f t="shared" si="9"/>
        <v>0</v>
      </c>
      <c r="U44" s="393">
        <f t="shared" si="9"/>
        <v>0</v>
      </c>
      <c r="V44" s="393">
        <f t="shared" si="9"/>
        <v>0</v>
      </c>
      <c r="W44" s="393">
        <f t="shared" si="9"/>
        <v>0</v>
      </c>
      <c r="X44" s="393"/>
      <c r="Y44" s="393"/>
      <c r="Z44" s="393"/>
      <c r="AA44" s="393"/>
      <c r="AB44" s="393"/>
      <c r="AC44" s="393"/>
      <c r="AD44" s="393"/>
      <c r="AE44" s="393"/>
      <c r="AF44" s="393"/>
      <c r="AG44" s="393"/>
      <c r="AH44" s="393"/>
      <c r="AI44" s="393"/>
      <c r="AJ44" s="393"/>
      <c r="AK44" s="393"/>
      <c r="AL44" s="393"/>
      <c r="AM44" s="393"/>
      <c r="AN44" s="393"/>
      <c r="AO44" s="393"/>
      <c r="AP44" s="393"/>
    </row>
    <row r="45" spans="1:42" ht="16" outlineLevel="1" thickBot="1">
      <c r="A45" s="374"/>
      <c r="B45" s="425" t="s">
        <v>1</v>
      </c>
      <c r="C45" s="397">
        <f t="shared" ref="C45:W45" si="10">SUM(C43:C44)</f>
        <v>1608881.6493810785</v>
      </c>
      <c r="D45" s="397">
        <f t="shared" si="10"/>
        <v>1608881.6493810785</v>
      </c>
      <c r="E45" s="397">
        <f t="shared" si="10"/>
        <v>1608881.6493810785</v>
      </c>
      <c r="F45" s="397">
        <f t="shared" si="10"/>
        <v>2985319.5825747172</v>
      </c>
      <c r="G45" s="397">
        <f t="shared" si="10"/>
        <v>2985319.5825747172</v>
      </c>
      <c r="H45" s="397">
        <f t="shared" si="10"/>
        <v>2985319.5825747168</v>
      </c>
      <c r="I45" s="397">
        <f t="shared" si="10"/>
        <v>2985319.5825747177</v>
      </c>
      <c r="J45" s="397">
        <f t="shared" si="10"/>
        <v>2985319.5825747168</v>
      </c>
      <c r="K45" s="397">
        <f t="shared" si="10"/>
        <v>2985319.5825747172</v>
      </c>
      <c r="L45" s="397">
        <f t="shared" si="10"/>
        <v>2985319.5825747177</v>
      </c>
      <c r="M45" s="397">
        <f t="shared" si="10"/>
        <v>2985319.5825747177</v>
      </c>
      <c r="N45" s="397">
        <f t="shared" si="10"/>
        <v>0</v>
      </c>
      <c r="O45" s="397">
        <f t="shared" si="10"/>
        <v>0</v>
      </c>
      <c r="P45" s="397">
        <f t="shared" si="10"/>
        <v>0</v>
      </c>
      <c r="Q45" s="397">
        <f t="shared" si="10"/>
        <v>0</v>
      </c>
      <c r="R45" s="397">
        <f t="shared" si="10"/>
        <v>0</v>
      </c>
      <c r="S45" s="397">
        <f t="shared" si="10"/>
        <v>0</v>
      </c>
      <c r="T45" s="397">
        <f t="shared" si="10"/>
        <v>0</v>
      </c>
      <c r="U45" s="397">
        <f t="shared" si="10"/>
        <v>0</v>
      </c>
      <c r="V45" s="397">
        <f t="shared" si="10"/>
        <v>0</v>
      </c>
      <c r="W45" s="397">
        <f t="shared" si="10"/>
        <v>0</v>
      </c>
      <c r="X45" s="397"/>
      <c r="Y45" s="397"/>
      <c r="Z45" s="397"/>
      <c r="AA45" s="397"/>
      <c r="AB45" s="397"/>
      <c r="AC45" s="397"/>
      <c r="AD45" s="397"/>
      <c r="AE45" s="397"/>
      <c r="AF45" s="397"/>
      <c r="AG45" s="397"/>
      <c r="AH45" s="397"/>
      <c r="AI45" s="397"/>
      <c r="AJ45" s="397"/>
      <c r="AK45" s="397"/>
      <c r="AL45" s="397"/>
      <c r="AM45" s="397"/>
      <c r="AN45" s="397"/>
      <c r="AO45" s="397"/>
      <c r="AP45" s="397"/>
    </row>
    <row r="46" spans="1:42" ht="15" outlineLevel="1">
      <c r="A46" s="374"/>
      <c r="B46" s="406" t="s">
        <v>252</v>
      </c>
      <c r="C46" s="406"/>
      <c r="D46" s="406"/>
      <c r="E46" s="406"/>
      <c r="F46" s="406"/>
      <c r="G46" s="406"/>
      <c r="H46" s="406"/>
      <c r="I46" s="406"/>
      <c r="J46" s="406"/>
      <c r="K46" s="406"/>
      <c r="L46" s="406"/>
      <c r="M46" s="406"/>
      <c r="N46" s="406"/>
      <c r="O46" s="406"/>
      <c r="P46" s="406"/>
      <c r="Q46" s="406"/>
      <c r="R46" s="406"/>
      <c r="S46" s="406"/>
      <c r="T46" s="406"/>
      <c r="U46" s="406"/>
      <c r="V46" s="406"/>
      <c r="W46" s="406"/>
      <c r="X46" s="406"/>
      <c r="Y46" s="406"/>
      <c r="Z46" s="406"/>
      <c r="AA46" s="406"/>
      <c r="AB46" s="406"/>
      <c r="AC46" s="406"/>
      <c r="AD46" s="406"/>
      <c r="AE46" s="406"/>
      <c r="AF46" s="406"/>
      <c r="AG46" s="406"/>
      <c r="AH46" s="406"/>
      <c r="AI46" s="406"/>
      <c r="AJ46" s="406"/>
      <c r="AK46" s="406"/>
      <c r="AL46" s="406"/>
      <c r="AM46" s="406"/>
      <c r="AN46" s="406"/>
      <c r="AO46" s="406"/>
      <c r="AP46" s="406"/>
    </row>
    <row r="47" spans="1:42" s="430" customFormat="1" ht="16" outlineLevel="1" thickBot="1">
      <c r="A47" s="427"/>
      <c r="B47" s="428"/>
      <c r="C47" s="428">
        <v>1</v>
      </c>
      <c r="D47" s="428">
        <v>2</v>
      </c>
      <c r="E47" s="428">
        <v>3</v>
      </c>
      <c r="F47" s="428">
        <v>4</v>
      </c>
      <c r="G47" s="428">
        <v>5</v>
      </c>
      <c r="H47" s="428">
        <v>6</v>
      </c>
      <c r="I47" s="428">
        <v>7</v>
      </c>
      <c r="J47" s="428">
        <v>8</v>
      </c>
      <c r="K47" s="428">
        <v>9</v>
      </c>
      <c r="L47" s="428">
        <v>10</v>
      </c>
      <c r="M47" s="428">
        <v>11</v>
      </c>
      <c r="N47" s="428">
        <v>12</v>
      </c>
      <c r="O47" s="428" t="s">
        <v>1</v>
      </c>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row>
    <row r="48" spans="1:42" ht="15" outlineLevel="1">
      <c r="A48" s="374"/>
      <c r="B48" s="421" t="s">
        <v>431</v>
      </c>
      <c r="C48" s="431">
        <v>1</v>
      </c>
      <c r="D48" s="431">
        <v>0</v>
      </c>
      <c r="E48" s="431">
        <v>0</v>
      </c>
      <c r="F48" s="431">
        <v>0</v>
      </c>
      <c r="G48" s="431">
        <v>0</v>
      </c>
      <c r="H48" s="431">
        <v>0</v>
      </c>
      <c r="I48" s="431">
        <v>0</v>
      </c>
      <c r="J48" s="431">
        <v>0</v>
      </c>
      <c r="K48" s="431">
        <v>0</v>
      </c>
      <c r="L48" s="431">
        <v>0</v>
      </c>
      <c r="M48" s="431">
        <v>0</v>
      </c>
      <c r="N48" s="431">
        <v>0</v>
      </c>
      <c r="O48" s="432"/>
      <c r="P48" s="412"/>
      <c r="Q48" s="412"/>
      <c r="R48" s="412"/>
      <c r="S48" s="412"/>
      <c r="T48" s="412"/>
      <c r="U48" s="412"/>
      <c r="V48" s="412"/>
      <c r="W48" s="412"/>
      <c r="X48" s="412"/>
      <c r="Y48" s="412"/>
      <c r="Z48" s="412"/>
      <c r="AA48" s="412"/>
      <c r="AB48" s="412"/>
      <c r="AC48" s="412"/>
      <c r="AD48" s="412"/>
      <c r="AE48" s="412"/>
      <c r="AF48" s="412"/>
      <c r="AG48" s="412"/>
      <c r="AH48" s="412"/>
      <c r="AI48" s="412"/>
      <c r="AJ48" s="412"/>
      <c r="AK48" s="412"/>
      <c r="AL48" s="412"/>
      <c r="AM48" s="412"/>
      <c r="AN48" s="412"/>
      <c r="AO48" s="412"/>
      <c r="AP48" s="412"/>
    </row>
    <row r="49" spans="1:42" ht="15" outlineLevel="1">
      <c r="A49" s="374"/>
      <c r="B49" s="426" t="s">
        <v>324</v>
      </c>
      <c r="C49" s="388">
        <f t="shared" ref="C49:N49" si="11">$I$5*C48</f>
        <v>26814694.156351309</v>
      </c>
      <c r="D49" s="388">
        <f t="shared" si="11"/>
        <v>0</v>
      </c>
      <c r="E49" s="388">
        <f t="shared" si="11"/>
        <v>0</v>
      </c>
      <c r="F49" s="388">
        <f t="shared" si="11"/>
        <v>0</v>
      </c>
      <c r="G49" s="388">
        <f t="shared" si="11"/>
        <v>0</v>
      </c>
      <c r="H49" s="388">
        <f t="shared" si="11"/>
        <v>0</v>
      </c>
      <c r="I49" s="388">
        <f t="shared" si="11"/>
        <v>0</v>
      </c>
      <c r="J49" s="388">
        <f t="shared" si="11"/>
        <v>0</v>
      </c>
      <c r="K49" s="388">
        <f t="shared" si="11"/>
        <v>0</v>
      </c>
      <c r="L49" s="388">
        <f t="shared" si="11"/>
        <v>0</v>
      </c>
      <c r="M49" s="388">
        <f t="shared" si="11"/>
        <v>0</v>
      </c>
      <c r="N49" s="388">
        <f t="shared" si="11"/>
        <v>0</v>
      </c>
      <c r="O49" s="388"/>
      <c r="P49" s="412"/>
      <c r="Q49" s="412"/>
      <c r="R49" s="412"/>
      <c r="S49" s="412"/>
      <c r="T49" s="412"/>
      <c r="U49" s="412"/>
      <c r="V49" s="412"/>
      <c r="W49" s="412"/>
      <c r="X49" s="412"/>
      <c r="Y49" s="412"/>
      <c r="Z49" s="412"/>
      <c r="AA49" s="412"/>
      <c r="AB49" s="412"/>
      <c r="AC49" s="412"/>
      <c r="AD49" s="412"/>
      <c r="AE49" s="412"/>
      <c r="AF49" s="412"/>
      <c r="AG49" s="412"/>
      <c r="AH49" s="412"/>
      <c r="AI49" s="412"/>
      <c r="AJ49" s="412"/>
      <c r="AK49" s="412"/>
      <c r="AL49" s="412"/>
      <c r="AM49" s="412"/>
      <c r="AN49" s="412"/>
      <c r="AO49" s="412"/>
      <c r="AP49" s="412"/>
    </row>
    <row r="50" spans="1:42" ht="15" outlineLevel="1">
      <c r="A50" s="374"/>
      <c r="B50" s="424" t="s">
        <v>432</v>
      </c>
      <c r="C50" s="393">
        <f>C49</f>
        <v>26814694.156351309</v>
      </c>
      <c r="D50" s="393">
        <f t="shared" ref="D50:N50" si="12">D49+C50</f>
        <v>26814694.156351309</v>
      </c>
      <c r="E50" s="393">
        <f t="shared" si="12"/>
        <v>26814694.156351309</v>
      </c>
      <c r="F50" s="393">
        <f t="shared" si="12"/>
        <v>26814694.156351309</v>
      </c>
      <c r="G50" s="393">
        <f t="shared" si="12"/>
        <v>26814694.156351309</v>
      </c>
      <c r="H50" s="393">
        <f t="shared" si="12"/>
        <v>26814694.156351309</v>
      </c>
      <c r="I50" s="393">
        <f t="shared" si="12"/>
        <v>26814694.156351309</v>
      </c>
      <c r="J50" s="393">
        <f t="shared" si="12"/>
        <v>26814694.156351309</v>
      </c>
      <c r="K50" s="393">
        <f t="shared" si="12"/>
        <v>26814694.156351309</v>
      </c>
      <c r="L50" s="393">
        <f t="shared" si="12"/>
        <v>26814694.156351309</v>
      </c>
      <c r="M50" s="393">
        <f t="shared" si="12"/>
        <v>26814694.156351309</v>
      </c>
      <c r="N50" s="393">
        <f t="shared" si="12"/>
        <v>26814694.156351309</v>
      </c>
      <c r="O50" s="393"/>
      <c r="P50" s="412"/>
      <c r="Q50" s="412"/>
      <c r="R50" s="412"/>
      <c r="S50" s="412"/>
      <c r="T50" s="412"/>
      <c r="U50" s="412"/>
      <c r="V50" s="412"/>
      <c r="W50" s="412"/>
      <c r="X50" s="412"/>
      <c r="Y50" s="412"/>
      <c r="Z50" s="412"/>
      <c r="AA50" s="412"/>
      <c r="AB50" s="412"/>
      <c r="AC50" s="412"/>
      <c r="AD50" s="412"/>
      <c r="AE50" s="412"/>
      <c r="AF50" s="412"/>
      <c r="AG50" s="412"/>
      <c r="AH50" s="412"/>
      <c r="AI50" s="412"/>
      <c r="AJ50" s="412"/>
      <c r="AK50" s="412"/>
      <c r="AL50" s="412"/>
      <c r="AM50" s="412"/>
      <c r="AN50" s="412"/>
      <c r="AO50" s="412"/>
      <c r="AP50" s="412"/>
    </row>
    <row r="51" spans="1:42" ht="16" outlineLevel="1" thickBot="1">
      <c r="A51" s="374"/>
      <c r="B51" s="425" t="s">
        <v>323</v>
      </c>
      <c r="C51" s="397">
        <f>C50*$J$5/12</f>
        <v>134073.47078175654</v>
      </c>
      <c r="D51" s="397">
        <f t="shared" ref="D51:N51" si="13">D50*$J$5/12</f>
        <v>134073.47078175654</v>
      </c>
      <c r="E51" s="397">
        <f t="shared" si="13"/>
        <v>134073.47078175654</v>
      </c>
      <c r="F51" s="397">
        <f t="shared" si="13"/>
        <v>134073.47078175654</v>
      </c>
      <c r="G51" s="397">
        <f t="shared" si="13"/>
        <v>134073.47078175654</v>
      </c>
      <c r="H51" s="397">
        <f t="shared" si="13"/>
        <v>134073.47078175654</v>
      </c>
      <c r="I51" s="397">
        <f t="shared" si="13"/>
        <v>134073.47078175654</v>
      </c>
      <c r="J51" s="397">
        <f t="shared" si="13"/>
        <v>134073.47078175654</v>
      </c>
      <c r="K51" s="397">
        <f t="shared" si="13"/>
        <v>134073.47078175654</v>
      </c>
      <c r="L51" s="397">
        <f t="shared" si="13"/>
        <v>134073.47078175654</v>
      </c>
      <c r="M51" s="397">
        <f t="shared" si="13"/>
        <v>134073.47078175654</v>
      </c>
      <c r="N51" s="397">
        <f t="shared" si="13"/>
        <v>134073.47078175654</v>
      </c>
      <c r="O51" s="397">
        <f>SUM(C51:N51)</f>
        <v>1608881.6493810785</v>
      </c>
      <c r="P51" s="412"/>
      <c r="Q51" s="412"/>
      <c r="R51" s="412"/>
      <c r="S51" s="412"/>
      <c r="T51" s="412"/>
      <c r="U51" s="412"/>
      <c r="V51" s="412"/>
      <c r="W51" s="412"/>
      <c r="X51" s="412"/>
      <c r="Y51" s="412"/>
      <c r="Z51" s="412"/>
      <c r="AA51" s="412"/>
      <c r="AB51" s="412"/>
      <c r="AC51" s="412"/>
      <c r="AD51" s="412"/>
      <c r="AE51" s="412"/>
      <c r="AF51" s="412"/>
      <c r="AG51" s="412"/>
      <c r="AH51" s="412"/>
      <c r="AI51" s="412"/>
      <c r="AJ51" s="412"/>
      <c r="AK51" s="412"/>
      <c r="AL51" s="412"/>
      <c r="AM51" s="412"/>
      <c r="AN51" s="412"/>
      <c r="AO51" s="412"/>
      <c r="AP51" s="412"/>
    </row>
    <row r="52" spans="1:42" s="435" customFormat="1" ht="15" outlineLevel="1">
      <c r="A52" s="487"/>
      <c r="B52" s="434" t="s">
        <v>433</v>
      </c>
      <c r="C52" s="406"/>
      <c r="D52" s="406"/>
      <c r="E52" s="406"/>
      <c r="F52" s="406"/>
      <c r="G52" s="406"/>
      <c r="H52" s="406"/>
      <c r="I52" s="406"/>
      <c r="J52" s="406"/>
      <c r="K52" s="406"/>
      <c r="L52" s="406"/>
      <c r="M52" s="406"/>
      <c r="N52" s="406"/>
      <c r="O52" s="406"/>
      <c r="P52" s="406"/>
      <c r="Q52" s="406"/>
      <c r="R52" s="406"/>
      <c r="S52" s="406"/>
      <c r="T52" s="406"/>
      <c r="U52" s="406"/>
      <c r="V52" s="406"/>
      <c r="W52" s="406"/>
      <c r="X52" s="406"/>
      <c r="Y52" s="406"/>
      <c r="Z52" s="406"/>
      <c r="AA52" s="406"/>
      <c r="AB52" s="406"/>
      <c r="AC52" s="406"/>
      <c r="AD52" s="406"/>
      <c r="AE52" s="406"/>
      <c r="AF52" s="406"/>
      <c r="AG52" s="406"/>
      <c r="AH52" s="406"/>
      <c r="AI52" s="406"/>
      <c r="AJ52" s="406"/>
      <c r="AK52" s="406"/>
      <c r="AL52" s="406"/>
      <c r="AM52" s="406"/>
      <c r="AN52" s="406"/>
      <c r="AO52" s="406"/>
      <c r="AP52" s="406"/>
    </row>
    <row r="53" spans="1:42" ht="15" outlineLevel="1">
      <c r="A53" s="436">
        <f>0%</f>
        <v>0</v>
      </c>
      <c r="B53" s="437" t="s">
        <v>434</v>
      </c>
      <c r="C53" s="412"/>
      <c r="D53" s="438">
        <f>$A$53</f>
        <v>0</v>
      </c>
      <c r="E53" s="438">
        <f>D53+5%</f>
        <v>0.05</v>
      </c>
      <c r="F53" s="438">
        <f>E53+5%</f>
        <v>0.1</v>
      </c>
      <c r="G53" s="438">
        <f t="shared" ref="G53:W53" si="14">F53+5%</f>
        <v>0.15000000000000002</v>
      </c>
      <c r="H53" s="438">
        <f t="shared" si="14"/>
        <v>0.2</v>
      </c>
      <c r="I53" s="438">
        <f t="shared" si="14"/>
        <v>0.25</v>
      </c>
      <c r="J53" s="438">
        <f t="shared" si="14"/>
        <v>0.3</v>
      </c>
      <c r="K53" s="438">
        <f t="shared" si="14"/>
        <v>0.35</v>
      </c>
      <c r="L53" s="438">
        <f t="shared" si="14"/>
        <v>0.39999999999999997</v>
      </c>
      <c r="M53" s="438">
        <f t="shared" si="14"/>
        <v>0.44999999999999996</v>
      </c>
      <c r="N53" s="438">
        <f t="shared" si="14"/>
        <v>0.49999999999999994</v>
      </c>
      <c r="O53" s="438">
        <f t="shared" si="14"/>
        <v>0.54999999999999993</v>
      </c>
      <c r="P53" s="438">
        <f t="shared" si="14"/>
        <v>0.6</v>
      </c>
      <c r="Q53" s="515">
        <v>0.66666666666666663</v>
      </c>
      <c r="R53" s="438">
        <v>0.7</v>
      </c>
      <c r="S53" s="438">
        <f t="shared" si="14"/>
        <v>0.75</v>
      </c>
      <c r="T53" s="438">
        <f t="shared" si="14"/>
        <v>0.8</v>
      </c>
      <c r="U53" s="438">
        <f t="shared" si="14"/>
        <v>0.85000000000000009</v>
      </c>
      <c r="V53" s="438">
        <f t="shared" si="14"/>
        <v>0.90000000000000013</v>
      </c>
      <c r="W53" s="438">
        <f t="shared" si="14"/>
        <v>0.95000000000000018</v>
      </c>
      <c r="X53" s="439">
        <f>W53+5%</f>
        <v>1.0000000000000002</v>
      </c>
      <c r="Y53" s="412"/>
      <c r="Z53" s="412"/>
      <c r="AA53" s="412"/>
      <c r="AB53" s="412"/>
      <c r="AC53" s="412"/>
      <c r="AD53" s="412"/>
      <c r="AE53" s="412"/>
      <c r="AF53" s="412"/>
      <c r="AG53" s="412"/>
      <c r="AH53" s="412"/>
      <c r="AI53" s="412"/>
      <c r="AJ53" s="412"/>
      <c r="AK53" s="412"/>
      <c r="AL53" s="412"/>
      <c r="AM53" s="412"/>
      <c r="AN53" s="412"/>
      <c r="AO53" s="412"/>
      <c r="AP53" s="412"/>
    </row>
    <row r="54" spans="1:42" ht="15" outlineLevel="1">
      <c r="A54" s="401">
        <f>HLOOKUP($H$5+1%,D53:X55,2,TRUE)*$N$5</f>
        <v>1608918.2815433787</v>
      </c>
      <c r="B54" s="421" t="s">
        <v>303</v>
      </c>
      <c r="C54" s="440">
        <f>O51</f>
        <v>1608881.6493810785</v>
      </c>
      <c r="D54" s="408">
        <f t="dataTable" ref="D54:X55" dt2D="0" dtr="1" r1="H5" ca="1"/>
        <v>0</v>
      </c>
      <c r="E54" s="408">
        <v>114101.62792143131</v>
      </c>
      <c r="F54" s="408">
        <v>229214.73945032348</v>
      </c>
      <c r="G54" s="408">
        <v>345352.8387290386</v>
      </c>
      <c r="H54" s="408">
        <v>462529.67136313609</v>
      </c>
      <c r="I54" s="408">
        <v>580759.22984251194</v>
      </c>
      <c r="J54" s="408">
        <v>700055.75910925202</v>
      </c>
      <c r="K54" s="408">
        <v>820433.76227684843</v>
      </c>
      <c r="L54" s="408">
        <v>941908.00650560518</v>
      </c>
      <c r="M54" s="408">
        <v>1064493.5290392316</v>
      </c>
      <c r="N54" s="408">
        <v>1188205.6434078019</v>
      </c>
      <c r="O54" s="408">
        <v>1313059.9458024641</v>
      </c>
      <c r="P54" s="408">
        <v>1439072.3216274616</v>
      </c>
      <c r="Q54" s="408">
        <v>1608918.2815433787</v>
      </c>
      <c r="R54" s="408">
        <v>1694636.321850735</v>
      </c>
      <c r="S54" s="408">
        <v>1824221.2246907677</v>
      </c>
      <c r="T54" s="408">
        <v>1955030.7722854984</v>
      </c>
      <c r="U54" s="408">
        <v>2087082.401008148</v>
      </c>
      <c r="V54" s="408">
        <v>2220393.8798202439</v>
      </c>
      <c r="W54" s="408">
        <v>2354983.3182395189</v>
      </c>
      <c r="X54" s="408">
        <v>2490869.1745379777</v>
      </c>
      <c r="Y54" s="412"/>
      <c r="Z54" s="412"/>
      <c r="AA54" s="412"/>
      <c r="AB54" s="412"/>
      <c r="AC54" s="412"/>
      <c r="AD54" s="412"/>
      <c r="AE54" s="412"/>
      <c r="AF54" s="412"/>
      <c r="AG54" s="412"/>
      <c r="AH54" s="412"/>
      <c r="AI54" s="412"/>
      <c r="AJ54" s="412"/>
      <c r="AK54" s="412"/>
      <c r="AL54" s="412"/>
      <c r="AM54" s="412"/>
      <c r="AN54" s="412"/>
      <c r="AO54" s="412"/>
      <c r="AP54" s="412"/>
    </row>
    <row r="55" spans="1:42" ht="15" outlineLevel="1">
      <c r="A55" s="401">
        <f>HLOOKUP($H$5+1%,D53:X55,3,TRUE)*$O$5</f>
        <v>746346.88861384429</v>
      </c>
      <c r="B55" s="421" t="s">
        <v>302</v>
      </c>
      <c r="C55" s="440">
        <f>-PMT($J$5/$M$5,$K$5*$M$5,$I$5)</f>
        <v>746329.89564367931</v>
      </c>
      <c r="D55" s="408">
        <v>0</v>
      </c>
      <c r="E55" s="408">
        <v>52929.596214945341</v>
      </c>
      <c r="F55" s="408">
        <v>106328.40062521814</v>
      </c>
      <c r="G55" s="408">
        <v>160202.6775481246</v>
      </c>
      <c r="H55" s="408">
        <v>214558.80331120043</v>
      </c>
      <c r="I55" s="408">
        <v>269403.2687669755</v>
      </c>
      <c r="J55" s="408">
        <v>324742.68187579548</v>
      </c>
      <c r="K55" s="408">
        <v>380583.77035885944</v>
      </c>
      <c r="L55" s="408">
        <v>436933.38442370947</v>
      </c>
      <c r="M55" s="408">
        <v>493798.49956449191</v>
      </c>
      <c r="N55" s="408">
        <v>551186.21943939535</v>
      </c>
      <c r="O55" s="408">
        <v>609103.77882775641</v>
      </c>
      <c r="P55" s="408">
        <v>667558.54666941916</v>
      </c>
      <c r="Q55" s="408">
        <v>746346.88861384429</v>
      </c>
      <c r="R55" s="408">
        <v>786109.87310806091</v>
      </c>
      <c r="S55" s="408">
        <v>846221.86894740851</v>
      </c>
      <c r="T55" s="408">
        <v>906901.95442363271</v>
      </c>
      <c r="U55" s="408">
        <v>968158.21794187569</v>
      </c>
      <c r="V55" s="408">
        <v>1029998.9021887318</v>
      </c>
      <c r="W55" s="408">
        <v>1092432.4078284041</v>
      </c>
      <c r="X55" s="408">
        <v>1155467.2973056347</v>
      </c>
      <c r="Y55" s="412"/>
      <c r="Z55" s="412"/>
      <c r="AA55" s="412"/>
      <c r="AB55" s="412"/>
      <c r="AC55" s="412"/>
      <c r="AD55" s="412"/>
      <c r="AE55" s="412"/>
      <c r="AF55" s="412"/>
      <c r="AG55" s="412"/>
      <c r="AH55" s="412"/>
      <c r="AI55" s="412"/>
      <c r="AJ55" s="412"/>
      <c r="AK55" s="412"/>
      <c r="AL55" s="412"/>
      <c r="AM55" s="412"/>
      <c r="AN55" s="412"/>
      <c r="AO55" s="412"/>
      <c r="AP55" s="412"/>
    </row>
    <row r="56" spans="1:42" ht="15" outlineLevel="1">
      <c r="A56" s="374"/>
      <c r="B56" s="406" t="s">
        <v>424</v>
      </c>
      <c r="C56" s="406"/>
      <c r="D56" s="406"/>
      <c r="E56" s="406"/>
      <c r="F56" s="406"/>
      <c r="G56" s="406"/>
      <c r="H56" s="406"/>
      <c r="I56" s="406"/>
      <c r="J56" s="406"/>
      <c r="K56" s="406"/>
      <c r="L56" s="406"/>
      <c r="M56" s="406"/>
      <c r="N56" s="406"/>
      <c r="O56" s="406"/>
      <c r="P56" s="406"/>
      <c r="Q56" s="406"/>
      <c r="R56" s="406"/>
      <c r="S56" s="406"/>
      <c r="T56" s="406"/>
      <c r="U56" s="406"/>
      <c r="V56" s="406"/>
      <c r="W56" s="406"/>
      <c r="X56" s="406"/>
      <c r="Y56" s="406"/>
      <c r="Z56" s="406"/>
      <c r="AA56" s="406"/>
      <c r="AB56" s="406"/>
      <c r="AC56" s="406"/>
      <c r="AD56" s="406"/>
      <c r="AE56" s="406"/>
      <c r="AF56" s="406"/>
      <c r="AG56" s="406"/>
      <c r="AH56" s="406"/>
      <c r="AI56" s="406"/>
      <c r="AJ56" s="406"/>
      <c r="AK56" s="406"/>
      <c r="AL56" s="406"/>
      <c r="AM56" s="406"/>
      <c r="AN56" s="406"/>
      <c r="AO56" s="406"/>
      <c r="AP56" s="406"/>
    </row>
    <row r="57" spans="1:42" ht="16" outlineLevel="1" thickBot="1">
      <c r="A57" s="374"/>
      <c r="B57" s="405"/>
      <c r="C57" s="405">
        <v>0</v>
      </c>
      <c r="D57" s="405">
        <v>1</v>
      </c>
      <c r="E57" s="405">
        <v>2</v>
      </c>
      <c r="F57" s="405">
        <v>3</v>
      </c>
      <c r="G57" s="405">
        <v>4</v>
      </c>
      <c r="H57" s="405">
        <v>5</v>
      </c>
      <c r="I57" s="405">
        <v>6</v>
      </c>
      <c r="J57" s="405">
        <v>7</v>
      </c>
      <c r="K57" s="405">
        <v>8</v>
      </c>
      <c r="L57" s="405">
        <v>9</v>
      </c>
      <c r="M57" s="405">
        <v>10</v>
      </c>
      <c r="N57" s="405">
        <v>11</v>
      </c>
      <c r="O57" s="405">
        <v>12</v>
      </c>
      <c r="P57" s="405">
        <v>13</v>
      </c>
      <c r="Q57" s="405">
        <v>14</v>
      </c>
      <c r="R57" s="405">
        <v>15</v>
      </c>
      <c r="S57" s="405">
        <v>16</v>
      </c>
      <c r="T57" s="405">
        <v>17</v>
      </c>
      <c r="U57" s="405">
        <v>18</v>
      </c>
      <c r="V57" s="405">
        <v>19</v>
      </c>
      <c r="W57" s="405">
        <v>20</v>
      </c>
      <c r="X57" s="421"/>
      <c r="Y57" s="421"/>
      <c r="Z57" s="421"/>
      <c r="AA57" s="421"/>
      <c r="AB57" s="421"/>
      <c r="AC57" s="421"/>
      <c r="AD57" s="421"/>
      <c r="AE57" s="421"/>
      <c r="AF57" s="421"/>
      <c r="AG57" s="421"/>
      <c r="AH57" s="421"/>
      <c r="AI57" s="421"/>
      <c r="AJ57" s="421"/>
      <c r="AK57" s="421"/>
      <c r="AL57" s="421"/>
      <c r="AM57" s="421"/>
      <c r="AN57" s="421"/>
      <c r="AO57" s="421"/>
      <c r="AP57" s="421"/>
    </row>
    <row r="58" spans="1:42" s="377" customFormat="1" ht="15" outlineLevel="1">
      <c r="A58" s="374"/>
      <c r="B58" s="441" t="s">
        <v>425</v>
      </c>
      <c r="C58" s="442">
        <f>D44</f>
        <v>0</v>
      </c>
      <c r="D58" s="442">
        <f>E44</f>
        <v>0</v>
      </c>
      <c r="E58" s="442">
        <f t="shared" ref="E58:W58" si="15">F44</f>
        <v>1407718.6465949703</v>
      </c>
      <c r="F58" s="442">
        <f t="shared" si="15"/>
        <v>1494101.2610310572</v>
      </c>
      <c r="G58" s="442">
        <f t="shared" si="15"/>
        <v>1585784.6194012128</v>
      </c>
      <c r="H58" s="442">
        <f t="shared" si="15"/>
        <v>1683093.9941741857</v>
      </c>
      <c r="I58" s="442">
        <f t="shared" si="15"/>
        <v>1786374.6176923264</v>
      </c>
      <c r="J58" s="442">
        <f t="shared" si="15"/>
        <v>1895992.9069803047</v>
      </c>
      <c r="K58" s="442">
        <f t="shared" si="15"/>
        <v>2012337.7637124318</v>
      </c>
      <c r="L58" s="442">
        <f t="shared" si="15"/>
        <v>2135821.9539505988</v>
      </c>
      <c r="M58" s="442">
        <f t="shared" si="15"/>
        <v>0</v>
      </c>
      <c r="N58" s="442">
        <f t="shared" si="15"/>
        <v>0</v>
      </c>
      <c r="O58" s="442">
        <f t="shared" si="15"/>
        <v>0</v>
      </c>
      <c r="P58" s="442">
        <f t="shared" si="15"/>
        <v>0</v>
      </c>
      <c r="Q58" s="442">
        <f t="shared" si="15"/>
        <v>0</v>
      </c>
      <c r="R58" s="442">
        <f t="shared" si="15"/>
        <v>0</v>
      </c>
      <c r="S58" s="442">
        <f t="shared" si="15"/>
        <v>0</v>
      </c>
      <c r="T58" s="442">
        <f t="shared" si="15"/>
        <v>0</v>
      </c>
      <c r="U58" s="442">
        <f t="shared" si="15"/>
        <v>0</v>
      </c>
      <c r="V58" s="442">
        <f t="shared" si="15"/>
        <v>0</v>
      </c>
      <c r="W58" s="442">
        <f t="shared" si="15"/>
        <v>0</v>
      </c>
      <c r="X58" s="442"/>
      <c r="Y58" s="442"/>
      <c r="Z58" s="442"/>
      <c r="AA58" s="442"/>
      <c r="AB58" s="442"/>
      <c r="AC58" s="442"/>
      <c r="AD58" s="442"/>
      <c r="AE58" s="442"/>
      <c r="AF58" s="442"/>
      <c r="AG58" s="442"/>
      <c r="AH58" s="442"/>
      <c r="AI58" s="442"/>
      <c r="AJ58" s="442"/>
      <c r="AK58" s="442"/>
      <c r="AL58" s="442"/>
      <c r="AM58" s="442"/>
      <c r="AN58" s="442"/>
      <c r="AO58" s="442"/>
      <c r="AP58" s="442"/>
    </row>
    <row r="59" spans="1:42" s="377" customFormat="1" ht="16" outlineLevel="1" thickBot="1">
      <c r="A59" s="374"/>
      <c r="B59" s="443" t="s">
        <v>426</v>
      </c>
      <c r="C59" s="444">
        <f>I5-C58</f>
        <v>26814694.156351309</v>
      </c>
      <c r="D59" s="444">
        <f>C59-D58</f>
        <v>26814694.156351309</v>
      </c>
      <c r="E59" s="444">
        <f t="shared" ref="E59:W59" si="16">D59-E58</f>
        <v>25406975.509756338</v>
      </c>
      <c r="F59" s="444">
        <f t="shared" si="16"/>
        <v>23912874.24872528</v>
      </c>
      <c r="G59" s="444">
        <f t="shared" si="16"/>
        <v>22327089.629324067</v>
      </c>
      <c r="H59" s="444">
        <f t="shared" si="16"/>
        <v>20643995.635149881</v>
      </c>
      <c r="I59" s="444">
        <f t="shared" si="16"/>
        <v>18857621.017457556</v>
      </c>
      <c r="J59" s="444">
        <f t="shared" si="16"/>
        <v>16961628.11047725</v>
      </c>
      <c r="K59" s="444">
        <f t="shared" si="16"/>
        <v>14949290.346764818</v>
      </c>
      <c r="L59" s="444">
        <f t="shared" si="16"/>
        <v>12813468.392814219</v>
      </c>
      <c r="M59" s="444">
        <f t="shared" si="16"/>
        <v>12813468.392814219</v>
      </c>
      <c r="N59" s="444">
        <f t="shared" si="16"/>
        <v>12813468.392814219</v>
      </c>
      <c r="O59" s="444">
        <f t="shared" si="16"/>
        <v>12813468.392814219</v>
      </c>
      <c r="P59" s="444">
        <f t="shared" si="16"/>
        <v>12813468.392814219</v>
      </c>
      <c r="Q59" s="444">
        <f t="shared" si="16"/>
        <v>12813468.392814219</v>
      </c>
      <c r="R59" s="444">
        <f t="shared" si="16"/>
        <v>12813468.392814219</v>
      </c>
      <c r="S59" s="444">
        <f t="shared" si="16"/>
        <v>12813468.392814219</v>
      </c>
      <c r="T59" s="444">
        <f t="shared" si="16"/>
        <v>12813468.392814219</v>
      </c>
      <c r="U59" s="444">
        <f t="shared" si="16"/>
        <v>12813468.392814219</v>
      </c>
      <c r="V59" s="444">
        <f t="shared" si="16"/>
        <v>12813468.392814219</v>
      </c>
      <c r="W59" s="444">
        <f t="shared" si="16"/>
        <v>12813468.392814219</v>
      </c>
      <c r="X59" s="444"/>
      <c r="Y59" s="444"/>
      <c r="Z59" s="444"/>
      <c r="AA59" s="444"/>
      <c r="AB59" s="444"/>
      <c r="AC59" s="444"/>
      <c r="AD59" s="444"/>
      <c r="AE59" s="444"/>
      <c r="AF59" s="444"/>
      <c r="AG59" s="444"/>
      <c r="AH59" s="444"/>
      <c r="AI59" s="444"/>
      <c r="AJ59" s="444"/>
      <c r="AK59" s="444"/>
      <c r="AL59" s="444"/>
      <c r="AM59" s="444"/>
      <c r="AN59" s="444"/>
      <c r="AO59" s="444"/>
      <c r="AP59" s="444"/>
    </row>
    <row r="60" spans="1:42" ht="15" outlineLevel="1">
      <c r="A60" s="374"/>
      <c r="B60" s="374"/>
      <c r="C60" s="374"/>
      <c r="D60" s="374"/>
      <c r="E60" s="374"/>
      <c r="F60" s="374"/>
      <c r="G60" s="374"/>
      <c r="H60" s="374"/>
      <c r="I60" s="374"/>
      <c r="J60" s="374"/>
      <c r="K60" s="374"/>
      <c r="L60" s="374"/>
      <c r="M60" s="374"/>
      <c r="N60" s="374"/>
      <c r="O60" s="374"/>
      <c r="P60" s="374"/>
      <c r="Q60" s="374"/>
      <c r="R60" s="374"/>
      <c r="S60" s="377"/>
      <c r="T60" s="377"/>
      <c r="U60" s="377"/>
      <c r="V60" s="377"/>
      <c r="W60" s="377"/>
      <c r="X60" s="377"/>
      <c r="Y60" s="377"/>
      <c r="Z60" s="377"/>
      <c r="AA60" s="377"/>
      <c r="AB60" s="377"/>
      <c r="AC60" s="377"/>
      <c r="AD60" s="377"/>
      <c r="AE60" s="377"/>
      <c r="AF60" s="377"/>
      <c r="AG60" s="377"/>
      <c r="AH60" s="377"/>
      <c r="AI60" s="377"/>
      <c r="AJ60" s="377"/>
      <c r="AK60" s="377"/>
      <c r="AL60" s="377"/>
      <c r="AM60" s="377"/>
      <c r="AN60" s="377"/>
      <c r="AO60" s="377"/>
      <c r="AP60" s="377"/>
    </row>
    <row r="61" spans="1:42" ht="16" thickBot="1">
      <c r="A61" s="374"/>
      <c r="B61" s="374"/>
      <c r="C61" s="374"/>
      <c r="D61" s="374"/>
      <c r="E61" s="374"/>
      <c r="F61" s="374"/>
      <c r="G61" s="374"/>
      <c r="H61" s="374"/>
      <c r="I61" s="374"/>
      <c r="J61" s="374"/>
      <c r="K61" s="374"/>
      <c r="L61" s="374"/>
      <c r="M61" s="374"/>
      <c r="N61" s="374"/>
      <c r="O61" s="374"/>
      <c r="P61" s="374"/>
      <c r="Q61" s="374"/>
      <c r="R61" s="374"/>
      <c r="S61" s="377"/>
      <c r="T61" s="377"/>
      <c r="U61" s="377"/>
      <c r="V61" s="377"/>
      <c r="W61" s="377"/>
      <c r="X61" s="377"/>
      <c r="Y61" s="377"/>
      <c r="Z61" s="377"/>
      <c r="AA61" s="377"/>
      <c r="AB61" s="377"/>
      <c r="AC61" s="377"/>
      <c r="AD61" s="377"/>
      <c r="AE61" s="377"/>
      <c r="AF61" s="377"/>
      <c r="AG61" s="377"/>
      <c r="AH61" s="377"/>
      <c r="AI61" s="377"/>
      <c r="AJ61" s="377"/>
      <c r="AK61" s="377"/>
      <c r="AL61" s="377"/>
      <c r="AM61" s="377"/>
      <c r="AN61" s="377"/>
      <c r="AO61" s="377"/>
      <c r="AP61" s="377"/>
    </row>
    <row r="62" spans="1:42" ht="16" thickTop="1">
      <c r="A62" s="374"/>
      <c r="B62" s="379" t="s">
        <v>435</v>
      </c>
      <c r="C62" s="379"/>
      <c r="D62" s="379"/>
      <c r="E62" s="379"/>
      <c r="F62" s="379"/>
      <c r="G62" s="379"/>
      <c r="H62" s="379"/>
      <c r="I62" s="379"/>
      <c r="J62" s="379"/>
      <c r="K62" s="379"/>
      <c r="L62" s="379"/>
      <c r="M62" s="379"/>
      <c r="N62" s="379"/>
      <c r="O62" s="379"/>
      <c r="P62" s="379"/>
      <c r="Q62" s="379"/>
      <c r="R62" s="379"/>
      <c r="S62" s="379"/>
      <c r="T62" s="379"/>
      <c r="U62" s="379"/>
      <c r="V62" s="379"/>
      <c r="W62" s="379"/>
      <c r="X62" s="379"/>
      <c r="Y62" s="379"/>
      <c r="Z62" s="379"/>
      <c r="AA62" s="379"/>
      <c r="AB62" s="379"/>
      <c r="AC62" s="379"/>
      <c r="AD62" s="379"/>
      <c r="AE62" s="379"/>
      <c r="AF62" s="379"/>
      <c r="AG62" s="379"/>
      <c r="AH62" s="379"/>
      <c r="AI62" s="379"/>
      <c r="AJ62" s="379"/>
      <c r="AK62" s="379"/>
      <c r="AL62" s="379"/>
      <c r="AM62" s="379"/>
      <c r="AN62" s="379"/>
      <c r="AO62" s="379"/>
      <c r="AP62" s="379"/>
    </row>
    <row r="63" spans="1:42" ht="15" outlineLevel="1">
      <c r="A63" s="374"/>
      <c r="B63" s="406" t="s">
        <v>421</v>
      </c>
      <c r="C63" s="406"/>
      <c r="D63" s="406"/>
      <c r="E63" s="406"/>
      <c r="F63" s="406"/>
      <c r="G63" s="406"/>
      <c r="H63" s="406"/>
      <c r="I63" s="406"/>
      <c r="J63" s="406"/>
      <c r="K63" s="406"/>
      <c r="L63" s="406"/>
      <c r="M63" s="406"/>
      <c r="N63" s="406"/>
      <c r="O63" s="406"/>
      <c r="P63" s="406"/>
      <c r="Q63" s="406"/>
      <c r="R63" s="406"/>
      <c r="S63" s="406"/>
      <c r="T63" s="406"/>
      <c r="U63" s="406"/>
      <c r="V63" s="406"/>
      <c r="W63" s="406"/>
      <c r="X63" s="406"/>
      <c r="Y63" s="406"/>
      <c r="Z63" s="406"/>
      <c r="AA63" s="406"/>
      <c r="AB63" s="406"/>
      <c r="AC63" s="406"/>
      <c r="AD63" s="406"/>
      <c r="AE63" s="406"/>
      <c r="AF63" s="406"/>
      <c r="AG63" s="406"/>
      <c r="AH63" s="406"/>
      <c r="AI63" s="406"/>
      <c r="AJ63" s="406"/>
      <c r="AK63" s="406"/>
      <c r="AL63" s="406"/>
      <c r="AM63" s="406"/>
      <c r="AN63" s="406"/>
      <c r="AO63" s="406"/>
      <c r="AP63" s="406"/>
    </row>
    <row r="64" spans="1:42" s="420" customFormat="1" ht="15" outlineLevel="1">
      <c r="A64" s="417"/>
      <c r="B64" s="418" t="s">
        <v>428</v>
      </c>
      <c r="C64" s="419">
        <v>1</v>
      </c>
      <c r="D64" s="419">
        <v>2</v>
      </c>
      <c r="E64" s="419">
        <v>3</v>
      </c>
      <c r="F64" s="419">
        <v>4</v>
      </c>
      <c r="G64" s="419">
        <v>5</v>
      </c>
      <c r="H64" s="419">
        <v>6</v>
      </c>
      <c r="I64" s="419">
        <v>7</v>
      </c>
      <c r="J64" s="419">
        <v>8</v>
      </c>
      <c r="K64" s="419">
        <v>9</v>
      </c>
      <c r="L64" s="419">
        <v>10</v>
      </c>
      <c r="M64" s="419">
        <v>11</v>
      </c>
      <c r="N64" s="419">
        <v>12</v>
      </c>
      <c r="O64" s="419">
        <v>13</v>
      </c>
      <c r="P64" s="419">
        <v>14</v>
      </c>
      <c r="Q64" s="419">
        <v>15</v>
      </c>
      <c r="R64" s="419">
        <v>16</v>
      </c>
      <c r="S64" s="419">
        <v>17</v>
      </c>
      <c r="T64" s="419">
        <v>18</v>
      </c>
      <c r="U64" s="419">
        <v>19</v>
      </c>
      <c r="V64" s="419">
        <v>20</v>
      </c>
      <c r="W64" s="419">
        <v>21</v>
      </c>
      <c r="X64" s="419">
        <v>22</v>
      </c>
      <c r="Y64" s="419">
        <v>23</v>
      </c>
      <c r="Z64" s="419">
        <v>24</v>
      </c>
      <c r="AA64" s="419">
        <v>25</v>
      </c>
      <c r="AB64" s="419">
        <v>26</v>
      </c>
      <c r="AC64" s="419">
        <v>27</v>
      </c>
      <c r="AD64" s="419">
        <v>28</v>
      </c>
      <c r="AE64" s="419">
        <v>29</v>
      </c>
      <c r="AF64" s="419">
        <v>30</v>
      </c>
      <c r="AG64" s="419">
        <v>31</v>
      </c>
      <c r="AH64" s="419">
        <v>32</v>
      </c>
      <c r="AI64" s="419">
        <v>33</v>
      </c>
      <c r="AJ64" s="419">
        <v>34</v>
      </c>
      <c r="AK64" s="419">
        <v>35</v>
      </c>
      <c r="AL64" s="419">
        <v>36</v>
      </c>
      <c r="AM64" s="419">
        <v>37</v>
      </c>
      <c r="AN64" s="419">
        <v>38</v>
      </c>
      <c r="AO64" s="419">
        <v>39</v>
      </c>
      <c r="AP64" s="419">
        <v>40</v>
      </c>
    </row>
    <row r="65" spans="1:42" ht="15" outlineLevel="1">
      <c r="A65" s="374"/>
      <c r="B65" s="421" t="s">
        <v>429</v>
      </c>
      <c r="C65" s="422">
        <f t="shared" ref="C65:AP65" si="17">MAX(C64-($L$6-1)*$M$6,0)</f>
        <v>0</v>
      </c>
      <c r="D65" s="422">
        <f t="shared" si="17"/>
        <v>0</v>
      </c>
      <c r="E65" s="422">
        <f t="shared" si="17"/>
        <v>0</v>
      </c>
      <c r="F65" s="422">
        <f t="shared" si="17"/>
        <v>0</v>
      </c>
      <c r="G65" s="422">
        <f t="shared" si="17"/>
        <v>0</v>
      </c>
      <c r="H65" s="422">
        <f t="shared" si="17"/>
        <v>0</v>
      </c>
      <c r="I65" s="422">
        <f t="shared" si="17"/>
        <v>0</v>
      </c>
      <c r="J65" s="422">
        <f t="shared" si="17"/>
        <v>0</v>
      </c>
      <c r="K65" s="422">
        <f t="shared" si="17"/>
        <v>1</v>
      </c>
      <c r="L65" s="422">
        <f t="shared" si="17"/>
        <v>2</v>
      </c>
      <c r="M65" s="422">
        <f t="shared" si="17"/>
        <v>3</v>
      </c>
      <c r="N65" s="422">
        <f t="shared" si="17"/>
        <v>4</v>
      </c>
      <c r="O65" s="422">
        <f t="shared" si="17"/>
        <v>5</v>
      </c>
      <c r="P65" s="422">
        <f t="shared" si="17"/>
        <v>6</v>
      </c>
      <c r="Q65" s="422">
        <f t="shared" si="17"/>
        <v>7</v>
      </c>
      <c r="R65" s="422">
        <f t="shared" si="17"/>
        <v>8</v>
      </c>
      <c r="S65" s="422">
        <f t="shared" si="17"/>
        <v>9</v>
      </c>
      <c r="T65" s="422">
        <f t="shared" si="17"/>
        <v>10</v>
      </c>
      <c r="U65" s="422">
        <f t="shared" si="17"/>
        <v>11</v>
      </c>
      <c r="V65" s="422">
        <f t="shared" si="17"/>
        <v>12</v>
      </c>
      <c r="W65" s="422">
        <f t="shared" si="17"/>
        <v>13</v>
      </c>
      <c r="X65" s="422">
        <f t="shared" si="17"/>
        <v>14</v>
      </c>
      <c r="Y65" s="422">
        <f t="shared" si="17"/>
        <v>15</v>
      </c>
      <c r="Z65" s="422">
        <f t="shared" si="17"/>
        <v>16</v>
      </c>
      <c r="AA65" s="422">
        <f t="shared" si="17"/>
        <v>17</v>
      </c>
      <c r="AB65" s="422">
        <f t="shared" si="17"/>
        <v>18</v>
      </c>
      <c r="AC65" s="422">
        <f t="shared" si="17"/>
        <v>19</v>
      </c>
      <c r="AD65" s="422">
        <f t="shared" si="17"/>
        <v>20</v>
      </c>
      <c r="AE65" s="422">
        <f t="shared" si="17"/>
        <v>21</v>
      </c>
      <c r="AF65" s="422">
        <f t="shared" si="17"/>
        <v>22</v>
      </c>
      <c r="AG65" s="422">
        <f t="shared" si="17"/>
        <v>23</v>
      </c>
      <c r="AH65" s="422">
        <f t="shared" si="17"/>
        <v>24</v>
      </c>
      <c r="AI65" s="422">
        <f t="shared" si="17"/>
        <v>25</v>
      </c>
      <c r="AJ65" s="422">
        <f t="shared" si="17"/>
        <v>26</v>
      </c>
      <c r="AK65" s="422">
        <f t="shared" si="17"/>
        <v>27</v>
      </c>
      <c r="AL65" s="422">
        <f t="shared" si="17"/>
        <v>28</v>
      </c>
      <c r="AM65" s="422">
        <f t="shared" si="17"/>
        <v>29</v>
      </c>
      <c r="AN65" s="422">
        <f t="shared" si="17"/>
        <v>30</v>
      </c>
      <c r="AO65" s="422">
        <f t="shared" si="17"/>
        <v>31</v>
      </c>
      <c r="AP65" s="422">
        <f t="shared" si="17"/>
        <v>32</v>
      </c>
    </row>
    <row r="66" spans="1:42" s="420" customFormat="1" ht="15" outlineLevel="1">
      <c r="A66" s="417"/>
      <c r="B66" s="418" t="s">
        <v>408</v>
      </c>
      <c r="C66" s="423">
        <f t="shared" ref="C66:AP66" si="18">ROUNDUP(C64/$M$6,0)</f>
        <v>1</v>
      </c>
      <c r="D66" s="423">
        <f t="shared" si="18"/>
        <v>1</v>
      </c>
      <c r="E66" s="423">
        <f t="shared" si="18"/>
        <v>1</v>
      </c>
      <c r="F66" s="423">
        <f t="shared" si="18"/>
        <v>1</v>
      </c>
      <c r="G66" s="423">
        <f t="shared" si="18"/>
        <v>2</v>
      </c>
      <c r="H66" s="423">
        <f t="shared" si="18"/>
        <v>2</v>
      </c>
      <c r="I66" s="423">
        <f t="shared" si="18"/>
        <v>2</v>
      </c>
      <c r="J66" s="423">
        <f t="shared" si="18"/>
        <v>2</v>
      </c>
      <c r="K66" s="423">
        <f t="shared" si="18"/>
        <v>3</v>
      </c>
      <c r="L66" s="423">
        <f t="shared" si="18"/>
        <v>3</v>
      </c>
      <c r="M66" s="423">
        <f t="shared" si="18"/>
        <v>3</v>
      </c>
      <c r="N66" s="423">
        <f t="shared" si="18"/>
        <v>3</v>
      </c>
      <c r="O66" s="423">
        <f t="shared" si="18"/>
        <v>4</v>
      </c>
      <c r="P66" s="423">
        <f t="shared" si="18"/>
        <v>4</v>
      </c>
      <c r="Q66" s="423">
        <f t="shared" si="18"/>
        <v>4</v>
      </c>
      <c r="R66" s="423">
        <f t="shared" si="18"/>
        <v>4</v>
      </c>
      <c r="S66" s="423">
        <f t="shared" si="18"/>
        <v>5</v>
      </c>
      <c r="T66" s="423">
        <f t="shared" si="18"/>
        <v>5</v>
      </c>
      <c r="U66" s="423">
        <f t="shared" si="18"/>
        <v>5</v>
      </c>
      <c r="V66" s="423">
        <f t="shared" si="18"/>
        <v>5</v>
      </c>
      <c r="W66" s="423">
        <f t="shared" si="18"/>
        <v>6</v>
      </c>
      <c r="X66" s="423">
        <f t="shared" si="18"/>
        <v>6</v>
      </c>
      <c r="Y66" s="423">
        <f t="shared" si="18"/>
        <v>6</v>
      </c>
      <c r="Z66" s="423">
        <f t="shared" si="18"/>
        <v>6</v>
      </c>
      <c r="AA66" s="423">
        <f t="shared" si="18"/>
        <v>7</v>
      </c>
      <c r="AB66" s="423">
        <f t="shared" si="18"/>
        <v>7</v>
      </c>
      <c r="AC66" s="423">
        <f t="shared" si="18"/>
        <v>7</v>
      </c>
      <c r="AD66" s="423">
        <f t="shared" si="18"/>
        <v>7</v>
      </c>
      <c r="AE66" s="423">
        <f t="shared" si="18"/>
        <v>8</v>
      </c>
      <c r="AF66" s="423">
        <f t="shared" si="18"/>
        <v>8</v>
      </c>
      <c r="AG66" s="423">
        <f t="shared" si="18"/>
        <v>8</v>
      </c>
      <c r="AH66" s="423">
        <f t="shared" si="18"/>
        <v>8</v>
      </c>
      <c r="AI66" s="423">
        <f t="shared" si="18"/>
        <v>9</v>
      </c>
      <c r="AJ66" s="423">
        <f t="shared" si="18"/>
        <v>9</v>
      </c>
      <c r="AK66" s="423">
        <f t="shared" si="18"/>
        <v>9</v>
      </c>
      <c r="AL66" s="423">
        <f t="shared" si="18"/>
        <v>9</v>
      </c>
      <c r="AM66" s="423">
        <f t="shared" si="18"/>
        <v>10</v>
      </c>
      <c r="AN66" s="423">
        <f t="shared" si="18"/>
        <v>10</v>
      </c>
      <c r="AO66" s="423">
        <f t="shared" si="18"/>
        <v>10</v>
      </c>
      <c r="AP66" s="423">
        <f t="shared" si="18"/>
        <v>10</v>
      </c>
    </row>
    <row r="67" spans="1:42" ht="15" outlineLevel="1">
      <c r="A67" s="374"/>
      <c r="B67" s="421" t="s">
        <v>323</v>
      </c>
      <c r="C67" s="408">
        <f t="shared" ref="C67:AP67" si="19">-IFERROR(IPMT($J$6/$M$6,MAX(C65,1),$K$6*$M$6,$I$6),0)</f>
        <v>144993.74090834611</v>
      </c>
      <c r="D67" s="408">
        <f t="shared" si="19"/>
        <v>144993.74090834611</v>
      </c>
      <c r="E67" s="408">
        <f t="shared" si="19"/>
        <v>144993.74090834611</v>
      </c>
      <c r="F67" s="408">
        <f t="shared" si="19"/>
        <v>144993.74090834611</v>
      </c>
      <c r="G67" s="408">
        <f t="shared" si="19"/>
        <v>144993.74090834611</v>
      </c>
      <c r="H67" s="408">
        <f t="shared" si="19"/>
        <v>144993.74090834611</v>
      </c>
      <c r="I67" s="408">
        <f t="shared" si="19"/>
        <v>144993.74090834611</v>
      </c>
      <c r="J67" s="408">
        <f t="shared" si="19"/>
        <v>144993.74090834611</v>
      </c>
      <c r="K67" s="408">
        <f t="shared" si="19"/>
        <v>144993.74090834611</v>
      </c>
      <c r="L67" s="408">
        <f t="shared" si="19"/>
        <v>143133.05508532107</v>
      </c>
      <c r="M67" s="408">
        <f t="shared" si="19"/>
        <v>141244.45897495074</v>
      </c>
      <c r="N67" s="408">
        <f t="shared" si="19"/>
        <v>139327.53392292478</v>
      </c>
      <c r="O67" s="408">
        <f t="shared" si="19"/>
        <v>137381.85499511845</v>
      </c>
      <c r="P67" s="408">
        <f t="shared" si="19"/>
        <v>135406.99088339499</v>
      </c>
      <c r="Q67" s="408">
        <f t="shared" si="19"/>
        <v>133402.50380999572</v>
      </c>
      <c r="R67" s="408">
        <f t="shared" si="19"/>
        <v>131367.94943049547</v>
      </c>
      <c r="S67" s="408">
        <f t="shared" si="19"/>
        <v>129302.87673530272</v>
      </c>
      <c r="T67" s="408">
        <f t="shared" si="19"/>
        <v>127206.82794968202</v>
      </c>
      <c r="U67" s="408">
        <f t="shared" si="19"/>
        <v>125079.33843227706</v>
      </c>
      <c r="V67" s="408">
        <f t="shared" si="19"/>
        <v>122919.93657211101</v>
      </c>
      <c r="W67" s="408">
        <f t="shared" si="19"/>
        <v>120728.14368404247</v>
      </c>
      <c r="X67" s="408">
        <f t="shared" si="19"/>
        <v>118503.47390265293</v>
      </c>
      <c r="Y67" s="408">
        <f t="shared" si="19"/>
        <v>116245.43407454251</v>
      </c>
      <c r="Z67" s="408">
        <f t="shared" si="19"/>
        <v>113953.52364901046</v>
      </c>
      <c r="AA67" s="408">
        <f t="shared" si="19"/>
        <v>111627.23456709541</v>
      </c>
      <c r="AB67" s="408">
        <f t="shared" si="19"/>
        <v>109266.05114895164</v>
      </c>
      <c r="AC67" s="408">
        <f t="shared" si="19"/>
        <v>106869.44997953573</v>
      </c>
      <c r="AD67" s="408">
        <f t="shared" si="19"/>
        <v>104436.89979257854</v>
      </c>
      <c r="AE67" s="408">
        <f t="shared" si="19"/>
        <v>101967.86135281702</v>
      </c>
      <c r="AF67" s="408">
        <f t="shared" si="19"/>
        <v>99461.787336459092</v>
      </c>
      <c r="AG67" s="408">
        <f t="shared" si="19"/>
        <v>96918.122209855763</v>
      </c>
      <c r="AH67" s="408">
        <f t="shared" si="19"/>
        <v>94336.302106353382</v>
      </c>
      <c r="AI67" s="408">
        <f t="shared" si="19"/>
        <v>91715.754701298487</v>
      </c>
      <c r="AJ67" s="408">
        <f t="shared" si="19"/>
        <v>89055.899085167766</v>
      </c>
      <c r="AK67" s="408">
        <f t="shared" si="19"/>
        <v>86356.145634795073</v>
      </c>
      <c r="AL67" s="408">
        <f t="shared" si="19"/>
        <v>83615.895882666795</v>
      </c>
      <c r="AM67" s="408">
        <f t="shared" si="19"/>
        <v>80834.542384256609</v>
      </c>
      <c r="AN67" s="408">
        <f t="shared" si="19"/>
        <v>78011.468583370253</v>
      </c>
      <c r="AO67" s="408">
        <f t="shared" si="19"/>
        <v>75146.048675470607</v>
      </c>
      <c r="AP67" s="408">
        <f t="shared" si="19"/>
        <v>72237.647468952448</v>
      </c>
    </row>
    <row r="68" spans="1:42" ht="15" outlineLevel="1">
      <c r="A68" s="374"/>
      <c r="B68" s="424" t="s">
        <v>324</v>
      </c>
      <c r="C68" s="393">
        <f t="shared" ref="C68:AP68" si="20">-IFERROR(PPMT($J$6/$M$6,C65,$K$6*$M$6,$I$6),0)</f>
        <v>0</v>
      </c>
      <c r="D68" s="393">
        <f t="shared" si="20"/>
        <v>0</v>
      </c>
      <c r="E68" s="393">
        <f t="shared" si="20"/>
        <v>0</v>
      </c>
      <c r="F68" s="393">
        <f t="shared" si="20"/>
        <v>0</v>
      </c>
      <c r="G68" s="393">
        <f t="shared" si="20"/>
        <v>0</v>
      </c>
      <c r="H68" s="393">
        <f t="shared" si="20"/>
        <v>0</v>
      </c>
      <c r="I68" s="393">
        <f t="shared" si="20"/>
        <v>0</v>
      </c>
      <c r="J68" s="393">
        <f t="shared" si="20"/>
        <v>0</v>
      </c>
      <c r="K68" s="393">
        <f t="shared" si="20"/>
        <v>124045.72153500067</v>
      </c>
      <c r="L68" s="393">
        <f t="shared" si="20"/>
        <v>125906.4073580257</v>
      </c>
      <c r="M68" s="393">
        <f t="shared" si="20"/>
        <v>127795.00346839607</v>
      </c>
      <c r="N68" s="393">
        <f t="shared" si="20"/>
        <v>129711.92852042201</v>
      </c>
      <c r="O68" s="393">
        <f t="shared" si="20"/>
        <v>131657.60744822834</v>
      </c>
      <c r="P68" s="393">
        <f t="shared" si="20"/>
        <v>133632.47155995175</v>
      </c>
      <c r="Q68" s="393">
        <f t="shared" si="20"/>
        <v>135636.95863335105</v>
      </c>
      <c r="R68" s="393">
        <f t="shared" si="20"/>
        <v>137671.5130128513</v>
      </c>
      <c r="S68" s="393">
        <f t="shared" si="20"/>
        <v>139736.58570804409</v>
      </c>
      <c r="T68" s="393">
        <f t="shared" si="20"/>
        <v>141832.63449366472</v>
      </c>
      <c r="U68" s="393">
        <f t="shared" si="20"/>
        <v>143960.12401106968</v>
      </c>
      <c r="V68" s="393">
        <f t="shared" si="20"/>
        <v>146119.52587123573</v>
      </c>
      <c r="W68" s="393">
        <f t="shared" si="20"/>
        <v>148311.3187593043</v>
      </c>
      <c r="X68" s="393">
        <f t="shared" si="20"/>
        <v>150535.98854069386</v>
      </c>
      <c r="Y68" s="393">
        <f t="shared" si="20"/>
        <v>152794.02836880425</v>
      </c>
      <c r="Z68" s="393">
        <f t="shared" si="20"/>
        <v>155085.93879433634</v>
      </c>
      <c r="AA68" s="393">
        <f t="shared" si="20"/>
        <v>157412.22787625139</v>
      </c>
      <c r="AB68" s="393">
        <f t="shared" si="20"/>
        <v>159773.41129439513</v>
      </c>
      <c r="AC68" s="393">
        <f t="shared" si="20"/>
        <v>162170.01246381106</v>
      </c>
      <c r="AD68" s="393">
        <f t="shared" si="20"/>
        <v>164602.56265076823</v>
      </c>
      <c r="AE68" s="393">
        <f t="shared" si="20"/>
        <v>167071.60109052976</v>
      </c>
      <c r="AF68" s="393">
        <f t="shared" si="20"/>
        <v>169577.67510688771</v>
      </c>
      <c r="AG68" s="393">
        <f t="shared" si="20"/>
        <v>172121.34023349101</v>
      </c>
      <c r="AH68" s="393">
        <f t="shared" si="20"/>
        <v>174703.1603369934</v>
      </c>
      <c r="AI68" s="393">
        <f t="shared" si="20"/>
        <v>177323.70774204828</v>
      </c>
      <c r="AJ68" s="393">
        <f t="shared" si="20"/>
        <v>179983.563358179</v>
      </c>
      <c r="AK68" s="393">
        <f t="shared" si="20"/>
        <v>182683.31680855172</v>
      </c>
      <c r="AL68" s="393">
        <f t="shared" si="20"/>
        <v>185423.56656067996</v>
      </c>
      <c r="AM68" s="393">
        <f t="shared" si="20"/>
        <v>188204.92005909016</v>
      </c>
      <c r="AN68" s="393">
        <f t="shared" si="20"/>
        <v>191027.99385997653</v>
      </c>
      <c r="AO68" s="393">
        <f t="shared" si="20"/>
        <v>193893.41376787616</v>
      </c>
      <c r="AP68" s="393">
        <f t="shared" si="20"/>
        <v>196801.81497439434</v>
      </c>
    </row>
    <row r="69" spans="1:42" ht="16" outlineLevel="1" thickBot="1">
      <c r="A69" s="374"/>
      <c r="B69" s="425" t="s">
        <v>1</v>
      </c>
      <c r="C69" s="397">
        <f t="shared" ref="C69:AP69" si="21">SUM(C67:C68)</f>
        <v>144993.74090834611</v>
      </c>
      <c r="D69" s="397">
        <f t="shared" si="21"/>
        <v>144993.74090834611</v>
      </c>
      <c r="E69" s="397">
        <f t="shared" si="21"/>
        <v>144993.74090834611</v>
      </c>
      <c r="F69" s="397">
        <f t="shared" si="21"/>
        <v>144993.74090834611</v>
      </c>
      <c r="G69" s="397">
        <f t="shared" si="21"/>
        <v>144993.74090834611</v>
      </c>
      <c r="H69" s="397">
        <f t="shared" si="21"/>
        <v>144993.74090834611</v>
      </c>
      <c r="I69" s="397">
        <f t="shared" si="21"/>
        <v>144993.74090834611</v>
      </c>
      <c r="J69" s="397">
        <f t="shared" si="21"/>
        <v>144993.74090834611</v>
      </c>
      <c r="K69" s="397">
        <f t="shared" si="21"/>
        <v>269039.4624433468</v>
      </c>
      <c r="L69" s="397">
        <f t="shared" si="21"/>
        <v>269039.46244334674</v>
      </c>
      <c r="M69" s="397">
        <f t="shared" si="21"/>
        <v>269039.4624433468</v>
      </c>
      <c r="N69" s="397">
        <f t="shared" si="21"/>
        <v>269039.4624433468</v>
      </c>
      <c r="O69" s="397">
        <f t="shared" si="21"/>
        <v>269039.4624433468</v>
      </c>
      <c r="P69" s="397">
        <f t="shared" si="21"/>
        <v>269039.46244334674</v>
      </c>
      <c r="Q69" s="397">
        <f t="shared" si="21"/>
        <v>269039.46244334674</v>
      </c>
      <c r="R69" s="397">
        <f t="shared" si="21"/>
        <v>269039.46244334674</v>
      </c>
      <c r="S69" s="397">
        <f t="shared" si="21"/>
        <v>269039.4624433468</v>
      </c>
      <c r="T69" s="397">
        <f t="shared" si="21"/>
        <v>269039.46244334674</v>
      </c>
      <c r="U69" s="397">
        <f t="shared" si="21"/>
        <v>269039.46244334674</v>
      </c>
      <c r="V69" s="397">
        <f t="shared" si="21"/>
        <v>269039.46244334674</v>
      </c>
      <c r="W69" s="397">
        <f t="shared" si="21"/>
        <v>269039.46244334674</v>
      </c>
      <c r="X69" s="397">
        <f t="shared" si="21"/>
        <v>269039.4624433468</v>
      </c>
      <c r="Y69" s="397">
        <f t="shared" si="21"/>
        <v>269039.46244334674</v>
      </c>
      <c r="Z69" s="397">
        <f t="shared" si="21"/>
        <v>269039.4624433468</v>
      </c>
      <c r="AA69" s="397">
        <f t="shared" si="21"/>
        <v>269039.4624433468</v>
      </c>
      <c r="AB69" s="397">
        <f t="shared" si="21"/>
        <v>269039.46244334674</v>
      </c>
      <c r="AC69" s="397">
        <f t="shared" si="21"/>
        <v>269039.4624433468</v>
      </c>
      <c r="AD69" s="397">
        <f t="shared" si="21"/>
        <v>269039.46244334674</v>
      </c>
      <c r="AE69" s="397">
        <f t="shared" si="21"/>
        <v>269039.4624433468</v>
      </c>
      <c r="AF69" s="397">
        <f t="shared" si="21"/>
        <v>269039.4624433468</v>
      </c>
      <c r="AG69" s="397">
        <f t="shared" si="21"/>
        <v>269039.46244334674</v>
      </c>
      <c r="AH69" s="397">
        <f t="shared" si="21"/>
        <v>269039.4624433468</v>
      </c>
      <c r="AI69" s="397">
        <f t="shared" si="21"/>
        <v>269039.46244334674</v>
      </c>
      <c r="AJ69" s="397">
        <f t="shared" si="21"/>
        <v>269039.46244334674</v>
      </c>
      <c r="AK69" s="397">
        <f t="shared" si="21"/>
        <v>269039.4624433468</v>
      </c>
      <c r="AL69" s="397">
        <f t="shared" si="21"/>
        <v>269039.46244334674</v>
      </c>
      <c r="AM69" s="397">
        <f t="shared" si="21"/>
        <v>269039.46244334674</v>
      </c>
      <c r="AN69" s="397">
        <f t="shared" si="21"/>
        <v>269039.4624433468</v>
      </c>
      <c r="AO69" s="397">
        <f t="shared" si="21"/>
        <v>269039.46244334674</v>
      </c>
      <c r="AP69" s="397">
        <f t="shared" si="21"/>
        <v>269039.4624433468</v>
      </c>
    </row>
    <row r="70" spans="1:42" ht="15" outlineLevel="1">
      <c r="A70" s="374"/>
      <c r="B70" s="406" t="s">
        <v>430</v>
      </c>
      <c r="C70" s="406"/>
      <c r="D70" s="406"/>
      <c r="E70" s="406"/>
      <c r="F70" s="406"/>
      <c r="G70" s="406"/>
      <c r="H70" s="406"/>
      <c r="I70" s="406"/>
      <c r="J70" s="406"/>
      <c r="K70" s="406"/>
      <c r="L70" s="406"/>
      <c r="M70" s="406"/>
      <c r="N70" s="406"/>
      <c r="O70" s="406"/>
      <c r="P70" s="406"/>
      <c r="Q70" s="406"/>
      <c r="R70" s="406"/>
      <c r="S70" s="406"/>
      <c r="T70" s="406"/>
      <c r="U70" s="406"/>
      <c r="V70" s="406"/>
      <c r="W70" s="406"/>
      <c r="X70" s="406"/>
      <c r="Y70" s="406"/>
      <c r="Z70" s="406"/>
      <c r="AA70" s="406"/>
      <c r="AB70" s="406"/>
      <c r="AC70" s="406"/>
      <c r="AD70" s="406"/>
      <c r="AE70" s="406"/>
      <c r="AF70" s="406"/>
      <c r="AG70" s="406"/>
      <c r="AH70" s="406"/>
      <c r="AI70" s="406"/>
      <c r="AJ70" s="406"/>
      <c r="AK70" s="406"/>
      <c r="AL70" s="406"/>
      <c r="AM70" s="406"/>
      <c r="AN70" s="406"/>
      <c r="AO70" s="406"/>
      <c r="AP70" s="406"/>
    </row>
    <row r="71" spans="1:42" s="430" customFormat="1" ht="16" outlineLevel="1" thickBot="1">
      <c r="A71" s="427"/>
      <c r="B71" s="405"/>
      <c r="C71" s="405">
        <v>0</v>
      </c>
      <c r="D71" s="405">
        <v>1</v>
      </c>
      <c r="E71" s="405">
        <v>2</v>
      </c>
      <c r="F71" s="405">
        <v>3</v>
      </c>
      <c r="G71" s="405">
        <v>4</v>
      </c>
      <c r="H71" s="405">
        <v>5</v>
      </c>
      <c r="I71" s="405">
        <v>6</v>
      </c>
      <c r="J71" s="405">
        <v>7</v>
      </c>
      <c r="K71" s="405">
        <v>8</v>
      </c>
      <c r="L71" s="405">
        <v>9</v>
      </c>
      <c r="M71" s="405">
        <v>10</v>
      </c>
      <c r="N71" s="405">
        <v>11</v>
      </c>
      <c r="O71" s="405">
        <v>12</v>
      </c>
      <c r="P71" s="405">
        <v>13</v>
      </c>
      <c r="Q71" s="405">
        <v>14</v>
      </c>
      <c r="R71" s="405">
        <v>15</v>
      </c>
      <c r="S71" s="405">
        <v>16</v>
      </c>
      <c r="T71" s="405">
        <v>17</v>
      </c>
      <c r="U71" s="405">
        <v>18</v>
      </c>
      <c r="V71" s="405">
        <v>19</v>
      </c>
      <c r="W71" s="405">
        <v>20</v>
      </c>
      <c r="X71" s="421"/>
      <c r="Y71" s="421"/>
      <c r="Z71" s="421"/>
      <c r="AA71" s="421"/>
      <c r="AB71" s="421"/>
      <c r="AC71" s="421"/>
      <c r="AD71" s="421"/>
      <c r="AE71" s="421"/>
      <c r="AF71" s="421"/>
      <c r="AG71" s="421"/>
      <c r="AH71" s="421"/>
      <c r="AI71" s="421"/>
      <c r="AJ71" s="421"/>
      <c r="AK71" s="421"/>
      <c r="AL71" s="421"/>
      <c r="AM71" s="421"/>
      <c r="AN71" s="421"/>
      <c r="AO71" s="421"/>
      <c r="AP71" s="421"/>
    </row>
    <row r="72" spans="1:42" ht="15" outlineLevel="1">
      <c r="A72" s="374"/>
      <c r="B72" s="426" t="s">
        <v>323</v>
      </c>
      <c r="C72" s="388">
        <f>O80</f>
        <v>579974.96363338444</v>
      </c>
      <c r="D72" s="388">
        <f>SUMIF($C$66:$AP$66,D$71,$C67:$AP67)</f>
        <v>579974.96363338444</v>
      </c>
      <c r="E72" s="388">
        <f t="shared" ref="E72:W72" si="22">SUMIF($C$66:$AP$66,E$71,$C67:$AP67)</f>
        <v>579974.96363338444</v>
      </c>
      <c r="F72" s="388">
        <f t="shared" si="22"/>
        <v>568698.7888915427</v>
      </c>
      <c r="G72" s="388">
        <f t="shared" si="22"/>
        <v>537559.29911900463</v>
      </c>
      <c r="H72" s="388">
        <f t="shared" si="22"/>
        <v>504508.97968937282</v>
      </c>
      <c r="I72" s="388">
        <f t="shared" si="22"/>
        <v>469430.57531024842</v>
      </c>
      <c r="J72" s="388">
        <f t="shared" si="22"/>
        <v>432199.63548816129</v>
      </c>
      <c r="K72" s="388">
        <f t="shared" si="22"/>
        <v>392684.07300548529</v>
      </c>
      <c r="L72" s="388">
        <f t="shared" si="22"/>
        <v>350743.69530392811</v>
      </c>
      <c r="M72" s="388">
        <f t="shared" si="22"/>
        <v>306229.70711204992</v>
      </c>
      <c r="N72" s="388">
        <f t="shared" si="22"/>
        <v>0</v>
      </c>
      <c r="O72" s="388">
        <f t="shared" si="22"/>
        <v>0</v>
      </c>
      <c r="P72" s="388">
        <f t="shared" si="22"/>
        <v>0</v>
      </c>
      <c r="Q72" s="388">
        <f t="shared" si="22"/>
        <v>0</v>
      </c>
      <c r="R72" s="388">
        <f t="shared" si="22"/>
        <v>0</v>
      </c>
      <c r="S72" s="388">
        <f t="shared" si="22"/>
        <v>0</v>
      </c>
      <c r="T72" s="388">
        <f t="shared" si="22"/>
        <v>0</v>
      </c>
      <c r="U72" s="388">
        <f t="shared" si="22"/>
        <v>0</v>
      </c>
      <c r="V72" s="388">
        <f t="shared" si="22"/>
        <v>0</v>
      </c>
      <c r="W72" s="388">
        <f t="shared" si="22"/>
        <v>0</v>
      </c>
      <c r="X72" s="388"/>
      <c r="Y72" s="388"/>
      <c r="Z72" s="388"/>
      <c r="AA72" s="388"/>
      <c r="AB72" s="388"/>
      <c r="AC72" s="388"/>
      <c r="AD72" s="388"/>
      <c r="AE72" s="388"/>
      <c r="AF72" s="388"/>
      <c r="AG72" s="388"/>
      <c r="AH72" s="388"/>
      <c r="AI72" s="388"/>
      <c r="AJ72" s="388"/>
      <c r="AK72" s="388"/>
      <c r="AL72" s="388"/>
      <c r="AM72" s="388"/>
      <c r="AN72" s="388"/>
      <c r="AO72" s="388"/>
      <c r="AP72" s="388"/>
    </row>
    <row r="73" spans="1:42" ht="15" outlineLevel="1">
      <c r="A73" s="374"/>
      <c r="B73" s="424" t="s">
        <v>324</v>
      </c>
      <c r="C73" s="393"/>
      <c r="D73" s="393">
        <f>SUMIF($C66:$AP66,D$42,$C68:$AP68)</f>
        <v>0</v>
      </c>
      <c r="E73" s="393">
        <f t="shared" ref="E73:W73" si="23">SUMIF($C66:$AP66,E$42,$C68:$AP68)</f>
        <v>0</v>
      </c>
      <c r="F73" s="393">
        <f t="shared" si="23"/>
        <v>507459.06088184449</v>
      </c>
      <c r="G73" s="393">
        <f t="shared" si="23"/>
        <v>538598.55065438244</v>
      </c>
      <c r="H73" s="393">
        <f t="shared" si="23"/>
        <v>571648.87008401426</v>
      </c>
      <c r="I73" s="393">
        <f t="shared" si="23"/>
        <v>606727.27446313878</v>
      </c>
      <c r="J73" s="393">
        <f t="shared" si="23"/>
        <v>643958.21428522584</v>
      </c>
      <c r="K73" s="393">
        <f t="shared" si="23"/>
        <v>683473.77676790184</v>
      </c>
      <c r="L73" s="393">
        <f t="shared" si="23"/>
        <v>725414.15446945897</v>
      </c>
      <c r="M73" s="393">
        <f t="shared" si="23"/>
        <v>769928.14266133728</v>
      </c>
      <c r="N73" s="393">
        <f t="shared" si="23"/>
        <v>0</v>
      </c>
      <c r="O73" s="393">
        <f t="shared" si="23"/>
        <v>0</v>
      </c>
      <c r="P73" s="393">
        <f t="shared" si="23"/>
        <v>0</v>
      </c>
      <c r="Q73" s="393">
        <f t="shared" si="23"/>
        <v>0</v>
      </c>
      <c r="R73" s="393">
        <f t="shared" si="23"/>
        <v>0</v>
      </c>
      <c r="S73" s="393">
        <f t="shared" si="23"/>
        <v>0</v>
      </c>
      <c r="T73" s="393">
        <f t="shared" si="23"/>
        <v>0</v>
      </c>
      <c r="U73" s="393">
        <f t="shared" si="23"/>
        <v>0</v>
      </c>
      <c r="V73" s="393">
        <f t="shared" si="23"/>
        <v>0</v>
      </c>
      <c r="W73" s="393">
        <f t="shared" si="23"/>
        <v>0</v>
      </c>
      <c r="X73" s="393"/>
      <c r="Y73" s="393"/>
      <c r="Z73" s="393"/>
      <c r="AA73" s="393"/>
      <c r="AB73" s="393"/>
      <c r="AC73" s="393"/>
      <c r="AD73" s="393"/>
      <c r="AE73" s="393"/>
      <c r="AF73" s="393"/>
      <c r="AG73" s="393"/>
      <c r="AH73" s="393"/>
      <c r="AI73" s="393"/>
      <c r="AJ73" s="393"/>
      <c r="AK73" s="393"/>
      <c r="AL73" s="393"/>
      <c r="AM73" s="393"/>
      <c r="AN73" s="393"/>
      <c r="AO73" s="393"/>
      <c r="AP73" s="393"/>
    </row>
    <row r="74" spans="1:42" ht="16" outlineLevel="1" thickBot="1">
      <c r="A74" s="374"/>
      <c r="B74" s="425" t="s">
        <v>1</v>
      </c>
      <c r="C74" s="397">
        <f t="shared" ref="C74:W74" si="24">SUM(C72:C73)</f>
        <v>579974.96363338444</v>
      </c>
      <c r="D74" s="397">
        <f t="shared" si="24"/>
        <v>579974.96363338444</v>
      </c>
      <c r="E74" s="397">
        <f t="shared" si="24"/>
        <v>579974.96363338444</v>
      </c>
      <c r="F74" s="397">
        <f t="shared" si="24"/>
        <v>1076157.8497733872</v>
      </c>
      <c r="G74" s="397">
        <f t="shared" si="24"/>
        <v>1076157.849773387</v>
      </c>
      <c r="H74" s="397">
        <f t="shared" si="24"/>
        <v>1076157.849773387</v>
      </c>
      <c r="I74" s="397">
        <f t="shared" si="24"/>
        <v>1076157.8497733872</v>
      </c>
      <c r="J74" s="397">
        <f t="shared" si="24"/>
        <v>1076157.8497733872</v>
      </c>
      <c r="K74" s="397">
        <f t="shared" si="24"/>
        <v>1076157.8497733872</v>
      </c>
      <c r="L74" s="397">
        <f t="shared" si="24"/>
        <v>1076157.849773387</v>
      </c>
      <c r="M74" s="397">
        <f t="shared" si="24"/>
        <v>1076157.8497733872</v>
      </c>
      <c r="N74" s="397">
        <f t="shared" si="24"/>
        <v>0</v>
      </c>
      <c r="O74" s="397">
        <f t="shared" si="24"/>
        <v>0</v>
      </c>
      <c r="P74" s="397">
        <f t="shared" si="24"/>
        <v>0</v>
      </c>
      <c r="Q74" s="397">
        <f t="shared" si="24"/>
        <v>0</v>
      </c>
      <c r="R74" s="397">
        <f t="shared" si="24"/>
        <v>0</v>
      </c>
      <c r="S74" s="397">
        <f t="shared" si="24"/>
        <v>0</v>
      </c>
      <c r="T74" s="397">
        <f t="shared" si="24"/>
        <v>0</v>
      </c>
      <c r="U74" s="397">
        <f t="shared" si="24"/>
        <v>0</v>
      </c>
      <c r="V74" s="397">
        <f t="shared" si="24"/>
        <v>0</v>
      </c>
      <c r="W74" s="397">
        <f t="shared" si="24"/>
        <v>0</v>
      </c>
      <c r="X74" s="397"/>
      <c r="Y74" s="397"/>
      <c r="Z74" s="397"/>
      <c r="AA74" s="397"/>
      <c r="AB74" s="397"/>
      <c r="AC74" s="397"/>
      <c r="AD74" s="397"/>
      <c r="AE74" s="397"/>
      <c r="AF74" s="397"/>
      <c r="AG74" s="397"/>
      <c r="AH74" s="397"/>
      <c r="AI74" s="397"/>
      <c r="AJ74" s="397"/>
      <c r="AK74" s="397"/>
      <c r="AL74" s="397"/>
      <c r="AM74" s="397"/>
      <c r="AN74" s="397"/>
      <c r="AO74" s="397"/>
      <c r="AP74" s="397"/>
    </row>
    <row r="75" spans="1:42" ht="15" outlineLevel="1">
      <c r="A75" s="374"/>
      <c r="B75" s="406" t="s">
        <v>252</v>
      </c>
      <c r="C75" s="406"/>
      <c r="D75" s="406"/>
      <c r="E75" s="406"/>
      <c r="F75" s="406"/>
      <c r="G75" s="406"/>
      <c r="H75" s="406"/>
      <c r="I75" s="406"/>
      <c r="J75" s="406"/>
      <c r="K75" s="406"/>
      <c r="L75" s="406"/>
      <c r="M75" s="406"/>
      <c r="N75" s="406"/>
      <c r="O75" s="406"/>
      <c r="P75" s="406"/>
      <c r="Q75" s="406"/>
      <c r="R75" s="406"/>
      <c r="S75" s="406"/>
      <c r="T75" s="406"/>
      <c r="U75" s="406"/>
      <c r="V75" s="406"/>
      <c r="W75" s="406"/>
      <c r="X75" s="406"/>
      <c r="Y75" s="406"/>
      <c r="Z75" s="406"/>
      <c r="AA75" s="406"/>
      <c r="AB75" s="406"/>
      <c r="AC75" s="406"/>
      <c r="AD75" s="406"/>
      <c r="AE75" s="406"/>
      <c r="AF75" s="406"/>
      <c r="AG75" s="406"/>
      <c r="AH75" s="406"/>
      <c r="AI75" s="406"/>
      <c r="AJ75" s="406"/>
      <c r="AK75" s="406"/>
      <c r="AL75" s="406"/>
      <c r="AM75" s="406"/>
      <c r="AN75" s="406"/>
      <c r="AO75" s="406"/>
      <c r="AP75" s="406"/>
    </row>
    <row r="76" spans="1:42" s="430" customFormat="1" ht="16" outlineLevel="1" thickBot="1">
      <c r="A76" s="427"/>
      <c r="B76" s="428"/>
      <c r="C76" s="428">
        <v>1</v>
      </c>
      <c r="D76" s="428">
        <v>2</v>
      </c>
      <c r="E76" s="428">
        <v>3</v>
      </c>
      <c r="F76" s="428">
        <v>4</v>
      </c>
      <c r="G76" s="428">
        <v>5</v>
      </c>
      <c r="H76" s="428">
        <v>6</v>
      </c>
      <c r="I76" s="428">
        <v>7</v>
      </c>
      <c r="J76" s="428">
        <v>8</v>
      </c>
      <c r="K76" s="428">
        <v>9</v>
      </c>
      <c r="L76" s="428">
        <v>10</v>
      </c>
      <c r="M76" s="428">
        <v>11</v>
      </c>
      <c r="N76" s="428">
        <v>12</v>
      </c>
      <c r="O76" s="428" t="s">
        <v>1</v>
      </c>
      <c r="P76" s="429"/>
      <c r="Q76" s="429"/>
      <c r="R76" s="429"/>
      <c r="S76" s="429"/>
      <c r="T76" s="429"/>
      <c r="U76" s="429"/>
      <c r="V76" s="429"/>
      <c r="W76" s="429"/>
      <c r="X76" s="429"/>
      <c r="Y76" s="429"/>
      <c r="Z76" s="429"/>
      <c r="AA76" s="429"/>
      <c r="AB76" s="429"/>
      <c r="AC76" s="429"/>
      <c r="AD76" s="429"/>
      <c r="AE76" s="429"/>
      <c r="AF76" s="429"/>
      <c r="AG76" s="429"/>
      <c r="AH76" s="429"/>
      <c r="AI76" s="429"/>
      <c r="AJ76" s="429"/>
      <c r="AK76" s="429"/>
      <c r="AL76" s="429"/>
      <c r="AM76" s="429"/>
      <c r="AN76" s="429"/>
      <c r="AO76" s="429"/>
      <c r="AP76" s="429"/>
    </row>
    <row r="77" spans="1:42" ht="15" outlineLevel="1">
      <c r="A77" s="374"/>
      <c r="B77" s="421" t="s">
        <v>431</v>
      </c>
      <c r="C77" s="431">
        <v>1</v>
      </c>
      <c r="D77" s="431">
        <v>0</v>
      </c>
      <c r="E77" s="431">
        <v>0</v>
      </c>
      <c r="F77" s="431">
        <v>0</v>
      </c>
      <c r="G77" s="431">
        <v>0</v>
      </c>
      <c r="H77" s="431">
        <v>0</v>
      </c>
      <c r="I77" s="431">
        <v>0</v>
      </c>
      <c r="J77" s="431">
        <v>0</v>
      </c>
      <c r="K77" s="431">
        <v>0</v>
      </c>
      <c r="L77" s="431">
        <v>0</v>
      </c>
      <c r="M77" s="431">
        <v>0</v>
      </c>
      <c r="N77" s="431">
        <v>0</v>
      </c>
      <c r="O77" s="432"/>
      <c r="P77" s="412"/>
      <c r="Q77" s="412"/>
      <c r="R77" s="412"/>
      <c r="S77" s="412"/>
      <c r="T77" s="412"/>
      <c r="U77" s="412"/>
      <c r="V77" s="412"/>
      <c r="W77" s="412"/>
      <c r="X77" s="412"/>
      <c r="Y77" s="412"/>
      <c r="Z77" s="412"/>
      <c r="AA77" s="412"/>
      <c r="AB77" s="412"/>
      <c r="AC77" s="412"/>
      <c r="AD77" s="412"/>
      <c r="AE77" s="412"/>
      <c r="AF77" s="412"/>
      <c r="AG77" s="412"/>
      <c r="AH77" s="412"/>
      <c r="AI77" s="412"/>
      <c r="AJ77" s="412"/>
      <c r="AK77" s="412"/>
      <c r="AL77" s="412"/>
      <c r="AM77" s="412"/>
      <c r="AN77" s="412"/>
      <c r="AO77" s="412"/>
      <c r="AP77" s="412"/>
    </row>
    <row r="78" spans="1:42" ht="15" outlineLevel="1">
      <c r="A78" s="374"/>
      <c r="B78" s="426" t="s">
        <v>324</v>
      </c>
      <c r="C78" s="388">
        <f>$I$6*C77</f>
        <v>9666249.3938897401</v>
      </c>
      <c r="D78" s="388">
        <f t="shared" ref="D78:N78" si="25">$I$6*D77</f>
        <v>0</v>
      </c>
      <c r="E78" s="388">
        <f t="shared" si="25"/>
        <v>0</v>
      </c>
      <c r="F78" s="388">
        <f t="shared" si="25"/>
        <v>0</v>
      </c>
      <c r="G78" s="388">
        <f t="shared" si="25"/>
        <v>0</v>
      </c>
      <c r="H78" s="388">
        <f t="shared" si="25"/>
        <v>0</v>
      </c>
      <c r="I78" s="388">
        <f t="shared" si="25"/>
        <v>0</v>
      </c>
      <c r="J78" s="388">
        <f t="shared" si="25"/>
        <v>0</v>
      </c>
      <c r="K78" s="388">
        <f t="shared" si="25"/>
        <v>0</v>
      </c>
      <c r="L78" s="388">
        <f t="shared" si="25"/>
        <v>0</v>
      </c>
      <c r="M78" s="388">
        <f t="shared" si="25"/>
        <v>0</v>
      </c>
      <c r="N78" s="388">
        <f t="shared" si="25"/>
        <v>0</v>
      </c>
      <c r="O78" s="388"/>
      <c r="P78" s="412"/>
      <c r="Q78" s="412"/>
      <c r="R78" s="412"/>
      <c r="S78" s="412"/>
      <c r="T78" s="412"/>
      <c r="U78" s="412"/>
      <c r="V78" s="412"/>
      <c r="W78" s="412"/>
      <c r="X78" s="412"/>
      <c r="Y78" s="412"/>
      <c r="Z78" s="412"/>
      <c r="AA78" s="412"/>
      <c r="AB78" s="412"/>
      <c r="AC78" s="412"/>
      <c r="AD78" s="412"/>
      <c r="AE78" s="412"/>
      <c r="AF78" s="412"/>
      <c r="AG78" s="412"/>
      <c r="AH78" s="412"/>
      <c r="AI78" s="412"/>
      <c r="AJ78" s="412"/>
      <c r="AK78" s="412"/>
      <c r="AL78" s="412"/>
      <c r="AM78" s="412"/>
      <c r="AN78" s="412"/>
      <c r="AO78" s="412"/>
      <c r="AP78" s="412"/>
    </row>
    <row r="79" spans="1:42" ht="15" outlineLevel="1">
      <c r="A79" s="374"/>
      <c r="B79" s="424" t="s">
        <v>432</v>
      </c>
      <c r="C79" s="393">
        <f>C78</f>
        <v>9666249.3938897401</v>
      </c>
      <c r="D79" s="393">
        <f t="shared" ref="D79:N79" si="26">D78+C79</f>
        <v>9666249.3938897401</v>
      </c>
      <c r="E79" s="393">
        <f t="shared" si="26"/>
        <v>9666249.3938897401</v>
      </c>
      <c r="F79" s="393">
        <f t="shared" si="26"/>
        <v>9666249.3938897401</v>
      </c>
      <c r="G79" s="393">
        <f t="shared" si="26"/>
        <v>9666249.3938897401</v>
      </c>
      <c r="H79" s="393">
        <f t="shared" si="26"/>
        <v>9666249.3938897401</v>
      </c>
      <c r="I79" s="393">
        <f t="shared" si="26"/>
        <v>9666249.3938897401</v>
      </c>
      <c r="J79" s="393">
        <f t="shared" si="26"/>
        <v>9666249.3938897401</v>
      </c>
      <c r="K79" s="393">
        <f t="shared" si="26"/>
        <v>9666249.3938897401</v>
      </c>
      <c r="L79" s="393">
        <f t="shared" si="26"/>
        <v>9666249.3938897401</v>
      </c>
      <c r="M79" s="393">
        <f t="shared" si="26"/>
        <v>9666249.3938897401</v>
      </c>
      <c r="N79" s="393">
        <f t="shared" si="26"/>
        <v>9666249.3938897401</v>
      </c>
      <c r="O79" s="393"/>
      <c r="P79" s="412"/>
      <c r="Q79" s="412"/>
      <c r="R79" s="412"/>
      <c r="S79" s="412"/>
      <c r="T79" s="412"/>
      <c r="U79" s="412"/>
      <c r="V79" s="412"/>
      <c r="W79" s="412"/>
      <c r="X79" s="412"/>
      <c r="Y79" s="412"/>
      <c r="Z79" s="412"/>
      <c r="AA79" s="412"/>
      <c r="AB79" s="412"/>
      <c r="AC79" s="412"/>
      <c r="AD79" s="412"/>
      <c r="AE79" s="412"/>
      <c r="AF79" s="412"/>
      <c r="AG79" s="412"/>
      <c r="AH79" s="412"/>
      <c r="AI79" s="412"/>
      <c r="AJ79" s="412"/>
      <c r="AK79" s="412"/>
      <c r="AL79" s="412"/>
      <c r="AM79" s="412"/>
      <c r="AN79" s="412"/>
      <c r="AO79" s="412"/>
      <c r="AP79" s="412"/>
    </row>
    <row r="80" spans="1:42" ht="16" outlineLevel="1" thickBot="1">
      <c r="A80" s="374"/>
      <c r="B80" s="425" t="s">
        <v>323</v>
      </c>
      <c r="C80" s="397">
        <f t="shared" ref="C80:N80" si="27">C79*$J$6/12</f>
        <v>48331.246969448701</v>
      </c>
      <c r="D80" s="397">
        <f t="shared" si="27"/>
        <v>48331.246969448701</v>
      </c>
      <c r="E80" s="397">
        <f t="shared" si="27"/>
        <v>48331.246969448701</v>
      </c>
      <c r="F80" s="397">
        <f t="shared" si="27"/>
        <v>48331.246969448701</v>
      </c>
      <c r="G80" s="397">
        <f t="shared" si="27"/>
        <v>48331.246969448701</v>
      </c>
      <c r="H80" s="397">
        <f t="shared" si="27"/>
        <v>48331.246969448701</v>
      </c>
      <c r="I80" s="397">
        <f t="shared" si="27"/>
        <v>48331.246969448701</v>
      </c>
      <c r="J80" s="397">
        <f t="shared" si="27"/>
        <v>48331.246969448701</v>
      </c>
      <c r="K80" s="397">
        <f t="shared" si="27"/>
        <v>48331.246969448701</v>
      </c>
      <c r="L80" s="397">
        <f t="shared" si="27"/>
        <v>48331.246969448701</v>
      </c>
      <c r="M80" s="397">
        <f t="shared" si="27"/>
        <v>48331.246969448701</v>
      </c>
      <c r="N80" s="397">
        <f t="shared" si="27"/>
        <v>48331.246969448701</v>
      </c>
      <c r="O80" s="397">
        <f>SUM(C80:N80)</f>
        <v>579974.96363338444</v>
      </c>
      <c r="P80" s="412"/>
      <c r="Q80" s="412"/>
      <c r="R80" s="412"/>
      <c r="S80" s="412"/>
      <c r="T80" s="412"/>
      <c r="U80" s="412"/>
      <c r="V80" s="412"/>
      <c r="W80" s="412"/>
      <c r="X80" s="412"/>
      <c r="Y80" s="412"/>
      <c r="Z80" s="412"/>
      <c r="AA80" s="412"/>
      <c r="AB80" s="412"/>
      <c r="AC80" s="412"/>
      <c r="AD80" s="412"/>
      <c r="AE80" s="412"/>
      <c r="AF80" s="412"/>
      <c r="AG80" s="412"/>
      <c r="AH80" s="412"/>
      <c r="AI80" s="412"/>
      <c r="AJ80" s="412"/>
      <c r="AK80" s="412"/>
      <c r="AL80" s="412"/>
      <c r="AM80" s="412"/>
      <c r="AN80" s="412"/>
      <c r="AO80" s="412"/>
      <c r="AP80" s="412"/>
    </row>
    <row r="81" spans="1:42" s="435" customFormat="1" ht="15" outlineLevel="1">
      <c r="A81" s="433"/>
      <c r="B81" s="434" t="s">
        <v>433</v>
      </c>
      <c r="C81" s="406"/>
      <c r="D81" s="406"/>
      <c r="E81" s="406"/>
      <c r="F81" s="406"/>
      <c r="G81" s="406"/>
      <c r="H81" s="406"/>
      <c r="I81" s="406"/>
      <c r="J81" s="406"/>
      <c r="K81" s="406"/>
      <c r="L81" s="406"/>
      <c r="M81" s="406"/>
      <c r="N81" s="406"/>
      <c r="O81" s="406"/>
      <c r="P81" s="406"/>
      <c r="Q81" s="406"/>
      <c r="R81" s="406"/>
      <c r="S81" s="406"/>
      <c r="T81" s="406"/>
      <c r="U81" s="406"/>
      <c r="V81" s="406"/>
      <c r="W81" s="406"/>
      <c r="X81" s="406"/>
      <c r="Y81" s="406"/>
      <c r="Z81" s="406"/>
      <c r="AA81" s="406"/>
      <c r="AB81" s="406"/>
      <c r="AC81" s="406"/>
      <c r="AD81" s="406"/>
      <c r="AE81" s="406"/>
      <c r="AF81" s="406"/>
      <c r="AG81" s="406"/>
      <c r="AH81" s="406"/>
      <c r="AI81" s="406"/>
      <c r="AJ81" s="406"/>
      <c r="AK81" s="406"/>
      <c r="AL81" s="406"/>
      <c r="AM81" s="406"/>
      <c r="AN81" s="406"/>
      <c r="AO81" s="406"/>
      <c r="AP81" s="406"/>
    </row>
    <row r="82" spans="1:42" ht="15" outlineLevel="1">
      <c r="A82" s="374"/>
      <c r="B82" s="437" t="s">
        <v>434</v>
      </c>
      <c r="C82" s="412"/>
      <c r="D82" s="438">
        <f>$A$53</f>
        <v>0</v>
      </c>
      <c r="E82" s="438">
        <f>D82+5%</f>
        <v>0.05</v>
      </c>
      <c r="F82" s="438">
        <f>E82+5%</f>
        <v>0.1</v>
      </c>
      <c r="G82" s="438">
        <f t="shared" ref="G82:X82" si="28">F82+5%</f>
        <v>0.15000000000000002</v>
      </c>
      <c r="H82" s="438">
        <f t="shared" si="28"/>
        <v>0.2</v>
      </c>
      <c r="I82" s="438">
        <f t="shared" si="28"/>
        <v>0.25</v>
      </c>
      <c r="J82" s="438">
        <f t="shared" si="28"/>
        <v>0.3</v>
      </c>
      <c r="K82" s="438">
        <f t="shared" si="28"/>
        <v>0.35</v>
      </c>
      <c r="L82" s="438">
        <f t="shared" si="28"/>
        <v>0.39999999999999997</v>
      </c>
      <c r="M82" s="438">
        <f t="shared" si="28"/>
        <v>0.44999999999999996</v>
      </c>
      <c r="N82" s="438">
        <f t="shared" si="28"/>
        <v>0.49999999999999994</v>
      </c>
      <c r="O82" s="438">
        <f t="shared" si="28"/>
        <v>0.54999999999999993</v>
      </c>
      <c r="P82" s="438">
        <f t="shared" si="28"/>
        <v>0.6</v>
      </c>
      <c r="Q82" s="515">
        <v>0.66666666666666663</v>
      </c>
      <c r="R82" s="438">
        <v>0.7</v>
      </c>
      <c r="S82" s="438">
        <f t="shared" si="28"/>
        <v>0.75</v>
      </c>
      <c r="T82" s="438">
        <f t="shared" si="28"/>
        <v>0.8</v>
      </c>
      <c r="U82" s="438">
        <f t="shared" si="28"/>
        <v>0.85000000000000009</v>
      </c>
      <c r="V82" s="438">
        <f t="shared" si="28"/>
        <v>0.90000000000000013</v>
      </c>
      <c r="W82" s="438">
        <f t="shared" si="28"/>
        <v>0.95000000000000018</v>
      </c>
      <c r="X82" s="438">
        <f t="shared" si="28"/>
        <v>1.0000000000000002</v>
      </c>
      <c r="Y82" s="412"/>
      <c r="Z82" s="412"/>
      <c r="AA82" s="412"/>
      <c r="AB82" s="412"/>
      <c r="AC82" s="412"/>
      <c r="AD82" s="412"/>
      <c r="AE82" s="412"/>
      <c r="AF82" s="412"/>
      <c r="AG82" s="412"/>
      <c r="AH82" s="412"/>
      <c r="AI82" s="412"/>
      <c r="AJ82" s="412"/>
      <c r="AK82" s="412"/>
      <c r="AL82" s="412"/>
      <c r="AM82" s="412"/>
      <c r="AN82" s="412"/>
      <c r="AO82" s="412"/>
      <c r="AP82" s="412"/>
    </row>
    <row r="83" spans="1:42" ht="15" outlineLevel="1">
      <c r="A83" s="401">
        <f>HLOOKUP($H$6+1%,D82:X84,2,TRUE)*$N$6</f>
        <v>579993.27971453464</v>
      </c>
      <c r="B83" s="421" t="s">
        <v>303</v>
      </c>
      <c r="C83" s="440">
        <f>O80</f>
        <v>579974.96363338444</v>
      </c>
      <c r="D83" s="408">
        <f t="dataTable" ref="D83:X84" dt2D="0" dtr="1" r1="H6" ca="1"/>
        <v>0</v>
      </c>
      <c r="E83" s="408">
        <v>41131.737512151347</v>
      </c>
      <c r="F83" s="408">
        <v>82628.156033420819</v>
      </c>
      <c r="G83" s="408">
        <v>124494.12435676514</v>
      </c>
      <c r="H83" s="408">
        <v>166734.59833245163</v>
      </c>
      <c r="I83" s="408">
        <v>209354.62282259917</v>
      </c>
      <c r="J83" s="408">
        <v>252359.33370861679</v>
      </c>
      <c r="K83" s="408">
        <v>295753.95995321259</v>
      </c>
      <c r="L83" s="408">
        <v>339543.82571871794</v>
      </c>
      <c r="M83" s="408">
        <v>383734.35254352423</v>
      </c>
      <c r="N83" s="408">
        <v>428331.06157850305</v>
      </c>
      <c r="O83" s="408">
        <v>473339.57588534715</v>
      </c>
      <c r="P83" s="408">
        <v>518765.62279884215</v>
      </c>
      <c r="Q83" s="408">
        <v>579993.27971453464</v>
      </c>
      <c r="R83" s="408">
        <v>610893.75978827395</v>
      </c>
      <c r="S83" s="408">
        <v>657607.84809693834</v>
      </c>
      <c r="T83" s="408">
        <v>704763.47068422067</v>
      </c>
      <c r="U83" s="408">
        <v>752366.91407234955</v>
      </c>
      <c r="V83" s="408">
        <v>800424.58469517354</v>
      </c>
      <c r="W83" s="408">
        <v>848943.01177091605</v>
      </c>
      <c r="X83" s="408">
        <v>897928.85025790834</v>
      </c>
      <c r="Y83" s="412"/>
      <c r="Z83" s="412"/>
      <c r="AA83" s="412"/>
      <c r="AB83" s="412"/>
      <c r="AC83" s="412"/>
      <c r="AD83" s="412"/>
      <c r="AE83" s="412"/>
      <c r="AF83" s="412"/>
      <c r="AG83" s="412"/>
      <c r="AH83" s="412"/>
      <c r="AI83" s="412"/>
      <c r="AJ83" s="412"/>
      <c r="AK83" s="412"/>
      <c r="AL83" s="412"/>
      <c r="AM83" s="412"/>
      <c r="AN83" s="412"/>
      <c r="AO83" s="412"/>
      <c r="AP83" s="412"/>
    </row>
    <row r="84" spans="1:42" ht="15" outlineLevel="1">
      <c r="A84" s="401">
        <f>HLOOKUP($H$6+1%,D82:X84,3,TRUE)*$O$6</f>
        <v>269047.95892842929</v>
      </c>
      <c r="B84" s="421" t="s">
        <v>302</v>
      </c>
      <c r="C84" s="440">
        <f>-PMT($J$6/$M$6,$K$6*$M$6,$I$6)</f>
        <v>269039.4624433468</v>
      </c>
      <c r="D84" s="408">
        <v>0</v>
      </c>
      <c r="E84" s="408">
        <v>19080.238361159936</v>
      </c>
      <c r="F84" s="408">
        <v>38329.645374086802</v>
      </c>
      <c r="G84" s="408">
        <v>57750.479580134925</v>
      </c>
      <c r="H84" s="408">
        <v>77345.039904905294</v>
      </c>
      <c r="I84" s="408">
        <v>97115.666564920597</v>
      </c>
      <c r="J84" s="408">
        <v>117064.74199883766</v>
      </c>
      <c r="K84" s="408">
        <v>137194.69182397524</v>
      </c>
      <c r="L84" s="408">
        <v>157507.98581896405</v>
      </c>
      <c r="M84" s="408">
        <v>178007.13893335519</v>
      </c>
      <c r="N84" s="408">
        <v>198694.7123250532</v>
      </c>
      <c r="O84" s="408">
        <v>219573.31442647334</v>
      </c>
      <c r="P84" s="408">
        <v>240645.60204035442</v>
      </c>
      <c r="Q84" s="408">
        <v>269047.95892842929</v>
      </c>
      <c r="R84" s="408">
        <v>283382.10965831368</v>
      </c>
      <c r="S84" s="408">
        <v>305051.89541658061</v>
      </c>
      <c r="T84" s="408">
        <v>326926.50061088928</v>
      </c>
      <c r="U84" s="408">
        <v>349008.84144050162</v>
      </c>
      <c r="V84" s="408">
        <v>371301.88972942228</v>
      </c>
      <c r="W84" s="408">
        <v>393808.67425901408</v>
      </c>
      <c r="X84" s="408">
        <v>416532.28213910846</v>
      </c>
      <c r="Y84" s="412"/>
      <c r="Z84" s="412"/>
      <c r="AA84" s="412"/>
      <c r="AB84" s="412"/>
      <c r="AC84" s="412"/>
      <c r="AD84" s="412"/>
      <c r="AE84" s="412"/>
      <c r="AF84" s="412"/>
      <c r="AG84" s="412"/>
      <c r="AH84" s="412"/>
      <c r="AI84" s="412"/>
      <c r="AJ84" s="412"/>
      <c r="AK84" s="412"/>
      <c r="AL84" s="412"/>
      <c r="AM84" s="412"/>
      <c r="AN84" s="412"/>
      <c r="AO84" s="412"/>
      <c r="AP84" s="412"/>
    </row>
    <row r="85" spans="1:42" ht="15" outlineLevel="1">
      <c r="A85" s="374"/>
      <c r="B85" s="406" t="s">
        <v>424</v>
      </c>
      <c r="C85" s="406"/>
      <c r="D85" s="406"/>
      <c r="E85" s="406"/>
      <c r="F85" s="406"/>
      <c r="G85" s="406"/>
      <c r="H85" s="406"/>
      <c r="I85" s="406"/>
      <c r="J85" s="406"/>
      <c r="K85" s="406"/>
      <c r="L85" s="406"/>
      <c r="M85" s="406"/>
      <c r="N85" s="406"/>
      <c r="O85" s="406"/>
      <c r="P85" s="406"/>
      <c r="Q85" s="406"/>
      <c r="R85" s="406"/>
      <c r="S85" s="406"/>
      <c r="T85" s="406"/>
      <c r="U85" s="406"/>
      <c r="V85" s="406"/>
      <c r="W85" s="406"/>
      <c r="X85" s="406"/>
      <c r="Y85" s="406"/>
      <c r="Z85" s="406"/>
      <c r="AA85" s="406"/>
      <c r="AB85" s="406"/>
      <c r="AC85" s="406"/>
      <c r="AD85" s="406"/>
      <c r="AE85" s="406"/>
      <c r="AF85" s="406"/>
      <c r="AG85" s="406"/>
      <c r="AH85" s="406"/>
      <c r="AI85" s="406"/>
      <c r="AJ85" s="406"/>
      <c r="AK85" s="406"/>
      <c r="AL85" s="406"/>
      <c r="AM85" s="406"/>
      <c r="AN85" s="406"/>
      <c r="AO85" s="406"/>
      <c r="AP85" s="406"/>
    </row>
    <row r="86" spans="1:42" s="430" customFormat="1" ht="16" outlineLevel="1" thickBot="1">
      <c r="A86" s="427"/>
      <c r="B86" s="405"/>
      <c r="C86" s="405">
        <v>0</v>
      </c>
      <c r="D86" s="405">
        <v>1</v>
      </c>
      <c r="E86" s="405">
        <v>2</v>
      </c>
      <c r="F86" s="405">
        <v>3</v>
      </c>
      <c r="G86" s="405">
        <v>4</v>
      </c>
      <c r="H86" s="405">
        <v>5</v>
      </c>
      <c r="I86" s="405">
        <v>6</v>
      </c>
      <c r="J86" s="405">
        <v>7</v>
      </c>
      <c r="K86" s="405">
        <v>8</v>
      </c>
      <c r="L86" s="405">
        <v>9</v>
      </c>
      <c r="M86" s="405">
        <v>10</v>
      </c>
      <c r="N86" s="405">
        <v>11</v>
      </c>
      <c r="O86" s="405">
        <v>12</v>
      </c>
      <c r="P86" s="405">
        <v>13</v>
      </c>
      <c r="Q86" s="405">
        <v>14</v>
      </c>
      <c r="R86" s="405">
        <v>15</v>
      </c>
      <c r="S86" s="405">
        <v>16</v>
      </c>
      <c r="T86" s="405">
        <v>17</v>
      </c>
      <c r="U86" s="405">
        <v>18</v>
      </c>
      <c r="V86" s="405">
        <v>19</v>
      </c>
      <c r="W86" s="405">
        <v>20</v>
      </c>
      <c r="X86" s="421"/>
      <c r="Y86" s="421"/>
      <c r="Z86" s="421"/>
      <c r="AA86" s="421"/>
      <c r="AB86" s="421"/>
      <c r="AC86" s="421"/>
      <c r="AD86" s="421"/>
      <c r="AE86" s="421"/>
      <c r="AF86" s="421"/>
      <c r="AG86" s="421"/>
      <c r="AH86" s="421"/>
      <c r="AI86" s="421"/>
      <c r="AJ86" s="421"/>
      <c r="AK86" s="421"/>
      <c r="AL86" s="421"/>
      <c r="AM86" s="421"/>
      <c r="AN86" s="421"/>
      <c r="AO86" s="421"/>
      <c r="AP86" s="421"/>
    </row>
    <row r="87" spans="1:42" ht="15" outlineLevel="1">
      <c r="A87" s="374"/>
      <c r="B87" s="441" t="s">
        <v>425</v>
      </c>
      <c r="C87" s="442">
        <f>D73</f>
        <v>0</v>
      </c>
      <c r="D87" s="442">
        <f t="shared" ref="D87:W87" si="29">E73</f>
        <v>0</v>
      </c>
      <c r="E87" s="442">
        <f t="shared" si="29"/>
        <v>507459.06088184449</v>
      </c>
      <c r="F87" s="442">
        <f t="shared" si="29"/>
        <v>538598.55065438244</v>
      </c>
      <c r="G87" s="442">
        <f t="shared" si="29"/>
        <v>571648.87008401426</v>
      </c>
      <c r="H87" s="442">
        <f t="shared" si="29"/>
        <v>606727.27446313878</v>
      </c>
      <c r="I87" s="442">
        <f t="shared" si="29"/>
        <v>643958.21428522584</v>
      </c>
      <c r="J87" s="442">
        <f t="shared" si="29"/>
        <v>683473.77676790184</v>
      </c>
      <c r="K87" s="442">
        <f t="shared" si="29"/>
        <v>725414.15446945897</v>
      </c>
      <c r="L87" s="442">
        <f t="shared" si="29"/>
        <v>769928.14266133728</v>
      </c>
      <c r="M87" s="442">
        <f t="shared" si="29"/>
        <v>0</v>
      </c>
      <c r="N87" s="442">
        <f t="shared" si="29"/>
        <v>0</v>
      </c>
      <c r="O87" s="442">
        <f t="shared" si="29"/>
        <v>0</v>
      </c>
      <c r="P87" s="442">
        <f t="shared" si="29"/>
        <v>0</v>
      </c>
      <c r="Q87" s="442">
        <f t="shared" si="29"/>
        <v>0</v>
      </c>
      <c r="R87" s="442">
        <f t="shared" si="29"/>
        <v>0</v>
      </c>
      <c r="S87" s="442">
        <f t="shared" si="29"/>
        <v>0</v>
      </c>
      <c r="T87" s="442">
        <f t="shared" si="29"/>
        <v>0</v>
      </c>
      <c r="U87" s="442">
        <f t="shared" si="29"/>
        <v>0</v>
      </c>
      <c r="V87" s="442">
        <f t="shared" si="29"/>
        <v>0</v>
      </c>
      <c r="W87" s="442">
        <f t="shared" si="29"/>
        <v>0</v>
      </c>
      <c r="X87" s="442"/>
      <c r="Y87" s="442"/>
      <c r="Z87" s="442"/>
      <c r="AA87" s="442"/>
      <c r="AB87" s="442"/>
      <c r="AC87" s="442"/>
      <c r="AD87" s="442"/>
      <c r="AE87" s="442"/>
      <c r="AF87" s="442"/>
      <c r="AG87" s="442"/>
      <c r="AH87" s="442"/>
      <c r="AI87" s="442"/>
      <c r="AJ87" s="442"/>
      <c r="AK87" s="442"/>
      <c r="AL87" s="442"/>
      <c r="AM87" s="442"/>
      <c r="AN87" s="442"/>
      <c r="AO87" s="442"/>
      <c r="AP87" s="442"/>
    </row>
    <row r="88" spans="1:42" ht="16" outlineLevel="1" thickBot="1">
      <c r="A88" s="374"/>
      <c r="B88" s="443" t="s">
        <v>426</v>
      </c>
      <c r="C88" s="444">
        <f>$I$6-C87</f>
        <v>9666249.3938897401</v>
      </c>
      <c r="D88" s="444">
        <f t="shared" ref="D88:W88" si="30">C88-D87</f>
        <v>9666249.3938897401</v>
      </c>
      <c r="E88" s="444">
        <f t="shared" si="30"/>
        <v>9158790.3330078963</v>
      </c>
      <c r="F88" s="444">
        <f t="shared" si="30"/>
        <v>8620191.7823535129</v>
      </c>
      <c r="G88" s="444">
        <f t="shared" si="30"/>
        <v>8048542.9122694992</v>
      </c>
      <c r="H88" s="444">
        <f t="shared" si="30"/>
        <v>7441815.6378063606</v>
      </c>
      <c r="I88" s="444">
        <f t="shared" si="30"/>
        <v>6797857.423521135</v>
      </c>
      <c r="J88" s="444">
        <f t="shared" si="30"/>
        <v>6114383.6467532329</v>
      </c>
      <c r="K88" s="444">
        <f t="shared" si="30"/>
        <v>5388969.4922837736</v>
      </c>
      <c r="L88" s="444">
        <f t="shared" si="30"/>
        <v>4619041.3496224359</v>
      </c>
      <c r="M88" s="444">
        <f t="shared" si="30"/>
        <v>4619041.3496224359</v>
      </c>
      <c r="N88" s="444">
        <f t="shared" si="30"/>
        <v>4619041.3496224359</v>
      </c>
      <c r="O88" s="444">
        <f t="shared" si="30"/>
        <v>4619041.3496224359</v>
      </c>
      <c r="P88" s="444">
        <f t="shared" si="30"/>
        <v>4619041.3496224359</v>
      </c>
      <c r="Q88" s="444">
        <f t="shared" si="30"/>
        <v>4619041.3496224359</v>
      </c>
      <c r="R88" s="444">
        <f t="shared" si="30"/>
        <v>4619041.3496224359</v>
      </c>
      <c r="S88" s="444">
        <f t="shared" si="30"/>
        <v>4619041.3496224359</v>
      </c>
      <c r="T88" s="444">
        <f t="shared" si="30"/>
        <v>4619041.3496224359</v>
      </c>
      <c r="U88" s="444">
        <f t="shared" si="30"/>
        <v>4619041.3496224359</v>
      </c>
      <c r="V88" s="444">
        <f t="shared" si="30"/>
        <v>4619041.3496224359</v>
      </c>
      <c r="W88" s="444">
        <f t="shared" si="30"/>
        <v>4619041.3496224359</v>
      </c>
      <c r="X88" s="444"/>
      <c r="Y88" s="444"/>
      <c r="Z88" s="444"/>
      <c r="AA88" s="444"/>
      <c r="AB88" s="444"/>
      <c r="AC88" s="444"/>
      <c r="AD88" s="444"/>
      <c r="AE88" s="444"/>
      <c r="AF88" s="444"/>
      <c r="AG88" s="444"/>
      <c r="AH88" s="444"/>
      <c r="AI88" s="444"/>
      <c r="AJ88" s="444"/>
      <c r="AK88" s="444"/>
      <c r="AL88" s="444"/>
      <c r="AM88" s="444"/>
      <c r="AN88" s="444"/>
      <c r="AO88" s="444"/>
      <c r="AP88" s="444"/>
    </row>
    <row r="89" spans="1:42" ht="15" outlineLevel="1">
      <c r="A89" s="374"/>
      <c r="B89" s="374"/>
      <c r="C89" s="374"/>
      <c r="D89" s="374"/>
      <c r="E89" s="374"/>
      <c r="F89" s="374"/>
      <c r="G89" s="374"/>
      <c r="H89" s="374"/>
      <c r="I89" s="374"/>
      <c r="J89" s="374"/>
      <c r="K89" s="374"/>
      <c r="L89" s="374"/>
      <c r="M89" s="374"/>
      <c r="N89" s="374"/>
      <c r="O89" s="374"/>
      <c r="P89" s="374"/>
      <c r="Q89" s="374"/>
      <c r="R89" s="374"/>
      <c r="S89" s="377"/>
      <c r="T89" s="377"/>
      <c r="U89" s="377"/>
      <c r="V89" s="377"/>
      <c r="W89" s="377"/>
      <c r="X89" s="377"/>
      <c r="Y89" s="377"/>
      <c r="Z89" s="377"/>
      <c r="AA89" s="377"/>
      <c r="AB89" s="377"/>
      <c r="AC89" s="377"/>
      <c r="AD89" s="377"/>
      <c r="AE89" s="377"/>
      <c r="AF89" s="377"/>
      <c r="AG89" s="377"/>
      <c r="AH89" s="377"/>
      <c r="AI89" s="377"/>
      <c r="AJ89" s="377"/>
      <c r="AK89" s="377"/>
      <c r="AL89" s="377"/>
      <c r="AM89" s="377"/>
      <c r="AN89" s="377"/>
      <c r="AO89" s="377"/>
      <c r="AP89" s="377"/>
    </row>
    <row r="90" spans="1:42" ht="16" thickBot="1">
      <c r="A90" s="374"/>
      <c r="B90" s="374"/>
      <c r="C90" s="374"/>
      <c r="D90" s="374"/>
      <c r="E90" s="374"/>
      <c r="F90" s="374"/>
      <c r="G90" s="374"/>
      <c r="H90" s="374"/>
      <c r="I90" s="374"/>
      <c r="J90" s="374"/>
      <c r="K90" s="374"/>
      <c r="L90" s="374"/>
      <c r="M90" s="374"/>
      <c r="N90" s="374"/>
      <c r="O90" s="374"/>
      <c r="P90" s="374"/>
      <c r="Q90" s="374"/>
      <c r="R90" s="374"/>
      <c r="S90" s="377"/>
      <c r="T90" s="377"/>
      <c r="U90" s="377"/>
      <c r="V90" s="377"/>
      <c r="W90" s="377"/>
      <c r="X90" s="377"/>
      <c r="Y90" s="377"/>
      <c r="Z90" s="377"/>
      <c r="AA90" s="377"/>
      <c r="AB90" s="377"/>
      <c r="AC90" s="377"/>
      <c r="AD90" s="377"/>
      <c r="AE90" s="377"/>
      <c r="AF90" s="377"/>
      <c r="AG90" s="377"/>
      <c r="AH90" s="377"/>
      <c r="AI90" s="377"/>
      <c r="AJ90" s="377"/>
      <c r="AK90" s="377"/>
      <c r="AL90" s="377"/>
      <c r="AM90" s="377"/>
      <c r="AN90" s="377"/>
      <c r="AO90" s="377"/>
      <c r="AP90" s="377"/>
    </row>
    <row r="91" spans="1:42" ht="16" thickTop="1">
      <c r="A91" s="374"/>
      <c r="B91" s="379" t="s">
        <v>436</v>
      </c>
      <c r="C91" s="379"/>
      <c r="D91" s="379"/>
      <c r="E91" s="379"/>
      <c r="F91" s="379"/>
      <c r="G91" s="379"/>
      <c r="H91" s="379"/>
      <c r="I91" s="379"/>
      <c r="J91" s="379"/>
      <c r="K91" s="379"/>
      <c r="L91" s="379"/>
      <c r="M91" s="379"/>
      <c r="N91" s="379"/>
      <c r="O91" s="379"/>
      <c r="P91" s="379"/>
      <c r="Q91" s="379"/>
      <c r="R91" s="379"/>
      <c r="S91" s="379"/>
      <c r="T91" s="379"/>
      <c r="U91" s="379"/>
      <c r="V91" s="379"/>
      <c r="W91" s="379"/>
      <c r="X91" s="379"/>
      <c r="Y91" s="379"/>
      <c r="Z91" s="379"/>
      <c r="AA91" s="379"/>
      <c r="AB91" s="379"/>
      <c r="AC91" s="379"/>
      <c r="AD91" s="379"/>
      <c r="AE91" s="379"/>
      <c r="AF91" s="379"/>
      <c r="AG91" s="379"/>
      <c r="AH91" s="379"/>
      <c r="AI91" s="379"/>
      <c r="AJ91" s="379"/>
      <c r="AK91" s="379"/>
      <c r="AL91" s="379"/>
      <c r="AM91" s="379"/>
      <c r="AN91" s="379"/>
      <c r="AO91" s="379"/>
      <c r="AP91" s="379"/>
    </row>
    <row r="92" spans="1:42" ht="15" outlineLevel="1">
      <c r="A92" s="374"/>
      <c r="B92" s="406" t="s">
        <v>421</v>
      </c>
      <c r="C92" s="406"/>
      <c r="D92" s="406"/>
      <c r="E92" s="406"/>
      <c r="F92" s="406"/>
      <c r="G92" s="406"/>
      <c r="H92" s="406"/>
      <c r="I92" s="406"/>
      <c r="J92" s="406"/>
      <c r="K92" s="406"/>
      <c r="L92" s="406"/>
      <c r="M92" s="406"/>
      <c r="N92" s="406"/>
      <c r="O92" s="406"/>
      <c r="P92" s="406"/>
      <c r="Q92" s="406"/>
      <c r="R92" s="406"/>
      <c r="S92" s="406"/>
      <c r="T92" s="406"/>
      <c r="U92" s="406"/>
      <c r="V92" s="406"/>
      <c r="W92" s="406"/>
      <c r="X92" s="406"/>
      <c r="Y92" s="406"/>
      <c r="Z92" s="406"/>
      <c r="AA92" s="406"/>
      <c r="AB92" s="406"/>
      <c r="AC92" s="406"/>
      <c r="AD92" s="406"/>
      <c r="AE92" s="406"/>
      <c r="AF92" s="406"/>
      <c r="AG92" s="406"/>
      <c r="AH92" s="406"/>
      <c r="AI92" s="406"/>
      <c r="AJ92" s="406"/>
      <c r="AK92" s="406"/>
      <c r="AL92" s="406"/>
      <c r="AM92" s="406"/>
      <c r="AN92" s="406"/>
      <c r="AO92" s="406"/>
      <c r="AP92" s="406"/>
    </row>
    <row r="93" spans="1:42" s="420" customFormat="1" ht="15" outlineLevel="1">
      <c r="A93" s="417"/>
      <c r="B93" s="418" t="s">
        <v>428</v>
      </c>
      <c r="C93" s="419">
        <v>1</v>
      </c>
      <c r="D93" s="419">
        <v>2</v>
      </c>
      <c r="E93" s="419">
        <v>3</v>
      </c>
      <c r="F93" s="419">
        <v>4</v>
      </c>
      <c r="G93" s="419">
        <v>5</v>
      </c>
      <c r="H93" s="419">
        <v>6</v>
      </c>
      <c r="I93" s="419">
        <v>7</v>
      </c>
      <c r="J93" s="419">
        <v>8</v>
      </c>
      <c r="K93" s="419">
        <v>9</v>
      </c>
      <c r="L93" s="419">
        <v>10</v>
      </c>
      <c r="M93" s="419">
        <v>11</v>
      </c>
      <c r="N93" s="419">
        <v>12</v>
      </c>
      <c r="O93" s="419">
        <v>13</v>
      </c>
      <c r="P93" s="419">
        <v>14</v>
      </c>
      <c r="Q93" s="419">
        <v>15</v>
      </c>
      <c r="R93" s="419">
        <v>16</v>
      </c>
      <c r="S93" s="419">
        <v>17</v>
      </c>
      <c r="T93" s="419">
        <v>18</v>
      </c>
      <c r="U93" s="419">
        <v>19</v>
      </c>
      <c r="V93" s="419">
        <v>20</v>
      </c>
      <c r="W93" s="419">
        <v>21</v>
      </c>
      <c r="X93" s="419">
        <v>22</v>
      </c>
      <c r="Y93" s="419">
        <v>23</v>
      </c>
      <c r="Z93" s="419">
        <v>24</v>
      </c>
      <c r="AA93" s="419">
        <v>25</v>
      </c>
      <c r="AB93" s="419">
        <v>26</v>
      </c>
      <c r="AC93" s="419">
        <v>27</v>
      </c>
      <c r="AD93" s="419">
        <v>28</v>
      </c>
      <c r="AE93" s="419">
        <v>29</v>
      </c>
      <c r="AF93" s="419">
        <v>30</v>
      </c>
      <c r="AG93" s="419">
        <v>31</v>
      </c>
      <c r="AH93" s="419">
        <v>32</v>
      </c>
      <c r="AI93" s="419">
        <v>33</v>
      </c>
      <c r="AJ93" s="419">
        <v>34</v>
      </c>
      <c r="AK93" s="419">
        <v>35</v>
      </c>
      <c r="AL93" s="419">
        <v>36</v>
      </c>
      <c r="AM93" s="419">
        <v>37</v>
      </c>
      <c r="AN93" s="419">
        <v>38</v>
      </c>
      <c r="AO93" s="419">
        <v>39</v>
      </c>
      <c r="AP93" s="419">
        <v>40</v>
      </c>
    </row>
    <row r="94" spans="1:42" ht="15" outlineLevel="1">
      <c r="A94" s="374"/>
      <c r="B94" s="421" t="s">
        <v>429</v>
      </c>
      <c r="C94" s="422">
        <f t="shared" ref="C94:AP94" si="31">MAX(C93-($L$7-1)*$M$7,0)</f>
        <v>0</v>
      </c>
      <c r="D94" s="422">
        <f t="shared" si="31"/>
        <v>0</v>
      </c>
      <c r="E94" s="422">
        <f t="shared" si="31"/>
        <v>0</v>
      </c>
      <c r="F94" s="422">
        <f t="shared" si="31"/>
        <v>0</v>
      </c>
      <c r="G94" s="422">
        <f t="shared" si="31"/>
        <v>0</v>
      </c>
      <c r="H94" s="422">
        <f t="shared" si="31"/>
        <v>0</v>
      </c>
      <c r="I94" s="422">
        <f t="shared" si="31"/>
        <v>0</v>
      </c>
      <c r="J94" s="422">
        <f t="shared" si="31"/>
        <v>0</v>
      </c>
      <c r="K94" s="422">
        <f t="shared" si="31"/>
        <v>1</v>
      </c>
      <c r="L94" s="422">
        <f t="shared" si="31"/>
        <v>2</v>
      </c>
      <c r="M94" s="422">
        <f t="shared" si="31"/>
        <v>3</v>
      </c>
      <c r="N94" s="422">
        <f t="shared" si="31"/>
        <v>4</v>
      </c>
      <c r="O94" s="422">
        <f t="shared" si="31"/>
        <v>5</v>
      </c>
      <c r="P94" s="422">
        <f t="shared" si="31"/>
        <v>6</v>
      </c>
      <c r="Q94" s="422">
        <f t="shared" si="31"/>
        <v>7</v>
      </c>
      <c r="R94" s="422">
        <f t="shared" si="31"/>
        <v>8</v>
      </c>
      <c r="S94" s="422">
        <f t="shared" si="31"/>
        <v>9</v>
      </c>
      <c r="T94" s="422">
        <f t="shared" si="31"/>
        <v>10</v>
      </c>
      <c r="U94" s="422">
        <f t="shared" si="31"/>
        <v>11</v>
      </c>
      <c r="V94" s="422">
        <f t="shared" si="31"/>
        <v>12</v>
      </c>
      <c r="W94" s="422">
        <f t="shared" si="31"/>
        <v>13</v>
      </c>
      <c r="X94" s="422">
        <f t="shared" si="31"/>
        <v>14</v>
      </c>
      <c r="Y94" s="422">
        <f t="shared" si="31"/>
        <v>15</v>
      </c>
      <c r="Z94" s="422">
        <f t="shared" si="31"/>
        <v>16</v>
      </c>
      <c r="AA94" s="422">
        <f t="shared" si="31"/>
        <v>17</v>
      </c>
      <c r="AB94" s="422">
        <f t="shared" si="31"/>
        <v>18</v>
      </c>
      <c r="AC94" s="422">
        <f t="shared" si="31"/>
        <v>19</v>
      </c>
      <c r="AD94" s="422">
        <f t="shared" si="31"/>
        <v>20</v>
      </c>
      <c r="AE94" s="422">
        <f t="shared" si="31"/>
        <v>21</v>
      </c>
      <c r="AF94" s="422">
        <f t="shared" si="31"/>
        <v>22</v>
      </c>
      <c r="AG94" s="422">
        <f t="shared" si="31"/>
        <v>23</v>
      </c>
      <c r="AH94" s="422">
        <f t="shared" si="31"/>
        <v>24</v>
      </c>
      <c r="AI94" s="422">
        <f t="shared" si="31"/>
        <v>25</v>
      </c>
      <c r="AJ94" s="422">
        <f t="shared" si="31"/>
        <v>26</v>
      </c>
      <c r="AK94" s="422">
        <f t="shared" si="31"/>
        <v>27</v>
      </c>
      <c r="AL94" s="422">
        <f t="shared" si="31"/>
        <v>28</v>
      </c>
      <c r="AM94" s="422">
        <f t="shared" si="31"/>
        <v>29</v>
      </c>
      <c r="AN94" s="422">
        <f t="shared" si="31"/>
        <v>30</v>
      </c>
      <c r="AO94" s="422">
        <f t="shared" si="31"/>
        <v>31</v>
      </c>
      <c r="AP94" s="422">
        <f t="shared" si="31"/>
        <v>32</v>
      </c>
    </row>
    <row r="95" spans="1:42" s="420" customFormat="1" ht="15" outlineLevel="1">
      <c r="A95" s="417"/>
      <c r="B95" s="418" t="s">
        <v>408</v>
      </c>
      <c r="C95" s="423">
        <f t="shared" ref="C95:AP95" si="32">ROUNDUP(C93/$M$7,0)</f>
        <v>1</v>
      </c>
      <c r="D95" s="423">
        <f t="shared" si="32"/>
        <v>1</v>
      </c>
      <c r="E95" s="423">
        <f t="shared" si="32"/>
        <v>1</v>
      </c>
      <c r="F95" s="423">
        <f t="shared" si="32"/>
        <v>1</v>
      </c>
      <c r="G95" s="423">
        <f t="shared" si="32"/>
        <v>2</v>
      </c>
      <c r="H95" s="423">
        <f t="shared" si="32"/>
        <v>2</v>
      </c>
      <c r="I95" s="423">
        <f t="shared" si="32"/>
        <v>2</v>
      </c>
      <c r="J95" s="423">
        <f t="shared" si="32"/>
        <v>2</v>
      </c>
      <c r="K95" s="423">
        <f t="shared" si="32"/>
        <v>3</v>
      </c>
      <c r="L95" s="423">
        <f t="shared" si="32"/>
        <v>3</v>
      </c>
      <c r="M95" s="423">
        <f t="shared" si="32"/>
        <v>3</v>
      </c>
      <c r="N95" s="423">
        <f t="shared" si="32"/>
        <v>3</v>
      </c>
      <c r="O95" s="423">
        <f t="shared" si="32"/>
        <v>4</v>
      </c>
      <c r="P95" s="423">
        <f t="shared" si="32"/>
        <v>4</v>
      </c>
      <c r="Q95" s="423">
        <f t="shared" si="32"/>
        <v>4</v>
      </c>
      <c r="R95" s="423">
        <f t="shared" si="32"/>
        <v>4</v>
      </c>
      <c r="S95" s="423">
        <f t="shared" si="32"/>
        <v>5</v>
      </c>
      <c r="T95" s="423">
        <f t="shared" si="32"/>
        <v>5</v>
      </c>
      <c r="U95" s="423">
        <f t="shared" si="32"/>
        <v>5</v>
      </c>
      <c r="V95" s="423">
        <f t="shared" si="32"/>
        <v>5</v>
      </c>
      <c r="W95" s="423">
        <f t="shared" si="32"/>
        <v>6</v>
      </c>
      <c r="X95" s="423">
        <f t="shared" si="32"/>
        <v>6</v>
      </c>
      <c r="Y95" s="423">
        <f t="shared" si="32"/>
        <v>6</v>
      </c>
      <c r="Z95" s="423">
        <f t="shared" si="32"/>
        <v>6</v>
      </c>
      <c r="AA95" s="423">
        <f t="shared" si="32"/>
        <v>7</v>
      </c>
      <c r="AB95" s="423">
        <f t="shared" si="32"/>
        <v>7</v>
      </c>
      <c r="AC95" s="423">
        <f t="shared" si="32"/>
        <v>7</v>
      </c>
      <c r="AD95" s="423">
        <f t="shared" si="32"/>
        <v>7</v>
      </c>
      <c r="AE95" s="423">
        <f t="shared" si="32"/>
        <v>8</v>
      </c>
      <c r="AF95" s="423">
        <f t="shared" si="32"/>
        <v>8</v>
      </c>
      <c r="AG95" s="423">
        <f t="shared" si="32"/>
        <v>8</v>
      </c>
      <c r="AH95" s="423">
        <f t="shared" si="32"/>
        <v>8</v>
      </c>
      <c r="AI95" s="423">
        <f t="shared" si="32"/>
        <v>9</v>
      </c>
      <c r="AJ95" s="423">
        <f t="shared" si="32"/>
        <v>9</v>
      </c>
      <c r="AK95" s="423">
        <f t="shared" si="32"/>
        <v>9</v>
      </c>
      <c r="AL95" s="423">
        <f t="shared" si="32"/>
        <v>9</v>
      </c>
      <c r="AM95" s="423">
        <f t="shared" si="32"/>
        <v>10</v>
      </c>
      <c r="AN95" s="423">
        <f t="shared" si="32"/>
        <v>10</v>
      </c>
      <c r="AO95" s="423">
        <f t="shared" si="32"/>
        <v>10</v>
      </c>
      <c r="AP95" s="423">
        <f t="shared" si="32"/>
        <v>10</v>
      </c>
    </row>
    <row r="96" spans="1:42" ht="15" outlineLevel="1">
      <c r="A96" s="374"/>
      <c r="B96" s="421" t="s">
        <v>323</v>
      </c>
      <c r="C96" s="408">
        <f t="shared" ref="C96:AP96" si="33">-IFERROR(IPMT($J$7/$M$7,MAX(C94,1),$K$7*$M$7,$I$7),0)</f>
        <v>8.1550168823185567E-140</v>
      </c>
      <c r="D96" s="408">
        <f t="shared" si="33"/>
        <v>8.1550168823185567E-140</v>
      </c>
      <c r="E96" s="408">
        <f t="shared" si="33"/>
        <v>8.1550168823185567E-140</v>
      </c>
      <c r="F96" s="408">
        <f t="shared" si="33"/>
        <v>8.1550168823185567E-140</v>
      </c>
      <c r="G96" s="408">
        <f t="shared" si="33"/>
        <v>8.1550168823185567E-140</v>
      </c>
      <c r="H96" s="408">
        <f t="shared" si="33"/>
        <v>8.1550168823185567E-140</v>
      </c>
      <c r="I96" s="408">
        <f t="shared" si="33"/>
        <v>8.1550168823185567E-140</v>
      </c>
      <c r="J96" s="408">
        <f t="shared" si="33"/>
        <v>8.1550168823185567E-140</v>
      </c>
      <c r="K96" s="408">
        <f t="shared" si="33"/>
        <v>8.1550168823185567E-140</v>
      </c>
      <c r="L96" s="408">
        <f t="shared" si="33"/>
        <v>8.0503646110936096E-140</v>
      </c>
      <c r="M96" s="408">
        <f t="shared" si="33"/>
        <v>7.9441425558002925E-140</v>
      </c>
      <c r="N96" s="408">
        <f t="shared" si="33"/>
        <v>7.8363271696775718E-140</v>
      </c>
      <c r="O96" s="408">
        <f t="shared" si="33"/>
        <v>7.7268945527630105E-140</v>
      </c>
      <c r="P96" s="408">
        <f t="shared" si="33"/>
        <v>7.6158204465947315E-140</v>
      </c>
      <c r="Q96" s="408">
        <f t="shared" si="33"/>
        <v>7.5030802288339285E-140</v>
      </c>
      <c r="R96" s="408">
        <f t="shared" si="33"/>
        <v>7.3886489078067135E-140</v>
      </c>
      <c r="S96" s="408">
        <f t="shared" si="33"/>
        <v>7.2725011169640903E-140</v>
      </c>
      <c r="T96" s="408">
        <f t="shared" si="33"/>
        <v>7.1546111092588259E-140</v>
      </c>
      <c r="U96" s="408">
        <f t="shared" si="33"/>
        <v>7.0349527514379844E-140</v>
      </c>
      <c r="V96" s="408">
        <f t="shared" si="33"/>
        <v>6.9134995182498303E-140</v>
      </c>
      <c r="W96" s="408">
        <f t="shared" si="33"/>
        <v>6.7902244865638537E-140</v>
      </c>
      <c r="X96" s="408">
        <f t="shared" si="33"/>
        <v>6.6651003294025882E-140</v>
      </c>
      <c r="Y96" s="408">
        <f t="shared" si="33"/>
        <v>6.5380993098839027E-140</v>
      </c>
      <c r="Z96" s="408">
        <f t="shared" si="33"/>
        <v>6.4091932750724371E-140</v>
      </c>
      <c r="AA96" s="408">
        <f t="shared" si="33"/>
        <v>6.2783536497387997E-140</v>
      </c>
      <c r="AB96" s="408">
        <f t="shared" si="33"/>
        <v>6.1455514300251566E-140</v>
      </c>
      <c r="AC96" s="408">
        <f t="shared" si="33"/>
        <v>6.0107571770158114E-140</v>
      </c>
      <c r="AD96" s="408">
        <f t="shared" si="33"/>
        <v>5.8739410102113235E-140</v>
      </c>
      <c r="AE96" s="408">
        <f t="shared" si="33"/>
        <v>5.7350726009047688E-140</v>
      </c>
      <c r="AF96" s="408">
        <f t="shared" si="33"/>
        <v>5.5941211654586166E-140</v>
      </c>
      <c r="AG96" s="408">
        <f t="shared" si="33"/>
        <v>5.4510554584807721E-140</v>
      </c>
      <c r="AH96" s="408">
        <f t="shared" si="33"/>
        <v>5.3058437658982585E-140</v>
      </c>
      <c r="AI96" s="408">
        <f t="shared" si="33"/>
        <v>5.1584538979270079E-140</v>
      </c>
      <c r="AJ96" s="408">
        <f t="shared" si="33"/>
        <v>5.0088531819361903E-140</v>
      </c>
      <c r="AK96" s="408">
        <f t="shared" si="33"/>
        <v>4.8570084552055077E-140</v>
      </c>
      <c r="AL96" s="408">
        <f t="shared" si="33"/>
        <v>4.7028860575738663E-140</v>
      </c>
      <c r="AM96" s="408">
        <f t="shared" si="33"/>
        <v>4.546451823977751E-140</v>
      </c>
      <c r="AN96" s="408">
        <f t="shared" si="33"/>
        <v>4.3876710768776925E-140</v>
      </c>
      <c r="AO96" s="408">
        <f t="shared" si="33"/>
        <v>4.2265086185711344E-140</v>
      </c>
      <c r="AP96" s="408">
        <f t="shared" si="33"/>
        <v>4.0629287233899762E-140</v>
      </c>
    </row>
    <row r="97" spans="1:42" ht="15" outlineLevel="1">
      <c r="A97" s="374"/>
      <c r="B97" s="424" t="s">
        <v>324</v>
      </c>
      <c r="C97" s="393">
        <f t="shared" ref="C97:AP97" si="34">-IFERROR(PPMT($J$7/$M$7,C94,$K$7*$M$7,$I$7),0)</f>
        <v>0</v>
      </c>
      <c r="D97" s="393">
        <f t="shared" si="34"/>
        <v>0</v>
      </c>
      <c r="E97" s="393">
        <f t="shared" si="34"/>
        <v>0</v>
      </c>
      <c r="F97" s="393">
        <f t="shared" si="34"/>
        <v>0</v>
      </c>
      <c r="G97" s="393">
        <f t="shared" si="34"/>
        <v>0</v>
      </c>
      <c r="H97" s="393">
        <f t="shared" si="34"/>
        <v>0</v>
      </c>
      <c r="I97" s="393">
        <f t="shared" si="34"/>
        <v>0</v>
      </c>
      <c r="J97" s="393">
        <f t="shared" si="34"/>
        <v>0</v>
      </c>
      <c r="K97" s="393">
        <f t="shared" si="34"/>
        <v>6.9768180816630536E-140</v>
      </c>
      <c r="L97" s="393">
        <f t="shared" si="34"/>
        <v>7.0814703528879998E-140</v>
      </c>
      <c r="M97" s="393">
        <f t="shared" si="34"/>
        <v>7.1876924081813187E-140</v>
      </c>
      <c r="N97" s="393">
        <f t="shared" si="34"/>
        <v>7.2955077943040385E-140</v>
      </c>
      <c r="O97" s="393">
        <f t="shared" si="34"/>
        <v>7.4049404112185997E-140</v>
      </c>
      <c r="P97" s="393">
        <f t="shared" si="34"/>
        <v>7.5160145173868778E-140</v>
      </c>
      <c r="Q97" s="393">
        <f t="shared" si="34"/>
        <v>7.6287547351476818E-140</v>
      </c>
      <c r="R97" s="393">
        <f t="shared" si="34"/>
        <v>7.7431860561748977E-140</v>
      </c>
      <c r="S97" s="393">
        <f t="shared" si="34"/>
        <v>7.8593338470175209E-140</v>
      </c>
      <c r="T97" s="393">
        <f t="shared" si="34"/>
        <v>7.9772238547227834E-140</v>
      </c>
      <c r="U97" s="393">
        <f t="shared" si="34"/>
        <v>8.0968822125436249E-140</v>
      </c>
      <c r="V97" s="393">
        <f t="shared" si="34"/>
        <v>8.218335445731779E-140</v>
      </c>
      <c r="W97" s="393">
        <f t="shared" si="34"/>
        <v>8.3416104774177566E-140</v>
      </c>
      <c r="X97" s="393">
        <f t="shared" si="34"/>
        <v>8.4667346345790221E-140</v>
      </c>
      <c r="Y97" s="393">
        <f t="shared" si="34"/>
        <v>8.5937356540977094E-140</v>
      </c>
      <c r="Z97" s="393">
        <f t="shared" si="34"/>
        <v>8.722641688909175E-140</v>
      </c>
      <c r="AA97" s="393">
        <f t="shared" si="34"/>
        <v>8.8534813142428115E-140</v>
      </c>
      <c r="AB97" s="393">
        <f t="shared" si="34"/>
        <v>8.9862835339564537E-140</v>
      </c>
      <c r="AC97" s="393">
        <f t="shared" si="34"/>
        <v>9.1210777869657998E-140</v>
      </c>
      <c r="AD97" s="393">
        <f t="shared" si="34"/>
        <v>9.2578939537702868E-140</v>
      </c>
      <c r="AE97" s="393">
        <f t="shared" si="34"/>
        <v>9.3967623630768405E-140</v>
      </c>
      <c r="AF97" s="393">
        <f t="shared" si="34"/>
        <v>9.5377137985229937E-140</v>
      </c>
      <c r="AG97" s="393">
        <f t="shared" si="34"/>
        <v>9.6807795055008392E-140</v>
      </c>
      <c r="AH97" s="393">
        <f t="shared" si="34"/>
        <v>9.8259911980833537E-140</v>
      </c>
      <c r="AI97" s="393">
        <f t="shared" si="34"/>
        <v>9.9733810660546005E-140</v>
      </c>
      <c r="AJ97" s="393">
        <f t="shared" si="34"/>
        <v>1.0122981782045422E-139</v>
      </c>
      <c r="AK97" s="393">
        <f t="shared" si="34"/>
        <v>1.0274826508776102E-139</v>
      </c>
      <c r="AL97" s="393">
        <f t="shared" si="34"/>
        <v>1.0428948906407744E-139</v>
      </c>
      <c r="AM97" s="393">
        <f t="shared" si="34"/>
        <v>1.058538314000386E-139</v>
      </c>
      <c r="AN97" s="393">
        <f t="shared" si="34"/>
        <v>1.0744163887103917E-139</v>
      </c>
      <c r="AO97" s="393">
        <f t="shared" si="34"/>
        <v>1.0905326345410478E-139</v>
      </c>
      <c r="AP97" s="393">
        <f t="shared" si="34"/>
        <v>1.1068906240591633E-139</v>
      </c>
    </row>
    <row r="98" spans="1:42" ht="16" outlineLevel="1" thickBot="1">
      <c r="A98" s="374"/>
      <c r="B98" s="425" t="s">
        <v>1</v>
      </c>
      <c r="C98" s="397">
        <f t="shared" ref="C98:AP98" si="35">SUM(C96:C97)</f>
        <v>8.1550168823185567E-140</v>
      </c>
      <c r="D98" s="397">
        <f t="shared" si="35"/>
        <v>8.1550168823185567E-140</v>
      </c>
      <c r="E98" s="397">
        <f t="shared" si="35"/>
        <v>8.1550168823185567E-140</v>
      </c>
      <c r="F98" s="397">
        <f t="shared" si="35"/>
        <v>8.1550168823185567E-140</v>
      </c>
      <c r="G98" s="397">
        <f t="shared" si="35"/>
        <v>8.1550168823185567E-140</v>
      </c>
      <c r="H98" s="397">
        <f t="shared" si="35"/>
        <v>8.1550168823185567E-140</v>
      </c>
      <c r="I98" s="397">
        <f t="shared" si="35"/>
        <v>8.1550168823185567E-140</v>
      </c>
      <c r="J98" s="397">
        <f t="shared" si="35"/>
        <v>8.1550168823185567E-140</v>
      </c>
      <c r="K98" s="397">
        <f t="shared" si="35"/>
        <v>1.5131834963981611E-139</v>
      </c>
      <c r="L98" s="397">
        <f t="shared" si="35"/>
        <v>1.5131834963981609E-139</v>
      </c>
      <c r="M98" s="397">
        <f t="shared" si="35"/>
        <v>1.5131834963981611E-139</v>
      </c>
      <c r="N98" s="397">
        <f t="shared" si="35"/>
        <v>1.5131834963981611E-139</v>
      </c>
      <c r="O98" s="397">
        <f t="shared" si="35"/>
        <v>1.5131834963981611E-139</v>
      </c>
      <c r="P98" s="397">
        <f t="shared" si="35"/>
        <v>1.5131834963981609E-139</v>
      </c>
      <c r="Q98" s="397">
        <f t="shared" si="35"/>
        <v>1.5131834963981611E-139</v>
      </c>
      <c r="R98" s="397">
        <f t="shared" si="35"/>
        <v>1.5131834963981611E-139</v>
      </c>
      <c r="S98" s="397">
        <f t="shared" si="35"/>
        <v>1.5131834963981611E-139</v>
      </c>
      <c r="T98" s="397">
        <f t="shared" si="35"/>
        <v>1.5131834963981609E-139</v>
      </c>
      <c r="U98" s="397">
        <f t="shared" si="35"/>
        <v>1.5131834963981609E-139</v>
      </c>
      <c r="V98" s="397">
        <f t="shared" si="35"/>
        <v>1.5131834963981609E-139</v>
      </c>
      <c r="W98" s="397">
        <f t="shared" si="35"/>
        <v>1.5131834963981611E-139</v>
      </c>
      <c r="X98" s="397">
        <f t="shared" si="35"/>
        <v>1.5131834963981611E-139</v>
      </c>
      <c r="Y98" s="397">
        <f t="shared" si="35"/>
        <v>1.5131834963981611E-139</v>
      </c>
      <c r="Z98" s="397">
        <f t="shared" si="35"/>
        <v>1.5131834963981611E-139</v>
      </c>
      <c r="AA98" s="397">
        <f t="shared" si="35"/>
        <v>1.5131834963981611E-139</v>
      </c>
      <c r="AB98" s="397">
        <f t="shared" si="35"/>
        <v>1.5131834963981611E-139</v>
      </c>
      <c r="AC98" s="397">
        <f t="shared" si="35"/>
        <v>1.5131834963981611E-139</v>
      </c>
      <c r="AD98" s="397">
        <f t="shared" si="35"/>
        <v>1.5131834963981611E-139</v>
      </c>
      <c r="AE98" s="397">
        <f t="shared" si="35"/>
        <v>1.5131834963981609E-139</v>
      </c>
      <c r="AF98" s="397">
        <f t="shared" si="35"/>
        <v>1.5131834963981611E-139</v>
      </c>
      <c r="AG98" s="397">
        <f t="shared" si="35"/>
        <v>1.5131834963981611E-139</v>
      </c>
      <c r="AH98" s="397">
        <f t="shared" si="35"/>
        <v>1.5131834963981611E-139</v>
      </c>
      <c r="AI98" s="397">
        <f t="shared" si="35"/>
        <v>1.5131834963981607E-139</v>
      </c>
      <c r="AJ98" s="397">
        <f t="shared" si="35"/>
        <v>1.5131834963981611E-139</v>
      </c>
      <c r="AK98" s="397">
        <f t="shared" si="35"/>
        <v>1.5131834963981609E-139</v>
      </c>
      <c r="AL98" s="397">
        <f t="shared" si="35"/>
        <v>1.5131834963981611E-139</v>
      </c>
      <c r="AM98" s="397">
        <f t="shared" si="35"/>
        <v>1.5131834963981611E-139</v>
      </c>
      <c r="AN98" s="397">
        <f t="shared" si="35"/>
        <v>1.5131834963981609E-139</v>
      </c>
      <c r="AO98" s="397">
        <f t="shared" si="35"/>
        <v>1.5131834963981611E-139</v>
      </c>
      <c r="AP98" s="397">
        <f t="shared" si="35"/>
        <v>1.5131834963981609E-139</v>
      </c>
    </row>
    <row r="99" spans="1:42" ht="15" outlineLevel="1">
      <c r="A99" s="374"/>
      <c r="B99" s="406" t="s">
        <v>430</v>
      </c>
      <c r="C99" s="406"/>
      <c r="D99" s="406"/>
      <c r="E99" s="406"/>
      <c r="F99" s="406"/>
      <c r="G99" s="406"/>
      <c r="H99" s="406"/>
      <c r="I99" s="406"/>
      <c r="J99" s="406"/>
      <c r="K99" s="406"/>
      <c r="L99" s="406"/>
      <c r="M99" s="406"/>
      <c r="N99" s="406"/>
      <c r="O99" s="406"/>
      <c r="P99" s="406"/>
      <c r="Q99" s="406"/>
      <c r="R99" s="406"/>
      <c r="S99" s="406"/>
      <c r="T99" s="406"/>
      <c r="U99" s="406"/>
      <c r="V99" s="406"/>
      <c r="W99" s="406"/>
      <c r="X99" s="406"/>
      <c r="Y99" s="406"/>
      <c r="Z99" s="406"/>
      <c r="AA99" s="406"/>
      <c r="AB99" s="406"/>
      <c r="AC99" s="406"/>
      <c r="AD99" s="406"/>
      <c r="AE99" s="406"/>
      <c r="AF99" s="406"/>
      <c r="AG99" s="406"/>
      <c r="AH99" s="406"/>
      <c r="AI99" s="406"/>
      <c r="AJ99" s="406"/>
      <c r="AK99" s="406"/>
      <c r="AL99" s="406"/>
      <c r="AM99" s="406"/>
      <c r="AN99" s="406"/>
      <c r="AO99" s="406"/>
      <c r="AP99" s="406"/>
    </row>
    <row r="100" spans="1:42" s="430" customFormat="1" ht="16" outlineLevel="1" thickBot="1">
      <c r="A100" s="427"/>
      <c r="B100" s="405"/>
      <c r="C100" s="405">
        <v>0</v>
      </c>
      <c r="D100" s="405">
        <v>1</v>
      </c>
      <c r="E100" s="405">
        <v>2</v>
      </c>
      <c r="F100" s="405">
        <v>3</v>
      </c>
      <c r="G100" s="405">
        <v>4</v>
      </c>
      <c r="H100" s="405">
        <v>5</v>
      </c>
      <c r="I100" s="405">
        <v>6</v>
      </c>
      <c r="J100" s="405">
        <v>7</v>
      </c>
      <c r="K100" s="405">
        <v>8</v>
      </c>
      <c r="L100" s="405">
        <v>9</v>
      </c>
      <c r="M100" s="405">
        <v>10</v>
      </c>
      <c r="N100" s="405">
        <v>11</v>
      </c>
      <c r="O100" s="405">
        <v>12</v>
      </c>
      <c r="P100" s="405">
        <v>13</v>
      </c>
      <c r="Q100" s="405">
        <v>14</v>
      </c>
      <c r="R100" s="405">
        <v>15</v>
      </c>
      <c r="S100" s="405">
        <v>16</v>
      </c>
      <c r="T100" s="405">
        <v>17</v>
      </c>
      <c r="U100" s="405">
        <v>18</v>
      </c>
      <c r="V100" s="405">
        <v>19</v>
      </c>
      <c r="W100" s="405">
        <v>20</v>
      </c>
      <c r="X100" s="421"/>
      <c r="Y100" s="421"/>
      <c r="Z100" s="421"/>
      <c r="AA100" s="421"/>
      <c r="AB100" s="421"/>
      <c r="AC100" s="421"/>
      <c r="AD100" s="421"/>
      <c r="AE100" s="421"/>
      <c r="AF100" s="421"/>
      <c r="AG100" s="421"/>
      <c r="AH100" s="421"/>
      <c r="AI100" s="421"/>
      <c r="AJ100" s="421"/>
      <c r="AK100" s="421"/>
      <c r="AL100" s="421"/>
      <c r="AM100" s="421"/>
      <c r="AN100" s="421"/>
      <c r="AO100" s="421"/>
      <c r="AP100" s="421"/>
    </row>
    <row r="101" spans="1:42" ht="15" outlineLevel="1">
      <c r="A101" s="374"/>
      <c r="B101" s="426" t="s">
        <v>323</v>
      </c>
      <c r="C101" s="388">
        <f>O109</f>
        <v>3.2620067529274223E-139</v>
      </c>
      <c r="D101" s="388">
        <f>SUMIF($C95:$AP95,D$71,$C96:$AP96)</f>
        <v>3.2620067529274227E-139</v>
      </c>
      <c r="E101" s="388">
        <f t="shared" ref="E101:W101" si="36">SUMIF($C95:$AP95,E$71,$C96:$AP96)</f>
        <v>3.2620067529274227E-139</v>
      </c>
      <c r="F101" s="388">
        <f t="shared" si="36"/>
        <v>3.1985851218890028E-139</v>
      </c>
      <c r="G101" s="388">
        <f t="shared" si="36"/>
        <v>3.0234444135998381E-139</v>
      </c>
      <c r="H101" s="388">
        <f t="shared" si="36"/>
        <v>2.837556449591073E-139</v>
      </c>
      <c r="I101" s="388">
        <f t="shared" si="36"/>
        <v>2.6402617400922784E-139</v>
      </c>
      <c r="J101" s="388">
        <f t="shared" si="36"/>
        <v>2.4308603266991093E-139</v>
      </c>
      <c r="K101" s="388">
        <f t="shared" si="36"/>
        <v>2.2086092990742418E-139</v>
      </c>
      <c r="L101" s="388">
        <f t="shared" si="36"/>
        <v>1.9727201592642571E-139</v>
      </c>
      <c r="M101" s="388">
        <f t="shared" si="36"/>
        <v>1.7223560242816551E-139</v>
      </c>
      <c r="N101" s="388">
        <f t="shared" si="36"/>
        <v>0</v>
      </c>
      <c r="O101" s="388">
        <f t="shared" si="36"/>
        <v>0</v>
      </c>
      <c r="P101" s="388">
        <f t="shared" si="36"/>
        <v>0</v>
      </c>
      <c r="Q101" s="388">
        <f t="shared" si="36"/>
        <v>0</v>
      </c>
      <c r="R101" s="388">
        <f t="shared" si="36"/>
        <v>0</v>
      </c>
      <c r="S101" s="388">
        <f t="shared" si="36"/>
        <v>0</v>
      </c>
      <c r="T101" s="388">
        <f t="shared" si="36"/>
        <v>0</v>
      </c>
      <c r="U101" s="388">
        <f t="shared" si="36"/>
        <v>0</v>
      </c>
      <c r="V101" s="388">
        <f t="shared" si="36"/>
        <v>0</v>
      </c>
      <c r="W101" s="388">
        <f t="shared" si="36"/>
        <v>0</v>
      </c>
      <c r="X101" s="388"/>
      <c r="Y101" s="388"/>
      <c r="Z101" s="388"/>
      <c r="AA101" s="388"/>
      <c r="AB101" s="388"/>
      <c r="AC101" s="388"/>
      <c r="AD101" s="388"/>
      <c r="AE101" s="388"/>
      <c r="AF101" s="388"/>
      <c r="AG101" s="388"/>
      <c r="AH101" s="388"/>
      <c r="AI101" s="388"/>
      <c r="AJ101" s="388"/>
      <c r="AK101" s="388"/>
      <c r="AL101" s="388"/>
      <c r="AM101" s="388"/>
      <c r="AN101" s="388"/>
      <c r="AO101" s="388"/>
      <c r="AP101" s="388"/>
    </row>
    <row r="102" spans="1:42" ht="15" outlineLevel="1">
      <c r="A102" s="374"/>
      <c r="B102" s="424" t="s">
        <v>324</v>
      </c>
      <c r="C102" s="393"/>
      <c r="D102" s="393">
        <f>SUMIF($C95:$AP95,D$42,$C97:$AP97)</f>
        <v>0</v>
      </c>
      <c r="E102" s="393">
        <f t="shared" ref="E102:W102" si="37">SUMIF($C95:$AP95,E$42,$C97:$AP97)</f>
        <v>0</v>
      </c>
      <c r="F102" s="393">
        <f t="shared" si="37"/>
        <v>2.854148863703641E-139</v>
      </c>
      <c r="G102" s="393">
        <f t="shared" si="37"/>
        <v>3.0292895719928056E-139</v>
      </c>
      <c r="H102" s="393">
        <f t="shared" si="37"/>
        <v>3.2151775360015707E-139</v>
      </c>
      <c r="I102" s="393">
        <f t="shared" si="37"/>
        <v>3.4124722455003661E-139</v>
      </c>
      <c r="J102" s="393">
        <f t="shared" si="37"/>
        <v>3.6218736588935352E-139</v>
      </c>
      <c r="K102" s="393">
        <f t="shared" si="37"/>
        <v>3.8441246865184027E-139</v>
      </c>
      <c r="L102" s="393">
        <f t="shared" si="37"/>
        <v>4.0800138263283866E-139</v>
      </c>
      <c r="M102" s="393">
        <f t="shared" si="37"/>
        <v>4.3303779613109886E-139</v>
      </c>
      <c r="N102" s="393">
        <f t="shared" si="37"/>
        <v>0</v>
      </c>
      <c r="O102" s="393">
        <f t="shared" si="37"/>
        <v>0</v>
      </c>
      <c r="P102" s="393">
        <f t="shared" si="37"/>
        <v>0</v>
      </c>
      <c r="Q102" s="393">
        <f t="shared" si="37"/>
        <v>0</v>
      </c>
      <c r="R102" s="393">
        <f t="shared" si="37"/>
        <v>0</v>
      </c>
      <c r="S102" s="393">
        <f t="shared" si="37"/>
        <v>0</v>
      </c>
      <c r="T102" s="393">
        <f t="shared" si="37"/>
        <v>0</v>
      </c>
      <c r="U102" s="393">
        <f t="shared" si="37"/>
        <v>0</v>
      </c>
      <c r="V102" s="393">
        <f t="shared" si="37"/>
        <v>0</v>
      </c>
      <c r="W102" s="393">
        <f t="shared" si="37"/>
        <v>0</v>
      </c>
      <c r="X102" s="393"/>
      <c r="Y102" s="393"/>
      <c r="Z102" s="393"/>
      <c r="AA102" s="393"/>
      <c r="AB102" s="393"/>
      <c r="AC102" s="393"/>
      <c r="AD102" s="393"/>
      <c r="AE102" s="393"/>
      <c r="AF102" s="393"/>
      <c r="AG102" s="393"/>
      <c r="AH102" s="393"/>
      <c r="AI102" s="393"/>
      <c r="AJ102" s="393"/>
      <c r="AK102" s="393"/>
      <c r="AL102" s="393"/>
      <c r="AM102" s="393"/>
      <c r="AN102" s="393"/>
      <c r="AO102" s="393"/>
      <c r="AP102" s="393"/>
    </row>
    <row r="103" spans="1:42" ht="16" outlineLevel="1" thickBot="1">
      <c r="A103" s="374"/>
      <c r="B103" s="425" t="s">
        <v>1</v>
      </c>
      <c r="C103" s="397">
        <f t="shared" ref="C103:W103" si="38">SUM(C101:C102)</f>
        <v>3.2620067529274223E-139</v>
      </c>
      <c r="D103" s="397">
        <f t="shared" si="38"/>
        <v>3.2620067529274227E-139</v>
      </c>
      <c r="E103" s="397">
        <f t="shared" si="38"/>
        <v>3.2620067529274227E-139</v>
      </c>
      <c r="F103" s="397">
        <f t="shared" si="38"/>
        <v>6.0527339855926437E-139</v>
      </c>
      <c r="G103" s="397">
        <f t="shared" si="38"/>
        <v>6.0527339855926437E-139</v>
      </c>
      <c r="H103" s="397">
        <f t="shared" si="38"/>
        <v>6.0527339855926437E-139</v>
      </c>
      <c r="I103" s="397">
        <f t="shared" si="38"/>
        <v>6.0527339855926445E-139</v>
      </c>
      <c r="J103" s="397">
        <f t="shared" si="38"/>
        <v>6.0527339855926445E-139</v>
      </c>
      <c r="K103" s="397">
        <f t="shared" si="38"/>
        <v>6.0527339855926445E-139</v>
      </c>
      <c r="L103" s="397">
        <f t="shared" si="38"/>
        <v>6.0527339855926437E-139</v>
      </c>
      <c r="M103" s="397">
        <f t="shared" si="38"/>
        <v>6.0527339855926437E-139</v>
      </c>
      <c r="N103" s="397">
        <f t="shared" si="38"/>
        <v>0</v>
      </c>
      <c r="O103" s="397">
        <f t="shared" si="38"/>
        <v>0</v>
      </c>
      <c r="P103" s="397">
        <f t="shared" si="38"/>
        <v>0</v>
      </c>
      <c r="Q103" s="397">
        <f t="shared" si="38"/>
        <v>0</v>
      </c>
      <c r="R103" s="397">
        <f t="shared" si="38"/>
        <v>0</v>
      </c>
      <c r="S103" s="397">
        <f t="shared" si="38"/>
        <v>0</v>
      </c>
      <c r="T103" s="397">
        <f t="shared" si="38"/>
        <v>0</v>
      </c>
      <c r="U103" s="397">
        <f t="shared" si="38"/>
        <v>0</v>
      </c>
      <c r="V103" s="397">
        <f t="shared" si="38"/>
        <v>0</v>
      </c>
      <c r="W103" s="397">
        <f t="shared" si="38"/>
        <v>0</v>
      </c>
      <c r="X103" s="397"/>
      <c r="Y103" s="397"/>
      <c r="Z103" s="397"/>
      <c r="AA103" s="397"/>
      <c r="AB103" s="397"/>
      <c r="AC103" s="397"/>
      <c r="AD103" s="397"/>
      <c r="AE103" s="397"/>
      <c r="AF103" s="397"/>
      <c r="AG103" s="397"/>
      <c r="AH103" s="397"/>
      <c r="AI103" s="397"/>
      <c r="AJ103" s="397"/>
      <c r="AK103" s="397"/>
      <c r="AL103" s="397"/>
      <c r="AM103" s="397"/>
      <c r="AN103" s="397"/>
      <c r="AO103" s="397"/>
      <c r="AP103" s="397"/>
    </row>
    <row r="104" spans="1:42" ht="15" outlineLevel="1">
      <c r="A104" s="374"/>
      <c r="B104" s="406" t="s">
        <v>252</v>
      </c>
      <c r="C104" s="406"/>
      <c r="D104" s="406"/>
      <c r="E104" s="406"/>
      <c r="F104" s="406"/>
      <c r="G104" s="406"/>
      <c r="H104" s="406"/>
      <c r="I104" s="406"/>
      <c r="J104" s="406"/>
      <c r="K104" s="406"/>
      <c r="L104" s="406"/>
      <c r="M104" s="406"/>
      <c r="N104" s="406"/>
      <c r="O104" s="406"/>
      <c r="P104" s="406"/>
      <c r="Q104" s="406"/>
      <c r="R104" s="406"/>
      <c r="S104" s="406"/>
      <c r="T104" s="406"/>
      <c r="U104" s="406"/>
      <c r="V104" s="406"/>
      <c r="W104" s="406"/>
      <c r="X104" s="406"/>
      <c r="Y104" s="406"/>
      <c r="Z104" s="406"/>
      <c r="AA104" s="406"/>
      <c r="AB104" s="406"/>
      <c r="AC104" s="406"/>
      <c r="AD104" s="406"/>
      <c r="AE104" s="406"/>
      <c r="AF104" s="406"/>
      <c r="AG104" s="406"/>
      <c r="AH104" s="406"/>
      <c r="AI104" s="406"/>
      <c r="AJ104" s="406"/>
      <c r="AK104" s="406"/>
      <c r="AL104" s="406"/>
      <c r="AM104" s="406"/>
      <c r="AN104" s="406"/>
      <c r="AO104" s="406"/>
      <c r="AP104" s="406"/>
    </row>
    <row r="105" spans="1:42" s="430" customFormat="1" ht="16" outlineLevel="1" thickBot="1">
      <c r="A105" s="427"/>
      <c r="B105" s="428"/>
      <c r="C105" s="428">
        <v>1</v>
      </c>
      <c r="D105" s="428">
        <v>2</v>
      </c>
      <c r="E105" s="428">
        <v>3</v>
      </c>
      <c r="F105" s="428">
        <v>4</v>
      </c>
      <c r="G105" s="428">
        <v>5</v>
      </c>
      <c r="H105" s="428">
        <v>6</v>
      </c>
      <c r="I105" s="428">
        <v>7</v>
      </c>
      <c r="J105" s="428">
        <v>8</v>
      </c>
      <c r="K105" s="428">
        <v>9</v>
      </c>
      <c r="L105" s="428">
        <v>10</v>
      </c>
      <c r="M105" s="428">
        <v>11</v>
      </c>
      <c r="N105" s="428">
        <v>12</v>
      </c>
      <c r="O105" s="428" t="s">
        <v>1</v>
      </c>
      <c r="P105" s="429"/>
      <c r="Q105" s="429"/>
      <c r="R105" s="429"/>
      <c r="S105" s="429"/>
      <c r="T105" s="429"/>
      <c r="U105" s="429"/>
      <c r="V105" s="429"/>
      <c r="W105" s="429"/>
      <c r="X105" s="429"/>
      <c r="Y105" s="429"/>
      <c r="Z105" s="429"/>
      <c r="AA105" s="429"/>
      <c r="AB105" s="429"/>
      <c r="AC105" s="429"/>
      <c r="AD105" s="429"/>
      <c r="AE105" s="429"/>
      <c r="AF105" s="429"/>
      <c r="AG105" s="429"/>
      <c r="AH105" s="429"/>
      <c r="AI105" s="429"/>
      <c r="AJ105" s="429"/>
      <c r="AK105" s="429"/>
      <c r="AL105" s="429"/>
      <c r="AM105" s="429"/>
      <c r="AN105" s="429"/>
      <c r="AO105" s="429"/>
      <c r="AP105" s="429"/>
    </row>
    <row r="106" spans="1:42" ht="15" outlineLevel="1">
      <c r="A106" s="374"/>
      <c r="B106" s="421" t="s">
        <v>431</v>
      </c>
      <c r="C106" s="431">
        <v>1</v>
      </c>
      <c r="D106" s="431">
        <v>0</v>
      </c>
      <c r="E106" s="431">
        <v>0</v>
      </c>
      <c r="F106" s="431">
        <v>0</v>
      </c>
      <c r="G106" s="431">
        <v>0</v>
      </c>
      <c r="H106" s="431">
        <v>0</v>
      </c>
      <c r="I106" s="431">
        <v>0</v>
      </c>
      <c r="J106" s="431">
        <v>0</v>
      </c>
      <c r="K106" s="431">
        <v>0</v>
      </c>
      <c r="L106" s="431">
        <v>0</v>
      </c>
      <c r="M106" s="431">
        <v>0</v>
      </c>
      <c r="N106" s="431">
        <v>0</v>
      </c>
      <c r="O106" s="432"/>
      <c r="P106" s="412"/>
      <c r="Q106" s="412"/>
      <c r="R106" s="412"/>
      <c r="S106" s="412"/>
      <c r="T106" s="412"/>
      <c r="U106" s="412"/>
      <c r="V106" s="412"/>
      <c r="W106" s="412"/>
      <c r="X106" s="412"/>
      <c r="Y106" s="412"/>
      <c r="Z106" s="412"/>
      <c r="AA106" s="412"/>
      <c r="AB106" s="412"/>
      <c r="AC106" s="412"/>
      <c r="AD106" s="412"/>
      <c r="AE106" s="412"/>
      <c r="AF106" s="412"/>
      <c r="AG106" s="412"/>
      <c r="AH106" s="412"/>
      <c r="AI106" s="412"/>
      <c r="AJ106" s="412"/>
      <c r="AK106" s="412"/>
      <c r="AL106" s="412"/>
      <c r="AM106" s="412"/>
      <c r="AN106" s="412"/>
      <c r="AO106" s="412"/>
      <c r="AP106" s="412"/>
    </row>
    <row r="107" spans="1:42" ht="15" outlineLevel="1">
      <c r="A107" s="374"/>
      <c r="B107" s="426" t="s">
        <v>324</v>
      </c>
      <c r="C107" s="388">
        <f t="shared" ref="C107:N107" si="39">$I$7*C106</f>
        <v>5.4366779215457047E-138</v>
      </c>
      <c r="D107" s="388">
        <f t="shared" si="39"/>
        <v>0</v>
      </c>
      <c r="E107" s="388">
        <f t="shared" si="39"/>
        <v>0</v>
      </c>
      <c r="F107" s="388">
        <f t="shared" si="39"/>
        <v>0</v>
      </c>
      <c r="G107" s="388">
        <f t="shared" si="39"/>
        <v>0</v>
      </c>
      <c r="H107" s="388">
        <f t="shared" si="39"/>
        <v>0</v>
      </c>
      <c r="I107" s="388">
        <f t="shared" si="39"/>
        <v>0</v>
      </c>
      <c r="J107" s="388">
        <f t="shared" si="39"/>
        <v>0</v>
      </c>
      <c r="K107" s="388">
        <f t="shared" si="39"/>
        <v>0</v>
      </c>
      <c r="L107" s="388">
        <f t="shared" si="39"/>
        <v>0</v>
      </c>
      <c r="M107" s="388">
        <f t="shared" si="39"/>
        <v>0</v>
      </c>
      <c r="N107" s="388">
        <f t="shared" si="39"/>
        <v>0</v>
      </c>
      <c r="O107" s="388"/>
      <c r="P107" s="412"/>
      <c r="Q107" s="412"/>
      <c r="R107" s="412"/>
      <c r="S107" s="412"/>
      <c r="T107" s="412"/>
      <c r="U107" s="412"/>
      <c r="V107" s="412"/>
      <c r="W107" s="412"/>
      <c r="X107" s="412"/>
      <c r="Y107" s="412"/>
      <c r="Z107" s="412"/>
      <c r="AA107" s="412"/>
      <c r="AB107" s="412"/>
      <c r="AC107" s="412"/>
      <c r="AD107" s="412"/>
      <c r="AE107" s="412"/>
      <c r="AF107" s="412"/>
      <c r="AG107" s="412"/>
      <c r="AH107" s="412"/>
      <c r="AI107" s="412"/>
      <c r="AJ107" s="412"/>
      <c r="AK107" s="412"/>
      <c r="AL107" s="412"/>
      <c r="AM107" s="412"/>
      <c r="AN107" s="412"/>
      <c r="AO107" s="412"/>
      <c r="AP107" s="412"/>
    </row>
    <row r="108" spans="1:42" ht="15" outlineLevel="1">
      <c r="A108" s="374"/>
      <c r="B108" s="424" t="s">
        <v>432</v>
      </c>
      <c r="C108" s="393">
        <f>C107</f>
        <v>5.4366779215457047E-138</v>
      </c>
      <c r="D108" s="393">
        <f t="shared" ref="D108:N108" si="40">D107+C108</f>
        <v>5.4366779215457047E-138</v>
      </c>
      <c r="E108" s="393">
        <f t="shared" si="40"/>
        <v>5.4366779215457047E-138</v>
      </c>
      <c r="F108" s="393">
        <f t="shared" si="40"/>
        <v>5.4366779215457047E-138</v>
      </c>
      <c r="G108" s="393">
        <f t="shared" si="40"/>
        <v>5.4366779215457047E-138</v>
      </c>
      <c r="H108" s="393">
        <f t="shared" si="40"/>
        <v>5.4366779215457047E-138</v>
      </c>
      <c r="I108" s="393">
        <f t="shared" si="40"/>
        <v>5.4366779215457047E-138</v>
      </c>
      <c r="J108" s="393">
        <f t="shared" si="40"/>
        <v>5.4366779215457047E-138</v>
      </c>
      <c r="K108" s="393">
        <f t="shared" si="40"/>
        <v>5.4366779215457047E-138</v>
      </c>
      <c r="L108" s="393">
        <f t="shared" si="40"/>
        <v>5.4366779215457047E-138</v>
      </c>
      <c r="M108" s="393">
        <f t="shared" si="40"/>
        <v>5.4366779215457047E-138</v>
      </c>
      <c r="N108" s="393">
        <f t="shared" si="40"/>
        <v>5.4366779215457047E-138</v>
      </c>
      <c r="O108" s="393"/>
      <c r="P108" s="412"/>
      <c r="Q108" s="412"/>
      <c r="R108" s="412"/>
      <c r="S108" s="412"/>
      <c r="T108" s="412"/>
      <c r="U108" s="412"/>
      <c r="V108" s="412"/>
      <c r="W108" s="412"/>
      <c r="X108" s="412"/>
      <c r="Y108" s="412"/>
      <c r="Z108" s="412"/>
      <c r="AA108" s="412"/>
      <c r="AB108" s="412"/>
      <c r="AC108" s="412"/>
      <c r="AD108" s="412"/>
      <c r="AE108" s="412"/>
      <c r="AF108" s="412"/>
      <c r="AG108" s="412"/>
      <c r="AH108" s="412"/>
      <c r="AI108" s="412"/>
      <c r="AJ108" s="412"/>
      <c r="AK108" s="412"/>
      <c r="AL108" s="412"/>
      <c r="AM108" s="412"/>
      <c r="AN108" s="412"/>
      <c r="AO108" s="412"/>
      <c r="AP108" s="412"/>
    </row>
    <row r="109" spans="1:42" ht="16" outlineLevel="1" thickBot="1">
      <c r="A109" s="374"/>
      <c r="B109" s="425" t="s">
        <v>323</v>
      </c>
      <c r="C109" s="397">
        <f t="shared" ref="C109:N109" si="41">C108*$J$7/12</f>
        <v>2.7183389607728524E-140</v>
      </c>
      <c r="D109" s="397">
        <f t="shared" si="41"/>
        <v>2.7183389607728524E-140</v>
      </c>
      <c r="E109" s="397">
        <f t="shared" si="41"/>
        <v>2.7183389607728524E-140</v>
      </c>
      <c r="F109" s="397">
        <f t="shared" si="41"/>
        <v>2.7183389607728524E-140</v>
      </c>
      <c r="G109" s="397">
        <f t="shared" si="41"/>
        <v>2.7183389607728524E-140</v>
      </c>
      <c r="H109" s="397">
        <f t="shared" si="41"/>
        <v>2.7183389607728524E-140</v>
      </c>
      <c r="I109" s="397">
        <f t="shared" si="41"/>
        <v>2.7183389607728524E-140</v>
      </c>
      <c r="J109" s="397">
        <f t="shared" si="41"/>
        <v>2.7183389607728524E-140</v>
      </c>
      <c r="K109" s="397">
        <f t="shared" si="41"/>
        <v>2.7183389607728524E-140</v>
      </c>
      <c r="L109" s="397">
        <f t="shared" si="41"/>
        <v>2.7183389607728524E-140</v>
      </c>
      <c r="M109" s="397">
        <f t="shared" si="41"/>
        <v>2.7183389607728524E-140</v>
      </c>
      <c r="N109" s="397">
        <f t="shared" si="41"/>
        <v>2.7183389607728524E-140</v>
      </c>
      <c r="O109" s="397">
        <f>SUM(C109:N109)</f>
        <v>3.2620067529274223E-139</v>
      </c>
      <c r="P109" s="412"/>
      <c r="Q109" s="412"/>
      <c r="R109" s="412"/>
      <c r="S109" s="412"/>
      <c r="T109" s="412"/>
      <c r="U109" s="412"/>
      <c r="V109" s="412"/>
      <c r="W109" s="412"/>
      <c r="X109" s="412"/>
      <c r="Y109" s="412"/>
      <c r="Z109" s="412"/>
      <c r="AA109" s="412"/>
      <c r="AB109" s="412"/>
      <c r="AC109" s="412"/>
      <c r="AD109" s="412"/>
      <c r="AE109" s="412"/>
      <c r="AF109" s="412"/>
      <c r="AG109" s="412"/>
      <c r="AH109" s="412"/>
      <c r="AI109" s="412"/>
      <c r="AJ109" s="412"/>
      <c r="AK109" s="412"/>
      <c r="AL109" s="412"/>
      <c r="AM109" s="412"/>
      <c r="AN109" s="412"/>
      <c r="AO109" s="412"/>
      <c r="AP109" s="412"/>
    </row>
    <row r="110" spans="1:42" s="435" customFormat="1" ht="15" outlineLevel="1">
      <c r="A110" s="433"/>
      <c r="B110" s="434" t="s">
        <v>433</v>
      </c>
      <c r="C110" s="406"/>
      <c r="D110" s="406"/>
      <c r="E110" s="406"/>
      <c r="F110" s="406"/>
      <c r="G110" s="406"/>
      <c r="H110" s="406"/>
      <c r="I110" s="406"/>
      <c r="J110" s="406"/>
      <c r="K110" s="406"/>
      <c r="L110" s="406"/>
      <c r="M110" s="406"/>
      <c r="N110" s="406"/>
      <c r="O110" s="406"/>
      <c r="P110" s="406"/>
      <c r="Q110" s="406"/>
      <c r="R110" s="406"/>
      <c r="S110" s="406"/>
      <c r="T110" s="406"/>
      <c r="U110" s="406"/>
      <c r="V110" s="406"/>
      <c r="W110" s="406"/>
      <c r="X110" s="406"/>
      <c r="Y110" s="406"/>
      <c r="Z110" s="406"/>
      <c r="AA110" s="406"/>
      <c r="AB110" s="406"/>
      <c r="AC110" s="406"/>
      <c r="AD110" s="406"/>
      <c r="AE110" s="406"/>
      <c r="AF110" s="406"/>
      <c r="AG110" s="406"/>
      <c r="AH110" s="406"/>
      <c r="AI110" s="406"/>
      <c r="AJ110" s="406"/>
      <c r="AK110" s="406"/>
      <c r="AL110" s="406"/>
      <c r="AM110" s="406"/>
      <c r="AN110" s="406"/>
      <c r="AO110" s="406"/>
      <c r="AP110" s="406"/>
    </row>
    <row r="111" spans="1:42" ht="15" outlineLevel="1">
      <c r="A111" s="374"/>
      <c r="B111" s="437" t="s">
        <v>434</v>
      </c>
      <c r="C111" s="412"/>
      <c r="D111" s="438">
        <f>$A$53</f>
        <v>0</v>
      </c>
      <c r="E111" s="438">
        <f>D111+5%</f>
        <v>0.05</v>
      </c>
      <c r="F111" s="438">
        <f>E111+5%</f>
        <v>0.1</v>
      </c>
      <c r="G111" s="438">
        <f t="shared" ref="G111:X111" si="42">F111+5%</f>
        <v>0.15000000000000002</v>
      </c>
      <c r="H111" s="438">
        <f t="shared" si="42"/>
        <v>0.2</v>
      </c>
      <c r="I111" s="438">
        <f t="shared" si="42"/>
        <v>0.25</v>
      </c>
      <c r="J111" s="438">
        <f t="shared" si="42"/>
        <v>0.3</v>
      </c>
      <c r="K111" s="438">
        <f t="shared" si="42"/>
        <v>0.35</v>
      </c>
      <c r="L111" s="438">
        <f t="shared" si="42"/>
        <v>0.39999999999999997</v>
      </c>
      <c r="M111" s="438">
        <f t="shared" si="42"/>
        <v>0.44999999999999996</v>
      </c>
      <c r="N111" s="438">
        <f t="shared" si="42"/>
        <v>0.49999999999999994</v>
      </c>
      <c r="O111" s="438">
        <f t="shared" si="42"/>
        <v>0.54999999999999993</v>
      </c>
      <c r="P111" s="438">
        <f t="shared" si="42"/>
        <v>0.6</v>
      </c>
      <c r="Q111" s="515">
        <v>0.66666666666666663</v>
      </c>
      <c r="R111" s="438">
        <v>0.7</v>
      </c>
      <c r="S111" s="438">
        <f t="shared" si="42"/>
        <v>0.75</v>
      </c>
      <c r="T111" s="438">
        <f t="shared" si="42"/>
        <v>0.8</v>
      </c>
      <c r="U111" s="438">
        <f t="shared" si="42"/>
        <v>0.85000000000000009</v>
      </c>
      <c r="V111" s="438">
        <f t="shared" si="42"/>
        <v>0.90000000000000013</v>
      </c>
      <c r="W111" s="438">
        <f t="shared" si="42"/>
        <v>0.95000000000000018</v>
      </c>
      <c r="X111" s="438">
        <f t="shared" si="42"/>
        <v>1.0000000000000002</v>
      </c>
      <c r="Y111" s="412"/>
      <c r="Z111" s="412"/>
      <c r="AA111" s="412"/>
      <c r="AB111" s="412"/>
      <c r="AC111" s="412"/>
      <c r="AD111" s="412"/>
      <c r="AE111" s="412"/>
      <c r="AF111" s="412"/>
      <c r="AG111" s="412"/>
      <c r="AH111" s="412"/>
      <c r="AI111" s="412"/>
      <c r="AJ111" s="412"/>
      <c r="AK111" s="412"/>
      <c r="AL111" s="412"/>
      <c r="AM111" s="412"/>
      <c r="AN111" s="412"/>
      <c r="AO111" s="412"/>
      <c r="AP111" s="412"/>
    </row>
    <row r="112" spans="1:42" ht="15" outlineLevel="1">
      <c r="A112" s="401">
        <f>HLOOKUP($H$7+1%,D111:X113,2,TRUE)*$N$7</f>
        <v>5.5708189101193025E-138</v>
      </c>
      <c r="B112" s="421" t="s">
        <v>303</v>
      </c>
      <c r="C112" s="440">
        <f>O109</f>
        <v>3.2620067529274223E-139</v>
      </c>
      <c r="D112" s="408">
        <f t="dataTable" ref="D112:X113" dt2D="0" dtr="1" r1="H7" ca="1"/>
        <v>0</v>
      </c>
      <c r="E112" s="408">
        <v>1.7842478894372403E-268</v>
      </c>
      <c r="F112" s="408">
        <v>1.4823818043051896E-233</v>
      </c>
      <c r="G112" s="408">
        <v>3.9590292492605964E-213</v>
      </c>
      <c r="H112" s="408">
        <v>1.2318055720849902E-198</v>
      </c>
      <c r="I112" s="408">
        <v>2.1487274461346221E-187</v>
      </c>
      <c r="J112" s="408">
        <v>3.2907994093219823E-178</v>
      </c>
      <c r="K112" s="408">
        <v>1.9197410747170175E-170</v>
      </c>
      <c r="L112" s="408">
        <v>1.0243314345525004E-163</v>
      </c>
      <c r="M112" s="408">
        <v>8.7959687590938038E-158</v>
      </c>
      <c r="N112" s="408">
        <v>1.7878125189172392E-152</v>
      </c>
      <c r="O112" s="408">
        <v>1.132561773899117E-147</v>
      </c>
      <c r="P112" s="408">
        <v>2.7399504336152033E-143</v>
      </c>
      <c r="Q112" s="408">
        <v>5.5708189101193025E-138</v>
      </c>
      <c r="R112" s="408">
        <v>1.5997225110545036E-135</v>
      </c>
      <c r="S112" s="408">
        <v>4.7868042525795237E-132</v>
      </c>
      <c r="T112" s="408">
        <v>8.5440737062273933E-129</v>
      </c>
      <c r="U112" s="408">
        <v>9.6856726958765287E-126</v>
      </c>
      <c r="V112" s="408">
        <v>7.3450405076781963E-123</v>
      </c>
      <c r="W112" s="408">
        <v>3.8918047637721449E-120</v>
      </c>
      <c r="X112" s="408">
        <v>1.494802642581638E-117</v>
      </c>
      <c r="Y112" s="412"/>
      <c r="Z112" s="412"/>
      <c r="AA112" s="412"/>
      <c r="AB112" s="412"/>
      <c r="AC112" s="412"/>
      <c r="AD112" s="412"/>
      <c r="AE112" s="412"/>
      <c r="AF112" s="412"/>
      <c r="AG112" s="412"/>
      <c r="AH112" s="412"/>
      <c r="AI112" s="412"/>
      <c r="AJ112" s="412"/>
      <c r="AK112" s="412"/>
      <c r="AL112" s="412"/>
      <c r="AM112" s="412"/>
      <c r="AN112" s="412"/>
      <c r="AO112" s="412"/>
      <c r="AP112" s="412"/>
    </row>
    <row r="113" spans="1:42" ht="15" outlineLevel="1">
      <c r="A113" s="401">
        <f>HLOOKUP($H$7+1%,D111:X113,3,TRUE)*$O$7</f>
        <v>2.5841979721992542E-138</v>
      </c>
      <c r="B113" s="421" t="s">
        <v>302</v>
      </c>
      <c r="C113" s="440">
        <f>-PMT($J$7/$M$7,$K$7*$M$7,$I$7)</f>
        <v>1.5131834963981611E-139</v>
      </c>
      <c r="D113" s="408">
        <v>0</v>
      </c>
      <c r="E113" s="408">
        <v>8.2767899157680068E-269</v>
      </c>
      <c r="F113" s="408">
        <v>6.8764899999747153E-234</v>
      </c>
      <c r="G113" s="408">
        <v>1.8365191048002792E-213</v>
      </c>
      <c r="H113" s="408">
        <v>5.7141140519636864E-199</v>
      </c>
      <c r="I113" s="408">
        <v>9.9675419335988721E-188</v>
      </c>
      <c r="J113" s="408">
        <v>1.5265398674217986E-178</v>
      </c>
      <c r="K113" s="408">
        <v>8.905317283639885E-171</v>
      </c>
      <c r="L113" s="408">
        <v>4.7516806034067185E-164</v>
      </c>
      <c r="M113" s="408">
        <v>4.0802842450126267E-158</v>
      </c>
      <c r="N113" s="408">
        <v>8.29332556056723E-153</v>
      </c>
      <c r="O113" s="408">
        <v>5.2537407636497914E-148</v>
      </c>
      <c r="P113" s="408">
        <v>1.2710114022218751E-143</v>
      </c>
      <c r="Q113" s="408">
        <v>2.5841979721992542E-138</v>
      </c>
      <c r="R113" s="408">
        <v>7.4208114387620897E-136</v>
      </c>
      <c r="S113" s="408">
        <v>2.2205083386144146E-132</v>
      </c>
      <c r="T113" s="408">
        <v>3.9634348741522726E-129</v>
      </c>
      <c r="U113" s="408">
        <v>4.4930011446977347E-126</v>
      </c>
      <c r="V113" s="408">
        <v>3.4072259558077939E-123</v>
      </c>
      <c r="W113" s="408">
        <v>1.8053349320809269E-120</v>
      </c>
      <c r="X113" s="408">
        <v>6.9341079294118166E-118</v>
      </c>
      <c r="Y113" s="412"/>
      <c r="Z113" s="412"/>
      <c r="AA113" s="412"/>
      <c r="AB113" s="412"/>
      <c r="AC113" s="412"/>
      <c r="AD113" s="412"/>
      <c r="AE113" s="412"/>
      <c r="AF113" s="412"/>
      <c r="AG113" s="412"/>
      <c r="AH113" s="412"/>
      <c r="AI113" s="412"/>
      <c r="AJ113" s="412"/>
      <c r="AK113" s="412"/>
      <c r="AL113" s="412"/>
      <c r="AM113" s="412"/>
      <c r="AN113" s="412"/>
      <c r="AO113" s="412"/>
      <c r="AP113" s="412"/>
    </row>
    <row r="114" spans="1:42" ht="15" outlineLevel="1">
      <c r="A114" s="374"/>
      <c r="B114" s="406" t="s">
        <v>424</v>
      </c>
      <c r="C114" s="406"/>
      <c r="D114" s="406"/>
      <c r="E114" s="406"/>
      <c r="F114" s="406"/>
      <c r="G114" s="406"/>
      <c r="H114" s="406"/>
      <c r="I114" s="406"/>
      <c r="J114" s="406"/>
      <c r="K114" s="406"/>
      <c r="L114" s="406"/>
      <c r="M114" s="406"/>
      <c r="N114" s="406"/>
      <c r="O114" s="406"/>
      <c r="P114" s="406"/>
      <c r="Q114" s="406"/>
      <c r="R114" s="406"/>
      <c r="S114" s="406"/>
      <c r="T114" s="406"/>
      <c r="U114" s="406"/>
      <c r="V114" s="406"/>
      <c r="W114" s="406"/>
      <c r="X114" s="406"/>
      <c r="Y114" s="406"/>
      <c r="Z114" s="406"/>
      <c r="AA114" s="406"/>
      <c r="AB114" s="406"/>
      <c r="AC114" s="406"/>
      <c r="AD114" s="406"/>
      <c r="AE114" s="406"/>
      <c r="AF114" s="406"/>
      <c r="AG114" s="406"/>
      <c r="AH114" s="406"/>
      <c r="AI114" s="406"/>
      <c r="AJ114" s="406"/>
      <c r="AK114" s="406"/>
      <c r="AL114" s="406"/>
      <c r="AM114" s="406"/>
      <c r="AN114" s="406"/>
      <c r="AO114" s="406"/>
      <c r="AP114" s="406"/>
    </row>
    <row r="115" spans="1:42" s="430" customFormat="1" ht="16" outlineLevel="1" thickBot="1">
      <c r="A115" s="427"/>
      <c r="B115" s="405"/>
      <c r="C115" s="405">
        <v>0</v>
      </c>
      <c r="D115" s="405">
        <v>1</v>
      </c>
      <c r="E115" s="405">
        <v>2</v>
      </c>
      <c r="F115" s="405">
        <v>3</v>
      </c>
      <c r="G115" s="405">
        <v>4</v>
      </c>
      <c r="H115" s="405">
        <v>5</v>
      </c>
      <c r="I115" s="405">
        <v>6</v>
      </c>
      <c r="J115" s="405">
        <v>7</v>
      </c>
      <c r="K115" s="405">
        <v>8</v>
      </c>
      <c r="L115" s="405">
        <v>9</v>
      </c>
      <c r="M115" s="405">
        <v>10</v>
      </c>
      <c r="N115" s="405">
        <v>11</v>
      </c>
      <c r="O115" s="405">
        <v>12</v>
      </c>
      <c r="P115" s="405">
        <v>13</v>
      </c>
      <c r="Q115" s="405">
        <v>14</v>
      </c>
      <c r="R115" s="405">
        <v>15</v>
      </c>
      <c r="S115" s="405">
        <v>16</v>
      </c>
      <c r="T115" s="405">
        <v>17</v>
      </c>
      <c r="U115" s="405">
        <v>18</v>
      </c>
      <c r="V115" s="405">
        <v>19</v>
      </c>
      <c r="W115" s="405">
        <v>20</v>
      </c>
      <c r="X115" s="421"/>
      <c r="Y115" s="421"/>
      <c r="Z115" s="421"/>
      <c r="AA115" s="421"/>
      <c r="AB115" s="421"/>
      <c r="AC115" s="421"/>
      <c r="AD115" s="421"/>
      <c r="AE115" s="421"/>
      <c r="AF115" s="421"/>
      <c r="AG115" s="421"/>
      <c r="AH115" s="421"/>
      <c r="AI115" s="421"/>
      <c r="AJ115" s="421"/>
      <c r="AK115" s="421"/>
      <c r="AL115" s="421"/>
      <c r="AM115" s="421"/>
      <c r="AN115" s="421"/>
      <c r="AO115" s="421"/>
      <c r="AP115" s="421"/>
    </row>
    <row r="116" spans="1:42" ht="15" outlineLevel="1">
      <c r="A116" s="374"/>
      <c r="B116" s="441" t="s">
        <v>425</v>
      </c>
      <c r="C116" s="442">
        <f>D102</f>
        <v>0</v>
      </c>
      <c r="D116" s="442">
        <f t="shared" ref="D116:W116" si="43">E102</f>
        <v>0</v>
      </c>
      <c r="E116" s="442">
        <f t="shared" si="43"/>
        <v>2.854148863703641E-139</v>
      </c>
      <c r="F116" s="442">
        <f t="shared" si="43"/>
        <v>3.0292895719928056E-139</v>
      </c>
      <c r="G116" s="442">
        <f t="shared" si="43"/>
        <v>3.2151775360015707E-139</v>
      </c>
      <c r="H116" s="442">
        <f t="shared" si="43"/>
        <v>3.4124722455003661E-139</v>
      </c>
      <c r="I116" s="442">
        <f t="shared" si="43"/>
        <v>3.6218736588935352E-139</v>
      </c>
      <c r="J116" s="442">
        <f t="shared" si="43"/>
        <v>3.8441246865184027E-139</v>
      </c>
      <c r="K116" s="442">
        <f t="shared" si="43"/>
        <v>4.0800138263283866E-139</v>
      </c>
      <c r="L116" s="442">
        <f t="shared" si="43"/>
        <v>4.3303779613109886E-139</v>
      </c>
      <c r="M116" s="442">
        <f t="shared" si="43"/>
        <v>0</v>
      </c>
      <c r="N116" s="442">
        <f t="shared" si="43"/>
        <v>0</v>
      </c>
      <c r="O116" s="442">
        <f t="shared" si="43"/>
        <v>0</v>
      </c>
      <c r="P116" s="442">
        <f t="shared" si="43"/>
        <v>0</v>
      </c>
      <c r="Q116" s="442">
        <f t="shared" si="43"/>
        <v>0</v>
      </c>
      <c r="R116" s="442">
        <f t="shared" si="43"/>
        <v>0</v>
      </c>
      <c r="S116" s="442">
        <f t="shared" si="43"/>
        <v>0</v>
      </c>
      <c r="T116" s="442">
        <f t="shared" si="43"/>
        <v>0</v>
      </c>
      <c r="U116" s="442">
        <f t="shared" si="43"/>
        <v>0</v>
      </c>
      <c r="V116" s="442">
        <f t="shared" si="43"/>
        <v>0</v>
      </c>
      <c r="W116" s="442">
        <f t="shared" si="43"/>
        <v>0</v>
      </c>
      <c r="X116" s="442"/>
      <c r="Y116" s="442"/>
      <c r="Z116" s="442"/>
      <c r="AA116" s="442"/>
      <c r="AB116" s="442"/>
      <c r="AC116" s="442"/>
      <c r="AD116" s="442"/>
      <c r="AE116" s="442"/>
      <c r="AF116" s="442"/>
      <c r="AG116" s="442"/>
      <c r="AH116" s="442"/>
      <c r="AI116" s="442"/>
      <c r="AJ116" s="442"/>
      <c r="AK116" s="442"/>
      <c r="AL116" s="442"/>
      <c r="AM116" s="442"/>
      <c r="AN116" s="442"/>
      <c r="AO116" s="442"/>
      <c r="AP116" s="442"/>
    </row>
    <row r="117" spans="1:42" ht="16" outlineLevel="1" thickBot="1">
      <c r="A117" s="374"/>
      <c r="B117" s="443" t="s">
        <v>426</v>
      </c>
      <c r="C117" s="444">
        <f>$I$7-C116</f>
        <v>5.4366779215457047E-138</v>
      </c>
      <c r="D117" s="444">
        <f t="shared" ref="D117:W117" si="44">C117-D116</f>
        <v>5.4366779215457047E-138</v>
      </c>
      <c r="E117" s="444">
        <f t="shared" si="44"/>
        <v>5.1512630351753407E-138</v>
      </c>
      <c r="F117" s="444">
        <f t="shared" si="44"/>
        <v>4.8483340779760604E-138</v>
      </c>
      <c r="G117" s="444">
        <f t="shared" si="44"/>
        <v>4.526816324375903E-138</v>
      </c>
      <c r="H117" s="444">
        <f t="shared" si="44"/>
        <v>4.1855690998258666E-138</v>
      </c>
      <c r="I117" s="444">
        <f t="shared" si="44"/>
        <v>3.823381733936513E-138</v>
      </c>
      <c r="J117" s="444">
        <f t="shared" si="44"/>
        <v>3.4389692652846729E-138</v>
      </c>
      <c r="K117" s="444">
        <f t="shared" si="44"/>
        <v>3.0309678826518341E-138</v>
      </c>
      <c r="L117" s="444">
        <f t="shared" si="44"/>
        <v>2.5979300865207353E-138</v>
      </c>
      <c r="M117" s="444">
        <f t="shared" si="44"/>
        <v>2.5979300865207353E-138</v>
      </c>
      <c r="N117" s="444">
        <f t="shared" si="44"/>
        <v>2.5979300865207353E-138</v>
      </c>
      <c r="O117" s="444">
        <f t="shared" si="44"/>
        <v>2.5979300865207353E-138</v>
      </c>
      <c r="P117" s="444">
        <f t="shared" si="44"/>
        <v>2.5979300865207353E-138</v>
      </c>
      <c r="Q117" s="444">
        <f t="shared" si="44"/>
        <v>2.5979300865207353E-138</v>
      </c>
      <c r="R117" s="444">
        <f t="shared" si="44"/>
        <v>2.5979300865207353E-138</v>
      </c>
      <c r="S117" s="444">
        <f t="shared" si="44"/>
        <v>2.5979300865207353E-138</v>
      </c>
      <c r="T117" s="444">
        <f t="shared" si="44"/>
        <v>2.5979300865207353E-138</v>
      </c>
      <c r="U117" s="444">
        <f t="shared" si="44"/>
        <v>2.5979300865207353E-138</v>
      </c>
      <c r="V117" s="444">
        <f t="shared" si="44"/>
        <v>2.5979300865207353E-138</v>
      </c>
      <c r="W117" s="444">
        <f t="shared" si="44"/>
        <v>2.5979300865207353E-138</v>
      </c>
      <c r="X117" s="444"/>
      <c r="Y117" s="444"/>
      <c r="Z117" s="444"/>
      <c r="AA117" s="444"/>
      <c r="AB117" s="444"/>
      <c r="AC117" s="444"/>
      <c r="AD117" s="444"/>
      <c r="AE117" s="444"/>
      <c r="AF117" s="444"/>
      <c r="AG117" s="444"/>
      <c r="AH117" s="444"/>
      <c r="AI117" s="444"/>
      <c r="AJ117" s="444"/>
      <c r="AK117" s="444"/>
      <c r="AL117" s="444"/>
      <c r="AM117" s="444"/>
      <c r="AN117" s="444"/>
      <c r="AO117" s="444"/>
      <c r="AP117" s="444"/>
    </row>
    <row r="118" spans="1:42" ht="15" outlineLevel="1">
      <c r="A118" s="374"/>
      <c r="B118" s="374"/>
      <c r="C118" s="374"/>
      <c r="D118" s="374"/>
      <c r="E118" s="374"/>
      <c r="F118" s="374"/>
      <c r="G118" s="374"/>
      <c r="H118" s="374"/>
      <c r="I118" s="374"/>
      <c r="J118" s="374"/>
      <c r="K118" s="374"/>
      <c r="L118" s="374"/>
      <c r="M118" s="374"/>
      <c r="N118" s="374"/>
      <c r="O118" s="374"/>
      <c r="P118" s="374"/>
      <c r="Q118" s="374"/>
      <c r="R118" s="374"/>
      <c r="S118" s="377"/>
      <c r="T118" s="377"/>
      <c r="U118" s="377"/>
      <c r="V118" s="377"/>
      <c r="W118" s="377"/>
      <c r="X118" s="377"/>
      <c r="Y118" s="377"/>
      <c r="Z118" s="377"/>
      <c r="AA118" s="377"/>
      <c r="AB118" s="377"/>
      <c r="AC118" s="377"/>
      <c r="AD118" s="377"/>
      <c r="AE118" s="377"/>
      <c r="AF118" s="377"/>
      <c r="AG118" s="377"/>
      <c r="AH118" s="377"/>
      <c r="AI118" s="377"/>
      <c r="AJ118" s="377"/>
      <c r="AK118" s="377"/>
      <c r="AL118" s="377"/>
      <c r="AM118" s="377"/>
      <c r="AN118" s="377"/>
      <c r="AO118" s="377"/>
      <c r="AP118" s="377"/>
    </row>
    <row r="119" spans="1:42" ht="16" thickBot="1">
      <c r="A119" s="374"/>
      <c r="B119" s="374"/>
      <c r="C119" s="374"/>
      <c r="D119" s="374"/>
      <c r="E119" s="374"/>
      <c r="F119" s="374"/>
      <c r="G119" s="374"/>
      <c r="H119" s="374"/>
      <c r="I119" s="374"/>
      <c r="J119" s="374"/>
      <c r="K119" s="374"/>
      <c r="L119" s="374"/>
      <c r="M119" s="374"/>
      <c r="N119" s="374"/>
      <c r="O119" s="374"/>
      <c r="P119" s="374"/>
      <c r="Q119" s="374"/>
      <c r="R119" s="374"/>
      <c r="S119" s="377"/>
      <c r="T119" s="377"/>
      <c r="U119" s="377"/>
      <c r="V119" s="377"/>
      <c r="W119" s="377"/>
      <c r="X119" s="377"/>
      <c r="Y119" s="377"/>
      <c r="Z119" s="377"/>
      <c r="AA119" s="377"/>
      <c r="AB119" s="377"/>
      <c r="AC119" s="377"/>
      <c r="AD119" s="377"/>
      <c r="AE119" s="377"/>
      <c r="AF119" s="377"/>
      <c r="AG119" s="377"/>
      <c r="AH119" s="377"/>
      <c r="AI119" s="377"/>
      <c r="AJ119" s="377"/>
      <c r="AK119" s="377"/>
      <c r="AL119" s="377"/>
      <c r="AM119" s="377"/>
      <c r="AN119" s="377"/>
      <c r="AO119" s="377"/>
      <c r="AP119" s="377"/>
    </row>
    <row r="120" spans="1:42" ht="16" thickTop="1">
      <c r="A120" s="374"/>
      <c r="B120" s="379" t="s">
        <v>437</v>
      </c>
      <c r="C120" s="379"/>
      <c r="D120" s="379"/>
      <c r="E120" s="379"/>
      <c r="F120" s="379"/>
      <c r="G120" s="379"/>
      <c r="H120" s="379"/>
      <c r="I120" s="379"/>
      <c r="J120" s="379"/>
      <c r="K120" s="379"/>
      <c r="L120" s="379"/>
      <c r="M120" s="379"/>
      <c r="N120" s="379"/>
      <c r="O120" s="379"/>
      <c r="P120" s="379"/>
      <c r="Q120" s="379"/>
      <c r="R120" s="379"/>
      <c r="S120" s="379"/>
      <c r="T120" s="379"/>
      <c r="U120" s="379"/>
      <c r="V120" s="379"/>
      <c r="W120" s="379"/>
      <c r="X120" s="379"/>
      <c r="Y120" s="379"/>
      <c r="Z120" s="379"/>
      <c r="AA120" s="379"/>
      <c r="AB120" s="379"/>
      <c r="AC120" s="379"/>
      <c r="AD120" s="379"/>
      <c r="AE120" s="379"/>
      <c r="AF120" s="379"/>
      <c r="AG120" s="379"/>
      <c r="AH120" s="379"/>
      <c r="AI120" s="379"/>
      <c r="AJ120" s="379"/>
      <c r="AK120" s="379"/>
      <c r="AL120" s="379"/>
      <c r="AM120" s="379"/>
      <c r="AN120" s="379"/>
      <c r="AO120" s="379"/>
      <c r="AP120" s="379"/>
    </row>
    <row r="121" spans="1:42" ht="15" outlineLevel="1">
      <c r="A121" s="374"/>
      <c r="B121" s="406" t="s">
        <v>421</v>
      </c>
      <c r="C121" s="406"/>
      <c r="D121" s="406"/>
      <c r="E121" s="406"/>
      <c r="F121" s="406"/>
      <c r="G121" s="406"/>
      <c r="H121" s="406"/>
      <c r="I121" s="406"/>
      <c r="J121" s="406"/>
      <c r="K121" s="406"/>
      <c r="L121" s="406"/>
      <c r="M121" s="406"/>
      <c r="N121" s="406"/>
      <c r="O121" s="406"/>
      <c r="P121" s="406"/>
      <c r="Q121" s="406"/>
      <c r="R121" s="406"/>
      <c r="S121" s="406"/>
      <c r="T121" s="406"/>
      <c r="U121" s="406"/>
      <c r="V121" s="406"/>
      <c r="W121" s="406"/>
      <c r="X121" s="406"/>
      <c r="Y121" s="406"/>
      <c r="Z121" s="406"/>
      <c r="AA121" s="406"/>
      <c r="AB121" s="406"/>
      <c r="AC121" s="406"/>
      <c r="AD121" s="406"/>
      <c r="AE121" s="406"/>
      <c r="AF121" s="406"/>
      <c r="AG121" s="406"/>
      <c r="AH121" s="406"/>
      <c r="AI121" s="406"/>
      <c r="AJ121" s="406"/>
      <c r="AK121" s="406"/>
      <c r="AL121" s="406"/>
      <c r="AM121" s="406"/>
      <c r="AN121" s="406"/>
      <c r="AO121" s="406"/>
      <c r="AP121" s="406"/>
    </row>
    <row r="122" spans="1:42" s="420" customFormat="1" ht="15" outlineLevel="1">
      <c r="A122" s="417"/>
      <c r="B122" s="418" t="s">
        <v>428</v>
      </c>
      <c r="C122" s="419">
        <v>1</v>
      </c>
      <c r="D122" s="419">
        <v>2</v>
      </c>
      <c r="E122" s="419">
        <v>3</v>
      </c>
      <c r="F122" s="419">
        <v>4</v>
      </c>
      <c r="G122" s="419">
        <v>5</v>
      </c>
      <c r="H122" s="419">
        <v>6</v>
      </c>
      <c r="I122" s="419">
        <v>7</v>
      </c>
      <c r="J122" s="419">
        <v>8</v>
      </c>
      <c r="K122" s="419">
        <v>9</v>
      </c>
      <c r="L122" s="419">
        <v>10</v>
      </c>
      <c r="M122" s="419">
        <v>11</v>
      </c>
      <c r="N122" s="419">
        <v>12</v>
      </c>
      <c r="O122" s="419">
        <v>13</v>
      </c>
      <c r="P122" s="419">
        <v>14</v>
      </c>
      <c r="Q122" s="419">
        <v>15</v>
      </c>
      <c r="R122" s="419">
        <v>16</v>
      </c>
      <c r="S122" s="419">
        <v>17</v>
      </c>
      <c r="T122" s="419">
        <v>18</v>
      </c>
      <c r="U122" s="419">
        <v>19</v>
      </c>
      <c r="V122" s="419">
        <v>20</v>
      </c>
      <c r="W122" s="419">
        <v>21</v>
      </c>
      <c r="X122" s="419">
        <v>22</v>
      </c>
      <c r="Y122" s="419">
        <v>23</v>
      </c>
      <c r="Z122" s="419">
        <v>24</v>
      </c>
      <c r="AA122" s="419">
        <v>25</v>
      </c>
      <c r="AB122" s="419">
        <v>26</v>
      </c>
      <c r="AC122" s="419">
        <v>27</v>
      </c>
      <c r="AD122" s="419">
        <v>28</v>
      </c>
      <c r="AE122" s="419">
        <v>29</v>
      </c>
      <c r="AF122" s="419">
        <v>30</v>
      </c>
      <c r="AG122" s="419">
        <v>31</v>
      </c>
      <c r="AH122" s="419">
        <v>32</v>
      </c>
      <c r="AI122" s="419">
        <v>33</v>
      </c>
      <c r="AJ122" s="419">
        <v>34</v>
      </c>
      <c r="AK122" s="419">
        <v>35</v>
      </c>
      <c r="AL122" s="419">
        <v>36</v>
      </c>
      <c r="AM122" s="419">
        <v>37</v>
      </c>
      <c r="AN122" s="419">
        <v>38</v>
      </c>
      <c r="AO122" s="419">
        <v>39</v>
      </c>
      <c r="AP122" s="419">
        <v>40</v>
      </c>
    </row>
    <row r="123" spans="1:42" ht="15" outlineLevel="1">
      <c r="A123" s="374"/>
      <c r="B123" s="421" t="s">
        <v>429</v>
      </c>
      <c r="C123" s="422">
        <f t="shared" ref="C123:AP123" si="45">MAX(C122-($L$8-1)*$M$8,0)</f>
        <v>0</v>
      </c>
      <c r="D123" s="422">
        <f t="shared" si="45"/>
        <v>0</v>
      </c>
      <c r="E123" s="422">
        <f t="shared" si="45"/>
        <v>0</v>
      </c>
      <c r="F123" s="422">
        <f t="shared" si="45"/>
        <v>0</v>
      </c>
      <c r="G123" s="422">
        <f t="shared" si="45"/>
        <v>0</v>
      </c>
      <c r="H123" s="422">
        <f t="shared" si="45"/>
        <v>0</v>
      </c>
      <c r="I123" s="422">
        <f t="shared" si="45"/>
        <v>0</v>
      </c>
      <c r="J123" s="422">
        <f t="shared" si="45"/>
        <v>0</v>
      </c>
      <c r="K123" s="422">
        <f t="shared" si="45"/>
        <v>1</v>
      </c>
      <c r="L123" s="422">
        <f t="shared" si="45"/>
        <v>2</v>
      </c>
      <c r="M123" s="422">
        <f t="shared" si="45"/>
        <v>3</v>
      </c>
      <c r="N123" s="422">
        <f t="shared" si="45"/>
        <v>4</v>
      </c>
      <c r="O123" s="422">
        <f t="shared" si="45"/>
        <v>5</v>
      </c>
      <c r="P123" s="422">
        <f t="shared" si="45"/>
        <v>6</v>
      </c>
      <c r="Q123" s="422">
        <f t="shared" si="45"/>
        <v>7</v>
      </c>
      <c r="R123" s="422">
        <f t="shared" si="45"/>
        <v>8</v>
      </c>
      <c r="S123" s="422">
        <f t="shared" si="45"/>
        <v>9</v>
      </c>
      <c r="T123" s="422">
        <f t="shared" si="45"/>
        <v>10</v>
      </c>
      <c r="U123" s="422">
        <f t="shared" si="45"/>
        <v>11</v>
      </c>
      <c r="V123" s="422">
        <f t="shared" si="45"/>
        <v>12</v>
      </c>
      <c r="W123" s="422">
        <f t="shared" si="45"/>
        <v>13</v>
      </c>
      <c r="X123" s="422">
        <f t="shared" si="45"/>
        <v>14</v>
      </c>
      <c r="Y123" s="422">
        <f t="shared" si="45"/>
        <v>15</v>
      </c>
      <c r="Z123" s="422">
        <f t="shared" si="45"/>
        <v>16</v>
      </c>
      <c r="AA123" s="422">
        <f t="shared" si="45"/>
        <v>17</v>
      </c>
      <c r="AB123" s="422">
        <f t="shared" si="45"/>
        <v>18</v>
      </c>
      <c r="AC123" s="422">
        <f t="shared" si="45"/>
        <v>19</v>
      </c>
      <c r="AD123" s="422">
        <f t="shared" si="45"/>
        <v>20</v>
      </c>
      <c r="AE123" s="422">
        <f t="shared" si="45"/>
        <v>21</v>
      </c>
      <c r="AF123" s="422">
        <f t="shared" si="45"/>
        <v>22</v>
      </c>
      <c r="AG123" s="422">
        <f t="shared" si="45"/>
        <v>23</v>
      </c>
      <c r="AH123" s="422">
        <f t="shared" si="45"/>
        <v>24</v>
      </c>
      <c r="AI123" s="422">
        <f t="shared" si="45"/>
        <v>25</v>
      </c>
      <c r="AJ123" s="422">
        <f t="shared" si="45"/>
        <v>26</v>
      </c>
      <c r="AK123" s="422">
        <f t="shared" si="45"/>
        <v>27</v>
      </c>
      <c r="AL123" s="422">
        <f t="shared" si="45"/>
        <v>28</v>
      </c>
      <c r="AM123" s="422">
        <f t="shared" si="45"/>
        <v>29</v>
      </c>
      <c r="AN123" s="422">
        <f t="shared" si="45"/>
        <v>30</v>
      </c>
      <c r="AO123" s="422">
        <f t="shared" si="45"/>
        <v>31</v>
      </c>
      <c r="AP123" s="422">
        <f t="shared" si="45"/>
        <v>32</v>
      </c>
    </row>
    <row r="124" spans="1:42" s="420" customFormat="1" ht="15" outlineLevel="1">
      <c r="A124" s="417"/>
      <c r="B124" s="418" t="s">
        <v>408</v>
      </c>
      <c r="C124" s="423">
        <f t="shared" ref="C124:AP124" si="46">ROUNDUP(C122/$M$8,0)</f>
        <v>1</v>
      </c>
      <c r="D124" s="423">
        <f t="shared" si="46"/>
        <v>1</v>
      </c>
      <c r="E124" s="423">
        <f t="shared" si="46"/>
        <v>1</v>
      </c>
      <c r="F124" s="423">
        <f t="shared" si="46"/>
        <v>1</v>
      </c>
      <c r="G124" s="423">
        <f t="shared" si="46"/>
        <v>2</v>
      </c>
      <c r="H124" s="423">
        <f t="shared" si="46"/>
        <v>2</v>
      </c>
      <c r="I124" s="423">
        <f t="shared" si="46"/>
        <v>2</v>
      </c>
      <c r="J124" s="423">
        <f t="shared" si="46"/>
        <v>2</v>
      </c>
      <c r="K124" s="423">
        <f t="shared" si="46"/>
        <v>3</v>
      </c>
      <c r="L124" s="423">
        <f t="shared" si="46"/>
        <v>3</v>
      </c>
      <c r="M124" s="423">
        <f t="shared" si="46"/>
        <v>3</v>
      </c>
      <c r="N124" s="423">
        <f t="shared" si="46"/>
        <v>3</v>
      </c>
      <c r="O124" s="423">
        <f t="shared" si="46"/>
        <v>4</v>
      </c>
      <c r="P124" s="423">
        <f t="shared" si="46"/>
        <v>4</v>
      </c>
      <c r="Q124" s="423">
        <f t="shared" si="46"/>
        <v>4</v>
      </c>
      <c r="R124" s="423">
        <f t="shared" si="46"/>
        <v>4</v>
      </c>
      <c r="S124" s="423">
        <f t="shared" si="46"/>
        <v>5</v>
      </c>
      <c r="T124" s="423">
        <f t="shared" si="46"/>
        <v>5</v>
      </c>
      <c r="U124" s="423">
        <f t="shared" si="46"/>
        <v>5</v>
      </c>
      <c r="V124" s="423">
        <f t="shared" si="46"/>
        <v>5</v>
      </c>
      <c r="W124" s="423">
        <f t="shared" si="46"/>
        <v>6</v>
      </c>
      <c r="X124" s="423">
        <f t="shared" si="46"/>
        <v>6</v>
      </c>
      <c r="Y124" s="423">
        <f t="shared" si="46"/>
        <v>6</v>
      </c>
      <c r="Z124" s="423">
        <f t="shared" si="46"/>
        <v>6</v>
      </c>
      <c r="AA124" s="423">
        <f t="shared" si="46"/>
        <v>7</v>
      </c>
      <c r="AB124" s="423">
        <f t="shared" si="46"/>
        <v>7</v>
      </c>
      <c r="AC124" s="423">
        <f t="shared" si="46"/>
        <v>7</v>
      </c>
      <c r="AD124" s="423">
        <f t="shared" si="46"/>
        <v>7</v>
      </c>
      <c r="AE124" s="423">
        <f t="shared" si="46"/>
        <v>8</v>
      </c>
      <c r="AF124" s="423">
        <f t="shared" si="46"/>
        <v>8</v>
      </c>
      <c r="AG124" s="423">
        <f t="shared" si="46"/>
        <v>8</v>
      </c>
      <c r="AH124" s="423">
        <f t="shared" si="46"/>
        <v>8</v>
      </c>
      <c r="AI124" s="423">
        <f t="shared" si="46"/>
        <v>9</v>
      </c>
      <c r="AJ124" s="423">
        <f t="shared" si="46"/>
        <v>9</v>
      </c>
      <c r="AK124" s="423">
        <f t="shared" si="46"/>
        <v>9</v>
      </c>
      <c r="AL124" s="423">
        <f t="shared" si="46"/>
        <v>9</v>
      </c>
      <c r="AM124" s="423">
        <f t="shared" si="46"/>
        <v>10</v>
      </c>
      <c r="AN124" s="423">
        <f t="shared" si="46"/>
        <v>10</v>
      </c>
      <c r="AO124" s="423">
        <f t="shared" si="46"/>
        <v>10</v>
      </c>
      <c r="AP124" s="423">
        <f t="shared" si="46"/>
        <v>10</v>
      </c>
    </row>
    <row r="125" spans="1:42" ht="15" outlineLevel="1">
      <c r="A125" s="374"/>
      <c r="B125" s="421" t="s">
        <v>323</v>
      </c>
      <c r="C125" s="408">
        <f t="shared" ref="C125:AP125" si="47">-IFERROR(IPMT($J$8/$M$8,MAX(C123,1),$K$8*$M$8,$I$8),0)</f>
        <v>8.630803106397925E-140</v>
      </c>
      <c r="D125" s="408">
        <f t="shared" si="47"/>
        <v>8.630803106397925E-140</v>
      </c>
      <c r="E125" s="408">
        <f t="shared" si="47"/>
        <v>8.630803106397925E-140</v>
      </c>
      <c r="F125" s="408">
        <f t="shared" si="47"/>
        <v>8.630803106397925E-140</v>
      </c>
      <c r="G125" s="408">
        <f t="shared" si="47"/>
        <v>8.630803106397925E-140</v>
      </c>
      <c r="H125" s="408">
        <f t="shared" si="47"/>
        <v>8.630803106397925E-140</v>
      </c>
      <c r="I125" s="408">
        <f t="shared" si="47"/>
        <v>8.630803106397925E-140</v>
      </c>
      <c r="J125" s="408">
        <f t="shared" si="47"/>
        <v>8.630803106397925E-140</v>
      </c>
      <c r="K125" s="408">
        <f t="shared" si="47"/>
        <v>8.630803106397925E-140</v>
      </c>
      <c r="L125" s="408">
        <f t="shared" si="47"/>
        <v>8.5200451324275422E-140</v>
      </c>
      <c r="M125" s="408">
        <f t="shared" si="47"/>
        <v>8.4076257888476067E-140</v>
      </c>
      <c r="N125" s="408">
        <f t="shared" si="47"/>
        <v>8.2935201551139704E-140</v>
      </c>
      <c r="O125" s="408">
        <f t="shared" si="47"/>
        <v>8.1777029368743285E-140</v>
      </c>
      <c r="P125" s="408">
        <f t="shared" si="47"/>
        <v>8.0601484603610937E-140</v>
      </c>
      <c r="Q125" s="408">
        <f t="shared" si="47"/>
        <v>7.9408306667001598E-140</v>
      </c>
      <c r="R125" s="408">
        <f t="shared" si="47"/>
        <v>7.8197231061343122E-140</v>
      </c>
      <c r="S125" s="408">
        <f t="shared" si="47"/>
        <v>7.6967989321599777E-140</v>
      </c>
      <c r="T125" s="408">
        <f t="shared" si="47"/>
        <v>7.5720308955760251E-140</v>
      </c>
      <c r="U125" s="408">
        <f t="shared" si="47"/>
        <v>7.4453913384433155E-140</v>
      </c>
      <c r="V125" s="408">
        <f t="shared" si="47"/>
        <v>7.3168521879536134E-140</v>
      </c>
      <c r="W125" s="408">
        <f t="shared" si="47"/>
        <v>7.1863849502065683E-140</v>
      </c>
      <c r="X125" s="408">
        <f t="shared" si="47"/>
        <v>7.0539607038933166E-140</v>
      </c>
      <c r="Y125" s="408">
        <f t="shared" si="47"/>
        <v>6.9195500938853667E-140</v>
      </c>
      <c r="Z125" s="408">
        <f t="shared" si="47"/>
        <v>6.7831233247272972E-140</v>
      </c>
      <c r="AA125" s="408">
        <f t="shared" si="47"/>
        <v>6.6446501540318556E-140</v>
      </c>
      <c r="AB125" s="408">
        <f t="shared" si="47"/>
        <v>6.5040998857759828E-140</v>
      </c>
      <c r="AC125" s="408">
        <f t="shared" si="47"/>
        <v>6.3614413634962729E-140</v>
      </c>
      <c r="AD125" s="408">
        <f t="shared" si="47"/>
        <v>6.2166429633823663E-140</v>
      </c>
      <c r="AE125" s="408">
        <f t="shared" si="47"/>
        <v>6.0696725872667505E-140</v>
      </c>
      <c r="AF125" s="408">
        <f t="shared" si="47"/>
        <v>5.9204976555094018E-140</v>
      </c>
      <c r="AG125" s="408">
        <f t="shared" si="47"/>
        <v>5.7690850997756928E-140</v>
      </c>
      <c r="AH125" s="408">
        <f t="shared" si="47"/>
        <v>5.6154013557059773E-140</v>
      </c>
      <c r="AI125" s="408">
        <f t="shared" si="47"/>
        <v>5.4594123554752165E-140</v>
      </c>
      <c r="AJ125" s="408">
        <f t="shared" si="47"/>
        <v>5.3010835202409955E-140</v>
      </c>
      <c r="AK125" s="408">
        <f t="shared" si="47"/>
        <v>5.1403797524782597E-140</v>
      </c>
      <c r="AL125" s="408">
        <f t="shared" si="47"/>
        <v>4.977265428199082E-140</v>
      </c>
      <c r="AM125" s="408">
        <f t="shared" si="47"/>
        <v>4.8117043890557185E-140</v>
      </c>
      <c r="AN125" s="408">
        <f t="shared" si="47"/>
        <v>4.6436599343252048E-140</v>
      </c>
      <c r="AO125" s="408">
        <f t="shared" si="47"/>
        <v>4.4730948127737318E-140</v>
      </c>
      <c r="AP125" s="408">
        <f t="shared" si="47"/>
        <v>4.2999712143989861E-140</v>
      </c>
    </row>
    <row r="126" spans="1:42" ht="15" outlineLevel="1">
      <c r="A126" s="374"/>
      <c r="B126" s="424" t="s">
        <v>324</v>
      </c>
      <c r="C126" s="393">
        <f t="shared" ref="C126:AP126" si="48">-IFERROR(PPMT($J$8/$M$8,C123,$K$8*$M$8,$I$8),0)</f>
        <v>0</v>
      </c>
      <c r="D126" s="393">
        <f t="shared" si="48"/>
        <v>0</v>
      </c>
      <c r="E126" s="393">
        <f t="shared" si="48"/>
        <v>0</v>
      </c>
      <c r="F126" s="393">
        <f t="shared" si="48"/>
        <v>0</v>
      </c>
      <c r="G126" s="393">
        <f t="shared" si="48"/>
        <v>0</v>
      </c>
      <c r="H126" s="393">
        <f t="shared" si="48"/>
        <v>0</v>
      </c>
      <c r="I126" s="393">
        <f t="shared" si="48"/>
        <v>0</v>
      </c>
      <c r="J126" s="393">
        <f t="shared" si="48"/>
        <v>0</v>
      </c>
      <c r="K126" s="393">
        <f t="shared" si="48"/>
        <v>7.3838649313587678E-140</v>
      </c>
      <c r="L126" s="393">
        <f t="shared" si="48"/>
        <v>7.4946229053291488E-140</v>
      </c>
      <c r="M126" s="393">
        <f t="shared" si="48"/>
        <v>7.6070422489090852E-140</v>
      </c>
      <c r="N126" s="393">
        <f t="shared" si="48"/>
        <v>7.7211478826427225E-140</v>
      </c>
      <c r="O126" s="393">
        <f t="shared" si="48"/>
        <v>7.8369651008823625E-140</v>
      </c>
      <c r="P126" s="393">
        <f t="shared" si="48"/>
        <v>7.9545195773955982E-140</v>
      </c>
      <c r="Q126" s="393">
        <f t="shared" si="48"/>
        <v>8.0738373710565331E-140</v>
      </c>
      <c r="R126" s="393">
        <f t="shared" si="48"/>
        <v>8.1949449316223807E-140</v>
      </c>
      <c r="S126" s="393">
        <f t="shared" si="48"/>
        <v>8.317869105596717E-140</v>
      </c>
      <c r="T126" s="393">
        <f t="shared" si="48"/>
        <v>8.4426371421806668E-140</v>
      </c>
      <c r="U126" s="393">
        <f t="shared" si="48"/>
        <v>8.5692766993133773E-140</v>
      </c>
      <c r="V126" s="393">
        <f t="shared" si="48"/>
        <v>8.6978158498030766E-140</v>
      </c>
      <c r="W126" s="393">
        <f t="shared" si="48"/>
        <v>8.8282830875501245E-140</v>
      </c>
      <c r="X126" s="393">
        <f t="shared" si="48"/>
        <v>8.9607073338633753E-140</v>
      </c>
      <c r="Y126" s="393">
        <f t="shared" si="48"/>
        <v>9.0951179438713261E-140</v>
      </c>
      <c r="Z126" s="393">
        <f t="shared" si="48"/>
        <v>9.2315447130293966E-140</v>
      </c>
      <c r="AA126" s="393">
        <f t="shared" si="48"/>
        <v>9.3700178837248354E-140</v>
      </c>
      <c r="AB126" s="393">
        <f t="shared" si="48"/>
        <v>9.51056815198071E-140</v>
      </c>
      <c r="AC126" s="393">
        <f t="shared" si="48"/>
        <v>9.653226674260419E-140</v>
      </c>
      <c r="AD126" s="393">
        <f t="shared" si="48"/>
        <v>9.7980250743743265E-140</v>
      </c>
      <c r="AE126" s="393">
        <f t="shared" si="48"/>
        <v>9.9449954504899405E-140</v>
      </c>
      <c r="AF126" s="393">
        <f t="shared" si="48"/>
        <v>1.0094170382247291E-139</v>
      </c>
      <c r="AG126" s="393">
        <f t="shared" si="48"/>
        <v>1.0245582937980998E-139</v>
      </c>
      <c r="AH126" s="393">
        <f t="shared" si="48"/>
        <v>1.0399266682050716E-139</v>
      </c>
      <c r="AI126" s="393">
        <f t="shared" si="48"/>
        <v>1.0555255682281474E-139</v>
      </c>
      <c r="AJ126" s="393">
        <f t="shared" si="48"/>
        <v>1.0713584517515697E-139</v>
      </c>
      <c r="AK126" s="393">
        <f t="shared" si="48"/>
        <v>1.0874288285278434E-139</v>
      </c>
      <c r="AL126" s="393">
        <f t="shared" si="48"/>
        <v>1.1037402609557609E-139</v>
      </c>
      <c r="AM126" s="393">
        <f t="shared" si="48"/>
        <v>1.1202963648700972E-139</v>
      </c>
      <c r="AN126" s="393">
        <f t="shared" si="48"/>
        <v>1.1371008103431487E-139</v>
      </c>
      <c r="AO126" s="393">
        <f t="shared" si="48"/>
        <v>1.1541573224982961E-139</v>
      </c>
      <c r="AP126" s="393">
        <f t="shared" si="48"/>
        <v>1.1714696823357706E-139</v>
      </c>
    </row>
    <row r="127" spans="1:42" ht="16" outlineLevel="1" thickBot="1">
      <c r="A127" s="374"/>
      <c r="B127" s="425" t="s">
        <v>1</v>
      </c>
      <c r="C127" s="397">
        <f t="shared" ref="C127:AP127" si="49">SUM(C125:C126)</f>
        <v>8.630803106397925E-140</v>
      </c>
      <c r="D127" s="397">
        <f t="shared" si="49"/>
        <v>8.630803106397925E-140</v>
      </c>
      <c r="E127" s="397">
        <f t="shared" si="49"/>
        <v>8.630803106397925E-140</v>
      </c>
      <c r="F127" s="397">
        <f t="shared" si="49"/>
        <v>8.630803106397925E-140</v>
      </c>
      <c r="G127" s="397">
        <f t="shared" si="49"/>
        <v>8.630803106397925E-140</v>
      </c>
      <c r="H127" s="397">
        <f t="shared" si="49"/>
        <v>8.630803106397925E-140</v>
      </c>
      <c r="I127" s="397">
        <f t="shared" si="49"/>
        <v>8.630803106397925E-140</v>
      </c>
      <c r="J127" s="397">
        <f t="shared" si="49"/>
        <v>8.630803106397925E-140</v>
      </c>
      <c r="K127" s="397">
        <f t="shared" si="49"/>
        <v>1.6014668037756694E-139</v>
      </c>
      <c r="L127" s="397">
        <f t="shared" si="49"/>
        <v>1.601466803775669E-139</v>
      </c>
      <c r="M127" s="397">
        <f t="shared" si="49"/>
        <v>1.6014668037756692E-139</v>
      </c>
      <c r="N127" s="397">
        <f t="shared" si="49"/>
        <v>1.6014668037756694E-139</v>
      </c>
      <c r="O127" s="397">
        <f t="shared" si="49"/>
        <v>1.601466803775669E-139</v>
      </c>
      <c r="P127" s="397">
        <f t="shared" si="49"/>
        <v>1.6014668037756692E-139</v>
      </c>
      <c r="Q127" s="397">
        <f t="shared" si="49"/>
        <v>1.6014668037756694E-139</v>
      </c>
      <c r="R127" s="397">
        <f t="shared" si="49"/>
        <v>1.6014668037756694E-139</v>
      </c>
      <c r="S127" s="397">
        <f t="shared" si="49"/>
        <v>1.6014668037756694E-139</v>
      </c>
      <c r="T127" s="397">
        <f t="shared" si="49"/>
        <v>1.6014668037756692E-139</v>
      </c>
      <c r="U127" s="397">
        <f t="shared" si="49"/>
        <v>1.6014668037756694E-139</v>
      </c>
      <c r="V127" s="397">
        <f t="shared" si="49"/>
        <v>1.601466803775669E-139</v>
      </c>
      <c r="W127" s="397">
        <f t="shared" si="49"/>
        <v>1.6014668037756694E-139</v>
      </c>
      <c r="X127" s="397">
        <f t="shared" si="49"/>
        <v>1.6014668037756692E-139</v>
      </c>
      <c r="Y127" s="397">
        <f t="shared" si="49"/>
        <v>1.6014668037756694E-139</v>
      </c>
      <c r="Z127" s="397">
        <f t="shared" si="49"/>
        <v>1.6014668037756694E-139</v>
      </c>
      <c r="AA127" s="397">
        <f t="shared" si="49"/>
        <v>1.601466803775669E-139</v>
      </c>
      <c r="AB127" s="397">
        <f t="shared" si="49"/>
        <v>1.6014668037756694E-139</v>
      </c>
      <c r="AC127" s="397">
        <f t="shared" si="49"/>
        <v>1.6014668037756692E-139</v>
      </c>
      <c r="AD127" s="397">
        <f t="shared" si="49"/>
        <v>1.6014668037756694E-139</v>
      </c>
      <c r="AE127" s="397">
        <f t="shared" si="49"/>
        <v>1.601466803775669E-139</v>
      </c>
      <c r="AF127" s="397">
        <f t="shared" si="49"/>
        <v>1.6014668037756694E-139</v>
      </c>
      <c r="AG127" s="397">
        <f t="shared" si="49"/>
        <v>1.601466803775669E-139</v>
      </c>
      <c r="AH127" s="397">
        <f t="shared" si="49"/>
        <v>1.6014668037756694E-139</v>
      </c>
      <c r="AI127" s="397">
        <f t="shared" si="49"/>
        <v>1.601466803775669E-139</v>
      </c>
      <c r="AJ127" s="397">
        <f t="shared" si="49"/>
        <v>1.6014668037756694E-139</v>
      </c>
      <c r="AK127" s="397">
        <f t="shared" si="49"/>
        <v>1.6014668037756694E-139</v>
      </c>
      <c r="AL127" s="397">
        <f t="shared" si="49"/>
        <v>1.601466803775669E-139</v>
      </c>
      <c r="AM127" s="397">
        <f t="shared" si="49"/>
        <v>1.601466803775669E-139</v>
      </c>
      <c r="AN127" s="397">
        <f t="shared" si="49"/>
        <v>1.6014668037756692E-139</v>
      </c>
      <c r="AO127" s="397">
        <f t="shared" si="49"/>
        <v>1.6014668037756694E-139</v>
      </c>
      <c r="AP127" s="397">
        <f t="shared" si="49"/>
        <v>1.6014668037756692E-139</v>
      </c>
    </row>
    <row r="128" spans="1:42" ht="15" outlineLevel="1">
      <c r="A128" s="374"/>
      <c r="B128" s="406" t="s">
        <v>430</v>
      </c>
      <c r="C128" s="406"/>
      <c r="D128" s="406"/>
      <c r="E128" s="406"/>
      <c r="F128" s="406"/>
      <c r="G128" s="406"/>
      <c r="H128" s="406"/>
      <c r="I128" s="406"/>
      <c r="J128" s="406"/>
      <c r="K128" s="406"/>
      <c r="L128" s="406"/>
      <c r="M128" s="406"/>
      <c r="N128" s="406"/>
      <c r="O128" s="406"/>
      <c r="P128" s="406"/>
      <c r="Q128" s="406"/>
      <c r="R128" s="406"/>
      <c r="S128" s="406"/>
      <c r="T128" s="406"/>
      <c r="U128" s="406"/>
      <c r="V128" s="406"/>
      <c r="W128" s="406"/>
      <c r="X128" s="406"/>
      <c r="Y128" s="406"/>
      <c r="Z128" s="406"/>
      <c r="AA128" s="406"/>
      <c r="AB128" s="406"/>
      <c r="AC128" s="406"/>
      <c r="AD128" s="406"/>
      <c r="AE128" s="406"/>
      <c r="AF128" s="406"/>
      <c r="AG128" s="406"/>
      <c r="AH128" s="406"/>
      <c r="AI128" s="406"/>
      <c r="AJ128" s="406"/>
      <c r="AK128" s="406"/>
      <c r="AL128" s="406"/>
      <c r="AM128" s="406"/>
      <c r="AN128" s="406"/>
      <c r="AO128" s="406"/>
      <c r="AP128" s="406"/>
    </row>
    <row r="129" spans="1:42" s="430" customFormat="1" ht="16" outlineLevel="1" thickBot="1">
      <c r="A129" s="427"/>
      <c r="B129" s="405"/>
      <c r="C129" s="405">
        <v>0</v>
      </c>
      <c r="D129" s="405">
        <v>1</v>
      </c>
      <c r="E129" s="405">
        <v>2</v>
      </c>
      <c r="F129" s="405">
        <v>3</v>
      </c>
      <c r="G129" s="405">
        <v>4</v>
      </c>
      <c r="H129" s="405">
        <v>5</v>
      </c>
      <c r="I129" s="405">
        <v>6</v>
      </c>
      <c r="J129" s="405">
        <v>7</v>
      </c>
      <c r="K129" s="405">
        <v>8</v>
      </c>
      <c r="L129" s="405">
        <v>9</v>
      </c>
      <c r="M129" s="405">
        <v>10</v>
      </c>
      <c r="N129" s="405">
        <v>11</v>
      </c>
      <c r="O129" s="405">
        <v>12</v>
      </c>
      <c r="P129" s="405">
        <v>13</v>
      </c>
      <c r="Q129" s="405">
        <v>14</v>
      </c>
      <c r="R129" s="405">
        <v>15</v>
      </c>
      <c r="S129" s="405">
        <v>16</v>
      </c>
      <c r="T129" s="405">
        <v>17</v>
      </c>
      <c r="U129" s="405">
        <v>18</v>
      </c>
      <c r="V129" s="405">
        <v>19</v>
      </c>
      <c r="W129" s="405">
        <v>20</v>
      </c>
      <c r="X129" s="421"/>
      <c r="Y129" s="421"/>
      <c r="Z129" s="421"/>
      <c r="AA129" s="421"/>
      <c r="AB129" s="421"/>
      <c r="AC129" s="421"/>
      <c r="AD129" s="421"/>
      <c r="AE129" s="421"/>
      <c r="AF129" s="421"/>
      <c r="AG129" s="421"/>
      <c r="AH129" s="421"/>
      <c r="AI129" s="421"/>
      <c r="AJ129" s="421"/>
      <c r="AK129" s="421"/>
      <c r="AL129" s="421"/>
      <c r="AM129" s="421"/>
      <c r="AN129" s="421"/>
      <c r="AO129" s="421"/>
      <c r="AP129" s="421"/>
    </row>
    <row r="130" spans="1:42" ht="15" outlineLevel="1">
      <c r="A130" s="374"/>
      <c r="B130" s="426" t="s">
        <v>323</v>
      </c>
      <c r="C130" s="388">
        <f>O138</f>
        <v>3.4523212425591693E-139</v>
      </c>
      <c r="D130" s="388">
        <f>SUMIF($C124:$AP124,D$71,$C125:$AP125)</f>
        <v>3.45232124255917E-139</v>
      </c>
      <c r="E130" s="388">
        <f t="shared" ref="E130:W130" si="50">SUMIF($C124:$AP124,E$71,$C125:$AP125)</f>
        <v>3.45232124255917E-139</v>
      </c>
      <c r="F130" s="388">
        <f t="shared" si="50"/>
        <v>3.3851994182787044E-139</v>
      </c>
      <c r="G130" s="388">
        <f t="shared" si="50"/>
        <v>3.1998405170069896E-139</v>
      </c>
      <c r="H130" s="388">
        <f t="shared" si="50"/>
        <v>3.0031073354132932E-139</v>
      </c>
      <c r="I130" s="388">
        <f t="shared" si="50"/>
        <v>2.7943019072712549E-139</v>
      </c>
      <c r="J130" s="388">
        <f t="shared" si="50"/>
        <v>2.5726834366686479E-139</v>
      </c>
      <c r="K130" s="388">
        <f t="shared" si="50"/>
        <v>2.3374656698257821E-139</v>
      </c>
      <c r="L130" s="388">
        <f t="shared" si="50"/>
        <v>2.0878141056393554E-139</v>
      </c>
      <c r="M130" s="388">
        <f t="shared" si="50"/>
        <v>1.8228430350553639E-139</v>
      </c>
      <c r="N130" s="388">
        <f t="shared" si="50"/>
        <v>0</v>
      </c>
      <c r="O130" s="388">
        <f t="shared" si="50"/>
        <v>0</v>
      </c>
      <c r="P130" s="388">
        <f t="shared" si="50"/>
        <v>0</v>
      </c>
      <c r="Q130" s="388">
        <f t="shared" si="50"/>
        <v>0</v>
      </c>
      <c r="R130" s="388">
        <f t="shared" si="50"/>
        <v>0</v>
      </c>
      <c r="S130" s="388">
        <f t="shared" si="50"/>
        <v>0</v>
      </c>
      <c r="T130" s="388">
        <f t="shared" si="50"/>
        <v>0</v>
      </c>
      <c r="U130" s="388">
        <f t="shared" si="50"/>
        <v>0</v>
      </c>
      <c r="V130" s="388">
        <f t="shared" si="50"/>
        <v>0</v>
      </c>
      <c r="W130" s="388">
        <f t="shared" si="50"/>
        <v>0</v>
      </c>
      <c r="X130" s="388"/>
      <c r="Y130" s="388"/>
      <c r="Z130" s="388"/>
      <c r="AA130" s="388"/>
      <c r="AB130" s="388"/>
      <c r="AC130" s="388"/>
      <c r="AD130" s="388"/>
      <c r="AE130" s="388"/>
      <c r="AF130" s="388"/>
      <c r="AG130" s="388"/>
      <c r="AH130" s="388"/>
      <c r="AI130" s="388"/>
      <c r="AJ130" s="388"/>
      <c r="AK130" s="388"/>
      <c r="AL130" s="388"/>
      <c r="AM130" s="388"/>
      <c r="AN130" s="388"/>
      <c r="AO130" s="388"/>
      <c r="AP130" s="388"/>
    </row>
    <row r="131" spans="1:42" ht="15" outlineLevel="1">
      <c r="A131" s="374"/>
      <c r="B131" s="424" t="s">
        <v>324</v>
      </c>
      <c r="C131" s="393"/>
      <c r="D131" s="393">
        <f>SUMIF($C124:$AP124,D$42,$C126:$AP126)</f>
        <v>0</v>
      </c>
      <c r="E131" s="393">
        <f t="shared" ref="E131:W131" si="51">SUMIF($C124:$AP124,E$42,$C126:$AP126)</f>
        <v>0</v>
      </c>
      <c r="F131" s="393">
        <f t="shared" si="51"/>
        <v>3.0206677968239723E-139</v>
      </c>
      <c r="G131" s="393">
        <f t="shared" si="51"/>
        <v>3.2060266980956872E-139</v>
      </c>
      <c r="H131" s="393">
        <f t="shared" si="51"/>
        <v>3.402759879689384E-139</v>
      </c>
      <c r="I131" s="393">
        <f t="shared" si="51"/>
        <v>3.6115653078314222E-139</v>
      </c>
      <c r="J131" s="393">
        <f t="shared" si="51"/>
        <v>3.8331837784340289E-139</v>
      </c>
      <c r="K131" s="393">
        <f t="shared" si="51"/>
        <v>4.0684015452768943E-139</v>
      </c>
      <c r="L131" s="393">
        <f t="shared" si="51"/>
        <v>4.3180531094633214E-139</v>
      </c>
      <c r="M131" s="393">
        <f t="shared" si="51"/>
        <v>4.5830241800473128E-139</v>
      </c>
      <c r="N131" s="393">
        <f t="shared" si="51"/>
        <v>0</v>
      </c>
      <c r="O131" s="393">
        <f t="shared" si="51"/>
        <v>0</v>
      </c>
      <c r="P131" s="393">
        <f t="shared" si="51"/>
        <v>0</v>
      </c>
      <c r="Q131" s="393">
        <f t="shared" si="51"/>
        <v>0</v>
      </c>
      <c r="R131" s="393">
        <f t="shared" si="51"/>
        <v>0</v>
      </c>
      <c r="S131" s="393">
        <f t="shared" si="51"/>
        <v>0</v>
      </c>
      <c r="T131" s="393">
        <f t="shared" si="51"/>
        <v>0</v>
      </c>
      <c r="U131" s="393">
        <f t="shared" si="51"/>
        <v>0</v>
      </c>
      <c r="V131" s="393">
        <f t="shared" si="51"/>
        <v>0</v>
      </c>
      <c r="W131" s="393">
        <f t="shared" si="51"/>
        <v>0</v>
      </c>
      <c r="X131" s="393"/>
      <c r="Y131" s="393"/>
      <c r="Z131" s="393"/>
      <c r="AA131" s="393"/>
      <c r="AB131" s="393"/>
      <c r="AC131" s="393"/>
      <c r="AD131" s="393"/>
      <c r="AE131" s="393"/>
      <c r="AF131" s="393"/>
      <c r="AG131" s="393"/>
      <c r="AH131" s="393"/>
      <c r="AI131" s="393"/>
      <c r="AJ131" s="393"/>
      <c r="AK131" s="393"/>
      <c r="AL131" s="393"/>
      <c r="AM131" s="393"/>
      <c r="AN131" s="393"/>
      <c r="AO131" s="393"/>
      <c r="AP131" s="393"/>
    </row>
    <row r="132" spans="1:42" ht="16" outlineLevel="1" thickBot="1">
      <c r="A132" s="374"/>
      <c r="B132" s="425" t="s">
        <v>1</v>
      </c>
      <c r="C132" s="397">
        <f t="shared" ref="C132:W132" si="52">SUM(C130:C131)</f>
        <v>3.4523212425591693E-139</v>
      </c>
      <c r="D132" s="397">
        <f t="shared" si="52"/>
        <v>3.45232124255917E-139</v>
      </c>
      <c r="E132" s="397">
        <f t="shared" si="52"/>
        <v>3.45232124255917E-139</v>
      </c>
      <c r="F132" s="397">
        <f t="shared" si="52"/>
        <v>6.4058672151026768E-139</v>
      </c>
      <c r="G132" s="397">
        <f t="shared" si="52"/>
        <v>6.4058672151026768E-139</v>
      </c>
      <c r="H132" s="397">
        <f t="shared" si="52"/>
        <v>6.4058672151026775E-139</v>
      </c>
      <c r="I132" s="397">
        <f t="shared" si="52"/>
        <v>6.4058672151026775E-139</v>
      </c>
      <c r="J132" s="397">
        <f t="shared" si="52"/>
        <v>6.4058672151026768E-139</v>
      </c>
      <c r="K132" s="397">
        <f t="shared" si="52"/>
        <v>6.405867215102676E-139</v>
      </c>
      <c r="L132" s="397">
        <f t="shared" si="52"/>
        <v>6.4058672151026768E-139</v>
      </c>
      <c r="M132" s="397">
        <f t="shared" si="52"/>
        <v>6.4058672151026768E-139</v>
      </c>
      <c r="N132" s="397">
        <f t="shared" si="52"/>
        <v>0</v>
      </c>
      <c r="O132" s="397">
        <f t="shared" si="52"/>
        <v>0</v>
      </c>
      <c r="P132" s="397">
        <f t="shared" si="52"/>
        <v>0</v>
      </c>
      <c r="Q132" s="397">
        <f t="shared" si="52"/>
        <v>0</v>
      </c>
      <c r="R132" s="397">
        <f t="shared" si="52"/>
        <v>0</v>
      </c>
      <c r="S132" s="397">
        <f t="shared" si="52"/>
        <v>0</v>
      </c>
      <c r="T132" s="397">
        <f t="shared" si="52"/>
        <v>0</v>
      </c>
      <c r="U132" s="397">
        <f t="shared" si="52"/>
        <v>0</v>
      </c>
      <c r="V132" s="397">
        <f t="shared" si="52"/>
        <v>0</v>
      </c>
      <c r="W132" s="397">
        <f t="shared" si="52"/>
        <v>0</v>
      </c>
      <c r="X132" s="397"/>
      <c r="Y132" s="397"/>
      <c r="Z132" s="397"/>
      <c r="AA132" s="397"/>
      <c r="AB132" s="397"/>
      <c r="AC132" s="397"/>
      <c r="AD132" s="397"/>
      <c r="AE132" s="397"/>
      <c r="AF132" s="397"/>
      <c r="AG132" s="397"/>
      <c r="AH132" s="397"/>
      <c r="AI132" s="397"/>
      <c r="AJ132" s="397"/>
      <c r="AK132" s="397"/>
      <c r="AL132" s="397"/>
      <c r="AM132" s="397"/>
      <c r="AN132" s="397"/>
      <c r="AO132" s="397"/>
      <c r="AP132" s="397"/>
    </row>
    <row r="133" spans="1:42" ht="15" outlineLevel="1">
      <c r="A133" s="374"/>
      <c r="B133" s="406" t="s">
        <v>252</v>
      </c>
      <c r="C133" s="406"/>
      <c r="D133" s="406"/>
      <c r="E133" s="406"/>
      <c r="F133" s="406"/>
      <c r="G133" s="406"/>
      <c r="H133" s="406"/>
      <c r="I133" s="406"/>
      <c r="J133" s="406"/>
      <c r="K133" s="406"/>
      <c r="L133" s="406"/>
      <c r="M133" s="406"/>
      <c r="N133" s="406"/>
      <c r="O133" s="406"/>
      <c r="P133" s="406"/>
      <c r="Q133" s="406"/>
      <c r="R133" s="406"/>
      <c r="S133" s="406"/>
      <c r="T133" s="406"/>
      <c r="U133" s="406"/>
      <c r="V133" s="406"/>
      <c r="W133" s="406"/>
      <c r="X133" s="406"/>
      <c r="Y133" s="406"/>
      <c r="Z133" s="406"/>
      <c r="AA133" s="406"/>
      <c r="AB133" s="406"/>
      <c r="AC133" s="406"/>
      <c r="AD133" s="406"/>
      <c r="AE133" s="406"/>
      <c r="AF133" s="406"/>
      <c r="AG133" s="406"/>
      <c r="AH133" s="406"/>
      <c r="AI133" s="406"/>
      <c r="AJ133" s="406"/>
      <c r="AK133" s="406"/>
      <c r="AL133" s="406"/>
      <c r="AM133" s="406"/>
      <c r="AN133" s="406"/>
      <c r="AO133" s="406"/>
      <c r="AP133" s="406"/>
    </row>
    <row r="134" spans="1:42" s="430" customFormat="1" ht="16" outlineLevel="1" thickBot="1">
      <c r="A134" s="427"/>
      <c r="B134" s="428"/>
      <c r="C134" s="428">
        <v>1</v>
      </c>
      <c r="D134" s="428">
        <v>2</v>
      </c>
      <c r="E134" s="428">
        <v>3</v>
      </c>
      <c r="F134" s="428">
        <v>4</v>
      </c>
      <c r="G134" s="428">
        <v>5</v>
      </c>
      <c r="H134" s="428">
        <v>6</v>
      </c>
      <c r="I134" s="428">
        <v>7</v>
      </c>
      <c r="J134" s="428">
        <v>8</v>
      </c>
      <c r="K134" s="428">
        <v>9</v>
      </c>
      <c r="L134" s="428">
        <v>10</v>
      </c>
      <c r="M134" s="428">
        <v>11</v>
      </c>
      <c r="N134" s="428">
        <v>12</v>
      </c>
      <c r="O134" s="428" t="s">
        <v>1</v>
      </c>
      <c r="P134" s="429"/>
      <c r="Q134" s="429"/>
      <c r="R134" s="429"/>
      <c r="S134" s="429"/>
      <c r="T134" s="429"/>
      <c r="U134" s="429"/>
      <c r="V134" s="429"/>
      <c r="W134" s="429"/>
      <c r="X134" s="429"/>
      <c r="Y134" s="429"/>
      <c r="Z134" s="429"/>
      <c r="AA134" s="429"/>
      <c r="AB134" s="429"/>
      <c r="AC134" s="429"/>
      <c r="AD134" s="429"/>
      <c r="AE134" s="429"/>
      <c r="AF134" s="429"/>
      <c r="AG134" s="429"/>
      <c r="AH134" s="429"/>
      <c r="AI134" s="429"/>
      <c r="AJ134" s="429"/>
      <c r="AK134" s="429"/>
      <c r="AL134" s="429"/>
      <c r="AM134" s="429"/>
      <c r="AN134" s="429"/>
      <c r="AO134" s="429"/>
      <c r="AP134" s="429"/>
    </row>
    <row r="135" spans="1:42" ht="15" outlineLevel="1">
      <c r="A135" s="374"/>
      <c r="B135" s="421" t="s">
        <v>431</v>
      </c>
      <c r="C135" s="431">
        <v>1</v>
      </c>
      <c r="D135" s="431">
        <v>0</v>
      </c>
      <c r="E135" s="431">
        <v>0</v>
      </c>
      <c r="F135" s="431">
        <v>0</v>
      </c>
      <c r="G135" s="431">
        <v>0</v>
      </c>
      <c r="H135" s="431">
        <v>0</v>
      </c>
      <c r="I135" s="431">
        <v>0</v>
      </c>
      <c r="J135" s="431">
        <v>0</v>
      </c>
      <c r="K135" s="431">
        <v>0</v>
      </c>
      <c r="L135" s="431">
        <v>0</v>
      </c>
      <c r="M135" s="431">
        <v>0</v>
      </c>
      <c r="N135" s="431">
        <v>0</v>
      </c>
      <c r="O135" s="432"/>
      <c r="P135" s="412"/>
      <c r="Q135" s="412"/>
      <c r="R135" s="412"/>
      <c r="S135" s="412"/>
      <c r="T135" s="412"/>
      <c r="U135" s="412"/>
      <c r="V135" s="412"/>
      <c r="W135" s="412"/>
      <c r="X135" s="412"/>
      <c r="Y135" s="412"/>
      <c r="Z135" s="412"/>
      <c r="AA135" s="412"/>
      <c r="AB135" s="412"/>
      <c r="AC135" s="412"/>
      <c r="AD135" s="412"/>
      <c r="AE135" s="412"/>
      <c r="AF135" s="412"/>
      <c r="AG135" s="412"/>
      <c r="AH135" s="412"/>
      <c r="AI135" s="412"/>
      <c r="AJ135" s="412"/>
      <c r="AK135" s="412"/>
      <c r="AL135" s="412"/>
      <c r="AM135" s="412"/>
      <c r="AN135" s="412"/>
      <c r="AO135" s="412"/>
      <c r="AP135" s="412"/>
    </row>
    <row r="136" spans="1:42" ht="15" outlineLevel="1">
      <c r="A136" s="374"/>
      <c r="B136" s="426" t="s">
        <v>324</v>
      </c>
      <c r="C136" s="388">
        <f t="shared" ref="C136:N136" si="53">$I$8*C135</f>
        <v>5.7538687375986169E-138</v>
      </c>
      <c r="D136" s="388">
        <f t="shared" si="53"/>
        <v>0</v>
      </c>
      <c r="E136" s="388">
        <f t="shared" si="53"/>
        <v>0</v>
      </c>
      <c r="F136" s="388">
        <f t="shared" si="53"/>
        <v>0</v>
      </c>
      <c r="G136" s="388">
        <f t="shared" si="53"/>
        <v>0</v>
      </c>
      <c r="H136" s="388">
        <f t="shared" si="53"/>
        <v>0</v>
      </c>
      <c r="I136" s="388">
        <f t="shared" si="53"/>
        <v>0</v>
      </c>
      <c r="J136" s="388">
        <f t="shared" si="53"/>
        <v>0</v>
      </c>
      <c r="K136" s="388">
        <f t="shared" si="53"/>
        <v>0</v>
      </c>
      <c r="L136" s="388">
        <f t="shared" si="53"/>
        <v>0</v>
      </c>
      <c r="M136" s="388">
        <f t="shared" si="53"/>
        <v>0</v>
      </c>
      <c r="N136" s="388">
        <f t="shared" si="53"/>
        <v>0</v>
      </c>
      <c r="O136" s="388"/>
      <c r="P136" s="412"/>
      <c r="Q136" s="412"/>
      <c r="R136" s="412"/>
      <c r="S136" s="412"/>
      <c r="T136" s="412"/>
      <c r="U136" s="412"/>
      <c r="V136" s="412"/>
      <c r="W136" s="412"/>
      <c r="X136" s="412"/>
      <c r="Y136" s="412"/>
      <c r="Z136" s="412"/>
      <c r="AA136" s="412"/>
      <c r="AB136" s="412"/>
      <c r="AC136" s="412"/>
      <c r="AD136" s="412"/>
      <c r="AE136" s="412"/>
      <c r="AF136" s="412"/>
      <c r="AG136" s="412"/>
      <c r="AH136" s="412"/>
      <c r="AI136" s="412"/>
      <c r="AJ136" s="412"/>
      <c r="AK136" s="412"/>
      <c r="AL136" s="412"/>
      <c r="AM136" s="412"/>
      <c r="AN136" s="412"/>
      <c r="AO136" s="412"/>
      <c r="AP136" s="412"/>
    </row>
    <row r="137" spans="1:42" ht="15" outlineLevel="1">
      <c r="A137" s="374"/>
      <c r="B137" s="424" t="s">
        <v>432</v>
      </c>
      <c r="C137" s="393">
        <f>C136</f>
        <v>5.7538687375986169E-138</v>
      </c>
      <c r="D137" s="393">
        <f t="shared" ref="D137:N137" si="54">D136+C137</f>
        <v>5.7538687375986169E-138</v>
      </c>
      <c r="E137" s="393">
        <f t="shared" si="54"/>
        <v>5.7538687375986169E-138</v>
      </c>
      <c r="F137" s="393">
        <f t="shared" si="54"/>
        <v>5.7538687375986169E-138</v>
      </c>
      <c r="G137" s="393">
        <f t="shared" si="54"/>
        <v>5.7538687375986169E-138</v>
      </c>
      <c r="H137" s="393">
        <f t="shared" si="54"/>
        <v>5.7538687375986169E-138</v>
      </c>
      <c r="I137" s="393">
        <f t="shared" si="54"/>
        <v>5.7538687375986169E-138</v>
      </c>
      <c r="J137" s="393">
        <f t="shared" si="54"/>
        <v>5.7538687375986169E-138</v>
      </c>
      <c r="K137" s="393">
        <f t="shared" si="54"/>
        <v>5.7538687375986169E-138</v>
      </c>
      <c r="L137" s="393">
        <f t="shared" si="54"/>
        <v>5.7538687375986169E-138</v>
      </c>
      <c r="M137" s="393">
        <f t="shared" si="54"/>
        <v>5.7538687375986169E-138</v>
      </c>
      <c r="N137" s="393">
        <f t="shared" si="54"/>
        <v>5.7538687375986169E-138</v>
      </c>
      <c r="O137" s="393"/>
      <c r="P137" s="412"/>
      <c r="Q137" s="412"/>
      <c r="R137" s="412"/>
      <c r="S137" s="412"/>
      <c r="T137" s="412"/>
      <c r="U137" s="412"/>
      <c r="V137" s="412"/>
      <c r="W137" s="412"/>
      <c r="X137" s="412"/>
      <c r="Y137" s="412"/>
      <c r="Z137" s="412"/>
      <c r="AA137" s="412"/>
      <c r="AB137" s="412"/>
      <c r="AC137" s="412"/>
      <c r="AD137" s="412"/>
      <c r="AE137" s="412"/>
      <c r="AF137" s="412"/>
      <c r="AG137" s="412"/>
      <c r="AH137" s="412"/>
      <c r="AI137" s="412"/>
      <c r="AJ137" s="412"/>
      <c r="AK137" s="412"/>
      <c r="AL137" s="412"/>
      <c r="AM137" s="412"/>
      <c r="AN137" s="412"/>
      <c r="AO137" s="412"/>
      <c r="AP137" s="412"/>
    </row>
    <row r="138" spans="1:42" ht="16" outlineLevel="1" thickBot="1">
      <c r="A138" s="374"/>
      <c r="B138" s="425" t="s">
        <v>323</v>
      </c>
      <c r="C138" s="397">
        <f t="shared" ref="C138:N138" si="55">C137*$J$8/12</f>
        <v>2.8769343687993085E-140</v>
      </c>
      <c r="D138" s="397">
        <f t="shared" si="55"/>
        <v>2.8769343687993085E-140</v>
      </c>
      <c r="E138" s="397">
        <f t="shared" si="55"/>
        <v>2.8769343687993085E-140</v>
      </c>
      <c r="F138" s="397">
        <f t="shared" si="55"/>
        <v>2.8769343687993085E-140</v>
      </c>
      <c r="G138" s="397">
        <f t="shared" si="55"/>
        <v>2.8769343687993085E-140</v>
      </c>
      <c r="H138" s="397">
        <f t="shared" si="55"/>
        <v>2.8769343687993085E-140</v>
      </c>
      <c r="I138" s="397">
        <f t="shared" si="55"/>
        <v>2.8769343687993085E-140</v>
      </c>
      <c r="J138" s="397">
        <f t="shared" si="55"/>
        <v>2.8769343687993085E-140</v>
      </c>
      <c r="K138" s="397">
        <f t="shared" si="55"/>
        <v>2.8769343687993085E-140</v>
      </c>
      <c r="L138" s="397">
        <f t="shared" si="55"/>
        <v>2.8769343687993085E-140</v>
      </c>
      <c r="M138" s="397">
        <f t="shared" si="55"/>
        <v>2.8769343687993085E-140</v>
      </c>
      <c r="N138" s="397">
        <f t="shared" si="55"/>
        <v>2.8769343687993085E-140</v>
      </c>
      <c r="O138" s="397">
        <f>SUM(C138:N138)</f>
        <v>3.4523212425591693E-139</v>
      </c>
      <c r="P138" s="412"/>
      <c r="Q138" s="412"/>
      <c r="R138" s="412"/>
      <c r="S138" s="412"/>
      <c r="T138" s="412"/>
      <c r="U138" s="412"/>
      <c r="V138" s="412"/>
      <c r="W138" s="412"/>
      <c r="X138" s="412"/>
      <c r="Y138" s="412"/>
      <c r="Z138" s="412"/>
      <c r="AA138" s="412"/>
      <c r="AB138" s="412"/>
      <c r="AC138" s="412"/>
      <c r="AD138" s="412"/>
      <c r="AE138" s="412"/>
      <c r="AF138" s="412"/>
      <c r="AG138" s="412"/>
      <c r="AH138" s="412"/>
      <c r="AI138" s="412"/>
      <c r="AJ138" s="412"/>
      <c r="AK138" s="412"/>
      <c r="AL138" s="412"/>
      <c r="AM138" s="412"/>
      <c r="AN138" s="412"/>
      <c r="AO138" s="412"/>
      <c r="AP138" s="412"/>
    </row>
    <row r="139" spans="1:42" s="435" customFormat="1" ht="15" outlineLevel="1">
      <c r="A139" s="433"/>
      <c r="B139" s="434" t="s">
        <v>433</v>
      </c>
      <c r="C139" s="406"/>
      <c r="D139" s="406"/>
      <c r="E139" s="406"/>
      <c r="F139" s="406"/>
      <c r="G139" s="406"/>
      <c r="H139" s="406"/>
      <c r="I139" s="406"/>
      <c r="J139" s="406"/>
      <c r="K139" s="406"/>
      <c r="L139" s="406"/>
      <c r="M139" s="406"/>
      <c r="N139" s="406"/>
      <c r="O139" s="406"/>
      <c r="P139" s="406"/>
      <c r="Q139" s="406"/>
      <c r="R139" s="406"/>
      <c r="S139" s="406"/>
      <c r="T139" s="406"/>
      <c r="U139" s="406"/>
      <c r="V139" s="406"/>
      <c r="W139" s="406"/>
      <c r="X139" s="406"/>
      <c r="Y139" s="406"/>
      <c r="Z139" s="406"/>
      <c r="AA139" s="406"/>
      <c r="AB139" s="406"/>
      <c r="AC139" s="406"/>
      <c r="AD139" s="406"/>
      <c r="AE139" s="406"/>
      <c r="AF139" s="406"/>
      <c r="AG139" s="406"/>
      <c r="AH139" s="406"/>
      <c r="AI139" s="406"/>
      <c r="AJ139" s="406"/>
      <c r="AK139" s="406"/>
      <c r="AL139" s="406"/>
      <c r="AM139" s="406"/>
      <c r="AN139" s="406"/>
      <c r="AO139" s="406"/>
      <c r="AP139" s="406"/>
    </row>
    <row r="140" spans="1:42" ht="15" outlineLevel="1">
      <c r="A140" s="374"/>
      <c r="B140" s="437" t="s">
        <v>434</v>
      </c>
      <c r="C140" s="412"/>
      <c r="D140" s="438">
        <f>$A$53</f>
        <v>0</v>
      </c>
      <c r="E140" s="438">
        <f>D140+5%</f>
        <v>0.05</v>
      </c>
      <c r="F140" s="438">
        <f>E140+5%</f>
        <v>0.1</v>
      </c>
      <c r="G140" s="438">
        <f t="shared" ref="G140:X140" si="56">F140+5%</f>
        <v>0.15000000000000002</v>
      </c>
      <c r="H140" s="438">
        <f t="shared" si="56"/>
        <v>0.2</v>
      </c>
      <c r="I140" s="438">
        <f t="shared" si="56"/>
        <v>0.25</v>
      </c>
      <c r="J140" s="438">
        <f t="shared" si="56"/>
        <v>0.3</v>
      </c>
      <c r="K140" s="438">
        <f t="shared" si="56"/>
        <v>0.35</v>
      </c>
      <c r="L140" s="438">
        <f t="shared" si="56"/>
        <v>0.39999999999999997</v>
      </c>
      <c r="M140" s="438">
        <f t="shared" si="56"/>
        <v>0.44999999999999996</v>
      </c>
      <c r="N140" s="438">
        <f t="shared" si="56"/>
        <v>0.49999999999999994</v>
      </c>
      <c r="O140" s="438">
        <f t="shared" si="56"/>
        <v>0.54999999999999993</v>
      </c>
      <c r="P140" s="438">
        <f t="shared" si="56"/>
        <v>0.6</v>
      </c>
      <c r="Q140" s="515">
        <v>0.66666666666666663</v>
      </c>
      <c r="R140" s="438">
        <v>0.7</v>
      </c>
      <c r="S140" s="438">
        <f t="shared" si="56"/>
        <v>0.75</v>
      </c>
      <c r="T140" s="438">
        <f t="shared" si="56"/>
        <v>0.8</v>
      </c>
      <c r="U140" s="438">
        <f t="shared" si="56"/>
        <v>0.85000000000000009</v>
      </c>
      <c r="V140" s="438">
        <f t="shared" si="56"/>
        <v>0.90000000000000013</v>
      </c>
      <c r="W140" s="438">
        <f t="shared" si="56"/>
        <v>0.95000000000000018</v>
      </c>
      <c r="X140" s="438">
        <f t="shared" si="56"/>
        <v>1.0000000000000002</v>
      </c>
      <c r="Y140" s="412"/>
      <c r="Z140" s="412"/>
      <c r="AA140" s="412"/>
      <c r="AB140" s="412"/>
      <c r="AC140" s="412"/>
      <c r="AD140" s="412"/>
      <c r="AE140" s="412"/>
      <c r="AF140" s="412"/>
      <c r="AG140" s="412"/>
      <c r="AH140" s="412"/>
      <c r="AI140" s="412"/>
      <c r="AJ140" s="412"/>
      <c r="AK140" s="412"/>
      <c r="AL140" s="412"/>
      <c r="AM140" s="412"/>
      <c r="AN140" s="412"/>
      <c r="AO140" s="412"/>
      <c r="AP140" s="412"/>
    </row>
    <row r="141" spans="1:42" ht="15" outlineLevel="1">
      <c r="A141" s="401">
        <f>HLOOKUP($H$8+1%,D140:X142,2,TRUE)*$N$8</f>
        <v>5.895835882189879E-138</v>
      </c>
      <c r="B141" s="421" t="s">
        <v>303</v>
      </c>
      <c r="C141" s="440">
        <f>O138</f>
        <v>3.4523212425591693E-139</v>
      </c>
      <c r="D141" s="408">
        <f t="dataTable" ref="D141:X142" dt2D="0" dtr="1" r1="H8" ca="1"/>
        <v>0</v>
      </c>
      <c r="E141" s="408">
        <v>1.7920835182915704E-268</v>
      </c>
      <c r="F141" s="408">
        <v>1.4954009758523841E-233</v>
      </c>
      <c r="G141" s="408">
        <v>4.0111800113255461E-213</v>
      </c>
      <c r="H141" s="408">
        <v>1.2534373812130589E-198</v>
      </c>
      <c r="I141" s="408">
        <v>2.1958864218960355E-187</v>
      </c>
      <c r="J141" s="408">
        <v>3.3774497254947909E-178</v>
      </c>
      <c r="K141" s="408">
        <v>1.9786993184993049E-170</v>
      </c>
      <c r="L141" s="408">
        <v>1.0602734424181319E-163</v>
      </c>
      <c r="M141" s="408">
        <v>9.1430630427200683E-158</v>
      </c>
      <c r="N141" s="408">
        <v>1.8661688074605255E-152</v>
      </c>
      <c r="O141" s="408">
        <v>1.1871398245893406E-147</v>
      </c>
      <c r="P141" s="408">
        <v>2.8839229662408447E-143</v>
      </c>
      <c r="Q141" s="408">
        <v>5.895835882189879E-138</v>
      </c>
      <c r="R141" s="408">
        <v>1.6976836963266696E-135</v>
      </c>
      <c r="S141" s="408">
        <v>5.1006752347154548E-132</v>
      </c>
      <c r="T141" s="408">
        <v>9.1412627447238452E-129</v>
      </c>
      <c r="U141" s="408">
        <v>1.0404455465943497E-125</v>
      </c>
      <c r="V141" s="408">
        <v>7.9217498063944003E-123</v>
      </c>
      <c r="W141" s="408">
        <v>4.2140935303043773E-120</v>
      </c>
      <c r="X141" s="408">
        <v>1.6249943580535565E-117</v>
      </c>
      <c r="Y141" s="412"/>
      <c r="Z141" s="412"/>
      <c r="AA141" s="412"/>
      <c r="AB141" s="412"/>
      <c r="AC141" s="412"/>
      <c r="AD141" s="412"/>
      <c r="AE141" s="412"/>
      <c r="AF141" s="412"/>
      <c r="AG141" s="412"/>
      <c r="AH141" s="412"/>
      <c r="AI141" s="412"/>
      <c r="AJ141" s="412"/>
      <c r="AK141" s="412"/>
      <c r="AL141" s="412"/>
      <c r="AM141" s="412"/>
      <c r="AN141" s="412"/>
      <c r="AO141" s="412"/>
      <c r="AP141" s="412"/>
    </row>
    <row r="142" spans="1:42" ht="15" outlineLevel="1">
      <c r="A142" s="401">
        <f>HLOOKUP($H$8+1%,D140:X142,3,TRUE)*$O$8</f>
        <v>2.7349672242080463E-138</v>
      </c>
      <c r="B142" s="421" t="s">
        <v>302</v>
      </c>
      <c r="C142" s="440">
        <f>-PMT($J$8/$M$8,$K$8*$M$8,$I$8)</f>
        <v>1.6014668037756692E-139</v>
      </c>
      <c r="D142" s="408">
        <v>0</v>
      </c>
      <c r="E142" s="408">
        <v>8.3131379222693206E-269</v>
      </c>
      <c r="F142" s="408">
        <v>6.9368834847653622E-234</v>
      </c>
      <c r="G142" s="408">
        <v>1.8607108611203564E-213</v>
      </c>
      <c r="H142" s="408">
        <v>5.8144599403970974E-199</v>
      </c>
      <c r="I142" s="408">
        <v>1.0186303540285223E-187</v>
      </c>
      <c r="J142" s="408">
        <v>1.5667353171316155E-178</v>
      </c>
      <c r="K142" s="408">
        <v>9.1788134724136E-171</v>
      </c>
      <c r="L142" s="408">
        <v>4.9184088086162211E-164</v>
      </c>
      <c r="M142" s="408">
        <v>4.2412947460503872E-158</v>
      </c>
      <c r="N142" s="408">
        <v>8.6568056255803018E-153</v>
      </c>
      <c r="O142" s="408">
        <v>5.5069180616302842E-148</v>
      </c>
      <c r="P142" s="408">
        <v>1.3377975485436928E-143</v>
      </c>
      <c r="Q142" s="408">
        <v>2.7349672242080463E-138</v>
      </c>
      <c r="R142" s="408">
        <v>7.8752349273352339E-136</v>
      </c>
      <c r="S142" s="408">
        <v>2.3661071758149022E-132</v>
      </c>
      <c r="T142" s="408">
        <v>4.2404596217165594E-129</v>
      </c>
      <c r="U142" s="408">
        <v>4.8264309342543015E-126</v>
      </c>
      <c r="V142" s="408">
        <v>3.6747505378012436E-123</v>
      </c>
      <c r="W142" s="408">
        <v>1.9548386209232125E-120</v>
      </c>
      <c r="X142" s="408">
        <v>7.5380427773181704E-118</v>
      </c>
      <c r="Y142" s="412"/>
      <c r="Z142" s="412"/>
      <c r="AA142" s="412"/>
      <c r="AB142" s="412"/>
      <c r="AC142" s="412"/>
      <c r="AD142" s="412"/>
      <c r="AE142" s="412"/>
      <c r="AF142" s="412"/>
      <c r="AG142" s="412"/>
      <c r="AH142" s="412"/>
      <c r="AI142" s="412"/>
      <c r="AJ142" s="412"/>
      <c r="AK142" s="412"/>
      <c r="AL142" s="412"/>
      <c r="AM142" s="412"/>
      <c r="AN142" s="412"/>
      <c r="AO142" s="412"/>
      <c r="AP142" s="412"/>
    </row>
    <row r="143" spans="1:42" ht="15" outlineLevel="1">
      <c r="A143" s="374"/>
      <c r="B143" s="406" t="s">
        <v>424</v>
      </c>
      <c r="C143" s="406"/>
      <c r="D143" s="406"/>
      <c r="E143" s="406"/>
      <c r="F143" s="406"/>
      <c r="G143" s="406"/>
      <c r="H143" s="406"/>
      <c r="I143" s="406"/>
      <c r="J143" s="406"/>
      <c r="K143" s="406"/>
      <c r="L143" s="406"/>
      <c r="M143" s="406"/>
      <c r="N143" s="406"/>
      <c r="O143" s="406"/>
      <c r="P143" s="406"/>
      <c r="Q143" s="406"/>
      <c r="R143" s="406"/>
      <c r="S143" s="406"/>
      <c r="T143" s="406"/>
      <c r="U143" s="406"/>
      <c r="V143" s="406"/>
      <c r="W143" s="406"/>
      <c r="X143" s="406"/>
      <c r="Y143" s="406"/>
      <c r="Z143" s="406"/>
      <c r="AA143" s="406"/>
      <c r="AB143" s="406"/>
      <c r="AC143" s="406"/>
      <c r="AD143" s="406"/>
      <c r="AE143" s="406"/>
      <c r="AF143" s="406"/>
      <c r="AG143" s="406"/>
      <c r="AH143" s="406"/>
      <c r="AI143" s="406"/>
      <c r="AJ143" s="406"/>
      <c r="AK143" s="406"/>
      <c r="AL143" s="406"/>
      <c r="AM143" s="406"/>
      <c r="AN143" s="406"/>
      <c r="AO143" s="406"/>
      <c r="AP143" s="406"/>
    </row>
    <row r="144" spans="1:42" s="430" customFormat="1" ht="16" outlineLevel="1" thickBot="1">
      <c r="A144" s="427"/>
      <c r="B144" s="405"/>
      <c r="C144" s="405">
        <v>0</v>
      </c>
      <c r="D144" s="405">
        <v>1</v>
      </c>
      <c r="E144" s="405">
        <v>2</v>
      </c>
      <c r="F144" s="405">
        <v>3</v>
      </c>
      <c r="G144" s="405">
        <v>4</v>
      </c>
      <c r="H144" s="405">
        <v>5</v>
      </c>
      <c r="I144" s="405">
        <v>6</v>
      </c>
      <c r="J144" s="405">
        <v>7</v>
      </c>
      <c r="K144" s="405">
        <v>8</v>
      </c>
      <c r="L144" s="405">
        <v>9</v>
      </c>
      <c r="M144" s="405">
        <v>10</v>
      </c>
      <c r="N144" s="405">
        <v>11</v>
      </c>
      <c r="O144" s="405">
        <v>12</v>
      </c>
      <c r="P144" s="405">
        <v>13</v>
      </c>
      <c r="Q144" s="405">
        <v>14</v>
      </c>
      <c r="R144" s="405">
        <v>15</v>
      </c>
      <c r="S144" s="405">
        <v>16</v>
      </c>
      <c r="T144" s="405">
        <v>17</v>
      </c>
      <c r="U144" s="405">
        <v>18</v>
      </c>
      <c r="V144" s="405">
        <v>19</v>
      </c>
      <c r="W144" s="405">
        <v>20</v>
      </c>
      <c r="X144" s="421"/>
      <c r="Y144" s="421"/>
      <c r="Z144" s="421"/>
      <c r="AA144" s="421"/>
      <c r="AB144" s="421"/>
      <c r="AC144" s="421"/>
      <c r="AD144" s="421"/>
      <c r="AE144" s="421"/>
      <c r="AF144" s="421"/>
      <c r="AG144" s="421"/>
      <c r="AH144" s="421"/>
      <c r="AI144" s="421"/>
      <c r="AJ144" s="421"/>
      <c r="AK144" s="421"/>
      <c r="AL144" s="421"/>
      <c r="AM144" s="421"/>
      <c r="AN144" s="421"/>
      <c r="AO144" s="421"/>
      <c r="AP144" s="421"/>
    </row>
    <row r="145" spans="1:42" ht="15" outlineLevel="1">
      <c r="A145" s="374"/>
      <c r="B145" s="441" t="s">
        <v>425</v>
      </c>
      <c r="C145" s="442">
        <f>D131</f>
        <v>0</v>
      </c>
      <c r="D145" s="442">
        <f t="shared" ref="D145:W145" si="57">E131</f>
        <v>0</v>
      </c>
      <c r="E145" s="442">
        <f t="shared" si="57"/>
        <v>3.0206677968239723E-139</v>
      </c>
      <c r="F145" s="442">
        <f t="shared" si="57"/>
        <v>3.2060266980956872E-139</v>
      </c>
      <c r="G145" s="442">
        <f t="shared" si="57"/>
        <v>3.402759879689384E-139</v>
      </c>
      <c r="H145" s="442">
        <f t="shared" si="57"/>
        <v>3.6115653078314222E-139</v>
      </c>
      <c r="I145" s="442">
        <f t="shared" si="57"/>
        <v>3.8331837784340289E-139</v>
      </c>
      <c r="J145" s="442">
        <f t="shared" si="57"/>
        <v>4.0684015452768943E-139</v>
      </c>
      <c r="K145" s="442">
        <f t="shared" si="57"/>
        <v>4.3180531094633214E-139</v>
      </c>
      <c r="L145" s="442">
        <f t="shared" si="57"/>
        <v>4.5830241800473128E-139</v>
      </c>
      <c r="M145" s="442">
        <f t="shared" si="57"/>
        <v>0</v>
      </c>
      <c r="N145" s="442">
        <f t="shared" si="57"/>
        <v>0</v>
      </c>
      <c r="O145" s="442">
        <f t="shared" si="57"/>
        <v>0</v>
      </c>
      <c r="P145" s="442">
        <f t="shared" si="57"/>
        <v>0</v>
      </c>
      <c r="Q145" s="442">
        <f t="shared" si="57"/>
        <v>0</v>
      </c>
      <c r="R145" s="442">
        <f t="shared" si="57"/>
        <v>0</v>
      </c>
      <c r="S145" s="442">
        <f t="shared" si="57"/>
        <v>0</v>
      </c>
      <c r="T145" s="442">
        <f t="shared" si="57"/>
        <v>0</v>
      </c>
      <c r="U145" s="442">
        <f t="shared" si="57"/>
        <v>0</v>
      </c>
      <c r="V145" s="442">
        <f t="shared" si="57"/>
        <v>0</v>
      </c>
      <c r="W145" s="442">
        <f t="shared" si="57"/>
        <v>0</v>
      </c>
      <c r="X145" s="442"/>
      <c r="Y145" s="442"/>
      <c r="Z145" s="442"/>
      <c r="AA145" s="442"/>
      <c r="AB145" s="442"/>
      <c r="AC145" s="442"/>
      <c r="AD145" s="442"/>
      <c r="AE145" s="442"/>
      <c r="AF145" s="442"/>
      <c r="AG145" s="442"/>
      <c r="AH145" s="442"/>
      <c r="AI145" s="442"/>
      <c r="AJ145" s="442"/>
      <c r="AK145" s="442"/>
      <c r="AL145" s="442"/>
      <c r="AM145" s="442"/>
      <c r="AN145" s="442"/>
      <c r="AO145" s="442"/>
      <c r="AP145" s="442"/>
    </row>
    <row r="146" spans="1:42" ht="16" outlineLevel="1" thickBot="1">
      <c r="A146" s="374"/>
      <c r="B146" s="443" t="s">
        <v>426</v>
      </c>
      <c r="C146" s="444">
        <f>$I$8-C145</f>
        <v>5.7538687375986169E-138</v>
      </c>
      <c r="D146" s="444">
        <f t="shared" ref="D146:W146" si="58">C146-D145</f>
        <v>5.7538687375986169E-138</v>
      </c>
      <c r="E146" s="444">
        <f t="shared" si="58"/>
        <v>5.4518019579162194E-138</v>
      </c>
      <c r="F146" s="444">
        <f t="shared" si="58"/>
        <v>5.1311992881066507E-138</v>
      </c>
      <c r="G146" s="444">
        <f t="shared" si="58"/>
        <v>4.7909233001377123E-138</v>
      </c>
      <c r="H146" s="444">
        <f t="shared" si="58"/>
        <v>4.4297667693545698E-138</v>
      </c>
      <c r="I146" s="444">
        <f t="shared" si="58"/>
        <v>4.0464483915111667E-138</v>
      </c>
      <c r="J146" s="444">
        <f t="shared" si="58"/>
        <v>3.6396082369834774E-138</v>
      </c>
      <c r="K146" s="444">
        <f t="shared" si="58"/>
        <v>3.2078029260371454E-138</v>
      </c>
      <c r="L146" s="444">
        <f t="shared" si="58"/>
        <v>2.749500508032414E-138</v>
      </c>
      <c r="M146" s="444">
        <f t="shared" si="58"/>
        <v>2.749500508032414E-138</v>
      </c>
      <c r="N146" s="444">
        <f t="shared" si="58"/>
        <v>2.749500508032414E-138</v>
      </c>
      <c r="O146" s="444">
        <f t="shared" si="58"/>
        <v>2.749500508032414E-138</v>
      </c>
      <c r="P146" s="444">
        <f t="shared" si="58"/>
        <v>2.749500508032414E-138</v>
      </c>
      <c r="Q146" s="444">
        <f t="shared" si="58"/>
        <v>2.749500508032414E-138</v>
      </c>
      <c r="R146" s="444">
        <f t="shared" si="58"/>
        <v>2.749500508032414E-138</v>
      </c>
      <c r="S146" s="444">
        <f t="shared" si="58"/>
        <v>2.749500508032414E-138</v>
      </c>
      <c r="T146" s="444">
        <f t="shared" si="58"/>
        <v>2.749500508032414E-138</v>
      </c>
      <c r="U146" s="444">
        <f t="shared" si="58"/>
        <v>2.749500508032414E-138</v>
      </c>
      <c r="V146" s="444">
        <f t="shared" si="58"/>
        <v>2.749500508032414E-138</v>
      </c>
      <c r="W146" s="444">
        <f t="shared" si="58"/>
        <v>2.749500508032414E-138</v>
      </c>
      <c r="X146" s="444"/>
      <c r="Y146" s="444"/>
      <c r="Z146" s="444"/>
      <c r="AA146" s="444"/>
      <c r="AB146" s="444"/>
      <c r="AC146" s="444"/>
      <c r="AD146" s="444"/>
      <c r="AE146" s="444"/>
      <c r="AF146" s="444"/>
      <c r="AG146" s="444"/>
      <c r="AH146" s="444"/>
      <c r="AI146" s="444"/>
      <c r="AJ146" s="444"/>
      <c r="AK146" s="444"/>
      <c r="AL146" s="444"/>
      <c r="AM146" s="444"/>
      <c r="AN146" s="444"/>
      <c r="AO146" s="444"/>
      <c r="AP146" s="444"/>
    </row>
    <row r="147" spans="1:42" s="377" customFormat="1" ht="15" outlineLevel="1">
      <c r="A147" s="374"/>
      <c r="B147" s="445"/>
      <c r="C147" s="446"/>
      <c r="D147" s="446"/>
      <c r="E147" s="446"/>
      <c r="F147" s="446"/>
      <c r="G147" s="446"/>
      <c r="H147" s="446"/>
      <c r="I147" s="446"/>
      <c r="J147" s="446"/>
      <c r="K147" s="446"/>
      <c r="L147" s="446"/>
      <c r="M147" s="446"/>
      <c r="N147" s="446"/>
      <c r="O147" s="446"/>
      <c r="P147" s="446"/>
      <c r="Q147" s="446"/>
      <c r="R147" s="446"/>
      <c r="S147" s="446"/>
      <c r="T147" s="446"/>
      <c r="U147" s="446"/>
      <c r="V147" s="446"/>
      <c r="W147" s="446"/>
      <c r="X147" s="446"/>
      <c r="Y147" s="446"/>
      <c r="Z147" s="446"/>
      <c r="AA147" s="446"/>
      <c r="AB147" s="446"/>
      <c r="AC147" s="446"/>
      <c r="AD147" s="446"/>
      <c r="AE147" s="446"/>
      <c r="AF147" s="446"/>
      <c r="AG147" s="446"/>
      <c r="AH147" s="446"/>
      <c r="AI147" s="446"/>
      <c r="AJ147" s="446"/>
      <c r="AK147" s="446"/>
      <c r="AL147" s="446"/>
      <c r="AM147" s="446"/>
      <c r="AN147" s="446"/>
      <c r="AO147" s="446"/>
      <c r="AP147" s="446"/>
    </row>
    <row r="148" spans="1:42" s="377" customFormat="1" ht="16" thickBot="1">
      <c r="A148" s="374"/>
      <c r="B148" s="374"/>
      <c r="C148" s="374"/>
      <c r="D148" s="374"/>
      <c r="E148" s="374"/>
      <c r="F148" s="374"/>
      <c r="G148" s="374"/>
      <c r="H148" s="374"/>
      <c r="I148" s="374"/>
      <c r="J148" s="374"/>
      <c r="K148" s="374"/>
      <c r="L148" s="374"/>
      <c r="M148" s="374"/>
      <c r="N148" s="374"/>
      <c r="O148" s="374"/>
      <c r="P148" s="374"/>
      <c r="Q148" s="374"/>
      <c r="R148" s="374"/>
    </row>
    <row r="149" spans="1:42" ht="16" thickTop="1">
      <c r="A149" s="374"/>
      <c r="B149" s="379" t="s">
        <v>438</v>
      </c>
      <c r="C149" s="379"/>
      <c r="D149" s="379"/>
      <c r="E149" s="379"/>
      <c r="F149" s="379"/>
      <c r="G149" s="379"/>
      <c r="H149" s="379"/>
      <c r="I149" s="379"/>
      <c r="J149" s="379"/>
      <c r="K149" s="379"/>
      <c r="L149" s="379"/>
      <c r="M149" s="379"/>
      <c r="N149" s="379"/>
      <c r="O149" s="379"/>
      <c r="P149" s="379"/>
      <c r="Q149" s="379"/>
      <c r="R149" s="379"/>
      <c r="S149" s="379"/>
      <c r="T149" s="379"/>
      <c r="U149" s="379"/>
      <c r="V149" s="379"/>
      <c r="W149" s="379"/>
      <c r="X149" s="379"/>
      <c r="Y149" s="379"/>
      <c r="Z149" s="379"/>
      <c r="AA149" s="379"/>
      <c r="AB149" s="379"/>
      <c r="AC149" s="379"/>
      <c r="AD149" s="379"/>
      <c r="AE149" s="379"/>
      <c r="AF149" s="379"/>
      <c r="AG149" s="379"/>
      <c r="AH149" s="379"/>
      <c r="AI149" s="379"/>
      <c r="AJ149" s="379"/>
      <c r="AK149" s="379"/>
      <c r="AL149" s="379"/>
      <c r="AM149" s="379"/>
      <c r="AN149" s="379"/>
      <c r="AO149" s="379"/>
      <c r="AP149" s="379"/>
    </row>
    <row r="150" spans="1:42" ht="15" outlineLevel="1">
      <c r="A150" s="374"/>
      <c r="B150" s="406" t="s">
        <v>421</v>
      </c>
      <c r="C150" s="406"/>
      <c r="D150" s="406"/>
      <c r="E150" s="406"/>
      <c r="F150" s="406"/>
      <c r="G150" s="406"/>
      <c r="H150" s="406"/>
      <c r="I150" s="406"/>
      <c r="J150" s="406"/>
      <c r="K150" s="406"/>
      <c r="L150" s="406"/>
      <c r="M150" s="406"/>
      <c r="N150" s="406"/>
      <c r="O150" s="406"/>
      <c r="P150" s="406"/>
      <c r="Q150" s="406"/>
      <c r="R150" s="406"/>
      <c r="S150" s="406"/>
      <c r="T150" s="406"/>
      <c r="U150" s="406"/>
      <c r="V150" s="406"/>
      <c r="W150" s="406"/>
      <c r="X150" s="406"/>
      <c r="Y150" s="406"/>
      <c r="Z150" s="406"/>
      <c r="AA150" s="406"/>
      <c r="AB150" s="406"/>
      <c r="AC150" s="406"/>
      <c r="AD150" s="406"/>
      <c r="AE150" s="406"/>
      <c r="AF150" s="406"/>
      <c r="AG150" s="406"/>
      <c r="AH150" s="406"/>
      <c r="AI150" s="406"/>
      <c r="AJ150" s="406"/>
      <c r="AK150" s="406"/>
      <c r="AL150" s="406"/>
      <c r="AM150" s="406"/>
      <c r="AN150" s="406"/>
      <c r="AO150" s="406"/>
      <c r="AP150" s="406"/>
    </row>
    <row r="151" spans="1:42" s="420" customFormat="1" ht="15" outlineLevel="1">
      <c r="A151" s="417"/>
      <c r="B151" s="418" t="s">
        <v>428</v>
      </c>
      <c r="C151" s="419">
        <v>1</v>
      </c>
      <c r="D151" s="419">
        <v>2</v>
      </c>
      <c r="E151" s="419">
        <v>3</v>
      </c>
      <c r="F151" s="419">
        <v>4</v>
      </c>
      <c r="G151" s="419">
        <v>5</v>
      </c>
      <c r="H151" s="419">
        <v>6</v>
      </c>
      <c r="I151" s="419">
        <v>7</v>
      </c>
      <c r="J151" s="419">
        <v>8</v>
      </c>
      <c r="K151" s="419">
        <v>9</v>
      </c>
      <c r="L151" s="419">
        <v>10</v>
      </c>
      <c r="M151" s="419">
        <v>11</v>
      </c>
      <c r="N151" s="419">
        <v>12</v>
      </c>
      <c r="O151" s="419">
        <v>13</v>
      </c>
      <c r="P151" s="419">
        <v>14</v>
      </c>
      <c r="Q151" s="419">
        <v>15</v>
      </c>
      <c r="R151" s="419">
        <v>16</v>
      </c>
      <c r="S151" s="419">
        <v>17</v>
      </c>
      <c r="T151" s="419">
        <v>18</v>
      </c>
      <c r="U151" s="419">
        <v>19</v>
      </c>
      <c r="V151" s="419">
        <v>20</v>
      </c>
      <c r="W151" s="419">
        <v>21</v>
      </c>
      <c r="X151" s="419">
        <v>22</v>
      </c>
      <c r="Y151" s="419">
        <v>23</v>
      </c>
      <c r="Z151" s="419">
        <v>24</v>
      </c>
      <c r="AA151" s="419">
        <v>25</v>
      </c>
      <c r="AB151" s="419">
        <v>26</v>
      </c>
      <c r="AC151" s="419">
        <v>27</v>
      </c>
      <c r="AD151" s="419">
        <v>28</v>
      </c>
      <c r="AE151" s="419">
        <v>29</v>
      </c>
      <c r="AF151" s="419">
        <v>30</v>
      </c>
      <c r="AG151" s="419">
        <v>31</v>
      </c>
      <c r="AH151" s="419">
        <v>32</v>
      </c>
      <c r="AI151" s="419">
        <v>33</v>
      </c>
      <c r="AJ151" s="419">
        <v>34</v>
      </c>
      <c r="AK151" s="419">
        <v>35</v>
      </c>
      <c r="AL151" s="419">
        <v>36</v>
      </c>
      <c r="AM151" s="419">
        <v>37</v>
      </c>
      <c r="AN151" s="419">
        <v>38</v>
      </c>
      <c r="AO151" s="419">
        <v>39</v>
      </c>
      <c r="AP151" s="419">
        <v>40</v>
      </c>
    </row>
    <row r="152" spans="1:42" ht="15" outlineLevel="1">
      <c r="A152" s="374"/>
      <c r="B152" s="421" t="s">
        <v>429</v>
      </c>
      <c r="C152" s="422">
        <f t="shared" ref="C152:AP152" si="59">MAX(C151-($L$9-1)*$M$9,0)</f>
        <v>0</v>
      </c>
      <c r="D152" s="422">
        <f t="shared" si="59"/>
        <v>0</v>
      </c>
      <c r="E152" s="422">
        <f t="shared" si="59"/>
        <v>0</v>
      </c>
      <c r="F152" s="422">
        <f t="shared" si="59"/>
        <v>0</v>
      </c>
      <c r="G152" s="422">
        <f t="shared" si="59"/>
        <v>0</v>
      </c>
      <c r="H152" s="422">
        <f t="shared" si="59"/>
        <v>0</v>
      </c>
      <c r="I152" s="422">
        <f t="shared" si="59"/>
        <v>0</v>
      </c>
      <c r="J152" s="422">
        <f t="shared" si="59"/>
        <v>0</v>
      </c>
      <c r="K152" s="422">
        <f t="shared" si="59"/>
        <v>1</v>
      </c>
      <c r="L152" s="422">
        <f t="shared" si="59"/>
        <v>2</v>
      </c>
      <c r="M152" s="422">
        <f t="shared" si="59"/>
        <v>3</v>
      </c>
      <c r="N152" s="422">
        <f t="shared" si="59"/>
        <v>4</v>
      </c>
      <c r="O152" s="422">
        <f t="shared" si="59"/>
        <v>5</v>
      </c>
      <c r="P152" s="422">
        <f t="shared" si="59"/>
        <v>6</v>
      </c>
      <c r="Q152" s="422">
        <f t="shared" si="59"/>
        <v>7</v>
      </c>
      <c r="R152" s="422">
        <f t="shared" si="59"/>
        <v>8</v>
      </c>
      <c r="S152" s="422">
        <f t="shared" si="59"/>
        <v>9</v>
      </c>
      <c r="T152" s="422">
        <f t="shared" si="59"/>
        <v>10</v>
      </c>
      <c r="U152" s="422">
        <f t="shared" si="59"/>
        <v>11</v>
      </c>
      <c r="V152" s="422">
        <f t="shared" si="59"/>
        <v>12</v>
      </c>
      <c r="W152" s="422">
        <f t="shared" si="59"/>
        <v>13</v>
      </c>
      <c r="X152" s="422">
        <f t="shared" si="59"/>
        <v>14</v>
      </c>
      <c r="Y152" s="422">
        <f t="shared" si="59"/>
        <v>15</v>
      </c>
      <c r="Z152" s="422">
        <f t="shared" si="59"/>
        <v>16</v>
      </c>
      <c r="AA152" s="422">
        <f t="shared" si="59"/>
        <v>17</v>
      </c>
      <c r="AB152" s="422">
        <f t="shared" si="59"/>
        <v>18</v>
      </c>
      <c r="AC152" s="422">
        <f t="shared" si="59"/>
        <v>19</v>
      </c>
      <c r="AD152" s="422">
        <f t="shared" si="59"/>
        <v>20</v>
      </c>
      <c r="AE152" s="422">
        <f t="shared" si="59"/>
        <v>21</v>
      </c>
      <c r="AF152" s="422">
        <f t="shared" si="59"/>
        <v>22</v>
      </c>
      <c r="AG152" s="422">
        <f t="shared" si="59"/>
        <v>23</v>
      </c>
      <c r="AH152" s="422">
        <f t="shared" si="59"/>
        <v>24</v>
      </c>
      <c r="AI152" s="422">
        <f t="shared" si="59"/>
        <v>25</v>
      </c>
      <c r="AJ152" s="422">
        <f t="shared" si="59"/>
        <v>26</v>
      </c>
      <c r="AK152" s="422">
        <f t="shared" si="59"/>
        <v>27</v>
      </c>
      <c r="AL152" s="422">
        <f t="shared" si="59"/>
        <v>28</v>
      </c>
      <c r="AM152" s="422">
        <f t="shared" si="59"/>
        <v>29</v>
      </c>
      <c r="AN152" s="422">
        <f t="shared" si="59"/>
        <v>30</v>
      </c>
      <c r="AO152" s="422">
        <f t="shared" si="59"/>
        <v>31</v>
      </c>
      <c r="AP152" s="422">
        <f t="shared" si="59"/>
        <v>32</v>
      </c>
    </row>
    <row r="153" spans="1:42" s="420" customFormat="1" ht="15" outlineLevel="1">
      <c r="A153" s="417"/>
      <c r="B153" s="418" t="s">
        <v>408</v>
      </c>
      <c r="C153" s="423">
        <f t="shared" ref="C153:AP153" si="60">ROUNDUP(C151/$M$9,0)</f>
        <v>1</v>
      </c>
      <c r="D153" s="423">
        <f t="shared" si="60"/>
        <v>1</v>
      </c>
      <c r="E153" s="423">
        <f t="shared" si="60"/>
        <v>1</v>
      </c>
      <c r="F153" s="423">
        <f t="shared" si="60"/>
        <v>1</v>
      </c>
      <c r="G153" s="423">
        <f t="shared" si="60"/>
        <v>2</v>
      </c>
      <c r="H153" s="423">
        <f t="shared" si="60"/>
        <v>2</v>
      </c>
      <c r="I153" s="423">
        <f t="shared" si="60"/>
        <v>2</v>
      </c>
      <c r="J153" s="423">
        <f t="shared" si="60"/>
        <v>2</v>
      </c>
      <c r="K153" s="423">
        <f t="shared" si="60"/>
        <v>3</v>
      </c>
      <c r="L153" s="423">
        <f t="shared" si="60"/>
        <v>3</v>
      </c>
      <c r="M153" s="423">
        <f t="shared" si="60"/>
        <v>3</v>
      </c>
      <c r="N153" s="423">
        <f t="shared" si="60"/>
        <v>3</v>
      </c>
      <c r="O153" s="423">
        <f t="shared" si="60"/>
        <v>4</v>
      </c>
      <c r="P153" s="423">
        <f t="shared" si="60"/>
        <v>4</v>
      </c>
      <c r="Q153" s="423">
        <f t="shared" si="60"/>
        <v>4</v>
      </c>
      <c r="R153" s="423">
        <f t="shared" si="60"/>
        <v>4</v>
      </c>
      <c r="S153" s="423">
        <f t="shared" si="60"/>
        <v>5</v>
      </c>
      <c r="T153" s="423">
        <f t="shared" si="60"/>
        <v>5</v>
      </c>
      <c r="U153" s="423">
        <f t="shared" si="60"/>
        <v>5</v>
      </c>
      <c r="V153" s="423">
        <f t="shared" si="60"/>
        <v>5</v>
      </c>
      <c r="W153" s="423">
        <f t="shared" si="60"/>
        <v>6</v>
      </c>
      <c r="X153" s="423">
        <f t="shared" si="60"/>
        <v>6</v>
      </c>
      <c r="Y153" s="423">
        <f t="shared" si="60"/>
        <v>6</v>
      </c>
      <c r="Z153" s="423">
        <f t="shared" si="60"/>
        <v>6</v>
      </c>
      <c r="AA153" s="423">
        <f t="shared" si="60"/>
        <v>7</v>
      </c>
      <c r="AB153" s="423">
        <f t="shared" si="60"/>
        <v>7</v>
      </c>
      <c r="AC153" s="423">
        <f t="shared" si="60"/>
        <v>7</v>
      </c>
      <c r="AD153" s="423">
        <f t="shared" si="60"/>
        <v>7</v>
      </c>
      <c r="AE153" s="423">
        <f t="shared" si="60"/>
        <v>8</v>
      </c>
      <c r="AF153" s="423">
        <f t="shared" si="60"/>
        <v>8</v>
      </c>
      <c r="AG153" s="423">
        <f t="shared" si="60"/>
        <v>8</v>
      </c>
      <c r="AH153" s="423">
        <f t="shared" si="60"/>
        <v>8</v>
      </c>
      <c r="AI153" s="423">
        <f t="shared" si="60"/>
        <v>9</v>
      </c>
      <c r="AJ153" s="423">
        <f t="shared" si="60"/>
        <v>9</v>
      </c>
      <c r="AK153" s="423">
        <f t="shared" si="60"/>
        <v>9</v>
      </c>
      <c r="AL153" s="423">
        <f t="shared" si="60"/>
        <v>9</v>
      </c>
      <c r="AM153" s="423">
        <f t="shared" si="60"/>
        <v>10</v>
      </c>
      <c r="AN153" s="423">
        <f t="shared" si="60"/>
        <v>10</v>
      </c>
      <c r="AO153" s="423">
        <f t="shared" si="60"/>
        <v>10</v>
      </c>
      <c r="AP153" s="423">
        <f t="shared" si="60"/>
        <v>10</v>
      </c>
    </row>
    <row r="154" spans="1:42" ht="15" outlineLevel="1">
      <c r="A154" s="374"/>
      <c r="B154" s="421" t="s">
        <v>323</v>
      </c>
      <c r="C154" s="408">
        <f t="shared" ref="C154:AP154" si="61">-IFERROR(IPMT($J$9/$M$9,MAX(C152,1),$K$9*$M$9,$I$9),0)</f>
        <v>0</v>
      </c>
      <c r="D154" s="408">
        <f t="shared" si="61"/>
        <v>0</v>
      </c>
      <c r="E154" s="408">
        <f t="shared" si="61"/>
        <v>0</v>
      </c>
      <c r="F154" s="408">
        <f t="shared" si="61"/>
        <v>0</v>
      </c>
      <c r="G154" s="408">
        <f t="shared" si="61"/>
        <v>0</v>
      </c>
      <c r="H154" s="408">
        <f t="shared" si="61"/>
        <v>0</v>
      </c>
      <c r="I154" s="408">
        <f t="shared" si="61"/>
        <v>0</v>
      </c>
      <c r="J154" s="408">
        <f t="shared" si="61"/>
        <v>0</v>
      </c>
      <c r="K154" s="408">
        <f t="shared" si="61"/>
        <v>0</v>
      </c>
      <c r="L154" s="408">
        <f t="shared" si="61"/>
        <v>0</v>
      </c>
      <c r="M154" s="408">
        <f t="shared" si="61"/>
        <v>0</v>
      </c>
      <c r="N154" s="408">
        <f t="shared" si="61"/>
        <v>0</v>
      </c>
      <c r="O154" s="408">
        <f t="shared" si="61"/>
        <v>0</v>
      </c>
      <c r="P154" s="408">
        <f t="shared" si="61"/>
        <v>0</v>
      </c>
      <c r="Q154" s="408">
        <f t="shared" si="61"/>
        <v>0</v>
      </c>
      <c r="R154" s="408">
        <f t="shared" si="61"/>
        <v>0</v>
      </c>
      <c r="S154" s="408">
        <f t="shared" si="61"/>
        <v>0</v>
      </c>
      <c r="T154" s="408">
        <f t="shared" si="61"/>
        <v>0</v>
      </c>
      <c r="U154" s="408">
        <f t="shared" si="61"/>
        <v>0</v>
      </c>
      <c r="V154" s="408">
        <f t="shared" si="61"/>
        <v>0</v>
      </c>
      <c r="W154" s="408">
        <f t="shared" si="61"/>
        <v>0</v>
      </c>
      <c r="X154" s="408">
        <f t="shared" si="61"/>
        <v>0</v>
      </c>
      <c r="Y154" s="408">
        <f t="shared" si="61"/>
        <v>0</v>
      </c>
      <c r="Z154" s="408">
        <f t="shared" si="61"/>
        <v>0</v>
      </c>
      <c r="AA154" s="408">
        <f t="shared" si="61"/>
        <v>0</v>
      </c>
      <c r="AB154" s="408">
        <f t="shared" si="61"/>
        <v>0</v>
      </c>
      <c r="AC154" s="408">
        <f t="shared" si="61"/>
        <v>0</v>
      </c>
      <c r="AD154" s="408">
        <f t="shared" si="61"/>
        <v>0</v>
      </c>
      <c r="AE154" s="408">
        <f t="shared" si="61"/>
        <v>0</v>
      </c>
      <c r="AF154" s="408">
        <f t="shared" si="61"/>
        <v>0</v>
      </c>
      <c r="AG154" s="408">
        <f t="shared" si="61"/>
        <v>0</v>
      </c>
      <c r="AH154" s="408">
        <f t="shared" si="61"/>
        <v>0</v>
      </c>
      <c r="AI154" s="408">
        <f t="shared" si="61"/>
        <v>0</v>
      </c>
      <c r="AJ154" s="408">
        <f t="shared" si="61"/>
        <v>0</v>
      </c>
      <c r="AK154" s="408">
        <f t="shared" si="61"/>
        <v>0</v>
      </c>
      <c r="AL154" s="408">
        <f t="shared" si="61"/>
        <v>0</v>
      </c>
      <c r="AM154" s="408">
        <f t="shared" si="61"/>
        <v>0</v>
      </c>
      <c r="AN154" s="408">
        <f t="shared" si="61"/>
        <v>0</v>
      </c>
      <c r="AO154" s="408">
        <f t="shared" si="61"/>
        <v>0</v>
      </c>
      <c r="AP154" s="408">
        <f t="shared" si="61"/>
        <v>0</v>
      </c>
    </row>
    <row r="155" spans="1:42" ht="15" outlineLevel="1">
      <c r="A155" s="374"/>
      <c r="B155" s="424" t="s">
        <v>324</v>
      </c>
      <c r="C155" s="393">
        <f t="shared" ref="C155:AP155" si="62">-IFERROR(PPMT($J$9/$M$9,C152,$K$9*$M$9,$I$9),0)</f>
        <v>0</v>
      </c>
      <c r="D155" s="393">
        <f t="shared" si="62"/>
        <v>0</v>
      </c>
      <c r="E155" s="393">
        <f t="shared" si="62"/>
        <v>0</v>
      </c>
      <c r="F155" s="393">
        <f t="shared" si="62"/>
        <v>0</v>
      </c>
      <c r="G155" s="393">
        <f t="shared" si="62"/>
        <v>0</v>
      </c>
      <c r="H155" s="393">
        <f t="shared" si="62"/>
        <v>0</v>
      </c>
      <c r="I155" s="393">
        <f t="shared" si="62"/>
        <v>0</v>
      </c>
      <c r="J155" s="393">
        <f t="shared" si="62"/>
        <v>0</v>
      </c>
      <c r="K155" s="393">
        <f t="shared" si="62"/>
        <v>0</v>
      </c>
      <c r="L155" s="393">
        <f t="shared" si="62"/>
        <v>0</v>
      </c>
      <c r="M155" s="393">
        <f t="shared" si="62"/>
        <v>0</v>
      </c>
      <c r="N155" s="393">
        <f t="shared" si="62"/>
        <v>0</v>
      </c>
      <c r="O155" s="393">
        <f t="shared" si="62"/>
        <v>0</v>
      </c>
      <c r="P155" s="393">
        <f t="shared" si="62"/>
        <v>0</v>
      </c>
      <c r="Q155" s="393">
        <f t="shared" si="62"/>
        <v>0</v>
      </c>
      <c r="R155" s="393">
        <f t="shared" si="62"/>
        <v>0</v>
      </c>
      <c r="S155" s="393">
        <f t="shared" si="62"/>
        <v>0</v>
      </c>
      <c r="T155" s="393">
        <f t="shared" si="62"/>
        <v>0</v>
      </c>
      <c r="U155" s="393">
        <f t="shared" si="62"/>
        <v>0</v>
      </c>
      <c r="V155" s="393">
        <f t="shared" si="62"/>
        <v>0</v>
      </c>
      <c r="W155" s="393">
        <f t="shared" si="62"/>
        <v>0</v>
      </c>
      <c r="X155" s="393">
        <f t="shared" si="62"/>
        <v>0</v>
      </c>
      <c r="Y155" s="393">
        <f t="shared" si="62"/>
        <v>0</v>
      </c>
      <c r="Z155" s="393">
        <f t="shared" si="62"/>
        <v>0</v>
      </c>
      <c r="AA155" s="393">
        <f t="shared" si="62"/>
        <v>0</v>
      </c>
      <c r="AB155" s="393">
        <f t="shared" si="62"/>
        <v>0</v>
      </c>
      <c r="AC155" s="393">
        <f t="shared" si="62"/>
        <v>0</v>
      </c>
      <c r="AD155" s="393">
        <f t="shared" si="62"/>
        <v>0</v>
      </c>
      <c r="AE155" s="393">
        <f t="shared" si="62"/>
        <v>0</v>
      </c>
      <c r="AF155" s="393">
        <f t="shared" si="62"/>
        <v>0</v>
      </c>
      <c r="AG155" s="393">
        <f t="shared" si="62"/>
        <v>0</v>
      </c>
      <c r="AH155" s="393">
        <f t="shared" si="62"/>
        <v>0</v>
      </c>
      <c r="AI155" s="393">
        <f t="shared" si="62"/>
        <v>0</v>
      </c>
      <c r="AJ155" s="393">
        <f t="shared" si="62"/>
        <v>0</v>
      </c>
      <c r="AK155" s="393">
        <f t="shared" si="62"/>
        <v>0</v>
      </c>
      <c r="AL155" s="393">
        <f t="shared" si="62"/>
        <v>0</v>
      </c>
      <c r="AM155" s="393">
        <f t="shared" si="62"/>
        <v>0</v>
      </c>
      <c r="AN155" s="393">
        <f t="shared" si="62"/>
        <v>0</v>
      </c>
      <c r="AO155" s="393">
        <f t="shared" si="62"/>
        <v>0</v>
      </c>
      <c r="AP155" s="393">
        <f t="shared" si="62"/>
        <v>0</v>
      </c>
    </row>
    <row r="156" spans="1:42" ht="16" outlineLevel="1" thickBot="1">
      <c r="A156" s="374"/>
      <c r="B156" s="425" t="s">
        <v>1</v>
      </c>
      <c r="C156" s="397">
        <f t="shared" ref="C156:AP156" si="63">SUM(C154:C155)</f>
        <v>0</v>
      </c>
      <c r="D156" s="397">
        <f t="shared" si="63"/>
        <v>0</v>
      </c>
      <c r="E156" s="397">
        <f t="shared" si="63"/>
        <v>0</v>
      </c>
      <c r="F156" s="397">
        <f t="shared" si="63"/>
        <v>0</v>
      </c>
      <c r="G156" s="397">
        <f t="shared" si="63"/>
        <v>0</v>
      </c>
      <c r="H156" s="397">
        <f t="shared" si="63"/>
        <v>0</v>
      </c>
      <c r="I156" s="397">
        <f t="shared" si="63"/>
        <v>0</v>
      </c>
      <c r="J156" s="397">
        <f t="shared" si="63"/>
        <v>0</v>
      </c>
      <c r="K156" s="397">
        <f t="shared" si="63"/>
        <v>0</v>
      </c>
      <c r="L156" s="397">
        <f t="shared" si="63"/>
        <v>0</v>
      </c>
      <c r="M156" s="397">
        <f t="shared" si="63"/>
        <v>0</v>
      </c>
      <c r="N156" s="397">
        <f t="shared" si="63"/>
        <v>0</v>
      </c>
      <c r="O156" s="397">
        <f t="shared" si="63"/>
        <v>0</v>
      </c>
      <c r="P156" s="397">
        <f t="shared" si="63"/>
        <v>0</v>
      </c>
      <c r="Q156" s="397">
        <f t="shared" si="63"/>
        <v>0</v>
      </c>
      <c r="R156" s="397">
        <f t="shared" si="63"/>
        <v>0</v>
      </c>
      <c r="S156" s="397">
        <f t="shared" si="63"/>
        <v>0</v>
      </c>
      <c r="T156" s="397">
        <f t="shared" si="63"/>
        <v>0</v>
      </c>
      <c r="U156" s="397">
        <f t="shared" si="63"/>
        <v>0</v>
      </c>
      <c r="V156" s="397">
        <f t="shared" si="63"/>
        <v>0</v>
      </c>
      <c r="W156" s="397">
        <f t="shared" si="63"/>
        <v>0</v>
      </c>
      <c r="X156" s="397">
        <f t="shared" si="63"/>
        <v>0</v>
      </c>
      <c r="Y156" s="397">
        <f t="shared" si="63"/>
        <v>0</v>
      </c>
      <c r="Z156" s="397">
        <f t="shared" si="63"/>
        <v>0</v>
      </c>
      <c r="AA156" s="397">
        <f t="shared" si="63"/>
        <v>0</v>
      </c>
      <c r="AB156" s="397">
        <f t="shared" si="63"/>
        <v>0</v>
      </c>
      <c r="AC156" s="397">
        <f t="shared" si="63"/>
        <v>0</v>
      </c>
      <c r="AD156" s="397">
        <f t="shared" si="63"/>
        <v>0</v>
      </c>
      <c r="AE156" s="397">
        <f t="shared" si="63"/>
        <v>0</v>
      </c>
      <c r="AF156" s="397">
        <f t="shared" si="63"/>
        <v>0</v>
      </c>
      <c r="AG156" s="397">
        <f t="shared" si="63"/>
        <v>0</v>
      </c>
      <c r="AH156" s="397">
        <f t="shared" si="63"/>
        <v>0</v>
      </c>
      <c r="AI156" s="397">
        <f t="shared" si="63"/>
        <v>0</v>
      </c>
      <c r="AJ156" s="397">
        <f t="shared" si="63"/>
        <v>0</v>
      </c>
      <c r="AK156" s="397">
        <f t="shared" si="63"/>
        <v>0</v>
      </c>
      <c r="AL156" s="397">
        <f t="shared" si="63"/>
        <v>0</v>
      </c>
      <c r="AM156" s="397">
        <f t="shared" si="63"/>
        <v>0</v>
      </c>
      <c r="AN156" s="397">
        <f t="shared" si="63"/>
        <v>0</v>
      </c>
      <c r="AO156" s="397">
        <f t="shared" si="63"/>
        <v>0</v>
      </c>
      <c r="AP156" s="397">
        <f t="shared" si="63"/>
        <v>0</v>
      </c>
    </row>
    <row r="157" spans="1:42" ht="15" outlineLevel="1">
      <c r="A157" s="374"/>
      <c r="B157" s="406" t="s">
        <v>430</v>
      </c>
      <c r="C157" s="406"/>
      <c r="D157" s="406"/>
      <c r="E157" s="406"/>
      <c r="F157" s="406"/>
      <c r="G157" s="406"/>
      <c r="H157" s="406"/>
      <c r="I157" s="406"/>
      <c r="J157" s="406"/>
      <c r="K157" s="406"/>
      <c r="L157" s="406"/>
      <c r="M157" s="406"/>
      <c r="N157" s="406"/>
      <c r="O157" s="406"/>
      <c r="P157" s="406"/>
      <c r="Q157" s="406"/>
      <c r="R157" s="406"/>
      <c r="S157" s="406"/>
      <c r="T157" s="406"/>
      <c r="U157" s="406"/>
      <c r="V157" s="406"/>
      <c r="W157" s="406"/>
      <c r="X157" s="406"/>
      <c r="Y157" s="406"/>
      <c r="Z157" s="406"/>
      <c r="AA157" s="406"/>
      <c r="AB157" s="406"/>
      <c r="AC157" s="406"/>
      <c r="AD157" s="406"/>
      <c r="AE157" s="406"/>
      <c r="AF157" s="406"/>
      <c r="AG157" s="406"/>
      <c r="AH157" s="406"/>
      <c r="AI157" s="406"/>
      <c r="AJ157" s="406"/>
      <c r="AK157" s="406"/>
      <c r="AL157" s="406"/>
      <c r="AM157" s="406"/>
      <c r="AN157" s="406"/>
      <c r="AO157" s="406"/>
      <c r="AP157" s="406"/>
    </row>
    <row r="158" spans="1:42" s="430" customFormat="1" ht="16" outlineLevel="1" thickBot="1">
      <c r="A158" s="427"/>
      <c r="B158" s="405"/>
      <c r="C158" s="405">
        <v>0</v>
      </c>
      <c r="D158" s="405">
        <v>1</v>
      </c>
      <c r="E158" s="405">
        <v>2</v>
      </c>
      <c r="F158" s="405">
        <v>3</v>
      </c>
      <c r="G158" s="405">
        <v>4</v>
      </c>
      <c r="H158" s="405">
        <v>5</v>
      </c>
      <c r="I158" s="405">
        <v>6</v>
      </c>
      <c r="J158" s="405">
        <v>7</v>
      </c>
      <c r="K158" s="405">
        <v>8</v>
      </c>
      <c r="L158" s="405">
        <v>9</v>
      </c>
      <c r="M158" s="405">
        <v>10</v>
      </c>
      <c r="N158" s="405">
        <v>11</v>
      </c>
      <c r="O158" s="405">
        <v>12</v>
      </c>
      <c r="P158" s="405">
        <v>13</v>
      </c>
      <c r="Q158" s="405">
        <v>14</v>
      </c>
      <c r="R158" s="405">
        <v>15</v>
      </c>
      <c r="S158" s="405">
        <v>16</v>
      </c>
      <c r="T158" s="405">
        <v>17</v>
      </c>
      <c r="U158" s="405">
        <v>18</v>
      </c>
      <c r="V158" s="405">
        <v>19</v>
      </c>
      <c r="W158" s="405">
        <v>20</v>
      </c>
      <c r="X158" s="421"/>
      <c r="Y158" s="421"/>
      <c r="Z158" s="421"/>
      <c r="AA158" s="421"/>
      <c r="AB158" s="421"/>
      <c r="AC158" s="421"/>
      <c r="AD158" s="421"/>
      <c r="AE158" s="421"/>
      <c r="AF158" s="421"/>
      <c r="AG158" s="421"/>
      <c r="AH158" s="421"/>
      <c r="AI158" s="421"/>
      <c r="AJ158" s="421"/>
      <c r="AK158" s="421"/>
      <c r="AL158" s="421"/>
      <c r="AM158" s="421"/>
      <c r="AN158" s="421"/>
      <c r="AO158" s="421"/>
      <c r="AP158" s="421"/>
    </row>
    <row r="159" spans="1:42" ht="15" outlineLevel="1">
      <c r="A159" s="374"/>
      <c r="B159" s="426" t="s">
        <v>323</v>
      </c>
      <c r="C159" s="388">
        <f>O167</f>
        <v>0</v>
      </c>
      <c r="D159" s="388">
        <f>SUMIF($C153:$AP153,D$71,$C154:$AP154)</f>
        <v>0</v>
      </c>
      <c r="E159" s="388">
        <f t="shared" ref="E159:W159" si="64">SUMIF($C153:$AP153,E$71,$C154:$AP154)</f>
        <v>0</v>
      </c>
      <c r="F159" s="388">
        <f t="shared" si="64"/>
        <v>0</v>
      </c>
      <c r="G159" s="388">
        <f t="shared" si="64"/>
        <v>0</v>
      </c>
      <c r="H159" s="388">
        <f t="shared" si="64"/>
        <v>0</v>
      </c>
      <c r="I159" s="388">
        <f t="shared" si="64"/>
        <v>0</v>
      </c>
      <c r="J159" s="388">
        <f t="shared" si="64"/>
        <v>0</v>
      </c>
      <c r="K159" s="388">
        <f t="shared" si="64"/>
        <v>0</v>
      </c>
      <c r="L159" s="388">
        <f t="shared" si="64"/>
        <v>0</v>
      </c>
      <c r="M159" s="388">
        <f t="shared" si="64"/>
        <v>0</v>
      </c>
      <c r="N159" s="388">
        <f t="shared" si="64"/>
        <v>0</v>
      </c>
      <c r="O159" s="388">
        <f t="shared" si="64"/>
        <v>0</v>
      </c>
      <c r="P159" s="388">
        <f t="shared" si="64"/>
        <v>0</v>
      </c>
      <c r="Q159" s="388">
        <f t="shared" si="64"/>
        <v>0</v>
      </c>
      <c r="R159" s="388">
        <f t="shared" si="64"/>
        <v>0</v>
      </c>
      <c r="S159" s="388">
        <f t="shared" si="64"/>
        <v>0</v>
      </c>
      <c r="T159" s="388">
        <f t="shared" si="64"/>
        <v>0</v>
      </c>
      <c r="U159" s="388">
        <f t="shared" si="64"/>
        <v>0</v>
      </c>
      <c r="V159" s="388">
        <f t="shared" si="64"/>
        <v>0</v>
      </c>
      <c r="W159" s="388">
        <f t="shared" si="64"/>
        <v>0</v>
      </c>
      <c r="X159" s="388"/>
      <c r="Y159" s="388"/>
      <c r="Z159" s="388"/>
      <c r="AA159" s="388"/>
      <c r="AB159" s="388"/>
      <c r="AC159" s="388"/>
      <c r="AD159" s="388"/>
      <c r="AE159" s="388"/>
      <c r="AF159" s="388"/>
      <c r="AG159" s="388"/>
      <c r="AH159" s="388"/>
      <c r="AI159" s="388"/>
      <c r="AJ159" s="388"/>
      <c r="AK159" s="388"/>
      <c r="AL159" s="388"/>
      <c r="AM159" s="388"/>
      <c r="AN159" s="388"/>
      <c r="AO159" s="388"/>
      <c r="AP159" s="388"/>
    </row>
    <row r="160" spans="1:42" ht="15" outlineLevel="1">
      <c r="A160" s="374"/>
      <c r="B160" s="424" t="s">
        <v>324</v>
      </c>
      <c r="C160" s="393"/>
      <c r="D160" s="393">
        <f>SUMIF($C153:$AP153,D$42,$C155:$AP155)</f>
        <v>0</v>
      </c>
      <c r="E160" s="393">
        <f t="shared" ref="E160:W160" si="65">SUMIF($C153:$AP153,E$42,$C155:$AP155)</f>
        <v>0</v>
      </c>
      <c r="F160" s="393">
        <f t="shared" si="65"/>
        <v>0</v>
      </c>
      <c r="G160" s="393">
        <f t="shared" si="65"/>
        <v>0</v>
      </c>
      <c r="H160" s="393">
        <f t="shared" si="65"/>
        <v>0</v>
      </c>
      <c r="I160" s="393">
        <f t="shared" si="65"/>
        <v>0</v>
      </c>
      <c r="J160" s="393">
        <f t="shared" si="65"/>
        <v>0</v>
      </c>
      <c r="K160" s="393">
        <f t="shared" si="65"/>
        <v>0</v>
      </c>
      <c r="L160" s="393">
        <f t="shared" si="65"/>
        <v>0</v>
      </c>
      <c r="M160" s="393">
        <f t="shared" si="65"/>
        <v>0</v>
      </c>
      <c r="N160" s="393">
        <f t="shared" si="65"/>
        <v>0</v>
      </c>
      <c r="O160" s="393">
        <f t="shared" si="65"/>
        <v>0</v>
      </c>
      <c r="P160" s="393">
        <f t="shared" si="65"/>
        <v>0</v>
      </c>
      <c r="Q160" s="393">
        <f t="shared" si="65"/>
        <v>0</v>
      </c>
      <c r="R160" s="393">
        <f t="shared" si="65"/>
        <v>0</v>
      </c>
      <c r="S160" s="393">
        <f t="shared" si="65"/>
        <v>0</v>
      </c>
      <c r="T160" s="393">
        <f t="shared" si="65"/>
        <v>0</v>
      </c>
      <c r="U160" s="393">
        <f t="shared" si="65"/>
        <v>0</v>
      </c>
      <c r="V160" s="393">
        <f t="shared" si="65"/>
        <v>0</v>
      </c>
      <c r="W160" s="393">
        <f t="shared" si="65"/>
        <v>0</v>
      </c>
      <c r="X160" s="393"/>
      <c r="Y160" s="393"/>
      <c r="Z160" s="393"/>
      <c r="AA160" s="393"/>
      <c r="AB160" s="393"/>
      <c r="AC160" s="393"/>
      <c r="AD160" s="393"/>
      <c r="AE160" s="393"/>
      <c r="AF160" s="393"/>
      <c r="AG160" s="393"/>
      <c r="AH160" s="393"/>
      <c r="AI160" s="393"/>
      <c r="AJ160" s="393"/>
      <c r="AK160" s="393"/>
      <c r="AL160" s="393"/>
      <c r="AM160" s="393"/>
      <c r="AN160" s="393"/>
      <c r="AO160" s="393"/>
      <c r="AP160" s="393"/>
    </row>
    <row r="161" spans="1:42" ht="16" outlineLevel="1" thickBot="1">
      <c r="A161" s="374"/>
      <c r="B161" s="425" t="s">
        <v>1</v>
      </c>
      <c r="C161" s="397">
        <f t="shared" ref="C161:W161" si="66">SUM(C159:C160)</f>
        <v>0</v>
      </c>
      <c r="D161" s="397">
        <f t="shared" si="66"/>
        <v>0</v>
      </c>
      <c r="E161" s="397">
        <f t="shared" si="66"/>
        <v>0</v>
      </c>
      <c r="F161" s="397">
        <f t="shared" si="66"/>
        <v>0</v>
      </c>
      <c r="G161" s="397">
        <f t="shared" si="66"/>
        <v>0</v>
      </c>
      <c r="H161" s="397">
        <f t="shared" si="66"/>
        <v>0</v>
      </c>
      <c r="I161" s="397">
        <f t="shared" si="66"/>
        <v>0</v>
      </c>
      <c r="J161" s="397">
        <f t="shared" si="66"/>
        <v>0</v>
      </c>
      <c r="K161" s="397">
        <f t="shared" si="66"/>
        <v>0</v>
      </c>
      <c r="L161" s="397">
        <f t="shared" si="66"/>
        <v>0</v>
      </c>
      <c r="M161" s="397">
        <f t="shared" si="66"/>
        <v>0</v>
      </c>
      <c r="N161" s="397">
        <f t="shared" si="66"/>
        <v>0</v>
      </c>
      <c r="O161" s="397">
        <f t="shared" si="66"/>
        <v>0</v>
      </c>
      <c r="P161" s="397">
        <f t="shared" si="66"/>
        <v>0</v>
      </c>
      <c r="Q161" s="397">
        <f t="shared" si="66"/>
        <v>0</v>
      </c>
      <c r="R161" s="397">
        <f t="shared" si="66"/>
        <v>0</v>
      </c>
      <c r="S161" s="397">
        <f t="shared" si="66"/>
        <v>0</v>
      </c>
      <c r="T161" s="397">
        <f t="shared" si="66"/>
        <v>0</v>
      </c>
      <c r="U161" s="397">
        <f t="shared" si="66"/>
        <v>0</v>
      </c>
      <c r="V161" s="397">
        <f t="shared" si="66"/>
        <v>0</v>
      </c>
      <c r="W161" s="397">
        <f t="shared" si="66"/>
        <v>0</v>
      </c>
      <c r="X161" s="397"/>
      <c r="Y161" s="397"/>
      <c r="Z161" s="397"/>
      <c r="AA161" s="397"/>
      <c r="AB161" s="397"/>
      <c r="AC161" s="397"/>
      <c r="AD161" s="397"/>
      <c r="AE161" s="397"/>
      <c r="AF161" s="397"/>
      <c r="AG161" s="397"/>
      <c r="AH161" s="397"/>
      <c r="AI161" s="397"/>
      <c r="AJ161" s="397"/>
      <c r="AK161" s="397"/>
      <c r="AL161" s="397"/>
      <c r="AM161" s="397"/>
      <c r="AN161" s="397"/>
      <c r="AO161" s="397"/>
      <c r="AP161" s="397"/>
    </row>
    <row r="162" spans="1:42" ht="15" outlineLevel="1">
      <c r="A162" s="374"/>
      <c r="B162" s="406" t="s">
        <v>252</v>
      </c>
      <c r="C162" s="406"/>
      <c r="D162" s="406"/>
      <c r="E162" s="406"/>
      <c r="F162" s="406"/>
      <c r="G162" s="406"/>
      <c r="H162" s="406"/>
      <c r="I162" s="406"/>
      <c r="J162" s="406"/>
      <c r="K162" s="406"/>
      <c r="L162" s="406"/>
      <c r="M162" s="406"/>
      <c r="N162" s="406"/>
      <c r="O162" s="406"/>
      <c r="P162" s="406"/>
      <c r="Q162" s="406"/>
      <c r="R162" s="406"/>
      <c r="S162" s="406"/>
      <c r="T162" s="406"/>
      <c r="U162" s="406"/>
      <c r="V162" s="406"/>
      <c r="W162" s="406"/>
      <c r="X162" s="406"/>
      <c r="Y162" s="406"/>
      <c r="Z162" s="406"/>
      <c r="AA162" s="406"/>
      <c r="AB162" s="406"/>
      <c r="AC162" s="406"/>
      <c r="AD162" s="406"/>
      <c r="AE162" s="406"/>
      <c r="AF162" s="406"/>
      <c r="AG162" s="406"/>
      <c r="AH162" s="406"/>
      <c r="AI162" s="406"/>
      <c r="AJ162" s="406"/>
      <c r="AK162" s="406"/>
      <c r="AL162" s="406"/>
      <c r="AM162" s="406"/>
      <c r="AN162" s="406"/>
      <c r="AO162" s="406"/>
      <c r="AP162" s="406"/>
    </row>
    <row r="163" spans="1:42" s="430" customFormat="1" ht="16" outlineLevel="1" thickBot="1">
      <c r="A163" s="427"/>
      <c r="B163" s="428"/>
      <c r="C163" s="428">
        <v>1</v>
      </c>
      <c r="D163" s="428">
        <v>2</v>
      </c>
      <c r="E163" s="428">
        <v>3</v>
      </c>
      <c r="F163" s="428">
        <v>4</v>
      </c>
      <c r="G163" s="428">
        <v>5</v>
      </c>
      <c r="H163" s="428">
        <v>6</v>
      </c>
      <c r="I163" s="428">
        <v>7</v>
      </c>
      <c r="J163" s="428">
        <v>8</v>
      </c>
      <c r="K163" s="428">
        <v>9</v>
      </c>
      <c r="L163" s="428">
        <v>10</v>
      </c>
      <c r="M163" s="428">
        <v>11</v>
      </c>
      <c r="N163" s="428">
        <v>12</v>
      </c>
      <c r="O163" s="428" t="s">
        <v>1</v>
      </c>
      <c r="P163" s="429"/>
      <c r="Q163" s="429"/>
      <c r="R163" s="429"/>
      <c r="S163" s="429"/>
      <c r="T163" s="429"/>
      <c r="U163" s="429"/>
      <c r="V163" s="429"/>
      <c r="W163" s="429"/>
      <c r="X163" s="429"/>
      <c r="Y163" s="429"/>
      <c r="Z163" s="429"/>
      <c r="AA163" s="429"/>
      <c r="AB163" s="429"/>
      <c r="AC163" s="429"/>
      <c r="AD163" s="429"/>
      <c r="AE163" s="429"/>
      <c r="AF163" s="429"/>
      <c r="AG163" s="429"/>
      <c r="AH163" s="429"/>
      <c r="AI163" s="429"/>
      <c r="AJ163" s="429"/>
      <c r="AK163" s="429"/>
      <c r="AL163" s="429"/>
      <c r="AM163" s="429"/>
      <c r="AN163" s="429"/>
      <c r="AO163" s="429"/>
      <c r="AP163" s="429"/>
    </row>
    <row r="164" spans="1:42" ht="15" outlineLevel="1">
      <c r="A164" s="374"/>
      <c r="B164" s="421" t="s">
        <v>431</v>
      </c>
      <c r="C164" s="431">
        <v>1</v>
      </c>
      <c r="D164" s="431">
        <v>0</v>
      </c>
      <c r="E164" s="431">
        <v>0</v>
      </c>
      <c r="F164" s="431">
        <v>0</v>
      </c>
      <c r="G164" s="431">
        <v>0</v>
      </c>
      <c r="H164" s="431">
        <v>0</v>
      </c>
      <c r="I164" s="431">
        <v>0</v>
      </c>
      <c r="J164" s="431">
        <v>0</v>
      </c>
      <c r="K164" s="431">
        <v>0</v>
      </c>
      <c r="L164" s="431">
        <v>0</v>
      </c>
      <c r="M164" s="431">
        <v>0</v>
      </c>
      <c r="N164" s="431">
        <v>0</v>
      </c>
      <c r="O164" s="432"/>
      <c r="P164" s="412"/>
      <c r="Q164" s="412"/>
      <c r="R164" s="412"/>
      <c r="S164" s="412"/>
      <c r="T164" s="412"/>
      <c r="U164" s="412"/>
      <c r="V164" s="412"/>
      <c r="W164" s="412"/>
      <c r="X164" s="412"/>
      <c r="Y164" s="412"/>
      <c r="Z164" s="412"/>
      <c r="AA164" s="412"/>
      <c r="AB164" s="412"/>
      <c r="AC164" s="412"/>
      <c r="AD164" s="412"/>
      <c r="AE164" s="412"/>
      <c r="AF164" s="412"/>
      <c r="AG164" s="412"/>
      <c r="AH164" s="412"/>
      <c r="AI164" s="412"/>
      <c r="AJ164" s="412"/>
      <c r="AK164" s="412"/>
      <c r="AL164" s="412"/>
      <c r="AM164" s="412"/>
      <c r="AN164" s="412"/>
      <c r="AO164" s="412"/>
      <c r="AP164" s="412"/>
    </row>
    <row r="165" spans="1:42" ht="15" outlineLevel="1">
      <c r="A165" s="374"/>
      <c r="B165" s="426" t="s">
        <v>324</v>
      </c>
      <c r="C165" s="388">
        <f t="shared" ref="C165:N165" si="67">$I$9*C164</f>
        <v>0</v>
      </c>
      <c r="D165" s="388">
        <f t="shared" si="67"/>
        <v>0</v>
      </c>
      <c r="E165" s="388">
        <f t="shared" si="67"/>
        <v>0</v>
      </c>
      <c r="F165" s="388">
        <f t="shared" si="67"/>
        <v>0</v>
      </c>
      <c r="G165" s="388">
        <f t="shared" si="67"/>
        <v>0</v>
      </c>
      <c r="H165" s="388">
        <f t="shared" si="67"/>
        <v>0</v>
      </c>
      <c r="I165" s="388">
        <f t="shared" si="67"/>
        <v>0</v>
      </c>
      <c r="J165" s="388">
        <f t="shared" si="67"/>
        <v>0</v>
      </c>
      <c r="K165" s="388">
        <f t="shared" si="67"/>
        <v>0</v>
      </c>
      <c r="L165" s="388">
        <f t="shared" si="67"/>
        <v>0</v>
      </c>
      <c r="M165" s="388">
        <f t="shared" si="67"/>
        <v>0</v>
      </c>
      <c r="N165" s="388">
        <f t="shared" si="67"/>
        <v>0</v>
      </c>
      <c r="O165" s="388"/>
      <c r="P165" s="412"/>
      <c r="Q165" s="412"/>
      <c r="R165" s="412"/>
      <c r="S165" s="412"/>
      <c r="T165" s="412"/>
      <c r="U165" s="412"/>
      <c r="V165" s="412"/>
      <c r="W165" s="412"/>
      <c r="X165" s="412"/>
      <c r="Y165" s="412"/>
      <c r="Z165" s="412"/>
      <c r="AA165" s="412"/>
      <c r="AB165" s="412"/>
      <c r="AC165" s="412"/>
      <c r="AD165" s="412"/>
      <c r="AE165" s="412"/>
      <c r="AF165" s="412"/>
      <c r="AG165" s="412"/>
      <c r="AH165" s="412"/>
      <c r="AI165" s="412"/>
      <c r="AJ165" s="412"/>
      <c r="AK165" s="412"/>
      <c r="AL165" s="412"/>
      <c r="AM165" s="412"/>
      <c r="AN165" s="412"/>
      <c r="AO165" s="412"/>
      <c r="AP165" s="412"/>
    </row>
    <row r="166" spans="1:42" ht="15" outlineLevel="1">
      <c r="A166" s="374"/>
      <c r="B166" s="424" t="s">
        <v>432</v>
      </c>
      <c r="C166" s="393">
        <f>C165</f>
        <v>0</v>
      </c>
      <c r="D166" s="393">
        <f t="shared" ref="D166:N166" si="68">D165+C166</f>
        <v>0</v>
      </c>
      <c r="E166" s="393">
        <f t="shared" si="68"/>
        <v>0</v>
      </c>
      <c r="F166" s="393">
        <f t="shared" si="68"/>
        <v>0</v>
      </c>
      <c r="G166" s="393">
        <f t="shared" si="68"/>
        <v>0</v>
      </c>
      <c r="H166" s="393">
        <f t="shared" si="68"/>
        <v>0</v>
      </c>
      <c r="I166" s="393">
        <f t="shared" si="68"/>
        <v>0</v>
      </c>
      <c r="J166" s="393">
        <f t="shared" si="68"/>
        <v>0</v>
      </c>
      <c r="K166" s="393">
        <f t="shared" si="68"/>
        <v>0</v>
      </c>
      <c r="L166" s="393">
        <f t="shared" si="68"/>
        <v>0</v>
      </c>
      <c r="M166" s="393">
        <f t="shared" si="68"/>
        <v>0</v>
      </c>
      <c r="N166" s="393">
        <f t="shared" si="68"/>
        <v>0</v>
      </c>
      <c r="O166" s="393"/>
      <c r="P166" s="412"/>
      <c r="Q166" s="412"/>
      <c r="R166" s="412"/>
      <c r="S166" s="412"/>
      <c r="T166" s="412"/>
      <c r="U166" s="412"/>
      <c r="V166" s="412"/>
      <c r="W166" s="412"/>
      <c r="X166" s="412"/>
      <c r="Y166" s="412"/>
      <c r="Z166" s="412"/>
      <c r="AA166" s="412"/>
      <c r="AB166" s="412"/>
      <c r="AC166" s="412"/>
      <c r="AD166" s="412"/>
      <c r="AE166" s="412"/>
      <c r="AF166" s="412"/>
      <c r="AG166" s="412"/>
      <c r="AH166" s="412"/>
      <c r="AI166" s="412"/>
      <c r="AJ166" s="412"/>
      <c r="AK166" s="412"/>
      <c r="AL166" s="412"/>
      <c r="AM166" s="412"/>
      <c r="AN166" s="412"/>
      <c r="AO166" s="412"/>
      <c r="AP166" s="412"/>
    </row>
    <row r="167" spans="1:42" ht="16" outlineLevel="1" thickBot="1">
      <c r="A167" s="374"/>
      <c r="B167" s="425" t="s">
        <v>323</v>
      </c>
      <c r="C167" s="397">
        <f t="shared" ref="C167:N167" si="69">C166*$J$9/12</f>
        <v>0</v>
      </c>
      <c r="D167" s="397">
        <f t="shared" si="69"/>
        <v>0</v>
      </c>
      <c r="E167" s="397">
        <f t="shared" si="69"/>
        <v>0</v>
      </c>
      <c r="F167" s="397">
        <f t="shared" si="69"/>
        <v>0</v>
      </c>
      <c r="G167" s="397">
        <f t="shared" si="69"/>
        <v>0</v>
      </c>
      <c r="H167" s="397">
        <f t="shared" si="69"/>
        <v>0</v>
      </c>
      <c r="I167" s="397">
        <f t="shared" si="69"/>
        <v>0</v>
      </c>
      <c r="J167" s="397">
        <f t="shared" si="69"/>
        <v>0</v>
      </c>
      <c r="K167" s="397">
        <f t="shared" si="69"/>
        <v>0</v>
      </c>
      <c r="L167" s="397">
        <f t="shared" si="69"/>
        <v>0</v>
      </c>
      <c r="M167" s="397">
        <f t="shared" si="69"/>
        <v>0</v>
      </c>
      <c r="N167" s="397">
        <f t="shared" si="69"/>
        <v>0</v>
      </c>
      <c r="O167" s="397">
        <f>SUM(C167:N167)</f>
        <v>0</v>
      </c>
      <c r="P167" s="412"/>
      <c r="Q167" s="412"/>
      <c r="R167" s="412"/>
      <c r="S167" s="412"/>
      <c r="T167" s="412"/>
      <c r="U167" s="412"/>
      <c r="V167" s="412"/>
      <c r="W167" s="412"/>
      <c r="X167" s="412"/>
      <c r="Y167" s="412"/>
      <c r="Z167" s="412"/>
      <c r="AA167" s="412"/>
      <c r="AB167" s="412"/>
      <c r="AC167" s="412"/>
      <c r="AD167" s="412"/>
      <c r="AE167" s="412"/>
      <c r="AF167" s="412"/>
      <c r="AG167" s="412"/>
      <c r="AH167" s="412"/>
      <c r="AI167" s="412"/>
      <c r="AJ167" s="412"/>
      <c r="AK167" s="412"/>
      <c r="AL167" s="412"/>
      <c r="AM167" s="412"/>
      <c r="AN167" s="412"/>
      <c r="AO167" s="412"/>
      <c r="AP167" s="412"/>
    </row>
    <row r="168" spans="1:42" s="435" customFormat="1" ht="15" outlineLevel="1">
      <c r="A168" s="433"/>
      <c r="B168" s="434" t="s">
        <v>433</v>
      </c>
      <c r="C168" s="406"/>
      <c r="D168" s="406"/>
      <c r="E168" s="406"/>
      <c r="F168" s="406"/>
      <c r="G168" s="406"/>
      <c r="H168" s="406"/>
      <c r="I168" s="406"/>
      <c r="J168" s="406"/>
      <c r="K168" s="406"/>
      <c r="L168" s="406"/>
      <c r="M168" s="406"/>
      <c r="N168" s="406"/>
      <c r="O168" s="406"/>
      <c r="P168" s="406"/>
      <c r="Q168" s="406"/>
      <c r="R168" s="406"/>
      <c r="S168" s="406"/>
      <c r="T168" s="406"/>
      <c r="U168" s="406"/>
      <c r="V168" s="406"/>
      <c r="W168" s="406"/>
      <c r="X168" s="406"/>
      <c r="Y168" s="406"/>
      <c r="Z168" s="406"/>
      <c r="AA168" s="406"/>
      <c r="AB168" s="406"/>
      <c r="AC168" s="406"/>
      <c r="AD168" s="406"/>
      <c r="AE168" s="406"/>
      <c r="AF168" s="406"/>
      <c r="AG168" s="406"/>
      <c r="AH168" s="406"/>
      <c r="AI168" s="406"/>
      <c r="AJ168" s="406"/>
      <c r="AK168" s="406"/>
      <c r="AL168" s="406"/>
      <c r="AM168" s="406"/>
      <c r="AN168" s="406"/>
      <c r="AO168" s="406"/>
      <c r="AP168" s="406"/>
    </row>
    <row r="169" spans="1:42" ht="15" outlineLevel="1">
      <c r="A169" s="374"/>
      <c r="B169" s="437" t="s">
        <v>434</v>
      </c>
      <c r="C169" s="412"/>
      <c r="D169" s="438">
        <f>$A$53</f>
        <v>0</v>
      </c>
      <c r="E169" s="438">
        <f>D169+5%</f>
        <v>0.05</v>
      </c>
      <c r="F169" s="438">
        <f>E169+5%</f>
        <v>0.1</v>
      </c>
      <c r="G169" s="438">
        <f t="shared" ref="G169:X169" si="70">F169+5%</f>
        <v>0.15000000000000002</v>
      </c>
      <c r="H169" s="438">
        <f t="shared" si="70"/>
        <v>0.2</v>
      </c>
      <c r="I169" s="438">
        <f t="shared" si="70"/>
        <v>0.25</v>
      </c>
      <c r="J169" s="438">
        <f t="shared" si="70"/>
        <v>0.3</v>
      </c>
      <c r="K169" s="438">
        <f t="shared" si="70"/>
        <v>0.35</v>
      </c>
      <c r="L169" s="438">
        <f t="shared" si="70"/>
        <v>0.39999999999999997</v>
      </c>
      <c r="M169" s="438">
        <f t="shared" si="70"/>
        <v>0.44999999999999996</v>
      </c>
      <c r="N169" s="438">
        <f t="shared" si="70"/>
        <v>0.49999999999999994</v>
      </c>
      <c r="O169" s="438">
        <f t="shared" si="70"/>
        <v>0.54999999999999993</v>
      </c>
      <c r="P169" s="438">
        <f t="shared" si="70"/>
        <v>0.6</v>
      </c>
      <c r="Q169" s="515">
        <v>0.66666666666666663</v>
      </c>
      <c r="R169" s="438">
        <v>0.7</v>
      </c>
      <c r="S169" s="438">
        <f t="shared" si="70"/>
        <v>0.75</v>
      </c>
      <c r="T169" s="438">
        <f t="shared" si="70"/>
        <v>0.8</v>
      </c>
      <c r="U169" s="438">
        <f t="shared" si="70"/>
        <v>0.85000000000000009</v>
      </c>
      <c r="V169" s="438">
        <f t="shared" si="70"/>
        <v>0.90000000000000013</v>
      </c>
      <c r="W169" s="438">
        <f t="shared" si="70"/>
        <v>0.95000000000000018</v>
      </c>
      <c r="X169" s="438">
        <f t="shared" si="70"/>
        <v>1.0000000000000002</v>
      </c>
      <c r="Y169" s="412"/>
      <c r="Z169" s="412"/>
      <c r="AA169" s="412"/>
      <c r="AB169" s="412"/>
      <c r="AC169" s="412"/>
      <c r="AD169" s="412"/>
      <c r="AE169" s="412"/>
      <c r="AF169" s="412"/>
      <c r="AG169" s="412"/>
      <c r="AH169" s="412"/>
      <c r="AI169" s="412"/>
      <c r="AJ169" s="412"/>
      <c r="AK169" s="412"/>
      <c r="AL169" s="412"/>
      <c r="AM169" s="412"/>
      <c r="AN169" s="412"/>
      <c r="AO169" s="412"/>
      <c r="AP169" s="412"/>
    </row>
    <row r="170" spans="1:42" ht="15" outlineLevel="1">
      <c r="A170" s="401">
        <f>HLOOKUP($H$9+1%,D169:X171,2,TRUE)*$N$9</f>
        <v>0</v>
      </c>
      <c r="B170" s="421" t="s">
        <v>303</v>
      </c>
      <c r="C170" s="440">
        <f>O167</f>
        <v>0</v>
      </c>
      <c r="D170" s="408">
        <f t="dataTable" ref="D170:X171" dt2D="0" dtr="1" r1="H9" ca="1"/>
        <v>0</v>
      </c>
      <c r="E170" s="408">
        <v>0</v>
      </c>
      <c r="F170" s="408">
        <v>0</v>
      </c>
      <c r="G170" s="408">
        <v>0</v>
      </c>
      <c r="H170" s="408">
        <v>0</v>
      </c>
      <c r="I170" s="408">
        <v>0</v>
      </c>
      <c r="J170" s="408">
        <v>0</v>
      </c>
      <c r="K170" s="408">
        <v>0</v>
      </c>
      <c r="L170" s="408">
        <v>0</v>
      </c>
      <c r="M170" s="408">
        <v>0</v>
      </c>
      <c r="N170" s="408">
        <v>0</v>
      </c>
      <c r="O170" s="408">
        <v>0</v>
      </c>
      <c r="P170" s="408">
        <v>0</v>
      </c>
      <c r="Q170" s="408">
        <v>0</v>
      </c>
      <c r="R170" s="408">
        <v>0</v>
      </c>
      <c r="S170" s="408">
        <v>0</v>
      </c>
      <c r="T170" s="408">
        <v>0</v>
      </c>
      <c r="U170" s="408">
        <v>0</v>
      </c>
      <c r="V170" s="408">
        <v>0</v>
      </c>
      <c r="W170" s="408">
        <v>0</v>
      </c>
      <c r="X170" s="408">
        <v>0</v>
      </c>
      <c r="Y170" s="412"/>
      <c r="Z170" s="412"/>
      <c r="AA170" s="412"/>
      <c r="AB170" s="412"/>
      <c r="AC170" s="412"/>
      <c r="AD170" s="412"/>
      <c r="AE170" s="412"/>
      <c r="AF170" s="412"/>
      <c r="AG170" s="412"/>
      <c r="AH170" s="412"/>
      <c r="AI170" s="412"/>
      <c r="AJ170" s="412"/>
      <c r="AK170" s="412"/>
      <c r="AL170" s="412"/>
      <c r="AM170" s="412"/>
      <c r="AN170" s="412"/>
      <c r="AO170" s="412"/>
      <c r="AP170" s="412"/>
    </row>
    <row r="171" spans="1:42" ht="15" outlineLevel="1">
      <c r="A171" s="401">
        <f>HLOOKUP($H$9+1%,D169:X171,3,TRUE)*$O$9</f>
        <v>0</v>
      </c>
      <c r="B171" s="421" t="s">
        <v>302</v>
      </c>
      <c r="C171" s="440">
        <f>-PMT($J$9/$M$9,$K$9*$M$9,$I$9)</f>
        <v>0</v>
      </c>
      <c r="D171" s="408">
        <v>0</v>
      </c>
      <c r="E171" s="408">
        <v>0</v>
      </c>
      <c r="F171" s="408">
        <v>0</v>
      </c>
      <c r="G171" s="408">
        <v>0</v>
      </c>
      <c r="H171" s="408">
        <v>0</v>
      </c>
      <c r="I171" s="408">
        <v>0</v>
      </c>
      <c r="J171" s="408">
        <v>0</v>
      </c>
      <c r="K171" s="408">
        <v>0</v>
      </c>
      <c r="L171" s="408">
        <v>0</v>
      </c>
      <c r="M171" s="408">
        <v>0</v>
      </c>
      <c r="N171" s="408">
        <v>0</v>
      </c>
      <c r="O171" s="408">
        <v>0</v>
      </c>
      <c r="P171" s="408">
        <v>0</v>
      </c>
      <c r="Q171" s="408">
        <v>0</v>
      </c>
      <c r="R171" s="408">
        <v>0</v>
      </c>
      <c r="S171" s="408">
        <v>0</v>
      </c>
      <c r="T171" s="408">
        <v>0</v>
      </c>
      <c r="U171" s="408">
        <v>0</v>
      </c>
      <c r="V171" s="408">
        <v>0</v>
      </c>
      <c r="W171" s="408">
        <v>0</v>
      </c>
      <c r="X171" s="408">
        <v>0</v>
      </c>
      <c r="Y171" s="412"/>
      <c r="Z171" s="412"/>
      <c r="AA171" s="412"/>
      <c r="AB171" s="412"/>
      <c r="AC171" s="412"/>
      <c r="AD171" s="412"/>
      <c r="AE171" s="412"/>
      <c r="AF171" s="412"/>
      <c r="AG171" s="412"/>
      <c r="AH171" s="412"/>
      <c r="AI171" s="412"/>
      <c r="AJ171" s="412"/>
      <c r="AK171" s="412"/>
      <c r="AL171" s="412"/>
      <c r="AM171" s="412"/>
      <c r="AN171" s="412"/>
      <c r="AO171" s="412"/>
      <c r="AP171" s="412"/>
    </row>
    <row r="172" spans="1:42" ht="15" outlineLevel="1">
      <c r="A172" s="374"/>
      <c r="B172" s="406" t="s">
        <v>424</v>
      </c>
      <c r="C172" s="406"/>
      <c r="D172" s="406"/>
      <c r="E172" s="406"/>
      <c r="F172" s="406"/>
      <c r="G172" s="406"/>
      <c r="H172" s="406"/>
      <c r="I172" s="406"/>
      <c r="J172" s="406"/>
      <c r="K172" s="406"/>
      <c r="L172" s="406"/>
      <c r="M172" s="406"/>
      <c r="N172" s="406"/>
      <c r="O172" s="406"/>
      <c r="P172" s="406"/>
      <c r="Q172" s="406"/>
      <c r="R172" s="406"/>
      <c r="S172" s="406"/>
      <c r="T172" s="406"/>
      <c r="U172" s="406"/>
      <c r="V172" s="406"/>
      <c r="W172" s="406"/>
      <c r="X172" s="406"/>
      <c r="Y172" s="406"/>
      <c r="Z172" s="406"/>
      <c r="AA172" s="406"/>
      <c r="AB172" s="406"/>
      <c r="AC172" s="406"/>
      <c r="AD172" s="406"/>
      <c r="AE172" s="406"/>
      <c r="AF172" s="406"/>
      <c r="AG172" s="406"/>
      <c r="AH172" s="406"/>
      <c r="AI172" s="406"/>
      <c r="AJ172" s="406"/>
      <c r="AK172" s="406"/>
      <c r="AL172" s="406"/>
      <c r="AM172" s="406"/>
      <c r="AN172" s="406"/>
      <c r="AO172" s="406"/>
      <c r="AP172" s="406"/>
    </row>
    <row r="173" spans="1:42" s="430" customFormat="1" ht="16" outlineLevel="1" thickBot="1">
      <c r="A173" s="427"/>
      <c r="B173" s="405"/>
      <c r="C173" s="405">
        <v>0</v>
      </c>
      <c r="D173" s="405">
        <v>1</v>
      </c>
      <c r="E173" s="405">
        <v>2</v>
      </c>
      <c r="F173" s="405">
        <v>3</v>
      </c>
      <c r="G173" s="405">
        <v>4</v>
      </c>
      <c r="H173" s="405">
        <v>5</v>
      </c>
      <c r="I173" s="405">
        <v>6</v>
      </c>
      <c r="J173" s="405">
        <v>7</v>
      </c>
      <c r="K173" s="405">
        <v>8</v>
      </c>
      <c r="L173" s="405">
        <v>9</v>
      </c>
      <c r="M173" s="405">
        <v>10</v>
      </c>
      <c r="N173" s="405">
        <v>11</v>
      </c>
      <c r="O173" s="405">
        <v>12</v>
      </c>
      <c r="P173" s="405">
        <v>13</v>
      </c>
      <c r="Q173" s="405">
        <v>14</v>
      </c>
      <c r="R173" s="405">
        <v>15</v>
      </c>
      <c r="S173" s="405">
        <v>16</v>
      </c>
      <c r="T173" s="405">
        <v>17</v>
      </c>
      <c r="U173" s="405">
        <v>18</v>
      </c>
      <c r="V173" s="405">
        <v>19</v>
      </c>
      <c r="W173" s="405">
        <v>20</v>
      </c>
      <c r="X173" s="421"/>
      <c r="Y173" s="421"/>
      <c r="Z173" s="421"/>
      <c r="AA173" s="421"/>
      <c r="AB173" s="421"/>
      <c r="AC173" s="421"/>
      <c r="AD173" s="421"/>
      <c r="AE173" s="421"/>
      <c r="AF173" s="421"/>
      <c r="AG173" s="421"/>
      <c r="AH173" s="421"/>
      <c r="AI173" s="421"/>
      <c r="AJ173" s="421"/>
      <c r="AK173" s="421"/>
      <c r="AL173" s="421"/>
      <c r="AM173" s="421"/>
      <c r="AN173" s="421"/>
      <c r="AO173" s="421"/>
      <c r="AP173" s="421"/>
    </row>
    <row r="174" spans="1:42" ht="15" outlineLevel="1">
      <c r="A174" s="374"/>
      <c r="B174" s="441" t="s">
        <v>425</v>
      </c>
      <c r="C174" s="442">
        <f>D160</f>
        <v>0</v>
      </c>
      <c r="D174" s="442">
        <f t="shared" ref="D174:W174" si="71">E160</f>
        <v>0</v>
      </c>
      <c r="E174" s="442">
        <f t="shared" si="71"/>
        <v>0</v>
      </c>
      <c r="F174" s="442">
        <f t="shared" si="71"/>
        <v>0</v>
      </c>
      <c r="G174" s="442">
        <f t="shared" si="71"/>
        <v>0</v>
      </c>
      <c r="H174" s="442">
        <f t="shared" si="71"/>
        <v>0</v>
      </c>
      <c r="I174" s="442">
        <f t="shared" si="71"/>
        <v>0</v>
      </c>
      <c r="J174" s="442">
        <f t="shared" si="71"/>
        <v>0</v>
      </c>
      <c r="K174" s="442">
        <f t="shared" si="71"/>
        <v>0</v>
      </c>
      <c r="L174" s="442">
        <f t="shared" si="71"/>
        <v>0</v>
      </c>
      <c r="M174" s="442">
        <f t="shared" si="71"/>
        <v>0</v>
      </c>
      <c r="N174" s="442">
        <f t="shared" si="71"/>
        <v>0</v>
      </c>
      <c r="O174" s="442">
        <f t="shared" si="71"/>
        <v>0</v>
      </c>
      <c r="P174" s="442">
        <f t="shared" si="71"/>
        <v>0</v>
      </c>
      <c r="Q174" s="442">
        <f t="shared" si="71"/>
        <v>0</v>
      </c>
      <c r="R174" s="442">
        <f t="shared" si="71"/>
        <v>0</v>
      </c>
      <c r="S174" s="442">
        <f t="shared" si="71"/>
        <v>0</v>
      </c>
      <c r="T174" s="442">
        <f t="shared" si="71"/>
        <v>0</v>
      </c>
      <c r="U174" s="442">
        <f t="shared" si="71"/>
        <v>0</v>
      </c>
      <c r="V174" s="442">
        <f t="shared" si="71"/>
        <v>0</v>
      </c>
      <c r="W174" s="442">
        <f t="shared" si="71"/>
        <v>0</v>
      </c>
      <c r="X174" s="442"/>
      <c r="Y174" s="442"/>
      <c r="Z174" s="442"/>
      <c r="AA174" s="442"/>
      <c r="AB174" s="442"/>
      <c r="AC174" s="442"/>
      <c r="AD174" s="442"/>
      <c r="AE174" s="442"/>
      <c r="AF174" s="442"/>
      <c r="AG174" s="442"/>
      <c r="AH174" s="442"/>
      <c r="AI174" s="442"/>
      <c r="AJ174" s="442"/>
      <c r="AK174" s="442"/>
      <c r="AL174" s="442"/>
      <c r="AM174" s="442"/>
      <c r="AN174" s="442"/>
      <c r="AO174" s="442"/>
      <c r="AP174" s="442"/>
    </row>
    <row r="175" spans="1:42" ht="16" outlineLevel="1" thickBot="1">
      <c r="A175" s="374"/>
      <c r="B175" s="443" t="s">
        <v>426</v>
      </c>
      <c r="C175" s="444">
        <f>$I$9-C174</f>
        <v>0</v>
      </c>
      <c r="D175" s="444">
        <f t="shared" ref="D175:W175" si="72">C175-D174</f>
        <v>0</v>
      </c>
      <c r="E175" s="444">
        <f t="shared" si="72"/>
        <v>0</v>
      </c>
      <c r="F175" s="444">
        <f t="shared" si="72"/>
        <v>0</v>
      </c>
      <c r="G175" s="444">
        <f t="shared" si="72"/>
        <v>0</v>
      </c>
      <c r="H175" s="444">
        <f t="shared" si="72"/>
        <v>0</v>
      </c>
      <c r="I175" s="444">
        <f t="shared" si="72"/>
        <v>0</v>
      </c>
      <c r="J175" s="444">
        <f t="shared" si="72"/>
        <v>0</v>
      </c>
      <c r="K175" s="444">
        <f t="shared" si="72"/>
        <v>0</v>
      </c>
      <c r="L175" s="444">
        <f t="shared" si="72"/>
        <v>0</v>
      </c>
      <c r="M175" s="444">
        <f t="shared" si="72"/>
        <v>0</v>
      </c>
      <c r="N175" s="444">
        <f t="shared" si="72"/>
        <v>0</v>
      </c>
      <c r="O175" s="444">
        <f t="shared" si="72"/>
        <v>0</v>
      </c>
      <c r="P175" s="444">
        <f t="shared" si="72"/>
        <v>0</v>
      </c>
      <c r="Q175" s="444">
        <f t="shared" si="72"/>
        <v>0</v>
      </c>
      <c r="R175" s="444">
        <f t="shared" si="72"/>
        <v>0</v>
      </c>
      <c r="S175" s="444">
        <f t="shared" si="72"/>
        <v>0</v>
      </c>
      <c r="T175" s="444">
        <f t="shared" si="72"/>
        <v>0</v>
      </c>
      <c r="U175" s="444">
        <f t="shared" si="72"/>
        <v>0</v>
      </c>
      <c r="V175" s="444">
        <f t="shared" si="72"/>
        <v>0</v>
      </c>
      <c r="W175" s="444">
        <f t="shared" si="72"/>
        <v>0</v>
      </c>
      <c r="X175" s="444"/>
      <c r="Y175" s="444"/>
      <c r="Z175" s="444"/>
      <c r="AA175" s="444"/>
      <c r="AB175" s="444"/>
      <c r="AC175" s="444"/>
      <c r="AD175" s="444"/>
      <c r="AE175" s="444"/>
      <c r="AF175" s="444"/>
      <c r="AG175" s="444"/>
      <c r="AH175" s="444"/>
      <c r="AI175" s="444"/>
      <c r="AJ175" s="444"/>
      <c r="AK175" s="444"/>
      <c r="AL175" s="444"/>
      <c r="AM175" s="444"/>
      <c r="AN175" s="444"/>
      <c r="AO175" s="444"/>
      <c r="AP175" s="444"/>
    </row>
    <row r="176" spans="1:42" ht="15" outlineLevel="1">
      <c r="A176" s="374"/>
      <c r="B176" s="374"/>
      <c r="C176" s="374"/>
      <c r="D176" s="374"/>
      <c r="E176" s="374"/>
      <c r="F176" s="374"/>
      <c r="G176" s="374"/>
      <c r="H176" s="374"/>
      <c r="I176" s="374"/>
      <c r="J176" s="374"/>
      <c r="K176" s="374"/>
      <c r="L176" s="374"/>
      <c r="M176" s="374"/>
      <c r="N176" s="374"/>
      <c r="O176" s="374"/>
      <c r="P176" s="374"/>
      <c r="Q176" s="374"/>
      <c r="R176" s="374"/>
      <c r="S176" s="377"/>
      <c r="T176" s="377"/>
      <c r="U176" s="377"/>
      <c r="V176" s="377"/>
      <c r="W176" s="377"/>
      <c r="X176" s="377"/>
      <c r="Y176" s="377"/>
      <c r="Z176" s="377"/>
      <c r="AA176" s="377"/>
      <c r="AB176" s="377"/>
      <c r="AC176" s="377"/>
      <c r="AD176" s="377"/>
      <c r="AE176" s="377"/>
      <c r="AF176" s="377"/>
      <c r="AG176" s="377"/>
      <c r="AH176" s="377"/>
      <c r="AI176" s="377"/>
      <c r="AJ176" s="377"/>
      <c r="AK176" s="377"/>
      <c r="AL176" s="377"/>
      <c r="AM176" s="377"/>
      <c r="AN176" s="377"/>
      <c r="AO176" s="377"/>
      <c r="AP176" s="377"/>
    </row>
  </sheetData>
  <sheetProtection selectLockedCells="1" selectUnlockedCells="1"/>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theme="7" tint="0.59999389629810485"/>
  </sheetPr>
  <dimension ref="A1:X375"/>
  <sheetViews>
    <sheetView topLeftCell="A326" zoomScale="70" zoomScaleNormal="70" workbookViewId="0"/>
  </sheetViews>
  <sheetFormatPr baseColWidth="10" defaultColWidth="10" defaultRowHeight="15" outlineLevelRow="1"/>
  <cols>
    <col min="1" max="1" width="6.83203125" style="374" customWidth="1"/>
    <col min="2" max="2" width="22.5" style="374" customWidth="1"/>
    <col min="3" max="3" width="17.33203125" style="374" customWidth="1"/>
    <col min="4" max="4" width="14.83203125" style="374" bestFit="1" customWidth="1"/>
    <col min="5" max="5" width="15.83203125" style="374" bestFit="1" customWidth="1"/>
    <col min="6" max="6" width="14.1640625" style="374" bestFit="1" customWidth="1"/>
    <col min="7" max="7" width="15.83203125" style="374" bestFit="1" customWidth="1"/>
    <col min="8" max="8" width="18.6640625" style="374" bestFit="1" customWidth="1"/>
    <col min="9" max="13" width="13" style="374" bestFit="1" customWidth="1"/>
    <col min="14" max="14" width="18.83203125" style="374" bestFit="1" customWidth="1"/>
    <col min="15" max="15" width="10" style="374" bestFit="1" customWidth="1"/>
    <col min="16" max="17" width="9.1640625" style="374" bestFit="1" customWidth="1"/>
    <col min="18" max="18" width="11.33203125" style="374" customWidth="1"/>
    <col min="19" max="19" width="11.33203125" style="377" bestFit="1" customWidth="1"/>
    <col min="20" max="20" width="15.33203125" style="377" bestFit="1" customWidth="1"/>
    <col min="21" max="21" width="11.33203125" style="377" bestFit="1" customWidth="1"/>
    <col min="22" max="22" width="10" style="377" bestFit="1" customWidth="1"/>
    <col min="23" max="23" width="15.33203125" style="377" bestFit="1" customWidth="1"/>
    <col min="24" max="24" width="13.1640625" style="377" bestFit="1" customWidth="1"/>
    <col min="25" max="16384" width="10" style="377"/>
  </cols>
  <sheetData>
    <row r="1" spans="1:22" s="371" customFormat="1">
      <c r="B1" s="371" t="s">
        <v>168</v>
      </c>
      <c r="C1" s="371" t="str">
        <f>Cover!$C$10</f>
        <v>Mr. Amir Artine</v>
      </c>
      <c r="D1" s="176" t="str">
        <f>Cover!$C$3</f>
        <v>Cattle Integration, Baghara, Chad</v>
      </c>
      <c r="E1" s="372"/>
      <c r="F1" s="372"/>
      <c r="G1" s="372" t="s">
        <v>169</v>
      </c>
      <c r="H1" s="373">
        <f ca="1">Cover!$C$13</f>
        <v>45763</v>
      </c>
      <c r="I1" s="372"/>
      <c r="J1" s="372"/>
      <c r="K1" s="372"/>
      <c r="L1" s="372"/>
      <c r="M1" s="372"/>
      <c r="N1" s="372"/>
      <c r="O1" s="372"/>
      <c r="P1" s="372"/>
      <c r="Q1" s="372"/>
      <c r="R1" s="372"/>
      <c r="S1" s="372"/>
      <c r="T1" s="372"/>
      <c r="U1" s="372"/>
      <c r="V1" s="372"/>
    </row>
    <row r="2" spans="1:22" ht="16" thickBot="1">
      <c r="D2" s="436"/>
      <c r="E2" s="375"/>
      <c r="F2" s="375"/>
      <c r="G2" s="376"/>
      <c r="H2" s="376"/>
      <c r="M2" s="377"/>
      <c r="N2" s="377"/>
      <c r="O2" s="377"/>
      <c r="P2" s="377"/>
      <c r="Q2" s="377"/>
      <c r="R2" s="377"/>
    </row>
    <row r="3" spans="1:22" ht="16" thickTop="1">
      <c r="B3" s="379" t="s">
        <v>439</v>
      </c>
      <c r="C3" s="379"/>
      <c r="D3" s="379"/>
      <c r="E3" s="379"/>
      <c r="F3" s="379"/>
      <c r="G3" s="379"/>
      <c r="H3" s="379"/>
      <c r="M3" s="377"/>
      <c r="N3" s="377"/>
      <c r="O3" s="377"/>
      <c r="P3" s="377"/>
      <c r="Q3" s="377"/>
      <c r="R3" s="377"/>
    </row>
    <row r="4" spans="1:22" ht="16" outlineLevel="1" thickBot="1">
      <c r="B4" s="405" t="s">
        <v>408</v>
      </c>
      <c r="C4" s="405" t="s">
        <v>307</v>
      </c>
      <c r="D4" s="405" t="s">
        <v>410</v>
      </c>
      <c r="E4" s="405" t="s">
        <v>411</v>
      </c>
      <c r="F4" s="405" t="s">
        <v>412</v>
      </c>
      <c r="G4" s="405" t="s">
        <v>244</v>
      </c>
      <c r="H4" s="405" t="s">
        <v>440</v>
      </c>
      <c r="I4" s="377"/>
      <c r="J4" s="377"/>
      <c r="K4" s="377"/>
      <c r="L4" s="377"/>
      <c r="M4" s="377"/>
      <c r="N4" s="377"/>
      <c r="O4" s="377"/>
      <c r="P4" s="377"/>
      <c r="Q4" s="377"/>
      <c r="R4" s="377"/>
    </row>
    <row r="5" spans="1:22" outlineLevel="1">
      <c r="B5" s="383">
        <f>1</f>
        <v>1</v>
      </c>
      <c r="C5" s="387">
        <f>Fin.Statements!D99*'Data Input'!$D$28</f>
        <v>5194550.6847972823</v>
      </c>
      <c r="D5" s="384">
        <f>1-'Data Input'!$D$32</f>
        <v>1</v>
      </c>
      <c r="E5" s="383">
        <f t="shared" ref="E5:E14" si="0">C5*D5</f>
        <v>5194550.6847972823</v>
      </c>
      <c r="F5" s="384">
        <f>'Data Input'!D$29</f>
        <v>0.1</v>
      </c>
      <c r="G5" s="390">
        <f>'Data Input'!D$30</f>
        <v>1</v>
      </c>
      <c r="H5" s="390">
        <f>'Data Input'!D$31</f>
        <v>0</v>
      </c>
      <c r="I5" s="377"/>
      <c r="J5" s="377"/>
      <c r="K5" s="377"/>
      <c r="L5" s="377"/>
      <c r="M5" s="377"/>
      <c r="N5" s="377"/>
      <c r="O5" s="377"/>
      <c r="P5" s="377"/>
      <c r="Q5" s="377"/>
      <c r="R5" s="377"/>
    </row>
    <row r="6" spans="1:22" outlineLevel="1">
      <c r="B6" s="388">
        <f>2</f>
        <v>2</v>
      </c>
      <c r="C6" s="387">
        <f>Fin.Statements!E99*'Data Input'!$D$28</f>
        <v>3908927.183830495</v>
      </c>
      <c r="D6" s="389">
        <f>1-'Data Input'!$D$32</f>
        <v>1</v>
      </c>
      <c r="E6" s="388">
        <f t="shared" si="0"/>
        <v>3908927.183830495</v>
      </c>
      <c r="F6" s="389">
        <f>'Data Input'!D$29</f>
        <v>0.1</v>
      </c>
      <c r="G6" s="390">
        <f>'Data Input'!D$30</f>
        <v>1</v>
      </c>
      <c r="H6" s="390">
        <f>'Data Input'!D$31</f>
        <v>0</v>
      </c>
      <c r="I6" s="377"/>
      <c r="J6" s="377"/>
      <c r="K6" s="377"/>
      <c r="L6" s="377"/>
      <c r="M6" s="377"/>
      <c r="N6" s="377"/>
      <c r="O6" s="377"/>
      <c r="P6" s="377"/>
      <c r="Q6" s="377"/>
      <c r="R6" s="377"/>
    </row>
    <row r="7" spans="1:22" outlineLevel="1">
      <c r="B7" s="388">
        <f>3</f>
        <v>3</v>
      </c>
      <c r="C7" s="387">
        <f>Fin.Statements!F99*'Data Input'!$D$28</f>
        <v>2872029.8601241326</v>
      </c>
      <c r="D7" s="389">
        <f>1-'Data Input'!$D$32</f>
        <v>1</v>
      </c>
      <c r="E7" s="388">
        <f t="shared" si="0"/>
        <v>2872029.8601241326</v>
      </c>
      <c r="F7" s="389">
        <f>'Data Input'!D$29</f>
        <v>0.1</v>
      </c>
      <c r="G7" s="390">
        <f>'Data Input'!D$30</f>
        <v>1</v>
      </c>
      <c r="H7" s="390">
        <f>'Data Input'!D$31</f>
        <v>0</v>
      </c>
      <c r="I7" s="377"/>
      <c r="J7" s="377"/>
      <c r="K7" s="377"/>
      <c r="L7" s="377"/>
      <c r="M7" s="377"/>
      <c r="N7" s="377"/>
      <c r="O7" s="377"/>
      <c r="P7" s="377"/>
      <c r="Q7" s="377"/>
      <c r="R7" s="377"/>
    </row>
    <row r="8" spans="1:22" outlineLevel="1">
      <c r="B8" s="388">
        <f>4</f>
        <v>4</v>
      </c>
      <c r="C8" s="387">
        <f>Fin.Statements!G99*'Data Input'!$D$28</f>
        <v>0</v>
      </c>
      <c r="D8" s="389">
        <f>1-'Data Input'!$D$32</f>
        <v>1</v>
      </c>
      <c r="E8" s="388">
        <f t="shared" si="0"/>
        <v>0</v>
      </c>
      <c r="F8" s="389">
        <f>'Data Input'!D$29</f>
        <v>0.1</v>
      </c>
      <c r="G8" s="390">
        <f>'Data Input'!D$30</f>
        <v>1</v>
      </c>
      <c r="H8" s="390">
        <f>'Data Input'!D$31</f>
        <v>0</v>
      </c>
      <c r="I8" s="377"/>
      <c r="J8" s="377"/>
      <c r="K8" s="377"/>
      <c r="L8" s="377"/>
      <c r="M8" s="377"/>
      <c r="N8" s="377"/>
      <c r="O8" s="377"/>
      <c r="P8" s="377"/>
      <c r="Q8" s="377"/>
      <c r="R8" s="377"/>
    </row>
    <row r="9" spans="1:22" outlineLevel="1">
      <c r="A9" s="377"/>
      <c r="B9" s="388">
        <f>5</f>
        <v>5</v>
      </c>
      <c r="C9" s="387">
        <f>Fin.Statements!H99*'Data Input'!$D$28</f>
        <v>0</v>
      </c>
      <c r="D9" s="389">
        <f>1-'Data Input'!$D$32</f>
        <v>1</v>
      </c>
      <c r="E9" s="388">
        <f t="shared" si="0"/>
        <v>0</v>
      </c>
      <c r="F9" s="389">
        <f>'Data Input'!D$29</f>
        <v>0.1</v>
      </c>
      <c r="G9" s="390">
        <f>'Data Input'!D$30</f>
        <v>1</v>
      </c>
      <c r="H9" s="390">
        <f>'Data Input'!D$31</f>
        <v>0</v>
      </c>
      <c r="I9" s="377"/>
      <c r="J9" s="377"/>
      <c r="K9" s="377"/>
      <c r="L9" s="377"/>
      <c r="M9" s="377"/>
      <c r="N9" s="377"/>
      <c r="O9" s="377"/>
      <c r="P9" s="377"/>
      <c r="Q9" s="377"/>
      <c r="R9" s="377"/>
    </row>
    <row r="10" spans="1:22" outlineLevel="1">
      <c r="A10" s="377"/>
      <c r="B10" s="388">
        <v>6</v>
      </c>
      <c r="C10" s="387">
        <f>Fin.Statements!I99*'Data Input'!$D$28</f>
        <v>0</v>
      </c>
      <c r="D10" s="389">
        <f>1-'Data Input'!$D$32</f>
        <v>1</v>
      </c>
      <c r="E10" s="388">
        <f t="shared" si="0"/>
        <v>0</v>
      </c>
      <c r="F10" s="389">
        <f>'Data Input'!D$29</f>
        <v>0.1</v>
      </c>
      <c r="G10" s="390">
        <f>'Data Input'!D$30</f>
        <v>1</v>
      </c>
      <c r="H10" s="390">
        <f>'Data Input'!D$31</f>
        <v>0</v>
      </c>
      <c r="I10" s="377"/>
      <c r="J10" s="377"/>
      <c r="K10" s="377"/>
      <c r="L10" s="377"/>
      <c r="M10" s="377"/>
      <c r="N10" s="377"/>
      <c r="O10" s="377"/>
      <c r="P10" s="377"/>
      <c r="Q10" s="377"/>
      <c r="R10" s="377"/>
    </row>
    <row r="11" spans="1:22" outlineLevel="1">
      <c r="A11" s="377"/>
      <c r="B11" s="388">
        <v>7</v>
      </c>
      <c r="C11" s="387">
        <f>Fin.Statements!J99*'Data Input'!$D$28</f>
        <v>0</v>
      </c>
      <c r="D11" s="389">
        <f>1-'Data Input'!$D$32</f>
        <v>1</v>
      </c>
      <c r="E11" s="388">
        <f t="shared" si="0"/>
        <v>0</v>
      </c>
      <c r="F11" s="389">
        <f>'Data Input'!D$29</f>
        <v>0.1</v>
      </c>
      <c r="G11" s="390">
        <f>'Data Input'!D$30</f>
        <v>1</v>
      </c>
      <c r="H11" s="390">
        <f>'Data Input'!D$31</f>
        <v>0</v>
      </c>
      <c r="I11" s="377"/>
      <c r="J11" s="377"/>
      <c r="K11" s="377"/>
      <c r="L11" s="377"/>
      <c r="M11" s="377"/>
      <c r="N11" s="377"/>
      <c r="O11" s="377"/>
      <c r="P11" s="377"/>
      <c r="Q11" s="377"/>
      <c r="R11" s="377"/>
    </row>
    <row r="12" spans="1:22" outlineLevel="1">
      <c r="A12" s="377"/>
      <c r="B12" s="388">
        <v>8</v>
      </c>
      <c r="C12" s="387">
        <f>Fin.Statements!K99*'Data Input'!$D$28</f>
        <v>0</v>
      </c>
      <c r="D12" s="389">
        <f>1-'Data Input'!$D$32</f>
        <v>1</v>
      </c>
      <c r="E12" s="388">
        <f t="shared" si="0"/>
        <v>0</v>
      </c>
      <c r="F12" s="389">
        <f>'Data Input'!D$29</f>
        <v>0.1</v>
      </c>
      <c r="G12" s="390">
        <f>'Data Input'!D$30</f>
        <v>1</v>
      </c>
      <c r="H12" s="390">
        <f>'Data Input'!D$31</f>
        <v>0</v>
      </c>
      <c r="I12" s="377"/>
      <c r="J12" s="377"/>
      <c r="K12" s="377"/>
      <c r="L12" s="377"/>
      <c r="M12" s="377"/>
      <c r="N12" s="377"/>
      <c r="O12" s="377"/>
      <c r="P12" s="377"/>
      <c r="Q12" s="377"/>
      <c r="R12" s="377"/>
    </row>
    <row r="13" spans="1:22" outlineLevel="1">
      <c r="A13" s="377"/>
      <c r="B13" s="388">
        <v>9</v>
      </c>
      <c r="C13" s="387">
        <f>Fin.Statements!L99*'Data Input'!$D$28</f>
        <v>0</v>
      </c>
      <c r="D13" s="389">
        <f>1-'Data Input'!$D$32</f>
        <v>1</v>
      </c>
      <c r="E13" s="388">
        <f t="shared" si="0"/>
        <v>0</v>
      </c>
      <c r="F13" s="389">
        <f>'Data Input'!D$29</f>
        <v>0.1</v>
      </c>
      <c r="G13" s="390">
        <f>'Data Input'!D$30</f>
        <v>1</v>
      </c>
      <c r="H13" s="390">
        <f>'Data Input'!D$31</f>
        <v>0</v>
      </c>
      <c r="I13" s="377"/>
      <c r="J13" s="377"/>
      <c r="K13" s="377"/>
      <c r="L13" s="377"/>
      <c r="M13" s="377"/>
      <c r="N13" s="377"/>
      <c r="O13" s="377"/>
      <c r="P13" s="377"/>
      <c r="Q13" s="377"/>
      <c r="R13" s="377"/>
    </row>
    <row r="14" spans="1:22" outlineLevel="1">
      <c r="A14" s="377"/>
      <c r="B14" s="388">
        <v>10</v>
      </c>
      <c r="C14" s="387">
        <f>Fin.Statements!M99*'Data Input'!$D$28</f>
        <v>0</v>
      </c>
      <c r="D14" s="389">
        <f>1-'Data Input'!$D$32</f>
        <v>1</v>
      </c>
      <c r="E14" s="388">
        <f t="shared" si="0"/>
        <v>0</v>
      </c>
      <c r="F14" s="389">
        <f>'Data Input'!D$29</f>
        <v>0.1</v>
      </c>
      <c r="G14" s="390">
        <f>'Data Input'!D$30</f>
        <v>1</v>
      </c>
      <c r="H14" s="390">
        <f>'Data Input'!D$31</f>
        <v>0</v>
      </c>
      <c r="I14" s="377"/>
      <c r="J14" s="377"/>
      <c r="K14" s="377"/>
      <c r="L14" s="377"/>
      <c r="M14" s="377"/>
      <c r="N14" s="377"/>
      <c r="O14" s="377"/>
      <c r="P14" s="377"/>
      <c r="Q14" s="377"/>
      <c r="R14" s="377"/>
    </row>
    <row r="15" spans="1:22" ht="16" outlineLevel="1" thickBot="1">
      <c r="A15" s="377"/>
      <c r="B15" s="396" t="s">
        <v>1</v>
      </c>
      <c r="C15" s="397">
        <f>SUM(C5:C9)</f>
        <v>11975507.728751909</v>
      </c>
      <c r="D15" s="398">
        <f>IFERROR(E15/C15,0)</f>
        <v>1</v>
      </c>
      <c r="E15" s="397">
        <f>SUM(E5:E9)</f>
        <v>11975507.728751909</v>
      </c>
      <c r="F15" s="447"/>
      <c r="G15" s="448"/>
      <c r="H15" s="448"/>
      <c r="I15" s="377"/>
      <c r="J15" s="377"/>
      <c r="K15" s="377"/>
      <c r="L15" s="377"/>
      <c r="M15" s="377"/>
      <c r="N15" s="377"/>
      <c r="O15" s="377"/>
      <c r="P15" s="377"/>
      <c r="Q15" s="377"/>
      <c r="R15" s="377"/>
    </row>
    <row r="16" spans="1:22" outlineLevel="1">
      <c r="A16" s="377"/>
      <c r="B16" s="399"/>
      <c r="C16" s="400"/>
      <c r="D16" s="401"/>
      <c r="E16" s="401"/>
      <c r="F16" s="401"/>
      <c r="G16" s="401"/>
      <c r="H16" s="449" t="s">
        <v>441</v>
      </c>
      <c r="I16" s="404"/>
      <c r="J16" s="401"/>
      <c r="K16" s="402"/>
      <c r="L16" s="399"/>
      <c r="M16" s="377"/>
      <c r="N16" s="377"/>
      <c r="O16" s="377"/>
      <c r="P16" s="377"/>
      <c r="Q16" s="377"/>
      <c r="R16" s="377"/>
    </row>
    <row r="17" spans="1:24" ht="16" thickBot="1">
      <c r="A17" s="377"/>
      <c r="B17" s="399"/>
      <c r="C17" s="400"/>
      <c r="D17" s="401"/>
      <c r="E17" s="401"/>
      <c r="F17" s="401"/>
      <c r="G17" s="401"/>
      <c r="H17" s="401"/>
      <c r="I17" s="404"/>
      <c r="J17" s="401"/>
      <c r="K17" s="402"/>
      <c r="L17" s="399"/>
      <c r="M17" s="399"/>
      <c r="N17" s="402"/>
      <c r="O17" s="403"/>
      <c r="P17" s="403"/>
    </row>
    <row r="18" spans="1:24" ht="16" thickTop="1">
      <c r="A18" s="377"/>
      <c r="B18" s="379" t="s">
        <v>442</v>
      </c>
      <c r="C18" s="379"/>
      <c r="D18" s="379"/>
      <c r="E18" s="379"/>
      <c r="F18" s="379"/>
      <c r="G18" s="379"/>
      <c r="H18" s="379"/>
      <c r="I18" s="379"/>
      <c r="J18" s="379"/>
      <c r="K18" s="379"/>
      <c r="L18" s="379"/>
      <c r="M18" s="379"/>
      <c r="N18" s="379"/>
      <c r="O18" s="379"/>
      <c r="P18" s="379"/>
      <c r="Q18" s="379"/>
      <c r="R18" s="379"/>
      <c r="S18" s="379"/>
      <c r="T18" s="379"/>
      <c r="U18" s="379"/>
      <c r="V18" s="379"/>
      <c r="W18" s="379"/>
    </row>
    <row r="19" spans="1:24" ht="16" outlineLevel="1" thickBot="1">
      <c r="A19" s="377"/>
      <c r="B19" s="405"/>
      <c r="C19" s="405">
        <v>0</v>
      </c>
      <c r="D19" s="405">
        <v>1</v>
      </c>
      <c r="E19" s="405">
        <v>2</v>
      </c>
      <c r="F19" s="405">
        <v>3</v>
      </c>
      <c r="G19" s="405">
        <v>4</v>
      </c>
      <c r="H19" s="405">
        <v>5</v>
      </c>
      <c r="I19" s="405">
        <v>6</v>
      </c>
      <c r="J19" s="405">
        <v>7</v>
      </c>
      <c r="K19" s="405">
        <v>8</v>
      </c>
      <c r="L19" s="405">
        <v>9</v>
      </c>
      <c r="M19" s="405">
        <v>10</v>
      </c>
      <c r="N19" s="405">
        <v>11</v>
      </c>
      <c r="O19" s="405">
        <v>12</v>
      </c>
      <c r="P19" s="405">
        <v>13</v>
      </c>
      <c r="Q19" s="405">
        <v>14</v>
      </c>
      <c r="R19" s="405">
        <v>15</v>
      </c>
      <c r="S19" s="405">
        <v>16</v>
      </c>
      <c r="T19" s="405">
        <v>17</v>
      </c>
      <c r="U19" s="405">
        <v>18</v>
      </c>
      <c r="V19" s="405">
        <v>19</v>
      </c>
      <c r="W19" s="405">
        <v>20</v>
      </c>
    </row>
    <row r="20" spans="1:24" outlineLevel="1">
      <c r="A20" s="377"/>
      <c r="B20" s="406" t="s">
        <v>307</v>
      </c>
      <c r="C20" s="406"/>
      <c r="D20" s="406"/>
      <c r="E20" s="406"/>
      <c r="F20" s="406"/>
      <c r="G20" s="406"/>
      <c r="H20" s="406"/>
      <c r="I20" s="406"/>
      <c r="J20" s="406"/>
      <c r="K20" s="406"/>
      <c r="L20" s="406"/>
      <c r="M20" s="406"/>
      <c r="N20" s="406"/>
      <c r="O20" s="406"/>
      <c r="P20" s="406"/>
      <c r="Q20" s="406"/>
      <c r="R20" s="406"/>
      <c r="S20" s="406"/>
      <c r="T20" s="406"/>
      <c r="U20" s="406"/>
      <c r="V20" s="406"/>
      <c r="W20" s="406"/>
    </row>
    <row r="21" spans="1:24" outlineLevel="1">
      <c r="A21" s="377"/>
      <c r="B21" s="411"/>
      <c r="C21" s="408"/>
      <c r="D21" s="408">
        <f>C5</f>
        <v>5194550.6847972823</v>
      </c>
      <c r="E21" s="408">
        <f>C6</f>
        <v>3908927.183830495</v>
      </c>
      <c r="F21" s="408">
        <f>C7</f>
        <v>2872029.8601241326</v>
      </c>
      <c r="G21" s="408">
        <f>C8</f>
        <v>0</v>
      </c>
      <c r="H21" s="408">
        <f>C9</f>
        <v>0</v>
      </c>
      <c r="I21" s="408">
        <f>C10</f>
        <v>0</v>
      </c>
      <c r="J21" s="408">
        <f>C11</f>
        <v>0</v>
      </c>
      <c r="K21" s="408">
        <f>C12</f>
        <v>0</v>
      </c>
      <c r="L21" s="408">
        <f>C13</f>
        <v>0</v>
      </c>
      <c r="M21" s="408">
        <f>C14</f>
        <v>0</v>
      </c>
      <c r="N21" s="450"/>
      <c r="O21" s="450"/>
      <c r="P21" s="450"/>
      <c r="Q21" s="450"/>
      <c r="R21" s="450"/>
      <c r="S21" s="450"/>
      <c r="T21" s="450"/>
      <c r="U21" s="450"/>
      <c r="V21" s="450"/>
      <c r="W21" s="450"/>
    </row>
    <row r="22" spans="1:24" outlineLevel="1">
      <c r="A22" s="377"/>
      <c r="B22" s="406" t="s">
        <v>418</v>
      </c>
      <c r="C22" s="406"/>
      <c r="D22" s="406"/>
      <c r="E22" s="406"/>
      <c r="F22" s="406"/>
      <c r="G22" s="406"/>
      <c r="H22" s="406"/>
      <c r="I22" s="406"/>
      <c r="J22" s="406"/>
      <c r="K22" s="406"/>
      <c r="L22" s="406"/>
      <c r="M22" s="406"/>
      <c r="N22" s="406"/>
      <c r="O22" s="406"/>
      <c r="P22" s="406"/>
      <c r="Q22" s="406"/>
      <c r="R22" s="406"/>
      <c r="S22" s="406"/>
      <c r="T22" s="406"/>
      <c r="U22" s="406"/>
      <c r="V22" s="406"/>
      <c r="W22" s="406"/>
    </row>
    <row r="23" spans="1:24" outlineLevel="1">
      <c r="B23" s="411" t="s">
        <v>280</v>
      </c>
      <c r="C23" s="408"/>
      <c r="D23" s="408">
        <f>C5-E5</f>
        <v>0</v>
      </c>
      <c r="E23" s="408">
        <f>C6-E6</f>
        <v>0</v>
      </c>
      <c r="F23" s="408">
        <f>C7-E7</f>
        <v>0</v>
      </c>
      <c r="G23" s="408">
        <f>C8-E8</f>
        <v>0</v>
      </c>
      <c r="H23" s="408">
        <f>C9-E9</f>
        <v>0</v>
      </c>
      <c r="I23" s="413">
        <f>C10-E10</f>
        <v>0</v>
      </c>
      <c r="J23" s="413">
        <f>C11-E11</f>
        <v>0</v>
      </c>
      <c r="K23" s="413">
        <f>C12-E12</f>
        <v>0</v>
      </c>
      <c r="L23" s="413">
        <f>C13-E13</f>
        <v>0</v>
      </c>
      <c r="M23" s="413">
        <f>C14-E14</f>
        <v>0</v>
      </c>
      <c r="N23" s="450"/>
      <c r="O23" s="450"/>
      <c r="P23" s="450"/>
      <c r="Q23" s="450"/>
      <c r="R23" s="450"/>
      <c r="S23" s="450"/>
      <c r="T23" s="450"/>
      <c r="U23" s="450"/>
      <c r="V23" s="450"/>
      <c r="W23" s="450"/>
    </row>
    <row r="24" spans="1:24" outlineLevel="1">
      <c r="B24" s="411" t="s">
        <v>419</v>
      </c>
      <c r="C24" s="408"/>
      <c r="D24" s="408">
        <f>E5</f>
        <v>5194550.6847972823</v>
      </c>
      <c r="E24" s="408">
        <f>E6</f>
        <v>3908927.183830495</v>
      </c>
      <c r="F24" s="408">
        <f>E7</f>
        <v>2872029.8601241326</v>
      </c>
      <c r="G24" s="408">
        <f>E8</f>
        <v>0</v>
      </c>
      <c r="H24" s="408">
        <f>E9</f>
        <v>0</v>
      </c>
      <c r="I24" s="413">
        <f>E10</f>
        <v>0</v>
      </c>
      <c r="J24" s="413">
        <f>E11</f>
        <v>0</v>
      </c>
      <c r="K24" s="413">
        <f>E12</f>
        <v>0</v>
      </c>
      <c r="L24" s="413">
        <f>E13</f>
        <v>0</v>
      </c>
      <c r="M24" s="413">
        <f>C14</f>
        <v>0</v>
      </c>
      <c r="N24" s="450"/>
      <c r="O24" s="450"/>
      <c r="P24" s="450"/>
      <c r="Q24" s="450"/>
      <c r="R24" s="450"/>
      <c r="S24" s="450"/>
      <c r="T24" s="450"/>
      <c r="U24" s="450"/>
      <c r="V24" s="450"/>
      <c r="W24" s="450"/>
    </row>
    <row r="25" spans="1:24" outlineLevel="1">
      <c r="B25" s="411"/>
      <c r="C25" s="408"/>
      <c r="D25" s="408"/>
      <c r="E25" s="408"/>
      <c r="F25" s="408"/>
      <c r="G25" s="408"/>
      <c r="H25" s="408"/>
      <c r="I25" s="413"/>
      <c r="J25" s="413"/>
      <c r="K25" s="413"/>
      <c r="L25" s="413"/>
      <c r="M25" s="413"/>
      <c r="N25" s="450"/>
      <c r="O25" s="450"/>
      <c r="P25" s="450"/>
      <c r="Q25" s="450"/>
      <c r="R25" s="450"/>
      <c r="S25" s="450"/>
      <c r="T25" s="450"/>
      <c r="U25" s="450"/>
      <c r="V25" s="450"/>
      <c r="W25" s="450"/>
    </row>
    <row r="26" spans="1:24" outlineLevel="1">
      <c r="B26" s="411"/>
      <c r="C26" s="408"/>
      <c r="D26" s="408"/>
      <c r="E26" s="408"/>
      <c r="F26" s="408"/>
      <c r="G26" s="408"/>
      <c r="H26" s="408"/>
      <c r="I26" s="450"/>
      <c r="J26" s="450"/>
      <c r="K26" s="450"/>
      <c r="L26" s="450"/>
      <c r="M26" s="450"/>
      <c r="N26" s="450"/>
      <c r="O26" s="450"/>
      <c r="P26" s="450"/>
      <c r="Q26" s="450"/>
      <c r="R26" s="450"/>
      <c r="S26" s="450"/>
      <c r="T26" s="450"/>
      <c r="U26" s="450"/>
      <c r="V26" s="450"/>
      <c r="W26" s="450"/>
    </row>
    <row r="27" spans="1:24" outlineLevel="1">
      <c r="B27" s="406" t="s">
        <v>421</v>
      </c>
      <c r="C27" s="406"/>
      <c r="D27" s="406"/>
      <c r="E27" s="406"/>
      <c r="F27" s="406"/>
      <c r="G27" s="406"/>
      <c r="H27" s="406"/>
      <c r="I27" s="406"/>
      <c r="J27" s="406"/>
      <c r="K27" s="406"/>
      <c r="L27" s="406"/>
      <c r="M27" s="406"/>
      <c r="N27" s="406"/>
      <c r="O27" s="406"/>
      <c r="P27" s="406"/>
      <c r="Q27" s="406"/>
      <c r="R27" s="406"/>
      <c r="S27" s="406"/>
      <c r="T27" s="406"/>
      <c r="U27" s="406"/>
      <c r="V27" s="406"/>
      <c r="W27" s="406"/>
    </row>
    <row r="28" spans="1:24" outlineLevel="1">
      <c r="B28" s="411" t="s">
        <v>422</v>
      </c>
      <c r="C28" s="408"/>
      <c r="D28" s="408">
        <f>SUM(C47)</f>
        <v>519455.06847972824</v>
      </c>
      <c r="E28" s="408">
        <f>SUM(D47,C64)</f>
        <v>910347.78686277778</v>
      </c>
      <c r="F28" s="408">
        <f>SUM(E47,D64,C81)</f>
        <v>678095.70439546276</v>
      </c>
      <c r="G28" s="408">
        <f>SUM(F47,E64,D81,C98)</f>
        <v>287202.98601241328</v>
      </c>
      <c r="H28" s="408">
        <f>SUM(G47,F64,E81,D98,C115)</f>
        <v>0</v>
      </c>
      <c r="I28" s="408">
        <f>SUM(H47,G64,F81,E98,D115,C132)</f>
        <v>0</v>
      </c>
      <c r="J28" s="408">
        <f>SUM(I47,H64,G81,F98,E115,D132,C149)</f>
        <v>0</v>
      </c>
      <c r="K28" s="408">
        <f>SUM(J47,I64,H81,G98,F115,E132,D149,C166)</f>
        <v>0</v>
      </c>
      <c r="L28" s="408">
        <f>SUM(K47,J64,I81,H98,G115,F132,E149,D166,C183)</f>
        <v>0</v>
      </c>
      <c r="M28" s="408">
        <f>SUM(L47,K64,J81,I98,H115,G132,F149,E166,D183,C200)</f>
        <v>0</v>
      </c>
      <c r="N28" s="408">
        <f t="shared" ref="N28:W29" si="1">SUM(M47,L64,K81,J98,I115,H132,G149,F166,E183,D200)</f>
        <v>0</v>
      </c>
      <c r="O28" s="408">
        <f t="shared" si="1"/>
        <v>0</v>
      </c>
      <c r="P28" s="408">
        <f t="shared" si="1"/>
        <v>0</v>
      </c>
      <c r="Q28" s="408">
        <f t="shared" si="1"/>
        <v>0</v>
      </c>
      <c r="R28" s="408">
        <f t="shared" si="1"/>
        <v>0</v>
      </c>
      <c r="S28" s="408">
        <f t="shared" si="1"/>
        <v>0</v>
      </c>
      <c r="T28" s="408">
        <f t="shared" si="1"/>
        <v>0</v>
      </c>
      <c r="U28" s="408">
        <f t="shared" si="1"/>
        <v>0</v>
      </c>
      <c r="V28" s="408">
        <f t="shared" si="1"/>
        <v>0</v>
      </c>
      <c r="W28" s="408">
        <f t="shared" si="1"/>
        <v>0</v>
      </c>
    </row>
    <row r="29" spans="1:24" outlineLevel="1">
      <c r="B29" s="411" t="s">
        <v>423</v>
      </c>
      <c r="C29" s="408"/>
      <c r="D29" s="408">
        <f>SUM(C48)</f>
        <v>0</v>
      </c>
      <c r="E29" s="408">
        <f>SUM(D48,C65)</f>
        <v>5194550.6847972833</v>
      </c>
      <c r="F29" s="408">
        <f>SUM(E48,D65,C82)</f>
        <v>3908927.1838304955</v>
      </c>
      <c r="G29" s="408">
        <f>SUM(F48,E65,D82,C99)</f>
        <v>2872029.8601241331</v>
      </c>
      <c r="H29" s="408">
        <f>SUM(G48,F65,E82,D99,C116)</f>
        <v>0</v>
      </c>
      <c r="I29" s="408">
        <f>SUM(H48,G65,F82,E99,D116,C133)</f>
        <v>0</v>
      </c>
      <c r="J29" s="408">
        <f>SUM(I48,H65,G82,F99,E116,D133,C150)</f>
        <v>0</v>
      </c>
      <c r="K29" s="408">
        <f>SUM(J48,I65,H82,G99,F116,E133,D150,C167)</f>
        <v>0</v>
      </c>
      <c r="L29" s="408">
        <f>SUM(K48,J65,I82,H99,G116,F133,E150,D167,C184)</f>
        <v>0</v>
      </c>
      <c r="M29" s="408">
        <f>SUM(L48,K65,J82,I99,H116,G133,F150,E167,D184,C201)</f>
        <v>0</v>
      </c>
      <c r="N29" s="408">
        <f t="shared" si="1"/>
        <v>0</v>
      </c>
      <c r="O29" s="408">
        <f t="shared" si="1"/>
        <v>0</v>
      </c>
      <c r="P29" s="408">
        <f t="shared" si="1"/>
        <v>0</v>
      </c>
      <c r="Q29" s="408">
        <f t="shared" si="1"/>
        <v>0</v>
      </c>
      <c r="R29" s="408">
        <f t="shared" si="1"/>
        <v>0</v>
      </c>
      <c r="S29" s="408">
        <f t="shared" si="1"/>
        <v>0</v>
      </c>
      <c r="T29" s="408">
        <f t="shared" si="1"/>
        <v>0</v>
      </c>
      <c r="U29" s="408">
        <f t="shared" si="1"/>
        <v>0</v>
      </c>
      <c r="V29" s="408">
        <f t="shared" si="1"/>
        <v>0</v>
      </c>
      <c r="W29" s="408">
        <f t="shared" si="1"/>
        <v>0</v>
      </c>
    </row>
    <row r="30" spans="1:24" outlineLevel="1">
      <c r="B30" s="406" t="s">
        <v>424</v>
      </c>
      <c r="C30" s="406"/>
      <c r="D30" s="406"/>
      <c r="E30" s="406"/>
      <c r="F30" s="406"/>
      <c r="G30" s="406"/>
      <c r="H30" s="406"/>
      <c r="I30" s="406"/>
      <c r="J30" s="406"/>
      <c r="K30" s="406"/>
      <c r="L30" s="406"/>
      <c r="M30" s="406"/>
      <c r="N30" s="406"/>
      <c r="O30" s="406"/>
      <c r="P30" s="406"/>
      <c r="Q30" s="406"/>
      <c r="R30" s="406"/>
      <c r="S30" s="406"/>
      <c r="T30" s="406"/>
      <c r="U30" s="406"/>
      <c r="V30" s="406"/>
      <c r="W30" s="406"/>
    </row>
    <row r="31" spans="1:24" outlineLevel="1">
      <c r="B31" s="411" t="s">
        <v>425</v>
      </c>
      <c r="C31" s="408"/>
      <c r="D31" s="408">
        <f>SUM(C51)</f>
        <v>5194550.6847972833</v>
      </c>
      <c r="E31" s="408">
        <f>SUM(D51,C68)</f>
        <v>3908927.1838304955</v>
      </c>
      <c r="F31" s="408">
        <f>SUM(E51,D68,C85)</f>
        <v>2872029.8601241331</v>
      </c>
      <c r="G31" s="408">
        <f>SUM(F51,E68,D85,C102)</f>
        <v>0</v>
      </c>
      <c r="H31" s="408">
        <f>SUM(G51,F68,E85,D102,C119)</f>
        <v>0</v>
      </c>
      <c r="I31" s="413">
        <f>SUM(H51,G68,F85,E102,D119,C136)</f>
        <v>0</v>
      </c>
      <c r="J31" s="413">
        <f>SUM(I51,H68,G85,F102,E119,D136,C153)</f>
        <v>0</v>
      </c>
      <c r="K31" s="413">
        <f>SUM(J51,I68,H85,G102,F119,E136,D153,C170)</f>
        <v>0</v>
      </c>
      <c r="L31" s="413">
        <f>SUM(K51,J68,I85,H102,G119,F136,E153,D170,C187)</f>
        <v>0</v>
      </c>
      <c r="M31" s="413">
        <f>SUM(L51,K68,J85,I102,H119,G136,F153,E170,D187,C204)</f>
        <v>0</v>
      </c>
      <c r="N31" s="413">
        <f t="shared" ref="N31:W32" si="2">SUM(M51,L68,K85,J102,I119,H136,G153,F170,E187,D204)</f>
        <v>0</v>
      </c>
      <c r="O31" s="413">
        <f t="shared" si="2"/>
        <v>0</v>
      </c>
      <c r="P31" s="413">
        <f t="shared" si="2"/>
        <v>0</v>
      </c>
      <c r="Q31" s="413">
        <f t="shared" si="2"/>
        <v>0</v>
      </c>
      <c r="R31" s="413">
        <f t="shared" si="2"/>
        <v>0</v>
      </c>
      <c r="S31" s="413">
        <f t="shared" si="2"/>
        <v>0</v>
      </c>
      <c r="T31" s="413">
        <f t="shared" si="2"/>
        <v>0</v>
      </c>
      <c r="U31" s="413">
        <f t="shared" si="2"/>
        <v>0</v>
      </c>
      <c r="V31" s="413">
        <f t="shared" si="2"/>
        <v>0</v>
      </c>
      <c r="W31" s="413">
        <f t="shared" si="2"/>
        <v>0</v>
      </c>
    </row>
    <row r="32" spans="1:24" ht="16" outlineLevel="1" thickBot="1">
      <c r="B32" s="414" t="s">
        <v>426</v>
      </c>
      <c r="C32" s="415"/>
      <c r="D32" s="415">
        <f>SUM(C52)</f>
        <v>0</v>
      </c>
      <c r="E32" s="415">
        <f>SUM(D52,C69)</f>
        <v>0</v>
      </c>
      <c r="F32" s="415">
        <f>SUM(E52,D69,C86)</f>
        <v>0</v>
      </c>
      <c r="G32" s="415">
        <f>SUM(F52,E69,D86,C103)</f>
        <v>0</v>
      </c>
      <c r="H32" s="415">
        <f>SUM(G52,F69,E86,D103,C120)</f>
        <v>0</v>
      </c>
      <c r="I32" s="415">
        <f>SUM(H52,G69,F86,E103,D120,C137)</f>
        <v>0</v>
      </c>
      <c r="J32" s="415">
        <f>SUM(I52,H69,G86,F103,E120,D137,C154)</f>
        <v>0</v>
      </c>
      <c r="K32" s="415">
        <f>SUM(J52,I69,H86,G103,F120,E137,D154,C171)</f>
        <v>0</v>
      </c>
      <c r="L32" s="415">
        <f>SUM(K52,J69,I86,H103,G120,F137,E154,D171,C188)</f>
        <v>0</v>
      </c>
      <c r="M32" s="415">
        <f>SUM(L52,K69,J86,I103,H120,G137,F154,E171,D188,C205)</f>
        <v>0</v>
      </c>
      <c r="N32" s="415">
        <f t="shared" si="2"/>
        <v>0</v>
      </c>
      <c r="O32" s="415">
        <f t="shared" si="2"/>
        <v>0</v>
      </c>
      <c r="P32" s="415">
        <f t="shared" si="2"/>
        <v>0</v>
      </c>
      <c r="Q32" s="415">
        <f t="shared" si="2"/>
        <v>0</v>
      </c>
      <c r="R32" s="415">
        <f t="shared" si="2"/>
        <v>0</v>
      </c>
      <c r="S32" s="415">
        <f t="shared" si="2"/>
        <v>0</v>
      </c>
      <c r="T32" s="415">
        <f t="shared" si="2"/>
        <v>0</v>
      </c>
      <c r="U32" s="415">
        <f t="shared" si="2"/>
        <v>0</v>
      </c>
      <c r="V32" s="415">
        <f t="shared" si="2"/>
        <v>0</v>
      </c>
      <c r="W32" s="415">
        <f t="shared" si="2"/>
        <v>0</v>
      </c>
      <c r="X32" s="401"/>
    </row>
    <row r="33" spans="1:24" outlineLevel="1">
      <c r="B33" s="399"/>
      <c r="C33" s="400"/>
      <c r="D33" s="401"/>
      <c r="E33" s="401"/>
      <c r="F33" s="401"/>
      <c r="G33" s="401"/>
      <c r="H33" s="401"/>
      <c r="I33" s="404"/>
      <c r="J33" s="401"/>
      <c r="K33" s="402"/>
      <c r="L33" s="399"/>
      <c r="M33" s="399"/>
      <c r="N33" s="399"/>
      <c r="O33" s="403"/>
      <c r="P33" s="403"/>
    </row>
    <row r="34" spans="1:24" ht="16" thickBot="1">
      <c r="B34" s="399"/>
      <c r="C34" s="400"/>
      <c r="D34" s="401"/>
      <c r="E34" s="401"/>
      <c r="F34" s="401"/>
      <c r="G34" s="401"/>
      <c r="H34" s="401"/>
      <c r="I34" s="404"/>
      <c r="J34" s="401"/>
      <c r="K34" s="402"/>
      <c r="L34" s="399"/>
      <c r="M34" s="399"/>
      <c r="N34" s="399"/>
      <c r="O34" s="403"/>
      <c r="P34" s="403"/>
    </row>
    <row r="35" spans="1:24" ht="16" thickBot="1">
      <c r="A35" s="416"/>
      <c r="B35" s="416"/>
      <c r="C35" s="416"/>
      <c r="D35" s="416"/>
      <c r="E35" s="416"/>
      <c r="F35" s="416"/>
      <c r="G35" s="416"/>
      <c r="H35" s="416"/>
      <c r="I35" s="416"/>
      <c r="J35" s="416"/>
      <c r="K35" s="416"/>
      <c r="L35" s="416"/>
      <c r="M35" s="416"/>
      <c r="N35" s="416"/>
      <c r="O35" s="416"/>
      <c r="P35" s="416"/>
      <c r="Q35" s="416"/>
      <c r="R35" s="416"/>
      <c r="S35" s="416"/>
      <c r="T35" s="416"/>
      <c r="U35" s="416"/>
      <c r="V35" s="416"/>
      <c r="W35" s="416"/>
      <c r="X35" s="416"/>
    </row>
    <row r="37" spans="1:24" ht="16" thickBot="1"/>
    <row r="38" spans="1:24" ht="16" thickTop="1">
      <c r="A38" s="374">
        <v>1</v>
      </c>
      <c r="B38" s="379" t="str">
        <f>"Year "&amp;A38&amp;" Working Capital Financing"</f>
        <v>Year 1 Working Capital Financing</v>
      </c>
      <c r="C38" s="379"/>
      <c r="D38" s="379"/>
      <c r="E38" s="379"/>
      <c r="F38" s="379"/>
      <c r="G38" s="379"/>
      <c r="H38" s="379"/>
      <c r="I38" s="379"/>
      <c r="J38" s="379"/>
      <c r="K38" s="379"/>
      <c r="L38" s="379"/>
      <c r="M38" s="379"/>
      <c r="N38" s="379"/>
      <c r="O38" s="379"/>
      <c r="P38" s="379"/>
      <c r="Q38" s="379"/>
      <c r="R38" s="379"/>
      <c r="S38" s="379"/>
      <c r="T38" s="379"/>
      <c r="U38" s="379"/>
      <c r="V38" s="379"/>
      <c r="W38" s="379"/>
    </row>
    <row r="39" spans="1:24" s="420" customFormat="1" ht="16" hidden="1" outlineLevel="1" thickBot="1">
      <c r="A39" s="417"/>
      <c r="B39" s="405"/>
      <c r="C39" s="405">
        <v>0</v>
      </c>
      <c r="D39" s="405">
        <v>1</v>
      </c>
      <c r="E39" s="405">
        <v>2</v>
      </c>
      <c r="F39" s="405">
        <v>3</v>
      </c>
      <c r="G39" s="405">
        <v>4</v>
      </c>
      <c r="H39" s="405">
        <v>5</v>
      </c>
      <c r="I39" s="405">
        <v>6</v>
      </c>
      <c r="J39" s="405">
        <v>7</v>
      </c>
      <c r="K39" s="405">
        <v>8</v>
      </c>
      <c r="L39" s="405">
        <v>9</v>
      </c>
      <c r="M39" s="405">
        <v>10</v>
      </c>
      <c r="N39" s="405">
        <v>11</v>
      </c>
      <c r="O39" s="405">
        <v>12</v>
      </c>
      <c r="P39" s="405">
        <v>13</v>
      </c>
      <c r="Q39" s="405">
        <v>14</v>
      </c>
      <c r="R39" s="405">
        <v>15</v>
      </c>
      <c r="S39" s="405">
        <v>16</v>
      </c>
      <c r="T39" s="405">
        <v>17</v>
      </c>
      <c r="U39" s="405">
        <v>18</v>
      </c>
      <c r="V39" s="405">
        <v>19</v>
      </c>
      <c r="W39" s="405">
        <v>20</v>
      </c>
      <c r="X39" s="451"/>
    </row>
    <row r="40" spans="1:24" hidden="1" outlineLevel="1">
      <c r="B40" s="406" t="s">
        <v>421</v>
      </c>
      <c r="C40" s="406"/>
      <c r="D40" s="406"/>
      <c r="E40" s="406"/>
      <c r="F40" s="406"/>
      <c r="G40" s="406"/>
      <c r="H40" s="406"/>
      <c r="I40" s="406"/>
      <c r="J40" s="406"/>
      <c r="K40" s="406"/>
      <c r="L40" s="406"/>
      <c r="M40" s="406"/>
      <c r="N40" s="406"/>
      <c r="O40" s="406"/>
      <c r="P40" s="406"/>
      <c r="Q40" s="406"/>
      <c r="R40" s="406"/>
      <c r="S40" s="406"/>
      <c r="T40" s="406"/>
      <c r="U40" s="406"/>
      <c r="V40" s="406"/>
      <c r="W40" s="406"/>
    </row>
    <row r="41" spans="1:24" s="420" customFormat="1" hidden="1" outlineLevel="1">
      <c r="A41" s="417"/>
      <c r="B41" s="418" t="s">
        <v>428</v>
      </c>
      <c r="C41" s="418"/>
      <c r="D41" s="419">
        <v>1</v>
      </c>
      <c r="E41" s="419">
        <v>2</v>
      </c>
      <c r="F41" s="419">
        <v>3</v>
      </c>
      <c r="G41" s="419">
        <v>4</v>
      </c>
      <c r="H41" s="419">
        <v>5</v>
      </c>
      <c r="I41" s="419">
        <v>6</v>
      </c>
      <c r="J41" s="419">
        <v>7</v>
      </c>
      <c r="K41" s="419">
        <v>8</v>
      </c>
      <c r="L41" s="419">
        <v>9</v>
      </c>
      <c r="M41" s="419">
        <v>10</v>
      </c>
      <c r="N41" s="419">
        <v>11</v>
      </c>
      <c r="O41" s="419">
        <v>12</v>
      </c>
      <c r="P41" s="419">
        <v>13</v>
      </c>
      <c r="Q41" s="419">
        <v>14</v>
      </c>
      <c r="R41" s="419">
        <v>15</v>
      </c>
      <c r="S41" s="419">
        <v>16</v>
      </c>
      <c r="T41" s="419">
        <v>17</v>
      </c>
      <c r="U41" s="419">
        <v>18</v>
      </c>
      <c r="V41" s="419">
        <v>19</v>
      </c>
      <c r="W41" s="419">
        <v>20</v>
      </c>
      <c r="X41" s="452"/>
    </row>
    <row r="42" spans="1:24" hidden="1" outlineLevel="1">
      <c r="B42" s="421" t="s">
        <v>429</v>
      </c>
      <c r="C42" s="421"/>
      <c r="D42" s="422">
        <f>MAX(D41-($H$5),0)</f>
        <v>1</v>
      </c>
      <c r="E42" s="422">
        <f t="shared" ref="E42:W42" si="3">MAX(E41-($H$5),0)</f>
        <v>2</v>
      </c>
      <c r="F42" s="422">
        <f t="shared" si="3"/>
        <v>3</v>
      </c>
      <c r="G42" s="422">
        <f t="shared" si="3"/>
        <v>4</v>
      </c>
      <c r="H42" s="422">
        <f t="shared" si="3"/>
        <v>5</v>
      </c>
      <c r="I42" s="422">
        <f t="shared" si="3"/>
        <v>6</v>
      </c>
      <c r="J42" s="422">
        <f t="shared" si="3"/>
        <v>7</v>
      </c>
      <c r="K42" s="422">
        <f t="shared" si="3"/>
        <v>8</v>
      </c>
      <c r="L42" s="422">
        <f t="shared" si="3"/>
        <v>9</v>
      </c>
      <c r="M42" s="422">
        <f t="shared" si="3"/>
        <v>10</v>
      </c>
      <c r="N42" s="422">
        <f t="shared" si="3"/>
        <v>11</v>
      </c>
      <c r="O42" s="422">
        <f t="shared" si="3"/>
        <v>12</v>
      </c>
      <c r="P42" s="422">
        <f t="shared" si="3"/>
        <v>13</v>
      </c>
      <c r="Q42" s="422">
        <f t="shared" si="3"/>
        <v>14</v>
      </c>
      <c r="R42" s="422">
        <f t="shared" si="3"/>
        <v>15</v>
      </c>
      <c r="S42" s="422">
        <f t="shared" si="3"/>
        <v>16</v>
      </c>
      <c r="T42" s="422">
        <f t="shared" si="3"/>
        <v>17</v>
      </c>
      <c r="U42" s="422">
        <f t="shared" si="3"/>
        <v>18</v>
      </c>
      <c r="V42" s="422">
        <f t="shared" si="3"/>
        <v>19</v>
      </c>
      <c r="W42" s="422">
        <f t="shared" si="3"/>
        <v>20</v>
      </c>
      <c r="X42" s="453"/>
    </row>
    <row r="43" spans="1:24" hidden="1" outlineLevel="1">
      <c r="B43" s="421" t="s">
        <v>323</v>
      </c>
      <c r="C43" s="421"/>
      <c r="D43" s="408">
        <f t="shared" ref="D43:W43" si="4">-IFERROR(IPMT($F$5,MAX(D42,1),$G$5,$E$5),0)</f>
        <v>519455.06847972824</v>
      </c>
      <c r="E43" s="408">
        <f t="shared" si="4"/>
        <v>0</v>
      </c>
      <c r="F43" s="408">
        <f t="shared" si="4"/>
        <v>0</v>
      </c>
      <c r="G43" s="408">
        <f t="shared" si="4"/>
        <v>0</v>
      </c>
      <c r="H43" s="408">
        <f t="shared" si="4"/>
        <v>0</v>
      </c>
      <c r="I43" s="408">
        <f t="shared" si="4"/>
        <v>0</v>
      </c>
      <c r="J43" s="408">
        <f t="shared" si="4"/>
        <v>0</v>
      </c>
      <c r="K43" s="408">
        <f t="shared" si="4"/>
        <v>0</v>
      </c>
      <c r="L43" s="408">
        <f t="shared" si="4"/>
        <v>0</v>
      </c>
      <c r="M43" s="408">
        <f t="shared" si="4"/>
        <v>0</v>
      </c>
      <c r="N43" s="408">
        <f t="shared" si="4"/>
        <v>0</v>
      </c>
      <c r="O43" s="408">
        <f t="shared" si="4"/>
        <v>0</v>
      </c>
      <c r="P43" s="408">
        <f t="shared" si="4"/>
        <v>0</v>
      </c>
      <c r="Q43" s="408">
        <f t="shared" si="4"/>
        <v>0</v>
      </c>
      <c r="R43" s="408">
        <f t="shared" si="4"/>
        <v>0</v>
      </c>
      <c r="S43" s="408">
        <f t="shared" si="4"/>
        <v>0</v>
      </c>
      <c r="T43" s="408">
        <f t="shared" si="4"/>
        <v>0</v>
      </c>
      <c r="U43" s="408">
        <f t="shared" si="4"/>
        <v>0</v>
      </c>
      <c r="V43" s="408">
        <f t="shared" si="4"/>
        <v>0</v>
      </c>
      <c r="W43" s="408">
        <f t="shared" si="4"/>
        <v>0</v>
      </c>
      <c r="X43" s="401"/>
    </row>
    <row r="44" spans="1:24" hidden="1" outlineLevel="1">
      <c r="B44" s="454" t="s">
        <v>324</v>
      </c>
      <c r="C44" s="455"/>
      <c r="D44" s="455">
        <f t="shared" ref="D44:W44" si="5">-IFERROR(PPMT($F$5,D42,$G$5,$E$5),0)</f>
        <v>5194550.6847972833</v>
      </c>
      <c r="E44" s="455">
        <f t="shared" si="5"/>
        <v>0</v>
      </c>
      <c r="F44" s="455">
        <f t="shared" si="5"/>
        <v>0</v>
      </c>
      <c r="G44" s="455">
        <f t="shared" si="5"/>
        <v>0</v>
      </c>
      <c r="H44" s="455">
        <f t="shared" si="5"/>
        <v>0</v>
      </c>
      <c r="I44" s="455">
        <f t="shared" si="5"/>
        <v>0</v>
      </c>
      <c r="J44" s="455">
        <f t="shared" si="5"/>
        <v>0</v>
      </c>
      <c r="K44" s="455">
        <f t="shared" si="5"/>
        <v>0</v>
      </c>
      <c r="L44" s="455">
        <f t="shared" si="5"/>
        <v>0</v>
      </c>
      <c r="M44" s="455">
        <f t="shared" si="5"/>
        <v>0</v>
      </c>
      <c r="N44" s="455">
        <f t="shared" si="5"/>
        <v>0</v>
      </c>
      <c r="O44" s="455">
        <f t="shared" si="5"/>
        <v>0</v>
      </c>
      <c r="P44" s="455">
        <f t="shared" si="5"/>
        <v>0</v>
      </c>
      <c r="Q44" s="455">
        <f t="shared" si="5"/>
        <v>0</v>
      </c>
      <c r="R44" s="455">
        <f t="shared" si="5"/>
        <v>0</v>
      </c>
      <c r="S44" s="455">
        <f t="shared" si="5"/>
        <v>0</v>
      </c>
      <c r="T44" s="455">
        <f t="shared" si="5"/>
        <v>0</v>
      </c>
      <c r="U44" s="455">
        <f t="shared" si="5"/>
        <v>0</v>
      </c>
      <c r="V44" s="455">
        <f t="shared" si="5"/>
        <v>0</v>
      </c>
      <c r="W44" s="455">
        <f t="shared" si="5"/>
        <v>0</v>
      </c>
      <c r="X44" s="401"/>
    </row>
    <row r="45" spans="1:24" ht="16" hidden="1" outlineLevel="1" thickBot="1">
      <c r="B45" s="456" t="s">
        <v>1</v>
      </c>
      <c r="C45" s="448"/>
      <c r="D45" s="448">
        <f t="shared" ref="D45:W45" si="6">SUM(D43:D44)</f>
        <v>5714005.7532770112</v>
      </c>
      <c r="E45" s="448">
        <f t="shared" si="6"/>
        <v>0</v>
      </c>
      <c r="F45" s="448">
        <f t="shared" si="6"/>
        <v>0</v>
      </c>
      <c r="G45" s="448">
        <f t="shared" si="6"/>
        <v>0</v>
      </c>
      <c r="H45" s="448">
        <f t="shared" si="6"/>
        <v>0</v>
      </c>
      <c r="I45" s="448">
        <f t="shared" si="6"/>
        <v>0</v>
      </c>
      <c r="J45" s="448">
        <f t="shared" si="6"/>
        <v>0</v>
      </c>
      <c r="K45" s="448">
        <f t="shared" si="6"/>
        <v>0</v>
      </c>
      <c r="L45" s="448">
        <f t="shared" si="6"/>
        <v>0</v>
      </c>
      <c r="M45" s="448">
        <f t="shared" si="6"/>
        <v>0</v>
      </c>
      <c r="N45" s="448">
        <f t="shared" si="6"/>
        <v>0</v>
      </c>
      <c r="O45" s="448">
        <f t="shared" si="6"/>
        <v>0</v>
      </c>
      <c r="P45" s="448">
        <f t="shared" si="6"/>
        <v>0</v>
      </c>
      <c r="Q45" s="448">
        <f t="shared" si="6"/>
        <v>0</v>
      </c>
      <c r="R45" s="448">
        <f t="shared" si="6"/>
        <v>0</v>
      </c>
      <c r="S45" s="448">
        <f t="shared" si="6"/>
        <v>0</v>
      </c>
      <c r="T45" s="448">
        <f t="shared" si="6"/>
        <v>0</v>
      </c>
      <c r="U45" s="448">
        <f t="shared" si="6"/>
        <v>0</v>
      </c>
      <c r="V45" s="448">
        <f t="shared" si="6"/>
        <v>0</v>
      </c>
      <c r="W45" s="448">
        <f t="shared" si="6"/>
        <v>0</v>
      </c>
      <c r="X45" s="401"/>
    </row>
    <row r="46" spans="1:24" hidden="1" outlineLevel="1">
      <c r="B46" s="406" t="s">
        <v>430</v>
      </c>
      <c r="C46" s="406"/>
      <c r="D46" s="406"/>
      <c r="E46" s="406"/>
      <c r="F46" s="406"/>
      <c r="G46" s="406"/>
      <c r="H46" s="406"/>
      <c r="I46" s="406"/>
      <c r="J46" s="406"/>
      <c r="K46" s="406"/>
      <c r="L46" s="406"/>
      <c r="M46" s="406"/>
      <c r="N46" s="406"/>
      <c r="O46" s="406"/>
      <c r="P46" s="406"/>
      <c r="Q46" s="406"/>
      <c r="R46" s="406"/>
      <c r="S46" s="406"/>
      <c r="T46" s="406"/>
      <c r="U46" s="406"/>
      <c r="V46" s="406"/>
      <c r="W46" s="406"/>
    </row>
    <row r="47" spans="1:24" hidden="1" outlineLevel="1">
      <c r="B47" s="421" t="s">
        <v>323</v>
      </c>
      <c r="C47" s="408">
        <f>-IFERROR(IPMT($F$5,MAX(D42,1),$G$5,$E$5),0)</f>
        <v>519455.06847972824</v>
      </c>
      <c r="D47" s="408">
        <f t="shared" ref="D47:W47" si="7">SUMIF($D$39:$AQ$39,D$39,$D43:$AQ43)</f>
        <v>519455.06847972824</v>
      </c>
      <c r="E47" s="408">
        <f t="shared" si="7"/>
        <v>0</v>
      </c>
      <c r="F47" s="408">
        <f t="shared" si="7"/>
        <v>0</v>
      </c>
      <c r="G47" s="408">
        <f t="shared" si="7"/>
        <v>0</v>
      </c>
      <c r="H47" s="408">
        <f t="shared" si="7"/>
        <v>0</v>
      </c>
      <c r="I47" s="408">
        <f t="shared" si="7"/>
        <v>0</v>
      </c>
      <c r="J47" s="408">
        <f t="shared" si="7"/>
        <v>0</v>
      </c>
      <c r="K47" s="408">
        <f t="shared" si="7"/>
        <v>0</v>
      </c>
      <c r="L47" s="408">
        <f t="shared" si="7"/>
        <v>0</v>
      </c>
      <c r="M47" s="408">
        <f t="shared" si="7"/>
        <v>0</v>
      </c>
      <c r="N47" s="408">
        <f t="shared" si="7"/>
        <v>0</v>
      </c>
      <c r="O47" s="408">
        <f t="shared" si="7"/>
        <v>0</v>
      </c>
      <c r="P47" s="408">
        <f t="shared" si="7"/>
        <v>0</v>
      </c>
      <c r="Q47" s="408">
        <f t="shared" si="7"/>
        <v>0</v>
      </c>
      <c r="R47" s="408">
        <f t="shared" si="7"/>
        <v>0</v>
      </c>
      <c r="S47" s="408">
        <f t="shared" si="7"/>
        <v>0</v>
      </c>
      <c r="T47" s="408">
        <f t="shared" si="7"/>
        <v>0</v>
      </c>
      <c r="U47" s="408">
        <f t="shared" si="7"/>
        <v>0</v>
      </c>
      <c r="V47" s="408">
        <f t="shared" si="7"/>
        <v>0</v>
      </c>
      <c r="W47" s="408">
        <f t="shared" si="7"/>
        <v>0</v>
      </c>
      <c r="X47" s="401"/>
    </row>
    <row r="48" spans="1:24" hidden="1" outlineLevel="1">
      <c r="B48" s="454" t="s">
        <v>324</v>
      </c>
      <c r="C48" s="455"/>
      <c r="D48" s="455">
        <f t="shared" ref="D48:W48" si="8">D44</f>
        <v>5194550.6847972833</v>
      </c>
      <c r="E48" s="455">
        <f t="shared" si="8"/>
        <v>0</v>
      </c>
      <c r="F48" s="455">
        <f t="shared" si="8"/>
        <v>0</v>
      </c>
      <c r="G48" s="455">
        <f t="shared" si="8"/>
        <v>0</v>
      </c>
      <c r="H48" s="455">
        <f t="shared" si="8"/>
        <v>0</v>
      </c>
      <c r="I48" s="455">
        <f t="shared" si="8"/>
        <v>0</v>
      </c>
      <c r="J48" s="455">
        <f t="shared" si="8"/>
        <v>0</v>
      </c>
      <c r="K48" s="455">
        <f t="shared" si="8"/>
        <v>0</v>
      </c>
      <c r="L48" s="455">
        <f t="shared" si="8"/>
        <v>0</v>
      </c>
      <c r="M48" s="455">
        <f t="shared" si="8"/>
        <v>0</v>
      </c>
      <c r="N48" s="455">
        <f t="shared" si="8"/>
        <v>0</v>
      </c>
      <c r="O48" s="455">
        <f t="shared" si="8"/>
        <v>0</v>
      </c>
      <c r="P48" s="455">
        <f t="shared" si="8"/>
        <v>0</v>
      </c>
      <c r="Q48" s="455">
        <f t="shared" si="8"/>
        <v>0</v>
      </c>
      <c r="R48" s="455">
        <f t="shared" si="8"/>
        <v>0</v>
      </c>
      <c r="S48" s="455">
        <f t="shared" si="8"/>
        <v>0</v>
      </c>
      <c r="T48" s="455">
        <f t="shared" si="8"/>
        <v>0</v>
      </c>
      <c r="U48" s="455">
        <f t="shared" si="8"/>
        <v>0</v>
      </c>
      <c r="V48" s="455">
        <f t="shared" si="8"/>
        <v>0</v>
      </c>
      <c r="W48" s="455">
        <f t="shared" si="8"/>
        <v>0</v>
      </c>
      <c r="X48" s="401"/>
    </row>
    <row r="49" spans="1:24" ht="16" hidden="1" outlineLevel="1" thickBot="1">
      <c r="B49" s="456" t="s">
        <v>1</v>
      </c>
      <c r="C49" s="448">
        <f t="shared" ref="C49:W49" si="9">SUM(C47:C48)</f>
        <v>519455.06847972824</v>
      </c>
      <c r="D49" s="448">
        <f t="shared" si="9"/>
        <v>5714005.7532770112</v>
      </c>
      <c r="E49" s="448">
        <f t="shared" si="9"/>
        <v>0</v>
      </c>
      <c r="F49" s="448">
        <f t="shared" si="9"/>
        <v>0</v>
      </c>
      <c r="G49" s="448">
        <f t="shared" si="9"/>
        <v>0</v>
      </c>
      <c r="H49" s="448">
        <f t="shared" si="9"/>
        <v>0</v>
      </c>
      <c r="I49" s="448">
        <f t="shared" si="9"/>
        <v>0</v>
      </c>
      <c r="J49" s="448">
        <f t="shared" si="9"/>
        <v>0</v>
      </c>
      <c r="K49" s="448">
        <f t="shared" si="9"/>
        <v>0</v>
      </c>
      <c r="L49" s="448">
        <f t="shared" si="9"/>
        <v>0</v>
      </c>
      <c r="M49" s="448">
        <f t="shared" si="9"/>
        <v>0</v>
      </c>
      <c r="N49" s="448">
        <f t="shared" si="9"/>
        <v>0</v>
      </c>
      <c r="O49" s="448">
        <f t="shared" si="9"/>
        <v>0</v>
      </c>
      <c r="P49" s="448">
        <f t="shared" si="9"/>
        <v>0</v>
      </c>
      <c r="Q49" s="448">
        <f t="shared" si="9"/>
        <v>0</v>
      </c>
      <c r="R49" s="448">
        <f t="shared" si="9"/>
        <v>0</v>
      </c>
      <c r="S49" s="448">
        <f t="shared" si="9"/>
        <v>0</v>
      </c>
      <c r="T49" s="448">
        <f t="shared" si="9"/>
        <v>0</v>
      </c>
      <c r="U49" s="448">
        <f t="shared" si="9"/>
        <v>0</v>
      </c>
      <c r="V49" s="448">
        <f t="shared" si="9"/>
        <v>0</v>
      </c>
      <c r="W49" s="448">
        <f t="shared" si="9"/>
        <v>0</v>
      </c>
      <c r="X49" s="401"/>
    </row>
    <row r="50" spans="1:24" hidden="1" outlineLevel="1">
      <c r="B50" s="406" t="s">
        <v>424</v>
      </c>
      <c r="C50" s="406"/>
      <c r="D50" s="406"/>
      <c r="E50" s="406"/>
      <c r="F50" s="406"/>
      <c r="G50" s="406"/>
      <c r="H50" s="406"/>
      <c r="I50" s="406"/>
      <c r="J50" s="406"/>
      <c r="K50" s="406"/>
      <c r="L50" s="406"/>
      <c r="M50" s="406"/>
      <c r="N50" s="406"/>
      <c r="O50" s="406"/>
      <c r="P50" s="406"/>
      <c r="Q50" s="406"/>
      <c r="R50" s="406"/>
      <c r="S50" s="406"/>
      <c r="T50" s="406"/>
      <c r="U50" s="406"/>
      <c r="V50" s="406"/>
      <c r="W50" s="406"/>
    </row>
    <row r="51" spans="1:24" hidden="1" outlineLevel="1">
      <c r="B51" s="457" t="s">
        <v>425</v>
      </c>
      <c r="C51" s="458">
        <f t="shared" ref="C51:W51" si="10">D44</f>
        <v>5194550.6847972833</v>
      </c>
      <c r="D51" s="458">
        <f t="shared" si="10"/>
        <v>0</v>
      </c>
      <c r="E51" s="458">
        <f t="shared" si="10"/>
        <v>0</v>
      </c>
      <c r="F51" s="458">
        <f t="shared" si="10"/>
        <v>0</v>
      </c>
      <c r="G51" s="458">
        <f t="shared" si="10"/>
        <v>0</v>
      </c>
      <c r="H51" s="458">
        <f t="shared" si="10"/>
        <v>0</v>
      </c>
      <c r="I51" s="458">
        <f t="shared" si="10"/>
        <v>0</v>
      </c>
      <c r="J51" s="458">
        <f t="shared" si="10"/>
        <v>0</v>
      </c>
      <c r="K51" s="458">
        <f t="shared" si="10"/>
        <v>0</v>
      </c>
      <c r="L51" s="458">
        <f t="shared" si="10"/>
        <v>0</v>
      </c>
      <c r="M51" s="458">
        <f t="shared" si="10"/>
        <v>0</v>
      </c>
      <c r="N51" s="458">
        <f t="shared" si="10"/>
        <v>0</v>
      </c>
      <c r="O51" s="458">
        <f t="shared" si="10"/>
        <v>0</v>
      </c>
      <c r="P51" s="458">
        <f t="shared" si="10"/>
        <v>0</v>
      </c>
      <c r="Q51" s="458">
        <f t="shared" si="10"/>
        <v>0</v>
      </c>
      <c r="R51" s="458">
        <f t="shared" si="10"/>
        <v>0</v>
      </c>
      <c r="S51" s="458">
        <f t="shared" si="10"/>
        <v>0</v>
      </c>
      <c r="T51" s="458">
        <f t="shared" si="10"/>
        <v>0</v>
      </c>
      <c r="U51" s="458">
        <f t="shared" si="10"/>
        <v>0</v>
      </c>
      <c r="V51" s="458">
        <f t="shared" si="10"/>
        <v>0</v>
      </c>
      <c r="W51" s="458">
        <f t="shared" si="10"/>
        <v>0</v>
      </c>
      <c r="X51" s="401"/>
    </row>
    <row r="52" spans="1:24" ht="16" hidden="1" outlineLevel="1" thickBot="1">
      <c r="B52" s="414" t="s">
        <v>426</v>
      </c>
      <c r="C52" s="415">
        <f>$E$5-C51</f>
        <v>0</v>
      </c>
      <c r="D52" s="415">
        <f t="shared" ref="D52:W52" si="11">C52-D51</f>
        <v>0</v>
      </c>
      <c r="E52" s="415">
        <f t="shared" si="11"/>
        <v>0</v>
      </c>
      <c r="F52" s="415">
        <f t="shared" si="11"/>
        <v>0</v>
      </c>
      <c r="G52" s="415">
        <f t="shared" si="11"/>
        <v>0</v>
      </c>
      <c r="H52" s="415">
        <f t="shared" si="11"/>
        <v>0</v>
      </c>
      <c r="I52" s="415">
        <f t="shared" si="11"/>
        <v>0</v>
      </c>
      <c r="J52" s="415">
        <f t="shared" si="11"/>
        <v>0</v>
      </c>
      <c r="K52" s="415">
        <f t="shared" si="11"/>
        <v>0</v>
      </c>
      <c r="L52" s="415">
        <f t="shared" si="11"/>
        <v>0</v>
      </c>
      <c r="M52" s="415">
        <f t="shared" si="11"/>
        <v>0</v>
      </c>
      <c r="N52" s="415">
        <f t="shared" si="11"/>
        <v>0</v>
      </c>
      <c r="O52" s="415">
        <f t="shared" si="11"/>
        <v>0</v>
      </c>
      <c r="P52" s="415">
        <f t="shared" si="11"/>
        <v>0</v>
      </c>
      <c r="Q52" s="415">
        <f t="shared" si="11"/>
        <v>0</v>
      </c>
      <c r="R52" s="415">
        <f t="shared" si="11"/>
        <v>0</v>
      </c>
      <c r="S52" s="415">
        <f t="shared" si="11"/>
        <v>0</v>
      </c>
      <c r="T52" s="415">
        <f t="shared" si="11"/>
        <v>0</v>
      </c>
      <c r="U52" s="415">
        <f t="shared" si="11"/>
        <v>0</v>
      </c>
      <c r="V52" s="415">
        <f t="shared" si="11"/>
        <v>0</v>
      </c>
      <c r="W52" s="415">
        <f t="shared" si="11"/>
        <v>0</v>
      </c>
      <c r="X52" s="401"/>
    </row>
    <row r="53" spans="1:24" hidden="1" outlineLevel="1"/>
    <row r="54" spans="1:24" ht="16" collapsed="1" thickBot="1"/>
    <row r="55" spans="1:24" ht="16" thickTop="1">
      <c r="A55" s="374">
        <f>A38+1</f>
        <v>2</v>
      </c>
      <c r="B55" s="379" t="str">
        <f>"Year "&amp;A55&amp;" Working Capital Financing"</f>
        <v>Year 2 Working Capital Financing</v>
      </c>
      <c r="C55" s="379"/>
      <c r="D55" s="379"/>
      <c r="E55" s="379"/>
      <c r="F55" s="379"/>
      <c r="G55" s="379"/>
      <c r="H55" s="379"/>
      <c r="I55" s="379"/>
      <c r="J55" s="379"/>
      <c r="K55" s="379"/>
      <c r="L55" s="379"/>
      <c r="M55" s="379"/>
      <c r="N55" s="379"/>
      <c r="O55" s="379"/>
      <c r="P55" s="379"/>
      <c r="Q55" s="379"/>
      <c r="R55" s="379"/>
      <c r="S55" s="379"/>
      <c r="T55" s="379"/>
      <c r="U55" s="379"/>
      <c r="V55" s="379"/>
      <c r="W55" s="379"/>
    </row>
    <row r="56" spans="1:24" s="420" customFormat="1" ht="16" hidden="1" outlineLevel="1" thickBot="1">
      <c r="A56" s="417"/>
      <c r="B56" s="459"/>
      <c r="C56" s="459">
        <v>0</v>
      </c>
      <c r="D56" s="459">
        <v>1</v>
      </c>
      <c r="E56" s="459">
        <v>2</v>
      </c>
      <c r="F56" s="459">
        <v>3</v>
      </c>
      <c r="G56" s="459">
        <v>4</v>
      </c>
      <c r="H56" s="459">
        <v>5</v>
      </c>
      <c r="I56" s="459">
        <v>6</v>
      </c>
      <c r="J56" s="459">
        <v>7</v>
      </c>
      <c r="K56" s="459">
        <v>8</v>
      </c>
      <c r="L56" s="459">
        <v>9</v>
      </c>
      <c r="M56" s="459">
        <v>10</v>
      </c>
      <c r="N56" s="459">
        <v>11</v>
      </c>
      <c r="O56" s="459">
        <v>12</v>
      </c>
      <c r="P56" s="459">
        <v>13</v>
      </c>
      <c r="Q56" s="459">
        <v>14</v>
      </c>
      <c r="R56" s="459">
        <v>15</v>
      </c>
      <c r="S56" s="459">
        <v>16</v>
      </c>
      <c r="T56" s="459">
        <v>17</v>
      </c>
      <c r="U56" s="459">
        <v>18</v>
      </c>
      <c r="V56" s="459">
        <v>19</v>
      </c>
      <c r="W56" s="459">
        <v>20</v>
      </c>
      <c r="X56" s="451"/>
    </row>
    <row r="57" spans="1:24" hidden="1" outlineLevel="1">
      <c r="B57" s="406" t="s">
        <v>421</v>
      </c>
      <c r="C57" s="406"/>
      <c r="D57" s="406"/>
      <c r="E57" s="406"/>
      <c r="F57" s="406"/>
      <c r="G57" s="406"/>
      <c r="H57" s="406"/>
      <c r="I57" s="406"/>
      <c r="J57" s="406"/>
      <c r="K57" s="406"/>
      <c r="L57" s="406"/>
      <c r="M57" s="406"/>
      <c r="N57" s="406"/>
      <c r="O57" s="406"/>
      <c r="P57" s="406"/>
      <c r="Q57" s="406"/>
      <c r="R57" s="406"/>
      <c r="S57" s="406"/>
      <c r="T57" s="406"/>
      <c r="U57" s="406"/>
      <c r="V57" s="406"/>
      <c r="W57" s="406"/>
    </row>
    <row r="58" spans="1:24" s="420" customFormat="1" hidden="1" outlineLevel="1">
      <c r="A58" s="417"/>
      <c r="B58" s="418" t="s">
        <v>428</v>
      </c>
      <c r="C58" s="418"/>
      <c r="D58" s="419">
        <v>1</v>
      </c>
      <c r="E58" s="419">
        <v>2</v>
      </c>
      <c r="F58" s="419">
        <v>3</v>
      </c>
      <c r="G58" s="419">
        <v>4</v>
      </c>
      <c r="H58" s="419">
        <v>5</v>
      </c>
      <c r="I58" s="419">
        <v>6</v>
      </c>
      <c r="J58" s="419">
        <v>7</v>
      </c>
      <c r="K58" s="419">
        <v>8</v>
      </c>
      <c r="L58" s="419">
        <v>9</v>
      </c>
      <c r="M58" s="419">
        <v>10</v>
      </c>
      <c r="N58" s="419">
        <v>11</v>
      </c>
      <c r="O58" s="419">
        <v>12</v>
      </c>
      <c r="P58" s="419">
        <v>13</v>
      </c>
      <c r="Q58" s="419">
        <v>14</v>
      </c>
      <c r="R58" s="419">
        <v>15</v>
      </c>
      <c r="S58" s="419">
        <v>16</v>
      </c>
      <c r="T58" s="419">
        <v>17</v>
      </c>
      <c r="U58" s="419">
        <v>18</v>
      </c>
      <c r="V58" s="419">
        <v>19</v>
      </c>
      <c r="W58" s="419">
        <v>20</v>
      </c>
      <c r="X58" s="452"/>
    </row>
    <row r="59" spans="1:24" hidden="1" outlineLevel="1">
      <c r="B59" s="418" t="s">
        <v>429</v>
      </c>
      <c r="C59" s="418"/>
      <c r="D59" s="419">
        <f>MAX(D58-($H$6),0)</f>
        <v>1</v>
      </c>
      <c r="E59" s="419">
        <f t="shared" ref="E59:W59" si="12">MAX(E58-($H$6),0)</f>
        <v>2</v>
      </c>
      <c r="F59" s="419">
        <f t="shared" si="12"/>
        <v>3</v>
      </c>
      <c r="G59" s="419">
        <f t="shared" si="12"/>
        <v>4</v>
      </c>
      <c r="H59" s="419">
        <f t="shared" si="12"/>
        <v>5</v>
      </c>
      <c r="I59" s="419">
        <f t="shared" si="12"/>
        <v>6</v>
      </c>
      <c r="J59" s="419">
        <f t="shared" si="12"/>
        <v>7</v>
      </c>
      <c r="K59" s="419">
        <f t="shared" si="12"/>
        <v>8</v>
      </c>
      <c r="L59" s="419">
        <f t="shared" si="12"/>
        <v>9</v>
      </c>
      <c r="M59" s="419">
        <f t="shared" si="12"/>
        <v>10</v>
      </c>
      <c r="N59" s="419">
        <f t="shared" si="12"/>
        <v>11</v>
      </c>
      <c r="O59" s="419">
        <f t="shared" si="12"/>
        <v>12</v>
      </c>
      <c r="P59" s="419">
        <f t="shared" si="12"/>
        <v>13</v>
      </c>
      <c r="Q59" s="419">
        <f t="shared" si="12"/>
        <v>14</v>
      </c>
      <c r="R59" s="419">
        <f t="shared" si="12"/>
        <v>15</v>
      </c>
      <c r="S59" s="419">
        <f t="shared" si="12"/>
        <v>16</v>
      </c>
      <c r="T59" s="419">
        <f t="shared" si="12"/>
        <v>17</v>
      </c>
      <c r="U59" s="419">
        <f t="shared" si="12"/>
        <v>18</v>
      </c>
      <c r="V59" s="419">
        <f t="shared" si="12"/>
        <v>19</v>
      </c>
      <c r="W59" s="419">
        <f t="shared" si="12"/>
        <v>20</v>
      </c>
      <c r="X59" s="453"/>
    </row>
    <row r="60" spans="1:24" hidden="1" outlineLevel="1">
      <c r="B60" s="418" t="s">
        <v>323</v>
      </c>
      <c r="C60" s="418"/>
      <c r="D60" s="413">
        <f t="shared" ref="D60:W60" si="13">-IFERROR(IPMT($F$6,MAX(D59,1),$G$6,$E$6),0)</f>
        <v>390892.71838304953</v>
      </c>
      <c r="E60" s="413">
        <f t="shared" si="13"/>
        <v>0</v>
      </c>
      <c r="F60" s="413">
        <f t="shared" si="13"/>
        <v>0</v>
      </c>
      <c r="G60" s="413">
        <f t="shared" si="13"/>
        <v>0</v>
      </c>
      <c r="H60" s="413">
        <f t="shared" si="13"/>
        <v>0</v>
      </c>
      <c r="I60" s="413">
        <f t="shared" si="13"/>
        <v>0</v>
      </c>
      <c r="J60" s="413">
        <f t="shared" si="13"/>
        <v>0</v>
      </c>
      <c r="K60" s="413">
        <f t="shared" si="13"/>
        <v>0</v>
      </c>
      <c r="L60" s="413">
        <f t="shared" si="13"/>
        <v>0</v>
      </c>
      <c r="M60" s="413">
        <f t="shared" si="13"/>
        <v>0</v>
      </c>
      <c r="N60" s="413">
        <f t="shared" si="13"/>
        <v>0</v>
      </c>
      <c r="O60" s="413">
        <f t="shared" si="13"/>
        <v>0</v>
      </c>
      <c r="P60" s="413">
        <f t="shared" si="13"/>
        <v>0</v>
      </c>
      <c r="Q60" s="413">
        <f t="shared" si="13"/>
        <v>0</v>
      </c>
      <c r="R60" s="413">
        <f t="shared" si="13"/>
        <v>0</v>
      </c>
      <c r="S60" s="413">
        <f t="shared" si="13"/>
        <v>0</v>
      </c>
      <c r="T60" s="413">
        <f t="shared" si="13"/>
        <v>0</v>
      </c>
      <c r="U60" s="413">
        <f t="shared" si="13"/>
        <v>0</v>
      </c>
      <c r="V60" s="413">
        <f t="shared" si="13"/>
        <v>0</v>
      </c>
      <c r="W60" s="413">
        <f t="shared" si="13"/>
        <v>0</v>
      </c>
      <c r="X60" s="401"/>
    </row>
    <row r="61" spans="1:24" hidden="1" outlineLevel="1">
      <c r="B61" s="454" t="s">
        <v>324</v>
      </c>
      <c r="C61" s="455"/>
      <c r="D61" s="455">
        <f t="shared" ref="D61:W61" si="14">-IFERROR(PPMT($F$6,D59,$G$6,$E$6),0)</f>
        <v>3908927.1838304955</v>
      </c>
      <c r="E61" s="455">
        <f t="shared" si="14"/>
        <v>0</v>
      </c>
      <c r="F61" s="455">
        <f t="shared" si="14"/>
        <v>0</v>
      </c>
      <c r="G61" s="455">
        <f t="shared" si="14"/>
        <v>0</v>
      </c>
      <c r="H61" s="455">
        <f t="shared" si="14"/>
        <v>0</v>
      </c>
      <c r="I61" s="455">
        <f t="shared" si="14"/>
        <v>0</v>
      </c>
      <c r="J61" s="455">
        <f t="shared" si="14"/>
        <v>0</v>
      </c>
      <c r="K61" s="455">
        <f t="shared" si="14"/>
        <v>0</v>
      </c>
      <c r="L61" s="455">
        <f t="shared" si="14"/>
        <v>0</v>
      </c>
      <c r="M61" s="455">
        <f t="shared" si="14"/>
        <v>0</v>
      </c>
      <c r="N61" s="455">
        <f t="shared" si="14"/>
        <v>0</v>
      </c>
      <c r="O61" s="455">
        <f t="shared" si="14"/>
        <v>0</v>
      </c>
      <c r="P61" s="455">
        <f t="shared" si="14"/>
        <v>0</v>
      </c>
      <c r="Q61" s="455">
        <f t="shared" si="14"/>
        <v>0</v>
      </c>
      <c r="R61" s="455">
        <f t="shared" si="14"/>
        <v>0</v>
      </c>
      <c r="S61" s="455">
        <f t="shared" si="14"/>
        <v>0</v>
      </c>
      <c r="T61" s="455">
        <f t="shared" si="14"/>
        <v>0</v>
      </c>
      <c r="U61" s="455">
        <f t="shared" si="14"/>
        <v>0</v>
      </c>
      <c r="V61" s="455">
        <f t="shared" si="14"/>
        <v>0</v>
      </c>
      <c r="W61" s="455">
        <f t="shared" si="14"/>
        <v>0</v>
      </c>
      <c r="X61" s="401"/>
    </row>
    <row r="62" spans="1:24" ht="16" hidden="1" outlineLevel="1" thickBot="1">
      <c r="B62" s="456" t="s">
        <v>1</v>
      </c>
      <c r="C62" s="448"/>
      <c r="D62" s="448">
        <f t="shared" ref="D62:W62" si="15">SUM(D60:D61)</f>
        <v>4299819.9022135446</v>
      </c>
      <c r="E62" s="448">
        <f t="shared" si="15"/>
        <v>0</v>
      </c>
      <c r="F62" s="448">
        <f t="shared" si="15"/>
        <v>0</v>
      </c>
      <c r="G62" s="448">
        <f t="shared" si="15"/>
        <v>0</v>
      </c>
      <c r="H62" s="448">
        <f t="shared" si="15"/>
        <v>0</v>
      </c>
      <c r="I62" s="448">
        <f t="shared" si="15"/>
        <v>0</v>
      </c>
      <c r="J62" s="448">
        <f t="shared" si="15"/>
        <v>0</v>
      </c>
      <c r="K62" s="448">
        <f t="shared" si="15"/>
        <v>0</v>
      </c>
      <c r="L62" s="448">
        <f t="shared" si="15"/>
        <v>0</v>
      </c>
      <c r="M62" s="448">
        <f t="shared" si="15"/>
        <v>0</v>
      </c>
      <c r="N62" s="448">
        <f t="shared" si="15"/>
        <v>0</v>
      </c>
      <c r="O62" s="448">
        <f t="shared" si="15"/>
        <v>0</v>
      </c>
      <c r="P62" s="448">
        <f t="shared" si="15"/>
        <v>0</v>
      </c>
      <c r="Q62" s="448">
        <f t="shared" si="15"/>
        <v>0</v>
      </c>
      <c r="R62" s="448">
        <f t="shared" si="15"/>
        <v>0</v>
      </c>
      <c r="S62" s="448">
        <f t="shared" si="15"/>
        <v>0</v>
      </c>
      <c r="T62" s="448">
        <f t="shared" si="15"/>
        <v>0</v>
      </c>
      <c r="U62" s="448">
        <f t="shared" si="15"/>
        <v>0</v>
      </c>
      <c r="V62" s="448">
        <f t="shared" si="15"/>
        <v>0</v>
      </c>
      <c r="W62" s="448">
        <f t="shared" si="15"/>
        <v>0</v>
      </c>
      <c r="X62" s="401"/>
    </row>
    <row r="63" spans="1:24" hidden="1" outlineLevel="1">
      <c r="B63" s="406" t="s">
        <v>430</v>
      </c>
      <c r="C63" s="406"/>
      <c r="D63" s="406"/>
      <c r="E63" s="406"/>
      <c r="F63" s="406"/>
      <c r="G63" s="406"/>
      <c r="H63" s="406"/>
      <c r="I63" s="406"/>
      <c r="J63" s="406"/>
      <c r="K63" s="406"/>
      <c r="L63" s="406"/>
      <c r="M63" s="406"/>
      <c r="N63" s="406"/>
      <c r="O63" s="406"/>
      <c r="P63" s="406"/>
      <c r="Q63" s="406"/>
      <c r="R63" s="406"/>
      <c r="S63" s="406"/>
      <c r="T63" s="406"/>
      <c r="U63" s="406"/>
      <c r="V63" s="406"/>
      <c r="W63" s="406"/>
    </row>
    <row r="64" spans="1:24" hidden="1" outlineLevel="1">
      <c r="B64" s="418" t="s">
        <v>323</v>
      </c>
      <c r="C64" s="413">
        <f>-IFERROR(IPMT($F$6,MAX(D59,1),$G$6,$E$6),0)</f>
        <v>390892.71838304953</v>
      </c>
      <c r="D64" s="413">
        <f t="shared" ref="D64:W64" si="16">SUMIF($D56:$AQ56,D$56,$D60:$AQ60)</f>
        <v>390892.71838304953</v>
      </c>
      <c r="E64" s="413">
        <f t="shared" si="16"/>
        <v>0</v>
      </c>
      <c r="F64" s="413">
        <f t="shared" si="16"/>
        <v>0</v>
      </c>
      <c r="G64" s="413">
        <f t="shared" si="16"/>
        <v>0</v>
      </c>
      <c r="H64" s="413">
        <f t="shared" si="16"/>
        <v>0</v>
      </c>
      <c r="I64" s="413">
        <f t="shared" si="16"/>
        <v>0</v>
      </c>
      <c r="J64" s="413">
        <f t="shared" si="16"/>
        <v>0</v>
      </c>
      <c r="K64" s="413">
        <f t="shared" si="16"/>
        <v>0</v>
      </c>
      <c r="L64" s="413">
        <f t="shared" si="16"/>
        <v>0</v>
      </c>
      <c r="M64" s="413">
        <f t="shared" si="16"/>
        <v>0</v>
      </c>
      <c r="N64" s="413">
        <f t="shared" si="16"/>
        <v>0</v>
      </c>
      <c r="O64" s="413">
        <f t="shared" si="16"/>
        <v>0</v>
      </c>
      <c r="P64" s="413">
        <f t="shared" si="16"/>
        <v>0</v>
      </c>
      <c r="Q64" s="413">
        <f t="shared" si="16"/>
        <v>0</v>
      </c>
      <c r="R64" s="413">
        <f t="shared" si="16"/>
        <v>0</v>
      </c>
      <c r="S64" s="413">
        <f t="shared" si="16"/>
        <v>0</v>
      </c>
      <c r="T64" s="413">
        <f t="shared" si="16"/>
        <v>0</v>
      </c>
      <c r="U64" s="413">
        <f t="shared" si="16"/>
        <v>0</v>
      </c>
      <c r="V64" s="413">
        <f t="shared" si="16"/>
        <v>0</v>
      </c>
      <c r="W64" s="413">
        <f t="shared" si="16"/>
        <v>0</v>
      </c>
      <c r="X64" s="401"/>
    </row>
    <row r="65" spans="1:24" hidden="1" outlineLevel="1">
      <c r="B65" s="454" t="s">
        <v>324</v>
      </c>
      <c r="C65" s="455"/>
      <c r="D65" s="455">
        <f t="shared" ref="D65:W65" si="17">D61</f>
        <v>3908927.1838304955</v>
      </c>
      <c r="E65" s="455">
        <f t="shared" si="17"/>
        <v>0</v>
      </c>
      <c r="F65" s="455">
        <f t="shared" si="17"/>
        <v>0</v>
      </c>
      <c r="G65" s="455">
        <f t="shared" si="17"/>
        <v>0</v>
      </c>
      <c r="H65" s="455">
        <f t="shared" si="17"/>
        <v>0</v>
      </c>
      <c r="I65" s="455">
        <f t="shared" si="17"/>
        <v>0</v>
      </c>
      <c r="J65" s="455">
        <f t="shared" si="17"/>
        <v>0</v>
      </c>
      <c r="K65" s="455">
        <f t="shared" si="17"/>
        <v>0</v>
      </c>
      <c r="L65" s="455">
        <f t="shared" si="17"/>
        <v>0</v>
      </c>
      <c r="M65" s="455">
        <f t="shared" si="17"/>
        <v>0</v>
      </c>
      <c r="N65" s="455">
        <f t="shared" si="17"/>
        <v>0</v>
      </c>
      <c r="O65" s="455">
        <f t="shared" si="17"/>
        <v>0</v>
      </c>
      <c r="P65" s="455">
        <f t="shared" si="17"/>
        <v>0</v>
      </c>
      <c r="Q65" s="455">
        <f t="shared" si="17"/>
        <v>0</v>
      </c>
      <c r="R65" s="455">
        <f t="shared" si="17"/>
        <v>0</v>
      </c>
      <c r="S65" s="455">
        <f t="shared" si="17"/>
        <v>0</v>
      </c>
      <c r="T65" s="455">
        <f t="shared" si="17"/>
        <v>0</v>
      </c>
      <c r="U65" s="455">
        <f t="shared" si="17"/>
        <v>0</v>
      </c>
      <c r="V65" s="455">
        <f t="shared" si="17"/>
        <v>0</v>
      </c>
      <c r="W65" s="455">
        <f t="shared" si="17"/>
        <v>0</v>
      </c>
      <c r="X65" s="401"/>
    </row>
    <row r="66" spans="1:24" ht="16" hidden="1" outlineLevel="1" thickBot="1">
      <c r="B66" s="456" t="s">
        <v>1</v>
      </c>
      <c r="C66" s="448">
        <f t="shared" ref="C66:W66" si="18">SUM(C64:C65)</f>
        <v>390892.71838304953</v>
      </c>
      <c r="D66" s="448">
        <f t="shared" si="18"/>
        <v>4299819.9022135446</v>
      </c>
      <c r="E66" s="448">
        <f t="shared" si="18"/>
        <v>0</v>
      </c>
      <c r="F66" s="448">
        <f t="shared" si="18"/>
        <v>0</v>
      </c>
      <c r="G66" s="448">
        <f t="shared" si="18"/>
        <v>0</v>
      </c>
      <c r="H66" s="448">
        <f t="shared" si="18"/>
        <v>0</v>
      </c>
      <c r="I66" s="448">
        <f t="shared" si="18"/>
        <v>0</v>
      </c>
      <c r="J66" s="448">
        <f t="shared" si="18"/>
        <v>0</v>
      </c>
      <c r="K66" s="448">
        <f t="shared" si="18"/>
        <v>0</v>
      </c>
      <c r="L66" s="448">
        <f t="shared" si="18"/>
        <v>0</v>
      </c>
      <c r="M66" s="448">
        <f t="shared" si="18"/>
        <v>0</v>
      </c>
      <c r="N66" s="448">
        <f t="shared" si="18"/>
        <v>0</v>
      </c>
      <c r="O66" s="448">
        <f t="shared" si="18"/>
        <v>0</v>
      </c>
      <c r="P66" s="448">
        <f t="shared" si="18"/>
        <v>0</v>
      </c>
      <c r="Q66" s="448">
        <f t="shared" si="18"/>
        <v>0</v>
      </c>
      <c r="R66" s="448">
        <f t="shared" si="18"/>
        <v>0</v>
      </c>
      <c r="S66" s="448">
        <f t="shared" si="18"/>
        <v>0</v>
      </c>
      <c r="T66" s="448">
        <f t="shared" si="18"/>
        <v>0</v>
      </c>
      <c r="U66" s="448">
        <f t="shared" si="18"/>
        <v>0</v>
      </c>
      <c r="V66" s="448">
        <f t="shared" si="18"/>
        <v>0</v>
      </c>
      <c r="W66" s="448">
        <f t="shared" si="18"/>
        <v>0</v>
      </c>
      <c r="X66" s="401"/>
    </row>
    <row r="67" spans="1:24" hidden="1" outlineLevel="1">
      <c r="B67" s="406" t="s">
        <v>424</v>
      </c>
      <c r="C67" s="406"/>
      <c r="D67" s="406"/>
      <c r="E67" s="406"/>
      <c r="F67" s="406"/>
      <c r="G67" s="406"/>
      <c r="H67" s="406"/>
      <c r="I67" s="406"/>
      <c r="J67" s="406"/>
      <c r="K67" s="406"/>
      <c r="L67" s="406"/>
      <c r="M67" s="406"/>
      <c r="N67" s="406"/>
      <c r="O67" s="406"/>
      <c r="P67" s="406"/>
      <c r="Q67" s="406"/>
      <c r="R67" s="406"/>
      <c r="S67" s="406"/>
      <c r="T67" s="406"/>
      <c r="U67" s="406"/>
      <c r="V67" s="406"/>
      <c r="W67" s="406"/>
    </row>
    <row r="68" spans="1:24" hidden="1" outlineLevel="1">
      <c r="B68" s="457" t="s">
        <v>425</v>
      </c>
      <c r="C68" s="458">
        <f t="shared" ref="C68:W68" si="19">D65</f>
        <v>3908927.1838304955</v>
      </c>
      <c r="D68" s="458">
        <f t="shared" si="19"/>
        <v>0</v>
      </c>
      <c r="E68" s="458">
        <f t="shared" si="19"/>
        <v>0</v>
      </c>
      <c r="F68" s="458">
        <f t="shared" si="19"/>
        <v>0</v>
      </c>
      <c r="G68" s="458">
        <f t="shared" si="19"/>
        <v>0</v>
      </c>
      <c r="H68" s="458">
        <f t="shared" si="19"/>
        <v>0</v>
      </c>
      <c r="I68" s="458">
        <f t="shared" si="19"/>
        <v>0</v>
      </c>
      <c r="J68" s="458">
        <f t="shared" si="19"/>
        <v>0</v>
      </c>
      <c r="K68" s="458">
        <f t="shared" si="19"/>
        <v>0</v>
      </c>
      <c r="L68" s="458">
        <f t="shared" si="19"/>
        <v>0</v>
      </c>
      <c r="M68" s="458">
        <f t="shared" si="19"/>
        <v>0</v>
      </c>
      <c r="N68" s="458">
        <f t="shared" si="19"/>
        <v>0</v>
      </c>
      <c r="O68" s="458">
        <f t="shared" si="19"/>
        <v>0</v>
      </c>
      <c r="P68" s="458">
        <f t="shared" si="19"/>
        <v>0</v>
      </c>
      <c r="Q68" s="458">
        <f t="shared" si="19"/>
        <v>0</v>
      </c>
      <c r="R68" s="458">
        <f t="shared" si="19"/>
        <v>0</v>
      </c>
      <c r="S68" s="458">
        <f t="shared" si="19"/>
        <v>0</v>
      </c>
      <c r="T68" s="458">
        <f t="shared" si="19"/>
        <v>0</v>
      </c>
      <c r="U68" s="458">
        <f t="shared" si="19"/>
        <v>0</v>
      </c>
      <c r="V68" s="458">
        <f t="shared" si="19"/>
        <v>0</v>
      </c>
      <c r="W68" s="458">
        <f t="shared" si="19"/>
        <v>0</v>
      </c>
      <c r="X68" s="401"/>
    </row>
    <row r="69" spans="1:24" ht="16" hidden="1" outlineLevel="1" thickBot="1">
      <c r="B69" s="414" t="s">
        <v>426</v>
      </c>
      <c r="C69" s="415">
        <f>$E$6-C68</f>
        <v>0</v>
      </c>
      <c r="D69" s="415">
        <f t="shared" ref="D69:W69" si="20">C69-D68</f>
        <v>0</v>
      </c>
      <c r="E69" s="415">
        <f t="shared" si="20"/>
        <v>0</v>
      </c>
      <c r="F69" s="415">
        <f t="shared" si="20"/>
        <v>0</v>
      </c>
      <c r="G69" s="415">
        <f t="shared" si="20"/>
        <v>0</v>
      </c>
      <c r="H69" s="415">
        <f t="shared" si="20"/>
        <v>0</v>
      </c>
      <c r="I69" s="415">
        <f t="shared" si="20"/>
        <v>0</v>
      </c>
      <c r="J69" s="415">
        <f t="shared" si="20"/>
        <v>0</v>
      </c>
      <c r="K69" s="415">
        <f t="shared" si="20"/>
        <v>0</v>
      </c>
      <c r="L69" s="415">
        <f t="shared" si="20"/>
        <v>0</v>
      </c>
      <c r="M69" s="415">
        <f t="shared" si="20"/>
        <v>0</v>
      </c>
      <c r="N69" s="415">
        <f t="shared" si="20"/>
        <v>0</v>
      </c>
      <c r="O69" s="415">
        <f t="shared" si="20"/>
        <v>0</v>
      </c>
      <c r="P69" s="415">
        <f t="shared" si="20"/>
        <v>0</v>
      </c>
      <c r="Q69" s="415">
        <f t="shared" si="20"/>
        <v>0</v>
      </c>
      <c r="R69" s="415">
        <f t="shared" si="20"/>
        <v>0</v>
      </c>
      <c r="S69" s="415">
        <f t="shared" si="20"/>
        <v>0</v>
      </c>
      <c r="T69" s="415">
        <f t="shared" si="20"/>
        <v>0</v>
      </c>
      <c r="U69" s="415">
        <f t="shared" si="20"/>
        <v>0</v>
      </c>
      <c r="V69" s="415">
        <f t="shared" si="20"/>
        <v>0</v>
      </c>
      <c r="W69" s="415">
        <f t="shared" si="20"/>
        <v>0</v>
      </c>
      <c r="X69" s="401"/>
    </row>
    <row r="70" spans="1:24" hidden="1" outlineLevel="1"/>
    <row r="71" spans="1:24" ht="16" collapsed="1" thickBot="1"/>
    <row r="72" spans="1:24" ht="16" thickTop="1">
      <c r="A72" s="374">
        <f>A55+1</f>
        <v>3</v>
      </c>
      <c r="B72" s="379" t="str">
        <f>"Year "&amp;A72&amp;" Working Capital Financing"</f>
        <v>Year 3 Working Capital Financing</v>
      </c>
      <c r="C72" s="379"/>
      <c r="D72" s="379"/>
      <c r="E72" s="379"/>
      <c r="F72" s="379"/>
      <c r="G72" s="379"/>
      <c r="H72" s="379"/>
      <c r="I72" s="379"/>
      <c r="J72" s="379"/>
      <c r="K72" s="379"/>
      <c r="L72" s="379"/>
      <c r="M72" s="379"/>
      <c r="N72" s="379"/>
      <c r="O72" s="379"/>
      <c r="P72" s="379"/>
      <c r="Q72" s="379"/>
      <c r="R72" s="379"/>
      <c r="S72" s="379"/>
      <c r="T72" s="379"/>
      <c r="U72" s="379"/>
      <c r="V72" s="379"/>
      <c r="W72" s="379"/>
    </row>
    <row r="73" spans="1:24" s="420" customFormat="1" ht="16" hidden="1" outlineLevel="1" thickBot="1">
      <c r="A73" s="417"/>
      <c r="B73" s="405"/>
      <c r="C73" s="405">
        <v>0</v>
      </c>
      <c r="D73" s="405">
        <v>1</v>
      </c>
      <c r="E73" s="405">
        <v>2</v>
      </c>
      <c r="F73" s="405">
        <v>3</v>
      </c>
      <c r="G73" s="405">
        <v>4</v>
      </c>
      <c r="H73" s="405">
        <v>5</v>
      </c>
      <c r="I73" s="405">
        <v>6</v>
      </c>
      <c r="J73" s="405">
        <v>7</v>
      </c>
      <c r="K73" s="405">
        <v>8</v>
      </c>
      <c r="L73" s="405">
        <v>9</v>
      </c>
      <c r="M73" s="405">
        <v>10</v>
      </c>
      <c r="N73" s="405">
        <v>11</v>
      </c>
      <c r="O73" s="405">
        <v>12</v>
      </c>
      <c r="P73" s="405">
        <v>13</v>
      </c>
      <c r="Q73" s="405">
        <v>14</v>
      </c>
      <c r="R73" s="405">
        <v>15</v>
      </c>
      <c r="S73" s="405">
        <v>16</v>
      </c>
      <c r="T73" s="405">
        <v>17</v>
      </c>
      <c r="U73" s="405">
        <v>18</v>
      </c>
      <c r="V73" s="405">
        <v>19</v>
      </c>
      <c r="W73" s="405">
        <v>20</v>
      </c>
      <c r="X73" s="451"/>
    </row>
    <row r="74" spans="1:24" hidden="1" outlineLevel="1">
      <c r="B74" s="406" t="s">
        <v>421</v>
      </c>
      <c r="C74" s="406"/>
      <c r="D74" s="406"/>
      <c r="E74" s="406"/>
      <c r="F74" s="406"/>
      <c r="G74" s="406"/>
      <c r="H74" s="406"/>
      <c r="I74" s="406"/>
      <c r="J74" s="406"/>
      <c r="K74" s="406"/>
      <c r="L74" s="406"/>
      <c r="M74" s="406"/>
      <c r="N74" s="406"/>
      <c r="O74" s="406"/>
      <c r="P74" s="406"/>
      <c r="Q74" s="406"/>
      <c r="R74" s="406"/>
      <c r="S74" s="406"/>
      <c r="T74" s="406"/>
      <c r="U74" s="406"/>
      <c r="V74" s="406"/>
      <c r="W74" s="406"/>
    </row>
    <row r="75" spans="1:24" s="420" customFormat="1" hidden="1" outlineLevel="1">
      <c r="A75" s="417"/>
      <c r="B75" s="418" t="s">
        <v>428</v>
      </c>
      <c r="C75" s="418"/>
      <c r="D75" s="419">
        <v>1</v>
      </c>
      <c r="E75" s="419">
        <v>2</v>
      </c>
      <c r="F75" s="419">
        <v>3</v>
      </c>
      <c r="G75" s="419">
        <v>4</v>
      </c>
      <c r="H75" s="419">
        <v>5</v>
      </c>
      <c r="I75" s="419">
        <v>6</v>
      </c>
      <c r="J75" s="419">
        <v>7</v>
      </c>
      <c r="K75" s="419">
        <v>8</v>
      </c>
      <c r="L75" s="419">
        <v>9</v>
      </c>
      <c r="M75" s="419">
        <v>10</v>
      </c>
      <c r="N75" s="419">
        <v>11</v>
      </c>
      <c r="O75" s="419">
        <v>12</v>
      </c>
      <c r="P75" s="419">
        <v>13</v>
      </c>
      <c r="Q75" s="419">
        <v>14</v>
      </c>
      <c r="R75" s="419">
        <v>15</v>
      </c>
      <c r="S75" s="419">
        <v>16</v>
      </c>
      <c r="T75" s="419">
        <v>17</v>
      </c>
      <c r="U75" s="419">
        <v>18</v>
      </c>
      <c r="V75" s="419">
        <v>19</v>
      </c>
      <c r="W75" s="419">
        <v>20</v>
      </c>
      <c r="X75" s="452"/>
    </row>
    <row r="76" spans="1:24" hidden="1" outlineLevel="1">
      <c r="B76" s="421" t="s">
        <v>429</v>
      </c>
      <c r="C76" s="421"/>
      <c r="D76" s="422">
        <f>MAX(D75-($H$7),0)</f>
        <v>1</v>
      </c>
      <c r="E76" s="422">
        <f t="shared" ref="E76:W76" si="21">MAX(E75-($H$7),0)</f>
        <v>2</v>
      </c>
      <c r="F76" s="422">
        <f t="shared" si="21"/>
        <v>3</v>
      </c>
      <c r="G76" s="422">
        <f t="shared" si="21"/>
        <v>4</v>
      </c>
      <c r="H76" s="422">
        <f t="shared" si="21"/>
        <v>5</v>
      </c>
      <c r="I76" s="422">
        <f t="shared" si="21"/>
        <v>6</v>
      </c>
      <c r="J76" s="422">
        <f t="shared" si="21"/>
        <v>7</v>
      </c>
      <c r="K76" s="422">
        <f t="shared" si="21"/>
        <v>8</v>
      </c>
      <c r="L76" s="422">
        <f t="shared" si="21"/>
        <v>9</v>
      </c>
      <c r="M76" s="422">
        <f t="shared" si="21"/>
        <v>10</v>
      </c>
      <c r="N76" s="422">
        <f t="shared" si="21"/>
        <v>11</v>
      </c>
      <c r="O76" s="422">
        <f t="shared" si="21"/>
        <v>12</v>
      </c>
      <c r="P76" s="422">
        <f t="shared" si="21"/>
        <v>13</v>
      </c>
      <c r="Q76" s="422">
        <f t="shared" si="21"/>
        <v>14</v>
      </c>
      <c r="R76" s="422">
        <f t="shared" si="21"/>
        <v>15</v>
      </c>
      <c r="S76" s="422">
        <f t="shared" si="21"/>
        <v>16</v>
      </c>
      <c r="T76" s="422">
        <f t="shared" si="21"/>
        <v>17</v>
      </c>
      <c r="U76" s="422">
        <f t="shared" si="21"/>
        <v>18</v>
      </c>
      <c r="V76" s="422">
        <f t="shared" si="21"/>
        <v>19</v>
      </c>
      <c r="W76" s="422">
        <f t="shared" si="21"/>
        <v>20</v>
      </c>
      <c r="X76" s="453"/>
    </row>
    <row r="77" spans="1:24" hidden="1" outlineLevel="1">
      <c r="B77" s="421" t="s">
        <v>323</v>
      </c>
      <c r="C77" s="421"/>
      <c r="D77" s="408">
        <f t="shared" ref="D77:W77" si="22">-IFERROR(IPMT($F$7,MAX(D76,1),$G$7,$E$7),0)</f>
        <v>287202.98601241328</v>
      </c>
      <c r="E77" s="408">
        <f t="shared" si="22"/>
        <v>0</v>
      </c>
      <c r="F77" s="408">
        <f t="shared" si="22"/>
        <v>0</v>
      </c>
      <c r="G77" s="408">
        <f t="shared" si="22"/>
        <v>0</v>
      </c>
      <c r="H77" s="408">
        <f t="shared" si="22"/>
        <v>0</v>
      </c>
      <c r="I77" s="408">
        <f t="shared" si="22"/>
        <v>0</v>
      </c>
      <c r="J77" s="408">
        <f t="shared" si="22"/>
        <v>0</v>
      </c>
      <c r="K77" s="408">
        <f t="shared" si="22"/>
        <v>0</v>
      </c>
      <c r="L77" s="408">
        <f t="shared" si="22"/>
        <v>0</v>
      </c>
      <c r="M77" s="408">
        <f t="shared" si="22"/>
        <v>0</v>
      </c>
      <c r="N77" s="408">
        <f t="shared" si="22"/>
        <v>0</v>
      </c>
      <c r="O77" s="408">
        <f t="shared" si="22"/>
        <v>0</v>
      </c>
      <c r="P77" s="408">
        <f t="shared" si="22"/>
        <v>0</v>
      </c>
      <c r="Q77" s="408">
        <f t="shared" si="22"/>
        <v>0</v>
      </c>
      <c r="R77" s="408">
        <f t="shared" si="22"/>
        <v>0</v>
      </c>
      <c r="S77" s="408">
        <f t="shared" si="22"/>
        <v>0</v>
      </c>
      <c r="T77" s="408">
        <f t="shared" si="22"/>
        <v>0</v>
      </c>
      <c r="U77" s="408">
        <f t="shared" si="22"/>
        <v>0</v>
      </c>
      <c r="V77" s="408">
        <f t="shared" si="22"/>
        <v>0</v>
      </c>
      <c r="W77" s="408">
        <f t="shared" si="22"/>
        <v>0</v>
      </c>
      <c r="X77" s="401"/>
    </row>
    <row r="78" spans="1:24" hidden="1" outlineLevel="1">
      <c r="B78" s="454" t="s">
        <v>324</v>
      </c>
      <c r="C78" s="455"/>
      <c r="D78" s="455">
        <f t="shared" ref="D78:W78" si="23">-IFERROR(PPMT($F$7,D76,$G$7,$E$7),0)</f>
        <v>2872029.8601241331</v>
      </c>
      <c r="E78" s="455">
        <f t="shared" si="23"/>
        <v>0</v>
      </c>
      <c r="F78" s="455">
        <f t="shared" si="23"/>
        <v>0</v>
      </c>
      <c r="G78" s="455">
        <f t="shared" si="23"/>
        <v>0</v>
      </c>
      <c r="H78" s="455">
        <f t="shared" si="23"/>
        <v>0</v>
      </c>
      <c r="I78" s="455">
        <f t="shared" si="23"/>
        <v>0</v>
      </c>
      <c r="J78" s="455">
        <f t="shared" si="23"/>
        <v>0</v>
      </c>
      <c r="K78" s="455">
        <f t="shared" si="23"/>
        <v>0</v>
      </c>
      <c r="L78" s="455">
        <f t="shared" si="23"/>
        <v>0</v>
      </c>
      <c r="M78" s="455">
        <f t="shared" si="23"/>
        <v>0</v>
      </c>
      <c r="N78" s="455">
        <f t="shared" si="23"/>
        <v>0</v>
      </c>
      <c r="O78" s="455">
        <f t="shared" si="23"/>
        <v>0</v>
      </c>
      <c r="P78" s="455">
        <f t="shared" si="23"/>
        <v>0</v>
      </c>
      <c r="Q78" s="455">
        <f t="shared" si="23"/>
        <v>0</v>
      </c>
      <c r="R78" s="455">
        <f t="shared" si="23"/>
        <v>0</v>
      </c>
      <c r="S78" s="455">
        <f t="shared" si="23"/>
        <v>0</v>
      </c>
      <c r="T78" s="455">
        <f t="shared" si="23"/>
        <v>0</v>
      </c>
      <c r="U78" s="455">
        <f t="shared" si="23"/>
        <v>0</v>
      </c>
      <c r="V78" s="455">
        <f t="shared" si="23"/>
        <v>0</v>
      </c>
      <c r="W78" s="455">
        <f t="shared" si="23"/>
        <v>0</v>
      </c>
      <c r="X78" s="401"/>
    </row>
    <row r="79" spans="1:24" ht="16" hidden="1" outlineLevel="1" thickBot="1">
      <c r="B79" s="456" t="s">
        <v>1</v>
      </c>
      <c r="C79" s="448"/>
      <c r="D79" s="448">
        <f t="shared" ref="D79:W79" si="24">SUM(D77:D78)</f>
        <v>3159232.8461365462</v>
      </c>
      <c r="E79" s="448">
        <f t="shared" si="24"/>
        <v>0</v>
      </c>
      <c r="F79" s="448">
        <f t="shared" si="24"/>
        <v>0</v>
      </c>
      <c r="G79" s="448">
        <f t="shared" si="24"/>
        <v>0</v>
      </c>
      <c r="H79" s="448">
        <f t="shared" si="24"/>
        <v>0</v>
      </c>
      <c r="I79" s="448">
        <f t="shared" si="24"/>
        <v>0</v>
      </c>
      <c r="J79" s="448">
        <f t="shared" si="24"/>
        <v>0</v>
      </c>
      <c r="K79" s="448">
        <f t="shared" si="24"/>
        <v>0</v>
      </c>
      <c r="L79" s="448">
        <f t="shared" si="24"/>
        <v>0</v>
      </c>
      <c r="M79" s="448">
        <f t="shared" si="24"/>
        <v>0</v>
      </c>
      <c r="N79" s="448">
        <f t="shared" si="24"/>
        <v>0</v>
      </c>
      <c r="O79" s="448">
        <f t="shared" si="24"/>
        <v>0</v>
      </c>
      <c r="P79" s="448">
        <f t="shared" si="24"/>
        <v>0</v>
      </c>
      <c r="Q79" s="448">
        <f t="shared" si="24"/>
        <v>0</v>
      </c>
      <c r="R79" s="448">
        <f t="shared" si="24"/>
        <v>0</v>
      </c>
      <c r="S79" s="448">
        <f t="shared" si="24"/>
        <v>0</v>
      </c>
      <c r="T79" s="448">
        <f t="shared" si="24"/>
        <v>0</v>
      </c>
      <c r="U79" s="448">
        <f t="shared" si="24"/>
        <v>0</v>
      </c>
      <c r="V79" s="448">
        <f t="shared" si="24"/>
        <v>0</v>
      </c>
      <c r="W79" s="448">
        <f t="shared" si="24"/>
        <v>0</v>
      </c>
      <c r="X79" s="401"/>
    </row>
    <row r="80" spans="1:24" hidden="1" outlineLevel="1">
      <c r="B80" s="406" t="s">
        <v>430</v>
      </c>
      <c r="C80" s="406"/>
      <c r="D80" s="406"/>
      <c r="E80" s="406"/>
      <c r="F80" s="406"/>
      <c r="G80" s="406"/>
      <c r="H80" s="406"/>
      <c r="I80" s="406"/>
      <c r="J80" s="406"/>
      <c r="K80" s="406"/>
      <c r="L80" s="406"/>
      <c r="M80" s="406"/>
      <c r="N80" s="406"/>
      <c r="O80" s="406"/>
      <c r="P80" s="406"/>
      <c r="Q80" s="406"/>
      <c r="R80" s="406"/>
      <c r="S80" s="406"/>
      <c r="T80" s="406"/>
      <c r="U80" s="406"/>
      <c r="V80" s="406"/>
      <c r="W80" s="406"/>
    </row>
    <row r="81" spans="1:24" hidden="1" outlineLevel="1">
      <c r="B81" s="421" t="s">
        <v>323</v>
      </c>
      <c r="C81" s="408">
        <f>-IFERROR(IPMT($F$7,MAX(D76,1),$G$7,$E$7),0)</f>
        <v>287202.98601241328</v>
      </c>
      <c r="D81" s="408">
        <f t="shared" ref="D81:W81" si="25">SUMIF($D73:$AQ73,D$73,$D77:$AQ77)</f>
        <v>287202.98601241328</v>
      </c>
      <c r="E81" s="408">
        <f t="shared" si="25"/>
        <v>0</v>
      </c>
      <c r="F81" s="408">
        <f t="shared" si="25"/>
        <v>0</v>
      </c>
      <c r="G81" s="408">
        <f t="shared" si="25"/>
        <v>0</v>
      </c>
      <c r="H81" s="408">
        <f t="shared" si="25"/>
        <v>0</v>
      </c>
      <c r="I81" s="408">
        <f t="shared" si="25"/>
        <v>0</v>
      </c>
      <c r="J81" s="408">
        <f t="shared" si="25"/>
        <v>0</v>
      </c>
      <c r="K81" s="408">
        <f t="shared" si="25"/>
        <v>0</v>
      </c>
      <c r="L81" s="408">
        <f t="shared" si="25"/>
        <v>0</v>
      </c>
      <c r="M81" s="408">
        <f t="shared" si="25"/>
        <v>0</v>
      </c>
      <c r="N81" s="408">
        <f t="shared" si="25"/>
        <v>0</v>
      </c>
      <c r="O81" s="408">
        <f t="shared" si="25"/>
        <v>0</v>
      </c>
      <c r="P81" s="408">
        <f t="shared" si="25"/>
        <v>0</v>
      </c>
      <c r="Q81" s="408">
        <f t="shared" si="25"/>
        <v>0</v>
      </c>
      <c r="R81" s="408">
        <f t="shared" si="25"/>
        <v>0</v>
      </c>
      <c r="S81" s="408">
        <f t="shared" si="25"/>
        <v>0</v>
      </c>
      <c r="T81" s="408">
        <f t="shared" si="25"/>
        <v>0</v>
      </c>
      <c r="U81" s="408">
        <f t="shared" si="25"/>
        <v>0</v>
      </c>
      <c r="V81" s="408">
        <f t="shared" si="25"/>
        <v>0</v>
      </c>
      <c r="W81" s="408">
        <f t="shared" si="25"/>
        <v>0</v>
      </c>
      <c r="X81" s="401"/>
    </row>
    <row r="82" spans="1:24" hidden="1" outlineLevel="1">
      <c r="B82" s="454" t="s">
        <v>324</v>
      </c>
      <c r="C82" s="455"/>
      <c r="D82" s="455">
        <f t="shared" ref="D82:W82" si="26">D78</f>
        <v>2872029.8601241331</v>
      </c>
      <c r="E82" s="455">
        <f t="shared" si="26"/>
        <v>0</v>
      </c>
      <c r="F82" s="455">
        <f t="shared" si="26"/>
        <v>0</v>
      </c>
      <c r="G82" s="455">
        <f t="shared" si="26"/>
        <v>0</v>
      </c>
      <c r="H82" s="455">
        <f t="shared" si="26"/>
        <v>0</v>
      </c>
      <c r="I82" s="455">
        <f t="shared" si="26"/>
        <v>0</v>
      </c>
      <c r="J82" s="455">
        <f t="shared" si="26"/>
        <v>0</v>
      </c>
      <c r="K82" s="455">
        <f t="shared" si="26"/>
        <v>0</v>
      </c>
      <c r="L82" s="455">
        <f t="shared" si="26"/>
        <v>0</v>
      </c>
      <c r="M82" s="455">
        <f t="shared" si="26"/>
        <v>0</v>
      </c>
      <c r="N82" s="455">
        <f t="shared" si="26"/>
        <v>0</v>
      </c>
      <c r="O82" s="455">
        <f t="shared" si="26"/>
        <v>0</v>
      </c>
      <c r="P82" s="455">
        <f t="shared" si="26"/>
        <v>0</v>
      </c>
      <c r="Q82" s="455">
        <f t="shared" si="26"/>
        <v>0</v>
      </c>
      <c r="R82" s="455">
        <f t="shared" si="26"/>
        <v>0</v>
      </c>
      <c r="S82" s="455">
        <f t="shared" si="26"/>
        <v>0</v>
      </c>
      <c r="T82" s="455">
        <f t="shared" si="26"/>
        <v>0</v>
      </c>
      <c r="U82" s="455">
        <f t="shared" si="26"/>
        <v>0</v>
      </c>
      <c r="V82" s="455">
        <f t="shared" si="26"/>
        <v>0</v>
      </c>
      <c r="W82" s="455">
        <f t="shared" si="26"/>
        <v>0</v>
      </c>
      <c r="X82" s="401"/>
    </row>
    <row r="83" spans="1:24" ht="16" hidden="1" outlineLevel="1" thickBot="1">
      <c r="B83" s="456" t="s">
        <v>1</v>
      </c>
      <c r="C83" s="448">
        <f t="shared" ref="C83:W83" si="27">SUM(C81:C82)</f>
        <v>287202.98601241328</v>
      </c>
      <c r="D83" s="448">
        <f t="shared" si="27"/>
        <v>3159232.8461365462</v>
      </c>
      <c r="E83" s="448">
        <f t="shared" si="27"/>
        <v>0</v>
      </c>
      <c r="F83" s="448">
        <f t="shared" si="27"/>
        <v>0</v>
      </c>
      <c r="G83" s="448">
        <f t="shared" si="27"/>
        <v>0</v>
      </c>
      <c r="H83" s="448">
        <f t="shared" si="27"/>
        <v>0</v>
      </c>
      <c r="I83" s="448">
        <f t="shared" si="27"/>
        <v>0</v>
      </c>
      <c r="J83" s="448">
        <f t="shared" si="27"/>
        <v>0</v>
      </c>
      <c r="K83" s="448">
        <f t="shared" si="27"/>
        <v>0</v>
      </c>
      <c r="L83" s="448">
        <f t="shared" si="27"/>
        <v>0</v>
      </c>
      <c r="M83" s="448">
        <f t="shared" si="27"/>
        <v>0</v>
      </c>
      <c r="N83" s="448">
        <f t="shared" si="27"/>
        <v>0</v>
      </c>
      <c r="O83" s="448">
        <f t="shared" si="27"/>
        <v>0</v>
      </c>
      <c r="P83" s="448">
        <f t="shared" si="27"/>
        <v>0</v>
      </c>
      <c r="Q83" s="448">
        <f t="shared" si="27"/>
        <v>0</v>
      </c>
      <c r="R83" s="448">
        <f t="shared" si="27"/>
        <v>0</v>
      </c>
      <c r="S83" s="448">
        <f t="shared" si="27"/>
        <v>0</v>
      </c>
      <c r="T83" s="448">
        <f t="shared" si="27"/>
        <v>0</v>
      </c>
      <c r="U83" s="448">
        <f t="shared" si="27"/>
        <v>0</v>
      </c>
      <c r="V83" s="448">
        <f t="shared" si="27"/>
        <v>0</v>
      </c>
      <c r="W83" s="448">
        <f t="shared" si="27"/>
        <v>0</v>
      </c>
      <c r="X83" s="401"/>
    </row>
    <row r="84" spans="1:24" hidden="1" outlineLevel="1">
      <c r="B84" s="406" t="s">
        <v>424</v>
      </c>
      <c r="C84" s="406"/>
      <c r="D84" s="406"/>
      <c r="E84" s="406"/>
      <c r="F84" s="406"/>
      <c r="G84" s="406"/>
      <c r="H84" s="406"/>
      <c r="I84" s="406"/>
      <c r="J84" s="406"/>
      <c r="K84" s="406"/>
      <c r="L84" s="406"/>
      <c r="M84" s="406"/>
      <c r="N84" s="406"/>
      <c r="O84" s="406"/>
      <c r="P84" s="406"/>
      <c r="Q84" s="406"/>
      <c r="R84" s="406"/>
      <c r="S84" s="406"/>
      <c r="T84" s="406"/>
      <c r="U84" s="406"/>
      <c r="V84" s="406"/>
      <c r="W84" s="406"/>
    </row>
    <row r="85" spans="1:24" hidden="1" outlineLevel="1">
      <c r="B85" s="457" t="s">
        <v>425</v>
      </c>
      <c r="C85" s="458">
        <f t="shared" ref="C85:W85" si="28">D82</f>
        <v>2872029.8601241331</v>
      </c>
      <c r="D85" s="458">
        <f t="shared" si="28"/>
        <v>0</v>
      </c>
      <c r="E85" s="458">
        <f t="shared" si="28"/>
        <v>0</v>
      </c>
      <c r="F85" s="458">
        <f t="shared" si="28"/>
        <v>0</v>
      </c>
      <c r="G85" s="458">
        <f t="shared" si="28"/>
        <v>0</v>
      </c>
      <c r="H85" s="458">
        <f t="shared" si="28"/>
        <v>0</v>
      </c>
      <c r="I85" s="458">
        <f t="shared" si="28"/>
        <v>0</v>
      </c>
      <c r="J85" s="458">
        <f t="shared" si="28"/>
        <v>0</v>
      </c>
      <c r="K85" s="458">
        <f t="shared" si="28"/>
        <v>0</v>
      </c>
      <c r="L85" s="458">
        <f t="shared" si="28"/>
        <v>0</v>
      </c>
      <c r="M85" s="458">
        <f t="shared" si="28"/>
        <v>0</v>
      </c>
      <c r="N85" s="458">
        <f t="shared" si="28"/>
        <v>0</v>
      </c>
      <c r="O85" s="458">
        <f t="shared" si="28"/>
        <v>0</v>
      </c>
      <c r="P85" s="458">
        <f t="shared" si="28"/>
        <v>0</v>
      </c>
      <c r="Q85" s="458">
        <f t="shared" si="28"/>
        <v>0</v>
      </c>
      <c r="R85" s="458">
        <f t="shared" si="28"/>
        <v>0</v>
      </c>
      <c r="S85" s="458">
        <f t="shared" si="28"/>
        <v>0</v>
      </c>
      <c r="T85" s="458">
        <f t="shared" si="28"/>
        <v>0</v>
      </c>
      <c r="U85" s="458">
        <f t="shared" si="28"/>
        <v>0</v>
      </c>
      <c r="V85" s="458">
        <f t="shared" si="28"/>
        <v>0</v>
      </c>
      <c r="W85" s="458">
        <f t="shared" si="28"/>
        <v>0</v>
      </c>
      <c r="X85" s="401"/>
    </row>
    <row r="86" spans="1:24" ht="16" hidden="1" outlineLevel="1" thickBot="1">
      <c r="B86" s="414" t="s">
        <v>426</v>
      </c>
      <c r="C86" s="415">
        <f>$E$7-C85</f>
        <v>0</v>
      </c>
      <c r="D86" s="415">
        <f t="shared" ref="D86:W86" si="29">C86-D85</f>
        <v>0</v>
      </c>
      <c r="E86" s="415">
        <f t="shared" si="29"/>
        <v>0</v>
      </c>
      <c r="F86" s="415">
        <f t="shared" si="29"/>
        <v>0</v>
      </c>
      <c r="G86" s="415">
        <f t="shared" si="29"/>
        <v>0</v>
      </c>
      <c r="H86" s="415">
        <f t="shared" si="29"/>
        <v>0</v>
      </c>
      <c r="I86" s="415">
        <f t="shared" si="29"/>
        <v>0</v>
      </c>
      <c r="J86" s="415">
        <f t="shared" si="29"/>
        <v>0</v>
      </c>
      <c r="K86" s="415">
        <f t="shared" si="29"/>
        <v>0</v>
      </c>
      <c r="L86" s="415">
        <f t="shared" si="29"/>
        <v>0</v>
      </c>
      <c r="M86" s="415">
        <f t="shared" si="29"/>
        <v>0</v>
      </c>
      <c r="N86" s="415">
        <f t="shared" si="29"/>
        <v>0</v>
      </c>
      <c r="O86" s="415">
        <f t="shared" si="29"/>
        <v>0</v>
      </c>
      <c r="P86" s="415">
        <f t="shared" si="29"/>
        <v>0</v>
      </c>
      <c r="Q86" s="415">
        <f t="shared" si="29"/>
        <v>0</v>
      </c>
      <c r="R86" s="415">
        <f t="shared" si="29"/>
        <v>0</v>
      </c>
      <c r="S86" s="415">
        <f t="shared" si="29"/>
        <v>0</v>
      </c>
      <c r="T86" s="415">
        <f t="shared" si="29"/>
        <v>0</v>
      </c>
      <c r="U86" s="415">
        <f t="shared" si="29"/>
        <v>0</v>
      </c>
      <c r="V86" s="415">
        <f t="shared" si="29"/>
        <v>0</v>
      </c>
      <c r="W86" s="415">
        <f t="shared" si="29"/>
        <v>0</v>
      </c>
      <c r="X86" s="401"/>
    </row>
    <row r="87" spans="1:24" hidden="1" outlineLevel="1"/>
    <row r="88" spans="1:24" ht="16" collapsed="1" thickBot="1"/>
    <row r="89" spans="1:24" ht="16" thickTop="1">
      <c r="A89" s="374">
        <f>A72+1</f>
        <v>4</v>
      </c>
      <c r="B89" s="379" t="str">
        <f>"Year "&amp;A89&amp;" Working Capital Financing"</f>
        <v>Year 4 Working Capital Financing</v>
      </c>
      <c r="C89" s="379"/>
      <c r="D89" s="379"/>
      <c r="E89" s="379"/>
      <c r="F89" s="379"/>
      <c r="G89" s="379"/>
      <c r="H89" s="379"/>
      <c r="I89" s="379"/>
      <c r="J89" s="379"/>
      <c r="K89" s="379"/>
      <c r="L89" s="379"/>
      <c r="M89" s="379"/>
      <c r="N89" s="379"/>
      <c r="O89" s="379"/>
      <c r="P89" s="379"/>
      <c r="Q89" s="379"/>
      <c r="R89" s="379"/>
      <c r="S89" s="379"/>
      <c r="T89" s="379"/>
      <c r="U89" s="379"/>
      <c r="V89" s="379"/>
      <c r="W89" s="379"/>
    </row>
    <row r="90" spans="1:24" s="420" customFormat="1" ht="16" hidden="1" outlineLevel="1" thickBot="1">
      <c r="A90" s="417"/>
      <c r="B90" s="405"/>
      <c r="C90" s="405">
        <v>0</v>
      </c>
      <c r="D90" s="405">
        <v>1</v>
      </c>
      <c r="E90" s="405">
        <v>2</v>
      </c>
      <c r="F90" s="405">
        <v>3</v>
      </c>
      <c r="G90" s="405">
        <v>4</v>
      </c>
      <c r="H90" s="405">
        <v>5</v>
      </c>
      <c r="I90" s="405">
        <v>6</v>
      </c>
      <c r="J90" s="405">
        <v>7</v>
      </c>
      <c r="K90" s="405">
        <v>8</v>
      </c>
      <c r="L90" s="405">
        <v>9</v>
      </c>
      <c r="M90" s="405">
        <v>10</v>
      </c>
      <c r="N90" s="405">
        <v>11</v>
      </c>
      <c r="O90" s="405">
        <v>12</v>
      </c>
      <c r="P90" s="405">
        <v>13</v>
      </c>
      <c r="Q90" s="405">
        <v>14</v>
      </c>
      <c r="R90" s="405">
        <v>15</v>
      </c>
      <c r="S90" s="405">
        <v>16</v>
      </c>
      <c r="T90" s="405">
        <v>17</v>
      </c>
      <c r="U90" s="405">
        <v>18</v>
      </c>
      <c r="V90" s="405">
        <v>19</v>
      </c>
      <c r="W90" s="405">
        <v>20</v>
      </c>
      <c r="X90" s="451"/>
    </row>
    <row r="91" spans="1:24" hidden="1" outlineLevel="1">
      <c r="B91" s="406" t="s">
        <v>421</v>
      </c>
      <c r="C91" s="406"/>
      <c r="D91" s="406"/>
      <c r="E91" s="406"/>
      <c r="F91" s="406"/>
      <c r="G91" s="406"/>
      <c r="H91" s="406"/>
      <c r="I91" s="406"/>
      <c r="J91" s="406"/>
      <c r="K91" s="406"/>
      <c r="L91" s="406"/>
      <c r="M91" s="406"/>
      <c r="N91" s="406"/>
      <c r="O91" s="406"/>
      <c r="P91" s="406"/>
      <c r="Q91" s="406"/>
      <c r="R91" s="406"/>
      <c r="S91" s="406"/>
      <c r="T91" s="406"/>
      <c r="U91" s="406"/>
      <c r="V91" s="406"/>
      <c r="W91" s="406"/>
    </row>
    <row r="92" spans="1:24" s="420" customFormat="1" hidden="1" outlineLevel="1">
      <c r="A92" s="417"/>
      <c r="B92" s="418" t="s">
        <v>428</v>
      </c>
      <c r="C92" s="418"/>
      <c r="D92" s="419">
        <v>1</v>
      </c>
      <c r="E92" s="419">
        <v>2</v>
      </c>
      <c r="F92" s="419">
        <v>3</v>
      </c>
      <c r="G92" s="419">
        <v>4</v>
      </c>
      <c r="H92" s="419">
        <v>5</v>
      </c>
      <c r="I92" s="419">
        <v>6</v>
      </c>
      <c r="J92" s="419">
        <v>7</v>
      </c>
      <c r="K92" s="419">
        <v>8</v>
      </c>
      <c r="L92" s="419">
        <v>9</v>
      </c>
      <c r="M92" s="419">
        <v>10</v>
      </c>
      <c r="N92" s="419">
        <v>11</v>
      </c>
      <c r="O92" s="419">
        <v>12</v>
      </c>
      <c r="P92" s="419">
        <v>13</v>
      </c>
      <c r="Q92" s="419">
        <v>14</v>
      </c>
      <c r="R92" s="419">
        <v>15</v>
      </c>
      <c r="S92" s="419">
        <v>16</v>
      </c>
      <c r="T92" s="419">
        <v>17</v>
      </c>
      <c r="U92" s="419">
        <v>18</v>
      </c>
      <c r="V92" s="419">
        <v>19</v>
      </c>
      <c r="W92" s="419">
        <v>20</v>
      </c>
      <c r="X92" s="452"/>
    </row>
    <row r="93" spans="1:24" hidden="1" outlineLevel="1">
      <c r="B93" s="421" t="s">
        <v>429</v>
      </c>
      <c r="C93" s="421"/>
      <c r="D93" s="422">
        <f>MAX(D92-($H$8),0)</f>
        <v>1</v>
      </c>
      <c r="E93" s="422">
        <f t="shared" ref="E93:W93" si="30">MAX(E92-($H$8),0)</f>
        <v>2</v>
      </c>
      <c r="F93" s="422">
        <f t="shared" si="30"/>
        <v>3</v>
      </c>
      <c r="G93" s="422">
        <f t="shared" si="30"/>
        <v>4</v>
      </c>
      <c r="H93" s="422">
        <f t="shared" si="30"/>
        <v>5</v>
      </c>
      <c r="I93" s="422">
        <f t="shared" si="30"/>
        <v>6</v>
      </c>
      <c r="J93" s="422">
        <f t="shared" si="30"/>
        <v>7</v>
      </c>
      <c r="K93" s="422">
        <f t="shared" si="30"/>
        <v>8</v>
      </c>
      <c r="L93" s="422">
        <f t="shared" si="30"/>
        <v>9</v>
      </c>
      <c r="M93" s="422">
        <f t="shared" si="30"/>
        <v>10</v>
      </c>
      <c r="N93" s="422">
        <f t="shared" si="30"/>
        <v>11</v>
      </c>
      <c r="O93" s="422">
        <f t="shared" si="30"/>
        <v>12</v>
      </c>
      <c r="P93" s="422">
        <f t="shared" si="30"/>
        <v>13</v>
      </c>
      <c r="Q93" s="422">
        <f t="shared" si="30"/>
        <v>14</v>
      </c>
      <c r="R93" s="422">
        <f t="shared" si="30"/>
        <v>15</v>
      </c>
      <c r="S93" s="422">
        <f t="shared" si="30"/>
        <v>16</v>
      </c>
      <c r="T93" s="422">
        <f t="shared" si="30"/>
        <v>17</v>
      </c>
      <c r="U93" s="422">
        <f t="shared" si="30"/>
        <v>18</v>
      </c>
      <c r="V93" s="422">
        <f t="shared" si="30"/>
        <v>19</v>
      </c>
      <c r="W93" s="422">
        <f t="shared" si="30"/>
        <v>20</v>
      </c>
      <c r="X93" s="453"/>
    </row>
    <row r="94" spans="1:24" hidden="1" outlineLevel="1">
      <c r="B94" s="421" t="s">
        <v>323</v>
      </c>
      <c r="C94" s="421"/>
      <c r="D94" s="408">
        <f t="shared" ref="D94:W94" si="31">-IFERROR(IPMT($F$8,MAX(D93,1),$G$8,$E$8),0)</f>
        <v>0</v>
      </c>
      <c r="E94" s="408">
        <f t="shared" si="31"/>
        <v>0</v>
      </c>
      <c r="F94" s="408">
        <f t="shared" si="31"/>
        <v>0</v>
      </c>
      <c r="G94" s="408">
        <f t="shared" si="31"/>
        <v>0</v>
      </c>
      <c r="H94" s="408">
        <f t="shared" si="31"/>
        <v>0</v>
      </c>
      <c r="I94" s="408">
        <f t="shared" si="31"/>
        <v>0</v>
      </c>
      <c r="J94" s="408">
        <f t="shared" si="31"/>
        <v>0</v>
      </c>
      <c r="K94" s="408">
        <f t="shared" si="31"/>
        <v>0</v>
      </c>
      <c r="L94" s="408">
        <f t="shared" si="31"/>
        <v>0</v>
      </c>
      <c r="M94" s="408">
        <f t="shared" si="31"/>
        <v>0</v>
      </c>
      <c r="N94" s="408">
        <f t="shared" si="31"/>
        <v>0</v>
      </c>
      <c r="O94" s="408">
        <f t="shared" si="31"/>
        <v>0</v>
      </c>
      <c r="P94" s="408">
        <f t="shared" si="31"/>
        <v>0</v>
      </c>
      <c r="Q94" s="408">
        <f t="shared" si="31"/>
        <v>0</v>
      </c>
      <c r="R94" s="408">
        <f t="shared" si="31"/>
        <v>0</v>
      </c>
      <c r="S94" s="408">
        <f t="shared" si="31"/>
        <v>0</v>
      </c>
      <c r="T94" s="408">
        <f t="shared" si="31"/>
        <v>0</v>
      </c>
      <c r="U94" s="408">
        <f t="shared" si="31"/>
        <v>0</v>
      </c>
      <c r="V94" s="408">
        <f t="shared" si="31"/>
        <v>0</v>
      </c>
      <c r="W94" s="408">
        <f t="shared" si="31"/>
        <v>0</v>
      </c>
      <c r="X94" s="401"/>
    </row>
    <row r="95" spans="1:24" hidden="1" outlineLevel="1">
      <c r="B95" s="454" t="s">
        <v>324</v>
      </c>
      <c r="C95" s="455"/>
      <c r="D95" s="455">
        <f t="shared" ref="D95:W95" si="32">-IFERROR(PPMT($F$8,D93,$G$8,$E$8),0)</f>
        <v>0</v>
      </c>
      <c r="E95" s="455">
        <f t="shared" si="32"/>
        <v>0</v>
      </c>
      <c r="F95" s="455">
        <f t="shared" si="32"/>
        <v>0</v>
      </c>
      <c r="G95" s="455">
        <f t="shared" si="32"/>
        <v>0</v>
      </c>
      <c r="H95" s="455">
        <f t="shared" si="32"/>
        <v>0</v>
      </c>
      <c r="I95" s="455">
        <f t="shared" si="32"/>
        <v>0</v>
      </c>
      <c r="J95" s="455">
        <f t="shared" si="32"/>
        <v>0</v>
      </c>
      <c r="K95" s="455">
        <f t="shared" si="32"/>
        <v>0</v>
      </c>
      <c r="L95" s="455">
        <f t="shared" si="32"/>
        <v>0</v>
      </c>
      <c r="M95" s="455">
        <f t="shared" si="32"/>
        <v>0</v>
      </c>
      <c r="N95" s="455">
        <f t="shared" si="32"/>
        <v>0</v>
      </c>
      <c r="O95" s="455">
        <f t="shared" si="32"/>
        <v>0</v>
      </c>
      <c r="P95" s="455">
        <f t="shared" si="32"/>
        <v>0</v>
      </c>
      <c r="Q95" s="455">
        <f t="shared" si="32"/>
        <v>0</v>
      </c>
      <c r="R95" s="455">
        <f t="shared" si="32"/>
        <v>0</v>
      </c>
      <c r="S95" s="455">
        <f t="shared" si="32"/>
        <v>0</v>
      </c>
      <c r="T95" s="455">
        <f t="shared" si="32"/>
        <v>0</v>
      </c>
      <c r="U95" s="455">
        <f t="shared" si="32"/>
        <v>0</v>
      </c>
      <c r="V95" s="455">
        <f t="shared" si="32"/>
        <v>0</v>
      </c>
      <c r="W95" s="455">
        <f t="shared" si="32"/>
        <v>0</v>
      </c>
      <c r="X95" s="401"/>
    </row>
    <row r="96" spans="1:24" ht="16" hidden="1" outlineLevel="1" thickBot="1">
      <c r="B96" s="456" t="s">
        <v>1</v>
      </c>
      <c r="C96" s="448"/>
      <c r="D96" s="448">
        <f t="shared" ref="D96:W96" si="33">SUM(D94:D95)</f>
        <v>0</v>
      </c>
      <c r="E96" s="448">
        <f t="shared" si="33"/>
        <v>0</v>
      </c>
      <c r="F96" s="448">
        <f t="shared" si="33"/>
        <v>0</v>
      </c>
      <c r="G96" s="448">
        <f t="shared" si="33"/>
        <v>0</v>
      </c>
      <c r="H96" s="448">
        <f t="shared" si="33"/>
        <v>0</v>
      </c>
      <c r="I96" s="448">
        <f t="shared" si="33"/>
        <v>0</v>
      </c>
      <c r="J96" s="448">
        <f t="shared" si="33"/>
        <v>0</v>
      </c>
      <c r="K96" s="448">
        <f t="shared" si="33"/>
        <v>0</v>
      </c>
      <c r="L96" s="448">
        <f t="shared" si="33"/>
        <v>0</v>
      </c>
      <c r="M96" s="448">
        <f t="shared" si="33"/>
        <v>0</v>
      </c>
      <c r="N96" s="448">
        <f t="shared" si="33"/>
        <v>0</v>
      </c>
      <c r="O96" s="448">
        <f t="shared" si="33"/>
        <v>0</v>
      </c>
      <c r="P96" s="448">
        <f t="shared" si="33"/>
        <v>0</v>
      </c>
      <c r="Q96" s="448">
        <f t="shared" si="33"/>
        <v>0</v>
      </c>
      <c r="R96" s="448">
        <f t="shared" si="33"/>
        <v>0</v>
      </c>
      <c r="S96" s="448">
        <f t="shared" si="33"/>
        <v>0</v>
      </c>
      <c r="T96" s="448">
        <f t="shared" si="33"/>
        <v>0</v>
      </c>
      <c r="U96" s="448">
        <f t="shared" si="33"/>
        <v>0</v>
      </c>
      <c r="V96" s="448">
        <f t="shared" si="33"/>
        <v>0</v>
      </c>
      <c r="W96" s="448">
        <f t="shared" si="33"/>
        <v>0</v>
      </c>
      <c r="X96" s="401"/>
    </row>
    <row r="97" spans="1:24" hidden="1" outlineLevel="1">
      <c r="B97" s="406" t="s">
        <v>430</v>
      </c>
      <c r="C97" s="406"/>
      <c r="D97" s="406"/>
      <c r="E97" s="406"/>
      <c r="F97" s="406"/>
      <c r="G97" s="406"/>
      <c r="H97" s="406"/>
      <c r="I97" s="406"/>
      <c r="J97" s="406"/>
      <c r="K97" s="406"/>
      <c r="L97" s="406"/>
      <c r="M97" s="406"/>
      <c r="N97" s="406"/>
      <c r="O97" s="406"/>
      <c r="P97" s="406"/>
      <c r="Q97" s="406"/>
      <c r="R97" s="406"/>
      <c r="S97" s="406"/>
      <c r="T97" s="406"/>
      <c r="U97" s="406"/>
      <c r="V97" s="406"/>
      <c r="W97" s="406"/>
    </row>
    <row r="98" spans="1:24" hidden="1" outlineLevel="1">
      <c r="B98" s="421" t="s">
        <v>323</v>
      </c>
      <c r="C98" s="408">
        <f>-IFERROR(IPMT($F$8,MAX(D93,1),$G$8,$E$8),0)</f>
        <v>0</v>
      </c>
      <c r="D98" s="408">
        <f t="shared" ref="D98:W98" si="34">SUMIF($D90:$AQ90,D$90,$D94:$AQ94)</f>
        <v>0</v>
      </c>
      <c r="E98" s="408">
        <f t="shared" si="34"/>
        <v>0</v>
      </c>
      <c r="F98" s="408">
        <f t="shared" si="34"/>
        <v>0</v>
      </c>
      <c r="G98" s="408">
        <f t="shared" si="34"/>
        <v>0</v>
      </c>
      <c r="H98" s="408">
        <f t="shared" si="34"/>
        <v>0</v>
      </c>
      <c r="I98" s="408">
        <f t="shared" si="34"/>
        <v>0</v>
      </c>
      <c r="J98" s="408">
        <f t="shared" si="34"/>
        <v>0</v>
      </c>
      <c r="K98" s="408">
        <f t="shared" si="34"/>
        <v>0</v>
      </c>
      <c r="L98" s="408">
        <f t="shared" si="34"/>
        <v>0</v>
      </c>
      <c r="M98" s="408">
        <f t="shared" si="34"/>
        <v>0</v>
      </c>
      <c r="N98" s="408">
        <f t="shared" si="34"/>
        <v>0</v>
      </c>
      <c r="O98" s="408">
        <f t="shared" si="34"/>
        <v>0</v>
      </c>
      <c r="P98" s="408">
        <f t="shared" si="34"/>
        <v>0</v>
      </c>
      <c r="Q98" s="408">
        <f t="shared" si="34"/>
        <v>0</v>
      </c>
      <c r="R98" s="408">
        <f t="shared" si="34"/>
        <v>0</v>
      </c>
      <c r="S98" s="408">
        <f t="shared" si="34"/>
        <v>0</v>
      </c>
      <c r="T98" s="408">
        <f t="shared" si="34"/>
        <v>0</v>
      </c>
      <c r="U98" s="408">
        <f t="shared" si="34"/>
        <v>0</v>
      </c>
      <c r="V98" s="408">
        <f t="shared" si="34"/>
        <v>0</v>
      </c>
      <c r="W98" s="408">
        <f t="shared" si="34"/>
        <v>0</v>
      </c>
      <c r="X98" s="401"/>
    </row>
    <row r="99" spans="1:24" hidden="1" outlineLevel="1">
      <c r="B99" s="454" t="s">
        <v>324</v>
      </c>
      <c r="C99" s="455"/>
      <c r="D99" s="455">
        <f t="shared" ref="D99:W99" si="35">D95</f>
        <v>0</v>
      </c>
      <c r="E99" s="455">
        <f t="shared" si="35"/>
        <v>0</v>
      </c>
      <c r="F99" s="455">
        <f t="shared" si="35"/>
        <v>0</v>
      </c>
      <c r="G99" s="455">
        <f t="shared" si="35"/>
        <v>0</v>
      </c>
      <c r="H99" s="455">
        <f t="shared" si="35"/>
        <v>0</v>
      </c>
      <c r="I99" s="455">
        <f t="shared" si="35"/>
        <v>0</v>
      </c>
      <c r="J99" s="455">
        <f t="shared" si="35"/>
        <v>0</v>
      </c>
      <c r="K99" s="455">
        <f t="shared" si="35"/>
        <v>0</v>
      </c>
      <c r="L99" s="455">
        <f t="shared" si="35"/>
        <v>0</v>
      </c>
      <c r="M99" s="455">
        <f t="shared" si="35"/>
        <v>0</v>
      </c>
      <c r="N99" s="455">
        <f t="shared" si="35"/>
        <v>0</v>
      </c>
      <c r="O99" s="455">
        <f t="shared" si="35"/>
        <v>0</v>
      </c>
      <c r="P99" s="455">
        <f t="shared" si="35"/>
        <v>0</v>
      </c>
      <c r="Q99" s="455">
        <f t="shared" si="35"/>
        <v>0</v>
      </c>
      <c r="R99" s="455">
        <f t="shared" si="35"/>
        <v>0</v>
      </c>
      <c r="S99" s="455">
        <f t="shared" si="35"/>
        <v>0</v>
      </c>
      <c r="T99" s="455">
        <f t="shared" si="35"/>
        <v>0</v>
      </c>
      <c r="U99" s="455">
        <f t="shared" si="35"/>
        <v>0</v>
      </c>
      <c r="V99" s="455">
        <f t="shared" si="35"/>
        <v>0</v>
      </c>
      <c r="W99" s="455">
        <f t="shared" si="35"/>
        <v>0</v>
      </c>
      <c r="X99" s="401"/>
    </row>
    <row r="100" spans="1:24" ht="16" hidden="1" outlineLevel="1" thickBot="1">
      <c r="B100" s="456" t="s">
        <v>1</v>
      </c>
      <c r="C100" s="448">
        <f t="shared" ref="C100:W100" si="36">SUM(C98:C99)</f>
        <v>0</v>
      </c>
      <c r="D100" s="448">
        <f t="shared" si="36"/>
        <v>0</v>
      </c>
      <c r="E100" s="448">
        <f t="shared" si="36"/>
        <v>0</v>
      </c>
      <c r="F100" s="448">
        <f t="shared" si="36"/>
        <v>0</v>
      </c>
      <c r="G100" s="448">
        <f t="shared" si="36"/>
        <v>0</v>
      </c>
      <c r="H100" s="448">
        <f t="shared" si="36"/>
        <v>0</v>
      </c>
      <c r="I100" s="448">
        <f t="shared" si="36"/>
        <v>0</v>
      </c>
      <c r="J100" s="448">
        <f t="shared" si="36"/>
        <v>0</v>
      </c>
      <c r="K100" s="448">
        <f t="shared" si="36"/>
        <v>0</v>
      </c>
      <c r="L100" s="448">
        <f t="shared" si="36"/>
        <v>0</v>
      </c>
      <c r="M100" s="448">
        <f t="shared" si="36"/>
        <v>0</v>
      </c>
      <c r="N100" s="448">
        <f t="shared" si="36"/>
        <v>0</v>
      </c>
      <c r="O100" s="448">
        <f t="shared" si="36"/>
        <v>0</v>
      </c>
      <c r="P100" s="448">
        <f t="shared" si="36"/>
        <v>0</v>
      </c>
      <c r="Q100" s="448">
        <f t="shared" si="36"/>
        <v>0</v>
      </c>
      <c r="R100" s="448">
        <f t="shared" si="36"/>
        <v>0</v>
      </c>
      <c r="S100" s="448">
        <f t="shared" si="36"/>
        <v>0</v>
      </c>
      <c r="T100" s="448">
        <f t="shared" si="36"/>
        <v>0</v>
      </c>
      <c r="U100" s="448">
        <f t="shared" si="36"/>
        <v>0</v>
      </c>
      <c r="V100" s="448">
        <f t="shared" si="36"/>
        <v>0</v>
      </c>
      <c r="W100" s="448">
        <f t="shared" si="36"/>
        <v>0</v>
      </c>
      <c r="X100" s="401"/>
    </row>
    <row r="101" spans="1:24" hidden="1" outlineLevel="1">
      <c r="B101" s="406" t="s">
        <v>424</v>
      </c>
      <c r="C101" s="406"/>
      <c r="D101" s="406"/>
      <c r="E101" s="406"/>
      <c r="F101" s="406"/>
      <c r="G101" s="406"/>
      <c r="H101" s="406"/>
      <c r="I101" s="406"/>
      <c r="J101" s="406"/>
      <c r="K101" s="406"/>
      <c r="L101" s="406"/>
      <c r="M101" s="406"/>
      <c r="N101" s="406"/>
      <c r="O101" s="406"/>
      <c r="P101" s="406"/>
      <c r="Q101" s="406"/>
      <c r="R101" s="406"/>
      <c r="S101" s="406"/>
      <c r="T101" s="406"/>
      <c r="U101" s="406"/>
      <c r="V101" s="406"/>
      <c r="W101" s="406"/>
    </row>
    <row r="102" spans="1:24" hidden="1" outlineLevel="1">
      <c r="B102" s="457" t="s">
        <v>425</v>
      </c>
      <c r="C102" s="458">
        <f t="shared" ref="C102:W102" si="37">D99</f>
        <v>0</v>
      </c>
      <c r="D102" s="458">
        <f t="shared" si="37"/>
        <v>0</v>
      </c>
      <c r="E102" s="458">
        <f t="shared" si="37"/>
        <v>0</v>
      </c>
      <c r="F102" s="458">
        <f t="shared" si="37"/>
        <v>0</v>
      </c>
      <c r="G102" s="458">
        <f t="shared" si="37"/>
        <v>0</v>
      </c>
      <c r="H102" s="458">
        <f t="shared" si="37"/>
        <v>0</v>
      </c>
      <c r="I102" s="458">
        <f t="shared" si="37"/>
        <v>0</v>
      </c>
      <c r="J102" s="458">
        <f t="shared" si="37"/>
        <v>0</v>
      </c>
      <c r="K102" s="458">
        <f t="shared" si="37"/>
        <v>0</v>
      </c>
      <c r="L102" s="458">
        <f t="shared" si="37"/>
        <v>0</v>
      </c>
      <c r="M102" s="458">
        <f t="shared" si="37"/>
        <v>0</v>
      </c>
      <c r="N102" s="458">
        <f t="shared" si="37"/>
        <v>0</v>
      </c>
      <c r="O102" s="458">
        <f t="shared" si="37"/>
        <v>0</v>
      </c>
      <c r="P102" s="458">
        <f t="shared" si="37"/>
        <v>0</v>
      </c>
      <c r="Q102" s="458">
        <f t="shared" si="37"/>
        <v>0</v>
      </c>
      <c r="R102" s="458">
        <f t="shared" si="37"/>
        <v>0</v>
      </c>
      <c r="S102" s="458">
        <f t="shared" si="37"/>
        <v>0</v>
      </c>
      <c r="T102" s="458">
        <f t="shared" si="37"/>
        <v>0</v>
      </c>
      <c r="U102" s="458">
        <f t="shared" si="37"/>
        <v>0</v>
      </c>
      <c r="V102" s="458">
        <f t="shared" si="37"/>
        <v>0</v>
      </c>
      <c r="W102" s="458">
        <f t="shared" si="37"/>
        <v>0</v>
      </c>
      <c r="X102" s="401"/>
    </row>
    <row r="103" spans="1:24" ht="16" hidden="1" outlineLevel="1" thickBot="1">
      <c r="B103" s="414" t="s">
        <v>426</v>
      </c>
      <c r="C103" s="415">
        <f>$E$8-C102</f>
        <v>0</v>
      </c>
      <c r="D103" s="415">
        <f t="shared" ref="D103:W103" si="38">C103-D102</f>
        <v>0</v>
      </c>
      <c r="E103" s="415">
        <f t="shared" si="38"/>
        <v>0</v>
      </c>
      <c r="F103" s="415">
        <f t="shared" si="38"/>
        <v>0</v>
      </c>
      <c r="G103" s="415">
        <f t="shared" si="38"/>
        <v>0</v>
      </c>
      <c r="H103" s="415">
        <f t="shared" si="38"/>
        <v>0</v>
      </c>
      <c r="I103" s="415">
        <f t="shared" si="38"/>
        <v>0</v>
      </c>
      <c r="J103" s="415">
        <f t="shared" si="38"/>
        <v>0</v>
      </c>
      <c r="K103" s="415">
        <f t="shared" si="38"/>
        <v>0</v>
      </c>
      <c r="L103" s="415">
        <f t="shared" si="38"/>
        <v>0</v>
      </c>
      <c r="M103" s="415">
        <f t="shared" si="38"/>
        <v>0</v>
      </c>
      <c r="N103" s="415">
        <f t="shared" si="38"/>
        <v>0</v>
      </c>
      <c r="O103" s="415">
        <f t="shared" si="38"/>
        <v>0</v>
      </c>
      <c r="P103" s="415">
        <f t="shared" si="38"/>
        <v>0</v>
      </c>
      <c r="Q103" s="415">
        <f t="shared" si="38"/>
        <v>0</v>
      </c>
      <c r="R103" s="415">
        <f t="shared" si="38"/>
        <v>0</v>
      </c>
      <c r="S103" s="415">
        <f t="shared" si="38"/>
        <v>0</v>
      </c>
      <c r="T103" s="415">
        <f t="shared" si="38"/>
        <v>0</v>
      </c>
      <c r="U103" s="415">
        <f t="shared" si="38"/>
        <v>0</v>
      </c>
      <c r="V103" s="415">
        <f t="shared" si="38"/>
        <v>0</v>
      </c>
      <c r="W103" s="415">
        <f t="shared" si="38"/>
        <v>0</v>
      </c>
      <c r="X103" s="401"/>
    </row>
    <row r="104" spans="1:24" hidden="1" outlineLevel="1"/>
    <row r="105" spans="1:24" ht="16" collapsed="1" thickBot="1"/>
    <row r="106" spans="1:24" ht="16" thickTop="1">
      <c r="A106" s="374">
        <f>A89+1</f>
        <v>5</v>
      </c>
      <c r="B106" s="379" t="str">
        <f>"Year "&amp;A106&amp;" Working Capital Financing"</f>
        <v>Year 5 Working Capital Financing</v>
      </c>
      <c r="C106" s="379"/>
      <c r="D106" s="379"/>
      <c r="E106" s="379"/>
      <c r="F106" s="379"/>
      <c r="G106" s="379"/>
      <c r="H106" s="379"/>
      <c r="I106" s="379"/>
      <c r="J106" s="379"/>
      <c r="K106" s="379"/>
      <c r="L106" s="379"/>
      <c r="M106" s="379"/>
      <c r="N106" s="379"/>
      <c r="O106" s="379"/>
      <c r="P106" s="379"/>
      <c r="Q106" s="379"/>
      <c r="R106" s="379"/>
      <c r="S106" s="379"/>
      <c r="T106" s="379"/>
      <c r="U106" s="379"/>
      <c r="V106" s="379"/>
      <c r="W106" s="379"/>
    </row>
    <row r="107" spans="1:24" s="420" customFormat="1" ht="16" hidden="1" outlineLevel="1" thickBot="1">
      <c r="A107" s="417"/>
      <c r="B107" s="405"/>
      <c r="C107" s="405">
        <v>0</v>
      </c>
      <c r="D107" s="405">
        <v>1</v>
      </c>
      <c r="E107" s="405">
        <v>2</v>
      </c>
      <c r="F107" s="405">
        <v>3</v>
      </c>
      <c r="G107" s="405">
        <v>4</v>
      </c>
      <c r="H107" s="405">
        <v>5</v>
      </c>
      <c r="I107" s="405">
        <v>6</v>
      </c>
      <c r="J107" s="405">
        <v>7</v>
      </c>
      <c r="K107" s="405">
        <v>8</v>
      </c>
      <c r="L107" s="405">
        <v>9</v>
      </c>
      <c r="M107" s="405">
        <v>10</v>
      </c>
      <c r="N107" s="405">
        <v>11</v>
      </c>
      <c r="O107" s="405">
        <v>12</v>
      </c>
      <c r="P107" s="405">
        <v>13</v>
      </c>
      <c r="Q107" s="405">
        <v>14</v>
      </c>
      <c r="R107" s="405">
        <v>15</v>
      </c>
      <c r="S107" s="405">
        <v>16</v>
      </c>
      <c r="T107" s="405">
        <v>17</v>
      </c>
      <c r="U107" s="405">
        <v>18</v>
      </c>
      <c r="V107" s="405">
        <v>19</v>
      </c>
      <c r="W107" s="405">
        <v>20</v>
      </c>
      <c r="X107" s="451"/>
    </row>
    <row r="108" spans="1:24" hidden="1" outlineLevel="1">
      <c r="B108" s="406" t="s">
        <v>421</v>
      </c>
      <c r="C108" s="406"/>
      <c r="D108" s="406"/>
      <c r="E108" s="406"/>
      <c r="F108" s="406"/>
      <c r="G108" s="406"/>
      <c r="H108" s="406"/>
      <c r="I108" s="406"/>
      <c r="J108" s="406"/>
      <c r="K108" s="406"/>
      <c r="L108" s="406"/>
      <c r="M108" s="406"/>
      <c r="N108" s="406"/>
      <c r="O108" s="406"/>
      <c r="P108" s="406"/>
      <c r="Q108" s="406"/>
      <c r="R108" s="406"/>
      <c r="S108" s="406"/>
      <c r="T108" s="406"/>
      <c r="U108" s="406"/>
      <c r="V108" s="406"/>
      <c r="W108" s="406"/>
    </row>
    <row r="109" spans="1:24" s="420" customFormat="1" hidden="1" outlineLevel="1">
      <c r="A109" s="417"/>
      <c r="B109" s="418" t="s">
        <v>428</v>
      </c>
      <c r="C109" s="418"/>
      <c r="D109" s="419">
        <v>1</v>
      </c>
      <c r="E109" s="419">
        <v>2</v>
      </c>
      <c r="F109" s="419">
        <v>3</v>
      </c>
      <c r="G109" s="419">
        <v>4</v>
      </c>
      <c r="H109" s="419">
        <v>5</v>
      </c>
      <c r="I109" s="419">
        <v>6</v>
      </c>
      <c r="J109" s="419">
        <v>7</v>
      </c>
      <c r="K109" s="419">
        <v>8</v>
      </c>
      <c r="L109" s="419">
        <v>9</v>
      </c>
      <c r="M109" s="419">
        <v>10</v>
      </c>
      <c r="N109" s="419">
        <v>11</v>
      </c>
      <c r="O109" s="419">
        <v>12</v>
      </c>
      <c r="P109" s="419">
        <v>13</v>
      </c>
      <c r="Q109" s="419">
        <v>14</v>
      </c>
      <c r="R109" s="419">
        <v>15</v>
      </c>
      <c r="S109" s="419">
        <v>16</v>
      </c>
      <c r="T109" s="419">
        <v>17</v>
      </c>
      <c r="U109" s="419">
        <v>18</v>
      </c>
      <c r="V109" s="419">
        <v>19</v>
      </c>
      <c r="W109" s="419">
        <v>20</v>
      </c>
      <c r="X109" s="452"/>
    </row>
    <row r="110" spans="1:24" hidden="1" outlineLevel="1">
      <c r="B110" s="421" t="s">
        <v>429</v>
      </c>
      <c r="C110" s="421"/>
      <c r="D110" s="422">
        <f>MAX(D109-($H$9),0)</f>
        <v>1</v>
      </c>
      <c r="E110" s="422">
        <f t="shared" ref="E110:W110" si="39">MAX(E109-($H$9),0)</f>
        <v>2</v>
      </c>
      <c r="F110" s="422">
        <f t="shared" si="39"/>
        <v>3</v>
      </c>
      <c r="G110" s="422">
        <f t="shared" si="39"/>
        <v>4</v>
      </c>
      <c r="H110" s="422">
        <f t="shared" si="39"/>
        <v>5</v>
      </c>
      <c r="I110" s="422">
        <f t="shared" si="39"/>
        <v>6</v>
      </c>
      <c r="J110" s="422">
        <f t="shared" si="39"/>
        <v>7</v>
      </c>
      <c r="K110" s="422">
        <f t="shared" si="39"/>
        <v>8</v>
      </c>
      <c r="L110" s="422">
        <f t="shared" si="39"/>
        <v>9</v>
      </c>
      <c r="M110" s="422">
        <f t="shared" si="39"/>
        <v>10</v>
      </c>
      <c r="N110" s="422">
        <f t="shared" si="39"/>
        <v>11</v>
      </c>
      <c r="O110" s="422">
        <f t="shared" si="39"/>
        <v>12</v>
      </c>
      <c r="P110" s="422">
        <f t="shared" si="39"/>
        <v>13</v>
      </c>
      <c r="Q110" s="422">
        <f t="shared" si="39"/>
        <v>14</v>
      </c>
      <c r="R110" s="422">
        <f t="shared" si="39"/>
        <v>15</v>
      </c>
      <c r="S110" s="422">
        <f t="shared" si="39"/>
        <v>16</v>
      </c>
      <c r="T110" s="422">
        <f t="shared" si="39"/>
        <v>17</v>
      </c>
      <c r="U110" s="422">
        <f t="shared" si="39"/>
        <v>18</v>
      </c>
      <c r="V110" s="422">
        <f t="shared" si="39"/>
        <v>19</v>
      </c>
      <c r="W110" s="422">
        <f t="shared" si="39"/>
        <v>20</v>
      </c>
      <c r="X110" s="453"/>
    </row>
    <row r="111" spans="1:24" hidden="1" outlineLevel="1">
      <c r="B111" s="421" t="s">
        <v>323</v>
      </c>
      <c r="C111" s="421"/>
      <c r="D111" s="408">
        <f t="shared" ref="D111:W111" si="40">-IFERROR(IPMT($F$9,MAX(D110,1),$G$9,$E$9),0)</f>
        <v>0</v>
      </c>
      <c r="E111" s="408">
        <f t="shared" si="40"/>
        <v>0</v>
      </c>
      <c r="F111" s="408">
        <f t="shared" si="40"/>
        <v>0</v>
      </c>
      <c r="G111" s="408">
        <f t="shared" si="40"/>
        <v>0</v>
      </c>
      <c r="H111" s="408">
        <f t="shared" si="40"/>
        <v>0</v>
      </c>
      <c r="I111" s="408">
        <f t="shared" si="40"/>
        <v>0</v>
      </c>
      <c r="J111" s="408">
        <f t="shared" si="40"/>
        <v>0</v>
      </c>
      <c r="K111" s="408">
        <f t="shared" si="40"/>
        <v>0</v>
      </c>
      <c r="L111" s="408">
        <f t="shared" si="40"/>
        <v>0</v>
      </c>
      <c r="M111" s="408">
        <f t="shared" si="40"/>
        <v>0</v>
      </c>
      <c r="N111" s="408">
        <f t="shared" si="40"/>
        <v>0</v>
      </c>
      <c r="O111" s="408">
        <f t="shared" si="40"/>
        <v>0</v>
      </c>
      <c r="P111" s="408">
        <f t="shared" si="40"/>
        <v>0</v>
      </c>
      <c r="Q111" s="408">
        <f t="shared" si="40"/>
        <v>0</v>
      </c>
      <c r="R111" s="408">
        <f t="shared" si="40"/>
        <v>0</v>
      </c>
      <c r="S111" s="408">
        <f t="shared" si="40"/>
        <v>0</v>
      </c>
      <c r="T111" s="408">
        <f t="shared" si="40"/>
        <v>0</v>
      </c>
      <c r="U111" s="408">
        <f t="shared" si="40"/>
        <v>0</v>
      </c>
      <c r="V111" s="408">
        <f t="shared" si="40"/>
        <v>0</v>
      </c>
      <c r="W111" s="408">
        <f t="shared" si="40"/>
        <v>0</v>
      </c>
      <c r="X111" s="401"/>
    </row>
    <row r="112" spans="1:24" hidden="1" outlineLevel="1">
      <c r="B112" s="454" t="s">
        <v>324</v>
      </c>
      <c r="C112" s="455"/>
      <c r="D112" s="455">
        <f t="shared" ref="D112:W112" si="41">-IFERROR(PPMT($F$9,D110,$G$9,$E$9),0)</f>
        <v>0</v>
      </c>
      <c r="E112" s="455">
        <f t="shared" si="41"/>
        <v>0</v>
      </c>
      <c r="F112" s="455">
        <f t="shared" si="41"/>
        <v>0</v>
      </c>
      <c r="G112" s="455">
        <f t="shared" si="41"/>
        <v>0</v>
      </c>
      <c r="H112" s="455">
        <f t="shared" si="41"/>
        <v>0</v>
      </c>
      <c r="I112" s="455">
        <f t="shared" si="41"/>
        <v>0</v>
      </c>
      <c r="J112" s="455">
        <f t="shared" si="41"/>
        <v>0</v>
      </c>
      <c r="K112" s="455">
        <f t="shared" si="41"/>
        <v>0</v>
      </c>
      <c r="L112" s="455">
        <f t="shared" si="41"/>
        <v>0</v>
      </c>
      <c r="M112" s="455">
        <f t="shared" si="41"/>
        <v>0</v>
      </c>
      <c r="N112" s="455">
        <f t="shared" si="41"/>
        <v>0</v>
      </c>
      <c r="O112" s="455">
        <f t="shared" si="41"/>
        <v>0</v>
      </c>
      <c r="P112" s="455">
        <f t="shared" si="41"/>
        <v>0</v>
      </c>
      <c r="Q112" s="455">
        <f t="shared" si="41"/>
        <v>0</v>
      </c>
      <c r="R112" s="455">
        <f t="shared" si="41"/>
        <v>0</v>
      </c>
      <c r="S112" s="455">
        <f t="shared" si="41"/>
        <v>0</v>
      </c>
      <c r="T112" s="455">
        <f t="shared" si="41"/>
        <v>0</v>
      </c>
      <c r="U112" s="455">
        <f t="shared" si="41"/>
        <v>0</v>
      </c>
      <c r="V112" s="455">
        <f t="shared" si="41"/>
        <v>0</v>
      </c>
      <c r="W112" s="455">
        <f t="shared" si="41"/>
        <v>0</v>
      </c>
      <c r="X112" s="401"/>
    </row>
    <row r="113" spans="1:24" ht="16" hidden="1" outlineLevel="1" thickBot="1">
      <c r="B113" s="456" t="s">
        <v>1</v>
      </c>
      <c r="C113" s="448"/>
      <c r="D113" s="448">
        <f>SUM(D111:D112)</f>
        <v>0</v>
      </c>
      <c r="E113" s="448">
        <f t="shared" ref="E113:W113" si="42">SUM(E111:E112)</f>
        <v>0</v>
      </c>
      <c r="F113" s="448">
        <f t="shared" si="42"/>
        <v>0</v>
      </c>
      <c r="G113" s="448">
        <f t="shared" si="42"/>
        <v>0</v>
      </c>
      <c r="H113" s="448">
        <f t="shared" si="42"/>
        <v>0</v>
      </c>
      <c r="I113" s="448">
        <f t="shared" si="42"/>
        <v>0</v>
      </c>
      <c r="J113" s="448">
        <f t="shared" si="42"/>
        <v>0</v>
      </c>
      <c r="K113" s="448">
        <f t="shared" si="42"/>
        <v>0</v>
      </c>
      <c r="L113" s="448">
        <f t="shared" si="42"/>
        <v>0</v>
      </c>
      <c r="M113" s="448">
        <f t="shared" si="42"/>
        <v>0</v>
      </c>
      <c r="N113" s="448">
        <f t="shared" si="42"/>
        <v>0</v>
      </c>
      <c r="O113" s="448">
        <f t="shared" si="42"/>
        <v>0</v>
      </c>
      <c r="P113" s="448">
        <f t="shared" si="42"/>
        <v>0</v>
      </c>
      <c r="Q113" s="448">
        <f t="shared" si="42"/>
        <v>0</v>
      </c>
      <c r="R113" s="448">
        <f t="shared" si="42"/>
        <v>0</v>
      </c>
      <c r="S113" s="448">
        <f t="shared" si="42"/>
        <v>0</v>
      </c>
      <c r="T113" s="448">
        <f t="shared" si="42"/>
        <v>0</v>
      </c>
      <c r="U113" s="448">
        <f t="shared" si="42"/>
        <v>0</v>
      </c>
      <c r="V113" s="448">
        <f t="shared" si="42"/>
        <v>0</v>
      </c>
      <c r="W113" s="448">
        <f t="shared" si="42"/>
        <v>0</v>
      </c>
      <c r="X113" s="401"/>
    </row>
    <row r="114" spans="1:24" hidden="1" outlineLevel="1">
      <c r="B114" s="406" t="s">
        <v>430</v>
      </c>
      <c r="C114" s="406"/>
      <c r="D114" s="406"/>
      <c r="E114" s="406"/>
      <c r="F114" s="406"/>
      <c r="G114" s="406"/>
      <c r="H114" s="406"/>
      <c r="I114" s="406"/>
      <c r="J114" s="406"/>
      <c r="K114" s="406"/>
      <c r="L114" s="406"/>
      <c r="M114" s="406"/>
      <c r="N114" s="406"/>
      <c r="O114" s="406"/>
      <c r="P114" s="406"/>
      <c r="Q114" s="406"/>
      <c r="R114" s="406"/>
      <c r="S114" s="406"/>
      <c r="T114" s="406"/>
      <c r="U114" s="406"/>
      <c r="V114" s="406"/>
      <c r="W114" s="406"/>
    </row>
    <row r="115" spans="1:24" hidden="1" outlineLevel="1">
      <c r="B115" s="421" t="s">
        <v>323</v>
      </c>
      <c r="C115" s="408">
        <f>-IFERROR(IPMT($F$9,MAX(D110,1),$G$9,$E$9),0)</f>
        <v>0</v>
      </c>
      <c r="D115" s="408">
        <f t="shared" ref="D115:W115" si="43">SUMIF($D107:$AQ107,D$107,$D111:$AQ111)</f>
        <v>0</v>
      </c>
      <c r="E115" s="408">
        <f t="shared" si="43"/>
        <v>0</v>
      </c>
      <c r="F115" s="408">
        <f t="shared" si="43"/>
        <v>0</v>
      </c>
      <c r="G115" s="408">
        <f t="shared" si="43"/>
        <v>0</v>
      </c>
      <c r="H115" s="408">
        <f t="shared" si="43"/>
        <v>0</v>
      </c>
      <c r="I115" s="408">
        <f t="shared" si="43"/>
        <v>0</v>
      </c>
      <c r="J115" s="408">
        <f t="shared" si="43"/>
        <v>0</v>
      </c>
      <c r="K115" s="408">
        <f t="shared" si="43"/>
        <v>0</v>
      </c>
      <c r="L115" s="408">
        <f t="shared" si="43"/>
        <v>0</v>
      </c>
      <c r="M115" s="408">
        <f t="shared" si="43"/>
        <v>0</v>
      </c>
      <c r="N115" s="408">
        <f t="shared" si="43"/>
        <v>0</v>
      </c>
      <c r="O115" s="408">
        <f t="shared" si="43"/>
        <v>0</v>
      </c>
      <c r="P115" s="408">
        <f t="shared" si="43"/>
        <v>0</v>
      </c>
      <c r="Q115" s="408">
        <f t="shared" si="43"/>
        <v>0</v>
      </c>
      <c r="R115" s="408">
        <f t="shared" si="43"/>
        <v>0</v>
      </c>
      <c r="S115" s="408">
        <f t="shared" si="43"/>
        <v>0</v>
      </c>
      <c r="T115" s="408">
        <f t="shared" si="43"/>
        <v>0</v>
      </c>
      <c r="U115" s="408">
        <f t="shared" si="43"/>
        <v>0</v>
      </c>
      <c r="V115" s="408">
        <f t="shared" si="43"/>
        <v>0</v>
      </c>
      <c r="W115" s="408">
        <f t="shared" si="43"/>
        <v>0</v>
      </c>
      <c r="X115" s="401"/>
    </row>
    <row r="116" spans="1:24" hidden="1" outlineLevel="1">
      <c r="B116" s="454" t="s">
        <v>324</v>
      </c>
      <c r="C116" s="455"/>
      <c r="D116" s="455">
        <f t="shared" ref="D116:W116" si="44">D112</f>
        <v>0</v>
      </c>
      <c r="E116" s="455">
        <f t="shared" si="44"/>
        <v>0</v>
      </c>
      <c r="F116" s="455">
        <f t="shared" si="44"/>
        <v>0</v>
      </c>
      <c r="G116" s="455">
        <f t="shared" si="44"/>
        <v>0</v>
      </c>
      <c r="H116" s="455">
        <f t="shared" si="44"/>
        <v>0</v>
      </c>
      <c r="I116" s="455">
        <f t="shared" si="44"/>
        <v>0</v>
      </c>
      <c r="J116" s="455">
        <f t="shared" si="44"/>
        <v>0</v>
      </c>
      <c r="K116" s="455">
        <f t="shared" si="44"/>
        <v>0</v>
      </c>
      <c r="L116" s="455">
        <f t="shared" si="44"/>
        <v>0</v>
      </c>
      <c r="M116" s="455">
        <f t="shared" si="44"/>
        <v>0</v>
      </c>
      <c r="N116" s="455">
        <f t="shared" si="44"/>
        <v>0</v>
      </c>
      <c r="O116" s="455">
        <f t="shared" si="44"/>
        <v>0</v>
      </c>
      <c r="P116" s="455">
        <f t="shared" si="44"/>
        <v>0</v>
      </c>
      <c r="Q116" s="455">
        <f t="shared" si="44"/>
        <v>0</v>
      </c>
      <c r="R116" s="455">
        <f t="shared" si="44"/>
        <v>0</v>
      </c>
      <c r="S116" s="455">
        <f t="shared" si="44"/>
        <v>0</v>
      </c>
      <c r="T116" s="455">
        <f t="shared" si="44"/>
        <v>0</v>
      </c>
      <c r="U116" s="455">
        <f t="shared" si="44"/>
        <v>0</v>
      </c>
      <c r="V116" s="455">
        <f t="shared" si="44"/>
        <v>0</v>
      </c>
      <c r="W116" s="455">
        <f t="shared" si="44"/>
        <v>0</v>
      </c>
      <c r="X116" s="401"/>
    </row>
    <row r="117" spans="1:24" ht="16" hidden="1" outlineLevel="1" thickBot="1">
      <c r="B117" s="456" t="s">
        <v>1</v>
      </c>
      <c r="C117" s="448">
        <f t="shared" ref="C117:W117" si="45">SUM(C115:C116)</f>
        <v>0</v>
      </c>
      <c r="D117" s="448">
        <f>SUM(D115:D116)</f>
        <v>0</v>
      </c>
      <c r="E117" s="448">
        <f t="shared" si="45"/>
        <v>0</v>
      </c>
      <c r="F117" s="448">
        <f t="shared" si="45"/>
        <v>0</v>
      </c>
      <c r="G117" s="448">
        <f t="shared" si="45"/>
        <v>0</v>
      </c>
      <c r="H117" s="448">
        <f t="shared" si="45"/>
        <v>0</v>
      </c>
      <c r="I117" s="448">
        <f t="shared" si="45"/>
        <v>0</v>
      </c>
      <c r="J117" s="448">
        <f t="shared" si="45"/>
        <v>0</v>
      </c>
      <c r="K117" s="448">
        <f t="shared" si="45"/>
        <v>0</v>
      </c>
      <c r="L117" s="448">
        <f t="shared" si="45"/>
        <v>0</v>
      </c>
      <c r="M117" s="448">
        <f t="shared" si="45"/>
        <v>0</v>
      </c>
      <c r="N117" s="448">
        <f t="shared" si="45"/>
        <v>0</v>
      </c>
      <c r="O117" s="448">
        <f t="shared" si="45"/>
        <v>0</v>
      </c>
      <c r="P117" s="448">
        <f t="shared" si="45"/>
        <v>0</v>
      </c>
      <c r="Q117" s="448">
        <f t="shared" si="45"/>
        <v>0</v>
      </c>
      <c r="R117" s="448">
        <f t="shared" si="45"/>
        <v>0</v>
      </c>
      <c r="S117" s="448">
        <f t="shared" si="45"/>
        <v>0</v>
      </c>
      <c r="T117" s="448">
        <f t="shared" si="45"/>
        <v>0</v>
      </c>
      <c r="U117" s="448">
        <f t="shared" si="45"/>
        <v>0</v>
      </c>
      <c r="V117" s="448">
        <f t="shared" si="45"/>
        <v>0</v>
      </c>
      <c r="W117" s="448">
        <f t="shared" si="45"/>
        <v>0</v>
      </c>
      <c r="X117" s="401"/>
    </row>
    <row r="118" spans="1:24" hidden="1" outlineLevel="1">
      <c r="B118" s="406" t="s">
        <v>424</v>
      </c>
      <c r="C118" s="406"/>
      <c r="D118" s="406"/>
      <c r="E118" s="406"/>
      <c r="F118" s="406"/>
      <c r="G118" s="406"/>
      <c r="H118" s="406"/>
      <c r="I118" s="406"/>
      <c r="J118" s="406"/>
      <c r="K118" s="406"/>
      <c r="L118" s="406"/>
      <c r="M118" s="406"/>
      <c r="N118" s="406"/>
      <c r="O118" s="406"/>
      <c r="P118" s="406"/>
      <c r="Q118" s="406"/>
      <c r="R118" s="406"/>
      <c r="S118" s="406"/>
      <c r="T118" s="406"/>
      <c r="U118" s="406"/>
      <c r="V118" s="406"/>
      <c r="W118" s="406"/>
    </row>
    <row r="119" spans="1:24" hidden="1" outlineLevel="1">
      <c r="B119" s="457" t="s">
        <v>425</v>
      </c>
      <c r="C119" s="458">
        <f t="shared" ref="C119:W119" si="46">D116</f>
        <v>0</v>
      </c>
      <c r="D119" s="458">
        <f t="shared" si="46"/>
        <v>0</v>
      </c>
      <c r="E119" s="458">
        <f t="shared" si="46"/>
        <v>0</v>
      </c>
      <c r="F119" s="458">
        <f t="shared" si="46"/>
        <v>0</v>
      </c>
      <c r="G119" s="458">
        <f t="shared" si="46"/>
        <v>0</v>
      </c>
      <c r="H119" s="458">
        <f t="shared" si="46"/>
        <v>0</v>
      </c>
      <c r="I119" s="458">
        <f t="shared" si="46"/>
        <v>0</v>
      </c>
      <c r="J119" s="458">
        <f t="shared" si="46"/>
        <v>0</v>
      </c>
      <c r="K119" s="458">
        <f t="shared" si="46"/>
        <v>0</v>
      </c>
      <c r="L119" s="458">
        <f t="shared" si="46"/>
        <v>0</v>
      </c>
      <c r="M119" s="458">
        <f t="shared" si="46"/>
        <v>0</v>
      </c>
      <c r="N119" s="458">
        <f t="shared" si="46"/>
        <v>0</v>
      </c>
      <c r="O119" s="458">
        <f t="shared" si="46"/>
        <v>0</v>
      </c>
      <c r="P119" s="458">
        <f t="shared" si="46"/>
        <v>0</v>
      </c>
      <c r="Q119" s="458">
        <f t="shared" si="46"/>
        <v>0</v>
      </c>
      <c r="R119" s="458">
        <f t="shared" si="46"/>
        <v>0</v>
      </c>
      <c r="S119" s="458">
        <f t="shared" si="46"/>
        <v>0</v>
      </c>
      <c r="T119" s="458">
        <f t="shared" si="46"/>
        <v>0</v>
      </c>
      <c r="U119" s="458">
        <f t="shared" si="46"/>
        <v>0</v>
      </c>
      <c r="V119" s="458">
        <f t="shared" si="46"/>
        <v>0</v>
      </c>
      <c r="W119" s="458">
        <f t="shared" si="46"/>
        <v>0</v>
      </c>
      <c r="X119" s="401"/>
    </row>
    <row r="120" spans="1:24" ht="16" hidden="1" outlineLevel="1" thickBot="1">
      <c r="B120" s="414" t="s">
        <v>426</v>
      </c>
      <c r="C120" s="415">
        <f>$E$9-C119</f>
        <v>0</v>
      </c>
      <c r="D120" s="415">
        <f t="shared" ref="D120:W120" si="47">C120-D119</f>
        <v>0</v>
      </c>
      <c r="E120" s="415">
        <f t="shared" si="47"/>
        <v>0</v>
      </c>
      <c r="F120" s="415">
        <f t="shared" si="47"/>
        <v>0</v>
      </c>
      <c r="G120" s="415">
        <f t="shared" si="47"/>
        <v>0</v>
      </c>
      <c r="H120" s="415">
        <f t="shared" si="47"/>
        <v>0</v>
      </c>
      <c r="I120" s="415">
        <f t="shared" si="47"/>
        <v>0</v>
      </c>
      <c r="J120" s="415">
        <f t="shared" si="47"/>
        <v>0</v>
      </c>
      <c r="K120" s="415">
        <f t="shared" si="47"/>
        <v>0</v>
      </c>
      <c r="L120" s="415">
        <f t="shared" si="47"/>
        <v>0</v>
      </c>
      <c r="M120" s="415">
        <f t="shared" si="47"/>
        <v>0</v>
      </c>
      <c r="N120" s="415">
        <f t="shared" si="47"/>
        <v>0</v>
      </c>
      <c r="O120" s="415">
        <f t="shared" si="47"/>
        <v>0</v>
      </c>
      <c r="P120" s="415">
        <f t="shared" si="47"/>
        <v>0</v>
      </c>
      <c r="Q120" s="415">
        <f t="shared" si="47"/>
        <v>0</v>
      </c>
      <c r="R120" s="415">
        <f t="shared" si="47"/>
        <v>0</v>
      </c>
      <c r="S120" s="415">
        <f t="shared" si="47"/>
        <v>0</v>
      </c>
      <c r="T120" s="415">
        <f t="shared" si="47"/>
        <v>0</v>
      </c>
      <c r="U120" s="415">
        <f t="shared" si="47"/>
        <v>0</v>
      </c>
      <c r="V120" s="415">
        <f t="shared" si="47"/>
        <v>0</v>
      </c>
      <c r="W120" s="415">
        <f t="shared" si="47"/>
        <v>0</v>
      </c>
      <c r="X120" s="401"/>
    </row>
    <row r="121" spans="1:24" hidden="1" outlineLevel="1"/>
    <row r="122" spans="1:24" ht="16" collapsed="1" thickBot="1"/>
    <row r="123" spans="1:24" ht="16" thickTop="1">
      <c r="A123" s="374">
        <f>A106+1</f>
        <v>6</v>
      </c>
      <c r="B123" s="379" t="str">
        <f>"Year "&amp;A123&amp;" Working Capital Financing"</f>
        <v>Year 6 Working Capital Financing</v>
      </c>
      <c r="C123" s="379"/>
      <c r="D123" s="379"/>
      <c r="E123" s="379"/>
      <c r="F123" s="379"/>
      <c r="G123" s="379"/>
      <c r="H123" s="379"/>
      <c r="I123" s="379"/>
      <c r="J123" s="379"/>
      <c r="K123" s="379"/>
      <c r="L123" s="379"/>
      <c r="M123" s="379"/>
      <c r="N123" s="379"/>
      <c r="O123" s="379"/>
      <c r="P123" s="379"/>
      <c r="Q123" s="379"/>
      <c r="R123" s="379"/>
      <c r="S123" s="379"/>
      <c r="T123" s="379"/>
      <c r="U123" s="379"/>
      <c r="V123" s="379"/>
      <c r="W123" s="379"/>
    </row>
    <row r="124" spans="1:24" s="420" customFormat="1" ht="16" hidden="1" outlineLevel="1" thickBot="1">
      <c r="A124" s="417"/>
      <c r="B124" s="405"/>
      <c r="C124" s="405">
        <v>0</v>
      </c>
      <c r="D124" s="405">
        <v>1</v>
      </c>
      <c r="E124" s="405">
        <v>2</v>
      </c>
      <c r="F124" s="405">
        <v>3</v>
      </c>
      <c r="G124" s="405">
        <v>4</v>
      </c>
      <c r="H124" s="405">
        <v>5</v>
      </c>
      <c r="I124" s="405">
        <v>6</v>
      </c>
      <c r="J124" s="405">
        <v>7</v>
      </c>
      <c r="K124" s="405">
        <v>8</v>
      </c>
      <c r="L124" s="405">
        <v>9</v>
      </c>
      <c r="M124" s="405">
        <v>10</v>
      </c>
      <c r="N124" s="405">
        <v>11</v>
      </c>
      <c r="O124" s="405">
        <v>12</v>
      </c>
      <c r="P124" s="405">
        <v>13</v>
      </c>
      <c r="Q124" s="405">
        <v>14</v>
      </c>
      <c r="R124" s="405">
        <v>15</v>
      </c>
      <c r="S124" s="405">
        <v>16</v>
      </c>
      <c r="T124" s="405">
        <v>17</v>
      </c>
      <c r="U124" s="405">
        <v>18</v>
      </c>
      <c r="V124" s="405">
        <v>19</v>
      </c>
      <c r="W124" s="405">
        <v>20</v>
      </c>
      <c r="X124" s="451"/>
    </row>
    <row r="125" spans="1:24" hidden="1" outlineLevel="1">
      <c r="B125" s="406" t="s">
        <v>421</v>
      </c>
      <c r="C125" s="406"/>
      <c r="D125" s="406"/>
      <c r="E125" s="406"/>
      <c r="F125" s="406"/>
      <c r="G125" s="406"/>
      <c r="H125" s="406"/>
      <c r="I125" s="406"/>
      <c r="J125" s="406"/>
      <c r="K125" s="406"/>
      <c r="L125" s="406"/>
      <c r="M125" s="406"/>
      <c r="N125" s="406"/>
      <c r="O125" s="406"/>
      <c r="P125" s="406"/>
      <c r="Q125" s="406"/>
      <c r="R125" s="406"/>
      <c r="S125" s="406"/>
      <c r="T125" s="406"/>
      <c r="U125" s="406"/>
      <c r="V125" s="406"/>
      <c r="W125" s="406"/>
    </row>
    <row r="126" spans="1:24" s="420" customFormat="1" hidden="1" outlineLevel="1">
      <c r="A126" s="417"/>
      <c r="B126" s="418" t="s">
        <v>428</v>
      </c>
      <c r="C126" s="418"/>
      <c r="D126" s="419">
        <v>1</v>
      </c>
      <c r="E126" s="419">
        <v>2</v>
      </c>
      <c r="F126" s="419">
        <v>3</v>
      </c>
      <c r="G126" s="419">
        <v>4</v>
      </c>
      <c r="H126" s="419">
        <v>5</v>
      </c>
      <c r="I126" s="419">
        <v>6</v>
      </c>
      <c r="J126" s="419">
        <v>7</v>
      </c>
      <c r="K126" s="419">
        <v>8</v>
      </c>
      <c r="L126" s="419">
        <v>9</v>
      </c>
      <c r="M126" s="419">
        <v>10</v>
      </c>
      <c r="N126" s="419">
        <v>11</v>
      </c>
      <c r="O126" s="419">
        <v>12</v>
      </c>
      <c r="P126" s="419">
        <v>13</v>
      </c>
      <c r="Q126" s="419">
        <v>14</v>
      </c>
      <c r="R126" s="419">
        <v>15</v>
      </c>
      <c r="S126" s="419">
        <v>16</v>
      </c>
      <c r="T126" s="419">
        <v>17</v>
      </c>
      <c r="U126" s="419">
        <v>18</v>
      </c>
      <c r="V126" s="419">
        <v>19</v>
      </c>
      <c r="W126" s="419">
        <v>20</v>
      </c>
      <c r="X126" s="452"/>
    </row>
    <row r="127" spans="1:24" hidden="1" outlineLevel="1">
      <c r="B127" s="421" t="s">
        <v>429</v>
      </c>
      <c r="C127" s="421"/>
      <c r="D127" s="422">
        <f>MAX(D126-($H$10),0)</f>
        <v>1</v>
      </c>
      <c r="E127" s="422">
        <f t="shared" ref="E127:W127" si="48">MAX(E126-($H$10),0)</f>
        <v>2</v>
      </c>
      <c r="F127" s="422">
        <f t="shared" si="48"/>
        <v>3</v>
      </c>
      <c r="G127" s="422">
        <f t="shared" si="48"/>
        <v>4</v>
      </c>
      <c r="H127" s="422">
        <f t="shared" si="48"/>
        <v>5</v>
      </c>
      <c r="I127" s="422">
        <f t="shared" si="48"/>
        <v>6</v>
      </c>
      <c r="J127" s="422">
        <f t="shared" si="48"/>
        <v>7</v>
      </c>
      <c r="K127" s="422">
        <f t="shared" si="48"/>
        <v>8</v>
      </c>
      <c r="L127" s="422">
        <f t="shared" si="48"/>
        <v>9</v>
      </c>
      <c r="M127" s="422">
        <f t="shared" si="48"/>
        <v>10</v>
      </c>
      <c r="N127" s="422">
        <f t="shared" si="48"/>
        <v>11</v>
      </c>
      <c r="O127" s="422">
        <f t="shared" si="48"/>
        <v>12</v>
      </c>
      <c r="P127" s="422">
        <f t="shared" si="48"/>
        <v>13</v>
      </c>
      <c r="Q127" s="422">
        <f t="shared" si="48"/>
        <v>14</v>
      </c>
      <c r="R127" s="422">
        <f t="shared" si="48"/>
        <v>15</v>
      </c>
      <c r="S127" s="422">
        <f t="shared" si="48"/>
        <v>16</v>
      </c>
      <c r="T127" s="422">
        <f t="shared" si="48"/>
        <v>17</v>
      </c>
      <c r="U127" s="422">
        <f t="shared" si="48"/>
        <v>18</v>
      </c>
      <c r="V127" s="422">
        <f t="shared" si="48"/>
        <v>19</v>
      </c>
      <c r="W127" s="422">
        <f t="shared" si="48"/>
        <v>20</v>
      </c>
      <c r="X127" s="453"/>
    </row>
    <row r="128" spans="1:24" hidden="1" outlineLevel="1">
      <c r="B128" s="421" t="s">
        <v>323</v>
      </c>
      <c r="C128" s="421"/>
      <c r="D128" s="408">
        <f>-IFERROR(IPMT($F$10,MAX(D127,1),$G$10,$E$10),0)</f>
        <v>0</v>
      </c>
      <c r="E128" s="408">
        <f t="shared" ref="E128:W128" si="49">-IFERROR(IPMT($F$10,MAX(E127,1),$G$10,$E$10),0)</f>
        <v>0</v>
      </c>
      <c r="F128" s="408">
        <f t="shared" si="49"/>
        <v>0</v>
      </c>
      <c r="G128" s="408">
        <f t="shared" si="49"/>
        <v>0</v>
      </c>
      <c r="H128" s="408">
        <f t="shared" si="49"/>
        <v>0</v>
      </c>
      <c r="I128" s="408">
        <f t="shared" si="49"/>
        <v>0</v>
      </c>
      <c r="J128" s="408">
        <f t="shared" si="49"/>
        <v>0</v>
      </c>
      <c r="K128" s="408">
        <f t="shared" si="49"/>
        <v>0</v>
      </c>
      <c r="L128" s="408">
        <f t="shared" si="49"/>
        <v>0</v>
      </c>
      <c r="M128" s="408">
        <f t="shared" si="49"/>
        <v>0</v>
      </c>
      <c r="N128" s="408">
        <f t="shared" si="49"/>
        <v>0</v>
      </c>
      <c r="O128" s="408">
        <f t="shared" si="49"/>
        <v>0</v>
      </c>
      <c r="P128" s="408">
        <f t="shared" si="49"/>
        <v>0</v>
      </c>
      <c r="Q128" s="408">
        <f t="shared" si="49"/>
        <v>0</v>
      </c>
      <c r="R128" s="408">
        <f t="shared" si="49"/>
        <v>0</v>
      </c>
      <c r="S128" s="408">
        <f t="shared" si="49"/>
        <v>0</v>
      </c>
      <c r="T128" s="408">
        <f t="shared" si="49"/>
        <v>0</v>
      </c>
      <c r="U128" s="408">
        <f t="shared" si="49"/>
        <v>0</v>
      </c>
      <c r="V128" s="408">
        <f t="shared" si="49"/>
        <v>0</v>
      </c>
      <c r="W128" s="408">
        <f t="shared" si="49"/>
        <v>0</v>
      </c>
      <c r="X128" s="401"/>
    </row>
    <row r="129" spans="1:24" hidden="1" outlineLevel="1">
      <c r="B129" s="454" t="s">
        <v>324</v>
      </c>
      <c r="C129" s="455"/>
      <c r="D129" s="455">
        <f>-IFERROR(PPMT($F$10,D127,$G$10,$E$10),0)</f>
        <v>0</v>
      </c>
      <c r="E129" s="455">
        <f>-IFERROR(PPMT($F$10,E127,$G$10,$E$10),0)</f>
        <v>0</v>
      </c>
      <c r="F129" s="455">
        <f>-IFERROR(PPMT($F$10,F127,$G$10,$E$10),0)</f>
        <v>0</v>
      </c>
      <c r="G129" s="455">
        <f t="shared" ref="G129:W129" si="50">-IFERROR(PPMT($F$10,G127,$G$10,$E$10),0)</f>
        <v>0</v>
      </c>
      <c r="H129" s="455">
        <f t="shared" si="50"/>
        <v>0</v>
      </c>
      <c r="I129" s="455">
        <f t="shared" si="50"/>
        <v>0</v>
      </c>
      <c r="J129" s="455">
        <f t="shared" si="50"/>
        <v>0</v>
      </c>
      <c r="K129" s="455">
        <f t="shared" si="50"/>
        <v>0</v>
      </c>
      <c r="L129" s="455">
        <f t="shared" si="50"/>
        <v>0</v>
      </c>
      <c r="M129" s="455">
        <f t="shared" si="50"/>
        <v>0</v>
      </c>
      <c r="N129" s="455">
        <f t="shared" si="50"/>
        <v>0</v>
      </c>
      <c r="O129" s="455">
        <f t="shared" si="50"/>
        <v>0</v>
      </c>
      <c r="P129" s="455">
        <f t="shared" si="50"/>
        <v>0</v>
      </c>
      <c r="Q129" s="455">
        <f t="shared" si="50"/>
        <v>0</v>
      </c>
      <c r="R129" s="455">
        <f t="shared" si="50"/>
        <v>0</v>
      </c>
      <c r="S129" s="455">
        <f t="shared" si="50"/>
        <v>0</v>
      </c>
      <c r="T129" s="455">
        <f t="shared" si="50"/>
        <v>0</v>
      </c>
      <c r="U129" s="455">
        <f t="shared" si="50"/>
        <v>0</v>
      </c>
      <c r="V129" s="455">
        <f t="shared" si="50"/>
        <v>0</v>
      </c>
      <c r="W129" s="455">
        <f t="shared" si="50"/>
        <v>0</v>
      </c>
      <c r="X129" s="401"/>
    </row>
    <row r="130" spans="1:24" ht="16" hidden="1" outlineLevel="1" thickBot="1">
      <c r="B130" s="456" t="s">
        <v>1</v>
      </c>
      <c r="C130" s="448"/>
      <c r="D130" s="448">
        <f t="shared" ref="D130:W130" si="51">SUM(D128:D129)</f>
        <v>0</v>
      </c>
      <c r="E130" s="448">
        <f t="shared" si="51"/>
        <v>0</v>
      </c>
      <c r="F130" s="448">
        <f t="shared" si="51"/>
        <v>0</v>
      </c>
      <c r="G130" s="448">
        <f t="shared" si="51"/>
        <v>0</v>
      </c>
      <c r="H130" s="448">
        <f t="shared" si="51"/>
        <v>0</v>
      </c>
      <c r="I130" s="448">
        <f t="shared" si="51"/>
        <v>0</v>
      </c>
      <c r="J130" s="448">
        <f t="shared" si="51"/>
        <v>0</v>
      </c>
      <c r="K130" s="448">
        <f t="shared" si="51"/>
        <v>0</v>
      </c>
      <c r="L130" s="448">
        <f t="shared" si="51"/>
        <v>0</v>
      </c>
      <c r="M130" s="448">
        <f t="shared" si="51"/>
        <v>0</v>
      </c>
      <c r="N130" s="448">
        <f t="shared" si="51"/>
        <v>0</v>
      </c>
      <c r="O130" s="448">
        <f t="shared" si="51"/>
        <v>0</v>
      </c>
      <c r="P130" s="448">
        <f t="shared" si="51"/>
        <v>0</v>
      </c>
      <c r="Q130" s="448">
        <f t="shared" si="51"/>
        <v>0</v>
      </c>
      <c r="R130" s="448">
        <f t="shared" si="51"/>
        <v>0</v>
      </c>
      <c r="S130" s="448">
        <f t="shared" si="51"/>
        <v>0</v>
      </c>
      <c r="T130" s="448">
        <f t="shared" si="51"/>
        <v>0</v>
      </c>
      <c r="U130" s="448">
        <f t="shared" si="51"/>
        <v>0</v>
      </c>
      <c r="V130" s="448">
        <f t="shared" si="51"/>
        <v>0</v>
      </c>
      <c r="W130" s="448">
        <f t="shared" si="51"/>
        <v>0</v>
      </c>
      <c r="X130" s="401"/>
    </row>
    <row r="131" spans="1:24" hidden="1" outlineLevel="1">
      <c r="B131" s="406" t="s">
        <v>430</v>
      </c>
      <c r="C131" s="406"/>
      <c r="D131" s="406"/>
      <c r="E131" s="406"/>
      <c r="F131" s="406"/>
      <c r="G131" s="406"/>
      <c r="H131" s="406"/>
      <c r="I131" s="406"/>
      <c r="J131" s="406"/>
      <c r="K131" s="406"/>
      <c r="L131" s="406"/>
      <c r="M131" s="406"/>
      <c r="N131" s="406"/>
      <c r="O131" s="406"/>
      <c r="P131" s="406"/>
      <c r="Q131" s="406"/>
      <c r="R131" s="406"/>
      <c r="S131" s="406"/>
      <c r="T131" s="406"/>
      <c r="U131" s="406"/>
      <c r="V131" s="406"/>
      <c r="W131" s="406"/>
    </row>
    <row r="132" spans="1:24" hidden="1" outlineLevel="1">
      <c r="B132" s="421" t="s">
        <v>323</v>
      </c>
      <c r="C132" s="408">
        <f>-IFERROR(IPMT($F$10,MAX(D127,1),$G$10,$E$10),0)</f>
        <v>0</v>
      </c>
      <c r="D132" s="408">
        <f>SUMIF($D$39:$AQ$39,D$39,$D128:$AQ128)</f>
        <v>0</v>
      </c>
      <c r="E132" s="408">
        <f t="shared" ref="E132:W132" si="52">SUMIF($D$39:$AQ$39,E$39,$D128:$AQ128)</f>
        <v>0</v>
      </c>
      <c r="F132" s="408">
        <f t="shared" si="52"/>
        <v>0</v>
      </c>
      <c r="G132" s="408">
        <f t="shared" si="52"/>
        <v>0</v>
      </c>
      <c r="H132" s="408">
        <f t="shared" si="52"/>
        <v>0</v>
      </c>
      <c r="I132" s="408">
        <f t="shared" si="52"/>
        <v>0</v>
      </c>
      <c r="J132" s="408">
        <f t="shared" si="52"/>
        <v>0</v>
      </c>
      <c r="K132" s="408">
        <f t="shared" si="52"/>
        <v>0</v>
      </c>
      <c r="L132" s="408">
        <f t="shared" si="52"/>
        <v>0</v>
      </c>
      <c r="M132" s="408">
        <f t="shared" si="52"/>
        <v>0</v>
      </c>
      <c r="N132" s="408">
        <f t="shared" si="52"/>
        <v>0</v>
      </c>
      <c r="O132" s="408">
        <f t="shared" si="52"/>
        <v>0</v>
      </c>
      <c r="P132" s="408">
        <f t="shared" si="52"/>
        <v>0</v>
      </c>
      <c r="Q132" s="408">
        <f t="shared" si="52"/>
        <v>0</v>
      </c>
      <c r="R132" s="408">
        <f t="shared" si="52"/>
        <v>0</v>
      </c>
      <c r="S132" s="408">
        <f t="shared" si="52"/>
        <v>0</v>
      </c>
      <c r="T132" s="408">
        <f t="shared" si="52"/>
        <v>0</v>
      </c>
      <c r="U132" s="408">
        <f t="shared" si="52"/>
        <v>0</v>
      </c>
      <c r="V132" s="408">
        <f t="shared" si="52"/>
        <v>0</v>
      </c>
      <c r="W132" s="408">
        <f t="shared" si="52"/>
        <v>0</v>
      </c>
      <c r="X132" s="401"/>
    </row>
    <row r="133" spans="1:24" hidden="1" outlineLevel="1">
      <c r="B133" s="454" t="s">
        <v>324</v>
      </c>
      <c r="C133" s="455"/>
      <c r="D133" s="455">
        <f>D129</f>
        <v>0</v>
      </c>
      <c r="E133" s="455">
        <f t="shared" ref="E133:W133" si="53">E129</f>
        <v>0</v>
      </c>
      <c r="F133" s="455">
        <f t="shared" si="53"/>
        <v>0</v>
      </c>
      <c r="G133" s="455">
        <f t="shared" si="53"/>
        <v>0</v>
      </c>
      <c r="H133" s="455">
        <f t="shared" si="53"/>
        <v>0</v>
      </c>
      <c r="I133" s="455">
        <f t="shared" si="53"/>
        <v>0</v>
      </c>
      <c r="J133" s="455">
        <f t="shared" si="53"/>
        <v>0</v>
      </c>
      <c r="K133" s="455">
        <f t="shared" si="53"/>
        <v>0</v>
      </c>
      <c r="L133" s="455">
        <f t="shared" si="53"/>
        <v>0</v>
      </c>
      <c r="M133" s="455">
        <f t="shared" si="53"/>
        <v>0</v>
      </c>
      <c r="N133" s="455">
        <f t="shared" si="53"/>
        <v>0</v>
      </c>
      <c r="O133" s="455">
        <f t="shared" si="53"/>
        <v>0</v>
      </c>
      <c r="P133" s="455">
        <f t="shared" si="53"/>
        <v>0</v>
      </c>
      <c r="Q133" s="455">
        <f t="shared" si="53"/>
        <v>0</v>
      </c>
      <c r="R133" s="455">
        <f t="shared" si="53"/>
        <v>0</v>
      </c>
      <c r="S133" s="455">
        <f t="shared" si="53"/>
        <v>0</v>
      </c>
      <c r="T133" s="455">
        <f t="shared" si="53"/>
        <v>0</v>
      </c>
      <c r="U133" s="455">
        <f t="shared" si="53"/>
        <v>0</v>
      </c>
      <c r="V133" s="455">
        <f t="shared" si="53"/>
        <v>0</v>
      </c>
      <c r="W133" s="455">
        <f t="shared" si="53"/>
        <v>0</v>
      </c>
      <c r="X133" s="401"/>
    </row>
    <row r="134" spans="1:24" ht="16" hidden="1" outlineLevel="1" thickBot="1">
      <c r="B134" s="456" t="s">
        <v>1</v>
      </c>
      <c r="C134" s="448">
        <f t="shared" ref="C134:W134" si="54">SUM(C132:C133)</f>
        <v>0</v>
      </c>
      <c r="D134" s="448">
        <f t="shared" si="54"/>
        <v>0</v>
      </c>
      <c r="E134" s="448">
        <f t="shared" si="54"/>
        <v>0</v>
      </c>
      <c r="F134" s="448">
        <f t="shared" si="54"/>
        <v>0</v>
      </c>
      <c r="G134" s="448">
        <f t="shared" si="54"/>
        <v>0</v>
      </c>
      <c r="H134" s="448">
        <f t="shared" si="54"/>
        <v>0</v>
      </c>
      <c r="I134" s="448">
        <f t="shared" si="54"/>
        <v>0</v>
      </c>
      <c r="J134" s="448">
        <f t="shared" si="54"/>
        <v>0</v>
      </c>
      <c r="K134" s="448">
        <f t="shared" si="54"/>
        <v>0</v>
      </c>
      <c r="L134" s="448">
        <f t="shared" si="54"/>
        <v>0</v>
      </c>
      <c r="M134" s="448">
        <f t="shared" si="54"/>
        <v>0</v>
      </c>
      <c r="N134" s="448">
        <f t="shared" si="54"/>
        <v>0</v>
      </c>
      <c r="O134" s="448">
        <f t="shared" si="54"/>
        <v>0</v>
      </c>
      <c r="P134" s="448">
        <f t="shared" si="54"/>
        <v>0</v>
      </c>
      <c r="Q134" s="448">
        <f t="shared" si="54"/>
        <v>0</v>
      </c>
      <c r="R134" s="448">
        <f t="shared" si="54"/>
        <v>0</v>
      </c>
      <c r="S134" s="448">
        <f t="shared" si="54"/>
        <v>0</v>
      </c>
      <c r="T134" s="448">
        <f t="shared" si="54"/>
        <v>0</v>
      </c>
      <c r="U134" s="448">
        <f t="shared" si="54"/>
        <v>0</v>
      </c>
      <c r="V134" s="448">
        <f t="shared" si="54"/>
        <v>0</v>
      </c>
      <c r="W134" s="448">
        <f t="shared" si="54"/>
        <v>0</v>
      </c>
      <c r="X134" s="401"/>
    </row>
    <row r="135" spans="1:24" hidden="1" outlineLevel="1">
      <c r="B135" s="406" t="s">
        <v>424</v>
      </c>
      <c r="C135" s="406"/>
      <c r="D135" s="406"/>
      <c r="E135" s="406"/>
      <c r="F135" s="406"/>
      <c r="G135" s="406"/>
      <c r="H135" s="406"/>
      <c r="I135" s="406"/>
      <c r="J135" s="406"/>
      <c r="K135" s="406"/>
      <c r="L135" s="406"/>
      <c r="M135" s="406"/>
      <c r="N135" s="406"/>
      <c r="O135" s="406"/>
      <c r="P135" s="406"/>
      <c r="Q135" s="406"/>
      <c r="R135" s="406"/>
      <c r="S135" s="406"/>
      <c r="T135" s="406"/>
      <c r="U135" s="406"/>
      <c r="V135" s="406"/>
      <c r="W135" s="406"/>
    </row>
    <row r="136" spans="1:24" hidden="1" outlineLevel="1">
      <c r="B136" s="457" t="s">
        <v>425</v>
      </c>
      <c r="C136" s="458">
        <f>D129</f>
        <v>0</v>
      </c>
      <c r="D136" s="458">
        <f>E129</f>
        <v>0</v>
      </c>
      <c r="E136" s="458">
        <f t="shared" ref="E136:W136" si="55">F129</f>
        <v>0</v>
      </c>
      <c r="F136" s="458">
        <f t="shared" si="55"/>
        <v>0</v>
      </c>
      <c r="G136" s="458">
        <f t="shared" si="55"/>
        <v>0</v>
      </c>
      <c r="H136" s="458">
        <f t="shared" si="55"/>
        <v>0</v>
      </c>
      <c r="I136" s="458">
        <f t="shared" si="55"/>
        <v>0</v>
      </c>
      <c r="J136" s="458">
        <f t="shared" si="55"/>
        <v>0</v>
      </c>
      <c r="K136" s="458">
        <f t="shared" si="55"/>
        <v>0</v>
      </c>
      <c r="L136" s="458">
        <f t="shared" si="55"/>
        <v>0</v>
      </c>
      <c r="M136" s="458">
        <f t="shared" si="55"/>
        <v>0</v>
      </c>
      <c r="N136" s="458">
        <f t="shared" si="55"/>
        <v>0</v>
      </c>
      <c r="O136" s="458">
        <f t="shared" si="55"/>
        <v>0</v>
      </c>
      <c r="P136" s="458">
        <f t="shared" si="55"/>
        <v>0</v>
      </c>
      <c r="Q136" s="458">
        <f t="shared" si="55"/>
        <v>0</v>
      </c>
      <c r="R136" s="458">
        <f t="shared" si="55"/>
        <v>0</v>
      </c>
      <c r="S136" s="458">
        <f t="shared" si="55"/>
        <v>0</v>
      </c>
      <c r="T136" s="458">
        <f t="shared" si="55"/>
        <v>0</v>
      </c>
      <c r="U136" s="458">
        <f t="shared" si="55"/>
        <v>0</v>
      </c>
      <c r="V136" s="458">
        <f t="shared" si="55"/>
        <v>0</v>
      </c>
      <c r="W136" s="458">
        <f t="shared" si="55"/>
        <v>0</v>
      </c>
      <c r="X136" s="401"/>
    </row>
    <row r="137" spans="1:24" ht="16" hidden="1" outlineLevel="1" thickBot="1">
      <c r="B137" s="414" t="s">
        <v>426</v>
      </c>
      <c r="C137" s="415">
        <f>$E$10-C136</f>
        <v>0</v>
      </c>
      <c r="D137" s="415">
        <f t="shared" ref="D137:W137" si="56">C137-D136</f>
        <v>0</v>
      </c>
      <c r="E137" s="415">
        <f t="shared" si="56"/>
        <v>0</v>
      </c>
      <c r="F137" s="415">
        <f t="shared" si="56"/>
        <v>0</v>
      </c>
      <c r="G137" s="415">
        <f t="shared" si="56"/>
        <v>0</v>
      </c>
      <c r="H137" s="415">
        <f t="shared" si="56"/>
        <v>0</v>
      </c>
      <c r="I137" s="415">
        <f t="shared" si="56"/>
        <v>0</v>
      </c>
      <c r="J137" s="415">
        <f t="shared" si="56"/>
        <v>0</v>
      </c>
      <c r="K137" s="415">
        <f t="shared" si="56"/>
        <v>0</v>
      </c>
      <c r="L137" s="415">
        <f t="shared" si="56"/>
        <v>0</v>
      </c>
      <c r="M137" s="415">
        <f t="shared" si="56"/>
        <v>0</v>
      </c>
      <c r="N137" s="415">
        <f t="shared" si="56"/>
        <v>0</v>
      </c>
      <c r="O137" s="415">
        <f t="shared" si="56"/>
        <v>0</v>
      </c>
      <c r="P137" s="415">
        <f t="shared" si="56"/>
        <v>0</v>
      </c>
      <c r="Q137" s="415">
        <f t="shared" si="56"/>
        <v>0</v>
      </c>
      <c r="R137" s="415">
        <f t="shared" si="56"/>
        <v>0</v>
      </c>
      <c r="S137" s="415">
        <f t="shared" si="56"/>
        <v>0</v>
      </c>
      <c r="T137" s="415">
        <f t="shared" si="56"/>
        <v>0</v>
      </c>
      <c r="U137" s="415">
        <f t="shared" si="56"/>
        <v>0</v>
      </c>
      <c r="V137" s="415">
        <f t="shared" si="56"/>
        <v>0</v>
      </c>
      <c r="W137" s="415">
        <f t="shared" si="56"/>
        <v>0</v>
      </c>
      <c r="X137" s="401"/>
    </row>
    <row r="138" spans="1:24" hidden="1" outlineLevel="1"/>
    <row r="139" spans="1:24" ht="16" collapsed="1" thickBot="1"/>
    <row r="140" spans="1:24" ht="16" thickTop="1">
      <c r="A140" s="374">
        <f>A123+1</f>
        <v>7</v>
      </c>
      <c r="B140" s="379" t="str">
        <f>"Year "&amp;A140&amp;" Working Capital Financing"</f>
        <v>Year 7 Working Capital Financing</v>
      </c>
      <c r="C140" s="379"/>
      <c r="D140" s="379"/>
      <c r="E140" s="379"/>
      <c r="F140" s="379"/>
      <c r="G140" s="379"/>
      <c r="H140" s="379"/>
      <c r="I140" s="379"/>
      <c r="J140" s="379"/>
      <c r="K140" s="379"/>
      <c r="L140" s="379"/>
      <c r="M140" s="379"/>
      <c r="N140" s="379"/>
      <c r="O140" s="379"/>
      <c r="P140" s="379"/>
      <c r="Q140" s="379"/>
      <c r="R140" s="379"/>
      <c r="S140" s="379"/>
      <c r="T140" s="379"/>
      <c r="U140" s="379"/>
      <c r="V140" s="379"/>
      <c r="W140" s="379"/>
    </row>
    <row r="141" spans="1:24" s="420" customFormat="1" ht="16" hidden="1" outlineLevel="1" thickBot="1">
      <c r="A141" s="417"/>
      <c r="B141" s="459"/>
      <c r="C141" s="459">
        <v>0</v>
      </c>
      <c r="D141" s="459">
        <v>1</v>
      </c>
      <c r="E141" s="459">
        <v>2</v>
      </c>
      <c r="F141" s="459">
        <v>3</v>
      </c>
      <c r="G141" s="459">
        <v>4</v>
      </c>
      <c r="H141" s="459">
        <v>5</v>
      </c>
      <c r="I141" s="459">
        <v>6</v>
      </c>
      <c r="J141" s="459">
        <v>7</v>
      </c>
      <c r="K141" s="459">
        <v>8</v>
      </c>
      <c r="L141" s="459">
        <v>9</v>
      </c>
      <c r="M141" s="459">
        <v>10</v>
      </c>
      <c r="N141" s="459">
        <v>11</v>
      </c>
      <c r="O141" s="459">
        <v>12</v>
      </c>
      <c r="P141" s="459">
        <v>13</v>
      </c>
      <c r="Q141" s="459">
        <v>14</v>
      </c>
      <c r="R141" s="459">
        <v>15</v>
      </c>
      <c r="S141" s="459">
        <v>16</v>
      </c>
      <c r="T141" s="459">
        <v>17</v>
      </c>
      <c r="U141" s="459">
        <v>18</v>
      </c>
      <c r="V141" s="459">
        <v>19</v>
      </c>
      <c r="W141" s="459">
        <v>20</v>
      </c>
      <c r="X141" s="451"/>
    </row>
    <row r="142" spans="1:24" hidden="1" outlineLevel="1">
      <c r="B142" s="406" t="s">
        <v>421</v>
      </c>
      <c r="C142" s="406"/>
      <c r="D142" s="406"/>
      <c r="E142" s="406"/>
      <c r="F142" s="406"/>
      <c r="G142" s="406"/>
      <c r="H142" s="406"/>
      <c r="I142" s="406"/>
      <c r="J142" s="406"/>
      <c r="K142" s="406"/>
      <c r="L142" s="406"/>
      <c r="M142" s="406"/>
      <c r="N142" s="406"/>
      <c r="O142" s="406"/>
      <c r="P142" s="406"/>
      <c r="Q142" s="406"/>
      <c r="R142" s="406"/>
      <c r="S142" s="406"/>
      <c r="T142" s="406"/>
      <c r="U142" s="406"/>
      <c r="V142" s="406"/>
      <c r="W142" s="406"/>
    </row>
    <row r="143" spans="1:24" s="420" customFormat="1" hidden="1" outlineLevel="1">
      <c r="A143" s="417"/>
      <c r="B143" s="418" t="s">
        <v>428</v>
      </c>
      <c r="C143" s="418"/>
      <c r="D143" s="419">
        <v>1</v>
      </c>
      <c r="E143" s="419">
        <v>2</v>
      </c>
      <c r="F143" s="419">
        <v>3</v>
      </c>
      <c r="G143" s="419">
        <v>4</v>
      </c>
      <c r="H143" s="419">
        <v>5</v>
      </c>
      <c r="I143" s="419">
        <v>6</v>
      </c>
      <c r="J143" s="419">
        <v>7</v>
      </c>
      <c r="K143" s="419">
        <v>8</v>
      </c>
      <c r="L143" s="419">
        <v>9</v>
      </c>
      <c r="M143" s="419">
        <v>10</v>
      </c>
      <c r="N143" s="419">
        <v>11</v>
      </c>
      <c r="O143" s="419">
        <v>12</v>
      </c>
      <c r="P143" s="419">
        <v>13</v>
      </c>
      <c r="Q143" s="419">
        <v>14</v>
      </c>
      <c r="R143" s="419">
        <v>15</v>
      </c>
      <c r="S143" s="419">
        <v>16</v>
      </c>
      <c r="T143" s="419">
        <v>17</v>
      </c>
      <c r="U143" s="419">
        <v>18</v>
      </c>
      <c r="V143" s="419">
        <v>19</v>
      </c>
      <c r="W143" s="419">
        <v>20</v>
      </c>
      <c r="X143" s="452"/>
    </row>
    <row r="144" spans="1:24" hidden="1" outlineLevel="1">
      <c r="B144" s="418" t="s">
        <v>429</v>
      </c>
      <c r="C144" s="418"/>
      <c r="D144" s="419">
        <f>MAX(D143-($H$11),0)</f>
        <v>1</v>
      </c>
      <c r="E144" s="419">
        <f t="shared" ref="E144:W144" si="57">MAX(E143-($H$11),0)</f>
        <v>2</v>
      </c>
      <c r="F144" s="419">
        <f t="shared" si="57"/>
        <v>3</v>
      </c>
      <c r="G144" s="419">
        <f t="shared" si="57"/>
        <v>4</v>
      </c>
      <c r="H144" s="419">
        <f t="shared" si="57"/>
        <v>5</v>
      </c>
      <c r="I144" s="419">
        <f t="shared" si="57"/>
        <v>6</v>
      </c>
      <c r="J144" s="419">
        <f t="shared" si="57"/>
        <v>7</v>
      </c>
      <c r="K144" s="419">
        <f t="shared" si="57"/>
        <v>8</v>
      </c>
      <c r="L144" s="419">
        <f t="shared" si="57"/>
        <v>9</v>
      </c>
      <c r="M144" s="419">
        <f t="shared" si="57"/>
        <v>10</v>
      </c>
      <c r="N144" s="419">
        <f t="shared" si="57"/>
        <v>11</v>
      </c>
      <c r="O144" s="419">
        <f t="shared" si="57"/>
        <v>12</v>
      </c>
      <c r="P144" s="419">
        <f t="shared" si="57"/>
        <v>13</v>
      </c>
      <c r="Q144" s="419">
        <f t="shared" si="57"/>
        <v>14</v>
      </c>
      <c r="R144" s="419">
        <f t="shared" si="57"/>
        <v>15</v>
      </c>
      <c r="S144" s="419">
        <f t="shared" si="57"/>
        <v>16</v>
      </c>
      <c r="T144" s="419">
        <f t="shared" si="57"/>
        <v>17</v>
      </c>
      <c r="U144" s="419">
        <f t="shared" si="57"/>
        <v>18</v>
      </c>
      <c r="V144" s="419">
        <f t="shared" si="57"/>
        <v>19</v>
      </c>
      <c r="W144" s="419">
        <f t="shared" si="57"/>
        <v>20</v>
      </c>
      <c r="X144" s="453"/>
    </row>
    <row r="145" spans="1:24" hidden="1" outlineLevel="1">
      <c r="B145" s="418" t="s">
        <v>323</v>
      </c>
      <c r="C145" s="418"/>
      <c r="D145" s="413">
        <f>-IFERROR(IPMT($F$11,MAX(D144,1),$G$11,$E$11),0)</f>
        <v>0</v>
      </c>
      <c r="E145" s="413">
        <f t="shared" ref="E145:W145" si="58">-IFERROR(IPMT($F$11,MAX(E144,1),$G$11,$E$11),0)</f>
        <v>0</v>
      </c>
      <c r="F145" s="413">
        <f t="shared" si="58"/>
        <v>0</v>
      </c>
      <c r="G145" s="413">
        <f t="shared" si="58"/>
        <v>0</v>
      </c>
      <c r="H145" s="413">
        <f t="shared" si="58"/>
        <v>0</v>
      </c>
      <c r="I145" s="413">
        <f t="shared" si="58"/>
        <v>0</v>
      </c>
      <c r="J145" s="413">
        <f t="shared" si="58"/>
        <v>0</v>
      </c>
      <c r="K145" s="413">
        <f t="shared" si="58"/>
        <v>0</v>
      </c>
      <c r="L145" s="413">
        <f t="shared" si="58"/>
        <v>0</v>
      </c>
      <c r="M145" s="413">
        <f t="shared" si="58"/>
        <v>0</v>
      </c>
      <c r="N145" s="413">
        <f t="shared" si="58"/>
        <v>0</v>
      </c>
      <c r="O145" s="413">
        <f t="shared" si="58"/>
        <v>0</v>
      </c>
      <c r="P145" s="413">
        <f t="shared" si="58"/>
        <v>0</v>
      </c>
      <c r="Q145" s="413">
        <f t="shared" si="58"/>
        <v>0</v>
      </c>
      <c r="R145" s="413">
        <f t="shared" si="58"/>
        <v>0</v>
      </c>
      <c r="S145" s="413">
        <f t="shared" si="58"/>
        <v>0</v>
      </c>
      <c r="T145" s="413">
        <f t="shared" si="58"/>
        <v>0</v>
      </c>
      <c r="U145" s="413">
        <f t="shared" si="58"/>
        <v>0</v>
      </c>
      <c r="V145" s="413">
        <f t="shared" si="58"/>
        <v>0</v>
      </c>
      <c r="W145" s="413">
        <f t="shared" si="58"/>
        <v>0</v>
      </c>
      <c r="X145" s="401"/>
    </row>
    <row r="146" spans="1:24" hidden="1" outlineLevel="1">
      <c r="B146" s="454" t="s">
        <v>324</v>
      </c>
      <c r="C146" s="455"/>
      <c r="D146" s="455">
        <f>-IFERROR(PPMT($F$11,D144,$G$11,$E$11),0)</f>
        <v>0</v>
      </c>
      <c r="E146" s="455">
        <f t="shared" ref="E146:W146" si="59">-IFERROR(PPMT($F$11,E144,$G$11,$E$11),0)</f>
        <v>0</v>
      </c>
      <c r="F146" s="455">
        <f t="shared" si="59"/>
        <v>0</v>
      </c>
      <c r="G146" s="455">
        <f t="shared" si="59"/>
        <v>0</v>
      </c>
      <c r="H146" s="455">
        <f t="shared" si="59"/>
        <v>0</v>
      </c>
      <c r="I146" s="455">
        <f t="shared" si="59"/>
        <v>0</v>
      </c>
      <c r="J146" s="455">
        <f t="shared" si="59"/>
        <v>0</v>
      </c>
      <c r="K146" s="455">
        <f t="shared" si="59"/>
        <v>0</v>
      </c>
      <c r="L146" s="455">
        <f t="shared" si="59"/>
        <v>0</v>
      </c>
      <c r="M146" s="455">
        <f t="shared" si="59"/>
        <v>0</v>
      </c>
      <c r="N146" s="455">
        <f t="shared" si="59"/>
        <v>0</v>
      </c>
      <c r="O146" s="455">
        <f t="shared" si="59"/>
        <v>0</v>
      </c>
      <c r="P146" s="455">
        <f t="shared" si="59"/>
        <v>0</v>
      </c>
      <c r="Q146" s="455">
        <f t="shared" si="59"/>
        <v>0</v>
      </c>
      <c r="R146" s="455">
        <f t="shared" si="59"/>
        <v>0</v>
      </c>
      <c r="S146" s="455">
        <f t="shared" si="59"/>
        <v>0</v>
      </c>
      <c r="T146" s="455">
        <f t="shared" si="59"/>
        <v>0</v>
      </c>
      <c r="U146" s="455">
        <f t="shared" si="59"/>
        <v>0</v>
      </c>
      <c r="V146" s="455">
        <f t="shared" si="59"/>
        <v>0</v>
      </c>
      <c r="W146" s="455">
        <f t="shared" si="59"/>
        <v>0</v>
      </c>
      <c r="X146" s="401"/>
    </row>
    <row r="147" spans="1:24" ht="16" hidden="1" outlineLevel="1" thickBot="1">
      <c r="B147" s="456" t="s">
        <v>1</v>
      </c>
      <c r="C147" s="448"/>
      <c r="D147" s="448">
        <f t="shared" ref="D147:W147" si="60">SUM(D145:D146)</f>
        <v>0</v>
      </c>
      <c r="E147" s="448">
        <f t="shared" si="60"/>
        <v>0</v>
      </c>
      <c r="F147" s="448">
        <f t="shared" si="60"/>
        <v>0</v>
      </c>
      <c r="G147" s="448">
        <f t="shared" si="60"/>
        <v>0</v>
      </c>
      <c r="H147" s="448">
        <f t="shared" si="60"/>
        <v>0</v>
      </c>
      <c r="I147" s="448">
        <f t="shared" si="60"/>
        <v>0</v>
      </c>
      <c r="J147" s="448">
        <f t="shared" si="60"/>
        <v>0</v>
      </c>
      <c r="K147" s="448">
        <f t="shared" si="60"/>
        <v>0</v>
      </c>
      <c r="L147" s="448">
        <f t="shared" si="60"/>
        <v>0</v>
      </c>
      <c r="M147" s="448">
        <f t="shared" si="60"/>
        <v>0</v>
      </c>
      <c r="N147" s="448">
        <f t="shared" si="60"/>
        <v>0</v>
      </c>
      <c r="O147" s="448">
        <f t="shared" si="60"/>
        <v>0</v>
      </c>
      <c r="P147" s="448">
        <f t="shared" si="60"/>
        <v>0</v>
      </c>
      <c r="Q147" s="448">
        <f t="shared" si="60"/>
        <v>0</v>
      </c>
      <c r="R147" s="448">
        <f t="shared" si="60"/>
        <v>0</v>
      </c>
      <c r="S147" s="448">
        <f t="shared" si="60"/>
        <v>0</v>
      </c>
      <c r="T147" s="448">
        <f t="shared" si="60"/>
        <v>0</v>
      </c>
      <c r="U147" s="448">
        <f t="shared" si="60"/>
        <v>0</v>
      </c>
      <c r="V147" s="448">
        <f t="shared" si="60"/>
        <v>0</v>
      </c>
      <c r="W147" s="448">
        <f t="shared" si="60"/>
        <v>0</v>
      </c>
      <c r="X147" s="401"/>
    </row>
    <row r="148" spans="1:24" hidden="1" outlineLevel="1">
      <c r="B148" s="406" t="s">
        <v>430</v>
      </c>
      <c r="C148" s="406"/>
      <c r="D148" s="406"/>
      <c r="E148" s="406"/>
      <c r="F148" s="406"/>
      <c r="G148" s="406"/>
      <c r="H148" s="406"/>
      <c r="I148" s="406"/>
      <c r="J148" s="406"/>
      <c r="K148" s="406"/>
      <c r="L148" s="406"/>
      <c r="M148" s="406"/>
      <c r="N148" s="406"/>
      <c r="O148" s="406"/>
      <c r="P148" s="406"/>
      <c r="Q148" s="406"/>
      <c r="R148" s="406"/>
      <c r="S148" s="406"/>
      <c r="T148" s="406"/>
      <c r="U148" s="406"/>
      <c r="V148" s="406"/>
      <c r="W148" s="406"/>
    </row>
    <row r="149" spans="1:24" hidden="1" outlineLevel="1">
      <c r="B149" s="418" t="s">
        <v>323</v>
      </c>
      <c r="C149" s="413">
        <f>-IFERROR(IPMT($F$11,MAX(D144,1),$G$11,$E$11),0)</f>
        <v>0</v>
      </c>
      <c r="D149" s="413">
        <f t="shared" ref="D149:W149" si="61">SUMIF($D141:$AQ141,D$56,$D145:$AQ145)</f>
        <v>0</v>
      </c>
      <c r="E149" s="413">
        <f t="shared" si="61"/>
        <v>0</v>
      </c>
      <c r="F149" s="413">
        <f t="shared" si="61"/>
        <v>0</v>
      </c>
      <c r="G149" s="413">
        <f t="shared" si="61"/>
        <v>0</v>
      </c>
      <c r="H149" s="413">
        <f t="shared" si="61"/>
        <v>0</v>
      </c>
      <c r="I149" s="413">
        <f t="shared" si="61"/>
        <v>0</v>
      </c>
      <c r="J149" s="413">
        <f t="shared" si="61"/>
        <v>0</v>
      </c>
      <c r="K149" s="413">
        <f t="shared" si="61"/>
        <v>0</v>
      </c>
      <c r="L149" s="413">
        <f t="shared" si="61"/>
        <v>0</v>
      </c>
      <c r="M149" s="413">
        <f t="shared" si="61"/>
        <v>0</v>
      </c>
      <c r="N149" s="413">
        <f t="shared" si="61"/>
        <v>0</v>
      </c>
      <c r="O149" s="413">
        <f t="shared" si="61"/>
        <v>0</v>
      </c>
      <c r="P149" s="413">
        <f t="shared" si="61"/>
        <v>0</v>
      </c>
      <c r="Q149" s="413">
        <f t="shared" si="61"/>
        <v>0</v>
      </c>
      <c r="R149" s="413">
        <f t="shared" si="61"/>
        <v>0</v>
      </c>
      <c r="S149" s="413">
        <f t="shared" si="61"/>
        <v>0</v>
      </c>
      <c r="T149" s="413">
        <f t="shared" si="61"/>
        <v>0</v>
      </c>
      <c r="U149" s="413">
        <f t="shared" si="61"/>
        <v>0</v>
      </c>
      <c r="V149" s="413">
        <f t="shared" si="61"/>
        <v>0</v>
      </c>
      <c r="W149" s="413">
        <f t="shared" si="61"/>
        <v>0</v>
      </c>
      <c r="X149" s="401"/>
    </row>
    <row r="150" spans="1:24" hidden="1" outlineLevel="1">
      <c r="B150" s="454" t="s">
        <v>324</v>
      </c>
      <c r="C150" s="455"/>
      <c r="D150" s="455">
        <f t="shared" ref="D150:W150" si="62">D146</f>
        <v>0</v>
      </c>
      <c r="E150" s="455">
        <f t="shared" si="62"/>
        <v>0</v>
      </c>
      <c r="F150" s="455">
        <f t="shared" si="62"/>
        <v>0</v>
      </c>
      <c r="G150" s="455">
        <f t="shared" si="62"/>
        <v>0</v>
      </c>
      <c r="H150" s="455">
        <f t="shared" si="62"/>
        <v>0</v>
      </c>
      <c r="I150" s="455">
        <f t="shared" si="62"/>
        <v>0</v>
      </c>
      <c r="J150" s="455">
        <f t="shared" si="62"/>
        <v>0</v>
      </c>
      <c r="K150" s="455">
        <f t="shared" si="62"/>
        <v>0</v>
      </c>
      <c r="L150" s="455">
        <f t="shared" si="62"/>
        <v>0</v>
      </c>
      <c r="M150" s="455">
        <f t="shared" si="62"/>
        <v>0</v>
      </c>
      <c r="N150" s="455">
        <f t="shared" si="62"/>
        <v>0</v>
      </c>
      <c r="O150" s="455">
        <f t="shared" si="62"/>
        <v>0</v>
      </c>
      <c r="P150" s="455">
        <f t="shared" si="62"/>
        <v>0</v>
      </c>
      <c r="Q150" s="455">
        <f t="shared" si="62"/>
        <v>0</v>
      </c>
      <c r="R150" s="455">
        <f t="shared" si="62"/>
        <v>0</v>
      </c>
      <c r="S150" s="455">
        <f t="shared" si="62"/>
        <v>0</v>
      </c>
      <c r="T150" s="455">
        <f t="shared" si="62"/>
        <v>0</v>
      </c>
      <c r="U150" s="455">
        <f t="shared" si="62"/>
        <v>0</v>
      </c>
      <c r="V150" s="455">
        <f t="shared" si="62"/>
        <v>0</v>
      </c>
      <c r="W150" s="455">
        <f t="shared" si="62"/>
        <v>0</v>
      </c>
      <c r="X150" s="401"/>
    </row>
    <row r="151" spans="1:24" ht="16" hidden="1" outlineLevel="1" thickBot="1">
      <c r="B151" s="456" t="s">
        <v>1</v>
      </c>
      <c r="C151" s="448">
        <f t="shared" ref="C151:W151" si="63">SUM(C149:C150)</f>
        <v>0</v>
      </c>
      <c r="D151" s="448">
        <f t="shared" si="63"/>
        <v>0</v>
      </c>
      <c r="E151" s="448">
        <f t="shared" si="63"/>
        <v>0</v>
      </c>
      <c r="F151" s="448">
        <f t="shared" si="63"/>
        <v>0</v>
      </c>
      <c r="G151" s="448">
        <f t="shared" si="63"/>
        <v>0</v>
      </c>
      <c r="H151" s="448">
        <f t="shared" si="63"/>
        <v>0</v>
      </c>
      <c r="I151" s="448">
        <f t="shared" si="63"/>
        <v>0</v>
      </c>
      <c r="J151" s="448">
        <f t="shared" si="63"/>
        <v>0</v>
      </c>
      <c r="K151" s="448">
        <f t="shared" si="63"/>
        <v>0</v>
      </c>
      <c r="L151" s="448">
        <f t="shared" si="63"/>
        <v>0</v>
      </c>
      <c r="M151" s="448">
        <f t="shared" si="63"/>
        <v>0</v>
      </c>
      <c r="N151" s="448">
        <f t="shared" si="63"/>
        <v>0</v>
      </c>
      <c r="O151" s="448">
        <f t="shared" si="63"/>
        <v>0</v>
      </c>
      <c r="P151" s="448">
        <f t="shared" si="63"/>
        <v>0</v>
      </c>
      <c r="Q151" s="448">
        <f t="shared" si="63"/>
        <v>0</v>
      </c>
      <c r="R151" s="448">
        <f t="shared" si="63"/>
        <v>0</v>
      </c>
      <c r="S151" s="448">
        <f t="shared" si="63"/>
        <v>0</v>
      </c>
      <c r="T151" s="448">
        <f t="shared" si="63"/>
        <v>0</v>
      </c>
      <c r="U151" s="448">
        <f t="shared" si="63"/>
        <v>0</v>
      </c>
      <c r="V151" s="448">
        <f t="shared" si="63"/>
        <v>0</v>
      </c>
      <c r="W151" s="448">
        <f t="shared" si="63"/>
        <v>0</v>
      </c>
      <c r="X151" s="401"/>
    </row>
    <row r="152" spans="1:24" hidden="1" outlineLevel="1">
      <c r="B152" s="406" t="s">
        <v>424</v>
      </c>
      <c r="C152" s="406"/>
      <c r="D152" s="406"/>
      <c r="E152" s="406"/>
      <c r="F152" s="406"/>
      <c r="G152" s="406"/>
      <c r="H152" s="406"/>
      <c r="I152" s="406"/>
      <c r="J152" s="406"/>
      <c r="K152" s="406"/>
      <c r="L152" s="406"/>
      <c r="M152" s="406"/>
      <c r="N152" s="406"/>
      <c r="O152" s="406"/>
      <c r="P152" s="406"/>
      <c r="Q152" s="406"/>
      <c r="R152" s="406"/>
      <c r="S152" s="406"/>
      <c r="T152" s="406"/>
      <c r="U152" s="406"/>
      <c r="V152" s="406"/>
      <c r="W152" s="406"/>
    </row>
    <row r="153" spans="1:24" hidden="1" outlineLevel="1">
      <c r="B153" s="457" t="s">
        <v>425</v>
      </c>
      <c r="C153" s="458">
        <f t="shared" ref="C153:W153" si="64">D150</f>
        <v>0</v>
      </c>
      <c r="D153" s="458">
        <f t="shared" si="64"/>
        <v>0</v>
      </c>
      <c r="E153" s="458">
        <f t="shared" si="64"/>
        <v>0</v>
      </c>
      <c r="F153" s="458">
        <f t="shared" si="64"/>
        <v>0</v>
      </c>
      <c r="G153" s="458">
        <f t="shared" si="64"/>
        <v>0</v>
      </c>
      <c r="H153" s="458">
        <f t="shared" si="64"/>
        <v>0</v>
      </c>
      <c r="I153" s="458">
        <f t="shared" si="64"/>
        <v>0</v>
      </c>
      <c r="J153" s="458">
        <f t="shared" si="64"/>
        <v>0</v>
      </c>
      <c r="K153" s="458">
        <f t="shared" si="64"/>
        <v>0</v>
      </c>
      <c r="L153" s="458">
        <f t="shared" si="64"/>
        <v>0</v>
      </c>
      <c r="M153" s="458">
        <f t="shared" si="64"/>
        <v>0</v>
      </c>
      <c r="N153" s="458">
        <f t="shared" si="64"/>
        <v>0</v>
      </c>
      <c r="O153" s="458">
        <f t="shared" si="64"/>
        <v>0</v>
      </c>
      <c r="P153" s="458">
        <f t="shared" si="64"/>
        <v>0</v>
      </c>
      <c r="Q153" s="458">
        <f t="shared" si="64"/>
        <v>0</v>
      </c>
      <c r="R153" s="458">
        <f t="shared" si="64"/>
        <v>0</v>
      </c>
      <c r="S153" s="458">
        <f t="shared" si="64"/>
        <v>0</v>
      </c>
      <c r="T153" s="458">
        <f t="shared" si="64"/>
        <v>0</v>
      </c>
      <c r="U153" s="458">
        <f t="shared" si="64"/>
        <v>0</v>
      </c>
      <c r="V153" s="458">
        <f t="shared" si="64"/>
        <v>0</v>
      </c>
      <c r="W153" s="458">
        <f t="shared" si="64"/>
        <v>0</v>
      </c>
      <c r="X153" s="401"/>
    </row>
    <row r="154" spans="1:24" ht="16" hidden="1" outlineLevel="1" thickBot="1">
      <c r="B154" s="414" t="s">
        <v>426</v>
      </c>
      <c r="C154" s="415">
        <f>$E$11-C153</f>
        <v>0</v>
      </c>
      <c r="D154" s="415">
        <f t="shared" ref="D154:W154" si="65">C154-D153</f>
        <v>0</v>
      </c>
      <c r="E154" s="415">
        <f t="shared" si="65"/>
        <v>0</v>
      </c>
      <c r="F154" s="415">
        <f t="shared" si="65"/>
        <v>0</v>
      </c>
      <c r="G154" s="415">
        <f t="shared" si="65"/>
        <v>0</v>
      </c>
      <c r="H154" s="415">
        <f t="shared" si="65"/>
        <v>0</v>
      </c>
      <c r="I154" s="415">
        <f t="shared" si="65"/>
        <v>0</v>
      </c>
      <c r="J154" s="415">
        <f t="shared" si="65"/>
        <v>0</v>
      </c>
      <c r="K154" s="415">
        <f t="shared" si="65"/>
        <v>0</v>
      </c>
      <c r="L154" s="415">
        <f t="shared" si="65"/>
        <v>0</v>
      </c>
      <c r="M154" s="415">
        <f t="shared" si="65"/>
        <v>0</v>
      </c>
      <c r="N154" s="415">
        <f t="shared" si="65"/>
        <v>0</v>
      </c>
      <c r="O154" s="415">
        <f t="shared" si="65"/>
        <v>0</v>
      </c>
      <c r="P154" s="415">
        <f t="shared" si="65"/>
        <v>0</v>
      </c>
      <c r="Q154" s="415">
        <f t="shared" si="65"/>
        <v>0</v>
      </c>
      <c r="R154" s="415">
        <f t="shared" si="65"/>
        <v>0</v>
      </c>
      <c r="S154" s="415">
        <f t="shared" si="65"/>
        <v>0</v>
      </c>
      <c r="T154" s="415">
        <f t="shared" si="65"/>
        <v>0</v>
      </c>
      <c r="U154" s="415">
        <f t="shared" si="65"/>
        <v>0</v>
      </c>
      <c r="V154" s="415">
        <f t="shared" si="65"/>
        <v>0</v>
      </c>
      <c r="W154" s="415">
        <f t="shared" si="65"/>
        <v>0</v>
      </c>
      <c r="X154" s="401"/>
    </row>
    <row r="155" spans="1:24" hidden="1" outlineLevel="1"/>
    <row r="156" spans="1:24" ht="16" collapsed="1" thickBot="1"/>
    <row r="157" spans="1:24" ht="16" thickTop="1">
      <c r="A157" s="374">
        <f>A140+1</f>
        <v>8</v>
      </c>
      <c r="B157" s="379" t="str">
        <f>"Year "&amp;A157&amp;" Working Capital Financing"</f>
        <v>Year 8 Working Capital Financing</v>
      </c>
      <c r="C157" s="379"/>
      <c r="D157" s="379"/>
      <c r="E157" s="379"/>
      <c r="F157" s="379"/>
      <c r="G157" s="379"/>
      <c r="H157" s="379"/>
      <c r="I157" s="379"/>
      <c r="J157" s="379"/>
      <c r="K157" s="379"/>
      <c r="L157" s="379"/>
      <c r="M157" s="379"/>
      <c r="N157" s="379"/>
      <c r="O157" s="379"/>
      <c r="P157" s="379"/>
      <c r="Q157" s="379"/>
      <c r="R157" s="379"/>
      <c r="S157" s="379"/>
      <c r="T157" s="379"/>
      <c r="U157" s="379"/>
      <c r="V157" s="379"/>
      <c r="W157" s="379"/>
    </row>
    <row r="158" spans="1:24" s="420" customFormat="1" ht="16" hidden="1" outlineLevel="1" thickBot="1">
      <c r="A158" s="417"/>
      <c r="B158" s="405"/>
      <c r="C158" s="405">
        <v>0</v>
      </c>
      <c r="D158" s="405">
        <v>1</v>
      </c>
      <c r="E158" s="405">
        <v>2</v>
      </c>
      <c r="F158" s="405">
        <v>3</v>
      </c>
      <c r="G158" s="405">
        <v>4</v>
      </c>
      <c r="H158" s="405">
        <v>5</v>
      </c>
      <c r="I158" s="405">
        <v>6</v>
      </c>
      <c r="J158" s="405">
        <v>7</v>
      </c>
      <c r="K158" s="405">
        <v>8</v>
      </c>
      <c r="L158" s="405">
        <v>9</v>
      </c>
      <c r="M158" s="405">
        <v>10</v>
      </c>
      <c r="N158" s="405">
        <v>11</v>
      </c>
      <c r="O158" s="405">
        <v>12</v>
      </c>
      <c r="P158" s="405">
        <v>13</v>
      </c>
      <c r="Q158" s="405">
        <v>14</v>
      </c>
      <c r="R158" s="405">
        <v>15</v>
      </c>
      <c r="S158" s="405">
        <v>16</v>
      </c>
      <c r="T158" s="405">
        <v>17</v>
      </c>
      <c r="U158" s="405">
        <v>18</v>
      </c>
      <c r="V158" s="405">
        <v>19</v>
      </c>
      <c r="W158" s="405">
        <v>20</v>
      </c>
      <c r="X158" s="451"/>
    </row>
    <row r="159" spans="1:24" hidden="1" outlineLevel="1">
      <c r="B159" s="406" t="s">
        <v>421</v>
      </c>
      <c r="C159" s="406"/>
      <c r="D159" s="406"/>
      <c r="E159" s="406"/>
      <c r="F159" s="406"/>
      <c r="G159" s="406"/>
      <c r="H159" s="406"/>
      <c r="I159" s="406"/>
      <c r="J159" s="406"/>
      <c r="K159" s="406"/>
      <c r="L159" s="406"/>
      <c r="M159" s="406"/>
      <c r="N159" s="406"/>
      <c r="O159" s="406"/>
      <c r="P159" s="406"/>
      <c r="Q159" s="406"/>
      <c r="R159" s="406"/>
      <c r="S159" s="406"/>
      <c r="T159" s="406"/>
      <c r="U159" s="406"/>
      <c r="V159" s="406"/>
      <c r="W159" s="406"/>
    </row>
    <row r="160" spans="1:24" s="420" customFormat="1" hidden="1" outlineLevel="1">
      <c r="A160" s="417"/>
      <c r="B160" s="418" t="s">
        <v>428</v>
      </c>
      <c r="C160" s="418"/>
      <c r="D160" s="419">
        <v>1</v>
      </c>
      <c r="E160" s="419">
        <v>2</v>
      </c>
      <c r="F160" s="419">
        <v>3</v>
      </c>
      <c r="G160" s="419">
        <v>4</v>
      </c>
      <c r="H160" s="419">
        <v>5</v>
      </c>
      <c r="I160" s="419">
        <v>6</v>
      </c>
      <c r="J160" s="419">
        <v>7</v>
      </c>
      <c r="K160" s="419">
        <v>8</v>
      </c>
      <c r="L160" s="419">
        <v>9</v>
      </c>
      <c r="M160" s="419">
        <v>10</v>
      </c>
      <c r="N160" s="419">
        <v>11</v>
      </c>
      <c r="O160" s="419">
        <v>12</v>
      </c>
      <c r="P160" s="419">
        <v>13</v>
      </c>
      <c r="Q160" s="419">
        <v>14</v>
      </c>
      <c r="R160" s="419">
        <v>15</v>
      </c>
      <c r="S160" s="419">
        <v>16</v>
      </c>
      <c r="T160" s="419">
        <v>17</v>
      </c>
      <c r="U160" s="419">
        <v>18</v>
      </c>
      <c r="V160" s="419">
        <v>19</v>
      </c>
      <c r="W160" s="419">
        <v>20</v>
      </c>
      <c r="X160" s="452"/>
    </row>
    <row r="161" spans="1:24" hidden="1" outlineLevel="1">
      <c r="B161" s="421" t="s">
        <v>429</v>
      </c>
      <c r="C161" s="421"/>
      <c r="D161" s="422">
        <f>MAX(D160-($H$12),0)</f>
        <v>1</v>
      </c>
      <c r="E161" s="422">
        <f t="shared" ref="E161:W161" si="66">MAX(E160-($H$12),0)</f>
        <v>2</v>
      </c>
      <c r="F161" s="422">
        <f t="shared" si="66"/>
        <v>3</v>
      </c>
      <c r="G161" s="422">
        <f t="shared" si="66"/>
        <v>4</v>
      </c>
      <c r="H161" s="422">
        <f t="shared" si="66"/>
        <v>5</v>
      </c>
      <c r="I161" s="422">
        <f t="shared" si="66"/>
        <v>6</v>
      </c>
      <c r="J161" s="422">
        <f t="shared" si="66"/>
        <v>7</v>
      </c>
      <c r="K161" s="422">
        <f t="shared" si="66"/>
        <v>8</v>
      </c>
      <c r="L161" s="422">
        <f t="shared" si="66"/>
        <v>9</v>
      </c>
      <c r="M161" s="422">
        <f t="shared" si="66"/>
        <v>10</v>
      </c>
      <c r="N161" s="422">
        <f t="shared" si="66"/>
        <v>11</v>
      </c>
      <c r="O161" s="422">
        <f t="shared" si="66"/>
        <v>12</v>
      </c>
      <c r="P161" s="422">
        <f t="shared" si="66"/>
        <v>13</v>
      </c>
      <c r="Q161" s="422">
        <f t="shared" si="66"/>
        <v>14</v>
      </c>
      <c r="R161" s="422">
        <f t="shared" si="66"/>
        <v>15</v>
      </c>
      <c r="S161" s="422">
        <f t="shared" si="66"/>
        <v>16</v>
      </c>
      <c r="T161" s="422">
        <f t="shared" si="66"/>
        <v>17</v>
      </c>
      <c r="U161" s="422">
        <f t="shared" si="66"/>
        <v>18</v>
      </c>
      <c r="V161" s="422">
        <f t="shared" si="66"/>
        <v>19</v>
      </c>
      <c r="W161" s="422">
        <f t="shared" si="66"/>
        <v>20</v>
      </c>
      <c r="X161" s="453"/>
    </row>
    <row r="162" spans="1:24" hidden="1" outlineLevel="1">
      <c r="B162" s="421" t="s">
        <v>323</v>
      </c>
      <c r="C162" s="421"/>
      <c r="D162" s="408">
        <f>-IFERROR(IPMT($F$12,MAX(D161,1),$G$12,$E$12),0)</f>
        <v>0</v>
      </c>
      <c r="E162" s="408">
        <f t="shared" ref="E162:W162" si="67">-IFERROR(IPMT($F$12,MAX(E161,1),$G$12,$E$12),0)</f>
        <v>0</v>
      </c>
      <c r="F162" s="408">
        <f t="shared" si="67"/>
        <v>0</v>
      </c>
      <c r="G162" s="408">
        <f t="shared" si="67"/>
        <v>0</v>
      </c>
      <c r="H162" s="408">
        <f t="shared" si="67"/>
        <v>0</v>
      </c>
      <c r="I162" s="408">
        <f t="shared" si="67"/>
        <v>0</v>
      </c>
      <c r="J162" s="408">
        <f t="shared" si="67"/>
        <v>0</v>
      </c>
      <c r="K162" s="408">
        <f t="shared" si="67"/>
        <v>0</v>
      </c>
      <c r="L162" s="408">
        <f t="shared" si="67"/>
        <v>0</v>
      </c>
      <c r="M162" s="408">
        <f t="shared" si="67"/>
        <v>0</v>
      </c>
      <c r="N162" s="408">
        <f t="shared" si="67"/>
        <v>0</v>
      </c>
      <c r="O162" s="408">
        <f t="shared" si="67"/>
        <v>0</v>
      </c>
      <c r="P162" s="408">
        <f t="shared" si="67"/>
        <v>0</v>
      </c>
      <c r="Q162" s="408">
        <f t="shared" si="67"/>
        <v>0</v>
      </c>
      <c r="R162" s="408">
        <f t="shared" si="67"/>
        <v>0</v>
      </c>
      <c r="S162" s="408">
        <f t="shared" si="67"/>
        <v>0</v>
      </c>
      <c r="T162" s="408">
        <f t="shared" si="67"/>
        <v>0</v>
      </c>
      <c r="U162" s="408">
        <f t="shared" si="67"/>
        <v>0</v>
      </c>
      <c r="V162" s="408">
        <f t="shared" si="67"/>
        <v>0</v>
      </c>
      <c r="W162" s="408">
        <f t="shared" si="67"/>
        <v>0</v>
      </c>
      <c r="X162" s="401"/>
    </row>
    <row r="163" spans="1:24" hidden="1" outlineLevel="1">
      <c r="B163" s="454" t="s">
        <v>324</v>
      </c>
      <c r="C163" s="455"/>
      <c r="D163" s="455">
        <f>-IFERROR(PPMT($F$12,D161,$G$12,$E$12),0)</f>
        <v>0</v>
      </c>
      <c r="E163" s="455">
        <f t="shared" ref="E163:W163" si="68">-IFERROR(PPMT($F$12,E161,$G$12,$E$12),0)</f>
        <v>0</v>
      </c>
      <c r="F163" s="455">
        <f t="shared" si="68"/>
        <v>0</v>
      </c>
      <c r="G163" s="455">
        <f t="shared" si="68"/>
        <v>0</v>
      </c>
      <c r="H163" s="455">
        <f t="shared" si="68"/>
        <v>0</v>
      </c>
      <c r="I163" s="455">
        <f t="shared" si="68"/>
        <v>0</v>
      </c>
      <c r="J163" s="455">
        <f t="shared" si="68"/>
        <v>0</v>
      </c>
      <c r="K163" s="455">
        <f t="shared" si="68"/>
        <v>0</v>
      </c>
      <c r="L163" s="455">
        <f t="shared" si="68"/>
        <v>0</v>
      </c>
      <c r="M163" s="455">
        <f t="shared" si="68"/>
        <v>0</v>
      </c>
      <c r="N163" s="455">
        <f t="shared" si="68"/>
        <v>0</v>
      </c>
      <c r="O163" s="455">
        <f t="shared" si="68"/>
        <v>0</v>
      </c>
      <c r="P163" s="455">
        <f t="shared" si="68"/>
        <v>0</v>
      </c>
      <c r="Q163" s="455">
        <f t="shared" si="68"/>
        <v>0</v>
      </c>
      <c r="R163" s="455">
        <f t="shared" si="68"/>
        <v>0</v>
      </c>
      <c r="S163" s="455">
        <f t="shared" si="68"/>
        <v>0</v>
      </c>
      <c r="T163" s="455">
        <f t="shared" si="68"/>
        <v>0</v>
      </c>
      <c r="U163" s="455">
        <f t="shared" si="68"/>
        <v>0</v>
      </c>
      <c r="V163" s="455">
        <f t="shared" si="68"/>
        <v>0</v>
      </c>
      <c r="W163" s="455">
        <f t="shared" si="68"/>
        <v>0</v>
      </c>
      <c r="X163" s="401"/>
    </row>
    <row r="164" spans="1:24" ht="16" hidden="1" outlineLevel="1" thickBot="1">
      <c r="B164" s="456" t="s">
        <v>1</v>
      </c>
      <c r="C164" s="448"/>
      <c r="D164" s="448">
        <f t="shared" ref="D164:W164" si="69">SUM(D162:D163)</f>
        <v>0</v>
      </c>
      <c r="E164" s="448">
        <f t="shared" si="69"/>
        <v>0</v>
      </c>
      <c r="F164" s="448">
        <f t="shared" si="69"/>
        <v>0</v>
      </c>
      <c r="G164" s="448">
        <f t="shared" si="69"/>
        <v>0</v>
      </c>
      <c r="H164" s="448">
        <f t="shared" si="69"/>
        <v>0</v>
      </c>
      <c r="I164" s="448">
        <f t="shared" si="69"/>
        <v>0</v>
      </c>
      <c r="J164" s="448">
        <f t="shared" si="69"/>
        <v>0</v>
      </c>
      <c r="K164" s="448">
        <f t="shared" si="69"/>
        <v>0</v>
      </c>
      <c r="L164" s="448">
        <f t="shared" si="69"/>
        <v>0</v>
      </c>
      <c r="M164" s="448">
        <f t="shared" si="69"/>
        <v>0</v>
      </c>
      <c r="N164" s="448">
        <f t="shared" si="69"/>
        <v>0</v>
      </c>
      <c r="O164" s="448">
        <f t="shared" si="69"/>
        <v>0</v>
      </c>
      <c r="P164" s="448">
        <f t="shared" si="69"/>
        <v>0</v>
      </c>
      <c r="Q164" s="448">
        <f t="shared" si="69"/>
        <v>0</v>
      </c>
      <c r="R164" s="448">
        <f t="shared" si="69"/>
        <v>0</v>
      </c>
      <c r="S164" s="448">
        <f t="shared" si="69"/>
        <v>0</v>
      </c>
      <c r="T164" s="448">
        <f t="shared" si="69"/>
        <v>0</v>
      </c>
      <c r="U164" s="448">
        <f t="shared" si="69"/>
        <v>0</v>
      </c>
      <c r="V164" s="448">
        <f t="shared" si="69"/>
        <v>0</v>
      </c>
      <c r="W164" s="448">
        <f t="shared" si="69"/>
        <v>0</v>
      </c>
      <c r="X164" s="401"/>
    </row>
    <row r="165" spans="1:24" hidden="1" outlineLevel="1">
      <c r="B165" s="406" t="s">
        <v>430</v>
      </c>
      <c r="C165" s="406"/>
      <c r="D165" s="406"/>
      <c r="E165" s="406"/>
      <c r="F165" s="406"/>
      <c r="G165" s="406"/>
      <c r="H165" s="406"/>
      <c r="I165" s="406"/>
      <c r="J165" s="406"/>
      <c r="K165" s="406"/>
      <c r="L165" s="406"/>
      <c r="M165" s="406"/>
      <c r="N165" s="406"/>
      <c r="O165" s="406"/>
      <c r="P165" s="406"/>
      <c r="Q165" s="406"/>
      <c r="R165" s="406"/>
      <c r="S165" s="406"/>
      <c r="T165" s="406"/>
      <c r="U165" s="406"/>
      <c r="V165" s="406"/>
      <c r="W165" s="406"/>
    </row>
    <row r="166" spans="1:24" hidden="1" outlineLevel="1">
      <c r="B166" s="421" t="s">
        <v>323</v>
      </c>
      <c r="C166" s="408">
        <f>-IFERROR(IPMT($F$12,MAX(D161,1),$G$12,$E$12),0)</f>
        <v>0</v>
      </c>
      <c r="D166" s="408">
        <f>SUMIF($D158:$AQ158,D$73,$D162:$AQ162)</f>
        <v>0</v>
      </c>
      <c r="E166" s="408">
        <f t="shared" ref="E166:W166" si="70">SUMIF($D158:$AQ158,E$73,$D162:$AQ162)</f>
        <v>0</v>
      </c>
      <c r="F166" s="408">
        <f t="shared" si="70"/>
        <v>0</v>
      </c>
      <c r="G166" s="408">
        <f t="shared" si="70"/>
        <v>0</v>
      </c>
      <c r="H166" s="408">
        <f t="shared" si="70"/>
        <v>0</v>
      </c>
      <c r="I166" s="408">
        <f t="shared" si="70"/>
        <v>0</v>
      </c>
      <c r="J166" s="408">
        <f t="shared" si="70"/>
        <v>0</v>
      </c>
      <c r="K166" s="408">
        <f t="shared" si="70"/>
        <v>0</v>
      </c>
      <c r="L166" s="408">
        <f t="shared" si="70"/>
        <v>0</v>
      </c>
      <c r="M166" s="408">
        <f t="shared" si="70"/>
        <v>0</v>
      </c>
      <c r="N166" s="408">
        <f t="shared" si="70"/>
        <v>0</v>
      </c>
      <c r="O166" s="408">
        <f t="shared" si="70"/>
        <v>0</v>
      </c>
      <c r="P166" s="408">
        <f t="shared" si="70"/>
        <v>0</v>
      </c>
      <c r="Q166" s="408">
        <f t="shared" si="70"/>
        <v>0</v>
      </c>
      <c r="R166" s="408">
        <f t="shared" si="70"/>
        <v>0</v>
      </c>
      <c r="S166" s="408">
        <f t="shared" si="70"/>
        <v>0</v>
      </c>
      <c r="T166" s="408">
        <f t="shared" si="70"/>
        <v>0</v>
      </c>
      <c r="U166" s="408">
        <f t="shared" si="70"/>
        <v>0</v>
      </c>
      <c r="V166" s="408">
        <f t="shared" si="70"/>
        <v>0</v>
      </c>
      <c r="W166" s="408">
        <f t="shared" si="70"/>
        <v>0</v>
      </c>
      <c r="X166" s="401"/>
    </row>
    <row r="167" spans="1:24" hidden="1" outlineLevel="1">
      <c r="B167" s="454" t="s">
        <v>324</v>
      </c>
      <c r="C167" s="455"/>
      <c r="D167" s="455">
        <f t="shared" ref="D167:W167" si="71">D163</f>
        <v>0</v>
      </c>
      <c r="E167" s="455">
        <f t="shared" si="71"/>
        <v>0</v>
      </c>
      <c r="F167" s="455">
        <f t="shared" si="71"/>
        <v>0</v>
      </c>
      <c r="G167" s="455">
        <f t="shared" si="71"/>
        <v>0</v>
      </c>
      <c r="H167" s="455">
        <f t="shared" si="71"/>
        <v>0</v>
      </c>
      <c r="I167" s="455">
        <f t="shared" si="71"/>
        <v>0</v>
      </c>
      <c r="J167" s="455">
        <f t="shared" si="71"/>
        <v>0</v>
      </c>
      <c r="K167" s="455">
        <f t="shared" si="71"/>
        <v>0</v>
      </c>
      <c r="L167" s="455">
        <f t="shared" si="71"/>
        <v>0</v>
      </c>
      <c r="M167" s="455">
        <f t="shared" si="71"/>
        <v>0</v>
      </c>
      <c r="N167" s="455">
        <f t="shared" si="71"/>
        <v>0</v>
      </c>
      <c r="O167" s="455">
        <f t="shared" si="71"/>
        <v>0</v>
      </c>
      <c r="P167" s="455">
        <f t="shared" si="71"/>
        <v>0</v>
      </c>
      <c r="Q167" s="455">
        <f t="shared" si="71"/>
        <v>0</v>
      </c>
      <c r="R167" s="455">
        <f t="shared" si="71"/>
        <v>0</v>
      </c>
      <c r="S167" s="455">
        <f t="shared" si="71"/>
        <v>0</v>
      </c>
      <c r="T167" s="455">
        <f t="shared" si="71"/>
        <v>0</v>
      </c>
      <c r="U167" s="455">
        <f t="shared" si="71"/>
        <v>0</v>
      </c>
      <c r="V167" s="455">
        <f t="shared" si="71"/>
        <v>0</v>
      </c>
      <c r="W167" s="455">
        <f t="shared" si="71"/>
        <v>0</v>
      </c>
      <c r="X167" s="401"/>
    </row>
    <row r="168" spans="1:24" ht="16" hidden="1" outlineLevel="1" thickBot="1">
      <c r="B168" s="456" t="s">
        <v>1</v>
      </c>
      <c r="C168" s="448">
        <f t="shared" ref="C168:W168" si="72">SUM(C166:C167)</f>
        <v>0</v>
      </c>
      <c r="D168" s="448">
        <f t="shared" si="72"/>
        <v>0</v>
      </c>
      <c r="E168" s="448">
        <f t="shared" si="72"/>
        <v>0</v>
      </c>
      <c r="F168" s="448">
        <f t="shared" si="72"/>
        <v>0</v>
      </c>
      <c r="G168" s="448">
        <f t="shared" si="72"/>
        <v>0</v>
      </c>
      <c r="H168" s="448">
        <f t="shared" si="72"/>
        <v>0</v>
      </c>
      <c r="I168" s="448">
        <f t="shared" si="72"/>
        <v>0</v>
      </c>
      <c r="J168" s="448">
        <f t="shared" si="72"/>
        <v>0</v>
      </c>
      <c r="K168" s="448">
        <f t="shared" si="72"/>
        <v>0</v>
      </c>
      <c r="L168" s="448">
        <f t="shared" si="72"/>
        <v>0</v>
      </c>
      <c r="M168" s="448">
        <f t="shared" si="72"/>
        <v>0</v>
      </c>
      <c r="N168" s="448">
        <f t="shared" si="72"/>
        <v>0</v>
      </c>
      <c r="O168" s="448">
        <f t="shared" si="72"/>
        <v>0</v>
      </c>
      <c r="P168" s="448">
        <f t="shared" si="72"/>
        <v>0</v>
      </c>
      <c r="Q168" s="448">
        <f t="shared" si="72"/>
        <v>0</v>
      </c>
      <c r="R168" s="448">
        <f t="shared" si="72"/>
        <v>0</v>
      </c>
      <c r="S168" s="448">
        <f t="shared" si="72"/>
        <v>0</v>
      </c>
      <c r="T168" s="448">
        <f t="shared" si="72"/>
        <v>0</v>
      </c>
      <c r="U168" s="448">
        <f t="shared" si="72"/>
        <v>0</v>
      </c>
      <c r="V168" s="448">
        <f t="shared" si="72"/>
        <v>0</v>
      </c>
      <c r="W168" s="448">
        <f t="shared" si="72"/>
        <v>0</v>
      </c>
      <c r="X168" s="401"/>
    </row>
    <row r="169" spans="1:24" hidden="1" outlineLevel="1">
      <c r="B169" s="406" t="s">
        <v>424</v>
      </c>
      <c r="C169" s="406"/>
      <c r="D169" s="406"/>
      <c r="E169" s="406"/>
      <c r="F169" s="406"/>
      <c r="G169" s="406"/>
      <c r="H169" s="406"/>
      <c r="I169" s="406"/>
      <c r="J169" s="406"/>
      <c r="K169" s="406"/>
      <c r="L169" s="406"/>
      <c r="M169" s="406"/>
      <c r="N169" s="406"/>
      <c r="O169" s="406"/>
      <c r="P169" s="406"/>
      <c r="Q169" s="406"/>
      <c r="R169" s="406"/>
      <c r="S169" s="406"/>
      <c r="T169" s="406"/>
      <c r="U169" s="406"/>
      <c r="V169" s="406"/>
      <c r="W169" s="406"/>
    </row>
    <row r="170" spans="1:24" hidden="1" outlineLevel="1">
      <c r="B170" s="457" t="s">
        <v>425</v>
      </c>
      <c r="C170" s="458">
        <f t="shared" ref="C170:W170" si="73">D167</f>
        <v>0</v>
      </c>
      <c r="D170" s="458">
        <f t="shared" si="73"/>
        <v>0</v>
      </c>
      <c r="E170" s="458">
        <f t="shared" si="73"/>
        <v>0</v>
      </c>
      <c r="F170" s="458">
        <f t="shared" si="73"/>
        <v>0</v>
      </c>
      <c r="G170" s="458">
        <f t="shared" si="73"/>
        <v>0</v>
      </c>
      <c r="H170" s="458">
        <f t="shared" si="73"/>
        <v>0</v>
      </c>
      <c r="I170" s="458">
        <f t="shared" si="73"/>
        <v>0</v>
      </c>
      <c r="J170" s="458">
        <f t="shared" si="73"/>
        <v>0</v>
      </c>
      <c r="K170" s="458">
        <f t="shared" si="73"/>
        <v>0</v>
      </c>
      <c r="L170" s="458">
        <f t="shared" si="73"/>
        <v>0</v>
      </c>
      <c r="M170" s="458">
        <f t="shared" si="73"/>
        <v>0</v>
      </c>
      <c r="N170" s="458">
        <f t="shared" si="73"/>
        <v>0</v>
      </c>
      <c r="O170" s="458">
        <f t="shared" si="73"/>
        <v>0</v>
      </c>
      <c r="P170" s="458">
        <f t="shared" si="73"/>
        <v>0</v>
      </c>
      <c r="Q170" s="458">
        <f t="shared" si="73"/>
        <v>0</v>
      </c>
      <c r="R170" s="458">
        <f t="shared" si="73"/>
        <v>0</v>
      </c>
      <c r="S170" s="458">
        <f t="shared" si="73"/>
        <v>0</v>
      </c>
      <c r="T170" s="458">
        <f t="shared" si="73"/>
        <v>0</v>
      </c>
      <c r="U170" s="458">
        <f t="shared" si="73"/>
        <v>0</v>
      </c>
      <c r="V170" s="458">
        <f t="shared" si="73"/>
        <v>0</v>
      </c>
      <c r="W170" s="458">
        <f t="shared" si="73"/>
        <v>0</v>
      </c>
      <c r="X170" s="401"/>
    </row>
    <row r="171" spans="1:24" ht="16" hidden="1" outlineLevel="1" thickBot="1">
      <c r="B171" s="414" t="s">
        <v>426</v>
      </c>
      <c r="C171" s="415">
        <f>$E$12-C170</f>
        <v>0</v>
      </c>
      <c r="D171" s="415">
        <f t="shared" ref="D171:W171" si="74">C171-D170</f>
        <v>0</v>
      </c>
      <c r="E171" s="415">
        <f t="shared" si="74"/>
        <v>0</v>
      </c>
      <c r="F171" s="415">
        <f t="shared" si="74"/>
        <v>0</v>
      </c>
      <c r="G171" s="415">
        <f t="shared" si="74"/>
        <v>0</v>
      </c>
      <c r="H171" s="415">
        <f t="shared" si="74"/>
        <v>0</v>
      </c>
      <c r="I171" s="415">
        <f t="shared" si="74"/>
        <v>0</v>
      </c>
      <c r="J171" s="415">
        <f t="shared" si="74"/>
        <v>0</v>
      </c>
      <c r="K171" s="415">
        <f t="shared" si="74"/>
        <v>0</v>
      </c>
      <c r="L171" s="415">
        <f t="shared" si="74"/>
        <v>0</v>
      </c>
      <c r="M171" s="415">
        <f t="shared" si="74"/>
        <v>0</v>
      </c>
      <c r="N171" s="415">
        <f t="shared" si="74"/>
        <v>0</v>
      </c>
      <c r="O171" s="415">
        <f t="shared" si="74"/>
        <v>0</v>
      </c>
      <c r="P171" s="415">
        <f t="shared" si="74"/>
        <v>0</v>
      </c>
      <c r="Q171" s="415">
        <f t="shared" si="74"/>
        <v>0</v>
      </c>
      <c r="R171" s="415">
        <f t="shared" si="74"/>
        <v>0</v>
      </c>
      <c r="S171" s="415">
        <f t="shared" si="74"/>
        <v>0</v>
      </c>
      <c r="T171" s="415">
        <f t="shared" si="74"/>
        <v>0</v>
      </c>
      <c r="U171" s="415">
        <f t="shared" si="74"/>
        <v>0</v>
      </c>
      <c r="V171" s="415">
        <f t="shared" si="74"/>
        <v>0</v>
      </c>
      <c r="W171" s="415">
        <f t="shared" si="74"/>
        <v>0</v>
      </c>
      <c r="X171" s="401"/>
    </row>
    <row r="172" spans="1:24" hidden="1" outlineLevel="1"/>
    <row r="173" spans="1:24" ht="16" collapsed="1" thickBot="1"/>
    <row r="174" spans="1:24" ht="16" thickTop="1">
      <c r="A174" s="374">
        <f>A157+1</f>
        <v>9</v>
      </c>
      <c r="B174" s="379" t="str">
        <f>"Year "&amp;A174&amp;" Working Capital Financing"</f>
        <v>Year 9 Working Capital Financing</v>
      </c>
      <c r="C174" s="379"/>
      <c r="D174" s="379"/>
      <c r="E174" s="379"/>
      <c r="F174" s="379"/>
      <c r="G174" s="379"/>
      <c r="H174" s="379"/>
      <c r="I174" s="379"/>
      <c r="J174" s="379"/>
      <c r="K174" s="379"/>
      <c r="L174" s="379"/>
      <c r="M174" s="379"/>
      <c r="N174" s="379"/>
      <c r="O174" s="379"/>
      <c r="P174" s="379"/>
      <c r="Q174" s="379"/>
      <c r="R174" s="379"/>
      <c r="S174" s="379"/>
      <c r="T174" s="379"/>
      <c r="U174" s="379"/>
      <c r="V174" s="379"/>
      <c r="W174" s="379"/>
    </row>
    <row r="175" spans="1:24" s="420" customFormat="1" ht="16" hidden="1" outlineLevel="1" thickBot="1">
      <c r="A175" s="417"/>
      <c r="B175" s="405"/>
      <c r="C175" s="405">
        <v>0</v>
      </c>
      <c r="D175" s="405">
        <v>1</v>
      </c>
      <c r="E175" s="405">
        <v>2</v>
      </c>
      <c r="F175" s="405">
        <v>3</v>
      </c>
      <c r="G175" s="405">
        <v>4</v>
      </c>
      <c r="H175" s="405">
        <v>5</v>
      </c>
      <c r="I175" s="405">
        <v>6</v>
      </c>
      <c r="J175" s="405">
        <v>7</v>
      </c>
      <c r="K175" s="405">
        <v>8</v>
      </c>
      <c r="L175" s="405">
        <v>9</v>
      </c>
      <c r="M175" s="405">
        <v>10</v>
      </c>
      <c r="N175" s="405">
        <v>11</v>
      </c>
      <c r="O175" s="405">
        <v>12</v>
      </c>
      <c r="P175" s="405">
        <v>13</v>
      </c>
      <c r="Q175" s="405">
        <v>14</v>
      </c>
      <c r="R175" s="405">
        <v>15</v>
      </c>
      <c r="S175" s="405">
        <v>16</v>
      </c>
      <c r="T175" s="405">
        <v>17</v>
      </c>
      <c r="U175" s="405">
        <v>18</v>
      </c>
      <c r="V175" s="405">
        <v>19</v>
      </c>
      <c r="W175" s="405">
        <v>20</v>
      </c>
      <c r="X175" s="451"/>
    </row>
    <row r="176" spans="1:24" hidden="1" outlineLevel="1">
      <c r="B176" s="406" t="s">
        <v>421</v>
      </c>
      <c r="C176" s="406"/>
      <c r="D176" s="406"/>
      <c r="E176" s="406"/>
      <c r="F176" s="406"/>
      <c r="G176" s="406"/>
      <c r="H176" s="406"/>
      <c r="I176" s="406"/>
      <c r="J176" s="406"/>
      <c r="K176" s="406"/>
      <c r="L176" s="406"/>
      <c r="M176" s="406"/>
      <c r="N176" s="406"/>
      <c r="O176" s="406"/>
      <c r="P176" s="406"/>
      <c r="Q176" s="406"/>
      <c r="R176" s="406"/>
      <c r="S176" s="406"/>
      <c r="T176" s="406"/>
      <c r="U176" s="406"/>
      <c r="V176" s="406"/>
      <c r="W176" s="406"/>
    </row>
    <row r="177" spans="1:24" s="420" customFormat="1" hidden="1" outlineLevel="1">
      <c r="A177" s="417"/>
      <c r="B177" s="418" t="s">
        <v>428</v>
      </c>
      <c r="C177" s="418"/>
      <c r="D177" s="419">
        <v>1</v>
      </c>
      <c r="E177" s="419">
        <v>2</v>
      </c>
      <c r="F177" s="419">
        <v>3</v>
      </c>
      <c r="G177" s="419">
        <v>4</v>
      </c>
      <c r="H177" s="419">
        <v>5</v>
      </c>
      <c r="I177" s="419">
        <v>6</v>
      </c>
      <c r="J177" s="419">
        <v>7</v>
      </c>
      <c r="K177" s="419">
        <v>8</v>
      </c>
      <c r="L177" s="419">
        <v>9</v>
      </c>
      <c r="M177" s="419">
        <v>10</v>
      </c>
      <c r="N177" s="419">
        <v>11</v>
      </c>
      <c r="O177" s="419">
        <v>12</v>
      </c>
      <c r="P177" s="419">
        <v>13</v>
      </c>
      <c r="Q177" s="419">
        <v>14</v>
      </c>
      <c r="R177" s="419">
        <v>15</v>
      </c>
      <c r="S177" s="419">
        <v>16</v>
      </c>
      <c r="T177" s="419">
        <v>17</v>
      </c>
      <c r="U177" s="419">
        <v>18</v>
      </c>
      <c r="V177" s="419">
        <v>19</v>
      </c>
      <c r="W177" s="419">
        <v>20</v>
      </c>
      <c r="X177" s="452"/>
    </row>
    <row r="178" spans="1:24" hidden="1" outlineLevel="1">
      <c r="B178" s="421" t="s">
        <v>429</v>
      </c>
      <c r="C178" s="421"/>
      <c r="D178" s="422">
        <f>MAX(D177-($H$13),0)</f>
        <v>1</v>
      </c>
      <c r="E178" s="422">
        <f t="shared" ref="E178:W178" si="75">MAX(E177-($H$13),0)</f>
        <v>2</v>
      </c>
      <c r="F178" s="422">
        <f t="shared" si="75"/>
        <v>3</v>
      </c>
      <c r="G178" s="422">
        <f t="shared" si="75"/>
        <v>4</v>
      </c>
      <c r="H178" s="422">
        <f t="shared" si="75"/>
        <v>5</v>
      </c>
      <c r="I178" s="422">
        <f t="shared" si="75"/>
        <v>6</v>
      </c>
      <c r="J178" s="422">
        <f t="shared" si="75"/>
        <v>7</v>
      </c>
      <c r="K178" s="422">
        <f t="shared" si="75"/>
        <v>8</v>
      </c>
      <c r="L178" s="422">
        <f t="shared" si="75"/>
        <v>9</v>
      </c>
      <c r="M178" s="422">
        <f t="shared" si="75"/>
        <v>10</v>
      </c>
      <c r="N178" s="422">
        <f t="shared" si="75"/>
        <v>11</v>
      </c>
      <c r="O178" s="422">
        <f t="shared" si="75"/>
        <v>12</v>
      </c>
      <c r="P178" s="422">
        <f t="shared" si="75"/>
        <v>13</v>
      </c>
      <c r="Q178" s="422">
        <f t="shared" si="75"/>
        <v>14</v>
      </c>
      <c r="R178" s="422">
        <f t="shared" si="75"/>
        <v>15</v>
      </c>
      <c r="S178" s="422">
        <f t="shared" si="75"/>
        <v>16</v>
      </c>
      <c r="T178" s="422">
        <f t="shared" si="75"/>
        <v>17</v>
      </c>
      <c r="U178" s="422">
        <f t="shared" si="75"/>
        <v>18</v>
      </c>
      <c r="V178" s="422">
        <f t="shared" si="75"/>
        <v>19</v>
      </c>
      <c r="W178" s="422">
        <f t="shared" si="75"/>
        <v>20</v>
      </c>
      <c r="X178" s="453"/>
    </row>
    <row r="179" spans="1:24" hidden="1" outlineLevel="1">
      <c r="B179" s="421" t="s">
        <v>323</v>
      </c>
      <c r="C179" s="421"/>
      <c r="D179" s="408">
        <f>-IFERROR(IPMT($F$13,MAX(D178,1),$G$13,$E$13),0)</f>
        <v>0</v>
      </c>
      <c r="E179" s="408">
        <f t="shared" ref="E179:W179" si="76">-IFERROR(IPMT($F$13,MAX(E178,1),$G$13,$E$13),0)</f>
        <v>0</v>
      </c>
      <c r="F179" s="408">
        <f t="shared" si="76"/>
        <v>0</v>
      </c>
      <c r="G179" s="408">
        <f t="shared" si="76"/>
        <v>0</v>
      </c>
      <c r="H179" s="408">
        <f t="shared" si="76"/>
        <v>0</v>
      </c>
      <c r="I179" s="408">
        <f t="shared" si="76"/>
        <v>0</v>
      </c>
      <c r="J179" s="408">
        <f t="shared" si="76"/>
        <v>0</v>
      </c>
      <c r="K179" s="408">
        <f t="shared" si="76"/>
        <v>0</v>
      </c>
      <c r="L179" s="408">
        <f t="shared" si="76"/>
        <v>0</v>
      </c>
      <c r="M179" s="408">
        <f t="shared" si="76"/>
        <v>0</v>
      </c>
      <c r="N179" s="408">
        <f t="shared" si="76"/>
        <v>0</v>
      </c>
      <c r="O179" s="408">
        <f t="shared" si="76"/>
        <v>0</v>
      </c>
      <c r="P179" s="408">
        <f t="shared" si="76"/>
        <v>0</v>
      </c>
      <c r="Q179" s="408">
        <f t="shared" si="76"/>
        <v>0</v>
      </c>
      <c r="R179" s="408">
        <f t="shared" si="76"/>
        <v>0</v>
      </c>
      <c r="S179" s="408">
        <f t="shared" si="76"/>
        <v>0</v>
      </c>
      <c r="T179" s="408">
        <f t="shared" si="76"/>
        <v>0</v>
      </c>
      <c r="U179" s="408">
        <f t="shared" si="76"/>
        <v>0</v>
      </c>
      <c r="V179" s="408">
        <f t="shared" si="76"/>
        <v>0</v>
      </c>
      <c r="W179" s="408">
        <f t="shared" si="76"/>
        <v>0</v>
      </c>
      <c r="X179" s="401"/>
    </row>
    <row r="180" spans="1:24" hidden="1" outlineLevel="1">
      <c r="B180" s="454" t="s">
        <v>324</v>
      </c>
      <c r="C180" s="455"/>
      <c r="D180" s="455">
        <f>-IFERROR(PPMT($F$13,D178,$G$13,$E$13),0)</f>
        <v>0</v>
      </c>
      <c r="E180" s="455">
        <f t="shared" ref="E180:W180" si="77">-IFERROR(PPMT($F$13,E178,$G$13,$E$13),0)</f>
        <v>0</v>
      </c>
      <c r="F180" s="455">
        <f t="shared" si="77"/>
        <v>0</v>
      </c>
      <c r="G180" s="455">
        <f t="shared" si="77"/>
        <v>0</v>
      </c>
      <c r="H180" s="455">
        <f t="shared" si="77"/>
        <v>0</v>
      </c>
      <c r="I180" s="455">
        <f t="shared" si="77"/>
        <v>0</v>
      </c>
      <c r="J180" s="455">
        <f t="shared" si="77"/>
        <v>0</v>
      </c>
      <c r="K180" s="455">
        <f t="shared" si="77"/>
        <v>0</v>
      </c>
      <c r="L180" s="455">
        <f t="shared" si="77"/>
        <v>0</v>
      </c>
      <c r="M180" s="455">
        <f t="shared" si="77"/>
        <v>0</v>
      </c>
      <c r="N180" s="455">
        <f t="shared" si="77"/>
        <v>0</v>
      </c>
      <c r="O180" s="455">
        <f t="shared" si="77"/>
        <v>0</v>
      </c>
      <c r="P180" s="455">
        <f t="shared" si="77"/>
        <v>0</v>
      </c>
      <c r="Q180" s="455">
        <f t="shared" si="77"/>
        <v>0</v>
      </c>
      <c r="R180" s="455">
        <f t="shared" si="77"/>
        <v>0</v>
      </c>
      <c r="S180" s="455">
        <f t="shared" si="77"/>
        <v>0</v>
      </c>
      <c r="T180" s="455">
        <f t="shared" si="77"/>
        <v>0</v>
      </c>
      <c r="U180" s="455">
        <f t="shared" si="77"/>
        <v>0</v>
      </c>
      <c r="V180" s="455">
        <f t="shared" si="77"/>
        <v>0</v>
      </c>
      <c r="W180" s="455">
        <f t="shared" si="77"/>
        <v>0</v>
      </c>
      <c r="X180" s="401"/>
    </row>
    <row r="181" spans="1:24" ht="16" hidden="1" outlineLevel="1" thickBot="1">
      <c r="B181" s="456" t="s">
        <v>1</v>
      </c>
      <c r="C181" s="448"/>
      <c r="D181" s="448">
        <f t="shared" ref="D181:W181" si="78">SUM(D179:D180)</f>
        <v>0</v>
      </c>
      <c r="E181" s="448">
        <f t="shared" si="78"/>
        <v>0</v>
      </c>
      <c r="F181" s="448">
        <f t="shared" si="78"/>
        <v>0</v>
      </c>
      <c r="G181" s="448">
        <f t="shared" si="78"/>
        <v>0</v>
      </c>
      <c r="H181" s="448">
        <f t="shared" si="78"/>
        <v>0</v>
      </c>
      <c r="I181" s="448">
        <f t="shared" si="78"/>
        <v>0</v>
      </c>
      <c r="J181" s="448">
        <f t="shared" si="78"/>
        <v>0</v>
      </c>
      <c r="K181" s="448">
        <f t="shared" si="78"/>
        <v>0</v>
      </c>
      <c r="L181" s="448">
        <f t="shared" si="78"/>
        <v>0</v>
      </c>
      <c r="M181" s="448">
        <f t="shared" si="78"/>
        <v>0</v>
      </c>
      <c r="N181" s="448">
        <f t="shared" si="78"/>
        <v>0</v>
      </c>
      <c r="O181" s="448">
        <f t="shared" si="78"/>
        <v>0</v>
      </c>
      <c r="P181" s="448">
        <f t="shared" si="78"/>
        <v>0</v>
      </c>
      <c r="Q181" s="448">
        <f t="shared" si="78"/>
        <v>0</v>
      </c>
      <c r="R181" s="448">
        <f t="shared" si="78"/>
        <v>0</v>
      </c>
      <c r="S181" s="448">
        <f t="shared" si="78"/>
        <v>0</v>
      </c>
      <c r="T181" s="448">
        <f t="shared" si="78"/>
        <v>0</v>
      </c>
      <c r="U181" s="448">
        <f t="shared" si="78"/>
        <v>0</v>
      </c>
      <c r="V181" s="448">
        <f t="shared" si="78"/>
        <v>0</v>
      </c>
      <c r="W181" s="448">
        <f t="shared" si="78"/>
        <v>0</v>
      </c>
      <c r="X181" s="401"/>
    </row>
    <row r="182" spans="1:24" hidden="1" outlineLevel="1">
      <c r="B182" s="406" t="s">
        <v>430</v>
      </c>
      <c r="C182" s="406"/>
      <c r="D182" s="406"/>
      <c r="E182" s="406"/>
      <c r="F182" s="406"/>
      <c r="G182" s="406"/>
      <c r="H182" s="406"/>
      <c r="I182" s="406"/>
      <c r="J182" s="406"/>
      <c r="K182" s="406"/>
      <c r="L182" s="406"/>
      <c r="M182" s="406"/>
      <c r="N182" s="406"/>
      <c r="O182" s="406"/>
      <c r="P182" s="406"/>
      <c r="Q182" s="406"/>
      <c r="R182" s="406"/>
      <c r="S182" s="406"/>
      <c r="T182" s="406"/>
      <c r="U182" s="406"/>
      <c r="V182" s="406"/>
      <c r="W182" s="406"/>
    </row>
    <row r="183" spans="1:24" hidden="1" outlineLevel="1">
      <c r="B183" s="421" t="s">
        <v>323</v>
      </c>
      <c r="C183" s="408">
        <f>-IFERROR(IPMT($F$13,MAX(D178,1),$G$13,$E$13),0)</f>
        <v>0</v>
      </c>
      <c r="D183" s="408">
        <f t="shared" ref="D183:W183" si="79">SUMIF($D175:$AQ175,D$90,$D179:$AQ179)</f>
        <v>0</v>
      </c>
      <c r="E183" s="408">
        <f t="shared" si="79"/>
        <v>0</v>
      </c>
      <c r="F183" s="408">
        <f t="shared" si="79"/>
        <v>0</v>
      </c>
      <c r="G183" s="408">
        <f t="shared" si="79"/>
        <v>0</v>
      </c>
      <c r="H183" s="408">
        <f t="shared" si="79"/>
        <v>0</v>
      </c>
      <c r="I183" s="408">
        <f t="shared" si="79"/>
        <v>0</v>
      </c>
      <c r="J183" s="408">
        <f t="shared" si="79"/>
        <v>0</v>
      </c>
      <c r="K183" s="408">
        <f t="shared" si="79"/>
        <v>0</v>
      </c>
      <c r="L183" s="408">
        <f t="shared" si="79"/>
        <v>0</v>
      </c>
      <c r="M183" s="408">
        <f t="shared" si="79"/>
        <v>0</v>
      </c>
      <c r="N183" s="408">
        <f t="shared" si="79"/>
        <v>0</v>
      </c>
      <c r="O183" s="408">
        <f t="shared" si="79"/>
        <v>0</v>
      </c>
      <c r="P183" s="408">
        <f t="shared" si="79"/>
        <v>0</v>
      </c>
      <c r="Q183" s="408">
        <f t="shared" si="79"/>
        <v>0</v>
      </c>
      <c r="R183" s="408">
        <f t="shared" si="79"/>
        <v>0</v>
      </c>
      <c r="S183" s="408">
        <f t="shared" si="79"/>
        <v>0</v>
      </c>
      <c r="T183" s="408">
        <f t="shared" si="79"/>
        <v>0</v>
      </c>
      <c r="U183" s="408">
        <f t="shared" si="79"/>
        <v>0</v>
      </c>
      <c r="V183" s="408">
        <f t="shared" si="79"/>
        <v>0</v>
      </c>
      <c r="W183" s="408">
        <f t="shared" si="79"/>
        <v>0</v>
      </c>
      <c r="X183" s="401"/>
    </row>
    <row r="184" spans="1:24" hidden="1" outlineLevel="1">
      <c r="B184" s="454" t="s">
        <v>324</v>
      </c>
      <c r="C184" s="455"/>
      <c r="D184" s="455">
        <f t="shared" ref="D184:W184" si="80">D180</f>
        <v>0</v>
      </c>
      <c r="E184" s="455">
        <f t="shared" si="80"/>
        <v>0</v>
      </c>
      <c r="F184" s="455">
        <f t="shared" si="80"/>
        <v>0</v>
      </c>
      <c r="G184" s="455">
        <f t="shared" si="80"/>
        <v>0</v>
      </c>
      <c r="H184" s="455">
        <f t="shared" si="80"/>
        <v>0</v>
      </c>
      <c r="I184" s="455">
        <f t="shared" si="80"/>
        <v>0</v>
      </c>
      <c r="J184" s="455">
        <f t="shared" si="80"/>
        <v>0</v>
      </c>
      <c r="K184" s="455">
        <f t="shared" si="80"/>
        <v>0</v>
      </c>
      <c r="L184" s="455">
        <f t="shared" si="80"/>
        <v>0</v>
      </c>
      <c r="M184" s="455">
        <f t="shared" si="80"/>
        <v>0</v>
      </c>
      <c r="N184" s="455">
        <f t="shared" si="80"/>
        <v>0</v>
      </c>
      <c r="O184" s="455">
        <f t="shared" si="80"/>
        <v>0</v>
      </c>
      <c r="P184" s="455">
        <f t="shared" si="80"/>
        <v>0</v>
      </c>
      <c r="Q184" s="455">
        <f t="shared" si="80"/>
        <v>0</v>
      </c>
      <c r="R184" s="455">
        <f t="shared" si="80"/>
        <v>0</v>
      </c>
      <c r="S184" s="455">
        <f t="shared" si="80"/>
        <v>0</v>
      </c>
      <c r="T184" s="455">
        <f t="shared" si="80"/>
        <v>0</v>
      </c>
      <c r="U184" s="455">
        <f t="shared" si="80"/>
        <v>0</v>
      </c>
      <c r="V184" s="455">
        <f t="shared" si="80"/>
        <v>0</v>
      </c>
      <c r="W184" s="455">
        <f t="shared" si="80"/>
        <v>0</v>
      </c>
      <c r="X184" s="401"/>
    </row>
    <row r="185" spans="1:24" ht="16" hidden="1" outlineLevel="1" thickBot="1">
      <c r="B185" s="456" t="s">
        <v>1</v>
      </c>
      <c r="C185" s="448">
        <f t="shared" ref="C185:W185" si="81">SUM(C183:C184)</f>
        <v>0</v>
      </c>
      <c r="D185" s="448">
        <f t="shared" si="81"/>
        <v>0</v>
      </c>
      <c r="E185" s="448">
        <f t="shared" si="81"/>
        <v>0</v>
      </c>
      <c r="F185" s="448">
        <f t="shared" si="81"/>
        <v>0</v>
      </c>
      <c r="G185" s="448">
        <f t="shared" si="81"/>
        <v>0</v>
      </c>
      <c r="H185" s="448">
        <f t="shared" si="81"/>
        <v>0</v>
      </c>
      <c r="I185" s="448">
        <f t="shared" si="81"/>
        <v>0</v>
      </c>
      <c r="J185" s="448">
        <f t="shared" si="81"/>
        <v>0</v>
      </c>
      <c r="K185" s="448">
        <f t="shared" si="81"/>
        <v>0</v>
      </c>
      <c r="L185" s="448">
        <f t="shared" si="81"/>
        <v>0</v>
      </c>
      <c r="M185" s="448">
        <f t="shared" si="81"/>
        <v>0</v>
      </c>
      <c r="N185" s="448">
        <f t="shared" si="81"/>
        <v>0</v>
      </c>
      <c r="O185" s="448">
        <f t="shared" si="81"/>
        <v>0</v>
      </c>
      <c r="P185" s="448">
        <f t="shared" si="81"/>
        <v>0</v>
      </c>
      <c r="Q185" s="448">
        <f t="shared" si="81"/>
        <v>0</v>
      </c>
      <c r="R185" s="448">
        <f t="shared" si="81"/>
        <v>0</v>
      </c>
      <c r="S185" s="448">
        <f t="shared" si="81"/>
        <v>0</v>
      </c>
      <c r="T185" s="448">
        <f t="shared" si="81"/>
        <v>0</v>
      </c>
      <c r="U185" s="448">
        <f t="shared" si="81"/>
        <v>0</v>
      </c>
      <c r="V185" s="448">
        <f t="shared" si="81"/>
        <v>0</v>
      </c>
      <c r="W185" s="448">
        <f t="shared" si="81"/>
        <v>0</v>
      </c>
      <c r="X185" s="401"/>
    </row>
    <row r="186" spans="1:24" hidden="1" outlineLevel="1">
      <c r="B186" s="406" t="s">
        <v>424</v>
      </c>
      <c r="C186" s="406"/>
      <c r="D186" s="406"/>
      <c r="E186" s="406"/>
      <c r="F186" s="406"/>
      <c r="G186" s="406"/>
      <c r="H186" s="406"/>
      <c r="I186" s="406"/>
      <c r="J186" s="406"/>
      <c r="K186" s="406"/>
      <c r="L186" s="406"/>
      <c r="M186" s="406"/>
      <c r="N186" s="406"/>
      <c r="O186" s="406"/>
      <c r="P186" s="406"/>
      <c r="Q186" s="406"/>
      <c r="R186" s="406"/>
      <c r="S186" s="406"/>
      <c r="T186" s="406"/>
      <c r="U186" s="406"/>
      <c r="V186" s="406"/>
      <c r="W186" s="406"/>
    </row>
    <row r="187" spans="1:24" hidden="1" outlineLevel="1">
      <c r="B187" s="457" t="s">
        <v>425</v>
      </c>
      <c r="C187" s="458">
        <f t="shared" ref="C187:W187" si="82">D184</f>
        <v>0</v>
      </c>
      <c r="D187" s="458">
        <f t="shared" si="82"/>
        <v>0</v>
      </c>
      <c r="E187" s="458">
        <f t="shared" si="82"/>
        <v>0</v>
      </c>
      <c r="F187" s="458">
        <f t="shared" si="82"/>
        <v>0</v>
      </c>
      <c r="G187" s="458">
        <f t="shared" si="82"/>
        <v>0</v>
      </c>
      <c r="H187" s="458">
        <f t="shared" si="82"/>
        <v>0</v>
      </c>
      <c r="I187" s="458">
        <f t="shared" si="82"/>
        <v>0</v>
      </c>
      <c r="J187" s="458">
        <f t="shared" si="82"/>
        <v>0</v>
      </c>
      <c r="K187" s="458">
        <f t="shared" si="82"/>
        <v>0</v>
      </c>
      <c r="L187" s="458">
        <f t="shared" si="82"/>
        <v>0</v>
      </c>
      <c r="M187" s="458">
        <f t="shared" si="82"/>
        <v>0</v>
      </c>
      <c r="N187" s="458">
        <f t="shared" si="82"/>
        <v>0</v>
      </c>
      <c r="O187" s="458">
        <f t="shared" si="82"/>
        <v>0</v>
      </c>
      <c r="P187" s="458">
        <f t="shared" si="82"/>
        <v>0</v>
      </c>
      <c r="Q187" s="458">
        <f t="shared" si="82"/>
        <v>0</v>
      </c>
      <c r="R187" s="458">
        <f t="shared" si="82"/>
        <v>0</v>
      </c>
      <c r="S187" s="458">
        <f t="shared" si="82"/>
        <v>0</v>
      </c>
      <c r="T187" s="458">
        <f t="shared" si="82"/>
        <v>0</v>
      </c>
      <c r="U187" s="458">
        <f t="shared" si="82"/>
        <v>0</v>
      </c>
      <c r="V187" s="458">
        <f t="shared" si="82"/>
        <v>0</v>
      </c>
      <c r="W187" s="458">
        <f t="shared" si="82"/>
        <v>0</v>
      </c>
      <c r="X187" s="401"/>
    </row>
    <row r="188" spans="1:24" ht="16" hidden="1" outlineLevel="1" thickBot="1">
      <c r="B188" s="414" t="s">
        <v>426</v>
      </c>
      <c r="C188" s="415">
        <f>$E$13-C187</f>
        <v>0</v>
      </c>
      <c r="D188" s="415">
        <f t="shared" ref="D188:W188" si="83">C188-D187</f>
        <v>0</v>
      </c>
      <c r="E188" s="415">
        <f t="shared" si="83"/>
        <v>0</v>
      </c>
      <c r="F188" s="415">
        <f t="shared" si="83"/>
        <v>0</v>
      </c>
      <c r="G188" s="415">
        <f t="shared" si="83"/>
        <v>0</v>
      </c>
      <c r="H188" s="415">
        <f t="shared" si="83"/>
        <v>0</v>
      </c>
      <c r="I188" s="415">
        <f t="shared" si="83"/>
        <v>0</v>
      </c>
      <c r="J188" s="415">
        <f t="shared" si="83"/>
        <v>0</v>
      </c>
      <c r="K188" s="415">
        <f t="shared" si="83"/>
        <v>0</v>
      </c>
      <c r="L188" s="415">
        <f t="shared" si="83"/>
        <v>0</v>
      </c>
      <c r="M188" s="415">
        <f t="shared" si="83"/>
        <v>0</v>
      </c>
      <c r="N188" s="415">
        <f t="shared" si="83"/>
        <v>0</v>
      </c>
      <c r="O188" s="415">
        <f t="shared" si="83"/>
        <v>0</v>
      </c>
      <c r="P188" s="415">
        <f t="shared" si="83"/>
        <v>0</v>
      </c>
      <c r="Q188" s="415">
        <f t="shared" si="83"/>
        <v>0</v>
      </c>
      <c r="R188" s="415">
        <f t="shared" si="83"/>
        <v>0</v>
      </c>
      <c r="S188" s="415">
        <f t="shared" si="83"/>
        <v>0</v>
      </c>
      <c r="T188" s="415">
        <f t="shared" si="83"/>
        <v>0</v>
      </c>
      <c r="U188" s="415">
        <f t="shared" si="83"/>
        <v>0</v>
      </c>
      <c r="V188" s="415">
        <f t="shared" si="83"/>
        <v>0</v>
      </c>
      <c r="W188" s="415">
        <f t="shared" si="83"/>
        <v>0</v>
      </c>
      <c r="X188" s="401"/>
    </row>
    <row r="189" spans="1:24" hidden="1" outlineLevel="1"/>
    <row r="190" spans="1:24" ht="16" collapsed="1" thickBot="1"/>
    <row r="191" spans="1:24" ht="16" thickTop="1">
      <c r="A191" s="374">
        <f>A174+1</f>
        <v>10</v>
      </c>
      <c r="B191" s="379" t="str">
        <f>"Year "&amp;A191&amp;" Working Capital Financing"</f>
        <v>Year 10 Working Capital Financing</v>
      </c>
      <c r="C191" s="379"/>
      <c r="D191" s="379"/>
      <c r="E191" s="379"/>
      <c r="F191" s="379"/>
      <c r="G191" s="379"/>
      <c r="H191" s="379"/>
      <c r="I191" s="379"/>
      <c r="J191" s="379"/>
      <c r="K191" s="379"/>
      <c r="L191" s="379"/>
      <c r="M191" s="379"/>
      <c r="N191" s="379"/>
      <c r="O191" s="379"/>
      <c r="P191" s="379"/>
      <c r="Q191" s="379"/>
      <c r="R191" s="379"/>
      <c r="S191" s="379"/>
      <c r="T191" s="379"/>
      <c r="U191" s="379"/>
      <c r="V191" s="379"/>
      <c r="W191" s="379"/>
    </row>
    <row r="192" spans="1:24" s="420" customFormat="1" ht="16" hidden="1" outlineLevel="1" thickBot="1">
      <c r="A192" s="417"/>
      <c r="B192" s="405"/>
      <c r="C192" s="405">
        <v>0</v>
      </c>
      <c r="D192" s="405">
        <v>1</v>
      </c>
      <c r="E192" s="405">
        <v>2</v>
      </c>
      <c r="F192" s="405">
        <v>3</v>
      </c>
      <c r="G192" s="405">
        <v>4</v>
      </c>
      <c r="H192" s="405">
        <v>5</v>
      </c>
      <c r="I192" s="405">
        <v>6</v>
      </c>
      <c r="J192" s="405">
        <v>7</v>
      </c>
      <c r="K192" s="405">
        <v>8</v>
      </c>
      <c r="L192" s="405">
        <v>9</v>
      </c>
      <c r="M192" s="405">
        <v>10</v>
      </c>
      <c r="N192" s="405">
        <v>11</v>
      </c>
      <c r="O192" s="405">
        <v>12</v>
      </c>
      <c r="P192" s="405">
        <v>13</v>
      </c>
      <c r="Q192" s="405">
        <v>14</v>
      </c>
      <c r="R192" s="405">
        <v>15</v>
      </c>
      <c r="S192" s="405">
        <v>16</v>
      </c>
      <c r="T192" s="405">
        <v>17</v>
      </c>
      <c r="U192" s="405">
        <v>18</v>
      </c>
      <c r="V192" s="405">
        <v>19</v>
      </c>
      <c r="W192" s="405">
        <v>20</v>
      </c>
      <c r="X192" s="451"/>
    </row>
    <row r="193" spans="1:24" hidden="1" outlineLevel="1">
      <c r="B193" s="406" t="s">
        <v>421</v>
      </c>
      <c r="C193" s="406"/>
      <c r="D193" s="406"/>
      <c r="E193" s="406"/>
      <c r="F193" s="406"/>
      <c r="G193" s="406"/>
      <c r="H193" s="406"/>
      <c r="I193" s="406"/>
      <c r="J193" s="406"/>
      <c r="K193" s="406"/>
      <c r="L193" s="406"/>
      <c r="M193" s="406"/>
      <c r="N193" s="406"/>
      <c r="O193" s="406"/>
      <c r="P193" s="406"/>
      <c r="Q193" s="406"/>
      <c r="R193" s="406"/>
      <c r="S193" s="406"/>
      <c r="T193" s="406"/>
      <c r="U193" s="406"/>
      <c r="V193" s="406"/>
      <c r="W193" s="406"/>
    </row>
    <row r="194" spans="1:24" s="420" customFormat="1" hidden="1" outlineLevel="1">
      <c r="A194" s="417"/>
      <c r="B194" s="418" t="s">
        <v>428</v>
      </c>
      <c r="C194" s="418"/>
      <c r="D194" s="419">
        <v>1</v>
      </c>
      <c r="E194" s="419">
        <v>2</v>
      </c>
      <c r="F194" s="419">
        <v>3</v>
      </c>
      <c r="G194" s="419">
        <v>4</v>
      </c>
      <c r="H194" s="419">
        <v>5</v>
      </c>
      <c r="I194" s="419">
        <v>6</v>
      </c>
      <c r="J194" s="419">
        <v>7</v>
      </c>
      <c r="K194" s="419">
        <v>8</v>
      </c>
      <c r="L194" s="419">
        <v>9</v>
      </c>
      <c r="M194" s="419">
        <v>10</v>
      </c>
      <c r="N194" s="419">
        <v>11</v>
      </c>
      <c r="O194" s="419">
        <v>12</v>
      </c>
      <c r="P194" s="419">
        <v>13</v>
      </c>
      <c r="Q194" s="419">
        <v>14</v>
      </c>
      <c r="R194" s="419">
        <v>15</v>
      </c>
      <c r="S194" s="419">
        <v>16</v>
      </c>
      <c r="T194" s="419">
        <v>17</v>
      </c>
      <c r="U194" s="419">
        <v>18</v>
      </c>
      <c r="V194" s="419">
        <v>19</v>
      </c>
      <c r="W194" s="419">
        <v>20</v>
      </c>
      <c r="X194" s="452"/>
    </row>
    <row r="195" spans="1:24" hidden="1" outlineLevel="1">
      <c r="B195" s="421" t="s">
        <v>429</v>
      </c>
      <c r="C195" s="421"/>
      <c r="D195" s="422">
        <f>MAX(D194-($H$14),0)</f>
        <v>1</v>
      </c>
      <c r="E195" s="422">
        <f t="shared" ref="E195:W195" si="84">MAX(E194-($H$14),0)</f>
        <v>2</v>
      </c>
      <c r="F195" s="422">
        <f t="shared" si="84"/>
        <v>3</v>
      </c>
      <c r="G195" s="422">
        <f t="shared" si="84"/>
        <v>4</v>
      </c>
      <c r="H195" s="422">
        <f t="shared" si="84"/>
        <v>5</v>
      </c>
      <c r="I195" s="422">
        <f t="shared" si="84"/>
        <v>6</v>
      </c>
      <c r="J195" s="422">
        <f t="shared" si="84"/>
        <v>7</v>
      </c>
      <c r="K195" s="422">
        <f t="shared" si="84"/>
        <v>8</v>
      </c>
      <c r="L195" s="422">
        <f t="shared" si="84"/>
        <v>9</v>
      </c>
      <c r="M195" s="422">
        <f t="shared" si="84"/>
        <v>10</v>
      </c>
      <c r="N195" s="422">
        <f t="shared" si="84"/>
        <v>11</v>
      </c>
      <c r="O195" s="422">
        <f t="shared" si="84"/>
        <v>12</v>
      </c>
      <c r="P195" s="422">
        <f t="shared" si="84"/>
        <v>13</v>
      </c>
      <c r="Q195" s="422">
        <f t="shared" si="84"/>
        <v>14</v>
      </c>
      <c r="R195" s="422">
        <f t="shared" si="84"/>
        <v>15</v>
      </c>
      <c r="S195" s="422">
        <f t="shared" si="84"/>
        <v>16</v>
      </c>
      <c r="T195" s="422">
        <f t="shared" si="84"/>
        <v>17</v>
      </c>
      <c r="U195" s="422">
        <f t="shared" si="84"/>
        <v>18</v>
      </c>
      <c r="V195" s="422">
        <f t="shared" si="84"/>
        <v>19</v>
      </c>
      <c r="W195" s="422">
        <f t="shared" si="84"/>
        <v>20</v>
      </c>
      <c r="X195" s="453"/>
    </row>
    <row r="196" spans="1:24" hidden="1" outlineLevel="1">
      <c r="B196" s="421" t="s">
        <v>323</v>
      </c>
      <c r="C196" s="421"/>
      <c r="D196" s="408">
        <f>-IFERROR(IPMT($F$14,MAX(D195,1),$G$14,$E$14),0)</f>
        <v>0</v>
      </c>
      <c r="E196" s="408">
        <f t="shared" ref="E196:W196" si="85">-IFERROR(IPMT($F$14,MAX(E195,1),$G$14,$E$14),0)</f>
        <v>0</v>
      </c>
      <c r="F196" s="408">
        <f t="shared" si="85"/>
        <v>0</v>
      </c>
      <c r="G196" s="408">
        <f t="shared" si="85"/>
        <v>0</v>
      </c>
      <c r="H196" s="408">
        <f t="shared" si="85"/>
        <v>0</v>
      </c>
      <c r="I196" s="408">
        <f t="shared" si="85"/>
        <v>0</v>
      </c>
      <c r="J196" s="408">
        <f t="shared" si="85"/>
        <v>0</v>
      </c>
      <c r="K196" s="408">
        <f t="shared" si="85"/>
        <v>0</v>
      </c>
      <c r="L196" s="408">
        <f t="shared" si="85"/>
        <v>0</v>
      </c>
      <c r="M196" s="408">
        <f t="shared" si="85"/>
        <v>0</v>
      </c>
      <c r="N196" s="408">
        <f t="shared" si="85"/>
        <v>0</v>
      </c>
      <c r="O196" s="408">
        <f t="shared" si="85"/>
        <v>0</v>
      </c>
      <c r="P196" s="408">
        <f t="shared" si="85"/>
        <v>0</v>
      </c>
      <c r="Q196" s="408">
        <f t="shared" si="85"/>
        <v>0</v>
      </c>
      <c r="R196" s="408">
        <f t="shared" si="85"/>
        <v>0</v>
      </c>
      <c r="S196" s="408">
        <f t="shared" si="85"/>
        <v>0</v>
      </c>
      <c r="T196" s="408">
        <f t="shared" si="85"/>
        <v>0</v>
      </c>
      <c r="U196" s="408">
        <f t="shared" si="85"/>
        <v>0</v>
      </c>
      <c r="V196" s="408">
        <f t="shared" si="85"/>
        <v>0</v>
      </c>
      <c r="W196" s="408">
        <f t="shared" si="85"/>
        <v>0</v>
      </c>
      <c r="X196" s="401"/>
    </row>
    <row r="197" spans="1:24" hidden="1" outlineLevel="1">
      <c r="B197" s="454" t="s">
        <v>324</v>
      </c>
      <c r="C197" s="455"/>
      <c r="D197" s="455">
        <f>-IFERROR(PPMT($F$14,D195,$G$14,$E$14),0)</f>
        <v>0</v>
      </c>
      <c r="E197" s="455">
        <f t="shared" ref="E197:W197" si="86">-IFERROR(PPMT($F$14,E195,$G$14,$E$14),0)</f>
        <v>0</v>
      </c>
      <c r="F197" s="455">
        <f t="shared" si="86"/>
        <v>0</v>
      </c>
      <c r="G197" s="455">
        <f t="shared" si="86"/>
        <v>0</v>
      </c>
      <c r="H197" s="455">
        <f t="shared" si="86"/>
        <v>0</v>
      </c>
      <c r="I197" s="455">
        <f t="shared" si="86"/>
        <v>0</v>
      </c>
      <c r="J197" s="455">
        <f t="shared" si="86"/>
        <v>0</v>
      </c>
      <c r="K197" s="455">
        <f t="shared" si="86"/>
        <v>0</v>
      </c>
      <c r="L197" s="455">
        <f t="shared" si="86"/>
        <v>0</v>
      </c>
      <c r="M197" s="455">
        <f t="shared" si="86"/>
        <v>0</v>
      </c>
      <c r="N197" s="455">
        <f t="shared" si="86"/>
        <v>0</v>
      </c>
      <c r="O197" s="455">
        <f t="shared" si="86"/>
        <v>0</v>
      </c>
      <c r="P197" s="455">
        <f t="shared" si="86"/>
        <v>0</v>
      </c>
      <c r="Q197" s="455">
        <f t="shared" si="86"/>
        <v>0</v>
      </c>
      <c r="R197" s="455">
        <f t="shared" si="86"/>
        <v>0</v>
      </c>
      <c r="S197" s="455">
        <f t="shared" si="86"/>
        <v>0</v>
      </c>
      <c r="T197" s="455">
        <f t="shared" si="86"/>
        <v>0</v>
      </c>
      <c r="U197" s="455">
        <f t="shared" si="86"/>
        <v>0</v>
      </c>
      <c r="V197" s="455">
        <f t="shared" si="86"/>
        <v>0</v>
      </c>
      <c r="W197" s="455">
        <f t="shared" si="86"/>
        <v>0</v>
      </c>
      <c r="X197" s="401"/>
    </row>
    <row r="198" spans="1:24" ht="16" hidden="1" outlineLevel="1" thickBot="1">
      <c r="B198" s="456" t="s">
        <v>1</v>
      </c>
      <c r="C198" s="448"/>
      <c r="D198" s="448">
        <f>SUM(D196:D197)</f>
        <v>0</v>
      </c>
      <c r="E198" s="448">
        <f t="shared" ref="E198:W198" si="87">SUM(E196:E197)</f>
        <v>0</v>
      </c>
      <c r="F198" s="448">
        <f t="shared" si="87"/>
        <v>0</v>
      </c>
      <c r="G198" s="448">
        <f t="shared" si="87"/>
        <v>0</v>
      </c>
      <c r="H198" s="448">
        <f t="shared" si="87"/>
        <v>0</v>
      </c>
      <c r="I198" s="448">
        <f t="shared" si="87"/>
        <v>0</v>
      </c>
      <c r="J198" s="448">
        <f t="shared" si="87"/>
        <v>0</v>
      </c>
      <c r="K198" s="448">
        <f t="shared" si="87"/>
        <v>0</v>
      </c>
      <c r="L198" s="448">
        <f t="shared" si="87"/>
        <v>0</v>
      </c>
      <c r="M198" s="448">
        <f t="shared" si="87"/>
        <v>0</v>
      </c>
      <c r="N198" s="448">
        <f t="shared" si="87"/>
        <v>0</v>
      </c>
      <c r="O198" s="448">
        <f t="shared" si="87"/>
        <v>0</v>
      </c>
      <c r="P198" s="448">
        <f t="shared" si="87"/>
        <v>0</v>
      </c>
      <c r="Q198" s="448">
        <f t="shared" si="87"/>
        <v>0</v>
      </c>
      <c r="R198" s="448">
        <f t="shared" si="87"/>
        <v>0</v>
      </c>
      <c r="S198" s="448">
        <f t="shared" si="87"/>
        <v>0</v>
      </c>
      <c r="T198" s="448">
        <f t="shared" si="87"/>
        <v>0</v>
      </c>
      <c r="U198" s="448">
        <f t="shared" si="87"/>
        <v>0</v>
      </c>
      <c r="V198" s="448">
        <f t="shared" si="87"/>
        <v>0</v>
      </c>
      <c r="W198" s="448">
        <f t="shared" si="87"/>
        <v>0</v>
      </c>
      <c r="X198" s="401"/>
    </row>
    <row r="199" spans="1:24" hidden="1" outlineLevel="1">
      <c r="B199" s="406" t="s">
        <v>430</v>
      </c>
      <c r="C199" s="406"/>
      <c r="D199" s="406"/>
      <c r="E199" s="406"/>
      <c r="F199" s="406"/>
      <c r="G199" s="406"/>
      <c r="H199" s="406"/>
      <c r="I199" s="406"/>
      <c r="J199" s="406"/>
      <c r="K199" s="406"/>
      <c r="L199" s="406"/>
      <c r="M199" s="406"/>
      <c r="N199" s="406"/>
      <c r="O199" s="406"/>
      <c r="P199" s="406"/>
      <c r="Q199" s="406"/>
      <c r="R199" s="406"/>
      <c r="S199" s="406"/>
      <c r="T199" s="406"/>
      <c r="U199" s="406"/>
      <c r="V199" s="406"/>
      <c r="W199" s="406"/>
    </row>
    <row r="200" spans="1:24" hidden="1" outlineLevel="1">
      <c r="B200" s="421" t="s">
        <v>323</v>
      </c>
      <c r="C200" s="408">
        <f>-IFERROR(IPMT($F$14,MAX(D195,1),$G$14,$E$14),0)</f>
        <v>0</v>
      </c>
      <c r="D200" s="408">
        <f t="shared" ref="D200:W200" si="88">SUMIF($D192:$AQ192,D$107,$D196:$AQ196)</f>
        <v>0</v>
      </c>
      <c r="E200" s="408">
        <f t="shared" si="88"/>
        <v>0</v>
      </c>
      <c r="F200" s="408">
        <f t="shared" si="88"/>
        <v>0</v>
      </c>
      <c r="G200" s="408">
        <f t="shared" si="88"/>
        <v>0</v>
      </c>
      <c r="H200" s="408">
        <f t="shared" si="88"/>
        <v>0</v>
      </c>
      <c r="I200" s="408">
        <f t="shared" si="88"/>
        <v>0</v>
      </c>
      <c r="J200" s="408">
        <f t="shared" si="88"/>
        <v>0</v>
      </c>
      <c r="K200" s="408">
        <f t="shared" si="88"/>
        <v>0</v>
      </c>
      <c r="L200" s="408">
        <f t="shared" si="88"/>
        <v>0</v>
      </c>
      <c r="M200" s="408">
        <f t="shared" si="88"/>
        <v>0</v>
      </c>
      <c r="N200" s="408">
        <f t="shared" si="88"/>
        <v>0</v>
      </c>
      <c r="O200" s="408">
        <f t="shared" si="88"/>
        <v>0</v>
      </c>
      <c r="P200" s="408">
        <f t="shared" si="88"/>
        <v>0</v>
      </c>
      <c r="Q200" s="408">
        <f t="shared" si="88"/>
        <v>0</v>
      </c>
      <c r="R200" s="408">
        <f t="shared" si="88"/>
        <v>0</v>
      </c>
      <c r="S200" s="408">
        <f t="shared" si="88"/>
        <v>0</v>
      </c>
      <c r="T200" s="408">
        <f t="shared" si="88"/>
        <v>0</v>
      </c>
      <c r="U200" s="408">
        <f t="shared" si="88"/>
        <v>0</v>
      </c>
      <c r="V200" s="408">
        <f t="shared" si="88"/>
        <v>0</v>
      </c>
      <c r="W200" s="408">
        <f t="shared" si="88"/>
        <v>0</v>
      </c>
      <c r="X200" s="401"/>
    </row>
    <row r="201" spans="1:24" hidden="1" outlineLevel="1">
      <c r="B201" s="454" t="s">
        <v>324</v>
      </c>
      <c r="C201" s="455"/>
      <c r="D201" s="455">
        <f t="shared" ref="D201:W201" si="89">D197</f>
        <v>0</v>
      </c>
      <c r="E201" s="455">
        <f t="shared" si="89"/>
        <v>0</v>
      </c>
      <c r="F201" s="455">
        <f t="shared" si="89"/>
        <v>0</v>
      </c>
      <c r="G201" s="455">
        <f t="shared" si="89"/>
        <v>0</v>
      </c>
      <c r="H201" s="455">
        <f t="shared" si="89"/>
        <v>0</v>
      </c>
      <c r="I201" s="455">
        <f t="shared" si="89"/>
        <v>0</v>
      </c>
      <c r="J201" s="455">
        <f t="shared" si="89"/>
        <v>0</v>
      </c>
      <c r="K201" s="455">
        <f t="shared" si="89"/>
        <v>0</v>
      </c>
      <c r="L201" s="455">
        <f t="shared" si="89"/>
        <v>0</v>
      </c>
      <c r="M201" s="455">
        <f t="shared" si="89"/>
        <v>0</v>
      </c>
      <c r="N201" s="455">
        <f t="shared" si="89"/>
        <v>0</v>
      </c>
      <c r="O201" s="455">
        <f t="shared" si="89"/>
        <v>0</v>
      </c>
      <c r="P201" s="455">
        <f t="shared" si="89"/>
        <v>0</v>
      </c>
      <c r="Q201" s="455">
        <f t="shared" si="89"/>
        <v>0</v>
      </c>
      <c r="R201" s="455">
        <f t="shared" si="89"/>
        <v>0</v>
      </c>
      <c r="S201" s="455">
        <f t="shared" si="89"/>
        <v>0</v>
      </c>
      <c r="T201" s="455">
        <f t="shared" si="89"/>
        <v>0</v>
      </c>
      <c r="U201" s="455">
        <f t="shared" si="89"/>
        <v>0</v>
      </c>
      <c r="V201" s="455">
        <f t="shared" si="89"/>
        <v>0</v>
      </c>
      <c r="W201" s="455">
        <f t="shared" si="89"/>
        <v>0</v>
      </c>
      <c r="X201" s="401"/>
    </row>
    <row r="202" spans="1:24" ht="16" hidden="1" outlineLevel="1" thickBot="1">
      <c r="B202" s="456" t="s">
        <v>1</v>
      </c>
      <c r="C202" s="448">
        <f>SUM(C200:C201)</f>
        <v>0</v>
      </c>
      <c r="D202" s="448">
        <f>SUM(D200:D201)</f>
        <v>0</v>
      </c>
      <c r="E202" s="448">
        <f t="shared" ref="E202:W202" si="90">SUM(E200:E201)</f>
        <v>0</v>
      </c>
      <c r="F202" s="448">
        <f t="shared" si="90"/>
        <v>0</v>
      </c>
      <c r="G202" s="448">
        <f t="shared" si="90"/>
        <v>0</v>
      </c>
      <c r="H202" s="448">
        <f t="shared" si="90"/>
        <v>0</v>
      </c>
      <c r="I202" s="448">
        <f t="shared" si="90"/>
        <v>0</v>
      </c>
      <c r="J202" s="448">
        <f t="shared" si="90"/>
        <v>0</v>
      </c>
      <c r="K202" s="448">
        <f t="shared" si="90"/>
        <v>0</v>
      </c>
      <c r="L202" s="448">
        <f t="shared" si="90"/>
        <v>0</v>
      </c>
      <c r="M202" s="448">
        <f t="shared" si="90"/>
        <v>0</v>
      </c>
      <c r="N202" s="448">
        <f t="shared" si="90"/>
        <v>0</v>
      </c>
      <c r="O202" s="448">
        <f t="shared" si="90"/>
        <v>0</v>
      </c>
      <c r="P202" s="448">
        <f t="shared" si="90"/>
        <v>0</v>
      </c>
      <c r="Q202" s="448">
        <f t="shared" si="90"/>
        <v>0</v>
      </c>
      <c r="R202" s="448">
        <f t="shared" si="90"/>
        <v>0</v>
      </c>
      <c r="S202" s="448">
        <f t="shared" si="90"/>
        <v>0</v>
      </c>
      <c r="T202" s="448">
        <f t="shared" si="90"/>
        <v>0</v>
      </c>
      <c r="U202" s="448">
        <f t="shared" si="90"/>
        <v>0</v>
      </c>
      <c r="V202" s="448">
        <f t="shared" si="90"/>
        <v>0</v>
      </c>
      <c r="W202" s="448">
        <f t="shared" si="90"/>
        <v>0</v>
      </c>
      <c r="X202" s="401"/>
    </row>
    <row r="203" spans="1:24" hidden="1" outlineLevel="1">
      <c r="B203" s="406" t="s">
        <v>424</v>
      </c>
      <c r="C203" s="406"/>
      <c r="D203" s="406"/>
      <c r="E203" s="406"/>
      <c r="F203" s="406"/>
      <c r="G203" s="406"/>
      <c r="H203" s="406"/>
      <c r="I203" s="406"/>
      <c r="J203" s="406"/>
      <c r="K203" s="406"/>
      <c r="L203" s="406"/>
      <c r="M203" s="406"/>
      <c r="N203" s="406"/>
      <c r="O203" s="406"/>
      <c r="P203" s="406"/>
      <c r="Q203" s="406"/>
      <c r="R203" s="406"/>
      <c r="S203" s="406"/>
      <c r="T203" s="406"/>
      <c r="U203" s="406"/>
      <c r="V203" s="406"/>
      <c r="W203" s="406"/>
    </row>
    <row r="204" spans="1:24" hidden="1" outlineLevel="1">
      <c r="B204" s="457" t="s">
        <v>425</v>
      </c>
      <c r="C204" s="458">
        <f t="shared" ref="C204:W204" si="91">D201</f>
        <v>0</v>
      </c>
      <c r="D204" s="458">
        <f t="shared" si="91"/>
        <v>0</v>
      </c>
      <c r="E204" s="458">
        <f t="shared" si="91"/>
        <v>0</v>
      </c>
      <c r="F204" s="458">
        <f t="shared" si="91"/>
        <v>0</v>
      </c>
      <c r="G204" s="458">
        <f t="shared" si="91"/>
        <v>0</v>
      </c>
      <c r="H204" s="458">
        <f t="shared" si="91"/>
        <v>0</v>
      </c>
      <c r="I204" s="458">
        <f t="shared" si="91"/>
        <v>0</v>
      </c>
      <c r="J204" s="458">
        <f t="shared" si="91"/>
        <v>0</v>
      </c>
      <c r="K204" s="458">
        <f t="shared" si="91"/>
        <v>0</v>
      </c>
      <c r="L204" s="458">
        <f t="shared" si="91"/>
        <v>0</v>
      </c>
      <c r="M204" s="458">
        <f t="shared" si="91"/>
        <v>0</v>
      </c>
      <c r="N204" s="458">
        <f t="shared" si="91"/>
        <v>0</v>
      </c>
      <c r="O204" s="458">
        <f t="shared" si="91"/>
        <v>0</v>
      </c>
      <c r="P204" s="458">
        <f t="shared" si="91"/>
        <v>0</v>
      </c>
      <c r="Q204" s="458">
        <f t="shared" si="91"/>
        <v>0</v>
      </c>
      <c r="R204" s="458">
        <f t="shared" si="91"/>
        <v>0</v>
      </c>
      <c r="S204" s="458">
        <f t="shared" si="91"/>
        <v>0</v>
      </c>
      <c r="T204" s="458">
        <f t="shared" si="91"/>
        <v>0</v>
      </c>
      <c r="U204" s="458">
        <f t="shared" si="91"/>
        <v>0</v>
      </c>
      <c r="V204" s="458">
        <f t="shared" si="91"/>
        <v>0</v>
      </c>
      <c r="W204" s="458">
        <f t="shared" si="91"/>
        <v>0</v>
      </c>
      <c r="X204" s="401"/>
    </row>
    <row r="205" spans="1:24" ht="16" hidden="1" outlineLevel="1" thickBot="1">
      <c r="B205" s="414" t="s">
        <v>426</v>
      </c>
      <c r="C205" s="415">
        <f>$E$14-C204</f>
        <v>0</v>
      </c>
      <c r="D205" s="415">
        <f t="shared" ref="D205:W205" si="92">C205-D204</f>
        <v>0</v>
      </c>
      <c r="E205" s="415">
        <f t="shared" si="92"/>
        <v>0</v>
      </c>
      <c r="F205" s="415">
        <f t="shared" si="92"/>
        <v>0</v>
      </c>
      <c r="G205" s="415">
        <f t="shared" si="92"/>
        <v>0</v>
      </c>
      <c r="H205" s="415">
        <f t="shared" si="92"/>
        <v>0</v>
      </c>
      <c r="I205" s="415">
        <f t="shared" si="92"/>
        <v>0</v>
      </c>
      <c r="J205" s="415">
        <f t="shared" si="92"/>
        <v>0</v>
      </c>
      <c r="K205" s="415">
        <f t="shared" si="92"/>
        <v>0</v>
      </c>
      <c r="L205" s="415">
        <f t="shared" si="92"/>
        <v>0</v>
      </c>
      <c r="M205" s="415">
        <f t="shared" si="92"/>
        <v>0</v>
      </c>
      <c r="N205" s="415">
        <f t="shared" si="92"/>
        <v>0</v>
      </c>
      <c r="O205" s="415">
        <f t="shared" si="92"/>
        <v>0</v>
      </c>
      <c r="P205" s="415">
        <f t="shared" si="92"/>
        <v>0</v>
      </c>
      <c r="Q205" s="415">
        <f t="shared" si="92"/>
        <v>0</v>
      </c>
      <c r="R205" s="415">
        <f t="shared" si="92"/>
        <v>0</v>
      </c>
      <c r="S205" s="415">
        <f t="shared" si="92"/>
        <v>0</v>
      </c>
      <c r="T205" s="415">
        <f t="shared" si="92"/>
        <v>0</v>
      </c>
      <c r="U205" s="415">
        <f t="shared" si="92"/>
        <v>0</v>
      </c>
      <c r="V205" s="415">
        <f t="shared" si="92"/>
        <v>0</v>
      </c>
      <c r="W205" s="415">
        <f t="shared" si="92"/>
        <v>0</v>
      </c>
      <c r="X205" s="401"/>
    </row>
    <row r="206" spans="1:24" collapsed="1"/>
    <row r="207" spans="1:24" s="461" customFormat="1" ht="16" thickBot="1">
      <c r="A207" s="460"/>
      <c r="B207" s="460"/>
      <c r="C207" s="460"/>
      <c r="D207" s="460"/>
      <c r="E207" s="460"/>
      <c r="F207" s="460"/>
      <c r="G207" s="460"/>
      <c r="H207" s="460"/>
      <c r="I207" s="460"/>
      <c r="J207" s="460"/>
      <c r="K207" s="460"/>
      <c r="L207" s="460"/>
      <c r="M207" s="460"/>
      <c r="N207" s="460"/>
      <c r="O207" s="460"/>
      <c r="P207" s="460"/>
      <c r="Q207" s="460"/>
      <c r="R207" s="460"/>
    </row>
    <row r="208" spans="1:24" ht="16" thickTop="1">
      <c r="A208" s="374">
        <f>A191+1</f>
        <v>11</v>
      </c>
      <c r="B208" s="379" t="str">
        <f>"Year "&amp;A208&amp;" Working Capital Financing"</f>
        <v>Year 11 Working Capital Financing</v>
      </c>
      <c r="C208" s="379"/>
      <c r="D208" s="379"/>
      <c r="E208" s="379"/>
      <c r="F208" s="379"/>
      <c r="G208" s="379"/>
      <c r="H208" s="379"/>
      <c r="I208" s="379"/>
      <c r="J208" s="379"/>
      <c r="K208" s="379"/>
      <c r="L208" s="379"/>
      <c r="M208" s="379"/>
      <c r="N208" s="379"/>
      <c r="O208" s="379"/>
      <c r="P208" s="379"/>
      <c r="Q208" s="379"/>
      <c r="R208" s="379"/>
      <c r="S208" s="379"/>
      <c r="T208" s="379"/>
      <c r="U208" s="379"/>
      <c r="V208" s="379"/>
      <c r="W208" s="379"/>
    </row>
    <row r="209" spans="1:24" s="420" customFormat="1" ht="16" outlineLevel="1" thickBot="1">
      <c r="A209" s="417"/>
      <c r="B209" s="405"/>
      <c r="C209" s="405">
        <v>0</v>
      </c>
      <c r="D209" s="405">
        <v>1</v>
      </c>
      <c r="E209" s="405">
        <v>2</v>
      </c>
      <c r="F209" s="405">
        <v>3</v>
      </c>
      <c r="G209" s="405">
        <v>4</v>
      </c>
      <c r="H209" s="405">
        <v>5</v>
      </c>
      <c r="I209" s="405">
        <v>6</v>
      </c>
      <c r="J209" s="405">
        <v>7</v>
      </c>
      <c r="K209" s="405">
        <v>8</v>
      </c>
      <c r="L209" s="405">
        <v>9</v>
      </c>
      <c r="M209" s="405">
        <v>10</v>
      </c>
      <c r="N209" s="405">
        <v>11</v>
      </c>
      <c r="O209" s="405">
        <v>12</v>
      </c>
      <c r="P209" s="405">
        <v>13</v>
      </c>
      <c r="Q209" s="405">
        <v>14</v>
      </c>
      <c r="R209" s="405">
        <v>15</v>
      </c>
      <c r="S209" s="405">
        <v>16</v>
      </c>
      <c r="T209" s="405">
        <v>17</v>
      </c>
      <c r="U209" s="405">
        <v>18</v>
      </c>
      <c r="V209" s="405">
        <v>19</v>
      </c>
      <c r="W209" s="405">
        <v>20</v>
      </c>
      <c r="X209" s="451"/>
    </row>
    <row r="210" spans="1:24" outlineLevel="1">
      <c r="B210" s="406" t="s">
        <v>421</v>
      </c>
      <c r="C210" s="406"/>
      <c r="D210" s="406"/>
      <c r="E210" s="406"/>
      <c r="F210" s="406"/>
      <c r="G210" s="406"/>
      <c r="H210" s="406"/>
      <c r="I210" s="406"/>
      <c r="J210" s="406"/>
      <c r="K210" s="406"/>
      <c r="L210" s="406"/>
      <c r="M210" s="406"/>
      <c r="N210" s="406"/>
      <c r="O210" s="406"/>
      <c r="P210" s="406"/>
      <c r="Q210" s="406"/>
      <c r="R210" s="406"/>
      <c r="S210" s="406"/>
      <c r="T210" s="406"/>
      <c r="U210" s="406"/>
      <c r="V210" s="406"/>
      <c r="W210" s="406"/>
    </row>
    <row r="211" spans="1:24" s="420" customFormat="1" outlineLevel="1">
      <c r="A211" s="417"/>
      <c r="B211" s="418" t="s">
        <v>428</v>
      </c>
      <c r="C211" s="418"/>
      <c r="D211" s="419">
        <v>1</v>
      </c>
      <c r="E211" s="419">
        <v>2</v>
      </c>
      <c r="F211" s="419">
        <v>3</v>
      </c>
      <c r="G211" s="419">
        <v>4</v>
      </c>
      <c r="H211" s="419">
        <v>5</v>
      </c>
      <c r="I211" s="419">
        <v>6</v>
      </c>
      <c r="J211" s="419">
        <v>7</v>
      </c>
      <c r="K211" s="419">
        <v>8</v>
      </c>
      <c r="L211" s="419">
        <v>9</v>
      </c>
      <c r="M211" s="419">
        <v>10</v>
      </c>
      <c r="N211" s="419">
        <v>11</v>
      </c>
      <c r="O211" s="419">
        <v>12</v>
      </c>
      <c r="P211" s="419">
        <v>13</v>
      </c>
      <c r="Q211" s="419">
        <v>14</v>
      </c>
      <c r="R211" s="419">
        <v>15</v>
      </c>
      <c r="S211" s="419">
        <v>16</v>
      </c>
      <c r="T211" s="419">
        <v>17</v>
      </c>
      <c r="U211" s="419">
        <v>18</v>
      </c>
      <c r="V211" s="419">
        <v>19</v>
      </c>
      <c r="W211" s="419">
        <v>20</v>
      </c>
      <c r="X211" s="452"/>
    </row>
    <row r="212" spans="1:24" outlineLevel="1">
      <c r="B212" s="421" t="s">
        <v>429</v>
      </c>
      <c r="C212" s="421"/>
      <c r="D212" s="422">
        <f>MAX(D211-($H$5),0)</f>
        <v>1</v>
      </c>
      <c r="E212" s="422">
        <f t="shared" ref="E212:W212" si="93">MAX(E211-($H$5),0)</f>
        <v>2</v>
      </c>
      <c r="F212" s="422">
        <f t="shared" si="93"/>
        <v>3</v>
      </c>
      <c r="G212" s="422">
        <f t="shared" si="93"/>
        <v>4</v>
      </c>
      <c r="H212" s="422">
        <f t="shared" si="93"/>
        <v>5</v>
      </c>
      <c r="I212" s="422">
        <f t="shared" si="93"/>
        <v>6</v>
      </c>
      <c r="J212" s="422">
        <f t="shared" si="93"/>
        <v>7</v>
      </c>
      <c r="K212" s="422">
        <f t="shared" si="93"/>
        <v>8</v>
      </c>
      <c r="L212" s="422">
        <f t="shared" si="93"/>
        <v>9</v>
      </c>
      <c r="M212" s="422">
        <f t="shared" si="93"/>
        <v>10</v>
      </c>
      <c r="N212" s="422">
        <f t="shared" si="93"/>
        <v>11</v>
      </c>
      <c r="O212" s="422">
        <f t="shared" si="93"/>
        <v>12</v>
      </c>
      <c r="P212" s="422">
        <f t="shared" si="93"/>
        <v>13</v>
      </c>
      <c r="Q212" s="422">
        <f t="shared" si="93"/>
        <v>14</v>
      </c>
      <c r="R212" s="422">
        <f t="shared" si="93"/>
        <v>15</v>
      </c>
      <c r="S212" s="422">
        <f t="shared" si="93"/>
        <v>16</v>
      </c>
      <c r="T212" s="422">
        <f t="shared" si="93"/>
        <v>17</v>
      </c>
      <c r="U212" s="422">
        <f t="shared" si="93"/>
        <v>18</v>
      </c>
      <c r="V212" s="422">
        <f t="shared" si="93"/>
        <v>19</v>
      </c>
      <c r="W212" s="422">
        <f t="shared" si="93"/>
        <v>20</v>
      </c>
      <c r="X212" s="453"/>
    </row>
    <row r="213" spans="1:24" outlineLevel="1">
      <c r="B213" s="421" t="s">
        <v>323</v>
      </c>
      <c r="C213" s="421"/>
      <c r="D213" s="408">
        <f t="shared" ref="D213:W213" si="94">-IFERROR(IPMT($F$5,MAX(D212,1),$G$5,$E$5),0)</f>
        <v>519455.06847972824</v>
      </c>
      <c r="E213" s="408">
        <f t="shared" si="94"/>
        <v>0</v>
      </c>
      <c r="F213" s="408">
        <f t="shared" si="94"/>
        <v>0</v>
      </c>
      <c r="G213" s="408">
        <f t="shared" si="94"/>
        <v>0</v>
      </c>
      <c r="H213" s="408">
        <f t="shared" si="94"/>
        <v>0</v>
      </c>
      <c r="I213" s="408">
        <f t="shared" si="94"/>
        <v>0</v>
      </c>
      <c r="J213" s="408">
        <f t="shared" si="94"/>
        <v>0</v>
      </c>
      <c r="K213" s="408">
        <f t="shared" si="94"/>
        <v>0</v>
      </c>
      <c r="L213" s="408">
        <f t="shared" si="94"/>
        <v>0</v>
      </c>
      <c r="M213" s="408">
        <f t="shared" si="94"/>
        <v>0</v>
      </c>
      <c r="N213" s="408">
        <f t="shared" si="94"/>
        <v>0</v>
      </c>
      <c r="O213" s="408">
        <f t="shared" si="94"/>
        <v>0</v>
      </c>
      <c r="P213" s="408">
        <f t="shared" si="94"/>
        <v>0</v>
      </c>
      <c r="Q213" s="408">
        <f t="shared" si="94"/>
        <v>0</v>
      </c>
      <c r="R213" s="408">
        <f t="shared" si="94"/>
        <v>0</v>
      </c>
      <c r="S213" s="408">
        <f t="shared" si="94"/>
        <v>0</v>
      </c>
      <c r="T213" s="408">
        <f t="shared" si="94"/>
        <v>0</v>
      </c>
      <c r="U213" s="408">
        <f t="shared" si="94"/>
        <v>0</v>
      </c>
      <c r="V213" s="408">
        <f t="shared" si="94"/>
        <v>0</v>
      </c>
      <c r="W213" s="408">
        <f t="shared" si="94"/>
        <v>0</v>
      </c>
      <c r="X213" s="401"/>
    </row>
    <row r="214" spans="1:24" outlineLevel="1">
      <c r="B214" s="454" t="s">
        <v>324</v>
      </c>
      <c r="C214" s="455"/>
      <c r="D214" s="455">
        <f t="shared" ref="D214:W214" si="95">-IFERROR(PPMT($F$5,D212,$G$5,$E$5),0)</f>
        <v>5194550.6847972833</v>
      </c>
      <c r="E214" s="455">
        <f t="shared" si="95"/>
        <v>0</v>
      </c>
      <c r="F214" s="455">
        <f t="shared" si="95"/>
        <v>0</v>
      </c>
      <c r="G214" s="455">
        <f t="shared" si="95"/>
        <v>0</v>
      </c>
      <c r="H214" s="455">
        <f t="shared" si="95"/>
        <v>0</v>
      </c>
      <c r="I214" s="455">
        <f t="shared" si="95"/>
        <v>0</v>
      </c>
      <c r="J214" s="455">
        <f t="shared" si="95"/>
        <v>0</v>
      </c>
      <c r="K214" s="455">
        <f t="shared" si="95"/>
        <v>0</v>
      </c>
      <c r="L214" s="455">
        <f t="shared" si="95"/>
        <v>0</v>
      </c>
      <c r="M214" s="455">
        <f t="shared" si="95"/>
        <v>0</v>
      </c>
      <c r="N214" s="455">
        <f t="shared" si="95"/>
        <v>0</v>
      </c>
      <c r="O214" s="455">
        <f t="shared" si="95"/>
        <v>0</v>
      </c>
      <c r="P214" s="455">
        <f t="shared" si="95"/>
        <v>0</v>
      </c>
      <c r="Q214" s="455">
        <f t="shared" si="95"/>
        <v>0</v>
      </c>
      <c r="R214" s="455">
        <f t="shared" si="95"/>
        <v>0</v>
      </c>
      <c r="S214" s="455">
        <f t="shared" si="95"/>
        <v>0</v>
      </c>
      <c r="T214" s="455">
        <f t="shared" si="95"/>
        <v>0</v>
      </c>
      <c r="U214" s="455">
        <f t="shared" si="95"/>
        <v>0</v>
      </c>
      <c r="V214" s="455">
        <f t="shared" si="95"/>
        <v>0</v>
      </c>
      <c r="W214" s="455">
        <f t="shared" si="95"/>
        <v>0</v>
      </c>
      <c r="X214" s="401"/>
    </row>
    <row r="215" spans="1:24" ht="16" outlineLevel="1" thickBot="1">
      <c r="B215" s="456" t="s">
        <v>1</v>
      </c>
      <c r="C215" s="448"/>
      <c r="D215" s="448">
        <f t="shared" ref="D215:W215" si="96">SUM(D213:D214)</f>
        <v>5714005.7532770112</v>
      </c>
      <c r="E215" s="448">
        <f t="shared" si="96"/>
        <v>0</v>
      </c>
      <c r="F215" s="448">
        <f t="shared" si="96"/>
        <v>0</v>
      </c>
      <c r="G215" s="448">
        <f t="shared" si="96"/>
        <v>0</v>
      </c>
      <c r="H215" s="448">
        <f t="shared" si="96"/>
        <v>0</v>
      </c>
      <c r="I215" s="448">
        <f t="shared" si="96"/>
        <v>0</v>
      </c>
      <c r="J215" s="448">
        <f t="shared" si="96"/>
        <v>0</v>
      </c>
      <c r="K215" s="448">
        <f t="shared" si="96"/>
        <v>0</v>
      </c>
      <c r="L215" s="448">
        <f t="shared" si="96"/>
        <v>0</v>
      </c>
      <c r="M215" s="448">
        <f t="shared" si="96"/>
        <v>0</v>
      </c>
      <c r="N215" s="448">
        <f t="shared" si="96"/>
        <v>0</v>
      </c>
      <c r="O215" s="448">
        <f t="shared" si="96"/>
        <v>0</v>
      </c>
      <c r="P215" s="448">
        <f t="shared" si="96"/>
        <v>0</v>
      </c>
      <c r="Q215" s="448">
        <f t="shared" si="96"/>
        <v>0</v>
      </c>
      <c r="R215" s="448">
        <f t="shared" si="96"/>
        <v>0</v>
      </c>
      <c r="S215" s="448">
        <f t="shared" si="96"/>
        <v>0</v>
      </c>
      <c r="T215" s="448">
        <f t="shared" si="96"/>
        <v>0</v>
      </c>
      <c r="U215" s="448">
        <f t="shared" si="96"/>
        <v>0</v>
      </c>
      <c r="V215" s="448">
        <f t="shared" si="96"/>
        <v>0</v>
      </c>
      <c r="W215" s="448">
        <f t="shared" si="96"/>
        <v>0</v>
      </c>
      <c r="X215" s="401"/>
    </row>
    <row r="216" spans="1:24" outlineLevel="1">
      <c r="B216" s="406" t="s">
        <v>430</v>
      </c>
      <c r="C216" s="406"/>
      <c r="D216" s="406"/>
      <c r="E216" s="406"/>
      <c r="F216" s="406"/>
      <c r="G216" s="406"/>
      <c r="H216" s="406"/>
      <c r="I216" s="406"/>
      <c r="J216" s="406"/>
      <c r="K216" s="406"/>
      <c r="L216" s="406"/>
      <c r="M216" s="406"/>
      <c r="N216" s="406"/>
      <c r="O216" s="406"/>
      <c r="P216" s="406"/>
      <c r="Q216" s="406"/>
      <c r="R216" s="406"/>
      <c r="S216" s="406"/>
      <c r="T216" s="406"/>
      <c r="U216" s="406"/>
      <c r="V216" s="406"/>
      <c r="W216" s="406"/>
    </row>
    <row r="217" spans="1:24" outlineLevel="1">
      <c r="B217" s="421" t="s">
        <v>323</v>
      </c>
      <c r="C217" s="408">
        <f>-IFERROR(IPMT($F$5,MAX(D212,1),$G$5,$E$5),0)</f>
        <v>519455.06847972824</v>
      </c>
      <c r="D217" s="408">
        <f t="shared" ref="D217:W217" si="97">SUMIF($D$39:$AQ$39,D$39,$D213:$AQ213)</f>
        <v>519455.06847972824</v>
      </c>
      <c r="E217" s="408">
        <f t="shared" si="97"/>
        <v>0</v>
      </c>
      <c r="F217" s="408">
        <f t="shared" si="97"/>
        <v>0</v>
      </c>
      <c r="G217" s="408">
        <f t="shared" si="97"/>
        <v>0</v>
      </c>
      <c r="H217" s="408">
        <f t="shared" si="97"/>
        <v>0</v>
      </c>
      <c r="I217" s="408">
        <f t="shared" si="97"/>
        <v>0</v>
      </c>
      <c r="J217" s="408">
        <f t="shared" si="97"/>
        <v>0</v>
      </c>
      <c r="K217" s="408">
        <f t="shared" si="97"/>
        <v>0</v>
      </c>
      <c r="L217" s="408">
        <f t="shared" si="97"/>
        <v>0</v>
      </c>
      <c r="M217" s="408">
        <f t="shared" si="97"/>
        <v>0</v>
      </c>
      <c r="N217" s="408">
        <f t="shared" si="97"/>
        <v>0</v>
      </c>
      <c r="O217" s="408">
        <f t="shared" si="97"/>
        <v>0</v>
      </c>
      <c r="P217" s="408">
        <f t="shared" si="97"/>
        <v>0</v>
      </c>
      <c r="Q217" s="408">
        <f t="shared" si="97"/>
        <v>0</v>
      </c>
      <c r="R217" s="408">
        <f t="shared" si="97"/>
        <v>0</v>
      </c>
      <c r="S217" s="408">
        <f t="shared" si="97"/>
        <v>0</v>
      </c>
      <c r="T217" s="408">
        <f t="shared" si="97"/>
        <v>0</v>
      </c>
      <c r="U217" s="408">
        <f t="shared" si="97"/>
        <v>0</v>
      </c>
      <c r="V217" s="408">
        <f t="shared" si="97"/>
        <v>0</v>
      </c>
      <c r="W217" s="408">
        <f t="shared" si="97"/>
        <v>0</v>
      </c>
      <c r="X217" s="401"/>
    </row>
    <row r="218" spans="1:24" outlineLevel="1">
      <c r="B218" s="454" t="s">
        <v>324</v>
      </c>
      <c r="C218" s="455"/>
      <c r="D218" s="455">
        <f t="shared" ref="D218:W218" si="98">D214</f>
        <v>5194550.6847972833</v>
      </c>
      <c r="E218" s="455">
        <f t="shared" si="98"/>
        <v>0</v>
      </c>
      <c r="F218" s="455">
        <f t="shared" si="98"/>
        <v>0</v>
      </c>
      <c r="G218" s="455">
        <f t="shared" si="98"/>
        <v>0</v>
      </c>
      <c r="H218" s="455">
        <f t="shared" si="98"/>
        <v>0</v>
      </c>
      <c r="I218" s="455">
        <f t="shared" si="98"/>
        <v>0</v>
      </c>
      <c r="J218" s="455">
        <f t="shared" si="98"/>
        <v>0</v>
      </c>
      <c r="K218" s="455">
        <f t="shared" si="98"/>
        <v>0</v>
      </c>
      <c r="L218" s="455">
        <f t="shared" si="98"/>
        <v>0</v>
      </c>
      <c r="M218" s="455">
        <f t="shared" si="98"/>
        <v>0</v>
      </c>
      <c r="N218" s="455">
        <f t="shared" si="98"/>
        <v>0</v>
      </c>
      <c r="O218" s="455">
        <f t="shared" si="98"/>
        <v>0</v>
      </c>
      <c r="P218" s="455">
        <f t="shared" si="98"/>
        <v>0</v>
      </c>
      <c r="Q218" s="455">
        <f t="shared" si="98"/>
        <v>0</v>
      </c>
      <c r="R218" s="455">
        <f t="shared" si="98"/>
        <v>0</v>
      </c>
      <c r="S218" s="455">
        <f t="shared" si="98"/>
        <v>0</v>
      </c>
      <c r="T218" s="455">
        <f t="shared" si="98"/>
        <v>0</v>
      </c>
      <c r="U218" s="455">
        <f t="shared" si="98"/>
        <v>0</v>
      </c>
      <c r="V218" s="455">
        <f t="shared" si="98"/>
        <v>0</v>
      </c>
      <c r="W218" s="455">
        <f t="shared" si="98"/>
        <v>0</v>
      </c>
      <c r="X218" s="401"/>
    </row>
    <row r="219" spans="1:24" ht="16" outlineLevel="1" thickBot="1">
      <c r="B219" s="456" t="s">
        <v>1</v>
      </c>
      <c r="C219" s="448">
        <f t="shared" ref="C219:W219" si="99">SUM(C217:C218)</f>
        <v>519455.06847972824</v>
      </c>
      <c r="D219" s="448">
        <f t="shared" si="99"/>
        <v>5714005.7532770112</v>
      </c>
      <c r="E219" s="448">
        <f t="shared" si="99"/>
        <v>0</v>
      </c>
      <c r="F219" s="448">
        <f t="shared" si="99"/>
        <v>0</v>
      </c>
      <c r="G219" s="448">
        <f t="shared" si="99"/>
        <v>0</v>
      </c>
      <c r="H219" s="448">
        <f t="shared" si="99"/>
        <v>0</v>
      </c>
      <c r="I219" s="448">
        <f t="shared" si="99"/>
        <v>0</v>
      </c>
      <c r="J219" s="448">
        <f t="shared" si="99"/>
        <v>0</v>
      </c>
      <c r="K219" s="448">
        <f t="shared" si="99"/>
        <v>0</v>
      </c>
      <c r="L219" s="448">
        <f t="shared" si="99"/>
        <v>0</v>
      </c>
      <c r="M219" s="448">
        <f t="shared" si="99"/>
        <v>0</v>
      </c>
      <c r="N219" s="448">
        <f t="shared" si="99"/>
        <v>0</v>
      </c>
      <c r="O219" s="448">
        <f t="shared" si="99"/>
        <v>0</v>
      </c>
      <c r="P219" s="448">
        <f t="shared" si="99"/>
        <v>0</v>
      </c>
      <c r="Q219" s="448">
        <f t="shared" si="99"/>
        <v>0</v>
      </c>
      <c r="R219" s="448">
        <f t="shared" si="99"/>
        <v>0</v>
      </c>
      <c r="S219" s="448">
        <f t="shared" si="99"/>
        <v>0</v>
      </c>
      <c r="T219" s="448">
        <f t="shared" si="99"/>
        <v>0</v>
      </c>
      <c r="U219" s="448">
        <f t="shared" si="99"/>
        <v>0</v>
      </c>
      <c r="V219" s="448">
        <f t="shared" si="99"/>
        <v>0</v>
      </c>
      <c r="W219" s="448">
        <f t="shared" si="99"/>
        <v>0</v>
      </c>
      <c r="X219" s="401"/>
    </row>
    <row r="220" spans="1:24" outlineLevel="1">
      <c r="B220" s="406" t="s">
        <v>424</v>
      </c>
      <c r="C220" s="406"/>
      <c r="D220" s="406"/>
      <c r="E220" s="406"/>
      <c r="F220" s="406"/>
      <c r="G220" s="406"/>
      <c r="H220" s="406"/>
      <c r="I220" s="406"/>
      <c r="J220" s="406"/>
      <c r="K220" s="406"/>
      <c r="L220" s="406"/>
      <c r="M220" s="406"/>
      <c r="N220" s="406"/>
      <c r="O220" s="406"/>
      <c r="P220" s="406"/>
      <c r="Q220" s="406"/>
      <c r="R220" s="406"/>
      <c r="S220" s="406"/>
      <c r="T220" s="406"/>
      <c r="U220" s="406"/>
      <c r="V220" s="406"/>
      <c r="W220" s="406"/>
    </row>
    <row r="221" spans="1:24" outlineLevel="1">
      <c r="B221" s="457" t="s">
        <v>425</v>
      </c>
      <c r="C221" s="458">
        <f t="shared" ref="C221:W221" si="100">D214</f>
        <v>5194550.6847972833</v>
      </c>
      <c r="D221" s="458">
        <f t="shared" si="100"/>
        <v>0</v>
      </c>
      <c r="E221" s="458">
        <f t="shared" si="100"/>
        <v>0</v>
      </c>
      <c r="F221" s="458">
        <f t="shared" si="100"/>
        <v>0</v>
      </c>
      <c r="G221" s="458">
        <f t="shared" si="100"/>
        <v>0</v>
      </c>
      <c r="H221" s="458">
        <f t="shared" si="100"/>
        <v>0</v>
      </c>
      <c r="I221" s="458">
        <f t="shared" si="100"/>
        <v>0</v>
      </c>
      <c r="J221" s="458">
        <f t="shared" si="100"/>
        <v>0</v>
      </c>
      <c r="K221" s="458">
        <f t="shared" si="100"/>
        <v>0</v>
      </c>
      <c r="L221" s="458">
        <f t="shared" si="100"/>
        <v>0</v>
      </c>
      <c r="M221" s="458">
        <f t="shared" si="100"/>
        <v>0</v>
      </c>
      <c r="N221" s="458">
        <f t="shared" si="100"/>
        <v>0</v>
      </c>
      <c r="O221" s="458">
        <f t="shared" si="100"/>
        <v>0</v>
      </c>
      <c r="P221" s="458">
        <f t="shared" si="100"/>
        <v>0</v>
      </c>
      <c r="Q221" s="458">
        <f t="shared" si="100"/>
        <v>0</v>
      </c>
      <c r="R221" s="458">
        <f t="shared" si="100"/>
        <v>0</v>
      </c>
      <c r="S221" s="458">
        <f t="shared" si="100"/>
        <v>0</v>
      </c>
      <c r="T221" s="458">
        <f t="shared" si="100"/>
        <v>0</v>
      </c>
      <c r="U221" s="458">
        <f t="shared" si="100"/>
        <v>0</v>
      </c>
      <c r="V221" s="458">
        <f t="shared" si="100"/>
        <v>0</v>
      </c>
      <c r="W221" s="458">
        <f t="shared" si="100"/>
        <v>0</v>
      </c>
      <c r="X221" s="401"/>
    </row>
    <row r="222" spans="1:24" ht="16" outlineLevel="1" thickBot="1">
      <c r="B222" s="414" t="s">
        <v>426</v>
      </c>
      <c r="C222" s="415">
        <f>$E$5-C221</f>
        <v>0</v>
      </c>
      <c r="D222" s="415">
        <f t="shared" ref="D222:W222" si="101">C222-D221</f>
        <v>0</v>
      </c>
      <c r="E222" s="415">
        <f t="shared" si="101"/>
        <v>0</v>
      </c>
      <c r="F222" s="415">
        <f t="shared" si="101"/>
        <v>0</v>
      </c>
      <c r="G222" s="415">
        <f t="shared" si="101"/>
        <v>0</v>
      </c>
      <c r="H222" s="415">
        <f t="shared" si="101"/>
        <v>0</v>
      </c>
      <c r="I222" s="415">
        <f t="shared" si="101"/>
        <v>0</v>
      </c>
      <c r="J222" s="415">
        <f t="shared" si="101"/>
        <v>0</v>
      </c>
      <c r="K222" s="415">
        <f t="shared" si="101"/>
        <v>0</v>
      </c>
      <c r="L222" s="415">
        <f t="shared" si="101"/>
        <v>0</v>
      </c>
      <c r="M222" s="415">
        <f t="shared" si="101"/>
        <v>0</v>
      </c>
      <c r="N222" s="415">
        <f t="shared" si="101"/>
        <v>0</v>
      </c>
      <c r="O222" s="415">
        <f t="shared" si="101"/>
        <v>0</v>
      </c>
      <c r="P222" s="415">
        <f t="shared" si="101"/>
        <v>0</v>
      </c>
      <c r="Q222" s="415">
        <f t="shared" si="101"/>
        <v>0</v>
      </c>
      <c r="R222" s="415">
        <f t="shared" si="101"/>
        <v>0</v>
      </c>
      <c r="S222" s="415">
        <f t="shared" si="101"/>
        <v>0</v>
      </c>
      <c r="T222" s="415">
        <f t="shared" si="101"/>
        <v>0</v>
      </c>
      <c r="U222" s="415">
        <f t="shared" si="101"/>
        <v>0</v>
      </c>
      <c r="V222" s="415">
        <f t="shared" si="101"/>
        <v>0</v>
      </c>
      <c r="W222" s="415">
        <f t="shared" si="101"/>
        <v>0</v>
      </c>
      <c r="X222" s="401"/>
    </row>
    <row r="223" spans="1:24" outlineLevel="1"/>
    <row r="224" spans="1:24" ht="16" thickBot="1"/>
    <row r="225" spans="1:24" ht="16" thickTop="1">
      <c r="A225" s="374">
        <f>A208+1</f>
        <v>12</v>
      </c>
      <c r="B225" s="379" t="str">
        <f>"Year "&amp;A225&amp;" Working Capital Financing"</f>
        <v>Year 12 Working Capital Financing</v>
      </c>
      <c r="C225" s="379"/>
      <c r="D225" s="379"/>
      <c r="E225" s="379"/>
      <c r="F225" s="379"/>
      <c r="G225" s="379"/>
      <c r="H225" s="379"/>
      <c r="I225" s="379"/>
      <c r="J225" s="379"/>
      <c r="K225" s="379"/>
      <c r="L225" s="379"/>
      <c r="M225" s="379"/>
      <c r="N225" s="379"/>
      <c r="O225" s="379"/>
      <c r="P225" s="379"/>
      <c r="Q225" s="379"/>
      <c r="R225" s="379"/>
      <c r="S225" s="379"/>
      <c r="T225" s="379"/>
      <c r="U225" s="379"/>
      <c r="V225" s="379"/>
      <c r="W225" s="379"/>
    </row>
    <row r="226" spans="1:24" s="420" customFormat="1" ht="16" outlineLevel="1" thickBot="1">
      <c r="A226" s="417"/>
      <c r="B226" s="459"/>
      <c r="C226" s="459">
        <v>0</v>
      </c>
      <c r="D226" s="459">
        <v>1</v>
      </c>
      <c r="E226" s="459">
        <v>2</v>
      </c>
      <c r="F226" s="459">
        <v>3</v>
      </c>
      <c r="G226" s="459">
        <v>4</v>
      </c>
      <c r="H226" s="459">
        <v>5</v>
      </c>
      <c r="I226" s="459">
        <v>6</v>
      </c>
      <c r="J226" s="459">
        <v>7</v>
      </c>
      <c r="K226" s="459">
        <v>8</v>
      </c>
      <c r="L226" s="459">
        <v>9</v>
      </c>
      <c r="M226" s="459">
        <v>10</v>
      </c>
      <c r="N226" s="459">
        <v>11</v>
      </c>
      <c r="O226" s="459">
        <v>12</v>
      </c>
      <c r="P226" s="459">
        <v>13</v>
      </c>
      <c r="Q226" s="459">
        <v>14</v>
      </c>
      <c r="R226" s="459">
        <v>15</v>
      </c>
      <c r="S226" s="459">
        <v>16</v>
      </c>
      <c r="T226" s="459">
        <v>17</v>
      </c>
      <c r="U226" s="459">
        <v>18</v>
      </c>
      <c r="V226" s="459">
        <v>19</v>
      </c>
      <c r="W226" s="459">
        <v>20</v>
      </c>
      <c r="X226" s="451"/>
    </row>
    <row r="227" spans="1:24" outlineLevel="1">
      <c r="B227" s="406" t="s">
        <v>421</v>
      </c>
      <c r="C227" s="406"/>
      <c r="D227" s="406"/>
      <c r="E227" s="406"/>
      <c r="F227" s="406"/>
      <c r="G227" s="406"/>
      <c r="H227" s="406"/>
      <c r="I227" s="406"/>
      <c r="J227" s="406"/>
      <c r="K227" s="406"/>
      <c r="L227" s="406"/>
      <c r="M227" s="406"/>
      <c r="N227" s="406"/>
      <c r="O227" s="406"/>
      <c r="P227" s="406"/>
      <c r="Q227" s="406"/>
      <c r="R227" s="406"/>
      <c r="S227" s="406"/>
      <c r="T227" s="406"/>
      <c r="U227" s="406"/>
      <c r="V227" s="406"/>
      <c r="W227" s="406"/>
    </row>
    <row r="228" spans="1:24" s="420" customFormat="1" outlineLevel="1">
      <c r="A228" s="417"/>
      <c r="B228" s="418" t="s">
        <v>428</v>
      </c>
      <c r="C228" s="418"/>
      <c r="D228" s="419">
        <v>1</v>
      </c>
      <c r="E228" s="419">
        <v>2</v>
      </c>
      <c r="F228" s="419">
        <v>3</v>
      </c>
      <c r="G228" s="419">
        <v>4</v>
      </c>
      <c r="H228" s="419">
        <v>5</v>
      </c>
      <c r="I228" s="419">
        <v>6</v>
      </c>
      <c r="J228" s="419">
        <v>7</v>
      </c>
      <c r="K228" s="419">
        <v>8</v>
      </c>
      <c r="L228" s="419">
        <v>9</v>
      </c>
      <c r="M228" s="419">
        <v>10</v>
      </c>
      <c r="N228" s="419">
        <v>11</v>
      </c>
      <c r="O228" s="419">
        <v>12</v>
      </c>
      <c r="P228" s="419">
        <v>13</v>
      </c>
      <c r="Q228" s="419">
        <v>14</v>
      </c>
      <c r="R228" s="419">
        <v>15</v>
      </c>
      <c r="S228" s="419">
        <v>16</v>
      </c>
      <c r="T228" s="419">
        <v>17</v>
      </c>
      <c r="U228" s="419">
        <v>18</v>
      </c>
      <c r="V228" s="419">
        <v>19</v>
      </c>
      <c r="W228" s="419">
        <v>20</v>
      </c>
      <c r="X228" s="452"/>
    </row>
    <row r="229" spans="1:24" outlineLevel="1">
      <c r="B229" s="418" t="s">
        <v>429</v>
      </c>
      <c r="C229" s="418"/>
      <c r="D229" s="419">
        <f>MAX(D228-($H$6),0)</f>
        <v>1</v>
      </c>
      <c r="E229" s="419">
        <f t="shared" ref="E229:W229" si="102">MAX(E228-($H$6),0)</f>
        <v>2</v>
      </c>
      <c r="F229" s="419">
        <f t="shared" si="102"/>
        <v>3</v>
      </c>
      <c r="G229" s="419">
        <f t="shared" si="102"/>
        <v>4</v>
      </c>
      <c r="H229" s="419">
        <f t="shared" si="102"/>
        <v>5</v>
      </c>
      <c r="I229" s="419">
        <f t="shared" si="102"/>
        <v>6</v>
      </c>
      <c r="J229" s="419">
        <f t="shared" si="102"/>
        <v>7</v>
      </c>
      <c r="K229" s="419">
        <f t="shared" si="102"/>
        <v>8</v>
      </c>
      <c r="L229" s="419">
        <f t="shared" si="102"/>
        <v>9</v>
      </c>
      <c r="M229" s="419">
        <f t="shared" si="102"/>
        <v>10</v>
      </c>
      <c r="N229" s="419">
        <f t="shared" si="102"/>
        <v>11</v>
      </c>
      <c r="O229" s="419">
        <f t="shared" si="102"/>
        <v>12</v>
      </c>
      <c r="P229" s="419">
        <f t="shared" si="102"/>
        <v>13</v>
      </c>
      <c r="Q229" s="419">
        <f t="shared" si="102"/>
        <v>14</v>
      </c>
      <c r="R229" s="419">
        <f t="shared" si="102"/>
        <v>15</v>
      </c>
      <c r="S229" s="419">
        <f t="shared" si="102"/>
        <v>16</v>
      </c>
      <c r="T229" s="419">
        <f t="shared" si="102"/>
        <v>17</v>
      </c>
      <c r="U229" s="419">
        <f t="shared" si="102"/>
        <v>18</v>
      </c>
      <c r="V229" s="419">
        <f t="shared" si="102"/>
        <v>19</v>
      </c>
      <c r="W229" s="419">
        <f t="shared" si="102"/>
        <v>20</v>
      </c>
      <c r="X229" s="453"/>
    </row>
    <row r="230" spans="1:24" outlineLevel="1">
      <c r="B230" s="418" t="s">
        <v>323</v>
      </c>
      <c r="C230" s="418"/>
      <c r="D230" s="413">
        <f t="shared" ref="D230:W230" si="103">-IFERROR(IPMT($F$6,MAX(D229,1),$G$6,$E$6),0)</f>
        <v>390892.71838304953</v>
      </c>
      <c r="E230" s="413">
        <f t="shared" si="103"/>
        <v>0</v>
      </c>
      <c r="F230" s="413">
        <f t="shared" si="103"/>
        <v>0</v>
      </c>
      <c r="G230" s="413">
        <f t="shared" si="103"/>
        <v>0</v>
      </c>
      <c r="H230" s="413">
        <f t="shared" si="103"/>
        <v>0</v>
      </c>
      <c r="I230" s="413">
        <f t="shared" si="103"/>
        <v>0</v>
      </c>
      <c r="J230" s="413">
        <f t="shared" si="103"/>
        <v>0</v>
      </c>
      <c r="K230" s="413">
        <f t="shared" si="103"/>
        <v>0</v>
      </c>
      <c r="L230" s="413">
        <f t="shared" si="103"/>
        <v>0</v>
      </c>
      <c r="M230" s="413">
        <f t="shared" si="103"/>
        <v>0</v>
      </c>
      <c r="N230" s="413">
        <f t="shared" si="103"/>
        <v>0</v>
      </c>
      <c r="O230" s="413">
        <f t="shared" si="103"/>
        <v>0</v>
      </c>
      <c r="P230" s="413">
        <f t="shared" si="103"/>
        <v>0</v>
      </c>
      <c r="Q230" s="413">
        <f t="shared" si="103"/>
        <v>0</v>
      </c>
      <c r="R230" s="413">
        <f t="shared" si="103"/>
        <v>0</v>
      </c>
      <c r="S230" s="413">
        <f t="shared" si="103"/>
        <v>0</v>
      </c>
      <c r="T230" s="413">
        <f t="shared" si="103"/>
        <v>0</v>
      </c>
      <c r="U230" s="413">
        <f t="shared" si="103"/>
        <v>0</v>
      </c>
      <c r="V230" s="413">
        <f t="shared" si="103"/>
        <v>0</v>
      </c>
      <c r="W230" s="413">
        <f t="shared" si="103"/>
        <v>0</v>
      </c>
      <c r="X230" s="401"/>
    </row>
    <row r="231" spans="1:24" outlineLevel="1">
      <c r="B231" s="454" t="s">
        <v>324</v>
      </c>
      <c r="C231" s="455"/>
      <c r="D231" s="455">
        <f t="shared" ref="D231:W231" si="104">-IFERROR(PPMT($F$6,D229,$G$6,$E$6),0)</f>
        <v>3908927.1838304955</v>
      </c>
      <c r="E231" s="455">
        <f t="shared" si="104"/>
        <v>0</v>
      </c>
      <c r="F231" s="455">
        <f t="shared" si="104"/>
        <v>0</v>
      </c>
      <c r="G231" s="455">
        <f t="shared" si="104"/>
        <v>0</v>
      </c>
      <c r="H231" s="455">
        <f t="shared" si="104"/>
        <v>0</v>
      </c>
      <c r="I231" s="455">
        <f t="shared" si="104"/>
        <v>0</v>
      </c>
      <c r="J231" s="455">
        <f t="shared" si="104"/>
        <v>0</v>
      </c>
      <c r="K231" s="455">
        <f t="shared" si="104"/>
        <v>0</v>
      </c>
      <c r="L231" s="455">
        <f t="shared" si="104"/>
        <v>0</v>
      </c>
      <c r="M231" s="455">
        <f t="shared" si="104"/>
        <v>0</v>
      </c>
      <c r="N231" s="455">
        <f t="shared" si="104"/>
        <v>0</v>
      </c>
      <c r="O231" s="455">
        <f t="shared" si="104"/>
        <v>0</v>
      </c>
      <c r="P231" s="455">
        <f t="shared" si="104"/>
        <v>0</v>
      </c>
      <c r="Q231" s="455">
        <f t="shared" si="104"/>
        <v>0</v>
      </c>
      <c r="R231" s="455">
        <f t="shared" si="104"/>
        <v>0</v>
      </c>
      <c r="S231" s="455">
        <f t="shared" si="104"/>
        <v>0</v>
      </c>
      <c r="T231" s="455">
        <f t="shared" si="104"/>
        <v>0</v>
      </c>
      <c r="U231" s="455">
        <f t="shared" si="104"/>
        <v>0</v>
      </c>
      <c r="V231" s="455">
        <f t="shared" si="104"/>
        <v>0</v>
      </c>
      <c r="W231" s="455">
        <f t="shared" si="104"/>
        <v>0</v>
      </c>
      <c r="X231" s="401"/>
    </row>
    <row r="232" spans="1:24" ht="16" outlineLevel="1" thickBot="1">
      <c r="B232" s="456" t="s">
        <v>1</v>
      </c>
      <c r="C232" s="448"/>
      <c r="D232" s="448">
        <f t="shared" ref="D232:W232" si="105">SUM(D230:D231)</f>
        <v>4299819.9022135446</v>
      </c>
      <c r="E232" s="448">
        <f t="shared" si="105"/>
        <v>0</v>
      </c>
      <c r="F232" s="448">
        <f t="shared" si="105"/>
        <v>0</v>
      </c>
      <c r="G232" s="448">
        <f t="shared" si="105"/>
        <v>0</v>
      </c>
      <c r="H232" s="448">
        <f t="shared" si="105"/>
        <v>0</v>
      </c>
      <c r="I232" s="448">
        <f t="shared" si="105"/>
        <v>0</v>
      </c>
      <c r="J232" s="448">
        <f t="shared" si="105"/>
        <v>0</v>
      </c>
      <c r="K232" s="448">
        <f t="shared" si="105"/>
        <v>0</v>
      </c>
      <c r="L232" s="448">
        <f t="shared" si="105"/>
        <v>0</v>
      </c>
      <c r="M232" s="448">
        <f t="shared" si="105"/>
        <v>0</v>
      </c>
      <c r="N232" s="448">
        <f t="shared" si="105"/>
        <v>0</v>
      </c>
      <c r="O232" s="448">
        <f t="shared" si="105"/>
        <v>0</v>
      </c>
      <c r="P232" s="448">
        <f t="shared" si="105"/>
        <v>0</v>
      </c>
      <c r="Q232" s="448">
        <f t="shared" si="105"/>
        <v>0</v>
      </c>
      <c r="R232" s="448">
        <f t="shared" si="105"/>
        <v>0</v>
      </c>
      <c r="S232" s="448">
        <f t="shared" si="105"/>
        <v>0</v>
      </c>
      <c r="T232" s="448">
        <f t="shared" si="105"/>
        <v>0</v>
      </c>
      <c r="U232" s="448">
        <f t="shared" si="105"/>
        <v>0</v>
      </c>
      <c r="V232" s="448">
        <f t="shared" si="105"/>
        <v>0</v>
      </c>
      <c r="W232" s="448">
        <f t="shared" si="105"/>
        <v>0</v>
      </c>
      <c r="X232" s="401"/>
    </row>
    <row r="233" spans="1:24" outlineLevel="1">
      <c r="B233" s="406" t="s">
        <v>430</v>
      </c>
      <c r="C233" s="406"/>
      <c r="D233" s="406"/>
      <c r="E233" s="406"/>
      <c r="F233" s="406"/>
      <c r="G233" s="406"/>
      <c r="H233" s="406"/>
      <c r="I233" s="406"/>
      <c r="J233" s="406"/>
      <c r="K233" s="406"/>
      <c r="L233" s="406"/>
      <c r="M233" s="406"/>
      <c r="N233" s="406"/>
      <c r="O233" s="406"/>
      <c r="P233" s="406"/>
      <c r="Q233" s="406"/>
      <c r="R233" s="406"/>
      <c r="S233" s="406"/>
      <c r="T233" s="406"/>
      <c r="U233" s="406"/>
      <c r="V233" s="406"/>
      <c r="W233" s="406"/>
    </row>
    <row r="234" spans="1:24" outlineLevel="1">
      <c r="B234" s="418" t="s">
        <v>323</v>
      </c>
      <c r="C234" s="413">
        <f>-IFERROR(IPMT($F$6,MAX(D229,1),$G$6,$E$6),0)</f>
        <v>390892.71838304953</v>
      </c>
      <c r="D234" s="413">
        <f t="shared" ref="D234:W234" si="106">SUMIF($D226:$AQ226,D$56,$D230:$AQ230)</f>
        <v>390892.71838304953</v>
      </c>
      <c r="E234" s="413">
        <f t="shared" si="106"/>
        <v>0</v>
      </c>
      <c r="F234" s="413">
        <f t="shared" si="106"/>
        <v>0</v>
      </c>
      <c r="G234" s="413">
        <f t="shared" si="106"/>
        <v>0</v>
      </c>
      <c r="H234" s="413">
        <f t="shared" si="106"/>
        <v>0</v>
      </c>
      <c r="I234" s="413">
        <f t="shared" si="106"/>
        <v>0</v>
      </c>
      <c r="J234" s="413">
        <f t="shared" si="106"/>
        <v>0</v>
      </c>
      <c r="K234" s="413">
        <f t="shared" si="106"/>
        <v>0</v>
      </c>
      <c r="L234" s="413">
        <f t="shared" si="106"/>
        <v>0</v>
      </c>
      <c r="M234" s="413">
        <f t="shared" si="106"/>
        <v>0</v>
      </c>
      <c r="N234" s="413">
        <f t="shared" si="106"/>
        <v>0</v>
      </c>
      <c r="O234" s="413">
        <f t="shared" si="106"/>
        <v>0</v>
      </c>
      <c r="P234" s="413">
        <f t="shared" si="106"/>
        <v>0</v>
      </c>
      <c r="Q234" s="413">
        <f t="shared" si="106"/>
        <v>0</v>
      </c>
      <c r="R234" s="413">
        <f t="shared" si="106"/>
        <v>0</v>
      </c>
      <c r="S234" s="413">
        <f t="shared" si="106"/>
        <v>0</v>
      </c>
      <c r="T234" s="413">
        <f t="shared" si="106"/>
        <v>0</v>
      </c>
      <c r="U234" s="413">
        <f t="shared" si="106"/>
        <v>0</v>
      </c>
      <c r="V234" s="413">
        <f t="shared" si="106"/>
        <v>0</v>
      </c>
      <c r="W234" s="413">
        <f t="shared" si="106"/>
        <v>0</v>
      </c>
      <c r="X234" s="401"/>
    </row>
    <row r="235" spans="1:24" outlineLevel="1">
      <c r="B235" s="454" t="s">
        <v>324</v>
      </c>
      <c r="C235" s="455"/>
      <c r="D235" s="455">
        <f t="shared" ref="D235:W235" si="107">D231</f>
        <v>3908927.1838304955</v>
      </c>
      <c r="E235" s="455">
        <f t="shared" si="107"/>
        <v>0</v>
      </c>
      <c r="F235" s="455">
        <f t="shared" si="107"/>
        <v>0</v>
      </c>
      <c r="G235" s="455">
        <f t="shared" si="107"/>
        <v>0</v>
      </c>
      <c r="H235" s="455">
        <f t="shared" si="107"/>
        <v>0</v>
      </c>
      <c r="I235" s="455">
        <f t="shared" si="107"/>
        <v>0</v>
      </c>
      <c r="J235" s="455">
        <f t="shared" si="107"/>
        <v>0</v>
      </c>
      <c r="K235" s="455">
        <f t="shared" si="107"/>
        <v>0</v>
      </c>
      <c r="L235" s="455">
        <f t="shared" si="107"/>
        <v>0</v>
      </c>
      <c r="M235" s="455">
        <f t="shared" si="107"/>
        <v>0</v>
      </c>
      <c r="N235" s="455">
        <f t="shared" si="107"/>
        <v>0</v>
      </c>
      <c r="O235" s="455">
        <f t="shared" si="107"/>
        <v>0</v>
      </c>
      <c r="P235" s="455">
        <f t="shared" si="107"/>
        <v>0</v>
      </c>
      <c r="Q235" s="455">
        <f t="shared" si="107"/>
        <v>0</v>
      </c>
      <c r="R235" s="455">
        <f t="shared" si="107"/>
        <v>0</v>
      </c>
      <c r="S235" s="455">
        <f t="shared" si="107"/>
        <v>0</v>
      </c>
      <c r="T235" s="455">
        <f t="shared" si="107"/>
        <v>0</v>
      </c>
      <c r="U235" s="455">
        <f t="shared" si="107"/>
        <v>0</v>
      </c>
      <c r="V235" s="455">
        <f t="shared" si="107"/>
        <v>0</v>
      </c>
      <c r="W235" s="455">
        <f t="shared" si="107"/>
        <v>0</v>
      </c>
      <c r="X235" s="401"/>
    </row>
    <row r="236" spans="1:24" ht="16" outlineLevel="1" thickBot="1">
      <c r="B236" s="456" t="s">
        <v>1</v>
      </c>
      <c r="C236" s="448">
        <f t="shared" ref="C236:W236" si="108">SUM(C234:C235)</f>
        <v>390892.71838304953</v>
      </c>
      <c r="D236" s="448">
        <f t="shared" si="108"/>
        <v>4299819.9022135446</v>
      </c>
      <c r="E236" s="448">
        <f t="shared" si="108"/>
        <v>0</v>
      </c>
      <c r="F236" s="448">
        <f t="shared" si="108"/>
        <v>0</v>
      </c>
      <c r="G236" s="448">
        <f t="shared" si="108"/>
        <v>0</v>
      </c>
      <c r="H236" s="448">
        <f t="shared" si="108"/>
        <v>0</v>
      </c>
      <c r="I236" s="448">
        <f t="shared" si="108"/>
        <v>0</v>
      </c>
      <c r="J236" s="448">
        <f t="shared" si="108"/>
        <v>0</v>
      </c>
      <c r="K236" s="448">
        <f t="shared" si="108"/>
        <v>0</v>
      </c>
      <c r="L236" s="448">
        <f t="shared" si="108"/>
        <v>0</v>
      </c>
      <c r="M236" s="448">
        <f t="shared" si="108"/>
        <v>0</v>
      </c>
      <c r="N236" s="448">
        <f t="shared" si="108"/>
        <v>0</v>
      </c>
      <c r="O236" s="448">
        <f t="shared" si="108"/>
        <v>0</v>
      </c>
      <c r="P236" s="448">
        <f t="shared" si="108"/>
        <v>0</v>
      </c>
      <c r="Q236" s="448">
        <f t="shared" si="108"/>
        <v>0</v>
      </c>
      <c r="R236" s="448">
        <f t="shared" si="108"/>
        <v>0</v>
      </c>
      <c r="S236" s="448">
        <f t="shared" si="108"/>
        <v>0</v>
      </c>
      <c r="T236" s="448">
        <f t="shared" si="108"/>
        <v>0</v>
      </c>
      <c r="U236" s="448">
        <f t="shared" si="108"/>
        <v>0</v>
      </c>
      <c r="V236" s="448">
        <f t="shared" si="108"/>
        <v>0</v>
      </c>
      <c r="W236" s="448">
        <f t="shared" si="108"/>
        <v>0</v>
      </c>
      <c r="X236" s="401"/>
    </row>
    <row r="237" spans="1:24" outlineLevel="1">
      <c r="B237" s="406" t="s">
        <v>424</v>
      </c>
      <c r="C237" s="406"/>
      <c r="D237" s="406"/>
      <c r="E237" s="406"/>
      <c r="F237" s="406"/>
      <c r="G237" s="406"/>
      <c r="H237" s="406"/>
      <c r="I237" s="406"/>
      <c r="J237" s="406"/>
      <c r="K237" s="406"/>
      <c r="L237" s="406"/>
      <c r="M237" s="406"/>
      <c r="N237" s="406"/>
      <c r="O237" s="406"/>
      <c r="P237" s="406"/>
      <c r="Q237" s="406"/>
      <c r="R237" s="406"/>
      <c r="S237" s="406"/>
      <c r="T237" s="406"/>
      <c r="U237" s="406"/>
      <c r="V237" s="406"/>
      <c r="W237" s="406"/>
    </row>
    <row r="238" spans="1:24" outlineLevel="1">
      <c r="B238" s="457" t="s">
        <v>425</v>
      </c>
      <c r="C238" s="458">
        <f t="shared" ref="C238:W238" si="109">D235</f>
        <v>3908927.1838304955</v>
      </c>
      <c r="D238" s="458">
        <f t="shared" si="109"/>
        <v>0</v>
      </c>
      <c r="E238" s="458">
        <f t="shared" si="109"/>
        <v>0</v>
      </c>
      <c r="F238" s="458">
        <f t="shared" si="109"/>
        <v>0</v>
      </c>
      <c r="G238" s="458">
        <f t="shared" si="109"/>
        <v>0</v>
      </c>
      <c r="H238" s="458">
        <f t="shared" si="109"/>
        <v>0</v>
      </c>
      <c r="I238" s="458">
        <f t="shared" si="109"/>
        <v>0</v>
      </c>
      <c r="J238" s="458">
        <f t="shared" si="109"/>
        <v>0</v>
      </c>
      <c r="K238" s="458">
        <f t="shared" si="109"/>
        <v>0</v>
      </c>
      <c r="L238" s="458">
        <f t="shared" si="109"/>
        <v>0</v>
      </c>
      <c r="M238" s="458">
        <f t="shared" si="109"/>
        <v>0</v>
      </c>
      <c r="N238" s="458">
        <f t="shared" si="109"/>
        <v>0</v>
      </c>
      <c r="O238" s="458">
        <f t="shared" si="109"/>
        <v>0</v>
      </c>
      <c r="P238" s="458">
        <f t="shared" si="109"/>
        <v>0</v>
      </c>
      <c r="Q238" s="458">
        <f t="shared" si="109"/>
        <v>0</v>
      </c>
      <c r="R238" s="458">
        <f t="shared" si="109"/>
        <v>0</v>
      </c>
      <c r="S238" s="458">
        <f t="shared" si="109"/>
        <v>0</v>
      </c>
      <c r="T238" s="458">
        <f t="shared" si="109"/>
        <v>0</v>
      </c>
      <c r="U238" s="458">
        <f t="shared" si="109"/>
        <v>0</v>
      </c>
      <c r="V238" s="458">
        <f t="shared" si="109"/>
        <v>0</v>
      </c>
      <c r="W238" s="458">
        <f t="shared" si="109"/>
        <v>0</v>
      </c>
      <c r="X238" s="401"/>
    </row>
    <row r="239" spans="1:24" ht="16" outlineLevel="1" thickBot="1">
      <c r="B239" s="414" t="s">
        <v>426</v>
      </c>
      <c r="C239" s="415">
        <f>$E$6-C238</f>
        <v>0</v>
      </c>
      <c r="D239" s="415">
        <f t="shared" ref="D239:W239" si="110">C239-D238</f>
        <v>0</v>
      </c>
      <c r="E239" s="415">
        <f t="shared" si="110"/>
        <v>0</v>
      </c>
      <c r="F239" s="415">
        <f t="shared" si="110"/>
        <v>0</v>
      </c>
      <c r="G239" s="415">
        <f t="shared" si="110"/>
        <v>0</v>
      </c>
      <c r="H239" s="415">
        <f t="shared" si="110"/>
        <v>0</v>
      </c>
      <c r="I239" s="415">
        <f t="shared" si="110"/>
        <v>0</v>
      </c>
      <c r="J239" s="415">
        <f t="shared" si="110"/>
        <v>0</v>
      </c>
      <c r="K239" s="415">
        <f t="shared" si="110"/>
        <v>0</v>
      </c>
      <c r="L239" s="415">
        <f t="shared" si="110"/>
        <v>0</v>
      </c>
      <c r="M239" s="415">
        <f t="shared" si="110"/>
        <v>0</v>
      </c>
      <c r="N239" s="415">
        <f t="shared" si="110"/>
        <v>0</v>
      </c>
      <c r="O239" s="415">
        <f t="shared" si="110"/>
        <v>0</v>
      </c>
      <c r="P239" s="415">
        <f t="shared" si="110"/>
        <v>0</v>
      </c>
      <c r="Q239" s="415">
        <f t="shared" si="110"/>
        <v>0</v>
      </c>
      <c r="R239" s="415">
        <f t="shared" si="110"/>
        <v>0</v>
      </c>
      <c r="S239" s="415">
        <f t="shared" si="110"/>
        <v>0</v>
      </c>
      <c r="T239" s="415">
        <f t="shared" si="110"/>
        <v>0</v>
      </c>
      <c r="U239" s="415">
        <f t="shared" si="110"/>
        <v>0</v>
      </c>
      <c r="V239" s="415">
        <f t="shared" si="110"/>
        <v>0</v>
      </c>
      <c r="W239" s="415">
        <f t="shared" si="110"/>
        <v>0</v>
      </c>
      <c r="X239" s="401"/>
    </row>
    <row r="240" spans="1:24" outlineLevel="1"/>
    <row r="241" spans="1:24" ht="16" thickBot="1"/>
    <row r="242" spans="1:24" ht="16" thickTop="1">
      <c r="A242" s="374">
        <f>A225+1</f>
        <v>13</v>
      </c>
      <c r="B242" s="379" t="str">
        <f>"Year "&amp;A242&amp;" Working Capital Financing"</f>
        <v>Year 13 Working Capital Financing</v>
      </c>
      <c r="C242" s="379"/>
      <c r="D242" s="379"/>
      <c r="E242" s="379"/>
      <c r="F242" s="379"/>
      <c r="G242" s="379"/>
      <c r="H242" s="379"/>
      <c r="I242" s="379"/>
      <c r="J242" s="379"/>
      <c r="K242" s="379"/>
      <c r="L242" s="379"/>
      <c r="M242" s="379"/>
      <c r="N242" s="379"/>
      <c r="O242" s="379"/>
      <c r="P242" s="379"/>
      <c r="Q242" s="379"/>
      <c r="R242" s="379"/>
      <c r="S242" s="379"/>
      <c r="T242" s="379"/>
      <c r="U242" s="379"/>
      <c r="V242" s="379"/>
      <c r="W242" s="379"/>
    </row>
    <row r="243" spans="1:24" s="420" customFormat="1" ht="16" outlineLevel="1" thickBot="1">
      <c r="A243" s="417"/>
      <c r="B243" s="405"/>
      <c r="C243" s="405">
        <v>0</v>
      </c>
      <c r="D243" s="405">
        <v>1</v>
      </c>
      <c r="E243" s="405">
        <v>2</v>
      </c>
      <c r="F243" s="405">
        <v>3</v>
      </c>
      <c r="G243" s="405">
        <v>4</v>
      </c>
      <c r="H243" s="405">
        <v>5</v>
      </c>
      <c r="I243" s="405">
        <v>6</v>
      </c>
      <c r="J243" s="405">
        <v>7</v>
      </c>
      <c r="K243" s="405">
        <v>8</v>
      </c>
      <c r="L243" s="405">
        <v>9</v>
      </c>
      <c r="M243" s="405">
        <v>10</v>
      </c>
      <c r="N243" s="405">
        <v>11</v>
      </c>
      <c r="O243" s="405">
        <v>12</v>
      </c>
      <c r="P243" s="405">
        <v>13</v>
      </c>
      <c r="Q243" s="405">
        <v>14</v>
      </c>
      <c r="R243" s="405">
        <v>15</v>
      </c>
      <c r="S243" s="405">
        <v>16</v>
      </c>
      <c r="T243" s="405">
        <v>17</v>
      </c>
      <c r="U243" s="405">
        <v>18</v>
      </c>
      <c r="V243" s="405">
        <v>19</v>
      </c>
      <c r="W243" s="405">
        <v>20</v>
      </c>
      <c r="X243" s="451"/>
    </row>
    <row r="244" spans="1:24" outlineLevel="1">
      <c r="B244" s="406" t="s">
        <v>421</v>
      </c>
      <c r="C244" s="406"/>
      <c r="D244" s="406"/>
      <c r="E244" s="406"/>
      <c r="F244" s="406"/>
      <c r="G244" s="406"/>
      <c r="H244" s="406"/>
      <c r="I244" s="406"/>
      <c r="J244" s="406"/>
      <c r="K244" s="406"/>
      <c r="L244" s="406"/>
      <c r="M244" s="406"/>
      <c r="N244" s="406"/>
      <c r="O244" s="406"/>
      <c r="P244" s="406"/>
      <c r="Q244" s="406"/>
      <c r="R244" s="406"/>
      <c r="S244" s="406"/>
      <c r="T244" s="406"/>
      <c r="U244" s="406"/>
      <c r="V244" s="406"/>
      <c r="W244" s="406"/>
    </row>
    <row r="245" spans="1:24" s="420" customFormat="1" outlineLevel="1">
      <c r="A245" s="417"/>
      <c r="B245" s="418" t="s">
        <v>428</v>
      </c>
      <c r="C245" s="418"/>
      <c r="D245" s="419">
        <v>1</v>
      </c>
      <c r="E245" s="419">
        <v>2</v>
      </c>
      <c r="F245" s="419">
        <v>3</v>
      </c>
      <c r="G245" s="419">
        <v>4</v>
      </c>
      <c r="H245" s="419">
        <v>5</v>
      </c>
      <c r="I245" s="419">
        <v>6</v>
      </c>
      <c r="J245" s="419">
        <v>7</v>
      </c>
      <c r="K245" s="419">
        <v>8</v>
      </c>
      <c r="L245" s="419">
        <v>9</v>
      </c>
      <c r="M245" s="419">
        <v>10</v>
      </c>
      <c r="N245" s="419">
        <v>11</v>
      </c>
      <c r="O245" s="419">
        <v>12</v>
      </c>
      <c r="P245" s="419">
        <v>13</v>
      </c>
      <c r="Q245" s="419">
        <v>14</v>
      </c>
      <c r="R245" s="419">
        <v>15</v>
      </c>
      <c r="S245" s="419">
        <v>16</v>
      </c>
      <c r="T245" s="419">
        <v>17</v>
      </c>
      <c r="U245" s="419">
        <v>18</v>
      </c>
      <c r="V245" s="419">
        <v>19</v>
      </c>
      <c r="W245" s="419">
        <v>20</v>
      </c>
      <c r="X245" s="452"/>
    </row>
    <row r="246" spans="1:24" outlineLevel="1">
      <c r="B246" s="421" t="s">
        <v>429</v>
      </c>
      <c r="C246" s="421"/>
      <c r="D246" s="422">
        <f>MAX(D245-($H$7),0)</f>
        <v>1</v>
      </c>
      <c r="E246" s="422">
        <f t="shared" ref="E246:W246" si="111">MAX(E245-($H$7),0)</f>
        <v>2</v>
      </c>
      <c r="F246" s="422">
        <f t="shared" si="111"/>
        <v>3</v>
      </c>
      <c r="G246" s="422">
        <f t="shared" si="111"/>
        <v>4</v>
      </c>
      <c r="H246" s="422">
        <f t="shared" si="111"/>
        <v>5</v>
      </c>
      <c r="I246" s="422">
        <f t="shared" si="111"/>
        <v>6</v>
      </c>
      <c r="J246" s="422">
        <f t="shared" si="111"/>
        <v>7</v>
      </c>
      <c r="K246" s="422">
        <f t="shared" si="111"/>
        <v>8</v>
      </c>
      <c r="L246" s="422">
        <f t="shared" si="111"/>
        <v>9</v>
      </c>
      <c r="M246" s="422">
        <f t="shared" si="111"/>
        <v>10</v>
      </c>
      <c r="N246" s="422">
        <f t="shared" si="111"/>
        <v>11</v>
      </c>
      <c r="O246" s="422">
        <f t="shared" si="111"/>
        <v>12</v>
      </c>
      <c r="P246" s="422">
        <f t="shared" si="111"/>
        <v>13</v>
      </c>
      <c r="Q246" s="422">
        <f t="shared" si="111"/>
        <v>14</v>
      </c>
      <c r="R246" s="422">
        <f t="shared" si="111"/>
        <v>15</v>
      </c>
      <c r="S246" s="422">
        <f t="shared" si="111"/>
        <v>16</v>
      </c>
      <c r="T246" s="422">
        <f t="shared" si="111"/>
        <v>17</v>
      </c>
      <c r="U246" s="422">
        <f t="shared" si="111"/>
        <v>18</v>
      </c>
      <c r="V246" s="422">
        <f t="shared" si="111"/>
        <v>19</v>
      </c>
      <c r="W246" s="422">
        <f t="shared" si="111"/>
        <v>20</v>
      </c>
      <c r="X246" s="453"/>
    </row>
    <row r="247" spans="1:24" outlineLevel="1">
      <c r="B247" s="421" t="s">
        <v>323</v>
      </c>
      <c r="C247" s="421"/>
      <c r="D247" s="408">
        <f t="shared" ref="D247:W247" si="112">-IFERROR(IPMT($F$7,MAX(D246,1),$G$7,$E$7),0)</f>
        <v>287202.98601241328</v>
      </c>
      <c r="E247" s="408">
        <f t="shared" si="112"/>
        <v>0</v>
      </c>
      <c r="F247" s="408">
        <f t="shared" si="112"/>
        <v>0</v>
      </c>
      <c r="G247" s="408">
        <f t="shared" si="112"/>
        <v>0</v>
      </c>
      <c r="H247" s="408">
        <f t="shared" si="112"/>
        <v>0</v>
      </c>
      <c r="I247" s="408">
        <f t="shared" si="112"/>
        <v>0</v>
      </c>
      <c r="J247" s="408">
        <f t="shared" si="112"/>
        <v>0</v>
      </c>
      <c r="K247" s="408">
        <f t="shared" si="112"/>
        <v>0</v>
      </c>
      <c r="L247" s="408">
        <f t="shared" si="112"/>
        <v>0</v>
      </c>
      <c r="M247" s="408">
        <f t="shared" si="112"/>
        <v>0</v>
      </c>
      <c r="N247" s="408">
        <f t="shared" si="112"/>
        <v>0</v>
      </c>
      <c r="O247" s="408">
        <f t="shared" si="112"/>
        <v>0</v>
      </c>
      <c r="P247" s="408">
        <f t="shared" si="112"/>
        <v>0</v>
      </c>
      <c r="Q247" s="408">
        <f t="shared" si="112"/>
        <v>0</v>
      </c>
      <c r="R247" s="408">
        <f t="shared" si="112"/>
        <v>0</v>
      </c>
      <c r="S247" s="408">
        <f t="shared" si="112"/>
        <v>0</v>
      </c>
      <c r="T247" s="408">
        <f t="shared" si="112"/>
        <v>0</v>
      </c>
      <c r="U247" s="408">
        <f t="shared" si="112"/>
        <v>0</v>
      </c>
      <c r="V247" s="408">
        <f t="shared" si="112"/>
        <v>0</v>
      </c>
      <c r="W247" s="408">
        <f t="shared" si="112"/>
        <v>0</v>
      </c>
      <c r="X247" s="401"/>
    </row>
    <row r="248" spans="1:24" outlineLevel="1">
      <c r="B248" s="454" t="s">
        <v>324</v>
      </c>
      <c r="C248" s="455"/>
      <c r="D248" s="455">
        <f t="shared" ref="D248:W248" si="113">-IFERROR(PPMT($F$7,D246,$G$7,$E$7),0)</f>
        <v>2872029.8601241331</v>
      </c>
      <c r="E248" s="455">
        <f t="shared" si="113"/>
        <v>0</v>
      </c>
      <c r="F248" s="455">
        <f t="shared" si="113"/>
        <v>0</v>
      </c>
      <c r="G248" s="455">
        <f t="shared" si="113"/>
        <v>0</v>
      </c>
      <c r="H248" s="455">
        <f t="shared" si="113"/>
        <v>0</v>
      </c>
      <c r="I248" s="455">
        <f t="shared" si="113"/>
        <v>0</v>
      </c>
      <c r="J248" s="455">
        <f t="shared" si="113"/>
        <v>0</v>
      </c>
      <c r="K248" s="455">
        <f t="shared" si="113"/>
        <v>0</v>
      </c>
      <c r="L248" s="455">
        <f t="shared" si="113"/>
        <v>0</v>
      </c>
      <c r="M248" s="455">
        <f t="shared" si="113"/>
        <v>0</v>
      </c>
      <c r="N248" s="455">
        <f t="shared" si="113"/>
        <v>0</v>
      </c>
      <c r="O248" s="455">
        <f t="shared" si="113"/>
        <v>0</v>
      </c>
      <c r="P248" s="455">
        <f t="shared" si="113"/>
        <v>0</v>
      </c>
      <c r="Q248" s="455">
        <f t="shared" si="113"/>
        <v>0</v>
      </c>
      <c r="R248" s="455">
        <f t="shared" si="113"/>
        <v>0</v>
      </c>
      <c r="S248" s="455">
        <f t="shared" si="113"/>
        <v>0</v>
      </c>
      <c r="T248" s="455">
        <f t="shared" si="113"/>
        <v>0</v>
      </c>
      <c r="U248" s="455">
        <f t="shared" si="113"/>
        <v>0</v>
      </c>
      <c r="V248" s="455">
        <f t="shared" si="113"/>
        <v>0</v>
      </c>
      <c r="W248" s="455">
        <f t="shared" si="113"/>
        <v>0</v>
      </c>
      <c r="X248" s="401"/>
    </row>
    <row r="249" spans="1:24" ht="16" outlineLevel="1" thickBot="1">
      <c r="B249" s="456" t="s">
        <v>1</v>
      </c>
      <c r="C249" s="448"/>
      <c r="D249" s="448">
        <f t="shared" ref="D249:W249" si="114">SUM(D247:D248)</f>
        <v>3159232.8461365462</v>
      </c>
      <c r="E249" s="448">
        <f t="shared" si="114"/>
        <v>0</v>
      </c>
      <c r="F249" s="448">
        <f t="shared" si="114"/>
        <v>0</v>
      </c>
      <c r="G249" s="448">
        <f t="shared" si="114"/>
        <v>0</v>
      </c>
      <c r="H249" s="448">
        <f t="shared" si="114"/>
        <v>0</v>
      </c>
      <c r="I249" s="448">
        <f t="shared" si="114"/>
        <v>0</v>
      </c>
      <c r="J249" s="448">
        <f t="shared" si="114"/>
        <v>0</v>
      </c>
      <c r="K249" s="448">
        <f t="shared" si="114"/>
        <v>0</v>
      </c>
      <c r="L249" s="448">
        <f t="shared" si="114"/>
        <v>0</v>
      </c>
      <c r="M249" s="448">
        <f t="shared" si="114"/>
        <v>0</v>
      </c>
      <c r="N249" s="448">
        <f t="shared" si="114"/>
        <v>0</v>
      </c>
      <c r="O249" s="448">
        <f t="shared" si="114"/>
        <v>0</v>
      </c>
      <c r="P249" s="448">
        <f t="shared" si="114"/>
        <v>0</v>
      </c>
      <c r="Q249" s="448">
        <f t="shared" si="114"/>
        <v>0</v>
      </c>
      <c r="R249" s="448">
        <f t="shared" si="114"/>
        <v>0</v>
      </c>
      <c r="S249" s="448">
        <f t="shared" si="114"/>
        <v>0</v>
      </c>
      <c r="T249" s="448">
        <f t="shared" si="114"/>
        <v>0</v>
      </c>
      <c r="U249" s="448">
        <f t="shared" si="114"/>
        <v>0</v>
      </c>
      <c r="V249" s="448">
        <f t="shared" si="114"/>
        <v>0</v>
      </c>
      <c r="W249" s="448">
        <f t="shared" si="114"/>
        <v>0</v>
      </c>
      <c r="X249" s="401"/>
    </row>
    <row r="250" spans="1:24" outlineLevel="1">
      <c r="B250" s="406" t="s">
        <v>430</v>
      </c>
      <c r="C250" s="406"/>
      <c r="D250" s="406"/>
      <c r="E250" s="406"/>
      <c r="F250" s="406"/>
      <c r="G250" s="406"/>
      <c r="H250" s="406"/>
      <c r="I250" s="406"/>
      <c r="J250" s="406"/>
      <c r="K250" s="406"/>
      <c r="L250" s="406"/>
      <c r="M250" s="406"/>
      <c r="N250" s="406"/>
      <c r="O250" s="406"/>
      <c r="P250" s="406"/>
      <c r="Q250" s="406"/>
      <c r="R250" s="406"/>
      <c r="S250" s="406"/>
      <c r="T250" s="406"/>
      <c r="U250" s="406"/>
      <c r="V250" s="406"/>
      <c r="W250" s="406"/>
    </row>
    <row r="251" spans="1:24" outlineLevel="1">
      <c r="B251" s="421" t="s">
        <v>323</v>
      </c>
      <c r="C251" s="408">
        <f>-IFERROR(IPMT($F$7,MAX(D246,1),$G$7,$E$7),0)</f>
        <v>287202.98601241328</v>
      </c>
      <c r="D251" s="408">
        <f t="shared" ref="D251:W251" si="115">SUMIF($D243:$AQ243,D$73,$D247:$AQ247)</f>
        <v>287202.98601241328</v>
      </c>
      <c r="E251" s="408">
        <f t="shared" si="115"/>
        <v>0</v>
      </c>
      <c r="F251" s="408">
        <f t="shared" si="115"/>
        <v>0</v>
      </c>
      <c r="G251" s="408">
        <f t="shared" si="115"/>
        <v>0</v>
      </c>
      <c r="H251" s="408">
        <f t="shared" si="115"/>
        <v>0</v>
      </c>
      <c r="I251" s="408">
        <f t="shared" si="115"/>
        <v>0</v>
      </c>
      <c r="J251" s="408">
        <f t="shared" si="115"/>
        <v>0</v>
      </c>
      <c r="K251" s="408">
        <f t="shared" si="115"/>
        <v>0</v>
      </c>
      <c r="L251" s="408">
        <f t="shared" si="115"/>
        <v>0</v>
      </c>
      <c r="M251" s="408">
        <f t="shared" si="115"/>
        <v>0</v>
      </c>
      <c r="N251" s="408">
        <f t="shared" si="115"/>
        <v>0</v>
      </c>
      <c r="O251" s="408">
        <f t="shared" si="115"/>
        <v>0</v>
      </c>
      <c r="P251" s="408">
        <f t="shared" si="115"/>
        <v>0</v>
      </c>
      <c r="Q251" s="408">
        <f t="shared" si="115"/>
        <v>0</v>
      </c>
      <c r="R251" s="408">
        <f t="shared" si="115"/>
        <v>0</v>
      </c>
      <c r="S251" s="408">
        <f t="shared" si="115"/>
        <v>0</v>
      </c>
      <c r="T251" s="408">
        <f t="shared" si="115"/>
        <v>0</v>
      </c>
      <c r="U251" s="408">
        <f t="shared" si="115"/>
        <v>0</v>
      </c>
      <c r="V251" s="408">
        <f t="shared" si="115"/>
        <v>0</v>
      </c>
      <c r="W251" s="408">
        <f t="shared" si="115"/>
        <v>0</v>
      </c>
      <c r="X251" s="401"/>
    </row>
    <row r="252" spans="1:24" outlineLevel="1">
      <c r="B252" s="454" t="s">
        <v>324</v>
      </c>
      <c r="C252" s="455"/>
      <c r="D252" s="455">
        <f t="shared" ref="D252:W252" si="116">D248</f>
        <v>2872029.8601241331</v>
      </c>
      <c r="E252" s="455">
        <f t="shared" si="116"/>
        <v>0</v>
      </c>
      <c r="F252" s="455">
        <f t="shared" si="116"/>
        <v>0</v>
      </c>
      <c r="G252" s="455">
        <f t="shared" si="116"/>
        <v>0</v>
      </c>
      <c r="H252" s="455">
        <f t="shared" si="116"/>
        <v>0</v>
      </c>
      <c r="I252" s="455">
        <f t="shared" si="116"/>
        <v>0</v>
      </c>
      <c r="J252" s="455">
        <f t="shared" si="116"/>
        <v>0</v>
      </c>
      <c r="K252" s="455">
        <f t="shared" si="116"/>
        <v>0</v>
      </c>
      <c r="L252" s="455">
        <f t="shared" si="116"/>
        <v>0</v>
      </c>
      <c r="M252" s="455">
        <f t="shared" si="116"/>
        <v>0</v>
      </c>
      <c r="N252" s="455">
        <f t="shared" si="116"/>
        <v>0</v>
      </c>
      <c r="O252" s="455">
        <f t="shared" si="116"/>
        <v>0</v>
      </c>
      <c r="P252" s="455">
        <f t="shared" si="116"/>
        <v>0</v>
      </c>
      <c r="Q252" s="455">
        <f t="shared" si="116"/>
        <v>0</v>
      </c>
      <c r="R252" s="455">
        <f t="shared" si="116"/>
        <v>0</v>
      </c>
      <c r="S252" s="455">
        <f t="shared" si="116"/>
        <v>0</v>
      </c>
      <c r="T252" s="455">
        <f t="shared" si="116"/>
        <v>0</v>
      </c>
      <c r="U252" s="455">
        <f t="shared" si="116"/>
        <v>0</v>
      </c>
      <c r="V252" s="455">
        <f t="shared" si="116"/>
        <v>0</v>
      </c>
      <c r="W252" s="455">
        <f t="shared" si="116"/>
        <v>0</v>
      </c>
      <c r="X252" s="401"/>
    </row>
    <row r="253" spans="1:24" ht="16" outlineLevel="1" thickBot="1">
      <c r="B253" s="456" t="s">
        <v>1</v>
      </c>
      <c r="C253" s="448">
        <f t="shared" ref="C253:W253" si="117">SUM(C251:C252)</f>
        <v>287202.98601241328</v>
      </c>
      <c r="D253" s="448">
        <f t="shared" si="117"/>
        <v>3159232.8461365462</v>
      </c>
      <c r="E253" s="448">
        <f t="shared" si="117"/>
        <v>0</v>
      </c>
      <c r="F253" s="448">
        <f t="shared" si="117"/>
        <v>0</v>
      </c>
      <c r="G253" s="448">
        <f t="shared" si="117"/>
        <v>0</v>
      </c>
      <c r="H253" s="448">
        <f t="shared" si="117"/>
        <v>0</v>
      </c>
      <c r="I253" s="448">
        <f t="shared" si="117"/>
        <v>0</v>
      </c>
      <c r="J253" s="448">
        <f t="shared" si="117"/>
        <v>0</v>
      </c>
      <c r="K253" s="448">
        <f t="shared" si="117"/>
        <v>0</v>
      </c>
      <c r="L253" s="448">
        <f t="shared" si="117"/>
        <v>0</v>
      </c>
      <c r="M253" s="448">
        <f t="shared" si="117"/>
        <v>0</v>
      </c>
      <c r="N253" s="448">
        <f t="shared" si="117"/>
        <v>0</v>
      </c>
      <c r="O253" s="448">
        <f t="shared" si="117"/>
        <v>0</v>
      </c>
      <c r="P253" s="448">
        <f t="shared" si="117"/>
        <v>0</v>
      </c>
      <c r="Q253" s="448">
        <f t="shared" si="117"/>
        <v>0</v>
      </c>
      <c r="R253" s="448">
        <f t="shared" si="117"/>
        <v>0</v>
      </c>
      <c r="S253" s="448">
        <f t="shared" si="117"/>
        <v>0</v>
      </c>
      <c r="T253" s="448">
        <f t="shared" si="117"/>
        <v>0</v>
      </c>
      <c r="U253" s="448">
        <f t="shared" si="117"/>
        <v>0</v>
      </c>
      <c r="V253" s="448">
        <f t="shared" si="117"/>
        <v>0</v>
      </c>
      <c r="W253" s="448">
        <f t="shared" si="117"/>
        <v>0</v>
      </c>
      <c r="X253" s="401"/>
    </row>
    <row r="254" spans="1:24" outlineLevel="1">
      <c r="B254" s="406" t="s">
        <v>424</v>
      </c>
      <c r="C254" s="406"/>
      <c r="D254" s="406"/>
      <c r="E254" s="406"/>
      <c r="F254" s="406"/>
      <c r="G254" s="406"/>
      <c r="H254" s="406"/>
      <c r="I254" s="406"/>
      <c r="J254" s="406"/>
      <c r="K254" s="406"/>
      <c r="L254" s="406"/>
      <c r="M254" s="406"/>
      <c r="N254" s="406"/>
      <c r="O254" s="406"/>
      <c r="P254" s="406"/>
      <c r="Q254" s="406"/>
      <c r="R254" s="406"/>
      <c r="S254" s="406"/>
      <c r="T254" s="406"/>
      <c r="U254" s="406"/>
      <c r="V254" s="406"/>
      <c r="W254" s="406"/>
    </row>
    <row r="255" spans="1:24" outlineLevel="1">
      <c r="B255" s="457" t="s">
        <v>425</v>
      </c>
      <c r="C255" s="458">
        <f t="shared" ref="C255:W255" si="118">D252</f>
        <v>2872029.8601241331</v>
      </c>
      <c r="D255" s="458">
        <f t="shared" si="118"/>
        <v>0</v>
      </c>
      <c r="E255" s="458">
        <f t="shared" si="118"/>
        <v>0</v>
      </c>
      <c r="F255" s="458">
        <f t="shared" si="118"/>
        <v>0</v>
      </c>
      <c r="G255" s="458">
        <f t="shared" si="118"/>
        <v>0</v>
      </c>
      <c r="H255" s="458">
        <f t="shared" si="118"/>
        <v>0</v>
      </c>
      <c r="I255" s="458">
        <f t="shared" si="118"/>
        <v>0</v>
      </c>
      <c r="J255" s="458">
        <f t="shared" si="118"/>
        <v>0</v>
      </c>
      <c r="K255" s="458">
        <f t="shared" si="118"/>
        <v>0</v>
      </c>
      <c r="L255" s="458">
        <f t="shared" si="118"/>
        <v>0</v>
      </c>
      <c r="M255" s="458">
        <f t="shared" si="118"/>
        <v>0</v>
      </c>
      <c r="N255" s="458">
        <f t="shared" si="118"/>
        <v>0</v>
      </c>
      <c r="O255" s="458">
        <f t="shared" si="118"/>
        <v>0</v>
      </c>
      <c r="P255" s="458">
        <f t="shared" si="118"/>
        <v>0</v>
      </c>
      <c r="Q255" s="458">
        <f t="shared" si="118"/>
        <v>0</v>
      </c>
      <c r="R255" s="458">
        <f t="shared" si="118"/>
        <v>0</v>
      </c>
      <c r="S255" s="458">
        <f t="shared" si="118"/>
        <v>0</v>
      </c>
      <c r="T255" s="458">
        <f t="shared" si="118"/>
        <v>0</v>
      </c>
      <c r="U255" s="458">
        <f t="shared" si="118"/>
        <v>0</v>
      </c>
      <c r="V255" s="458">
        <f t="shared" si="118"/>
        <v>0</v>
      </c>
      <c r="W255" s="458">
        <f t="shared" si="118"/>
        <v>0</v>
      </c>
      <c r="X255" s="401"/>
    </row>
    <row r="256" spans="1:24" ht="16" outlineLevel="1" thickBot="1">
      <c r="B256" s="414" t="s">
        <v>426</v>
      </c>
      <c r="C256" s="415">
        <f>$E$7-C255</f>
        <v>0</v>
      </c>
      <c r="D256" s="415">
        <f t="shared" ref="D256:W256" si="119">C256-D255</f>
        <v>0</v>
      </c>
      <c r="E256" s="415">
        <f t="shared" si="119"/>
        <v>0</v>
      </c>
      <c r="F256" s="415">
        <f t="shared" si="119"/>
        <v>0</v>
      </c>
      <c r="G256" s="415">
        <f t="shared" si="119"/>
        <v>0</v>
      </c>
      <c r="H256" s="415">
        <f t="shared" si="119"/>
        <v>0</v>
      </c>
      <c r="I256" s="415">
        <f t="shared" si="119"/>
        <v>0</v>
      </c>
      <c r="J256" s="415">
        <f t="shared" si="119"/>
        <v>0</v>
      </c>
      <c r="K256" s="415">
        <f t="shared" si="119"/>
        <v>0</v>
      </c>
      <c r="L256" s="415">
        <f t="shared" si="119"/>
        <v>0</v>
      </c>
      <c r="M256" s="415">
        <f t="shared" si="119"/>
        <v>0</v>
      </c>
      <c r="N256" s="415">
        <f t="shared" si="119"/>
        <v>0</v>
      </c>
      <c r="O256" s="415">
        <f t="shared" si="119"/>
        <v>0</v>
      </c>
      <c r="P256" s="415">
        <f t="shared" si="119"/>
        <v>0</v>
      </c>
      <c r="Q256" s="415">
        <f t="shared" si="119"/>
        <v>0</v>
      </c>
      <c r="R256" s="415">
        <f t="shared" si="119"/>
        <v>0</v>
      </c>
      <c r="S256" s="415">
        <f t="shared" si="119"/>
        <v>0</v>
      </c>
      <c r="T256" s="415">
        <f t="shared" si="119"/>
        <v>0</v>
      </c>
      <c r="U256" s="415">
        <f t="shared" si="119"/>
        <v>0</v>
      </c>
      <c r="V256" s="415">
        <f t="shared" si="119"/>
        <v>0</v>
      </c>
      <c r="W256" s="415">
        <f t="shared" si="119"/>
        <v>0</v>
      </c>
      <c r="X256" s="401"/>
    </row>
    <row r="257" spans="1:24" outlineLevel="1"/>
    <row r="258" spans="1:24" ht="16" thickBot="1"/>
    <row r="259" spans="1:24" ht="16" thickTop="1">
      <c r="A259" s="374">
        <f>A242+1</f>
        <v>14</v>
      </c>
      <c r="B259" s="379" t="str">
        <f>"Year "&amp;A259&amp;" Working Capital Financing"</f>
        <v>Year 14 Working Capital Financing</v>
      </c>
      <c r="C259" s="379"/>
      <c r="D259" s="379"/>
      <c r="E259" s="379"/>
      <c r="F259" s="379"/>
      <c r="G259" s="379"/>
      <c r="H259" s="379"/>
      <c r="I259" s="379"/>
      <c r="J259" s="379"/>
      <c r="K259" s="379"/>
      <c r="L259" s="379"/>
      <c r="M259" s="379"/>
      <c r="N259" s="379"/>
      <c r="O259" s="379"/>
      <c r="P259" s="379"/>
      <c r="Q259" s="379"/>
      <c r="R259" s="379"/>
      <c r="S259" s="379"/>
      <c r="T259" s="379"/>
      <c r="U259" s="379"/>
      <c r="V259" s="379"/>
      <c r="W259" s="379"/>
    </row>
    <row r="260" spans="1:24" s="420" customFormat="1" ht="16" outlineLevel="1" thickBot="1">
      <c r="A260" s="417"/>
      <c r="B260" s="405"/>
      <c r="C260" s="405">
        <v>0</v>
      </c>
      <c r="D260" s="405">
        <v>1</v>
      </c>
      <c r="E260" s="405">
        <v>2</v>
      </c>
      <c r="F260" s="405">
        <v>3</v>
      </c>
      <c r="G260" s="405">
        <v>4</v>
      </c>
      <c r="H260" s="405">
        <v>5</v>
      </c>
      <c r="I260" s="405">
        <v>6</v>
      </c>
      <c r="J260" s="405">
        <v>7</v>
      </c>
      <c r="K260" s="405">
        <v>8</v>
      </c>
      <c r="L260" s="405">
        <v>9</v>
      </c>
      <c r="M260" s="405">
        <v>10</v>
      </c>
      <c r="N260" s="405">
        <v>11</v>
      </c>
      <c r="O260" s="405">
        <v>12</v>
      </c>
      <c r="P260" s="405">
        <v>13</v>
      </c>
      <c r="Q260" s="405">
        <v>14</v>
      </c>
      <c r="R260" s="405">
        <v>15</v>
      </c>
      <c r="S260" s="405">
        <v>16</v>
      </c>
      <c r="T260" s="405">
        <v>17</v>
      </c>
      <c r="U260" s="405">
        <v>18</v>
      </c>
      <c r="V260" s="405">
        <v>19</v>
      </c>
      <c r="W260" s="405">
        <v>20</v>
      </c>
      <c r="X260" s="451"/>
    </row>
    <row r="261" spans="1:24" outlineLevel="1">
      <c r="B261" s="406" t="s">
        <v>421</v>
      </c>
      <c r="C261" s="406"/>
      <c r="D261" s="406"/>
      <c r="E261" s="406"/>
      <c r="F261" s="406"/>
      <c r="G261" s="406"/>
      <c r="H261" s="406"/>
      <c r="I261" s="406"/>
      <c r="J261" s="406"/>
      <c r="K261" s="406"/>
      <c r="L261" s="406"/>
      <c r="M261" s="406"/>
      <c r="N261" s="406"/>
      <c r="O261" s="406"/>
      <c r="P261" s="406"/>
      <c r="Q261" s="406"/>
      <c r="R261" s="406"/>
      <c r="S261" s="406"/>
      <c r="T261" s="406"/>
      <c r="U261" s="406"/>
      <c r="V261" s="406"/>
      <c r="W261" s="406"/>
    </row>
    <row r="262" spans="1:24" s="420" customFormat="1" outlineLevel="1">
      <c r="A262" s="417"/>
      <c r="B262" s="418" t="s">
        <v>428</v>
      </c>
      <c r="C262" s="418"/>
      <c r="D262" s="419">
        <v>1</v>
      </c>
      <c r="E262" s="419">
        <v>2</v>
      </c>
      <c r="F262" s="419">
        <v>3</v>
      </c>
      <c r="G262" s="419">
        <v>4</v>
      </c>
      <c r="H262" s="419">
        <v>5</v>
      </c>
      <c r="I262" s="419">
        <v>6</v>
      </c>
      <c r="J262" s="419">
        <v>7</v>
      </c>
      <c r="K262" s="419">
        <v>8</v>
      </c>
      <c r="L262" s="419">
        <v>9</v>
      </c>
      <c r="M262" s="419">
        <v>10</v>
      </c>
      <c r="N262" s="419">
        <v>11</v>
      </c>
      <c r="O262" s="419">
        <v>12</v>
      </c>
      <c r="P262" s="419">
        <v>13</v>
      </c>
      <c r="Q262" s="419">
        <v>14</v>
      </c>
      <c r="R262" s="419">
        <v>15</v>
      </c>
      <c r="S262" s="419">
        <v>16</v>
      </c>
      <c r="T262" s="419">
        <v>17</v>
      </c>
      <c r="U262" s="419">
        <v>18</v>
      </c>
      <c r="V262" s="419">
        <v>19</v>
      </c>
      <c r="W262" s="419">
        <v>20</v>
      </c>
      <c r="X262" s="452"/>
    </row>
    <row r="263" spans="1:24" outlineLevel="1">
      <c r="B263" s="421" t="s">
        <v>429</v>
      </c>
      <c r="C263" s="421"/>
      <c r="D263" s="422">
        <f>MAX(D262-($H$8),0)</f>
        <v>1</v>
      </c>
      <c r="E263" s="422">
        <f t="shared" ref="E263:W263" si="120">MAX(E262-($H$8),0)</f>
        <v>2</v>
      </c>
      <c r="F263" s="422">
        <f t="shared" si="120"/>
        <v>3</v>
      </c>
      <c r="G263" s="422">
        <f t="shared" si="120"/>
        <v>4</v>
      </c>
      <c r="H263" s="422">
        <f t="shared" si="120"/>
        <v>5</v>
      </c>
      <c r="I263" s="422">
        <f t="shared" si="120"/>
        <v>6</v>
      </c>
      <c r="J263" s="422">
        <f t="shared" si="120"/>
        <v>7</v>
      </c>
      <c r="K263" s="422">
        <f t="shared" si="120"/>
        <v>8</v>
      </c>
      <c r="L263" s="422">
        <f t="shared" si="120"/>
        <v>9</v>
      </c>
      <c r="M263" s="422">
        <f t="shared" si="120"/>
        <v>10</v>
      </c>
      <c r="N263" s="422">
        <f t="shared" si="120"/>
        <v>11</v>
      </c>
      <c r="O263" s="422">
        <f t="shared" si="120"/>
        <v>12</v>
      </c>
      <c r="P263" s="422">
        <f t="shared" si="120"/>
        <v>13</v>
      </c>
      <c r="Q263" s="422">
        <f t="shared" si="120"/>
        <v>14</v>
      </c>
      <c r="R263" s="422">
        <f t="shared" si="120"/>
        <v>15</v>
      </c>
      <c r="S263" s="422">
        <f t="shared" si="120"/>
        <v>16</v>
      </c>
      <c r="T263" s="422">
        <f t="shared" si="120"/>
        <v>17</v>
      </c>
      <c r="U263" s="422">
        <f t="shared" si="120"/>
        <v>18</v>
      </c>
      <c r="V263" s="422">
        <f t="shared" si="120"/>
        <v>19</v>
      </c>
      <c r="W263" s="422">
        <f t="shared" si="120"/>
        <v>20</v>
      </c>
      <c r="X263" s="453"/>
    </row>
    <row r="264" spans="1:24" outlineLevel="1">
      <c r="B264" s="421" t="s">
        <v>323</v>
      </c>
      <c r="C264" s="421"/>
      <c r="D264" s="408">
        <f t="shared" ref="D264:W264" si="121">-IFERROR(IPMT($F$8,MAX(D263,1),$G$8,$E$8),0)</f>
        <v>0</v>
      </c>
      <c r="E264" s="408">
        <f t="shared" si="121"/>
        <v>0</v>
      </c>
      <c r="F264" s="408">
        <f t="shared" si="121"/>
        <v>0</v>
      </c>
      <c r="G264" s="408">
        <f t="shared" si="121"/>
        <v>0</v>
      </c>
      <c r="H264" s="408">
        <f t="shared" si="121"/>
        <v>0</v>
      </c>
      <c r="I264" s="408">
        <f t="shared" si="121"/>
        <v>0</v>
      </c>
      <c r="J264" s="408">
        <f t="shared" si="121"/>
        <v>0</v>
      </c>
      <c r="K264" s="408">
        <f t="shared" si="121"/>
        <v>0</v>
      </c>
      <c r="L264" s="408">
        <f t="shared" si="121"/>
        <v>0</v>
      </c>
      <c r="M264" s="408">
        <f t="shared" si="121"/>
        <v>0</v>
      </c>
      <c r="N264" s="408">
        <f t="shared" si="121"/>
        <v>0</v>
      </c>
      <c r="O264" s="408">
        <f t="shared" si="121"/>
        <v>0</v>
      </c>
      <c r="P264" s="408">
        <f t="shared" si="121"/>
        <v>0</v>
      </c>
      <c r="Q264" s="408">
        <f t="shared" si="121"/>
        <v>0</v>
      </c>
      <c r="R264" s="408">
        <f t="shared" si="121"/>
        <v>0</v>
      </c>
      <c r="S264" s="408">
        <f t="shared" si="121"/>
        <v>0</v>
      </c>
      <c r="T264" s="408">
        <f t="shared" si="121"/>
        <v>0</v>
      </c>
      <c r="U264" s="408">
        <f t="shared" si="121"/>
        <v>0</v>
      </c>
      <c r="V264" s="408">
        <f t="shared" si="121"/>
        <v>0</v>
      </c>
      <c r="W264" s="408">
        <f t="shared" si="121"/>
        <v>0</v>
      </c>
      <c r="X264" s="401"/>
    </row>
    <row r="265" spans="1:24" outlineLevel="1">
      <c r="B265" s="454" t="s">
        <v>324</v>
      </c>
      <c r="C265" s="455"/>
      <c r="D265" s="455">
        <f t="shared" ref="D265:W265" si="122">-IFERROR(PPMT($F$8,D263,$G$8,$E$8),0)</f>
        <v>0</v>
      </c>
      <c r="E265" s="455">
        <f t="shared" si="122"/>
        <v>0</v>
      </c>
      <c r="F265" s="455">
        <f t="shared" si="122"/>
        <v>0</v>
      </c>
      <c r="G265" s="455">
        <f t="shared" si="122"/>
        <v>0</v>
      </c>
      <c r="H265" s="455">
        <f t="shared" si="122"/>
        <v>0</v>
      </c>
      <c r="I265" s="455">
        <f t="shared" si="122"/>
        <v>0</v>
      </c>
      <c r="J265" s="455">
        <f t="shared" si="122"/>
        <v>0</v>
      </c>
      <c r="K265" s="455">
        <f t="shared" si="122"/>
        <v>0</v>
      </c>
      <c r="L265" s="455">
        <f t="shared" si="122"/>
        <v>0</v>
      </c>
      <c r="M265" s="455">
        <f t="shared" si="122"/>
        <v>0</v>
      </c>
      <c r="N265" s="455">
        <f t="shared" si="122"/>
        <v>0</v>
      </c>
      <c r="O265" s="455">
        <f t="shared" si="122"/>
        <v>0</v>
      </c>
      <c r="P265" s="455">
        <f t="shared" si="122"/>
        <v>0</v>
      </c>
      <c r="Q265" s="455">
        <f t="shared" si="122"/>
        <v>0</v>
      </c>
      <c r="R265" s="455">
        <f t="shared" si="122"/>
        <v>0</v>
      </c>
      <c r="S265" s="455">
        <f t="shared" si="122"/>
        <v>0</v>
      </c>
      <c r="T265" s="455">
        <f t="shared" si="122"/>
        <v>0</v>
      </c>
      <c r="U265" s="455">
        <f t="shared" si="122"/>
        <v>0</v>
      </c>
      <c r="V265" s="455">
        <f t="shared" si="122"/>
        <v>0</v>
      </c>
      <c r="W265" s="455">
        <f t="shared" si="122"/>
        <v>0</v>
      </c>
      <c r="X265" s="401"/>
    </row>
    <row r="266" spans="1:24" ht="16" outlineLevel="1" thickBot="1">
      <c r="B266" s="456" t="s">
        <v>1</v>
      </c>
      <c r="C266" s="448"/>
      <c r="D266" s="448">
        <f t="shared" ref="D266:W266" si="123">SUM(D264:D265)</f>
        <v>0</v>
      </c>
      <c r="E266" s="448">
        <f t="shared" si="123"/>
        <v>0</v>
      </c>
      <c r="F266" s="448">
        <f t="shared" si="123"/>
        <v>0</v>
      </c>
      <c r="G266" s="448">
        <f t="shared" si="123"/>
        <v>0</v>
      </c>
      <c r="H266" s="448">
        <f t="shared" si="123"/>
        <v>0</v>
      </c>
      <c r="I266" s="448">
        <f t="shared" si="123"/>
        <v>0</v>
      </c>
      <c r="J266" s="448">
        <f t="shared" si="123"/>
        <v>0</v>
      </c>
      <c r="K266" s="448">
        <f t="shared" si="123"/>
        <v>0</v>
      </c>
      <c r="L266" s="448">
        <f t="shared" si="123"/>
        <v>0</v>
      </c>
      <c r="M266" s="448">
        <f t="shared" si="123"/>
        <v>0</v>
      </c>
      <c r="N266" s="448">
        <f t="shared" si="123"/>
        <v>0</v>
      </c>
      <c r="O266" s="448">
        <f t="shared" si="123"/>
        <v>0</v>
      </c>
      <c r="P266" s="448">
        <f t="shared" si="123"/>
        <v>0</v>
      </c>
      <c r="Q266" s="448">
        <f t="shared" si="123"/>
        <v>0</v>
      </c>
      <c r="R266" s="448">
        <f t="shared" si="123"/>
        <v>0</v>
      </c>
      <c r="S266" s="448">
        <f t="shared" si="123"/>
        <v>0</v>
      </c>
      <c r="T266" s="448">
        <f t="shared" si="123"/>
        <v>0</v>
      </c>
      <c r="U266" s="448">
        <f t="shared" si="123"/>
        <v>0</v>
      </c>
      <c r="V266" s="448">
        <f t="shared" si="123"/>
        <v>0</v>
      </c>
      <c r="W266" s="448">
        <f t="shared" si="123"/>
        <v>0</v>
      </c>
      <c r="X266" s="401"/>
    </row>
    <row r="267" spans="1:24" outlineLevel="1">
      <c r="B267" s="406" t="s">
        <v>430</v>
      </c>
      <c r="C267" s="406"/>
      <c r="D267" s="406"/>
      <c r="E267" s="406"/>
      <c r="F267" s="406"/>
      <c r="G267" s="406"/>
      <c r="H267" s="406"/>
      <c r="I267" s="406"/>
      <c r="J267" s="406"/>
      <c r="K267" s="406"/>
      <c r="L267" s="406"/>
      <c r="M267" s="406"/>
      <c r="N267" s="406"/>
      <c r="O267" s="406"/>
      <c r="P267" s="406"/>
      <c r="Q267" s="406"/>
      <c r="R267" s="406"/>
      <c r="S267" s="406"/>
      <c r="T267" s="406"/>
      <c r="U267" s="406"/>
      <c r="V267" s="406"/>
      <c r="W267" s="406"/>
    </row>
    <row r="268" spans="1:24" outlineLevel="1">
      <c r="B268" s="421" t="s">
        <v>323</v>
      </c>
      <c r="C268" s="408">
        <f>-IFERROR(IPMT($F$8,MAX(D263,1),$G$8,$E$8),0)</f>
        <v>0</v>
      </c>
      <c r="D268" s="408">
        <f t="shared" ref="D268:W268" si="124">SUMIF($D260:$AQ260,D$90,$D264:$AQ264)</f>
        <v>0</v>
      </c>
      <c r="E268" s="408">
        <f t="shared" si="124"/>
        <v>0</v>
      </c>
      <c r="F268" s="408">
        <f t="shared" si="124"/>
        <v>0</v>
      </c>
      <c r="G268" s="408">
        <f t="shared" si="124"/>
        <v>0</v>
      </c>
      <c r="H268" s="408">
        <f t="shared" si="124"/>
        <v>0</v>
      </c>
      <c r="I268" s="408">
        <f t="shared" si="124"/>
        <v>0</v>
      </c>
      <c r="J268" s="408">
        <f t="shared" si="124"/>
        <v>0</v>
      </c>
      <c r="K268" s="408">
        <f t="shared" si="124"/>
        <v>0</v>
      </c>
      <c r="L268" s="408">
        <f t="shared" si="124"/>
        <v>0</v>
      </c>
      <c r="M268" s="408">
        <f t="shared" si="124"/>
        <v>0</v>
      </c>
      <c r="N268" s="408">
        <f t="shared" si="124"/>
        <v>0</v>
      </c>
      <c r="O268" s="408">
        <f t="shared" si="124"/>
        <v>0</v>
      </c>
      <c r="P268" s="408">
        <f t="shared" si="124"/>
        <v>0</v>
      </c>
      <c r="Q268" s="408">
        <f t="shared" si="124"/>
        <v>0</v>
      </c>
      <c r="R268" s="408">
        <f t="shared" si="124"/>
        <v>0</v>
      </c>
      <c r="S268" s="408">
        <f t="shared" si="124"/>
        <v>0</v>
      </c>
      <c r="T268" s="408">
        <f t="shared" si="124"/>
        <v>0</v>
      </c>
      <c r="U268" s="408">
        <f t="shared" si="124"/>
        <v>0</v>
      </c>
      <c r="V268" s="408">
        <f t="shared" si="124"/>
        <v>0</v>
      </c>
      <c r="W268" s="408">
        <f t="shared" si="124"/>
        <v>0</v>
      </c>
      <c r="X268" s="401"/>
    </row>
    <row r="269" spans="1:24" outlineLevel="1">
      <c r="B269" s="454" t="s">
        <v>324</v>
      </c>
      <c r="C269" s="455"/>
      <c r="D269" s="455">
        <f t="shared" ref="D269:W269" si="125">D265</f>
        <v>0</v>
      </c>
      <c r="E269" s="455">
        <f t="shared" si="125"/>
        <v>0</v>
      </c>
      <c r="F269" s="455">
        <f t="shared" si="125"/>
        <v>0</v>
      </c>
      <c r="G269" s="455">
        <f t="shared" si="125"/>
        <v>0</v>
      </c>
      <c r="H269" s="455">
        <f t="shared" si="125"/>
        <v>0</v>
      </c>
      <c r="I269" s="455">
        <f t="shared" si="125"/>
        <v>0</v>
      </c>
      <c r="J269" s="455">
        <f t="shared" si="125"/>
        <v>0</v>
      </c>
      <c r="K269" s="455">
        <f t="shared" si="125"/>
        <v>0</v>
      </c>
      <c r="L269" s="455">
        <f t="shared" si="125"/>
        <v>0</v>
      </c>
      <c r="M269" s="455">
        <f t="shared" si="125"/>
        <v>0</v>
      </c>
      <c r="N269" s="455">
        <f t="shared" si="125"/>
        <v>0</v>
      </c>
      <c r="O269" s="455">
        <f t="shared" si="125"/>
        <v>0</v>
      </c>
      <c r="P269" s="455">
        <f t="shared" si="125"/>
        <v>0</v>
      </c>
      <c r="Q269" s="455">
        <f t="shared" si="125"/>
        <v>0</v>
      </c>
      <c r="R269" s="455">
        <f t="shared" si="125"/>
        <v>0</v>
      </c>
      <c r="S269" s="455">
        <f t="shared" si="125"/>
        <v>0</v>
      </c>
      <c r="T269" s="455">
        <f t="shared" si="125"/>
        <v>0</v>
      </c>
      <c r="U269" s="455">
        <f t="shared" si="125"/>
        <v>0</v>
      </c>
      <c r="V269" s="455">
        <f t="shared" si="125"/>
        <v>0</v>
      </c>
      <c r="W269" s="455">
        <f t="shared" si="125"/>
        <v>0</v>
      </c>
      <c r="X269" s="401"/>
    </row>
    <row r="270" spans="1:24" ht="16" outlineLevel="1" thickBot="1">
      <c r="B270" s="456" t="s">
        <v>1</v>
      </c>
      <c r="C270" s="448">
        <f t="shared" ref="C270:W270" si="126">SUM(C268:C269)</f>
        <v>0</v>
      </c>
      <c r="D270" s="448">
        <f t="shared" si="126"/>
        <v>0</v>
      </c>
      <c r="E270" s="448">
        <f t="shared" si="126"/>
        <v>0</v>
      </c>
      <c r="F270" s="448">
        <f t="shared" si="126"/>
        <v>0</v>
      </c>
      <c r="G270" s="448">
        <f t="shared" si="126"/>
        <v>0</v>
      </c>
      <c r="H270" s="448">
        <f t="shared" si="126"/>
        <v>0</v>
      </c>
      <c r="I270" s="448">
        <f t="shared" si="126"/>
        <v>0</v>
      </c>
      <c r="J270" s="448">
        <f t="shared" si="126"/>
        <v>0</v>
      </c>
      <c r="K270" s="448">
        <f t="shared" si="126"/>
        <v>0</v>
      </c>
      <c r="L270" s="448">
        <f t="shared" si="126"/>
        <v>0</v>
      </c>
      <c r="M270" s="448">
        <f t="shared" si="126"/>
        <v>0</v>
      </c>
      <c r="N270" s="448">
        <f t="shared" si="126"/>
        <v>0</v>
      </c>
      <c r="O270" s="448">
        <f t="shared" si="126"/>
        <v>0</v>
      </c>
      <c r="P270" s="448">
        <f t="shared" si="126"/>
        <v>0</v>
      </c>
      <c r="Q270" s="448">
        <f t="shared" si="126"/>
        <v>0</v>
      </c>
      <c r="R270" s="448">
        <f t="shared" si="126"/>
        <v>0</v>
      </c>
      <c r="S270" s="448">
        <f t="shared" si="126"/>
        <v>0</v>
      </c>
      <c r="T270" s="448">
        <f t="shared" si="126"/>
        <v>0</v>
      </c>
      <c r="U270" s="448">
        <f t="shared" si="126"/>
        <v>0</v>
      </c>
      <c r="V270" s="448">
        <f t="shared" si="126"/>
        <v>0</v>
      </c>
      <c r="W270" s="448">
        <f t="shared" si="126"/>
        <v>0</v>
      </c>
      <c r="X270" s="401"/>
    </row>
    <row r="271" spans="1:24" outlineLevel="1">
      <c r="B271" s="406" t="s">
        <v>424</v>
      </c>
      <c r="C271" s="406"/>
      <c r="D271" s="406"/>
      <c r="E271" s="406"/>
      <c r="F271" s="406"/>
      <c r="G271" s="406"/>
      <c r="H271" s="406"/>
      <c r="I271" s="406"/>
      <c r="J271" s="406"/>
      <c r="K271" s="406"/>
      <c r="L271" s="406"/>
      <c r="M271" s="406"/>
      <c r="N271" s="406"/>
      <c r="O271" s="406"/>
      <c r="P271" s="406"/>
      <c r="Q271" s="406"/>
      <c r="R271" s="406"/>
      <c r="S271" s="406"/>
      <c r="T271" s="406"/>
      <c r="U271" s="406"/>
      <c r="V271" s="406"/>
      <c r="W271" s="406"/>
    </row>
    <row r="272" spans="1:24" outlineLevel="1">
      <c r="B272" s="457" t="s">
        <v>425</v>
      </c>
      <c r="C272" s="458">
        <f t="shared" ref="C272:W272" si="127">D269</f>
        <v>0</v>
      </c>
      <c r="D272" s="458">
        <f t="shared" si="127"/>
        <v>0</v>
      </c>
      <c r="E272" s="458">
        <f t="shared" si="127"/>
        <v>0</v>
      </c>
      <c r="F272" s="458">
        <f t="shared" si="127"/>
        <v>0</v>
      </c>
      <c r="G272" s="458">
        <f t="shared" si="127"/>
        <v>0</v>
      </c>
      <c r="H272" s="458">
        <f t="shared" si="127"/>
        <v>0</v>
      </c>
      <c r="I272" s="458">
        <f t="shared" si="127"/>
        <v>0</v>
      </c>
      <c r="J272" s="458">
        <f t="shared" si="127"/>
        <v>0</v>
      </c>
      <c r="K272" s="458">
        <f t="shared" si="127"/>
        <v>0</v>
      </c>
      <c r="L272" s="458">
        <f t="shared" si="127"/>
        <v>0</v>
      </c>
      <c r="M272" s="458">
        <f t="shared" si="127"/>
        <v>0</v>
      </c>
      <c r="N272" s="458">
        <f t="shared" si="127"/>
        <v>0</v>
      </c>
      <c r="O272" s="458">
        <f t="shared" si="127"/>
        <v>0</v>
      </c>
      <c r="P272" s="458">
        <f t="shared" si="127"/>
        <v>0</v>
      </c>
      <c r="Q272" s="458">
        <f t="shared" si="127"/>
        <v>0</v>
      </c>
      <c r="R272" s="458">
        <f t="shared" si="127"/>
        <v>0</v>
      </c>
      <c r="S272" s="458">
        <f t="shared" si="127"/>
        <v>0</v>
      </c>
      <c r="T272" s="458">
        <f t="shared" si="127"/>
        <v>0</v>
      </c>
      <c r="U272" s="458">
        <f t="shared" si="127"/>
        <v>0</v>
      </c>
      <c r="V272" s="458">
        <f t="shared" si="127"/>
        <v>0</v>
      </c>
      <c r="W272" s="458">
        <f t="shared" si="127"/>
        <v>0</v>
      </c>
      <c r="X272" s="401"/>
    </row>
    <row r="273" spans="1:24" ht="16" outlineLevel="1" thickBot="1">
      <c r="B273" s="414" t="s">
        <v>426</v>
      </c>
      <c r="C273" s="415">
        <f>$E$8-C272</f>
        <v>0</v>
      </c>
      <c r="D273" s="415">
        <f t="shared" ref="D273:W273" si="128">C273-D272</f>
        <v>0</v>
      </c>
      <c r="E273" s="415">
        <f t="shared" si="128"/>
        <v>0</v>
      </c>
      <c r="F273" s="415">
        <f t="shared" si="128"/>
        <v>0</v>
      </c>
      <c r="G273" s="415">
        <f t="shared" si="128"/>
        <v>0</v>
      </c>
      <c r="H273" s="415">
        <f t="shared" si="128"/>
        <v>0</v>
      </c>
      <c r="I273" s="415">
        <f t="shared" si="128"/>
        <v>0</v>
      </c>
      <c r="J273" s="415">
        <f t="shared" si="128"/>
        <v>0</v>
      </c>
      <c r="K273" s="415">
        <f t="shared" si="128"/>
        <v>0</v>
      </c>
      <c r="L273" s="415">
        <f t="shared" si="128"/>
        <v>0</v>
      </c>
      <c r="M273" s="415">
        <f t="shared" si="128"/>
        <v>0</v>
      </c>
      <c r="N273" s="415">
        <f t="shared" si="128"/>
        <v>0</v>
      </c>
      <c r="O273" s="415">
        <f t="shared" si="128"/>
        <v>0</v>
      </c>
      <c r="P273" s="415">
        <f t="shared" si="128"/>
        <v>0</v>
      </c>
      <c r="Q273" s="415">
        <f t="shared" si="128"/>
        <v>0</v>
      </c>
      <c r="R273" s="415">
        <f t="shared" si="128"/>
        <v>0</v>
      </c>
      <c r="S273" s="415">
        <f t="shared" si="128"/>
        <v>0</v>
      </c>
      <c r="T273" s="415">
        <f t="shared" si="128"/>
        <v>0</v>
      </c>
      <c r="U273" s="415">
        <f t="shared" si="128"/>
        <v>0</v>
      </c>
      <c r="V273" s="415">
        <f t="shared" si="128"/>
        <v>0</v>
      </c>
      <c r="W273" s="415">
        <f t="shared" si="128"/>
        <v>0</v>
      </c>
      <c r="X273" s="401"/>
    </row>
    <row r="274" spans="1:24" outlineLevel="1"/>
    <row r="275" spans="1:24" ht="16" thickBot="1"/>
    <row r="276" spans="1:24" ht="16" thickTop="1">
      <c r="A276" s="374">
        <f>A259+1</f>
        <v>15</v>
      </c>
      <c r="B276" s="379" t="str">
        <f>"Year "&amp;A276&amp;" Working Capital Financing"</f>
        <v>Year 15 Working Capital Financing</v>
      </c>
      <c r="C276" s="379"/>
      <c r="D276" s="379"/>
      <c r="E276" s="379"/>
      <c r="F276" s="379"/>
      <c r="G276" s="379"/>
      <c r="H276" s="379"/>
      <c r="I276" s="379"/>
      <c r="J276" s="379"/>
      <c r="K276" s="379"/>
      <c r="L276" s="379"/>
      <c r="M276" s="379"/>
      <c r="N276" s="379"/>
      <c r="O276" s="379"/>
      <c r="P276" s="379"/>
      <c r="Q276" s="379"/>
      <c r="R276" s="379"/>
      <c r="S276" s="379"/>
      <c r="T276" s="379"/>
      <c r="U276" s="379"/>
      <c r="V276" s="379"/>
      <c r="W276" s="379"/>
    </row>
    <row r="277" spans="1:24" s="420" customFormat="1" ht="16" outlineLevel="1" thickBot="1">
      <c r="A277" s="417"/>
      <c r="B277" s="405"/>
      <c r="C277" s="405">
        <v>0</v>
      </c>
      <c r="D277" s="405">
        <v>1</v>
      </c>
      <c r="E277" s="405">
        <v>2</v>
      </c>
      <c r="F277" s="405">
        <v>3</v>
      </c>
      <c r="G277" s="405">
        <v>4</v>
      </c>
      <c r="H277" s="405">
        <v>5</v>
      </c>
      <c r="I277" s="405">
        <v>6</v>
      </c>
      <c r="J277" s="405">
        <v>7</v>
      </c>
      <c r="K277" s="405">
        <v>8</v>
      </c>
      <c r="L277" s="405">
        <v>9</v>
      </c>
      <c r="M277" s="405">
        <v>10</v>
      </c>
      <c r="N277" s="405">
        <v>11</v>
      </c>
      <c r="O277" s="405">
        <v>12</v>
      </c>
      <c r="P277" s="405">
        <v>13</v>
      </c>
      <c r="Q277" s="405">
        <v>14</v>
      </c>
      <c r="R277" s="405">
        <v>15</v>
      </c>
      <c r="S277" s="405">
        <v>16</v>
      </c>
      <c r="T277" s="405">
        <v>17</v>
      </c>
      <c r="U277" s="405">
        <v>18</v>
      </c>
      <c r="V277" s="405">
        <v>19</v>
      </c>
      <c r="W277" s="405">
        <v>20</v>
      </c>
      <c r="X277" s="451"/>
    </row>
    <row r="278" spans="1:24" outlineLevel="1">
      <c r="B278" s="406" t="s">
        <v>421</v>
      </c>
      <c r="C278" s="406"/>
      <c r="D278" s="406"/>
      <c r="E278" s="406"/>
      <c r="F278" s="406"/>
      <c r="G278" s="406"/>
      <c r="H278" s="406"/>
      <c r="I278" s="406"/>
      <c r="J278" s="406"/>
      <c r="K278" s="406"/>
      <c r="L278" s="406"/>
      <c r="M278" s="406"/>
      <c r="N278" s="406"/>
      <c r="O278" s="406"/>
      <c r="P278" s="406"/>
      <c r="Q278" s="406"/>
      <c r="R278" s="406"/>
      <c r="S278" s="406"/>
      <c r="T278" s="406"/>
      <c r="U278" s="406"/>
      <c r="V278" s="406"/>
      <c r="W278" s="406"/>
    </row>
    <row r="279" spans="1:24" s="420" customFormat="1" outlineLevel="1">
      <c r="A279" s="417"/>
      <c r="B279" s="418" t="s">
        <v>428</v>
      </c>
      <c r="C279" s="418"/>
      <c r="D279" s="419">
        <v>1</v>
      </c>
      <c r="E279" s="419">
        <v>2</v>
      </c>
      <c r="F279" s="419">
        <v>3</v>
      </c>
      <c r="G279" s="419">
        <v>4</v>
      </c>
      <c r="H279" s="419">
        <v>5</v>
      </c>
      <c r="I279" s="419">
        <v>6</v>
      </c>
      <c r="J279" s="419">
        <v>7</v>
      </c>
      <c r="K279" s="419">
        <v>8</v>
      </c>
      <c r="L279" s="419">
        <v>9</v>
      </c>
      <c r="M279" s="419">
        <v>10</v>
      </c>
      <c r="N279" s="419">
        <v>11</v>
      </c>
      <c r="O279" s="419">
        <v>12</v>
      </c>
      <c r="P279" s="419">
        <v>13</v>
      </c>
      <c r="Q279" s="419">
        <v>14</v>
      </c>
      <c r="R279" s="419">
        <v>15</v>
      </c>
      <c r="S279" s="419">
        <v>16</v>
      </c>
      <c r="T279" s="419">
        <v>17</v>
      </c>
      <c r="U279" s="419">
        <v>18</v>
      </c>
      <c r="V279" s="419">
        <v>19</v>
      </c>
      <c r="W279" s="419">
        <v>20</v>
      </c>
      <c r="X279" s="452"/>
    </row>
    <row r="280" spans="1:24" outlineLevel="1">
      <c r="B280" s="421" t="s">
        <v>429</v>
      </c>
      <c r="C280" s="421"/>
      <c r="D280" s="422">
        <f>MAX(D279-($H$9),0)</f>
        <v>1</v>
      </c>
      <c r="E280" s="422">
        <f t="shared" ref="E280:W280" si="129">MAX(E279-($H$9),0)</f>
        <v>2</v>
      </c>
      <c r="F280" s="422">
        <f t="shared" si="129"/>
        <v>3</v>
      </c>
      <c r="G280" s="422">
        <f t="shared" si="129"/>
        <v>4</v>
      </c>
      <c r="H280" s="422">
        <f t="shared" si="129"/>
        <v>5</v>
      </c>
      <c r="I280" s="422">
        <f t="shared" si="129"/>
        <v>6</v>
      </c>
      <c r="J280" s="422">
        <f t="shared" si="129"/>
        <v>7</v>
      </c>
      <c r="K280" s="422">
        <f t="shared" si="129"/>
        <v>8</v>
      </c>
      <c r="L280" s="422">
        <f t="shared" si="129"/>
        <v>9</v>
      </c>
      <c r="M280" s="422">
        <f t="shared" si="129"/>
        <v>10</v>
      </c>
      <c r="N280" s="422">
        <f t="shared" si="129"/>
        <v>11</v>
      </c>
      <c r="O280" s="422">
        <f t="shared" si="129"/>
        <v>12</v>
      </c>
      <c r="P280" s="422">
        <f t="shared" si="129"/>
        <v>13</v>
      </c>
      <c r="Q280" s="422">
        <f t="shared" si="129"/>
        <v>14</v>
      </c>
      <c r="R280" s="422">
        <f t="shared" si="129"/>
        <v>15</v>
      </c>
      <c r="S280" s="422">
        <f t="shared" si="129"/>
        <v>16</v>
      </c>
      <c r="T280" s="422">
        <f t="shared" si="129"/>
        <v>17</v>
      </c>
      <c r="U280" s="422">
        <f t="shared" si="129"/>
        <v>18</v>
      </c>
      <c r="V280" s="422">
        <f t="shared" si="129"/>
        <v>19</v>
      </c>
      <c r="W280" s="422">
        <f t="shared" si="129"/>
        <v>20</v>
      </c>
      <c r="X280" s="453"/>
    </row>
    <row r="281" spans="1:24" outlineLevel="1">
      <c r="B281" s="421" t="s">
        <v>323</v>
      </c>
      <c r="C281" s="421"/>
      <c r="D281" s="408">
        <f t="shared" ref="D281:W281" si="130">-IFERROR(IPMT($F$9,MAX(D280,1),$G$9,$E$9),0)</f>
        <v>0</v>
      </c>
      <c r="E281" s="408">
        <f t="shared" si="130"/>
        <v>0</v>
      </c>
      <c r="F281" s="408">
        <f t="shared" si="130"/>
        <v>0</v>
      </c>
      <c r="G281" s="408">
        <f t="shared" si="130"/>
        <v>0</v>
      </c>
      <c r="H281" s="408">
        <f t="shared" si="130"/>
        <v>0</v>
      </c>
      <c r="I281" s="408">
        <f t="shared" si="130"/>
        <v>0</v>
      </c>
      <c r="J281" s="408">
        <f t="shared" si="130"/>
        <v>0</v>
      </c>
      <c r="K281" s="408">
        <f t="shared" si="130"/>
        <v>0</v>
      </c>
      <c r="L281" s="408">
        <f t="shared" si="130"/>
        <v>0</v>
      </c>
      <c r="M281" s="408">
        <f t="shared" si="130"/>
        <v>0</v>
      </c>
      <c r="N281" s="408">
        <f t="shared" si="130"/>
        <v>0</v>
      </c>
      <c r="O281" s="408">
        <f t="shared" si="130"/>
        <v>0</v>
      </c>
      <c r="P281" s="408">
        <f t="shared" si="130"/>
        <v>0</v>
      </c>
      <c r="Q281" s="408">
        <f t="shared" si="130"/>
        <v>0</v>
      </c>
      <c r="R281" s="408">
        <f t="shared" si="130"/>
        <v>0</v>
      </c>
      <c r="S281" s="408">
        <f t="shared" si="130"/>
        <v>0</v>
      </c>
      <c r="T281" s="408">
        <f t="shared" si="130"/>
        <v>0</v>
      </c>
      <c r="U281" s="408">
        <f t="shared" si="130"/>
        <v>0</v>
      </c>
      <c r="V281" s="408">
        <f t="shared" si="130"/>
        <v>0</v>
      </c>
      <c r="W281" s="408">
        <f t="shared" si="130"/>
        <v>0</v>
      </c>
      <c r="X281" s="401"/>
    </row>
    <row r="282" spans="1:24" outlineLevel="1">
      <c r="B282" s="454" t="s">
        <v>324</v>
      </c>
      <c r="C282" s="455"/>
      <c r="D282" s="455">
        <f t="shared" ref="D282:W282" si="131">-IFERROR(PPMT($F$9,D280,$G$9,$E$9),0)</f>
        <v>0</v>
      </c>
      <c r="E282" s="455">
        <f t="shared" si="131"/>
        <v>0</v>
      </c>
      <c r="F282" s="455">
        <f t="shared" si="131"/>
        <v>0</v>
      </c>
      <c r="G282" s="455">
        <f t="shared" si="131"/>
        <v>0</v>
      </c>
      <c r="H282" s="455">
        <f t="shared" si="131"/>
        <v>0</v>
      </c>
      <c r="I282" s="455">
        <f t="shared" si="131"/>
        <v>0</v>
      </c>
      <c r="J282" s="455">
        <f t="shared" si="131"/>
        <v>0</v>
      </c>
      <c r="K282" s="455">
        <f t="shared" si="131"/>
        <v>0</v>
      </c>
      <c r="L282" s="455">
        <f t="shared" si="131"/>
        <v>0</v>
      </c>
      <c r="M282" s="455">
        <f t="shared" si="131"/>
        <v>0</v>
      </c>
      <c r="N282" s="455">
        <f t="shared" si="131"/>
        <v>0</v>
      </c>
      <c r="O282" s="455">
        <f t="shared" si="131"/>
        <v>0</v>
      </c>
      <c r="P282" s="455">
        <f t="shared" si="131"/>
        <v>0</v>
      </c>
      <c r="Q282" s="455">
        <f t="shared" si="131"/>
        <v>0</v>
      </c>
      <c r="R282" s="455">
        <f t="shared" si="131"/>
        <v>0</v>
      </c>
      <c r="S282" s="455">
        <f t="shared" si="131"/>
        <v>0</v>
      </c>
      <c r="T282" s="455">
        <f t="shared" si="131"/>
        <v>0</v>
      </c>
      <c r="U282" s="455">
        <f t="shared" si="131"/>
        <v>0</v>
      </c>
      <c r="V282" s="455">
        <f t="shared" si="131"/>
        <v>0</v>
      </c>
      <c r="W282" s="455">
        <f t="shared" si="131"/>
        <v>0</v>
      </c>
      <c r="X282" s="401"/>
    </row>
    <row r="283" spans="1:24" ht="16" outlineLevel="1" thickBot="1">
      <c r="B283" s="456" t="s">
        <v>1</v>
      </c>
      <c r="C283" s="448"/>
      <c r="D283" s="448">
        <f>SUM(D281:D282)</f>
        <v>0</v>
      </c>
      <c r="E283" s="448">
        <f t="shared" ref="E283:W283" si="132">SUM(E281:E282)</f>
        <v>0</v>
      </c>
      <c r="F283" s="448">
        <f t="shared" si="132"/>
        <v>0</v>
      </c>
      <c r="G283" s="448">
        <f t="shared" si="132"/>
        <v>0</v>
      </c>
      <c r="H283" s="448">
        <f t="shared" si="132"/>
        <v>0</v>
      </c>
      <c r="I283" s="448">
        <f t="shared" si="132"/>
        <v>0</v>
      </c>
      <c r="J283" s="448">
        <f t="shared" si="132"/>
        <v>0</v>
      </c>
      <c r="K283" s="448">
        <f t="shared" si="132"/>
        <v>0</v>
      </c>
      <c r="L283" s="448">
        <f t="shared" si="132"/>
        <v>0</v>
      </c>
      <c r="M283" s="448">
        <f t="shared" si="132"/>
        <v>0</v>
      </c>
      <c r="N283" s="448">
        <f t="shared" si="132"/>
        <v>0</v>
      </c>
      <c r="O283" s="448">
        <f t="shared" si="132"/>
        <v>0</v>
      </c>
      <c r="P283" s="448">
        <f t="shared" si="132"/>
        <v>0</v>
      </c>
      <c r="Q283" s="448">
        <f t="shared" si="132"/>
        <v>0</v>
      </c>
      <c r="R283" s="448">
        <f t="shared" si="132"/>
        <v>0</v>
      </c>
      <c r="S283" s="448">
        <f t="shared" si="132"/>
        <v>0</v>
      </c>
      <c r="T283" s="448">
        <f t="shared" si="132"/>
        <v>0</v>
      </c>
      <c r="U283" s="448">
        <f t="shared" si="132"/>
        <v>0</v>
      </c>
      <c r="V283" s="448">
        <f t="shared" si="132"/>
        <v>0</v>
      </c>
      <c r="W283" s="448">
        <f t="shared" si="132"/>
        <v>0</v>
      </c>
      <c r="X283" s="401"/>
    </row>
    <row r="284" spans="1:24" outlineLevel="1">
      <c r="B284" s="406" t="s">
        <v>430</v>
      </c>
      <c r="C284" s="406"/>
      <c r="D284" s="406"/>
      <c r="E284" s="406"/>
      <c r="F284" s="406"/>
      <c r="G284" s="406"/>
      <c r="H284" s="406"/>
      <c r="I284" s="406"/>
      <c r="J284" s="406"/>
      <c r="K284" s="406"/>
      <c r="L284" s="406"/>
      <c r="M284" s="406"/>
      <c r="N284" s="406"/>
      <c r="O284" s="406"/>
      <c r="P284" s="406"/>
      <c r="Q284" s="406"/>
      <c r="R284" s="406"/>
      <c r="S284" s="406"/>
      <c r="T284" s="406"/>
      <c r="U284" s="406"/>
      <c r="V284" s="406"/>
      <c r="W284" s="406"/>
    </row>
    <row r="285" spans="1:24" outlineLevel="1">
      <c r="B285" s="421" t="s">
        <v>323</v>
      </c>
      <c r="C285" s="408">
        <f>-IFERROR(IPMT($F$9,MAX(D280,1),$G$9,$E$9),0)</f>
        <v>0</v>
      </c>
      <c r="D285" s="408">
        <f t="shared" ref="D285:W285" si="133">SUMIF($D277:$AQ277,D$107,$D281:$AQ281)</f>
        <v>0</v>
      </c>
      <c r="E285" s="408">
        <f t="shared" si="133"/>
        <v>0</v>
      </c>
      <c r="F285" s="408">
        <f t="shared" si="133"/>
        <v>0</v>
      </c>
      <c r="G285" s="408">
        <f t="shared" si="133"/>
        <v>0</v>
      </c>
      <c r="H285" s="408">
        <f t="shared" si="133"/>
        <v>0</v>
      </c>
      <c r="I285" s="408">
        <f t="shared" si="133"/>
        <v>0</v>
      </c>
      <c r="J285" s="408">
        <f t="shared" si="133"/>
        <v>0</v>
      </c>
      <c r="K285" s="408">
        <f t="shared" si="133"/>
        <v>0</v>
      </c>
      <c r="L285" s="408">
        <f t="shared" si="133"/>
        <v>0</v>
      </c>
      <c r="M285" s="408">
        <f t="shared" si="133"/>
        <v>0</v>
      </c>
      <c r="N285" s="408">
        <f t="shared" si="133"/>
        <v>0</v>
      </c>
      <c r="O285" s="408">
        <f t="shared" si="133"/>
        <v>0</v>
      </c>
      <c r="P285" s="408">
        <f t="shared" si="133"/>
        <v>0</v>
      </c>
      <c r="Q285" s="408">
        <f t="shared" si="133"/>
        <v>0</v>
      </c>
      <c r="R285" s="408">
        <f t="shared" si="133"/>
        <v>0</v>
      </c>
      <c r="S285" s="408">
        <f t="shared" si="133"/>
        <v>0</v>
      </c>
      <c r="T285" s="408">
        <f t="shared" si="133"/>
        <v>0</v>
      </c>
      <c r="U285" s="408">
        <f t="shared" si="133"/>
        <v>0</v>
      </c>
      <c r="V285" s="408">
        <f t="shared" si="133"/>
        <v>0</v>
      </c>
      <c r="W285" s="408">
        <f t="shared" si="133"/>
        <v>0</v>
      </c>
      <c r="X285" s="401"/>
    </row>
    <row r="286" spans="1:24" outlineLevel="1">
      <c r="B286" s="454" t="s">
        <v>324</v>
      </c>
      <c r="C286" s="455"/>
      <c r="D286" s="455">
        <f t="shared" ref="D286:W286" si="134">D282</f>
        <v>0</v>
      </c>
      <c r="E286" s="455">
        <f t="shared" si="134"/>
        <v>0</v>
      </c>
      <c r="F286" s="455">
        <f t="shared" si="134"/>
        <v>0</v>
      </c>
      <c r="G286" s="455">
        <f t="shared" si="134"/>
        <v>0</v>
      </c>
      <c r="H286" s="455">
        <f t="shared" si="134"/>
        <v>0</v>
      </c>
      <c r="I286" s="455">
        <f t="shared" si="134"/>
        <v>0</v>
      </c>
      <c r="J286" s="455">
        <f t="shared" si="134"/>
        <v>0</v>
      </c>
      <c r="K286" s="455">
        <f t="shared" si="134"/>
        <v>0</v>
      </c>
      <c r="L286" s="455">
        <f t="shared" si="134"/>
        <v>0</v>
      </c>
      <c r="M286" s="455">
        <f t="shared" si="134"/>
        <v>0</v>
      </c>
      <c r="N286" s="455">
        <f t="shared" si="134"/>
        <v>0</v>
      </c>
      <c r="O286" s="455">
        <f t="shared" si="134"/>
        <v>0</v>
      </c>
      <c r="P286" s="455">
        <f t="shared" si="134"/>
        <v>0</v>
      </c>
      <c r="Q286" s="455">
        <f t="shared" si="134"/>
        <v>0</v>
      </c>
      <c r="R286" s="455">
        <f t="shared" si="134"/>
        <v>0</v>
      </c>
      <c r="S286" s="455">
        <f t="shared" si="134"/>
        <v>0</v>
      </c>
      <c r="T286" s="455">
        <f t="shared" si="134"/>
        <v>0</v>
      </c>
      <c r="U286" s="455">
        <f t="shared" si="134"/>
        <v>0</v>
      </c>
      <c r="V286" s="455">
        <f t="shared" si="134"/>
        <v>0</v>
      </c>
      <c r="W286" s="455">
        <f t="shared" si="134"/>
        <v>0</v>
      </c>
      <c r="X286" s="401"/>
    </row>
    <row r="287" spans="1:24" ht="16" outlineLevel="1" thickBot="1">
      <c r="B287" s="456" t="s">
        <v>1</v>
      </c>
      <c r="C287" s="448">
        <f>SUM(C285:C286)</f>
        <v>0</v>
      </c>
      <c r="D287" s="448">
        <f>SUM(D285:D286)</f>
        <v>0</v>
      </c>
      <c r="E287" s="448">
        <f t="shared" ref="E287:W287" si="135">SUM(E285:E286)</f>
        <v>0</v>
      </c>
      <c r="F287" s="448">
        <f t="shared" si="135"/>
        <v>0</v>
      </c>
      <c r="G287" s="448">
        <f t="shared" si="135"/>
        <v>0</v>
      </c>
      <c r="H287" s="448">
        <f t="shared" si="135"/>
        <v>0</v>
      </c>
      <c r="I287" s="448">
        <f t="shared" si="135"/>
        <v>0</v>
      </c>
      <c r="J287" s="448">
        <f t="shared" si="135"/>
        <v>0</v>
      </c>
      <c r="K287" s="448">
        <f t="shared" si="135"/>
        <v>0</v>
      </c>
      <c r="L287" s="448">
        <f t="shared" si="135"/>
        <v>0</v>
      </c>
      <c r="M287" s="448">
        <f t="shared" si="135"/>
        <v>0</v>
      </c>
      <c r="N287" s="448">
        <f t="shared" si="135"/>
        <v>0</v>
      </c>
      <c r="O287" s="448">
        <f t="shared" si="135"/>
        <v>0</v>
      </c>
      <c r="P287" s="448">
        <f t="shared" si="135"/>
        <v>0</v>
      </c>
      <c r="Q287" s="448">
        <f t="shared" si="135"/>
        <v>0</v>
      </c>
      <c r="R287" s="448">
        <f t="shared" si="135"/>
        <v>0</v>
      </c>
      <c r="S287" s="448">
        <f t="shared" si="135"/>
        <v>0</v>
      </c>
      <c r="T287" s="448">
        <f t="shared" si="135"/>
        <v>0</v>
      </c>
      <c r="U287" s="448">
        <f t="shared" si="135"/>
        <v>0</v>
      </c>
      <c r="V287" s="448">
        <f t="shared" si="135"/>
        <v>0</v>
      </c>
      <c r="W287" s="448">
        <f t="shared" si="135"/>
        <v>0</v>
      </c>
      <c r="X287" s="401"/>
    </row>
    <row r="288" spans="1:24" outlineLevel="1">
      <c r="B288" s="406" t="s">
        <v>424</v>
      </c>
      <c r="C288" s="406"/>
      <c r="D288" s="406"/>
      <c r="E288" s="406"/>
      <c r="F288" s="406"/>
      <c r="G288" s="406"/>
      <c r="H288" s="406"/>
      <c r="I288" s="406"/>
      <c r="J288" s="406"/>
      <c r="K288" s="406"/>
      <c r="L288" s="406"/>
      <c r="M288" s="406"/>
      <c r="N288" s="406"/>
      <c r="O288" s="406"/>
      <c r="P288" s="406"/>
      <c r="Q288" s="406"/>
      <c r="R288" s="406"/>
      <c r="S288" s="406"/>
      <c r="T288" s="406"/>
      <c r="U288" s="406"/>
      <c r="V288" s="406"/>
      <c r="W288" s="406"/>
    </row>
    <row r="289" spans="1:24" outlineLevel="1">
      <c r="B289" s="457" t="s">
        <v>425</v>
      </c>
      <c r="C289" s="458">
        <f t="shared" ref="C289:W289" si="136">D286</f>
        <v>0</v>
      </c>
      <c r="D289" s="458">
        <f t="shared" si="136"/>
        <v>0</v>
      </c>
      <c r="E289" s="458">
        <f t="shared" si="136"/>
        <v>0</v>
      </c>
      <c r="F289" s="458">
        <f t="shared" si="136"/>
        <v>0</v>
      </c>
      <c r="G289" s="458">
        <f t="shared" si="136"/>
        <v>0</v>
      </c>
      <c r="H289" s="458">
        <f t="shared" si="136"/>
        <v>0</v>
      </c>
      <c r="I289" s="458">
        <f t="shared" si="136"/>
        <v>0</v>
      </c>
      <c r="J289" s="458">
        <f t="shared" si="136"/>
        <v>0</v>
      </c>
      <c r="K289" s="458">
        <f t="shared" si="136"/>
        <v>0</v>
      </c>
      <c r="L289" s="458">
        <f t="shared" si="136"/>
        <v>0</v>
      </c>
      <c r="M289" s="458">
        <f t="shared" si="136"/>
        <v>0</v>
      </c>
      <c r="N289" s="458">
        <f t="shared" si="136"/>
        <v>0</v>
      </c>
      <c r="O289" s="458">
        <f t="shared" si="136"/>
        <v>0</v>
      </c>
      <c r="P289" s="458">
        <f t="shared" si="136"/>
        <v>0</v>
      </c>
      <c r="Q289" s="458">
        <f t="shared" si="136"/>
        <v>0</v>
      </c>
      <c r="R289" s="458">
        <f t="shared" si="136"/>
        <v>0</v>
      </c>
      <c r="S289" s="458">
        <f t="shared" si="136"/>
        <v>0</v>
      </c>
      <c r="T289" s="458">
        <f t="shared" si="136"/>
        <v>0</v>
      </c>
      <c r="U289" s="458">
        <f t="shared" si="136"/>
        <v>0</v>
      </c>
      <c r="V289" s="458">
        <f t="shared" si="136"/>
        <v>0</v>
      </c>
      <c r="W289" s="458">
        <f t="shared" si="136"/>
        <v>0</v>
      </c>
      <c r="X289" s="401"/>
    </row>
    <row r="290" spans="1:24" ht="16" outlineLevel="1" thickBot="1">
      <c r="B290" s="414" t="s">
        <v>426</v>
      </c>
      <c r="C290" s="415">
        <f>$E$9-C289</f>
        <v>0</v>
      </c>
      <c r="D290" s="415">
        <f t="shared" ref="D290:W290" si="137">C290-D289</f>
        <v>0</v>
      </c>
      <c r="E290" s="415">
        <f t="shared" si="137"/>
        <v>0</v>
      </c>
      <c r="F290" s="415">
        <f t="shared" si="137"/>
        <v>0</v>
      </c>
      <c r="G290" s="415">
        <f t="shared" si="137"/>
        <v>0</v>
      </c>
      <c r="H290" s="415">
        <f t="shared" si="137"/>
        <v>0</v>
      </c>
      <c r="I290" s="415">
        <f t="shared" si="137"/>
        <v>0</v>
      </c>
      <c r="J290" s="415">
        <f t="shared" si="137"/>
        <v>0</v>
      </c>
      <c r="K290" s="415">
        <f t="shared" si="137"/>
        <v>0</v>
      </c>
      <c r="L290" s="415">
        <f t="shared" si="137"/>
        <v>0</v>
      </c>
      <c r="M290" s="415">
        <f t="shared" si="137"/>
        <v>0</v>
      </c>
      <c r="N290" s="415">
        <f t="shared" si="137"/>
        <v>0</v>
      </c>
      <c r="O290" s="415">
        <f t="shared" si="137"/>
        <v>0</v>
      </c>
      <c r="P290" s="415">
        <f t="shared" si="137"/>
        <v>0</v>
      </c>
      <c r="Q290" s="415">
        <f t="shared" si="137"/>
        <v>0</v>
      </c>
      <c r="R290" s="415">
        <f t="shared" si="137"/>
        <v>0</v>
      </c>
      <c r="S290" s="415">
        <f t="shared" si="137"/>
        <v>0</v>
      </c>
      <c r="T290" s="415">
        <f t="shared" si="137"/>
        <v>0</v>
      </c>
      <c r="U290" s="415">
        <f t="shared" si="137"/>
        <v>0</v>
      </c>
      <c r="V290" s="415">
        <f t="shared" si="137"/>
        <v>0</v>
      </c>
      <c r="W290" s="415">
        <f t="shared" si="137"/>
        <v>0</v>
      </c>
      <c r="X290" s="401"/>
    </row>
    <row r="292" spans="1:24" ht="16" thickBot="1"/>
    <row r="293" spans="1:24" ht="16" thickTop="1">
      <c r="A293" s="374">
        <f>A276+1</f>
        <v>16</v>
      </c>
      <c r="B293" s="379" t="str">
        <f>"Year "&amp;A293&amp;" Working Capital Financing"</f>
        <v>Year 16 Working Capital Financing</v>
      </c>
      <c r="C293" s="379"/>
      <c r="D293" s="379"/>
      <c r="E293" s="379"/>
      <c r="F293" s="379"/>
      <c r="G293" s="379"/>
      <c r="H293" s="379"/>
      <c r="I293" s="379"/>
      <c r="J293" s="379"/>
      <c r="K293" s="379"/>
      <c r="L293" s="379"/>
      <c r="M293" s="379"/>
      <c r="N293" s="379"/>
      <c r="O293" s="379"/>
      <c r="P293" s="379"/>
      <c r="Q293" s="379"/>
      <c r="R293" s="379"/>
      <c r="S293" s="379"/>
      <c r="T293" s="379"/>
      <c r="U293" s="379"/>
      <c r="V293" s="379"/>
      <c r="W293" s="379"/>
    </row>
    <row r="294" spans="1:24" s="420" customFormat="1" ht="16" outlineLevel="1" thickBot="1">
      <c r="A294" s="417"/>
      <c r="B294" s="405"/>
      <c r="C294" s="405">
        <v>0</v>
      </c>
      <c r="D294" s="405">
        <v>1</v>
      </c>
      <c r="E294" s="405">
        <v>2</v>
      </c>
      <c r="F294" s="405">
        <v>3</v>
      </c>
      <c r="G294" s="405">
        <v>4</v>
      </c>
      <c r="H294" s="405">
        <v>5</v>
      </c>
      <c r="I294" s="405">
        <v>6</v>
      </c>
      <c r="J294" s="405">
        <v>7</v>
      </c>
      <c r="K294" s="405">
        <v>8</v>
      </c>
      <c r="L294" s="405">
        <v>9</v>
      </c>
      <c r="M294" s="405">
        <v>10</v>
      </c>
      <c r="N294" s="405">
        <v>11</v>
      </c>
      <c r="O294" s="405">
        <v>12</v>
      </c>
      <c r="P294" s="405">
        <v>13</v>
      </c>
      <c r="Q294" s="405">
        <v>14</v>
      </c>
      <c r="R294" s="405">
        <v>15</v>
      </c>
      <c r="S294" s="405">
        <v>16</v>
      </c>
      <c r="T294" s="405">
        <v>17</v>
      </c>
      <c r="U294" s="405">
        <v>18</v>
      </c>
      <c r="V294" s="405">
        <v>19</v>
      </c>
      <c r="W294" s="405">
        <v>20</v>
      </c>
      <c r="X294" s="451"/>
    </row>
    <row r="295" spans="1:24" outlineLevel="1">
      <c r="B295" s="406" t="s">
        <v>421</v>
      </c>
      <c r="C295" s="406"/>
      <c r="D295" s="406"/>
      <c r="E295" s="406"/>
      <c r="F295" s="406"/>
      <c r="G295" s="406"/>
      <c r="H295" s="406"/>
      <c r="I295" s="406"/>
      <c r="J295" s="406"/>
      <c r="K295" s="406"/>
      <c r="L295" s="406"/>
      <c r="M295" s="406"/>
      <c r="N295" s="406"/>
      <c r="O295" s="406"/>
      <c r="P295" s="406"/>
      <c r="Q295" s="406"/>
      <c r="R295" s="406"/>
      <c r="S295" s="406"/>
      <c r="T295" s="406"/>
      <c r="U295" s="406"/>
      <c r="V295" s="406"/>
      <c r="W295" s="406"/>
    </row>
    <row r="296" spans="1:24" s="420" customFormat="1" outlineLevel="1">
      <c r="A296" s="417"/>
      <c r="B296" s="418" t="s">
        <v>428</v>
      </c>
      <c r="C296" s="418"/>
      <c r="D296" s="419">
        <v>1</v>
      </c>
      <c r="E296" s="419">
        <v>2</v>
      </c>
      <c r="F296" s="419">
        <v>3</v>
      </c>
      <c r="G296" s="419">
        <v>4</v>
      </c>
      <c r="H296" s="419">
        <v>5</v>
      </c>
      <c r="I296" s="419">
        <v>6</v>
      </c>
      <c r="J296" s="419">
        <v>7</v>
      </c>
      <c r="K296" s="419">
        <v>8</v>
      </c>
      <c r="L296" s="419">
        <v>9</v>
      </c>
      <c r="M296" s="419">
        <v>10</v>
      </c>
      <c r="N296" s="419">
        <v>11</v>
      </c>
      <c r="O296" s="419">
        <v>12</v>
      </c>
      <c r="P296" s="419">
        <v>13</v>
      </c>
      <c r="Q296" s="419">
        <v>14</v>
      </c>
      <c r="R296" s="419">
        <v>15</v>
      </c>
      <c r="S296" s="419">
        <v>16</v>
      </c>
      <c r="T296" s="419">
        <v>17</v>
      </c>
      <c r="U296" s="419">
        <v>18</v>
      </c>
      <c r="V296" s="419">
        <v>19</v>
      </c>
      <c r="W296" s="419">
        <v>20</v>
      </c>
      <c r="X296" s="452"/>
    </row>
    <row r="297" spans="1:24" outlineLevel="1">
      <c r="B297" s="421" t="s">
        <v>429</v>
      </c>
      <c r="C297" s="421"/>
      <c r="D297" s="422">
        <f>MAX(D296-($H$5),0)</f>
        <v>1</v>
      </c>
      <c r="E297" s="422">
        <f t="shared" ref="E297:W297" si="138">MAX(E296-($H$5),0)</f>
        <v>2</v>
      </c>
      <c r="F297" s="422">
        <f t="shared" si="138"/>
        <v>3</v>
      </c>
      <c r="G297" s="422">
        <f t="shared" si="138"/>
        <v>4</v>
      </c>
      <c r="H297" s="422">
        <f t="shared" si="138"/>
        <v>5</v>
      </c>
      <c r="I297" s="422">
        <f t="shared" si="138"/>
        <v>6</v>
      </c>
      <c r="J297" s="422">
        <f t="shared" si="138"/>
        <v>7</v>
      </c>
      <c r="K297" s="422">
        <f t="shared" si="138"/>
        <v>8</v>
      </c>
      <c r="L297" s="422">
        <f t="shared" si="138"/>
        <v>9</v>
      </c>
      <c r="M297" s="422">
        <f t="shared" si="138"/>
        <v>10</v>
      </c>
      <c r="N297" s="422">
        <f t="shared" si="138"/>
        <v>11</v>
      </c>
      <c r="O297" s="422">
        <f t="shared" si="138"/>
        <v>12</v>
      </c>
      <c r="P297" s="422">
        <f t="shared" si="138"/>
        <v>13</v>
      </c>
      <c r="Q297" s="422">
        <f t="shared" si="138"/>
        <v>14</v>
      </c>
      <c r="R297" s="422">
        <f t="shared" si="138"/>
        <v>15</v>
      </c>
      <c r="S297" s="422">
        <f t="shared" si="138"/>
        <v>16</v>
      </c>
      <c r="T297" s="422">
        <f t="shared" si="138"/>
        <v>17</v>
      </c>
      <c r="U297" s="422">
        <f t="shared" si="138"/>
        <v>18</v>
      </c>
      <c r="V297" s="422">
        <f t="shared" si="138"/>
        <v>19</v>
      </c>
      <c r="W297" s="422">
        <f t="shared" si="138"/>
        <v>20</v>
      </c>
      <c r="X297" s="453"/>
    </row>
    <row r="298" spans="1:24" outlineLevel="1">
      <c r="B298" s="421" t="s">
        <v>323</v>
      </c>
      <c r="C298" s="421"/>
      <c r="D298" s="408">
        <f t="shared" ref="D298:W298" si="139">-IFERROR(IPMT($F$5,MAX(D297,1),$G$5,$E$5),0)</f>
        <v>519455.06847972824</v>
      </c>
      <c r="E298" s="408">
        <f t="shared" si="139"/>
        <v>0</v>
      </c>
      <c r="F298" s="408">
        <f t="shared" si="139"/>
        <v>0</v>
      </c>
      <c r="G298" s="408">
        <f t="shared" si="139"/>
        <v>0</v>
      </c>
      <c r="H298" s="408">
        <f t="shared" si="139"/>
        <v>0</v>
      </c>
      <c r="I298" s="408">
        <f t="shared" si="139"/>
        <v>0</v>
      </c>
      <c r="J298" s="408">
        <f t="shared" si="139"/>
        <v>0</v>
      </c>
      <c r="K298" s="408">
        <f t="shared" si="139"/>
        <v>0</v>
      </c>
      <c r="L298" s="408">
        <f t="shared" si="139"/>
        <v>0</v>
      </c>
      <c r="M298" s="408">
        <f t="shared" si="139"/>
        <v>0</v>
      </c>
      <c r="N298" s="408">
        <f t="shared" si="139"/>
        <v>0</v>
      </c>
      <c r="O298" s="408">
        <f t="shared" si="139"/>
        <v>0</v>
      </c>
      <c r="P298" s="408">
        <f t="shared" si="139"/>
        <v>0</v>
      </c>
      <c r="Q298" s="408">
        <f t="shared" si="139"/>
        <v>0</v>
      </c>
      <c r="R298" s="408">
        <f t="shared" si="139"/>
        <v>0</v>
      </c>
      <c r="S298" s="408">
        <f t="shared" si="139"/>
        <v>0</v>
      </c>
      <c r="T298" s="408">
        <f t="shared" si="139"/>
        <v>0</v>
      </c>
      <c r="U298" s="408">
        <f t="shared" si="139"/>
        <v>0</v>
      </c>
      <c r="V298" s="408">
        <f t="shared" si="139"/>
        <v>0</v>
      </c>
      <c r="W298" s="408">
        <f t="shared" si="139"/>
        <v>0</v>
      </c>
      <c r="X298" s="401"/>
    </row>
    <row r="299" spans="1:24" outlineLevel="1">
      <c r="B299" s="454" t="s">
        <v>324</v>
      </c>
      <c r="C299" s="455"/>
      <c r="D299" s="455">
        <f t="shared" ref="D299:W299" si="140">-IFERROR(PPMT($F$5,D297,$G$5,$E$5),0)</f>
        <v>5194550.6847972833</v>
      </c>
      <c r="E299" s="455">
        <f t="shared" si="140"/>
        <v>0</v>
      </c>
      <c r="F299" s="455">
        <f t="shared" si="140"/>
        <v>0</v>
      </c>
      <c r="G299" s="455">
        <f t="shared" si="140"/>
        <v>0</v>
      </c>
      <c r="H299" s="455">
        <f t="shared" si="140"/>
        <v>0</v>
      </c>
      <c r="I299" s="455">
        <f t="shared" si="140"/>
        <v>0</v>
      </c>
      <c r="J299" s="455">
        <f t="shared" si="140"/>
        <v>0</v>
      </c>
      <c r="K299" s="455">
        <f t="shared" si="140"/>
        <v>0</v>
      </c>
      <c r="L299" s="455">
        <f t="shared" si="140"/>
        <v>0</v>
      </c>
      <c r="M299" s="455">
        <f t="shared" si="140"/>
        <v>0</v>
      </c>
      <c r="N299" s="455">
        <f t="shared" si="140"/>
        <v>0</v>
      </c>
      <c r="O299" s="455">
        <f t="shared" si="140"/>
        <v>0</v>
      </c>
      <c r="P299" s="455">
        <f t="shared" si="140"/>
        <v>0</v>
      </c>
      <c r="Q299" s="455">
        <f t="shared" si="140"/>
        <v>0</v>
      </c>
      <c r="R299" s="455">
        <f t="shared" si="140"/>
        <v>0</v>
      </c>
      <c r="S299" s="455">
        <f t="shared" si="140"/>
        <v>0</v>
      </c>
      <c r="T299" s="455">
        <f t="shared" si="140"/>
        <v>0</v>
      </c>
      <c r="U299" s="455">
        <f t="shared" si="140"/>
        <v>0</v>
      </c>
      <c r="V299" s="455">
        <f t="shared" si="140"/>
        <v>0</v>
      </c>
      <c r="W299" s="455">
        <f t="shared" si="140"/>
        <v>0</v>
      </c>
      <c r="X299" s="401"/>
    </row>
    <row r="300" spans="1:24" ht="16" outlineLevel="1" thickBot="1">
      <c r="B300" s="456" t="s">
        <v>1</v>
      </c>
      <c r="C300" s="448"/>
      <c r="D300" s="448">
        <f t="shared" ref="D300:W300" si="141">SUM(D298:D299)</f>
        <v>5714005.7532770112</v>
      </c>
      <c r="E300" s="448">
        <f t="shared" si="141"/>
        <v>0</v>
      </c>
      <c r="F300" s="448">
        <f t="shared" si="141"/>
        <v>0</v>
      </c>
      <c r="G300" s="448">
        <f t="shared" si="141"/>
        <v>0</v>
      </c>
      <c r="H300" s="448">
        <f t="shared" si="141"/>
        <v>0</v>
      </c>
      <c r="I300" s="448">
        <f t="shared" si="141"/>
        <v>0</v>
      </c>
      <c r="J300" s="448">
        <f t="shared" si="141"/>
        <v>0</v>
      </c>
      <c r="K300" s="448">
        <f t="shared" si="141"/>
        <v>0</v>
      </c>
      <c r="L300" s="448">
        <f t="shared" si="141"/>
        <v>0</v>
      </c>
      <c r="M300" s="448">
        <f t="shared" si="141"/>
        <v>0</v>
      </c>
      <c r="N300" s="448">
        <f t="shared" si="141"/>
        <v>0</v>
      </c>
      <c r="O300" s="448">
        <f t="shared" si="141"/>
        <v>0</v>
      </c>
      <c r="P300" s="448">
        <f t="shared" si="141"/>
        <v>0</v>
      </c>
      <c r="Q300" s="448">
        <f t="shared" si="141"/>
        <v>0</v>
      </c>
      <c r="R300" s="448">
        <f t="shared" si="141"/>
        <v>0</v>
      </c>
      <c r="S300" s="448">
        <f t="shared" si="141"/>
        <v>0</v>
      </c>
      <c r="T300" s="448">
        <f t="shared" si="141"/>
        <v>0</v>
      </c>
      <c r="U300" s="448">
        <f t="shared" si="141"/>
        <v>0</v>
      </c>
      <c r="V300" s="448">
        <f t="shared" si="141"/>
        <v>0</v>
      </c>
      <c r="W300" s="448">
        <f t="shared" si="141"/>
        <v>0</v>
      </c>
      <c r="X300" s="401"/>
    </row>
    <row r="301" spans="1:24" outlineLevel="1">
      <c r="B301" s="406" t="s">
        <v>430</v>
      </c>
      <c r="C301" s="406"/>
      <c r="D301" s="406"/>
      <c r="E301" s="406"/>
      <c r="F301" s="406"/>
      <c r="G301" s="406"/>
      <c r="H301" s="406"/>
      <c r="I301" s="406"/>
      <c r="J301" s="406"/>
      <c r="K301" s="406"/>
      <c r="L301" s="406"/>
      <c r="M301" s="406"/>
      <c r="N301" s="406"/>
      <c r="O301" s="406"/>
      <c r="P301" s="406"/>
      <c r="Q301" s="406"/>
      <c r="R301" s="406"/>
      <c r="S301" s="406"/>
      <c r="T301" s="406"/>
      <c r="U301" s="406"/>
      <c r="V301" s="406"/>
      <c r="W301" s="406"/>
    </row>
    <row r="302" spans="1:24" outlineLevel="1">
      <c r="B302" s="421" t="s">
        <v>323</v>
      </c>
      <c r="C302" s="408">
        <f>-IFERROR(IPMT($F$5,MAX(D297,1),$G$5,$E$5),0)</f>
        <v>519455.06847972824</v>
      </c>
      <c r="D302" s="408">
        <f t="shared" ref="D302:W302" si="142">SUMIF($D$39:$AQ$39,D$39,$D298:$AQ298)</f>
        <v>519455.06847972824</v>
      </c>
      <c r="E302" s="408">
        <f t="shared" si="142"/>
        <v>0</v>
      </c>
      <c r="F302" s="408">
        <f t="shared" si="142"/>
        <v>0</v>
      </c>
      <c r="G302" s="408">
        <f t="shared" si="142"/>
        <v>0</v>
      </c>
      <c r="H302" s="408">
        <f t="shared" si="142"/>
        <v>0</v>
      </c>
      <c r="I302" s="408">
        <f t="shared" si="142"/>
        <v>0</v>
      </c>
      <c r="J302" s="408">
        <f t="shared" si="142"/>
        <v>0</v>
      </c>
      <c r="K302" s="408">
        <f t="shared" si="142"/>
        <v>0</v>
      </c>
      <c r="L302" s="408">
        <f t="shared" si="142"/>
        <v>0</v>
      </c>
      <c r="M302" s="408">
        <f t="shared" si="142"/>
        <v>0</v>
      </c>
      <c r="N302" s="408">
        <f t="shared" si="142"/>
        <v>0</v>
      </c>
      <c r="O302" s="408">
        <f t="shared" si="142"/>
        <v>0</v>
      </c>
      <c r="P302" s="408">
        <f t="shared" si="142"/>
        <v>0</v>
      </c>
      <c r="Q302" s="408">
        <f t="shared" si="142"/>
        <v>0</v>
      </c>
      <c r="R302" s="408">
        <f t="shared" si="142"/>
        <v>0</v>
      </c>
      <c r="S302" s="408">
        <f t="shared" si="142"/>
        <v>0</v>
      </c>
      <c r="T302" s="408">
        <f t="shared" si="142"/>
        <v>0</v>
      </c>
      <c r="U302" s="408">
        <f t="shared" si="142"/>
        <v>0</v>
      </c>
      <c r="V302" s="408">
        <f t="shared" si="142"/>
        <v>0</v>
      </c>
      <c r="W302" s="408">
        <f t="shared" si="142"/>
        <v>0</v>
      </c>
      <c r="X302" s="401"/>
    </row>
    <row r="303" spans="1:24" outlineLevel="1">
      <c r="B303" s="454" t="s">
        <v>324</v>
      </c>
      <c r="C303" s="455"/>
      <c r="D303" s="455">
        <f t="shared" ref="D303:W303" si="143">D299</f>
        <v>5194550.6847972833</v>
      </c>
      <c r="E303" s="455">
        <f t="shared" si="143"/>
        <v>0</v>
      </c>
      <c r="F303" s="455">
        <f t="shared" si="143"/>
        <v>0</v>
      </c>
      <c r="G303" s="455">
        <f t="shared" si="143"/>
        <v>0</v>
      </c>
      <c r="H303" s="455">
        <f t="shared" si="143"/>
        <v>0</v>
      </c>
      <c r="I303" s="455">
        <f t="shared" si="143"/>
        <v>0</v>
      </c>
      <c r="J303" s="455">
        <f t="shared" si="143"/>
        <v>0</v>
      </c>
      <c r="K303" s="455">
        <f t="shared" si="143"/>
        <v>0</v>
      </c>
      <c r="L303" s="455">
        <f t="shared" si="143"/>
        <v>0</v>
      </c>
      <c r="M303" s="455">
        <f t="shared" si="143"/>
        <v>0</v>
      </c>
      <c r="N303" s="455">
        <f t="shared" si="143"/>
        <v>0</v>
      </c>
      <c r="O303" s="455">
        <f t="shared" si="143"/>
        <v>0</v>
      </c>
      <c r="P303" s="455">
        <f t="shared" si="143"/>
        <v>0</v>
      </c>
      <c r="Q303" s="455">
        <f t="shared" si="143"/>
        <v>0</v>
      </c>
      <c r="R303" s="455">
        <f t="shared" si="143"/>
        <v>0</v>
      </c>
      <c r="S303" s="455">
        <f t="shared" si="143"/>
        <v>0</v>
      </c>
      <c r="T303" s="455">
        <f t="shared" si="143"/>
        <v>0</v>
      </c>
      <c r="U303" s="455">
        <f t="shared" si="143"/>
        <v>0</v>
      </c>
      <c r="V303" s="455">
        <f t="shared" si="143"/>
        <v>0</v>
      </c>
      <c r="W303" s="455">
        <f t="shared" si="143"/>
        <v>0</v>
      </c>
      <c r="X303" s="401"/>
    </row>
    <row r="304" spans="1:24" ht="16" outlineLevel="1" thickBot="1">
      <c r="B304" s="456" t="s">
        <v>1</v>
      </c>
      <c r="C304" s="448">
        <f t="shared" ref="C304:W304" si="144">SUM(C302:C303)</f>
        <v>519455.06847972824</v>
      </c>
      <c r="D304" s="448">
        <f t="shared" si="144"/>
        <v>5714005.7532770112</v>
      </c>
      <c r="E304" s="448">
        <f t="shared" si="144"/>
        <v>0</v>
      </c>
      <c r="F304" s="448">
        <f t="shared" si="144"/>
        <v>0</v>
      </c>
      <c r="G304" s="448">
        <f t="shared" si="144"/>
        <v>0</v>
      </c>
      <c r="H304" s="448">
        <f t="shared" si="144"/>
        <v>0</v>
      </c>
      <c r="I304" s="448">
        <f t="shared" si="144"/>
        <v>0</v>
      </c>
      <c r="J304" s="448">
        <f t="shared" si="144"/>
        <v>0</v>
      </c>
      <c r="K304" s="448">
        <f t="shared" si="144"/>
        <v>0</v>
      </c>
      <c r="L304" s="448">
        <f t="shared" si="144"/>
        <v>0</v>
      </c>
      <c r="M304" s="448">
        <f t="shared" si="144"/>
        <v>0</v>
      </c>
      <c r="N304" s="448">
        <f t="shared" si="144"/>
        <v>0</v>
      </c>
      <c r="O304" s="448">
        <f t="shared" si="144"/>
        <v>0</v>
      </c>
      <c r="P304" s="448">
        <f t="shared" si="144"/>
        <v>0</v>
      </c>
      <c r="Q304" s="448">
        <f t="shared" si="144"/>
        <v>0</v>
      </c>
      <c r="R304" s="448">
        <f t="shared" si="144"/>
        <v>0</v>
      </c>
      <c r="S304" s="448">
        <f t="shared" si="144"/>
        <v>0</v>
      </c>
      <c r="T304" s="448">
        <f t="shared" si="144"/>
        <v>0</v>
      </c>
      <c r="U304" s="448">
        <f t="shared" si="144"/>
        <v>0</v>
      </c>
      <c r="V304" s="448">
        <f t="shared" si="144"/>
        <v>0</v>
      </c>
      <c r="W304" s="448">
        <f t="shared" si="144"/>
        <v>0</v>
      </c>
      <c r="X304" s="401"/>
    </row>
    <row r="305" spans="1:24" outlineLevel="1">
      <c r="B305" s="406" t="s">
        <v>424</v>
      </c>
      <c r="C305" s="406"/>
      <c r="D305" s="406"/>
      <c r="E305" s="406"/>
      <c r="F305" s="406"/>
      <c r="G305" s="406"/>
      <c r="H305" s="406"/>
      <c r="I305" s="406"/>
      <c r="J305" s="406"/>
      <c r="K305" s="406"/>
      <c r="L305" s="406"/>
      <c r="M305" s="406"/>
      <c r="N305" s="406"/>
      <c r="O305" s="406"/>
      <c r="P305" s="406"/>
      <c r="Q305" s="406"/>
      <c r="R305" s="406"/>
      <c r="S305" s="406"/>
      <c r="T305" s="406"/>
      <c r="U305" s="406"/>
      <c r="V305" s="406"/>
      <c r="W305" s="406"/>
    </row>
    <row r="306" spans="1:24" outlineLevel="1">
      <c r="B306" s="457" t="s">
        <v>425</v>
      </c>
      <c r="C306" s="458">
        <f t="shared" ref="C306:W306" si="145">D299</f>
        <v>5194550.6847972833</v>
      </c>
      <c r="D306" s="458">
        <f t="shared" si="145"/>
        <v>0</v>
      </c>
      <c r="E306" s="458">
        <f t="shared" si="145"/>
        <v>0</v>
      </c>
      <c r="F306" s="458">
        <f t="shared" si="145"/>
        <v>0</v>
      </c>
      <c r="G306" s="458">
        <f t="shared" si="145"/>
        <v>0</v>
      </c>
      <c r="H306" s="458">
        <f t="shared" si="145"/>
        <v>0</v>
      </c>
      <c r="I306" s="458">
        <f t="shared" si="145"/>
        <v>0</v>
      </c>
      <c r="J306" s="458">
        <f t="shared" si="145"/>
        <v>0</v>
      </c>
      <c r="K306" s="458">
        <f t="shared" si="145"/>
        <v>0</v>
      </c>
      <c r="L306" s="458">
        <f t="shared" si="145"/>
        <v>0</v>
      </c>
      <c r="M306" s="458">
        <f t="shared" si="145"/>
        <v>0</v>
      </c>
      <c r="N306" s="458">
        <f t="shared" si="145"/>
        <v>0</v>
      </c>
      <c r="O306" s="458">
        <f t="shared" si="145"/>
        <v>0</v>
      </c>
      <c r="P306" s="458">
        <f t="shared" si="145"/>
        <v>0</v>
      </c>
      <c r="Q306" s="458">
        <f t="shared" si="145"/>
        <v>0</v>
      </c>
      <c r="R306" s="458">
        <f t="shared" si="145"/>
        <v>0</v>
      </c>
      <c r="S306" s="458">
        <f t="shared" si="145"/>
        <v>0</v>
      </c>
      <c r="T306" s="458">
        <f t="shared" si="145"/>
        <v>0</v>
      </c>
      <c r="U306" s="458">
        <f t="shared" si="145"/>
        <v>0</v>
      </c>
      <c r="V306" s="458">
        <f t="shared" si="145"/>
        <v>0</v>
      </c>
      <c r="W306" s="458">
        <f t="shared" si="145"/>
        <v>0</v>
      </c>
      <c r="X306" s="401"/>
    </row>
    <row r="307" spans="1:24" ht="16" outlineLevel="1" thickBot="1">
      <c r="B307" s="414" t="s">
        <v>426</v>
      </c>
      <c r="C307" s="415">
        <f>$E$5-C306</f>
        <v>0</v>
      </c>
      <c r="D307" s="415">
        <f t="shared" ref="D307:W307" si="146">C307-D306</f>
        <v>0</v>
      </c>
      <c r="E307" s="415">
        <f t="shared" si="146"/>
        <v>0</v>
      </c>
      <c r="F307" s="415">
        <f t="shared" si="146"/>
        <v>0</v>
      </c>
      <c r="G307" s="415">
        <f t="shared" si="146"/>
        <v>0</v>
      </c>
      <c r="H307" s="415">
        <f t="shared" si="146"/>
        <v>0</v>
      </c>
      <c r="I307" s="415">
        <f t="shared" si="146"/>
        <v>0</v>
      </c>
      <c r="J307" s="415">
        <f t="shared" si="146"/>
        <v>0</v>
      </c>
      <c r="K307" s="415">
        <f t="shared" si="146"/>
        <v>0</v>
      </c>
      <c r="L307" s="415">
        <f t="shared" si="146"/>
        <v>0</v>
      </c>
      <c r="M307" s="415">
        <f t="shared" si="146"/>
        <v>0</v>
      </c>
      <c r="N307" s="415">
        <f t="shared" si="146"/>
        <v>0</v>
      </c>
      <c r="O307" s="415">
        <f t="shared" si="146"/>
        <v>0</v>
      </c>
      <c r="P307" s="415">
        <f t="shared" si="146"/>
        <v>0</v>
      </c>
      <c r="Q307" s="415">
        <f t="shared" si="146"/>
        <v>0</v>
      </c>
      <c r="R307" s="415">
        <f t="shared" si="146"/>
        <v>0</v>
      </c>
      <c r="S307" s="415">
        <f t="shared" si="146"/>
        <v>0</v>
      </c>
      <c r="T307" s="415">
        <f t="shared" si="146"/>
        <v>0</v>
      </c>
      <c r="U307" s="415">
        <f t="shared" si="146"/>
        <v>0</v>
      </c>
      <c r="V307" s="415">
        <f t="shared" si="146"/>
        <v>0</v>
      </c>
      <c r="W307" s="415">
        <f t="shared" si="146"/>
        <v>0</v>
      </c>
      <c r="X307" s="401"/>
    </row>
    <row r="308" spans="1:24" outlineLevel="1"/>
    <row r="309" spans="1:24" ht="16" thickBot="1"/>
    <row r="310" spans="1:24" ht="16" thickTop="1">
      <c r="A310" s="374">
        <f>A293+1</f>
        <v>17</v>
      </c>
      <c r="B310" s="379" t="str">
        <f>"Year "&amp;A310&amp;" Working Capital Financing"</f>
        <v>Year 17 Working Capital Financing</v>
      </c>
      <c r="C310" s="379"/>
      <c r="D310" s="379"/>
      <c r="E310" s="379"/>
      <c r="F310" s="379"/>
      <c r="G310" s="379"/>
      <c r="H310" s="379"/>
      <c r="I310" s="379"/>
      <c r="J310" s="379"/>
      <c r="K310" s="379"/>
      <c r="L310" s="379"/>
      <c r="M310" s="379"/>
      <c r="N310" s="379"/>
      <c r="O310" s="379"/>
      <c r="P310" s="379"/>
      <c r="Q310" s="379"/>
      <c r="R310" s="379"/>
      <c r="S310" s="379"/>
      <c r="T310" s="379"/>
      <c r="U310" s="379"/>
      <c r="V310" s="379"/>
      <c r="W310" s="379"/>
    </row>
    <row r="311" spans="1:24" s="420" customFormat="1" ht="16" outlineLevel="1" thickBot="1">
      <c r="A311" s="417"/>
      <c r="B311" s="459"/>
      <c r="C311" s="459">
        <v>0</v>
      </c>
      <c r="D311" s="459">
        <v>1</v>
      </c>
      <c r="E311" s="459">
        <v>2</v>
      </c>
      <c r="F311" s="459">
        <v>3</v>
      </c>
      <c r="G311" s="459">
        <v>4</v>
      </c>
      <c r="H311" s="459">
        <v>5</v>
      </c>
      <c r="I311" s="459">
        <v>6</v>
      </c>
      <c r="J311" s="459">
        <v>7</v>
      </c>
      <c r="K311" s="459">
        <v>8</v>
      </c>
      <c r="L311" s="459">
        <v>9</v>
      </c>
      <c r="M311" s="459">
        <v>10</v>
      </c>
      <c r="N311" s="459">
        <v>11</v>
      </c>
      <c r="O311" s="459">
        <v>12</v>
      </c>
      <c r="P311" s="459">
        <v>13</v>
      </c>
      <c r="Q311" s="459">
        <v>14</v>
      </c>
      <c r="R311" s="459">
        <v>15</v>
      </c>
      <c r="S311" s="459">
        <v>16</v>
      </c>
      <c r="T311" s="459">
        <v>17</v>
      </c>
      <c r="U311" s="459">
        <v>18</v>
      </c>
      <c r="V311" s="459">
        <v>19</v>
      </c>
      <c r="W311" s="459">
        <v>20</v>
      </c>
      <c r="X311" s="451"/>
    </row>
    <row r="312" spans="1:24" outlineLevel="1">
      <c r="B312" s="406" t="s">
        <v>421</v>
      </c>
      <c r="C312" s="406"/>
      <c r="D312" s="406"/>
      <c r="E312" s="406"/>
      <c r="F312" s="406"/>
      <c r="G312" s="406"/>
      <c r="H312" s="406"/>
      <c r="I312" s="406"/>
      <c r="J312" s="406"/>
      <c r="K312" s="406"/>
      <c r="L312" s="406"/>
      <c r="M312" s="406"/>
      <c r="N312" s="406"/>
      <c r="O312" s="406"/>
      <c r="P312" s="406"/>
      <c r="Q312" s="406"/>
      <c r="R312" s="406"/>
      <c r="S312" s="406"/>
      <c r="T312" s="406"/>
      <c r="U312" s="406"/>
      <c r="V312" s="406"/>
      <c r="W312" s="406"/>
    </row>
    <row r="313" spans="1:24" s="420" customFormat="1" outlineLevel="1">
      <c r="A313" s="417"/>
      <c r="B313" s="418" t="s">
        <v>428</v>
      </c>
      <c r="C313" s="418"/>
      <c r="D313" s="419">
        <v>1</v>
      </c>
      <c r="E313" s="419">
        <v>2</v>
      </c>
      <c r="F313" s="419">
        <v>3</v>
      </c>
      <c r="G313" s="419">
        <v>4</v>
      </c>
      <c r="H313" s="419">
        <v>5</v>
      </c>
      <c r="I313" s="419">
        <v>6</v>
      </c>
      <c r="J313" s="419">
        <v>7</v>
      </c>
      <c r="K313" s="419">
        <v>8</v>
      </c>
      <c r="L313" s="419">
        <v>9</v>
      </c>
      <c r="M313" s="419">
        <v>10</v>
      </c>
      <c r="N313" s="419">
        <v>11</v>
      </c>
      <c r="O313" s="419">
        <v>12</v>
      </c>
      <c r="P313" s="419">
        <v>13</v>
      </c>
      <c r="Q313" s="419">
        <v>14</v>
      </c>
      <c r="R313" s="419">
        <v>15</v>
      </c>
      <c r="S313" s="419">
        <v>16</v>
      </c>
      <c r="T313" s="419">
        <v>17</v>
      </c>
      <c r="U313" s="419">
        <v>18</v>
      </c>
      <c r="V313" s="419">
        <v>19</v>
      </c>
      <c r="W313" s="419">
        <v>20</v>
      </c>
      <c r="X313" s="452"/>
    </row>
    <row r="314" spans="1:24" outlineLevel="1">
      <c r="B314" s="418" t="s">
        <v>429</v>
      </c>
      <c r="C314" s="418"/>
      <c r="D314" s="419">
        <f>MAX(D313-($H$6),0)</f>
        <v>1</v>
      </c>
      <c r="E314" s="419">
        <f t="shared" ref="E314:W314" si="147">MAX(E313-($H$6),0)</f>
        <v>2</v>
      </c>
      <c r="F314" s="419">
        <f t="shared" si="147"/>
        <v>3</v>
      </c>
      <c r="G314" s="419">
        <f t="shared" si="147"/>
        <v>4</v>
      </c>
      <c r="H314" s="419">
        <f t="shared" si="147"/>
        <v>5</v>
      </c>
      <c r="I314" s="419">
        <f t="shared" si="147"/>
        <v>6</v>
      </c>
      <c r="J314" s="419">
        <f t="shared" si="147"/>
        <v>7</v>
      </c>
      <c r="K314" s="419">
        <f t="shared" si="147"/>
        <v>8</v>
      </c>
      <c r="L314" s="419">
        <f t="shared" si="147"/>
        <v>9</v>
      </c>
      <c r="M314" s="419">
        <f t="shared" si="147"/>
        <v>10</v>
      </c>
      <c r="N314" s="419">
        <f t="shared" si="147"/>
        <v>11</v>
      </c>
      <c r="O314" s="419">
        <f t="shared" si="147"/>
        <v>12</v>
      </c>
      <c r="P314" s="419">
        <f t="shared" si="147"/>
        <v>13</v>
      </c>
      <c r="Q314" s="419">
        <f t="shared" si="147"/>
        <v>14</v>
      </c>
      <c r="R314" s="419">
        <f t="shared" si="147"/>
        <v>15</v>
      </c>
      <c r="S314" s="419">
        <f t="shared" si="147"/>
        <v>16</v>
      </c>
      <c r="T314" s="419">
        <f t="shared" si="147"/>
        <v>17</v>
      </c>
      <c r="U314" s="419">
        <f t="shared" si="147"/>
        <v>18</v>
      </c>
      <c r="V314" s="419">
        <f t="shared" si="147"/>
        <v>19</v>
      </c>
      <c r="W314" s="419">
        <f t="shared" si="147"/>
        <v>20</v>
      </c>
      <c r="X314" s="453"/>
    </row>
    <row r="315" spans="1:24" outlineLevel="1">
      <c r="B315" s="418" t="s">
        <v>323</v>
      </c>
      <c r="C315" s="418"/>
      <c r="D315" s="413">
        <f t="shared" ref="D315:W315" si="148">-IFERROR(IPMT($F$6,MAX(D314,1),$G$6,$E$6),0)</f>
        <v>390892.71838304953</v>
      </c>
      <c r="E315" s="413">
        <f t="shared" si="148"/>
        <v>0</v>
      </c>
      <c r="F315" s="413">
        <f t="shared" si="148"/>
        <v>0</v>
      </c>
      <c r="G315" s="413">
        <f t="shared" si="148"/>
        <v>0</v>
      </c>
      <c r="H315" s="413">
        <f t="shared" si="148"/>
        <v>0</v>
      </c>
      <c r="I315" s="413">
        <f t="shared" si="148"/>
        <v>0</v>
      </c>
      <c r="J315" s="413">
        <f t="shared" si="148"/>
        <v>0</v>
      </c>
      <c r="K315" s="413">
        <f t="shared" si="148"/>
        <v>0</v>
      </c>
      <c r="L315" s="413">
        <f t="shared" si="148"/>
        <v>0</v>
      </c>
      <c r="M315" s="413">
        <f t="shared" si="148"/>
        <v>0</v>
      </c>
      <c r="N315" s="413">
        <f t="shared" si="148"/>
        <v>0</v>
      </c>
      <c r="O315" s="413">
        <f t="shared" si="148"/>
        <v>0</v>
      </c>
      <c r="P315" s="413">
        <f t="shared" si="148"/>
        <v>0</v>
      </c>
      <c r="Q315" s="413">
        <f t="shared" si="148"/>
        <v>0</v>
      </c>
      <c r="R315" s="413">
        <f t="shared" si="148"/>
        <v>0</v>
      </c>
      <c r="S315" s="413">
        <f t="shared" si="148"/>
        <v>0</v>
      </c>
      <c r="T315" s="413">
        <f t="shared" si="148"/>
        <v>0</v>
      </c>
      <c r="U315" s="413">
        <f t="shared" si="148"/>
        <v>0</v>
      </c>
      <c r="V315" s="413">
        <f t="shared" si="148"/>
        <v>0</v>
      </c>
      <c r="W315" s="413">
        <f t="shared" si="148"/>
        <v>0</v>
      </c>
      <c r="X315" s="401"/>
    </row>
    <row r="316" spans="1:24" outlineLevel="1">
      <c r="B316" s="454" t="s">
        <v>324</v>
      </c>
      <c r="C316" s="455"/>
      <c r="D316" s="455">
        <f t="shared" ref="D316:W316" si="149">-IFERROR(PPMT($F$6,D314,$G$6,$E$6),0)</f>
        <v>3908927.1838304955</v>
      </c>
      <c r="E316" s="455">
        <f t="shared" si="149"/>
        <v>0</v>
      </c>
      <c r="F316" s="455">
        <f t="shared" si="149"/>
        <v>0</v>
      </c>
      <c r="G316" s="455">
        <f t="shared" si="149"/>
        <v>0</v>
      </c>
      <c r="H316" s="455">
        <f t="shared" si="149"/>
        <v>0</v>
      </c>
      <c r="I316" s="455">
        <f t="shared" si="149"/>
        <v>0</v>
      </c>
      <c r="J316" s="455">
        <f t="shared" si="149"/>
        <v>0</v>
      </c>
      <c r="K316" s="455">
        <f t="shared" si="149"/>
        <v>0</v>
      </c>
      <c r="L316" s="455">
        <f t="shared" si="149"/>
        <v>0</v>
      </c>
      <c r="M316" s="455">
        <f t="shared" si="149"/>
        <v>0</v>
      </c>
      <c r="N316" s="455">
        <f t="shared" si="149"/>
        <v>0</v>
      </c>
      <c r="O316" s="455">
        <f t="shared" si="149"/>
        <v>0</v>
      </c>
      <c r="P316" s="455">
        <f t="shared" si="149"/>
        <v>0</v>
      </c>
      <c r="Q316" s="455">
        <f t="shared" si="149"/>
        <v>0</v>
      </c>
      <c r="R316" s="455">
        <f t="shared" si="149"/>
        <v>0</v>
      </c>
      <c r="S316" s="455">
        <f t="shared" si="149"/>
        <v>0</v>
      </c>
      <c r="T316" s="455">
        <f t="shared" si="149"/>
        <v>0</v>
      </c>
      <c r="U316" s="455">
        <f t="shared" si="149"/>
        <v>0</v>
      </c>
      <c r="V316" s="455">
        <f t="shared" si="149"/>
        <v>0</v>
      </c>
      <c r="W316" s="455">
        <f t="shared" si="149"/>
        <v>0</v>
      </c>
      <c r="X316" s="401"/>
    </row>
    <row r="317" spans="1:24" ht="16" outlineLevel="1" thickBot="1">
      <c r="B317" s="456" t="s">
        <v>1</v>
      </c>
      <c r="C317" s="448"/>
      <c r="D317" s="448">
        <f t="shared" ref="D317:W317" si="150">SUM(D315:D316)</f>
        <v>4299819.9022135446</v>
      </c>
      <c r="E317" s="448">
        <f t="shared" si="150"/>
        <v>0</v>
      </c>
      <c r="F317" s="448">
        <f t="shared" si="150"/>
        <v>0</v>
      </c>
      <c r="G317" s="448">
        <f t="shared" si="150"/>
        <v>0</v>
      </c>
      <c r="H317" s="448">
        <f t="shared" si="150"/>
        <v>0</v>
      </c>
      <c r="I317" s="448">
        <f t="shared" si="150"/>
        <v>0</v>
      </c>
      <c r="J317" s="448">
        <f t="shared" si="150"/>
        <v>0</v>
      </c>
      <c r="K317" s="448">
        <f t="shared" si="150"/>
        <v>0</v>
      </c>
      <c r="L317" s="448">
        <f t="shared" si="150"/>
        <v>0</v>
      </c>
      <c r="M317" s="448">
        <f t="shared" si="150"/>
        <v>0</v>
      </c>
      <c r="N317" s="448">
        <f t="shared" si="150"/>
        <v>0</v>
      </c>
      <c r="O317" s="448">
        <f t="shared" si="150"/>
        <v>0</v>
      </c>
      <c r="P317" s="448">
        <f t="shared" si="150"/>
        <v>0</v>
      </c>
      <c r="Q317" s="448">
        <f t="shared" si="150"/>
        <v>0</v>
      </c>
      <c r="R317" s="448">
        <f t="shared" si="150"/>
        <v>0</v>
      </c>
      <c r="S317" s="448">
        <f t="shared" si="150"/>
        <v>0</v>
      </c>
      <c r="T317" s="448">
        <f t="shared" si="150"/>
        <v>0</v>
      </c>
      <c r="U317" s="448">
        <f t="shared" si="150"/>
        <v>0</v>
      </c>
      <c r="V317" s="448">
        <f t="shared" si="150"/>
        <v>0</v>
      </c>
      <c r="W317" s="448">
        <f t="shared" si="150"/>
        <v>0</v>
      </c>
      <c r="X317" s="401"/>
    </row>
    <row r="318" spans="1:24" outlineLevel="1">
      <c r="B318" s="406" t="s">
        <v>430</v>
      </c>
      <c r="C318" s="406"/>
      <c r="D318" s="406"/>
      <c r="E318" s="406"/>
      <c r="F318" s="406"/>
      <c r="G318" s="406"/>
      <c r="H318" s="406"/>
      <c r="I318" s="406"/>
      <c r="J318" s="406"/>
      <c r="K318" s="406"/>
      <c r="L318" s="406"/>
      <c r="M318" s="406"/>
      <c r="N318" s="406"/>
      <c r="O318" s="406"/>
      <c r="P318" s="406"/>
      <c r="Q318" s="406"/>
      <c r="R318" s="406"/>
      <c r="S318" s="406"/>
      <c r="T318" s="406"/>
      <c r="U318" s="406"/>
      <c r="V318" s="406"/>
      <c r="W318" s="406"/>
    </row>
    <row r="319" spans="1:24" outlineLevel="1">
      <c r="B319" s="418" t="s">
        <v>323</v>
      </c>
      <c r="C319" s="413">
        <f>-IFERROR(IPMT($F$6,MAX(D314,1),$G$6,$E$6),0)</f>
        <v>390892.71838304953</v>
      </c>
      <c r="D319" s="413">
        <f t="shared" ref="D319:W319" si="151">SUMIF($D311:$AQ311,D$56,$D315:$AQ315)</f>
        <v>390892.71838304953</v>
      </c>
      <c r="E319" s="413">
        <f t="shared" si="151"/>
        <v>0</v>
      </c>
      <c r="F319" s="413">
        <f t="shared" si="151"/>
        <v>0</v>
      </c>
      <c r="G319" s="413">
        <f t="shared" si="151"/>
        <v>0</v>
      </c>
      <c r="H319" s="413">
        <f t="shared" si="151"/>
        <v>0</v>
      </c>
      <c r="I319" s="413">
        <f t="shared" si="151"/>
        <v>0</v>
      </c>
      <c r="J319" s="413">
        <f t="shared" si="151"/>
        <v>0</v>
      </c>
      <c r="K319" s="413">
        <f t="shared" si="151"/>
        <v>0</v>
      </c>
      <c r="L319" s="413">
        <f t="shared" si="151"/>
        <v>0</v>
      </c>
      <c r="M319" s="413">
        <f t="shared" si="151"/>
        <v>0</v>
      </c>
      <c r="N319" s="413">
        <f t="shared" si="151"/>
        <v>0</v>
      </c>
      <c r="O319" s="413">
        <f t="shared" si="151"/>
        <v>0</v>
      </c>
      <c r="P319" s="413">
        <f t="shared" si="151"/>
        <v>0</v>
      </c>
      <c r="Q319" s="413">
        <f t="shared" si="151"/>
        <v>0</v>
      </c>
      <c r="R319" s="413">
        <f t="shared" si="151"/>
        <v>0</v>
      </c>
      <c r="S319" s="413">
        <f t="shared" si="151"/>
        <v>0</v>
      </c>
      <c r="T319" s="413">
        <f t="shared" si="151"/>
        <v>0</v>
      </c>
      <c r="U319" s="413">
        <f t="shared" si="151"/>
        <v>0</v>
      </c>
      <c r="V319" s="413">
        <f t="shared" si="151"/>
        <v>0</v>
      </c>
      <c r="W319" s="413">
        <f t="shared" si="151"/>
        <v>0</v>
      </c>
      <c r="X319" s="401"/>
    </row>
    <row r="320" spans="1:24" outlineLevel="1">
      <c r="B320" s="454" t="s">
        <v>324</v>
      </c>
      <c r="C320" s="455"/>
      <c r="D320" s="455">
        <f t="shared" ref="D320:W320" si="152">D316</f>
        <v>3908927.1838304955</v>
      </c>
      <c r="E320" s="455">
        <f t="shared" si="152"/>
        <v>0</v>
      </c>
      <c r="F320" s="455">
        <f t="shared" si="152"/>
        <v>0</v>
      </c>
      <c r="G320" s="455">
        <f t="shared" si="152"/>
        <v>0</v>
      </c>
      <c r="H320" s="455">
        <f t="shared" si="152"/>
        <v>0</v>
      </c>
      <c r="I320" s="455">
        <f t="shared" si="152"/>
        <v>0</v>
      </c>
      <c r="J320" s="455">
        <f t="shared" si="152"/>
        <v>0</v>
      </c>
      <c r="K320" s="455">
        <f t="shared" si="152"/>
        <v>0</v>
      </c>
      <c r="L320" s="455">
        <f t="shared" si="152"/>
        <v>0</v>
      </c>
      <c r="M320" s="455">
        <f t="shared" si="152"/>
        <v>0</v>
      </c>
      <c r="N320" s="455">
        <f t="shared" si="152"/>
        <v>0</v>
      </c>
      <c r="O320" s="455">
        <f t="shared" si="152"/>
        <v>0</v>
      </c>
      <c r="P320" s="455">
        <f t="shared" si="152"/>
        <v>0</v>
      </c>
      <c r="Q320" s="455">
        <f t="shared" si="152"/>
        <v>0</v>
      </c>
      <c r="R320" s="455">
        <f t="shared" si="152"/>
        <v>0</v>
      </c>
      <c r="S320" s="455">
        <f t="shared" si="152"/>
        <v>0</v>
      </c>
      <c r="T320" s="455">
        <f t="shared" si="152"/>
        <v>0</v>
      </c>
      <c r="U320" s="455">
        <f t="shared" si="152"/>
        <v>0</v>
      </c>
      <c r="V320" s="455">
        <f t="shared" si="152"/>
        <v>0</v>
      </c>
      <c r="W320" s="455">
        <f t="shared" si="152"/>
        <v>0</v>
      </c>
      <c r="X320" s="401"/>
    </row>
    <row r="321" spans="1:24" ht="16" outlineLevel="1" thickBot="1">
      <c r="B321" s="456" t="s">
        <v>1</v>
      </c>
      <c r="C321" s="448">
        <f t="shared" ref="C321:W321" si="153">SUM(C319:C320)</f>
        <v>390892.71838304953</v>
      </c>
      <c r="D321" s="448">
        <f t="shared" si="153"/>
        <v>4299819.9022135446</v>
      </c>
      <c r="E321" s="448">
        <f t="shared" si="153"/>
        <v>0</v>
      </c>
      <c r="F321" s="448">
        <f t="shared" si="153"/>
        <v>0</v>
      </c>
      <c r="G321" s="448">
        <f t="shared" si="153"/>
        <v>0</v>
      </c>
      <c r="H321" s="448">
        <f t="shared" si="153"/>
        <v>0</v>
      </c>
      <c r="I321" s="448">
        <f t="shared" si="153"/>
        <v>0</v>
      </c>
      <c r="J321" s="448">
        <f t="shared" si="153"/>
        <v>0</v>
      </c>
      <c r="K321" s="448">
        <f t="shared" si="153"/>
        <v>0</v>
      </c>
      <c r="L321" s="448">
        <f t="shared" si="153"/>
        <v>0</v>
      </c>
      <c r="M321" s="448">
        <f t="shared" si="153"/>
        <v>0</v>
      </c>
      <c r="N321" s="448">
        <f t="shared" si="153"/>
        <v>0</v>
      </c>
      <c r="O321" s="448">
        <f t="shared" si="153"/>
        <v>0</v>
      </c>
      <c r="P321" s="448">
        <f t="shared" si="153"/>
        <v>0</v>
      </c>
      <c r="Q321" s="448">
        <f t="shared" si="153"/>
        <v>0</v>
      </c>
      <c r="R321" s="448">
        <f t="shared" si="153"/>
        <v>0</v>
      </c>
      <c r="S321" s="448">
        <f t="shared" si="153"/>
        <v>0</v>
      </c>
      <c r="T321" s="448">
        <f t="shared" si="153"/>
        <v>0</v>
      </c>
      <c r="U321" s="448">
        <f t="shared" si="153"/>
        <v>0</v>
      </c>
      <c r="V321" s="448">
        <f t="shared" si="153"/>
        <v>0</v>
      </c>
      <c r="W321" s="448">
        <f t="shared" si="153"/>
        <v>0</v>
      </c>
      <c r="X321" s="401"/>
    </row>
    <row r="322" spans="1:24" outlineLevel="1">
      <c r="B322" s="406" t="s">
        <v>424</v>
      </c>
      <c r="C322" s="406"/>
      <c r="D322" s="406"/>
      <c r="E322" s="406"/>
      <c r="F322" s="406"/>
      <c r="G322" s="406"/>
      <c r="H322" s="406"/>
      <c r="I322" s="406"/>
      <c r="J322" s="406"/>
      <c r="K322" s="406"/>
      <c r="L322" s="406"/>
      <c r="M322" s="406"/>
      <c r="N322" s="406"/>
      <c r="O322" s="406"/>
      <c r="P322" s="406"/>
      <c r="Q322" s="406"/>
      <c r="R322" s="406"/>
      <c r="S322" s="406"/>
      <c r="T322" s="406"/>
      <c r="U322" s="406"/>
      <c r="V322" s="406"/>
      <c r="W322" s="406"/>
    </row>
    <row r="323" spans="1:24" outlineLevel="1">
      <c r="B323" s="457" t="s">
        <v>425</v>
      </c>
      <c r="C323" s="458">
        <f t="shared" ref="C323:W323" si="154">D320</f>
        <v>3908927.1838304955</v>
      </c>
      <c r="D323" s="458">
        <f t="shared" si="154"/>
        <v>0</v>
      </c>
      <c r="E323" s="458">
        <f t="shared" si="154"/>
        <v>0</v>
      </c>
      <c r="F323" s="458">
        <f t="shared" si="154"/>
        <v>0</v>
      </c>
      <c r="G323" s="458">
        <f t="shared" si="154"/>
        <v>0</v>
      </c>
      <c r="H323" s="458">
        <f t="shared" si="154"/>
        <v>0</v>
      </c>
      <c r="I323" s="458">
        <f t="shared" si="154"/>
        <v>0</v>
      </c>
      <c r="J323" s="458">
        <f t="shared" si="154"/>
        <v>0</v>
      </c>
      <c r="K323" s="458">
        <f t="shared" si="154"/>
        <v>0</v>
      </c>
      <c r="L323" s="458">
        <f t="shared" si="154"/>
        <v>0</v>
      </c>
      <c r="M323" s="458">
        <f t="shared" si="154"/>
        <v>0</v>
      </c>
      <c r="N323" s="458">
        <f t="shared" si="154"/>
        <v>0</v>
      </c>
      <c r="O323" s="458">
        <f t="shared" si="154"/>
        <v>0</v>
      </c>
      <c r="P323" s="458">
        <f t="shared" si="154"/>
        <v>0</v>
      </c>
      <c r="Q323" s="458">
        <f t="shared" si="154"/>
        <v>0</v>
      </c>
      <c r="R323" s="458">
        <f t="shared" si="154"/>
        <v>0</v>
      </c>
      <c r="S323" s="458">
        <f t="shared" si="154"/>
        <v>0</v>
      </c>
      <c r="T323" s="458">
        <f t="shared" si="154"/>
        <v>0</v>
      </c>
      <c r="U323" s="458">
        <f t="shared" si="154"/>
        <v>0</v>
      </c>
      <c r="V323" s="458">
        <f t="shared" si="154"/>
        <v>0</v>
      </c>
      <c r="W323" s="458">
        <f t="shared" si="154"/>
        <v>0</v>
      </c>
      <c r="X323" s="401"/>
    </row>
    <row r="324" spans="1:24" ht="16" outlineLevel="1" thickBot="1">
      <c r="B324" s="414" t="s">
        <v>426</v>
      </c>
      <c r="C324" s="415">
        <f>$E$6-C323</f>
        <v>0</v>
      </c>
      <c r="D324" s="415">
        <f t="shared" ref="D324:W324" si="155">C324-D323</f>
        <v>0</v>
      </c>
      <c r="E324" s="415">
        <f t="shared" si="155"/>
        <v>0</v>
      </c>
      <c r="F324" s="415">
        <f t="shared" si="155"/>
        <v>0</v>
      </c>
      <c r="G324" s="415">
        <f t="shared" si="155"/>
        <v>0</v>
      </c>
      <c r="H324" s="415">
        <f t="shared" si="155"/>
        <v>0</v>
      </c>
      <c r="I324" s="415">
        <f t="shared" si="155"/>
        <v>0</v>
      </c>
      <c r="J324" s="415">
        <f t="shared" si="155"/>
        <v>0</v>
      </c>
      <c r="K324" s="415">
        <f t="shared" si="155"/>
        <v>0</v>
      </c>
      <c r="L324" s="415">
        <f t="shared" si="155"/>
        <v>0</v>
      </c>
      <c r="M324" s="415">
        <f t="shared" si="155"/>
        <v>0</v>
      </c>
      <c r="N324" s="415">
        <f t="shared" si="155"/>
        <v>0</v>
      </c>
      <c r="O324" s="415">
        <f t="shared" si="155"/>
        <v>0</v>
      </c>
      <c r="P324" s="415">
        <f t="shared" si="155"/>
        <v>0</v>
      </c>
      <c r="Q324" s="415">
        <f t="shared" si="155"/>
        <v>0</v>
      </c>
      <c r="R324" s="415">
        <f t="shared" si="155"/>
        <v>0</v>
      </c>
      <c r="S324" s="415">
        <f t="shared" si="155"/>
        <v>0</v>
      </c>
      <c r="T324" s="415">
        <f t="shared" si="155"/>
        <v>0</v>
      </c>
      <c r="U324" s="415">
        <f t="shared" si="155"/>
        <v>0</v>
      </c>
      <c r="V324" s="415">
        <f t="shared" si="155"/>
        <v>0</v>
      </c>
      <c r="W324" s="415">
        <f t="shared" si="155"/>
        <v>0</v>
      </c>
      <c r="X324" s="401"/>
    </row>
    <row r="325" spans="1:24" outlineLevel="1"/>
    <row r="326" spans="1:24" ht="16" thickBot="1"/>
    <row r="327" spans="1:24" ht="16" thickTop="1">
      <c r="A327" s="374">
        <f>A310+1</f>
        <v>18</v>
      </c>
      <c r="B327" s="379" t="str">
        <f>"Year "&amp;A327&amp;" Working Capital Financing"</f>
        <v>Year 18 Working Capital Financing</v>
      </c>
      <c r="C327" s="379"/>
      <c r="D327" s="379"/>
      <c r="E327" s="379"/>
      <c r="F327" s="379"/>
      <c r="G327" s="379"/>
      <c r="H327" s="379"/>
      <c r="I327" s="379"/>
      <c r="J327" s="379"/>
      <c r="K327" s="379"/>
      <c r="L327" s="379"/>
      <c r="M327" s="379"/>
      <c r="N327" s="379"/>
      <c r="O327" s="379"/>
      <c r="P327" s="379"/>
      <c r="Q327" s="379"/>
      <c r="R327" s="379"/>
      <c r="S327" s="379"/>
      <c r="T327" s="379"/>
      <c r="U327" s="379"/>
      <c r="V327" s="379"/>
      <c r="W327" s="379"/>
    </row>
    <row r="328" spans="1:24" s="420" customFormat="1" ht="16" outlineLevel="1" thickBot="1">
      <c r="A328" s="417"/>
      <c r="B328" s="405"/>
      <c r="C328" s="405">
        <v>0</v>
      </c>
      <c r="D328" s="405">
        <v>1</v>
      </c>
      <c r="E328" s="405">
        <v>2</v>
      </c>
      <c r="F328" s="405">
        <v>3</v>
      </c>
      <c r="G328" s="405">
        <v>4</v>
      </c>
      <c r="H328" s="405">
        <v>5</v>
      </c>
      <c r="I328" s="405">
        <v>6</v>
      </c>
      <c r="J328" s="405">
        <v>7</v>
      </c>
      <c r="K328" s="405">
        <v>8</v>
      </c>
      <c r="L328" s="405">
        <v>9</v>
      </c>
      <c r="M328" s="405">
        <v>10</v>
      </c>
      <c r="N328" s="405">
        <v>11</v>
      </c>
      <c r="O328" s="405">
        <v>12</v>
      </c>
      <c r="P328" s="405">
        <v>13</v>
      </c>
      <c r="Q328" s="405">
        <v>14</v>
      </c>
      <c r="R328" s="405">
        <v>15</v>
      </c>
      <c r="S328" s="405">
        <v>16</v>
      </c>
      <c r="T328" s="405">
        <v>17</v>
      </c>
      <c r="U328" s="405">
        <v>18</v>
      </c>
      <c r="V328" s="405">
        <v>19</v>
      </c>
      <c r="W328" s="405">
        <v>20</v>
      </c>
      <c r="X328" s="451"/>
    </row>
    <row r="329" spans="1:24" outlineLevel="1">
      <c r="B329" s="406" t="s">
        <v>421</v>
      </c>
      <c r="C329" s="406"/>
      <c r="D329" s="406"/>
      <c r="E329" s="406"/>
      <c r="F329" s="406"/>
      <c r="G329" s="406"/>
      <c r="H329" s="406"/>
      <c r="I329" s="406"/>
      <c r="J329" s="406"/>
      <c r="K329" s="406"/>
      <c r="L329" s="406"/>
      <c r="M329" s="406"/>
      <c r="N329" s="406"/>
      <c r="O329" s="406"/>
      <c r="P329" s="406"/>
      <c r="Q329" s="406"/>
      <c r="R329" s="406"/>
      <c r="S329" s="406"/>
      <c r="T329" s="406"/>
      <c r="U329" s="406"/>
      <c r="V329" s="406"/>
      <c r="W329" s="406"/>
    </row>
    <row r="330" spans="1:24" s="420" customFormat="1" outlineLevel="1">
      <c r="A330" s="417"/>
      <c r="B330" s="418" t="s">
        <v>428</v>
      </c>
      <c r="C330" s="418"/>
      <c r="D330" s="419">
        <v>1</v>
      </c>
      <c r="E330" s="419">
        <v>2</v>
      </c>
      <c r="F330" s="419">
        <v>3</v>
      </c>
      <c r="G330" s="419">
        <v>4</v>
      </c>
      <c r="H330" s="419">
        <v>5</v>
      </c>
      <c r="I330" s="419">
        <v>6</v>
      </c>
      <c r="J330" s="419">
        <v>7</v>
      </c>
      <c r="K330" s="419">
        <v>8</v>
      </c>
      <c r="L330" s="419">
        <v>9</v>
      </c>
      <c r="M330" s="419">
        <v>10</v>
      </c>
      <c r="N330" s="419">
        <v>11</v>
      </c>
      <c r="O330" s="419">
        <v>12</v>
      </c>
      <c r="P330" s="419">
        <v>13</v>
      </c>
      <c r="Q330" s="419">
        <v>14</v>
      </c>
      <c r="R330" s="419">
        <v>15</v>
      </c>
      <c r="S330" s="419">
        <v>16</v>
      </c>
      <c r="T330" s="419">
        <v>17</v>
      </c>
      <c r="U330" s="419">
        <v>18</v>
      </c>
      <c r="V330" s="419">
        <v>19</v>
      </c>
      <c r="W330" s="419">
        <v>20</v>
      </c>
      <c r="X330" s="452"/>
    </row>
    <row r="331" spans="1:24" outlineLevel="1">
      <c r="B331" s="421" t="s">
        <v>429</v>
      </c>
      <c r="C331" s="421"/>
      <c r="D331" s="422">
        <f>MAX(D330-($H$7),0)</f>
        <v>1</v>
      </c>
      <c r="E331" s="422">
        <f t="shared" ref="E331:W331" si="156">MAX(E330-($H$7),0)</f>
        <v>2</v>
      </c>
      <c r="F331" s="422">
        <f t="shared" si="156"/>
        <v>3</v>
      </c>
      <c r="G331" s="422">
        <f t="shared" si="156"/>
        <v>4</v>
      </c>
      <c r="H331" s="422">
        <f t="shared" si="156"/>
        <v>5</v>
      </c>
      <c r="I331" s="422">
        <f t="shared" si="156"/>
        <v>6</v>
      </c>
      <c r="J331" s="422">
        <f t="shared" si="156"/>
        <v>7</v>
      </c>
      <c r="K331" s="422">
        <f t="shared" si="156"/>
        <v>8</v>
      </c>
      <c r="L331" s="422">
        <f t="shared" si="156"/>
        <v>9</v>
      </c>
      <c r="M331" s="422">
        <f t="shared" si="156"/>
        <v>10</v>
      </c>
      <c r="N331" s="422">
        <f t="shared" si="156"/>
        <v>11</v>
      </c>
      <c r="O331" s="422">
        <f t="shared" si="156"/>
        <v>12</v>
      </c>
      <c r="P331" s="422">
        <f t="shared" si="156"/>
        <v>13</v>
      </c>
      <c r="Q331" s="422">
        <f t="shared" si="156"/>
        <v>14</v>
      </c>
      <c r="R331" s="422">
        <f t="shared" si="156"/>
        <v>15</v>
      </c>
      <c r="S331" s="422">
        <f t="shared" si="156"/>
        <v>16</v>
      </c>
      <c r="T331" s="422">
        <f t="shared" si="156"/>
        <v>17</v>
      </c>
      <c r="U331" s="422">
        <f t="shared" si="156"/>
        <v>18</v>
      </c>
      <c r="V331" s="422">
        <f t="shared" si="156"/>
        <v>19</v>
      </c>
      <c r="W331" s="422">
        <f t="shared" si="156"/>
        <v>20</v>
      </c>
      <c r="X331" s="453"/>
    </row>
    <row r="332" spans="1:24" outlineLevel="1">
      <c r="B332" s="421" t="s">
        <v>323</v>
      </c>
      <c r="C332" s="421"/>
      <c r="D332" s="408">
        <f t="shared" ref="D332:W332" si="157">-IFERROR(IPMT($F$7,MAX(D331,1),$G$7,$E$7),0)</f>
        <v>287202.98601241328</v>
      </c>
      <c r="E332" s="408">
        <f t="shared" si="157"/>
        <v>0</v>
      </c>
      <c r="F332" s="408">
        <f t="shared" si="157"/>
        <v>0</v>
      </c>
      <c r="G332" s="408">
        <f t="shared" si="157"/>
        <v>0</v>
      </c>
      <c r="H332" s="408">
        <f t="shared" si="157"/>
        <v>0</v>
      </c>
      <c r="I332" s="408">
        <f t="shared" si="157"/>
        <v>0</v>
      </c>
      <c r="J332" s="408">
        <f t="shared" si="157"/>
        <v>0</v>
      </c>
      <c r="K332" s="408">
        <f t="shared" si="157"/>
        <v>0</v>
      </c>
      <c r="L332" s="408">
        <f t="shared" si="157"/>
        <v>0</v>
      </c>
      <c r="M332" s="408">
        <f t="shared" si="157"/>
        <v>0</v>
      </c>
      <c r="N332" s="408">
        <f t="shared" si="157"/>
        <v>0</v>
      </c>
      <c r="O332" s="408">
        <f t="shared" si="157"/>
        <v>0</v>
      </c>
      <c r="P332" s="408">
        <f t="shared" si="157"/>
        <v>0</v>
      </c>
      <c r="Q332" s="408">
        <f t="shared" si="157"/>
        <v>0</v>
      </c>
      <c r="R332" s="408">
        <f t="shared" si="157"/>
        <v>0</v>
      </c>
      <c r="S332" s="408">
        <f t="shared" si="157"/>
        <v>0</v>
      </c>
      <c r="T332" s="408">
        <f t="shared" si="157"/>
        <v>0</v>
      </c>
      <c r="U332" s="408">
        <f t="shared" si="157"/>
        <v>0</v>
      </c>
      <c r="V332" s="408">
        <f t="shared" si="157"/>
        <v>0</v>
      </c>
      <c r="W332" s="408">
        <f t="shared" si="157"/>
        <v>0</v>
      </c>
      <c r="X332" s="401"/>
    </row>
    <row r="333" spans="1:24" outlineLevel="1">
      <c r="B333" s="454" t="s">
        <v>324</v>
      </c>
      <c r="C333" s="455"/>
      <c r="D333" s="455">
        <f t="shared" ref="D333:W333" si="158">-IFERROR(PPMT($F$7,D331,$G$7,$E$7),0)</f>
        <v>2872029.8601241331</v>
      </c>
      <c r="E333" s="455">
        <f t="shared" si="158"/>
        <v>0</v>
      </c>
      <c r="F333" s="455">
        <f t="shared" si="158"/>
        <v>0</v>
      </c>
      <c r="G333" s="455">
        <f t="shared" si="158"/>
        <v>0</v>
      </c>
      <c r="H333" s="455">
        <f t="shared" si="158"/>
        <v>0</v>
      </c>
      <c r="I333" s="455">
        <f t="shared" si="158"/>
        <v>0</v>
      </c>
      <c r="J333" s="455">
        <f t="shared" si="158"/>
        <v>0</v>
      </c>
      <c r="K333" s="455">
        <f t="shared" si="158"/>
        <v>0</v>
      </c>
      <c r="L333" s="455">
        <f t="shared" si="158"/>
        <v>0</v>
      </c>
      <c r="M333" s="455">
        <f t="shared" si="158"/>
        <v>0</v>
      </c>
      <c r="N333" s="455">
        <f t="shared" si="158"/>
        <v>0</v>
      </c>
      <c r="O333" s="455">
        <f t="shared" si="158"/>
        <v>0</v>
      </c>
      <c r="P333" s="455">
        <f t="shared" si="158"/>
        <v>0</v>
      </c>
      <c r="Q333" s="455">
        <f t="shared" si="158"/>
        <v>0</v>
      </c>
      <c r="R333" s="455">
        <f t="shared" si="158"/>
        <v>0</v>
      </c>
      <c r="S333" s="455">
        <f t="shared" si="158"/>
        <v>0</v>
      </c>
      <c r="T333" s="455">
        <f t="shared" si="158"/>
        <v>0</v>
      </c>
      <c r="U333" s="455">
        <f t="shared" si="158"/>
        <v>0</v>
      </c>
      <c r="V333" s="455">
        <f t="shared" si="158"/>
        <v>0</v>
      </c>
      <c r="W333" s="455">
        <f t="shared" si="158"/>
        <v>0</v>
      </c>
      <c r="X333" s="401"/>
    </row>
    <row r="334" spans="1:24" ht="16" outlineLevel="1" thickBot="1">
      <c r="B334" s="456" t="s">
        <v>1</v>
      </c>
      <c r="C334" s="448"/>
      <c r="D334" s="448">
        <f t="shared" ref="D334:W334" si="159">SUM(D332:D333)</f>
        <v>3159232.8461365462</v>
      </c>
      <c r="E334" s="448">
        <f t="shared" si="159"/>
        <v>0</v>
      </c>
      <c r="F334" s="448">
        <f t="shared" si="159"/>
        <v>0</v>
      </c>
      <c r="G334" s="448">
        <f t="shared" si="159"/>
        <v>0</v>
      </c>
      <c r="H334" s="448">
        <f t="shared" si="159"/>
        <v>0</v>
      </c>
      <c r="I334" s="448">
        <f t="shared" si="159"/>
        <v>0</v>
      </c>
      <c r="J334" s="448">
        <f t="shared" si="159"/>
        <v>0</v>
      </c>
      <c r="K334" s="448">
        <f t="shared" si="159"/>
        <v>0</v>
      </c>
      <c r="L334" s="448">
        <f t="shared" si="159"/>
        <v>0</v>
      </c>
      <c r="M334" s="448">
        <f t="shared" si="159"/>
        <v>0</v>
      </c>
      <c r="N334" s="448">
        <f t="shared" si="159"/>
        <v>0</v>
      </c>
      <c r="O334" s="448">
        <f t="shared" si="159"/>
        <v>0</v>
      </c>
      <c r="P334" s="448">
        <f t="shared" si="159"/>
        <v>0</v>
      </c>
      <c r="Q334" s="448">
        <f t="shared" si="159"/>
        <v>0</v>
      </c>
      <c r="R334" s="448">
        <f t="shared" si="159"/>
        <v>0</v>
      </c>
      <c r="S334" s="448">
        <f t="shared" si="159"/>
        <v>0</v>
      </c>
      <c r="T334" s="448">
        <f t="shared" si="159"/>
        <v>0</v>
      </c>
      <c r="U334" s="448">
        <f t="shared" si="159"/>
        <v>0</v>
      </c>
      <c r="V334" s="448">
        <f t="shared" si="159"/>
        <v>0</v>
      </c>
      <c r="W334" s="448">
        <f t="shared" si="159"/>
        <v>0</v>
      </c>
      <c r="X334" s="401"/>
    </row>
    <row r="335" spans="1:24" outlineLevel="1">
      <c r="B335" s="406" t="s">
        <v>430</v>
      </c>
      <c r="C335" s="406"/>
      <c r="D335" s="406"/>
      <c r="E335" s="406"/>
      <c r="F335" s="406"/>
      <c r="G335" s="406"/>
      <c r="H335" s="406"/>
      <c r="I335" s="406"/>
      <c r="J335" s="406"/>
      <c r="K335" s="406"/>
      <c r="L335" s="406"/>
      <c r="M335" s="406"/>
      <c r="N335" s="406"/>
      <c r="O335" s="406"/>
      <c r="P335" s="406"/>
      <c r="Q335" s="406"/>
      <c r="R335" s="406"/>
      <c r="S335" s="406"/>
      <c r="T335" s="406"/>
      <c r="U335" s="406"/>
      <c r="V335" s="406"/>
      <c r="W335" s="406"/>
    </row>
    <row r="336" spans="1:24" outlineLevel="1">
      <c r="B336" s="421" t="s">
        <v>323</v>
      </c>
      <c r="C336" s="408">
        <f>-IFERROR(IPMT($F$7,MAX(D331,1),$G$7,$E$7),0)</f>
        <v>287202.98601241328</v>
      </c>
      <c r="D336" s="408">
        <f t="shared" ref="D336:W336" si="160">SUMIF($D328:$AQ328,D$73,$D332:$AQ332)</f>
        <v>287202.98601241328</v>
      </c>
      <c r="E336" s="408">
        <f t="shared" si="160"/>
        <v>0</v>
      </c>
      <c r="F336" s="408">
        <f t="shared" si="160"/>
        <v>0</v>
      </c>
      <c r="G336" s="408">
        <f t="shared" si="160"/>
        <v>0</v>
      </c>
      <c r="H336" s="408">
        <f t="shared" si="160"/>
        <v>0</v>
      </c>
      <c r="I336" s="408">
        <f t="shared" si="160"/>
        <v>0</v>
      </c>
      <c r="J336" s="408">
        <f t="shared" si="160"/>
        <v>0</v>
      </c>
      <c r="K336" s="408">
        <f t="shared" si="160"/>
        <v>0</v>
      </c>
      <c r="L336" s="408">
        <f t="shared" si="160"/>
        <v>0</v>
      </c>
      <c r="M336" s="408">
        <f t="shared" si="160"/>
        <v>0</v>
      </c>
      <c r="N336" s="408">
        <f t="shared" si="160"/>
        <v>0</v>
      </c>
      <c r="O336" s="408">
        <f t="shared" si="160"/>
        <v>0</v>
      </c>
      <c r="P336" s="408">
        <f t="shared" si="160"/>
        <v>0</v>
      </c>
      <c r="Q336" s="408">
        <f t="shared" si="160"/>
        <v>0</v>
      </c>
      <c r="R336" s="408">
        <f t="shared" si="160"/>
        <v>0</v>
      </c>
      <c r="S336" s="408">
        <f t="shared" si="160"/>
        <v>0</v>
      </c>
      <c r="T336" s="408">
        <f t="shared" si="160"/>
        <v>0</v>
      </c>
      <c r="U336" s="408">
        <f t="shared" si="160"/>
        <v>0</v>
      </c>
      <c r="V336" s="408">
        <f t="shared" si="160"/>
        <v>0</v>
      </c>
      <c r="W336" s="408">
        <f t="shared" si="160"/>
        <v>0</v>
      </c>
      <c r="X336" s="401"/>
    </row>
    <row r="337" spans="1:24" outlineLevel="1">
      <c r="B337" s="454" t="s">
        <v>324</v>
      </c>
      <c r="C337" s="455"/>
      <c r="D337" s="455">
        <f t="shared" ref="D337:W337" si="161">D333</f>
        <v>2872029.8601241331</v>
      </c>
      <c r="E337" s="455">
        <f t="shared" si="161"/>
        <v>0</v>
      </c>
      <c r="F337" s="455">
        <f t="shared" si="161"/>
        <v>0</v>
      </c>
      <c r="G337" s="455">
        <f t="shared" si="161"/>
        <v>0</v>
      </c>
      <c r="H337" s="455">
        <f t="shared" si="161"/>
        <v>0</v>
      </c>
      <c r="I337" s="455">
        <f t="shared" si="161"/>
        <v>0</v>
      </c>
      <c r="J337" s="455">
        <f t="shared" si="161"/>
        <v>0</v>
      </c>
      <c r="K337" s="455">
        <f t="shared" si="161"/>
        <v>0</v>
      </c>
      <c r="L337" s="455">
        <f t="shared" si="161"/>
        <v>0</v>
      </c>
      <c r="M337" s="455">
        <f t="shared" si="161"/>
        <v>0</v>
      </c>
      <c r="N337" s="455">
        <f t="shared" si="161"/>
        <v>0</v>
      </c>
      <c r="O337" s="455">
        <f t="shared" si="161"/>
        <v>0</v>
      </c>
      <c r="P337" s="455">
        <f t="shared" si="161"/>
        <v>0</v>
      </c>
      <c r="Q337" s="455">
        <f t="shared" si="161"/>
        <v>0</v>
      </c>
      <c r="R337" s="455">
        <f t="shared" si="161"/>
        <v>0</v>
      </c>
      <c r="S337" s="455">
        <f t="shared" si="161"/>
        <v>0</v>
      </c>
      <c r="T337" s="455">
        <f t="shared" si="161"/>
        <v>0</v>
      </c>
      <c r="U337" s="455">
        <f t="shared" si="161"/>
        <v>0</v>
      </c>
      <c r="V337" s="455">
        <f t="shared" si="161"/>
        <v>0</v>
      </c>
      <c r="W337" s="455">
        <f t="shared" si="161"/>
        <v>0</v>
      </c>
      <c r="X337" s="401"/>
    </row>
    <row r="338" spans="1:24" ht="16" outlineLevel="1" thickBot="1">
      <c r="B338" s="456" t="s">
        <v>1</v>
      </c>
      <c r="C338" s="448">
        <f t="shared" ref="C338:W338" si="162">SUM(C336:C337)</f>
        <v>287202.98601241328</v>
      </c>
      <c r="D338" s="448">
        <f t="shared" si="162"/>
        <v>3159232.8461365462</v>
      </c>
      <c r="E338" s="448">
        <f t="shared" si="162"/>
        <v>0</v>
      </c>
      <c r="F338" s="448">
        <f t="shared" si="162"/>
        <v>0</v>
      </c>
      <c r="G338" s="448">
        <f t="shared" si="162"/>
        <v>0</v>
      </c>
      <c r="H338" s="448">
        <f t="shared" si="162"/>
        <v>0</v>
      </c>
      <c r="I338" s="448">
        <f t="shared" si="162"/>
        <v>0</v>
      </c>
      <c r="J338" s="448">
        <f t="shared" si="162"/>
        <v>0</v>
      </c>
      <c r="K338" s="448">
        <f t="shared" si="162"/>
        <v>0</v>
      </c>
      <c r="L338" s="448">
        <f t="shared" si="162"/>
        <v>0</v>
      </c>
      <c r="M338" s="448">
        <f t="shared" si="162"/>
        <v>0</v>
      </c>
      <c r="N338" s="448">
        <f t="shared" si="162"/>
        <v>0</v>
      </c>
      <c r="O338" s="448">
        <f t="shared" si="162"/>
        <v>0</v>
      </c>
      <c r="P338" s="448">
        <f t="shared" si="162"/>
        <v>0</v>
      </c>
      <c r="Q338" s="448">
        <f t="shared" si="162"/>
        <v>0</v>
      </c>
      <c r="R338" s="448">
        <f t="shared" si="162"/>
        <v>0</v>
      </c>
      <c r="S338" s="448">
        <f t="shared" si="162"/>
        <v>0</v>
      </c>
      <c r="T338" s="448">
        <f t="shared" si="162"/>
        <v>0</v>
      </c>
      <c r="U338" s="448">
        <f t="shared" si="162"/>
        <v>0</v>
      </c>
      <c r="V338" s="448">
        <f t="shared" si="162"/>
        <v>0</v>
      </c>
      <c r="W338" s="448">
        <f t="shared" si="162"/>
        <v>0</v>
      </c>
      <c r="X338" s="401"/>
    </row>
    <row r="339" spans="1:24" outlineLevel="1">
      <c r="B339" s="406" t="s">
        <v>424</v>
      </c>
      <c r="C339" s="406"/>
      <c r="D339" s="406"/>
      <c r="E339" s="406"/>
      <c r="F339" s="406"/>
      <c r="G339" s="406"/>
      <c r="H339" s="406"/>
      <c r="I339" s="406"/>
      <c r="J339" s="406"/>
      <c r="K339" s="406"/>
      <c r="L339" s="406"/>
      <c r="M339" s="406"/>
      <c r="N339" s="406"/>
      <c r="O339" s="406"/>
      <c r="P339" s="406"/>
      <c r="Q339" s="406"/>
      <c r="R339" s="406"/>
      <c r="S339" s="406"/>
      <c r="T339" s="406"/>
      <c r="U339" s="406"/>
      <c r="V339" s="406"/>
      <c r="W339" s="406"/>
    </row>
    <row r="340" spans="1:24" outlineLevel="1">
      <c r="B340" s="457" t="s">
        <v>425</v>
      </c>
      <c r="C340" s="458">
        <f t="shared" ref="C340:W340" si="163">D337</f>
        <v>2872029.8601241331</v>
      </c>
      <c r="D340" s="458">
        <f t="shared" si="163"/>
        <v>0</v>
      </c>
      <c r="E340" s="458">
        <f t="shared" si="163"/>
        <v>0</v>
      </c>
      <c r="F340" s="458">
        <f t="shared" si="163"/>
        <v>0</v>
      </c>
      <c r="G340" s="458">
        <f t="shared" si="163"/>
        <v>0</v>
      </c>
      <c r="H340" s="458">
        <f t="shared" si="163"/>
        <v>0</v>
      </c>
      <c r="I340" s="458">
        <f t="shared" si="163"/>
        <v>0</v>
      </c>
      <c r="J340" s="458">
        <f t="shared" si="163"/>
        <v>0</v>
      </c>
      <c r="K340" s="458">
        <f t="shared" si="163"/>
        <v>0</v>
      </c>
      <c r="L340" s="458">
        <f t="shared" si="163"/>
        <v>0</v>
      </c>
      <c r="M340" s="458">
        <f t="shared" si="163"/>
        <v>0</v>
      </c>
      <c r="N340" s="458">
        <f t="shared" si="163"/>
        <v>0</v>
      </c>
      <c r="O340" s="458">
        <f t="shared" si="163"/>
        <v>0</v>
      </c>
      <c r="P340" s="458">
        <f t="shared" si="163"/>
        <v>0</v>
      </c>
      <c r="Q340" s="458">
        <f t="shared" si="163"/>
        <v>0</v>
      </c>
      <c r="R340" s="458">
        <f t="shared" si="163"/>
        <v>0</v>
      </c>
      <c r="S340" s="458">
        <f t="shared" si="163"/>
        <v>0</v>
      </c>
      <c r="T340" s="458">
        <f t="shared" si="163"/>
        <v>0</v>
      </c>
      <c r="U340" s="458">
        <f t="shared" si="163"/>
        <v>0</v>
      </c>
      <c r="V340" s="458">
        <f t="shared" si="163"/>
        <v>0</v>
      </c>
      <c r="W340" s="458">
        <f t="shared" si="163"/>
        <v>0</v>
      </c>
      <c r="X340" s="401"/>
    </row>
    <row r="341" spans="1:24" ht="16" outlineLevel="1" thickBot="1">
      <c r="B341" s="414" t="s">
        <v>426</v>
      </c>
      <c r="C341" s="415">
        <f>$E$7-C340</f>
        <v>0</v>
      </c>
      <c r="D341" s="415">
        <f t="shared" ref="D341:W341" si="164">C341-D340</f>
        <v>0</v>
      </c>
      <c r="E341" s="415">
        <f t="shared" si="164"/>
        <v>0</v>
      </c>
      <c r="F341" s="415">
        <f t="shared" si="164"/>
        <v>0</v>
      </c>
      <c r="G341" s="415">
        <f t="shared" si="164"/>
        <v>0</v>
      </c>
      <c r="H341" s="415">
        <f t="shared" si="164"/>
        <v>0</v>
      </c>
      <c r="I341" s="415">
        <f t="shared" si="164"/>
        <v>0</v>
      </c>
      <c r="J341" s="415">
        <f t="shared" si="164"/>
        <v>0</v>
      </c>
      <c r="K341" s="415">
        <f t="shared" si="164"/>
        <v>0</v>
      </c>
      <c r="L341" s="415">
        <f t="shared" si="164"/>
        <v>0</v>
      </c>
      <c r="M341" s="415">
        <f t="shared" si="164"/>
        <v>0</v>
      </c>
      <c r="N341" s="415">
        <f t="shared" si="164"/>
        <v>0</v>
      </c>
      <c r="O341" s="415">
        <f t="shared" si="164"/>
        <v>0</v>
      </c>
      <c r="P341" s="415">
        <f t="shared" si="164"/>
        <v>0</v>
      </c>
      <c r="Q341" s="415">
        <f t="shared" si="164"/>
        <v>0</v>
      </c>
      <c r="R341" s="415">
        <f t="shared" si="164"/>
        <v>0</v>
      </c>
      <c r="S341" s="415">
        <f t="shared" si="164"/>
        <v>0</v>
      </c>
      <c r="T341" s="415">
        <f t="shared" si="164"/>
        <v>0</v>
      </c>
      <c r="U341" s="415">
        <f t="shared" si="164"/>
        <v>0</v>
      </c>
      <c r="V341" s="415">
        <f t="shared" si="164"/>
        <v>0</v>
      </c>
      <c r="W341" s="415">
        <f t="shared" si="164"/>
        <v>0</v>
      </c>
      <c r="X341" s="401"/>
    </row>
    <row r="342" spans="1:24" outlineLevel="1"/>
    <row r="343" spans="1:24" ht="16" thickBot="1"/>
    <row r="344" spans="1:24" ht="16" thickTop="1">
      <c r="A344" s="374">
        <f>A327+1</f>
        <v>19</v>
      </c>
      <c r="B344" s="379" t="str">
        <f>"Year "&amp;A344&amp;" Working Capital Financing"</f>
        <v>Year 19 Working Capital Financing</v>
      </c>
      <c r="C344" s="379"/>
      <c r="D344" s="379"/>
      <c r="E344" s="379"/>
      <c r="F344" s="379"/>
      <c r="G344" s="379"/>
      <c r="H344" s="379"/>
      <c r="I344" s="379"/>
      <c r="J344" s="379"/>
      <c r="K344" s="379"/>
      <c r="L344" s="379"/>
      <c r="M344" s="379"/>
      <c r="N344" s="379"/>
      <c r="O344" s="379"/>
      <c r="P344" s="379"/>
      <c r="Q344" s="379"/>
      <c r="R344" s="379"/>
      <c r="S344" s="379"/>
      <c r="T344" s="379"/>
      <c r="U344" s="379"/>
      <c r="V344" s="379"/>
      <c r="W344" s="379"/>
    </row>
    <row r="345" spans="1:24" s="420" customFormat="1" ht="16" outlineLevel="1" thickBot="1">
      <c r="A345" s="417"/>
      <c r="B345" s="405"/>
      <c r="C345" s="405">
        <v>0</v>
      </c>
      <c r="D345" s="405">
        <v>1</v>
      </c>
      <c r="E345" s="405">
        <v>2</v>
      </c>
      <c r="F345" s="405">
        <v>3</v>
      </c>
      <c r="G345" s="405">
        <v>4</v>
      </c>
      <c r="H345" s="405">
        <v>5</v>
      </c>
      <c r="I345" s="405">
        <v>6</v>
      </c>
      <c r="J345" s="405">
        <v>7</v>
      </c>
      <c r="K345" s="405">
        <v>8</v>
      </c>
      <c r="L345" s="405">
        <v>9</v>
      </c>
      <c r="M345" s="405">
        <v>10</v>
      </c>
      <c r="N345" s="405">
        <v>11</v>
      </c>
      <c r="O345" s="405">
        <v>12</v>
      </c>
      <c r="P345" s="405">
        <v>13</v>
      </c>
      <c r="Q345" s="405">
        <v>14</v>
      </c>
      <c r="R345" s="405">
        <v>15</v>
      </c>
      <c r="S345" s="405">
        <v>16</v>
      </c>
      <c r="T345" s="405">
        <v>17</v>
      </c>
      <c r="U345" s="405">
        <v>18</v>
      </c>
      <c r="V345" s="405">
        <v>19</v>
      </c>
      <c r="W345" s="405">
        <v>20</v>
      </c>
      <c r="X345" s="451"/>
    </row>
    <row r="346" spans="1:24" outlineLevel="1">
      <c r="B346" s="406" t="s">
        <v>421</v>
      </c>
      <c r="C346" s="406"/>
      <c r="D346" s="406"/>
      <c r="E346" s="406"/>
      <c r="F346" s="406"/>
      <c r="G346" s="406"/>
      <c r="H346" s="406"/>
      <c r="I346" s="406"/>
      <c r="J346" s="406"/>
      <c r="K346" s="406"/>
      <c r="L346" s="406"/>
      <c r="M346" s="406"/>
      <c r="N346" s="406"/>
      <c r="O346" s="406"/>
      <c r="P346" s="406"/>
      <c r="Q346" s="406"/>
      <c r="R346" s="406"/>
      <c r="S346" s="406"/>
      <c r="T346" s="406"/>
      <c r="U346" s="406"/>
      <c r="V346" s="406"/>
      <c r="W346" s="406"/>
    </row>
    <row r="347" spans="1:24" s="420" customFormat="1" outlineLevel="1">
      <c r="A347" s="417"/>
      <c r="B347" s="418" t="s">
        <v>428</v>
      </c>
      <c r="C347" s="418"/>
      <c r="D347" s="419">
        <v>1</v>
      </c>
      <c r="E347" s="419">
        <v>2</v>
      </c>
      <c r="F347" s="419">
        <v>3</v>
      </c>
      <c r="G347" s="419">
        <v>4</v>
      </c>
      <c r="H347" s="419">
        <v>5</v>
      </c>
      <c r="I347" s="419">
        <v>6</v>
      </c>
      <c r="J347" s="419">
        <v>7</v>
      </c>
      <c r="K347" s="419">
        <v>8</v>
      </c>
      <c r="L347" s="419">
        <v>9</v>
      </c>
      <c r="M347" s="419">
        <v>10</v>
      </c>
      <c r="N347" s="419">
        <v>11</v>
      </c>
      <c r="O347" s="419">
        <v>12</v>
      </c>
      <c r="P347" s="419">
        <v>13</v>
      </c>
      <c r="Q347" s="419">
        <v>14</v>
      </c>
      <c r="R347" s="419">
        <v>15</v>
      </c>
      <c r="S347" s="419">
        <v>16</v>
      </c>
      <c r="T347" s="419">
        <v>17</v>
      </c>
      <c r="U347" s="419">
        <v>18</v>
      </c>
      <c r="V347" s="419">
        <v>19</v>
      </c>
      <c r="W347" s="419">
        <v>20</v>
      </c>
      <c r="X347" s="452"/>
    </row>
    <row r="348" spans="1:24" outlineLevel="1">
      <c r="B348" s="421" t="s">
        <v>429</v>
      </c>
      <c r="C348" s="421"/>
      <c r="D348" s="422">
        <f>MAX(D347-($H$8),0)</f>
        <v>1</v>
      </c>
      <c r="E348" s="422">
        <f t="shared" ref="E348:W348" si="165">MAX(E347-($H$8),0)</f>
        <v>2</v>
      </c>
      <c r="F348" s="422">
        <f t="shared" si="165"/>
        <v>3</v>
      </c>
      <c r="G348" s="422">
        <f t="shared" si="165"/>
        <v>4</v>
      </c>
      <c r="H348" s="422">
        <f t="shared" si="165"/>
        <v>5</v>
      </c>
      <c r="I348" s="422">
        <f t="shared" si="165"/>
        <v>6</v>
      </c>
      <c r="J348" s="422">
        <f t="shared" si="165"/>
        <v>7</v>
      </c>
      <c r="K348" s="422">
        <f t="shared" si="165"/>
        <v>8</v>
      </c>
      <c r="L348" s="422">
        <f t="shared" si="165"/>
        <v>9</v>
      </c>
      <c r="M348" s="422">
        <f t="shared" si="165"/>
        <v>10</v>
      </c>
      <c r="N348" s="422">
        <f t="shared" si="165"/>
        <v>11</v>
      </c>
      <c r="O348" s="422">
        <f t="shared" si="165"/>
        <v>12</v>
      </c>
      <c r="P348" s="422">
        <f t="shared" si="165"/>
        <v>13</v>
      </c>
      <c r="Q348" s="422">
        <f t="shared" si="165"/>
        <v>14</v>
      </c>
      <c r="R348" s="422">
        <f t="shared" si="165"/>
        <v>15</v>
      </c>
      <c r="S348" s="422">
        <f t="shared" si="165"/>
        <v>16</v>
      </c>
      <c r="T348" s="422">
        <f t="shared" si="165"/>
        <v>17</v>
      </c>
      <c r="U348" s="422">
        <f t="shared" si="165"/>
        <v>18</v>
      </c>
      <c r="V348" s="422">
        <f t="shared" si="165"/>
        <v>19</v>
      </c>
      <c r="W348" s="422">
        <f t="shared" si="165"/>
        <v>20</v>
      </c>
      <c r="X348" s="453"/>
    </row>
    <row r="349" spans="1:24" outlineLevel="1">
      <c r="B349" s="421" t="s">
        <v>323</v>
      </c>
      <c r="C349" s="421"/>
      <c r="D349" s="408">
        <f t="shared" ref="D349:W349" si="166">-IFERROR(IPMT($F$8,MAX(D348,1),$G$8,$E$8),0)</f>
        <v>0</v>
      </c>
      <c r="E349" s="408">
        <f t="shared" si="166"/>
        <v>0</v>
      </c>
      <c r="F349" s="408">
        <f t="shared" si="166"/>
        <v>0</v>
      </c>
      <c r="G349" s="408">
        <f t="shared" si="166"/>
        <v>0</v>
      </c>
      <c r="H349" s="408">
        <f t="shared" si="166"/>
        <v>0</v>
      </c>
      <c r="I349" s="408">
        <f t="shared" si="166"/>
        <v>0</v>
      </c>
      <c r="J349" s="408">
        <f t="shared" si="166"/>
        <v>0</v>
      </c>
      <c r="K349" s="408">
        <f t="shared" si="166"/>
        <v>0</v>
      </c>
      <c r="L349" s="408">
        <f t="shared" si="166"/>
        <v>0</v>
      </c>
      <c r="M349" s="408">
        <f t="shared" si="166"/>
        <v>0</v>
      </c>
      <c r="N349" s="408">
        <f t="shared" si="166"/>
        <v>0</v>
      </c>
      <c r="O349" s="408">
        <f t="shared" si="166"/>
        <v>0</v>
      </c>
      <c r="P349" s="408">
        <f t="shared" si="166"/>
        <v>0</v>
      </c>
      <c r="Q349" s="408">
        <f t="shared" si="166"/>
        <v>0</v>
      </c>
      <c r="R349" s="408">
        <f t="shared" si="166"/>
        <v>0</v>
      </c>
      <c r="S349" s="408">
        <f t="shared" si="166"/>
        <v>0</v>
      </c>
      <c r="T349" s="408">
        <f t="shared" si="166"/>
        <v>0</v>
      </c>
      <c r="U349" s="408">
        <f t="shared" si="166"/>
        <v>0</v>
      </c>
      <c r="V349" s="408">
        <f t="shared" si="166"/>
        <v>0</v>
      </c>
      <c r="W349" s="408">
        <f t="shared" si="166"/>
        <v>0</v>
      </c>
      <c r="X349" s="401"/>
    </row>
    <row r="350" spans="1:24" outlineLevel="1">
      <c r="B350" s="454" t="s">
        <v>324</v>
      </c>
      <c r="C350" s="455"/>
      <c r="D350" s="455">
        <f t="shared" ref="D350:W350" si="167">-IFERROR(PPMT($F$8,D348,$G$8,$E$8),0)</f>
        <v>0</v>
      </c>
      <c r="E350" s="455">
        <f t="shared" si="167"/>
        <v>0</v>
      </c>
      <c r="F350" s="455">
        <f t="shared" si="167"/>
        <v>0</v>
      </c>
      <c r="G350" s="455">
        <f t="shared" si="167"/>
        <v>0</v>
      </c>
      <c r="H350" s="455">
        <f t="shared" si="167"/>
        <v>0</v>
      </c>
      <c r="I350" s="455">
        <f t="shared" si="167"/>
        <v>0</v>
      </c>
      <c r="J350" s="455">
        <f t="shared" si="167"/>
        <v>0</v>
      </c>
      <c r="K350" s="455">
        <f t="shared" si="167"/>
        <v>0</v>
      </c>
      <c r="L350" s="455">
        <f t="shared" si="167"/>
        <v>0</v>
      </c>
      <c r="M350" s="455">
        <f t="shared" si="167"/>
        <v>0</v>
      </c>
      <c r="N350" s="455">
        <f t="shared" si="167"/>
        <v>0</v>
      </c>
      <c r="O350" s="455">
        <f t="shared" si="167"/>
        <v>0</v>
      </c>
      <c r="P350" s="455">
        <f t="shared" si="167"/>
        <v>0</v>
      </c>
      <c r="Q350" s="455">
        <f t="shared" si="167"/>
        <v>0</v>
      </c>
      <c r="R350" s="455">
        <f t="shared" si="167"/>
        <v>0</v>
      </c>
      <c r="S350" s="455">
        <f t="shared" si="167"/>
        <v>0</v>
      </c>
      <c r="T350" s="455">
        <f t="shared" si="167"/>
        <v>0</v>
      </c>
      <c r="U350" s="455">
        <f t="shared" si="167"/>
        <v>0</v>
      </c>
      <c r="V350" s="455">
        <f t="shared" si="167"/>
        <v>0</v>
      </c>
      <c r="W350" s="455">
        <f t="shared" si="167"/>
        <v>0</v>
      </c>
      <c r="X350" s="401"/>
    </row>
    <row r="351" spans="1:24" ht="16" outlineLevel="1" thickBot="1">
      <c r="B351" s="456" t="s">
        <v>1</v>
      </c>
      <c r="C351" s="448"/>
      <c r="D351" s="448">
        <f t="shared" ref="D351:W351" si="168">SUM(D349:D350)</f>
        <v>0</v>
      </c>
      <c r="E351" s="448">
        <f t="shared" si="168"/>
        <v>0</v>
      </c>
      <c r="F351" s="448">
        <f t="shared" si="168"/>
        <v>0</v>
      </c>
      <c r="G351" s="448">
        <f t="shared" si="168"/>
        <v>0</v>
      </c>
      <c r="H351" s="448">
        <f t="shared" si="168"/>
        <v>0</v>
      </c>
      <c r="I351" s="448">
        <f t="shared" si="168"/>
        <v>0</v>
      </c>
      <c r="J351" s="448">
        <f t="shared" si="168"/>
        <v>0</v>
      </c>
      <c r="K351" s="448">
        <f t="shared" si="168"/>
        <v>0</v>
      </c>
      <c r="L351" s="448">
        <f t="shared" si="168"/>
        <v>0</v>
      </c>
      <c r="M351" s="448">
        <f t="shared" si="168"/>
        <v>0</v>
      </c>
      <c r="N351" s="448">
        <f t="shared" si="168"/>
        <v>0</v>
      </c>
      <c r="O351" s="448">
        <f t="shared" si="168"/>
        <v>0</v>
      </c>
      <c r="P351" s="448">
        <f t="shared" si="168"/>
        <v>0</v>
      </c>
      <c r="Q351" s="448">
        <f t="shared" si="168"/>
        <v>0</v>
      </c>
      <c r="R351" s="448">
        <f t="shared" si="168"/>
        <v>0</v>
      </c>
      <c r="S351" s="448">
        <f t="shared" si="168"/>
        <v>0</v>
      </c>
      <c r="T351" s="448">
        <f t="shared" si="168"/>
        <v>0</v>
      </c>
      <c r="U351" s="448">
        <f t="shared" si="168"/>
        <v>0</v>
      </c>
      <c r="V351" s="448">
        <f t="shared" si="168"/>
        <v>0</v>
      </c>
      <c r="W351" s="448">
        <f t="shared" si="168"/>
        <v>0</v>
      </c>
      <c r="X351" s="401"/>
    </row>
    <row r="352" spans="1:24" outlineLevel="1">
      <c r="B352" s="406" t="s">
        <v>430</v>
      </c>
      <c r="C352" s="406"/>
      <c r="D352" s="406"/>
      <c r="E352" s="406"/>
      <c r="F352" s="406"/>
      <c r="G352" s="406"/>
      <c r="H352" s="406"/>
      <c r="I352" s="406"/>
      <c r="J352" s="406"/>
      <c r="K352" s="406"/>
      <c r="L352" s="406"/>
      <c r="M352" s="406"/>
      <c r="N352" s="406"/>
      <c r="O352" s="406"/>
      <c r="P352" s="406"/>
      <c r="Q352" s="406"/>
      <c r="R352" s="406"/>
      <c r="S352" s="406"/>
      <c r="T352" s="406"/>
      <c r="U352" s="406"/>
      <c r="V352" s="406"/>
      <c r="W352" s="406"/>
    </row>
    <row r="353" spans="1:24" outlineLevel="1">
      <c r="B353" s="421" t="s">
        <v>323</v>
      </c>
      <c r="C353" s="408">
        <f>-IFERROR(IPMT($F$8,MAX(D348,1),$G$8,$E$8),0)</f>
        <v>0</v>
      </c>
      <c r="D353" s="408">
        <f t="shared" ref="D353:W353" si="169">SUMIF($D345:$AQ345,D$90,$D349:$AQ349)</f>
        <v>0</v>
      </c>
      <c r="E353" s="408">
        <f t="shared" si="169"/>
        <v>0</v>
      </c>
      <c r="F353" s="408">
        <f t="shared" si="169"/>
        <v>0</v>
      </c>
      <c r="G353" s="408">
        <f t="shared" si="169"/>
        <v>0</v>
      </c>
      <c r="H353" s="408">
        <f t="shared" si="169"/>
        <v>0</v>
      </c>
      <c r="I353" s="408">
        <f t="shared" si="169"/>
        <v>0</v>
      </c>
      <c r="J353" s="408">
        <f t="shared" si="169"/>
        <v>0</v>
      </c>
      <c r="K353" s="408">
        <f t="shared" si="169"/>
        <v>0</v>
      </c>
      <c r="L353" s="408">
        <f t="shared" si="169"/>
        <v>0</v>
      </c>
      <c r="M353" s="408">
        <f t="shared" si="169"/>
        <v>0</v>
      </c>
      <c r="N353" s="408">
        <f t="shared" si="169"/>
        <v>0</v>
      </c>
      <c r="O353" s="408">
        <f t="shared" si="169"/>
        <v>0</v>
      </c>
      <c r="P353" s="408">
        <f t="shared" si="169"/>
        <v>0</v>
      </c>
      <c r="Q353" s="408">
        <f t="shared" si="169"/>
        <v>0</v>
      </c>
      <c r="R353" s="408">
        <f t="shared" si="169"/>
        <v>0</v>
      </c>
      <c r="S353" s="408">
        <f t="shared" si="169"/>
        <v>0</v>
      </c>
      <c r="T353" s="408">
        <f t="shared" si="169"/>
        <v>0</v>
      </c>
      <c r="U353" s="408">
        <f t="shared" si="169"/>
        <v>0</v>
      </c>
      <c r="V353" s="408">
        <f t="shared" si="169"/>
        <v>0</v>
      </c>
      <c r="W353" s="408">
        <f t="shared" si="169"/>
        <v>0</v>
      </c>
      <c r="X353" s="401"/>
    </row>
    <row r="354" spans="1:24" outlineLevel="1">
      <c r="B354" s="454" t="s">
        <v>324</v>
      </c>
      <c r="C354" s="455"/>
      <c r="D354" s="455">
        <f t="shared" ref="D354:W354" si="170">D350</f>
        <v>0</v>
      </c>
      <c r="E354" s="455">
        <f t="shared" si="170"/>
        <v>0</v>
      </c>
      <c r="F354" s="455">
        <f t="shared" si="170"/>
        <v>0</v>
      </c>
      <c r="G354" s="455">
        <f t="shared" si="170"/>
        <v>0</v>
      </c>
      <c r="H354" s="455">
        <f t="shared" si="170"/>
        <v>0</v>
      </c>
      <c r="I354" s="455">
        <f t="shared" si="170"/>
        <v>0</v>
      </c>
      <c r="J354" s="455">
        <f t="shared" si="170"/>
        <v>0</v>
      </c>
      <c r="K354" s="455">
        <f t="shared" si="170"/>
        <v>0</v>
      </c>
      <c r="L354" s="455">
        <f t="shared" si="170"/>
        <v>0</v>
      </c>
      <c r="M354" s="455">
        <f t="shared" si="170"/>
        <v>0</v>
      </c>
      <c r="N354" s="455">
        <f t="shared" si="170"/>
        <v>0</v>
      </c>
      <c r="O354" s="455">
        <f t="shared" si="170"/>
        <v>0</v>
      </c>
      <c r="P354" s="455">
        <f t="shared" si="170"/>
        <v>0</v>
      </c>
      <c r="Q354" s="455">
        <f t="shared" si="170"/>
        <v>0</v>
      </c>
      <c r="R354" s="455">
        <f t="shared" si="170"/>
        <v>0</v>
      </c>
      <c r="S354" s="455">
        <f t="shared" si="170"/>
        <v>0</v>
      </c>
      <c r="T354" s="455">
        <f t="shared" si="170"/>
        <v>0</v>
      </c>
      <c r="U354" s="455">
        <f t="shared" si="170"/>
        <v>0</v>
      </c>
      <c r="V354" s="455">
        <f t="shared" si="170"/>
        <v>0</v>
      </c>
      <c r="W354" s="455">
        <f t="shared" si="170"/>
        <v>0</v>
      </c>
      <c r="X354" s="401"/>
    </row>
    <row r="355" spans="1:24" ht="16" outlineLevel="1" thickBot="1">
      <c r="B355" s="456" t="s">
        <v>1</v>
      </c>
      <c r="C355" s="448">
        <f t="shared" ref="C355:W355" si="171">SUM(C353:C354)</f>
        <v>0</v>
      </c>
      <c r="D355" s="448">
        <f t="shared" si="171"/>
        <v>0</v>
      </c>
      <c r="E355" s="448">
        <f t="shared" si="171"/>
        <v>0</v>
      </c>
      <c r="F355" s="448">
        <f t="shared" si="171"/>
        <v>0</v>
      </c>
      <c r="G355" s="448">
        <f t="shared" si="171"/>
        <v>0</v>
      </c>
      <c r="H355" s="448">
        <f t="shared" si="171"/>
        <v>0</v>
      </c>
      <c r="I355" s="448">
        <f t="shared" si="171"/>
        <v>0</v>
      </c>
      <c r="J355" s="448">
        <f t="shared" si="171"/>
        <v>0</v>
      </c>
      <c r="K355" s="448">
        <f t="shared" si="171"/>
        <v>0</v>
      </c>
      <c r="L355" s="448">
        <f t="shared" si="171"/>
        <v>0</v>
      </c>
      <c r="M355" s="448">
        <f t="shared" si="171"/>
        <v>0</v>
      </c>
      <c r="N355" s="448">
        <f t="shared" si="171"/>
        <v>0</v>
      </c>
      <c r="O355" s="448">
        <f t="shared" si="171"/>
        <v>0</v>
      </c>
      <c r="P355" s="448">
        <f t="shared" si="171"/>
        <v>0</v>
      </c>
      <c r="Q355" s="448">
        <f t="shared" si="171"/>
        <v>0</v>
      </c>
      <c r="R355" s="448">
        <f t="shared" si="171"/>
        <v>0</v>
      </c>
      <c r="S355" s="448">
        <f t="shared" si="171"/>
        <v>0</v>
      </c>
      <c r="T355" s="448">
        <f t="shared" si="171"/>
        <v>0</v>
      </c>
      <c r="U355" s="448">
        <f t="shared" si="171"/>
        <v>0</v>
      </c>
      <c r="V355" s="448">
        <f t="shared" si="171"/>
        <v>0</v>
      </c>
      <c r="W355" s="448">
        <f t="shared" si="171"/>
        <v>0</v>
      </c>
      <c r="X355" s="401"/>
    </row>
    <row r="356" spans="1:24" outlineLevel="1">
      <c r="B356" s="406" t="s">
        <v>424</v>
      </c>
      <c r="C356" s="406"/>
      <c r="D356" s="406"/>
      <c r="E356" s="406"/>
      <c r="F356" s="406"/>
      <c r="G356" s="406"/>
      <c r="H356" s="406"/>
      <c r="I356" s="406"/>
      <c r="J356" s="406"/>
      <c r="K356" s="406"/>
      <c r="L356" s="406"/>
      <c r="M356" s="406"/>
      <c r="N356" s="406"/>
      <c r="O356" s="406"/>
      <c r="P356" s="406"/>
      <c r="Q356" s="406"/>
      <c r="R356" s="406"/>
      <c r="S356" s="406"/>
      <c r="T356" s="406"/>
      <c r="U356" s="406"/>
      <c r="V356" s="406"/>
      <c r="W356" s="406"/>
    </row>
    <row r="357" spans="1:24" outlineLevel="1">
      <c r="B357" s="457" t="s">
        <v>425</v>
      </c>
      <c r="C357" s="458">
        <f t="shared" ref="C357:W357" si="172">D354</f>
        <v>0</v>
      </c>
      <c r="D357" s="458">
        <f t="shared" si="172"/>
        <v>0</v>
      </c>
      <c r="E357" s="458">
        <f t="shared" si="172"/>
        <v>0</v>
      </c>
      <c r="F357" s="458">
        <f t="shared" si="172"/>
        <v>0</v>
      </c>
      <c r="G357" s="458">
        <f t="shared" si="172"/>
        <v>0</v>
      </c>
      <c r="H357" s="458">
        <f t="shared" si="172"/>
        <v>0</v>
      </c>
      <c r="I357" s="458">
        <f t="shared" si="172"/>
        <v>0</v>
      </c>
      <c r="J357" s="458">
        <f t="shared" si="172"/>
        <v>0</v>
      </c>
      <c r="K357" s="458">
        <f t="shared" si="172"/>
        <v>0</v>
      </c>
      <c r="L357" s="458">
        <f t="shared" si="172"/>
        <v>0</v>
      </c>
      <c r="M357" s="458">
        <f t="shared" si="172"/>
        <v>0</v>
      </c>
      <c r="N357" s="458">
        <f t="shared" si="172"/>
        <v>0</v>
      </c>
      <c r="O357" s="458">
        <f t="shared" si="172"/>
        <v>0</v>
      </c>
      <c r="P357" s="458">
        <f t="shared" si="172"/>
        <v>0</v>
      </c>
      <c r="Q357" s="458">
        <f t="shared" si="172"/>
        <v>0</v>
      </c>
      <c r="R357" s="458">
        <f t="shared" si="172"/>
        <v>0</v>
      </c>
      <c r="S357" s="458">
        <f t="shared" si="172"/>
        <v>0</v>
      </c>
      <c r="T357" s="458">
        <f t="shared" si="172"/>
        <v>0</v>
      </c>
      <c r="U357" s="458">
        <f t="shared" si="172"/>
        <v>0</v>
      </c>
      <c r="V357" s="458">
        <f t="shared" si="172"/>
        <v>0</v>
      </c>
      <c r="W357" s="458">
        <f t="shared" si="172"/>
        <v>0</v>
      </c>
      <c r="X357" s="401"/>
    </row>
    <row r="358" spans="1:24" ht="16" outlineLevel="1" thickBot="1">
      <c r="B358" s="414" t="s">
        <v>426</v>
      </c>
      <c r="C358" s="415">
        <f>$E$8-C357</f>
        <v>0</v>
      </c>
      <c r="D358" s="415">
        <f t="shared" ref="D358:W358" si="173">C358-D357</f>
        <v>0</v>
      </c>
      <c r="E358" s="415">
        <f t="shared" si="173"/>
        <v>0</v>
      </c>
      <c r="F358" s="415">
        <f t="shared" si="173"/>
        <v>0</v>
      </c>
      <c r="G358" s="415">
        <f t="shared" si="173"/>
        <v>0</v>
      </c>
      <c r="H358" s="415">
        <f t="shared" si="173"/>
        <v>0</v>
      </c>
      <c r="I358" s="415">
        <f t="shared" si="173"/>
        <v>0</v>
      </c>
      <c r="J358" s="415">
        <f t="shared" si="173"/>
        <v>0</v>
      </c>
      <c r="K358" s="415">
        <f t="shared" si="173"/>
        <v>0</v>
      </c>
      <c r="L358" s="415">
        <f t="shared" si="173"/>
        <v>0</v>
      </c>
      <c r="M358" s="415">
        <f t="shared" si="173"/>
        <v>0</v>
      </c>
      <c r="N358" s="415">
        <f t="shared" si="173"/>
        <v>0</v>
      </c>
      <c r="O358" s="415">
        <f t="shared" si="173"/>
        <v>0</v>
      </c>
      <c r="P358" s="415">
        <f t="shared" si="173"/>
        <v>0</v>
      </c>
      <c r="Q358" s="415">
        <f t="shared" si="173"/>
        <v>0</v>
      </c>
      <c r="R358" s="415">
        <f t="shared" si="173"/>
        <v>0</v>
      </c>
      <c r="S358" s="415">
        <f t="shared" si="173"/>
        <v>0</v>
      </c>
      <c r="T358" s="415">
        <f t="shared" si="173"/>
        <v>0</v>
      </c>
      <c r="U358" s="415">
        <f t="shared" si="173"/>
        <v>0</v>
      </c>
      <c r="V358" s="415">
        <f t="shared" si="173"/>
        <v>0</v>
      </c>
      <c r="W358" s="415">
        <f t="shared" si="173"/>
        <v>0</v>
      </c>
      <c r="X358" s="401"/>
    </row>
    <row r="359" spans="1:24" outlineLevel="1"/>
    <row r="360" spans="1:24" ht="16" thickBot="1"/>
    <row r="361" spans="1:24" ht="16" thickTop="1">
      <c r="A361" s="374">
        <f>A344+1</f>
        <v>20</v>
      </c>
      <c r="B361" s="379" t="str">
        <f>"Year "&amp;A361&amp;" Working Capital Financing"</f>
        <v>Year 20 Working Capital Financing</v>
      </c>
      <c r="C361" s="379"/>
      <c r="D361" s="379"/>
      <c r="E361" s="379"/>
      <c r="F361" s="379"/>
      <c r="G361" s="379"/>
      <c r="H361" s="379"/>
      <c r="I361" s="379"/>
      <c r="J361" s="379"/>
      <c r="K361" s="379"/>
      <c r="L361" s="379"/>
      <c r="M361" s="379"/>
      <c r="N361" s="379"/>
      <c r="O361" s="379"/>
      <c r="P361" s="379"/>
      <c r="Q361" s="379"/>
      <c r="R361" s="379"/>
      <c r="S361" s="379"/>
      <c r="T361" s="379"/>
      <c r="U361" s="379"/>
      <c r="V361" s="379"/>
      <c r="W361" s="379"/>
    </row>
    <row r="362" spans="1:24" s="420" customFormat="1" ht="16" outlineLevel="1" thickBot="1">
      <c r="A362" s="417"/>
      <c r="B362" s="405"/>
      <c r="C362" s="405">
        <v>0</v>
      </c>
      <c r="D362" s="405">
        <v>1</v>
      </c>
      <c r="E362" s="405">
        <v>2</v>
      </c>
      <c r="F362" s="405">
        <v>3</v>
      </c>
      <c r="G362" s="405">
        <v>4</v>
      </c>
      <c r="H362" s="405">
        <v>5</v>
      </c>
      <c r="I362" s="405">
        <v>6</v>
      </c>
      <c r="J362" s="405">
        <v>7</v>
      </c>
      <c r="K362" s="405">
        <v>8</v>
      </c>
      <c r="L362" s="405">
        <v>9</v>
      </c>
      <c r="M362" s="405">
        <v>10</v>
      </c>
      <c r="N362" s="405">
        <v>11</v>
      </c>
      <c r="O362" s="405">
        <v>12</v>
      </c>
      <c r="P362" s="405">
        <v>13</v>
      </c>
      <c r="Q362" s="405">
        <v>14</v>
      </c>
      <c r="R362" s="405">
        <v>15</v>
      </c>
      <c r="S362" s="405">
        <v>16</v>
      </c>
      <c r="T362" s="405">
        <v>17</v>
      </c>
      <c r="U362" s="405">
        <v>18</v>
      </c>
      <c r="V362" s="405">
        <v>19</v>
      </c>
      <c r="W362" s="405">
        <v>20</v>
      </c>
      <c r="X362" s="451"/>
    </row>
    <row r="363" spans="1:24" outlineLevel="1">
      <c r="B363" s="406" t="s">
        <v>421</v>
      </c>
      <c r="C363" s="406"/>
      <c r="D363" s="406"/>
      <c r="E363" s="406"/>
      <c r="F363" s="406"/>
      <c r="G363" s="406"/>
      <c r="H363" s="406"/>
      <c r="I363" s="406"/>
      <c r="J363" s="406"/>
      <c r="K363" s="406"/>
      <c r="L363" s="406"/>
      <c r="M363" s="406"/>
      <c r="N363" s="406"/>
      <c r="O363" s="406"/>
      <c r="P363" s="406"/>
      <c r="Q363" s="406"/>
      <c r="R363" s="406"/>
      <c r="S363" s="406"/>
      <c r="T363" s="406"/>
      <c r="U363" s="406"/>
      <c r="V363" s="406"/>
      <c r="W363" s="406"/>
    </row>
    <row r="364" spans="1:24" s="420" customFormat="1" outlineLevel="1">
      <c r="A364" s="417"/>
      <c r="B364" s="418" t="s">
        <v>428</v>
      </c>
      <c r="C364" s="418"/>
      <c r="D364" s="419">
        <v>1</v>
      </c>
      <c r="E364" s="419">
        <v>2</v>
      </c>
      <c r="F364" s="419">
        <v>3</v>
      </c>
      <c r="G364" s="419">
        <v>4</v>
      </c>
      <c r="H364" s="419">
        <v>5</v>
      </c>
      <c r="I364" s="419">
        <v>6</v>
      </c>
      <c r="J364" s="419">
        <v>7</v>
      </c>
      <c r="K364" s="419">
        <v>8</v>
      </c>
      <c r="L364" s="419">
        <v>9</v>
      </c>
      <c r="M364" s="419">
        <v>10</v>
      </c>
      <c r="N364" s="419">
        <v>11</v>
      </c>
      <c r="O364" s="419">
        <v>12</v>
      </c>
      <c r="P364" s="419">
        <v>13</v>
      </c>
      <c r="Q364" s="419">
        <v>14</v>
      </c>
      <c r="R364" s="419">
        <v>15</v>
      </c>
      <c r="S364" s="419">
        <v>16</v>
      </c>
      <c r="T364" s="419">
        <v>17</v>
      </c>
      <c r="U364" s="419">
        <v>18</v>
      </c>
      <c r="V364" s="419">
        <v>19</v>
      </c>
      <c r="W364" s="419">
        <v>20</v>
      </c>
      <c r="X364" s="452"/>
    </row>
    <row r="365" spans="1:24" outlineLevel="1">
      <c r="B365" s="421" t="s">
        <v>429</v>
      </c>
      <c r="C365" s="421"/>
      <c r="D365" s="422">
        <f>MAX(D364-($H$9),0)</f>
        <v>1</v>
      </c>
      <c r="E365" s="422">
        <f t="shared" ref="E365:W365" si="174">MAX(E364-($H$9),0)</f>
        <v>2</v>
      </c>
      <c r="F365" s="422">
        <f t="shared" si="174"/>
        <v>3</v>
      </c>
      <c r="G365" s="422">
        <f t="shared" si="174"/>
        <v>4</v>
      </c>
      <c r="H365" s="422">
        <f t="shared" si="174"/>
        <v>5</v>
      </c>
      <c r="I365" s="422">
        <f t="shared" si="174"/>
        <v>6</v>
      </c>
      <c r="J365" s="422">
        <f t="shared" si="174"/>
        <v>7</v>
      </c>
      <c r="K365" s="422">
        <f t="shared" si="174"/>
        <v>8</v>
      </c>
      <c r="L365" s="422">
        <f t="shared" si="174"/>
        <v>9</v>
      </c>
      <c r="M365" s="422">
        <f t="shared" si="174"/>
        <v>10</v>
      </c>
      <c r="N365" s="422">
        <f t="shared" si="174"/>
        <v>11</v>
      </c>
      <c r="O365" s="422">
        <f t="shared" si="174"/>
        <v>12</v>
      </c>
      <c r="P365" s="422">
        <f t="shared" si="174"/>
        <v>13</v>
      </c>
      <c r="Q365" s="422">
        <f t="shared" si="174"/>
        <v>14</v>
      </c>
      <c r="R365" s="422">
        <f t="shared" si="174"/>
        <v>15</v>
      </c>
      <c r="S365" s="422">
        <f t="shared" si="174"/>
        <v>16</v>
      </c>
      <c r="T365" s="422">
        <f t="shared" si="174"/>
        <v>17</v>
      </c>
      <c r="U365" s="422">
        <f t="shared" si="174"/>
        <v>18</v>
      </c>
      <c r="V365" s="422">
        <f t="shared" si="174"/>
        <v>19</v>
      </c>
      <c r="W365" s="422">
        <f t="shared" si="174"/>
        <v>20</v>
      </c>
      <c r="X365" s="453"/>
    </row>
    <row r="366" spans="1:24" outlineLevel="1">
      <c r="B366" s="421" t="s">
        <v>323</v>
      </c>
      <c r="C366" s="421"/>
      <c r="D366" s="408">
        <f t="shared" ref="D366:W366" si="175">-IFERROR(IPMT($F$9,MAX(D365,1),$G$9,$E$9),0)</f>
        <v>0</v>
      </c>
      <c r="E366" s="408">
        <f t="shared" si="175"/>
        <v>0</v>
      </c>
      <c r="F366" s="408">
        <f t="shared" si="175"/>
        <v>0</v>
      </c>
      <c r="G366" s="408">
        <f t="shared" si="175"/>
        <v>0</v>
      </c>
      <c r="H366" s="408">
        <f t="shared" si="175"/>
        <v>0</v>
      </c>
      <c r="I366" s="408">
        <f t="shared" si="175"/>
        <v>0</v>
      </c>
      <c r="J366" s="408">
        <f t="shared" si="175"/>
        <v>0</v>
      </c>
      <c r="K366" s="408">
        <f t="shared" si="175"/>
        <v>0</v>
      </c>
      <c r="L366" s="408">
        <f t="shared" si="175"/>
        <v>0</v>
      </c>
      <c r="M366" s="408">
        <f t="shared" si="175"/>
        <v>0</v>
      </c>
      <c r="N366" s="408">
        <f t="shared" si="175"/>
        <v>0</v>
      </c>
      <c r="O366" s="408">
        <f t="shared" si="175"/>
        <v>0</v>
      </c>
      <c r="P366" s="408">
        <f t="shared" si="175"/>
        <v>0</v>
      </c>
      <c r="Q366" s="408">
        <f t="shared" si="175"/>
        <v>0</v>
      </c>
      <c r="R366" s="408">
        <f t="shared" si="175"/>
        <v>0</v>
      </c>
      <c r="S366" s="408">
        <f t="shared" si="175"/>
        <v>0</v>
      </c>
      <c r="T366" s="408">
        <f t="shared" si="175"/>
        <v>0</v>
      </c>
      <c r="U366" s="408">
        <f t="shared" si="175"/>
        <v>0</v>
      </c>
      <c r="V366" s="408">
        <f t="shared" si="175"/>
        <v>0</v>
      </c>
      <c r="W366" s="408">
        <f t="shared" si="175"/>
        <v>0</v>
      </c>
      <c r="X366" s="401"/>
    </row>
    <row r="367" spans="1:24" outlineLevel="1">
      <c r="B367" s="454" t="s">
        <v>324</v>
      </c>
      <c r="C367" s="455"/>
      <c r="D367" s="455">
        <f t="shared" ref="D367:W367" si="176">-IFERROR(PPMT($F$9,D365,$G$9,$E$9),0)</f>
        <v>0</v>
      </c>
      <c r="E367" s="455">
        <f t="shared" si="176"/>
        <v>0</v>
      </c>
      <c r="F367" s="455">
        <f t="shared" si="176"/>
        <v>0</v>
      </c>
      <c r="G367" s="455">
        <f t="shared" si="176"/>
        <v>0</v>
      </c>
      <c r="H367" s="455">
        <f t="shared" si="176"/>
        <v>0</v>
      </c>
      <c r="I367" s="455">
        <f t="shared" si="176"/>
        <v>0</v>
      </c>
      <c r="J367" s="455">
        <f t="shared" si="176"/>
        <v>0</v>
      </c>
      <c r="K367" s="455">
        <f t="shared" si="176"/>
        <v>0</v>
      </c>
      <c r="L367" s="455">
        <f t="shared" si="176"/>
        <v>0</v>
      </c>
      <c r="M367" s="455">
        <f t="shared" si="176"/>
        <v>0</v>
      </c>
      <c r="N367" s="455">
        <f t="shared" si="176"/>
        <v>0</v>
      </c>
      <c r="O367" s="455">
        <f t="shared" si="176"/>
        <v>0</v>
      </c>
      <c r="P367" s="455">
        <f t="shared" si="176"/>
        <v>0</v>
      </c>
      <c r="Q367" s="455">
        <f t="shared" si="176"/>
        <v>0</v>
      </c>
      <c r="R367" s="455">
        <f t="shared" si="176"/>
        <v>0</v>
      </c>
      <c r="S367" s="455">
        <f t="shared" si="176"/>
        <v>0</v>
      </c>
      <c r="T367" s="455">
        <f t="shared" si="176"/>
        <v>0</v>
      </c>
      <c r="U367" s="455">
        <f t="shared" si="176"/>
        <v>0</v>
      </c>
      <c r="V367" s="455">
        <f t="shared" si="176"/>
        <v>0</v>
      </c>
      <c r="W367" s="455">
        <f t="shared" si="176"/>
        <v>0</v>
      </c>
      <c r="X367" s="401"/>
    </row>
    <row r="368" spans="1:24" ht="16" outlineLevel="1" thickBot="1">
      <c r="B368" s="456" t="s">
        <v>1</v>
      </c>
      <c r="C368" s="448"/>
      <c r="D368" s="448">
        <f>SUM(D366:D367)</f>
        <v>0</v>
      </c>
      <c r="E368" s="448">
        <f t="shared" ref="E368:W368" si="177">SUM(E366:E367)</f>
        <v>0</v>
      </c>
      <c r="F368" s="448">
        <f t="shared" si="177"/>
        <v>0</v>
      </c>
      <c r="G368" s="448">
        <f t="shared" si="177"/>
        <v>0</v>
      </c>
      <c r="H368" s="448">
        <f t="shared" si="177"/>
        <v>0</v>
      </c>
      <c r="I368" s="448">
        <f t="shared" si="177"/>
        <v>0</v>
      </c>
      <c r="J368" s="448">
        <f t="shared" si="177"/>
        <v>0</v>
      </c>
      <c r="K368" s="448">
        <f t="shared" si="177"/>
        <v>0</v>
      </c>
      <c r="L368" s="448">
        <f t="shared" si="177"/>
        <v>0</v>
      </c>
      <c r="M368" s="448">
        <f t="shared" si="177"/>
        <v>0</v>
      </c>
      <c r="N368" s="448">
        <f t="shared" si="177"/>
        <v>0</v>
      </c>
      <c r="O368" s="448">
        <f t="shared" si="177"/>
        <v>0</v>
      </c>
      <c r="P368" s="448">
        <f t="shared" si="177"/>
        <v>0</v>
      </c>
      <c r="Q368" s="448">
        <f t="shared" si="177"/>
        <v>0</v>
      </c>
      <c r="R368" s="448">
        <f t="shared" si="177"/>
        <v>0</v>
      </c>
      <c r="S368" s="448">
        <f t="shared" si="177"/>
        <v>0</v>
      </c>
      <c r="T368" s="448">
        <f t="shared" si="177"/>
        <v>0</v>
      </c>
      <c r="U368" s="448">
        <f t="shared" si="177"/>
        <v>0</v>
      </c>
      <c r="V368" s="448">
        <f t="shared" si="177"/>
        <v>0</v>
      </c>
      <c r="W368" s="448">
        <f t="shared" si="177"/>
        <v>0</v>
      </c>
      <c r="X368" s="401"/>
    </row>
    <row r="369" spans="2:24" outlineLevel="1">
      <c r="B369" s="406" t="s">
        <v>430</v>
      </c>
      <c r="C369" s="406"/>
      <c r="D369" s="406"/>
      <c r="E369" s="406"/>
      <c r="F369" s="406"/>
      <c r="G369" s="406"/>
      <c r="H369" s="406"/>
      <c r="I369" s="406"/>
      <c r="J369" s="406"/>
      <c r="K369" s="406"/>
      <c r="L369" s="406"/>
      <c r="M369" s="406"/>
      <c r="N369" s="406"/>
      <c r="O369" s="406"/>
      <c r="P369" s="406"/>
      <c r="Q369" s="406"/>
      <c r="R369" s="406"/>
      <c r="S369" s="406"/>
      <c r="T369" s="406"/>
      <c r="U369" s="406"/>
      <c r="V369" s="406"/>
      <c r="W369" s="406"/>
    </row>
    <row r="370" spans="2:24" outlineLevel="1">
      <c r="B370" s="421" t="s">
        <v>323</v>
      </c>
      <c r="C370" s="408">
        <f>-IFERROR(IPMT($F$9,MAX(D365,1),$G$9,$E$9),0)</f>
        <v>0</v>
      </c>
      <c r="D370" s="408">
        <f t="shared" ref="D370:W370" si="178">SUMIF($D362:$AQ362,D$107,$D366:$AQ366)</f>
        <v>0</v>
      </c>
      <c r="E370" s="408">
        <f t="shared" si="178"/>
        <v>0</v>
      </c>
      <c r="F370" s="408">
        <f t="shared" si="178"/>
        <v>0</v>
      </c>
      <c r="G370" s="408">
        <f t="shared" si="178"/>
        <v>0</v>
      </c>
      <c r="H370" s="408">
        <f t="shared" si="178"/>
        <v>0</v>
      </c>
      <c r="I370" s="408">
        <f t="shared" si="178"/>
        <v>0</v>
      </c>
      <c r="J370" s="408">
        <f t="shared" si="178"/>
        <v>0</v>
      </c>
      <c r="K370" s="408">
        <f t="shared" si="178"/>
        <v>0</v>
      </c>
      <c r="L370" s="408">
        <f t="shared" si="178"/>
        <v>0</v>
      </c>
      <c r="M370" s="408">
        <f t="shared" si="178"/>
        <v>0</v>
      </c>
      <c r="N370" s="408">
        <f t="shared" si="178"/>
        <v>0</v>
      </c>
      <c r="O370" s="408">
        <f t="shared" si="178"/>
        <v>0</v>
      </c>
      <c r="P370" s="408">
        <f t="shared" si="178"/>
        <v>0</v>
      </c>
      <c r="Q370" s="408">
        <f t="shared" si="178"/>
        <v>0</v>
      </c>
      <c r="R370" s="408">
        <f t="shared" si="178"/>
        <v>0</v>
      </c>
      <c r="S370" s="408">
        <f t="shared" si="178"/>
        <v>0</v>
      </c>
      <c r="T370" s="408">
        <f t="shared" si="178"/>
        <v>0</v>
      </c>
      <c r="U370" s="408">
        <f t="shared" si="178"/>
        <v>0</v>
      </c>
      <c r="V370" s="408">
        <f t="shared" si="178"/>
        <v>0</v>
      </c>
      <c r="W370" s="408">
        <f t="shared" si="178"/>
        <v>0</v>
      </c>
      <c r="X370" s="401"/>
    </row>
    <row r="371" spans="2:24" outlineLevel="1">
      <c r="B371" s="454" t="s">
        <v>324</v>
      </c>
      <c r="C371" s="455"/>
      <c r="D371" s="455">
        <f t="shared" ref="D371:W371" si="179">D367</f>
        <v>0</v>
      </c>
      <c r="E371" s="455">
        <f t="shared" si="179"/>
        <v>0</v>
      </c>
      <c r="F371" s="455">
        <f t="shared" si="179"/>
        <v>0</v>
      </c>
      <c r="G371" s="455">
        <f t="shared" si="179"/>
        <v>0</v>
      </c>
      <c r="H371" s="455">
        <f t="shared" si="179"/>
        <v>0</v>
      </c>
      <c r="I371" s="455">
        <f t="shared" si="179"/>
        <v>0</v>
      </c>
      <c r="J371" s="455">
        <f t="shared" si="179"/>
        <v>0</v>
      </c>
      <c r="K371" s="455">
        <f t="shared" si="179"/>
        <v>0</v>
      </c>
      <c r="L371" s="455">
        <f t="shared" si="179"/>
        <v>0</v>
      </c>
      <c r="M371" s="455">
        <f t="shared" si="179"/>
        <v>0</v>
      </c>
      <c r="N371" s="455">
        <f t="shared" si="179"/>
        <v>0</v>
      </c>
      <c r="O371" s="455">
        <f t="shared" si="179"/>
        <v>0</v>
      </c>
      <c r="P371" s="455">
        <f t="shared" si="179"/>
        <v>0</v>
      </c>
      <c r="Q371" s="455">
        <f t="shared" si="179"/>
        <v>0</v>
      </c>
      <c r="R371" s="455">
        <f t="shared" si="179"/>
        <v>0</v>
      </c>
      <c r="S371" s="455">
        <f t="shared" si="179"/>
        <v>0</v>
      </c>
      <c r="T371" s="455">
        <f t="shared" si="179"/>
        <v>0</v>
      </c>
      <c r="U371" s="455">
        <f t="shared" si="179"/>
        <v>0</v>
      </c>
      <c r="V371" s="455">
        <f t="shared" si="179"/>
        <v>0</v>
      </c>
      <c r="W371" s="455">
        <f t="shared" si="179"/>
        <v>0</v>
      </c>
      <c r="X371" s="401"/>
    </row>
    <row r="372" spans="2:24" ht="16" outlineLevel="1" thickBot="1">
      <c r="B372" s="456" t="s">
        <v>1</v>
      </c>
      <c r="C372" s="448">
        <f>SUM(C370:C371)</f>
        <v>0</v>
      </c>
      <c r="D372" s="448">
        <f>SUM(D370:D371)</f>
        <v>0</v>
      </c>
      <c r="E372" s="448">
        <f t="shared" ref="E372:W372" si="180">SUM(E370:E371)</f>
        <v>0</v>
      </c>
      <c r="F372" s="448">
        <f t="shared" si="180"/>
        <v>0</v>
      </c>
      <c r="G372" s="448">
        <f t="shared" si="180"/>
        <v>0</v>
      </c>
      <c r="H372" s="448">
        <f t="shared" si="180"/>
        <v>0</v>
      </c>
      <c r="I372" s="448">
        <f t="shared" si="180"/>
        <v>0</v>
      </c>
      <c r="J372" s="448">
        <f t="shared" si="180"/>
        <v>0</v>
      </c>
      <c r="K372" s="448">
        <f t="shared" si="180"/>
        <v>0</v>
      </c>
      <c r="L372" s="448">
        <f t="shared" si="180"/>
        <v>0</v>
      </c>
      <c r="M372" s="448">
        <f t="shared" si="180"/>
        <v>0</v>
      </c>
      <c r="N372" s="448">
        <f t="shared" si="180"/>
        <v>0</v>
      </c>
      <c r="O372" s="448">
        <f t="shared" si="180"/>
        <v>0</v>
      </c>
      <c r="P372" s="448">
        <f t="shared" si="180"/>
        <v>0</v>
      </c>
      <c r="Q372" s="448">
        <f t="shared" si="180"/>
        <v>0</v>
      </c>
      <c r="R372" s="448">
        <f t="shared" si="180"/>
        <v>0</v>
      </c>
      <c r="S372" s="448">
        <f t="shared" si="180"/>
        <v>0</v>
      </c>
      <c r="T372" s="448">
        <f t="shared" si="180"/>
        <v>0</v>
      </c>
      <c r="U372" s="448">
        <f t="shared" si="180"/>
        <v>0</v>
      </c>
      <c r="V372" s="448">
        <f t="shared" si="180"/>
        <v>0</v>
      </c>
      <c r="W372" s="448">
        <f t="shared" si="180"/>
        <v>0</v>
      </c>
      <c r="X372" s="401"/>
    </row>
    <row r="373" spans="2:24" outlineLevel="1">
      <c r="B373" s="406" t="s">
        <v>424</v>
      </c>
      <c r="C373" s="406"/>
      <c r="D373" s="406"/>
      <c r="E373" s="406"/>
      <c r="F373" s="406"/>
      <c r="G373" s="406"/>
      <c r="H373" s="406"/>
      <c r="I373" s="406"/>
      <c r="J373" s="406"/>
      <c r="K373" s="406"/>
      <c r="L373" s="406"/>
      <c r="M373" s="406"/>
      <c r="N373" s="406"/>
      <c r="O373" s="406"/>
      <c r="P373" s="406"/>
      <c r="Q373" s="406"/>
      <c r="R373" s="406"/>
      <c r="S373" s="406"/>
      <c r="T373" s="406"/>
      <c r="U373" s="406"/>
      <c r="V373" s="406"/>
      <c r="W373" s="406"/>
    </row>
    <row r="374" spans="2:24" outlineLevel="1">
      <c r="B374" s="457" t="s">
        <v>425</v>
      </c>
      <c r="C374" s="458">
        <f t="shared" ref="C374:W374" si="181">D371</f>
        <v>0</v>
      </c>
      <c r="D374" s="458">
        <f t="shared" si="181"/>
        <v>0</v>
      </c>
      <c r="E374" s="458">
        <f t="shared" si="181"/>
        <v>0</v>
      </c>
      <c r="F374" s="458">
        <f t="shared" si="181"/>
        <v>0</v>
      </c>
      <c r="G374" s="458">
        <f t="shared" si="181"/>
        <v>0</v>
      </c>
      <c r="H374" s="458">
        <f t="shared" si="181"/>
        <v>0</v>
      </c>
      <c r="I374" s="458">
        <f t="shared" si="181"/>
        <v>0</v>
      </c>
      <c r="J374" s="458">
        <f t="shared" si="181"/>
        <v>0</v>
      </c>
      <c r="K374" s="458">
        <f t="shared" si="181"/>
        <v>0</v>
      </c>
      <c r="L374" s="458">
        <f t="shared" si="181"/>
        <v>0</v>
      </c>
      <c r="M374" s="458">
        <f t="shared" si="181"/>
        <v>0</v>
      </c>
      <c r="N374" s="458">
        <f t="shared" si="181"/>
        <v>0</v>
      </c>
      <c r="O374" s="458">
        <f t="shared" si="181"/>
        <v>0</v>
      </c>
      <c r="P374" s="458">
        <f t="shared" si="181"/>
        <v>0</v>
      </c>
      <c r="Q374" s="458">
        <f t="shared" si="181"/>
        <v>0</v>
      </c>
      <c r="R374" s="458">
        <f t="shared" si="181"/>
        <v>0</v>
      </c>
      <c r="S374" s="458">
        <f t="shared" si="181"/>
        <v>0</v>
      </c>
      <c r="T374" s="458">
        <f t="shared" si="181"/>
        <v>0</v>
      </c>
      <c r="U374" s="458">
        <f t="shared" si="181"/>
        <v>0</v>
      </c>
      <c r="V374" s="458">
        <f t="shared" si="181"/>
        <v>0</v>
      </c>
      <c r="W374" s="458">
        <f t="shared" si="181"/>
        <v>0</v>
      </c>
      <c r="X374" s="401"/>
    </row>
    <row r="375" spans="2:24" ht="16" outlineLevel="1" thickBot="1">
      <c r="B375" s="414" t="s">
        <v>426</v>
      </c>
      <c r="C375" s="415">
        <f>$E$9-C374</f>
        <v>0</v>
      </c>
      <c r="D375" s="415">
        <f t="shared" ref="D375:W375" si="182">C375-D374</f>
        <v>0</v>
      </c>
      <c r="E375" s="415">
        <f t="shared" si="182"/>
        <v>0</v>
      </c>
      <c r="F375" s="415">
        <f t="shared" si="182"/>
        <v>0</v>
      </c>
      <c r="G375" s="415">
        <f t="shared" si="182"/>
        <v>0</v>
      </c>
      <c r="H375" s="415">
        <f t="shared" si="182"/>
        <v>0</v>
      </c>
      <c r="I375" s="415">
        <f t="shared" si="182"/>
        <v>0</v>
      </c>
      <c r="J375" s="415">
        <f t="shared" si="182"/>
        <v>0</v>
      </c>
      <c r="K375" s="415">
        <f t="shared" si="182"/>
        <v>0</v>
      </c>
      <c r="L375" s="415">
        <f t="shared" si="182"/>
        <v>0</v>
      </c>
      <c r="M375" s="415">
        <f t="shared" si="182"/>
        <v>0</v>
      </c>
      <c r="N375" s="415">
        <f t="shared" si="182"/>
        <v>0</v>
      </c>
      <c r="O375" s="415">
        <f t="shared" si="182"/>
        <v>0</v>
      </c>
      <c r="P375" s="415">
        <f t="shared" si="182"/>
        <v>0</v>
      </c>
      <c r="Q375" s="415">
        <f t="shared" si="182"/>
        <v>0</v>
      </c>
      <c r="R375" s="415">
        <f t="shared" si="182"/>
        <v>0</v>
      </c>
      <c r="S375" s="415">
        <f t="shared" si="182"/>
        <v>0</v>
      </c>
      <c r="T375" s="415">
        <f t="shared" si="182"/>
        <v>0</v>
      </c>
      <c r="U375" s="415">
        <f t="shared" si="182"/>
        <v>0</v>
      </c>
      <c r="V375" s="415">
        <f t="shared" si="182"/>
        <v>0</v>
      </c>
      <c r="W375" s="415">
        <f t="shared" si="182"/>
        <v>0</v>
      </c>
      <c r="X375" s="401"/>
    </row>
  </sheetData>
  <sheetProtection selectLockedCells="1" selectUnlockedCells="1"/>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tabColor theme="7" tint="0.59999389629810485"/>
  </sheetPr>
  <dimension ref="A1:W50"/>
  <sheetViews>
    <sheetView topLeftCell="A22" zoomScale="55" zoomScaleNormal="55" workbookViewId="0">
      <selection activeCell="D6" sqref="D6"/>
    </sheetView>
  </sheetViews>
  <sheetFormatPr baseColWidth="10" defaultColWidth="10" defaultRowHeight="15" outlineLevelRow="1"/>
  <cols>
    <col min="1" max="1" width="6.6640625" style="377" customWidth="1"/>
    <col min="2" max="2" width="23.5" style="377" customWidth="1"/>
    <col min="3" max="3" width="27.5" style="377" bestFit="1" customWidth="1"/>
    <col min="4" max="4" width="15.33203125" style="374" bestFit="1" customWidth="1"/>
    <col min="5" max="5" width="12.6640625" style="374" bestFit="1" customWidth="1"/>
    <col min="6" max="6" width="14.83203125" style="374" bestFit="1" customWidth="1"/>
    <col min="7" max="8" width="14.6640625" style="374" bestFit="1" customWidth="1"/>
    <col min="9" max="9" width="16.83203125" style="374" bestFit="1" customWidth="1"/>
    <col min="10" max="23" width="12.6640625" style="374" bestFit="1" customWidth="1"/>
    <col min="24" max="16384" width="10" style="377"/>
  </cols>
  <sheetData>
    <row r="1" spans="2:23" s="371" customFormat="1">
      <c r="B1" s="371" t="s">
        <v>168</v>
      </c>
      <c r="C1" s="371" t="str">
        <f>Cover!$C$10</f>
        <v>Mr. Amir Artine</v>
      </c>
      <c r="D1" s="176" t="str">
        <f>Cover!$C$3</f>
        <v>Cattle Integration, Baghara, Chad</v>
      </c>
      <c r="E1" s="372"/>
      <c r="F1" s="372"/>
      <c r="G1" s="372" t="s">
        <v>169</v>
      </c>
      <c r="H1" s="373">
        <f ca="1">Cover!$C$13</f>
        <v>45763</v>
      </c>
      <c r="I1" s="372"/>
      <c r="J1" s="372"/>
      <c r="K1" s="372"/>
      <c r="L1" s="372"/>
      <c r="M1" s="372"/>
      <c r="N1" s="372"/>
      <c r="O1" s="372"/>
      <c r="P1" s="372"/>
      <c r="Q1" s="372"/>
      <c r="R1" s="372"/>
      <c r="S1" s="372"/>
      <c r="T1" s="372"/>
      <c r="U1" s="372"/>
      <c r="V1" s="372"/>
    </row>
    <row r="2" spans="2:23" ht="16" thickBot="1"/>
    <row r="3" spans="2:23" ht="16" thickTop="1">
      <c r="B3" s="379" t="s">
        <v>443</v>
      </c>
      <c r="C3" s="379"/>
      <c r="D3" s="379"/>
      <c r="E3" s="379"/>
      <c r="F3" s="379"/>
      <c r="G3" s="379"/>
      <c r="H3" s="379"/>
      <c r="I3" s="379"/>
    </row>
    <row r="4" spans="2:23" s="435" customFormat="1" ht="16" thickBot="1">
      <c r="B4" s="405"/>
      <c r="C4" s="405"/>
      <c r="D4" s="380" t="s">
        <v>16</v>
      </c>
      <c r="E4" s="380" t="s">
        <v>4</v>
      </c>
      <c r="F4" s="380" t="s">
        <v>5</v>
      </c>
      <c r="G4" s="380" t="s">
        <v>6</v>
      </c>
      <c r="H4" s="380" t="s">
        <v>7</v>
      </c>
      <c r="I4" s="380" t="s">
        <v>237</v>
      </c>
      <c r="K4" s="433"/>
      <c r="L4" s="433"/>
      <c r="M4" s="433"/>
      <c r="N4" s="433"/>
      <c r="O4" s="433"/>
      <c r="P4" s="433"/>
      <c r="Q4" s="433"/>
      <c r="R4" s="433"/>
      <c r="S4" s="433"/>
      <c r="T4" s="433"/>
      <c r="U4" s="433"/>
      <c r="V4" s="433"/>
      <c r="W4" s="433"/>
    </row>
    <row r="5" spans="2:23" s="435" customFormat="1">
      <c r="B5" s="462" t="s">
        <v>235</v>
      </c>
      <c r="C5" s="406"/>
      <c r="D5" s="406"/>
      <c r="E5" s="406"/>
      <c r="F5" s="406"/>
      <c r="G5" s="406"/>
      <c r="H5" s="406"/>
      <c r="I5" s="406"/>
      <c r="J5" s="433"/>
      <c r="K5" s="433"/>
      <c r="L5" s="433"/>
      <c r="M5" s="433"/>
      <c r="N5" s="433"/>
      <c r="O5" s="433"/>
      <c r="P5" s="433"/>
      <c r="Q5" s="433"/>
      <c r="R5" s="433"/>
      <c r="S5" s="433"/>
      <c r="T5" s="433"/>
      <c r="U5" s="433"/>
      <c r="V5" s="433"/>
      <c r="W5" s="433"/>
    </row>
    <row r="6" spans="2:23">
      <c r="B6" s="463" t="str">
        <f>'Data Input'!B12</f>
        <v>Establishment cost</v>
      </c>
      <c r="C6" s="421"/>
      <c r="D6" s="464">
        <f>'Data Input'!D12*Dashboard!$C$102</f>
        <v>37124290.259186015</v>
      </c>
      <c r="E6" s="464">
        <f>'Data Input'!E12*Dashboard!$C$102</f>
        <v>13382679.266854554</v>
      </c>
      <c r="F6" s="464">
        <f>'Data Input'!F12*Dashboard!$C$102</f>
        <v>0</v>
      </c>
      <c r="G6" s="464">
        <f>'Data Input'!G12*Dashboard!$C$102</f>
        <v>0</v>
      </c>
      <c r="H6" s="464">
        <f>'Data Input'!H12*Dashboard!$C$102</f>
        <v>0</v>
      </c>
      <c r="I6" s="465">
        <f>'Data Input'!I12</f>
        <v>0</v>
      </c>
    </row>
    <row r="7" spans="2:23" ht="16" thickBot="1">
      <c r="B7" s="425" t="s">
        <v>1</v>
      </c>
      <c r="C7" s="456"/>
      <c r="D7" s="466">
        <f>SUM(D6:D6)</f>
        <v>37124290.259186015</v>
      </c>
      <c r="E7" s="466">
        <f>SUM(E6:E6)</f>
        <v>13382679.266854554</v>
      </c>
      <c r="F7" s="466">
        <f>SUM(F6:F6)</f>
        <v>0</v>
      </c>
      <c r="G7" s="466">
        <f>SUM(G6:G6)</f>
        <v>0</v>
      </c>
      <c r="H7" s="466">
        <f>SUM(H6:H6)</f>
        <v>0</v>
      </c>
      <c r="I7" s="456"/>
    </row>
    <row r="8" spans="2:23" s="435" customFormat="1">
      <c r="B8" s="462" t="s">
        <v>444</v>
      </c>
      <c r="C8" s="462" t="s">
        <v>445</v>
      </c>
      <c r="D8" s="406"/>
      <c r="E8" s="406"/>
      <c r="F8" s="406"/>
      <c r="G8" s="406"/>
      <c r="H8" s="406"/>
      <c r="I8" s="406"/>
      <c r="J8" s="433"/>
      <c r="K8" s="433"/>
      <c r="L8" s="433"/>
      <c r="M8" s="433"/>
      <c r="N8" s="433"/>
      <c r="O8" s="433"/>
      <c r="P8" s="433"/>
      <c r="Q8" s="433"/>
      <c r="R8" s="433"/>
      <c r="S8" s="433"/>
      <c r="T8" s="433"/>
      <c r="U8" s="433"/>
      <c r="V8" s="433"/>
      <c r="W8" s="433"/>
    </row>
    <row r="9" spans="2:23">
      <c r="B9" s="411" t="str">
        <f>B6</f>
        <v>Establishment cost</v>
      </c>
      <c r="C9" s="465">
        <f>'Data Input'!C12+1E-100</f>
        <v>20</v>
      </c>
      <c r="D9" s="408">
        <f>IFERROR(D6/$C9,)</f>
        <v>1856214.5129593008</v>
      </c>
      <c r="E9" s="408">
        <f>IFERROR(E6/$C9,)</f>
        <v>669133.96334272774</v>
      </c>
      <c r="F9" s="408">
        <f>IFERROR(F6/$C9,)</f>
        <v>0</v>
      </c>
      <c r="G9" s="408">
        <f>IFERROR(G6/$C9,)</f>
        <v>0</v>
      </c>
      <c r="H9" s="408">
        <f>IFERROR(H6/$C9,)</f>
        <v>0</v>
      </c>
      <c r="I9" s="412"/>
    </row>
    <row r="10" spans="2:23">
      <c r="I10" s="467" t="s">
        <v>239</v>
      </c>
    </row>
    <row r="11" spans="2:23" ht="16" thickBot="1"/>
    <row r="12" spans="2:23" ht="16" thickTop="1">
      <c r="B12" s="379" t="s">
        <v>446</v>
      </c>
      <c r="C12" s="379"/>
      <c r="D12" s="379"/>
      <c r="E12" s="379"/>
      <c r="F12" s="379"/>
      <c r="G12" s="379"/>
      <c r="H12" s="379"/>
      <c r="I12" s="379"/>
      <c r="J12" s="379"/>
      <c r="K12" s="379"/>
      <c r="L12" s="379"/>
      <c r="M12" s="379"/>
      <c r="N12" s="379"/>
      <c r="O12" s="379"/>
      <c r="P12" s="379"/>
      <c r="Q12" s="379"/>
      <c r="R12" s="379"/>
      <c r="S12" s="379"/>
      <c r="T12" s="379"/>
      <c r="U12" s="379"/>
      <c r="V12" s="379"/>
      <c r="W12" s="379"/>
    </row>
    <row r="13" spans="2:23" s="435" customFormat="1" ht="16" outlineLevel="1" thickBot="1">
      <c r="B13" s="405"/>
      <c r="C13" s="405"/>
      <c r="D13" s="405">
        <v>1</v>
      </c>
      <c r="E13" s="405">
        <v>2</v>
      </c>
      <c r="F13" s="405">
        <v>3</v>
      </c>
      <c r="G13" s="405">
        <v>4</v>
      </c>
      <c r="H13" s="405">
        <v>5</v>
      </c>
      <c r="I13" s="405">
        <v>6</v>
      </c>
      <c r="J13" s="405">
        <v>7</v>
      </c>
      <c r="K13" s="405">
        <v>8</v>
      </c>
      <c r="L13" s="405">
        <v>9</v>
      </c>
      <c r="M13" s="405">
        <v>10</v>
      </c>
      <c r="N13" s="405">
        <v>11</v>
      </c>
      <c r="O13" s="405">
        <v>12</v>
      </c>
      <c r="P13" s="405">
        <v>13</v>
      </c>
      <c r="Q13" s="405">
        <v>14</v>
      </c>
      <c r="R13" s="405">
        <v>15</v>
      </c>
      <c r="S13" s="405">
        <v>16</v>
      </c>
      <c r="T13" s="405">
        <v>17</v>
      </c>
      <c r="U13" s="405">
        <v>18</v>
      </c>
      <c r="V13" s="405">
        <v>19</v>
      </c>
      <c r="W13" s="405">
        <v>20</v>
      </c>
    </row>
    <row r="14" spans="2:23" s="435" customFormat="1" outlineLevel="1">
      <c r="B14" s="406" t="s">
        <v>447</v>
      </c>
      <c r="C14" s="406"/>
      <c r="D14" s="406"/>
      <c r="E14" s="406"/>
      <c r="F14" s="406"/>
      <c r="G14" s="406"/>
      <c r="H14" s="406"/>
      <c r="I14" s="406"/>
      <c r="J14" s="406"/>
      <c r="K14" s="406"/>
      <c r="L14" s="406"/>
      <c r="M14" s="406"/>
      <c r="N14" s="406"/>
      <c r="O14" s="406"/>
      <c r="P14" s="406"/>
      <c r="Q14" s="406"/>
      <c r="R14" s="406"/>
      <c r="S14" s="406"/>
      <c r="T14" s="406"/>
      <c r="U14" s="406"/>
      <c r="V14" s="406"/>
      <c r="W14" s="406"/>
    </row>
    <row r="15" spans="2:23" outlineLevel="1">
      <c r="B15" s="421" t="str">
        <f>$B$6</f>
        <v>Establishment cost</v>
      </c>
      <c r="C15" s="421"/>
      <c r="D15" s="408">
        <f t="shared" ref="D15:W15" si="0">IF($I6=1,$D9,IF($C9&gt;=D$13,$D9,0))</f>
        <v>1856214.5129593008</v>
      </c>
      <c r="E15" s="408">
        <f t="shared" si="0"/>
        <v>1856214.5129593008</v>
      </c>
      <c r="F15" s="408">
        <f t="shared" si="0"/>
        <v>1856214.5129593008</v>
      </c>
      <c r="G15" s="408">
        <f t="shared" si="0"/>
        <v>1856214.5129593008</v>
      </c>
      <c r="H15" s="408">
        <f t="shared" si="0"/>
        <v>1856214.5129593008</v>
      </c>
      <c r="I15" s="408">
        <f t="shared" si="0"/>
        <v>1856214.5129593008</v>
      </c>
      <c r="J15" s="408">
        <f t="shared" si="0"/>
        <v>1856214.5129593008</v>
      </c>
      <c r="K15" s="408">
        <f t="shared" si="0"/>
        <v>1856214.5129593008</v>
      </c>
      <c r="L15" s="408">
        <f t="shared" si="0"/>
        <v>1856214.5129593008</v>
      </c>
      <c r="M15" s="408">
        <f t="shared" si="0"/>
        <v>1856214.5129593008</v>
      </c>
      <c r="N15" s="408">
        <f t="shared" si="0"/>
        <v>1856214.5129593008</v>
      </c>
      <c r="O15" s="408">
        <f t="shared" si="0"/>
        <v>1856214.5129593008</v>
      </c>
      <c r="P15" s="408">
        <f t="shared" si="0"/>
        <v>1856214.5129593008</v>
      </c>
      <c r="Q15" s="408">
        <f t="shared" si="0"/>
        <v>1856214.5129593008</v>
      </c>
      <c r="R15" s="408">
        <f t="shared" si="0"/>
        <v>1856214.5129593008</v>
      </c>
      <c r="S15" s="408">
        <f t="shared" si="0"/>
        <v>1856214.5129593008</v>
      </c>
      <c r="T15" s="408">
        <f t="shared" si="0"/>
        <v>1856214.5129593008</v>
      </c>
      <c r="U15" s="408">
        <f t="shared" si="0"/>
        <v>1856214.5129593008</v>
      </c>
      <c r="V15" s="408">
        <f t="shared" si="0"/>
        <v>1856214.5129593008</v>
      </c>
      <c r="W15" s="408">
        <f t="shared" si="0"/>
        <v>1856214.5129593008</v>
      </c>
    </row>
    <row r="16" spans="2:23" s="435" customFormat="1" ht="16" outlineLevel="1" thickBot="1">
      <c r="B16" s="456" t="s">
        <v>1</v>
      </c>
      <c r="C16" s="456"/>
      <c r="D16" s="456">
        <f t="shared" ref="D16:W16" si="1">SUM(D15:D15)</f>
        <v>1856214.5129593008</v>
      </c>
      <c r="E16" s="456">
        <f t="shared" si="1"/>
        <v>1856214.5129593008</v>
      </c>
      <c r="F16" s="456">
        <f t="shared" si="1"/>
        <v>1856214.5129593008</v>
      </c>
      <c r="G16" s="456">
        <f t="shared" si="1"/>
        <v>1856214.5129593008</v>
      </c>
      <c r="H16" s="456">
        <f t="shared" si="1"/>
        <v>1856214.5129593008</v>
      </c>
      <c r="I16" s="456">
        <f t="shared" si="1"/>
        <v>1856214.5129593008</v>
      </c>
      <c r="J16" s="456">
        <f t="shared" si="1"/>
        <v>1856214.5129593008</v>
      </c>
      <c r="K16" s="456">
        <f t="shared" si="1"/>
        <v>1856214.5129593008</v>
      </c>
      <c r="L16" s="456">
        <f t="shared" si="1"/>
        <v>1856214.5129593008</v>
      </c>
      <c r="M16" s="456">
        <f t="shared" si="1"/>
        <v>1856214.5129593008</v>
      </c>
      <c r="N16" s="456">
        <f t="shared" si="1"/>
        <v>1856214.5129593008</v>
      </c>
      <c r="O16" s="456">
        <f t="shared" si="1"/>
        <v>1856214.5129593008</v>
      </c>
      <c r="P16" s="456">
        <f t="shared" si="1"/>
        <v>1856214.5129593008</v>
      </c>
      <c r="Q16" s="456">
        <f t="shared" si="1"/>
        <v>1856214.5129593008</v>
      </c>
      <c r="R16" s="456">
        <f t="shared" si="1"/>
        <v>1856214.5129593008</v>
      </c>
      <c r="S16" s="456">
        <f t="shared" si="1"/>
        <v>1856214.5129593008</v>
      </c>
      <c r="T16" s="456">
        <f t="shared" si="1"/>
        <v>1856214.5129593008</v>
      </c>
      <c r="U16" s="456">
        <f t="shared" si="1"/>
        <v>1856214.5129593008</v>
      </c>
      <c r="V16" s="456">
        <f t="shared" si="1"/>
        <v>1856214.5129593008</v>
      </c>
      <c r="W16" s="456">
        <f t="shared" si="1"/>
        <v>1856214.5129593008</v>
      </c>
    </row>
    <row r="17" spans="1:23" s="435" customFormat="1" outlineLevel="1">
      <c r="B17" s="406" t="s">
        <v>448</v>
      </c>
      <c r="C17" s="406"/>
      <c r="D17" s="406"/>
      <c r="E17" s="406"/>
      <c r="F17" s="406"/>
      <c r="G17" s="406"/>
      <c r="H17" s="406"/>
      <c r="I17" s="406"/>
      <c r="J17" s="406"/>
      <c r="K17" s="406"/>
      <c r="L17" s="406"/>
      <c r="M17" s="406"/>
      <c r="N17" s="406"/>
      <c r="O17" s="406"/>
      <c r="P17" s="406"/>
      <c r="Q17" s="406"/>
      <c r="R17" s="406"/>
      <c r="S17" s="406"/>
      <c r="T17" s="406"/>
      <c r="U17" s="406"/>
      <c r="V17" s="406"/>
      <c r="W17" s="406"/>
    </row>
    <row r="18" spans="1:23" outlineLevel="1">
      <c r="B18" s="421" t="str">
        <f>$B$6</f>
        <v>Establishment cost</v>
      </c>
      <c r="C18" s="421"/>
      <c r="D18" s="440"/>
      <c r="E18" s="408">
        <f t="shared" ref="E18:W18" si="2">IF($I6=1,$E9,IF($C9&gt;=D$13,$E9,0))</f>
        <v>669133.96334272774</v>
      </c>
      <c r="F18" s="408">
        <f t="shared" si="2"/>
        <v>669133.96334272774</v>
      </c>
      <c r="G18" s="408">
        <f t="shared" si="2"/>
        <v>669133.96334272774</v>
      </c>
      <c r="H18" s="408">
        <f t="shared" si="2"/>
        <v>669133.96334272774</v>
      </c>
      <c r="I18" s="408">
        <f t="shared" si="2"/>
        <v>669133.96334272774</v>
      </c>
      <c r="J18" s="408">
        <f t="shared" si="2"/>
        <v>669133.96334272774</v>
      </c>
      <c r="K18" s="408">
        <f t="shared" si="2"/>
        <v>669133.96334272774</v>
      </c>
      <c r="L18" s="408">
        <f t="shared" si="2"/>
        <v>669133.96334272774</v>
      </c>
      <c r="M18" s="408">
        <f t="shared" si="2"/>
        <v>669133.96334272774</v>
      </c>
      <c r="N18" s="408">
        <f t="shared" si="2"/>
        <v>669133.96334272774</v>
      </c>
      <c r="O18" s="408">
        <f t="shared" si="2"/>
        <v>669133.96334272774</v>
      </c>
      <c r="P18" s="408">
        <f t="shared" si="2"/>
        <v>669133.96334272774</v>
      </c>
      <c r="Q18" s="408">
        <f t="shared" si="2"/>
        <v>669133.96334272774</v>
      </c>
      <c r="R18" s="408">
        <f t="shared" si="2"/>
        <v>669133.96334272774</v>
      </c>
      <c r="S18" s="408">
        <f t="shared" si="2"/>
        <v>669133.96334272774</v>
      </c>
      <c r="T18" s="408">
        <f t="shared" si="2"/>
        <v>669133.96334272774</v>
      </c>
      <c r="U18" s="408">
        <f t="shared" si="2"/>
        <v>669133.96334272774</v>
      </c>
      <c r="V18" s="408">
        <f t="shared" si="2"/>
        <v>669133.96334272774</v>
      </c>
      <c r="W18" s="408">
        <f t="shared" si="2"/>
        <v>669133.96334272774</v>
      </c>
    </row>
    <row r="19" spans="1:23" s="435" customFormat="1" ht="16" outlineLevel="1" thickBot="1">
      <c r="B19" s="456" t="str">
        <f>B7</f>
        <v>Total</v>
      </c>
      <c r="C19" s="456"/>
      <c r="D19" s="456">
        <f t="shared" ref="D19:W19" si="3">SUM(D18:D18)</f>
        <v>0</v>
      </c>
      <c r="E19" s="456">
        <f t="shared" si="3"/>
        <v>669133.96334272774</v>
      </c>
      <c r="F19" s="456">
        <f t="shared" si="3"/>
        <v>669133.96334272774</v>
      </c>
      <c r="G19" s="456">
        <f t="shared" si="3"/>
        <v>669133.96334272774</v>
      </c>
      <c r="H19" s="456">
        <f t="shared" si="3"/>
        <v>669133.96334272774</v>
      </c>
      <c r="I19" s="456">
        <f t="shared" si="3"/>
        <v>669133.96334272774</v>
      </c>
      <c r="J19" s="456">
        <f t="shared" si="3"/>
        <v>669133.96334272774</v>
      </c>
      <c r="K19" s="456">
        <f t="shared" si="3"/>
        <v>669133.96334272774</v>
      </c>
      <c r="L19" s="456">
        <f t="shared" si="3"/>
        <v>669133.96334272774</v>
      </c>
      <c r="M19" s="456">
        <f t="shared" si="3"/>
        <v>669133.96334272774</v>
      </c>
      <c r="N19" s="456">
        <f t="shared" si="3"/>
        <v>669133.96334272774</v>
      </c>
      <c r="O19" s="456">
        <f t="shared" si="3"/>
        <v>669133.96334272774</v>
      </c>
      <c r="P19" s="456">
        <f t="shared" si="3"/>
        <v>669133.96334272774</v>
      </c>
      <c r="Q19" s="456">
        <f t="shared" si="3"/>
        <v>669133.96334272774</v>
      </c>
      <c r="R19" s="456">
        <f t="shared" si="3"/>
        <v>669133.96334272774</v>
      </c>
      <c r="S19" s="456">
        <f t="shared" si="3"/>
        <v>669133.96334272774</v>
      </c>
      <c r="T19" s="456">
        <f t="shared" si="3"/>
        <v>669133.96334272774</v>
      </c>
      <c r="U19" s="456">
        <f t="shared" si="3"/>
        <v>669133.96334272774</v>
      </c>
      <c r="V19" s="456">
        <f t="shared" si="3"/>
        <v>669133.96334272774</v>
      </c>
      <c r="W19" s="456">
        <f t="shared" si="3"/>
        <v>669133.96334272774</v>
      </c>
    </row>
    <row r="20" spans="1:23" s="435" customFormat="1" outlineLevel="1">
      <c r="B20" s="406" t="s">
        <v>449</v>
      </c>
      <c r="C20" s="406"/>
      <c r="D20" s="406"/>
      <c r="E20" s="406"/>
      <c r="F20" s="406"/>
      <c r="G20" s="406"/>
      <c r="H20" s="406"/>
      <c r="I20" s="406"/>
      <c r="J20" s="406"/>
      <c r="K20" s="406"/>
      <c r="L20" s="406"/>
      <c r="M20" s="406"/>
      <c r="N20" s="406"/>
      <c r="O20" s="406"/>
      <c r="P20" s="406"/>
      <c r="Q20" s="406"/>
      <c r="R20" s="406"/>
      <c r="S20" s="406"/>
      <c r="T20" s="406"/>
      <c r="U20" s="406"/>
      <c r="V20" s="406"/>
      <c r="W20" s="406"/>
    </row>
    <row r="21" spans="1:23" outlineLevel="1">
      <c r="B21" s="421" t="str">
        <f>$B$6</f>
        <v>Establishment cost</v>
      </c>
      <c r="C21" s="421"/>
      <c r="D21" s="440"/>
      <c r="E21" s="440"/>
      <c r="F21" s="408">
        <f t="shared" ref="F21:W21" si="4">IF($I6=1,$F9,IF($C9&gt;=D$13,$F9,0))</f>
        <v>0</v>
      </c>
      <c r="G21" s="408">
        <f t="shared" si="4"/>
        <v>0</v>
      </c>
      <c r="H21" s="408">
        <f t="shared" si="4"/>
        <v>0</v>
      </c>
      <c r="I21" s="408">
        <f t="shared" si="4"/>
        <v>0</v>
      </c>
      <c r="J21" s="408">
        <f t="shared" si="4"/>
        <v>0</v>
      </c>
      <c r="K21" s="408">
        <f t="shared" si="4"/>
        <v>0</v>
      </c>
      <c r="L21" s="408">
        <f t="shared" si="4"/>
        <v>0</v>
      </c>
      <c r="M21" s="408">
        <f t="shared" si="4"/>
        <v>0</v>
      </c>
      <c r="N21" s="408">
        <f t="shared" si="4"/>
        <v>0</v>
      </c>
      <c r="O21" s="408">
        <f t="shared" si="4"/>
        <v>0</v>
      </c>
      <c r="P21" s="408">
        <f t="shared" si="4"/>
        <v>0</v>
      </c>
      <c r="Q21" s="408">
        <f t="shared" si="4"/>
        <v>0</v>
      </c>
      <c r="R21" s="408">
        <f t="shared" si="4"/>
        <v>0</v>
      </c>
      <c r="S21" s="408">
        <f t="shared" si="4"/>
        <v>0</v>
      </c>
      <c r="T21" s="408">
        <f t="shared" si="4"/>
        <v>0</v>
      </c>
      <c r="U21" s="408">
        <f t="shared" si="4"/>
        <v>0</v>
      </c>
      <c r="V21" s="408">
        <f t="shared" si="4"/>
        <v>0</v>
      </c>
      <c r="W21" s="408">
        <f t="shared" si="4"/>
        <v>0</v>
      </c>
    </row>
    <row r="22" spans="1:23" s="435" customFormat="1" ht="16" outlineLevel="1" thickBot="1">
      <c r="B22" s="456" t="str">
        <f>B7</f>
        <v>Total</v>
      </c>
      <c r="C22" s="456"/>
      <c r="D22" s="456">
        <f t="shared" ref="D22:W22" si="5">SUM(D21:D21)</f>
        <v>0</v>
      </c>
      <c r="E22" s="456">
        <f t="shared" si="5"/>
        <v>0</v>
      </c>
      <c r="F22" s="456">
        <f t="shared" si="5"/>
        <v>0</v>
      </c>
      <c r="G22" s="456">
        <f t="shared" si="5"/>
        <v>0</v>
      </c>
      <c r="H22" s="456">
        <f t="shared" si="5"/>
        <v>0</v>
      </c>
      <c r="I22" s="456">
        <f t="shared" si="5"/>
        <v>0</v>
      </c>
      <c r="J22" s="456">
        <f t="shared" si="5"/>
        <v>0</v>
      </c>
      <c r="K22" s="456">
        <f t="shared" si="5"/>
        <v>0</v>
      </c>
      <c r="L22" s="456">
        <f t="shared" si="5"/>
        <v>0</v>
      </c>
      <c r="M22" s="456">
        <f t="shared" si="5"/>
        <v>0</v>
      </c>
      <c r="N22" s="456">
        <f t="shared" si="5"/>
        <v>0</v>
      </c>
      <c r="O22" s="456">
        <f t="shared" si="5"/>
        <v>0</v>
      </c>
      <c r="P22" s="456">
        <f t="shared" si="5"/>
        <v>0</v>
      </c>
      <c r="Q22" s="456">
        <f t="shared" si="5"/>
        <v>0</v>
      </c>
      <c r="R22" s="456">
        <f t="shared" si="5"/>
        <v>0</v>
      </c>
      <c r="S22" s="456">
        <f t="shared" si="5"/>
        <v>0</v>
      </c>
      <c r="T22" s="456">
        <f t="shared" si="5"/>
        <v>0</v>
      </c>
      <c r="U22" s="456">
        <f t="shared" si="5"/>
        <v>0</v>
      </c>
      <c r="V22" s="456">
        <f t="shared" si="5"/>
        <v>0</v>
      </c>
      <c r="W22" s="456">
        <f t="shared" si="5"/>
        <v>0</v>
      </c>
    </row>
    <row r="23" spans="1:23" s="435" customFormat="1" outlineLevel="1">
      <c r="B23" s="406" t="s">
        <v>450</v>
      </c>
      <c r="C23" s="406"/>
      <c r="D23" s="406"/>
      <c r="E23" s="406"/>
      <c r="F23" s="406"/>
      <c r="G23" s="406"/>
      <c r="H23" s="406"/>
      <c r="I23" s="406"/>
      <c r="J23" s="406"/>
      <c r="K23" s="406"/>
      <c r="L23" s="406"/>
      <c r="M23" s="406"/>
      <c r="N23" s="406"/>
      <c r="O23" s="406"/>
      <c r="P23" s="406"/>
      <c r="Q23" s="406"/>
      <c r="R23" s="406"/>
      <c r="S23" s="406"/>
      <c r="T23" s="406"/>
      <c r="U23" s="406"/>
      <c r="V23" s="406"/>
      <c r="W23" s="406"/>
    </row>
    <row r="24" spans="1:23" outlineLevel="1">
      <c r="B24" s="421" t="str">
        <f>$B$6</f>
        <v>Establishment cost</v>
      </c>
      <c r="C24" s="421"/>
      <c r="D24" s="440"/>
      <c r="E24" s="440"/>
      <c r="F24" s="440"/>
      <c r="G24" s="408">
        <f t="shared" ref="G24:W24" si="6">IF($I6=1,$G9,IF($C9&gt;=D$13,$G9,0))</f>
        <v>0</v>
      </c>
      <c r="H24" s="408">
        <f t="shared" si="6"/>
        <v>0</v>
      </c>
      <c r="I24" s="408">
        <f t="shared" si="6"/>
        <v>0</v>
      </c>
      <c r="J24" s="408">
        <f t="shared" si="6"/>
        <v>0</v>
      </c>
      <c r="K24" s="408">
        <f t="shared" si="6"/>
        <v>0</v>
      </c>
      <c r="L24" s="408">
        <f t="shared" si="6"/>
        <v>0</v>
      </c>
      <c r="M24" s="408">
        <f t="shared" si="6"/>
        <v>0</v>
      </c>
      <c r="N24" s="408">
        <f t="shared" si="6"/>
        <v>0</v>
      </c>
      <c r="O24" s="408">
        <f t="shared" si="6"/>
        <v>0</v>
      </c>
      <c r="P24" s="408">
        <f t="shared" si="6"/>
        <v>0</v>
      </c>
      <c r="Q24" s="408">
        <f t="shared" si="6"/>
        <v>0</v>
      </c>
      <c r="R24" s="408">
        <f t="shared" si="6"/>
        <v>0</v>
      </c>
      <c r="S24" s="408">
        <f t="shared" si="6"/>
        <v>0</v>
      </c>
      <c r="T24" s="408">
        <f t="shared" si="6"/>
        <v>0</v>
      </c>
      <c r="U24" s="408">
        <f t="shared" si="6"/>
        <v>0</v>
      </c>
      <c r="V24" s="408">
        <f t="shared" si="6"/>
        <v>0</v>
      </c>
      <c r="W24" s="408">
        <f t="shared" si="6"/>
        <v>0</v>
      </c>
    </row>
    <row r="25" spans="1:23" s="435" customFormat="1" ht="16" outlineLevel="1" thickBot="1">
      <c r="B25" s="456" t="str">
        <f>B7</f>
        <v>Total</v>
      </c>
      <c r="C25" s="456"/>
      <c r="D25" s="456">
        <f t="shared" ref="D25:W25" si="7">SUM(D24:D24)</f>
        <v>0</v>
      </c>
      <c r="E25" s="456">
        <f t="shared" si="7"/>
        <v>0</v>
      </c>
      <c r="F25" s="456">
        <f t="shared" si="7"/>
        <v>0</v>
      </c>
      <c r="G25" s="456">
        <f t="shared" si="7"/>
        <v>0</v>
      </c>
      <c r="H25" s="456">
        <f t="shared" si="7"/>
        <v>0</v>
      </c>
      <c r="I25" s="456">
        <f t="shared" si="7"/>
        <v>0</v>
      </c>
      <c r="J25" s="456">
        <f t="shared" si="7"/>
        <v>0</v>
      </c>
      <c r="K25" s="456">
        <f t="shared" si="7"/>
        <v>0</v>
      </c>
      <c r="L25" s="456">
        <f t="shared" si="7"/>
        <v>0</v>
      </c>
      <c r="M25" s="456">
        <f t="shared" si="7"/>
        <v>0</v>
      </c>
      <c r="N25" s="456">
        <f t="shared" si="7"/>
        <v>0</v>
      </c>
      <c r="O25" s="456">
        <f t="shared" si="7"/>
        <v>0</v>
      </c>
      <c r="P25" s="456">
        <f t="shared" si="7"/>
        <v>0</v>
      </c>
      <c r="Q25" s="456">
        <f t="shared" si="7"/>
        <v>0</v>
      </c>
      <c r="R25" s="456">
        <f t="shared" si="7"/>
        <v>0</v>
      </c>
      <c r="S25" s="456">
        <f t="shared" si="7"/>
        <v>0</v>
      </c>
      <c r="T25" s="456">
        <f t="shared" si="7"/>
        <v>0</v>
      </c>
      <c r="U25" s="456">
        <f t="shared" si="7"/>
        <v>0</v>
      </c>
      <c r="V25" s="456">
        <f t="shared" si="7"/>
        <v>0</v>
      </c>
      <c r="W25" s="456">
        <f t="shared" si="7"/>
        <v>0</v>
      </c>
    </row>
    <row r="26" spans="1:23" s="435" customFormat="1" outlineLevel="1">
      <c r="B26" s="406" t="s">
        <v>451</v>
      </c>
      <c r="C26" s="406"/>
      <c r="D26" s="406"/>
      <c r="E26" s="406"/>
      <c r="F26" s="406"/>
      <c r="G26" s="406"/>
      <c r="H26" s="406"/>
      <c r="I26" s="406"/>
      <c r="J26" s="406"/>
      <c r="K26" s="406"/>
      <c r="L26" s="406"/>
      <c r="M26" s="406"/>
      <c r="N26" s="406"/>
      <c r="O26" s="406"/>
      <c r="P26" s="406"/>
      <c r="Q26" s="406"/>
      <c r="R26" s="406"/>
      <c r="S26" s="406"/>
      <c r="T26" s="406"/>
      <c r="U26" s="406"/>
      <c r="V26" s="406"/>
      <c r="W26" s="406"/>
    </row>
    <row r="27" spans="1:23" outlineLevel="1">
      <c r="B27" s="421" t="str">
        <f>$B$6</f>
        <v>Establishment cost</v>
      </c>
      <c r="C27" s="421"/>
      <c r="D27" s="440"/>
      <c r="E27" s="440"/>
      <c r="F27" s="440"/>
      <c r="G27" s="440"/>
      <c r="H27" s="408">
        <f t="shared" ref="H27:W27" si="8">IF($I6=1,$H9,IF($C9&gt;=D$13,$H9,0))</f>
        <v>0</v>
      </c>
      <c r="I27" s="408">
        <f t="shared" si="8"/>
        <v>0</v>
      </c>
      <c r="J27" s="408">
        <f t="shared" si="8"/>
        <v>0</v>
      </c>
      <c r="K27" s="408">
        <f t="shared" si="8"/>
        <v>0</v>
      </c>
      <c r="L27" s="408">
        <f t="shared" si="8"/>
        <v>0</v>
      </c>
      <c r="M27" s="408">
        <f t="shared" si="8"/>
        <v>0</v>
      </c>
      <c r="N27" s="408">
        <f t="shared" si="8"/>
        <v>0</v>
      </c>
      <c r="O27" s="408">
        <f t="shared" si="8"/>
        <v>0</v>
      </c>
      <c r="P27" s="408">
        <f t="shared" si="8"/>
        <v>0</v>
      </c>
      <c r="Q27" s="408">
        <f t="shared" si="8"/>
        <v>0</v>
      </c>
      <c r="R27" s="408">
        <f t="shared" si="8"/>
        <v>0</v>
      </c>
      <c r="S27" s="408">
        <f t="shared" si="8"/>
        <v>0</v>
      </c>
      <c r="T27" s="408">
        <f t="shared" si="8"/>
        <v>0</v>
      </c>
      <c r="U27" s="408">
        <f t="shared" si="8"/>
        <v>0</v>
      </c>
      <c r="V27" s="408">
        <f t="shared" si="8"/>
        <v>0</v>
      </c>
      <c r="W27" s="408">
        <f t="shared" si="8"/>
        <v>0</v>
      </c>
    </row>
    <row r="28" spans="1:23" s="435" customFormat="1" ht="16" outlineLevel="1" thickBot="1">
      <c r="B28" s="456" t="str">
        <f>B7</f>
        <v>Total</v>
      </c>
      <c r="C28" s="456"/>
      <c r="D28" s="456">
        <f t="shared" ref="D28:W28" si="9">SUM(D27:D27)</f>
        <v>0</v>
      </c>
      <c r="E28" s="456">
        <f t="shared" si="9"/>
        <v>0</v>
      </c>
      <c r="F28" s="456">
        <f t="shared" si="9"/>
        <v>0</v>
      </c>
      <c r="G28" s="456">
        <f t="shared" si="9"/>
        <v>0</v>
      </c>
      <c r="H28" s="456">
        <f t="shared" si="9"/>
        <v>0</v>
      </c>
      <c r="I28" s="456">
        <f t="shared" si="9"/>
        <v>0</v>
      </c>
      <c r="J28" s="456">
        <f t="shared" si="9"/>
        <v>0</v>
      </c>
      <c r="K28" s="456">
        <f t="shared" si="9"/>
        <v>0</v>
      </c>
      <c r="L28" s="456">
        <f t="shared" si="9"/>
        <v>0</v>
      </c>
      <c r="M28" s="456">
        <f t="shared" si="9"/>
        <v>0</v>
      </c>
      <c r="N28" s="456">
        <f t="shared" si="9"/>
        <v>0</v>
      </c>
      <c r="O28" s="456">
        <f t="shared" si="9"/>
        <v>0</v>
      </c>
      <c r="P28" s="456">
        <f t="shared" si="9"/>
        <v>0</v>
      </c>
      <c r="Q28" s="456">
        <f t="shared" si="9"/>
        <v>0</v>
      </c>
      <c r="R28" s="456">
        <f t="shared" si="9"/>
        <v>0</v>
      </c>
      <c r="S28" s="456">
        <f t="shared" si="9"/>
        <v>0</v>
      </c>
      <c r="T28" s="456">
        <f t="shared" si="9"/>
        <v>0</v>
      </c>
      <c r="U28" s="456">
        <f t="shared" si="9"/>
        <v>0</v>
      </c>
      <c r="V28" s="456">
        <f t="shared" si="9"/>
        <v>0</v>
      </c>
      <c r="W28" s="456">
        <f t="shared" si="9"/>
        <v>0</v>
      </c>
    </row>
    <row r="29" spans="1:23" s="469" customFormat="1" ht="16" outlineLevel="1" thickBot="1">
      <c r="A29" s="435"/>
      <c r="B29" s="468" t="s">
        <v>452</v>
      </c>
      <c r="C29" s="468"/>
      <c r="D29" s="468">
        <f t="shared" ref="D29:W29" si="10">SUM(D16,D19,D22,D25,D28)</f>
        <v>1856214.5129593008</v>
      </c>
      <c r="E29" s="468">
        <f t="shared" si="10"/>
        <v>2525348.4763020286</v>
      </c>
      <c r="F29" s="468">
        <f t="shared" si="10"/>
        <v>2525348.4763020286</v>
      </c>
      <c r="G29" s="468">
        <f t="shared" si="10"/>
        <v>2525348.4763020286</v>
      </c>
      <c r="H29" s="468">
        <f t="shared" si="10"/>
        <v>2525348.4763020286</v>
      </c>
      <c r="I29" s="468">
        <f t="shared" si="10"/>
        <v>2525348.4763020286</v>
      </c>
      <c r="J29" s="468">
        <f t="shared" si="10"/>
        <v>2525348.4763020286</v>
      </c>
      <c r="K29" s="468">
        <f t="shared" si="10"/>
        <v>2525348.4763020286</v>
      </c>
      <c r="L29" s="468">
        <f t="shared" si="10"/>
        <v>2525348.4763020286</v>
      </c>
      <c r="M29" s="468">
        <f t="shared" si="10"/>
        <v>2525348.4763020286</v>
      </c>
      <c r="N29" s="468">
        <f t="shared" si="10"/>
        <v>2525348.4763020286</v>
      </c>
      <c r="O29" s="468">
        <f t="shared" si="10"/>
        <v>2525348.4763020286</v>
      </c>
      <c r="P29" s="468">
        <f t="shared" si="10"/>
        <v>2525348.4763020286</v>
      </c>
      <c r="Q29" s="468">
        <f t="shared" si="10"/>
        <v>2525348.4763020286</v>
      </c>
      <c r="R29" s="468">
        <f t="shared" si="10"/>
        <v>2525348.4763020286</v>
      </c>
      <c r="S29" s="468">
        <f t="shared" si="10"/>
        <v>2525348.4763020286</v>
      </c>
      <c r="T29" s="468">
        <f t="shared" si="10"/>
        <v>2525348.4763020286</v>
      </c>
      <c r="U29" s="468">
        <f t="shared" si="10"/>
        <v>2525348.4763020286</v>
      </c>
      <c r="V29" s="468">
        <f t="shared" si="10"/>
        <v>2525348.4763020286</v>
      </c>
      <c r="W29" s="468">
        <f t="shared" si="10"/>
        <v>2525348.4763020286</v>
      </c>
    </row>
    <row r="30" spans="1:23" outlineLevel="1"/>
    <row r="31" spans="1:23" ht="16" thickBot="1"/>
    <row r="32" spans="1:23" ht="16" thickTop="1">
      <c r="B32" s="379" t="s">
        <v>453</v>
      </c>
      <c r="C32" s="379"/>
      <c r="D32" s="379"/>
      <c r="E32" s="379"/>
      <c r="F32" s="379"/>
      <c r="G32" s="379"/>
      <c r="H32" s="379"/>
      <c r="I32" s="379"/>
      <c r="J32" s="379"/>
      <c r="K32" s="379"/>
      <c r="L32" s="379"/>
      <c r="M32" s="379"/>
      <c r="N32" s="379"/>
      <c r="O32" s="379"/>
      <c r="P32" s="379"/>
      <c r="Q32" s="379"/>
      <c r="R32" s="379"/>
      <c r="S32" s="379"/>
      <c r="T32" s="379"/>
      <c r="U32" s="379"/>
      <c r="V32" s="379"/>
      <c r="W32" s="379"/>
    </row>
    <row r="33" spans="2:23" s="435" customFormat="1" ht="16" outlineLevel="1" thickBot="1">
      <c r="B33" s="405"/>
      <c r="C33" s="405"/>
      <c r="D33" s="405">
        <v>1</v>
      </c>
      <c r="E33" s="405">
        <v>2</v>
      </c>
      <c r="F33" s="405">
        <v>3</v>
      </c>
      <c r="G33" s="405">
        <v>4</v>
      </c>
      <c r="H33" s="405">
        <v>5</v>
      </c>
      <c r="I33" s="405">
        <v>6</v>
      </c>
      <c r="J33" s="405">
        <v>7</v>
      </c>
      <c r="K33" s="405">
        <v>8</v>
      </c>
      <c r="L33" s="405">
        <v>9</v>
      </c>
      <c r="M33" s="405">
        <v>10</v>
      </c>
      <c r="N33" s="405">
        <v>11</v>
      </c>
      <c r="O33" s="405">
        <v>12</v>
      </c>
      <c r="P33" s="405">
        <v>13</v>
      </c>
      <c r="Q33" s="405">
        <v>14</v>
      </c>
      <c r="R33" s="405">
        <v>15</v>
      </c>
      <c r="S33" s="405">
        <v>16</v>
      </c>
      <c r="T33" s="405">
        <v>17</v>
      </c>
      <c r="U33" s="405">
        <v>18</v>
      </c>
      <c r="V33" s="405">
        <v>19</v>
      </c>
      <c r="W33" s="405">
        <v>20</v>
      </c>
    </row>
    <row r="34" spans="2:23" s="435" customFormat="1" outlineLevel="1">
      <c r="B34" s="406" t="s">
        <v>454</v>
      </c>
      <c r="C34" s="406"/>
      <c r="D34" s="406"/>
      <c r="E34" s="406"/>
      <c r="F34" s="406"/>
      <c r="G34" s="406"/>
      <c r="H34" s="406"/>
      <c r="I34" s="406"/>
      <c r="J34" s="406"/>
      <c r="K34" s="406"/>
      <c r="L34" s="406"/>
      <c r="M34" s="406"/>
      <c r="N34" s="406"/>
      <c r="O34" s="406"/>
      <c r="P34" s="406"/>
      <c r="Q34" s="406"/>
      <c r="R34" s="406"/>
      <c r="S34" s="406"/>
      <c r="T34" s="406"/>
      <c r="U34" s="406"/>
      <c r="V34" s="406"/>
      <c r="W34" s="406"/>
    </row>
    <row r="35" spans="2:23" outlineLevel="1">
      <c r="B35" s="421" t="str">
        <f>$B$6</f>
        <v>Establishment cost</v>
      </c>
      <c r="C35" s="421"/>
      <c r="D35" s="408"/>
      <c r="E35" s="408">
        <f t="shared" ref="E35:W35" si="11">IF(INT(D$33/($C9))=D$33/($C9),$D6,0)*$I6</f>
        <v>0</v>
      </c>
      <c r="F35" s="408">
        <f t="shared" si="11"/>
        <v>0</v>
      </c>
      <c r="G35" s="408">
        <f t="shared" si="11"/>
        <v>0</v>
      </c>
      <c r="H35" s="408">
        <f t="shared" si="11"/>
        <v>0</v>
      </c>
      <c r="I35" s="408">
        <f t="shared" si="11"/>
        <v>0</v>
      </c>
      <c r="J35" s="408">
        <f t="shared" si="11"/>
        <v>0</v>
      </c>
      <c r="K35" s="408">
        <f t="shared" si="11"/>
        <v>0</v>
      </c>
      <c r="L35" s="408">
        <f t="shared" si="11"/>
        <v>0</v>
      </c>
      <c r="M35" s="408">
        <f t="shared" si="11"/>
        <v>0</v>
      </c>
      <c r="N35" s="408">
        <f t="shared" si="11"/>
        <v>0</v>
      </c>
      <c r="O35" s="408">
        <f t="shared" si="11"/>
        <v>0</v>
      </c>
      <c r="P35" s="408">
        <f t="shared" si="11"/>
        <v>0</v>
      </c>
      <c r="Q35" s="408">
        <f t="shared" si="11"/>
        <v>0</v>
      </c>
      <c r="R35" s="408">
        <f t="shared" si="11"/>
        <v>0</v>
      </c>
      <c r="S35" s="408">
        <f t="shared" si="11"/>
        <v>0</v>
      </c>
      <c r="T35" s="408">
        <f t="shared" si="11"/>
        <v>0</v>
      </c>
      <c r="U35" s="408">
        <f t="shared" si="11"/>
        <v>0</v>
      </c>
      <c r="V35" s="408">
        <f t="shared" si="11"/>
        <v>0</v>
      </c>
      <c r="W35" s="408">
        <f t="shared" si="11"/>
        <v>0</v>
      </c>
    </row>
    <row r="36" spans="2:23" s="435" customFormat="1" ht="16" outlineLevel="1" thickBot="1">
      <c r="B36" s="456" t="s">
        <v>1</v>
      </c>
      <c r="C36" s="456"/>
      <c r="D36" s="456"/>
      <c r="E36" s="456">
        <f t="shared" ref="E36:W36" si="12">SUM(E35:E35)</f>
        <v>0</v>
      </c>
      <c r="F36" s="456">
        <f t="shared" si="12"/>
        <v>0</v>
      </c>
      <c r="G36" s="456">
        <f t="shared" si="12"/>
        <v>0</v>
      </c>
      <c r="H36" s="456">
        <f t="shared" si="12"/>
        <v>0</v>
      </c>
      <c r="I36" s="456">
        <f t="shared" si="12"/>
        <v>0</v>
      </c>
      <c r="J36" s="456">
        <f t="shared" si="12"/>
        <v>0</v>
      </c>
      <c r="K36" s="456">
        <f t="shared" si="12"/>
        <v>0</v>
      </c>
      <c r="L36" s="456">
        <f t="shared" si="12"/>
        <v>0</v>
      </c>
      <c r="M36" s="456">
        <f t="shared" si="12"/>
        <v>0</v>
      </c>
      <c r="N36" s="456">
        <f t="shared" si="12"/>
        <v>0</v>
      </c>
      <c r="O36" s="456">
        <f t="shared" si="12"/>
        <v>0</v>
      </c>
      <c r="P36" s="456">
        <f t="shared" si="12"/>
        <v>0</v>
      </c>
      <c r="Q36" s="456">
        <f t="shared" si="12"/>
        <v>0</v>
      </c>
      <c r="R36" s="456">
        <f t="shared" si="12"/>
        <v>0</v>
      </c>
      <c r="S36" s="456">
        <f t="shared" si="12"/>
        <v>0</v>
      </c>
      <c r="T36" s="456">
        <f t="shared" si="12"/>
        <v>0</v>
      </c>
      <c r="U36" s="456">
        <f t="shared" si="12"/>
        <v>0</v>
      </c>
      <c r="V36" s="456">
        <f t="shared" si="12"/>
        <v>0</v>
      </c>
      <c r="W36" s="456">
        <f t="shared" si="12"/>
        <v>0</v>
      </c>
    </row>
    <row r="37" spans="2:23" s="435" customFormat="1" outlineLevel="1">
      <c r="B37" s="406" t="s">
        <v>455</v>
      </c>
      <c r="C37" s="406"/>
      <c r="D37" s="406"/>
      <c r="E37" s="406"/>
      <c r="F37" s="406"/>
      <c r="G37" s="406"/>
      <c r="H37" s="406"/>
      <c r="I37" s="406"/>
      <c r="J37" s="406"/>
      <c r="K37" s="406"/>
      <c r="L37" s="406"/>
      <c r="M37" s="406"/>
      <c r="N37" s="406"/>
      <c r="O37" s="406"/>
      <c r="P37" s="406"/>
      <c r="Q37" s="406"/>
      <c r="R37" s="406"/>
      <c r="S37" s="406"/>
      <c r="T37" s="406"/>
      <c r="U37" s="406"/>
      <c r="V37" s="406"/>
      <c r="W37" s="406"/>
    </row>
    <row r="38" spans="2:23" outlineLevel="1">
      <c r="B38" s="421" t="str">
        <f>$B$6</f>
        <v>Establishment cost</v>
      </c>
      <c r="C38" s="421"/>
      <c r="D38" s="440"/>
      <c r="E38" s="408"/>
      <c r="F38" s="408">
        <f t="shared" ref="F38:W38" si="13">IF(INT(D$33/($C9))=D$33/($C9),$E6,0)*$I6</f>
        <v>0</v>
      </c>
      <c r="G38" s="408">
        <f t="shared" si="13"/>
        <v>0</v>
      </c>
      <c r="H38" s="408">
        <f t="shared" si="13"/>
        <v>0</v>
      </c>
      <c r="I38" s="408">
        <f t="shared" si="13"/>
        <v>0</v>
      </c>
      <c r="J38" s="408">
        <f t="shared" si="13"/>
        <v>0</v>
      </c>
      <c r="K38" s="408">
        <f t="shared" si="13"/>
        <v>0</v>
      </c>
      <c r="L38" s="408">
        <f t="shared" si="13"/>
        <v>0</v>
      </c>
      <c r="M38" s="408">
        <f t="shared" si="13"/>
        <v>0</v>
      </c>
      <c r="N38" s="408">
        <f t="shared" si="13"/>
        <v>0</v>
      </c>
      <c r="O38" s="408">
        <f t="shared" si="13"/>
        <v>0</v>
      </c>
      <c r="P38" s="408">
        <f t="shared" si="13"/>
        <v>0</v>
      </c>
      <c r="Q38" s="408">
        <f t="shared" si="13"/>
        <v>0</v>
      </c>
      <c r="R38" s="408">
        <f t="shared" si="13"/>
        <v>0</v>
      </c>
      <c r="S38" s="408">
        <f t="shared" si="13"/>
        <v>0</v>
      </c>
      <c r="T38" s="408">
        <f t="shared" si="13"/>
        <v>0</v>
      </c>
      <c r="U38" s="408">
        <f t="shared" si="13"/>
        <v>0</v>
      </c>
      <c r="V38" s="408">
        <f t="shared" si="13"/>
        <v>0</v>
      </c>
      <c r="W38" s="408">
        <f t="shared" si="13"/>
        <v>0</v>
      </c>
    </row>
    <row r="39" spans="2:23" s="435" customFormat="1" ht="16" outlineLevel="1" thickBot="1">
      <c r="B39" s="456" t="str">
        <f>B36</f>
        <v>Total</v>
      </c>
      <c r="C39" s="456"/>
      <c r="D39" s="456"/>
      <c r="E39" s="456"/>
      <c r="F39" s="456">
        <f t="shared" ref="F39:W39" si="14">SUM(F38:F38)</f>
        <v>0</v>
      </c>
      <c r="G39" s="456">
        <f t="shared" si="14"/>
        <v>0</v>
      </c>
      <c r="H39" s="456">
        <f t="shared" si="14"/>
        <v>0</v>
      </c>
      <c r="I39" s="456">
        <f t="shared" si="14"/>
        <v>0</v>
      </c>
      <c r="J39" s="456">
        <f t="shared" si="14"/>
        <v>0</v>
      </c>
      <c r="K39" s="456">
        <f t="shared" si="14"/>
        <v>0</v>
      </c>
      <c r="L39" s="456">
        <f t="shared" si="14"/>
        <v>0</v>
      </c>
      <c r="M39" s="456">
        <f t="shared" si="14"/>
        <v>0</v>
      </c>
      <c r="N39" s="456">
        <f t="shared" si="14"/>
        <v>0</v>
      </c>
      <c r="O39" s="456">
        <f t="shared" si="14"/>
        <v>0</v>
      </c>
      <c r="P39" s="456">
        <f t="shared" si="14"/>
        <v>0</v>
      </c>
      <c r="Q39" s="456">
        <f t="shared" si="14"/>
        <v>0</v>
      </c>
      <c r="R39" s="456">
        <f t="shared" si="14"/>
        <v>0</v>
      </c>
      <c r="S39" s="456">
        <f t="shared" si="14"/>
        <v>0</v>
      </c>
      <c r="T39" s="456">
        <f t="shared" si="14"/>
        <v>0</v>
      </c>
      <c r="U39" s="456">
        <f t="shared" si="14"/>
        <v>0</v>
      </c>
      <c r="V39" s="456">
        <f t="shared" si="14"/>
        <v>0</v>
      </c>
      <c r="W39" s="456">
        <f t="shared" si="14"/>
        <v>0</v>
      </c>
    </row>
    <row r="40" spans="2:23" s="435" customFormat="1" outlineLevel="1">
      <c r="B40" s="406" t="s">
        <v>456</v>
      </c>
      <c r="C40" s="406"/>
      <c r="D40" s="406"/>
      <c r="E40" s="406"/>
      <c r="F40" s="406"/>
      <c r="G40" s="406"/>
      <c r="H40" s="406"/>
      <c r="I40" s="406"/>
      <c r="J40" s="406"/>
      <c r="K40" s="406"/>
      <c r="L40" s="406"/>
      <c r="M40" s="406"/>
      <c r="N40" s="406"/>
      <c r="O40" s="406"/>
      <c r="P40" s="406"/>
      <c r="Q40" s="406"/>
      <c r="R40" s="406"/>
      <c r="S40" s="406"/>
      <c r="T40" s="406"/>
      <c r="U40" s="406"/>
      <c r="V40" s="406"/>
      <c r="W40" s="406"/>
    </row>
    <row r="41" spans="2:23" outlineLevel="1">
      <c r="B41" s="421" t="str">
        <f>$B$6</f>
        <v>Establishment cost</v>
      </c>
      <c r="C41" s="421"/>
      <c r="D41" s="440"/>
      <c r="E41" s="440"/>
      <c r="F41" s="408"/>
      <c r="G41" s="408">
        <f t="shared" ref="G41:W41" si="15">IF(INT(D$33/($C9))=D$33/($C9),$F6,0)*$I6</f>
        <v>0</v>
      </c>
      <c r="H41" s="408">
        <f t="shared" si="15"/>
        <v>0</v>
      </c>
      <c r="I41" s="408">
        <f t="shared" si="15"/>
        <v>0</v>
      </c>
      <c r="J41" s="408">
        <f t="shared" si="15"/>
        <v>0</v>
      </c>
      <c r="K41" s="408">
        <f t="shared" si="15"/>
        <v>0</v>
      </c>
      <c r="L41" s="408">
        <f t="shared" si="15"/>
        <v>0</v>
      </c>
      <c r="M41" s="408">
        <f t="shared" si="15"/>
        <v>0</v>
      </c>
      <c r="N41" s="408">
        <f t="shared" si="15"/>
        <v>0</v>
      </c>
      <c r="O41" s="408">
        <f t="shared" si="15"/>
        <v>0</v>
      </c>
      <c r="P41" s="408">
        <f t="shared" si="15"/>
        <v>0</v>
      </c>
      <c r="Q41" s="408">
        <f t="shared" si="15"/>
        <v>0</v>
      </c>
      <c r="R41" s="408">
        <f t="shared" si="15"/>
        <v>0</v>
      </c>
      <c r="S41" s="408">
        <f t="shared" si="15"/>
        <v>0</v>
      </c>
      <c r="T41" s="408">
        <f t="shared" si="15"/>
        <v>0</v>
      </c>
      <c r="U41" s="408">
        <f t="shared" si="15"/>
        <v>0</v>
      </c>
      <c r="V41" s="408">
        <f t="shared" si="15"/>
        <v>0</v>
      </c>
      <c r="W41" s="408">
        <f t="shared" si="15"/>
        <v>0</v>
      </c>
    </row>
    <row r="42" spans="2:23" s="435" customFormat="1" ht="16" outlineLevel="1" thickBot="1">
      <c r="B42" s="456" t="str">
        <f>B36</f>
        <v>Total</v>
      </c>
      <c r="C42" s="456"/>
      <c r="D42" s="456"/>
      <c r="E42" s="456"/>
      <c r="F42" s="456"/>
      <c r="G42" s="456">
        <f t="shared" ref="G42:W42" si="16">SUM(G41:G41)</f>
        <v>0</v>
      </c>
      <c r="H42" s="456">
        <f t="shared" si="16"/>
        <v>0</v>
      </c>
      <c r="I42" s="456">
        <f t="shared" si="16"/>
        <v>0</v>
      </c>
      <c r="J42" s="456">
        <f t="shared" si="16"/>
        <v>0</v>
      </c>
      <c r="K42" s="456">
        <f t="shared" si="16"/>
        <v>0</v>
      </c>
      <c r="L42" s="456">
        <f t="shared" si="16"/>
        <v>0</v>
      </c>
      <c r="M42" s="456">
        <f t="shared" si="16"/>
        <v>0</v>
      </c>
      <c r="N42" s="456">
        <f t="shared" si="16"/>
        <v>0</v>
      </c>
      <c r="O42" s="456">
        <f t="shared" si="16"/>
        <v>0</v>
      </c>
      <c r="P42" s="456">
        <f t="shared" si="16"/>
        <v>0</v>
      </c>
      <c r="Q42" s="456">
        <f t="shared" si="16"/>
        <v>0</v>
      </c>
      <c r="R42" s="456">
        <f t="shared" si="16"/>
        <v>0</v>
      </c>
      <c r="S42" s="456">
        <f t="shared" si="16"/>
        <v>0</v>
      </c>
      <c r="T42" s="456">
        <f t="shared" si="16"/>
        <v>0</v>
      </c>
      <c r="U42" s="456">
        <f t="shared" si="16"/>
        <v>0</v>
      </c>
      <c r="V42" s="456">
        <f t="shared" si="16"/>
        <v>0</v>
      </c>
      <c r="W42" s="456">
        <f t="shared" si="16"/>
        <v>0</v>
      </c>
    </row>
    <row r="43" spans="2:23" s="435" customFormat="1" outlineLevel="1">
      <c r="B43" s="406" t="s">
        <v>457</v>
      </c>
      <c r="C43" s="406"/>
      <c r="D43" s="406"/>
      <c r="E43" s="406"/>
      <c r="F43" s="406"/>
      <c r="G43" s="406"/>
      <c r="H43" s="406"/>
      <c r="I43" s="406"/>
      <c r="J43" s="406"/>
      <c r="K43" s="406"/>
      <c r="L43" s="406"/>
      <c r="M43" s="406"/>
      <c r="N43" s="406"/>
      <c r="O43" s="406"/>
      <c r="P43" s="406"/>
      <c r="Q43" s="406"/>
      <c r="R43" s="406"/>
      <c r="S43" s="406"/>
      <c r="T43" s="406"/>
      <c r="U43" s="406"/>
      <c r="V43" s="406"/>
      <c r="W43" s="406"/>
    </row>
    <row r="44" spans="2:23" outlineLevel="1">
      <c r="B44" s="421" t="str">
        <f>$B$6</f>
        <v>Establishment cost</v>
      </c>
      <c r="C44" s="421"/>
      <c r="D44" s="440"/>
      <c r="E44" s="440"/>
      <c r="F44" s="440"/>
      <c r="G44" s="408"/>
      <c r="H44" s="408">
        <f t="shared" ref="H44:W44" si="17">IF(INT(D$33/($C9))=D$33/($C9),$G6,0)*$I6</f>
        <v>0</v>
      </c>
      <c r="I44" s="408">
        <f t="shared" si="17"/>
        <v>0</v>
      </c>
      <c r="J44" s="408">
        <f t="shared" si="17"/>
        <v>0</v>
      </c>
      <c r="K44" s="408">
        <f t="shared" si="17"/>
        <v>0</v>
      </c>
      <c r="L44" s="408">
        <f t="shared" si="17"/>
        <v>0</v>
      </c>
      <c r="M44" s="408">
        <f t="shared" si="17"/>
        <v>0</v>
      </c>
      <c r="N44" s="408">
        <f t="shared" si="17"/>
        <v>0</v>
      </c>
      <c r="O44" s="408">
        <f t="shared" si="17"/>
        <v>0</v>
      </c>
      <c r="P44" s="408">
        <f t="shared" si="17"/>
        <v>0</v>
      </c>
      <c r="Q44" s="408">
        <f t="shared" si="17"/>
        <v>0</v>
      </c>
      <c r="R44" s="408">
        <f t="shared" si="17"/>
        <v>0</v>
      </c>
      <c r="S44" s="408">
        <f t="shared" si="17"/>
        <v>0</v>
      </c>
      <c r="T44" s="408">
        <f t="shared" si="17"/>
        <v>0</v>
      </c>
      <c r="U44" s="408">
        <f t="shared" si="17"/>
        <v>0</v>
      </c>
      <c r="V44" s="408">
        <f t="shared" si="17"/>
        <v>0</v>
      </c>
      <c r="W44" s="408">
        <f t="shared" si="17"/>
        <v>0</v>
      </c>
    </row>
    <row r="45" spans="2:23" s="435" customFormat="1" ht="16" outlineLevel="1" thickBot="1">
      <c r="B45" s="456" t="str">
        <f>B36</f>
        <v>Total</v>
      </c>
      <c r="C45" s="456"/>
      <c r="D45" s="456"/>
      <c r="E45" s="456"/>
      <c r="F45" s="456"/>
      <c r="G45" s="456"/>
      <c r="H45" s="456">
        <f t="shared" ref="H45:W45" si="18">SUM(H44:H44)</f>
        <v>0</v>
      </c>
      <c r="I45" s="456">
        <f t="shared" si="18"/>
        <v>0</v>
      </c>
      <c r="J45" s="456">
        <f t="shared" si="18"/>
        <v>0</v>
      </c>
      <c r="K45" s="456">
        <f t="shared" si="18"/>
        <v>0</v>
      </c>
      <c r="L45" s="456">
        <f t="shared" si="18"/>
        <v>0</v>
      </c>
      <c r="M45" s="456">
        <f t="shared" si="18"/>
        <v>0</v>
      </c>
      <c r="N45" s="456">
        <f t="shared" si="18"/>
        <v>0</v>
      </c>
      <c r="O45" s="456">
        <f t="shared" si="18"/>
        <v>0</v>
      </c>
      <c r="P45" s="456">
        <f t="shared" si="18"/>
        <v>0</v>
      </c>
      <c r="Q45" s="456">
        <f t="shared" si="18"/>
        <v>0</v>
      </c>
      <c r="R45" s="456">
        <f t="shared" si="18"/>
        <v>0</v>
      </c>
      <c r="S45" s="456">
        <f t="shared" si="18"/>
        <v>0</v>
      </c>
      <c r="T45" s="456">
        <f t="shared" si="18"/>
        <v>0</v>
      </c>
      <c r="U45" s="456">
        <f t="shared" si="18"/>
        <v>0</v>
      </c>
      <c r="V45" s="456">
        <f t="shared" si="18"/>
        <v>0</v>
      </c>
      <c r="W45" s="456">
        <f t="shared" si="18"/>
        <v>0</v>
      </c>
    </row>
    <row r="46" spans="2:23" s="435" customFormat="1" outlineLevel="1">
      <c r="B46" s="406" t="s">
        <v>458</v>
      </c>
      <c r="C46" s="406"/>
      <c r="D46" s="406"/>
      <c r="E46" s="406"/>
      <c r="F46" s="406"/>
      <c r="G46" s="406"/>
      <c r="H46" s="406"/>
      <c r="I46" s="406"/>
      <c r="J46" s="406"/>
      <c r="K46" s="406"/>
      <c r="L46" s="406"/>
      <c r="M46" s="406"/>
      <c r="N46" s="406"/>
      <c r="O46" s="406"/>
      <c r="P46" s="406"/>
      <c r="Q46" s="406"/>
      <c r="R46" s="406"/>
      <c r="S46" s="406"/>
      <c r="T46" s="406"/>
      <c r="U46" s="406"/>
      <c r="V46" s="406"/>
      <c r="W46" s="406"/>
    </row>
    <row r="47" spans="2:23" outlineLevel="1">
      <c r="B47" s="421" t="str">
        <f>$B$6</f>
        <v>Establishment cost</v>
      </c>
      <c r="C47" s="421"/>
      <c r="D47" s="440"/>
      <c r="E47" s="440"/>
      <c r="F47" s="440"/>
      <c r="G47" s="440"/>
      <c r="H47" s="408"/>
      <c r="I47" s="408">
        <f t="shared" ref="I47:W47" si="19">IF(INT(D$33/($C9))=D$33/($C9),$H6,0)*$I6</f>
        <v>0</v>
      </c>
      <c r="J47" s="408">
        <f t="shared" si="19"/>
        <v>0</v>
      </c>
      <c r="K47" s="408">
        <f t="shared" si="19"/>
        <v>0</v>
      </c>
      <c r="L47" s="408">
        <f t="shared" si="19"/>
        <v>0</v>
      </c>
      <c r="M47" s="408">
        <f t="shared" si="19"/>
        <v>0</v>
      </c>
      <c r="N47" s="408">
        <f t="shared" si="19"/>
        <v>0</v>
      </c>
      <c r="O47" s="408">
        <f t="shared" si="19"/>
        <v>0</v>
      </c>
      <c r="P47" s="408">
        <f t="shared" si="19"/>
        <v>0</v>
      </c>
      <c r="Q47" s="408">
        <f t="shared" si="19"/>
        <v>0</v>
      </c>
      <c r="R47" s="408">
        <f t="shared" si="19"/>
        <v>0</v>
      </c>
      <c r="S47" s="408">
        <f t="shared" si="19"/>
        <v>0</v>
      </c>
      <c r="T47" s="408">
        <f t="shared" si="19"/>
        <v>0</v>
      </c>
      <c r="U47" s="408">
        <f t="shared" si="19"/>
        <v>0</v>
      </c>
      <c r="V47" s="408">
        <f t="shared" si="19"/>
        <v>0</v>
      </c>
      <c r="W47" s="408">
        <f t="shared" si="19"/>
        <v>0</v>
      </c>
    </row>
    <row r="48" spans="2:23" s="435" customFormat="1" ht="16" outlineLevel="1" thickBot="1">
      <c r="B48" s="456" t="str">
        <f>B36</f>
        <v>Total</v>
      </c>
      <c r="C48" s="456"/>
      <c r="D48" s="456"/>
      <c r="E48" s="456"/>
      <c r="F48" s="456"/>
      <c r="G48" s="456"/>
      <c r="H48" s="456"/>
      <c r="I48" s="456">
        <f t="shared" ref="I48:W48" si="20">SUM(I47:I47)</f>
        <v>0</v>
      </c>
      <c r="J48" s="456">
        <f t="shared" si="20"/>
        <v>0</v>
      </c>
      <c r="K48" s="456">
        <f t="shared" si="20"/>
        <v>0</v>
      </c>
      <c r="L48" s="456">
        <f t="shared" si="20"/>
        <v>0</v>
      </c>
      <c r="M48" s="456">
        <f t="shared" si="20"/>
        <v>0</v>
      </c>
      <c r="N48" s="456">
        <f t="shared" si="20"/>
        <v>0</v>
      </c>
      <c r="O48" s="456">
        <f t="shared" si="20"/>
        <v>0</v>
      </c>
      <c r="P48" s="456">
        <f t="shared" si="20"/>
        <v>0</v>
      </c>
      <c r="Q48" s="456">
        <f t="shared" si="20"/>
        <v>0</v>
      </c>
      <c r="R48" s="456">
        <f t="shared" si="20"/>
        <v>0</v>
      </c>
      <c r="S48" s="456">
        <f t="shared" si="20"/>
        <v>0</v>
      </c>
      <c r="T48" s="456">
        <f t="shared" si="20"/>
        <v>0</v>
      </c>
      <c r="U48" s="456">
        <f t="shared" si="20"/>
        <v>0</v>
      </c>
      <c r="V48" s="456">
        <f t="shared" si="20"/>
        <v>0</v>
      </c>
      <c r="W48" s="456">
        <f t="shared" si="20"/>
        <v>0</v>
      </c>
    </row>
    <row r="49" spans="2:23" s="435" customFormat="1" ht="16" outlineLevel="1" thickBot="1">
      <c r="B49" s="468" t="s">
        <v>452</v>
      </c>
      <c r="C49" s="468"/>
      <c r="D49" s="468"/>
      <c r="E49" s="468">
        <f t="shared" ref="E49:W49" si="21">SUM(E36,E39,E42,E45,E48)</f>
        <v>0</v>
      </c>
      <c r="F49" s="468">
        <f t="shared" si="21"/>
        <v>0</v>
      </c>
      <c r="G49" s="468">
        <f t="shared" si="21"/>
        <v>0</v>
      </c>
      <c r="H49" s="468">
        <f t="shared" si="21"/>
        <v>0</v>
      </c>
      <c r="I49" s="468">
        <f>SUM(I36,I39,I42,I45,I48)</f>
        <v>0</v>
      </c>
      <c r="J49" s="468">
        <f t="shared" si="21"/>
        <v>0</v>
      </c>
      <c r="K49" s="468">
        <f t="shared" si="21"/>
        <v>0</v>
      </c>
      <c r="L49" s="468">
        <f t="shared" si="21"/>
        <v>0</v>
      </c>
      <c r="M49" s="468">
        <f t="shared" si="21"/>
        <v>0</v>
      </c>
      <c r="N49" s="468">
        <f t="shared" si="21"/>
        <v>0</v>
      </c>
      <c r="O49" s="468">
        <f t="shared" si="21"/>
        <v>0</v>
      </c>
      <c r="P49" s="468">
        <f t="shared" si="21"/>
        <v>0</v>
      </c>
      <c r="Q49" s="468">
        <f t="shared" si="21"/>
        <v>0</v>
      </c>
      <c r="R49" s="468">
        <f t="shared" si="21"/>
        <v>0</v>
      </c>
      <c r="S49" s="468">
        <f t="shared" si="21"/>
        <v>0</v>
      </c>
      <c r="T49" s="468">
        <f t="shared" si="21"/>
        <v>0</v>
      </c>
      <c r="U49" s="468">
        <f t="shared" si="21"/>
        <v>0</v>
      </c>
      <c r="V49" s="468">
        <f t="shared" si="21"/>
        <v>0</v>
      </c>
      <c r="W49" s="468">
        <f t="shared" si="21"/>
        <v>0</v>
      </c>
    </row>
    <row r="50" spans="2:23" outlineLevel="1"/>
  </sheetData>
  <sheetProtection selectLockedCells="1" selectUnlockedCells="1"/>
  <pageMargins left="0.7" right="0.7" top="0.75" bottom="0.75" header="0.3" footer="0.3"/>
  <pageSetup paperSize="9"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4" tint="0.39997558519241921"/>
  </sheetPr>
  <dimension ref="A1:V60"/>
  <sheetViews>
    <sheetView zoomScale="80" zoomScaleNormal="80" workbookViewId="0">
      <selection activeCell="L14" sqref="L14"/>
    </sheetView>
  </sheetViews>
  <sheetFormatPr baseColWidth="10" defaultColWidth="8.83203125" defaultRowHeight="15"/>
  <cols>
    <col min="1" max="1" width="7.1640625" style="10" bestFit="1" customWidth="1"/>
    <col min="2" max="2" width="42.1640625" style="10" bestFit="1" customWidth="1"/>
    <col min="3" max="3" width="14.1640625" style="51" bestFit="1" customWidth="1"/>
    <col min="4" max="4" width="14.5" style="51" bestFit="1" customWidth="1"/>
    <col min="5" max="8" width="15.83203125" style="51" bestFit="1" customWidth="1"/>
    <col min="9" max="14" width="16.83203125" style="51" bestFit="1" customWidth="1"/>
    <col min="15" max="16384" width="8.83203125" style="10"/>
  </cols>
  <sheetData>
    <row r="1" spans="1:22" s="371" customFormat="1">
      <c r="B1" s="371" t="s">
        <v>168</v>
      </c>
      <c r="C1" s="371" t="str">
        <f>Cover!$C$10</f>
        <v>Mr. Amir Artine</v>
      </c>
      <c r="D1" s="176" t="str">
        <f>Cover!$C$3</f>
        <v>Cattle Integration, Baghara, Chad</v>
      </c>
      <c r="E1" s="372"/>
      <c r="F1" s="372"/>
      <c r="G1" s="372" t="s">
        <v>169</v>
      </c>
      <c r="H1" s="373">
        <f ca="1">Cover!$C$13</f>
        <v>45763</v>
      </c>
      <c r="I1" s="372"/>
      <c r="J1" s="372"/>
      <c r="K1" s="372"/>
      <c r="L1" s="372"/>
      <c r="M1" s="372"/>
      <c r="N1" s="372"/>
      <c r="O1" s="372"/>
      <c r="P1" s="372"/>
      <c r="Q1" s="372"/>
      <c r="R1" s="372"/>
      <c r="S1" s="372"/>
      <c r="T1" s="372"/>
      <c r="U1" s="372"/>
      <c r="V1" s="372"/>
    </row>
    <row r="2" spans="1:22" s="39" customFormat="1">
      <c r="D2" s="40"/>
      <c r="E2" s="38"/>
    </row>
    <row r="3" spans="1:22" s="39" customFormat="1">
      <c r="D3" s="40"/>
      <c r="E3" s="38"/>
    </row>
    <row r="4" spans="1:22">
      <c r="C4" s="10"/>
      <c r="D4" s="10"/>
      <c r="E4" s="10"/>
      <c r="F4" s="10"/>
      <c r="G4" s="10"/>
      <c r="H4" s="10"/>
      <c r="I4" s="10"/>
      <c r="J4" s="10"/>
      <c r="K4" s="10"/>
      <c r="L4" s="10"/>
      <c r="M4" s="10"/>
      <c r="N4" s="10"/>
    </row>
    <row r="5" spans="1:22" s="41" customFormat="1" ht="16">
      <c r="B5" s="37"/>
      <c r="C5" s="37" t="s">
        <v>4</v>
      </c>
      <c r="D5" s="37" t="s">
        <v>5</v>
      </c>
      <c r="E5" s="37" t="s">
        <v>6</v>
      </c>
      <c r="F5" s="37" t="s">
        <v>7</v>
      </c>
      <c r="G5" s="37" t="s">
        <v>8</v>
      </c>
      <c r="H5" s="37" t="s">
        <v>9</v>
      </c>
      <c r="I5" s="37" t="s">
        <v>10</v>
      </c>
      <c r="J5" s="37" t="s">
        <v>11</v>
      </c>
      <c r="K5" s="37" t="s">
        <v>12</v>
      </c>
      <c r="L5" s="37" t="s">
        <v>13</v>
      </c>
      <c r="M5" s="37" t="s">
        <v>14</v>
      </c>
      <c r="N5" s="37" t="s">
        <v>15</v>
      </c>
    </row>
    <row r="6" spans="1:22">
      <c r="B6" s="46" t="s">
        <v>505</v>
      </c>
      <c r="C6" s="88"/>
      <c r="D6" s="48"/>
      <c r="E6" s="48"/>
      <c r="F6" s="48"/>
      <c r="G6" s="48"/>
      <c r="H6" s="48"/>
      <c r="I6" s="48"/>
      <c r="J6" s="48"/>
      <c r="K6" s="48"/>
      <c r="L6" s="48"/>
      <c r="M6" s="48"/>
      <c r="N6" s="48"/>
    </row>
    <row r="7" spans="1:22" s="8" customFormat="1">
      <c r="A7" s="92"/>
      <c r="B7" s="488" t="s">
        <v>513</v>
      </c>
      <c r="C7" s="519">
        <v>212035.74187316708</v>
      </c>
      <c r="D7" s="519">
        <v>522605.17638515099</v>
      </c>
      <c r="E7" s="519">
        <v>512428.90917012072</v>
      </c>
      <c r="F7" s="519">
        <v>377742.11874383892</v>
      </c>
      <c r="G7" s="519">
        <v>297450.30909363029</v>
      </c>
      <c r="H7" s="519">
        <v>304267.62131656782</v>
      </c>
      <c r="I7" s="519">
        <v>254379.07702838755</v>
      </c>
      <c r="J7" s="519">
        <v>265197.29431202367</v>
      </c>
      <c r="K7" s="519">
        <v>272000.24510992493</v>
      </c>
      <c r="L7" s="519">
        <v>278835.21118762856</v>
      </c>
      <c r="M7" s="519">
        <v>285702.35761681286</v>
      </c>
      <c r="N7" s="519">
        <v>292601.85031172936</v>
      </c>
    </row>
    <row r="8" spans="1:22" s="8" customFormat="1">
      <c r="A8" s="92"/>
      <c r="B8" s="520" t="s">
        <v>504</v>
      </c>
      <c r="C8" s="489"/>
      <c r="D8" s="489"/>
      <c r="E8" s="489"/>
      <c r="F8" s="489"/>
      <c r="G8" s="489"/>
      <c r="H8" s="489"/>
      <c r="I8" s="489"/>
      <c r="J8" s="489"/>
      <c r="K8" s="489"/>
      <c r="L8" s="489"/>
      <c r="M8" s="489"/>
      <c r="N8" s="489"/>
    </row>
    <row r="9" spans="1:22" s="8" customFormat="1">
      <c r="A9" s="92"/>
      <c r="B9" s="488" t="s">
        <v>207</v>
      </c>
      <c r="C9" s="519">
        <f>'Dairy Product Composition'!H15</f>
        <v>96000.000000000015</v>
      </c>
      <c r="D9" s="519">
        <f>'Dairy Product Composition'!I15</f>
        <v>140400</v>
      </c>
      <c r="E9" s="519">
        <f>'Dairy Product Composition'!J15</f>
        <v>247087.37664000006</v>
      </c>
      <c r="F9" s="519">
        <f>'Dairy Product Composition'!K15</f>
        <v>359914.57192080002</v>
      </c>
      <c r="G9" s="519">
        <f>'Dairy Product Composition'!L15</f>
        <v>517807.09262631141</v>
      </c>
      <c r="H9" s="519">
        <f>'Dairy Product Composition'!M15</f>
        <v>685754.39728332136</v>
      </c>
      <c r="I9" s="519">
        <f>'Dairy Product Composition'!N15</f>
        <v>783229.48661145056</v>
      </c>
      <c r="J9" s="519">
        <f>'Dairy Product Composition'!O15</f>
        <v>831661.21619371325</v>
      </c>
      <c r="K9" s="519">
        <f>'Dairy Product Composition'!P15</f>
        <v>880032.10016497993</v>
      </c>
      <c r="L9" s="519">
        <f>'Dairy Product Composition'!Q15</f>
        <v>879482.08010237676</v>
      </c>
      <c r="M9" s="519">
        <f>'Dairy Product Composition'!R15</f>
        <v>878932.40380231291</v>
      </c>
      <c r="N9" s="519">
        <f>'Dairy Product Composition'!S15</f>
        <v>878383.07104993635</v>
      </c>
    </row>
    <row r="10" spans="1:22" s="8" customFormat="1">
      <c r="A10" s="92"/>
      <c r="B10" s="488" t="s">
        <v>186</v>
      </c>
      <c r="C10" s="519">
        <f>'Dairy Product Composition'!H16</f>
        <v>166829.26829268297</v>
      </c>
      <c r="D10" s="519">
        <f>'Dairy Product Composition'!I16</f>
        <v>243987.80487804883</v>
      </c>
      <c r="E10" s="519">
        <f>'Dairy Product Composition'!J16</f>
        <v>429389.64842926845</v>
      </c>
      <c r="F10" s="519">
        <f>'Dairy Product Composition'!K16</f>
        <v>625461.29876480496</v>
      </c>
      <c r="G10" s="519">
        <f>'Dairy Product Composition'!L16</f>
        <v>899847.69145426073</v>
      </c>
      <c r="H10" s="519">
        <f>'Dairy Product Composition'!M16</f>
        <v>1191707.3367423574</v>
      </c>
      <c r="I10" s="519">
        <f>'Dairy Product Composition'!N16</f>
        <v>1361100.0224650209</v>
      </c>
      <c r="J10" s="519">
        <f>'Dairy Product Composition'!O16</f>
        <v>1445264.9183854165</v>
      </c>
      <c r="K10" s="519">
        <f>'Dairy Product Composition'!P16</f>
        <v>1529324.0765062154</v>
      </c>
      <c r="L10" s="519">
        <f>'Dairy Product Composition'!Q16</f>
        <v>1528368.2489583988</v>
      </c>
      <c r="M10" s="519">
        <f>'Dairy Product Composition'!R16</f>
        <v>1527413.0188028</v>
      </c>
      <c r="N10" s="519">
        <f>'Dairy Product Composition'!S16</f>
        <v>1526458.3856660479</v>
      </c>
    </row>
    <row r="11" spans="1:22" s="8" customFormat="1">
      <c r="A11" s="92"/>
      <c r="B11" s="488" t="s">
        <v>460</v>
      </c>
      <c r="C11" s="519">
        <f>'Dairy Product Composition'!H17</f>
        <v>0</v>
      </c>
      <c r="D11" s="519">
        <f>'Dairy Product Composition'!I17</f>
        <v>0</v>
      </c>
      <c r="E11" s="519">
        <f>'Dairy Product Composition'!J17</f>
        <v>0</v>
      </c>
      <c r="F11" s="519">
        <f>'Dairy Product Composition'!K17</f>
        <v>0</v>
      </c>
      <c r="G11" s="519">
        <f>'Dairy Product Composition'!L17</f>
        <v>0</v>
      </c>
      <c r="H11" s="519">
        <f>'Dairy Product Composition'!M17</f>
        <v>0</v>
      </c>
      <c r="I11" s="519">
        <f>'Dairy Product Composition'!N17</f>
        <v>0</v>
      </c>
      <c r="J11" s="519">
        <f>'Dairy Product Composition'!O17</f>
        <v>0</v>
      </c>
      <c r="K11" s="519">
        <f>'Dairy Product Composition'!P17</f>
        <v>0</v>
      </c>
      <c r="L11" s="519">
        <f>'Dairy Product Composition'!Q17</f>
        <v>0</v>
      </c>
      <c r="M11" s="519">
        <f>'Dairy Product Composition'!R17</f>
        <v>0</v>
      </c>
      <c r="N11" s="519">
        <f>'Dairy Product Composition'!S17</f>
        <v>0</v>
      </c>
    </row>
    <row r="12" spans="1:22" s="8" customFormat="1">
      <c r="A12" s="92"/>
      <c r="B12" s="488" t="s">
        <v>208</v>
      </c>
      <c r="C12" s="519">
        <f>'Dairy Product Composition'!H18</f>
        <v>1049999.9999999998</v>
      </c>
      <c r="D12" s="519">
        <f>'Dairy Product Composition'!I18</f>
        <v>1535624.9999999995</v>
      </c>
      <c r="E12" s="519">
        <f>'Dairy Product Composition'!J18</f>
        <v>2702518.1819999996</v>
      </c>
      <c r="F12" s="519">
        <f>'Dairy Product Composition'!K18</f>
        <v>3936565.6303837486</v>
      </c>
      <c r="G12" s="519">
        <f>'Dairy Product Composition'!L18</f>
        <v>5663515.0756002786</v>
      </c>
      <c r="H12" s="519">
        <f>'Dairy Product Composition'!M18</f>
        <v>7500438.7202863237</v>
      </c>
      <c r="I12" s="519">
        <f>'Dairy Product Composition'!N18</f>
        <v>8566572.5098127369</v>
      </c>
      <c r="J12" s="519">
        <f>'Dairy Product Composition'!O18</f>
        <v>9096294.5521187354</v>
      </c>
      <c r="K12" s="519">
        <f>'Dairy Product Composition'!P18</f>
        <v>9625351.0955544636</v>
      </c>
      <c r="L12" s="519">
        <f>'Dairy Product Composition'!Q18</f>
        <v>9619335.2511197422</v>
      </c>
      <c r="M12" s="519">
        <f>'Dairy Product Composition'!R18</f>
        <v>9613323.1665877923</v>
      </c>
      <c r="N12" s="519">
        <f>'Dairy Product Composition'!S18</f>
        <v>9607314.8396086749</v>
      </c>
    </row>
    <row r="13" spans="1:22" s="8" customFormat="1">
      <c r="A13" s="92"/>
      <c r="B13" s="488" t="s">
        <v>182</v>
      </c>
      <c r="C13" s="519">
        <f>'Dairy Product Composition'!H19</f>
        <v>1152439.0243902437</v>
      </c>
      <c r="D13" s="519">
        <f>'Dairy Product Composition'!I19</f>
        <v>1685442.0731707313</v>
      </c>
      <c r="E13" s="519">
        <f>'Dairy Product Composition'!J19</f>
        <v>2966178.4924390242</v>
      </c>
      <c r="F13" s="519">
        <f>'Dairy Product Composition'!K19</f>
        <v>4320620.813835822</v>
      </c>
      <c r="G13" s="519">
        <f>'Dairy Product Composition'!L19</f>
        <v>6216053.1317564044</v>
      </c>
      <c r="H13" s="519">
        <f>'Dairy Product Composition'!M19</f>
        <v>8232188.8393386491</v>
      </c>
      <c r="I13" s="519">
        <f>'Dairy Product Composition'!N19</f>
        <v>9402335.6815017853</v>
      </c>
      <c r="J13" s="519">
        <f>'Dairy Product Composition'!O19</f>
        <v>9983737.9230571482</v>
      </c>
      <c r="K13" s="519">
        <f>'Dairy Product Composition'!P19</f>
        <v>10564409.739023194</v>
      </c>
      <c r="L13" s="519">
        <f>'Dairy Product Composition'!Q19</f>
        <v>10557806.982936302</v>
      </c>
      <c r="M13" s="519">
        <f>'Dairy Product Composition'!R19</f>
        <v>10551208.353571968</v>
      </c>
      <c r="N13" s="519">
        <f>'Dairy Product Composition'!S19</f>
        <v>10544613.848350985</v>
      </c>
    </row>
    <row r="14" spans="1:22" s="8" customFormat="1">
      <c r="A14" s="521"/>
      <c r="B14" s="488" t="s">
        <v>185</v>
      </c>
      <c r="C14" s="519">
        <f>'Dairy Product Composition'!H20</f>
        <v>128963.41463414635</v>
      </c>
      <c r="D14" s="519">
        <f>'Dairy Product Composition'!I20</f>
        <v>188608.99390243902</v>
      </c>
      <c r="E14" s="519">
        <f>'Dairy Product Composition'!J20</f>
        <v>331929.49796341464</v>
      </c>
      <c r="F14" s="519">
        <f>'Dairy Product Composition'!K20</f>
        <v>483498.04345305631</v>
      </c>
      <c r="G14" s="519">
        <f>'Dairy Product Composition'!L20</f>
        <v>695605.94569655007</v>
      </c>
      <c r="H14" s="519">
        <f>'Dairy Product Composition'!M20</f>
        <v>921221.13202122995</v>
      </c>
      <c r="I14" s="519">
        <f>'Dairy Product Composition'!N20</f>
        <v>1052166.1357871047</v>
      </c>
      <c r="J14" s="519">
        <f>'Dairy Product Composition'!O20</f>
        <v>1117227.8151992527</v>
      </c>
      <c r="K14" s="519">
        <f>'Dairy Product Composition'!P20</f>
        <v>1182207.7565097385</v>
      </c>
      <c r="L14" s="519">
        <f>'Dairy Product Composition'!Q20</f>
        <v>1181468.8766619198</v>
      </c>
      <c r="M14" s="519">
        <f>'Dairy Product Composition'!R20</f>
        <v>1180730.4586140062</v>
      </c>
      <c r="N14" s="519">
        <f>'Dairy Product Composition'!S20</f>
        <v>1179992.5020773723</v>
      </c>
    </row>
    <row r="15" spans="1:22" s="8" customFormat="1">
      <c r="A15" s="522">
        <v>1500</v>
      </c>
      <c r="B15" s="488" t="s">
        <v>516</v>
      </c>
      <c r="C15" s="519">
        <v>0</v>
      </c>
      <c r="D15" s="519">
        <v>0</v>
      </c>
      <c r="E15" s="519">
        <v>0</v>
      </c>
      <c r="F15" s="519">
        <v>0</v>
      </c>
      <c r="G15" s="519">
        <v>70878.263312008872</v>
      </c>
      <c r="H15" s="519">
        <v>315551.2440620485</v>
      </c>
      <c r="I15" s="519">
        <v>393114.45143574121</v>
      </c>
      <c r="J15" s="519">
        <v>392868.7549035938</v>
      </c>
      <c r="K15" s="519">
        <v>392623.21193177911</v>
      </c>
      <c r="L15" s="519">
        <v>392377.82242432155</v>
      </c>
      <c r="M15" s="519">
        <v>392132.58628530649</v>
      </c>
      <c r="N15" s="519">
        <v>391887.50341887824</v>
      </c>
    </row>
    <row r="16" spans="1:22" s="476" customFormat="1">
      <c r="A16" s="523"/>
      <c r="B16" s="524" t="s">
        <v>503</v>
      </c>
      <c r="C16" s="525">
        <f>SUM(C9:C15)</f>
        <v>2594231.7073170724</v>
      </c>
      <c r="D16" s="525">
        <f t="shared" ref="D16:N16" si="0">SUM(D9:D15)</f>
        <v>3794063.8719512187</v>
      </c>
      <c r="E16" s="525">
        <f t="shared" si="0"/>
        <v>6677103.1974717071</v>
      </c>
      <c r="F16" s="525">
        <f t="shared" si="0"/>
        <v>9726060.3583582323</v>
      </c>
      <c r="G16" s="525">
        <f>SUM(G9:G15)</f>
        <v>14063707.200445814</v>
      </c>
      <c r="H16" s="525">
        <f t="shared" si="0"/>
        <v>18846861.669733927</v>
      </c>
      <c r="I16" s="525">
        <f t="shared" si="0"/>
        <v>21558518.287613839</v>
      </c>
      <c r="J16" s="525">
        <f t="shared" si="0"/>
        <v>22867055.179857858</v>
      </c>
      <c r="K16" s="525">
        <f t="shared" si="0"/>
        <v>24173947.979690373</v>
      </c>
      <c r="L16" s="525">
        <f t="shared" si="0"/>
        <v>24158839.26220306</v>
      </c>
      <c r="M16" s="525">
        <f t="shared" si="0"/>
        <v>24143739.987664185</v>
      </c>
      <c r="N16" s="525">
        <f t="shared" si="0"/>
        <v>24128650.150171891</v>
      </c>
    </row>
    <row r="17" spans="1:14" s="8" customFormat="1">
      <c r="A17" s="526"/>
      <c r="B17" s="520" t="s">
        <v>501</v>
      </c>
      <c r="C17" s="489"/>
      <c r="D17" s="489"/>
      <c r="E17" s="489"/>
      <c r="F17" s="489"/>
      <c r="G17" s="489"/>
      <c r="H17" s="489"/>
      <c r="I17" s="489"/>
      <c r="J17" s="489"/>
      <c r="K17" s="489"/>
      <c r="L17" s="489"/>
      <c r="M17" s="489"/>
      <c r="N17" s="489"/>
    </row>
    <row r="18" spans="1:14" s="8" customFormat="1">
      <c r="A18" s="526">
        <v>2.5</v>
      </c>
      <c r="B18" s="488" t="s">
        <v>494</v>
      </c>
      <c r="C18" s="519">
        <f>$A18*'Beef Product Composition'!D9</f>
        <v>3107812.5</v>
      </c>
      <c r="D18" s="519">
        <f>$A18*'Beef Product Composition'!E9</f>
        <v>6247946.25</v>
      </c>
      <c r="E18" s="519">
        <f>$A18*'Beef Product Composition'!F9</f>
        <v>6275350.651822201</v>
      </c>
      <c r="F18" s="519">
        <f>$A18*'Beef Product Composition'!G9</f>
        <v>6290194.800369841</v>
      </c>
      <c r="G18" s="519">
        <f>$A18*'Beef Product Composition'!H9</f>
        <v>6305027.6308362614</v>
      </c>
      <c r="H18" s="519">
        <f>$A18*'Beef Product Composition'!I9</f>
        <v>6317110.5279908134</v>
      </c>
      <c r="I18" s="519">
        <f>$A18*'Beef Product Composition'!J9</f>
        <v>6317047.0995358182</v>
      </c>
      <c r="J18" s="519">
        <f>$A18*'Beef Product Composition'!K9</f>
        <v>6316983.7107236087</v>
      </c>
      <c r="K18" s="519">
        <f>$A18*'Beef Product Composition'!L9</f>
        <v>6316920.3615294071</v>
      </c>
      <c r="L18" s="519">
        <f>$A18*'Beef Product Composition'!M9</f>
        <v>6316857.0519284513</v>
      </c>
      <c r="M18" s="519">
        <f>$A18*'Beef Product Composition'!N9</f>
        <v>6316793.7818959961</v>
      </c>
      <c r="N18" s="519">
        <f>$A18*'Beef Product Composition'!O9</f>
        <v>6316730.5514073102</v>
      </c>
    </row>
    <row r="19" spans="1:14" s="8" customFormat="1">
      <c r="A19" s="526">
        <v>8</v>
      </c>
      <c r="B19" s="488" t="s">
        <v>161</v>
      </c>
      <c r="C19" s="519">
        <f>$A19*'Beef Product Composition'!D10</f>
        <v>2945250</v>
      </c>
      <c r="D19" s="519">
        <f>$A19*'Beef Product Composition'!E10</f>
        <v>5921130.5999999996</v>
      </c>
      <c r="E19" s="519">
        <f>$A19*'Beef Product Composition'!F10</f>
        <v>5947101.5408038087</v>
      </c>
      <c r="F19" s="519">
        <f>$A19*'Beef Product Composition'!G10</f>
        <v>5961169.2261966495</v>
      </c>
      <c r="G19" s="519">
        <f>$A19*'Beef Product Composition'!H10</f>
        <v>5975226.1855309801</v>
      </c>
      <c r="H19" s="519">
        <f>$A19*'Beef Product Composition'!I10</f>
        <v>5986677.0542189851</v>
      </c>
      <c r="I19" s="519">
        <f>$A19*'Beef Product Composition'!J10</f>
        <v>5986616.9435600983</v>
      </c>
      <c r="J19" s="519">
        <f>$A19*'Beef Product Composition'!K10</f>
        <v>5986556.8704703739</v>
      </c>
      <c r="K19" s="519">
        <f>$A19*'Beef Product Composition'!L10</f>
        <v>5986496.8349263296</v>
      </c>
      <c r="L19" s="519">
        <f>$A19*'Beef Product Composition'!M10</f>
        <v>5986436.8369045006</v>
      </c>
      <c r="M19" s="519">
        <f>$A19*'Beef Product Composition'!N10</f>
        <v>5986376.8763814354</v>
      </c>
      <c r="N19" s="519">
        <f>$A19*'Beef Product Composition'!O10</f>
        <v>5986316.9533336973</v>
      </c>
    </row>
    <row r="20" spans="1:14" s="8" customFormat="1">
      <c r="A20" s="526">
        <v>1</v>
      </c>
      <c r="B20" s="488" t="s">
        <v>495</v>
      </c>
      <c r="C20" s="519">
        <f>$A20*'Beef Product Composition'!D11</f>
        <v>112500</v>
      </c>
      <c r="D20" s="519">
        <f>$A20*'Beef Product Composition'!E11</f>
        <v>226170</v>
      </c>
      <c r="E20" s="519">
        <f>$A20*'Beef Product Composition'!F11</f>
        <v>227162.01454560005</v>
      </c>
      <c r="F20" s="519">
        <f>$A20*'Beef Product Composition'!G11</f>
        <v>227699.35928940601</v>
      </c>
      <c r="G20" s="519">
        <f>$A20*'Beef Product Composition'!H11</f>
        <v>228236.29432891446</v>
      </c>
      <c r="H20" s="519">
        <f>$A20*'Beef Product Composition'!I11</f>
        <v>228673.68427116066</v>
      </c>
      <c r="I20" s="519">
        <f>$A20*'Beef Product Composition'!J11</f>
        <v>228671.38821849116</v>
      </c>
      <c r="J20" s="519">
        <f>$A20*'Beef Product Composition'!K11</f>
        <v>228669.09360085463</v>
      </c>
      <c r="K20" s="519">
        <f>$A20*'Beef Product Composition'!L11</f>
        <v>228666.8004173541</v>
      </c>
      <c r="L20" s="519">
        <f>$A20*'Beef Product Composition'!M11</f>
        <v>228664.50866709324</v>
      </c>
      <c r="M20" s="519">
        <f>$A20*'Beef Product Composition'!N11</f>
        <v>228662.21834917634</v>
      </c>
      <c r="N20" s="519">
        <f>$A20*'Beef Product Composition'!O11</f>
        <v>228659.92946270807</v>
      </c>
    </row>
    <row r="21" spans="1:14" s="8" customFormat="1">
      <c r="A21" s="526">
        <v>8.3841463414634152</v>
      </c>
      <c r="B21" s="488" t="s">
        <v>493</v>
      </c>
      <c r="C21" s="519">
        <f>$A21*'Beef Product Composition'!D12</f>
        <v>75457.317073170736</v>
      </c>
      <c r="D21" s="519">
        <f>$A21*'Beef Product Composition'!E12</f>
        <v>151307.01219512196</v>
      </c>
      <c r="E21" s="519">
        <f>$A21*'Beef Product Composition'!F12</f>
        <v>151639.70000004879</v>
      </c>
      <c r="F21" s="519">
        <f>$A21*'Beef Product Composition'!G12</f>
        <v>151819.90707876423</v>
      </c>
      <c r="G21" s="519">
        <f>$A21*'Beef Product Composition'!H12</f>
        <v>151999.97675664816</v>
      </c>
      <c r="H21" s="519">
        <f>$A21*'Beef Product Composition'!I12</f>
        <v>152146.66240801118</v>
      </c>
      <c r="I21" s="519">
        <f>$A21*'Beef Product Composition'!J12</f>
        <v>152145.89239034767</v>
      </c>
      <c r="J21" s="519">
        <f>$A21*'Beef Product Composition'!K12</f>
        <v>152145.12285394515</v>
      </c>
      <c r="K21" s="519">
        <f>$A21*'Beef Product Composition'!L12</f>
        <v>152144.35379850291</v>
      </c>
      <c r="L21" s="519">
        <f>$A21*'Beef Product Composition'!M12</f>
        <v>152143.58522372029</v>
      </c>
      <c r="M21" s="519">
        <f>$A21*'Beef Product Composition'!N12</f>
        <v>152142.81712929695</v>
      </c>
      <c r="N21" s="519">
        <f>$A21*'Beef Product Composition'!O12</f>
        <v>152142.04951493259</v>
      </c>
    </row>
    <row r="22" spans="1:14" s="476" customFormat="1">
      <c r="A22" s="527"/>
      <c r="B22" s="524" t="s">
        <v>502</v>
      </c>
      <c r="C22" s="525">
        <f>SUM(C18:C21)</f>
        <v>6241019.817073171</v>
      </c>
      <c r="D22" s="525">
        <f t="shared" ref="D22:N22" si="1">SUM(D18:D21)</f>
        <v>12546553.862195121</v>
      </c>
      <c r="E22" s="525">
        <f t="shared" si="1"/>
        <v>12601253.907171661</v>
      </c>
      <c r="F22" s="525">
        <f t="shared" si="1"/>
        <v>12630883.29293466</v>
      </c>
      <c r="G22" s="525">
        <f t="shared" si="1"/>
        <v>12660490.087452807</v>
      </c>
      <c r="H22" s="525">
        <f t="shared" si="1"/>
        <v>12684607.928888971</v>
      </c>
      <c r="I22" s="525">
        <f t="shared" si="1"/>
        <v>12684481.323704755</v>
      </c>
      <c r="J22" s="525">
        <f t="shared" si="1"/>
        <v>12684354.797648784</v>
      </c>
      <c r="K22" s="525">
        <f t="shared" si="1"/>
        <v>12684228.350671593</v>
      </c>
      <c r="L22" s="525">
        <f t="shared" si="1"/>
        <v>12684101.982723765</v>
      </c>
      <c r="M22" s="525">
        <f t="shared" si="1"/>
        <v>12683975.693755904</v>
      </c>
      <c r="N22" s="525">
        <f t="shared" si="1"/>
        <v>12683849.483718649</v>
      </c>
    </row>
    <row r="23" spans="1:14" s="8" customFormat="1">
      <c r="A23" s="488"/>
      <c r="B23" s="520" t="s">
        <v>1</v>
      </c>
      <c r="C23" s="489">
        <f>C7+C16+C22</f>
        <v>9047287.2662634104</v>
      </c>
      <c r="D23" s="489">
        <f t="shared" ref="D23:N23" si="2">D7+D16+D22</f>
        <v>16863222.910531491</v>
      </c>
      <c r="E23" s="489">
        <f t="shared" si="2"/>
        <v>19790786.013813488</v>
      </c>
      <c r="F23" s="489">
        <f t="shared" si="2"/>
        <v>22734685.770036731</v>
      </c>
      <c r="G23" s="489">
        <f t="shared" si="2"/>
        <v>27021647.596992251</v>
      </c>
      <c r="H23" s="489">
        <f t="shared" si="2"/>
        <v>31835737.219939463</v>
      </c>
      <c r="I23" s="489">
        <f t="shared" si="2"/>
        <v>34497378.688346982</v>
      </c>
      <c r="J23" s="489">
        <f t="shared" si="2"/>
        <v>35816607.271818668</v>
      </c>
      <c r="K23" s="489">
        <f t="shared" si="2"/>
        <v>37130176.575471893</v>
      </c>
      <c r="L23" s="489">
        <f t="shared" si="2"/>
        <v>37121776.456114456</v>
      </c>
      <c r="M23" s="489">
        <f t="shared" si="2"/>
        <v>37113418.0390369</v>
      </c>
      <c r="N23" s="489">
        <f t="shared" si="2"/>
        <v>37105101.484202266</v>
      </c>
    </row>
    <row r="24" spans="1:14">
      <c r="B24" s="85" t="s">
        <v>165</v>
      </c>
      <c r="C24" s="528">
        <f>C23+C25</f>
        <v>9047287.2662634104</v>
      </c>
      <c r="D24" s="528">
        <f t="shared" ref="D24:N24" si="3">D23+C24</f>
        <v>25910510.176794901</v>
      </c>
      <c r="E24" s="528">
        <f t="shared" si="3"/>
        <v>45701296.19060839</v>
      </c>
      <c r="F24" s="528">
        <f t="shared" si="3"/>
        <v>68435981.960645124</v>
      </c>
      <c r="G24" s="528">
        <f t="shared" si="3"/>
        <v>95457629.557637379</v>
      </c>
      <c r="H24" s="528">
        <f t="shared" si="3"/>
        <v>127293366.77757683</v>
      </c>
      <c r="I24" s="528">
        <f t="shared" si="3"/>
        <v>161790745.46592382</v>
      </c>
      <c r="J24" s="528">
        <f t="shared" si="3"/>
        <v>197607352.73774248</v>
      </c>
      <c r="K24" s="528">
        <f t="shared" si="3"/>
        <v>234737529.31321436</v>
      </c>
      <c r="L24" s="528">
        <f t="shared" si="3"/>
        <v>271859305.76932883</v>
      </c>
      <c r="M24" s="528">
        <f t="shared" si="3"/>
        <v>308972723.8083657</v>
      </c>
      <c r="N24" s="528">
        <f t="shared" si="3"/>
        <v>346077825.29256797</v>
      </c>
    </row>
    <row r="25" spans="1:14">
      <c r="B25" s="85"/>
      <c r="C25" s="86"/>
      <c r="D25" s="86"/>
      <c r="E25" s="86"/>
      <c r="F25" s="86"/>
      <c r="G25" s="86"/>
      <c r="H25" s="86"/>
      <c r="I25" s="86"/>
      <c r="J25" s="86"/>
      <c r="K25" s="86"/>
      <c r="L25" s="86"/>
      <c r="M25" s="86"/>
      <c r="N25" s="86"/>
    </row>
    <row r="26" spans="1:14">
      <c r="B26" s="85"/>
      <c r="C26" s="86"/>
      <c r="D26" s="86"/>
      <c r="E26" s="86"/>
      <c r="F26" s="86"/>
      <c r="G26" s="86"/>
      <c r="H26" s="86"/>
      <c r="I26" s="86"/>
      <c r="J26" s="86"/>
      <c r="K26" s="86"/>
      <c r="L26" s="86"/>
      <c r="M26" s="86"/>
      <c r="N26" s="86"/>
    </row>
    <row r="27" spans="1:14">
      <c r="B27" s="85"/>
      <c r="C27" s="86"/>
      <c r="D27" s="86"/>
      <c r="E27" s="86"/>
      <c r="F27" s="86"/>
      <c r="G27" s="86"/>
      <c r="H27" s="86"/>
      <c r="I27" s="86"/>
      <c r="J27" s="86"/>
      <c r="K27" s="86"/>
      <c r="L27" s="86"/>
      <c r="M27" s="86"/>
      <c r="N27" s="86"/>
    </row>
    <row r="28" spans="1:14">
      <c r="B28" s="85"/>
      <c r="C28" s="86"/>
      <c r="D28" s="86"/>
      <c r="E28" s="86"/>
      <c r="F28" s="86"/>
      <c r="G28" s="86"/>
      <c r="H28" s="86"/>
      <c r="I28" s="86"/>
      <c r="J28" s="86"/>
      <c r="K28" s="86"/>
      <c r="L28" s="86"/>
      <c r="M28" s="86"/>
      <c r="N28" s="86"/>
    </row>
    <row r="29" spans="1:14" ht="16">
      <c r="B29" s="37"/>
      <c r="C29" s="37" t="s">
        <v>4</v>
      </c>
      <c r="D29" s="37" t="s">
        <v>5</v>
      </c>
      <c r="E29" s="37" t="s">
        <v>6</v>
      </c>
      <c r="F29" s="37" t="s">
        <v>7</v>
      </c>
      <c r="G29" s="37" t="s">
        <v>8</v>
      </c>
      <c r="H29" s="37" t="s">
        <v>9</v>
      </c>
      <c r="I29" s="37" t="s">
        <v>10</v>
      </c>
      <c r="J29" s="37" t="s">
        <v>11</v>
      </c>
      <c r="K29" s="37" t="s">
        <v>12</v>
      </c>
      <c r="L29" s="37" t="s">
        <v>13</v>
      </c>
      <c r="M29" s="86"/>
      <c r="N29" s="86"/>
    </row>
    <row r="30" spans="1:14">
      <c r="B30" s="46" t="s">
        <v>505</v>
      </c>
      <c r="C30" s="88"/>
      <c r="D30" s="48"/>
      <c r="E30" s="48"/>
      <c r="F30" s="48"/>
      <c r="G30" s="48"/>
      <c r="H30" s="48"/>
      <c r="I30" s="48"/>
      <c r="J30" s="48"/>
      <c r="K30" s="48"/>
      <c r="L30" s="48"/>
      <c r="M30" s="86"/>
      <c r="N30" s="86"/>
    </row>
    <row r="31" spans="1:14">
      <c r="B31" s="9" t="s">
        <v>513</v>
      </c>
      <c r="C31" s="518">
        <f>C7/1000</f>
        <v>212.03574187316707</v>
      </c>
      <c r="D31" s="518">
        <f t="shared" ref="D31:L31" si="4">D7/1000</f>
        <v>522.60517638515103</v>
      </c>
      <c r="E31" s="518">
        <f t="shared" si="4"/>
        <v>512.42890917012073</v>
      </c>
      <c r="F31" s="518">
        <f t="shared" si="4"/>
        <v>377.74211874383894</v>
      </c>
      <c r="G31" s="518">
        <f t="shared" si="4"/>
        <v>297.45030909363027</v>
      </c>
      <c r="H31" s="518">
        <f t="shared" si="4"/>
        <v>304.26762131656784</v>
      </c>
      <c r="I31" s="518">
        <f t="shared" si="4"/>
        <v>254.37907702838754</v>
      </c>
      <c r="J31" s="518">
        <f t="shared" si="4"/>
        <v>265.1972943120237</v>
      </c>
      <c r="K31" s="518">
        <f t="shared" si="4"/>
        <v>272.00024510992495</v>
      </c>
      <c r="L31" s="518">
        <f t="shared" si="4"/>
        <v>278.83521118762854</v>
      </c>
      <c r="M31" s="86"/>
      <c r="N31" s="86"/>
    </row>
    <row r="32" spans="1:14">
      <c r="B32" s="477" t="s">
        <v>504</v>
      </c>
      <c r="C32" s="489"/>
      <c r="D32" s="489"/>
      <c r="E32" s="489"/>
      <c r="F32" s="489"/>
      <c r="G32" s="489"/>
      <c r="H32" s="489"/>
      <c r="I32" s="489"/>
      <c r="J32" s="489"/>
      <c r="K32" s="489"/>
      <c r="L32" s="489"/>
      <c r="M32" s="86"/>
      <c r="N32" s="86"/>
    </row>
    <row r="33" spans="1:14">
      <c r="B33" s="9" t="s">
        <v>207</v>
      </c>
      <c r="C33" s="518">
        <f t="shared" ref="C33:L48" si="5">C9/1000</f>
        <v>96.000000000000014</v>
      </c>
      <c r="D33" s="518">
        <f t="shared" si="5"/>
        <v>140.4</v>
      </c>
      <c r="E33" s="518">
        <f t="shared" si="5"/>
        <v>247.08737664000006</v>
      </c>
      <c r="F33" s="518">
        <f t="shared" si="5"/>
        <v>359.91457192080003</v>
      </c>
      <c r="G33" s="518">
        <f t="shared" si="5"/>
        <v>517.80709262631137</v>
      </c>
      <c r="H33" s="518">
        <f t="shared" si="5"/>
        <v>685.7543972833214</v>
      </c>
      <c r="I33" s="518">
        <f t="shared" si="5"/>
        <v>783.22948661145051</v>
      </c>
      <c r="J33" s="518">
        <f t="shared" si="5"/>
        <v>831.66121619371324</v>
      </c>
      <c r="K33" s="518">
        <f t="shared" si="5"/>
        <v>880.03210016497997</v>
      </c>
      <c r="L33" s="518">
        <f t="shared" si="5"/>
        <v>879.48208010237681</v>
      </c>
      <c r="M33" s="86"/>
      <c r="N33" s="86"/>
    </row>
    <row r="34" spans="1:14">
      <c r="B34" s="9" t="s">
        <v>186</v>
      </c>
      <c r="C34" s="518">
        <f t="shared" si="5"/>
        <v>166.82926829268297</v>
      </c>
      <c r="D34" s="518">
        <f t="shared" si="5"/>
        <v>243.98780487804882</v>
      </c>
      <c r="E34" s="518">
        <f t="shared" si="5"/>
        <v>429.38964842926845</v>
      </c>
      <c r="F34" s="518">
        <f t="shared" si="5"/>
        <v>625.46129876480495</v>
      </c>
      <c r="G34" s="518">
        <f t="shared" si="5"/>
        <v>899.84769145426071</v>
      </c>
      <c r="H34" s="518">
        <f t="shared" si="5"/>
        <v>1191.7073367423573</v>
      </c>
      <c r="I34" s="518">
        <f t="shared" si="5"/>
        <v>1361.1000224650209</v>
      </c>
      <c r="J34" s="518">
        <f t="shared" si="5"/>
        <v>1445.2649183854164</v>
      </c>
      <c r="K34" s="518">
        <f t="shared" si="5"/>
        <v>1529.3240765062153</v>
      </c>
      <c r="L34" s="518">
        <f t="shared" si="5"/>
        <v>1528.3682489583989</v>
      </c>
      <c r="M34" s="86"/>
      <c r="N34" s="86"/>
    </row>
    <row r="35" spans="1:14">
      <c r="B35" s="9" t="s">
        <v>460</v>
      </c>
      <c r="C35" s="518">
        <f t="shared" si="5"/>
        <v>0</v>
      </c>
      <c r="D35" s="518">
        <f t="shared" si="5"/>
        <v>0</v>
      </c>
      <c r="E35" s="518">
        <f t="shared" si="5"/>
        <v>0</v>
      </c>
      <c r="F35" s="518">
        <f t="shared" si="5"/>
        <v>0</v>
      </c>
      <c r="G35" s="518">
        <f t="shared" si="5"/>
        <v>0</v>
      </c>
      <c r="H35" s="518">
        <f t="shared" si="5"/>
        <v>0</v>
      </c>
      <c r="I35" s="518">
        <f t="shared" si="5"/>
        <v>0</v>
      </c>
      <c r="J35" s="518">
        <f t="shared" si="5"/>
        <v>0</v>
      </c>
      <c r="K35" s="518">
        <f t="shared" si="5"/>
        <v>0</v>
      </c>
      <c r="L35" s="518">
        <f t="shared" si="5"/>
        <v>0</v>
      </c>
      <c r="M35" s="86"/>
      <c r="N35" s="86"/>
    </row>
    <row r="36" spans="1:14">
      <c r="B36" s="9" t="s">
        <v>208</v>
      </c>
      <c r="C36" s="518">
        <f t="shared" si="5"/>
        <v>1049.9999999999998</v>
      </c>
      <c r="D36" s="518">
        <f t="shared" si="5"/>
        <v>1535.6249999999995</v>
      </c>
      <c r="E36" s="518">
        <f t="shared" si="5"/>
        <v>2702.5181819999993</v>
      </c>
      <c r="F36" s="518">
        <f t="shared" si="5"/>
        <v>3936.5656303837486</v>
      </c>
      <c r="G36" s="518">
        <f t="shared" si="5"/>
        <v>5663.5150756002786</v>
      </c>
      <c r="H36" s="518">
        <f t="shared" si="5"/>
        <v>7500.4387202863236</v>
      </c>
      <c r="I36" s="518">
        <f t="shared" si="5"/>
        <v>8566.5725098127368</v>
      </c>
      <c r="J36" s="518">
        <f t="shared" si="5"/>
        <v>9096.2945521187357</v>
      </c>
      <c r="K36" s="518">
        <f t="shared" si="5"/>
        <v>9625.3510955544643</v>
      </c>
      <c r="L36" s="518">
        <f t="shared" si="5"/>
        <v>9619.3352511197427</v>
      </c>
    </row>
    <row r="37" spans="1:14">
      <c r="B37" s="9" t="s">
        <v>182</v>
      </c>
      <c r="C37" s="518">
        <f t="shared" si="5"/>
        <v>1152.4390243902437</v>
      </c>
      <c r="D37" s="518">
        <f t="shared" si="5"/>
        <v>1685.4420731707314</v>
      </c>
      <c r="E37" s="518">
        <f t="shared" si="5"/>
        <v>2966.178492439024</v>
      </c>
      <c r="F37" s="518">
        <f t="shared" si="5"/>
        <v>4320.6208138358224</v>
      </c>
      <c r="G37" s="518">
        <f t="shared" si="5"/>
        <v>6216.0531317564046</v>
      </c>
      <c r="H37" s="518">
        <f t="shared" si="5"/>
        <v>8232.1888393386489</v>
      </c>
      <c r="I37" s="518">
        <f t="shared" si="5"/>
        <v>9402.3356815017851</v>
      </c>
      <c r="J37" s="518">
        <f t="shared" si="5"/>
        <v>9983.7379230571478</v>
      </c>
      <c r="K37" s="518">
        <f t="shared" si="5"/>
        <v>10564.409739023195</v>
      </c>
      <c r="L37" s="518">
        <f t="shared" si="5"/>
        <v>10557.806982936303</v>
      </c>
    </row>
    <row r="38" spans="1:14">
      <c r="B38" s="9" t="s">
        <v>185</v>
      </c>
      <c r="C38" s="518">
        <f t="shared" si="5"/>
        <v>128.96341463414635</v>
      </c>
      <c r="D38" s="518">
        <f t="shared" si="5"/>
        <v>188.60899390243901</v>
      </c>
      <c r="E38" s="518">
        <f t="shared" si="5"/>
        <v>331.92949796341463</v>
      </c>
      <c r="F38" s="518">
        <f t="shared" si="5"/>
        <v>483.49804345305631</v>
      </c>
      <c r="G38" s="518">
        <f t="shared" si="5"/>
        <v>695.60594569655007</v>
      </c>
      <c r="H38" s="518">
        <f t="shared" si="5"/>
        <v>921.22113202122989</v>
      </c>
      <c r="I38" s="518">
        <f t="shared" si="5"/>
        <v>1052.1661357871046</v>
      </c>
      <c r="J38" s="518">
        <f t="shared" si="5"/>
        <v>1117.2278151992527</v>
      </c>
      <c r="K38" s="518">
        <f t="shared" si="5"/>
        <v>1182.2077565097386</v>
      </c>
      <c r="L38" s="518">
        <f t="shared" si="5"/>
        <v>1181.4688766619197</v>
      </c>
    </row>
    <row r="39" spans="1:14">
      <c r="B39" s="488" t="s">
        <v>516</v>
      </c>
      <c r="C39" s="518">
        <f t="shared" si="5"/>
        <v>0</v>
      </c>
      <c r="D39" s="518">
        <f t="shared" si="5"/>
        <v>0</v>
      </c>
      <c r="E39" s="518">
        <f t="shared" si="5"/>
        <v>0</v>
      </c>
      <c r="F39" s="518">
        <f t="shared" si="5"/>
        <v>0</v>
      </c>
      <c r="G39" s="518">
        <f t="shared" si="5"/>
        <v>70.878263312008869</v>
      </c>
      <c r="H39" s="518">
        <f t="shared" si="5"/>
        <v>315.55124406204851</v>
      </c>
      <c r="I39" s="518">
        <f t="shared" si="5"/>
        <v>393.11445143574122</v>
      </c>
      <c r="J39" s="518">
        <f t="shared" si="5"/>
        <v>392.86875490359381</v>
      </c>
      <c r="K39" s="518">
        <f t="shared" si="5"/>
        <v>392.62321193177911</v>
      </c>
      <c r="L39" s="518">
        <f t="shared" si="5"/>
        <v>392.37782242432155</v>
      </c>
    </row>
    <row r="40" spans="1:14">
      <c r="B40" s="89" t="s">
        <v>503</v>
      </c>
      <c r="C40" s="150">
        <f t="shared" si="5"/>
        <v>2594.2317073170725</v>
      </c>
      <c r="D40" s="150">
        <f t="shared" si="5"/>
        <v>3794.0638719512185</v>
      </c>
      <c r="E40" s="150">
        <f t="shared" si="5"/>
        <v>6677.1031974717071</v>
      </c>
      <c r="F40" s="150">
        <f t="shared" si="5"/>
        <v>9726.0603583582324</v>
      </c>
      <c r="G40" s="150">
        <f t="shared" si="5"/>
        <v>14063.707200445813</v>
      </c>
      <c r="H40" s="150">
        <f t="shared" si="5"/>
        <v>18846.861669733928</v>
      </c>
      <c r="I40" s="150">
        <f t="shared" si="5"/>
        <v>21558.518287613839</v>
      </c>
      <c r="J40" s="150">
        <f t="shared" si="5"/>
        <v>22867.055179857856</v>
      </c>
      <c r="K40" s="150">
        <f t="shared" si="5"/>
        <v>24173.947979690372</v>
      </c>
      <c r="L40" s="150">
        <f t="shared" si="5"/>
        <v>24158.839262203059</v>
      </c>
    </row>
    <row r="41" spans="1:14">
      <c r="B41" s="477" t="s">
        <v>501</v>
      </c>
      <c r="C41" s="489"/>
      <c r="D41" s="489"/>
      <c r="E41" s="489"/>
      <c r="F41" s="489"/>
      <c r="G41" s="489"/>
      <c r="H41" s="489"/>
      <c r="I41" s="489"/>
      <c r="J41" s="489"/>
      <c r="K41" s="489"/>
      <c r="L41" s="489"/>
    </row>
    <row r="42" spans="1:14">
      <c r="B42" s="9" t="s">
        <v>494</v>
      </c>
      <c r="C42" s="518">
        <f t="shared" si="5"/>
        <v>3107.8125</v>
      </c>
      <c r="D42" s="518">
        <f t="shared" si="5"/>
        <v>6247.94625</v>
      </c>
      <c r="E42" s="518">
        <f t="shared" si="5"/>
        <v>6275.3506518222011</v>
      </c>
      <c r="F42" s="518">
        <f t="shared" si="5"/>
        <v>6290.1948003698408</v>
      </c>
      <c r="G42" s="518">
        <f t="shared" si="5"/>
        <v>6305.0276308362618</v>
      </c>
      <c r="H42" s="518">
        <f t="shared" si="5"/>
        <v>6317.1105279908134</v>
      </c>
      <c r="I42" s="518">
        <f t="shared" si="5"/>
        <v>6317.0470995358182</v>
      </c>
      <c r="J42" s="518">
        <f t="shared" si="5"/>
        <v>6316.983710723609</v>
      </c>
      <c r="K42" s="518">
        <f t="shared" si="5"/>
        <v>6316.9203615294073</v>
      </c>
      <c r="L42" s="518">
        <f t="shared" si="5"/>
        <v>6316.8570519284513</v>
      </c>
    </row>
    <row r="43" spans="1:14">
      <c r="B43" s="9" t="s">
        <v>161</v>
      </c>
      <c r="C43" s="518">
        <f t="shared" si="5"/>
        <v>2945.25</v>
      </c>
      <c r="D43" s="518">
        <f t="shared" si="5"/>
        <v>5921.1305999999995</v>
      </c>
      <c r="E43" s="518">
        <f t="shared" si="5"/>
        <v>5947.1015408038083</v>
      </c>
      <c r="F43" s="518">
        <f t="shared" si="5"/>
        <v>5961.1692261966491</v>
      </c>
      <c r="G43" s="518">
        <f t="shared" si="5"/>
        <v>5975.2261855309798</v>
      </c>
      <c r="H43" s="518">
        <f t="shared" si="5"/>
        <v>5986.6770542189852</v>
      </c>
      <c r="I43" s="518">
        <f t="shared" si="5"/>
        <v>5986.6169435600987</v>
      </c>
      <c r="J43" s="518">
        <f t="shared" si="5"/>
        <v>5986.5568704703737</v>
      </c>
      <c r="K43" s="518">
        <f t="shared" si="5"/>
        <v>5986.4968349263299</v>
      </c>
      <c r="L43" s="518">
        <f t="shared" si="5"/>
        <v>5986.4368369045005</v>
      </c>
    </row>
    <row r="44" spans="1:14">
      <c r="B44" s="9" t="s">
        <v>495</v>
      </c>
      <c r="C44" s="518">
        <f t="shared" si="5"/>
        <v>112.5</v>
      </c>
      <c r="D44" s="518">
        <f t="shared" si="5"/>
        <v>226.17</v>
      </c>
      <c r="E44" s="518">
        <f t="shared" si="5"/>
        <v>227.16201454560004</v>
      </c>
      <c r="F44" s="518">
        <f t="shared" si="5"/>
        <v>227.699359289406</v>
      </c>
      <c r="G44" s="518">
        <f t="shared" si="5"/>
        <v>228.23629432891445</v>
      </c>
      <c r="H44" s="518">
        <f t="shared" si="5"/>
        <v>228.67368427116065</v>
      </c>
      <c r="I44" s="518">
        <f t="shared" si="5"/>
        <v>228.67138821849116</v>
      </c>
      <c r="J44" s="518">
        <f t="shared" si="5"/>
        <v>228.66909360085464</v>
      </c>
      <c r="K44" s="518">
        <f t="shared" si="5"/>
        <v>228.6668004173541</v>
      </c>
      <c r="L44" s="518">
        <f t="shared" si="5"/>
        <v>228.66450866709323</v>
      </c>
    </row>
    <row r="45" spans="1:14">
      <c r="B45" s="9" t="s">
        <v>493</v>
      </c>
      <c r="C45" s="518">
        <f t="shared" si="5"/>
        <v>75.457317073170742</v>
      </c>
      <c r="D45" s="518">
        <f t="shared" si="5"/>
        <v>151.30701219512196</v>
      </c>
      <c r="E45" s="518">
        <f t="shared" si="5"/>
        <v>151.63970000004878</v>
      </c>
      <c r="F45" s="518">
        <f t="shared" si="5"/>
        <v>151.81990707876423</v>
      </c>
      <c r="G45" s="518">
        <f t="shared" si="5"/>
        <v>151.99997675664815</v>
      </c>
      <c r="H45" s="518">
        <f t="shared" si="5"/>
        <v>152.14666240801117</v>
      </c>
      <c r="I45" s="518">
        <f t="shared" si="5"/>
        <v>152.14589239034765</v>
      </c>
      <c r="J45" s="518">
        <f t="shared" si="5"/>
        <v>152.14512285394517</v>
      </c>
      <c r="K45" s="518">
        <f t="shared" si="5"/>
        <v>152.14435379850292</v>
      </c>
      <c r="L45" s="518">
        <f t="shared" si="5"/>
        <v>152.14358522372029</v>
      </c>
    </row>
    <row r="46" spans="1:14" s="8" customFormat="1">
      <c r="A46" s="10"/>
      <c r="B46" s="89" t="s">
        <v>502</v>
      </c>
      <c r="C46" s="150">
        <f t="shared" si="5"/>
        <v>6241.019817073171</v>
      </c>
      <c r="D46" s="150">
        <f t="shared" si="5"/>
        <v>12546.553862195122</v>
      </c>
      <c r="E46" s="150">
        <f t="shared" si="5"/>
        <v>12601.253907171662</v>
      </c>
      <c r="F46" s="150">
        <f t="shared" si="5"/>
        <v>12630.883292934659</v>
      </c>
      <c r="G46" s="150">
        <f t="shared" si="5"/>
        <v>12660.490087452807</v>
      </c>
      <c r="H46" s="150">
        <f t="shared" si="5"/>
        <v>12684.60792888897</v>
      </c>
      <c r="I46" s="150">
        <f t="shared" si="5"/>
        <v>12684.481323704755</v>
      </c>
      <c r="J46" s="150">
        <f t="shared" si="5"/>
        <v>12684.354797648784</v>
      </c>
      <c r="K46" s="150">
        <f t="shared" si="5"/>
        <v>12684.228350671594</v>
      </c>
      <c r="L46" s="150">
        <f t="shared" si="5"/>
        <v>12684.101982723765</v>
      </c>
      <c r="M46" s="45"/>
      <c r="N46" s="45"/>
    </row>
    <row r="47" spans="1:14">
      <c r="B47" s="477" t="s">
        <v>1</v>
      </c>
      <c r="C47" s="478">
        <f t="shared" si="5"/>
        <v>9047.2872662634109</v>
      </c>
      <c r="D47" s="478">
        <f t="shared" si="5"/>
        <v>16863.222910531491</v>
      </c>
      <c r="E47" s="478">
        <f t="shared" si="5"/>
        <v>19790.786013813489</v>
      </c>
      <c r="F47" s="478">
        <f t="shared" si="5"/>
        <v>22734.685770036733</v>
      </c>
      <c r="G47" s="478">
        <f t="shared" si="5"/>
        <v>27021.64759699225</v>
      </c>
      <c r="H47" s="478">
        <f t="shared" si="5"/>
        <v>31835.737219939463</v>
      </c>
      <c r="I47" s="478">
        <f t="shared" si="5"/>
        <v>34497.37868834698</v>
      </c>
      <c r="J47" s="478">
        <f t="shared" si="5"/>
        <v>35816.60727181867</v>
      </c>
      <c r="K47" s="478">
        <f t="shared" si="5"/>
        <v>37130.176575471894</v>
      </c>
      <c r="L47" s="478">
        <f t="shared" si="5"/>
        <v>37121.776456114458</v>
      </c>
    </row>
    <row r="48" spans="1:14">
      <c r="B48" s="90" t="s">
        <v>165</v>
      </c>
      <c r="C48" s="151">
        <f t="shared" si="5"/>
        <v>9047.2872662634109</v>
      </c>
      <c r="D48" s="151">
        <f t="shared" si="5"/>
        <v>25910.510176794902</v>
      </c>
      <c r="E48" s="151">
        <f t="shared" si="5"/>
        <v>45701.296190608387</v>
      </c>
      <c r="F48" s="151">
        <f t="shared" si="5"/>
        <v>68435.98196064512</v>
      </c>
      <c r="G48" s="151">
        <f t="shared" si="5"/>
        <v>95457.629557637381</v>
      </c>
      <c r="H48" s="151">
        <f t="shared" si="5"/>
        <v>127293.36677757684</v>
      </c>
      <c r="I48" s="151">
        <f t="shared" si="5"/>
        <v>161790.74546592383</v>
      </c>
      <c r="J48" s="151">
        <f t="shared" si="5"/>
        <v>197607.35273774248</v>
      </c>
      <c r="K48" s="151">
        <f t="shared" si="5"/>
        <v>234737.52931321436</v>
      </c>
      <c r="L48" s="151">
        <f t="shared" si="5"/>
        <v>271859.30576932884</v>
      </c>
    </row>
    <row r="49" spans="2:7">
      <c r="B49" s="85"/>
      <c r="C49" s="86"/>
      <c r="D49" s="86"/>
      <c r="E49" s="86"/>
    </row>
    <row r="50" spans="2:7">
      <c r="B50" s="85"/>
      <c r="C50" s="86"/>
      <c r="D50" s="86"/>
      <c r="E50" s="86"/>
    </row>
    <row r="51" spans="2:7">
      <c r="B51" s="85"/>
      <c r="C51" s="86"/>
      <c r="D51" s="86"/>
      <c r="E51" s="86"/>
    </row>
    <row r="52" spans="2:7">
      <c r="B52" s="85"/>
      <c r="C52" s="86"/>
      <c r="D52" s="86"/>
      <c r="E52" s="86"/>
    </row>
    <row r="53" spans="2:7">
      <c r="C53" s="10"/>
    </row>
    <row r="54" spans="2:7">
      <c r="C54" s="10"/>
    </row>
    <row r="55" spans="2:7">
      <c r="C55" s="10"/>
    </row>
    <row r="56" spans="2:7">
      <c r="C56" s="10"/>
    </row>
    <row r="57" spans="2:7">
      <c r="C57" s="10"/>
    </row>
    <row r="58" spans="2:7">
      <c r="C58" s="10"/>
    </row>
    <row r="59" spans="2:7">
      <c r="C59" s="10"/>
      <c r="D59" s="10"/>
      <c r="E59" s="10"/>
      <c r="F59" s="47"/>
      <c r="G59" s="47"/>
    </row>
    <row r="60" spans="2:7">
      <c r="C60" s="10"/>
      <c r="D60" s="10"/>
      <c r="E60" s="10"/>
      <c r="F60" s="47"/>
      <c r="G60" s="47"/>
    </row>
  </sheetData>
  <scenarios current="0" show="0">
    <scenario name="Dairy Base Case" count="4" user="Yoav Rothler" comment="Created by Yoav Rothler on 21/03/2017_x000a_Modified by Yoav Rothler on 21/03/2017">
      <inputCells r="D59" undone="1" val="0.05" numFmtId="9"/>
      <inputCells r="D58" undone="1" val="0.75" numFmtId="9"/>
      <inputCells r="D57" undone="1" val="0" numFmtId="9"/>
      <inputCells r="D56" undone="1" val="0.2" numFmtId="9"/>
    </scenario>
    <scenario name="Dairy Alternative Scenario" count="4" user="Yoav Rothler" comment="Created by Yoav Rothler on 21/03/2017">
      <inputCells r="D59" undone="1" val="0.05" numFmtId="9"/>
      <inputCells r="D58" undone="1" val="0.15" numFmtId="9"/>
      <inputCells r="D57" undone="1" val="0.2" numFmtId="9"/>
      <inputCells r="D56" undone="1" val="0.6" numFmtId="9"/>
    </scenario>
  </scenarios>
  <pageMargins left="0.7" right="0.7" top="0.75" bottom="0.75" header="0.3" footer="0.3"/>
  <pageSetup paperSize="9" orientation="portrait" horizontalDpi="4294967293" verticalDpi="4294967293"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9">
    <tabColor theme="4" tint="0.39997558519241921"/>
  </sheetPr>
  <dimension ref="A1:AA124"/>
  <sheetViews>
    <sheetView topLeftCell="A80" zoomScale="80" zoomScaleNormal="80" workbookViewId="0">
      <selection activeCell="L14" sqref="L14"/>
    </sheetView>
  </sheetViews>
  <sheetFormatPr baseColWidth="10" defaultColWidth="8.83203125" defaultRowHeight="15"/>
  <cols>
    <col min="1" max="1" width="13.6640625" style="10" customWidth="1"/>
    <col min="2" max="2" width="49.5" style="10" customWidth="1"/>
    <col min="3" max="3" width="15" style="10" customWidth="1"/>
    <col min="4" max="4" width="15.6640625" style="10" bestFit="1" customWidth="1"/>
    <col min="5" max="5" width="15" style="10" customWidth="1"/>
    <col min="6" max="6" width="14.1640625" style="10" bestFit="1" customWidth="1"/>
    <col min="7" max="7" width="8.5" style="10" bestFit="1" customWidth="1"/>
    <col min="8" max="8" width="15.83203125" style="10" customWidth="1"/>
    <col min="9" max="9" width="19.1640625" style="10" customWidth="1"/>
    <col min="10" max="18" width="15.1640625" style="10" customWidth="1"/>
    <col min="19" max="19" width="15.1640625" style="10" bestFit="1" customWidth="1"/>
    <col min="20" max="20" width="9.33203125" style="10" bestFit="1" customWidth="1"/>
    <col min="21" max="16384" width="8.83203125" style="10"/>
  </cols>
  <sheetData>
    <row r="1" spans="2:27" s="371" customFormat="1">
      <c r="B1" s="371" t="s">
        <v>168</v>
      </c>
      <c r="H1" s="371" t="str">
        <f>Cover!$C$10</f>
        <v>Mr. Amir Artine</v>
      </c>
      <c r="I1" s="176" t="str">
        <f>Cover!$C$3</f>
        <v>Cattle Integration, Baghara, Chad</v>
      </c>
      <c r="J1" s="372"/>
      <c r="K1" s="372"/>
      <c r="L1" s="372" t="s">
        <v>169</v>
      </c>
      <c r="M1" s="373">
        <f ca="1">Cover!$C$13</f>
        <v>45763</v>
      </c>
      <c r="N1" s="372"/>
      <c r="O1" s="372"/>
      <c r="P1" s="372"/>
      <c r="Q1" s="372"/>
      <c r="R1" s="372"/>
      <c r="S1" s="372"/>
      <c r="T1" s="372"/>
      <c r="U1" s="372"/>
      <c r="V1" s="372"/>
      <c r="W1" s="372"/>
      <c r="X1" s="372"/>
      <c r="Y1" s="372"/>
      <c r="Z1" s="372"/>
      <c r="AA1" s="372"/>
    </row>
    <row r="3" spans="2:27">
      <c r="B3" s="124"/>
      <c r="C3" s="124"/>
      <c r="D3" s="124"/>
      <c r="E3" s="124"/>
      <c r="F3" s="124"/>
      <c r="G3" s="124"/>
      <c r="H3" s="68"/>
    </row>
    <row r="5" spans="2:27" s="41" customFormat="1" ht="16">
      <c r="B5" s="529"/>
      <c r="C5" s="529" t="s">
        <v>0</v>
      </c>
      <c r="D5" s="529" t="s">
        <v>486</v>
      </c>
      <c r="E5" s="529" t="s">
        <v>211</v>
      </c>
      <c r="F5" s="529" t="s">
        <v>487</v>
      </c>
      <c r="G5" s="530"/>
      <c r="H5" s="529" t="s">
        <v>4</v>
      </c>
      <c r="I5" s="529" t="s">
        <v>5</v>
      </c>
      <c r="J5" s="529" t="s">
        <v>6</v>
      </c>
      <c r="K5" s="529" t="s">
        <v>7</v>
      </c>
      <c r="L5" s="529" t="s">
        <v>8</v>
      </c>
      <c r="M5" s="529" t="s">
        <v>9</v>
      </c>
      <c r="N5" s="529" t="s">
        <v>10</v>
      </c>
      <c r="O5" s="529" t="s">
        <v>11</v>
      </c>
      <c r="P5" s="529" t="s">
        <v>12</v>
      </c>
      <c r="Q5" s="529" t="s">
        <v>13</v>
      </c>
      <c r="R5" s="529" t="s">
        <v>14</v>
      </c>
      <c r="S5" s="529" t="s">
        <v>15</v>
      </c>
    </row>
    <row r="6" spans="2:27" s="41" customFormat="1">
      <c r="B6" s="531" t="s">
        <v>162</v>
      </c>
      <c r="C6" s="531"/>
      <c r="D6" s="531"/>
      <c r="E6" s="531"/>
      <c r="F6" s="531"/>
      <c r="G6" s="32"/>
      <c r="H6" s="532"/>
      <c r="I6" s="532"/>
      <c r="J6" s="532"/>
      <c r="K6" s="532"/>
      <c r="L6" s="531"/>
      <c r="M6" s="531"/>
      <c r="N6" s="531"/>
      <c r="O6" s="531"/>
      <c r="P6" s="531"/>
      <c r="Q6" s="531"/>
      <c r="R6" s="531"/>
      <c r="S6" s="531"/>
    </row>
    <row r="7" spans="2:27" s="41" customFormat="1" ht="16">
      <c r="B7" s="533" t="s">
        <v>26</v>
      </c>
      <c r="C7" s="533" t="s">
        <v>174</v>
      </c>
      <c r="D7" s="533">
        <v>1</v>
      </c>
      <c r="E7" s="534">
        <v>745573.19149265927</v>
      </c>
      <c r="F7" s="534">
        <f>D7*E7</f>
        <v>745573.19149265927</v>
      </c>
      <c r="G7" s="533"/>
      <c r="H7" s="534">
        <v>272745.82827402186</v>
      </c>
      <c r="I7" s="534">
        <v>586849.00683045073</v>
      </c>
      <c r="J7" s="534">
        <v>617032.77229537594</v>
      </c>
      <c r="K7" s="534">
        <v>673669.7870191515</v>
      </c>
      <c r="L7" s="534">
        <v>741072.97849764384</v>
      </c>
      <c r="M7" s="534">
        <v>741000.66289885738</v>
      </c>
      <c r="N7" s="534">
        <v>745573.19149265927</v>
      </c>
      <c r="O7" s="534">
        <v>745229.37918575527</v>
      </c>
      <c r="P7" s="534">
        <v>745208.01977246511</v>
      </c>
      <c r="Q7" s="534">
        <v>745186.6505407556</v>
      </c>
      <c r="R7" s="534">
        <v>745165.27148803463</v>
      </c>
      <c r="S7" s="534">
        <v>745143.88261171069</v>
      </c>
    </row>
    <row r="8" spans="2:27" s="41" customFormat="1" ht="16">
      <c r="B8" s="533" t="s">
        <v>3</v>
      </c>
      <c r="C8" s="533" t="s">
        <v>174</v>
      </c>
      <c r="D8" s="533">
        <v>1</v>
      </c>
      <c r="E8" s="534">
        <v>210109.97771976906</v>
      </c>
      <c r="F8" s="534">
        <f t="shared" ref="F8:F14" si="0">D8*E8</f>
        <v>210109.97771976906</v>
      </c>
      <c r="G8" s="533"/>
      <c r="H8" s="534">
        <v>103194.54369825101</v>
      </c>
      <c r="I8" s="534">
        <v>207898.05079841113</v>
      </c>
      <c r="J8" s="534">
        <v>208106.68766065093</v>
      </c>
      <c r="K8" s="534">
        <v>209297.938577719</v>
      </c>
      <c r="L8" s="534">
        <v>209797.9387555416</v>
      </c>
      <c r="M8" s="534">
        <v>209792.92448520201</v>
      </c>
      <c r="N8" s="534">
        <v>210109.97771976906</v>
      </c>
      <c r="O8" s="534">
        <v>210086.13821789355</v>
      </c>
      <c r="P8" s="534">
        <v>210084.65718372763</v>
      </c>
      <c r="Q8" s="534">
        <v>210083.17546876514</v>
      </c>
      <c r="R8" s="534">
        <v>210081.69307282643</v>
      </c>
      <c r="S8" s="534">
        <v>210080.20999573174</v>
      </c>
    </row>
    <row r="9" spans="2:27" s="41" customFormat="1" ht="16">
      <c r="B9" s="533" t="s">
        <v>29</v>
      </c>
      <c r="C9" s="533" t="s">
        <v>174</v>
      </c>
      <c r="D9" s="533">
        <v>1</v>
      </c>
      <c r="E9" s="534">
        <v>228964.8569026218</v>
      </c>
      <c r="F9" s="534">
        <f t="shared" si="0"/>
        <v>228964.8569026218</v>
      </c>
      <c r="G9" s="533"/>
      <c r="H9" s="534">
        <v>112932.05748328297</v>
      </c>
      <c r="I9" s="534">
        <v>227121.58446815689</v>
      </c>
      <c r="J9" s="534">
        <v>227295.44852002335</v>
      </c>
      <c r="K9" s="534">
        <v>228288.15761758012</v>
      </c>
      <c r="L9" s="534">
        <v>228704.82443243227</v>
      </c>
      <c r="M9" s="534">
        <v>228700.64587381593</v>
      </c>
      <c r="N9" s="534">
        <v>228964.8569026218</v>
      </c>
      <c r="O9" s="534">
        <v>228944.99065105888</v>
      </c>
      <c r="P9" s="534">
        <v>228943.75645592064</v>
      </c>
      <c r="Q9" s="534">
        <v>228942.52169345191</v>
      </c>
      <c r="R9" s="534">
        <v>228941.28636350294</v>
      </c>
      <c r="S9" s="534">
        <v>228940.05046592403</v>
      </c>
    </row>
    <row r="10" spans="2:27" s="41" customFormat="1" ht="16">
      <c r="B10" s="533" t="s">
        <v>95</v>
      </c>
      <c r="C10" s="533" t="s">
        <v>174</v>
      </c>
      <c r="D10" s="533">
        <v>1</v>
      </c>
      <c r="E10" s="534">
        <v>246260.8543142376</v>
      </c>
      <c r="F10" s="534">
        <f t="shared" si="0"/>
        <v>246260.8543142376</v>
      </c>
      <c r="G10" s="533"/>
      <c r="H10" s="534">
        <v>113896.83764079255</v>
      </c>
      <c r="I10" s="534">
        <v>235282.82300586108</v>
      </c>
      <c r="J10" s="534">
        <v>236318.31020194956</v>
      </c>
      <c r="K10" s="534">
        <v>242230.61667890905</v>
      </c>
      <c r="L10" s="534">
        <v>244712.17136018258</v>
      </c>
      <c r="M10" s="534">
        <v>244687.28499696444</v>
      </c>
      <c r="N10" s="534">
        <v>246260.8543142376</v>
      </c>
      <c r="O10" s="534">
        <v>246142.53630135985</v>
      </c>
      <c r="P10" s="534">
        <v>246135.18576943892</v>
      </c>
      <c r="Q10" s="534">
        <v>246127.83185865148</v>
      </c>
      <c r="R10" s="534">
        <v>246120.47456810556</v>
      </c>
      <c r="S10" s="534">
        <v>246113.1138969094</v>
      </c>
    </row>
    <row r="11" spans="2:27" s="41" customFormat="1" ht="16">
      <c r="B11" s="533" t="s">
        <v>33</v>
      </c>
      <c r="C11" s="533" t="s">
        <v>174</v>
      </c>
      <c r="D11" s="533">
        <v>1</v>
      </c>
      <c r="E11" s="534">
        <v>587290.82356687903</v>
      </c>
      <c r="F11" s="534">
        <f t="shared" si="0"/>
        <v>587290.82356687903</v>
      </c>
      <c r="G11" s="533"/>
      <c r="H11" s="534">
        <v>304265.94823991321</v>
      </c>
      <c r="I11" s="534">
        <v>599115.46413959307</v>
      </c>
      <c r="J11" s="534">
        <v>597813.50088821538</v>
      </c>
      <c r="K11" s="534">
        <v>590379.69987844909</v>
      </c>
      <c r="L11" s="534">
        <v>587259.53285609791</v>
      </c>
      <c r="M11" s="534">
        <v>587290.82356687903</v>
      </c>
      <c r="N11" s="534">
        <v>585312.30617687781</v>
      </c>
      <c r="O11" s="534">
        <v>585461.07257913239</v>
      </c>
      <c r="P11" s="534">
        <v>585470.31472377235</v>
      </c>
      <c r="Q11" s="534">
        <v>585479.56111680868</v>
      </c>
      <c r="R11" s="534">
        <v>585488.81175936293</v>
      </c>
      <c r="S11" s="534">
        <v>585498.06665255618</v>
      </c>
    </row>
    <row r="12" spans="2:27" s="41" customFormat="1" ht="16">
      <c r="B12" s="533" t="s">
        <v>93</v>
      </c>
      <c r="C12" s="533" t="s">
        <v>174</v>
      </c>
      <c r="D12" s="533">
        <v>1</v>
      </c>
      <c r="E12" s="534">
        <v>85060.975609756104</v>
      </c>
      <c r="F12" s="534">
        <f t="shared" si="0"/>
        <v>85060.975609756104</v>
      </c>
      <c r="G12" s="533"/>
      <c r="H12" s="534">
        <v>47103.658536585368</v>
      </c>
      <c r="I12" s="534">
        <v>85060.975609756104</v>
      </c>
      <c r="J12" s="534">
        <v>85060.975609756104</v>
      </c>
      <c r="K12" s="534">
        <v>85060.975609756104</v>
      </c>
      <c r="L12" s="534">
        <v>85060.975609756104</v>
      </c>
      <c r="M12" s="534">
        <v>85060.975609756104</v>
      </c>
      <c r="N12" s="534">
        <v>85060.975609756104</v>
      </c>
      <c r="O12" s="534">
        <v>85060.975609756104</v>
      </c>
      <c r="P12" s="534">
        <v>85060.975609756104</v>
      </c>
      <c r="Q12" s="534">
        <v>85060.975609756104</v>
      </c>
      <c r="R12" s="534">
        <v>85060.975609756104</v>
      </c>
      <c r="S12" s="534">
        <v>85060.975609756104</v>
      </c>
    </row>
    <row r="13" spans="2:27" s="41" customFormat="1" ht="16">
      <c r="B13" s="533" t="s">
        <v>94</v>
      </c>
      <c r="C13" s="533" t="s">
        <v>174</v>
      </c>
      <c r="D13" s="533">
        <v>1</v>
      </c>
      <c r="E13" s="534">
        <v>41158.536585365859</v>
      </c>
      <c r="F13" s="534">
        <f t="shared" si="0"/>
        <v>41158.536585365859</v>
      </c>
      <c r="G13" s="533"/>
      <c r="H13" s="534">
        <v>167158.53658536586</v>
      </c>
      <c r="I13" s="534">
        <v>167158.53658536586</v>
      </c>
      <c r="J13" s="534">
        <v>167158.53658536586</v>
      </c>
      <c r="K13" s="534">
        <v>167158.53658536586</v>
      </c>
      <c r="L13" s="534">
        <v>167158.53658536586</v>
      </c>
      <c r="M13" s="534">
        <v>41158.536585365859</v>
      </c>
      <c r="N13" s="534">
        <v>41158.536585365859</v>
      </c>
      <c r="O13" s="534">
        <v>41158.536585365859</v>
      </c>
      <c r="P13" s="534">
        <v>41158.536585365859</v>
      </c>
      <c r="Q13" s="534">
        <v>41158.536585365859</v>
      </c>
      <c r="R13" s="534">
        <v>41158.536585365859</v>
      </c>
      <c r="S13" s="534">
        <v>41158.536585365859</v>
      </c>
    </row>
    <row r="14" spans="2:27" s="41" customFormat="1" ht="16">
      <c r="B14" s="535" t="s">
        <v>52</v>
      </c>
      <c r="C14" s="533" t="s">
        <v>2</v>
      </c>
      <c r="D14" s="536">
        <v>0.1</v>
      </c>
      <c r="E14" s="534">
        <f>SUM(F7:F13)</f>
        <v>2144419.2161912885</v>
      </c>
      <c r="F14" s="534">
        <f t="shared" si="0"/>
        <v>214441.92161912887</v>
      </c>
      <c r="G14" s="535"/>
      <c r="H14" s="534">
        <f t="shared" ref="H14:S14" si="1">SUM(H7:H13)*$D$14</f>
        <v>112129.7410458213</v>
      </c>
      <c r="I14" s="534">
        <f t="shared" si="1"/>
        <v>210848.64414375948</v>
      </c>
      <c r="J14" s="534">
        <f t="shared" si="1"/>
        <v>213878.62317613373</v>
      </c>
      <c r="K14" s="534">
        <f t="shared" si="1"/>
        <v>219608.57119669311</v>
      </c>
      <c r="L14" s="534">
        <f t="shared" si="1"/>
        <v>226376.69580970204</v>
      </c>
      <c r="M14" s="534">
        <f t="shared" si="1"/>
        <v>213769.18540168411</v>
      </c>
      <c r="N14" s="534">
        <f t="shared" si="1"/>
        <v>214244.06988012875</v>
      </c>
      <c r="O14" s="534">
        <f t="shared" si="1"/>
        <v>214208.36291303221</v>
      </c>
      <c r="P14" s="534">
        <f t="shared" si="1"/>
        <v>214206.14461004466</v>
      </c>
      <c r="Q14" s="534">
        <f t="shared" si="1"/>
        <v>214203.92528735549</v>
      </c>
      <c r="R14" s="534">
        <f t="shared" si="1"/>
        <v>214201.70494469546</v>
      </c>
      <c r="S14" s="534">
        <f t="shared" si="1"/>
        <v>214199.48358179542</v>
      </c>
    </row>
    <row r="15" spans="2:27" s="44" customFormat="1">
      <c r="B15" s="537" t="str">
        <f>"Subtotal "&amp;B6</f>
        <v>Subtotal Field Crops</v>
      </c>
      <c r="C15" s="537"/>
      <c r="D15" s="537"/>
      <c r="E15" s="538"/>
      <c r="F15" s="538">
        <f>SUM(F7:F14)</f>
        <v>2358861.1378104175</v>
      </c>
      <c r="G15" s="32"/>
      <c r="H15" s="539">
        <f t="shared" ref="H15:S15" si="2">SUM(H7:H14)</f>
        <v>1233427.1515040342</v>
      </c>
      <c r="I15" s="539">
        <f t="shared" si="2"/>
        <v>2319335.0855813539</v>
      </c>
      <c r="J15" s="539">
        <f t="shared" si="2"/>
        <v>2352664.854937471</v>
      </c>
      <c r="K15" s="539">
        <f t="shared" si="2"/>
        <v>2415694.2831636239</v>
      </c>
      <c r="L15" s="539">
        <f t="shared" si="2"/>
        <v>2490143.6539067221</v>
      </c>
      <c r="M15" s="539">
        <f t="shared" si="2"/>
        <v>2351461.0394185251</v>
      </c>
      <c r="N15" s="539">
        <f t="shared" si="2"/>
        <v>2356684.7686814163</v>
      </c>
      <c r="O15" s="539">
        <f t="shared" si="2"/>
        <v>2356291.9920433541</v>
      </c>
      <c r="P15" s="539">
        <f t="shared" si="2"/>
        <v>2356267.5907104909</v>
      </c>
      <c r="Q15" s="539">
        <f t="shared" si="2"/>
        <v>2356243.1781609105</v>
      </c>
      <c r="R15" s="539">
        <f t="shared" si="2"/>
        <v>2356218.7543916497</v>
      </c>
      <c r="S15" s="539">
        <f t="shared" si="2"/>
        <v>2356194.3193997494</v>
      </c>
      <c r="T15" s="41"/>
    </row>
    <row r="16" spans="2:27" s="41" customFormat="1">
      <c r="B16" s="540" t="s">
        <v>117</v>
      </c>
      <c r="C16" s="540"/>
      <c r="D16" s="540"/>
      <c r="E16" s="540"/>
      <c r="F16" s="541">
        <f t="shared" ref="F16" si="3">F15-F13</f>
        <v>2317702.6012250516</v>
      </c>
      <c r="G16" s="10"/>
      <c r="H16" s="541">
        <f>H15-H13</f>
        <v>1066268.6149186683</v>
      </c>
      <c r="I16" s="541">
        <f t="shared" ref="I16:S16" si="4">I15-I13</f>
        <v>2152176.548995988</v>
      </c>
      <c r="J16" s="541">
        <f t="shared" si="4"/>
        <v>2185506.3183521051</v>
      </c>
      <c r="K16" s="541">
        <f t="shared" si="4"/>
        <v>2248535.746578258</v>
      </c>
      <c r="L16" s="541">
        <f t="shared" si="4"/>
        <v>2322985.1173213562</v>
      </c>
      <c r="M16" s="541">
        <f t="shared" si="4"/>
        <v>2310302.5028331592</v>
      </c>
      <c r="N16" s="541">
        <f t="shared" si="4"/>
        <v>2315526.2320960504</v>
      </c>
      <c r="O16" s="541">
        <f t="shared" si="4"/>
        <v>2315133.4554579882</v>
      </c>
      <c r="P16" s="541">
        <f t="shared" si="4"/>
        <v>2315109.0541251251</v>
      </c>
      <c r="Q16" s="541">
        <f t="shared" si="4"/>
        <v>2315084.6415755446</v>
      </c>
      <c r="R16" s="541">
        <f t="shared" si="4"/>
        <v>2315060.2178062839</v>
      </c>
      <c r="S16" s="541">
        <f t="shared" si="4"/>
        <v>2315035.7828143835</v>
      </c>
    </row>
    <row r="17" spans="2:20" s="41" customFormat="1">
      <c r="B17" s="542" t="s">
        <v>18</v>
      </c>
      <c r="C17" s="542"/>
      <c r="D17" s="542"/>
      <c r="E17" s="542"/>
      <c r="F17" s="541">
        <f t="shared" ref="F17" si="5">F13</f>
        <v>41158.536585365859</v>
      </c>
      <c r="G17" s="147"/>
      <c r="H17" s="541">
        <f>H13</f>
        <v>167158.53658536586</v>
      </c>
      <c r="I17" s="541">
        <f t="shared" ref="I17:S17" si="6">I13</f>
        <v>167158.53658536586</v>
      </c>
      <c r="J17" s="541">
        <f t="shared" si="6"/>
        <v>167158.53658536586</v>
      </c>
      <c r="K17" s="541">
        <f t="shared" si="6"/>
        <v>167158.53658536586</v>
      </c>
      <c r="L17" s="541">
        <f t="shared" si="6"/>
        <v>167158.53658536586</v>
      </c>
      <c r="M17" s="541">
        <f t="shared" si="6"/>
        <v>41158.536585365859</v>
      </c>
      <c r="N17" s="541">
        <f t="shared" si="6"/>
        <v>41158.536585365859</v>
      </c>
      <c r="O17" s="541">
        <f t="shared" si="6"/>
        <v>41158.536585365859</v>
      </c>
      <c r="P17" s="541">
        <f t="shared" si="6"/>
        <v>41158.536585365859</v>
      </c>
      <c r="Q17" s="541">
        <f t="shared" si="6"/>
        <v>41158.536585365859</v>
      </c>
      <c r="R17" s="541">
        <f t="shared" si="6"/>
        <v>41158.536585365859</v>
      </c>
      <c r="S17" s="541">
        <f t="shared" si="6"/>
        <v>41158.536585365859</v>
      </c>
    </row>
    <row r="18" spans="2:20" s="41" customFormat="1">
      <c r="B18" s="531" t="s">
        <v>58</v>
      </c>
      <c r="C18" s="531"/>
      <c r="D18" s="531"/>
      <c r="E18" s="531"/>
      <c r="F18" s="531"/>
      <c r="G18" s="32"/>
      <c r="H18" s="543"/>
      <c r="I18" s="543"/>
      <c r="J18" s="543"/>
      <c r="K18" s="543"/>
      <c r="L18" s="543"/>
      <c r="M18" s="543"/>
      <c r="N18" s="543"/>
      <c r="O18" s="543"/>
      <c r="P18" s="543"/>
      <c r="Q18" s="543"/>
      <c r="R18" s="543"/>
      <c r="S18" s="543"/>
    </row>
    <row r="19" spans="2:20" s="41" customFormat="1">
      <c r="B19" s="147" t="s">
        <v>491</v>
      </c>
      <c r="C19" s="147" t="s">
        <v>174</v>
      </c>
      <c r="D19" s="535">
        <v>1</v>
      </c>
      <c r="E19" s="534">
        <v>1370407.1695302106</v>
      </c>
      <c r="F19" s="534">
        <f t="shared" ref="F19:F27" si="7">D19*E19</f>
        <v>1370407.1695302106</v>
      </c>
      <c r="G19" s="147"/>
      <c r="H19" s="534">
        <v>612314.79966178874</v>
      </c>
      <c r="I19" s="534">
        <v>986527.97644456592</v>
      </c>
      <c r="J19" s="534">
        <v>1075811.496949092</v>
      </c>
      <c r="K19" s="534">
        <v>1175165.4555557079</v>
      </c>
      <c r="L19" s="534">
        <v>1283014.2183546289</v>
      </c>
      <c r="M19" s="534">
        <v>1352660.8804386689</v>
      </c>
      <c r="N19" s="534">
        <v>1370407.1695302106</v>
      </c>
      <c r="O19" s="534">
        <v>1368612.1927959295</v>
      </c>
      <c r="P19" s="534">
        <v>1368152.4177973832</v>
      </c>
      <c r="Q19" s="534">
        <v>1367692.9301582112</v>
      </c>
      <c r="R19" s="534">
        <v>1367233.7296988133</v>
      </c>
      <c r="S19" s="534">
        <v>1366774.8162397027</v>
      </c>
    </row>
    <row r="20" spans="2:20" s="41" customFormat="1">
      <c r="B20" s="147" t="s">
        <v>514</v>
      </c>
      <c r="C20" s="147" t="s">
        <v>34</v>
      </c>
      <c r="D20" s="535">
        <v>7851.9766402874848</v>
      </c>
      <c r="E20" s="534">
        <v>365.85365853658539</v>
      </c>
      <c r="F20" s="534">
        <f>D20*E20</f>
        <v>2872674.3805929823</v>
      </c>
      <c r="G20" s="147"/>
      <c r="H20" s="534">
        <v>1915934.4643588578</v>
      </c>
      <c r="I20" s="534">
        <v>2865447.002406674</v>
      </c>
      <c r="J20" s="534">
        <v>2965248.3982404526</v>
      </c>
      <c r="K20" s="534">
        <v>2852880.3892336525</v>
      </c>
      <c r="L20" s="534">
        <v>2876537.086885266</v>
      </c>
      <c r="M20" s="534">
        <v>2935171.9814969748</v>
      </c>
      <c r="N20" s="534">
        <v>2872674.3805929823</v>
      </c>
      <c r="O20" s="534">
        <v>2865603.5382570401</v>
      </c>
      <c r="P20" s="534">
        <v>2854829.982490907</v>
      </c>
      <c r="Q20" s="534">
        <v>2844007.6640692372</v>
      </c>
      <c r="R20" s="534">
        <v>2833136.3416158776</v>
      </c>
      <c r="S20" s="534">
        <v>2822215.7725768303</v>
      </c>
    </row>
    <row r="21" spans="2:20" s="41" customFormat="1">
      <c r="B21" s="147" t="s">
        <v>33</v>
      </c>
      <c r="C21" s="147" t="s">
        <v>483</v>
      </c>
      <c r="D21" s="535">
        <f>10*365</f>
        <v>3650</v>
      </c>
      <c r="E21" s="544">
        <v>4.9518864329268289E-2</v>
      </c>
      <c r="F21" s="534">
        <f t="shared" si="7"/>
        <v>180.74385480182926</v>
      </c>
      <c r="G21" s="147"/>
      <c r="H21" s="534">
        <f>$F21</f>
        <v>180.74385480182926</v>
      </c>
      <c r="I21" s="534">
        <f t="shared" ref="I21:S21" si="8">$F21</f>
        <v>180.74385480182926</v>
      </c>
      <c r="J21" s="534">
        <f t="shared" si="8"/>
        <v>180.74385480182926</v>
      </c>
      <c r="K21" s="534">
        <f t="shared" si="8"/>
        <v>180.74385480182926</v>
      </c>
      <c r="L21" s="534">
        <f t="shared" si="8"/>
        <v>180.74385480182926</v>
      </c>
      <c r="M21" s="534">
        <f t="shared" si="8"/>
        <v>180.74385480182926</v>
      </c>
      <c r="N21" s="534">
        <f t="shared" si="8"/>
        <v>180.74385480182926</v>
      </c>
      <c r="O21" s="534">
        <f t="shared" si="8"/>
        <v>180.74385480182926</v>
      </c>
      <c r="P21" s="534">
        <f t="shared" si="8"/>
        <v>180.74385480182926</v>
      </c>
      <c r="Q21" s="534">
        <f t="shared" si="8"/>
        <v>180.74385480182926</v>
      </c>
      <c r="R21" s="534">
        <f t="shared" si="8"/>
        <v>180.74385480182926</v>
      </c>
      <c r="S21" s="534">
        <f t="shared" si="8"/>
        <v>180.74385480182926</v>
      </c>
    </row>
    <row r="22" spans="2:20" s="41" customFormat="1">
      <c r="B22" s="147" t="s">
        <v>28</v>
      </c>
      <c r="C22" s="147" t="s">
        <v>484</v>
      </c>
      <c r="D22" s="535">
        <v>29695.504617892297</v>
      </c>
      <c r="E22" s="544">
        <v>0.28296493902439024</v>
      </c>
      <c r="F22" s="534">
        <f t="shared" si="7"/>
        <v>8402.7866535003923</v>
      </c>
      <c r="G22" s="147"/>
      <c r="H22" s="534">
        <v>4198.4643796922182</v>
      </c>
      <c r="I22" s="534">
        <v>7661.219917921022</v>
      </c>
      <c r="J22" s="534">
        <v>7878.4766856039487</v>
      </c>
      <c r="K22" s="534">
        <v>8026.6497555194974</v>
      </c>
      <c r="L22" s="534">
        <v>8234.4224607701854</v>
      </c>
      <c r="M22" s="534">
        <v>8403.6751354198659</v>
      </c>
      <c r="N22" s="534">
        <v>8402.7866535003923</v>
      </c>
      <c r="O22" s="534">
        <v>8401.8987268821184</v>
      </c>
      <c r="P22" s="534">
        <v>8401.011355217981</v>
      </c>
      <c r="Q22" s="534">
        <v>8400.1245381611352</v>
      </c>
      <c r="R22" s="534">
        <v>8399.238275364949</v>
      </c>
      <c r="S22" s="534">
        <v>8398.3525664830086</v>
      </c>
    </row>
    <row r="23" spans="2:20" s="41" customFormat="1">
      <c r="B23" s="147" t="s">
        <v>17</v>
      </c>
      <c r="C23" s="147" t="s">
        <v>483</v>
      </c>
      <c r="D23" s="535">
        <f>150*365</f>
        <v>54750</v>
      </c>
      <c r="E23" s="544">
        <v>0.83841463414634143</v>
      </c>
      <c r="F23" s="534">
        <f t="shared" si="7"/>
        <v>45903.201219512193</v>
      </c>
      <c r="G23" s="147"/>
      <c r="H23" s="534">
        <f>$F23</f>
        <v>45903.201219512193</v>
      </c>
      <c r="I23" s="534">
        <f t="shared" ref="I23:S23" si="9">$F23</f>
        <v>45903.201219512193</v>
      </c>
      <c r="J23" s="534">
        <f t="shared" si="9"/>
        <v>45903.201219512193</v>
      </c>
      <c r="K23" s="534">
        <f t="shared" si="9"/>
        <v>45903.201219512193</v>
      </c>
      <c r="L23" s="534">
        <f t="shared" si="9"/>
        <v>45903.201219512193</v>
      </c>
      <c r="M23" s="534">
        <f t="shared" si="9"/>
        <v>45903.201219512193</v>
      </c>
      <c r="N23" s="534">
        <f t="shared" si="9"/>
        <v>45903.201219512193</v>
      </c>
      <c r="O23" s="534">
        <f t="shared" si="9"/>
        <v>45903.201219512193</v>
      </c>
      <c r="P23" s="534">
        <f t="shared" si="9"/>
        <v>45903.201219512193</v>
      </c>
      <c r="Q23" s="534">
        <f t="shared" si="9"/>
        <v>45903.201219512193</v>
      </c>
      <c r="R23" s="534">
        <f t="shared" si="9"/>
        <v>45903.201219512193</v>
      </c>
      <c r="S23" s="534">
        <f t="shared" si="9"/>
        <v>45903.201219512193</v>
      </c>
    </row>
    <row r="24" spans="2:20" s="41" customFormat="1">
      <c r="B24" s="147" t="s">
        <v>78</v>
      </c>
      <c r="C24" s="147" t="s">
        <v>483</v>
      </c>
      <c r="D24" s="535">
        <f>D23</f>
        <v>54750</v>
      </c>
      <c r="E24" s="544">
        <v>0.41920731707317072</v>
      </c>
      <c r="F24" s="534">
        <f>D24*E24</f>
        <v>22951.600609756097</v>
      </c>
      <c r="G24" s="147"/>
      <c r="H24" s="534">
        <f>$F24</f>
        <v>22951.600609756097</v>
      </c>
      <c r="I24" s="534">
        <f t="shared" ref="I24:S24" si="10">$F24</f>
        <v>22951.600609756097</v>
      </c>
      <c r="J24" s="534">
        <f t="shared" si="10"/>
        <v>22951.600609756097</v>
      </c>
      <c r="K24" s="534">
        <f t="shared" si="10"/>
        <v>22951.600609756097</v>
      </c>
      <c r="L24" s="534">
        <f t="shared" si="10"/>
        <v>22951.600609756097</v>
      </c>
      <c r="M24" s="534">
        <f t="shared" si="10"/>
        <v>22951.600609756097</v>
      </c>
      <c r="N24" s="534">
        <f t="shared" si="10"/>
        <v>22951.600609756097</v>
      </c>
      <c r="O24" s="534">
        <f t="shared" si="10"/>
        <v>22951.600609756097</v>
      </c>
      <c r="P24" s="534">
        <f t="shared" si="10"/>
        <v>22951.600609756097</v>
      </c>
      <c r="Q24" s="534">
        <f t="shared" si="10"/>
        <v>22951.600609756097</v>
      </c>
      <c r="R24" s="534">
        <f t="shared" si="10"/>
        <v>22951.600609756097</v>
      </c>
      <c r="S24" s="534">
        <f t="shared" si="10"/>
        <v>22951.600609756097</v>
      </c>
    </row>
    <row r="25" spans="2:20" s="41" customFormat="1">
      <c r="B25" s="535" t="s">
        <v>64</v>
      </c>
      <c r="C25" s="535" t="s">
        <v>174</v>
      </c>
      <c r="D25" s="535">
        <v>1</v>
      </c>
      <c r="E25" s="545">
        <v>27439.024390243903</v>
      </c>
      <c r="F25" s="534">
        <f t="shared" si="7"/>
        <v>27439.024390243903</v>
      </c>
      <c r="G25" s="535"/>
      <c r="H25" s="534">
        <f>F25</f>
        <v>27439.024390243903</v>
      </c>
      <c r="I25" s="534">
        <f>H25</f>
        <v>27439.024390243903</v>
      </c>
      <c r="J25" s="534">
        <f t="shared" ref="J25:S25" si="11">I25</f>
        <v>27439.024390243903</v>
      </c>
      <c r="K25" s="534">
        <f t="shared" si="11"/>
        <v>27439.024390243903</v>
      </c>
      <c r="L25" s="534">
        <f t="shared" si="11"/>
        <v>27439.024390243903</v>
      </c>
      <c r="M25" s="534">
        <f t="shared" si="11"/>
        <v>27439.024390243903</v>
      </c>
      <c r="N25" s="534">
        <f t="shared" si="11"/>
        <v>27439.024390243903</v>
      </c>
      <c r="O25" s="534">
        <f t="shared" si="11"/>
        <v>27439.024390243903</v>
      </c>
      <c r="P25" s="534">
        <f t="shared" si="11"/>
        <v>27439.024390243903</v>
      </c>
      <c r="Q25" s="534">
        <f t="shared" si="11"/>
        <v>27439.024390243903</v>
      </c>
      <c r="R25" s="534">
        <f t="shared" si="11"/>
        <v>27439.024390243903</v>
      </c>
      <c r="S25" s="534">
        <f t="shared" si="11"/>
        <v>27439.024390243903</v>
      </c>
    </row>
    <row r="26" spans="2:20" s="41" customFormat="1">
      <c r="B26" s="535" t="s">
        <v>63</v>
      </c>
      <c r="C26" s="535" t="s">
        <v>174</v>
      </c>
      <c r="D26" s="535">
        <v>1</v>
      </c>
      <c r="E26" s="545">
        <v>18292.682926829271</v>
      </c>
      <c r="F26" s="534">
        <f t="shared" si="7"/>
        <v>18292.682926829271</v>
      </c>
      <c r="G26" s="535"/>
      <c r="H26" s="534">
        <f>F26</f>
        <v>18292.682926829271</v>
      </c>
      <c r="I26" s="534">
        <f>H26</f>
        <v>18292.682926829271</v>
      </c>
      <c r="J26" s="534">
        <f t="shared" ref="J26:S26" si="12">I26</f>
        <v>18292.682926829271</v>
      </c>
      <c r="K26" s="534">
        <f t="shared" si="12"/>
        <v>18292.682926829271</v>
      </c>
      <c r="L26" s="534">
        <f t="shared" si="12"/>
        <v>18292.682926829271</v>
      </c>
      <c r="M26" s="534">
        <f t="shared" si="12"/>
        <v>18292.682926829271</v>
      </c>
      <c r="N26" s="534">
        <f t="shared" si="12"/>
        <v>18292.682926829271</v>
      </c>
      <c r="O26" s="534">
        <f t="shared" si="12"/>
        <v>18292.682926829271</v>
      </c>
      <c r="P26" s="534">
        <f t="shared" si="12"/>
        <v>18292.682926829271</v>
      </c>
      <c r="Q26" s="534">
        <f t="shared" si="12"/>
        <v>18292.682926829271</v>
      </c>
      <c r="R26" s="534">
        <f t="shared" si="12"/>
        <v>18292.682926829271</v>
      </c>
      <c r="S26" s="534">
        <f t="shared" si="12"/>
        <v>18292.682926829271</v>
      </c>
    </row>
    <row r="27" spans="2:20" s="41" customFormat="1" ht="16">
      <c r="B27" s="535" t="s">
        <v>65</v>
      </c>
      <c r="C27" s="533" t="s">
        <v>2</v>
      </c>
      <c r="D27" s="154">
        <v>0.1</v>
      </c>
      <c r="E27" s="545">
        <f>SUM(F21:F26)</f>
        <v>123170.03965464368</v>
      </c>
      <c r="F27" s="534">
        <f t="shared" si="7"/>
        <v>12317.00396546437</v>
      </c>
      <c r="G27" s="535"/>
      <c r="H27" s="534">
        <f t="shared" ref="H27:S27" si="13">SUM(H21:H26)*$D$27</f>
        <v>11896.57173808355</v>
      </c>
      <c r="I27" s="534">
        <f t="shared" si="13"/>
        <v>12242.847291906432</v>
      </c>
      <c r="J27" s="534">
        <f t="shared" si="13"/>
        <v>12264.572968674722</v>
      </c>
      <c r="K27" s="534">
        <f t="shared" si="13"/>
        <v>12279.390275666279</v>
      </c>
      <c r="L27" s="534">
        <f t="shared" si="13"/>
        <v>12300.167546191347</v>
      </c>
      <c r="M27" s="534">
        <f t="shared" si="13"/>
        <v>12317.092813656316</v>
      </c>
      <c r="N27" s="534">
        <f t="shared" si="13"/>
        <v>12317.00396546437</v>
      </c>
      <c r="O27" s="534">
        <f t="shared" si="13"/>
        <v>12316.915172802541</v>
      </c>
      <c r="P27" s="534">
        <f t="shared" si="13"/>
        <v>12316.826435636127</v>
      </c>
      <c r="Q27" s="534">
        <f t="shared" si="13"/>
        <v>12316.737753930442</v>
      </c>
      <c r="R27" s="534">
        <f t="shared" si="13"/>
        <v>12316.649127650824</v>
      </c>
      <c r="S27" s="534">
        <f t="shared" si="13"/>
        <v>12316.560556762628</v>
      </c>
    </row>
    <row r="28" spans="2:20" s="44" customFormat="1">
      <c r="B28" s="537" t="str">
        <f>"Subtotal "&amp;B18</f>
        <v>Subtotal Feed Center</v>
      </c>
      <c r="C28" s="537"/>
      <c r="D28" s="537"/>
      <c r="E28" s="537"/>
      <c r="F28" s="538">
        <f>SUM(F19:F27)</f>
        <v>4378568.5937433001</v>
      </c>
      <c r="G28" s="32"/>
      <c r="H28" s="539">
        <f>SUM(H19:H27)</f>
        <v>2659111.5531395655</v>
      </c>
      <c r="I28" s="539">
        <f t="shared" ref="I28:R28" si="14">SUM(I19:I27)</f>
        <v>3986646.2990622106</v>
      </c>
      <c r="J28" s="539">
        <f t="shared" si="14"/>
        <v>4175970.1978449668</v>
      </c>
      <c r="K28" s="539">
        <f t="shared" si="14"/>
        <v>4163119.1378216897</v>
      </c>
      <c r="L28" s="539">
        <f t="shared" si="14"/>
        <v>4294853.1482479991</v>
      </c>
      <c r="M28" s="539">
        <f t="shared" si="14"/>
        <v>4423320.8828858631</v>
      </c>
      <c r="N28" s="539">
        <f t="shared" si="14"/>
        <v>4378568.5937433001</v>
      </c>
      <c r="O28" s="539">
        <f t="shared" si="14"/>
        <v>4369701.7979537975</v>
      </c>
      <c r="P28" s="539">
        <f t="shared" si="14"/>
        <v>4358467.4910802869</v>
      </c>
      <c r="Q28" s="539">
        <f t="shared" si="14"/>
        <v>4347184.7095206827</v>
      </c>
      <c r="R28" s="539">
        <f t="shared" si="14"/>
        <v>4335853.2117188498</v>
      </c>
      <c r="S28" s="539">
        <f>SUM(S19:S27)</f>
        <v>4324472.7549409214</v>
      </c>
      <c r="T28" s="41"/>
    </row>
    <row r="29" spans="2:20" s="41" customFormat="1">
      <c r="B29" s="540" t="s">
        <v>117</v>
      </c>
      <c r="C29" s="540"/>
      <c r="D29" s="540"/>
      <c r="E29" s="540"/>
      <c r="F29" s="541">
        <f t="shared" ref="F29" si="15">F28-F30</f>
        <v>4351129.5693530561</v>
      </c>
      <c r="G29" s="10"/>
      <c r="H29" s="541">
        <f>H28-H30</f>
        <v>2631672.5287493216</v>
      </c>
      <c r="I29" s="541">
        <f t="shared" ref="I29:S29" si="16">I28-I30</f>
        <v>3959207.2746719667</v>
      </c>
      <c r="J29" s="541">
        <f t="shared" si="16"/>
        <v>4148531.1734547229</v>
      </c>
      <c r="K29" s="541">
        <f t="shared" si="16"/>
        <v>4135680.1134314458</v>
      </c>
      <c r="L29" s="541">
        <f t="shared" si="16"/>
        <v>4267414.1238577552</v>
      </c>
      <c r="M29" s="541">
        <f t="shared" si="16"/>
        <v>4395881.8584956191</v>
      </c>
      <c r="N29" s="541">
        <f t="shared" si="16"/>
        <v>4351129.5693530561</v>
      </c>
      <c r="O29" s="541">
        <f t="shared" si="16"/>
        <v>4342262.7735635536</v>
      </c>
      <c r="P29" s="541">
        <f t="shared" si="16"/>
        <v>4331028.466690043</v>
      </c>
      <c r="Q29" s="541">
        <f t="shared" si="16"/>
        <v>4319745.6851304388</v>
      </c>
      <c r="R29" s="541">
        <f t="shared" si="16"/>
        <v>4308414.1873286059</v>
      </c>
      <c r="S29" s="541">
        <f t="shared" si="16"/>
        <v>4297033.7305506775</v>
      </c>
    </row>
    <row r="30" spans="2:20" s="41" customFormat="1">
      <c r="B30" s="542" t="s">
        <v>18</v>
      </c>
      <c r="C30" s="542"/>
      <c r="D30" s="542"/>
      <c r="E30" s="542"/>
      <c r="F30" s="541">
        <f t="shared" ref="F30" si="17">SUM(F25:F25)</f>
        <v>27439.024390243903</v>
      </c>
      <c r="G30" s="147"/>
      <c r="H30" s="541">
        <f>SUM(H25:H25)</f>
        <v>27439.024390243903</v>
      </c>
      <c r="I30" s="541">
        <f t="shared" ref="I30:S30" si="18">SUM(I25:I25)</f>
        <v>27439.024390243903</v>
      </c>
      <c r="J30" s="541">
        <f t="shared" si="18"/>
        <v>27439.024390243903</v>
      </c>
      <c r="K30" s="541">
        <f t="shared" si="18"/>
        <v>27439.024390243903</v>
      </c>
      <c r="L30" s="541">
        <f t="shared" si="18"/>
        <v>27439.024390243903</v>
      </c>
      <c r="M30" s="541">
        <f t="shared" si="18"/>
        <v>27439.024390243903</v>
      </c>
      <c r="N30" s="541">
        <f t="shared" si="18"/>
        <v>27439.024390243903</v>
      </c>
      <c r="O30" s="541">
        <f t="shared" si="18"/>
        <v>27439.024390243903</v>
      </c>
      <c r="P30" s="541">
        <f t="shared" si="18"/>
        <v>27439.024390243903</v>
      </c>
      <c r="Q30" s="541">
        <f>SUM(Q25:Q25)</f>
        <v>27439.024390243903</v>
      </c>
      <c r="R30" s="541">
        <f t="shared" si="18"/>
        <v>27439.024390243903</v>
      </c>
      <c r="S30" s="541">
        <f t="shared" si="18"/>
        <v>27439.024390243903</v>
      </c>
    </row>
    <row r="31" spans="2:20" s="41" customFormat="1">
      <c r="B31" s="531" t="s">
        <v>60</v>
      </c>
      <c r="C31" s="531"/>
      <c r="D31" s="531"/>
      <c r="E31" s="531"/>
      <c r="F31" s="531"/>
      <c r="G31" s="32"/>
      <c r="H31" s="546"/>
      <c r="I31" s="543"/>
      <c r="J31" s="543"/>
      <c r="K31" s="543"/>
      <c r="L31" s="543"/>
      <c r="M31" s="543"/>
      <c r="N31" s="543"/>
      <c r="O31" s="543"/>
      <c r="P31" s="543"/>
      <c r="Q31" s="543"/>
      <c r="R31" s="543"/>
      <c r="S31" s="543"/>
    </row>
    <row r="32" spans="2:20" s="43" customFormat="1">
      <c r="B32" s="147" t="s">
        <v>33</v>
      </c>
      <c r="C32" s="147" t="s">
        <v>483</v>
      </c>
      <c r="D32" s="535">
        <v>107998.48535379207</v>
      </c>
      <c r="E32" s="544">
        <v>4.9518864329268289E-2</v>
      </c>
      <c r="F32" s="534">
        <f t="shared" ref="F32:F42" si="19">D32*E32</f>
        <v>5347.9623440008982</v>
      </c>
      <c r="G32" s="147"/>
      <c r="H32" s="534">
        <v>2139.2842654344513</v>
      </c>
      <c r="I32" s="534">
        <v>2568.6268330078124</v>
      </c>
      <c r="J32" s="534">
        <v>3217.9832583752736</v>
      </c>
      <c r="K32" s="534">
        <v>3825.2622415402193</v>
      </c>
      <c r="L32" s="534">
        <v>4564.5369313449055</v>
      </c>
      <c r="M32" s="534">
        <v>5229.227839619718</v>
      </c>
      <c r="N32" s="534">
        <v>5347.9623440008982</v>
      </c>
      <c r="O32" s="534">
        <v>5344.6198675358964</v>
      </c>
      <c r="P32" s="534">
        <v>5341.2794801186865</v>
      </c>
      <c r="Q32" s="534">
        <v>5337.9411804436122</v>
      </c>
      <c r="R32" s="534">
        <v>5334.6049672058343</v>
      </c>
      <c r="S32" s="534">
        <v>5331.2708391013321</v>
      </c>
      <c r="T32" s="41"/>
    </row>
    <row r="33" spans="1:20" s="43" customFormat="1">
      <c r="B33" s="147" t="s">
        <v>110</v>
      </c>
      <c r="C33" s="147" t="s">
        <v>24</v>
      </c>
      <c r="D33" s="535">
        <v>2367.0900899461276</v>
      </c>
      <c r="E33" s="547">
        <v>12</v>
      </c>
      <c r="F33" s="534">
        <f t="shared" si="19"/>
        <v>28405.081079353531</v>
      </c>
      <c r="G33" s="147"/>
      <c r="H33" s="534">
        <v>11362.560000000001</v>
      </c>
      <c r="I33" s="534">
        <v>13642.963200000002</v>
      </c>
      <c r="J33" s="534">
        <v>17091.944461555198</v>
      </c>
      <c r="K33" s="534">
        <v>20317.436274140178</v>
      </c>
      <c r="L33" s="534">
        <v>24244.007957535054</v>
      </c>
      <c r="M33" s="534">
        <v>27774.436544683693</v>
      </c>
      <c r="N33" s="534">
        <v>28405.081079353531</v>
      </c>
      <c r="O33" s="534">
        <v>28387.327903678932</v>
      </c>
      <c r="P33" s="534">
        <v>28369.585823739129</v>
      </c>
      <c r="Q33" s="534">
        <v>28351.854832599296</v>
      </c>
      <c r="R33" s="534">
        <v>28334.134923328918</v>
      </c>
      <c r="S33" s="534">
        <v>28316.426089001845</v>
      </c>
      <c r="T33" s="41"/>
    </row>
    <row r="34" spans="1:20" s="43" customFormat="1">
      <c r="B34" s="147" t="s">
        <v>61</v>
      </c>
      <c r="C34" s="147" t="s">
        <v>485</v>
      </c>
      <c r="D34" s="535">
        <v>2510.3509186264437</v>
      </c>
      <c r="E34" s="548">
        <v>4.2682926829268286</v>
      </c>
      <c r="F34" s="534">
        <f t="shared" si="19"/>
        <v>10714.912457551893</v>
      </c>
      <c r="G34" s="147"/>
      <c r="H34" s="534">
        <v>5335.3658536585353</v>
      </c>
      <c r="I34" s="534">
        <v>5121.9512195121943</v>
      </c>
      <c r="J34" s="534">
        <v>6760.5207804878028</v>
      </c>
      <c r="K34" s="534">
        <v>7878.0550451707295</v>
      </c>
      <c r="L34" s="534">
        <v>9445.0949770277748</v>
      </c>
      <c r="M34" s="534">
        <v>10721.613465968123</v>
      </c>
      <c r="N34" s="534">
        <v>10714.912457551893</v>
      </c>
      <c r="O34" s="534">
        <v>10708.215637265923</v>
      </c>
      <c r="P34" s="534">
        <v>10701.523002492631</v>
      </c>
      <c r="Q34" s="534">
        <v>10694.834550616073</v>
      </c>
      <c r="R34" s="534">
        <v>10688.150279021938</v>
      </c>
      <c r="S34" s="534">
        <v>10681.470185097549</v>
      </c>
      <c r="T34" s="41"/>
    </row>
    <row r="35" spans="1:20" s="43" customFormat="1">
      <c r="B35" s="147" t="s">
        <v>28</v>
      </c>
      <c r="C35" s="147" t="s">
        <v>484</v>
      </c>
      <c r="D35" s="535">
        <v>4415456.230772052</v>
      </c>
      <c r="E35" s="544">
        <v>0.28296493902439024</v>
      </c>
      <c r="F35" s="534">
        <f t="shared" si="19"/>
        <v>1249419.3031052777</v>
      </c>
      <c r="G35" s="147"/>
      <c r="H35" s="534">
        <v>622522.86585365853</v>
      </c>
      <c r="I35" s="534">
        <v>597621.95121951215</v>
      </c>
      <c r="J35" s="534">
        <v>788807.90678048774</v>
      </c>
      <c r="K35" s="534">
        <v>919200.20830617065</v>
      </c>
      <c r="L35" s="534">
        <v>1102040.1889267766</v>
      </c>
      <c r="M35" s="534">
        <v>1250982.5426184949</v>
      </c>
      <c r="N35" s="534">
        <v>1250200.6785293585</v>
      </c>
      <c r="O35" s="534">
        <v>1249419.3031052777</v>
      </c>
      <c r="P35" s="534">
        <v>1248638.4160408368</v>
      </c>
      <c r="Q35" s="534">
        <v>1247858.0170308112</v>
      </c>
      <c r="R35" s="534">
        <v>1247078.1057701672</v>
      </c>
      <c r="S35" s="534">
        <v>1246298.6819540607</v>
      </c>
      <c r="T35" s="41"/>
    </row>
    <row r="36" spans="1:20" s="43" customFormat="1">
      <c r="B36" s="147" t="s">
        <v>17</v>
      </c>
      <c r="C36" s="147" t="s">
        <v>483</v>
      </c>
      <c r="D36" s="535">
        <f>150*365</f>
        <v>54750</v>
      </c>
      <c r="E36" s="544">
        <v>0.83841463414634143</v>
      </c>
      <c r="F36" s="534">
        <f t="shared" si="19"/>
        <v>45903.201219512193</v>
      </c>
      <c r="G36" s="147"/>
      <c r="H36" s="534">
        <f>$F36</f>
        <v>45903.201219512193</v>
      </c>
      <c r="I36" s="534">
        <f t="shared" ref="I36:S36" si="20">$F36</f>
        <v>45903.201219512193</v>
      </c>
      <c r="J36" s="534">
        <f t="shared" si="20"/>
        <v>45903.201219512193</v>
      </c>
      <c r="K36" s="534">
        <f t="shared" si="20"/>
        <v>45903.201219512193</v>
      </c>
      <c r="L36" s="534">
        <f t="shared" si="20"/>
        <v>45903.201219512193</v>
      </c>
      <c r="M36" s="534">
        <f t="shared" si="20"/>
        <v>45903.201219512193</v>
      </c>
      <c r="N36" s="534">
        <f t="shared" si="20"/>
        <v>45903.201219512193</v>
      </c>
      <c r="O36" s="534">
        <f t="shared" si="20"/>
        <v>45903.201219512193</v>
      </c>
      <c r="P36" s="534">
        <f t="shared" si="20"/>
        <v>45903.201219512193</v>
      </c>
      <c r="Q36" s="534">
        <f t="shared" si="20"/>
        <v>45903.201219512193</v>
      </c>
      <c r="R36" s="534">
        <f t="shared" si="20"/>
        <v>45903.201219512193</v>
      </c>
      <c r="S36" s="534">
        <f t="shared" si="20"/>
        <v>45903.201219512193</v>
      </c>
      <c r="T36" s="41"/>
    </row>
    <row r="37" spans="1:20" s="43" customFormat="1">
      <c r="B37" s="147" t="s">
        <v>78</v>
      </c>
      <c r="C37" s="147" t="s">
        <v>483</v>
      </c>
      <c r="D37" s="535">
        <f>D36</f>
        <v>54750</v>
      </c>
      <c r="E37" s="548">
        <v>0.41920731707317072</v>
      </c>
      <c r="F37" s="534">
        <f t="shared" si="19"/>
        <v>22951.600609756097</v>
      </c>
      <c r="G37" s="147"/>
      <c r="H37" s="534">
        <f t="shared" ref="H37:S39" si="21">$F37</f>
        <v>22951.600609756097</v>
      </c>
      <c r="I37" s="534">
        <f t="shared" si="21"/>
        <v>22951.600609756097</v>
      </c>
      <c r="J37" s="534">
        <f t="shared" si="21"/>
        <v>22951.600609756097</v>
      </c>
      <c r="K37" s="534">
        <f t="shared" si="21"/>
        <v>22951.600609756097</v>
      </c>
      <c r="L37" s="534">
        <f t="shared" si="21"/>
        <v>22951.600609756097</v>
      </c>
      <c r="M37" s="534">
        <f t="shared" si="21"/>
        <v>22951.600609756097</v>
      </c>
      <c r="N37" s="534">
        <f t="shared" si="21"/>
        <v>22951.600609756097</v>
      </c>
      <c r="O37" s="534">
        <f t="shared" si="21"/>
        <v>22951.600609756097</v>
      </c>
      <c r="P37" s="534">
        <f t="shared" si="21"/>
        <v>22951.600609756097</v>
      </c>
      <c r="Q37" s="534">
        <f t="shared" si="21"/>
        <v>22951.600609756097</v>
      </c>
      <c r="R37" s="534">
        <f t="shared" si="21"/>
        <v>22951.600609756097</v>
      </c>
      <c r="S37" s="534">
        <f t="shared" si="21"/>
        <v>22951.600609756097</v>
      </c>
      <c r="T37" s="41"/>
    </row>
    <row r="38" spans="1:20" s="43" customFormat="1">
      <c r="B38" s="147" t="s">
        <v>164</v>
      </c>
      <c r="C38" s="147" t="s">
        <v>174</v>
      </c>
      <c r="D38" s="147">
        <v>1</v>
      </c>
      <c r="E38" s="549">
        <v>30000</v>
      </c>
      <c r="F38" s="534">
        <f t="shared" si="19"/>
        <v>30000</v>
      </c>
      <c r="G38" s="147"/>
      <c r="H38" s="534">
        <f t="shared" si="21"/>
        <v>30000</v>
      </c>
      <c r="I38" s="534">
        <f t="shared" si="21"/>
        <v>30000</v>
      </c>
      <c r="J38" s="534">
        <f t="shared" si="21"/>
        <v>30000</v>
      </c>
      <c r="K38" s="534">
        <f t="shared" si="21"/>
        <v>30000</v>
      </c>
      <c r="L38" s="534">
        <f t="shared" si="21"/>
        <v>30000</v>
      </c>
      <c r="M38" s="534">
        <f t="shared" si="21"/>
        <v>30000</v>
      </c>
      <c r="N38" s="534">
        <f t="shared" si="21"/>
        <v>30000</v>
      </c>
      <c r="O38" s="534">
        <f t="shared" si="21"/>
        <v>30000</v>
      </c>
      <c r="P38" s="534">
        <f t="shared" si="21"/>
        <v>30000</v>
      </c>
      <c r="Q38" s="534">
        <f t="shared" si="21"/>
        <v>30000</v>
      </c>
      <c r="R38" s="534">
        <f t="shared" si="21"/>
        <v>30000</v>
      </c>
      <c r="S38" s="534">
        <f t="shared" si="21"/>
        <v>30000</v>
      </c>
      <c r="T38" s="41"/>
    </row>
    <row r="39" spans="1:20" s="43" customFormat="1">
      <c r="B39" s="535" t="s">
        <v>163</v>
      </c>
      <c r="C39" s="147" t="s">
        <v>174</v>
      </c>
      <c r="D39" s="147">
        <v>1</v>
      </c>
      <c r="E39" s="549">
        <v>50000</v>
      </c>
      <c r="F39" s="534">
        <f t="shared" si="19"/>
        <v>50000</v>
      </c>
      <c r="G39" s="535"/>
      <c r="H39" s="534">
        <f t="shared" si="21"/>
        <v>50000</v>
      </c>
      <c r="I39" s="534">
        <f t="shared" si="21"/>
        <v>50000</v>
      </c>
      <c r="J39" s="534">
        <f t="shared" si="21"/>
        <v>50000</v>
      </c>
      <c r="K39" s="534">
        <f t="shared" si="21"/>
        <v>50000</v>
      </c>
      <c r="L39" s="534">
        <f t="shared" si="21"/>
        <v>50000</v>
      </c>
      <c r="M39" s="534">
        <f t="shared" si="21"/>
        <v>50000</v>
      </c>
      <c r="N39" s="534">
        <f t="shared" si="21"/>
        <v>50000</v>
      </c>
      <c r="O39" s="534">
        <f t="shared" si="21"/>
        <v>50000</v>
      </c>
      <c r="P39" s="534">
        <f t="shared" si="21"/>
        <v>50000</v>
      </c>
      <c r="Q39" s="534">
        <f t="shared" si="21"/>
        <v>50000</v>
      </c>
      <c r="R39" s="534">
        <f t="shared" si="21"/>
        <v>50000</v>
      </c>
      <c r="S39" s="534">
        <f t="shared" si="21"/>
        <v>50000</v>
      </c>
      <c r="T39" s="41"/>
    </row>
    <row r="40" spans="1:20" s="43" customFormat="1">
      <c r="B40" s="535" t="s">
        <v>64</v>
      </c>
      <c r="C40" s="147" t="s">
        <v>174</v>
      </c>
      <c r="D40" s="147">
        <v>1</v>
      </c>
      <c r="E40" s="549">
        <v>54878.048780487807</v>
      </c>
      <c r="F40" s="534">
        <f t="shared" si="19"/>
        <v>54878.048780487807</v>
      </c>
      <c r="G40" s="535"/>
      <c r="H40" s="534">
        <v>117878.04878048779</v>
      </c>
      <c r="I40" s="534">
        <v>117878.04878048779</v>
      </c>
      <c r="J40" s="534">
        <v>117878.04878048779</v>
      </c>
      <c r="K40" s="534">
        <v>117878.04878048779</v>
      </c>
      <c r="L40" s="534">
        <v>117878.04878048779</v>
      </c>
      <c r="M40" s="534">
        <v>54878.048780487807</v>
      </c>
      <c r="N40" s="534">
        <v>54878.048780487807</v>
      </c>
      <c r="O40" s="534">
        <v>54878.048780487807</v>
      </c>
      <c r="P40" s="534">
        <v>54878.048780487807</v>
      </c>
      <c r="Q40" s="534">
        <v>54878.048780487807</v>
      </c>
      <c r="R40" s="534">
        <v>54878.048780487807</v>
      </c>
      <c r="S40" s="534">
        <v>54878.048780487807</v>
      </c>
      <c r="T40" s="41"/>
    </row>
    <row r="41" spans="1:20" s="43" customFormat="1">
      <c r="B41" s="535" t="s">
        <v>63</v>
      </c>
      <c r="C41" s="147" t="s">
        <v>174</v>
      </c>
      <c r="D41" s="147">
        <v>1</v>
      </c>
      <c r="E41" s="549">
        <v>172865.85365853662</v>
      </c>
      <c r="F41" s="534">
        <f t="shared" si="19"/>
        <v>172865.85365853662</v>
      </c>
      <c r="G41" s="535"/>
      <c r="H41" s="534">
        <v>172865.85365853662</v>
      </c>
      <c r="I41" s="534">
        <v>172865.85365853662</v>
      </c>
      <c r="J41" s="534">
        <v>172865.85365853662</v>
      </c>
      <c r="K41" s="534">
        <v>172865.85365853662</v>
      </c>
      <c r="L41" s="534">
        <v>172865.85365853662</v>
      </c>
      <c r="M41" s="534">
        <v>172865.85365853662</v>
      </c>
      <c r="N41" s="534">
        <v>172865.85365853662</v>
      </c>
      <c r="O41" s="534">
        <v>172865.85365853662</v>
      </c>
      <c r="P41" s="534">
        <v>172865.85365853662</v>
      </c>
      <c r="Q41" s="534">
        <v>172865.85365853662</v>
      </c>
      <c r="R41" s="534">
        <v>172865.85365853662</v>
      </c>
      <c r="S41" s="534">
        <v>172865.85365853662</v>
      </c>
      <c r="T41" s="41"/>
    </row>
    <row r="42" spans="1:20" s="43" customFormat="1" ht="16">
      <c r="B42" s="535" t="s">
        <v>65</v>
      </c>
      <c r="C42" s="533" t="s">
        <v>2</v>
      </c>
      <c r="D42" s="154">
        <v>0.1</v>
      </c>
      <c r="E42" s="545">
        <f>SUM(F32:F41)</f>
        <v>1670485.9632544769</v>
      </c>
      <c r="F42" s="534">
        <f t="shared" si="19"/>
        <v>167048.5963254477</v>
      </c>
      <c r="G42" s="535"/>
      <c r="H42" s="550">
        <f t="shared" ref="H42:S42" si="22">SUM(H32:H41)*$D42</f>
        <v>108095.87802410443</v>
      </c>
      <c r="I42" s="534">
        <f t="shared" si="22"/>
        <v>105855.41967403248</v>
      </c>
      <c r="J42" s="534">
        <f t="shared" si="22"/>
        <v>125547.70595491987</v>
      </c>
      <c r="K42" s="534">
        <f t="shared" si="22"/>
        <v>139081.96661353146</v>
      </c>
      <c r="L42" s="534">
        <f t="shared" si="22"/>
        <v>157989.25330609773</v>
      </c>
      <c r="M42" s="534">
        <f t="shared" si="22"/>
        <v>167130.65247370594</v>
      </c>
      <c r="N42" s="534">
        <f t="shared" si="22"/>
        <v>167126.73386785577</v>
      </c>
      <c r="O42" s="534">
        <f t="shared" si="22"/>
        <v>167045.81707820515</v>
      </c>
      <c r="P42" s="534">
        <f t="shared" si="22"/>
        <v>166964.95086154802</v>
      </c>
      <c r="Q42" s="534">
        <f t="shared" si="22"/>
        <v>166884.13518627628</v>
      </c>
      <c r="R42" s="534">
        <f t="shared" si="22"/>
        <v>166803.37002080167</v>
      </c>
      <c r="S42" s="534">
        <f t="shared" si="22"/>
        <v>166722.65533355542</v>
      </c>
      <c r="T42" s="41"/>
    </row>
    <row r="43" spans="1:20" s="44" customFormat="1">
      <c r="B43" s="537" t="str">
        <f>"Subtotal "&amp;B31</f>
        <v>Subtotal Dairy Farm</v>
      </c>
      <c r="C43" s="537"/>
      <c r="D43" s="537"/>
      <c r="E43" s="537"/>
      <c r="F43" s="538">
        <f>SUM(F32:F42)</f>
        <v>1837534.5595799247</v>
      </c>
      <c r="G43" s="32"/>
      <c r="H43" s="539">
        <f t="shared" ref="H43:S43" si="23">SUM(H32:H42)</f>
        <v>1189054.6582651488</v>
      </c>
      <c r="I43" s="539">
        <f t="shared" si="23"/>
        <v>1164409.6164143574</v>
      </c>
      <c r="J43" s="539">
        <f t="shared" si="23"/>
        <v>1381024.7655041185</v>
      </c>
      <c r="K43" s="539">
        <f t="shared" si="23"/>
        <v>1529901.632748846</v>
      </c>
      <c r="L43" s="539">
        <f t="shared" si="23"/>
        <v>1737881.7863670751</v>
      </c>
      <c r="M43" s="539">
        <f t="shared" si="23"/>
        <v>1838437.177210765</v>
      </c>
      <c r="N43" s="539">
        <f t="shared" si="23"/>
        <v>1838394.0725464134</v>
      </c>
      <c r="O43" s="539">
        <f t="shared" si="23"/>
        <v>1837503.9878602563</v>
      </c>
      <c r="P43" s="539">
        <f t="shared" si="23"/>
        <v>1836614.4594770281</v>
      </c>
      <c r="Q43" s="539">
        <f t="shared" si="23"/>
        <v>1835725.487049039</v>
      </c>
      <c r="R43" s="539">
        <f t="shared" si="23"/>
        <v>1834837.0702288183</v>
      </c>
      <c r="S43" s="539">
        <f t="shared" si="23"/>
        <v>1833949.2086691097</v>
      </c>
      <c r="T43" s="41"/>
    </row>
    <row r="44" spans="1:20" s="41" customFormat="1">
      <c r="B44" s="540" t="s">
        <v>117</v>
      </c>
      <c r="C44" s="540"/>
      <c r="D44" s="540"/>
      <c r="E44" s="540"/>
      <c r="F44" s="541">
        <f t="shared" ref="F44" si="24">F43-F45</f>
        <v>1732656.5107994368</v>
      </c>
      <c r="G44" s="10"/>
      <c r="H44" s="541">
        <f t="shared" ref="H44:S44" si="25">H43-H45</f>
        <v>1021176.6094846609</v>
      </c>
      <c r="I44" s="541">
        <f t="shared" si="25"/>
        <v>996531.56763386959</v>
      </c>
      <c r="J44" s="541">
        <f t="shared" si="25"/>
        <v>1213146.7167236307</v>
      </c>
      <c r="K44" s="541">
        <f t="shared" si="25"/>
        <v>1362023.5839683581</v>
      </c>
      <c r="L44" s="541">
        <f t="shared" si="25"/>
        <v>1570003.7375865872</v>
      </c>
      <c r="M44" s="541">
        <f t="shared" si="25"/>
        <v>1733559.1284302771</v>
      </c>
      <c r="N44" s="541">
        <f t="shared" si="25"/>
        <v>1733516.0237659256</v>
      </c>
      <c r="O44" s="541">
        <f t="shared" si="25"/>
        <v>1732625.9390797685</v>
      </c>
      <c r="P44" s="541">
        <f t="shared" si="25"/>
        <v>1731736.4106965403</v>
      </c>
      <c r="Q44" s="541">
        <f t="shared" si="25"/>
        <v>1730847.4382685511</v>
      </c>
      <c r="R44" s="541">
        <f t="shared" si="25"/>
        <v>1729959.0214483305</v>
      </c>
      <c r="S44" s="541">
        <f t="shared" si="25"/>
        <v>1729071.1598886219</v>
      </c>
    </row>
    <row r="45" spans="1:20" s="41" customFormat="1">
      <c r="B45" s="542" t="s">
        <v>18</v>
      </c>
      <c r="C45" s="542"/>
      <c r="D45" s="542"/>
      <c r="E45" s="542"/>
      <c r="F45" s="541">
        <f>SUM(F39:F40)</f>
        <v>104878.04878048781</v>
      </c>
      <c r="G45" s="147"/>
      <c r="H45" s="541">
        <f>SUM(H39:H40)</f>
        <v>167878.04878048779</v>
      </c>
      <c r="I45" s="541">
        <f t="shared" ref="I45:S45" si="26">SUM(I39:I40)</f>
        <v>167878.04878048779</v>
      </c>
      <c r="J45" s="541">
        <f t="shared" si="26"/>
        <v>167878.04878048779</v>
      </c>
      <c r="K45" s="541">
        <f t="shared" si="26"/>
        <v>167878.04878048779</v>
      </c>
      <c r="L45" s="541">
        <f t="shared" si="26"/>
        <v>167878.04878048779</v>
      </c>
      <c r="M45" s="541">
        <f t="shared" si="26"/>
        <v>104878.04878048781</v>
      </c>
      <c r="N45" s="541">
        <f t="shared" si="26"/>
        <v>104878.04878048781</v>
      </c>
      <c r="O45" s="541">
        <f t="shared" si="26"/>
        <v>104878.04878048781</v>
      </c>
      <c r="P45" s="541">
        <f t="shared" si="26"/>
        <v>104878.04878048781</v>
      </c>
      <c r="Q45" s="541">
        <f t="shared" si="26"/>
        <v>104878.04878048781</v>
      </c>
      <c r="R45" s="541">
        <f t="shared" si="26"/>
        <v>104878.04878048781</v>
      </c>
      <c r="S45" s="541">
        <f t="shared" si="26"/>
        <v>104878.04878048781</v>
      </c>
    </row>
    <row r="46" spans="1:20" s="41" customFormat="1">
      <c r="A46" s="43"/>
      <c r="B46" s="531" t="s">
        <v>179</v>
      </c>
      <c r="C46" s="531"/>
      <c r="D46" s="531"/>
      <c r="E46" s="531"/>
      <c r="F46" s="531"/>
      <c r="G46" s="32"/>
      <c r="H46" s="551">
        <f>'Dairy Product Composition'!H12</f>
        <v>0.12256944055481443</v>
      </c>
      <c r="I46" s="551">
        <f>'Dairy Product Composition'!I12</f>
        <v>0.17925780681141609</v>
      </c>
      <c r="J46" s="551">
        <f>'Dairy Product Composition'!J12</f>
        <v>0.3154725158637659</v>
      </c>
      <c r="K46" s="551">
        <f>'Dairy Product Composition'!K12</f>
        <v>0.45952633049852054</v>
      </c>
      <c r="L46" s="551">
        <f>'Dairy Product Composition'!L12</f>
        <v>0.66111797560960373</v>
      </c>
      <c r="M46" s="551">
        <f>'Dairy Product Composition'!M12</f>
        <v>0.87554721701063165</v>
      </c>
      <c r="N46" s="551">
        <f>'Dairy Product Composition'!N12</f>
        <v>1</v>
      </c>
      <c r="O46" s="551">
        <f>'Dairy Product Composition'!O12</f>
        <v>1.0618359374999999</v>
      </c>
      <c r="P46" s="551">
        <f>'Dairy Product Composition'!P12</f>
        <v>1.1235941894531249</v>
      </c>
      <c r="Q46" s="551">
        <f>'Dairy Product Composition'!Q12</f>
        <v>1.1228919430847166</v>
      </c>
      <c r="R46" s="551">
        <f>'Dairy Product Composition'!R12</f>
        <v>1.1221901356202888</v>
      </c>
      <c r="S46" s="551">
        <f>'Dairy Product Composition'!S12</f>
        <v>1.121488766785526</v>
      </c>
    </row>
    <row r="47" spans="1:20" s="41" customFormat="1">
      <c r="B47" s="537" t="s">
        <v>170</v>
      </c>
      <c r="C47" s="537"/>
      <c r="D47" s="537"/>
      <c r="E47" s="537"/>
      <c r="F47" s="537"/>
      <c r="G47" s="32"/>
      <c r="H47" s="537"/>
      <c r="I47" s="537"/>
      <c r="J47" s="537"/>
      <c r="K47" s="537"/>
      <c r="L47" s="537"/>
      <c r="M47" s="537"/>
      <c r="N47" s="537"/>
      <c r="O47" s="537"/>
      <c r="P47" s="537"/>
      <c r="Q47" s="537"/>
      <c r="R47" s="537"/>
      <c r="S47" s="537"/>
      <c r="T47" s="103"/>
    </row>
    <row r="48" spans="1:20" s="41" customFormat="1">
      <c r="B48" s="147" t="s">
        <v>202</v>
      </c>
      <c r="C48" s="147" t="s">
        <v>180</v>
      </c>
      <c r="D48" s="535">
        <f>'Dairy Product Composition'!$C$11</f>
        <v>7832294.8661145046</v>
      </c>
      <c r="E48" s="544">
        <v>0.05</v>
      </c>
      <c r="F48" s="534">
        <f t="shared" ref="F48:F60" si="27">D48*E48</f>
        <v>391614.74330572528</v>
      </c>
      <c r="G48" s="147"/>
      <c r="H48" s="534">
        <f t="shared" ref="H48:S54" si="28">$F48*H$46</f>
        <v>48000.000000000007</v>
      </c>
      <c r="I48" s="534">
        <f t="shared" si="28"/>
        <v>70200</v>
      </c>
      <c r="J48" s="534">
        <f t="shared" si="28"/>
        <v>123543.68832000003</v>
      </c>
      <c r="K48" s="534">
        <f t="shared" si="28"/>
        <v>179957.28596040001</v>
      </c>
      <c r="L48" s="534">
        <f t="shared" si="28"/>
        <v>258903.5463131557</v>
      </c>
      <c r="M48" s="534">
        <f t="shared" si="28"/>
        <v>342877.19864166068</v>
      </c>
      <c r="N48" s="534">
        <f t="shared" si="28"/>
        <v>391614.74330572528</v>
      </c>
      <c r="O48" s="534">
        <f t="shared" si="28"/>
        <v>415830.60809685662</v>
      </c>
      <c r="P48" s="534">
        <f t="shared" si="28"/>
        <v>440016.05008248996</v>
      </c>
      <c r="Q48" s="534">
        <f t="shared" si="28"/>
        <v>439741.04005118838</v>
      </c>
      <c r="R48" s="534">
        <f t="shared" si="28"/>
        <v>439466.20190115646</v>
      </c>
      <c r="S48" s="534">
        <f t="shared" si="28"/>
        <v>439191.53552496817</v>
      </c>
      <c r="T48" s="153"/>
    </row>
    <row r="49" spans="2:20" s="41" customFormat="1">
      <c r="B49" s="147" t="s">
        <v>218</v>
      </c>
      <c r="C49" s="147" t="s">
        <v>180</v>
      </c>
      <c r="D49" s="535">
        <f>'Dairy Product Composition'!$C$11</f>
        <v>7832294.8661145046</v>
      </c>
      <c r="E49" s="544">
        <v>0.15</v>
      </c>
      <c r="F49" s="534">
        <f t="shared" si="27"/>
        <v>1174844.2299171756</v>
      </c>
      <c r="G49" s="147"/>
      <c r="H49" s="534">
        <f t="shared" si="28"/>
        <v>144000</v>
      </c>
      <c r="I49" s="534">
        <f t="shared" si="28"/>
        <v>210599.99999999997</v>
      </c>
      <c r="J49" s="534">
        <f t="shared" si="28"/>
        <v>370631.06495999999</v>
      </c>
      <c r="K49" s="534">
        <f t="shared" si="28"/>
        <v>539871.85788119992</v>
      </c>
      <c r="L49" s="534">
        <f t="shared" si="28"/>
        <v>776710.63893946703</v>
      </c>
      <c r="M49" s="534">
        <f t="shared" si="28"/>
        <v>1028631.5959249818</v>
      </c>
      <c r="N49" s="534">
        <f t="shared" si="28"/>
        <v>1174844.2299171756</v>
      </c>
      <c r="O49" s="534">
        <f t="shared" si="28"/>
        <v>1247491.8242905696</v>
      </c>
      <c r="P49" s="534">
        <f t="shared" si="28"/>
        <v>1320048.1502474698</v>
      </c>
      <c r="Q49" s="534">
        <f t="shared" si="28"/>
        <v>1319223.120153565</v>
      </c>
      <c r="R49" s="534">
        <f t="shared" si="28"/>
        <v>1318398.6057034691</v>
      </c>
      <c r="S49" s="534">
        <f t="shared" si="28"/>
        <v>1317574.6065749042</v>
      </c>
      <c r="T49" s="103"/>
    </row>
    <row r="50" spans="2:20" s="41" customFormat="1">
      <c r="B50" s="147" t="s">
        <v>33</v>
      </c>
      <c r="C50" s="147" t="s">
        <v>175</v>
      </c>
      <c r="D50" s="535">
        <v>6000</v>
      </c>
      <c r="E50" s="544">
        <v>4.9518864329268289E-2</v>
      </c>
      <c r="F50" s="534">
        <f t="shared" si="27"/>
        <v>297.11318597560972</v>
      </c>
      <c r="G50" s="147"/>
      <c r="H50" s="534">
        <f t="shared" si="28"/>
        <v>36.416996986489018</v>
      </c>
      <c r="I50" s="534">
        <f t="shared" si="28"/>
        <v>53.259858092740188</v>
      </c>
      <c r="J50" s="534">
        <f t="shared" si="28"/>
        <v>93.731044276024562</v>
      </c>
      <c r="K50" s="534">
        <f t="shared" si="28"/>
        <v>136.53133209409643</v>
      </c>
      <c r="L50" s="534">
        <f t="shared" si="28"/>
        <v>196.42686803911479</v>
      </c>
      <c r="M50" s="534">
        <f t="shared" si="28"/>
        <v>260.13662311810731</v>
      </c>
      <c r="N50" s="534">
        <f t="shared" si="28"/>
        <v>297.11318597560972</v>
      </c>
      <c r="O50" s="534">
        <f t="shared" si="28"/>
        <v>315.48545837402338</v>
      </c>
      <c r="P50" s="534">
        <f t="shared" si="28"/>
        <v>333.83464937210078</v>
      </c>
      <c r="Q50" s="534">
        <f t="shared" si="28"/>
        <v>333.62600271624319</v>
      </c>
      <c r="R50" s="534">
        <f t="shared" si="28"/>
        <v>333.41748646454556</v>
      </c>
      <c r="S50" s="534">
        <f t="shared" si="28"/>
        <v>333.20910053550517</v>
      </c>
      <c r="T50" s="103"/>
    </row>
    <row r="51" spans="2:20" s="41" customFormat="1">
      <c r="B51" s="147" t="s">
        <v>28</v>
      </c>
      <c r="C51" s="147" t="s">
        <v>62</v>
      </c>
      <c r="D51" s="535">
        <v>956250</v>
      </c>
      <c r="E51" s="544">
        <v>0.28296493902439024</v>
      </c>
      <c r="F51" s="534">
        <f t="shared" si="27"/>
        <v>270585.22294207319</v>
      </c>
      <c r="G51" s="147"/>
      <c r="H51" s="534">
        <f t="shared" si="28"/>
        <v>33165.479398409647</v>
      </c>
      <c r="I51" s="534">
        <f t="shared" si="28"/>
        <v>48504.513620174112</v>
      </c>
      <c r="J51" s="534">
        <f t="shared" si="28"/>
        <v>85362.201037093822</v>
      </c>
      <c r="K51" s="534">
        <f t="shared" si="28"/>
        <v>124341.03458569499</v>
      </c>
      <c r="L51" s="534">
        <f t="shared" si="28"/>
        <v>178888.75482133674</v>
      </c>
      <c r="M51" s="534">
        <f t="shared" si="28"/>
        <v>236910.13891113349</v>
      </c>
      <c r="N51" s="534">
        <f t="shared" si="28"/>
        <v>270585.22294207319</v>
      </c>
      <c r="O51" s="534">
        <f t="shared" si="28"/>
        <v>287317.11387634277</v>
      </c>
      <c r="P51" s="534">
        <f t="shared" si="28"/>
        <v>304027.98424959183</v>
      </c>
      <c r="Q51" s="534">
        <f t="shared" si="28"/>
        <v>303837.96675943583</v>
      </c>
      <c r="R51" s="534">
        <f t="shared" si="28"/>
        <v>303648.0680302112</v>
      </c>
      <c r="S51" s="534">
        <f t="shared" si="28"/>
        <v>303458.28798769228</v>
      </c>
      <c r="T51" s="103"/>
    </row>
    <row r="52" spans="2:20" s="41" customFormat="1">
      <c r="B52" s="535" t="s">
        <v>63</v>
      </c>
      <c r="C52" s="535" t="s">
        <v>174</v>
      </c>
      <c r="D52" s="535">
        <v>1</v>
      </c>
      <c r="E52" s="552">
        <v>82317.073170731717</v>
      </c>
      <c r="F52" s="534">
        <f t="shared" si="27"/>
        <v>82317.073170731717</v>
      </c>
      <c r="G52" s="535"/>
      <c r="H52" s="534">
        <f t="shared" si="28"/>
        <v>10089.557606646311</v>
      </c>
      <c r="I52" s="534">
        <f t="shared" si="28"/>
        <v>14755.977999720229</v>
      </c>
      <c r="J52" s="534">
        <f t="shared" si="28"/>
        <v>25968.774171712441</v>
      </c>
      <c r="K52" s="534">
        <f t="shared" si="28"/>
        <v>37826.862571524558</v>
      </c>
      <c r="L52" s="534">
        <f t="shared" si="28"/>
        <v>54421.296772741778</v>
      </c>
      <c r="M52" s="534">
        <f t="shared" si="28"/>
        <v>72072.484327094688</v>
      </c>
      <c r="N52" s="534">
        <f t="shared" si="28"/>
        <v>82317.073170731717</v>
      </c>
      <c r="O52" s="534">
        <f t="shared" si="28"/>
        <v>87407.2265625</v>
      </c>
      <c r="P52" s="534">
        <f t="shared" si="28"/>
        <v>92490.985107421875</v>
      </c>
      <c r="Q52" s="534">
        <f t="shared" si="28"/>
        <v>92433.178241729736</v>
      </c>
      <c r="R52" s="534">
        <f t="shared" si="28"/>
        <v>92375.407505328665</v>
      </c>
      <c r="S52" s="534">
        <f t="shared" si="28"/>
        <v>92317.672875637829</v>
      </c>
      <c r="T52" s="103"/>
    </row>
    <row r="53" spans="2:20" s="41" customFormat="1">
      <c r="B53" s="147" t="s">
        <v>181</v>
      </c>
      <c r="C53" s="147" t="s">
        <v>2</v>
      </c>
      <c r="D53" s="553">
        <v>7.4999999999999997E-2</v>
      </c>
      <c r="E53" s="552">
        <f>SUM(F48:F52)</f>
        <v>1919658.3825216815</v>
      </c>
      <c r="F53" s="534">
        <f t="shared" si="27"/>
        <v>143974.37868912611</v>
      </c>
      <c r="G53" s="147"/>
      <c r="H53" s="534">
        <f t="shared" si="28"/>
        <v>17646.859050153183</v>
      </c>
      <c r="I53" s="534">
        <f t="shared" si="28"/>
        <v>25808.531360849032</v>
      </c>
      <c r="J53" s="534">
        <f t="shared" si="28"/>
        <v>45419.959464981177</v>
      </c>
      <c r="K53" s="534">
        <f t="shared" si="28"/>
        <v>66160.017924818516</v>
      </c>
      <c r="L53" s="534">
        <f t="shared" si="28"/>
        <v>95184.04977860552</v>
      </c>
      <c r="M53" s="534">
        <f t="shared" si="28"/>
        <v>126056.36658209916</v>
      </c>
      <c r="N53" s="534">
        <f t="shared" si="28"/>
        <v>143974.37868912611</v>
      </c>
      <c r="O53" s="534">
        <f t="shared" si="28"/>
        <v>152877.16937134822</v>
      </c>
      <c r="P53" s="534">
        <f t="shared" si="28"/>
        <v>161768.77532522593</v>
      </c>
      <c r="Q53" s="534">
        <f t="shared" si="28"/>
        <v>161667.66984064764</v>
      </c>
      <c r="R53" s="534">
        <f t="shared" si="28"/>
        <v>161566.62754699725</v>
      </c>
      <c r="S53" s="534">
        <f t="shared" si="28"/>
        <v>161465.64840478037</v>
      </c>
      <c r="T53" s="103"/>
    </row>
    <row r="54" spans="2:20" s="41" customFormat="1">
      <c r="B54" s="535" t="s">
        <v>65</v>
      </c>
      <c r="C54" s="535" t="s">
        <v>2</v>
      </c>
      <c r="D54" s="554">
        <v>0.1</v>
      </c>
      <c r="E54" s="552">
        <f>E53</f>
        <v>1919658.3825216815</v>
      </c>
      <c r="F54" s="534">
        <f t="shared" si="27"/>
        <v>191965.83825216815</v>
      </c>
      <c r="G54" s="535"/>
      <c r="H54" s="534">
        <f t="shared" si="28"/>
        <v>23529.145400204245</v>
      </c>
      <c r="I54" s="534">
        <f t="shared" si="28"/>
        <v>34411.37514779871</v>
      </c>
      <c r="J54" s="534">
        <f t="shared" si="28"/>
        <v>60559.945953308234</v>
      </c>
      <c r="K54" s="534">
        <f t="shared" si="28"/>
        <v>88213.357233091359</v>
      </c>
      <c r="L54" s="534">
        <f t="shared" si="28"/>
        <v>126912.06637147404</v>
      </c>
      <c r="M54" s="534">
        <f t="shared" si="28"/>
        <v>168075.15544279889</v>
      </c>
      <c r="N54" s="534">
        <f t="shared" si="28"/>
        <v>191965.83825216815</v>
      </c>
      <c r="O54" s="534">
        <f t="shared" si="28"/>
        <v>203836.22582846432</v>
      </c>
      <c r="P54" s="534">
        <f t="shared" si="28"/>
        <v>215691.70043363457</v>
      </c>
      <c r="Q54" s="534">
        <f t="shared" si="28"/>
        <v>215556.8931208635</v>
      </c>
      <c r="R54" s="534">
        <f t="shared" si="28"/>
        <v>215422.170062663</v>
      </c>
      <c r="S54" s="534">
        <f t="shared" si="28"/>
        <v>215287.53120637382</v>
      </c>
      <c r="T54" s="103"/>
    </row>
    <row r="55" spans="2:20" s="41" customFormat="1">
      <c r="B55" s="537" t="s">
        <v>171</v>
      </c>
      <c r="C55" s="537"/>
      <c r="D55" s="537"/>
      <c r="E55" s="537"/>
      <c r="F55" s="537"/>
      <c r="G55" s="32"/>
      <c r="H55" s="555"/>
      <c r="I55" s="555"/>
      <c r="J55" s="555"/>
      <c r="K55" s="555"/>
      <c r="L55" s="555"/>
      <c r="M55" s="555"/>
      <c r="N55" s="555"/>
      <c r="O55" s="555"/>
      <c r="P55" s="555"/>
      <c r="Q55" s="555"/>
      <c r="R55" s="555"/>
      <c r="S55" s="555"/>
      <c r="T55" s="103"/>
    </row>
    <row r="56" spans="2:20" s="41" customFormat="1">
      <c r="B56" s="535" t="s">
        <v>64</v>
      </c>
      <c r="C56" s="535" t="s">
        <v>174</v>
      </c>
      <c r="D56" s="535">
        <v>1</v>
      </c>
      <c r="E56" s="552">
        <v>54878.048780487807</v>
      </c>
      <c r="F56" s="534">
        <f t="shared" si="27"/>
        <v>54878.048780487807</v>
      </c>
      <c r="G56" s="535"/>
      <c r="H56" s="534">
        <v>54878.048780487807</v>
      </c>
      <c r="I56" s="534">
        <v>54878.048780487807</v>
      </c>
      <c r="J56" s="534">
        <v>54878.048780487807</v>
      </c>
      <c r="K56" s="534">
        <v>54878.048780487807</v>
      </c>
      <c r="L56" s="534">
        <v>54878.048780487807</v>
      </c>
      <c r="M56" s="534">
        <v>54878.048780487807</v>
      </c>
      <c r="N56" s="534">
        <v>54878.048780487807</v>
      </c>
      <c r="O56" s="534">
        <v>54878.048780487807</v>
      </c>
      <c r="P56" s="534">
        <v>54878.048780487807</v>
      </c>
      <c r="Q56" s="534">
        <v>54878.048780487807</v>
      </c>
      <c r="R56" s="534">
        <v>54878.048780487807</v>
      </c>
      <c r="S56" s="534">
        <v>54878.048780487807</v>
      </c>
      <c r="T56" s="103"/>
    </row>
    <row r="57" spans="2:20" s="41" customFormat="1">
      <c r="B57" s="556" t="s">
        <v>57</v>
      </c>
      <c r="C57" s="556" t="s">
        <v>174</v>
      </c>
      <c r="D57" s="535">
        <v>1</v>
      </c>
      <c r="E57" s="552">
        <v>5000</v>
      </c>
      <c r="F57" s="534">
        <f t="shared" si="27"/>
        <v>5000</v>
      </c>
      <c r="G57" s="556"/>
      <c r="H57" s="534">
        <f t="shared" ref="H57:M60" si="29">$F57</f>
        <v>5000</v>
      </c>
      <c r="I57" s="534">
        <f t="shared" si="29"/>
        <v>5000</v>
      </c>
      <c r="J57" s="534">
        <f t="shared" si="29"/>
        <v>5000</v>
      </c>
      <c r="K57" s="534">
        <f t="shared" si="29"/>
        <v>5000</v>
      </c>
      <c r="L57" s="534">
        <f t="shared" si="29"/>
        <v>5000</v>
      </c>
      <c r="M57" s="534">
        <f t="shared" si="29"/>
        <v>5000</v>
      </c>
      <c r="N57" s="534">
        <f t="shared" ref="N57:S60" si="30">$F57</f>
        <v>5000</v>
      </c>
      <c r="O57" s="534">
        <f t="shared" si="30"/>
        <v>5000</v>
      </c>
      <c r="P57" s="534">
        <f t="shared" si="30"/>
        <v>5000</v>
      </c>
      <c r="Q57" s="534">
        <f t="shared" si="30"/>
        <v>5000</v>
      </c>
      <c r="R57" s="534">
        <f t="shared" si="30"/>
        <v>5000</v>
      </c>
      <c r="S57" s="534">
        <f t="shared" si="30"/>
        <v>5000</v>
      </c>
      <c r="T57" s="103"/>
    </row>
    <row r="58" spans="2:20" s="41" customFormat="1">
      <c r="B58" s="557" t="s">
        <v>17</v>
      </c>
      <c r="C58" s="557" t="s">
        <v>180</v>
      </c>
      <c r="D58" s="147"/>
      <c r="E58" s="558">
        <f>E36</f>
        <v>0.83841463414634143</v>
      </c>
      <c r="F58" s="534">
        <f t="shared" si="27"/>
        <v>0</v>
      </c>
      <c r="G58" s="557"/>
      <c r="H58" s="534">
        <f t="shared" si="29"/>
        <v>0</v>
      </c>
      <c r="I58" s="534">
        <f t="shared" si="29"/>
        <v>0</v>
      </c>
      <c r="J58" s="534">
        <f t="shared" si="29"/>
        <v>0</v>
      </c>
      <c r="K58" s="534">
        <f t="shared" si="29"/>
        <v>0</v>
      </c>
      <c r="L58" s="534">
        <f t="shared" si="29"/>
        <v>0</v>
      </c>
      <c r="M58" s="534">
        <f t="shared" si="29"/>
        <v>0</v>
      </c>
      <c r="N58" s="534">
        <f t="shared" si="30"/>
        <v>0</v>
      </c>
      <c r="O58" s="534">
        <f t="shared" si="30"/>
        <v>0</v>
      </c>
      <c r="P58" s="534">
        <f t="shared" si="30"/>
        <v>0</v>
      </c>
      <c r="Q58" s="534">
        <f t="shared" si="30"/>
        <v>0</v>
      </c>
      <c r="R58" s="534">
        <f t="shared" si="30"/>
        <v>0</v>
      </c>
      <c r="S58" s="534">
        <f t="shared" si="30"/>
        <v>0</v>
      </c>
      <c r="T58" s="103"/>
    </row>
    <row r="59" spans="2:20" s="41" customFormat="1">
      <c r="B59" s="556" t="s">
        <v>488</v>
      </c>
      <c r="C59" s="556" t="s">
        <v>174</v>
      </c>
      <c r="D59" s="535">
        <v>1</v>
      </c>
      <c r="E59" s="552">
        <v>20000</v>
      </c>
      <c r="F59" s="534">
        <f t="shared" si="27"/>
        <v>20000</v>
      </c>
      <c r="G59" s="556"/>
      <c r="H59" s="534">
        <f t="shared" si="29"/>
        <v>20000</v>
      </c>
      <c r="I59" s="534">
        <f t="shared" si="29"/>
        <v>20000</v>
      </c>
      <c r="J59" s="534">
        <f t="shared" si="29"/>
        <v>20000</v>
      </c>
      <c r="K59" s="534">
        <f t="shared" si="29"/>
        <v>20000</v>
      </c>
      <c r="L59" s="534">
        <f t="shared" si="29"/>
        <v>20000</v>
      </c>
      <c r="M59" s="534">
        <f t="shared" si="29"/>
        <v>20000</v>
      </c>
      <c r="N59" s="534">
        <f t="shared" si="30"/>
        <v>20000</v>
      </c>
      <c r="O59" s="534">
        <f t="shared" si="30"/>
        <v>20000</v>
      </c>
      <c r="P59" s="534">
        <f t="shared" si="30"/>
        <v>20000</v>
      </c>
      <c r="Q59" s="534">
        <f t="shared" si="30"/>
        <v>20000</v>
      </c>
      <c r="R59" s="534">
        <f t="shared" si="30"/>
        <v>20000</v>
      </c>
      <c r="S59" s="534">
        <f t="shared" si="30"/>
        <v>20000</v>
      </c>
      <c r="T59" s="103"/>
    </row>
    <row r="60" spans="2:20" s="41" customFormat="1">
      <c r="B60" s="557" t="s">
        <v>52</v>
      </c>
      <c r="C60" s="557" t="s">
        <v>2</v>
      </c>
      <c r="D60" s="154">
        <v>0.1</v>
      </c>
      <c r="E60" s="552">
        <f>SUM(F56:F59)</f>
        <v>79878.048780487807</v>
      </c>
      <c r="F60" s="534">
        <f t="shared" si="27"/>
        <v>7987.8048780487807</v>
      </c>
      <c r="G60" s="557"/>
      <c r="H60" s="534">
        <f t="shared" si="29"/>
        <v>7987.8048780487807</v>
      </c>
      <c r="I60" s="534">
        <f t="shared" si="29"/>
        <v>7987.8048780487807</v>
      </c>
      <c r="J60" s="534">
        <f t="shared" si="29"/>
        <v>7987.8048780487807</v>
      </c>
      <c r="K60" s="534">
        <f t="shared" si="29"/>
        <v>7987.8048780487807</v>
      </c>
      <c r="L60" s="534">
        <f t="shared" si="29"/>
        <v>7987.8048780487807</v>
      </c>
      <c r="M60" s="534">
        <f t="shared" si="29"/>
        <v>7987.8048780487807</v>
      </c>
      <c r="N60" s="534">
        <f t="shared" si="30"/>
        <v>7987.8048780487807</v>
      </c>
      <c r="O60" s="534">
        <f t="shared" si="30"/>
        <v>7987.8048780487807</v>
      </c>
      <c r="P60" s="534">
        <f t="shared" si="30"/>
        <v>7987.8048780487807</v>
      </c>
      <c r="Q60" s="534">
        <f t="shared" si="30"/>
        <v>7987.8048780487807</v>
      </c>
      <c r="R60" s="534">
        <f t="shared" si="30"/>
        <v>7987.8048780487807</v>
      </c>
      <c r="S60" s="534">
        <f t="shared" si="30"/>
        <v>7987.8048780487807</v>
      </c>
      <c r="T60" s="103"/>
    </row>
    <row r="61" spans="2:20" s="41" customFormat="1">
      <c r="B61" s="537" t="s">
        <v>183</v>
      </c>
      <c r="C61" s="537"/>
      <c r="D61" s="537"/>
      <c r="E61" s="537"/>
      <c r="F61" s="539">
        <f>SUM(F48:F60)</f>
        <v>2343464.4531215122</v>
      </c>
      <c r="G61" s="32"/>
      <c r="H61" s="539">
        <f t="shared" ref="H61:S61" si="31">SUM(H48:H60)</f>
        <v>364333.31211093644</v>
      </c>
      <c r="I61" s="539">
        <f t="shared" si="31"/>
        <v>492199.51164517144</v>
      </c>
      <c r="J61" s="539">
        <f t="shared" si="31"/>
        <v>799445.21860990848</v>
      </c>
      <c r="K61" s="539">
        <f t="shared" si="31"/>
        <v>1124372.8011473601</v>
      </c>
      <c r="L61" s="539">
        <f t="shared" si="31"/>
        <v>1579082.6335233564</v>
      </c>
      <c r="M61" s="539">
        <f t="shared" si="31"/>
        <v>2062748.9301114234</v>
      </c>
      <c r="N61" s="539">
        <f t="shared" si="31"/>
        <v>2343464.4531215122</v>
      </c>
      <c r="O61" s="539">
        <f t="shared" si="31"/>
        <v>2482941.5071429918</v>
      </c>
      <c r="P61" s="539">
        <f t="shared" si="31"/>
        <v>2622243.3337537432</v>
      </c>
      <c r="Q61" s="539">
        <f t="shared" si="31"/>
        <v>2620659.3478286825</v>
      </c>
      <c r="R61" s="539">
        <f t="shared" si="31"/>
        <v>2619076.3518948266</v>
      </c>
      <c r="S61" s="539">
        <f t="shared" si="31"/>
        <v>2617494.3453334281</v>
      </c>
      <c r="T61" s="103"/>
    </row>
    <row r="62" spans="2:20" s="41" customFormat="1">
      <c r="B62" s="540" t="s">
        <v>117</v>
      </c>
      <c r="C62" s="540"/>
      <c r="D62" s="540"/>
      <c r="E62" s="540"/>
      <c r="F62" s="541">
        <f>SUM(F48:F54)</f>
        <v>2255598.5994629757</v>
      </c>
      <c r="G62" s="10"/>
      <c r="H62" s="541">
        <f t="shared" ref="H62:S62" si="32">SUM(H48:H54)</f>
        <v>276467.45845239988</v>
      </c>
      <c r="I62" s="541">
        <f t="shared" si="32"/>
        <v>404333.65798663488</v>
      </c>
      <c r="J62" s="541">
        <f t="shared" si="32"/>
        <v>711579.3649513718</v>
      </c>
      <c r="K62" s="541">
        <f t="shared" si="32"/>
        <v>1036506.9474888236</v>
      </c>
      <c r="L62" s="541">
        <f t="shared" si="32"/>
        <v>1491216.7798648197</v>
      </c>
      <c r="M62" s="541">
        <f t="shared" si="32"/>
        <v>1974883.0764528867</v>
      </c>
      <c r="N62" s="541">
        <f t="shared" si="32"/>
        <v>2255598.5994629757</v>
      </c>
      <c r="O62" s="541">
        <f t="shared" si="32"/>
        <v>2395075.6534844553</v>
      </c>
      <c r="P62" s="541">
        <f t="shared" si="32"/>
        <v>2534377.4800952068</v>
      </c>
      <c r="Q62" s="541">
        <f t="shared" si="32"/>
        <v>2532793.4941701461</v>
      </c>
      <c r="R62" s="541">
        <f t="shared" si="32"/>
        <v>2531210.4982362902</v>
      </c>
      <c r="S62" s="541">
        <f t="shared" si="32"/>
        <v>2529628.4916748917</v>
      </c>
      <c r="T62" s="103"/>
    </row>
    <row r="63" spans="2:20" s="41" customFormat="1">
      <c r="B63" s="542" t="s">
        <v>18</v>
      </c>
      <c r="C63" s="542"/>
      <c r="D63" s="542"/>
      <c r="E63" s="542"/>
      <c r="F63" s="541">
        <f>SUM(F56:F60)</f>
        <v>87865.853658536595</v>
      </c>
      <c r="G63" s="147"/>
      <c r="H63" s="541">
        <f t="shared" ref="H63:S63" si="33">SUM(H56:H60)</f>
        <v>87865.853658536595</v>
      </c>
      <c r="I63" s="541">
        <f t="shared" si="33"/>
        <v>87865.853658536595</v>
      </c>
      <c r="J63" s="541">
        <f t="shared" si="33"/>
        <v>87865.853658536595</v>
      </c>
      <c r="K63" s="541">
        <f t="shared" si="33"/>
        <v>87865.853658536595</v>
      </c>
      <c r="L63" s="541">
        <f t="shared" si="33"/>
        <v>87865.853658536595</v>
      </c>
      <c r="M63" s="541">
        <f t="shared" si="33"/>
        <v>87865.853658536595</v>
      </c>
      <c r="N63" s="541">
        <f t="shared" si="33"/>
        <v>87865.853658536595</v>
      </c>
      <c r="O63" s="541">
        <f t="shared" si="33"/>
        <v>87865.853658536595</v>
      </c>
      <c r="P63" s="541">
        <f t="shared" si="33"/>
        <v>87865.853658536595</v>
      </c>
      <c r="Q63" s="541">
        <f t="shared" si="33"/>
        <v>87865.853658536595</v>
      </c>
      <c r="R63" s="541">
        <f t="shared" si="33"/>
        <v>87865.853658536595</v>
      </c>
      <c r="S63" s="541">
        <f t="shared" si="33"/>
        <v>87865.853658536595</v>
      </c>
      <c r="T63" s="103"/>
    </row>
    <row r="64" spans="2:20" s="41" customFormat="1">
      <c r="B64" s="531" t="s">
        <v>476</v>
      </c>
      <c r="C64" s="531"/>
      <c r="D64" s="531"/>
      <c r="E64" s="531"/>
      <c r="F64" s="531"/>
      <c r="G64" s="32"/>
      <c r="H64" s="532">
        <v>0.5</v>
      </c>
      <c r="I64" s="532">
        <v>1</v>
      </c>
      <c r="J64" s="532">
        <v>1</v>
      </c>
      <c r="K64" s="532">
        <v>1</v>
      </c>
      <c r="L64" s="532">
        <v>1</v>
      </c>
      <c r="M64" s="532">
        <v>1</v>
      </c>
      <c r="N64" s="532">
        <v>1</v>
      </c>
      <c r="O64" s="532">
        <v>1</v>
      </c>
      <c r="P64" s="532">
        <v>1</v>
      </c>
      <c r="Q64" s="532">
        <v>1</v>
      </c>
      <c r="R64" s="532">
        <v>1</v>
      </c>
      <c r="S64" s="532">
        <v>1</v>
      </c>
    </row>
    <row r="65" spans="1:20" s="43" customFormat="1">
      <c r="B65" s="147" t="s">
        <v>482</v>
      </c>
      <c r="C65" s="43" t="s">
        <v>24</v>
      </c>
      <c r="D65" s="535">
        <v>18360</v>
      </c>
      <c r="E65" s="545">
        <v>164.63414634146341</v>
      </c>
      <c r="F65" s="534">
        <f t="shared" ref="F65:F76" si="34">D65*E65</f>
        <v>3022682.9268292682</v>
      </c>
      <c r="G65" s="147"/>
      <c r="H65" s="550">
        <f t="shared" ref="H65:S73" si="35">$F65*H$64</f>
        <v>1511341.4634146341</v>
      </c>
      <c r="I65" s="534">
        <f t="shared" si="35"/>
        <v>3022682.9268292682</v>
      </c>
      <c r="J65" s="534">
        <f t="shared" si="35"/>
        <v>3022682.9268292682</v>
      </c>
      <c r="K65" s="534">
        <f t="shared" si="35"/>
        <v>3022682.9268292682</v>
      </c>
      <c r="L65" s="534">
        <f t="shared" si="35"/>
        <v>3022682.9268292682</v>
      </c>
      <c r="M65" s="534">
        <f t="shared" si="35"/>
        <v>3022682.9268292682</v>
      </c>
      <c r="N65" s="534">
        <f t="shared" si="35"/>
        <v>3022682.9268292682</v>
      </c>
      <c r="O65" s="534">
        <f t="shared" si="35"/>
        <v>3022682.9268292682</v>
      </c>
      <c r="P65" s="534">
        <f t="shared" si="35"/>
        <v>3022682.9268292682</v>
      </c>
      <c r="Q65" s="534">
        <f t="shared" si="35"/>
        <v>3022682.9268292682</v>
      </c>
      <c r="R65" s="534">
        <f t="shared" si="35"/>
        <v>3022682.9268292682</v>
      </c>
      <c r="S65" s="550">
        <f t="shared" si="35"/>
        <v>3022682.9268292682</v>
      </c>
      <c r="T65" s="41"/>
    </row>
    <row r="66" spans="1:20" s="43" customFormat="1">
      <c r="B66" s="147" t="s">
        <v>33</v>
      </c>
      <c r="C66" s="43" t="s">
        <v>483</v>
      </c>
      <c r="D66" s="535">
        <v>90063.030149333863</v>
      </c>
      <c r="E66" s="544">
        <v>4.9518864329268289E-2</v>
      </c>
      <c r="F66" s="534">
        <f t="shared" si="34"/>
        <v>4459.8189710476627</v>
      </c>
      <c r="G66" s="147"/>
      <c r="H66" s="550">
        <f t="shared" si="35"/>
        <v>2229.9094855238313</v>
      </c>
      <c r="I66" s="534">
        <f t="shared" si="35"/>
        <v>4459.8189710476627</v>
      </c>
      <c r="J66" s="534">
        <f t="shared" si="35"/>
        <v>4459.8189710476627</v>
      </c>
      <c r="K66" s="534">
        <f t="shared" si="35"/>
        <v>4459.8189710476627</v>
      </c>
      <c r="L66" s="534">
        <f t="shared" si="35"/>
        <v>4459.8189710476627</v>
      </c>
      <c r="M66" s="534">
        <f t="shared" si="35"/>
        <v>4459.8189710476627</v>
      </c>
      <c r="N66" s="534">
        <f t="shared" si="35"/>
        <v>4459.8189710476627</v>
      </c>
      <c r="O66" s="534">
        <f t="shared" si="35"/>
        <v>4459.8189710476627</v>
      </c>
      <c r="P66" s="534">
        <f t="shared" si="35"/>
        <v>4459.8189710476627</v>
      </c>
      <c r="Q66" s="534">
        <f t="shared" si="35"/>
        <v>4459.8189710476627</v>
      </c>
      <c r="R66" s="534">
        <f t="shared" si="35"/>
        <v>4459.8189710476627</v>
      </c>
      <c r="S66" s="534">
        <f t="shared" si="35"/>
        <v>4459.8189710476627</v>
      </c>
      <c r="T66" s="41"/>
    </row>
    <row r="67" spans="1:20" s="43" customFormat="1">
      <c r="B67" s="147" t="s">
        <v>110</v>
      </c>
      <c r="C67" s="43" t="s">
        <v>24</v>
      </c>
      <c r="D67" s="535">
        <v>18360</v>
      </c>
      <c r="E67" s="547">
        <v>6</v>
      </c>
      <c r="F67" s="534">
        <f t="shared" si="34"/>
        <v>110160</v>
      </c>
      <c r="G67" s="147"/>
      <c r="H67" s="534">
        <f t="shared" si="35"/>
        <v>55080</v>
      </c>
      <c r="I67" s="534">
        <f t="shared" si="35"/>
        <v>110160</v>
      </c>
      <c r="J67" s="534">
        <f t="shared" si="35"/>
        <v>110160</v>
      </c>
      <c r="K67" s="534">
        <f t="shared" si="35"/>
        <v>110160</v>
      </c>
      <c r="L67" s="534">
        <f t="shared" si="35"/>
        <v>110160</v>
      </c>
      <c r="M67" s="534">
        <f t="shared" si="35"/>
        <v>110160</v>
      </c>
      <c r="N67" s="534">
        <f t="shared" si="35"/>
        <v>110160</v>
      </c>
      <c r="O67" s="534">
        <f t="shared" si="35"/>
        <v>110160</v>
      </c>
      <c r="P67" s="534">
        <f t="shared" si="35"/>
        <v>110160</v>
      </c>
      <c r="Q67" s="534">
        <f t="shared" si="35"/>
        <v>110160</v>
      </c>
      <c r="R67" s="534">
        <f t="shared" si="35"/>
        <v>110160</v>
      </c>
      <c r="S67" s="534">
        <f t="shared" si="35"/>
        <v>110160</v>
      </c>
      <c r="T67" s="41"/>
    </row>
    <row r="68" spans="1:20" s="43" customFormat="1">
      <c r="A68" s="474"/>
      <c r="B68" s="147" t="s">
        <v>164</v>
      </c>
      <c r="C68" s="43" t="s">
        <v>24</v>
      </c>
      <c r="D68" s="535">
        <v>18360</v>
      </c>
      <c r="E68" s="547">
        <v>3</v>
      </c>
      <c r="F68" s="534">
        <f t="shared" si="34"/>
        <v>55080</v>
      </c>
      <c r="G68" s="147"/>
      <c r="H68" s="534">
        <f t="shared" si="35"/>
        <v>27540</v>
      </c>
      <c r="I68" s="534">
        <f t="shared" si="35"/>
        <v>55080</v>
      </c>
      <c r="J68" s="534">
        <f t="shared" si="35"/>
        <v>55080</v>
      </c>
      <c r="K68" s="534">
        <f t="shared" si="35"/>
        <v>55080</v>
      </c>
      <c r="L68" s="534">
        <f t="shared" si="35"/>
        <v>55080</v>
      </c>
      <c r="M68" s="534">
        <f t="shared" si="35"/>
        <v>55080</v>
      </c>
      <c r="N68" s="534">
        <f t="shared" si="35"/>
        <v>55080</v>
      </c>
      <c r="O68" s="534">
        <f t="shared" si="35"/>
        <v>55080</v>
      </c>
      <c r="P68" s="534">
        <f t="shared" si="35"/>
        <v>55080</v>
      </c>
      <c r="Q68" s="534">
        <f t="shared" si="35"/>
        <v>55080</v>
      </c>
      <c r="R68" s="534">
        <f t="shared" si="35"/>
        <v>55080</v>
      </c>
      <c r="S68" s="534">
        <f t="shared" si="35"/>
        <v>55080</v>
      </c>
      <c r="T68" s="41"/>
    </row>
    <row r="69" spans="1:20" s="43" customFormat="1">
      <c r="B69" s="147" t="s">
        <v>28</v>
      </c>
      <c r="C69" s="43" t="s">
        <v>484</v>
      </c>
      <c r="D69" s="535">
        <v>330642.35726056813</v>
      </c>
      <c r="E69" s="544">
        <v>0.28296493902439024</v>
      </c>
      <c r="F69" s="534">
        <f t="shared" si="34"/>
        <v>93560.194461117309</v>
      </c>
      <c r="G69" s="147"/>
      <c r="H69" s="534">
        <f t="shared" si="35"/>
        <v>46780.097230558655</v>
      </c>
      <c r="I69" s="534">
        <f t="shared" si="35"/>
        <v>93560.194461117309</v>
      </c>
      <c r="J69" s="534">
        <f t="shared" si="35"/>
        <v>93560.194461117309</v>
      </c>
      <c r="K69" s="534">
        <f t="shared" si="35"/>
        <v>93560.194461117309</v>
      </c>
      <c r="L69" s="534">
        <f t="shared" si="35"/>
        <v>93560.194461117309</v>
      </c>
      <c r="M69" s="534">
        <f t="shared" si="35"/>
        <v>93560.194461117309</v>
      </c>
      <c r="N69" s="534">
        <f t="shared" si="35"/>
        <v>93560.194461117309</v>
      </c>
      <c r="O69" s="534">
        <f t="shared" si="35"/>
        <v>93560.194461117309</v>
      </c>
      <c r="P69" s="534">
        <f t="shared" si="35"/>
        <v>93560.194461117309</v>
      </c>
      <c r="Q69" s="534">
        <f t="shared" si="35"/>
        <v>93560.194461117309</v>
      </c>
      <c r="R69" s="534">
        <f t="shared" si="35"/>
        <v>93560.194461117309</v>
      </c>
      <c r="S69" s="534">
        <f t="shared" si="35"/>
        <v>93560.194461117309</v>
      </c>
      <c r="T69" s="41"/>
    </row>
    <row r="70" spans="1:20" s="43" customFormat="1">
      <c r="B70" s="147" t="s">
        <v>17</v>
      </c>
      <c r="C70" s="43" t="s">
        <v>483</v>
      </c>
      <c r="D70" s="535">
        <v>54750</v>
      </c>
      <c r="E70" s="544">
        <v>0.83841463414634143</v>
      </c>
      <c r="F70" s="534">
        <f t="shared" si="34"/>
        <v>45903.201219512193</v>
      </c>
      <c r="G70" s="147"/>
      <c r="H70" s="534">
        <f t="shared" si="35"/>
        <v>22951.600609756097</v>
      </c>
      <c r="I70" s="534">
        <f t="shared" si="35"/>
        <v>45903.201219512193</v>
      </c>
      <c r="J70" s="534">
        <f t="shared" si="35"/>
        <v>45903.201219512193</v>
      </c>
      <c r="K70" s="534">
        <f t="shared" si="35"/>
        <v>45903.201219512193</v>
      </c>
      <c r="L70" s="534">
        <f t="shared" si="35"/>
        <v>45903.201219512193</v>
      </c>
      <c r="M70" s="534">
        <f t="shared" si="35"/>
        <v>45903.201219512193</v>
      </c>
      <c r="N70" s="534">
        <f t="shared" si="35"/>
        <v>45903.201219512193</v>
      </c>
      <c r="O70" s="534">
        <f t="shared" si="35"/>
        <v>45903.201219512193</v>
      </c>
      <c r="P70" s="534">
        <f t="shared" si="35"/>
        <v>45903.201219512193</v>
      </c>
      <c r="Q70" s="534">
        <f t="shared" si="35"/>
        <v>45903.201219512193</v>
      </c>
      <c r="R70" s="534">
        <f t="shared" si="35"/>
        <v>45903.201219512193</v>
      </c>
      <c r="S70" s="534">
        <f t="shared" si="35"/>
        <v>45903.201219512193</v>
      </c>
      <c r="T70" s="41"/>
    </row>
    <row r="71" spans="1:20" s="43" customFormat="1">
      <c r="B71" s="147" t="s">
        <v>78</v>
      </c>
      <c r="C71" s="43" t="s">
        <v>483</v>
      </c>
      <c r="D71" s="535">
        <v>54750</v>
      </c>
      <c r="E71" s="548">
        <v>0.41920731707317072</v>
      </c>
      <c r="F71" s="534">
        <f t="shared" si="34"/>
        <v>22951.600609756097</v>
      </c>
      <c r="G71" s="147"/>
      <c r="H71" s="534">
        <f t="shared" si="35"/>
        <v>11475.800304878048</v>
      </c>
      <c r="I71" s="550">
        <f t="shared" si="35"/>
        <v>22951.600609756097</v>
      </c>
      <c r="J71" s="534">
        <f t="shared" si="35"/>
        <v>22951.600609756097</v>
      </c>
      <c r="K71" s="534">
        <f t="shared" si="35"/>
        <v>22951.600609756097</v>
      </c>
      <c r="L71" s="534">
        <f t="shared" si="35"/>
        <v>22951.600609756097</v>
      </c>
      <c r="M71" s="534">
        <f t="shared" si="35"/>
        <v>22951.600609756097</v>
      </c>
      <c r="N71" s="534">
        <f t="shared" si="35"/>
        <v>22951.600609756097</v>
      </c>
      <c r="O71" s="534">
        <f t="shared" si="35"/>
        <v>22951.600609756097</v>
      </c>
      <c r="P71" s="534">
        <f t="shared" si="35"/>
        <v>22951.600609756097</v>
      </c>
      <c r="Q71" s="534">
        <f t="shared" si="35"/>
        <v>22951.600609756097</v>
      </c>
      <c r="R71" s="534">
        <f t="shared" si="35"/>
        <v>22951.600609756097</v>
      </c>
      <c r="S71" s="534">
        <f t="shared" si="35"/>
        <v>22951.600609756097</v>
      </c>
      <c r="T71" s="41"/>
    </row>
    <row r="72" spans="1:20" s="43" customFormat="1">
      <c r="B72" s="147" t="s">
        <v>164</v>
      </c>
      <c r="C72" s="43" t="s">
        <v>174</v>
      </c>
      <c r="D72" s="147">
        <v>1</v>
      </c>
      <c r="E72" s="545">
        <v>30000</v>
      </c>
      <c r="F72" s="534">
        <f t="shared" si="34"/>
        <v>30000</v>
      </c>
      <c r="G72" s="147"/>
      <c r="H72" s="534">
        <f t="shared" si="35"/>
        <v>15000</v>
      </c>
      <c r="I72" s="534">
        <f t="shared" si="35"/>
        <v>30000</v>
      </c>
      <c r="J72" s="534">
        <f t="shared" si="35"/>
        <v>30000</v>
      </c>
      <c r="K72" s="534">
        <f t="shared" si="35"/>
        <v>30000</v>
      </c>
      <c r="L72" s="534">
        <f t="shared" si="35"/>
        <v>30000</v>
      </c>
      <c r="M72" s="534">
        <f t="shared" si="35"/>
        <v>30000</v>
      </c>
      <c r="N72" s="534">
        <f t="shared" si="35"/>
        <v>30000</v>
      </c>
      <c r="O72" s="534">
        <f t="shared" si="35"/>
        <v>30000</v>
      </c>
      <c r="P72" s="534">
        <f t="shared" si="35"/>
        <v>30000</v>
      </c>
      <c r="Q72" s="534">
        <f t="shared" si="35"/>
        <v>30000</v>
      </c>
      <c r="R72" s="534">
        <f t="shared" si="35"/>
        <v>30000</v>
      </c>
      <c r="S72" s="534">
        <f t="shared" si="35"/>
        <v>30000</v>
      </c>
      <c r="T72" s="41"/>
    </row>
    <row r="73" spans="1:20" s="43" customFormat="1">
      <c r="B73" s="535" t="s">
        <v>163</v>
      </c>
      <c r="C73" s="43" t="s">
        <v>174</v>
      </c>
      <c r="D73" s="535">
        <v>1</v>
      </c>
      <c r="E73" s="545">
        <v>25000</v>
      </c>
      <c r="F73" s="534">
        <f t="shared" si="34"/>
        <v>25000</v>
      </c>
      <c r="G73" s="535"/>
      <c r="H73" s="534">
        <f t="shared" si="35"/>
        <v>12500</v>
      </c>
      <c r="I73" s="534">
        <f t="shared" si="35"/>
        <v>25000</v>
      </c>
      <c r="J73" s="534">
        <f t="shared" si="35"/>
        <v>25000</v>
      </c>
      <c r="K73" s="534">
        <f t="shared" si="35"/>
        <v>25000</v>
      </c>
      <c r="L73" s="534">
        <f t="shared" si="35"/>
        <v>25000</v>
      </c>
      <c r="M73" s="534">
        <f t="shared" si="35"/>
        <v>25000</v>
      </c>
      <c r="N73" s="534">
        <f t="shared" si="35"/>
        <v>25000</v>
      </c>
      <c r="O73" s="534">
        <f t="shared" si="35"/>
        <v>25000</v>
      </c>
      <c r="P73" s="534">
        <f t="shared" si="35"/>
        <v>25000</v>
      </c>
      <c r="Q73" s="534">
        <f t="shared" si="35"/>
        <v>25000</v>
      </c>
      <c r="R73" s="534">
        <f t="shared" si="35"/>
        <v>25000</v>
      </c>
      <c r="S73" s="534">
        <f t="shared" si="35"/>
        <v>25000</v>
      </c>
      <c r="T73" s="41"/>
    </row>
    <row r="74" spans="1:20" s="43" customFormat="1">
      <c r="B74" s="535" t="s">
        <v>64</v>
      </c>
      <c r="C74" s="43" t="s">
        <v>174</v>
      </c>
      <c r="D74" s="147">
        <v>1</v>
      </c>
      <c r="E74" s="559">
        <v>54878.048780487807</v>
      </c>
      <c r="F74" s="534">
        <f t="shared" si="34"/>
        <v>54878.048780487807</v>
      </c>
      <c r="G74" s="535"/>
      <c r="H74" s="534">
        <v>117878.04878048779</v>
      </c>
      <c r="I74" s="534">
        <v>117878.04878048779</v>
      </c>
      <c r="J74" s="534">
        <v>117878.04878048779</v>
      </c>
      <c r="K74" s="534">
        <v>117878.04878048779</v>
      </c>
      <c r="L74" s="534">
        <v>117878.04878048779</v>
      </c>
      <c r="M74" s="534">
        <v>54878.048780487807</v>
      </c>
      <c r="N74" s="534">
        <v>54878.048780487807</v>
      </c>
      <c r="O74" s="534">
        <v>54878.048780487807</v>
      </c>
      <c r="P74" s="534">
        <v>54878.048780487807</v>
      </c>
      <c r="Q74" s="534">
        <v>54878.048780487807</v>
      </c>
      <c r="R74" s="534">
        <v>54878.048780487807</v>
      </c>
      <c r="S74" s="534">
        <v>54878.048780487807</v>
      </c>
      <c r="T74" s="41"/>
    </row>
    <row r="75" spans="1:20" s="43" customFormat="1">
      <c r="B75" s="535" t="s">
        <v>63</v>
      </c>
      <c r="C75" s="43" t="s">
        <v>174</v>
      </c>
      <c r="D75" s="535">
        <v>1</v>
      </c>
      <c r="E75" s="559">
        <v>31097.560975609758</v>
      </c>
      <c r="F75" s="534">
        <f t="shared" si="34"/>
        <v>31097.560975609758</v>
      </c>
      <c r="G75" s="535"/>
      <c r="H75" s="534">
        <v>31097.560975609758</v>
      </c>
      <c r="I75" s="534">
        <v>31097.560975609758</v>
      </c>
      <c r="J75" s="534">
        <v>31097.560975609758</v>
      </c>
      <c r="K75" s="534">
        <v>31097.560975609758</v>
      </c>
      <c r="L75" s="534">
        <v>31097.560975609758</v>
      </c>
      <c r="M75" s="534">
        <v>31097.560975609758</v>
      </c>
      <c r="N75" s="534">
        <v>31097.560975609758</v>
      </c>
      <c r="O75" s="534">
        <v>31097.560975609758</v>
      </c>
      <c r="P75" s="534">
        <v>31097.560975609758</v>
      </c>
      <c r="Q75" s="534">
        <v>31097.560975609758</v>
      </c>
      <c r="R75" s="534">
        <v>31097.560975609758</v>
      </c>
      <c r="S75" s="534">
        <v>31097.560975609758</v>
      </c>
      <c r="T75" s="41"/>
    </row>
    <row r="76" spans="1:20" s="43" customFormat="1">
      <c r="B76" s="535" t="s">
        <v>65</v>
      </c>
      <c r="C76" s="43" t="s">
        <v>2</v>
      </c>
      <c r="D76" s="154">
        <v>0.1</v>
      </c>
      <c r="E76" s="534">
        <f>SUM(F66:F75)</f>
        <v>473090.4250175308</v>
      </c>
      <c r="F76" s="534">
        <f t="shared" si="34"/>
        <v>47309.04250175308</v>
      </c>
      <c r="G76" s="535"/>
      <c r="H76" s="550">
        <f t="shared" ref="H76:S76" si="36">SUM(H66:H75)*$D76</f>
        <v>34253.301738681417</v>
      </c>
      <c r="I76" s="534">
        <f t="shared" si="36"/>
        <v>53609.04250175308</v>
      </c>
      <c r="J76" s="534">
        <f t="shared" si="36"/>
        <v>53609.04250175308</v>
      </c>
      <c r="K76" s="534">
        <f t="shared" si="36"/>
        <v>53609.04250175308</v>
      </c>
      <c r="L76" s="534">
        <f t="shared" si="36"/>
        <v>53609.04250175308</v>
      </c>
      <c r="M76" s="534">
        <f t="shared" si="36"/>
        <v>47309.04250175308</v>
      </c>
      <c r="N76" s="534">
        <f t="shared" si="36"/>
        <v>47309.04250175308</v>
      </c>
      <c r="O76" s="534">
        <f t="shared" si="36"/>
        <v>47309.04250175308</v>
      </c>
      <c r="P76" s="534">
        <f t="shared" si="36"/>
        <v>47309.04250175308</v>
      </c>
      <c r="Q76" s="534">
        <f t="shared" si="36"/>
        <v>47309.04250175308</v>
      </c>
      <c r="R76" s="534">
        <f t="shared" si="36"/>
        <v>47309.04250175308</v>
      </c>
      <c r="S76" s="534">
        <f t="shared" si="36"/>
        <v>47309.04250175308</v>
      </c>
      <c r="T76" s="41"/>
    </row>
    <row r="77" spans="1:20" s="44" customFormat="1">
      <c r="B77" s="537" t="str">
        <f>"Subtotal "&amp;B64</f>
        <v>Subtotal Beef Farm</v>
      </c>
      <c r="C77" s="537"/>
      <c r="D77" s="537"/>
      <c r="E77" s="537"/>
      <c r="F77" s="538">
        <f>SUM(F65:F76)</f>
        <v>3543082.3943485525</v>
      </c>
      <c r="G77" s="32"/>
      <c r="H77" s="539">
        <f>SUM(H65:H76)</f>
        <v>1888127.78254013</v>
      </c>
      <c r="I77" s="539">
        <f t="shared" ref="I77:S77" si="37">SUM(I65:I76)</f>
        <v>3612382.3943485525</v>
      </c>
      <c r="J77" s="539">
        <f t="shared" si="37"/>
        <v>3612382.3943485525</v>
      </c>
      <c r="K77" s="539">
        <f t="shared" si="37"/>
        <v>3612382.3943485525</v>
      </c>
      <c r="L77" s="539">
        <f t="shared" si="37"/>
        <v>3612382.3943485525</v>
      </c>
      <c r="M77" s="539">
        <f t="shared" si="37"/>
        <v>3543082.3943485525</v>
      </c>
      <c r="N77" s="539">
        <f t="shared" si="37"/>
        <v>3543082.3943485525</v>
      </c>
      <c r="O77" s="539">
        <f t="shared" si="37"/>
        <v>3543082.3943485525</v>
      </c>
      <c r="P77" s="539">
        <f t="shared" si="37"/>
        <v>3543082.3943485525</v>
      </c>
      <c r="Q77" s="539">
        <f t="shared" si="37"/>
        <v>3543082.3943485525</v>
      </c>
      <c r="R77" s="539">
        <f t="shared" si="37"/>
        <v>3543082.3943485525</v>
      </c>
      <c r="S77" s="539">
        <f t="shared" si="37"/>
        <v>3543082.3943485525</v>
      </c>
      <c r="T77" s="41"/>
    </row>
    <row r="78" spans="1:20" s="41" customFormat="1">
      <c r="B78" s="540" t="s">
        <v>117</v>
      </c>
      <c r="C78" s="540"/>
      <c r="D78" s="540"/>
      <c r="E78" s="540"/>
      <c r="F78" s="541">
        <f t="shared" ref="F78" si="38">F77-F79</f>
        <v>3463204.3455680646</v>
      </c>
      <c r="G78" s="10"/>
      <c r="H78" s="541">
        <f>H77-H79</f>
        <v>1757749.7337596421</v>
      </c>
      <c r="I78" s="541">
        <f t="shared" ref="I78:S78" si="39">I77-I79</f>
        <v>3469504.3455680646</v>
      </c>
      <c r="J78" s="541">
        <f t="shared" si="39"/>
        <v>3469504.3455680646</v>
      </c>
      <c r="K78" s="541">
        <f t="shared" si="39"/>
        <v>3469504.3455680646</v>
      </c>
      <c r="L78" s="541">
        <f t="shared" si="39"/>
        <v>3469504.3455680646</v>
      </c>
      <c r="M78" s="541">
        <f t="shared" si="39"/>
        <v>3463204.3455680646</v>
      </c>
      <c r="N78" s="541">
        <f t="shared" si="39"/>
        <v>3463204.3455680646</v>
      </c>
      <c r="O78" s="541">
        <f t="shared" si="39"/>
        <v>3463204.3455680646</v>
      </c>
      <c r="P78" s="541">
        <f t="shared" si="39"/>
        <v>3463204.3455680646</v>
      </c>
      <c r="Q78" s="541">
        <f t="shared" si="39"/>
        <v>3463204.3455680646</v>
      </c>
      <c r="R78" s="541">
        <f t="shared" si="39"/>
        <v>3463204.3455680646</v>
      </c>
      <c r="S78" s="541">
        <f t="shared" si="39"/>
        <v>3463204.3455680646</v>
      </c>
    </row>
    <row r="79" spans="1:20" s="41" customFormat="1">
      <c r="B79" s="542" t="s">
        <v>18</v>
      </c>
      <c r="C79" s="542"/>
      <c r="D79" s="542"/>
      <c r="E79" s="542"/>
      <c r="F79" s="541">
        <f t="shared" ref="F79" si="40">SUM(F73:F74)</f>
        <v>79878.048780487807</v>
      </c>
      <c r="G79" s="147"/>
      <c r="H79" s="541">
        <f>SUM(H73:H74)</f>
        <v>130378.04878048779</v>
      </c>
      <c r="I79" s="541">
        <f t="shared" ref="I79:S79" si="41">SUM(I73:I74)</f>
        <v>142878.04878048779</v>
      </c>
      <c r="J79" s="541">
        <f t="shared" si="41"/>
        <v>142878.04878048779</v>
      </c>
      <c r="K79" s="541">
        <f t="shared" si="41"/>
        <v>142878.04878048779</v>
      </c>
      <c r="L79" s="541">
        <f t="shared" si="41"/>
        <v>142878.04878048779</v>
      </c>
      <c r="M79" s="541">
        <f t="shared" si="41"/>
        <v>79878.048780487807</v>
      </c>
      <c r="N79" s="541">
        <f t="shared" si="41"/>
        <v>79878.048780487807</v>
      </c>
      <c r="O79" s="541">
        <f t="shared" si="41"/>
        <v>79878.048780487807</v>
      </c>
      <c r="P79" s="541">
        <f t="shared" si="41"/>
        <v>79878.048780487807</v>
      </c>
      <c r="Q79" s="541">
        <f t="shared" si="41"/>
        <v>79878.048780487807</v>
      </c>
      <c r="R79" s="541">
        <f t="shared" si="41"/>
        <v>79878.048780487807</v>
      </c>
      <c r="S79" s="541">
        <f t="shared" si="41"/>
        <v>79878.048780487807</v>
      </c>
    </row>
    <row r="80" spans="1:20" s="41" customFormat="1">
      <c r="A80" s="43"/>
      <c r="B80" s="531" t="s">
        <v>481</v>
      </c>
      <c r="C80" s="531"/>
      <c r="D80" s="531"/>
      <c r="E80" s="531"/>
      <c r="F80" s="531"/>
      <c r="G80" s="32"/>
      <c r="H80" s="560"/>
      <c r="I80" s="561"/>
      <c r="J80" s="561"/>
      <c r="K80" s="561"/>
      <c r="L80" s="561"/>
      <c r="M80" s="561"/>
      <c r="N80" s="561"/>
      <c r="O80" s="561"/>
      <c r="P80" s="561"/>
      <c r="Q80" s="561"/>
      <c r="R80" s="561"/>
      <c r="S80" s="561"/>
    </row>
    <row r="81" spans="1:20" s="41" customFormat="1">
      <c r="B81" s="147" t="s">
        <v>33</v>
      </c>
      <c r="C81" s="147" t="s">
        <v>175</v>
      </c>
      <c r="D81" s="535">
        <v>18000</v>
      </c>
      <c r="E81" s="544">
        <v>4.9518864329268289E-2</v>
      </c>
      <c r="F81" s="534">
        <f t="shared" ref="F81:F91" si="42">D81*E81</f>
        <v>891.33955792682923</v>
      </c>
      <c r="G81" s="147"/>
      <c r="H81" s="534">
        <f>H$64*$F81</f>
        <v>445.66977896341461</v>
      </c>
      <c r="I81" s="534">
        <f t="shared" ref="I81:S81" si="43">I$64*$F81</f>
        <v>891.33955792682923</v>
      </c>
      <c r="J81" s="534">
        <f t="shared" si="43"/>
        <v>891.33955792682923</v>
      </c>
      <c r="K81" s="534">
        <f t="shared" si="43"/>
        <v>891.33955792682923</v>
      </c>
      <c r="L81" s="534">
        <f t="shared" si="43"/>
        <v>891.33955792682923</v>
      </c>
      <c r="M81" s="534">
        <f t="shared" si="43"/>
        <v>891.33955792682923</v>
      </c>
      <c r="N81" s="534">
        <f t="shared" si="43"/>
        <v>891.33955792682923</v>
      </c>
      <c r="O81" s="534">
        <f t="shared" si="43"/>
        <v>891.33955792682923</v>
      </c>
      <c r="P81" s="534">
        <f t="shared" si="43"/>
        <v>891.33955792682923</v>
      </c>
      <c r="Q81" s="534">
        <f t="shared" si="43"/>
        <v>891.33955792682923</v>
      </c>
      <c r="R81" s="534">
        <f t="shared" si="43"/>
        <v>891.33955792682923</v>
      </c>
      <c r="S81" s="534">
        <f t="shared" si="43"/>
        <v>891.33955792682923</v>
      </c>
      <c r="T81" s="103"/>
    </row>
    <row r="82" spans="1:20" s="41" customFormat="1">
      <c r="B82" s="147" t="s">
        <v>464</v>
      </c>
      <c r="C82" s="147" t="s">
        <v>210</v>
      </c>
      <c r="D82" s="535">
        <v>18000</v>
      </c>
      <c r="E82" s="562">
        <v>10</v>
      </c>
      <c r="F82" s="534">
        <f t="shared" si="42"/>
        <v>180000</v>
      </c>
      <c r="G82" s="147"/>
      <c r="H82" s="534">
        <f>H$64*$F82</f>
        <v>90000</v>
      </c>
      <c r="I82" s="534">
        <f t="shared" ref="I82:S83" si="44">I$64*$F82</f>
        <v>180000</v>
      </c>
      <c r="J82" s="534">
        <f t="shared" si="44"/>
        <v>180000</v>
      </c>
      <c r="K82" s="534">
        <f t="shared" si="44"/>
        <v>180000</v>
      </c>
      <c r="L82" s="534">
        <f t="shared" si="44"/>
        <v>180000</v>
      </c>
      <c r="M82" s="534">
        <f t="shared" si="44"/>
        <v>180000</v>
      </c>
      <c r="N82" s="534">
        <f t="shared" si="44"/>
        <v>180000</v>
      </c>
      <c r="O82" s="534">
        <f t="shared" si="44"/>
        <v>180000</v>
      </c>
      <c r="P82" s="534">
        <f t="shared" si="44"/>
        <v>180000</v>
      </c>
      <c r="Q82" s="534">
        <f t="shared" si="44"/>
        <v>180000</v>
      </c>
      <c r="R82" s="534">
        <f t="shared" si="44"/>
        <v>180000</v>
      </c>
      <c r="S82" s="534">
        <f t="shared" si="44"/>
        <v>180000</v>
      </c>
      <c r="T82" s="103"/>
    </row>
    <row r="83" spans="1:20" s="41" customFormat="1">
      <c r="B83" s="147" t="s">
        <v>472</v>
      </c>
      <c r="C83" s="147" t="s">
        <v>210</v>
      </c>
      <c r="D83" s="535">
        <v>18000</v>
      </c>
      <c r="E83" s="562">
        <v>2</v>
      </c>
      <c r="F83" s="534">
        <f t="shared" si="42"/>
        <v>36000</v>
      </c>
      <c r="G83" s="147"/>
      <c r="H83" s="534">
        <f>H$64*$F83</f>
        <v>18000</v>
      </c>
      <c r="I83" s="534">
        <f t="shared" si="44"/>
        <v>36000</v>
      </c>
      <c r="J83" s="534">
        <f t="shared" si="44"/>
        <v>36000</v>
      </c>
      <c r="K83" s="534">
        <f t="shared" si="44"/>
        <v>36000</v>
      </c>
      <c r="L83" s="534">
        <f t="shared" si="44"/>
        <v>36000</v>
      </c>
      <c r="M83" s="534">
        <f t="shared" si="44"/>
        <v>36000</v>
      </c>
      <c r="N83" s="534">
        <f t="shared" si="44"/>
        <v>36000</v>
      </c>
      <c r="O83" s="534">
        <f t="shared" si="44"/>
        <v>36000</v>
      </c>
      <c r="P83" s="534">
        <f t="shared" si="44"/>
        <v>36000</v>
      </c>
      <c r="Q83" s="534">
        <f t="shared" si="44"/>
        <v>36000</v>
      </c>
      <c r="R83" s="534">
        <f t="shared" si="44"/>
        <v>36000</v>
      </c>
      <c r="S83" s="534">
        <f t="shared" si="44"/>
        <v>36000</v>
      </c>
      <c r="T83" s="103"/>
    </row>
    <row r="84" spans="1:20" s="41" customFormat="1">
      <c r="B84" s="556" t="s">
        <v>63</v>
      </c>
      <c r="C84" s="556" t="s">
        <v>174</v>
      </c>
      <c r="D84" s="535">
        <v>1</v>
      </c>
      <c r="E84" s="549">
        <v>100609.75609756098</v>
      </c>
      <c r="F84" s="534">
        <f>D84*E84</f>
        <v>100609.75609756098</v>
      </c>
      <c r="G84" s="556"/>
      <c r="H84" s="534">
        <f>F84</f>
        <v>100609.75609756098</v>
      </c>
      <c r="I84" s="534">
        <f>H84</f>
        <v>100609.75609756098</v>
      </c>
      <c r="J84" s="534">
        <f t="shared" ref="J84:S84" si="45">I84</f>
        <v>100609.75609756098</v>
      </c>
      <c r="K84" s="534">
        <f t="shared" si="45"/>
        <v>100609.75609756098</v>
      </c>
      <c r="L84" s="534">
        <f t="shared" si="45"/>
        <v>100609.75609756098</v>
      </c>
      <c r="M84" s="534">
        <f t="shared" si="45"/>
        <v>100609.75609756098</v>
      </c>
      <c r="N84" s="534">
        <f t="shared" si="45"/>
        <v>100609.75609756098</v>
      </c>
      <c r="O84" s="534">
        <f t="shared" si="45"/>
        <v>100609.75609756098</v>
      </c>
      <c r="P84" s="534">
        <f t="shared" si="45"/>
        <v>100609.75609756098</v>
      </c>
      <c r="Q84" s="534">
        <f t="shared" si="45"/>
        <v>100609.75609756098</v>
      </c>
      <c r="R84" s="534">
        <f t="shared" si="45"/>
        <v>100609.75609756098</v>
      </c>
      <c r="S84" s="534">
        <f t="shared" si="45"/>
        <v>100609.75609756098</v>
      </c>
      <c r="T84" s="103"/>
    </row>
    <row r="85" spans="1:20" s="41" customFormat="1">
      <c r="B85" s="535" t="s">
        <v>28</v>
      </c>
      <c r="C85" s="535" t="s">
        <v>62</v>
      </c>
      <c r="D85" s="535">
        <v>180000</v>
      </c>
      <c r="E85" s="548">
        <v>0.28296493902439024</v>
      </c>
      <c r="F85" s="534">
        <f t="shared" si="42"/>
        <v>50933.689024390245</v>
      </c>
      <c r="G85" s="535"/>
      <c r="H85" s="534">
        <f t="shared" ref="H85:S90" si="46">H$64*$F85</f>
        <v>25466.844512195123</v>
      </c>
      <c r="I85" s="534">
        <f t="shared" si="46"/>
        <v>50933.689024390245</v>
      </c>
      <c r="J85" s="534">
        <f t="shared" si="46"/>
        <v>50933.689024390245</v>
      </c>
      <c r="K85" s="534">
        <f t="shared" si="46"/>
        <v>50933.689024390245</v>
      </c>
      <c r="L85" s="534">
        <f t="shared" si="46"/>
        <v>50933.689024390245</v>
      </c>
      <c r="M85" s="534">
        <f t="shared" si="46"/>
        <v>50933.689024390245</v>
      </c>
      <c r="N85" s="534">
        <f t="shared" si="46"/>
        <v>50933.689024390245</v>
      </c>
      <c r="O85" s="534">
        <f t="shared" si="46"/>
        <v>50933.689024390245</v>
      </c>
      <c r="P85" s="534">
        <f t="shared" si="46"/>
        <v>50933.689024390245</v>
      </c>
      <c r="Q85" s="534">
        <f t="shared" si="46"/>
        <v>50933.689024390245</v>
      </c>
      <c r="R85" s="534">
        <f t="shared" si="46"/>
        <v>50933.689024390245</v>
      </c>
      <c r="S85" s="534">
        <f t="shared" si="46"/>
        <v>50933.689024390245</v>
      </c>
      <c r="T85" s="103"/>
    </row>
    <row r="86" spans="1:20" s="41" customFormat="1">
      <c r="B86" s="147" t="s">
        <v>17</v>
      </c>
      <c r="C86" s="147" t="s">
        <v>483</v>
      </c>
      <c r="D86" s="147"/>
      <c r="E86" s="544">
        <v>0.83841463414634143</v>
      </c>
      <c r="F86" s="534">
        <f t="shared" si="42"/>
        <v>0</v>
      </c>
      <c r="G86" s="147"/>
      <c r="H86" s="534">
        <f t="shared" si="46"/>
        <v>0</v>
      </c>
      <c r="I86" s="534">
        <f t="shared" si="46"/>
        <v>0</v>
      </c>
      <c r="J86" s="534">
        <f t="shared" si="46"/>
        <v>0</v>
      </c>
      <c r="K86" s="534">
        <f t="shared" si="46"/>
        <v>0</v>
      </c>
      <c r="L86" s="534">
        <f t="shared" si="46"/>
        <v>0</v>
      </c>
      <c r="M86" s="534">
        <f t="shared" si="46"/>
        <v>0</v>
      </c>
      <c r="N86" s="534">
        <f t="shared" si="46"/>
        <v>0</v>
      </c>
      <c r="O86" s="534">
        <f t="shared" si="46"/>
        <v>0</v>
      </c>
      <c r="P86" s="534">
        <f t="shared" si="46"/>
        <v>0</v>
      </c>
      <c r="Q86" s="534">
        <f t="shared" si="46"/>
        <v>0</v>
      </c>
      <c r="R86" s="534">
        <f t="shared" si="46"/>
        <v>0</v>
      </c>
      <c r="S86" s="534">
        <f t="shared" si="46"/>
        <v>0</v>
      </c>
      <c r="T86" s="103"/>
    </row>
    <row r="87" spans="1:20" s="41" customFormat="1">
      <c r="B87" s="535" t="s">
        <v>78</v>
      </c>
      <c r="C87" s="535" t="s">
        <v>483</v>
      </c>
      <c r="D87" s="535"/>
      <c r="E87" s="548">
        <v>0.41920731707317072</v>
      </c>
      <c r="F87" s="534">
        <f t="shared" si="42"/>
        <v>0</v>
      </c>
      <c r="G87" s="535"/>
      <c r="H87" s="534">
        <f t="shared" si="46"/>
        <v>0</v>
      </c>
      <c r="I87" s="534">
        <f t="shared" si="46"/>
        <v>0</v>
      </c>
      <c r="J87" s="534">
        <f t="shared" si="46"/>
        <v>0</v>
      </c>
      <c r="K87" s="534">
        <f t="shared" si="46"/>
        <v>0</v>
      </c>
      <c r="L87" s="534">
        <f t="shared" si="46"/>
        <v>0</v>
      </c>
      <c r="M87" s="534">
        <f t="shared" si="46"/>
        <v>0</v>
      </c>
      <c r="N87" s="534">
        <f t="shared" si="46"/>
        <v>0</v>
      </c>
      <c r="O87" s="534">
        <f t="shared" si="46"/>
        <v>0</v>
      </c>
      <c r="P87" s="534">
        <f t="shared" si="46"/>
        <v>0</v>
      </c>
      <c r="Q87" s="534">
        <f t="shared" si="46"/>
        <v>0</v>
      </c>
      <c r="R87" s="534">
        <f t="shared" si="46"/>
        <v>0</v>
      </c>
      <c r="S87" s="534">
        <f t="shared" si="46"/>
        <v>0</v>
      </c>
      <c r="T87" s="103"/>
    </row>
    <row r="88" spans="1:20" s="41" customFormat="1">
      <c r="B88" s="535" t="s">
        <v>57</v>
      </c>
      <c r="C88" s="535" t="s">
        <v>174</v>
      </c>
      <c r="D88" s="535"/>
      <c r="E88" s="549">
        <v>20000</v>
      </c>
      <c r="F88" s="534">
        <f t="shared" si="42"/>
        <v>0</v>
      </c>
      <c r="G88" s="535"/>
      <c r="H88" s="534">
        <f t="shared" si="46"/>
        <v>0</v>
      </c>
      <c r="I88" s="534">
        <f t="shared" si="46"/>
        <v>0</v>
      </c>
      <c r="J88" s="534">
        <f t="shared" si="46"/>
        <v>0</v>
      </c>
      <c r="K88" s="534">
        <f t="shared" si="46"/>
        <v>0</v>
      </c>
      <c r="L88" s="534">
        <f t="shared" si="46"/>
        <v>0</v>
      </c>
      <c r="M88" s="534">
        <f t="shared" si="46"/>
        <v>0</v>
      </c>
      <c r="N88" s="534">
        <f t="shared" si="46"/>
        <v>0</v>
      </c>
      <c r="O88" s="534">
        <f t="shared" si="46"/>
        <v>0</v>
      </c>
      <c r="P88" s="534">
        <f t="shared" si="46"/>
        <v>0</v>
      </c>
      <c r="Q88" s="534">
        <f t="shared" si="46"/>
        <v>0</v>
      </c>
      <c r="R88" s="534">
        <f t="shared" si="46"/>
        <v>0</v>
      </c>
      <c r="S88" s="534">
        <f t="shared" si="46"/>
        <v>0</v>
      </c>
      <c r="T88" s="103"/>
    </row>
    <row r="89" spans="1:20" s="41" customFormat="1">
      <c r="B89" s="147" t="s">
        <v>181</v>
      </c>
      <c r="C89" s="147" t="s">
        <v>2</v>
      </c>
      <c r="D89" s="553">
        <v>7.4999999999999997E-2</v>
      </c>
      <c r="E89" s="552">
        <v>368434.7846798781</v>
      </c>
      <c r="F89" s="534">
        <f t="shared" si="42"/>
        <v>27632.608850990855</v>
      </c>
      <c r="G89" s="147"/>
      <c r="H89" s="534">
        <f>$F89*H$46</f>
        <v>3386.9134079359628</v>
      </c>
      <c r="I89" s="534">
        <f t="shared" ref="I89:S89" si="47">$F89*I$46</f>
        <v>4953.3608591063448</v>
      </c>
      <c r="J89" s="534">
        <f t="shared" si="47"/>
        <v>8717.32863410145</v>
      </c>
      <c r="K89" s="534">
        <f t="shared" si="47"/>
        <v>12697.911347396768</v>
      </c>
      <c r="L89" s="534">
        <f t="shared" si="47"/>
        <v>18268.414424379091</v>
      </c>
      <c r="M89" s="534">
        <f t="shared" si="47"/>
        <v>24193.653778228392</v>
      </c>
      <c r="N89" s="534">
        <f t="shared" si="47"/>
        <v>27632.608850990855</v>
      </c>
      <c r="O89" s="534">
        <f t="shared" si="47"/>
        <v>29341.297124862671</v>
      </c>
      <c r="P89" s="534">
        <f t="shared" si="47"/>
        <v>31047.838744404315</v>
      </c>
      <c r="Q89" s="534">
        <f t="shared" si="47"/>
        <v>31028.433845189062</v>
      </c>
      <c r="R89" s="534">
        <f t="shared" si="47"/>
        <v>31009.04107403582</v>
      </c>
      <c r="S89" s="534">
        <f t="shared" si="47"/>
        <v>30989.660423364545</v>
      </c>
      <c r="T89" s="103"/>
    </row>
    <row r="90" spans="1:20" s="41" customFormat="1">
      <c r="B90" s="556" t="s">
        <v>473</v>
      </c>
      <c r="C90" s="556" t="s">
        <v>490</v>
      </c>
      <c r="D90" s="553">
        <v>2.5000000000000001E-2</v>
      </c>
      <c r="E90" s="549">
        <v>6317047.0995358182</v>
      </c>
      <c r="F90" s="534">
        <f>D90*E90</f>
        <v>157926.17748839548</v>
      </c>
      <c r="G90" s="556"/>
      <c r="H90" s="534">
        <f>H$64*$F90</f>
        <v>78963.088744197739</v>
      </c>
      <c r="I90" s="534">
        <f t="shared" si="46"/>
        <v>157926.17748839548</v>
      </c>
      <c r="J90" s="534">
        <f t="shared" si="46"/>
        <v>157926.17748839548</v>
      </c>
      <c r="K90" s="534">
        <f t="shared" si="46"/>
        <v>157926.17748839548</v>
      </c>
      <c r="L90" s="534">
        <f t="shared" si="46"/>
        <v>157926.17748839548</v>
      </c>
      <c r="M90" s="534">
        <f t="shared" si="46"/>
        <v>157926.17748839548</v>
      </c>
      <c r="N90" s="534">
        <f t="shared" si="46"/>
        <v>157926.17748839548</v>
      </c>
      <c r="O90" s="534">
        <f t="shared" si="46"/>
        <v>157926.17748839548</v>
      </c>
      <c r="P90" s="534">
        <f t="shared" si="46"/>
        <v>157926.17748839548</v>
      </c>
      <c r="Q90" s="534">
        <f t="shared" si="46"/>
        <v>157926.17748839548</v>
      </c>
      <c r="R90" s="534">
        <f t="shared" si="46"/>
        <v>157926.17748839548</v>
      </c>
      <c r="S90" s="534">
        <f t="shared" si="46"/>
        <v>157926.17748839548</v>
      </c>
      <c r="T90" s="103"/>
    </row>
    <row r="91" spans="1:20" s="41" customFormat="1">
      <c r="B91" s="557" t="s">
        <v>64</v>
      </c>
      <c r="C91" s="557" t="s">
        <v>174</v>
      </c>
      <c r="D91" s="147">
        <v>1</v>
      </c>
      <c r="E91" s="549">
        <v>68597.560975609755</v>
      </c>
      <c r="F91" s="534">
        <f t="shared" si="42"/>
        <v>68597.560975609755</v>
      </c>
      <c r="G91" s="557"/>
      <c r="H91" s="534">
        <f>F91</f>
        <v>68597.560975609755</v>
      </c>
      <c r="I91" s="534">
        <f>H91</f>
        <v>68597.560975609755</v>
      </c>
      <c r="J91" s="534">
        <f t="shared" ref="J91:S91" si="48">I91</f>
        <v>68597.560975609755</v>
      </c>
      <c r="K91" s="534">
        <f t="shared" si="48"/>
        <v>68597.560975609755</v>
      </c>
      <c r="L91" s="534">
        <f t="shared" si="48"/>
        <v>68597.560975609755</v>
      </c>
      <c r="M91" s="534">
        <f t="shared" si="48"/>
        <v>68597.560975609755</v>
      </c>
      <c r="N91" s="534">
        <f t="shared" si="48"/>
        <v>68597.560975609755</v>
      </c>
      <c r="O91" s="534">
        <f t="shared" si="48"/>
        <v>68597.560975609755</v>
      </c>
      <c r="P91" s="534">
        <f t="shared" si="48"/>
        <v>68597.560975609755</v>
      </c>
      <c r="Q91" s="534">
        <f t="shared" si="48"/>
        <v>68597.560975609755</v>
      </c>
      <c r="R91" s="534">
        <f t="shared" si="48"/>
        <v>68597.560975609755</v>
      </c>
      <c r="S91" s="534">
        <f t="shared" si="48"/>
        <v>68597.560975609755</v>
      </c>
      <c r="T91" s="103"/>
    </row>
    <row r="92" spans="1:20" s="41" customFormat="1">
      <c r="B92" s="556" t="s">
        <v>65</v>
      </c>
      <c r="C92" s="556" t="s">
        <v>2</v>
      </c>
      <c r="D92" s="554">
        <v>0.1</v>
      </c>
      <c r="E92" s="548">
        <f>SUM(F81:F91)</f>
        <v>622591.13199487422</v>
      </c>
      <c r="F92" s="534">
        <f>D92*E92</f>
        <v>62259.113199487423</v>
      </c>
      <c r="G92" s="556"/>
      <c r="H92" s="534">
        <f t="shared" ref="H92:S92" si="49">SUM(H81:H91)*$D92</f>
        <v>38546.983351646304</v>
      </c>
      <c r="I92" s="534">
        <f t="shared" si="49"/>
        <v>59991.188400298968</v>
      </c>
      <c r="J92" s="534">
        <f t="shared" si="49"/>
        <v>60367.585177798479</v>
      </c>
      <c r="K92" s="534">
        <f t="shared" si="49"/>
        <v>60765.643449128023</v>
      </c>
      <c r="L92" s="534">
        <f t="shared" si="49"/>
        <v>61322.693756826251</v>
      </c>
      <c r="M92" s="534">
        <f t="shared" si="49"/>
        <v>61915.217692211183</v>
      </c>
      <c r="N92" s="534">
        <f t="shared" si="49"/>
        <v>62259.113199487423</v>
      </c>
      <c r="O92" s="534">
        <f t="shared" si="49"/>
        <v>62429.982026874604</v>
      </c>
      <c r="P92" s="534">
        <f t="shared" si="49"/>
        <v>62600.636188828765</v>
      </c>
      <c r="Q92" s="534">
        <f t="shared" si="49"/>
        <v>62598.69569890725</v>
      </c>
      <c r="R92" s="534">
        <f t="shared" si="49"/>
        <v>62596.756421791928</v>
      </c>
      <c r="S92" s="534">
        <f t="shared" si="49"/>
        <v>62594.818356724783</v>
      </c>
      <c r="T92" s="103"/>
    </row>
    <row r="93" spans="1:20" s="41" customFormat="1">
      <c r="B93" s="537" t="s">
        <v>489</v>
      </c>
      <c r="C93" s="537"/>
      <c r="D93" s="537"/>
      <c r="E93" s="537"/>
      <c r="F93" s="539">
        <f>SUM(F81:F92)</f>
        <v>684850.24519436166</v>
      </c>
      <c r="G93" s="32"/>
      <c r="H93" s="539">
        <f t="shared" ref="H93:S93" si="50">SUM(H81:H92)</f>
        <v>424016.81686810928</v>
      </c>
      <c r="I93" s="539">
        <f t="shared" si="50"/>
        <v>659903.07240328856</v>
      </c>
      <c r="J93" s="539">
        <f t="shared" si="50"/>
        <v>664043.43695578328</v>
      </c>
      <c r="K93" s="539">
        <f t="shared" si="50"/>
        <v>668422.07794040826</v>
      </c>
      <c r="L93" s="539">
        <f t="shared" si="50"/>
        <v>674549.63132508867</v>
      </c>
      <c r="M93" s="539">
        <f t="shared" si="50"/>
        <v>681067.39461432293</v>
      </c>
      <c r="N93" s="539">
        <f t="shared" si="50"/>
        <v>684850.24519436166</v>
      </c>
      <c r="O93" s="539">
        <f t="shared" si="50"/>
        <v>686729.80229562055</v>
      </c>
      <c r="P93" s="539">
        <f t="shared" si="50"/>
        <v>688606.99807711632</v>
      </c>
      <c r="Q93" s="539">
        <f t="shared" si="50"/>
        <v>688585.65268797975</v>
      </c>
      <c r="R93" s="539">
        <f t="shared" si="50"/>
        <v>688564.32063971122</v>
      </c>
      <c r="S93" s="539">
        <f t="shared" si="50"/>
        <v>688543.00192397262</v>
      </c>
      <c r="T93" s="103"/>
    </row>
    <row r="94" spans="1:20" s="41" customFormat="1">
      <c r="B94" s="540" t="s">
        <v>117</v>
      </c>
      <c r="C94" s="540"/>
      <c r="D94" s="540"/>
      <c r="E94" s="540"/>
      <c r="F94" s="541">
        <f>SUM(F81:F87)</f>
        <v>368434.7846798781</v>
      </c>
      <c r="G94" s="10"/>
      <c r="H94" s="541">
        <f t="shared" ref="H94:S94" si="51">SUM(H81:H87)</f>
        <v>234522.27038871954</v>
      </c>
      <c r="I94" s="541">
        <f t="shared" si="51"/>
        <v>368434.7846798781</v>
      </c>
      <c r="J94" s="541">
        <f t="shared" si="51"/>
        <v>368434.7846798781</v>
      </c>
      <c r="K94" s="541">
        <f t="shared" si="51"/>
        <v>368434.7846798781</v>
      </c>
      <c r="L94" s="541">
        <f t="shared" si="51"/>
        <v>368434.7846798781</v>
      </c>
      <c r="M94" s="541">
        <f t="shared" si="51"/>
        <v>368434.7846798781</v>
      </c>
      <c r="N94" s="541">
        <f t="shared" si="51"/>
        <v>368434.7846798781</v>
      </c>
      <c r="O94" s="541">
        <f t="shared" si="51"/>
        <v>368434.7846798781</v>
      </c>
      <c r="P94" s="541">
        <f t="shared" si="51"/>
        <v>368434.7846798781</v>
      </c>
      <c r="Q94" s="541">
        <f t="shared" si="51"/>
        <v>368434.7846798781</v>
      </c>
      <c r="R94" s="541">
        <f t="shared" si="51"/>
        <v>368434.7846798781</v>
      </c>
      <c r="S94" s="541">
        <f t="shared" si="51"/>
        <v>368434.7846798781</v>
      </c>
      <c r="T94" s="103"/>
    </row>
    <row r="95" spans="1:20" s="41" customFormat="1">
      <c r="B95" s="542" t="s">
        <v>18</v>
      </c>
      <c r="C95" s="542"/>
      <c r="D95" s="542"/>
      <c r="E95" s="542"/>
      <c r="F95" s="541">
        <f>SUM(F88:F92)</f>
        <v>316415.46051448351</v>
      </c>
      <c r="G95" s="147"/>
      <c r="H95" s="541">
        <f t="shared" ref="H95:S95" si="52">SUM(H88:H92)</f>
        <v>189494.54647938977</v>
      </c>
      <c r="I95" s="541">
        <f t="shared" si="52"/>
        <v>291468.28772341053</v>
      </c>
      <c r="J95" s="541">
        <f t="shared" si="52"/>
        <v>295608.65227590519</v>
      </c>
      <c r="K95" s="541">
        <f t="shared" si="52"/>
        <v>299987.29326052999</v>
      </c>
      <c r="L95" s="541">
        <f t="shared" si="52"/>
        <v>306114.84664521058</v>
      </c>
      <c r="M95" s="541">
        <f t="shared" si="52"/>
        <v>312632.60993444477</v>
      </c>
      <c r="N95" s="541">
        <f t="shared" si="52"/>
        <v>316415.46051448351</v>
      </c>
      <c r="O95" s="541">
        <f t="shared" si="52"/>
        <v>318295.01761574252</v>
      </c>
      <c r="P95" s="541">
        <f t="shared" si="52"/>
        <v>320172.21339723829</v>
      </c>
      <c r="Q95" s="541">
        <f t="shared" si="52"/>
        <v>320150.86800810153</v>
      </c>
      <c r="R95" s="541">
        <f t="shared" si="52"/>
        <v>320129.53595983295</v>
      </c>
      <c r="S95" s="541">
        <f t="shared" si="52"/>
        <v>320108.21724409459</v>
      </c>
      <c r="T95" s="103"/>
    </row>
    <row r="96" spans="1:20" s="41" customFormat="1">
      <c r="A96" s="147"/>
      <c r="B96" s="531" t="s">
        <v>59</v>
      </c>
      <c r="C96" s="531"/>
      <c r="D96" s="531"/>
      <c r="E96" s="531"/>
      <c r="F96" s="531"/>
      <c r="G96" s="32"/>
      <c r="H96" s="546" t="str">
        <f>B96&amp;" Annual Development"</f>
        <v>Headquarters Annual Development</v>
      </c>
      <c r="I96" s="546"/>
      <c r="J96" s="546"/>
      <c r="K96" s="546"/>
      <c r="L96" s="546"/>
      <c r="M96" s="546"/>
      <c r="N96" s="546"/>
      <c r="O96" s="546"/>
      <c r="P96" s="546"/>
      <c r="Q96" s="546"/>
      <c r="R96" s="546"/>
      <c r="S96" s="546"/>
      <c r="T96" s="103"/>
    </row>
    <row r="97" spans="1:21" s="147" customFormat="1">
      <c r="A97" s="154"/>
      <c r="B97" s="147" t="s">
        <v>525</v>
      </c>
      <c r="C97" s="557" t="s">
        <v>483</v>
      </c>
      <c r="D97" s="535">
        <v>78750</v>
      </c>
      <c r="E97" s="544">
        <v>0.83841463414634143</v>
      </c>
      <c r="F97" s="534">
        <f t="shared" ref="F97:F104" si="53">D97*E97</f>
        <v>66025.152439024387</v>
      </c>
      <c r="G97" s="557"/>
      <c r="H97" s="534">
        <f>$F97</f>
        <v>66025.152439024387</v>
      </c>
      <c r="I97" s="534">
        <f t="shared" ref="I97:S97" si="54">$F97</f>
        <v>66025.152439024387</v>
      </c>
      <c r="J97" s="534">
        <f t="shared" si="54"/>
        <v>66025.152439024387</v>
      </c>
      <c r="K97" s="534">
        <f t="shared" si="54"/>
        <v>66025.152439024387</v>
      </c>
      <c r="L97" s="534">
        <f t="shared" si="54"/>
        <v>66025.152439024387</v>
      </c>
      <c r="M97" s="534">
        <f t="shared" si="54"/>
        <v>66025.152439024387</v>
      </c>
      <c r="N97" s="534">
        <f t="shared" si="54"/>
        <v>66025.152439024387</v>
      </c>
      <c r="O97" s="534">
        <f t="shared" si="54"/>
        <v>66025.152439024387</v>
      </c>
      <c r="P97" s="534">
        <f t="shared" si="54"/>
        <v>66025.152439024387</v>
      </c>
      <c r="Q97" s="534">
        <f t="shared" si="54"/>
        <v>66025.152439024387</v>
      </c>
      <c r="R97" s="534">
        <f t="shared" si="54"/>
        <v>66025.152439024387</v>
      </c>
      <c r="S97" s="534">
        <f t="shared" si="54"/>
        <v>66025.152439024387</v>
      </c>
      <c r="T97" s="152"/>
      <c r="U97" s="152"/>
    </row>
    <row r="98" spans="1:21" s="147" customFormat="1">
      <c r="A98" s="154"/>
      <c r="B98" s="535" t="s">
        <v>78</v>
      </c>
      <c r="C98" s="557" t="s">
        <v>483</v>
      </c>
      <c r="D98" s="535"/>
      <c r="E98" s="548">
        <v>0.41920731707317072</v>
      </c>
      <c r="F98" s="534">
        <f t="shared" si="53"/>
        <v>0</v>
      </c>
      <c r="G98" s="557"/>
      <c r="H98" s="534">
        <f t="shared" ref="H98:S104" si="55">$F98</f>
        <v>0</v>
      </c>
      <c r="I98" s="534">
        <f t="shared" si="55"/>
        <v>0</v>
      </c>
      <c r="J98" s="534">
        <f t="shared" si="55"/>
        <v>0</v>
      </c>
      <c r="K98" s="534">
        <f t="shared" si="55"/>
        <v>0</v>
      </c>
      <c r="L98" s="534">
        <f t="shared" si="55"/>
        <v>0</v>
      </c>
      <c r="M98" s="534">
        <f t="shared" si="55"/>
        <v>0</v>
      </c>
      <c r="N98" s="534">
        <f t="shared" si="55"/>
        <v>0</v>
      </c>
      <c r="O98" s="534">
        <f t="shared" si="55"/>
        <v>0</v>
      </c>
      <c r="P98" s="534">
        <f t="shared" si="55"/>
        <v>0</v>
      </c>
      <c r="Q98" s="534">
        <f t="shared" si="55"/>
        <v>0</v>
      </c>
      <c r="R98" s="534">
        <f t="shared" si="55"/>
        <v>0</v>
      </c>
      <c r="S98" s="534">
        <f t="shared" si="55"/>
        <v>0</v>
      </c>
      <c r="T98" s="152"/>
      <c r="U98" s="152"/>
    </row>
    <row r="99" spans="1:21" s="147" customFormat="1">
      <c r="B99" s="557" t="s">
        <v>28</v>
      </c>
      <c r="C99" s="557" t="s">
        <v>484</v>
      </c>
      <c r="D99" s="535">
        <v>3296290.2607470113</v>
      </c>
      <c r="E99" s="548">
        <v>0.28296493902439024</v>
      </c>
      <c r="F99" s="534">
        <f t="shared" si="53"/>
        <v>932734.5726389694</v>
      </c>
      <c r="G99" s="557"/>
      <c r="H99" s="534">
        <f t="shared" si="55"/>
        <v>932734.5726389694</v>
      </c>
      <c r="I99" s="534">
        <f t="shared" si="55"/>
        <v>932734.5726389694</v>
      </c>
      <c r="J99" s="534">
        <f t="shared" si="55"/>
        <v>932734.5726389694</v>
      </c>
      <c r="K99" s="534">
        <f t="shared" si="55"/>
        <v>932734.5726389694</v>
      </c>
      <c r="L99" s="534">
        <f t="shared" si="55"/>
        <v>932734.5726389694</v>
      </c>
      <c r="M99" s="534">
        <f t="shared" si="55"/>
        <v>932734.5726389694</v>
      </c>
      <c r="N99" s="534">
        <f t="shared" si="55"/>
        <v>932734.5726389694</v>
      </c>
      <c r="O99" s="534">
        <f t="shared" si="55"/>
        <v>932734.5726389694</v>
      </c>
      <c r="P99" s="534">
        <f t="shared" si="55"/>
        <v>932734.5726389694</v>
      </c>
      <c r="Q99" s="534">
        <f t="shared" si="55"/>
        <v>932734.5726389694</v>
      </c>
      <c r="R99" s="534">
        <f t="shared" si="55"/>
        <v>932734.5726389694</v>
      </c>
      <c r="S99" s="534">
        <f t="shared" si="55"/>
        <v>932734.5726389694</v>
      </c>
      <c r="T99" s="148"/>
      <c r="U99" s="148"/>
    </row>
    <row r="100" spans="1:21" s="147" customFormat="1">
      <c r="B100" s="557" t="s">
        <v>102</v>
      </c>
      <c r="C100" s="147" t="s">
        <v>175</v>
      </c>
      <c r="D100" s="535">
        <v>10000</v>
      </c>
      <c r="E100" s="548">
        <v>4.9518864329268289E-2</v>
      </c>
      <c r="F100" s="534">
        <f t="shared" si="53"/>
        <v>495.18864329268291</v>
      </c>
      <c r="G100" s="557"/>
      <c r="H100" s="534">
        <f t="shared" si="55"/>
        <v>495.18864329268291</v>
      </c>
      <c r="I100" s="534">
        <f t="shared" si="55"/>
        <v>495.18864329268291</v>
      </c>
      <c r="J100" s="534">
        <f t="shared" si="55"/>
        <v>495.18864329268291</v>
      </c>
      <c r="K100" s="534">
        <f t="shared" si="55"/>
        <v>495.18864329268291</v>
      </c>
      <c r="L100" s="534">
        <f t="shared" si="55"/>
        <v>495.18864329268291</v>
      </c>
      <c r="M100" s="534">
        <f t="shared" si="55"/>
        <v>495.18864329268291</v>
      </c>
      <c r="N100" s="534">
        <f t="shared" si="55"/>
        <v>495.18864329268291</v>
      </c>
      <c r="O100" s="534">
        <f t="shared" si="55"/>
        <v>495.18864329268291</v>
      </c>
      <c r="P100" s="534">
        <f t="shared" si="55"/>
        <v>495.18864329268291</v>
      </c>
      <c r="Q100" s="534">
        <f t="shared" si="55"/>
        <v>495.18864329268291</v>
      </c>
      <c r="R100" s="534">
        <f t="shared" si="55"/>
        <v>495.18864329268291</v>
      </c>
      <c r="S100" s="534">
        <f t="shared" si="55"/>
        <v>495.18864329268291</v>
      </c>
      <c r="T100" s="148"/>
      <c r="U100" s="148"/>
    </row>
    <row r="101" spans="1:21" s="147" customFormat="1">
      <c r="B101" s="556" t="s">
        <v>116</v>
      </c>
      <c r="C101" s="556" t="s">
        <v>174</v>
      </c>
      <c r="D101" s="147">
        <v>1</v>
      </c>
      <c r="E101" s="535">
        <v>237347.56097560975</v>
      </c>
      <c r="F101" s="534">
        <f t="shared" si="53"/>
        <v>237347.56097560975</v>
      </c>
      <c r="G101" s="556"/>
      <c r="H101" s="534">
        <v>363347.56097560987</v>
      </c>
      <c r="I101" s="534">
        <v>363347.56097560987</v>
      </c>
      <c r="J101" s="534">
        <v>363347.56097560987</v>
      </c>
      <c r="K101" s="534">
        <v>363347.56097560987</v>
      </c>
      <c r="L101" s="534">
        <v>363347.56097560987</v>
      </c>
      <c r="M101" s="534">
        <v>237347.56097560975</v>
      </c>
      <c r="N101" s="534">
        <v>237347.56097560975</v>
      </c>
      <c r="O101" s="534">
        <v>237347.56097560975</v>
      </c>
      <c r="P101" s="534">
        <v>237347.56097560975</v>
      </c>
      <c r="Q101" s="534">
        <v>237347.56097560975</v>
      </c>
      <c r="R101" s="534">
        <v>237347.56097560975</v>
      </c>
      <c r="S101" s="534">
        <v>237347.56097560975</v>
      </c>
      <c r="T101" s="103"/>
    </row>
    <row r="102" spans="1:21" s="147" customFormat="1">
      <c r="B102" s="556" t="s">
        <v>115</v>
      </c>
      <c r="C102" s="556" t="s">
        <v>174</v>
      </c>
      <c r="D102" s="147">
        <v>1</v>
      </c>
      <c r="E102" s="535">
        <v>0</v>
      </c>
      <c r="F102" s="534">
        <f t="shared" si="53"/>
        <v>0</v>
      </c>
      <c r="G102" s="556"/>
      <c r="H102" s="534">
        <v>0</v>
      </c>
      <c r="I102" s="534">
        <v>0</v>
      </c>
      <c r="J102" s="534">
        <v>0</v>
      </c>
      <c r="K102" s="534">
        <v>0</v>
      </c>
      <c r="L102" s="534">
        <v>0</v>
      </c>
      <c r="M102" s="534">
        <v>0</v>
      </c>
      <c r="N102" s="534">
        <v>0</v>
      </c>
      <c r="O102" s="534">
        <v>0</v>
      </c>
      <c r="P102" s="534">
        <v>0</v>
      </c>
      <c r="Q102" s="534">
        <v>0</v>
      </c>
      <c r="R102" s="534">
        <v>0</v>
      </c>
      <c r="S102" s="534">
        <v>0</v>
      </c>
      <c r="T102" s="103"/>
    </row>
    <row r="103" spans="1:21" s="147" customFormat="1">
      <c r="B103" s="556" t="s">
        <v>488</v>
      </c>
      <c r="C103" s="556" t="s">
        <v>174</v>
      </c>
      <c r="D103" s="147">
        <v>1</v>
      </c>
      <c r="E103" s="535">
        <v>35000</v>
      </c>
      <c r="F103" s="534">
        <f t="shared" si="53"/>
        <v>35000</v>
      </c>
      <c r="G103" s="556"/>
      <c r="H103" s="534">
        <f t="shared" si="55"/>
        <v>35000</v>
      </c>
      <c r="I103" s="534">
        <f t="shared" si="55"/>
        <v>35000</v>
      </c>
      <c r="J103" s="534">
        <f t="shared" si="55"/>
        <v>35000</v>
      </c>
      <c r="K103" s="534">
        <f t="shared" si="55"/>
        <v>35000</v>
      </c>
      <c r="L103" s="534">
        <f t="shared" si="55"/>
        <v>35000</v>
      </c>
      <c r="M103" s="534">
        <f t="shared" si="55"/>
        <v>35000</v>
      </c>
      <c r="N103" s="534">
        <f t="shared" si="55"/>
        <v>35000</v>
      </c>
      <c r="O103" s="534">
        <f t="shared" si="55"/>
        <v>35000</v>
      </c>
      <c r="P103" s="534">
        <f t="shared" si="55"/>
        <v>35000</v>
      </c>
      <c r="Q103" s="534">
        <f t="shared" si="55"/>
        <v>35000</v>
      </c>
      <c r="R103" s="534">
        <f t="shared" si="55"/>
        <v>35000</v>
      </c>
      <c r="S103" s="534">
        <f t="shared" si="55"/>
        <v>35000</v>
      </c>
      <c r="T103" s="103"/>
    </row>
    <row r="104" spans="1:21" s="147" customFormat="1">
      <c r="B104" s="557" t="s">
        <v>52</v>
      </c>
      <c r="C104" s="557" t="s">
        <v>2</v>
      </c>
      <c r="D104" s="154">
        <f>D14</f>
        <v>0.1</v>
      </c>
      <c r="E104" s="552">
        <f>SUM(F97:F103)</f>
        <v>1271602.4746968963</v>
      </c>
      <c r="F104" s="534">
        <f t="shared" si="53"/>
        <v>127160.24746968964</v>
      </c>
      <c r="G104" s="557"/>
      <c r="H104" s="534">
        <f t="shared" si="55"/>
        <v>127160.24746968964</v>
      </c>
      <c r="I104" s="534">
        <f t="shared" si="55"/>
        <v>127160.24746968964</v>
      </c>
      <c r="J104" s="534">
        <f t="shared" si="55"/>
        <v>127160.24746968964</v>
      </c>
      <c r="K104" s="534">
        <f t="shared" si="55"/>
        <v>127160.24746968964</v>
      </c>
      <c r="L104" s="534">
        <f t="shared" si="55"/>
        <v>127160.24746968964</v>
      </c>
      <c r="M104" s="534">
        <f t="shared" si="55"/>
        <v>127160.24746968964</v>
      </c>
      <c r="N104" s="534">
        <f t="shared" si="55"/>
        <v>127160.24746968964</v>
      </c>
      <c r="O104" s="534">
        <f t="shared" si="55"/>
        <v>127160.24746968964</v>
      </c>
      <c r="P104" s="534">
        <f t="shared" si="55"/>
        <v>127160.24746968964</v>
      </c>
      <c r="Q104" s="534">
        <f t="shared" si="55"/>
        <v>127160.24746968964</v>
      </c>
      <c r="R104" s="534">
        <f t="shared" si="55"/>
        <v>127160.24746968964</v>
      </c>
      <c r="S104" s="534">
        <f t="shared" si="55"/>
        <v>127160.24746968964</v>
      </c>
      <c r="T104" s="103"/>
    </row>
    <row r="105" spans="1:21" s="44" customFormat="1">
      <c r="B105" s="537" t="str">
        <f>"Subtotal "&amp;B96</f>
        <v>Subtotal Headquarters</v>
      </c>
      <c r="C105" s="537"/>
      <c r="D105" s="537"/>
      <c r="E105" s="537"/>
      <c r="F105" s="538">
        <f>SUM(F97:F104)</f>
        <v>1398762.722166586</v>
      </c>
      <c r="G105" s="32"/>
      <c r="H105" s="539">
        <f>SUM(H97:H104)</f>
        <v>1524762.722166586</v>
      </c>
      <c r="I105" s="539">
        <f t="shared" ref="I105:S105" si="56">SUM(I97:I104)</f>
        <v>1524762.722166586</v>
      </c>
      <c r="J105" s="539">
        <f t="shared" si="56"/>
        <v>1524762.722166586</v>
      </c>
      <c r="K105" s="539">
        <f t="shared" si="56"/>
        <v>1524762.722166586</v>
      </c>
      <c r="L105" s="539">
        <f t="shared" si="56"/>
        <v>1524762.722166586</v>
      </c>
      <c r="M105" s="539">
        <f t="shared" si="56"/>
        <v>1398762.722166586</v>
      </c>
      <c r="N105" s="539">
        <f t="shared" si="56"/>
        <v>1398762.722166586</v>
      </c>
      <c r="O105" s="539">
        <f t="shared" si="56"/>
        <v>1398762.722166586</v>
      </c>
      <c r="P105" s="539">
        <f t="shared" si="56"/>
        <v>1398762.722166586</v>
      </c>
      <c r="Q105" s="539">
        <f t="shared" si="56"/>
        <v>1398762.722166586</v>
      </c>
      <c r="R105" s="539">
        <f t="shared" si="56"/>
        <v>1398762.722166586</v>
      </c>
      <c r="S105" s="539">
        <f t="shared" si="56"/>
        <v>1398762.722166586</v>
      </c>
      <c r="T105" s="103"/>
    </row>
    <row r="106" spans="1:21" s="41" customFormat="1">
      <c r="A106" s="44"/>
      <c r="B106" s="540" t="s">
        <v>117</v>
      </c>
      <c r="C106" s="540"/>
      <c r="D106" s="540"/>
      <c r="E106" s="540"/>
      <c r="F106" s="541">
        <v>0</v>
      </c>
      <c r="G106" s="10"/>
      <c r="H106" s="541">
        <v>0</v>
      </c>
      <c r="I106" s="541">
        <v>0</v>
      </c>
      <c r="J106" s="541">
        <v>0</v>
      </c>
      <c r="K106" s="541">
        <v>0</v>
      </c>
      <c r="L106" s="541">
        <v>0</v>
      </c>
      <c r="M106" s="541">
        <v>0</v>
      </c>
      <c r="N106" s="541">
        <v>0</v>
      </c>
      <c r="O106" s="541">
        <v>0</v>
      </c>
      <c r="P106" s="541">
        <v>0</v>
      </c>
      <c r="Q106" s="541">
        <v>0</v>
      </c>
      <c r="R106" s="541">
        <v>0</v>
      </c>
      <c r="S106" s="541">
        <v>0</v>
      </c>
      <c r="T106" s="103"/>
    </row>
    <row r="107" spans="1:21" s="41" customFormat="1">
      <c r="A107" s="44"/>
      <c r="B107" s="542" t="s">
        <v>18</v>
      </c>
      <c r="C107" s="542"/>
      <c r="D107" s="542"/>
      <c r="E107" s="542"/>
      <c r="F107" s="541">
        <f>F105</f>
        <v>1398762.722166586</v>
      </c>
      <c r="G107" s="147"/>
      <c r="H107" s="541">
        <f>H105</f>
        <v>1524762.722166586</v>
      </c>
      <c r="I107" s="541">
        <f t="shared" ref="I107:S107" si="57">I105</f>
        <v>1524762.722166586</v>
      </c>
      <c r="J107" s="541">
        <f t="shared" si="57"/>
        <v>1524762.722166586</v>
      </c>
      <c r="K107" s="541">
        <f t="shared" si="57"/>
        <v>1524762.722166586</v>
      </c>
      <c r="L107" s="541">
        <f t="shared" si="57"/>
        <v>1524762.722166586</v>
      </c>
      <c r="M107" s="541">
        <f t="shared" si="57"/>
        <v>1398762.722166586</v>
      </c>
      <c r="N107" s="541">
        <f t="shared" si="57"/>
        <v>1398762.722166586</v>
      </c>
      <c r="O107" s="541">
        <f t="shared" si="57"/>
        <v>1398762.722166586</v>
      </c>
      <c r="P107" s="541">
        <f t="shared" si="57"/>
        <v>1398762.722166586</v>
      </c>
      <c r="Q107" s="541">
        <f t="shared" si="57"/>
        <v>1398762.722166586</v>
      </c>
      <c r="R107" s="541">
        <f t="shared" si="57"/>
        <v>1398762.722166586</v>
      </c>
      <c r="S107" s="541">
        <f t="shared" si="57"/>
        <v>1398762.722166586</v>
      </c>
      <c r="T107" s="103"/>
    </row>
    <row r="108" spans="1:21">
      <c r="H108" s="149"/>
      <c r="I108" s="149"/>
      <c r="J108" s="149"/>
      <c r="K108" s="149"/>
      <c r="L108" s="149"/>
      <c r="M108" s="149"/>
      <c r="N108" s="149"/>
      <c r="O108" s="149"/>
      <c r="P108" s="149"/>
      <c r="Q108" s="149"/>
      <c r="R108" s="149"/>
      <c r="S108" s="149"/>
      <c r="T108" s="103"/>
    </row>
    <row r="109" spans="1:21" s="41" customFormat="1">
      <c r="A109" s="44"/>
      <c r="B109" s="531" t="s">
        <v>230</v>
      </c>
      <c r="C109" s="531"/>
      <c r="D109" s="531"/>
      <c r="E109" s="531"/>
      <c r="F109" s="563">
        <f t="shared" ref="F109" si="58">SUM(F15,F28,F43,F61,F105,F77,F93)</f>
        <v>16545124.105964657</v>
      </c>
      <c r="G109" s="32"/>
      <c r="H109" s="563">
        <f t="shared" ref="H109:S109" si="59">SUM(H15,H28,H43,H61,H105,H77,H93)</f>
        <v>9282833.996594511</v>
      </c>
      <c r="I109" s="563">
        <f t="shared" si="59"/>
        <v>13759638.701621521</v>
      </c>
      <c r="J109" s="563">
        <f t="shared" si="59"/>
        <v>14510293.590367388</v>
      </c>
      <c r="K109" s="563">
        <f t="shared" si="59"/>
        <v>15038655.049337067</v>
      </c>
      <c r="L109" s="563">
        <f t="shared" si="59"/>
        <v>15913655.969885381</v>
      </c>
      <c r="M109" s="563">
        <f t="shared" si="59"/>
        <v>16298880.540756037</v>
      </c>
      <c r="N109" s="563">
        <f t="shared" si="59"/>
        <v>16543807.249802142</v>
      </c>
      <c r="O109" s="563">
        <f t="shared" si="59"/>
        <v>16675014.203811157</v>
      </c>
      <c r="P109" s="563">
        <f t="shared" si="59"/>
        <v>16804044.989613805</v>
      </c>
      <c r="Q109" s="563">
        <f t="shared" si="59"/>
        <v>16790243.491762433</v>
      </c>
      <c r="R109" s="563">
        <f t="shared" si="59"/>
        <v>16776394.825388996</v>
      </c>
      <c r="S109" s="563">
        <f t="shared" si="59"/>
        <v>16762498.746782321</v>
      </c>
      <c r="T109" s="103"/>
    </row>
    <row r="110" spans="1:21">
      <c r="A110" s="41"/>
      <c r="B110" s="540" t="s">
        <v>117</v>
      </c>
      <c r="C110" s="540"/>
      <c r="D110" s="540"/>
      <c r="E110" s="540"/>
      <c r="F110" s="541">
        <f t="shared" ref="F110" si="60">SUM(F16,F29,F44,F62,F106,F78,F94)</f>
        <v>14488726.411088463</v>
      </c>
      <c r="H110" s="541">
        <f t="shared" ref="H110:S110" si="61">SUM(H16,H29,H44,H62,H106,H78,H94)</f>
        <v>6987857.2157534128</v>
      </c>
      <c r="I110" s="541">
        <f t="shared" si="61"/>
        <v>11350188.179536402</v>
      </c>
      <c r="J110" s="541">
        <f t="shared" si="61"/>
        <v>12096702.703729773</v>
      </c>
      <c r="K110" s="541">
        <f t="shared" si="61"/>
        <v>12620685.521714829</v>
      </c>
      <c r="L110" s="541">
        <f t="shared" si="61"/>
        <v>13489558.888878461</v>
      </c>
      <c r="M110" s="541">
        <f t="shared" si="61"/>
        <v>14246265.696459886</v>
      </c>
      <c r="N110" s="541">
        <f t="shared" si="61"/>
        <v>14487409.554925952</v>
      </c>
      <c r="O110" s="541">
        <f t="shared" si="61"/>
        <v>14616736.95183371</v>
      </c>
      <c r="P110" s="541">
        <f t="shared" si="61"/>
        <v>14743890.541854858</v>
      </c>
      <c r="Q110" s="541">
        <f t="shared" si="61"/>
        <v>14730110.389392624</v>
      </c>
      <c r="R110" s="541">
        <f t="shared" si="61"/>
        <v>14716283.055067454</v>
      </c>
      <c r="S110" s="541">
        <f t="shared" si="61"/>
        <v>14702408.295176517</v>
      </c>
      <c r="T110" s="103"/>
    </row>
    <row r="111" spans="1:21" s="147" customFormat="1">
      <c r="A111" s="41"/>
      <c r="B111" s="542" t="s">
        <v>18</v>
      </c>
      <c r="C111" s="542"/>
      <c r="D111" s="542"/>
      <c r="E111" s="542"/>
      <c r="F111" s="541">
        <f t="shared" ref="F111" si="62">SUM(F17,F30,F45,F63,F107,F79,F95)</f>
        <v>2056397.6948761914</v>
      </c>
      <c r="H111" s="541">
        <f t="shared" ref="H111:S111" si="63">SUM(H17,H30,H45,H63,H107,H79,H95)</f>
        <v>2294976.7808410972</v>
      </c>
      <c r="I111" s="541">
        <f t="shared" si="63"/>
        <v>2409450.5220851181</v>
      </c>
      <c r="J111" s="541">
        <f t="shared" si="63"/>
        <v>2413590.8866376127</v>
      </c>
      <c r="K111" s="541">
        <f t="shared" si="63"/>
        <v>2417969.5276222378</v>
      </c>
      <c r="L111" s="541">
        <f t="shared" si="63"/>
        <v>2424097.0810069181</v>
      </c>
      <c r="M111" s="541">
        <f t="shared" si="63"/>
        <v>2052614.8442961527</v>
      </c>
      <c r="N111" s="541">
        <f t="shared" si="63"/>
        <v>2056397.6948761914</v>
      </c>
      <c r="O111" s="541">
        <f t="shared" si="63"/>
        <v>2058277.2519774504</v>
      </c>
      <c r="P111" s="541">
        <f t="shared" si="63"/>
        <v>2060154.4477589461</v>
      </c>
      <c r="Q111" s="541">
        <f t="shared" si="63"/>
        <v>2060133.1023698095</v>
      </c>
      <c r="R111" s="541">
        <f t="shared" si="63"/>
        <v>2060111.770321541</v>
      </c>
      <c r="S111" s="541">
        <f t="shared" si="63"/>
        <v>2060090.4516058024</v>
      </c>
      <c r="T111" s="103"/>
    </row>
    <row r="112" spans="1:21">
      <c r="H112" s="149"/>
      <c r="I112" s="149"/>
      <c r="J112" s="149"/>
      <c r="K112" s="149"/>
      <c r="L112" s="149"/>
      <c r="M112" s="149"/>
      <c r="N112" s="149"/>
      <c r="O112" s="149"/>
      <c r="P112" s="149"/>
      <c r="Q112" s="149"/>
      <c r="R112" s="149"/>
      <c r="S112" s="149"/>
      <c r="T112" s="103"/>
    </row>
    <row r="114" spans="2:10">
      <c r="C114" s="473" t="s">
        <v>4</v>
      </c>
      <c r="D114" s="473" t="s">
        <v>5</v>
      </c>
      <c r="E114" s="473" t="s">
        <v>6</v>
      </c>
      <c r="F114" s="473" t="s">
        <v>7</v>
      </c>
      <c r="G114" s="473" t="s">
        <v>8</v>
      </c>
      <c r="H114" s="473" t="s">
        <v>9</v>
      </c>
      <c r="I114" s="473" t="s">
        <v>10</v>
      </c>
      <c r="J114" s="473" t="s">
        <v>11</v>
      </c>
    </row>
    <row r="115" spans="2:10">
      <c r="B115" s="10" t="s">
        <v>162</v>
      </c>
      <c r="C115" s="490">
        <f>H15/1000</f>
        <v>1233.4271515040341</v>
      </c>
      <c r="D115" s="490">
        <f t="shared" ref="D115:I115" si="64">I15/1000</f>
        <v>2319.3350855813537</v>
      </c>
      <c r="E115" s="490">
        <f t="shared" si="64"/>
        <v>2352.6648549374709</v>
      </c>
      <c r="F115" s="490">
        <f t="shared" si="64"/>
        <v>2415.6942831636238</v>
      </c>
      <c r="G115" s="490">
        <f t="shared" si="64"/>
        <v>2490.1436539067222</v>
      </c>
      <c r="H115" s="490">
        <f t="shared" si="64"/>
        <v>2351.4610394185252</v>
      </c>
      <c r="I115" s="490">
        <f t="shared" si="64"/>
        <v>2356.6847686814162</v>
      </c>
      <c r="J115" s="490">
        <f>O15/1000</f>
        <v>2356.2919920433542</v>
      </c>
    </row>
    <row r="116" spans="2:10">
      <c r="B116" s="10" t="s">
        <v>58</v>
      </c>
      <c r="C116" s="490">
        <f>H28/1000</f>
        <v>2659.1115531395653</v>
      </c>
      <c r="D116" s="490">
        <f t="shared" ref="D116:I116" si="65">I28/1000</f>
        <v>3986.6462990622108</v>
      </c>
      <c r="E116" s="490">
        <f t="shared" si="65"/>
        <v>4175.9701978449666</v>
      </c>
      <c r="F116" s="490">
        <f t="shared" si="65"/>
        <v>4163.1191378216899</v>
      </c>
      <c r="G116" s="490">
        <f t="shared" si="65"/>
        <v>4294.8531482479993</v>
      </c>
      <c r="H116" s="490">
        <f t="shared" si="65"/>
        <v>4423.3208828858633</v>
      </c>
      <c r="I116" s="490">
        <f t="shared" si="65"/>
        <v>4378.5685937433</v>
      </c>
      <c r="J116" s="490">
        <f>O28/1000</f>
        <v>4369.7017979537977</v>
      </c>
    </row>
    <row r="117" spans="2:10">
      <c r="B117" s="10" t="s">
        <v>60</v>
      </c>
      <c r="C117" s="490">
        <f>H43/1000</f>
        <v>1189.0546582651486</v>
      </c>
      <c r="D117" s="490">
        <f t="shared" ref="D117:I117" si="66">I43/1000</f>
        <v>1164.4096164143575</v>
      </c>
      <c r="E117" s="490">
        <f t="shared" si="66"/>
        <v>1381.0247655041185</v>
      </c>
      <c r="F117" s="490">
        <f t="shared" si="66"/>
        <v>1529.9016327488459</v>
      </c>
      <c r="G117" s="490">
        <f t="shared" si="66"/>
        <v>1737.8817863670752</v>
      </c>
      <c r="H117" s="490">
        <f t="shared" si="66"/>
        <v>1838.437177210765</v>
      </c>
      <c r="I117" s="490">
        <f t="shared" si="66"/>
        <v>1838.3940725464133</v>
      </c>
      <c r="J117" s="490">
        <f>O43/1000</f>
        <v>1837.5039878602563</v>
      </c>
    </row>
    <row r="118" spans="2:10">
      <c r="B118" s="10" t="s">
        <v>179</v>
      </c>
      <c r="C118" s="490">
        <f>H61/1000</f>
        <v>364.33331211093645</v>
      </c>
      <c r="D118" s="490">
        <f t="shared" ref="D118:I118" si="67">I61/1000</f>
        <v>492.19951164517147</v>
      </c>
      <c r="E118" s="490">
        <f t="shared" si="67"/>
        <v>799.44521860990847</v>
      </c>
      <c r="F118" s="490">
        <f t="shared" si="67"/>
        <v>1124.3728011473602</v>
      </c>
      <c r="G118" s="490">
        <f t="shared" si="67"/>
        <v>1579.0826335233564</v>
      </c>
      <c r="H118" s="490">
        <f t="shared" si="67"/>
        <v>2062.7489301114233</v>
      </c>
      <c r="I118" s="490">
        <f t="shared" si="67"/>
        <v>2343.4644531215122</v>
      </c>
      <c r="J118" s="490">
        <f>O61/1000</f>
        <v>2482.9415071429917</v>
      </c>
    </row>
    <row r="119" spans="2:10">
      <c r="B119" s="10" t="s">
        <v>476</v>
      </c>
      <c r="C119" s="490">
        <f>H77/1000</f>
        <v>1888.1277825401301</v>
      </c>
      <c r="D119" s="490">
        <f t="shared" ref="D119:I119" si="68">I77/1000</f>
        <v>3612.3823943485522</v>
      </c>
      <c r="E119" s="490">
        <f t="shared" si="68"/>
        <v>3612.3823943485522</v>
      </c>
      <c r="F119" s="490">
        <f t="shared" si="68"/>
        <v>3612.3823943485522</v>
      </c>
      <c r="G119" s="490">
        <f t="shared" si="68"/>
        <v>3612.3823943485522</v>
      </c>
      <c r="H119" s="490">
        <f t="shared" si="68"/>
        <v>3543.0823943485525</v>
      </c>
      <c r="I119" s="490">
        <f t="shared" si="68"/>
        <v>3543.0823943485525</v>
      </c>
      <c r="J119" s="490">
        <f>O77/1000</f>
        <v>3543.0823943485525</v>
      </c>
    </row>
    <row r="120" spans="2:10">
      <c r="B120" s="10" t="s">
        <v>481</v>
      </c>
      <c r="C120" s="490">
        <f>H93/1000</f>
        <v>424.01681686810929</v>
      </c>
      <c r="D120" s="490">
        <f t="shared" ref="D120:I120" si="69">I93/1000</f>
        <v>659.90307240328855</v>
      </c>
      <c r="E120" s="490">
        <f t="shared" si="69"/>
        <v>664.04343695578325</v>
      </c>
      <c r="F120" s="490">
        <f t="shared" si="69"/>
        <v>668.42207794040826</v>
      </c>
      <c r="G120" s="490">
        <f t="shared" si="69"/>
        <v>674.54963132508863</v>
      </c>
      <c r="H120" s="490">
        <f t="shared" si="69"/>
        <v>681.06739461432289</v>
      </c>
      <c r="I120" s="490">
        <f t="shared" si="69"/>
        <v>684.85024519436161</v>
      </c>
      <c r="J120" s="490">
        <f>O93/1000</f>
        <v>686.72980229562052</v>
      </c>
    </row>
    <row r="121" spans="2:10">
      <c r="B121" s="10" t="s">
        <v>59</v>
      </c>
      <c r="C121" s="490">
        <f>H105/1000</f>
        <v>1524.7627221665859</v>
      </c>
      <c r="D121" s="490">
        <f t="shared" ref="D121:I121" si="70">I105/1000</f>
        <v>1524.7627221665859</v>
      </c>
      <c r="E121" s="490">
        <f t="shared" si="70"/>
        <v>1524.7627221665859</v>
      </c>
      <c r="F121" s="490">
        <f t="shared" si="70"/>
        <v>1524.7627221665859</v>
      </c>
      <c r="G121" s="490">
        <f t="shared" si="70"/>
        <v>1524.7627221665859</v>
      </c>
      <c r="H121" s="490">
        <f t="shared" si="70"/>
        <v>1398.7627221665859</v>
      </c>
      <c r="I121" s="490">
        <f t="shared" si="70"/>
        <v>1398.7627221665859</v>
      </c>
      <c r="J121" s="490">
        <f>O105/1000</f>
        <v>1398.7627221665859</v>
      </c>
    </row>
    <row r="122" spans="2:10">
      <c r="B122" s="10" t="s">
        <v>521</v>
      </c>
      <c r="C122" s="490">
        <f>SUM(C115:C121)</f>
        <v>9282.8339965945106</v>
      </c>
      <c r="D122" s="490">
        <f t="shared" ref="D122:I122" si="71">SUM(D115:D121)</f>
        <v>13759.638701621521</v>
      </c>
      <c r="E122" s="490">
        <f t="shared" si="71"/>
        <v>14510.293590367384</v>
      </c>
      <c r="F122" s="490">
        <f t="shared" si="71"/>
        <v>15038.655049337065</v>
      </c>
      <c r="G122" s="490">
        <f t="shared" si="71"/>
        <v>15913.655969885378</v>
      </c>
      <c r="H122" s="490">
        <f t="shared" si="71"/>
        <v>16298.880540756038</v>
      </c>
      <c r="I122" s="490">
        <f t="shared" si="71"/>
        <v>16543.807249802143</v>
      </c>
      <c r="J122" s="490">
        <f>SUM(J115:J121)</f>
        <v>16675.014203811159</v>
      </c>
    </row>
    <row r="123" spans="2:10">
      <c r="B123" s="10" t="s">
        <v>117</v>
      </c>
      <c r="C123" s="490">
        <f>H110/1000</f>
        <v>6987.8572157534127</v>
      </c>
      <c r="D123" s="490">
        <f t="shared" ref="D123:J123" si="72">I110/1000</f>
        <v>11350.188179536402</v>
      </c>
      <c r="E123" s="490">
        <f t="shared" si="72"/>
        <v>12096.702703729772</v>
      </c>
      <c r="F123" s="490">
        <f t="shared" si="72"/>
        <v>12620.68552171483</v>
      </c>
      <c r="G123" s="490">
        <f t="shared" si="72"/>
        <v>13489.55888887846</v>
      </c>
      <c r="H123" s="490">
        <f t="shared" si="72"/>
        <v>14246.265696459886</v>
      </c>
      <c r="I123" s="490">
        <f t="shared" si="72"/>
        <v>14487.409554925953</v>
      </c>
      <c r="J123" s="490">
        <f t="shared" si="72"/>
        <v>14616.736951833711</v>
      </c>
    </row>
    <row r="124" spans="2:10">
      <c r="B124" s="10" t="s">
        <v>18</v>
      </c>
      <c r="C124" s="490">
        <f>H111/1000</f>
        <v>2294.976780841097</v>
      </c>
      <c r="D124" s="490">
        <f t="shared" ref="D124:J124" si="73">I111/1000</f>
        <v>2409.4505220851179</v>
      </c>
      <c r="E124" s="490">
        <f t="shared" si="73"/>
        <v>2413.5908866376126</v>
      </c>
      <c r="F124" s="490">
        <f t="shared" si="73"/>
        <v>2417.9695276222378</v>
      </c>
      <c r="G124" s="490">
        <f t="shared" si="73"/>
        <v>2424.097081006918</v>
      </c>
      <c r="H124" s="490">
        <f t="shared" si="73"/>
        <v>2052.6148442961526</v>
      </c>
      <c r="I124" s="490">
        <f t="shared" si="73"/>
        <v>2056.3976948761915</v>
      </c>
      <c r="J124" s="490">
        <f t="shared" si="73"/>
        <v>2058.2772519774503</v>
      </c>
    </row>
  </sheetData>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tint="0.59999389629810485"/>
  </sheetPr>
  <dimension ref="A1:V267"/>
  <sheetViews>
    <sheetView tabSelected="1" zoomScale="150" zoomScaleNormal="150" workbookViewId="0">
      <selection activeCell="B221" sqref="B221"/>
    </sheetView>
  </sheetViews>
  <sheetFormatPr baseColWidth="10" defaultColWidth="10.1640625" defaultRowHeight="15" outlineLevelRow="2"/>
  <cols>
    <col min="1" max="1" width="8" style="26" customWidth="1"/>
    <col min="2" max="2" width="62.5" style="26" bestFit="1" customWidth="1"/>
    <col min="3" max="3" width="17.1640625" style="28" customWidth="1"/>
    <col min="4" max="4" width="14.83203125" style="28" customWidth="1"/>
    <col min="5" max="5" width="15.83203125" style="120" bestFit="1" customWidth="1"/>
    <col min="6" max="6" width="16.33203125" style="120" customWidth="1"/>
    <col min="7" max="7" width="15.33203125" style="120" customWidth="1"/>
    <col min="8" max="8" width="15.83203125" style="120" customWidth="1"/>
    <col min="9" max="9" width="17.5" style="120" customWidth="1"/>
    <col min="10" max="10" width="17.83203125" style="120" customWidth="1"/>
    <col min="11" max="11" width="8.83203125" style="481" customWidth="1"/>
    <col min="12" max="12" width="15" style="92" bestFit="1" customWidth="1"/>
    <col min="13" max="13" width="13.6640625" style="92" bestFit="1" customWidth="1"/>
    <col min="14" max="15" width="11.5" style="92" bestFit="1" customWidth="1"/>
    <col min="16" max="16" width="6.6640625" style="92" bestFit="1" customWidth="1"/>
    <col min="17" max="17" width="10.83203125" style="92" customWidth="1"/>
    <col min="18" max="18" width="17.1640625" style="135" customWidth="1"/>
    <col min="19" max="19" width="16.33203125" style="135" bestFit="1" customWidth="1"/>
    <col min="20" max="21" width="15.1640625" style="135" bestFit="1" customWidth="1"/>
    <col min="22" max="22" width="15" style="26" bestFit="1" customWidth="1"/>
    <col min="23" max="16384" width="10.1640625" style="26"/>
  </cols>
  <sheetData>
    <row r="1" spans="1:22" s="371" customFormat="1">
      <c r="A1" s="371" t="s">
        <v>168</v>
      </c>
      <c r="B1" s="371" t="str">
        <f>Cover!$C$10</f>
        <v>Mr. Amir Artine</v>
      </c>
      <c r="C1" s="176" t="str">
        <f>Cover!$C$3</f>
        <v>Cattle Integration, Baghara, Chad</v>
      </c>
      <c r="D1" s="372"/>
      <c r="E1" s="372"/>
      <c r="F1" s="372" t="s">
        <v>169</v>
      </c>
      <c r="G1" s="373">
        <f ca="1">Cover!$C$13</f>
        <v>45763</v>
      </c>
      <c r="H1" s="372"/>
      <c r="I1" s="372"/>
      <c r="J1" s="372"/>
      <c r="K1" s="482"/>
      <c r="L1" s="372"/>
      <c r="M1" s="372"/>
      <c r="N1" s="372"/>
      <c r="O1" s="372"/>
      <c r="P1" s="372"/>
      <c r="Q1" s="475"/>
      <c r="R1" s="372"/>
      <c r="S1" s="372"/>
      <c r="T1" s="372"/>
      <c r="U1" s="372"/>
      <c r="V1" s="372"/>
    </row>
    <row r="2" spans="1:22" ht="26">
      <c r="B2" s="27" t="s">
        <v>560</v>
      </c>
      <c r="E2" s="479"/>
      <c r="F2" s="126"/>
      <c r="G2" s="483"/>
      <c r="J2" s="127"/>
      <c r="K2" s="480"/>
      <c r="L2" s="91"/>
      <c r="M2" s="91"/>
      <c r="N2" s="91"/>
      <c r="O2" s="91"/>
      <c r="P2" s="91"/>
      <c r="Q2" s="91"/>
      <c r="R2" s="134"/>
      <c r="S2" s="134"/>
      <c r="T2" s="134"/>
      <c r="U2" s="134"/>
    </row>
    <row r="3" spans="1:22">
      <c r="C3" s="120"/>
      <c r="D3" s="481"/>
      <c r="E3" s="92"/>
      <c r="F3" s="92"/>
      <c r="G3" s="92"/>
      <c r="H3" s="92"/>
      <c r="I3" s="92"/>
      <c r="J3" s="92"/>
      <c r="K3" s="135"/>
      <c r="L3" s="135"/>
      <c r="M3" s="135"/>
      <c r="N3" s="135"/>
      <c r="O3" s="26"/>
      <c r="P3" s="26"/>
      <c r="Q3" s="26"/>
      <c r="R3" s="26"/>
      <c r="S3" s="26"/>
      <c r="T3" s="26"/>
      <c r="U3" s="26"/>
    </row>
    <row r="4" spans="1:22" ht="19">
      <c r="B4" s="29"/>
      <c r="C4" s="121" t="s">
        <v>220</v>
      </c>
      <c r="D4" s="93"/>
      <c r="E4" s="136" t="s">
        <v>16</v>
      </c>
      <c r="F4" s="136" t="s">
        <v>4</v>
      </c>
      <c r="G4" s="136" t="s">
        <v>5</v>
      </c>
      <c r="H4" s="136" t="s">
        <v>6</v>
      </c>
      <c r="I4" s="136" t="s">
        <v>7</v>
      </c>
      <c r="J4" s="26"/>
      <c r="K4" s="26"/>
      <c r="L4" s="26"/>
      <c r="M4" s="26"/>
      <c r="N4" s="26"/>
      <c r="O4" s="26"/>
      <c r="P4" s="26"/>
      <c r="Q4" s="26"/>
      <c r="R4" s="26"/>
      <c r="S4" s="26"/>
      <c r="T4" s="26"/>
      <c r="U4" s="26"/>
    </row>
    <row r="5" spans="1:22" ht="20" thickBot="1">
      <c r="B5" s="30" t="s">
        <v>114</v>
      </c>
      <c r="C5" s="128"/>
      <c r="D5" s="94"/>
      <c r="E5" s="137"/>
      <c r="F5" s="137"/>
      <c r="G5" s="137"/>
      <c r="H5" s="137"/>
      <c r="I5" s="137"/>
      <c r="J5" s="26"/>
      <c r="K5" s="26"/>
      <c r="L5" s="26"/>
      <c r="M5" s="26"/>
      <c r="N5" s="26"/>
      <c r="O5" s="26"/>
      <c r="P5" s="26"/>
      <c r="Q5" s="26"/>
      <c r="R5" s="26"/>
      <c r="S5" s="26"/>
      <c r="T5" s="26"/>
      <c r="U5" s="26"/>
    </row>
    <row r="6" spans="1:22">
      <c r="B6" s="42" t="s">
        <v>19</v>
      </c>
      <c r="C6" s="129"/>
      <c r="D6" s="95"/>
      <c r="E6" s="138"/>
      <c r="F6" s="138"/>
      <c r="G6" s="138"/>
      <c r="H6" s="138"/>
      <c r="I6" s="138"/>
      <c r="J6" s="26"/>
      <c r="K6" s="26"/>
      <c r="L6" s="26"/>
      <c r="M6" s="26"/>
      <c r="N6" s="26"/>
      <c r="O6" s="26"/>
      <c r="P6" s="26"/>
      <c r="Q6" s="26"/>
      <c r="R6" s="26"/>
      <c r="S6" s="26"/>
      <c r="T6" s="26"/>
      <c r="U6" s="26"/>
    </row>
    <row r="7" spans="1:22" hidden="1">
      <c r="B7" s="50" t="s">
        <v>173</v>
      </c>
      <c r="C7" s="130">
        <v>0</v>
      </c>
      <c r="D7" s="98"/>
      <c r="E7" s="139">
        <v>0</v>
      </c>
      <c r="F7" s="139">
        <v>0</v>
      </c>
      <c r="G7" s="139">
        <v>0</v>
      </c>
      <c r="H7" s="139">
        <v>0</v>
      </c>
      <c r="I7" s="139">
        <v>0</v>
      </c>
      <c r="J7" s="26"/>
      <c r="K7" s="26"/>
      <c r="L7" s="26"/>
      <c r="M7" s="26"/>
      <c r="N7" s="26"/>
      <c r="O7" s="26"/>
      <c r="P7" s="26"/>
      <c r="Q7" s="26"/>
      <c r="R7" s="26"/>
      <c r="S7" s="26"/>
      <c r="T7" s="26"/>
      <c r="U7" s="26"/>
    </row>
    <row r="8" spans="1:22" outlineLevel="2">
      <c r="B8" s="50" t="s">
        <v>536</v>
      </c>
      <c r="C8" s="130">
        <v>185000</v>
      </c>
      <c r="D8" s="98"/>
      <c r="E8" s="139">
        <f>SUM(C8)</f>
        <v>185000</v>
      </c>
      <c r="F8" s="139">
        <v>0</v>
      </c>
      <c r="G8" s="139">
        <v>0</v>
      </c>
      <c r="H8" s="139">
        <v>0</v>
      </c>
      <c r="I8" s="139">
        <v>0</v>
      </c>
      <c r="J8" s="26"/>
      <c r="K8" s="26"/>
      <c r="L8" s="26"/>
      <c r="M8" s="26"/>
      <c r="N8" s="26"/>
      <c r="O8" s="26"/>
      <c r="P8" s="26"/>
      <c r="Q8" s="26"/>
      <c r="R8" s="26"/>
      <c r="S8" s="26"/>
      <c r="T8" s="26"/>
      <c r="U8" s="26"/>
    </row>
    <row r="9" spans="1:22" outlineLevel="2">
      <c r="B9" s="50" t="s">
        <v>534</v>
      </c>
      <c r="C9" s="130">
        <v>110000</v>
      </c>
      <c r="D9" s="98"/>
      <c r="E9" s="139">
        <f t="shared" ref="E9:E11" si="0">SUM(C9)</f>
        <v>110000</v>
      </c>
      <c r="F9" s="139">
        <v>0</v>
      </c>
      <c r="G9" s="139">
        <v>0</v>
      </c>
      <c r="H9" s="139">
        <v>0</v>
      </c>
      <c r="I9" s="139">
        <v>0</v>
      </c>
      <c r="J9" s="26"/>
      <c r="K9" s="26"/>
      <c r="L9" s="26"/>
      <c r="M9" s="26"/>
      <c r="N9" s="26"/>
      <c r="O9" s="26"/>
      <c r="P9" s="26"/>
      <c r="Q9" s="26"/>
      <c r="R9" s="26"/>
      <c r="S9" s="26"/>
      <c r="T9" s="26"/>
      <c r="U9" s="26"/>
    </row>
    <row r="10" spans="1:22" outlineLevel="2">
      <c r="B10" s="49" t="s">
        <v>511</v>
      </c>
      <c r="C10" s="130">
        <v>875000</v>
      </c>
      <c r="D10" s="98"/>
      <c r="E10" s="139">
        <f t="shared" si="0"/>
        <v>875000</v>
      </c>
      <c r="F10" s="139">
        <v>0</v>
      </c>
      <c r="G10" s="139">
        <v>0</v>
      </c>
      <c r="H10" s="139">
        <v>0</v>
      </c>
      <c r="I10" s="139">
        <v>0</v>
      </c>
      <c r="J10" s="26"/>
      <c r="K10" s="26"/>
      <c r="L10" s="26"/>
      <c r="M10" s="26"/>
      <c r="N10" s="26"/>
      <c r="O10" s="26"/>
      <c r="P10" s="26"/>
      <c r="Q10" s="26"/>
      <c r="R10" s="26"/>
      <c r="S10" s="26"/>
      <c r="T10" s="26"/>
      <c r="U10" s="26"/>
    </row>
    <row r="11" spans="1:22" outlineLevel="2">
      <c r="B11" s="50" t="s">
        <v>535</v>
      </c>
      <c r="C11" s="130">
        <v>495000</v>
      </c>
      <c r="D11" s="613"/>
      <c r="E11" s="139">
        <f t="shared" si="0"/>
        <v>495000</v>
      </c>
      <c r="F11" s="139">
        <v>0</v>
      </c>
      <c r="G11" s="139">
        <v>0</v>
      </c>
      <c r="H11" s="139">
        <v>0</v>
      </c>
      <c r="I11" s="139">
        <v>0</v>
      </c>
      <c r="J11" s="26"/>
      <c r="K11" s="26"/>
      <c r="L11" s="26"/>
      <c r="M11" s="26"/>
      <c r="N11" s="26"/>
      <c r="O11" s="26"/>
      <c r="P11" s="26"/>
      <c r="Q11" s="26"/>
      <c r="R11" s="26"/>
      <c r="S11" s="26"/>
      <c r="T11" s="26"/>
      <c r="U11" s="26"/>
    </row>
    <row r="12" spans="1:22">
      <c r="B12" s="42" t="s">
        <v>96</v>
      </c>
      <c r="C12" s="129"/>
      <c r="D12" s="613"/>
      <c r="E12" s="140"/>
      <c r="F12" s="140"/>
      <c r="G12" s="140"/>
      <c r="H12" s="140"/>
      <c r="I12" s="140"/>
      <c r="J12" s="26"/>
      <c r="K12" s="26"/>
      <c r="L12" s="26"/>
      <c r="M12" s="26"/>
      <c r="N12" s="26"/>
      <c r="O12" s="26"/>
      <c r="P12" s="26"/>
      <c r="Q12" s="26"/>
      <c r="R12" s="26"/>
      <c r="S12" s="26"/>
      <c r="T12" s="26"/>
      <c r="U12" s="26"/>
    </row>
    <row r="13" spans="1:22" outlineLevel="2">
      <c r="B13" s="49" t="s">
        <v>51</v>
      </c>
      <c r="C13" s="130">
        <v>19726.463907924699</v>
      </c>
      <c r="D13" s="98"/>
      <c r="E13" s="139">
        <f>SUM(C13)</f>
        <v>19726.463907924699</v>
      </c>
      <c r="F13" s="139">
        <v>0</v>
      </c>
      <c r="G13" s="139">
        <v>0</v>
      </c>
      <c r="H13" s="139">
        <v>0</v>
      </c>
      <c r="I13" s="139">
        <v>0</v>
      </c>
      <c r="J13" s="26"/>
      <c r="K13" s="26"/>
      <c r="L13" s="26"/>
      <c r="M13" s="26"/>
      <c r="N13" s="26"/>
      <c r="O13" s="26"/>
      <c r="P13" s="26"/>
      <c r="Q13" s="26"/>
      <c r="R13" s="26"/>
      <c r="S13" s="26"/>
      <c r="T13" s="26"/>
      <c r="U13" s="26"/>
    </row>
    <row r="14" spans="1:22" outlineLevel="2">
      <c r="B14" s="49" t="s">
        <v>50</v>
      </c>
      <c r="C14" s="130">
        <v>9726.4639079247572</v>
      </c>
      <c r="D14" s="98"/>
      <c r="E14" s="139">
        <f t="shared" ref="E14:E21" si="1">SUM(C14)</f>
        <v>9726.4639079247572</v>
      </c>
      <c r="F14" s="139">
        <v>0</v>
      </c>
      <c r="G14" s="139">
        <v>0</v>
      </c>
      <c r="H14" s="139">
        <v>0</v>
      </c>
      <c r="I14" s="139">
        <v>0</v>
      </c>
      <c r="J14" s="26"/>
      <c r="K14" s="26"/>
      <c r="L14" s="26"/>
      <c r="M14" s="26"/>
      <c r="N14" s="26"/>
      <c r="O14" s="26"/>
      <c r="P14" s="26"/>
      <c r="Q14" s="26"/>
      <c r="R14" s="26"/>
      <c r="S14" s="26"/>
      <c r="T14" s="26"/>
      <c r="U14" s="26"/>
    </row>
    <row r="15" spans="1:22" outlineLevel="2">
      <c r="B15" s="49" t="s">
        <v>97</v>
      </c>
      <c r="C15" s="130">
        <v>113938.57720711859</v>
      </c>
      <c r="D15" s="98"/>
      <c r="E15" s="139">
        <f t="shared" si="1"/>
        <v>113938.57720711859</v>
      </c>
      <c r="F15" s="139">
        <v>0</v>
      </c>
      <c r="G15" s="139">
        <v>0</v>
      </c>
      <c r="H15" s="139">
        <v>0</v>
      </c>
      <c r="I15" s="139">
        <v>0</v>
      </c>
      <c r="J15" s="26"/>
      <c r="K15" s="26"/>
      <c r="L15" s="26"/>
      <c r="M15" s="26"/>
      <c r="N15" s="26"/>
      <c r="O15" s="26"/>
      <c r="P15" s="26"/>
      <c r="Q15" s="26"/>
      <c r="R15" s="26"/>
      <c r="S15" s="26"/>
      <c r="T15" s="26"/>
      <c r="U15" s="26"/>
    </row>
    <row r="16" spans="1:22" outlineLevel="2">
      <c r="B16" s="49" t="s">
        <v>98</v>
      </c>
      <c r="C16" s="130">
        <v>28484.644301779648</v>
      </c>
      <c r="D16" s="98"/>
      <c r="E16" s="139">
        <f t="shared" si="1"/>
        <v>28484.644301779648</v>
      </c>
      <c r="F16" s="139">
        <v>0</v>
      </c>
      <c r="G16" s="139">
        <v>0</v>
      </c>
      <c r="H16" s="139">
        <v>0</v>
      </c>
      <c r="I16" s="139">
        <v>0</v>
      </c>
      <c r="J16" s="26"/>
      <c r="K16" s="26"/>
      <c r="L16" s="26"/>
      <c r="M16" s="26"/>
      <c r="N16" s="26"/>
      <c r="O16" s="26"/>
      <c r="P16" s="26"/>
      <c r="Q16" s="26"/>
      <c r="R16" s="26"/>
      <c r="S16" s="26"/>
      <c r="T16" s="26"/>
      <c r="U16" s="26"/>
    </row>
    <row r="17" spans="2:21" outlineLevel="2">
      <c r="B17" s="49" t="s">
        <v>49</v>
      </c>
      <c r="C17" s="130">
        <v>34181.573162135581</v>
      </c>
      <c r="D17" s="98"/>
      <c r="E17" s="139">
        <f t="shared" si="1"/>
        <v>34181.573162135581</v>
      </c>
      <c r="F17" s="139">
        <v>0</v>
      </c>
      <c r="G17" s="139">
        <v>0</v>
      </c>
      <c r="H17" s="139">
        <v>0</v>
      </c>
      <c r="I17" s="139">
        <v>0</v>
      </c>
      <c r="J17" s="26"/>
      <c r="K17" s="26"/>
      <c r="L17" s="26"/>
      <c r="M17" s="26"/>
      <c r="N17" s="26"/>
      <c r="O17" s="26"/>
      <c r="P17" s="26"/>
      <c r="Q17" s="26"/>
      <c r="R17" s="26"/>
      <c r="S17" s="26"/>
      <c r="T17" s="26"/>
      <c r="U17" s="26"/>
    </row>
    <row r="18" spans="2:21" outlineLevel="2">
      <c r="B18" s="49" t="s">
        <v>48</v>
      </c>
      <c r="C18" s="130">
        <v>7781.1711263398056</v>
      </c>
      <c r="D18" s="98"/>
      <c r="E18" s="139">
        <f t="shared" si="1"/>
        <v>7781.1711263398056</v>
      </c>
      <c r="F18" s="139">
        <v>0</v>
      </c>
      <c r="G18" s="139">
        <v>0</v>
      </c>
      <c r="H18" s="139">
        <v>0</v>
      </c>
      <c r="I18" s="139">
        <v>0</v>
      </c>
      <c r="J18" s="26"/>
      <c r="K18" s="26"/>
      <c r="L18" s="26"/>
      <c r="M18" s="26"/>
      <c r="N18" s="26"/>
      <c r="O18" s="26"/>
      <c r="P18" s="26"/>
      <c r="Q18" s="26"/>
      <c r="R18" s="26"/>
      <c r="S18" s="26"/>
      <c r="T18" s="26"/>
      <c r="U18" s="26"/>
    </row>
    <row r="19" spans="2:21" outlineLevel="2">
      <c r="B19" s="49" t="s">
        <v>524</v>
      </c>
      <c r="C19" s="130">
        <v>0</v>
      </c>
      <c r="D19" s="98"/>
      <c r="E19" s="139">
        <f t="shared" si="1"/>
        <v>0</v>
      </c>
      <c r="F19" s="139">
        <v>0</v>
      </c>
      <c r="G19" s="139">
        <v>0</v>
      </c>
      <c r="H19" s="139">
        <v>0</v>
      </c>
      <c r="I19" s="139">
        <v>0</v>
      </c>
      <c r="J19" s="26"/>
      <c r="K19" s="26"/>
      <c r="L19" s="26"/>
      <c r="M19" s="26"/>
      <c r="N19" s="26"/>
      <c r="O19" s="26"/>
      <c r="P19" s="26"/>
      <c r="Q19" s="26"/>
      <c r="R19" s="26"/>
      <c r="S19" s="26"/>
      <c r="T19" s="26"/>
      <c r="U19" s="26"/>
    </row>
    <row r="20" spans="2:21" outlineLevel="2">
      <c r="B20" s="49" t="s">
        <v>506</v>
      </c>
      <c r="C20" s="130">
        <v>0</v>
      </c>
      <c r="D20" s="98"/>
      <c r="E20" s="139">
        <f t="shared" si="1"/>
        <v>0</v>
      </c>
      <c r="F20" s="139">
        <v>0</v>
      </c>
      <c r="G20" s="139">
        <v>0</v>
      </c>
      <c r="H20" s="139">
        <v>0</v>
      </c>
      <c r="I20" s="139">
        <v>0</v>
      </c>
      <c r="J20" s="26"/>
      <c r="K20" s="26"/>
      <c r="L20" s="26"/>
      <c r="M20" s="26"/>
      <c r="N20" s="26"/>
      <c r="O20" s="26"/>
      <c r="P20" s="26"/>
      <c r="Q20" s="26"/>
      <c r="R20" s="26"/>
      <c r="S20" s="26"/>
      <c r="T20" s="26"/>
      <c r="U20" s="26"/>
    </row>
    <row r="21" spans="2:21" outlineLevel="2">
      <c r="B21" s="49" t="s">
        <v>103</v>
      </c>
      <c r="C21" s="130">
        <v>0</v>
      </c>
      <c r="D21" s="613"/>
      <c r="E21" s="139">
        <f t="shared" si="1"/>
        <v>0</v>
      </c>
      <c r="F21" s="139">
        <v>0</v>
      </c>
      <c r="G21" s="139">
        <v>0</v>
      </c>
      <c r="H21" s="139">
        <v>0</v>
      </c>
      <c r="I21" s="139">
        <v>0</v>
      </c>
      <c r="J21" s="26"/>
      <c r="K21" s="26"/>
      <c r="L21" s="26"/>
      <c r="M21" s="26"/>
      <c r="N21" s="26"/>
      <c r="O21" s="26"/>
      <c r="P21" s="26"/>
      <c r="Q21" s="26"/>
      <c r="R21" s="26"/>
      <c r="S21" s="26"/>
      <c r="T21" s="26"/>
      <c r="U21" s="26"/>
    </row>
    <row r="22" spans="2:21">
      <c r="B22" s="42" t="s">
        <v>47</v>
      </c>
      <c r="C22" s="129"/>
      <c r="D22" s="98"/>
      <c r="E22" s="140"/>
      <c r="F22" s="140"/>
      <c r="G22" s="140"/>
      <c r="H22" s="140"/>
      <c r="I22" s="140"/>
      <c r="J22" s="26"/>
      <c r="K22" s="26"/>
      <c r="L22" s="26"/>
      <c r="M22" s="26"/>
      <c r="N22" s="26"/>
      <c r="O22" s="26"/>
      <c r="P22" s="26"/>
      <c r="Q22" s="26"/>
      <c r="R22" s="26"/>
      <c r="S22" s="26"/>
      <c r="T22" s="26"/>
      <c r="U22" s="26"/>
    </row>
    <row r="23" spans="2:21" outlineLevel="2">
      <c r="B23" s="49" t="s">
        <v>538</v>
      </c>
      <c r="C23" s="130">
        <v>650000</v>
      </c>
      <c r="D23" s="98"/>
      <c r="E23" s="139">
        <f>SUM(C23)</f>
        <v>650000</v>
      </c>
      <c r="F23" s="139">
        <v>0</v>
      </c>
      <c r="G23" s="139">
        <v>0</v>
      </c>
      <c r="H23" s="139">
        <v>0</v>
      </c>
      <c r="I23" s="139">
        <v>0</v>
      </c>
      <c r="J23" s="26"/>
      <c r="K23" s="26"/>
      <c r="L23" s="26"/>
      <c r="M23" s="26"/>
      <c r="N23" s="26"/>
      <c r="O23" s="26"/>
      <c r="P23" s="26"/>
      <c r="Q23" s="26"/>
      <c r="R23" s="26"/>
      <c r="S23" s="26"/>
      <c r="T23" s="26"/>
      <c r="U23" s="26"/>
    </row>
    <row r="24" spans="2:21" outlineLevel="2">
      <c r="B24" s="49" t="s">
        <v>540</v>
      </c>
      <c r="C24" s="130">
        <v>9726.4639079247572</v>
      </c>
      <c r="D24" s="98"/>
      <c r="E24" s="139">
        <f t="shared" ref="E24:E28" si="2">SUM(C24)</f>
        <v>9726.4639079247572</v>
      </c>
      <c r="F24" s="139">
        <v>0</v>
      </c>
      <c r="G24" s="139">
        <v>0</v>
      </c>
      <c r="H24" s="139">
        <v>0</v>
      </c>
      <c r="I24" s="139">
        <v>0</v>
      </c>
      <c r="J24" s="26"/>
      <c r="K24" s="26"/>
      <c r="L24" s="26"/>
      <c r="M24" s="26"/>
      <c r="N24" s="26"/>
      <c r="O24" s="26"/>
      <c r="P24" s="26"/>
      <c r="Q24" s="26"/>
      <c r="R24" s="26"/>
      <c r="S24" s="26"/>
      <c r="T24" s="26"/>
      <c r="U24" s="26"/>
    </row>
    <row r="25" spans="2:21" outlineLevel="2">
      <c r="B25" s="49" t="s">
        <v>32</v>
      </c>
      <c r="C25" s="130">
        <v>10421.211329919384</v>
      </c>
      <c r="D25" s="98"/>
      <c r="E25" s="139">
        <f t="shared" si="2"/>
        <v>10421.211329919384</v>
      </c>
      <c r="F25" s="139">
        <v>0</v>
      </c>
      <c r="G25" s="139">
        <v>0</v>
      </c>
      <c r="H25" s="139">
        <v>0</v>
      </c>
      <c r="I25" s="139">
        <v>0</v>
      </c>
      <c r="J25" s="26"/>
      <c r="K25" s="26"/>
      <c r="L25" s="26"/>
      <c r="M25" s="26"/>
      <c r="N25" s="26"/>
      <c r="O25" s="26"/>
      <c r="P25" s="26"/>
      <c r="Q25" s="26"/>
      <c r="R25" s="26"/>
      <c r="S25" s="26"/>
      <c r="T25" s="26"/>
      <c r="U25" s="26"/>
    </row>
    <row r="26" spans="2:21" outlineLevel="2">
      <c r="B26" s="49" t="s">
        <v>539</v>
      </c>
      <c r="C26" s="130">
        <v>9726.4639079247572</v>
      </c>
      <c r="D26" s="98"/>
      <c r="E26" s="139">
        <f t="shared" si="2"/>
        <v>9726.4639079247572</v>
      </c>
      <c r="F26" s="139">
        <v>0</v>
      </c>
      <c r="G26" s="139">
        <v>0</v>
      </c>
      <c r="H26" s="139">
        <v>0</v>
      </c>
      <c r="I26" s="139">
        <v>0</v>
      </c>
      <c r="J26" s="26"/>
      <c r="K26" s="26"/>
      <c r="L26" s="26"/>
      <c r="M26" s="26"/>
      <c r="N26" s="26"/>
      <c r="O26" s="26"/>
      <c r="P26" s="26"/>
      <c r="Q26" s="26"/>
      <c r="R26" s="26"/>
      <c r="S26" s="26"/>
      <c r="T26" s="26"/>
      <c r="U26" s="26"/>
    </row>
    <row r="27" spans="2:21" outlineLevel="2">
      <c r="B27" s="49" t="s">
        <v>215</v>
      </c>
      <c r="C27" s="130">
        <v>52106.056649596918</v>
      </c>
      <c r="D27" s="98"/>
      <c r="E27" s="139">
        <f t="shared" si="2"/>
        <v>52106.056649596918</v>
      </c>
      <c r="F27" s="139">
        <v>0</v>
      </c>
      <c r="G27" s="139">
        <v>0</v>
      </c>
      <c r="H27" s="139">
        <v>0</v>
      </c>
      <c r="I27" s="139">
        <v>0</v>
      </c>
      <c r="J27" s="26"/>
      <c r="K27" s="26"/>
      <c r="L27" s="26"/>
      <c r="M27" s="26"/>
      <c r="N27" s="26"/>
      <c r="O27" s="26"/>
      <c r="P27" s="26"/>
      <c r="Q27" s="26"/>
      <c r="R27" s="26"/>
      <c r="S27" s="26"/>
      <c r="T27" s="26"/>
      <c r="U27" s="26"/>
    </row>
    <row r="28" spans="2:21" outlineLevel="2">
      <c r="B28" s="49" t="s">
        <v>215</v>
      </c>
      <c r="C28" s="130">
        <v>19452.927815849514</v>
      </c>
      <c r="D28" s="98"/>
      <c r="E28" s="139">
        <f t="shared" si="2"/>
        <v>19452.927815849514</v>
      </c>
      <c r="F28" s="139">
        <v>0</v>
      </c>
      <c r="G28" s="139">
        <v>0</v>
      </c>
      <c r="H28" s="139">
        <v>0</v>
      </c>
      <c r="I28" s="139">
        <v>0</v>
      </c>
      <c r="J28" s="26"/>
      <c r="K28" s="26"/>
      <c r="L28" s="26"/>
      <c r="M28" s="26"/>
      <c r="N28" s="26"/>
      <c r="O28" s="26"/>
      <c r="P28" s="26"/>
      <c r="Q28" s="26"/>
      <c r="R28" s="26"/>
      <c r="S28" s="26"/>
      <c r="T28" s="26"/>
      <c r="U28" s="26"/>
    </row>
    <row r="29" spans="2:21">
      <c r="B29" s="42" t="s">
        <v>46</v>
      </c>
      <c r="C29" s="129"/>
      <c r="D29" s="98"/>
      <c r="E29" s="140"/>
      <c r="F29" s="140"/>
      <c r="G29" s="140"/>
      <c r="H29" s="140"/>
      <c r="I29" s="140"/>
      <c r="J29" s="26"/>
      <c r="K29" s="26"/>
      <c r="L29" s="26"/>
      <c r="M29" s="26"/>
      <c r="N29" s="26"/>
      <c r="O29" s="26"/>
      <c r="P29" s="26"/>
      <c r="Q29" s="26"/>
      <c r="R29" s="26"/>
      <c r="S29" s="26"/>
      <c r="T29" s="26"/>
      <c r="U29" s="26"/>
    </row>
    <row r="30" spans="2:21" outlineLevel="2">
      <c r="B30" s="49" t="s">
        <v>512</v>
      </c>
      <c r="C30" s="130">
        <v>104212.11329919384</v>
      </c>
      <c r="D30" s="98"/>
      <c r="E30" s="139">
        <f>SUM(C30)</f>
        <v>104212.11329919384</v>
      </c>
      <c r="F30" s="139">
        <v>0</v>
      </c>
      <c r="G30" s="139">
        <v>0</v>
      </c>
      <c r="H30" s="139">
        <v>0</v>
      </c>
      <c r="I30" s="139">
        <v>0</v>
      </c>
      <c r="J30" s="26"/>
      <c r="K30" s="26"/>
      <c r="L30" s="26"/>
      <c r="M30" s="26"/>
      <c r="N30" s="26"/>
      <c r="O30" s="26"/>
      <c r="P30" s="26"/>
      <c r="Q30" s="26"/>
      <c r="R30" s="26"/>
      <c r="S30" s="26"/>
      <c r="T30" s="26"/>
      <c r="U30" s="26"/>
    </row>
    <row r="31" spans="2:21" outlineLevel="2">
      <c r="B31" s="49" t="s">
        <v>541</v>
      </c>
      <c r="C31" s="130">
        <v>19452.927815849514</v>
      </c>
      <c r="D31" s="98"/>
      <c r="E31" s="139">
        <f t="shared" ref="E31:E51" si="3">SUM(C31)</f>
        <v>19452.927815849514</v>
      </c>
      <c r="F31" s="139">
        <v>0</v>
      </c>
      <c r="G31" s="139">
        <v>0</v>
      </c>
      <c r="H31" s="139">
        <v>0</v>
      </c>
      <c r="I31" s="139">
        <v>0</v>
      </c>
      <c r="J31" s="26"/>
      <c r="K31" s="26"/>
      <c r="L31" s="26"/>
      <c r="M31" s="26"/>
      <c r="N31" s="26"/>
      <c r="O31" s="26"/>
      <c r="P31" s="26"/>
      <c r="Q31" s="26"/>
      <c r="R31" s="26"/>
      <c r="S31" s="26"/>
      <c r="T31" s="26"/>
      <c r="U31" s="26"/>
    </row>
    <row r="32" spans="2:21" outlineLevel="2">
      <c r="B32" s="49" t="s">
        <v>45</v>
      </c>
      <c r="C32" s="130">
        <v>130265.1416239923</v>
      </c>
      <c r="D32" s="98"/>
      <c r="E32" s="139">
        <f t="shared" si="3"/>
        <v>130265.1416239923</v>
      </c>
      <c r="F32" s="139">
        <v>0</v>
      </c>
      <c r="G32" s="139">
        <v>0</v>
      </c>
      <c r="H32" s="139">
        <v>0</v>
      </c>
      <c r="I32" s="139">
        <v>0</v>
      </c>
      <c r="J32" s="26"/>
      <c r="K32" s="26"/>
      <c r="L32" s="26"/>
      <c r="M32" s="26"/>
      <c r="N32" s="26"/>
      <c r="O32" s="26"/>
      <c r="P32" s="26"/>
      <c r="Q32" s="26"/>
      <c r="R32" s="26"/>
      <c r="S32" s="26"/>
      <c r="T32" s="26"/>
      <c r="U32" s="26"/>
    </row>
    <row r="33" spans="2:21" outlineLevel="2">
      <c r="B33" s="49" t="s">
        <v>542</v>
      </c>
      <c r="C33" s="130">
        <v>9726.4639079247572</v>
      </c>
      <c r="D33" s="98"/>
      <c r="E33" s="139">
        <f t="shared" si="3"/>
        <v>9726.4639079247572</v>
      </c>
      <c r="F33" s="139">
        <v>0</v>
      </c>
      <c r="G33" s="139">
        <v>0</v>
      </c>
      <c r="H33" s="139">
        <v>0</v>
      </c>
      <c r="I33" s="139">
        <v>0</v>
      </c>
      <c r="J33" s="26"/>
      <c r="K33" s="26"/>
      <c r="L33" s="26"/>
      <c r="M33" s="26"/>
      <c r="N33" s="26"/>
      <c r="O33" s="26"/>
      <c r="P33" s="26"/>
      <c r="Q33" s="26"/>
      <c r="R33" s="26"/>
      <c r="S33" s="26"/>
      <c r="T33" s="26"/>
      <c r="U33" s="26"/>
    </row>
    <row r="34" spans="2:21">
      <c r="B34" s="42" t="s">
        <v>44</v>
      </c>
      <c r="C34" s="129"/>
      <c r="D34" s="98"/>
      <c r="E34" s="139">
        <f t="shared" si="3"/>
        <v>0</v>
      </c>
      <c r="F34" s="140"/>
      <c r="G34" s="140"/>
      <c r="H34" s="140"/>
      <c r="I34" s="140"/>
      <c r="J34" s="26"/>
      <c r="K34" s="26"/>
      <c r="L34" s="26"/>
      <c r="M34" s="26"/>
      <c r="N34" s="26"/>
      <c r="O34" s="26"/>
      <c r="P34" s="26"/>
      <c r="Q34" s="26"/>
      <c r="R34" s="26"/>
      <c r="S34" s="26"/>
      <c r="T34" s="26"/>
      <c r="U34" s="26"/>
    </row>
    <row r="35" spans="2:21" outlineLevel="2">
      <c r="B35" s="49" t="s">
        <v>31</v>
      </c>
      <c r="C35" s="130">
        <v>58358.783447548543</v>
      </c>
      <c r="D35" s="98"/>
      <c r="E35" s="139">
        <f t="shared" si="3"/>
        <v>58358.783447548543</v>
      </c>
      <c r="F35" s="139">
        <v>0</v>
      </c>
      <c r="G35" s="139">
        <v>0</v>
      </c>
      <c r="H35" s="139">
        <v>0</v>
      </c>
      <c r="I35" s="139">
        <v>0</v>
      </c>
      <c r="J35" s="26"/>
      <c r="K35" s="26"/>
      <c r="L35" s="26"/>
      <c r="M35" s="26"/>
      <c r="N35" s="26"/>
      <c r="O35" s="26"/>
      <c r="P35" s="26"/>
      <c r="Q35" s="26"/>
      <c r="R35" s="26"/>
      <c r="S35" s="26"/>
      <c r="T35" s="26"/>
      <c r="U35" s="26"/>
    </row>
    <row r="36" spans="2:21" outlineLevel="2">
      <c r="B36" s="49" t="s">
        <v>543</v>
      </c>
      <c r="C36" s="130">
        <v>194529.27815849514</v>
      </c>
      <c r="D36" s="98"/>
      <c r="E36" s="139">
        <f t="shared" si="3"/>
        <v>194529.27815849514</v>
      </c>
      <c r="F36" s="139">
        <v>0</v>
      </c>
      <c r="G36" s="139">
        <v>0</v>
      </c>
      <c r="H36" s="139">
        <v>0</v>
      </c>
      <c r="I36" s="139">
        <v>0</v>
      </c>
      <c r="J36" s="26"/>
      <c r="K36" s="26"/>
      <c r="L36" s="26"/>
      <c r="M36" s="26"/>
      <c r="N36" s="26"/>
      <c r="O36" s="26"/>
      <c r="P36" s="26"/>
      <c r="Q36" s="26"/>
      <c r="R36" s="26"/>
      <c r="S36" s="26"/>
      <c r="T36" s="26"/>
      <c r="U36" s="26"/>
    </row>
    <row r="37" spans="2:21" outlineLevel="2">
      <c r="B37" s="49" t="s">
        <v>43</v>
      </c>
      <c r="C37" s="130">
        <v>38905.855631699029</v>
      </c>
      <c r="D37" s="98"/>
      <c r="E37" s="139">
        <f t="shared" si="3"/>
        <v>38905.855631699029</v>
      </c>
      <c r="F37" s="139">
        <v>0</v>
      </c>
      <c r="G37" s="139">
        <v>0</v>
      </c>
      <c r="H37" s="139">
        <v>0</v>
      </c>
      <c r="I37" s="139">
        <v>0</v>
      </c>
      <c r="J37" s="26"/>
      <c r="K37" s="26"/>
      <c r="L37" s="26"/>
      <c r="M37" s="26"/>
      <c r="N37" s="26"/>
      <c r="O37" s="26"/>
      <c r="P37" s="26"/>
      <c r="Q37" s="26"/>
      <c r="R37" s="26"/>
      <c r="S37" s="26"/>
      <c r="T37" s="26"/>
      <c r="U37" s="26"/>
    </row>
    <row r="38" spans="2:21" outlineLevel="2">
      <c r="B38" s="49" t="s">
        <v>544</v>
      </c>
      <c r="C38" s="130">
        <v>72948.479309435686</v>
      </c>
      <c r="D38" s="98"/>
      <c r="E38" s="139">
        <f t="shared" si="3"/>
        <v>72948.479309435686</v>
      </c>
      <c r="F38" s="139">
        <v>0</v>
      </c>
      <c r="G38" s="139">
        <v>0</v>
      </c>
      <c r="H38" s="139">
        <v>0</v>
      </c>
      <c r="I38" s="139">
        <v>0</v>
      </c>
      <c r="J38" s="26"/>
      <c r="K38" s="26"/>
      <c r="L38" s="26"/>
      <c r="M38" s="26"/>
      <c r="N38" s="26"/>
      <c r="O38" s="26"/>
      <c r="P38" s="26"/>
      <c r="Q38" s="26"/>
      <c r="R38" s="26"/>
      <c r="S38" s="26"/>
      <c r="T38" s="26"/>
      <c r="U38" s="26"/>
    </row>
    <row r="39" spans="2:21" outlineLevel="2">
      <c r="B39" s="49" t="s">
        <v>42</v>
      </c>
      <c r="C39" s="130">
        <v>36474.239654717843</v>
      </c>
      <c r="D39" s="98"/>
      <c r="E39" s="139">
        <f t="shared" si="3"/>
        <v>36474.239654717843</v>
      </c>
      <c r="F39" s="139">
        <v>0</v>
      </c>
      <c r="G39" s="139">
        <v>0</v>
      </c>
      <c r="H39" s="139">
        <v>0</v>
      </c>
      <c r="I39" s="139">
        <v>0</v>
      </c>
      <c r="J39" s="26"/>
      <c r="K39" s="26"/>
      <c r="L39" s="26"/>
      <c r="M39" s="26"/>
      <c r="N39" s="26"/>
      <c r="O39" s="26"/>
      <c r="P39" s="26"/>
      <c r="Q39" s="26"/>
      <c r="R39" s="26"/>
      <c r="S39" s="26"/>
      <c r="T39" s="26"/>
      <c r="U39" s="26"/>
    </row>
    <row r="40" spans="2:21" outlineLevel="2">
      <c r="B40" s="49" t="s">
        <v>30</v>
      </c>
      <c r="C40" s="130">
        <v>19452.927815849514</v>
      </c>
      <c r="D40" s="98"/>
      <c r="E40" s="139">
        <f t="shared" si="3"/>
        <v>19452.927815849514</v>
      </c>
      <c r="F40" s="139">
        <v>0</v>
      </c>
      <c r="G40" s="139">
        <v>0</v>
      </c>
      <c r="H40" s="139">
        <v>0</v>
      </c>
      <c r="I40" s="139">
        <v>0</v>
      </c>
      <c r="J40" s="26"/>
      <c r="K40" s="26"/>
      <c r="L40" s="26"/>
      <c r="M40" s="26"/>
      <c r="N40" s="26"/>
      <c r="O40" s="26"/>
      <c r="P40" s="26"/>
      <c r="Q40" s="26"/>
      <c r="R40" s="26"/>
      <c r="S40" s="26"/>
      <c r="T40" s="26"/>
      <c r="U40" s="26"/>
    </row>
    <row r="41" spans="2:21">
      <c r="B41" s="42" t="s">
        <v>56</v>
      </c>
      <c r="C41" s="129"/>
      <c r="D41" s="98"/>
      <c r="E41" s="139">
        <f t="shared" si="3"/>
        <v>0</v>
      </c>
      <c r="F41" s="140"/>
      <c r="G41" s="140"/>
      <c r="H41" s="140"/>
      <c r="I41" s="140"/>
      <c r="J41" s="26"/>
      <c r="K41" s="26"/>
      <c r="L41" s="26"/>
      <c r="M41" s="26"/>
      <c r="N41" s="26"/>
      <c r="O41" s="26"/>
      <c r="P41" s="26"/>
      <c r="Q41" s="26"/>
      <c r="R41" s="26"/>
      <c r="S41" s="26"/>
      <c r="T41" s="26"/>
      <c r="U41" s="26"/>
    </row>
    <row r="42" spans="2:21" outlineLevel="2">
      <c r="B42" s="49" t="s">
        <v>38</v>
      </c>
      <c r="C42" s="130">
        <v>116718</v>
      </c>
      <c r="D42" s="98"/>
      <c r="E42" s="139">
        <f t="shared" si="3"/>
        <v>116718</v>
      </c>
      <c r="F42" s="139">
        <v>0</v>
      </c>
      <c r="G42" s="139">
        <v>0</v>
      </c>
      <c r="H42" s="139">
        <v>0</v>
      </c>
      <c r="I42" s="139">
        <v>0</v>
      </c>
      <c r="J42" s="26"/>
      <c r="K42" s="26"/>
      <c r="L42" s="26"/>
      <c r="M42" s="26"/>
      <c r="N42" s="26"/>
      <c r="O42" s="26"/>
      <c r="P42" s="26"/>
      <c r="Q42" s="26"/>
      <c r="R42" s="26"/>
      <c r="S42" s="26"/>
      <c r="T42" s="26"/>
      <c r="U42" s="26"/>
    </row>
    <row r="43" spans="2:21" outlineLevel="2">
      <c r="B43" s="49" t="s">
        <v>507</v>
      </c>
      <c r="C43" s="130">
        <v>0</v>
      </c>
      <c r="D43" s="98"/>
      <c r="E43" s="139">
        <f t="shared" si="3"/>
        <v>0</v>
      </c>
      <c r="F43" s="139">
        <v>0</v>
      </c>
      <c r="G43" s="139">
        <v>0</v>
      </c>
      <c r="H43" s="139">
        <v>0</v>
      </c>
      <c r="I43" s="139">
        <v>0</v>
      </c>
      <c r="J43" s="26"/>
      <c r="K43" s="26"/>
      <c r="L43" s="26"/>
      <c r="M43" s="26"/>
      <c r="N43" s="26"/>
      <c r="O43" s="26"/>
      <c r="P43" s="26"/>
      <c r="Q43" s="26"/>
      <c r="R43" s="26"/>
      <c r="S43" s="26"/>
      <c r="T43" s="26"/>
      <c r="U43" s="26"/>
    </row>
    <row r="44" spans="2:21" outlineLevel="2">
      <c r="B44" s="49" t="s">
        <v>216</v>
      </c>
      <c r="C44" s="130">
        <v>0</v>
      </c>
      <c r="D44" s="98"/>
      <c r="E44" s="139">
        <f t="shared" si="3"/>
        <v>0</v>
      </c>
      <c r="F44" s="139">
        <v>0</v>
      </c>
      <c r="G44" s="139">
        <v>0</v>
      </c>
      <c r="H44" s="139">
        <v>0</v>
      </c>
      <c r="I44" s="139">
        <v>0</v>
      </c>
      <c r="J44" s="26"/>
      <c r="K44" s="26"/>
      <c r="L44" s="26"/>
      <c r="M44" s="26"/>
      <c r="N44" s="26"/>
      <c r="O44" s="26"/>
      <c r="P44" s="26"/>
      <c r="Q44" s="26"/>
      <c r="R44" s="26"/>
      <c r="S44" s="26"/>
      <c r="T44" s="26"/>
      <c r="U44" s="26"/>
    </row>
    <row r="45" spans="2:21">
      <c r="B45" s="42" t="s">
        <v>87</v>
      </c>
      <c r="C45" s="125"/>
      <c r="D45" s="98"/>
      <c r="E45" s="139">
        <f t="shared" si="3"/>
        <v>0</v>
      </c>
      <c r="F45" s="145"/>
      <c r="G45" s="145"/>
      <c r="H45" s="145"/>
      <c r="I45" s="145"/>
      <c r="J45" s="26"/>
      <c r="K45" s="26"/>
      <c r="L45" s="26"/>
      <c r="M45" s="26"/>
      <c r="N45" s="26"/>
      <c r="O45" s="26"/>
      <c r="P45" s="26"/>
      <c r="Q45" s="26"/>
      <c r="R45" s="26"/>
      <c r="S45" s="26"/>
      <c r="T45" s="26"/>
      <c r="U45" s="26"/>
    </row>
    <row r="46" spans="2:21" outlineLevel="2">
      <c r="B46" s="33" t="s">
        <v>87</v>
      </c>
      <c r="C46" s="130">
        <v>54711.359482076761</v>
      </c>
      <c r="D46" s="98"/>
      <c r="E46" s="139">
        <f t="shared" si="3"/>
        <v>54711.359482076761</v>
      </c>
      <c r="F46" s="139">
        <v>0</v>
      </c>
      <c r="G46" s="139">
        <v>0</v>
      </c>
      <c r="H46" s="139">
        <v>0</v>
      </c>
      <c r="I46" s="139">
        <v>0</v>
      </c>
      <c r="J46" s="26"/>
      <c r="K46" s="26"/>
      <c r="L46" s="26"/>
      <c r="M46" s="26"/>
      <c r="N46" s="26"/>
      <c r="O46" s="26"/>
      <c r="P46" s="26"/>
      <c r="Q46" s="26"/>
      <c r="R46" s="26"/>
      <c r="S46" s="26"/>
      <c r="T46" s="26"/>
      <c r="U46" s="26"/>
    </row>
    <row r="47" spans="2:21">
      <c r="B47" s="42" t="s">
        <v>184</v>
      </c>
      <c r="C47" s="129"/>
      <c r="D47" s="98"/>
      <c r="E47" s="139">
        <f t="shared" si="3"/>
        <v>0</v>
      </c>
      <c r="F47" s="140"/>
      <c r="G47" s="140"/>
      <c r="H47" s="140"/>
      <c r="I47" s="140"/>
      <c r="J47" s="26"/>
      <c r="K47" s="26"/>
      <c r="L47" s="26"/>
      <c r="M47" s="26"/>
      <c r="N47" s="26"/>
      <c r="O47" s="26"/>
      <c r="P47" s="26"/>
      <c r="Q47" s="26"/>
      <c r="R47" s="26"/>
      <c r="S47" s="26"/>
      <c r="T47" s="26"/>
      <c r="U47" s="26"/>
    </row>
    <row r="48" spans="2:21" outlineLevel="2">
      <c r="B48" s="33" t="s">
        <v>537</v>
      </c>
      <c r="C48" s="130">
        <f>SUM(D52)*1.5/100</f>
        <v>52290.413810568323</v>
      </c>
      <c r="D48" s="98"/>
      <c r="E48" s="139">
        <f t="shared" si="3"/>
        <v>52290.413810568323</v>
      </c>
      <c r="F48" s="139">
        <v>0</v>
      </c>
      <c r="G48" s="139">
        <v>0</v>
      </c>
      <c r="H48" s="139">
        <v>0</v>
      </c>
      <c r="I48" s="139">
        <v>0</v>
      </c>
      <c r="J48" s="26"/>
      <c r="K48" s="26"/>
      <c r="L48" s="26"/>
      <c r="M48" s="26"/>
      <c r="N48" s="26"/>
      <c r="O48" s="26"/>
      <c r="P48" s="26"/>
      <c r="Q48" s="26"/>
      <c r="R48" s="26"/>
      <c r="S48" s="26"/>
      <c r="T48" s="26"/>
      <c r="U48" s="26"/>
    </row>
    <row r="49" spans="2:21" outlineLevel="2">
      <c r="B49" s="33" t="s">
        <v>82</v>
      </c>
      <c r="C49" s="130">
        <f>SUM(D52)*2.5/100</f>
        <v>87150.689684280544</v>
      </c>
      <c r="D49" s="98"/>
      <c r="E49" s="139">
        <f t="shared" si="3"/>
        <v>87150.689684280544</v>
      </c>
      <c r="F49" s="139">
        <v>0</v>
      </c>
      <c r="G49" s="139">
        <v>0</v>
      </c>
      <c r="H49" s="139">
        <v>0</v>
      </c>
      <c r="I49" s="139">
        <v>0</v>
      </c>
      <c r="J49" s="26"/>
      <c r="K49" s="26"/>
      <c r="L49" s="26"/>
      <c r="M49" s="26"/>
      <c r="N49" s="26"/>
      <c r="O49" s="26"/>
      <c r="P49" s="26"/>
      <c r="Q49" s="26"/>
      <c r="R49" s="26"/>
      <c r="S49" s="26"/>
      <c r="T49" s="26"/>
      <c r="U49" s="26"/>
    </row>
    <row r="50" spans="2:21" outlineLevel="2">
      <c r="B50" s="33" t="s">
        <v>548</v>
      </c>
      <c r="C50" s="130">
        <f>SUM(D52)*6/100</f>
        <v>209161.65524227329</v>
      </c>
      <c r="D50" s="98"/>
      <c r="E50" s="139">
        <f t="shared" si="3"/>
        <v>209161.65524227329</v>
      </c>
      <c r="F50" s="139">
        <v>0</v>
      </c>
      <c r="G50" s="139">
        <v>0</v>
      </c>
      <c r="H50" s="139">
        <v>0</v>
      </c>
      <c r="I50" s="139">
        <v>0</v>
      </c>
      <c r="J50" s="26"/>
      <c r="K50" s="26"/>
      <c r="L50" s="26"/>
      <c r="M50" s="26"/>
      <c r="N50" s="26"/>
      <c r="O50" s="26"/>
      <c r="P50" s="26"/>
      <c r="Q50" s="26"/>
      <c r="R50" s="26"/>
      <c r="S50" s="26"/>
      <c r="T50" s="26"/>
      <c r="U50" s="26"/>
    </row>
    <row r="51" spans="2:21" outlineLevel="2">
      <c r="B51" s="33" t="s">
        <v>65</v>
      </c>
      <c r="C51" s="130">
        <f>SUM(D52)*5/100</f>
        <v>174301.37936856109</v>
      </c>
      <c r="D51" s="98"/>
      <c r="E51" s="139">
        <f t="shared" si="3"/>
        <v>174301.37936856109</v>
      </c>
      <c r="F51" s="139">
        <v>0</v>
      </c>
      <c r="G51" s="139">
        <v>0</v>
      </c>
      <c r="H51" s="139">
        <v>0</v>
      </c>
      <c r="I51" s="139">
        <v>0</v>
      </c>
      <c r="J51" s="26"/>
      <c r="K51" s="26"/>
      <c r="L51" s="26"/>
      <c r="M51" s="26"/>
      <c r="N51" s="26"/>
      <c r="O51" s="26"/>
      <c r="P51" s="26"/>
      <c r="Q51" s="26"/>
      <c r="R51" s="26"/>
      <c r="S51" s="26"/>
      <c r="T51" s="26"/>
      <c r="U51" s="26"/>
    </row>
    <row r="52" spans="2:21" ht="20" thickBot="1">
      <c r="B52" s="31" t="str">
        <f>"Subtotal "&amp;B5</f>
        <v>Subtotal General Infrastructure and HQ</v>
      </c>
      <c r="C52" s="131">
        <f>SUM(C8:C51)</f>
        <v>4008931.7254769048</v>
      </c>
      <c r="D52" s="614">
        <f>SUM(C8:C47)</f>
        <v>3486027.5873712217</v>
      </c>
      <c r="E52" s="141">
        <f>SUM(E8:E51)</f>
        <v>4008931.7254769048</v>
      </c>
      <c r="F52" s="141">
        <v>0</v>
      </c>
      <c r="G52" s="141">
        <v>0</v>
      </c>
      <c r="H52" s="141">
        <v>0</v>
      </c>
      <c r="I52" s="141">
        <v>0</v>
      </c>
      <c r="J52" s="26"/>
      <c r="K52" s="26"/>
      <c r="L52" s="26"/>
      <c r="M52" s="26"/>
      <c r="N52" s="26"/>
      <c r="O52" s="26"/>
      <c r="P52" s="26"/>
      <c r="Q52" s="26"/>
      <c r="R52" s="26"/>
      <c r="S52" s="26"/>
      <c r="T52" s="26"/>
      <c r="U52" s="26"/>
    </row>
    <row r="53" spans="2:21">
      <c r="B53" s="32"/>
      <c r="C53" s="120"/>
      <c r="D53" s="100"/>
      <c r="E53" s="142"/>
      <c r="F53" s="142"/>
      <c r="G53" s="142"/>
      <c r="H53" s="142"/>
      <c r="I53" s="142"/>
      <c r="J53" s="26"/>
      <c r="K53" s="26"/>
      <c r="L53" s="26"/>
      <c r="M53" s="26"/>
      <c r="N53" s="26"/>
      <c r="O53" s="26"/>
      <c r="P53" s="26"/>
      <c r="Q53" s="26"/>
      <c r="R53" s="26"/>
      <c r="S53" s="26"/>
      <c r="T53" s="26"/>
      <c r="U53" s="26"/>
    </row>
    <row r="54" spans="2:21" ht="20" thickBot="1">
      <c r="B54" s="30" t="s">
        <v>545</v>
      </c>
      <c r="C54" s="128"/>
      <c r="D54" s="101"/>
      <c r="E54" s="143"/>
      <c r="F54" s="143"/>
      <c r="G54" s="143"/>
      <c r="H54" s="143"/>
      <c r="I54" s="143"/>
      <c r="J54" s="26"/>
      <c r="K54" s="26"/>
      <c r="L54" s="26"/>
      <c r="M54" s="26"/>
      <c r="N54" s="26"/>
      <c r="O54" s="26"/>
      <c r="P54" s="26"/>
      <c r="Q54" s="26"/>
      <c r="R54" s="26"/>
      <c r="S54" s="26"/>
      <c r="T54" s="26"/>
      <c r="U54" s="26"/>
    </row>
    <row r="55" spans="2:21">
      <c r="B55" s="42" t="s">
        <v>39</v>
      </c>
      <c r="C55" s="129"/>
      <c r="D55" s="98"/>
      <c r="E55" s="140"/>
      <c r="F55" s="140"/>
      <c r="G55" s="140"/>
      <c r="H55" s="140"/>
      <c r="I55" s="140"/>
      <c r="J55" s="26"/>
      <c r="K55" s="26"/>
      <c r="L55" s="26"/>
      <c r="M55" s="26"/>
      <c r="N55" s="26"/>
      <c r="O55" s="26"/>
      <c r="P55" s="26"/>
      <c r="Q55" s="26"/>
      <c r="R55" s="26"/>
      <c r="S55" s="26"/>
      <c r="T55" s="26"/>
      <c r="U55" s="26"/>
    </row>
    <row r="56" spans="2:21" outlineLevel="2">
      <c r="B56" s="33" t="s">
        <v>99</v>
      </c>
      <c r="C56" s="130">
        <v>392609.24832807115</v>
      </c>
      <c r="D56" s="617"/>
      <c r="E56" s="139">
        <f>SUM(C56/3)*2</f>
        <v>261739.49888538077</v>
      </c>
      <c r="F56" s="139">
        <f>SUM(C56/3)</f>
        <v>130869.74944269039</v>
      </c>
      <c r="G56" s="139">
        <v>0</v>
      </c>
      <c r="H56" s="139">
        <v>0</v>
      </c>
      <c r="I56" s="139">
        <v>0</v>
      </c>
      <c r="J56" s="26"/>
      <c r="K56" s="26"/>
      <c r="L56" s="26"/>
      <c r="M56" s="26"/>
      <c r="N56" s="26"/>
      <c r="O56" s="26"/>
      <c r="P56" s="26"/>
      <c r="Q56" s="26"/>
      <c r="R56" s="26"/>
      <c r="S56" s="26"/>
      <c r="T56" s="26"/>
      <c r="U56" s="26"/>
    </row>
    <row r="57" spans="2:21" outlineLevel="2">
      <c r="B57" s="33" t="s">
        <v>100</v>
      </c>
      <c r="C57" s="130">
        <v>184529.278158495</v>
      </c>
      <c r="D57" s="98"/>
      <c r="E57" s="139">
        <f t="shared" ref="E57:E60" si="4">SUM(C57/3)*2</f>
        <v>123019.51877233</v>
      </c>
      <c r="F57" s="139">
        <f t="shared" ref="F57:F60" si="5">SUM(C57/3)</f>
        <v>61509.759386165002</v>
      </c>
      <c r="G57" s="139">
        <v>0</v>
      </c>
      <c r="H57" s="139">
        <v>0</v>
      </c>
      <c r="I57" s="139">
        <v>0</v>
      </c>
      <c r="J57" s="26"/>
      <c r="K57" s="26"/>
      <c r="L57" s="26"/>
      <c r="M57" s="26"/>
      <c r="N57" s="26"/>
      <c r="O57" s="26"/>
      <c r="P57" s="26"/>
      <c r="Q57" s="26"/>
      <c r="R57" s="26"/>
      <c r="S57" s="26"/>
      <c r="T57" s="26"/>
      <c r="U57" s="26"/>
    </row>
    <row r="58" spans="2:21" outlineLevel="2">
      <c r="B58" s="33" t="s">
        <v>229</v>
      </c>
      <c r="C58" s="130">
        <v>117000</v>
      </c>
      <c r="D58" s="98"/>
      <c r="E58" s="139">
        <f t="shared" si="4"/>
        <v>78000</v>
      </c>
      <c r="F58" s="139">
        <f t="shared" si="5"/>
        <v>39000</v>
      </c>
      <c r="G58" s="139">
        <v>0</v>
      </c>
      <c r="H58" s="139">
        <v>0</v>
      </c>
      <c r="I58" s="139">
        <v>0</v>
      </c>
      <c r="J58" s="26"/>
      <c r="K58" s="26"/>
      <c r="L58" s="26"/>
      <c r="M58" s="26"/>
      <c r="N58" s="26"/>
      <c r="O58" s="26"/>
      <c r="P58" s="26"/>
      <c r="Q58" s="26"/>
      <c r="R58" s="26"/>
      <c r="S58" s="26"/>
      <c r="T58" s="26"/>
      <c r="U58" s="26"/>
    </row>
    <row r="59" spans="2:21" outlineLevel="2">
      <c r="B59" s="33" t="s">
        <v>101</v>
      </c>
      <c r="C59" s="130">
        <v>230000</v>
      </c>
      <c r="D59" s="98"/>
      <c r="E59" s="139">
        <f t="shared" si="4"/>
        <v>153333.33333333334</v>
      </c>
      <c r="F59" s="139">
        <f t="shared" si="5"/>
        <v>76666.666666666672</v>
      </c>
      <c r="G59" s="139">
        <v>0</v>
      </c>
      <c r="H59" s="139">
        <v>0</v>
      </c>
      <c r="I59" s="139">
        <v>0</v>
      </c>
      <c r="J59" s="26"/>
      <c r="K59" s="26"/>
      <c r="L59" s="26"/>
      <c r="M59" s="26"/>
      <c r="N59" s="26"/>
      <c r="O59" s="26"/>
      <c r="P59" s="26"/>
      <c r="Q59" s="26"/>
      <c r="R59" s="26"/>
      <c r="S59" s="26"/>
      <c r="T59" s="26"/>
      <c r="U59" s="26"/>
    </row>
    <row r="60" spans="2:21" outlineLevel="2">
      <c r="B60" s="33" t="s">
        <v>547</v>
      </c>
      <c r="C60" s="130">
        <v>1374132.369148249</v>
      </c>
      <c r="D60" s="98"/>
      <c r="E60" s="139">
        <f t="shared" si="4"/>
        <v>916088.24609883269</v>
      </c>
      <c r="F60" s="139">
        <f t="shared" si="5"/>
        <v>458044.12304941635</v>
      </c>
      <c r="G60" s="139">
        <v>0</v>
      </c>
      <c r="H60" s="139">
        <v>0</v>
      </c>
      <c r="I60" s="139">
        <v>0</v>
      </c>
      <c r="J60" s="26"/>
      <c r="K60" s="26"/>
      <c r="L60" s="26"/>
      <c r="M60" s="26"/>
      <c r="N60" s="26"/>
      <c r="O60" s="26"/>
      <c r="P60" s="26"/>
      <c r="Q60" s="26"/>
      <c r="R60" s="26"/>
      <c r="S60" s="26"/>
      <c r="T60" s="26"/>
      <c r="U60" s="26"/>
    </row>
    <row r="61" spans="2:21">
      <c r="B61" s="42" t="s">
        <v>54</v>
      </c>
      <c r="C61" s="132"/>
      <c r="D61" s="98"/>
      <c r="E61" s="144"/>
      <c r="F61" s="144"/>
      <c r="G61" s="144"/>
      <c r="H61" s="144"/>
      <c r="I61" s="144"/>
      <c r="J61" s="26"/>
      <c r="K61" s="26"/>
      <c r="L61" s="26"/>
      <c r="M61" s="26"/>
      <c r="N61" s="26"/>
      <c r="O61" s="26"/>
      <c r="P61" s="26"/>
      <c r="Q61" s="26"/>
      <c r="R61" s="26"/>
      <c r="S61" s="26"/>
      <c r="T61" s="26"/>
      <c r="U61" s="26"/>
    </row>
    <row r="62" spans="2:21" outlineLevel="2">
      <c r="B62" s="33" t="s">
        <v>96</v>
      </c>
      <c r="C62" s="130">
        <v>0</v>
      </c>
      <c r="D62" s="98"/>
      <c r="E62" s="139">
        <f>SUM(C62/3)*2</f>
        <v>0</v>
      </c>
      <c r="F62" s="139">
        <f>SUM(C62/3)</f>
        <v>0</v>
      </c>
      <c r="G62" s="139">
        <v>0</v>
      </c>
      <c r="H62" s="139">
        <v>0</v>
      </c>
      <c r="I62" s="139">
        <v>0</v>
      </c>
      <c r="J62" s="26"/>
      <c r="K62" s="26"/>
      <c r="L62" s="26"/>
      <c r="M62" s="26"/>
      <c r="N62" s="26"/>
      <c r="O62" s="26"/>
      <c r="P62" s="26"/>
      <c r="Q62" s="26"/>
      <c r="R62" s="26"/>
      <c r="S62" s="26"/>
      <c r="T62" s="26"/>
      <c r="U62" s="26"/>
    </row>
    <row r="63" spans="2:21" outlineLevel="2">
      <c r="B63" s="615" t="s">
        <v>53</v>
      </c>
      <c r="C63" s="130">
        <v>0</v>
      </c>
      <c r="D63" s="98"/>
      <c r="E63" s="139">
        <f t="shared" ref="E63:E67" si="6">SUM(C63/3)*2</f>
        <v>0</v>
      </c>
      <c r="F63" s="139">
        <f t="shared" ref="F63:F67" si="7">SUM(C63/3)</f>
        <v>0</v>
      </c>
      <c r="G63" s="139">
        <v>0</v>
      </c>
      <c r="H63" s="139">
        <v>0</v>
      </c>
      <c r="I63" s="139">
        <v>0</v>
      </c>
      <c r="J63" s="26"/>
      <c r="K63" s="26"/>
      <c r="L63" s="26"/>
      <c r="M63" s="26"/>
      <c r="N63" s="26"/>
      <c r="O63" s="26"/>
      <c r="P63" s="26"/>
      <c r="Q63" s="26"/>
      <c r="R63" s="26"/>
      <c r="S63" s="26"/>
      <c r="T63" s="26"/>
      <c r="U63" s="26"/>
    </row>
    <row r="64" spans="2:21" outlineLevel="2">
      <c r="B64" s="616" t="s">
        <v>89</v>
      </c>
      <c r="C64" s="130">
        <v>175000</v>
      </c>
      <c r="D64" s="98"/>
      <c r="E64" s="139">
        <f t="shared" si="6"/>
        <v>116666.66666666667</v>
      </c>
      <c r="F64" s="139">
        <f t="shared" si="7"/>
        <v>58333.333333333336</v>
      </c>
      <c r="G64" s="139">
        <v>0</v>
      </c>
      <c r="H64" s="139">
        <v>0</v>
      </c>
      <c r="I64" s="139">
        <v>0</v>
      </c>
      <c r="J64" s="26"/>
      <c r="K64" s="26"/>
      <c r="L64" s="26"/>
      <c r="M64" s="26"/>
      <c r="N64" s="26"/>
      <c r="O64" s="26"/>
      <c r="P64" s="26"/>
      <c r="Q64" s="26"/>
      <c r="R64" s="26"/>
      <c r="S64" s="26"/>
      <c r="T64" s="26"/>
      <c r="U64" s="26"/>
    </row>
    <row r="65" spans="2:21" outlineLevel="2">
      <c r="B65" s="615" t="s">
        <v>104</v>
      </c>
      <c r="C65" s="130">
        <v>158000</v>
      </c>
      <c r="D65" s="98"/>
      <c r="E65" s="139">
        <f t="shared" si="6"/>
        <v>105333.33333333333</v>
      </c>
      <c r="F65" s="139">
        <f t="shared" si="7"/>
        <v>52666.666666666664</v>
      </c>
      <c r="G65" s="139">
        <v>0</v>
      </c>
      <c r="H65" s="139">
        <v>0</v>
      </c>
      <c r="I65" s="139">
        <v>0</v>
      </c>
      <c r="J65" s="26"/>
      <c r="K65" s="26"/>
      <c r="L65" s="26"/>
      <c r="M65" s="26"/>
      <c r="N65" s="26"/>
      <c r="O65" s="26"/>
      <c r="P65" s="26"/>
      <c r="Q65" s="26"/>
      <c r="R65" s="26"/>
      <c r="S65" s="26"/>
      <c r="T65" s="26"/>
      <c r="U65" s="26"/>
    </row>
    <row r="66" spans="2:21" outlineLevel="2">
      <c r="B66" s="33" t="s">
        <v>41</v>
      </c>
      <c r="C66" s="130">
        <v>97286.634031825684</v>
      </c>
      <c r="D66" s="98"/>
      <c r="E66" s="139">
        <f t="shared" si="6"/>
        <v>64857.756021217123</v>
      </c>
      <c r="F66" s="139">
        <f t="shared" si="7"/>
        <v>32428.878010608561</v>
      </c>
      <c r="G66" s="139">
        <v>0</v>
      </c>
      <c r="H66" s="139">
        <v>0</v>
      </c>
      <c r="I66" s="139">
        <v>0</v>
      </c>
      <c r="J66" s="26"/>
      <c r="K66" s="26"/>
      <c r="L66" s="26"/>
      <c r="M66" s="26"/>
      <c r="N66" s="26"/>
      <c r="O66" s="26"/>
      <c r="P66" s="26"/>
      <c r="Q66" s="26"/>
      <c r="R66" s="26"/>
      <c r="S66" s="26"/>
      <c r="T66" s="26"/>
      <c r="U66" s="26"/>
    </row>
    <row r="67" spans="2:21" outlineLevel="2">
      <c r="B67" s="33" t="s">
        <v>27</v>
      </c>
      <c r="C67" s="130">
        <v>38900</v>
      </c>
      <c r="D67" s="98"/>
      <c r="E67" s="139">
        <f t="shared" si="6"/>
        <v>25933.333333333332</v>
      </c>
      <c r="F67" s="139">
        <f t="shared" si="7"/>
        <v>12966.666666666666</v>
      </c>
      <c r="G67" s="139">
        <v>0</v>
      </c>
      <c r="H67" s="139">
        <v>0</v>
      </c>
      <c r="I67" s="139">
        <v>0</v>
      </c>
      <c r="J67" s="26"/>
      <c r="K67" s="26"/>
      <c r="L67" s="26"/>
      <c r="M67" s="26"/>
      <c r="N67" s="26"/>
      <c r="O67" s="26"/>
      <c r="P67" s="26"/>
      <c r="Q67" s="26"/>
      <c r="R67" s="26"/>
      <c r="S67" s="26"/>
      <c r="T67" s="26"/>
      <c r="U67" s="26"/>
    </row>
    <row r="68" spans="2:21">
      <c r="B68" s="42" t="s">
        <v>105</v>
      </c>
      <c r="C68" s="125"/>
      <c r="D68" s="98"/>
      <c r="E68" s="145"/>
      <c r="F68" s="145"/>
      <c r="G68" s="145"/>
      <c r="H68" s="145"/>
      <c r="I68" s="145"/>
      <c r="J68" s="26"/>
      <c r="K68" s="26"/>
      <c r="L68" s="26"/>
      <c r="M68" s="26"/>
      <c r="N68" s="26"/>
      <c r="O68" s="26"/>
      <c r="P68" s="26"/>
      <c r="Q68" s="26"/>
      <c r="R68" s="26"/>
      <c r="S68" s="26"/>
      <c r="T68" s="26"/>
      <c r="U68" s="26"/>
    </row>
    <row r="69" spans="2:21" outlineLevel="2">
      <c r="B69" s="33" t="s">
        <v>546</v>
      </c>
      <c r="C69" s="130">
        <v>111854.33494113472</v>
      </c>
      <c r="D69" s="98"/>
      <c r="E69" s="139">
        <f>SUM(C69/3)*2</f>
        <v>74569.556627423139</v>
      </c>
      <c r="F69" s="139">
        <f>SUM(C69/3)</f>
        <v>37284.778313711569</v>
      </c>
      <c r="G69" s="139">
        <v>0</v>
      </c>
      <c r="H69" s="139">
        <v>0</v>
      </c>
      <c r="I69" s="139">
        <v>0</v>
      </c>
      <c r="J69" s="26"/>
      <c r="K69" s="26"/>
      <c r="L69" s="26"/>
      <c r="M69" s="26"/>
      <c r="N69" s="26"/>
      <c r="O69" s="26"/>
      <c r="P69" s="26"/>
      <c r="Q69" s="26"/>
      <c r="R69" s="26"/>
      <c r="S69" s="26"/>
      <c r="T69" s="26"/>
      <c r="U69" s="26"/>
    </row>
    <row r="70" spans="2:21">
      <c r="B70" s="33" t="s">
        <v>37</v>
      </c>
      <c r="C70" s="130">
        <v>550517.85718854133</v>
      </c>
      <c r="D70" s="98"/>
      <c r="E70" s="139">
        <f t="shared" ref="E70:E71" si="8">SUM(C70/3)*2</f>
        <v>367011.9047923609</v>
      </c>
      <c r="F70" s="139">
        <f t="shared" ref="F70:F71" si="9">SUM(C70/3)</f>
        <v>183505.95239618045</v>
      </c>
      <c r="G70" s="139">
        <v>0</v>
      </c>
      <c r="H70" s="139">
        <v>0</v>
      </c>
      <c r="I70" s="139">
        <v>0</v>
      </c>
      <c r="J70" s="26"/>
      <c r="K70" s="26"/>
      <c r="L70" s="26"/>
      <c r="M70" s="26"/>
      <c r="N70" s="26"/>
      <c r="O70" s="26"/>
      <c r="P70" s="26"/>
      <c r="Q70" s="26"/>
      <c r="R70" s="26"/>
      <c r="S70" s="26"/>
      <c r="T70" s="26"/>
      <c r="U70" s="26"/>
    </row>
    <row r="71" spans="2:21" outlineLevel="2">
      <c r="B71" s="33" t="s">
        <v>36</v>
      </c>
      <c r="C71" s="130">
        <v>376414.15323668817</v>
      </c>
      <c r="D71" s="98"/>
      <c r="E71" s="139">
        <f t="shared" si="8"/>
        <v>250942.76882445879</v>
      </c>
      <c r="F71" s="139">
        <f t="shared" si="9"/>
        <v>125471.3844122294</v>
      </c>
      <c r="G71" s="139">
        <v>0</v>
      </c>
      <c r="H71" s="139">
        <v>0</v>
      </c>
      <c r="I71" s="139">
        <v>0</v>
      </c>
      <c r="J71" s="26"/>
      <c r="K71" s="26"/>
      <c r="L71" s="26"/>
      <c r="M71" s="26"/>
      <c r="N71" s="26"/>
      <c r="O71" s="26"/>
      <c r="P71" s="26"/>
      <c r="Q71" s="26"/>
      <c r="R71" s="26"/>
      <c r="S71" s="26"/>
      <c r="T71" s="26"/>
      <c r="U71" s="26"/>
    </row>
    <row r="72" spans="2:21">
      <c r="B72" s="42" t="s">
        <v>87</v>
      </c>
      <c r="C72" s="125"/>
      <c r="D72" s="98"/>
      <c r="E72" s="145"/>
      <c r="F72" s="145"/>
      <c r="G72" s="145"/>
      <c r="H72" s="145"/>
      <c r="I72" s="145"/>
      <c r="J72" s="26"/>
      <c r="K72" s="26"/>
      <c r="L72" s="26"/>
      <c r="M72" s="26"/>
      <c r="N72" s="26"/>
      <c r="O72" s="26"/>
      <c r="P72" s="26"/>
      <c r="Q72" s="26"/>
      <c r="R72" s="26"/>
      <c r="S72" s="26"/>
      <c r="T72" s="26"/>
      <c r="U72" s="26"/>
    </row>
    <row r="73" spans="2:21" outlineLevel="2">
      <c r="B73" s="33" t="s">
        <v>87</v>
      </c>
      <c r="C73" s="130">
        <v>109422.71896415352</v>
      </c>
      <c r="D73" s="98"/>
      <c r="E73" s="139">
        <f>SUM(C73/3)*2</f>
        <v>72948.479309435686</v>
      </c>
      <c r="F73" s="139">
        <f>SUM(C73/3)</f>
        <v>36474.239654717843</v>
      </c>
      <c r="G73" s="139">
        <v>0</v>
      </c>
      <c r="H73" s="139">
        <v>0</v>
      </c>
      <c r="I73" s="139">
        <v>0</v>
      </c>
      <c r="J73" s="26"/>
      <c r="K73" s="26"/>
      <c r="L73" s="26"/>
      <c r="M73" s="26"/>
      <c r="N73" s="26"/>
      <c r="O73" s="26"/>
      <c r="P73" s="26"/>
      <c r="Q73" s="26"/>
      <c r="R73" s="26"/>
      <c r="S73" s="26"/>
      <c r="T73" s="26"/>
      <c r="U73" s="26"/>
    </row>
    <row r="74" spans="2:21">
      <c r="B74" s="42" t="s">
        <v>184</v>
      </c>
      <c r="C74" s="125"/>
      <c r="D74" s="98"/>
      <c r="E74" s="145"/>
      <c r="F74" s="145"/>
      <c r="G74" s="145"/>
      <c r="H74" s="145"/>
      <c r="I74" s="145"/>
      <c r="J74" s="26"/>
      <c r="K74" s="26"/>
      <c r="L74" s="26"/>
      <c r="M74" s="26"/>
      <c r="N74" s="26"/>
      <c r="O74" s="26"/>
      <c r="P74" s="26"/>
      <c r="Q74" s="26"/>
      <c r="R74" s="26"/>
      <c r="S74" s="26"/>
      <c r="T74" s="26"/>
      <c r="U74" s="26"/>
    </row>
    <row r="75" spans="2:21" outlineLevel="2">
      <c r="B75" s="33" t="s">
        <v>537</v>
      </c>
      <c r="C75" s="130">
        <f>SUM(D79)*1.5/100</f>
        <v>58734.99890995738</v>
      </c>
      <c r="D75" s="98"/>
      <c r="E75" s="139">
        <f>SUM(C75/3)*2</f>
        <v>39156.665939971586</v>
      </c>
      <c r="F75" s="139">
        <f>SUM(C75/3)</f>
        <v>19578.332969985793</v>
      </c>
      <c r="G75" s="139">
        <v>0</v>
      </c>
      <c r="H75" s="139">
        <v>0</v>
      </c>
      <c r="I75" s="139">
        <v>0</v>
      </c>
      <c r="J75" s="26"/>
      <c r="K75" s="26"/>
      <c r="L75" s="26"/>
      <c r="M75" s="26"/>
      <c r="N75" s="26"/>
      <c r="O75" s="26"/>
      <c r="P75" s="26"/>
      <c r="Q75" s="26"/>
      <c r="R75" s="26"/>
      <c r="S75" s="26"/>
      <c r="T75" s="26"/>
      <c r="U75" s="26"/>
    </row>
    <row r="76" spans="2:21" outlineLevel="2">
      <c r="B76" s="33" t="s">
        <v>82</v>
      </c>
      <c r="C76" s="130">
        <f>SUM(D79)*2.5/100</f>
        <v>97891.664849928973</v>
      </c>
      <c r="D76" s="617"/>
      <c r="E76" s="139">
        <f t="shared" ref="E76:E78" si="10">SUM(C76/3)*2</f>
        <v>65261.109899952651</v>
      </c>
      <c r="F76" s="139">
        <f t="shared" ref="F76:F78" si="11">SUM(C76/3)</f>
        <v>32630.554949976326</v>
      </c>
      <c r="G76" s="139">
        <v>0</v>
      </c>
      <c r="H76" s="139">
        <v>0</v>
      </c>
      <c r="I76" s="139">
        <v>0</v>
      </c>
      <c r="J76" s="26"/>
      <c r="K76" s="26"/>
      <c r="L76" s="26"/>
      <c r="M76" s="26"/>
      <c r="N76" s="26"/>
      <c r="O76" s="26"/>
      <c r="P76" s="26"/>
      <c r="Q76" s="26"/>
      <c r="R76" s="26"/>
      <c r="S76" s="26"/>
      <c r="T76" s="26"/>
      <c r="U76" s="26"/>
    </row>
    <row r="77" spans="2:21" outlineLevel="2">
      <c r="B77" s="33" t="s">
        <v>548</v>
      </c>
      <c r="C77" s="130">
        <f>SUM(D79)*6/100</f>
        <v>234939.99563982952</v>
      </c>
      <c r="D77" s="617"/>
      <c r="E77" s="139">
        <f t="shared" si="10"/>
        <v>156626.66375988635</v>
      </c>
      <c r="F77" s="139">
        <f t="shared" si="11"/>
        <v>78313.331879943173</v>
      </c>
      <c r="G77" s="139">
        <v>0</v>
      </c>
      <c r="H77" s="139">
        <v>0</v>
      </c>
      <c r="I77" s="139">
        <v>0</v>
      </c>
      <c r="J77" s="26"/>
      <c r="K77" s="26"/>
      <c r="L77" s="26"/>
      <c r="M77" s="26"/>
      <c r="N77" s="26"/>
      <c r="O77" s="26"/>
      <c r="P77" s="26"/>
      <c r="Q77" s="26"/>
      <c r="R77" s="26"/>
      <c r="S77" s="26"/>
      <c r="T77" s="26"/>
      <c r="U77" s="26"/>
    </row>
    <row r="78" spans="2:21" outlineLevel="2">
      <c r="B78" s="33" t="s">
        <v>52</v>
      </c>
      <c r="C78" s="130">
        <f>SUM(D79)*5/100</f>
        <v>195783.32969985795</v>
      </c>
      <c r="D78" s="98"/>
      <c r="E78" s="139">
        <f t="shared" si="10"/>
        <v>130522.2197999053</v>
      </c>
      <c r="F78" s="139">
        <f t="shared" si="11"/>
        <v>65261.109899952651</v>
      </c>
      <c r="G78" s="139">
        <v>0</v>
      </c>
      <c r="H78" s="139">
        <v>0</v>
      </c>
      <c r="I78" s="139">
        <v>0</v>
      </c>
      <c r="J78" s="26"/>
      <c r="K78" s="26"/>
      <c r="L78" s="26"/>
      <c r="M78" s="26"/>
      <c r="N78" s="26"/>
      <c r="O78" s="26"/>
      <c r="P78" s="26"/>
      <c r="Q78" s="26"/>
      <c r="R78" s="26"/>
      <c r="S78" s="26"/>
      <c r="T78" s="26"/>
      <c r="U78" s="26"/>
    </row>
    <row r="79" spans="2:21" ht="20" thickBot="1">
      <c r="B79" s="31" t="str">
        <f>"Subtotal "&amp;B54</f>
        <v>Subtotal Field Crop Farm &amp; 3 X 3Moissons Model</v>
      </c>
      <c r="C79" s="131">
        <f>SUM(C56:C78)</f>
        <v>4503016.5830967324</v>
      </c>
      <c r="D79" s="614">
        <f>SUM(C56:C73)</f>
        <v>3915666.5939971586</v>
      </c>
      <c r="E79" s="141">
        <f>SUM(E56:E78)</f>
        <v>3002011.0553978211</v>
      </c>
      <c r="F79" s="141">
        <f>SUM(F56:F78)</f>
        <v>1501005.5276989106</v>
      </c>
      <c r="G79" s="141">
        <v>0</v>
      </c>
      <c r="H79" s="141">
        <v>0</v>
      </c>
      <c r="I79" s="141">
        <v>0</v>
      </c>
      <c r="J79" s="26"/>
      <c r="K79" s="26"/>
      <c r="L79" s="26"/>
      <c r="M79" s="26"/>
      <c r="N79" s="26"/>
      <c r="O79" s="26"/>
      <c r="P79" s="26"/>
      <c r="Q79" s="26"/>
      <c r="R79" s="26"/>
      <c r="S79" s="26"/>
      <c r="T79" s="26"/>
      <c r="U79" s="26"/>
    </row>
    <row r="80" spans="2:21">
      <c r="B80" s="32"/>
      <c r="C80" s="120"/>
      <c r="D80" s="100"/>
      <c r="E80" s="142"/>
      <c r="F80" s="142"/>
      <c r="G80" s="142"/>
      <c r="H80" s="142"/>
      <c r="I80" s="142"/>
      <c r="J80" s="26"/>
      <c r="K80" s="26"/>
      <c r="L80" s="26"/>
      <c r="M80" s="26"/>
      <c r="N80" s="26"/>
      <c r="O80" s="26"/>
      <c r="P80" s="26"/>
      <c r="Q80" s="26"/>
      <c r="R80" s="26"/>
      <c r="S80" s="26"/>
      <c r="T80" s="26"/>
      <c r="U80" s="26"/>
    </row>
    <row r="81" spans="2:21" ht="20" thickBot="1">
      <c r="B81" s="31" t="s">
        <v>553</v>
      </c>
      <c r="C81" s="128"/>
      <c r="D81" s="101"/>
      <c r="E81" s="143"/>
      <c r="F81" s="143"/>
      <c r="G81" s="143"/>
      <c r="H81" s="143"/>
      <c r="I81" s="143"/>
      <c r="J81" s="26"/>
      <c r="K81" s="26"/>
      <c r="L81" s="26"/>
      <c r="M81" s="26"/>
      <c r="N81" s="26"/>
      <c r="O81" s="26"/>
      <c r="P81" s="26"/>
      <c r="Q81" s="26"/>
      <c r="R81" s="26"/>
      <c r="S81" s="26"/>
      <c r="T81" s="26"/>
      <c r="U81" s="26"/>
    </row>
    <row r="82" spans="2:21">
      <c r="B82" s="42" t="s">
        <v>112</v>
      </c>
      <c r="C82" s="129"/>
      <c r="D82" s="98"/>
      <c r="E82" s="140"/>
      <c r="F82" s="140"/>
      <c r="G82" s="140"/>
      <c r="H82" s="140"/>
      <c r="I82" s="140"/>
      <c r="J82" s="26"/>
      <c r="K82" s="26"/>
      <c r="L82" s="26"/>
      <c r="M82" s="26"/>
      <c r="N82" s="26"/>
      <c r="O82" s="26"/>
      <c r="P82" s="26"/>
      <c r="Q82" s="26"/>
      <c r="R82" s="26"/>
      <c r="S82" s="26"/>
      <c r="T82" s="26"/>
      <c r="U82" s="26"/>
    </row>
    <row r="83" spans="2:21" outlineLevel="2">
      <c r="B83" s="33" t="s">
        <v>66</v>
      </c>
      <c r="C83" s="130">
        <v>38905.855631699029</v>
      </c>
      <c r="D83" s="98"/>
      <c r="E83" s="139">
        <f>SUM(C83/3)*2</f>
        <v>25937.237087799353</v>
      </c>
      <c r="F83" s="139">
        <f>SUM(C83/3)</f>
        <v>12968.618543899676</v>
      </c>
      <c r="G83" s="139">
        <v>0</v>
      </c>
      <c r="H83" s="139">
        <v>0</v>
      </c>
      <c r="I83" s="139">
        <v>0</v>
      </c>
      <c r="J83" s="26"/>
      <c r="K83" s="26"/>
      <c r="L83" s="26"/>
      <c r="M83" s="26"/>
      <c r="N83" s="26"/>
      <c r="O83" s="26"/>
      <c r="P83" s="26"/>
      <c r="Q83" s="26"/>
      <c r="R83" s="26"/>
      <c r="S83" s="26"/>
      <c r="T83" s="26"/>
      <c r="U83" s="26"/>
    </row>
    <row r="84" spans="2:21" outlineLevel="2">
      <c r="B84" s="33" t="s">
        <v>79</v>
      </c>
      <c r="C84" s="130">
        <v>56969.288603559296</v>
      </c>
      <c r="D84" s="98"/>
      <c r="E84" s="139">
        <f t="shared" ref="E84:E97" si="12">SUM(C84/3)*2</f>
        <v>37979.5257357062</v>
      </c>
      <c r="F84" s="139">
        <f t="shared" ref="F84:F97" si="13">SUM(C84/3)</f>
        <v>18989.7628678531</v>
      </c>
      <c r="G84" s="139">
        <v>0</v>
      </c>
      <c r="H84" s="139">
        <v>0</v>
      </c>
      <c r="I84" s="139">
        <v>0</v>
      </c>
      <c r="J84" s="26"/>
      <c r="K84" s="26"/>
      <c r="L84" s="26"/>
      <c r="M84" s="26"/>
      <c r="N84" s="26"/>
      <c r="O84" s="26"/>
      <c r="P84" s="26"/>
      <c r="Q84" s="26"/>
      <c r="R84" s="26"/>
      <c r="S84" s="26"/>
      <c r="T84" s="26"/>
      <c r="U84" s="26"/>
    </row>
    <row r="85" spans="2:21" outlineLevel="2">
      <c r="B85" s="33" t="s">
        <v>461</v>
      </c>
      <c r="C85" s="130">
        <v>0</v>
      </c>
      <c r="D85" s="98"/>
      <c r="E85" s="139">
        <f t="shared" si="12"/>
        <v>0</v>
      </c>
      <c r="F85" s="139">
        <f t="shared" si="13"/>
        <v>0</v>
      </c>
      <c r="G85" s="139">
        <v>0</v>
      </c>
      <c r="H85" s="139">
        <v>0</v>
      </c>
      <c r="I85" s="139">
        <v>0</v>
      </c>
      <c r="J85" s="26"/>
      <c r="K85" s="26"/>
      <c r="L85" s="26"/>
      <c r="M85" s="26"/>
      <c r="N85" s="26"/>
      <c r="O85" s="26"/>
      <c r="P85" s="26"/>
      <c r="Q85" s="26"/>
      <c r="R85" s="26"/>
      <c r="S85" s="26"/>
      <c r="T85" s="26"/>
      <c r="U85" s="26"/>
    </row>
    <row r="86" spans="2:21" outlineLevel="2">
      <c r="B86" s="33" t="s">
        <v>80</v>
      </c>
      <c r="C86" s="130">
        <v>5696.9288603559298</v>
      </c>
      <c r="D86" s="98"/>
      <c r="E86" s="139">
        <f t="shared" si="12"/>
        <v>3797.9525735706197</v>
      </c>
      <c r="F86" s="139">
        <f t="shared" si="13"/>
        <v>1898.9762867853099</v>
      </c>
      <c r="G86" s="139">
        <v>0</v>
      </c>
      <c r="H86" s="139">
        <v>0</v>
      </c>
      <c r="I86" s="139">
        <v>0</v>
      </c>
      <c r="J86" s="26"/>
      <c r="K86" s="26"/>
      <c r="L86" s="26"/>
      <c r="M86" s="26"/>
      <c r="N86" s="26"/>
      <c r="O86" s="26"/>
      <c r="P86" s="26"/>
      <c r="Q86" s="26"/>
      <c r="R86" s="26"/>
      <c r="S86" s="26"/>
      <c r="T86" s="26"/>
      <c r="U86" s="26"/>
    </row>
    <row r="87" spans="2:21" outlineLevel="2">
      <c r="B87" s="33" t="s">
        <v>549</v>
      </c>
      <c r="C87" s="130">
        <v>3850000</v>
      </c>
      <c r="D87" s="98"/>
      <c r="E87" s="139">
        <f t="shared" si="12"/>
        <v>2566666.6666666665</v>
      </c>
      <c r="F87" s="139">
        <f t="shared" si="13"/>
        <v>1283333.3333333333</v>
      </c>
      <c r="G87" s="139"/>
      <c r="H87" s="139"/>
      <c r="I87" s="139"/>
      <c r="J87" s="26"/>
      <c r="K87" s="26"/>
      <c r="L87" s="26"/>
      <c r="M87" s="26"/>
      <c r="N87" s="26"/>
      <c r="O87" s="26"/>
      <c r="P87" s="26"/>
      <c r="Q87" s="26"/>
      <c r="R87" s="26"/>
      <c r="S87" s="26"/>
      <c r="T87" s="26"/>
      <c r="U87" s="26"/>
    </row>
    <row r="88" spans="2:21" outlineLevel="2">
      <c r="B88" s="33" t="s">
        <v>550</v>
      </c>
      <c r="C88" s="130">
        <v>520000</v>
      </c>
      <c r="D88" s="98"/>
      <c r="E88" s="139">
        <f t="shared" si="12"/>
        <v>346666.66666666669</v>
      </c>
      <c r="F88" s="139">
        <f t="shared" si="13"/>
        <v>173333.33333333334</v>
      </c>
      <c r="G88" s="139"/>
      <c r="H88" s="139"/>
      <c r="I88" s="139"/>
      <c r="J88" s="26"/>
      <c r="K88" s="26"/>
      <c r="L88" s="26"/>
      <c r="M88" s="26"/>
      <c r="N88" s="26"/>
      <c r="O88" s="26"/>
      <c r="P88" s="26"/>
      <c r="Q88" s="26"/>
      <c r="R88" s="26"/>
      <c r="S88" s="26"/>
      <c r="T88" s="26"/>
      <c r="U88" s="26"/>
    </row>
    <row r="89" spans="2:21" outlineLevel="2">
      <c r="B89" s="33" t="s">
        <v>551</v>
      </c>
      <c r="C89" s="130">
        <v>490000</v>
      </c>
      <c r="D89" s="98"/>
      <c r="E89" s="139">
        <f t="shared" si="12"/>
        <v>326666.66666666669</v>
      </c>
      <c r="F89" s="139">
        <f t="shared" si="13"/>
        <v>163333.33333333334</v>
      </c>
      <c r="G89" s="139"/>
      <c r="H89" s="139"/>
      <c r="I89" s="139"/>
      <c r="J89" s="26"/>
      <c r="K89" s="26"/>
      <c r="L89" s="26"/>
      <c r="M89" s="26"/>
      <c r="N89" s="26"/>
      <c r="O89" s="26"/>
      <c r="P89" s="26"/>
      <c r="Q89" s="26"/>
      <c r="R89" s="26"/>
      <c r="S89" s="26"/>
      <c r="T89" s="26"/>
      <c r="U89" s="26"/>
    </row>
    <row r="90" spans="2:21" outlineLevel="2">
      <c r="B90" s="33" t="s">
        <v>552</v>
      </c>
      <c r="C90" s="130">
        <v>350000</v>
      </c>
      <c r="D90" s="98"/>
      <c r="E90" s="139">
        <f t="shared" si="12"/>
        <v>233333.33333333334</v>
      </c>
      <c r="F90" s="139">
        <f t="shared" si="13"/>
        <v>116666.66666666667</v>
      </c>
      <c r="G90" s="139">
        <v>0</v>
      </c>
      <c r="H90" s="139">
        <v>0</v>
      </c>
      <c r="I90" s="139">
        <v>0</v>
      </c>
      <c r="J90" s="26"/>
      <c r="K90" s="26"/>
      <c r="L90" s="26"/>
      <c r="M90" s="26"/>
      <c r="N90" s="26"/>
      <c r="O90" s="26"/>
      <c r="P90" s="26"/>
      <c r="Q90" s="26"/>
      <c r="R90" s="26"/>
      <c r="S90" s="26"/>
      <c r="T90" s="26"/>
      <c r="U90" s="26"/>
    </row>
    <row r="91" spans="2:21" outlineLevel="2">
      <c r="B91" s="33" t="s">
        <v>554</v>
      </c>
      <c r="C91" s="130">
        <v>1470000</v>
      </c>
      <c r="D91" s="98"/>
      <c r="E91" s="139">
        <f t="shared" si="12"/>
        <v>980000</v>
      </c>
      <c r="F91" s="139">
        <f t="shared" si="13"/>
        <v>490000</v>
      </c>
      <c r="G91" s="139">
        <v>0</v>
      </c>
      <c r="H91" s="139">
        <v>0</v>
      </c>
      <c r="I91" s="139">
        <v>0</v>
      </c>
      <c r="J91" s="26"/>
      <c r="K91" s="26"/>
      <c r="L91" s="26"/>
      <c r="M91" s="26"/>
      <c r="N91" s="26"/>
      <c r="O91" s="26"/>
      <c r="P91" s="26"/>
      <c r="Q91" s="26"/>
      <c r="R91" s="26"/>
      <c r="S91" s="26"/>
      <c r="T91" s="26"/>
      <c r="U91" s="26"/>
    </row>
    <row r="92" spans="2:21" outlineLevel="2">
      <c r="B92" s="33" t="s">
        <v>40</v>
      </c>
      <c r="C92" s="130">
        <v>1840000</v>
      </c>
      <c r="D92" s="98"/>
      <c r="E92" s="139">
        <f t="shared" si="12"/>
        <v>1226666.6666666667</v>
      </c>
      <c r="F92" s="139">
        <f t="shared" si="13"/>
        <v>613333.33333333337</v>
      </c>
      <c r="G92" s="139">
        <v>0</v>
      </c>
      <c r="H92" s="139">
        <v>0</v>
      </c>
      <c r="I92" s="139">
        <v>0</v>
      </c>
      <c r="J92" s="26"/>
      <c r="K92" s="26"/>
      <c r="L92" s="26"/>
      <c r="M92" s="26"/>
      <c r="N92" s="26"/>
      <c r="O92" s="26"/>
      <c r="P92" s="26"/>
      <c r="Q92" s="26"/>
      <c r="R92" s="26"/>
      <c r="S92" s="26"/>
      <c r="T92" s="26"/>
      <c r="U92" s="26"/>
    </row>
    <row r="93" spans="2:21" outlineLevel="2">
      <c r="B93" s="33" t="s">
        <v>90</v>
      </c>
      <c r="C93" s="130">
        <v>72635.842969538106</v>
      </c>
      <c r="D93" s="98"/>
      <c r="E93" s="139">
        <f t="shared" si="12"/>
        <v>48423.895313025401</v>
      </c>
      <c r="F93" s="139">
        <f t="shared" si="13"/>
        <v>24211.947656512701</v>
      </c>
      <c r="G93" s="139">
        <v>0</v>
      </c>
      <c r="H93" s="139">
        <v>0</v>
      </c>
      <c r="I93" s="139">
        <v>0</v>
      </c>
      <c r="J93" s="26"/>
      <c r="K93" s="26"/>
      <c r="L93" s="26"/>
      <c r="M93" s="26"/>
      <c r="N93" s="26"/>
      <c r="O93" s="26"/>
      <c r="P93" s="26"/>
      <c r="Q93" s="26"/>
      <c r="R93" s="26"/>
      <c r="S93" s="26"/>
      <c r="T93" s="26"/>
      <c r="U93" s="26"/>
    </row>
    <row r="94" spans="2:21" outlineLevel="2">
      <c r="B94" s="33" t="s">
        <v>508</v>
      </c>
      <c r="C94" s="130">
        <v>736868.55498656002</v>
      </c>
      <c r="D94" s="98"/>
      <c r="E94" s="139">
        <f t="shared" si="12"/>
        <v>491245.70332437335</v>
      </c>
      <c r="F94" s="139">
        <f t="shared" si="13"/>
        <v>245622.85166218667</v>
      </c>
      <c r="G94" s="139">
        <v>0</v>
      </c>
      <c r="H94" s="139">
        <v>0</v>
      </c>
      <c r="I94" s="139">
        <v>0</v>
      </c>
      <c r="J94" s="26"/>
      <c r="K94" s="26"/>
      <c r="L94" s="26"/>
      <c r="M94" s="26"/>
      <c r="N94" s="26"/>
      <c r="O94" s="26"/>
      <c r="P94" s="26"/>
      <c r="Q94" s="26"/>
      <c r="R94" s="26"/>
      <c r="S94" s="26"/>
      <c r="T94" s="26"/>
      <c r="U94" s="26"/>
    </row>
    <row r="95" spans="2:21" outlineLevel="2">
      <c r="B95" s="33" t="s">
        <v>91</v>
      </c>
      <c r="C95" s="130">
        <v>12158.079884905947</v>
      </c>
      <c r="D95" s="98"/>
      <c r="E95" s="139">
        <f t="shared" si="12"/>
        <v>8105.3865899372977</v>
      </c>
      <c r="F95" s="139">
        <f t="shared" si="13"/>
        <v>4052.6932949686488</v>
      </c>
      <c r="G95" s="139">
        <v>0</v>
      </c>
      <c r="H95" s="139">
        <v>0</v>
      </c>
      <c r="I95" s="139">
        <v>0</v>
      </c>
      <c r="J95" s="26"/>
      <c r="K95" s="26"/>
      <c r="L95" s="26"/>
      <c r="M95" s="26"/>
      <c r="N95" s="26"/>
      <c r="O95" s="26"/>
      <c r="P95" s="26"/>
      <c r="Q95" s="26"/>
      <c r="R95" s="26"/>
      <c r="S95" s="26"/>
      <c r="T95" s="26"/>
      <c r="U95" s="26"/>
    </row>
    <row r="96" spans="2:21" outlineLevel="2">
      <c r="B96" s="33" t="s">
        <v>467</v>
      </c>
      <c r="C96" s="130">
        <v>36969.288603559296</v>
      </c>
      <c r="D96" s="98"/>
      <c r="E96" s="139">
        <f t="shared" si="12"/>
        <v>24646.192402372864</v>
      </c>
      <c r="F96" s="139">
        <f t="shared" si="13"/>
        <v>12323.096201186432</v>
      </c>
      <c r="G96" s="139">
        <v>0</v>
      </c>
      <c r="H96" s="139">
        <v>0</v>
      </c>
      <c r="I96" s="139">
        <v>0</v>
      </c>
      <c r="J96" s="26"/>
      <c r="K96" s="26"/>
      <c r="L96" s="26"/>
      <c r="M96" s="26"/>
      <c r="N96" s="26"/>
      <c r="O96" s="26"/>
      <c r="P96" s="26"/>
      <c r="Q96" s="26"/>
      <c r="R96" s="26"/>
      <c r="S96" s="26"/>
      <c r="T96" s="26"/>
      <c r="U96" s="26"/>
    </row>
    <row r="97" spans="2:21" outlineLevel="2">
      <c r="B97" s="33" t="s">
        <v>515</v>
      </c>
      <c r="C97" s="130">
        <v>93938.577207119</v>
      </c>
      <c r="D97" s="98"/>
      <c r="E97" s="139">
        <f t="shared" si="12"/>
        <v>62625.718138079334</v>
      </c>
      <c r="F97" s="139">
        <f t="shared" si="13"/>
        <v>31312.859069039667</v>
      </c>
      <c r="G97" s="139">
        <v>0</v>
      </c>
      <c r="H97" s="139">
        <v>0</v>
      </c>
      <c r="I97" s="139">
        <v>0</v>
      </c>
      <c r="J97" s="26"/>
      <c r="K97" s="26"/>
      <c r="L97" s="26"/>
      <c r="M97" s="26"/>
      <c r="N97" s="26"/>
      <c r="O97" s="26"/>
      <c r="P97" s="26"/>
      <c r="Q97" s="26"/>
      <c r="R97" s="26"/>
      <c r="S97" s="26"/>
      <c r="T97" s="26"/>
      <c r="U97" s="26"/>
    </row>
    <row r="98" spans="2:21">
      <c r="B98" s="42" t="s">
        <v>73</v>
      </c>
      <c r="C98" s="129"/>
      <c r="D98" s="98"/>
      <c r="E98" s="140"/>
      <c r="F98" s="140"/>
      <c r="G98" s="140"/>
      <c r="H98" s="140"/>
      <c r="I98" s="140"/>
      <c r="J98" s="26"/>
      <c r="K98" s="26"/>
      <c r="L98" s="26"/>
      <c r="M98" s="26"/>
      <c r="N98" s="26"/>
      <c r="O98" s="26"/>
      <c r="P98" s="26"/>
      <c r="Q98" s="26"/>
      <c r="R98" s="26"/>
      <c r="S98" s="26"/>
      <c r="T98" s="26"/>
      <c r="U98" s="26"/>
    </row>
    <row r="99" spans="2:21" outlineLevel="2">
      <c r="B99" s="33" t="s">
        <v>38</v>
      </c>
      <c r="C99" s="130">
        <v>38900</v>
      </c>
      <c r="D99" s="98"/>
      <c r="E99" s="139">
        <f>SUM(C99/3)*2</f>
        <v>25933.333333333332</v>
      </c>
      <c r="F99" s="139">
        <f>SUM(C99/3)</f>
        <v>12966.666666666666</v>
      </c>
      <c r="G99" s="139">
        <v>0</v>
      </c>
      <c r="H99" s="139">
        <v>0</v>
      </c>
      <c r="I99" s="139">
        <v>0</v>
      </c>
      <c r="J99" s="26"/>
      <c r="K99" s="26"/>
      <c r="L99" s="26"/>
      <c r="M99" s="26"/>
      <c r="N99" s="26"/>
      <c r="O99" s="26"/>
      <c r="P99" s="26"/>
      <c r="Q99" s="26"/>
      <c r="R99" s="26"/>
      <c r="S99" s="26"/>
      <c r="T99" s="26"/>
      <c r="U99" s="26"/>
    </row>
    <row r="100" spans="2:21" outlineLevel="2">
      <c r="B100" s="33" t="s">
        <v>214</v>
      </c>
      <c r="C100" s="130">
        <v>140061.08027411654</v>
      </c>
      <c r="D100" s="98"/>
      <c r="E100" s="139">
        <f t="shared" ref="E100:E105" si="14">SUM(C100/3)*2</f>
        <v>93374.053516077693</v>
      </c>
      <c r="F100" s="139">
        <f t="shared" ref="F100:F105" si="15">SUM(C100/3)</f>
        <v>46687.026758038846</v>
      </c>
      <c r="G100" s="139">
        <v>0</v>
      </c>
      <c r="H100" s="139">
        <v>0</v>
      </c>
      <c r="I100" s="139">
        <v>0</v>
      </c>
      <c r="J100" s="26"/>
      <c r="K100" s="26"/>
      <c r="L100" s="26"/>
      <c r="M100" s="26"/>
      <c r="N100" s="26"/>
      <c r="O100" s="26"/>
      <c r="P100" s="26"/>
      <c r="Q100" s="26"/>
      <c r="R100" s="26"/>
      <c r="S100" s="26"/>
      <c r="T100" s="26"/>
      <c r="U100" s="26"/>
    </row>
    <row r="101" spans="2:21" outlineLevel="2">
      <c r="B101" s="33" t="s">
        <v>88</v>
      </c>
      <c r="C101" s="130">
        <v>145896.95861887137</v>
      </c>
      <c r="D101" s="98"/>
      <c r="E101" s="139">
        <f t="shared" si="14"/>
        <v>97264.639079247587</v>
      </c>
      <c r="F101" s="139">
        <f t="shared" si="15"/>
        <v>48632.319539623793</v>
      </c>
      <c r="G101" s="139">
        <v>0</v>
      </c>
      <c r="H101" s="139">
        <v>0</v>
      </c>
      <c r="I101" s="139">
        <v>0</v>
      </c>
      <c r="J101" s="26"/>
      <c r="K101" s="26"/>
      <c r="L101" s="26"/>
      <c r="M101" s="26"/>
      <c r="N101" s="26"/>
      <c r="O101" s="26"/>
      <c r="P101" s="26"/>
      <c r="Q101" s="26"/>
      <c r="R101" s="26"/>
      <c r="S101" s="26"/>
      <c r="T101" s="26"/>
      <c r="U101" s="26"/>
    </row>
    <row r="102" spans="2:21" outlineLevel="2">
      <c r="B102" s="33" t="s">
        <v>468</v>
      </c>
      <c r="C102" s="130">
        <v>45000</v>
      </c>
      <c r="D102" s="98"/>
      <c r="E102" s="139">
        <f t="shared" si="14"/>
        <v>30000</v>
      </c>
      <c r="F102" s="139">
        <f t="shared" si="15"/>
        <v>15000</v>
      </c>
      <c r="G102" s="139">
        <v>0</v>
      </c>
      <c r="H102" s="139">
        <v>0</v>
      </c>
      <c r="I102" s="139">
        <v>0</v>
      </c>
      <c r="J102" s="26"/>
      <c r="K102" s="26"/>
      <c r="L102" s="26"/>
      <c r="M102" s="26"/>
      <c r="N102" s="26"/>
      <c r="O102" s="26"/>
      <c r="P102" s="26"/>
      <c r="Q102" s="26"/>
      <c r="R102" s="26"/>
      <c r="S102" s="26"/>
      <c r="T102" s="26"/>
      <c r="U102" s="26"/>
    </row>
    <row r="103" spans="2:21" outlineLevel="2">
      <c r="B103" s="33" t="s">
        <v>469</v>
      </c>
      <c r="C103" s="130">
        <v>91793.917237742993</v>
      </c>
      <c r="D103" s="98"/>
      <c r="E103" s="139">
        <f t="shared" si="14"/>
        <v>61195.944825161998</v>
      </c>
      <c r="F103" s="139">
        <f t="shared" si="15"/>
        <v>30597.972412580999</v>
      </c>
      <c r="G103" s="139">
        <v>0</v>
      </c>
      <c r="H103" s="139">
        <v>0</v>
      </c>
      <c r="I103" s="139">
        <v>0</v>
      </c>
      <c r="J103" s="26"/>
      <c r="K103" s="26"/>
      <c r="L103" s="26"/>
      <c r="M103" s="26"/>
      <c r="N103" s="26"/>
      <c r="O103" s="26"/>
      <c r="P103" s="26"/>
      <c r="Q103" s="26"/>
      <c r="R103" s="26"/>
      <c r="S103" s="26"/>
      <c r="T103" s="26"/>
      <c r="U103" s="26"/>
    </row>
    <row r="104" spans="2:21" outlineLevel="2">
      <c r="B104" s="33" t="s">
        <v>84</v>
      </c>
      <c r="C104" s="130">
        <v>14589.695861887136</v>
      </c>
      <c r="D104" s="98"/>
      <c r="E104" s="139">
        <f t="shared" si="14"/>
        <v>9726.4639079247572</v>
      </c>
      <c r="F104" s="139">
        <f t="shared" si="15"/>
        <v>4863.2319539623786</v>
      </c>
      <c r="G104" s="139">
        <v>0</v>
      </c>
      <c r="H104" s="139">
        <v>0</v>
      </c>
      <c r="I104" s="139">
        <v>0</v>
      </c>
      <c r="J104" s="26"/>
      <c r="K104" s="26"/>
      <c r="L104" s="26"/>
      <c r="M104" s="26"/>
      <c r="N104" s="26"/>
      <c r="O104" s="26"/>
      <c r="P104" s="26"/>
      <c r="Q104" s="26"/>
      <c r="R104" s="26"/>
      <c r="S104" s="26"/>
      <c r="T104" s="26"/>
      <c r="U104" s="26"/>
    </row>
    <row r="105" spans="2:21" outlineLevel="2">
      <c r="B105" s="33" t="s">
        <v>85</v>
      </c>
      <c r="C105" s="130">
        <v>48632.319539623786</v>
      </c>
      <c r="D105" s="98"/>
      <c r="E105" s="139">
        <f t="shared" si="14"/>
        <v>32421.546359749191</v>
      </c>
      <c r="F105" s="139">
        <f t="shared" si="15"/>
        <v>16210.773179874595</v>
      </c>
      <c r="G105" s="139">
        <v>0</v>
      </c>
      <c r="H105" s="139">
        <v>0</v>
      </c>
      <c r="I105" s="139">
        <v>0</v>
      </c>
      <c r="J105" s="26"/>
      <c r="K105" s="26"/>
      <c r="L105" s="26"/>
      <c r="M105" s="26"/>
      <c r="N105" s="26"/>
      <c r="O105" s="26"/>
      <c r="P105" s="26"/>
      <c r="Q105" s="26"/>
      <c r="R105" s="26"/>
      <c r="S105" s="26"/>
      <c r="T105" s="26"/>
      <c r="U105" s="26"/>
    </row>
    <row r="106" spans="2:21">
      <c r="B106" s="42" t="s">
        <v>111</v>
      </c>
      <c r="C106" s="129"/>
      <c r="D106" s="98"/>
      <c r="E106" s="140"/>
      <c r="F106" s="140"/>
      <c r="G106" s="140"/>
      <c r="H106" s="140"/>
      <c r="I106" s="140"/>
      <c r="J106" s="26"/>
      <c r="K106" s="26"/>
      <c r="L106" s="26"/>
      <c r="M106" s="26"/>
      <c r="N106" s="26"/>
      <c r="O106" s="26"/>
      <c r="P106" s="26"/>
      <c r="Q106" s="26"/>
      <c r="R106" s="26"/>
      <c r="S106" s="26"/>
      <c r="T106" s="26"/>
      <c r="U106" s="26"/>
    </row>
    <row r="107" spans="2:21" outlineLevel="2">
      <c r="B107" s="33" t="s">
        <v>86</v>
      </c>
      <c r="C107" s="130">
        <v>9726.4639079247572</v>
      </c>
      <c r="D107" s="98"/>
      <c r="E107" s="139">
        <f>SUM(C107/3)*2</f>
        <v>6484.3092719498381</v>
      </c>
      <c r="F107" s="139">
        <f>SUM(C107/3)</f>
        <v>3242.1546359749191</v>
      </c>
      <c r="G107" s="139">
        <v>0</v>
      </c>
      <c r="H107" s="139">
        <v>0</v>
      </c>
      <c r="I107" s="139">
        <v>0</v>
      </c>
      <c r="J107" s="26"/>
      <c r="K107" s="26"/>
      <c r="L107" s="26"/>
      <c r="M107" s="26"/>
      <c r="N107" s="26"/>
      <c r="O107" s="26"/>
      <c r="P107" s="26"/>
      <c r="Q107" s="26"/>
      <c r="R107" s="26"/>
      <c r="S107" s="26"/>
      <c r="T107" s="26"/>
      <c r="U107" s="26"/>
    </row>
    <row r="108" spans="2:21" outlineLevel="2">
      <c r="B108" s="33" t="s">
        <v>77</v>
      </c>
      <c r="C108" s="130">
        <v>22000</v>
      </c>
      <c r="D108" s="98"/>
      <c r="E108" s="139">
        <f>SUM(C108/3)*2</f>
        <v>14666.666666666666</v>
      </c>
      <c r="F108" s="139">
        <f>SUM(C108/3)</f>
        <v>7333.333333333333</v>
      </c>
      <c r="G108" s="139">
        <v>0</v>
      </c>
      <c r="H108" s="139">
        <v>0</v>
      </c>
      <c r="I108" s="139">
        <v>0</v>
      </c>
      <c r="J108" s="26"/>
      <c r="K108" s="26"/>
      <c r="L108" s="26"/>
      <c r="M108" s="26"/>
      <c r="N108" s="26"/>
      <c r="O108" s="26"/>
      <c r="P108" s="26"/>
      <c r="Q108" s="26"/>
      <c r="R108" s="26"/>
      <c r="S108" s="26"/>
      <c r="T108" s="26"/>
      <c r="U108" s="26"/>
    </row>
    <row r="109" spans="2:21">
      <c r="B109" s="42" t="s">
        <v>87</v>
      </c>
      <c r="C109" s="125"/>
      <c r="D109" s="98"/>
      <c r="E109" s="145"/>
      <c r="F109" s="145"/>
      <c r="G109" s="145"/>
      <c r="H109" s="145"/>
      <c r="I109" s="145"/>
      <c r="J109" s="26"/>
      <c r="K109" s="26"/>
      <c r="L109" s="26"/>
      <c r="M109" s="26"/>
      <c r="N109" s="26"/>
      <c r="O109" s="26"/>
      <c r="P109" s="26"/>
      <c r="Q109" s="26"/>
      <c r="R109" s="26"/>
      <c r="S109" s="26"/>
      <c r="T109" s="26"/>
      <c r="U109" s="26"/>
    </row>
    <row r="110" spans="2:21" outlineLevel="2">
      <c r="B110" s="33" t="s">
        <v>87</v>
      </c>
      <c r="C110" s="130">
        <v>319000</v>
      </c>
      <c r="D110" s="98"/>
      <c r="E110" s="139">
        <f>SUM(C110/3)*2</f>
        <v>212666.66666666666</v>
      </c>
      <c r="F110" s="139">
        <f>SUM(C110/3)</f>
        <v>106333.33333333333</v>
      </c>
      <c r="G110" s="139">
        <v>0</v>
      </c>
      <c r="H110" s="139">
        <v>0</v>
      </c>
      <c r="I110" s="139">
        <v>0</v>
      </c>
      <c r="J110" s="26"/>
      <c r="K110" s="26"/>
      <c r="L110" s="26"/>
      <c r="M110" s="26"/>
      <c r="N110" s="26"/>
      <c r="O110" s="26"/>
      <c r="P110" s="26"/>
      <c r="Q110" s="26"/>
      <c r="R110" s="26"/>
      <c r="S110" s="26"/>
      <c r="T110" s="26"/>
      <c r="U110" s="26"/>
    </row>
    <row r="111" spans="2:21">
      <c r="B111" s="42" t="s">
        <v>184</v>
      </c>
      <c r="C111" s="129"/>
      <c r="D111" s="98"/>
      <c r="E111" s="140"/>
      <c r="F111" s="140"/>
      <c r="G111" s="140"/>
      <c r="H111" s="140"/>
      <c r="I111" s="140"/>
      <c r="J111" s="26"/>
      <c r="K111" s="26"/>
      <c r="L111" s="26"/>
      <c r="M111" s="26"/>
      <c r="N111" s="26"/>
      <c r="O111" s="26"/>
      <c r="P111" s="26"/>
      <c r="Q111" s="26"/>
      <c r="R111" s="26"/>
      <c r="S111" s="26"/>
      <c r="T111" s="26"/>
      <c r="U111" s="26"/>
    </row>
    <row r="112" spans="2:21" outlineLevel="2">
      <c r="B112" s="33" t="s">
        <v>81</v>
      </c>
      <c r="C112" s="130">
        <f>SUM(D116)*1.5/100</f>
        <v>156746.14278281198</v>
      </c>
      <c r="D112" s="98"/>
      <c r="E112" s="139">
        <f>SUM(C112/3)*2</f>
        <v>104497.42852187465</v>
      </c>
      <c r="F112" s="139">
        <f>SUM(C112/3)</f>
        <v>52248.714260937326</v>
      </c>
      <c r="G112" s="139">
        <v>0</v>
      </c>
      <c r="H112" s="139">
        <v>0</v>
      </c>
      <c r="I112" s="139">
        <v>0</v>
      </c>
      <c r="J112" s="26"/>
      <c r="K112" s="26"/>
      <c r="L112" s="26"/>
      <c r="M112" s="26"/>
      <c r="N112" s="26"/>
      <c r="O112" s="26"/>
      <c r="P112" s="26"/>
      <c r="Q112" s="26"/>
      <c r="R112" s="26"/>
      <c r="S112" s="26"/>
      <c r="T112" s="26"/>
      <c r="U112" s="26"/>
    </row>
    <row r="113" spans="2:21" outlineLevel="2">
      <c r="B113" s="33" t="s">
        <v>82</v>
      </c>
      <c r="C113" s="130">
        <f>SUM(D116)*2.5/100</f>
        <v>261243.5713046866</v>
      </c>
      <c r="D113" s="98"/>
      <c r="E113" s="139">
        <f t="shared" ref="E113:E115" si="16">SUM(C113/3)*2</f>
        <v>174162.38086979106</v>
      </c>
      <c r="F113" s="139">
        <f t="shared" ref="F113:F115" si="17">SUM(C113/3)</f>
        <v>87081.190434895529</v>
      </c>
      <c r="G113" s="139">
        <v>0</v>
      </c>
      <c r="H113" s="139">
        <v>0</v>
      </c>
      <c r="I113" s="139">
        <v>0</v>
      </c>
      <c r="J113" s="26"/>
      <c r="K113" s="26"/>
      <c r="L113" s="26"/>
      <c r="M113" s="26"/>
      <c r="N113" s="26"/>
      <c r="O113" s="26"/>
      <c r="P113" s="26"/>
      <c r="Q113" s="26"/>
      <c r="R113" s="26"/>
      <c r="S113" s="26"/>
      <c r="T113" s="26"/>
      <c r="U113" s="26"/>
    </row>
    <row r="114" spans="2:21" outlineLevel="2">
      <c r="B114" s="33" t="s">
        <v>83</v>
      </c>
      <c r="C114" s="130">
        <f>SUM(D116)*6/100</f>
        <v>626984.57113124791</v>
      </c>
      <c r="D114" s="617"/>
      <c r="E114" s="139">
        <f t="shared" si="16"/>
        <v>417989.71408749861</v>
      </c>
      <c r="F114" s="139">
        <f t="shared" si="17"/>
        <v>208994.8570437493</v>
      </c>
      <c r="G114" s="139">
        <v>0</v>
      </c>
      <c r="H114" s="139">
        <v>0</v>
      </c>
      <c r="I114" s="139">
        <v>0</v>
      </c>
      <c r="J114" s="26"/>
      <c r="K114" s="26"/>
      <c r="L114" s="26"/>
      <c r="M114" s="26"/>
      <c r="N114" s="26"/>
      <c r="O114" s="26"/>
      <c r="P114" s="26"/>
      <c r="Q114" s="26"/>
      <c r="R114" s="26"/>
      <c r="S114" s="26"/>
      <c r="T114" s="26"/>
      <c r="U114" s="26"/>
    </row>
    <row r="115" spans="2:21" outlineLevel="2">
      <c r="B115" s="33" t="s">
        <v>65</v>
      </c>
      <c r="C115" s="130">
        <f>SUM(D116)*5/100</f>
        <v>522487.1426093732</v>
      </c>
      <c r="D115" s="98"/>
      <c r="E115" s="139">
        <f t="shared" si="16"/>
        <v>348324.76173958211</v>
      </c>
      <c r="F115" s="139">
        <f t="shared" si="17"/>
        <v>174162.38086979106</v>
      </c>
      <c r="G115" s="139">
        <v>0</v>
      </c>
      <c r="H115" s="139">
        <v>0</v>
      </c>
      <c r="I115" s="139">
        <v>0</v>
      </c>
      <c r="J115" s="26"/>
      <c r="K115" s="26"/>
      <c r="L115" s="26"/>
      <c r="M115" s="26"/>
      <c r="N115" s="26"/>
      <c r="O115" s="26"/>
      <c r="P115" s="26"/>
      <c r="Q115" s="26"/>
      <c r="R115" s="26"/>
      <c r="S115" s="26"/>
      <c r="T115" s="26"/>
      <c r="U115" s="26"/>
    </row>
    <row r="116" spans="2:21" ht="20" thickBot="1">
      <c r="B116" s="31" t="str">
        <f>"Subtotal "&amp;B81</f>
        <v>Subtotal Processing of agricultural product &amp; Feed mill</v>
      </c>
      <c r="C116" s="131">
        <f>SUM(C83:C115)</f>
        <v>12017204.280015582</v>
      </c>
      <c r="D116" s="613">
        <f>SUM(C83:C110)</f>
        <v>10449742.852187464</v>
      </c>
      <c r="E116" s="141">
        <f>SUM(E83:E115)</f>
        <v>8011469.5200103885</v>
      </c>
      <c r="F116" s="141">
        <f>SUM(F83:F115)</f>
        <v>4005734.7600051942</v>
      </c>
      <c r="G116" s="141">
        <v>0</v>
      </c>
      <c r="H116" s="141">
        <v>0</v>
      </c>
      <c r="I116" s="141">
        <v>0</v>
      </c>
      <c r="J116" s="26"/>
      <c r="K116" s="26"/>
      <c r="L116" s="26"/>
      <c r="M116" s="26"/>
      <c r="N116" s="26"/>
      <c r="O116" s="26"/>
      <c r="P116" s="26"/>
      <c r="Q116" s="26"/>
      <c r="R116" s="26"/>
      <c r="S116" s="26"/>
      <c r="T116" s="26"/>
      <c r="U116" s="26"/>
    </row>
    <row r="117" spans="2:21">
      <c r="B117" s="32"/>
      <c r="C117" s="470"/>
      <c r="D117" s="100"/>
      <c r="E117" s="142"/>
      <c r="F117" s="142"/>
      <c r="G117" s="142"/>
      <c r="H117" s="142"/>
      <c r="I117" s="142"/>
      <c r="J117" s="26"/>
      <c r="K117" s="26"/>
      <c r="L117" s="26"/>
      <c r="M117" s="26"/>
      <c r="N117" s="26"/>
      <c r="O117" s="26"/>
      <c r="P117" s="26"/>
      <c r="Q117" s="26"/>
      <c r="R117" s="26"/>
      <c r="S117" s="26"/>
      <c r="T117" s="26"/>
      <c r="U117" s="26"/>
    </row>
    <row r="118" spans="2:21" ht="20" outlineLevel="1" thickBot="1">
      <c r="B118" s="30" t="s">
        <v>60</v>
      </c>
      <c r="C118" s="128"/>
      <c r="D118" s="101"/>
      <c r="E118" s="143"/>
      <c r="F118" s="143"/>
      <c r="G118" s="143"/>
      <c r="H118" s="143"/>
      <c r="I118" s="143"/>
      <c r="J118" s="26"/>
      <c r="K118" s="26"/>
      <c r="L118" s="26"/>
      <c r="M118" s="26"/>
      <c r="N118" s="26"/>
      <c r="O118" s="26"/>
      <c r="P118" s="26"/>
      <c r="Q118" s="26"/>
      <c r="R118" s="26"/>
      <c r="S118" s="26"/>
      <c r="T118" s="26"/>
      <c r="U118" s="26"/>
    </row>
    <row r="119" spans="2:21">
      <c r="B119" s="42" t="s">
        <v>68</v>
      </c>
      <c r="C119" s="129"/>
      <c r="D119" s="98"/>
      <c r="E119" s="140"/>
      <c r="F119" s="140"/>
      <c r="G119" s="140"/>
      <c r="H119" s="140"/>
      <c r="I119" s="140"/>
      <c r="J119" s="26"/>
      <c r="K119" s="26"/>
      <c r="L119" s="26"/>
      <c r="M119" s="26"/>
      <c r="N119" s="26"/>
      <c r="O119" s="26"/>
      <c r="P119" s="26"/>
      <c r="Q119" s="26"/>
      <c r="R119" s="26"/>
      <c r="S119" s="26"/>
      <c r="T119" s="26"/>
      <c r="U119" s="26"/>
    </row>
    <row r="120" spans="2:21">
      <c r="B120" s="34" t="s">
        <v>109</v>
      </c>
      <c r="C120" s="130">
        <v>0</v>
      </c>
      <c r="D120" s="98"/>
      <c r="E120" s="139">
        <f>SUM(C120/3)*2</f>
        <v>0</v>
      </c>
      <c r="F120" s="139">
        <f>SUM(C120/3)</f>
        <v>0</v>
      </c>
      <c r="G120" s="139">
        <v>0</v>
      </c>
      <c r="H120" s="139">
        <v>0</v>
      </c>
      <c r="I120" s="139">
        <v>0</v>
      </c>
      <c r="J120" s="26"/>
      <c r="K120" s="26"/>
      <c r="L120" s="26"/>
      <c r="M120" s="26"/>
      <c r="N120" s="26"/>
      <c r="O120" s="26"/>
      <c r="P120" s="26"/>
      <c r="Q120" s="26"/>
      <c r="R120" s="26"/>
      <c r="S120" s="26"/>
      <c r="T120" s="26"/>
      <c r="U120" s="26"/>
    </row>
    <row r="121" spans="2:21">
      <c r="B121" s="42" t="s">
        <v>67</v>
      </c>
      <c r="C121" s="129"/>
      <c r="D121" s="98"/>
      <c r="E121" s="140"/>
      <c r="F121" s="140"/>
      <c r="G121" s="140"/>
      <c r="H121" s="140"/>
      <c r="I121" s="140"/>
      <c r="J121" s="26"/>
      <c r="K121" s="26"/>
      <c r="L121" s="26"/>
      <c r="M121" s="26"/>
      <c r="N121" s="26"/>
      <c r="O121" s="26"/>
      <c r="P121" s="26"/>
      <c r="Q121" s="26"/>
      <c r="R121" s="26"/>
      <c r="S121" s="26"/>
      <c r="T121" s="26"/>
      <c r="U121" s="26"/>
    </row>
    <row r="122" spans="2:21">
      <c r="B122" s="34" t="s">
        <v>66</v>
      </c>
      <c r="C122" s="130">
        <v>112574.72993115858</v>
      </c>
      <c r="D122" s="98"/>
      <c r="E122" s="139">
        <f>SUM(C122/3)*2</f>
        <v>75049.819954105726</v>
      </c>
      <c r="F122" s="139">
        <f>SUM(C122/3)</f>
        <v>37524.909977052863</v>
      </c>
      <c r="G122" s="139">
        <v>0</v>
      </c>
      <c r="H122" s="139">
        <v>0</v>
      </c>
      <c r="I122" s="139">
        <v>0</v>
      </c>
      <c r="J122" s="26"/>
      <c r="K122" s="26"/>
      <c r="L122" s="26"/>
      <c r="M122" s="26"/>
      <c r="N122" s="26"/>
      <c r="O122" s="26"/>
      <c r="P122" s="26"/>
      <c r="Q122" s="26"/>
      <c r="R122" s="26"/>
      <c r="S122" s="26"/>
      <c r="T122" s="26"/>
      <c r="U122" s="26"/>
    </row>
    <row r="123" spans="2:21">
      <c r="B123" s="34" t="s">
        <v>79</v>
      </c>
      <c r="C123" s="130">
        <v>43938.577207119</v>
      </c>
      <c r="D123" s="98"/>
      <c r="E123" s="139">
        <f t="shared" ref="E123:E131" si="18">SUM(C123/3)*2</f>
        <v>29292.384804746001</v>
      </c>
      <c r="F123" s="139">
        <f t="shared" ref="F123:F131" si="19">SUM(C123/3)</f>
        <v>14646.192402373001</v>
      </c>
      <c r="G123" s="139">
        <v>0</v>
      </c>
      <c r="H123" s="139">
        <v>0</v>
      </c>
      <c r="I123" s="139">
        <v>0</v>
      </c>
      <c r="J123" s="26"/>
      <c r="K123" s="26"/>
      <c r="L123" s="26"/>
      <c r="M123" s="26"/>
      <c r="N123" s="26"/>
      <c r="O123" s="26"/>
      <c r="P123" s="26"/>
      <c r="Q123" s="26"/>
      <c r="R123" s="26"/>
      <c r="S123" s="26"/>
      <c r="T123" s="26"/>
      <c r="U123" s="26"/>
    </row>
    <row r="124" spans="2:21">
      <c r="B124" s="34" t="s">
        <v>461</v>
      </c>
      <c r="C124" s="130">
        <v>0</v>
      </c>
      <c r="D124" s="98"/>
      <c r="E124" s="139">
        <f t="shared" si="18"/>
        <v>0</v>
      </c>
      <c r="F124" s="139">
        <f t="shared" si="19"/>
        <v>0</v>
      </c>
      <c r="G124" s="139">
        <v>0</v>
      </c>
      <c r="H124" s="139">
        <v>0</v>
      </c>
      <c r="I124" s="139">
        <v>0</v>
      </c>
      <c r="J124" s="26"/>
      <c r="K124" s="26"/>
      <c r="L124" s="26"/>
      <c r="M124" s="26"/>
      <c r="N124" s="26"/>
      <c r="O124" s="26"/>
      <c r="P124" s="26"/>
      <c r="Q124" s="26"/>
      <c r="R124" s="26"/>
      <c r="S124" s="26"/>
      <c r="T124" s="26"/>
      <c r="U124" s="26"/>
    </row>
    <row r="125" spans="2:21">
      <c r="B125" s="34" t="s">
        <v>80</v>
      </c>
      <c r="C125" s="130">
        <v>56969.288603559296</v>
      </c>
      <c r="D125" s="98"/>
      <c r="E125" s="139">
        <f t="shared" si="18"/>
        <v>37979.5257357062</v>
      </c>
      <c r="F125" s="139">
        <f t="shared" si="19"/>
        <v>18989.7628678531</v>
      </c>
      <c r="G125" s="139">
        <v>0</v>
      </c>
      <c r="H125" s="139">
        <v>0</v>
      </c>
      <c r="I125" s="139">
        <v>0</v>
      </c>
      <c r="J125" s="26"/>
      <c r="K125" s="26"/>
      <c r="L125" s="26"/>
      <c r="M125" s="26"/>
      <c r="N125" s="26"/>
      <c r="O125" s="26"/>
      <c r="P125" s="26"/>
      <c r="Q125" s="26"/>
      <c r="R125" s="26"/>
      <c r="S125" s="26"/>
      <c r="T125" s="26"/>
      <c r="U125" s="26"/>
    </row>
    <row r="126" spans="2:21">
      <c r="B126" s="34" t="s">
        <v>92</v>
      </c>
      <c r="C126" s="130">
        <v>641622.79158386996</v>
      </c>
      <c r="D126" s="98"/>
      <c r="E126" s="139">
        <f t="shared" si="18"/>
        <v>427748.52772257995</v>
      </c>
      <c r="F126" s="139">
        <f t="shared" si="19"/>
        <v>213874.26386128998</v>
      </c>
      <c r="G126" s="139">
        <v>0</v>
      </c>
      <c r="H126" s="139">
        <v>0</v>
      </c>
      <c r="I126" s="139">
        <v>0</v>
      </c>
      <c r="J126" s="26"/>
      <c r="K126" s="26"/>
      <c r="L126" s="26"/>
      <c r="M126" s="26"/>
      <c r="N126" s="26"/>
      <c r="O126" s="26"/>
      <c r="P126" s="26"/>
      <c r="Q126" s="26"/>
      <c r="R126" s="26"/>
      <c r="S126" s="26"/>
      <c r="T126" s="26"/>
      <c r="U126" s="26"/>
    </row>
    <row r="127" spans="2:21">
      <c r="B127" s="34" t="s">
        <v>69</v>
      </c>
      <c r="C127" s="130">
        <v>364094.62496451999</v>
      </c>
      <c r="D127" s="98"/>
      <c r="E127" s="139">
        <f t="shared" si="18"/>
        <v>242729.74997634665</v>
      </c>
      <c r="F127" s="139">
        <f t="shared" si="19"/>
        <v>121364.87498817332</v>
      </c>
      <c r="G127" s="139">
        <v>0</v>
      </c>
      <c r="H127" s="139">
        <v>0</v>
      </c>
      <c r="I127" s="139">
        <v>0</v>
      </c>
      <c r="J127" s="26"/>
      <c r="K127" s="26"/>
      <c r="L127" s="26"/>
      <c r="M127" s="26"/>
      <c r="N127" s="26"/>
      <c r="O127" s="26"/>
      <c r="P127" s="26"/>
      <c r="Q127" s="26"/>
      <c r="R127" s="26"/>
      <c r="S127" s="26"/>
      <c r="T127" s="26"/>
      <c r="U127" s="26"/>
    </row>
    <row r="128" spans="2:21">
      <c r="B128" s="34" t="s">
        <v>71</v>
      </c>
      <c r="C128" s="130">
        <v>597187.91664976999</v>
      </c>
      <c r="D128" s="98"/>
      <c r="E128" s="139">
        <f t="shared" si="18"/>
        <v>398125.27776651335</v>
      </c>
      <c r="F128" s="139">
        <f t="shared" si="19"/>
        <v>199062.63888325667</v>
      </c>
      <c r="G128" s="139">
        <v>0</v>
      </c>
      <c r="H128" s="139">
        <v>0</v>
      </c>
      <c r="I128" s="139">
        <v>0</v>
      </c>
      <c r="J128" s="26"/>
      <c r="K128" s="26"/>
      <c r="L128" s="26"/>
      <c r="M128" s="26"/>
      <c r="N128" s="26"/>
      <c r="O128" s="26"/>
      <c r="P128" s="26"/>
      <c r="Q128" s="26"/>
      <c r="R128" s="26"/>
      <c r="S128" s="26"/>
      <c r="T128" s="26"/>
      <c r="U128" s="26"/>
    </row>
    <row r="129" spans="2:21">
      <c r="B129" s="34" t="s">
        <v>91</v>
      </c>
      <c r="C129" s="130">
        <v>24316.159769811893</v>
      </c>
      <c r="D129" s="98"/>
      <c r="E129" s="139">
        <f t="shared" si="18"/>
        <v>16210.773179874595</v>
      </c>
      <c r="F129" s="139">
        <f t="shared" si="19"/>
        <v>8105.3865899372977</v>
      </c>
      <c r="G129" s="139">
        <v>0</v>
      </c>
      <c r="H129" s="139">
        <v>0</v>
      </c>
      <c r="I129" s="139">
        <v>0</v>
      </c>
      <c r="J129" s="26"/>
      <c r="K129" s="26"/>
      <c r="L129" s="26"/>
      <c r="M129" s="26"/>
      <c r="N129" s="26"/>
      <c r="O129" s="26"/>
      <c r="P129" s="26"/>
      <c r="Q129" s="26"/>
      <c r="R129" s="26"/>
      <c r="S129" s="26"/>
      <c r="T129" s="26"/>
      <c r="U129" s="26"/>
    </row>
    <row r="130" spans="2:21">
      <c r="B130" s="34" t="s">
        <v>70</v>
      </c>
      <c r="C130" s="130">
        <v>48632.319539623786</v>
      </c>
      <c r="D130" s="98"/>
      <c r="E130" s="139">
        <f t="shared" si="18"/>
        <v>32421.546359749191</v>
      </c>
      <c r="F130" s="139">
        <f t="shared" si="19"/>
        <v>16210.773179874595</v>
      </c>
      <c r="G130" s="139">
        <v>0</v>
      </c>
      <c r="H130" s="139">
        <v>0</v>
      </c>
      <c r="I130" s="139">
        <v>0</v>
      </c>
      <c r="J130" s="26"/>
      <c r="K130" s="26"/>
      <c r="L130" s="26"/>
      <c r="M130" s="26"/>
      <c r="N130" s="26"/>
      <c r="O130" s="26"/>
      <c r="P130" s="26"/>
      <c r="Q130" s="26"/>
      <c r="R130" s="26"/>
      <c r="S130" s="26"/>
      <c r="T130" s="26"/>
      <c r="U130" s="26"/>
    </row>
    <row r="131" spans="2:21">
      <c r="B131" s="34" t="s">
        <v>462</v>
      </c>
      <c r="C131" s="130">
        <v>0</v>
      </c>
      <c r="D131" s="98"/>
      <c r="E131" s="139">
        <f t="shared" si="18"/>
        <v>0</v>
      </c>
      <c r="F131" s="139">
        <f t="shared" si="19"/>
        <v>0</v>
      </c>
      <c r="G131" s="139">
        <v>0</v>
      </c>
      <c r="H131" s="139">
        <v>0</v>
      </c>
      <c r="I131" s="139">
        <v>0</v>
      </c>
      <c r="J131" s="26"/>
      <c r="K131" s="26"/>
      <c r="L131" s="26"/>
      <c r="M131" s="26"/>
      <c r="N131" s="26"/>
      <c r="O131" s="26"/>
      <c r="P131" s="26"/>
      <c r="Q131" s="26"/>
      <c r="R131" s="26"/>
      <c r="S131" s="26"/>
      <c r="T131" s="26"/>
      <c r="U131" s="26"/>
    </row>
    <row r="132" spans="2:21">
      <c r="B132" s="42" t="s">
        <v>73</v>
      </c>
      <c r="C132" s="129"/>
      <c r="D132" s="98"/>
      <c r="E132" s="140"/>
      <c r="F132" s="140"/>
      <c r="G132" s="140"/>
      <c r="H132" s="140"/>
      <c r="I132" s="140"/>
      <c r="J132" s="26"/>
      <c r="K132" s="26"/>
      <c r="L132" s="26"/>
      <c r="M132" s="26"/>
      <c r="N132" s="26"/>
      <c r="O132" s="26"/>
      <c r="P132" s="26"/>
      <c r="Q132" s="26"/>
      <c r="R132" s="26"/>
      <c r="S132" s="26"/>
      <c r="T132" s="26"/>
      <c r="U132" s="26"/>
    </row>
    <row r="133" spans="2:21">
      <c r="B133" s="34" t="s">
        <v>35</v>
      </c>
      <c r="C133" s="130">
        <v>14589.695861887136</v>
      </c>
      <c r="D133" s="98"/>
      <c r="E133" s="139">
        <f>SUM(C133/3)*2</f>
        <v>9726.4639079247572</v>
      </c>
      <c r="F133" s="139">
        <f>SUM(C133/3)</f>
        <v>4863.2319539623786</v>
      </c>
      <c r="G133" s="139">
        <v>0</v>
      </c>
      <c r="H133" s="139">
        <v>0</v>
      </c>
      <c r="I133" s="139">
        <v>0</v>
      </c>
      <c r="J133" s="26"/>
      <c r="K133" s="26"/>
      <c r="L133" s="26"/>
      <c r="M133" s="26"/>
      <c r="N133" s="26"/>
      <c r="O133" s="26"/>
      <c r="P133" s="26"/>
      <c r="Q133" s="26"/>
      <c r="R133" s="26"/>
      <c r="S133" s="26"/>
      <c r="T133" s="26"/>
      <c r="U133" s="26"/>
    </row>
    <row r="134" spans="2:21">
      <c r="B134" s="34" t="s">
        <v>38</v>
      </c>
      <c r="C134" s="130">
        <v>38900</v>
      </c>
      <c r="D134" s="98"/>
      <c r="E134" s="139">
        <f t="shared" ref="E134:E142" si="20">SUM(C134/3)*2</f>
        <v>25933.333333333332</v>
      </c>
      <c r="F134" s="139">
        <f t="shared" ref="F134:F142" si="21">SUM(C134/3)</f>
        <v>12966.666666666666</v>
      </c>
      <c r="G134" s="139">
        <v>0</v>
      </c>
      <c r="H134" s="139">
        <v>0</v>
      </c>
      <c r="I134" s="139">
        <v>0</v>
      </c>
      <c r="J134" s="26"/>
      <c r="K134" s="26"/>
      <c r="L134" s="26"/>
      <c r="M134" s="26"/>
      <c r="N134" s="26"/>
      <c r="O134" s="26"/>
      <c r="P134" s="26"/>
      <c r="Q134" s="26"/>
      <c r="R134" s="26"/>
      <c r="S134" s="26"/>
      <c r="T134" s="26"/>
      <c r="U134" s="26"/>
    </row>
    <row r="135" spans="2:21">
      <c r="B135" s="34" t="s">
        <v>510</v>
      </c>
      <c r="C135" s="130">
        <v>116717.56689509709</v>
      </c>
      <c r="D135" s="98"/>
      <c r="E135" s="139">
        <f t="shared" si="20"/>
        <v>77811.711263398058</v>
      </c>
      <c r="F135" s="139">
        <f t="shared" si="21"/>
        <v>38905.855631699029</v>
      </c>
      <c r="G135" s="139">
        <v>0</v>
      </c>
      <c r="H135" s="139">
        <v>0</v>
      </c>
      <c r="I135" s="139">
        <v>0</v>
      </c>
      <c r="J135" s="26"/>
      <c r="K135" s="26"/>
      <c r="L135" s="26"/>
      <c r="M135" s="26"/>
      <c r="N135" s="26"/>
      <c r="O135" s="26"/>
      <c r="P135" s="26"/>
      <c r="Q135" s="26"/>
      <c r="R135" s="26"/>
      <c r="S135" s="26"/>
      <c r="T135" s="26"/>
      <c r="U135" s="26"/>
    </row>
    <row r="136" spans="2:21">
      <c r="B136" s="34" t="s">
        <v>463</v>
      </c>
      <c r="C136" s="130">
        <v>93374.053516077678</v>
      </c>
      <c r="D136" s="98"/>
      <c r="E136" s="139">
        <f t="shared" si="20"/>
        <v>62249.369010718452</v>
      </c>
      <c r="F136" s="139">
        <f t="shared" si="21"/>
        <v>31124.684505359226</v>
      </c>
      <c r="G136" s="139">
        <v>0</v>
      </c>
      <c r="H136" s="139">
        <v>0</v>
      </c>
      <c r="I136" s="139">
        <v>0</v>
      </c>
      <c r="J136" s="26"/>
      <c r="K136" s="26"/>
      <c r="L136" s="26"/>
      <c r="M136" s="26"/>
      <c r="N136" s="26"/>
      <c r="O136" s="26"/>
      <c r="P136" s="26"/>
      <c r="Q136" s="26"/>
      <c r="R136" s="26"/>
      <c r="S136" s="26"/>
      <c r="T136" s="26"/>
      <c r="U136" s="26"/>
    </row>
    <row r="137" spans="2:21">
      <c r="B137" s="34" t="s">
        <v>509</v>
      </c>
      <c r="C137" s="130">
        <v>85000</v>
      </c>
      <c r="D137" s="98"/>
      <c r="E137" s="139">
        <f t="shared" si="20"/>
        <v>56666.666666666664</v>
      </c>
      <c r="F137" s="139">
        <f t="shared" si="21"/>
        <v>28333.333333333332</v>
      </c>
      <c r="G137" s="139">
        <v>0</v>
      </c>
      <c r="H137" s="139">
        <v>0</v>
      </c>
      <c r="I137" s="139">
        <v>0</v>
      </c>
      <c r="J137" s="26"/>
      <c r="K137" s="26"/>
      <c r="L137" s="26"/>
      <c r="M137" s="26"/>
      <c r="N137" s="26"/>
      <c r="O137" s="26"/>
      <c r="P137" s="26"/>
      <c r="Q137" s="26"/>
      <c r="R137" s="26"/>
      <c r="S137" s="26"/>
      <c r="T137" s="26"/>
      <c r="U137" s="26"/>
    </row>
    <row r="138" spans="2:21">
      <c r="B138" s="34" t="s">
        <v>74</v>
      </c>
      <c r="C138" s="130">
        <v>39878.502022491506</v>
      </c>
      <c r="D138" s="98"/>
      <c r="E138" s="139">
        <f t="shared" si="20"/>
        <v>26585.668014994339</v>
      </c>
      <c r="F138" s="139">
        <f t="shared" si="21"/>
        <v>13292.834007497169</v>
      </c>
      <c r="G138" s="139">
        <v>0</v>
      </c>
      <c r="H138" s="139">
        <v>0</v>
      </c>
      <c r="I138" s="139">
        <v>0</v>
      </c>
      <c r="J138" s="26"/>
      <c r="K138" s="26"/>
      <c r="L138" s="26"/>
      <c r="M138" s="26"/>
      <c r="N138" s="26"/>
      <c r="O138" s="26"/>
      <c r="P138" s="26"/>
      <c r="Q138" s="26"/>
      <c r="R138" s="26"/>
      <c r="S138" s="26"/>
      <c r="T138" s="26"/>
      <c r="U138" s="26"/>
    </row>
    <row r="139" spans="2:21">
      <c r="B139" s="34" t="s">
        <v>72</v>
      </c>
      <c r="C139" s="130">
        <v>14589.695861887136</v>
      </c>
      <c r="D139" s="98"/>
      <c r="E139" s="139">
        <f t="shared" si="20"/>
        <v>9726.4639079247572</v>
      </c>
      <c r="F139" s="139">
        <f t="shared" si="21"/>
        <v>4863.2319539623786</v>
      </c>
      <c r="G139" s="139">
        <v>0</v>
      </c>
      <c r="H139" s="139">
        <v>0</v>
      </c>
      <c r="I139" s="139">
        <v>0</v>
      </c>
      <c r="J139" s="26"/>
      <c r="K139" s="26"/>
      <c r="L139" s="26"/>
      <c r="M139" s="26"/>
      <c r="N139" s="26"/>
      <c r="O139" s="26"/>
      <c r="P139" s="26"/>
      <c r="Q139" s="26"/>
      <c r="R139" s="26"/>
      <c r="S139" s="26"/>
      <c r="T139" s="26"/>
      <c r="U139" s="26"/>
    </row>
    <row r="140" spans="2:21">
      <c r="B140" s="34" t="s">
        <v>75</v>
      </c>
      <c r="C140" s="130">
        <v>2278.771544142372</v>
      </c>
      <c r="D140" s="98"/>
      <c r="E140" s="139">
        <f t="shared" si="20"/>
        <v>1519.1810294282479</v>
      </c>
      <c r="F140" s="139">
        <f t="shared" si="21"/>
        <v>759.59051471412397</v>
      </c>
      <c r="G140" s="139">
        <v>0</v>
      </c>
      <c r="H140" s="139">
        <v>0</v>
      </c>
      <c r="I140" s="139">
        <v>0</v>
      </c>
      <c r="J140" s="26"/>
      <c r="K140" s="26"/>
      <c r="L140" s="26"/>
      <c r="M140" s="26"/>
      <c r="N140" s="26"/>
      <c r="O140" s="26"/>
      <c r="P140" s="26"/>
      <c r="Q140" s="26"/>
      <c r="R140" s="26"/>
      <c r="S140" s="26"/>
      <c r="T140" s="26"/>
      <c r="U140" s="26"/>
    </row>
    <row r="141" spans="2:21">
      <c r="B141" s="34" t="s">
        <v>76</v>
      </c>
      <c r="C141" s="130">
        <v>1139.385772071186</v>
      </c>
      <c r="D141" s="98"/>
      <c r="E141" s="139">
        <f t="shared" si="20"/>
        <v>759.59051471412397</v>
      </c>
      <c r="F141" s="139">
        <f t="shared" si="21"/>
        <v>379.79525735706198</v>
      </c>
      <c r="G141" s="139">
        <v>0</v>
      </c>
      <c r="H141" s="139">
        <v>0</v>
      </c>
      <c r="I141" s="139">
        <v>0</v>
      </c>
      <c r="J141" s="26"/>
      <c r="K141" s="26"/>
      <c r="L141" s="26"/>
      <c r="M141" s="26"/>
      <c r="N141" s="26"/>
      <c r="O141" s="26"/>
      <c r="P141" s="26"/>
      <c r="Q141" s="26"/>
      <c r="R141" s="26"/>
      <c r="S141" s="26"/>
      <c r="T141" s="26"/>
      <c r="U141" s="26"/>
    </row>
    <row r="142" spans="2:21">
      <c r="B142" s="34" t="s">
        <v>85</v>
      </c>
      <c r="C142" s="130">
        <v>58358.783447548543</v>
      </c>
      <c r="D142" s="98"/>
      <c r="E142" s="139">
        <f t="shared" si="20"/>
        <v>38905.855631699029</v>
      </c>
      <c r="F142" s="139">
        <f t="shared" si="21"/>
        <v>19452.927815849514</v>
      </c>
      <c r="G142" s="139">
        <v>0</v>
      </c>
      <c r="H142" s="139">
        <v>0</v>
      </c>
      <c r="I142" s="139">
        <v>0</v>
      </c>
      <c r="J142" s="26"/>
      <c r="K142" s="26"/>
      <c r="L142" s="26"/>
      <c r="M142" s="26"/>
      <c r="N142" s="26"/>
      <c r="O142" s="26"/>
      <c r="P142" s="26"/>
      <c r="Q142" s="26"/>
      <c r="R142" s="26"/>
      <c r="S142" s="26"/>
      <c r="T142" s="26"/>
      <c r="U142" s="26"/>
    </row>
    <row r="143" spans="2:21">
      <c r="B143" s="42" t="s">
        <v>111</v>
      </c>
      <c r="C143" s="129"/>
      <c r="D143" s="98"/>
      <c r="E143" s="140"/>
      <c r="F143" s="140"/>
      <c r="G143" s="140"/>
      <c r="H143" s="140"/>
      <c r="I143" s="140"/>
      <c r="J143" s="26"/>
      <c r="K143" s="26"/>
      <c r="L143" s="26"/>
      <c r="M143" s="26"/>
      <c r="N143" s="26"/>
      <c r="O143" s="26"/>
      <c r="P143" s="26"/>
      <c r="Q143" s="26"/>
      <c r="R143" s="26"/>
      <c r="S143" s="26"/>
      <c r="T143" s="26"/>
      <c r="U143" s="26"/>
    </row>
    <row r="144" spans="2:21">
      <c r="B144" s="34" t="s">
        <v>86</v>
      </c>
      <c r="C144" s="130">
        <v>9726.4639079247572</v>
      </c>
      <c r="D144" s="98"/>
      <c r="E144" s="139">
        <f>SUM(C144/3)*2</f>
        <v>6484.3092719498381</v>
      </c>
      <c r="F144" s="139">
        <f>SUM(C144/3)</f>
        <v>3242.1546359749191</v>
      </c>
      <c r="G144" s="139">
        <v>0</v>
      </c>
      <c r="H144" s="139">
        <v>0</v>
      </c>
      <c r="I144" s="139">
        <v>0</v>
      </c>
      <c r="J144" s="26"/>
      <c r="K144" s="26"/>
      <c r="L144" s="26"/>
      <c r="M144" s="26"/>
      <c r="N144" s="26"/>
      <c r="O144" s="26"/>
      <c r="P144" s="26"/>
      <c r="Q144" s="26"/>
      <c r="R144" s="26"/>
      <c r="S144" s="26"/>
      <c r="T144" s="26"/>
      <c r="U144" s="26"/>
    </row>
    <row r="145" spans="2:21">
      <c r="B145" s="34" t="s">
        <v>77</v>
      </c>
      <c r="C145" s="130">
        <v>28632.319539623801</v>
      </c>
      <c r="D145" s="98"/>
      <c r="E145" s="139">
        <f>SUM(C145/3)*2</f>
        <v>19088.213026415866</v>
      </c>
      <c r="F145" s="139">
        <f>SUM(C145/3)</f>
        <v>9544.1065132079329</v>
      </c>
      <c r="G145" s="139">
        <v>0</v>
      </c>
      <c r="H145" s="139">
        <v>0</v>
      </c>
      <c r="I145" s="139">
        <v>0</v>
      </c>
      <c r="J145" s="26"/>
      <c r="K145" s="26"/>
      <c r="L145" s="26"/>
      <c r="M145" s="26"/>
      <c r="N145" s="26"/>
      <c r="O145" s="26"/>
      <c r="P145" s="26"/>
      <c r="Q145" s="26"/>
      <c r="R145" s="26"/>
      <c r="S145" s="26"/>
      <c r="T145" s="26"/>
      <c r="U145" s="26"/>
    </row>
    <row r="146" spans="2:21">
      <c r="B146" s="42" t="s">
        <v>87</v>
      </c>
      <c r="C146" s="125"/>
      <c r="D146" s="98"/>
      <c r="E146" s="145"/>
      <c r="F146" s="145"/>
      <c r="G146" s="145"/>
      <c r="H146" s="145"/>
      <c r="I146" s="145"/>
      <c r="J146" s="26"/>
      <c r="K146" s="26"/>
      <c r="L146" s="26"/>
      <c r="M146" s="26"/>
      <c r="N146" s="26"/>
      <c r="O146" s="26"/>
      <c r="P146" s="26"/>
      <c r="Q146" s="26"/>
      <c r="R146" s="26"/>
      <c r="S146" s="26"/>
      <c r="T146" s="26"/>
      <c r="U146" s="26"/>
    </row>
    <row r="147" spans="2:21">
      <c r="B147" s="34" t="s">
        <v>87</v>
      </c>
      <c r="C147" s="130">
        <v>218845.43792830704</v>
      </c>
      <c r="D147" s="98"/>
      <c r="E147" s="139">
        <f>SUM(C147/3)*2</f>
        <v>145896.95861887137</v>
      </c>
      <c r="F147" s="139">
        <f>SUM(C147/3)</f>
        <v>72948.479309435686</v>
      </c>
      <c r="G147" s="139">
        <v>0</v>
      </c>
      <c r="H147" s="139">
        <v>0</v>
      </c>
      <c r="I147" s="139">
        <v>0</v>
      </c>
      <c r="J147" s="26"/>
      <c r="K147" s="26"/>
      <c r="L147" s="26"/>
      <c r="M147" s="26"/>
      <c r="N147" s="26"/>
      <c r="O147" s="26"/>
      <c r="P147" s="26"/>
      <c r="Q147" s="26"/>
      <c r="R147" s="26"/>
      <c r="S147" s="26"/>
      <c r="T147" s="26"/>
      <c r="U147" s="26"/>
    </row>
    <row r="148" spans="2:21">
      <c r="B148" s="42" t="s">
        <v>184</v>
      </c>
      <c r="C148" s="129"/>
      <c r="D148" s="98"/>
      <c r="E148" s="140"/>
      <c r="F148" s="140"/>
      <c r="G148" s="140"/>
      <c r="H148" s="140"/>
      <c r="I148" s="140"/>
      <c r="J148" s="26"/>
      <c r="K148" s="26"/>
      <c r="L148" s="26"/>
      <c r="M148" s="26"/>
      <c r="N148" s="26"/>
      <c r="O148" s="26"/>
      <c r="P148" s="26"/>
      <c r="Q148" s="26"/>
      <c r="R148" s="26"/>
      <c r="S148" s="26"/>
      <c r="T148" s="26"/>
      <c r="U148" s="26"/>
    </row>
    <row r="149" spans="2:21">
      <c r="B149" s="34" t="s">
        <v>81</v>
      </c>
      <c r="C149" s="130">
        <f>SUM(D153)*1.5/100</f>
        <v>39170.506268197358</v>
      </c>
      <c r="D149" s="98"/>
      <c r="E149" s="139">
        <f>SUM(C149/3)*2</f>
        <v>26113.670845464905</v>
      </c>
      <c r="F149" s="139">
        <f>SUM(C149/3)</f>
        <v>13056.835422732453</v>
      </c>
      <c r="G149" s="139">
        <v>0</v>
      </c>
      <c r="H149" s="139">
        <v>0</v>
      </c>
      <c r="I149" s="139">
        <v>0</v>
      </c>
      <c r="J149" s="26"/>
      <c r="K149" s="26"/>
      <c r="L149" s="26"/>
      <c r="M149" s="26"/>
      <c r="N149" s="26"/>
      <c r="O149" s="26"/>
      <c r="P149" s="26"/>
      <c r="Q149" s="26"/>
      <c r="R149" s="26"/>
      <c r="S149" s="26"/>
      <c r="T149" s="26"/>
      <c r="U149" s="26"/>
    </row>
    <row r="150" spans="2:21">
      <c r="B150" s="34" t="s">
        <v>82</v>
      </c>
      <c r="C150" s="130">
        <f>SUM(D153)*2.5/100</f>
        <v>65284.17711366227</v>
      </c>
      <c r="D150" s="617"/>
      <c r="E150" s="139">
        <f t="shared" ref="E150:E152" si="22">SUM(C150/3)*2</f>
        <v>43522.784742441516</v>
      </c>
      <c r="F150" s="139">
        <f t="shared" ref="F150:F152" si="23">SUM(C150/3)</f>
        <v>21761.392371220758</v>
      </c>
      <c r="G150" s="139">
        <v>0</v>
      </c>
      <c r="H150" s="139">
        <v>0</v>
      </c>
      <c r="I150" s="139">
        <v>0</v>
      </c>
      <c r="J150" s="26"/>
      <c r="K150" s="26"/>
      <c r="L150" s="26"/>
      <c r="M150" s="26"/>
      <c r="N150" s="26"/>
      <c r="O150" s="26"/>
      <c r="P150" s="26"/>
      <c r="Q150" s="26"/>
      <c r="R150" s="26"/>
      <c r="S150" s="26"/>
      <c r="T150" s="26"/>
      <c r="U150" s="26"/>
    </row>
    <row r="151" spans="2:21">
      <c r="B151" s="34" t="s">
        <v>83</v>
      </c>
      <c r="C151" s="130">
        <f>SUM(D153)*6/100</f>
        <v>156682.02507278943</v>
      </c>
      <c r="D151" s="98"/>
      <c r="E151" s="139">
        <f t="shared" si="22"/>
        <v>104454.68338185962</v>
      </c>
      <c r="F151" s="139">
        <f t="shared" si="23"/>
        <v>52227.34169092981</v>
      </c>
      <c r="G151" s="139">
        <v>0</v>
      </c>
      <c r="H151" s="139">
        <v>0</v>
      </c>
      <c r="I151" s="139">
        <v>0</v>
      </c>
      <c r="J151" s="26"/>
      <c r="K151" s="26"/>
      <c r="L151" s="26"/>
      <c r="M151" s="26"/>
      <c r="N151" s="26"/>
      <c r="O151" s="26"/>
      <c r="P151" s="26"/>
      <c r="Q151" s="26"/>
      <c r="R151" s="26"/>
      <c r="S151" s="26"/>
      <c r="T151" s="26"/>
      <c r="U151" s="26"/>
    </row>
    <row r="152" spans="2:21" outlineLevel="2">
      <c r="B152" s="33" t="s">
        <v>65</v>
      </c>
      <c r="C152" s="130">
        <f>SUM(D153*5/100)</f>
        <v>130568.35422732454</v>
      </c>
      <c r="D152" s="98"/>
      <c r="E152" s="139">
        <f t="shared" si="22"/>
        <v>87045.569484883032</v>
      </c>
      <c r="F152" s="139">
        <f t="shared" si="23"/>
        <v>43522.784742441516</v>
      </c>
      <c r="G152" s="139">
        <v>0</v>
      </c>
      <c r="H152" s="139">
        <v>0</v>
      </c>
      <c r="I152" s="139">
        <v>0</v>
      </c>
      <c r="J152" s="26"/>
      <c r="K152" s="26"/>
      <c r="L152" s="26"/>
      <c r="M152" s="26"/>
      <c r="N152" s="26"/>
      <c r="O152" s="26"/>
      <c r="P152" s="26"/>
      <c r="Q152" s="26"/>
      <c r="R152" s="26"/>
      <c r="S152" s="26"/>
      <c r="T152" s="26"/>
      <c r="U152" s="26"/>
    </row>
    <row r="153" spans="2:21" ht="20" thickBot="1">
      <c r="B153" s="31" t="str">
        <f>"Subtotal "&amp;B118</f>
        <v>Subtotal Dairy Farm</v>
      </c>
      <c r="C153" s="131">
        <f>SUM(C120:C152)</f>
        <v>3003072.147228464</v>
      </c>
      <c r="D153" s="614">
        <f>SUM(C120:C147)</f>
        <v>2611367.0845464906</v>
      </c>
      <c r="E153" s="141">
        <f>SUM(E120:E152)</f>
        <v>2002048.0981523094</v>
      </c>
      <c r="F153" s="141">
        <f>SUM(F120:F152)</f>
        <v>1001024.0490761547</v>
      </c>
      <c r="G153" s="141">
        <f>SUM(G120:G152)</f>
        <v>0</v>
      </c>
      <c r="H153" s="141">
        <f>SUM(H120:H152)</f>
        <v>0</v>
      </c>
      <c r="I153" s="141">
        <v>0</v>
      </c>
      <c r="J153" s="26"/>
      <c r="K153" s="26"/>
      <c r="L153" s="26"/>
      <c r="M153" s="26"/>
      <c r="N153" s="26"/>
      <c r="O153" s="26"/>
      <c r="P153" s="26"/>
      <c r="Q153" s="26"/>
      <c r="R153" s="26"/>
      <c r="S153" s="26"/>
      <c r="T153" s="26"/>
      <c r="U153" s="26"/>
    </row>
    <row r="154" spans="2:21">
      <c r="B154" s="35"/>
      <c r="C154" s="123"/>
      <c r="D154" s="100"/>
      <c r="E154" s="142"/>
      <c r="F154" s="142"/>
      <c r="G154" s="142"/>
      <c r="H154" s="142"/>
      <c r="I154" s="142"/>
      <c r="J154" s="26"/>
      <c r="K154" s="26"/>
      <c r="L154" s="26"/>
      <c r="M154" s="26"/>
      <c r="N154" s="26"/>
      <c r="O154" s="26"/>
      <c r="P154" s="26"/>
      <c r="Q154" s="26"/>
      <c r="R154" s="26"/>
      <c r="S154" s="26"/>
      <c r="T154" s="26"/>
      <c r="U154" s="26"/>
    </row>
    <row r="155" spans="2:21" ht="20" outlineLevel="1" thickBot="1">
      <c r="B155" s="30" t="s">
        <v>176</v>
      </c>
      <c r="C155" s="128"/>
      <c r="D155" s="101"/>
      <c r="E155" s="143"/>
      <c r="F155" s="143"/>
      <c r="G155" s="143"/>
      <c r="H155" s="143"/>
      <c r="I155" s="143"/>
      <c r="J155" s="26"/>
      <c r="K155" s="26"/>
      <c r="L155" s="26"/>
      <c r="M155" s="26"/>
      <c r="N155" s="26"/>
      <c r="O155" s="26"/>
      <c r="P155" s="26"/>
      <c r="Q155" s="26"/>
      <c r="R155" s="26"/>
      <c r="S155" s="26"/>
      <c r="T155" s="26"/>
      <c r="U155" s="26"/>
    </row>
    <row r="156" spans="2:21">
      <c r="B156" s="42" t="s">
        <v>177</v>
      </c>
      <c r="C156" s="129"/>
      <c r="D156" s="98"/>
      <c r="E156" s="140"/>
      <c r="F156" s="140"/>
      <c r="G156" s="140"/>
      <c r="H156" s="140"/>
      <c r="I156" s="140"/>
      <c r="J156" s="26"/>
      <c r="K156" s="26"/>
      <c r="L156" s="26"/>
      <c r="M156" s="26"/>
      <c r="N156" s="26"/>
      <c r="O156" s="26"/>
      <c r="P156" s="26"/>
      <c r="Q156" s="26"/>
      <c r="R156" s="26"/>
      <c r="S156" s="26"/>
      <c r="T156" s="26"/>
      <c r="U156" s="26"/>
    </row>
    <row r="157" spans="2:21">
      <c r="B157" s="34" t="s">
        <v>66</v>
      </c>
      <c r="C157" s="130">
        <v>4863.2319539623786</v>
      </c>
      <c r="D157" s="98"/>
      <c r="E157" s="139">
        <f>SUM(C157/3)*2</f>
        <v>3242.1546359749191</v>
      </c>
      <c r="F157" s="139">
        <f>SUM(C157/3)</f>
        <v>1621.0773179874595</v>
      </c>
      <c r="G157" s="139">
        <v>0</v>
      </c>
      <c r="H157" s="139">
        <v>0</v>
      </c>
      <c r="I157" s="139">
        <v>0</v>
      </c>
      <c r="J157" s="26"/>
      <c r="K157" s="26"/>
      <c r="L157" s="26"/>
      <c r="M157" s="26"/>
      <c r="N157" s="26"/>
      <c r="O157" s="26"/>
      <c r="P157" s="26"/>
      <c r="Q157" s="26"/>
      <c r="R157" s="26"/>
      <c r="S157" s="26"/>
      <c r="T157" s="26"/>
      <c r="U157" s="26"/>
    </row>
    <row r="158" spans="2:21">
      <c r="B158" s="34" t="s">
        <v>79</v>
      </c>
      <c r="C158" s="130">
        <v>73938.577207119</v>
      </c>
      <c r="D158" s="98"/>
      <c r="E158" s="139">
        <f t="shared" ref="E158:E164" si="24">SUM(C158/3)*2</f>
        <v>49292.384804745998</v>
      </c>
      <c r="F158" s="139">
        <f t="shared" ref="F158:F164" si="25">SUM(C158/3)</f>
        <v>24646.192402372999</v>
      </c>
      <c r="G158" s="139">
        <v>0</v>
      </c>
      <c r="H158" s="139">
        <v>0</v>
      </c>
      <c r="I158" s="139">
        <v>0</v>
      </c>
      <c r="J158" s="26"/>
      <c r="K158" s="26"/>
      <c r="L158" s="26"/>
      <c r="M158" s="26"/>
      <c r="N158" s="26"/>
      <c r="O158" s="26"/>
      <c r="P158" s="26"/>
      <c r="Q158" s="26"/>
      <c r="R158" s="26"/>
      <c r="S158" s="26"/>
      <c r="T158" s="26"/>
      <c r="U158" s="26"/>
    </row>
    <row r="159" spans="2:21">
      <c r="B159" s="34" t="s">
        <v>461</v>
      </c>
      <c r="C159" s="130">
        <v>0</v>
      </c>
      <c r="D159" s="98"/>
      <c r="E159" s="139">
        <f t="shared" si="24"/>
        <v>0</v>
      </c>
      <c r="F159" s="139">
        <f t="shared" si="25"/>
        <v>0</v>
      </c>
      <c r="G159" s="139">
        <v>0</v>
      </c>
      <c r="H159" s="139">
        <v>0</v>
      </c>
      <c r="I159" s="139">
        <v>0</v>
      </c>
      <c r="J159" s="26"/>
      <c r="K159" s="26"/>
      <c r="L159" s="26"/>
      <c r="M159" s="26"/>
      <c r="N159" s="26"/>
      <c r="O159" s="26"/>
      <c r="P159" s="26"/>
      <c r="Q159" s="26"/>
      <c r="R159" s="26"/>
      <c r="S159" s="26"/>
      <c r="T159" s="26"/>
      <c r="U159" s="26"/>
    </row>
    <row r="160" spans="2:21">
      <c r="B160" s="34" t="s">
        <v>80</v>
      </c>
      <c r="C160" s="130">
        <v>28484.644301779648</v>
      </c>
      <c r="D160" s="98"/>
      <c r="E160" s="139">
        <f t="shared" si="24"/>
        <v>18989.7628678531</v>
      </c>
      <c r="F160" s="139">
        <f t="shared" si="25"/>
        <v>9494.88143392655</v>
      </c>
      <c r="G160" s="139">
        <v>0</v>
      </c>
      <c r="H160" s="139">
        <v>0</v>
      </c>
      <c r="I160" s="139">
        <v>0</v>
      </c>
      <c r="J160" s="26"/>
      <c r="K160" s="26"/>
      <c r="L160" s="26"/>
      <c r="M160" s="26"/>
      <c r="N160" s="26"/>
      <c r="O160" s="26"/>
      <c r="P160" s="26"/>
      <c r="Q160" s="26"/>
      <c r="R160" s="26"/>
      <c r="S160" s="26"/>
      <c r="T160" s="26"/>
      <c r="U160" s="26"/>
    </row>
    <row r="161" spans="2:21">
      <c r="B161" s="34" t="s">
        <v>91</v>
      </c>
      <c r="C161" s="130">
        <v>24316.159769811893</v>
      </c>
      <c r="D161" s="98"/>
      <c r="E161" s="139">
        <f t="shared" si="24"/>
        <v>16210.773179874595</v>
      </c>
      <c r="F161" s="139">
        <f t="shared" si="25"/>
        <v>8105.3865899372977</v>
      </c>
      <c r="G161" s="139">
        <v>0</v>
      </c>
      <c r="H161" s="139">
        <v>0</v>
      </c>
      <c r="I161" s="139">
        <v>0</v>
      </c>
      <c r="J161" s="26"/>
      <c r="K161" s="26"/>
      <c r="L161" s="26"/>
      <c r="M161" s="26"/>
      <c r="N161" s="26"/>
      <c r="O161" s="26"/>
      <c r="P161" s="26"/>
      <c r="Q161" s="26"/>
      <c r="R161" s="26"/>
      <c r="S161" s="26"/>
      <c r="T161" s="26"/>
      <c r="U161" s="26"/>
    </row>
    <row r="162" spans="2:21">
      <c r="B162" s="34" t="s">
        <v>467</v>
      </c>
      <c r="C162" s="130">
        <v>47877.154414236997</v>
      </c>
      <c r="D162" s="98"/>
      <c r="E162" s="139">
        <f t="shared" si="24"/>
        <v>31918.102942824666</v>
      </c>
      <c r="F162" s="139">
        <f t="shared" si="25"/>
        <v>15959.051471412333</v>
      </c>
      <c r="G162" s="139">
        <v>0</v>
      </c>
      <c r="H162" s="139">
        <v>0</v>
      </c>
      <c r="I162" s="139">
        <v>0</v>
      </c>
      <c r="J162" s="26"/>
      <c r="K162" s="26"/>
      <c r="L162" s="26"/>
      <c r="M162" s="26"/>
      <c r="N162" s="26"/>
      <c r="O162" s="26"/>
      <c r="P162" s="26"/>
      <c r="Q162" s="26"/>
      <c r="R162" s="26"/>
      <c r="S162" s="26"/>
      <c r="T162" s="26"/>
      <c r="U162" s="26"/>
    </row>
    <row r="163" spans="2:21">
      <c r="B163" s="34" t="s">
        <v>470</v>
      </c>
      <c r="C163" s="130">
        <v>1918000</v>
      </c>
      <c r="D163" s="98"/>
      <c r="E163" s="139">
        <f t="shared" si="24"/>
        <v>1278666.6666666667</v>
      </c>
      <c r="F163" s="139">
        <f t="shared" si="25"/>
        <v>639333.33333333337</v>
      </c>
      <c r="G163" s="139">
        <v>0</v>
      </c>
      <c r="H163" s="139">
        <v>0</v>
      </c>
      <c r="I163" s="139">
        <v>0</v>
      </c>
      <c r="J163" s="26"/>
      <c r="K163" s="26"/>
      <c r="L163" s="26"/>
      <c r="M163" s="26"/>
      <c r="N163" s="26"/>
      <c r="O163" s="26"/>
      <c r="P163" s="26"/>
      <c r="Q163" s="26"/>
      <c r="R163" s="26"/>
      <c r="S163" s="26"/>
      <c r="T163" s="26"/>
      <c r="U163" s="26"/>
    </row>
    <row r="164" spans="2:21">
      <c r="B164" s="34" t="s">
        <v>462</v>
      </c>
      <c r="C164" s="130">
        <v>0</v>
      </c>
      <c r="D164" s="98"/>
      <c r="E164" s="139">
        <f t="shared" si="24"/>
        <v>0</v>
      </c>
      <c r="F164" s="139">
        <f t="shared" si="25"/>
        <v>0</v>
      </c>
      <c r="G164" s="139">
        <v>0</v>
      </c>
      <c r="H164" s="139">
        <v>0</v>
      </c>
      <c r="I164" s="139">
        <v>0</v>
      </c>
      <c r="J164" s="26"/>
      <c r="K164" s="26"/>
      <c r="L164" s="26"/>
      <c r="M164" s="26"/>
      <c r="N164" s="26"/>
      <c r="O164" s="26"/>
      <c r="P164" s="26"/>
      <c r="Q164" s="26"/>
      <c r="R164" s="26"/>
      <c r="S164" s="26"/>
      <c r="T164" s="26"/>
      <c r="U164" s="26"/>
    </row>
    <row r="165" spans="2:21">
      <c r="B165" s="42" t="s">
        <v>178</v>
      </c>
      <c r="C165" s="129"/>
      <c r="D165" s="98"/>
      <c r="E165" s="140"/>
      <c r="F165" s="140"/>
      <c r="G165" s="140"/>
      <c r="H165" s="140"/>
      <c r="I165" s="140"/>
      <c r="J165" s="26"/>
      <c r="K165" s="26"/>
      <c r="L165" s="26"/>
      <c r="M165" s="26"/>
      <c r="N165" s="26"/>
      <c r="O165" s="26"/>
      <c r="P165" s="26"/>
      <c r="Q165" s="26"/>
      <c r="R165" s="26"/>
      <c r="S165" s="26"/>
      <c r="T165" s="26"/>
      <c r="U165" s="26"/>
    </row>
    <row r="166" spans="2:21">
      <c r="B166" s="34" t="s">
        <v>86</v>
      </c>
      <c r="C166" s="130">
        <v>9726.4639079247572</v>
      </c>
      <c r="D166" s="98"/>
      <c r="E166" s="139">
        <f>SUM(C166/3)*2</f>
        <v>6484.3092719498381</v>
      </c>
      <c r="F166" s="139">
        <f>SUM(C166/3)</f>
        <v>3242.1546359749191</v>
      </c>
      <c r="G166" s="139">
        <v>0</v>
      </c>
      <c r="H166" s="139">
        <v>0</v>
      </c>
      <c r="I166" s="139">
        <v>0</v>
      </c>
      <c r="J166" s="26"/>
      <c r="K166" s="26"/>
      <c r="L166" s="26"/>
      <c r="M166" s="26"/>
      <c r="N166" s="26"/>
      <c r="O166" s="26"/>
      <c r="P166" s="26"/>
      <c r="Q166" s="26"/>
      <c r="R166" s="26"/>
      <c r="S166" s="26"/>
      <c r="T166" s="26"/>
      <c r="U166" s="26"/>
    </row>
    <row r="167" spans="2:21">
      <c r="B167" s="34" t="s">
        <v>77</v>
      </c>
      <c r="C167" s="130">
        <v>18632.319539623801</v>
      </c>
      <c r="D167" s="98"/>
      <c r="E167" s="139">
        <f>SUM(C167/3)*2</f>
        <v>12421.5463597492</v>
      </c>
      <c r="F167" s="139">
        <f>SUM(C167/3)</f>
        <v>6210.7731798745999</v>
      </c>
      <c r="G167" s="139">
        <v>0</v>
      </c>
      <c r="H167" s="139">
        <v>0</v>
      </c>
      <c r="I167" s="139">
        <v>0</v>
      </c>
      <c r="J167" s="26"/>
      <c r="K167" s="26"/>
      <c r="L167" s="26"/>
      <c r="M167" s="26"/>
      <c r="N167" s="26"/>
      <c r="O167" s="26"/>
      <c r="P167" s="26"/>
      <c r="Q167" s="26"/>
      <c r="R167" s="26"/>
      <c r="S167" s="26"/>
      <c r="T167" s="26"/>
      <c r="U167" s="26"/>
    </row>
    <row r="168" spans="2:21">
      <c r="B168" s="42" t="s">
        <v>73</v>
      </c>
      <c r="C168" s="129"/>
      <c r="D168" s="98"/>
      <c r="E168" s="140"/>
      <c r="F168" s="140"/>
      <c r="G168" s="140"/>
      <c r="H168" s="140"/>
      <c r="I168" s="140"/>
      <c r="J168" s="26"/>
      <c r="K168" s="26"/>
      <c r="L168" s="26"/>
      <c r="M168" s="26"/>
      <c r="N168" s="26"/>
      <c r="O168" s="26"/>
      <c r="P168" s="26"/>
      <c r="Q168" s="26"/>
      <c r="R168" s="26"/>
      <c r="S168" s="26"/>
      <c r="T168" s="26"/>
      <c r="U168" s="26"/>
    </row>
    <row r="169" spans="2:21">
      <c r="B169" s="34" t="s">
        <v>35</v>
      </c>
      <c r="C169" s="130">
        <v>14589.695861887136</v>
      </c>
      <c r="D169" s="98"/>
      <c r="E169" s="139">
        <f>SUM(C169/3)*2</f>
        <v>9726.4639079247572</v>
      </c>
      <c r="F169" s="139">
        <f>SUM(C169/3)</f>
        <v>4863.2319539623786</v>
      </c>
      <c r="G169" s="139">
        <v>0</v>
      </c>
      <c r="H169" s="139">
        <v>0</v>
      </c>
      <c r="I169" s="139">
        <v>0</v>
      </c>
      <c r="J169" s="26"/>
      <c r="K169" s="26"/>
      <c r="L169" s="26"/>
      <c r="M169" s="26"/>
      <c r="N169" s="26"/>
      <c r="O169" s="26"/>
      <c r="P169" s="26"/>
      <c r="Q169" s="26"/>
      <c r="R169" s="26"/>
      <c r="S169" s="26"/>
      <c r="T169" s="26"/>
      <c r="U169" s="26"/>
    </row>
    <row r="170" spans="2:21">
      <c r="B170" s="34" t="s">
        <v>555</v>
      </c>
      <c r="C170" s="130">
        <v>233435.13379019417</v>
      </c>
      <c r="D170" s="98"/>
      <c r="E170" s="139">
        <f t="shared" ref="E170:E171" si="26">SUM(C170/3)*2</f>
        <v>155623.42252679612</v>
      </c>
      <c r="F170" s="139">
        <f t="shared" ref="F170:F171" si="27">SUM(C170/3)</f>
        <v>77811.711263398058</v>
      </c>
      <c r="G170" s="139">
        <v>0</v>
      </c>
      <c r="H170" s="139">
        <v>0</v>
      </c>
      <c r="I170" s="139">
        <v>0</v>
      </c>
      <c r="J170" s="26"/>
      <c r="K170" s="26"/>
      <c r="L170" s="26"/>
      <c r="M170" s="26"/>
      <c r="N170" s="26"/>
      <c r="O170" s="26"/>
      <c r="P170" s="26"/>
      <c r="Q170" s="26"/>
      <c r="R170" s="26"/>
      <c r="S170" s="26"/>
      <c r="T170" s="26"/>
      <c r="U170" s="26"/>
    </row>
    <row r="171" spans="2:21">
      <c r="B171" s="34" t="s">
        <v>38</v>
      </c>
      <c r="C171" s="130">
        <v>38900</v>
      </c>
      <c r="D171" s="98"/>
      <c r="E171" s="139">
        <f t="shared" si="26"/>
        <v>25933.333333333332</v>
      </c>
      <c r="F171" s="139">
        <f t="shared" si="27"/>
        <v>12966.666666666666</v>
      </c>
      <c r="G171" s="139">
        <v>0</v>
      </c>
      <c r="H171" s="139">
        <v>0</v>
      </c>
      <c r="I171" s="139">
        <v>0</v>
      </c>
      <c r="J171" s="26"/>
      <c r="K171" s="26"/>
      <c r="L171" s="26"/>
      <c r="M171" s="26"/>
      <c r="N171" s="26"/>
      <c r="O171" s="26"/>
      <c r="P171" s="26"/>
      <c r="Q171" s="26"/>
      <c r="R171" s="26"/>
      <c r="S171" s="26"/>
      <c r="T171" s="26"/>
      <c r="U171" s="26"/>
    </row>
    <row r="172" spans="2:21">
      <c r="B172" s="42" t="s">
        <v>87</v>
      </c>
      <c r="C172" s="125"/>
      <c r="D172" s="98"/>
      <c r="E172" s="145"/>
      <c r="F172" s="145"/>
      <c r="G172" s="145"/>
      <c r="H172" s="145"/>
      <c r="I172" s="145"/>
      <c r="J172" s="26"/>
      <c r="K172" s="26"/>
      <c r="L172" s="26"/>
      <c r="M172" s="26"/>
      <c r="N172" s="26"/>
      <c r="O172" s="26"/>
      <c r="P172" s="26"/>
      <c r="Q172" s="26"/>
      <c r="R172" s="26"/>
      <c r="S172" s="26"/>
      <c r="T172" s="26"/>
      <c r="U172" s="26"/>
    </row>
    <row r="173" spans="2:21">
      <c r="B173" s="34" t="s">
        <v>87</v>
      </c>
      <c r="C173" s="130">
        <v>273556.79741038382</v>
      </c>
      <c r="D173" s="98"/>
      <c r="E173" s="139">
        <f>SUM(C173/3)*2</f>
        <v>182371.19827358922</v>
      </c>
      <c r="F173" s="139">
        <f>SUM(C173/3)</f>
        <v>91185.599136794612</v>
      </c>
      <c r="G173" s="139">
        <v>0</v>
      </c>
      <c r="H173" s="139">
        <v>0</v>
      </c>
      <c r="I173" s="139">
        <v>0</v>
      </c>
      <c r="J173" s="26"/>
      <c r="K173" s="26"/>
      <c r="L173" s="26"/>
      <c r="M173" s="26"/>
      <c r="N173" s="26"/>
      <c r="O173" s="26"/>
      <c r="P173" s="26"/>
      <c r="Q173" s="26"/>
      <c r="R173" s="26"/>
      <c r="S173" s="26"/>
      <c r="T173" s="26"/>
      <c r="U173" s="26"/>
    </row>
    <row r="174" spans="2:21">
      <c r="B174" s="42" t="s">
        <v>184</v>
      </c>
      <c r="C174" s="129"/>
      <c r="D174" s="98"/>
      <c r="E174" s="140"/>
      <c r="F174" s="140"/>
      <c r="G174" s="140"/>
      <c r="H174" s="140"/>
      <c r="I174" s="140"/>
      <c r="J174" s="26"/>
      <c r="K174" s="26"/>
      <c r="L174" s="26"/>
      <c r="M174" s="26"/>
      <c r="N174" s="26"/>
      <c r="O174" s="26"/>
      <c r="P174" s="26"/>
      <c r="Q174" s="26"/>
      <c r="R174" s="26"/>
      <c r="S174" s="26"/>
      <c r="T174" s="26"/>
      <c r="U174" s="26"/>
    </row>
    <row r="175" spans="2:21">
      <c r="B175" s="34" t="s">
        <v>81</v>
      </c>
      <c r="C175" s="130">
        <f>SUM(D179)*1.5/100</f>
        <v>40294.80267235385</v>
      </c>
      <c r="D175" s="98"/>
      <c r="E175" s="139">
        <f>SUM(C175/3)*2</f>
        <v>26863.201781569234</v>
      </c>
      <c r="F175" s="139">
        <f>SUM(C175/3)</f>
        <v>13431.600890784617</v>
      </c>
      <c r="G175" s="139">
        <v>0</v>
      </c>
      <c r="H175" s="139">
        <v>0</v>
      </c>
      <c r="I175" s="139">
        <v>0</v>
      </c>
      <c r="J175" s="26"/>
      <c r="K175" s="26"/>
      <c r="L175" s="26"/>
      <c r="M175" s="26"/>
      <c r="N175" s="26"/>
      <c r="O175" s="26"/>
      <c r="P175" s="26"/>
      <c r="Q175" s="26"/>
      <c r="R175" s="26"/>
      <c r="S175" s="26"/>
      <c r="T175" s="26"/>
      <c r="U175" s="26"/>
    </row>
    <row r="176" spans="2:21">
      <c r="B176" s="34" t="s">
        <v>82</v>
      </c>
      <c r="C176" s="130">
        <f>SUM(D179)*2.5/100</f>
        <v>67158.004453923088</v>
      </c>
      <c r="D176" s="617"/>
      <c r="E176" s="139">
        <f t="shared" ref="E176:E178" si="28">SUM(C176/3)*2</f>
        <v>44772.002969282061</v>
      </c>
      <c r="F176" s="139">
        <f t="shared" ref="F176:F178" si="29">SUM(C176/3)</f>
        <v>22386.00148464103</v>
      </c>
      <c r="G176" s="139">
        <v>0</v>
      </c>
      <c r="H176" s="139">
        <v>0</v>
      </c>
      <c r="I176" s="139">
        <v>0</v>
      </c>
      <c r="J176" s="26"/>
      <c r="K176" s="26"/>
      <c r="L176" s="26"/>
      <c r="M176" s="26"/>
      <c r="N176" s="26"/>
      <c r="O176" s="26"/>
      <c r="P176" s="26"/>
      <c r="Q176" s="26"/>
      <c r="R176" s="26"/>
      <c r="S176" s="26"/>
      <c r="T176" s="26"/>
      <c r="U176" s="26"/>
    </row>
    <row r="177" spans="2:21">
      <c r="B177" s="34" t="s">
        <v>83</v>
      </c>
      <c r="C177" s="130">
        <f>SUM(D179)*6/100</f>
        <v>161179.2106894154</v>
      </c>
      <c r="D177" s="98"/>
      <c r="E177" s="139">
        <f t="shared" si="28"/>
        <v>107452.80712627694</v>
      </c>
      <c r="F177" s="139">
        <f t="shared" si="29"/>
        <v>53726.403563138469</v>
      </c>
      <c r="G177" s="139">
        <v>0</v>
      </c>
      <c r="H177" s="139">
        <v>0</v>
      </c>
      <c r="I177" s="139">
        <v>0</v>
      </c>
      <c r="J177" s="26"/>
      <c r="K177" s="26"/>
      <c r="L177" s="26"/>
      <c r="M177" s="26"/>
      <c r="N177" s="26"/>
      <c r="O177" s="26"/>
      <c r="P177" s="26"/>
      <c r="Q177" s="26"/>
      <c r="R177" s="26"/>
      <c r="S177" s="26"/>
      <c r="T177" s="26"/>
      <c r="U177" s="26"/>
    </row>
    <row r="178" spans="2:21" outlineLevel="2">
      <c r="B178" s="33" t="s">
        <v>65</v>
      </c>
      <c r="C178" s="130">
        <f>SUM(D179)*5/100</f>
        <v>134316.00890784618</v>
      </c>
      <c r="D178" s="98"/>
      <c r="E178" s="139">
        <f t="shared" si="28"/>
        <v>89544.005938564122</v>
      </c>
      <c r="F178" s="139">
        <f t="shared" si="29"/>
        <v>44772.002969282061</v>
      </c>
      <c r="G178" s="139">
        <v>0</v>
      </c>
      <c r="H178" s="139">
        <v>0</v>
      </c>
      <c r="I178" s="139">
        <v>0</v>
      </c>
      <c r="J178" s="26"/>
      <c r="K178" s="26"/>
      <c r="L178" s="26"/>
      <c r="M178" s="26"/>
      <c r="N178" s="26"/>
      <c r="O178" s="26"/>
      <c r="P178" s="26"/>
      <c r="Q178" s="26"/>
      <c r="R178" s="26"/>
      <c r="S178" s="26"/>
      <c r="T178" s="26"/>
      <c r="U178" s="26"/>
    </row>
    <row r="179" spans="2:21" ht="20" thickBot="1">
      <c r="B179" s="31" t="str">
        <f>"Subtotal "&amp;B155</f>
        <v>Subtotal Dairy Processing Facility</v>
      </c>
      <c r="C179" s="131">
        <f>SUM(C157:C178)</f>
        <v>3089268.204880462</v>
      </c>
      <c r="D179" s="614">
        <f>SUM(C157:C173)</f>
        <v>2686320.1781569235</v>
      </c>
      <c r="E179" s="141">
        <f>SUM(E157:E178)</f>
        <v>2059512.1365869746</v>
      </c>
      <c r="F179" s="141">
        <f>SUM(F157:F178)</f>
        <v>1029756.0682934873</v>
      </c>
      <c r="G179" s="141">
        <v>0</v>
      </c>
      <c r="H179" s="141">
        <v>0</v>
      </c>
      <c r="I179" s="141">
        <v>0</v>
      </c>
      <c r="J179" s="26"/>
      <c r="K179" s="26"/>
      <c r="L179" s="26"/>
      <c r="M179" s="26"/>
      <c r="N179" s="26"/>
      <c r="O179" s="26"/>
      <c r="P179" s="26"/>
      <c r="Q179" s="26"/>
      <c r="R179" s="26"/>
      <c r="S179" s="26"/>
      <c r="T179" s="26"/>
      <c r="U179" s="26"/>
    </row>
    <row r="180" spans="2:21">
      <c r="B180" s="32"/>
      <c r="C180" s="120"/>
      <c r="D180" s="100"/>
      <c r="E180" s="142"/>
      <c r="F180" s="142"/>
      <c r="G180" s="142"/>
      <c r="H180" s="142"/>
      <c r="I180" s="142"/>
      <c r="J180" s="26"/>
      <c r="K180" s="26"/>
      <c r="L180" s="26"/>
      <c r="M180" s="26"/>
      <c r="N180" s="26"/>
      <c r="O180" s="26"/>
      <c r="P180" s="26"/>
      <c r="Q180" s="26"/>
      <c r="R180" s="26"/>
      <c r="S180" s="26"/>
      <c r="T180" s="26"/>
      <c r="U180" s="26"/>
    </row>
    <row r="181" spans="2:21" ht="20" outlineLevel="1" thickBot="1">
      <c r="B181" s="30" t="s">
        <v>476</v>
      </c>
      <c r="C181" s="128"/>
      <c r="D181" s="101"/>
      <c r="E181" s="143"/>
      <c r="F181" s="143"/>
      <c r="G181" s="143"/>
      <c r="H181" s="143"/>
      <c r="I181" s="143"/>
      <c r="J181" s="26"/>
      <c r="K181" s="26"/>
      <c r="L181" s="26"/>
      <c r="M181" s="26"/>
      <c r="N181" s="26"/>
      <c r="O181" s="26"/>
      <c r="P181" s="26"/>
      <c r="Q181" s="26"/>
      <c r="R181" s="26"/>
      <c r="S181" s="26"/>
      <c r="T181" s="26"/>
      <c r="U181" s="26"/>
    </row>
    <row r="182" spans="2:21">
      <c r="B182" s="42" t="s">
        <v>67</v>
      </c>
      <c r="C182" s="129"/>
      <c r="D182" s="98"/>
      <c r="E182" s="140"/>
      <c r="F182" s="140"/>
      <c r="G182" s="140"/>
      <c r="H182" s="140"/>
      <c r="I182" s="140"/>
      <c r="J182" s="26"/>
      <c r="K182" s="26"/>
      <c r="L182" s="26"/>
      <c r="M182" s="26"/>
      <c r="N182" s="26"/>
      <c r="O182" s="26"/>
      <c r="P182" s="26"/>
      <c r="Q182" s="26"/>
      <c r="R182" s="26"/>
      <c r="S182" s="26"/>
      <c r="T182" s="26"/>
      <c r="U182" s="26"/>
    </row>
    <row r="183" spans="2:21">
      <c r="B183" s="34" t="s">
        <v>66</v>
      </c>
      <c r="C183" s="130">
        <v>97264.639079247572</v>
      </c>
      <c r="D183" s="98"/>
      <c r="E183" s="139">
        <f t="shared" ref="E183:E191" si="30">SUM(C183/3)*2</f>
        <v>64843.092719498381</v>
      </c>
      <c r="F183" s="139">
        <f t="shared" ref="F183:F191" si="31">SUM(C183/3)</f>
        <v>32421.546359749191</v>
      </c>
      <c r="G183" s="139">
        <v>0</v>
      </c>
      <c r="H183" s="139">
        <v>0</v>
      </c>
      <c r="I183" s="139">
        <v>0</v>
      </c>
      <c r="J183" s="26"/>
      <c r="K183" s="26"/>
      <c r="L183" s="26"/>
      <c r="M183" s="26"/>
      <c r="N183" s="26"/>
      <c r="O183" s="26"/>
      <c r="P183" s="26"/>
      <c r="Q183" s="26"/>
      <c r="R183" s="26"/>
      <c r="S183" s="26"/>
      <c r="T183" s="26"/>
      <c r="U183" s="26"/>
    </row>
    <row r="184" spans="2:21">
      <c r="B184" s="34" t="s">
        <v>79</v>
      </c>
      <c r="C184" s="130">
        <v>46969.288603559296</v>
      </c>
      <c r="D184" s="98"/>
      <c r="E184" s="139">
        <f t="shared" si="30"/>
        <v>31312.859069039532</v>
      </c>
      <c r="F184" s="139">
        <f t="shared" si="31"/>
        <v>15656.429534519766</v>
      </c>
      <c r="G184" s="139">
        <v>0</v>
      </c>
      <c r="H184" s="139">
        <v>0</v>
      </c>
      <c r="I184" s="139">
        <v>0</v>
      </c>
      <c r="J184" s="26"/>
      <c r="K184" s="26"/>
      <c r="L184" s="26"/>
      <c r="M184" s="26"/>
      <c r="N184" s="26"/>
      <c r="O184" s="26"/>
      <c r="P184" s="26"/>
      <c r="Q184" s="26"/>
      <c r="R184" s="26"/>
      <c r="S184" s="26"/>
      <c r="T184" s="26"/>
      <c r="U184" s="26"/>
    </row>
    <row r="185" spans="2:21">
      <c r="B185" s="34" t="s">
        <v>461</v>
      </c>
      <c r="C185" s="130">
        <v>0</v>
      </c>
      <c r="D185" s="98"/>
      <c r="E185" s="139">
        <f t="shared" si="30"/>
        <v>0</v>
      </c>
      <c r="F185" s="139">
        <f t="shared" si="31"/>
        <v>0</v>
      </c>
      <c r="G185" s="139">
        <v>0</v>
      </c>
      <c r="H185" s="139">
        <v>0</v>
      </c>
      <c r="I185" s="139">
        <v>0</v>
      </c>
      <c r="J185" s="26"/>
      <c r="K185" s="26"/>
      <c r="L185" s="26"/>
      <c r="M185" s="26"/>
      <c r="N185" s="26"/>
      <c r="O185" s="26"/>
      <c r="P185" s="26"/>
      <c r="Q185" s="26"/>
      <c r="R185" s="26"/>
      <c r="S185" s="26"/>
      <c r="T185" s="26"/>
      <c r="U185" s="26"/>
    </row>
    <row r="186" spans="2:21">
      <c r="B186" s="34" t="s">
        <v>80</v>
      </c>
      <c r="C186" s="130">
        <v>28484.644301779648</v>
      </c>
      <c r="D186" s="98"/>
      <c r="E186" s="139">
        <f t="shared" si="30"/>
        <v>18989.7628678531</v>
      </c>
      <c r="F186" s="139">
        <f t="shared" si="31"/>
        <v>9494.88143392655</v>
      </c>
      <c r="G186" s="139">
        <v>0</v>
      </c>
      <c r="H186" s="139">
        <v>0</v>
      </c>
      <c r="I186" s="139">
        <v>0</v>
      </c>
      <c r="J186" s="26"/>
      <c r="K186" s="26"/>
      <c r="L186" s="26"/>
      <c r="M186" s="26"/>
      <c r="N186" s="26"/>
      <c r="O186" s="26"/>
      <c r="P186" s="26"/>
      <c r="Q186" s="26"/>
      <c r="R186" s="26"/>
      <c r="S186" s="26"/>
      <c r="T186" s="26"/>
      <c r="U186" s="26"/>
    </row>
    <row r="187" spans="2:21">
      <c r="B187" s="34" t="s">
        <v>465</v>
      </c>
      <c r="C187" s="130">
        <v>1122681.56892461</v>
      </c>
      <c r="D187" s="98"/>
      <c r="E187" s="139">
        <f t="shared" si="30"/>
        <v>748454.37928307336</v>
      </c>
      <c r="F187" s="139">
        <f t="shared" si="31"/>
        <v>374227.18964153668</v>
      </c>
      <c r="G187" s="139">
        <v>0</v>
      </c>
      <c r="H187" s="139">
        <v>0</v>
      </c>
      <c r="I187" s="139">
        <v>0</v>
      </c>
      <c r="J187" s="26"/>
      <c r="K187" s="26"/>
      <c r="L187" s="26"/>
      <c r="M187" s="26"/>
      <c r="N187" s="26"/>
      <c r="O187" s="26"/>
      <c r="P187" s="26"/>
      <c r="Q187" s="26"/>
      <c r="R187" s="26"/>
      <c r="S187" s="26"/>
      <c r="T187" s="26"/>
      <c r="U187" s="26"/>
    </row>
    <row r="188" spans="2:21">
      <c r="B188" s="34" t="s">
        <v>71</v>
      </c>
      <c r="C188" s="130">
        <v>268434.27749328199</v>
      </c>
      <c r="D188" s="98"/>
      <c r="E188" s="139">
        <f t="shared" si="30"/>
        <v>178956.18499552133</v>
      </c>
      <c r="F188" s="139">
        <f t="shared" si="31"/>
        <v>89478.092497760663</v>
      </c>
      <c r="G188" s="139">
        <v>0</v>
      </c>
      <c r="H188" s="139">
        <v>0</v>
      </c>
      <c r="I188" s="139">
        <v>0</v>
      </c>
      <c r="J188" s="26"/>
      <c r="K188" s="26"/>
      <c r="L188" s="26"/>
      <c r="M188" s="26"/>
      <c r="N188" s="26"/>
      <c r="O188" s="26"/>
      <c r="P188" s="26"/>
      <c r="Q188" s="26"/>
      <c r="R188" s="26"/>
      <c r="S188" s="26"/>
      <c r="T188" s="26"/>
      <c r="U188" s="26"/>
    </row>
    <row r="189" spans="2:21">
      <c r="B189" s="34" t="s">
        <v>91</v>
      </c>
      <c r="C189" s="130">
        <v>24316.159769811893</v>
      </c>
      <c r="D189" s="98"/>
      <c r="E189" s="139">
        <f t="shared" si="30"/>
        <v>16210.773179874595</v>
      </c>
      <c r="F189" s="139">
        <f t="shared" si="31"/>
        <v>8105.3865899372977</v>
      </c>
      <c r="G189" s="139">
        <v>0</v>
      </c>
      <c r="H189" s="139">
        <v>0</v>
      </c>
      <c r="I189" s="139">
        <v>0</v>
      </c>
      <c r="J189" s="26"/>
      <c r="K189" s="26"/>
      <c r="L189" s="26"/>
      <c r="M189" s="26"/>
      <c r="N189" s="26"/>
      <c r="O189" s="26"/>
      <c r="P189" s="26"/>
      <c r="Q189" s="26"/>
      <c r="R189" s="26"/>
      <c r="S189" s="26"/>
      <c r="T189" s="26"/>
      <c r="U189" s="26"/>
    </row>
    <row r="190" spans="2:21">
      <c r="B190" s="34" t="s">
        <v>70</v>
      </c>
      <c r="C190" s="130">
        <v>48632.319539623786</v>
      </c>
      <c r="D190" s="98"/>
      <c r="E190" s="139">
        <f t="shared" si="30"/>
        <v>32421.546359749191</v>
      </c>
      <c r="F190" s="139">
        <f t="shared" si="31"/>
        <v>16210.773179874595</v>
      </c>
      <c r="G190" s="139">
        <v>0</v>
      </c>
      <c r="H190" s="139">
        <v>0</v>
      </c>
      <c r="I190" s="139">
        <v>0</v>
      </c>
      <c r="J190" s="26"/>
      <c r="K190" s="26"/>
      <c r="L190" s="26"/>
      <c r="M190" s="26"/>
      <c r="N190" s="26"/>
      <c r="O190" s="26"/>
      <c r="P190" s="26"/>
      <c r="Q190" s="26"/>
      <c r="R190" s="26"/>
      <c r="S190" s="26"/>
      <c r="T190" s="26"/>
      <c r="U190" s="26"/>
    </row>
    <row r="191" spans="2:21">
      <c r="B191" s="34" t="s">
        <v>462</v>
      </c>
      <c r="C191" s="130">
        <v>0</v>
      </c>
      <c r="D191" s="98"/>
      <c r="E191" s="139">
        <f t="shared" si="30"/>
        <v>0</v>
      </c>
      <c r="F191" s="139">
        <f t="shared" si="31"/>
        <v>0</v>
      </c>
      <c r="G191" s="139">
        <v>0</v>
      </c>
      <c r="H191" s="139">
        <v>0</v>
      </c>
      <c r="I191" s="139">
        <v>0</v>
      </c>
      <c r="J191" s="26"/>
      <c r="K191" s="26"/>
      <c r="L191" s="26"/>
      <c r="M191" s="26"/>
      <c r="N191" s="26"/>
      <c r="O191" s="26"/>
      <c r="P191" s="26"/>
      <c r="Q191" s="26"/>
      <c r="R191" s="26"/>
      <c r="S191" s="26"/>
      <c r="T191" s="26"/>
      <c r="U191" s="26"/>
    </row>
    <row r="192" spans="2:21">
      <c r="B192" s="42" t="s">
        <v>73</v>
      </c>
      <c r="C192" s="129"/>
      <c r="D192" s="98"/>
      <c r="E192" s="140"/>
      <c r="F192" s="140"/>
      <c r="G192" s="140"/>
      <c r="H192" s="140"/>
      <c r="I192" s="140"/>
      <c r="J192" s="26"/>
      <c r="K192" s="26"/>
      <c r="L192" s="26"/>
      <c r="M192" s="26"/>
      <c r="N192" s="26"/>
      <c r="O192" s="26"/>
      <c r="P192" s="26"/>
      <c r="Q192" s="26"/>
      <c r="R192" s="26"/>
      <c r="S192" s="26"/>
      <c r="T192" s="26"/>
      <c r="U192" s="26"/>
    </row>
    <row r="193" spans="2:21">
      <c r="B193" s="34" t="s">
        <v>35</v>
      </c>
      <c r="C193" s="130">
        <v>14589.695861887136</v>
      </c>
      <c r="D193" s="98"/>
      <c r="E193" s="139">
        <f t="shared" ref="E193:E201" si="32">SUM(C193/3)*2</f>
        <v>9726.4639079247572</v>
      </c>
      <c r="F193" s="139">
        <f t="shared" ref="F193:F201" si="33">SUM(C193/3)</f>
        <v>4863.2319539623786</v>
      </c>
      <c r="G193" s="139">
        <v>0</v>
      </c>
      <c r="H193" s="139">
        <v>0</v>
      </c>
      <c r="I193" s="139">
        <v>0</v>
      </c>
      <c r="J193" s="26"/>
      <c r="K193" s="26"/>
      <c r="L193" s="26"/>
      <c r="M193" s="26"/>
      <c r="N193" s="26"/>
      <c r="O193" s="26"/>
      <c r="P193" s="26"/>
      <c r="Q193" s="26"/>
      <c r="R193" s="26"/>
      <c r="S193" s="26"/>
      <c r="T193" s="26"/>
      <c r="U193" s="26"/>
    </row>
    <row r="194" spans="2:21">
      <c r="B194" s="34" t="s">
        <v>38</v>
      </c>
      <c r="C194" s="130">
        <v>38900</v>
      </c>
      <c r="D194" s="98"/>
      <c r="E194" s="139">
        <f t="shared" si="32"/>
        <v>25933.333333333332</v>
      </c>
      <c r="F194" s="139">
        <f t="shared" si="33"/>
        <v>12966.666666666666</v>
      </c>
      <c r="G194" s="139">
        <v>0</v>
      </c>
      <c r="H194" s="139">
        <v>0</v>
      </c>
      <c r="I194" s="139">
        <v>0</v>
      </c>
      <c r="J194" s="26"/>
      <c r="K194" s="26"/>
      <c r="L194" s="26"/>
      <c r="M194" s="26"/>
      <c r="N194" s="26"/>
      <c r="O194" s="26"/>
      <c r="P194" s="26"/>
      <c r="Q194" s="26"/>
      <c r="R194" s="26"/>
      <c r="S194" s="26"/>
      <c r="T194" s="26"/>
      <c r="U194" s="26"/>
    </row>
    <row r="195" spans="2:21">
      <c r="B195" s="34" t="s">
        <v>466</v>
      </c>
      <c r="C195" s="130">
        <v>93374.053516077678</v>
      </c>
      <c r="D195" s="98"/>
      <c r="E195" s="139">
        <f t="shared" si="32"/>
        <v>62249.369010718452</v>
      </c>
      <c r="F195" s="139">
        <f t="shared" si="33"/>
        <v>31124.684505359226</v>
      </c>
      <c r="G195" s="139">
        <v>0</v>
      </c>
      <c r="H195" s="139">
        <v>0</v>
      </c>
      <c r="I195" s="139">
        <v>0</v>
      </c>
      <c r="J195" s="26"/>
      <c r="K195" s="26"/>
      <c r="L195" s="26"/>
      <c r="M195" s="26"/>
      <c r="N195" s="26"/>
      <c r="O195" s="26"/>
      <c r="P195" s="26"/>
      <c r="Q195" s="26"/>
      <c r="R195" s="26"/>
      <c r="S195" s="26"/>
      <c r="T195" s="26"/>
      <c r="U195" s="26"/>
    </row>
    <row r="196" spans="2:21">
      <c r="B196" s="34" t="s">
        <v>88</v>
      </c>
      <c r="C196" s="130">
        <v>145896.95861887137</v>
      </c>
      <c r="D196" s="98"/>
      <c r="E196" s="139">
        <f t="shared" si="32"/>
        <v>97264.639079247587</v>
      </c>
      <c r="F196" s="139">
        <f t="shared" si="33"/>
        <v>48632.319539623793</v>
      </c>
      <c r="G196" s="139">
        <v>0</v>
      </c>
      <c r="H196" s="139">
        <v>0</v>
      </c>
      <c r="I196" s="139">
        <v>0</v>
      </c>
      <c r="J196" s="26"/>
      <c r="K196" s="26"/>
      <c r="L196" s="26"/>
      <c r="M196" s="26"/>
      <c r="N196" s="26"/>
      <c r="O196" s="26"/>
      <c r="P196" s="26"/>
      <c r="Q196" s="26"/>
      <c r="R196" s="26"/>
      <c r="S196" s="26"/>
      <c r="T196" s="26"/>
      <c r="U196" s="26"/>
    </row>
    <row r="197" spans="2:21">
      <c r="B197" s="34" t="s">
        <v>74</v>
      </c>
      <c r="C197" s="130">
        <v>39878.502022491506</v>
      </c>
      <c r="D197" s="98"/>
      <c r="E197" s="139">
        <f t="shared" si="32"/>
        <v>26585.668014994339</v>
      </c>
      <c r="F197" s="139">
        <f t="shared" si="33"/>
        <v>13292.834007497169</v>
      </c>
      <c r="G197" s="139">
        <v>0</v>
      </c>
      <c r="H197" s="139">
        <v>0</v>
      </c>
      <c r="I197" s="139">
        <v>0</v>
      </c>
      <c r="J197" s="26"/>
      <c r="K197" s="26"/>
      <c r="L197" s="26"/>
      <c r="M197" s="26"/>
      <c r="N197" s="26"/>
      <c r="O197" s="26"/>
      <c r="P197" s="26"/>
      <c r="Q197" s="26"/>
      <c r="R197" s="26"/>
      <c r="S197" s="26"/>
      <c r="T197" s="26"/>
      <c r="U197" s="26"/>
    </row>
    <row r="198" spans="2:21">
      <c r="B198" s="34" t="s">
        <v>72</v>
      </c>
      <c r="C198" s="130">
        <v>14589.695861887136</v>
      </c>
      <c r="D198" s="98"/>
      <c r="E198" s="139">
        <f t="shared" si="32"/>
        <v>9726.4639079247572</v>
      </c>
      <c r="F198" s="139">
        <f t="shared" si="33"/>
        <v>4863.2319539623786</v>
      </c>
      <c r="G198" s="139">
        <v>0</v>
      </c>
      <c r="H198" s="139">
        <v>0</v>
      </c>
      <c r="I198" s="139">
        <v>0</v>
      </c>
      <c r="J198" s="26"/>
      <c r="K198" s="26"/>
      <c r="L198" s="26"/>
      <c r="M198" s="26"/>
      <c r="N198" s="26"/>
      <c r="O198" s="26"/>
      <c r="P198" s="26"/>
      <c r="Q198" s="26"/>
      <c r="R198" s="26"/>
      <c r="S198" s="26"/>
      <c r="T198" s="26"/>
      <c r="U198" s="26"/>
    </row>
    <row r="199" spans="2:21">
      <c r="B199" s="34" t="s">
        <v>75</v>
      </c>
      <c r="C199" s="130">
        <v>2278.771544142372</v>
      </c>
      <c r="D199" s="98"/>
      <c r="E199" s="139">
        <f t="shared" si="32"/>
        <v>1519.1810294282479</v>
      </c>
      <c r="F199" s="139">
        <f t="shared" si="33"/>
        <v>759.59051471412397</v>
      </c>
      <c r="G199" s="139">
        <v>0</v>
      </c>
      <c r="H199" s="139">
        <v>0</v>
      </c>
      <c r="I199" s="139">
        <v>0</v>
      </c>
      <c r="J199" s="26"/>
      <c r="K199" s="26"/>
      <c r="L199" s="26"/>
      <c r="M199" s="26"/>
      <c r="N199" s="26"/>
      <c r="O199" s="26"/>
      <c r="P199" s="26"/>
      <c r="Q199" s="26"/>
      <c r="R199" s="26"/>
      <c r="S199" s="26"/>
      <c r="T199" s="26"/>
      <c r="U199" s="26"/>
    </row>
    <row r="200" spans="2:21">
      <c r="B200" s="34" t="s">
        <v>76</v>
      </c>
      <c r="C200" s="130">
        <v>1139.385772071186</v>
      </c>
      <c r="D200" s="98"/>
      <c r="E200" s="139">
        <f t="shared" si="32"/>
        <v>759.59051471412397</v>
      </c>
      <c r="F200" s="139">
        <f t="shared" si="33"/>
        <v>379.79525735706198</v>
      </c>
      <c r="G200" s="139">
        <v>0</v>
      </c>
      <c r="H200" s="139">
        <v>0</v>
      </c>
      <c r="I200" s="139">
        <v>0</v>
      </c>
      <c r="J200" s="26"/>
      <c r="K200" s="26"/>
      <c r="L200" s="26"/>
      <c r="M200" s="26"/>
      <c r="N200" s="26"/>
      <c r="O200" s="26"/>
      <c r="P200" s="26"/>
      <c r="Q200" s="26"/>
      <c r="R200" s="26"/>
      <c r="S200" s="26"/>
      <c r="T200" s="26"/>
      <c r="U200" s="26"/>
    </row>
    <row r="201" spans="2:21">
      <c r="B201" s="34" t="s">
        <v>85</v>
      </c>
      <c r="C201" s="130">
        <v>58358.783447548543</v>
      </c>
      <c r="D201" s="98"/>
      <c r="E201" s="139">
        <f t="shared" si="32"/>
        <v>38905.855631699029</v>
      </c>
      <c r="F201" s="139">
        <f t="shared" si="33"/>
        <v>19452.927815849514</v>
      </c>
      <c r="G201" s="139">
        <v>0</v>
      </c>
      <c r="H201" s="139">
        <v>0</v>
      </c>
      <c r="I201" s="139">
        <v>0</v>
      </c>
      <c r="J201" s="26"/>
      <c r="K201" s="26"/>
      <c r="L201" s="26"/>
      <c r="M201" s="26"/>
      <c r="N201" s="26"/>
      <c r="O201" s="26"/>
      <c r="P201" s="26"/>
      <c r="Q201" s="26"/>
      <c r="R201" s="26"/>
      <c r="S201" s="26"/>
      <c r="T201" s="26"/>
      <c r="U201" s="26"/>
    </row>
    <row r="202" spans="2:21">
      <c r="B202" s="42" t="s">
        <v>111</v>
      </c>
      <c r="C202" s="129"/>
      <c r="D202" s="98"/>
      <c r="E202" s="140"/>
      <c r="F202" s="140"/>
      <c r="G202" s="140"/>
      <c r="H202" s="140"/>
      <c r="I202" s="140"/>
      <c r="J202" s="26"/>
      <c r="K202" s="26"/>
      <c r="L202" s="26"/>
      <c r="M202" s="26"/>
      <c r="N202" s="26"/>
      <c r="O202" s="26"/>
      <c r="P202" s="26"/>
      <c r="Q202" s="26"/>
      <c r="R202" s="26"/>
      <c r="S202" s="26"/>
      <c r="T202" s="26"/>
      <c r="U202" s="26"/>
    </row>
    <row r="203" spans="2:21">
      <c r="B203" s="34" t="s">
        <v>86</v>
      </c>
      <c r="C203" s="130">
        <v>9726.4639079247572</v>
      </c>
      <c r="D203" s="98"/>
      <c r="E203" s="139">
        <f t="shared" ref="E203:E204" si="34">SUM(C203/3)*2</f>
        <v>6484.3092719498381</v>
      </c>
      <c r="F203" s="139">
        <f t="shared" ref="F203:F204" si="35">SUM(C203/3)</f>
        <v>3242.1546359749191</v>
      </c>
      <c r="G203" s="139">
        <v>0</v>
      </c>
      <c r="H203" s="139">
        <v>0</v>
      </c>
      <c r="I203" s="139">
        <v>0</v>
      </c>
      <c r="J203" s="26"/>
      <c r="K203" s="26"/>
      <c r="L203" s="26"/>
      <c r="M203" s="26"/>
      <c r="N203" s="26"/>
      <c r="O203" s="26"/>
      <c r="P203" s="26"/>
      <c r="Q203" s="26"/>
      <c r="R203" s="26"/>
      <c r="S203" s="26"/>
      <c r="T203" s="26"/>
      <c r="U203" s="26"/>
    </row>
    <row r="204" spans="2:21">
      <c r="B204" s="34" t="s">
        <v>77</v>
      </c>
      <c r="C204" s="130">
        <v>18632.319539623801</v>
      </c>
      <c r="D204" s="98"/>
      <c r="E204" s="139">
        <f t="shared" si="34"/>
        <v>12421.5463597492</v>
      </c>
      <c r="F204" s="139">
        <f t="shared" si="35"/>
        <v>6210.7731798745999</v>
      </c>
      <c r="G204" s="139">
        <v>0</v>
      </c>
      <c r="H204" s="139">
        <v>0</v>
      </c>
      <c r="I204" s="139">
        <v>0</v>
      </c>
      <c r="J204" s="26"/>
      <c r="K204" s="26"/>
      <c r="L204" s="26"/>
      <c r="M204" s="26"/>
      <c r="N204" s="26"/>
      <c r="O204" s="26"/>
      <c r="P204" s="26"/>
      <c r="Q204" s="26"/>
      <c r="R204" s="26"/>
      <c r="S204" s="26"/>
      <c r="T204" s="26"/>
      <c r="U204" s="26"/>
    </row>
    <row r="205" spans="2:21">
      <c r="B205" s="42" t="s">
        <v>87</v>
      </c>
      <c r="C205" s="125"/>
      <c r="D205" s="98"/>
      <c r="E205" s="145"/>
      <c r="F205" s="145"/>
      <c r="G205" s="145"/>
      <c r="H205" s="145"/>
      <c r="I205" s="145"/>
      <c r="J205" s="26"/>
      <c r="K205" s="26"/>
      <c r="L205" s="26"/>
      <c r="M205" s="26"/>
      <c r="N205" s="26"/>
      <c r="O205" s="26"/>
      <c r="P205" s="26"/>
      <c r="Q205" s="26"/>
      <c r="R205" s="26"/>
      <c r="S205" s="26"/>
      <c r="T205" s="26"/>
      <c r="U205" s="26"/>
    </row>
    <row r="206" spans="2:21">
      <c r="B206" s="34" t="s">
        <v>87</v>
      </c>
      <c r="C206" s="130">
        <v>109422.71896415352</v>
      </c>
      <c r="D206" s="98"/>
      <c r="E206" s="139">
        <f t="shared" ref="E206" si="36">SUM(C206/3)*2</f>
        <v>72948.479309435686</v>
      </c>
      <c r="F206" s="139">
        <f t="shared" ref="F206" si="37">SUM(C206/3)</f>
        <v>36474.239654717843</v>
      </c>
      <c r="G206" s="139">
        <v>0</v>
      </c>
      <c r="H206" s="139">
        <v>0</v>
      </c>
      <c r="I206" s="139">
        <v>0</v>
      </c>
      <c r="J206" s="26"/>
      <c r="K206" s="26"/>
      <c r="L206" s="26"/>
      <c r="M206" s="26"/>
      <c r="N206" s="26"/>
      <c r="O206" s="26"/>
      <c r="P206" s="26"/>
      <c r="Q206" s="26"/>
      <c r="R206" s="26"/>
      <c r="S206" s="26"/>
      <c r="T206" s="26"/>
      <c r="U206" s="26"/>
    </row>
    <row r="207" spans="2:21">
      <c r="B207" s="42" t="s">
        <v>184</v>
      </c>
      <c r="C207" s="129"/>
      <c r="D207" s="98"/>
      <c r="E207" s="140"/>
      <c r="F207" s="140"/>
      <c r="G207" s="140"/>
      <c r="H207" s="140"/>
      <c r="I207" s="140"/>
      <c r="J207" s="26"/>
      <c r="K207" s="26"/>
      <c r="L207" s="26"/>
      <c r="M207" s="26"/>
      <c r="N207" s="26"/>
      <c r="O207" s="26"/>
      <c r="P207" s="26"/>
      <c r="Q207" s="26"/>
      <c r="R207" s="26"/>
      <c r="S207" s="26"/>
      <c r="T207" s="26"/>
      <c r="U207" s="26"/>
    </row>
    <row r="208" spans="2:21">
      <c r="B208" s="34" t="s">
        <v>81</v>
      </c>
      <c r="C208" s="130">
        <f>SUM(D212)*1.5/100</f>
        <v>32753.553701528897</v>
      </c>
      <c r="D208" s="98"/>
      <c r="E208" s="139">
        <f t="shared" ref="E208:E211" si="38">SUM(C208/3)*2</f>
        <v>21835.702467685933</v>
      </c>
      <c r="F208" s="139">
        <f t="shared" ref="F208:F211" si="39">SUM(C208/3)</f>
        <v>10917.851233842966</v>
      </c>
      <c r="G208" s="139">
        <v>0</v>
      </c>
      <c r="H208" s="139">
        <v>0</v>
      </c>
      <c r="I208" s="139">
        <v>0</v>
      </c>
      <c r="J208" s="26"/>
      <c r="K208" s="26"/>
      <c r="L208" s="26"/>
      <c r="M208" s="26"/>
      <c r="N208" s="26"/>
      <c r="O208" s="26"/>
      <c r="P208" s="26"/>
      <c r="Q208" s="26"/>
      <c r="R208" s="26"/>
      <c r="S208" s="26"/>
      <c r="T208" s="26"/>
      <c r="U208" s="26"/>
    </row>
    <row r="209" spans="2:21">
      <c r="B209" s="34" t="s">
        <v>82</v>
      </c>
      <c r="C209" s="130">
        <f>SUM(D212)*2.5/100</f>
        <v>54589.256169214837</v>
      </c>
      <c r="D209" s="617"/>
      <c r="E209" s="139">
        <f t="shared" si="38"/>
        <v>36392.837446143225</v>
      </c>
      <c r="F209" s="139">
        <f t="shared" si="39"/>
        <v>18196.418723071612</v>
      </c>
      <c r="G209" s="139">
        <v>0</v>
      </c>
      <c r="H209" s="139">
        <v>0</v>
      </c>
      <c r="I209" s="139">
        <v>0</v>
      </c>
      <c r="J209" s="26"/>
      <c r="K209" s="26"/>
      <c r="L209" s="26"/>
      <c r="M209" s="26"/>
      <c r="N209" s="26"/>
      <c r="O209" s="26"/>
      <c r="P209" s="26"/>
      <c r="Q209" s="26"/>
      <c r="R209" s="26"/>
      <c r="S209" s="26"/>
      <c r="T209" s="26"/>
      <c r="U209" s="26"/>
    </row>
    <row r="210" spans="2:21">
      <c r="B210" s="34" t="s">
        <v>83</v>
      </c>
      <c r="C210" s="130">
        <f>SUM(D212)*6/100</f>
        <v>131014.21480611559</v>
      </c>
      <c r="D210" s="613"/>
      <c r="E210" s="139">
        <f t="shared" si="38"/>
        <v>87342.809870743731</v>
      </c>
      <c r="F210" s="139">
        <f t="shared" si="39"/>
        <v>43671.404935371866</v>
      </c>
      <c r="G210" s="139">
        <v>0</v>
      </c>
      <c r="H210" s="139">
        <v>0</v>
      </c>
      <c r="I210" s="139">
        <v>0</v>
      </c>
      <c r="J210" s="26"/>
      <c r="K210" s="26"/>
      <c r="L210" s="26"/>
      <c r="M210" s="26"/>
      <c r="N210" s="26"/>
      <c r="O210" s="26"/>
      <c r="P210" s="26"/>
      <c r="Q210" s="26"/>
      <c r="R210" s="26"/>
      <c r="S210" s="26"/>
      <c r="T210" s="26"/>
      <c r="U210" s="26"/>
    </row>
    <row r="211" spans="2:21" outlineLevel="2">
      <c r="B211" s="33" t="s">
        <v>65</v>
      </c>
      <c r="C211" s="130">
        <f>SUM(D212)*5/100</f>
        <v>109178.51233842967</v>
      </c>
      <c r="D211" s="98"/>
      <c r="E211" s="139">
        <f t="shared" si="38"/>
        <v>72785.67489228645</v>
      </c>
      <c r="F211" s="139">
        <f t="shared" si="39"/>
        <v>36392.837446143225</v>
      </c>
      <c r="G211" s="139">
        <v>0</v>
      </c>
      <c r="H211" s="139">
        <v>0</v>
      </c>
      <c r="I211" s="139">
        <v>0</v>
      </c>
      <c r="J211" s="26"/>
      <c r="K211" s="26"/>
      <c r="L211" s="26"/>
      <c r="M211" s="26"/>
      <c r="N211" s="26"/>
      <c r="O211" s="26"/>
      <c r="P211" s="26"/>
      <c r="Q211" s="26"/>
      <c r="R211" s="26"/>
      <c r="S211" s="26"/>
      <c r="T211" s="26"/>
      <c r="U211" s="26"/>
    </row>
    <row r="212" spans="2:21" ht="20" thickBot="1">
      <c r="B212" s="31" t="str">
        <f>"Subtotal "&amp;B181</f>
        <v>Subtotal Beef Farm</v>
      </c>
      <c r="C212" s="131">
        <f>SUM(C183:C211)</f>
        <v>2511105.7837838824</v>
      </c>
      <c r="D212" s="614">
        <f>SUM(C183:C206)</f>
        <v>2183570.2467685933</v>
      </c>
      <c r="E212" s="141">
        <f>SUM(E183:E211)</f>
        <v>1674070.5225225885</v>
      </c>
      <c r="F212" s="141">
        <f>SUM(F183:F211)</f>
        <v>837035.26126129425</v>
      </c>
      <c r="G212" s="141">
        <v>0</v>
      </c>
      <c r="H212" s="141">
        <v>0</v>
      </c>
      <c r="I212" s="141">
        <v>0</v>
      </c>
      <c r="J212" s="26"/>
      <c r="K212" s="26"/>
      <c r="L212" s="26"/>
      <c r="M212" s="26"/>
      <c r="N212" s="26"/>
      <c r="O212" s="26"/>
      <c r="P212" s="26"/>
      <c r="Q212" s="26"/>
      <c r="R212" s="26"/>
      <c r="S212" s="26"/>
      <c r="T212" s="26"/>
      <c r="U212" s="26"/>
    </row>
    <row r="213" spans="2:21">
      <c r="B213" s="35"/>
      <c r="C213" s="123"/>
      <c r="D213" s="100"/>
      <c r="E213" s="142"/>
      <c r="F213" s="142"/>
      <c r="G213" s="142"/>
      <c r="H213" s="142"/>
      <c r="I213" s="142"/>
      <c r="J213" s="26"/>
      <c r="K213" s="26"/>
      <c r="L213" s="26"/>
      <c r="M213" s="26"/>
      <c r="N213" s="26"/>
      <c r="O213" s="26"/>
      <c r="P213" s="26"/>
      <c r="Q213" s="26"/>
      <c r="R213" s="26"/>
      <c r="S213" s="26"/>
      <c r="T213" s="26"/>
      <c r="U213" s="26"/>
    </row>
    <row r="214" spans="2:21" ht="20" outlineLevel="1" thickBot="1">
      <c r="B214" s="30" t="s">
        <v>477</v>
      </c>
      <c r="C214" s="128"/>
      <c r="D214" s="101"/>
      <c r="E214" s="143"/>
      <c r="F214" s="143"/>
      <c r="G214" s="143"/>
      <c r="H214" s="143"/>
      <c r="I214" s="143"/>
      <c r="J214" s="26"/>
      <c r="K214" s="26"/>
      <c r="L214" s="26"/>
      <c r="M214" s="26"/>
      <c r="N214" s="26"/>
      <c r="O214" s="26"/>
      <c r="P214" s="26"/>
      <c r="Q214" s="26"/>
      <c r="R214" s="26"/>
      <c r="S214" s="26"/>
      <c r="T214" s="26"/>
      <c r="U214" s="26"/>
    </row>
    <row r="215" spans="2:21">
      <c r="B215" s="42" t="s">
        <v>177</v>
      </c>
      <c r="C215" s="129"/>
      <c r="D215" s="98"/>
      <c r="E215" s="140"/>
      <c r="F215" s="140"/>
      <c r="G215" s="140"/>
      <c r="H215" s="140"/>
      <c r="I215" s="140"/>
      <c r="J215" s="26"/>
      <c r="K215" s="26"/>
      <c r="L215" s="26"/>
      <c r="M215" s="26"/>
      <c r="N215" s="26"/>
      <c r="O215" s="26"/>
      <c r="P215" s="26"/>
      <c r="Q215" s="26"/>
      <c r="R215" s="26"/>
      <c r="S215" s="26"/>
      <c r="T215" s="26"/>
      <c r="U215" s="26"/>
    </row>
    <row r="216" spans="2:21">
      <c r="B216" s="34" t="s">
        <v>66</v>
      </c>
      <c r="C216" s="130">
        <v>9726.4639079247572</v>
      </c>
      <c r="D216" s="98"/>
      <c r="E216" s="139">
        <f t="shared" ref="E216:E226" si="40">SUM(C216/3)*2</f>
        <v>6484.3092719498381</v>
      </c>
      <c r="F216" s="139">
        <f t="shared" ref="F216:F226" si="41">SUM(C216/3)</f>
        <v>3242.1546359749191</v>
      </c>
      <c r="G216" s="139">
        <v>0</v>
      </c>
      <c r="H216" s="139">
        <v>0</v>
      </c>
      <c r="I216" s="139">
        <v>0</v>
      </c>
      <c r="J216" s="26"/>
      <c r="K216" s="26"/>
      <c r="L216" s="26"/>
      <c r="M216" s="26"/>
      <c r="N216" s="26"/>
      <c r="O216" s="26"/>
      <c r="P216" s="26"/>
      <c r="Q216" s="26"/>
      <c r="R216" s="26"/>
      <c r="S216" s="26"/>
      <c r="T216" s="26"/>
      <c r="U216" s="26"/>
    </row>
    <row r="217" spans="2:21">
      <c r="B217" s="34" t="s">
        <v>79</v>
      </c>
      <c r="C217" s="130">
        <v>113938.57720711859</v>
      </c>
      <c r="D217" s="98"/>
      <c r="E217" s="139">
        <f t="shared" si="40"/>
        <v>75959.0514714124</v>
      </c>
      <c r="F217" s="139">
        <f t="shared" si="41"/>
        <v>37979.5257357062</v>
      </c>
      <c r="G217" s="139">
        <v>0</v>
      </c>
      <c r="H217" s="139">
        <v>0</v>
      </c>
      <c r="I217" s="139">
        <v>0</v>
      </c>
      <c r="J217" s="26"/>
      <c r="K217" s="26"/>
      <c r="L217" s="26"/>
      <c r="M217" s="26"/>
      <c r="N217" s="26"/>
      <c r="O217" s="26"/>
      <c r="P217" s="26"/>
      <c r="Q217" s="26"/>
      <c r="R217" s="26"/>
      <c r="S217" s="26"/>
      <c r="T217" s="26"/>
      <c r="U217" s="26"/>
    </row>
    <row r="218" spans="2:21">
      <c r="B218" s="34" t="s">
        <v>556</v>
      </c>
      <c r="C218" s="130">
        <v>4927000</v>
      </c>
      <c r="D218" s="98"/>
      <c r="E218" s="139">
        <f t="shared" si="40"/>
        <v>3284666.6666666665</v>
      </c>
      <c r="F218" s="139">
        <f t="shared" si="41"/>
        <v>1642333.3333333333</v>
      </c>
      <c r="G218" s="139">
        <v>0</v>
      </c>
      <c r="H218" s="139">
        <v>0</v>
      </c>
      <c r="I218" s="139">
        <v>0</v>
      </c>
      <c r="J218" s="26"/>
      <c r="K218" s="26"/>
      <c r="L218" s="26"/>
      <c r="M218" s="26"/>
      <c r="N218" s="26"/>
      <c r="O218" s="26"/>
      <c r="P218" s="26"/>
      <c r="Q218" s="26"/>
      <c r="R218" s="26"/>
      <c r="S218" s="26"/>
      <c r="T218" s="26"/>
      <c r="U218" s="26"/>
    </row>
    <row r="219" spans="2:21">
      <c r="B219" s="34" t="s">
        <v>558</v>
      </c>
      <c r="C219" s="130">
        <v>342412</v>
      </c>
      <c r="D219" s="98"/>
      <c r="E219" s="139">
        <f t="shared" si="40"/>
        <v>228274.66666666666</v>
      </c>
      <c r="F219" s="139">
        <f t="shared" si="41"/>
        <v>114137.33333333333</v>
      </c>
      <c r="G219" s="139">
        <v>0</v>
      </c>
      <c r="H219" s="139">
        <v>0</v>
      </c>
      <c r="I219" s="139">
        <v>0</v>
      </c>
      <c r="J219" s="26"/>
      <c r="K219" s="26"/>
      <c r="L219" s="26"/>
      <c r="M219" s="26"/>
      <c r="N219" s="26"/>
      <c r="O219" s="26"/>
      <c r="P219" s="26"/>
      <c r="Q219" s="26"/>
      <c r="R219" s="26"/>
      <c r="S219" s="26"/>
      <c r="T219" s="26"/>
      <c r="U219" s="26"/>
    </row>
    <row r="220" spans="2:21">
      <c r="B220" s="34" t="s">
        <v>71</v>
      </c>
      <c r="C220" s="130">
        <v>327373.71099731303</v>
      </c>
      <c r="D220" s="98"/>
      <c r="E220" s="139">
        <f t="shared" si="40"/>
        <v>218249.14066487536</v>
      </c>
      <c r="F220" s="139">
        <f t="shared" si="41"/>
        <v>109124.57033243768</v>
      </c>
      <c r="G220" s="139">
        <v>0</v>
      </c>
      <c r="H220" s="139">
        <v>0</v>
      </c>
      <c r="I220" s="139">
        <v>0</v>
      </c>
      <c r="J220" s="26"/>
      <c r="K220" s="26"/>
      <c r="L220" s="26"/>
      <c r="M220" s="26"/>
      <c r="N220" s="26"/>
      <c r="O220" s="26"/>
      <c r="P220" s="26"/>
      <c r="Q220" s="26"/>
      <c r="R220" s="26"/>
      <c r="S220" s="26"/>
      <c r="T220" s="26"/>
      <c r="U220" s="26"/>
    </row>
    <row r="221" spans="2:21">
      <c r="B221" s="34" t="s">
        <v>91</v>
      </c>
      <c r="C221" s="130">
        <v>24316.159769811893</v>
      </c>
      <c r="D221" s="98"/>
      <c r="E221" s="139">
        <f t="shared" si="40"/>
        <v>16210.773179874595</v>
      </c>
      <c r="F221" s="139">
        <f t="shared" si="41"/>
        <v>8105.3865899372977</v>
      </c>
      <c r="G221" s="139">
        <v>0</v>
      </c>
      <c r="H221" s="139">
        <v>0</v>
      </c>
      <c r="I221" s="139">
        <v>0</v>
      </c>
      <c r="J221" s="26"/>
      <c r="K221" s="26"/>
      <c r="L221" s="26"/>
      <c r="M221" s="26"/>
      <c r="N221" s="26"/>
      <c r="O221" s="26"/>
      <c r="P221" s="26"/>
      <c r="Q221" s="26"/>
      <c r="R221" s="26"/>
      <c r="S221" s="26"/>
      <c r="T221" s="26"/>
      <c r="U221" s="26"/>
    </row>
    <row r="222" spans="2:21">
      <c r="B222" s="34" t="s">
        <v>467</v>
      </c>
      <c r="C222" s="130">
        <v>48867</v>
      </c>
      <c r="D222" s="98"/>
      <c r="E222" s="139">
        <f t="shared" si="40"/>
        <v>32578</v>
      </c>
      <c r="F222" s="139">
        <f t="shared" si="41"/>
        <v>16289</v>
      </c>
      <c r="G222" s="139">
        <v>0</v>
      </c>
      <c r="H222" s="139">
        <v>0</v>
      </c>
      <c r="I222" s="139">
        <v>0</v>
      </c>
      <c r="J222" s="26"/>
      <c r="K222" s="26"/>
      <c r="L222" s="26"/>
      <c r="M222" s="26"/>
      <c r="N222" s="26"/>
      <c r="O222" s="26"/>
      <c r="P222" s="26"/>
      <c r="Q222" s="26"/>
      <c r="R222" s="26"/>
      <c r="S222" s="26"/>
      <c r="T222" s="26"/>
      <c r="U222" s="26"/>
    </row>
    <row r="223" spans="2:21">
      <c r="B223" s="34" t="s">
        <v>474</v>
      </c>
      <c r="C223" s="130">
        <v>2682000</v>
      </c>
      <c r="D223" s="98"/>
      <c r="E223" s="139">
        <f t="shared" si="40"/>
        <v>1788000</v>
      </c>
      <c r="F223" s="139">
        <f t="shared" si="41"/>
        <v>894000</v>
      </c>
      <c r="G223" s="139">
        <v>0</v>
      </c>
      <c r="H223" s="139">
        <v>0</v>
      </c>
      <c r="I223" s="139">
        <v>0</v>
      </c>
      <c r="J223" s="26"/>
      <c r="K223" s="26"/>
      <c r="L223" s="26"/>
      <c r="M223" s="26"/>
      <c r="N223" s="26"/>
      <c r="O223" s="26"/>
      <c r="P223" s="26"/>
      <c r="Q223" s="26"/>
      <c r="R223" s="26"/>
      <c r="S223" s="26"/>
      <c r="T223" s="26"/>
      <c r="U223" s="26"/>
    </row>
    <row r="224" spans="2:21">
      <c r="B224" s="34" t="s">
        <v>475</v>
      </c>
      <c r="C224" s="130">
        <v>1270000</v>
      </c>
      <c r="D224" s="98"/>
      <c r="E224" s="139">
        <f t="shared" si="40"/>
        <v>846666.66666666663</v>
      </c>
      <c r="F224" s="139">
        <f t="shared" si="41"/>
        <v>423333.33333333331</v>
      </c>
      <c r="G224" s="139">
        <v>0</v>
      </c>
      <c r="H224" s="139">
        <v>0</v>
      </c>
      <c r="I224" s="139">
        <v>0</v>
      </c>
      <c r="J224" s="26"/>
      <c r="K224" s="26"/>
      <c r="L224" s="26"/>
      <c r="M224" s="26"/>
      <c r="N224" s="26"/>
      <c r="O224" s="26"/>
      <c r="P224" s="26"/>
      <c r="Q224" s="26"/>
      <c r="R224" s="26"/>
      <c r="S224" s="26"/>
      <c r="T224" s="26"/>
      <c r="U224" s="26"/>
    </row>
    <row r="225" spans="2:21">
      <c r="B225" s="34" t="s">
        <v>559</v>
      </c>
      <c r="C225" s="130">
        <v>603060</v>
      </c>
      <c r="D225" s="98"/>
      <c r="E225" s="139">
        <f t="shared" si="40"/>
        <v>402040</v>
      </c>
      <c r="F225" s="139">
        <f t="shared" si="41"/>
        <v>201020</v>
      </c>
      <c r="G225" s="139"/>
      <c r="H225" s="139"/>
      <c r="I225" s="139"/>
      <c r="J225" s="26"/>
      <c r="K225" s="26"/>
      <c r="L225" s="26"/>
      <c r="M225" s="26"/>
      <c r="N225" s="26"/>
      <c r="O225" s="26"/>
      <c r="P225" s="26"/>
      <c r="Q225" s="26"/>
      <c r="R225" s="26"/>
      <c r="S225" s="26"/>
      <c r="T225" s="26"/>
      <c r="U225" s="26"/>
    </row>
    <row r="226" spans="2:21">
      <c r="B226" s="34" t="s">
        <v>557</v>
      </c>
      <c r="C226" s="130">
        <v>2227000</v>
      </c>
      <c r="D226" s="98"/>
      <c r="E226" s="139">
        <f t="shared" si="40"/>
        <v>1484666.6666666667</v>
      </c>
      <c r="F226" s="139">
        <f t="shared" si="41"/>
        <v>742333.33333333337</v>
      </c>
      <c r="G226" s="139">
        <v>0</v>
      </c>
      <c r="H226" s="139">
        <v>0</v>
      </c>
      <c r="I226" s="139">
        <v>0</v>
      </c>
      <c r="J226" s="26"/>
      <c r="K226" s="26"/>
      <c r="L226" s="26"/>
      <c r="M226" s="26"/>
      <c r="N226" s="26"/>
      <c r="O226" s="26"/>
      <c r="P226" s="26"/>
      <c r="Q226" s="26"/>
      <c r="R226" s="26"/>
      <c r="S226" s="26"/>
      <c r="T226" s="26"/>
      <c r="U226" s="26"/>
    </row>
    <row r="227" spans="2:21">
      <c r="B227" s="42" t="s">
        <v>178</v>
      </c>
      <c r="C227" s="129"/>
      <c r="D227" s="98"/>
      <c r="E227" s="140"/>
      <c r="F227" s="140"/>
      <c r="G227" s="140"/>
      <c r="H227" s="140"/>
      <c r="I227" s="140"/>
      <c r="J227" s="26"/>
      <c r="K227" s="26"/>
      <c r="L227" s="26"/>
      <c r="M227" s="26"/>
      <c r="N227" s="26"/>
      <c r="O227" s="26"/>
      <c r="P227" s="26"/>
      <c r="Q227" s="26"/>
      <c r="R227" s="26"/>
      <c r="S227" s="26"/>
      <c r="T227" s="26"/>
      <c r="U227" s="26"/>
    </row>
    <row r="228" spans="2:21">
      <c r="B228" s="34" t="s">
        <v>86</v>
      </c>
      <c r="C228" s="130">
        <v>9726.4639079247572</v>
      </c>
      <c r="D228" s="98"/>
      <c r="E228" s="139">
        <f t="shared" ref="E228:E229" si="42">SUM(C228/3)*2</f>
        <v>6484.3092719498381</v>
      </c>
      <c r="F228" s="139">
        <f t="shared" ref="F228:F229" si="43">SUM(C228/3)</f>
        <v>3242.1546359749191</v>
      </c>
      <c r="G228" s="139">
        <v>0</v>
      </c>
      <c r="H228" s="139">
        <v>0</v>
      </c>
      <c r="I228" s="139">
        <v>0</v>
      </c>
      <c r="J228" s="26"/>
      <c r="K228" s="26"/>
      <c r="L228" s="26"/>
      <c r="M228" s="26"/>
      <c r="N228" s="26"/>
      <c r="O228" s="26"/>
      <c r="P228" s="26"/>
      <c r="Q228" s="26"/>
      <c r="R228" s="26"/>
      <c r="S228" s="26"/>
      <c r="T228" s="26"/>
      <c r="U228" s="26"/>
    </row>
    <row r="229" spans="2:21">
      <c r="B229" s="34" t="s">
        <v>77</v>
      </c>
      <c r="C229" s="130">
        <v>18632.319539623801</v>
      </c>
      <c r="D229" s="98"/>
      <c r="E229" s="139">
        <f t="shared" si="42"/>
        <v>12421.5463597492</v>
      </c>
      <c r="F229" s="139">
        <f t="shared" si="43"/>
        <v>6210.7731798745999</v>
      </c>
      <c r="G229" s="139">
        <v>0</v>
      </c>
      <c r="H229" s="139">
        <v>0</v>
      </c>
      <c r="I229" s="139">
        <v>0</v>
      </c>
      <c r="J229" s="26"/>
      <c r="K229" s="26"/>
      <c r="L229" s="26"/>
      <c r="M229" s="26"/>
      <c r="N229" s="26"/>
      <c r="O229" s="26"/>
      <c r="P229" s="26"/>
      <c r="Q229" s="26"/>
      <c r="R229" s="26"/>
      <c r="S229" s="26"/>
      <c r="T229" s="26"/>
      <c r="U229" s="26"/>
    </row>
    <row r="230" spans="2:21">
      <c r="B230" s="42" t="s">
        <v>73</v>
      </c>
      <c r="C230" s="129"/>
      <c r="D230" s="98"/>
      <c r="E230" s="140"/>
      <c r="F230" s="140"/>
      <c r="G230" s="140"/>
      <c r="H230" s="140"/>
      <c r="I230" s="140"/>
      <c r="J230" s="26"/>
      <c r="K230" s="26"/>
      <c r="L230" s="26"/>
      <c r="M230" s="26"/>
      <c r="N230" s="26"/>
      <c r="O230" s="26"/>
      <c r="P230" s="26"/>
      <c r="Q230" s="26"/>
      <c r="R230" s="26"/>
      <c r="S230" s="26"/>
      <c r="T230" s="26"/>
      <c r="U230" s="26"/>
    </row>
    <row r="231" spans="2:21">
      <c r="B231" s="34" t="s">
        <v>471</v>
      </c>
      <c r="C231" s="130">
        <v>116717.56689509709</v>
      </c>
      <c r="D231" s="98"/>
      <c r="E231" s="139">
        <f t="shared" ref="E231:E232" si="44">SUM(C231/3)*2</f>
        <v>77811.711263398058</v>
      </c>
      <c r="F231" s="139">
        <f t="shared" ref="F231:F232" si="45">SUM(C231/3)</f>
        <v>38905.855631699029</v>
      </c>
      <c r="G231" s="139">
        <v>0</v>
      </c>
      <c r="H231" s="139">
        <v>0</v>
      </c>
      <c r="I231" s="139">
        <v>0</v>
      </c>
      <c r="J231" s="26"/>
      <c r="K231" s="26"/>
      <c r="L231" s="26"/>
      <c r="M231" s="26"/>
      <c r="N231" s="26"/>
      <c r="O231" s="26"/>
      <c r="P231" s="26"/>
      <c r="Q231" s="26"/>
      <c r="R231" s="26"/>
      <c r="S231" s="26"/>
      <c r="T231" s="26"/>
      <c r="U231" s="26"/>
    </row>
    <row r="232" spans="2:21">
      <c r="B232" s="34" t="s">
        <v>38</v>
      </c>
      <c r="C232" s="130">
        <v>38900</v>
      </c>
      <c r="D232" s="98"/>
      <c r="E232" s="139">
        <f t="shared" si="44"/>
        <v>25933.333333333332</v>
      </c>
      <c r="F232" s="139">
        <f t="shared" si="45"/>
        <v>12966.666666666666</v>
      </c>
      <c r="G232" s="139">
        <v>0</v>
      </c>
      <c r="H232" s="139">
        <v>0</v>
      </c>
      <c r="I232" s="139">
        <v>0</v>
      </c>
      <c r="J232" s="26"/>
      <c r="K232" s="26"/>
      <c r="L232" s="26"/>
      <c r="M232" s="26"/>
      <c r="N232" s="26"/>
      <c r="O232" s="26"/>
      <c r="P232" s="26"/>
      <c r="Q232" s="26"/>
      <c r="R232" s="26"/>
      <c r="S232" s="26"/>
      <c r="T232" s="26"/>
      <c r="U232" s="26"/>
    </row>
    <row r="233" spans="2:21">
      <c r="B233" s="42" t="s">
        <v>87</v>
      </c>
      <c r="C233" s="125"/>
      <c r="D233" s="98"/>
      <c r="E233" s="145"/>
      <c r="F233" s="145"/>
      <c r="G233" s="145"/>
      <c r="H233" s="145"/>
      <c r="I233" s="145"/>
      <c r="J233" s="26"/>
      <c r="K233" s="26"/>
      <c r="L233" s="26"/>
      <c r="M233" s="26"/>
      <c r="N233" s="26"/>
      <c r="O233" s="26"/>
      <c r="P233" s="26"/>
      <c r="Q233" s="26"/>
      <c r="R233" s="26"/>
      <c r="S233" s="26"/>
      <c r="T233" s="26"/>
      <c r="U233" s="26"/>
    </row>
    <row r="234" spans="2:21">
      <c r="B234" s="34" t="s">
        <v>87</v>
      </c>
      <c r="C234" s="130">
        <v>305000</v>
      </c>
      <c r="D234" s="98"/>
      <c r="E234" s="139">
        <f t="shared" ref="E234" si="46">SUM(C234/3)*2</f>
        <v>203333.33333333334</v>
      </c>
      <c r="F234" s="139">
        <f t="shared" ref="F234" si="47">SUM(C234/3)</f>
        <v>101666.66666666667</v>
      </c>
      <c r="G234" s="139">
        <v>0</v>
      </c>
      <c r="H234" s="139">
        <v>0</v>
      </c>
      <c r="I234" s="139">
        <v>0</v>
      </c>
      <c r="J234" s="26"/>
      <c r="K234" s="26"/>
      <c r="L234" s="26"/>
      <c r="M234" s="26"/>
      <c r="N234" s="26"/>
      <c r="O234" s="26"/>
      <c r="P234" s="26"/>
      <c r="Q234" s="26"/>
      <c r="R234" s="26"/>
      <c r="S234" s="26"/>
      <c r="T234" s="26"/>
      <c r="U234" s="26"/>
    </row>
    <row r="235" spans="2:21">
      <c r="B235" s="42" t="s">
        <v>65</v>
      </c>
      <c r="C235" s="129"/>
      <c r="D235" s="98"/>
      <c r="E235" s="140"/>
      <c r="F235" s="140"/>
      <c r="G235" s="140"/>
      <c r="H235" s="140"/>
      <c r="I235" s="140"/>
      <c r="J235" s="26"/>
      <c r="K235" s="26"/>
      <c r="L235" s="26"/>
      <c r="M235" s="26"/>
      <c r="N235" s="26"/>
      <c r="O235" s="26"/>
      <c r="P235" s="26"/>
      <c r="Q235" s="26"/>
      <c r="R235" s="26"/>
      <c r="S235" s="26"/>
      <c r="T235" s="26"/>
      <c r="U235" s="26"/>
    </row>
    <row r="236" spans="2:21">
      <c r="B236" s="34" t="s">
        <v>81</v>
      </c>
      <c r="C236" s="130">
        <f>SUM(D240)*1.5/100</f>
        <v>195970.05393337223</v>
      </c>
      <c r="D236" s="98"/>
      <c r="E236" s="139">
        <f t="shared" ref="E236:E239" si="48">SUM(C236/3)*2</f>
        <v>130646.70262224815</v>
      </c>
      <c r="F236" s="139">
        <f t="shared" ref="F236:F239" si="49">SUM(C236/3)</f>
        <v>65323.351311124075</v>
      </c>
      <c r="G236" s="139">
        <v>0</v>
      </c>
      <c r="H236" s="139">
        <v>0</v>
      </c>
      <c r="I236" s="139">
        <v>0</v>
      </c>
      <c r="J236" s="26"/>
      <c r="K236" s="26"/>
      <c r="L236" s="26"/>
      <c r="M236" s="26"/>
      <c r="N236" s="26"/>
      <c r="O236" s="26"/>
      <c r="P236" s="26"/>
      <c r="Q236" s="26"/>
      <c r="R236" s="26"/>
      <c r="S236" s="26"/>
      <c r="T236" s="26"/>
      <c r="U236" s="26"/>
    </row>
    <row r="237" spans="2:21">
      <c r="B237" s="34" t="s">
        <v>82</v>
      </c>
      <c r="C237" s="130">
        <f>SUM(D240)*2.5/100</f>
        <v>326616.75655562041</v>
      </c>
      <c r="D237" s="617"/>
      <c r="E237" s="139">
        <f t="shared" si="48"/>
        <v>217744.5043704136</v>
      </c>
      <c r="F237" s="139">
        <f t="shared" si="49"/>
        <v>108872.2521852068</v>
      </c>
      <c r="G237" s="139">
        <v>0</v>
      </c>
      <c r="H237" s="139">
        <v>0</v>
      </c>
      <c r="I237" s="139">
        <v>0</v>
      </c>
      <c r="J237" s="26"/>
      <c r="K237" s="26"/>
      <c r="L237" s="26"/>
      <c r="M237" s="26"/>
      <c r="N237" s="26"/>
      <c r="O237" s="26"/>
      <c r="P237" s="26"/>
      <c r="Q237" s="26"/>
      <c r="R237" s="26"/>
      <c r="S237" s="26"/>
      <c r="T237" s="26"/>
      <c r="U237" s="26"/>
    </row>
    <row r="238" spans="2:21">
      <c r="B238" s="34" t="s">
        <v>83</v>
      </c>
      <c r="C238" s="130">
        <f>SUM(D240)*6/100</f>
        <v>783880.21573348891</v>
      </c>
      <c r="D238" s="98"/>
      <c r="E238" s="139">
        <f t="shared" si="48"/>
        <v>522586.8104889926</v>
      </c>
      <c r="F238" s="139">
        <f t="shared" si="49"/>
        <v>261293.4052444963</v>
      </c>
      <c r="G238" s="139">
        <v>0</v>
      </c>
      <c r="H238" s="139">
        <v>0</v>
      </c>
      <c r="I238" s="139">
        <v>0</v>
      </c>
      <c r="J238" s="26"/>
      <c r="K238" s="26"/>
      <c r="L238" s="26"/>
      <c r="M238" s="26"/>
      <c r="N238" s="26"/>
      <c r="O238" s="26"/>
      <c r="P238" s="26"/>
      <c r="Q238" s="26"/>
      <c r="R238" s="26"/>
      <c r="S238" s="26"/>
      <c r="T238" s="26"/>
      <c r="U238" s="26"/>
    </row>
    <row r="239" spans="2:21" outlineLevel="2">
      <c r="B239" s="33" t="s">
        <v>65</v>
      </c>
      <c r="C239" s="130">
        <f>SUM(D240)*5/100</f>
        <v>653233.51311124081</v>
      </c>
      <c r="D239" s="98"/>
      <c r="E239" s="139">
        <f t="shared" si="48"/>
        <v>435489.00874082721</v>
      </c>
      <c r="F239" s="139">
        <f t="shared" si="49"/>
        <v>217744.5043704136</v>
      </c>
      <c r="G239" s="139">
        <v>0</v>
      </c>
      <c r="H239" s="139">
        <v>0</v>
      </c>
      <c r="I239" s="139">
        <v>0</v>
      </c>
      <c r="J239" s="26"/>
      <c r="K239" s="26"/>
      <c r="L239" s="26"/>
      <c r="M239" s="26"/>
      <c r="N239" s="26"/>
      <c r="O239" s="26"/>
      <c r="P239" s="26"/>
      <c r="Q239" s="26"/>
      <c r="R239" s="26"/>
      <c r="S239" s="26"/>
      <c r="T239" s="26"/>
      <c r="U239" s="26"/>
    </row>
    <row r="240" spans="2:21" ht="20" thickBot="1">
      <c r="B240" s="31" t="str">
        <f>"Subtotal "&amp;B214</f>
        <v>Subtotal Beef Processing Facility</v>
      </c>
      <c r="C240" s="131">
        <f>SUM(C216:C239)</f>
        <v>15024370.801558539</v>
      </c>
      <c r="D240" s="614">
        <f>SUM(C216:C234)</f>
        <v>13064670.262224816</v>
      </c>
      <c r="E240" s="141">
        <f>SUM(E216:E239)</f>
        <v>10016247.201039027</v>
      </c>
      <c r="F240" s="141">
        <f>SUM(F216:F239)</f>
        <v>5008123.6005195137</v>
      </c>
      <c r="G240" s="141">
        <v>0</v>
      </c>
      <c r="H240" s="141">
        <v>0</v>
      </c>
      <c r="I240" s="141">
        <v>0</v>
      </c>
      <c r="J240" s="26"/>
      <c r="K240" s="26"/>
      <c r="L240" s="26"/>
      <c r="M240" s="26"/>
      <c r="N240" s="26"/>
      <c r="O240" s="26"/>
      <c r="P240" s="26"/>
      <c r="Q240" s="26"/>
      <c r="R240" s="26"/>
      <c r="S240" s="26"/>
      <c r="T240" s="26"/>
      <c r="U240" s="26"/>
    </row>
    <row r="241" spans="2:21">
      <c r="B241" s="35"/>
      <c r="C241" s="123"/>
      <c r="D241" s="100"/>
      <c r="E241" s="142"/>
      <c r="F241" s="142"/>
      <c r="G241" s="142"/>
      <c r="H241" s="142"/>
      <c r="I241" s="142"/>
      <c r="J241" s="26"/>
      <c r="K241" s="26"/>
      <c r="L241" s="26"/>
      <c r="M241" s="26"/>
      <c r="N241" s="26"/>
      <c r="O241" s="26"/>
      <c r="P241" s="26"/>
      <c r="Q241" s="26"/>
      <c r="R241" s="26"/>
      <c r="S241" s="26"/>
      <c r="T241" s="26"/>
      <c r="U241" s="26"/>
    </row>
    <row r="242" spans="2:21" ht="20" outlineLevel="1" thickBot="1">
      <c r="B242" s="30" t="s">
        <v>522</v>
      </c>
      <c r="C242" s="128"/>
      <c r="D242" s="101"/>
      <c r="E242" s="143"/>
      <c r="F242" s="143"/>
      <c r="G242" s="143"/>
      <c r="H242" s="143"/>
      <c r="I242" s="143"/>
      <c r="J242" s="26"/>
      <c r="K242" s="26"/>
      <c r="L242" s="26"/>
      <c r="M242" s="26"/>
      <c r="N242" s="26"/>
      <c r="O242" s="26"/>
      <c r="P242" s="26"/>
      <c r="Q242" s="26"/>
      <c r="R242" s="26"/>
      <c r="S242" s="26"/>
      <c r="T242" s="26"/>
      <c r="U242" s="26"/>
    </row>
    <row r="243" spans="2:21">
      <c r="B243" s="34" t="s">
        <v>517</v>
      </c>
      <c r="C243" s="130">
        <v>1350000</v>
      </c>
      <c r="D243" s="98"/>
      <c r="E243" s="139">
        <v>1350000</v>
      </c>
      <c r="F243" s="139">
        <v>0</v>
      </c>
      <c r="G243" s="139">
        <v>0</v>
      </c>
      <c r="H243" s="139">
        <v>0</v>
      </c>
      <c r="I243" s="139">
        <v>0</v>
      </c>
      <c r="J243" s="26"/>
      <c r="K243" s="26"/>
      <c r="L243" s="26"/>
      <c r="M243" s="26"/>
      <c r="N243" s="26"/>
      <c r="O243" s="26"/>
      <c r="P243" s="26"/>
      <c r="Q243" s="26"/>
      <c r="R243" s="26"/>
      <c r="S243" s="26"/>
      <c r="T243" s="26"/>
      <c r="U243" s="26"/>
    </row>
    <row r="244" spans="2:21">
      <c r="B244" s="34" t="s">
        <v>518</v>
      </c>
      <c r="C244" s="130">
        <v>4500000</v>
      </c>
      <c r="D244" s="98"/>
      <c r="E244" s="139">
        <v>4500000</v>
      </c>
      <c r="F244" s="139">
        <v>0</v>
      </c>
      <c r="G244" s="139">
        <v>0</v>
      </c>
      <c r="H244" s="139">
        <v>0</v>
      </c>
      <c r="I244" s="139">
        <v>0</v>
      </c>
      <c r="J244" s="26"/>
      <c r="K244" s="26"/>
      <c r="L244" s="26"/>
      <c r="M244" s="26"/>
      <c r="N244" s="26"/>
      <c r="O244" s="26"/>
      <c r="P244" s="26"/>
      <c r="Q244" s="26"/>
      <c r="R244" s="26"/>
      <c r="S244" s="26"/>
      <c r="T244" s="26"/>
      <c r="U244" s="26"/>
    </row>
    <row r="245" spans="2:21">
      <c r="B245" s="34" t="s">
        <v>519</v>
      </c>
      <c r="C245" s="130">
        <v>500000</v>
      </c>
      <c r="D245" s="98"/>
      <c r="E245" s="139">
        <v>500000</v>
      </c>
      <c r="F245" s="139">
        <v>0</v>
      </c>
      <c r="G245" s="139">
        <v>0</v>
      </c>
      <c r="H245" s="139">
        <v>0</v>
      </c>
      <c r="I245" s="139">
        <v>0</v>
      </c>
      <c r="J245" s="26"/>
      <c r="K245" s="26"/>
      <c r="L245" s="26"/>
      <c r="M245" s="26"/>
      <c r="N245" s="26"/>
      <c r="O245" s="26"/>
      <c r="P245" s="26"/>
      <c r="Q245" s="26"/>
      <c r="R245" s="26"/>
      <c r="S245" s="26"/>
      <c r="T245" s="26"/>
      <c r="U245" s="26"/>
    </row>
    <row r="246" spans="2:21">
      <c r="B246" s="34" t="s">
        <v>209</v>
      </c>
      <c r="C246" s="130"/>
      <c r="D246" s="98"/>
      <c r="E246" s="139"/>
      <c r="F246" s="139">
        <v>0</v>
      </c>
      <c r="G246" s="139">
        <v>0</v>
      </c>
      <c r="H246" s="139">
        <v>0</v>
      </c>
      <c r="I246" s="139">
        <v>0</v>
      </c>
      <c r="J246" s="26"/>
      <c r="K246" s="26"/>
      <c r="L246" s="26"/>
      <c r="M246" s="26"/>
      <c r="N246" s="26"/>
      <c r="O246" s="26"/>
      <c r="P246" s="26"/>
      <c r="Q246" s="26"/>
      <c r="R246" s="26"/>
      <c r="S246" s="26"/>
      <c r="T246" s="26"/>
      <c r="U246" s="26"/>
    </row>
    <row r="247" spans="2:21" ht="20" thickBot="1">
      <c r="B247" s="31" t="str">
        <f>"Subtotal "&amp;B242</f>
        <v>Subtotal Heifers, Land and Infrastructure</v>
      </c>
      <c r="C247" s="131">
        <f>SUM(C243:C246)</f>
        <v>6350000</v>
      </c>
      <c r="D247" s="99"/>
      <c r="E247" s="141">
        <f>SUM(E243:E246)</f>
        <v>6350000</v>
      </c>
      <c r="F247" s="141">
        <v>0</v>
      </c>
      <c r="G247" s="141">
        <v>0</v>
      </c>
      <c r="H247" s="141">
        <v>0</v>
      </c>
      <c r="I247" s="141">
        <v>0</v>
      </c>
      <c r="J247" s="26"/>
      <c r="K247" s="26"/>
      <c r="L247" s="26"/>
      <c r="M247" s="26"/>
      <c r="N247" s="26"/>
      <c r="O247" s="26"/>
      <c r="P247" s="26"/>
      <c r="Q247" s="26"/>
      <c r="R247" s="26"/>
      <c r="S247" s="26"/>
      <c r="T247" s="26"/>
      <c r="U247" s="26"/>
    </row>
    <row r="248" spans="2:21">
      <c r="B248" s="35"/>
      <c r="C248" s="123"/>
      <c r="D248" s="100"/>
      <c r="E248" s="142"/>
      <c r="F248" s="142"/>
      <c r="G248" s="142"/>
      <c r="H248" s="142"/>
      <c r="I248" s="142"/>
      <c r="J248" s="26"/>
      <c r="K248" s="26"/>
      <c r="L248" s="26"/>
      <c r="M248" s="26"/>
      <c r="N248" s="26"/>
      <c r="O248" s="26"/>
      <c r="P248" s="26"/>
      <c r="Q248" s="26"/>
      <c r="R248" s="26"/>
      <c r="S248" s="26"/>
      <c r="T248" s="26"/>
      <c r="U248" s="26"/>
    </row>
    <row r="249" spans="2:21" ht="20" thickBot="1">
      <c r="B249" s="36" t="s">
        <v>131</v>
      </c>
      <c r="C249" s="133">
        <f>SUM(C52)+C79+C116+C153+C179+C212+C240+C247</f>
        <v>50506969.526040569</v>
      </c>
      <c r="D249" s="102"/>
      <c r="E249" s="133">
        <f>SUM(E52)+E79+E116+E153+E179+E212+E240+E247</f>
        <v>37124290.259186015</v>
      </c>
      <c r="F249" s="133">
        <f>SUM(F52)+F79+F116+F153+F179+F212+F240+F247</f>
        <v>13382679.266854554</v>
      </c>
      <c r="G249" s="133">
        <f t="shared" ref="G249:I249" si="50">SUM(G52)+G79+G116+G153+G179+G212+G240+G247</f>
        <v>0</v>
      </c>
      <c r="H249" s="133">
        <f t="shared" si="50"/>
        <v>0</v>
      </c>
      <c r="I249" s="133">
        <f t="shared" si="50"/>
        <v>0</v>
      </c>
      <c r="J249" s="26"/>
      <c r="K249" s="26"/>
      <c r="L249" s="26"/>
      <c r="M249" s="26"/>
      <c r="N249" s="26"/>
      <c r="O249" s="26"/>
      <c r="P249" s="26"/>
      <c r="Q249" s="26"/>
      <c r="R249" s="26"/>
      <c r="S249" s="26"/>
      <c r="T249" s="26"/>
      <c r="U249" s="26"/>
    </row>
    <row r="250" spans="2:21">
      <c r="G250" s="484"/>
      <c r="I250" s="471"/>
    </row>
    <row r="251" spans="2:21">
      <c r="D251" s="97"/>
      <c r="E251" s="122"/>
      <c r="F251" s="122"/>
      <c r="G251" s="122"/>
    </row>
    <row r="256" spans="2:21">
      <c r="B256" s="32" t="s">
        <v>533</v>
      </c>
      <c r="C256" s="28" t="s">
        <v>1</v>
      </c>
      <c r="D256" s="28" t="s">
        <v>16</v>
      </c>
      <c r="E256" s="120" t="s">
        <v>4</v>
      </c>
      <c r="F256" s="28" t="s">
        <v>5</v>
      </c>
      <c r="G256" s="120" t="s">
        <v>6</v>
      </c>
      <c r="H256" s="28" t="s">
        <v>7</v>
      </c>
    </row>
    <row r="257" spans="2:21">
      <c r="B257" s="26" t="s">
        <v>114</v>
      </c>
      <c r="C257" s="120">
        <f>$C$52/1000</f>
        <v>4008.9317254769048</v>
      </c>
      <c r="D257" s="120">
        <f>E52/1000</f>
        <v>4008.9317254769048</v>
      </c>
      <c r="E257" s="120">
        <f>F52/1000</f>
        <v>0</v>
      </c>
      <c r="F257" s="120">
        <f>G52/1000</f>
        <v>0</v>
      </c>
      <c r="G257" s="120">
        <f>H52/1000</f>
        <v>0</v>
      </c>
      <c r="H257" s="120">
        <f>I52/1000</f>
        <v>0</v>
      </c>
    </row>
    <row r="258" spans="2:21">
      <c r="B258" s="26" t="s">
        <v>562</v>
      </c>
      <c r="C258" s="120">
        <f>$C$79/1000</f>
        <v>4503.0165830967326</v>
      </c>
      <c r="D258" s="120">
        <f>E79/1000</f>
        <v>3002.0110553978211</v>
      </c>
      <c r="E258" s="120">
        <f>F79/1000</f>
        <v>1501.0055276989106</v>
      </c>
      <c r="F258" s="120">
        <f>G79/1000</f>
        <v>0</v>
      </c>
      <c r="G258" s="120">
        <f>H79/1000</f>
        <v>0</v>
      </c>
      <c r="H258" s="120">
        <f>I79/1000</f>
        <v>0</v>
      </c>
    </row>
    <row r="259" spans="2:21">
      <c r="B259" s="26" t="s">
        <v>561</v>
      </c>
      <c r="C259" s="120">
        <f>$C$116/1000</f>
        <v>12017.204280015581</v>
      </c>
      <c r="D259" s="120">
        <f>E116/1000</f>
        <v>8011.4695200103888</v>
      </c>
      <c r="E259" s="120">
        <f>F116/1000</f>
        <v>4005.7347600051944</v>
      </c>
      <c r="F259" s="120">
        <f>G116/1000</f>
        <v>0</v>
      </c>
      <c r="G259" s="120">
        <f>H116/1000</f>
        <v>0</v>
      </c>
      <c r="H259" s="120">
        <f>I116/1000</f>
        <v>0</v>
      </c>
    </row>
    <row r="260" spans="2:21">
      <c r="B260" s="26" t="s">
        <v>60</v>
      </c>
      <c r="C260" s="120">
        <f>$C$153/1000</f>
        <v>3003.072147228464</v>
      </c>
      <c r="D260" s="120">
        <f>E153/1000</f>
        <v>2002.0480981523094</v>
      </c>
      <c r="E260" s="120">
        <f>F153/1000</f>
        <v>1001.0240490761547</v>
      </c>
      <c r="F260" s="120">
        <f>G153/1000</f>
        <v>0</v>
      </c>
      <c r="G260" s="120">
        <f>H153/1000</f>
        <v>0</v>
      </c>
      <c r="H260" s="120">
        <f>I153/1000</f>
        <v>0</v>
      </c>
    </row>
    <row r="261" spans="2:21">
      <c r="B261" s="26" t="s">
        <v>176</v>
      </c>
      <c r="C261" s="120">
        <f>$C$179/1000</f>
        <v>3089.2682048804622</v>
      </c>
      <c r="D261" s="120">
        <f>E179/1000</f>
        <v>2059.5121365869745</v>
      </c>
      <c r="E261" s="120">
        <f>F179/1000</f>
        <v>1029.7560682934873</v>
      </c>
      <c r="F261" s="120">
        <f>G179/1000</f>
        <v>0</v>
      </c>
      <c r="G261" s="120">
        <f>H179/1000</f>
        <v>0</v>
      </c>
      <c r="H261" s="120">
        <f>I179/1000</f>
        <v>0</v>
      </c>
    </row>
    <row r="262" spans="2:21">
      <c r="B262" s="26" t="s">
        <v>476</v>
      </c>
      <c r="C262" s="120">
        <f>$C$212/1000</f>
        <v>2511.1057837838825</v>
      </c>
      <c r="D262" s="120">
        <f>E212/1000</f>
        <v>1674.0705225225886</v>
      </c>
      <c r="E262" s="120">
        <f>F212/1000</f>
        <v>837.03526126129429</v>
      </c>
      <c r="F262" s="120">
        <f>G212/1000</f>
        <v>0</v>
      </c>
      <c r="G262" s="120">
        <f>H212/1000</f>
        <v>0</v>
      </c>
      <c r="H262" s="120">
        <f>I212/1000</f>
        <v>0</v>
      </c>
    </row>
    <row r="263" spans="2:21">
      <c r="B263" s="26" t="s">
        <v>477</v>
      </c>
      <c r="C263" s="120">
        <f>$C$240/1000</f>
        <v>15024.37080155854</v>
      </c>
      <c r="D263" s="120">
        <f>E240/1000</f>
        <v>10016.247201039027</v>
      </c>
      <c r="E263" s="120">
        <f>F240/1000</f>
        <v>5008.1236005195133</v>
      </c>
      <c r="F263" s="120">
        <f>G240/1000</f>
        <v>0</v>
      </c>
      <c r="G263" s="120">
        <f>H240/1000</f>
        <v>0</v>
      </c>
      <c r="H263" s="120">
        <f>I240/1000</f>
        <v>0</v>
      </c>
    </row>
    <row r="264" spans="2:21">
      <c r="B264" s="26" t="s">
        <v>526</v>
      </c>
      <c r="C264" s="120">
        <f>SUM(C243:C245)/1000</f>
        <v>6350</v>
      </c>
      <c r="D264" s="120">
        <f>C264</f>
        <v>6350</v>
      </c>
      <c r="E264" s="120">
        <v>0</v>
      </c>
      <c r="F264" s="120">
        <v>0</v>
      </c>
      <c r="G264" s="120">
        <v>0</v>
      </c>
      <c r="H264" s="120">
        <v>0</v>
      </c>
      <c r="J264" s="26"/>
      <c r="K264" s="26"/>
      <c r="L264" s="26"/>
      <c r="M264" s="26"/>
      <c r="N264" s="26"/>
      <c r="O264" s="26"/>
      <c r="P264" s="26"/>
      <c r="Q264" s="26"/>
      <c r="R264" s="26"/>
      <c r="S264" s="26"/>
      <c r="T264" s="26"/>
      <c r="U264" s="26"/>
    </row>
    <row r="265" spans="2:21">
      <c r="B265" s="26" t="s">
        <v>19</v>
      </c>
      <c r="C265" s="120">
        <f>C246/1000</f>
        <v>0</v>
      </c>
      <c r="D265" s="120">
        <f>C265</f>
        <v>0</v>
      </c>
      <c r="E265" s="120">
        <v>0</v>
      </c>
      <c r="F265" s="120">
        <v>0</v>
      </c>
      <c r="G265" s="120">
        <v>0</v>
      </c>
      <c r="H265" s="120">
        <v>0</v>
      </c>
      <c r="J265" s="26"/>
      <c r="K265" s="26"/>
      <c r="L265" s="26"/>
      <c r="M265" s="26"/>
      <c r="N265" s="26"/>
      <c r="O265" s="26"/>
      <c r="P265" s="26"/>
      <c r="Q265" s="26"/>
      <c r="R265" s="26"/>
      <c r="S265" s="26"/>
      <c r="T265" s="26"/>
      <c r="U265" s="26"/>
    </row>
    <row r="266" spans="2:21">
      <c r="B266" s="26" t="s">
        <v>520</v>
      </c>
      <c r="C266" s="120">
        <f>SUM(Dashboard!C26:C28)/1000</f>
        <v>4214.445799320998</v>
      </c>
      <c r="D266" s="120">
        <f>SUM(Dashboard!E26:E28)/1000</f>
        <v>3097.7509753409431</v>
      </c>
      <c r="E266" s="120">
        <f>SUM(Dashboard!F26:F28)/1000</f>
        <v>1116.6948239800552</v>
      </c>
      <c r="F266" s="120">
        <f>SUM(Dashboard!G26:G28)/1000</f>
        <v>8.1550168823185567E-141</v>
      </c>
      <c r="G266" s="120">
        <f>SUM(Dashboard!H26:H28)/1000</f>
        <v>8.6308031063979248E-141</v>
      </c>
      <c r="H266" s="120">
        <f>SUM(Dashboard!I26:I28)/1000</f>
        <v>0</v>
      </c>
      <c r="I266" s="26"/>
      <c r="J266" s="26"/>
      <c r="K266" s="26"/>
      <c r="L266" s="26"/>
      <c r="M266" s="26"/>
      <c r="N266" s="26"/>
      <c r="O266" s="26"/>
      <c r="P266" s="26"/>
      <c r="Q266" s="26"/>
      <c r="R266" s="26"/>
      <c r="S266" s="26"/>
      <c r="T266" s="26"/>
      <c r="U266" s="26"/>
    </row>
    <row r="267" spans="2:21">
      <c r="B267" s="26" t="s">
        <v>131</v>
      </c>
      <c r="C267" s="120">
        <f>SUM(C257:C266)</f>
        <v>54721.415325361566</v>
      </c>
      <c r="D267" s="120">
        <f t="shared" ref="D267:H267" si="51">SUM(D257:D266)</f>
        <v>40222.041234526958</v>
      </c>
      <c r="E267" s="120">
        <f t="shared" si="51"/>
        <v>14499.37409083461</v>
      </c>
      <c r="F267" s="120">
        <f t="shared" si="51"/>
        <v>8.1550168823185567E-141</v>
      </c>
      <c r="G267" s="120">
        <f t="shared" si="51"/>
        <v>8.6308031063979248E-141</v>
      </c>
      <c r="H267" s="120">
        <f t="shared" si="51"/>
        <v>0</v>
      </c>
      <c r="J267" s="26"/>
      <c r="K267" s="26"/>
      <c r="L267" s="26"/>
      <c r="M267" s="26"/>
      <c r="N267" s="26"/>
      <c r="O267" s="26"/>
      <c r="P267" s="26"/>
      <c r="Q267" s="26"/>
      <c r="R267" s="26"/>
      <c r="S267" s="26"/>
      <c r="T267" s="26"/>
      <c r="U267" s="26"/>
    </row>
  </sheetData>
  <dataConsolidate link="1"/>
  <pageMargins left="0.75" right="0.75" top="1" bottom="1" header="0.5" footer="0.5"/>
  <pageSetup paperSize="9" orientation="portrait"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5">
    <tabColor theme="5" tint="0.59999389629810485"/>
  </sheetPr>
  <dimension ref="A1:M46"/>
  <sheetViews>
    <sheetView workbookViewId="0"/>
  </sheetViews>
  <sheetFormatPr baseColWidth="10" defaultColWidth="9.1640625" defaultRowHeight="14"/>
  <cols>
    <col min="1" max="1" width="9.1640625" style="14"/>
    <col min="2" max="2" width="57.83203125" style="14" customWidth="1"/>
    <col min="3" max="3" width="12" style="109" customWidth="1"/>
    <col min="4" max="4" width="10.83203125" style="109" customWidth="1"/>
    <col min="5" max="5" width="16.5" style="14" bestFit="1" customWidth="1"/>
    <col min="6" max="6" width="9.1640625" style="14"/>
    <col min="7" max="7" width="9.83203125" style="14" bestFit="1" customWidth="1"/>
    <col min="8" max="12" width="9.1640625" style="14"/>
    <col min="13" max="13" width="9.83203125" style="14" bestFit="1" customWidth="1"/>
    <col min="14" max="16384" width="9.1640625" style="14"/>
  </cols>
  <sheetData>
    <row r="1" spans="1:13" s="1" customFormat="1" ht="15">
      <c r="A1" s="11" t="s">
        <v>203</v>
      </c>
      <c r="B1" s="3"/>
      <c r="C1" s="107"/>
      <c r="D1" s="108" t="s">
        <v>169</v>
      </c>
      <c r="E1" s="96" t="e">
        <f>#REF!</f>
        <v>#REF!</v>
      </c>
    </row>
    <row r="2" spans="1:13" s="1" customFormat="1" ht="13">
      <c r="A2" s="2" t="e">
        <f>#REF!</f>
        <v>#REF!</v>
      </c>
      <c r="B2" s="2" t="e">
        <f>#REF!</f>
        <v>#REF!</v>
      </c>
      <c r="C2" s="107"/>
      <c r="D2" s="107"/>
    </row>
    <row r="3" spans="1:13" s="1" customFormat="1" ht="13">
      <c r="A3" s="2"/>
      <c r="B3" s="612" t="s">
        <v>213</v>
      </c>
      <c r="C3" s="612"/>
      <c r="D3" s="612"/>
      <c r="E3" s="612"/>
    </row>
    <row r="4" spans="1:13">
      <c r="A4" s="4"/>
      <c r="B4" s="7" t="s">
        <v>55</v>
      </c>
    </row>
    <row r="5" spans="1:13">
      <c r="A5" s="4"/>
      <c r="C5" s="109" t="e">
        <f>#REF!</f>
        <v>#REF!</v>
      </c>
      <c r="D5" s="109" t="s">
        <v>212</v>
      </c>
      <c r="E5" s="14" t="s">
        <v>2</v>
      </c>
    </row>
    <row r="6" spans="1:13">
      <c r="A6" s="6"/>
      <c r="B6" s="15" t="s">
        <v>39</v>
      </c>
    </row>
    <row r="7" spans="1:13">
      <c r="A7" s="4"/>
      <c r="B7" s="23" t="e">
        <f>#REF!</f>
        <v>#REF!</v>
      </c>
      <c r="C7" s="110" t="e">
        <f>#REF!</f>
        <v>#REF!</v>
      </c>
      <c r="D7" s="111" t="e">
        <f>C7/$A$2</f>
        <v>#REF!</v>
      </c>
      <c r="E7" s="24" t="e">
        <f t="shared" ref="E7:E12" si="0">C7/$C$33</f>
        <v>#REF!</v>
      </c>
      <c r="M7" s="17"/>
    </row>
    <row r="8" spans="1:13">
      <c r="A8" s="4"/>
      <c r="B8" s="23" t="e">
        <f>#REF!</f>
        <v>#REF!</v>
      </c>
      <c r="C8" s="110" t="e">
        <f>#REF!</f>
        <v>#REF!</v>
      </c>
      <c r="D8" s="111" t="e">
        <f t="shared" ref="D8:D24" si="1">C8/$A$2</f>
        <v>#REF!</v>
      </c>
      <c r="E8" s="24" t="e">
        <f t="shared" si="0"/>
        <v>#REF!</v>
      </c>
      <c r="M8" s="17"/>
    </row>
    <row r="9" spans="1:13">
      <c r="A9" s="4"/>
      <c r="B9" s="23" t="e">
        <f>#REF!</f>
        <v>#REF!</v>
      </c>
      <c r="C9" s="110" t="e">
        <f>#REF!</f>
        <v>#REF!</v>
      </c>
      <c r="D9" s="111" t="e">
        <f t="shared" si="1"/>
        <v>#REF!</v>
      </c>
      <c r="E9" s="24" t="e">
        <f t="shared" si="0"/>
        <v>#REF!</v>
      </c>
      <c r="M9" s="17"/>
    </row>
    <row r="10" spans="1:13">
      <c r="A10" s="4"/>
      <c r="B10" s="23" t="e">
        <f>#REF!</f>
        <v>#REF!</v>
      </c>
      <c r="C10" s="110" t="e">
        <f>#REF!</f>
        <v>#REF!</v>
      </c>
      <c r="D10" s="111" t="e">
        <f t="shared" si="1"/>
        <v>#REF!</v>
      </c>
      <c r="E10" s="24" t="e">
        <f t="shared" si="0"/>
        <v>#REF!</v>
      </c>
      <c r="M10" s="17"/>
    </row>
    <row r="11" spans="1:13">
      <c r="A11" s="4"/>
      <c r="B11" s="23" t="e">
        <f>#REF!</f>
        <v>#REF!</v>
      </c>
      <c r="C11" s="110" t="e">
        <f>#REF!</f>
        <v>#REF!</v>
      </c>
      <c r="D11" s="111" t="e">
        <f t="shared" si="1"/>
        <v>#REF!</v>
      </c>
      <c r="E11" s="24" t="e">
        <f t="shared" si="0"/>
        <v>#REF!</v>
      </c>
      <c r="M11" s="17"/>
    </row>
    <row r="12" spans="1:13">
      <c r="A12" s="4"/>
      <c r="C12" s="112" t="e">
        <f>SUM(C7:C11)</f>
        <v>#REF!</v>
      </c>
      <c r="D12" s="113" t="e">
        <f t="shared" si="1"/>
        <v>#REF!</v>
      </c>
      <c r="E12" s="19" t="e">
        <f t="shared" si="0"/>
        <v>#REF!</v>
      </c>
      <c r="M12" s="17"/>
    </row>
    <row r="13" spans="1:13">
      <c r="A13" s="4"/>
      <c r="B13" s="15" t="s">
        <v>54</v>
      </c>
      <c r="E13" s="18"/>
    </row>
    <row r="14" spans="1:13">
      <c r="A14" s="4"/>
      <c r="B14" s="16" t="e">
        <f>#REF!</f>
        <v>#REF!</v>
      </c>
      <c r="C14" s="114" t="e">
        <f>#REF!</f>
        <v>#REF!</v>
      </c>
      <c r="D14" s="111" t="e">
        <f t="shared" si="1"/>
        <v>#REF!</v>
      </c>
      <c r="E14" s="24" t="e">
        <f t="shared" ref="E14:E20" si="2">C14/$C$33</f>
        <v>#REF!</v>
      </c>
      <c r="M14" s="17"/>
    </row>
    <row r="15" spans="1:13">
      <c r="A15" s="4"/>
      <c r="B15" s="16" t="e">
        <f>#REF!</f>
        <v>#REF!</v>
      </c>
      <c r="C15" s="114" t="e">
        <f>#REF!</f>
        <v>#REF!</v>
      </c>
      <c r="D15" s="111" t="e">
        <f t="shared" si="1"/>
        <v>#REF!</v>
      </c>
      <c r="E15" s="24" t="e">
        <f t="shared" si="2"/>
        <v>#REF!</v>
      </c>
      <c r="M15" s="17"/>
    </row>
    <row r="16" spans="1:13">
      <c r="A16" s="4"/>
      <c r="B16" s="87" t="e">
        <f>#REF!</f>
        <v>#REF!</v>
      </c>
      <c r="C16" s="114" t="e">
        <f>#REF!</f>
        <v>#REF!</v>
      </c>
      <c r="D16" s="111" t="e">
        <f t="shared" ref="D16" si="3">C16/$A$2</f>
        <v>#REF!</v>
      </c>
      <c r="E16" s="24" t="e">
        <f t="shared" si="2"/>
        <v>#REF!</v>
      </c>
      <c r="M16" s="17"/>
    </row>
    <row r="17" spans="1:13">
      <c r="A17" s="4"/>
      <c r="B17" s="16" t="e">
        <f>#REF!</f>
        <v>#REF!</v>
      </c>
      <c r="C17" s="114" t="e">
        <f>#REF!</f>
        <v>#REF!</v>
      </c>
      <c r="D17" s="111" t="e">
        <f t="shared" si="1"/>
        <v>#REF!</v>
      </c>
      <c r="E17" s="24" t="e">
        <f t="shared" si="2"/>
        <v>#REF!</v>
      </c>
      <c r="M17" s="17"/>
    </row>
    <row r="18" spans="1:13">
      <c r="A18" s="4"/>
      <c r="B18" s="16" t="e">
        <f>#REF!</f>
        <v>#REF!</v>
      </c>
      <c r="C18" s="114" t="e">
        <f>#REF!</f>
        <v>#REF!</v>
      </c>
      <c r="D18" s="111" t="e">
        <f t="shared" si="1"/>
        <v>#REF!</v>
      </c>
      <c r="E18" s="24" t="e">
        <f t="shared" si="2"/>
        <v>#REF!</v>
      </c>
      <c r="M18" s="17"/>
    </row>
    <row r="19" spans="1:13">
      <c r="A19" s="4"/>
      <c r="B19" s="16" t="e">
        <f>#REF!</f>
        <v>#REF!</v>
      </c>
      <c r="C19" s="114" t="e">
        <f>#REF!</f>
        <v>#REF!</v>
      </c>
      <c r="D19" s="111" t="e">
        <f t="shared" ref="D19" si="4">C19/$A$2</f>
        <v>#REF!</v>
      </c>
      <c r="E19" s="24" t="e">
        <f t="shared" si="2"/>
        <v>#REF!</v>
      </c>
      <c r="M19" s="17"/>
    </row>
    <row r="20" spans="1:13">
      <c r="A20" s="4"/>
      <c r="C20" s="115" t="e">
        <f>SUM(C14:C19)</f>
        <v>#REF!</v>
      </c>
      <c r="D20" s="113" t="e">
        <f>C20/$A$2</f>
        <v>#REF!</v>
      </c>
      <c r="E20" s="19" t="e">
        <f t="shared" si="2"/>
        <v>#REF!</v>
      </c>
      <c r="M20" s="17"/>
    </row>
    <row r="21" spans="1:13">
      <c r="A21" s="4"/>
      <c r="B21" s="15" t="s">
        <v>160</v>
      </c>
      <c r="E21" s="18"/>
    </row>
    <row r="22" spans="1:13">
      <c r="A22" s="4"/>
      <c r="B22" s="16" t="e">
        <f>#REF!</f>
        <v>#REF!</v>
      </c>
      <c r="C22" s="114" t="e">
        <f>#REF!</f>
        <v>#REF!</v>
      </c>
      <c r="D22" s="111" t="e">
        <f t="shared" si="1"/>
        <v>#REF!</v>
      </c>
      <c r="E22" s="24" t="e">
        <f>C22/$C$33</f>
        <v>#REF!</v>
      </c>
      <c r="M22" s="17"/>
    </row>
    <row r="23" spans="1:13">
      <c r="A23" s="4"/>
      <c r="B23" s="16" t="e">
        <f>#REF!</f>
        <v>#REF!</v>
      </c>
      <c r="C23" s="114" t="e">
        <f>#REF!</f>
        <v>#REF!</v>
      </c>
      <c r="D23" s="111" t="e">
        <f t="shared" si="1"/>
        <v>#REF!</v>
      </c>
      <c r="E23" s="24" t="e">
        <f>C23/$C$33</f>
        <v>#REF!</v>
      </c>
      <c r="M23" s="17"/>
    </row>
    <row r="24" spans="1:13">
      <c r="A24" s="4"/>
      <c r="B24" s="16" t="e">
        <f>#REF!</f>
        <v>#REF!</v>
      </c>
      <c r="C24" s="114" t="e">
        <f>#REF!</f>
        <v>#REF!</v>
      </c>
      <c r="D24" s="111" t="e">
        <f t="shared" si="1"/>
        <v>#REF!</v>
      </c>
      <c r="E24" s="24" t="e">
        <f>C24/$C$33</f>
        <v>#REF!</v>
      </c>
      <c r="M24" s="17"/>
    </row>
    <row r="25" spans="1:13">
      <c r="A25" s="4"/>
      <c r="C25" s="115" t="e">
        <f>SUM(C22:C24)</f>
        <v>#REF!</v>
      </c>
      <c r="D25" s="116" t="e">
        <f>C25/$A$2</f>
        <v>#REF!</v>
      </c>
      <c r="E25" s="20" t="e">
        <f>C25/$C$33</f>
        <v>#REF!</v>
      </c>
      <c r="M25" s="17"/>
    </row>
    <row r="26" spans="1:13">
      <c r="A26" s="4"/>
      <c r="B26" s="15" t="s">
        <v>184</v>
      </c>
      <c r="D26" s="117"/>
      <c r="E26" s="21"/>
    </row>
    <row r="27" spans="1:13">
      <c r="A27" s="13">
        <v>0.06</v>
      </c>
      <c r="B27" s="5" t="s">
        <v>158</v>
      </c>
      <c r="C27" s="111" t="e">
        <f>SUM($C$12,$C$20,$C$25)*A27</f>
        <v>#REF!</v>
      </c>
      <c r="D27" s="111" t="e">
        <f>C27/$A$2</f>
        <v>#REF!</v>
      </c>
      <c r="E27" s="25" t="e">
        <f>C27/$C$33</f>
        <v>#REF!</v>
      </c>
      <c r="M27" s="17"/>
    </row>
    <row r="28" spans="1:13">
      <c r="A28" s="13">
        <v>0.04</v>
      </c>
      <c r="B28" s="5" t="s">
        <v>159</v>
      </c>
      <c r="C28" s="111" t="e">
        <f>SUM($C$12,$C$20,$C$25)*A28</f>
        <v>#REF!</v>
      </c>
      <c r="D28" s="111" t="e">
        <f>C28/$A$2</f>
        <v>#REF!</v>
      </c>
      <c r="E28" s="25" t="e">
        <f>C28/$C$33</f>
        <v>#REF!</v>
      </c>
      <c r="M28" s="17"/>
    </row>
    <row r="29" spans="1:13">
      <c r="A29" s="13">
        <v>0.06</v>
      </c>
      <c r="B29" s="5" t="s">
        <v>157</v>
      </c>
      <c r="C29" s="111" t="e">
        <f>SUM($C$12,$C$20,$C$25)*A29</f>
        <v>#REF!</v>
      </c>
      <c r="D29" s="111" t="e">
        <f>C29/$A$2</f>
        <v>#REF!</v>
      </c>
      <c r="E29" s="25" t="e">
        <f>C29/$C$33</f>
        <v>#REF!</v>
      </c>
      <c r="M29" s="17"/>
    </row>
    <row r="30" spans="1:13">
      <c r="A30" s="13">
        <v>0.1</v>
      </c>
      <c r="B30" s="16" t="s">
        <v>107</v>
      </c>
      <c r="C30" s="111" t="e">
        <f>SUM($C$12,$C$20,$C$25)*A30</f>
        <v>#REF!</v>
      </c>
      <c r="D30" s="111" t="e">
        <f>C30/$A$2</f>
        <v>#REF!</v>
      </c>
      <c r="E30" s="25" t="e">
        <f>C30/$C$33</f>
        <v>#REF!</v>
      </c>
      <c r="M30" s="17"/>
    </row>
    <row r="31" spans="1:13">
      <c r="A31" s="4"/>
      <c r="B31" s="4"/>
      <c r="C31" s="115" t="e">
        <f>SUM(C27:C30)</f>
        <v>#REF!</v>
      </c>
      <c r="D31" s="116" t="e">
        <f>C31/$A$2</f>
        <v>#REF!</v>
      </c>
      <c r="E31" s="20" t="e">
        <f>C31/$C$33</f>
        <v>#REF!</v>
      </c>
      <c r="M31" s="17"/>
    </row>
    <row r="32" spans="1:13">
      <c r="A32" s="4"/>
    </row>
    <row r="33" spans="1:5">
      <c r="A33" s="4"/>
      <c r="B33" s="12" t="s">
        <v>106</v>
      </c>
      <c r="C33" s="118" t="e">
        <f>SUM(C12,C20,C25,C31)</f>
        <v>#REF!</v>
      </c>
      <c r="D33" s="119" t="e">
        <f>C33/$A$2</f>
        <v>#REF!</v>
      </c>
      <c r="E33" s="22" t="e">
        <f>C33/$C$33</f>
        <v>#REF!</v>
      </c>
    </row>
    <row r="34" spans="1:5">
      <c r="A34" s="4"/>
      <c r="B34" s="4"/>
    </row>
    <row r="35" spans="1:5">
      <c r="A35" s="4"/>
      <c r="B35" s="4"/>
    </row>
    <row r="36" spans="1:5">
      <c r="A36" s="4"/>
      <c r="B36" s="4"/>
    </row>
    <row r="37" spans="1:5">
      <c r="A37" s="4"/>
      <c r="B37" s="4"/>
    </row>
    <row r="38" spans="1:5">
      <c r="A38" s="4"/>
      <c r="B38" s="4"/>
    </row>
    <row r="39" spans="1:5">
      <c r="A39" s="4"/>
      <c r="B39" s="4"/>
    </row>
    <row r="40" spans="1:5">
      <c r="B40" s="4"/>
    </row>
    <row r="41" spans="1:5">
      <c r="B41" s="4"/>
    </row>
    <row r="42" spans="1:5">
      <c r="B42" s="4"/>
    </row>
    <row r="43" spans="1:5">
      <c r="B43" s="4"/>
    </row>
    <row r="44" spans="1:5">
      <c r="B44" s="4"/>
    </row>
    <row r="45" spans="1:5">
      <c r="B45" s="4"/>
    </row>
    <row r="46" spans="1:5">
      <c r="B46" s="4"/>
    </row>
  </sheetData>
  <mergeCells count="1">
    <mergeCell ref="B3: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8">
    <tabColor theme="7" tint="0.39997558519241921"/>
  </sheetPr>
  <dimension ref="A1:V81"/>
  <sheetViews>
    <sheetView zoomScale="80" zoomScaleNormal="80" workbookViewId="0">
      <selection activeCell="L14" sqref="L14"/>
    </sheetView>
  </sheetViews>
  <sheetFormatPr baseColWidth="10" defaultColWidth="8.83203125" defaultRowHeight="15"/>
  <cols>
    <col min="1" max="1" width="8.83203125" style="104"/>
    <col min="2" max="2" width="24.83203125" style="104" bestFit="1" customWidth="1"/>
    <col min="3" max="3" width="15.33203125" style="104" bestFit="1" customWidth="1"/>
    <col min="4" max="4" width="20.83203125" style="104" bestFit="1" customWidth="1"/>
    <col min="5" max="5" width="13.5" style="105" bestFit="1" customWidth="1"/>
    <col min="6" max="6" width="4.33203125" style="105" bestFit="1" customWidth="1"/>
    <col min="7" max="7" width="28.1640625" style="104" bestFit="1" customWidth="1"/>
    <col min="8" max="8" width="13.1640625" style="105" bestFit="1" customWidth="1"/>
    <col min="9" max="10" width="11.83203125" style="105" bestFit="1" customWidth="1"/>
    <col min="11" max="11" width="11.83203125" style="104" bestFit="1" customWidth="1"/>
    <col min="12" max="19" width="13" style="104" bestFit="1" customWidth="1"/>
    <col min="20" max="16384" width="8.83203125" style="104"/>
  </cols>
  <sheetData>
    <row r="1" spans="2:22" s="371" customFormat="1">
      <c r="B1" s="371" t="s">
        <v>168</v>
      </c>
      <c r="C1" s="371" t="str">
        <f>Cover!$C$10</f>
        <v>Mr. Amir Artine</v>
      </c>
      <c r="D1" s="176" t="str">
        <f>Cover!$C$3</f>
        <v>Cattle Integration, Baghara, Chad</v>
      </c>
      <c r="E1" s="372"/>
      <c r="F1" s="372"/>
      <c r="G1" s="372" t="s">
        <v>169</v>
      </c>
      <c r="H1" s="373">
        <f ca="1">Cover!$C$13</f>
        <v>45763</v>
      </c>
      <c r="I1" s="372"/>
      <c r="J1" s="372"/>
      <c r="K1" s="372"/>
      <c r="L1" s="372"/>
      <c r="M1" s="372"/>
      <c r="N1" s="372"/>
      <c r="O1" s="372"/>
      <c r="P1" s="372"/>
      <c r="Q1" s="372"/>
      <c r="R1" s="372"/>
      <c r="S1" s="372"/>
      <c r="T1" s="372"/>
      <c r="U1" s="372"/>
      <c r="V1" s="372"/>
    </row>
    <row r="3" spans="2:22">
      <c r="B3" s="564" t="s">
        <v>217</v>
      </c>
      <c r="C3" s="565"/>
      <c r="D3" s="566"/>
      <c r="E3" s="567"/>
      <c r="F3" s="567"/>
      <c r="G3" s="566"/>
      <c r="H3" s="567"/>
      <c r="I3" s="567"/>
      <c r="J3" s="567"/>
      <c r="K3" s="566"/>
      <c r="L3" s="566"/>
      <c r="M3" s="566"/>
      <c r="N3" s="566"/>
      <c r="O3" s="566"/>
      <c r="P3" s="566"/>
      <c r="Q3" s="566"/>
      <c r="R3" s="566"/>
      <c r="S3" s="566"/>
    </row>
    <row r="4" spans="2:22">
      <c r="B4" s="566" t="s">
        <v>201</v>
      </c>
      <c r="C4" s="566">
        <v>1.03</v>
      </c>
      <c r="D4" s="566"/>
      <c r="E4" s="567"/>
      <c r="F4" s="567"/>
      <c r="G4" s="566"/>
      <c r="H4" s="567"/>
      <c r="I4" s="567"/>
      <c r="J4" s="567"/>
      <c r="K4" s="566"/>
      <c r="L4" s="566"/>
      <c r="M4" s="566"/>
      <c r="N4" s="566"/>
      <c r="O4" s="566"/>
      <c r="P4" s="566"/>
      <c r="Q4" s="566"/>
      <c r="R4" s="566"/>
      <c r="S4" s="566"/>
    </row>
    <row r="5" spans="2:22">
      <c r="B5" s="566" t="s">
        <v>200</v>
      </c>
      <c r="C5" s="568">
        <v>0.1</v>
      </c>
      <c r="D5" s="566"/>
      <c r="E5" s="567"/>
      <c r="F5" s="567"/>
      <c r="G5" s="566"/>
      <c r="H5" s="567"/>
      <c r="I5" s="567"/>
      <c r="J5" s="567"/>
      <c r="K5" s="566"/>
      <c r="L5" s="566"/>
      <c r="M5" s="566"/>
      <c r="N5" s="566"/>
      <c r="O5" s="566"/>
      <c r="P5" s="566"/>
      <c r="Q5" s="566"/>
      <c r="R5" s="566"/>
      <c r="S5" s="566"/>
    </row>
    <row r="6" spans="2:22">
      <c r="B6" s="569" t="s">
        <v>205</v>
      </c>
      <c r="C6" s="146"/>
      <c r="D6" s="566"/>
      <c r="E6" s="567"/>
      <c r="F6" s="567"/>
      <c r="G6" s="566"/>
      <c r="H6" s="567"/>
      <c r="I6" s="567"/>
      <c r="J6" s="567"/>
      <c r="K6" s="566"/>
      <c r="L6" s="566"/>
      <c r="M6" s="566"/>
      <c r="N6" s="566"/>
      <c r="O6" s="566"/>
      <c r="P6" s="566"/>
      <c r="Q6" s="566"/>
      <c r="R6" s="566"/>
      <c r="S6" s="566"/>
    </row>
    <row r="7" spans="2:22">
      <c r="B7" s="566" t="s">
        <v>206</v>
      </c>
      <c r="C7" s="570">
        <v>3.5000000000000003E-2</v>
      </c>
      <c r="D7" s="566"/>
      <c r="E7" s="567"/>
      <c r="F7" s="567"/>
      <c r="G7" s="566"/>
      <c r="H7" s="567"/>
      <c r="I7" s="567"/>
      <c r="J7" s="567"/>
      <c r="K7" s="566"/>
      <c r="L7" s="566"/>
      <c r="M7" s="566"/>
      <c r="N7" s="566"/>
      <c r="O7" s="566"/>
      <c r="P7" s="566"/>
      <c r="Q7" s="566"/>
      <c r="R7" s="566"/>
      <c r="S7" s="566"/>
    </row>
    <row r="8" spans="2:22">
      <c r="B8" s="566" t="s">
        <v>199</v>
      </c>
      <c r="C8" s="570">
        <v>0.125</v>
      </c>
      <c r="D8" s="566"/>
      <c r="E8" s="567"/>
      <c r="F8" s="567"/>
      <c r="G8" s="566"/>
      <c r="H8" s="567"/>
      <c r="I8" s="567"/>
      <c r="J8" s="567"/>
      <c r="K8" s="566"/>
      <c r="L8" s="566"/>
      <c r="M8" s="566"/>
      <c r="N8" s="566"/>
      <c r="O8" s="566"/>
      <c r="P8" s="566"/>
      <c r="Q8" s="566"/>
      <c r="R8" s="566"/>
      <c r="S8" s="566"/>
    </row>
    <row r="9" spans="2:22">
      <c r="B9" s="566" t="s">
        <v>198</v>
      </c>
      <c r="C9" s="570">
        <v>0.2</v>
      </c>
      <c r="D9" s="566"/>
      <c r="E9" s="567"/>
      <c r="F9" s="567"/>
      <c r="G9" s="566"/>
      <c r="H9" s="567"/>
      <c r="I9" s="567"/>
      <c r="J9" s="567"/>
      <c r="K9" s="566"/>
      <c r="L9" s="566"/>
      <c r="M9" s="566"/>
      <c r="N9" s="566"/>
      <c r="O9" s="566"/>
      <c r="P9" s="566"/>
      <c r="Q9" s="566"/>
      <c r="R9" s="566"/>
      <c r="S9" s="566"/>
    </row>
    <row r="10" spans="2:22">
      <c r="B10" s="566" t="s">
        <v>197</v>
      </c>
      <c r="C10" s="570">
        <v>0.33</v>
      </c>
      <c r="D10" s="566"/>
      <c r="E10" s="567"/>
      <c r="F10" s="567"/>
      <c r="G10" s="566"/>
      <c r="H10" s="567"/>
      <c r="I10" s="567"/>
      <c r="J10" s="567"/>
      <c r="K10" s="566"/>
      <c r="L10" s="566"/>
      <c r="M10" s="566"/>
      <c r="N10" s="566"/>
      <c r="O10" s="566"/>
      <c r="P10" s="566"/>
      <c r="Q10" s="566"/>
      <c r="R10" s="566"/>
      <c r="S10" s="566"/>
    </row>
    <row r="11" spans="2:22">
      <c r="B11" s="566" t="s">
        <v>222</v>
      </c>
      <c r="C11" s="567">
        <v>7832294.8661145046</v>
      </c>
      <c r="D11" s="566"/>
      <c r="E11" s="567"/>
      <c r="F11" s="567"/>
      <c r="G11" s="568"/>
      <c r="H11" s="567"/>
      <c r="I11" s="567"/>
      <c r="J11" s="567"/>
      <c r="K11" s="566"/>
      <c r="L11" s="566"/>
      <c r="M11" s="566"/>
      <c r="N11" s="566"/>
      <c r="O11" s="566"/>
      <c r="P11" s="566"/>
      <c r="Q11" s="566"/>
      <c r="R11" s="566"/>
      <c r="S11" s="566"/>
    </row>
    <row r="12" spans="2:22">
      <c r="B12" s="566"/>
      <c r="C12" s="567"/>
      <c r="D12" s="566"/>
      <c r="E12" s="566"/>
      <c r="F12" s="571"/>
      <c r="G12" s="566"/>
      <c r="H12" s="572">
        <v>0.12256944055481443</v>
      </c>
      <c r="I12" s="572">
        <v>0.17925780681141609</v>
      </c>
      <c r="J12" s="572">
        <v>0.3154725158637659</v>
      </c>
      <c r="K12" s="572">
        <v>0.45952633049852054</v>
      </c>
      <c r="L12" s="572">
        <v>0.66111797560960373</v>
      </c>
      <c r="M12" s="572">
        <v>0.87554721701063165</v>
      </c>
      <c r="N12" s="572">
        <v>1</v>
      </c>
      <c r="O12" s="572">
        <v>1.0618359374999999</v>
      </c>
      <c r="P12" s="572">
        <v>1.1235941894531249</v>
      </c>
      <c r="Q12" s="572">
        <v>1.1228919430847166</v>
      </c>
      <c r="R12" s="572">
        <v>1.1221901356202888</v>
      </c>
      <c r="S12" s="572">
        <v>1.121488766785526</v>
      </c>
      <c r="T12" s="472"/>
    </row>
    <row r="13" spans="2:22">
      <c r="B13" s="573" t="s">
        <v>196</v>
      </c>
      <c r="C13" s="574"/>
      <c r="D13" s="574"/>
      <c r="E13" s="574"/>
      <c r="F13" s="574"/>
      <c r="G13" s="574"/>
      <c r="H13" s="574" t="s">
        <v>221</v>
      </c>
      <c r="I13" s="574"/>
      <c r="J13" s="574"/>
      <c r="K13" s="574"/>
      <c r="L13" s="574"/>
      <c r="M13" s="574"/>
      <c r="N13" s="574"/>
      <c r="O13" s="574"/>
      <c r="P13" s="574"/>
      <c r="Q13" s="574"/>
      <c r="R13" s="574"/>
      <c r="S13" s="574"/>
    </row>
    <row r="14" spans="2:22">
      <c r="B14" s="564"/>
      <c r="C14" s="575" t="s">
        <v>23</v>
      </c>
      <c r="D14" s="575" t="s">
        <v>25</v>
      </c>
      <c r="E14" s="575" t="s">
        <v>187</v>
      </c>
      <c r="F14" s="575" t="s">
        <v>0</v>
      </c>
      <c r="G14" s="575" t="s">
        <v>219</v>
      </c>
      <c r="H14" s="575" t="s">
        <v>4</v>
      </c>
      <c r="I14" s="575" t="s">
        <v>5</v>
      </c>
      <c r="J14" s="575" t="s">
        <v>6</v>
      </c>
      <c r="K14" s="575" t="s">
        <v>7</v>
      </c>
      <c r="L14" s="575" t="s">
        <v>8</v>
      </c>
      <c r="M14" s="575" t="s">
        <v>9</v>
      </c>
      <c r="N14" s="575" t="s">
        <v>10</v>
      </c>
      <c r="O14" s="575" t="s">
        <v>11</v>
      </c>
      <c r="P14" s="575" t="s">
        <v>12</v>
      </c>
      <c r="Q14" s="575" t="s">
        <v>13</v>
      </c>
      <c r="R14" s="575" t="s">
        <v>14</v>
      </c>
      <c r="S14" s="575" t="s">
        <v>15</v>
      </c>
    </row>
    <row r="15" spans="2:22">
      <c r="B15" s="576" t="s">
        <v>207</v>
      </c>
      <c r="C15" s="577">
        <v>0.1</v>
      </c>
      <c r="D15" s="578">
        <f>$C$11*C15</f>
        <v>783229.48661145056</v>
      </c>
      <c r="E15" s="578">
        <f>D15</f>
        <v>783229.48661145056</v>
      </c>
      <c r="F15" s="578" t="s">
        <v>204</v>
      </c>
      <c r="G15" s="579">
        <v>1</v>
      </c>
      <c r="H15" s="580">
        <f>$E15*$G15*H$12</f>
        <v>96000.000000000015</v>
      </c>
      <c r="I15" s="580">
        <f t="shared" ref="I15:S15" si="0">$E15*$G15*I$12</f>
        <v>140400</v>
      </c>
      <c r="J15" s="580">
        <f t="shared" si="0"/>
        <v>247087.37664000006</v>
      </c>
      <c r="K15" s="580">
        <f t="shared" si="0"/>
        <v>359914.57192080002</v>
      </c>
      <c r="L15" s="580">
        <f t="shared" si="0"/>
        <v>517807.09262631141</v>
      </c>
      <c r="M15" s="580">
        <f t="shared" si="0"/>
        <v>685754.39728332136</v>
      </c>
      <c r="N15" s="580">
        <f t="shared" si="0"/>
        <v>783229.48661145056</v>
      </c>
      <c r="O15" s="580">
        <f t="shared" si="0"/>
        <v>831661.21619371325</v>
      </c>
      <c r="P15" s="580">
        <f t="shared" si="0"/>
        <v>880032.10016497993</v>
      </c>
      <c r="Q15" s="580">
        <f t="shared" si="0"/>
        <v>879482.08010237676</v>
      </c>
      <c r="R15" s="580">
        <f t="shared" si="0"/>
        <v>878932.40380231291</v>
      </c>
      <c r="S15" s="580">
        <f t="shared" si="0"/>
        <v>878383.07104993635</v>
      </c>
    </row>
    <row r="16" spans="2:22">
      <c r="B16" s="566" t="s">
        <v>186</v>
      </c>
      <c r="C16" s="577">
        <v>0.2</v>
      </c>
      <c r="D16" s="578">
        <f t="shared" ref="D16:D20" si="1">$C$11*C16</f>
        <v>1566458.9732229011</v>
      </c>
      <c r="E16" s="578">
        <f t="shared" ref="E16:E19" si="2">D16</f>
        <v>1566458.9732229011</v>
      </c>
      <c r="F16" s="578" t="s">
        <v>204</v>
      </c>
      <c r="G16" s="579">
        <v>0.86890243902439024</v>
      </c>
      <c r="H16" s="580">
        <f t="shared" ref="H16:S20" si="3">$E16*$G16*H$12</f>
        <v>166829.26829268297</v>
      </c>
      <c r="I16" s="580">
        <f t="shared" si="3"/>
        <v>243987.80487804883</v>
      </c>
      <c r="J16" s="580">
        <f t="shared" si="3"/>
        <v>429389.64842926845</v>
      </c>
      <c r="K16" s="580">
        <f t="shared" si="3"/>
        <v>625461.29876480496</v>
      </c>
      <c r="L16" s="580">
        <f t="shared" si="3"/>
        <v>899847.69145426073</v>
      </c>
      <c r="M16" s="580">
        <f t="shared" si="3"/>
        <v>1191707.3367423574</v>
      </c>
      <c r="N16" s="580">
        <f t="shared" si="3"/>
        <v>1361100.0224650209</v>
      </c>
      <c r="O16" s="580">
        <f t="shared" si="3"/>
        <v>1445264.9183854165</v>
      </c>
      <c r="P16" s="580">
        <f t="shared" si="3"/>
        <v>1529324.0765062154</v>
      </c>
      <c r="Q16" s="580">
        <f t="shared" si="3"/>
        <v>1528368.2489583988</v>
      </c>
      <c r="R16" s="580">
        <f t="shared" si="3"/>
        <v>1527413.0188028</v>
      </c>
      <c r="S16" s="580">
        <f t="shared" si="3"/>
        <v>1526458.3856660479</v>
      </c>
    </row>
    <row r="17" spans="1:19">
      <c r="B17" s="566" t="s">
        <v>460</v>
      </c>
      <c r="C17" s="577">
        <v>0</v>
      </c>
      <c r="D17" s="578">
        <f t="shared" si="1"/>
        <v>0</v>
      </c>
      <c r="E17" s="578">
        <f t="shared" si="2"/>
        <v>0</v>
      </c>
      <c r="F17" s="578" t="s">
        <v>204</v>
      </c>
      <c r="G17" s="579">
        <v>1.371951219512195</v>
      </c>
      <c r="H17" s="580">
        <f t="shared" si="3"/>
        <v>0</v>
      </c>
      <c r="I17" s="580">
        <f t="shared" si="3"/>
        <v>0</v>
      </c>
      <c r="J17" s="580">
        <f t="shared" si="3"/>
        <v>0</v>
      </c>
      <c r="K17" s="580">
        <f t="shared" si="3"/>
        <v>0</v>
      </c>
      <c r="L17" s="580">
        <f t="shared" si="3"/>
        <v>0</v>
      </c>
      <c r="M17" s="580">
        <f t="shared" si="3"/>
        <v>0</v>
      </c>
      <c r="N17" s="580">
        <f t="shared" si="3"/>
        <v>0</v>
      </c>
      <c r="O17" s="580">
        <f t="shared" si="3"/>
        <v>0</v>
      </c>
      <c r="P17" s="580">
        <f t="shared" si="3"/>
        <v>0</v>
      </c>
      <c r="Q17" s="580">
        <f t="shared" si="3"/>
        <v>0</v>
      </c>
      <c r="R17" s="580">
        <f t="shared" si="3"/>
        <v>0</v>
      </c>
      <c r="S17" s="580">
        <f t="shared" si="3"/>
        <v>0</v>
      </c>
    </row>
    <row r="18" spans="1:19">
      <c r="B18" s="566" t="s">
        <v>208</v>
      </c>
      <c r="C18" s="577">
        <v>0.35</v>
      </c>
      <c r="D18" s="578">
        <f t="shared" si="1"/>
        <v>2741303.2031400762</v>
      </c>
      <c r="E18" s="578">
        <f t="shared" si="2"/>
        <v>2741303.2031400762</v>
      </c>
      <c r="F18" s="578" t="s">
        <v>204</v>
      </c>
      <c r="G18" s="579">
        <v>3.1249999999999996</v>
      </c>
      <c r="H18" s="580">
        <f t="shared" si="3"/>
        <v>1049999.9999999998</v>
      </c>
      <c r="I18" s="580">
        <f t="shared" si="3"/>
        <v>1535624.9999999995</v>
      </c>
      <c r="J18" s="580">
        <f t="shared" si="3"/>
        <v>2702518.1819999996</v>
      </c>
      <c r="K18" s="580">
        <f t="shared" si="3"/>
        <v>3936565.6303837486</v>
      </c>
      <c r="L18" s="580">
        <f t="shared" si="3"/>
        <v>5663515.0756002786</v>
      </c>
      <c r="M18" s="580">
        <f t="shared" si="3"/>
        <v>7500438.7202863237</v>
      </c>
      <c r="N18" s="580">
        <f t="shared" si="3"/>
        <v>8566572.5098127369</v>
      </c>
      <c r="O18" s="580">
        <f t="shared" si="3"/>
        <v>9096294.5521187354</v>
      </c>
      <c r="P18" s="580">
        <f t="shared" si="3"/>
        <v>9625351.0955544636</v>
      </c>
      <c r="Q18" s="580">
        <f t="shared" si="3"/>
        <v>9619335.2511197422</v>
      </c>
      <c r="R18" s="580">
        <f t="shared" si="3"/>
        <v>9613323.1665877923</v>
      </c>
      <c r="S18" s="580">
        <f t="shared" si="3"/>
        <v>9607314.8396086749</v>
      </c>
    </row>
    <row r="19" spans="1:19">
      <c r="B19" s="566" t="s">
        <v>182</v>
      </c>
      <c r="C19" s="577">
        <v>0.3</v>
      </c>
      <c r="D19" s="578">
        <f t="shared" si="1"/>
        <v>2349688.4598343512</v>
      </c>
      <c r="E19" s="578">
        <f t="shared" si="2"/>
        <v>2349688.4598343512</v>
      </c>
      <c r="F19" s="578" t="s">
        <v>204</v>
      </c>
      <c r="G19" s="579">
        <v>4.0015243902439019</v>
      </c>
      <c r="H19" s="580">
        <f>$E19*$G19*H$12</f>
        <v>1152439.0243902437</v>
      </c>
      <c r="I19" s="580">
        <f t="shared" si="3"/>
        <v>1685442.0731707313</v>
      </c>
      <c r="J19" s="580">
        <f t="shared" si="3"/>
        <v>2966178.4924390242</v>
      </c>
      <c r="K19" s="580">
        <f t="shared" si="3"/>
        <v>4320620.813835822</v>
      </c>
      <c r="L19" s="580">
        <f t="shared" si="3"/>
        <v>6216053.1317564044</v>
      </c>
      <c r="M19" s="580">
        <f t="shared" si="3"/>
        <v>8232188.8393386491</v>
      </c>
      <c r="N19" s="580">
        <f t="shared" si="3"/>
        <v>9402335.6815017853</v>
      </c>
      <c r="O19" s="580">
        <f t="shared" si="3"/>
        <v>9983737.9230571482</v>
      </c>
      <c r="P19" s="580">
        <f t="shared" si="3"/>
        <v>10564409.739023194</v>
      </c>
      <c r="Q19" s="580">
        <f t="shared" si="3"/>
        <v>10557806.982936302</v>
      </c>
      <c r="R19" s="580">
        <f t="shared" si="3"/>
        <v>10551208.353571968</v>
      </c>
      <c r="S19" s="580">
        <f t="shared" si="3"/>
        <v>10544613.848350985</v>
      </c>
    </row>
    <row r="20" spans="1:19">
      <c r="B20" s="566" t="s">
        <v>185</v>
      </c>
      <c r="C20" s="577">
        <v>0.05</v>
      </c>
      <c r="D20" s="578">
        <f t="shared" si="1"/>
        <v>391614.74330572528</v>
      </c>
      <c r="E20" s="578">
        <f>D20</f>
        <v>391614.74330572528</v>
      </c>
      <c r="F20" s="578" t="s">
        <v>195</v>
      </c>
      <c r="G20" s="579">
        <v>2.6867378048780486</v>
      </c>
      <c r="H20" s="580">
        <f t="shared" si="3"/>
        <v>128963.41463414635</v>
      </c>
      <c r="I20" s="580">
        <f t="shared" si="3"/>
        <v>188608.99390243902</v>
      </c>
      <c r="J20" s="580">
        <f t="shared" si="3"/>
        <v>331929.49796341464</v>
      </c>
      <c r="K20" s="580">
        <f t="shared" si="3"/>
        <v>483498.04345305631</v>
      </c>
      <c r="L20" s="580">
        <f t="shared" si="3"/>
        <v>695605.94569655007</v>
      </c>
      <c r="M20" s="580">
        <f t="shared" si="3"/>
        <v>921221.13202122995</v>
      </c>
      <c r="N20" s="580">
        <f t="shared" si="3"/>
        <v>1052166.1357871047</v>
      </c>
      <c r="O20" s="580">
        <f t="shared" si="3"/>
        <v>1117227.8151992527</v>
      </c>
      <c r="P20" s="580">
        <f t="shared" si="3"/>
        <v>1182207.7565097385</v>
      </c>
      <c r="Q20" s="580">
        <f t="shared" si="3"/>
        <v>1181468.8766619198</v>
      </c>
      <c r="R20" s="580">
        <f t="shared" si="3"/>
        <v>1180730.4586140062</v>
      </c>
      <c r="S20" s="580">
        <f t="shared" si="3"/>
        <v>1179992.5020773723</v>
      </c>
    </row>
    <row r="21" spans="1:19">
      <c r="B21" s="146" t="s">
        <v>1</v>
      </c>
      <c r="C21" s="581">
        <f>SUM(C15:C20)</f>
        <v>1</v>
      </c>
      <c r="D21" s="582">
        <f>SUM(D15:D20)</f>
        <v>7832294.8661145046</v>
      </c>
      <c r="E21" s="582">
        <f>SUM(E15:E20)</f>
        <v>7832294.8661145046</v>
      </c>
      <c r="F21" s="582"/>
      <c r="G21" s="583"/>
      <c r="H21" s="584">
        <f>SUM(H15:H20)</f>
        <v>2594231.7073170724</v>
      </c>
      <c r="I21" s="584">
        <f t="shared" ref="I21:S21" si="4">SUM(I15:I20)</f>
        <v>3794063.8719512187</v>
      </c>
      <c r="J21" s="584">
        <f t="shared" si="4"/>
        <v>6677103.1974717071</v>
      </c>
      <c r="K21" s="584">
        <f t="shared" si="4"/>
        <v>9726060.3583582323</v>
      </c>
      <c r="L21" s="584">
        <f t="shared" si="4"/>
        <v>13992828.937133806</v>
      </c>
      <c r="M21" s="584">
        <f t="shared" si="4"/>
        <v>18531310.425671879</v>
      </c>
      <c r="N21" s="584">
        <f t="shared" si="4"/>
        <v>21165403.836178098</v>
      </c>
      <c r="O21" s="584">
        <f t="shared" si="4"/>
        <v>22474186.424954265</v>
      </c>
      <c r="P21" s="584">
        <f t="shared" si="4"/>
        <v>23781324.767758593</v>
      </c>
      <c r="Q21" s="584">
        <f t="shared" si="4"/>
        <v>23766461.439778738</v>
      </c>
      <c r="R21" s="584">
        <f t="shared" si="4"/>
        <v>23751607.401378877</v>
      </c>
      <c r="S21" s="584">
        <f t="shared" si="4"/>
        <v>23736762.646753013</v>
      </c>
    </row>
    <row r="22" spans="1:19">
      <c r="B22" s="146" t="s">
        <v>194</v>
      </c>
      <c r="C22" s="585"/>
      <c r="D22" s="585"/>
      <c r="E22" s="582"/>
      <c r="F22" s="582"/>
      <c r="G22" s="585"/>
      <c r="H22" s="586">
        <f>H21/($C$11*H12)</f>
        <v>2.7023246951219506</v>
      </c>
      <c r="I22" s="586">
        <f t="shared" ref="I22:S22" si="5">I21/($C$11*I12)</f>
        <v>2.7023246951219506</v>
      </c>
      <c r="J22" s="586">
        <f t="shared" si="5"/>
        <v>2.7023246951219511</v>
      </c>
      <c r="K22" s="586">
        <f t="shared" si="5"/>
        <v>2.7023246951219506</v>
      </c>
      <c r="L22" s="586">
        <f t="shared" si="5"/>
        <v>2.7023246951219511</v>
      </c>
      <c r="M22" s="586">
        <f t="shared" si="5"/>
        <v>2.7023246951219502</v>
      </c>
      <c r="N22" s="586">
        <f t="shared" si="5"/>
        <v>2.7023246951219506</v>
      </c>
      <c r="O22" s="586">
        <f t="shared" si="5"/>
        <v>2.7023246951219506</v>
      </c>
      <c r="P22" s="586">
        <f t="shared" si="5"/>
        <v>2.7023246951219506</v>
      </c>
      <c r="Q22" s="586">
        <f t="shared" si="5"/>
        <v>2.7023246951219506</v>
      </c>
      <c r="R22" s="586">
        <f t="shared" si="5"/>
        <v>2.7023246951219506</v>
      </c>
      <c r="S22" s="586">
        <f t="shared" si="5"/>
        <v>2.7023246951219502</v>
      </c>
    </row>
    <row r="23" spans="1:19">
      <c r="B23" s="566"/>
      <c r="C23" s="587"/>
      <c r="D23" s="587"/>
      <c r="E23" s="588"/>
      <c r="F23" s="578"/>
      <c r="G23" s="587"/>
      <c r="H23" s="578"/>
      <c r="I23" s="567"/>
      <c r="J23" s="567"/>
      <c r="K23" s="566"/>
      <c r="L23" s="566"/>
      <c r="M23" s="566"/>
      <c r="N23" s="566"/>
      <c r="O23" s="566"/>
      <c r="P23" s="566"/>
      <c r="Q23" s="566"/>
      <c r="R23" s="566"/>
      <c r="S23" s="566"/>
    </row>
    <row r="24" spans="1:19">
      <c r="B24" s="566"/>
      <c r="C24" s="587"/>
      <c r="D24" s="587"/>
      <c r="E24" s="578"/>
      <c r="F24" s="578"/>
      <c r="G24" s="587"/>
      <c r="H24" s="578"/>
      <c r="I24" s="567"/>
      <c r="J24" s="567"/>
      <c r="K24" s="566"/>
      <c r="L24" s="566"/>
      <c r="M24" s="566"/>
      <c r="N24" s="566"/>
      <c r="O24" s="566"/>
      <c r="P24" s="566"/>
      <c r="Q24" s="566"/>
      <c r="R24" s="566"/>
      <c r="S24" s="566"/>
    </row>
    <row r="25" spans="1:19">
      <c r="A25" s="104">
        <v>0.6</v>
      </c>
      <c r="B25" s="573" t="s">
        <v>193</v>
      </c>
      <c r="C25" s="589"/>
      <c r="D25" s="589"/>
      <c r="E25" s="590"/>
      <c r="F25" s="578"/>
      <c r="G25" s="587"/>
      <c r="H25" s="578"/>
      <c r="I25" s="567"/>
      <c r="J25" s="567"/>
      <c r="K25" s="566"/>
      <c r="L25" s="566"/>
      <c r="M25" s="566"/>
      <c r="N25" s="566"/>
      <c r="O25" s="566"/>
      <c r="P25" s="566"/>
      <c r="Q25" s="566"/>
      <c r="R25" s="566"/>
      <c r="S25" s="566"/>
    </row>
    <row r="26" spans="1:19">
      <c r="B26" s="564"/>
      <c r="C26" s="575" t="s">
        <v>192</v>
      </c>
      <c r="D26" s="575" t="s">
        <v>191</v>
      </c>
      <c r="E26" s="575" t="s">
        <v>190</v>
      </c>
      <c r="F26" s="578"/>
      <c r="G26" s="587"/>
      <c r="H26" s="578"/>
      <c r="I26" s="567"/>
      <c r="J26" s="567"/>
      <c r="K26" s="566"/>
      <c r="L26" s="566"/>
      <c r="M26" s="566"/>
      <c r="N26" s="566"/>
      <c r="O26" s="566"/>
      <c r="P26" s="566"/>
      <c r="Q26" s="566"/>
      <c r="R26" s="566"/>
      <c r="S26" s="566"/>
    </row>
    <row r="27" spans="1:19">
      <c r="B27" s="576" t="s">
        <v>207</v>
      </c>
      <c r="C27" s="580">
        <f>N15</f>
        <v>783229.48661145056</v>
      </c>
      <c r="D27" s="580">
        <f>$C$11*C15*$A$25</f>
        <v>469937.69196687033</v>
      </c>
      <c r="E27" s="591">
        <f>IFERROR((C27-D27)/D27,0)</f>
        <v>0.66666666666666663</v>
      </c>
      <c r="F27" s="578"/>
      <c r="G27" s="587"/>
      <c r="H27" s="578"/>
      <c r="I27" s="567"/>
      <c r="J27" s="567"/>
      <c r="K27" s="566"/>
      <c r="L27" s="566"/>
      <c r="M27" s="566"/>
      <c r="N27" s="566"/>
      <c r="O27" s="566"/>
      <c r="P27" s="566"/>
      <c r="Q27" s="566"/>
      <c r="R27" s="566"/>
      <c r="S27" s="566"/>
    </row>
    <row r="28" spans="1:19">
      <c r="B28" s="566" t="s">
        <v>186</v>
      </c>
      <c r="C28" s="580">
        <f t="shared" ref="C28:C33" si="6">N16</f>
        <v>1361100.0224650209</v>
      </c>
      <c r="D28" s="580">
        <f t="shared" ref="D28:D32" si="7">$C$11*C16*$A$25</f>
        <v>939875.38393374067</v>
      </c>
      <c r="E28" s="591">
        <f t="shared" ref="E28:E31" si="8">IFERROR((C28-D28)/D28,0)</f>
        <v>0.44817073170731719</v>
      </c>
      <c r="F28" s="578"/>
      <c r="G28" s="587"/>
      <c r="H28" s="592"/>
      <c r="I28" s="567"/>
      <c r="J28" s="567"/>
      <c r="K28" s="566"/>
      <c r="L28" s="566"/>
      <c r="M28" s="566"/>
      <c r="N28" s="566"/>
      <c r="O28" s="566"/>
      <c r="P28" s="566"/>
      <c r="Q28" s="566"/>
      <c r="R28" s="566"/>
      <c r="S28" s="566"/>
    </row>
    <row r="29" spans="1:19">
      <c r="B29" s="566" t="s">
        <v>460</v>
      </c>
      <c r="C29" s="580">
        <f t="shared" si="6"/>
        <v>0</v>
      </c>
      <c r="D29" s="580">
        <f t="shared" si="7"/>
        <v>0</v>
      </c>
      <c r="E29" s="591">
        <f t="shared" si="8"/>
        <v>0</v>
      </c>
      <c r="F29" s="578"/>
      <c r="G29" s="587"/>
      <c r="H29" s="578"/>
      <c r="I29" s="567"/>
      <c r="J29" s="567"/>
      <c r="K29" s="566"/>
      <c r="L29" s="566"/>
      <c r="M29" s="566"/>
      <c r="N29" s="566"/>
      <c r="O29" s="566"/>
      <c r="P29" s="566"/>
      <c r="Q29" s="566"/>
      <c r="R29" s="566"/>
      <c r="S29" s="566"/>
    </row>
    <row r="30" spans="1:19">
      <c r="B30" s="566" t="s">
        <v>208</v>
      </c>
      <c r="C30" s="580">
        <f t="shared" si="6"/>
        <v>8566572.5098127369</v>
      </c>
      <c r="D30" s="580">
        <f t="shared" si="7"/>
        <v>1644781.9218840457</v>
      </c>
      <c r="E30" s="591">
        <f t="shared" si="8"/>
        <v>4.2083333333333321</v>
      </c>
      <c r="F30" s="578"/>
      <c r="G30" s="587"/>
      <c r="H30" s="578"/>
      <c r="I30" s="567"/>
      <c r="J30" s="567"/>
      <c r="K30" s="566"/>
      <c r="L30" s="566"/>
      <c r="M30" s="566"/>
      <c r="N30" s="566"/>
      <c r="O30" s="566"/>
      <c r="P30" s="566"/>
      <c r="Q30" s="566"/>
      <c r="R30" s="566"/>
      <c r="S30" s="566"/>
    </row>
    <row r="31" spans="1:19">
      <c r="B31" s="566" t="s">
        <v>182</v>
      </c>
      <c r="C31" s="580">
        <f t="shared" si="6"/>
        <v>9402335.6815017853</v>
      </c>
      <c r="D31" s="580">
        <f t="shared" si="7"/>
        <v>1409813.0759006108</v>
      </c>
      <c r="E31" s="591">
        <f t="shared" si="8"/>
        <v>5.6692073170731696</v>
      </c>
      <c r="F31" s="578"/>
      <c r="G31" s="587"/>
      <c r="H31" s="578"/>
      <c r="I31" s="567"/>
      <c r="J31" s="567"/>
      <c r="K31" s="566"/>
      <c r="L31" s="566"/>
      <c r="M31" s="566"/>
      <c r="N31" s="566"/>
      <c r="O31" s="566"/>
      <c r="P31" s="566"/>
      <c r="Q31" s="566"/>
      <c r="R31" s="566"/>
      <c r="S31" s="566"/>
    </row>
    <row r="32" spans="1:19">
      <c r="B32" s="566" t="s">
        <v>185</v>
      </c>
      <c r="C32" s="580">
        <f t="shared" si="6"/>
        <v>1052166.1357871047</v>
      </c>
      <c r="D32" s="580">
        <f t="shared" si="7"/>
        <v>234968.84598343517</v>
      </c>
      <c r="E32" s="591">
        <f>IFERROR((C32-D32)/D32,0)</f>
        <v>3.4778963414634139</v>
      </c>
      <c r="F32" s="578"/>
      <c r="G32" s="587"/>
      <c r="H32" s="578"/>
      <c r="I32" s="567"/>
      <c r="J32" s="567"/>
      <c r="K32" s="566"/>
      <c r="L32" s="566"/>
      <c r="M32" s="566"/>
      <c r="N32" s="566"/>
      <c r="O32" s="566"/>
      <c r="P32" s="566"/>
      <c r="Q32" s="566"/>
      <c r="R32" s="566"/>
      <c r="S32" s="566"/>
    </row>
    <row r="33" spans="2:19" hidden="1">
      <c r="B33" s="566"/>
      <c r="C33" s="580">
        <f t="shared" si="6"/>
        <v>21165403.836178098</v>
      </c>
      <c r="D33" s="566"/>
      <c r="E33" s="567"/>
      <c r="F33" s="567"/>
      <c r="G33" s="566"/>
      <c r="H33" s="567"/>
      <c r="I33" s="567"/>
      <c r="J33" s="567"/>
      <c r="K33" s="566"/>
      <c r="L33" s="566"/>
      <c r="M33" s="566"/>
      <c r="N33" s="566"/>
      <c r="O33" s="566"/>
      <c r="P33" s="566"/>
      <c r="Q33" s="566"/>
      <c r="R33" s="566"/>
      <c r="S33" s="566"/>
    </row>
    <row r="34" spans="2:19">
      <c r="B34" s="146" t="s">
        <v>1</v>
      </c>
      <c r="C34" s="584">
        <f>SUM(C27:C32)</f>
        <v>21165403.836178098</v>
      </c>
      <c r="D34" s="584">
        <f>SUM(D27:D32)</f>
        <v>4699376.9196687024</v>
      </c>
      <c r="E34" s="593">
        <f>IFERROR((C34-D34)/D34,0)</f>
        <v>3.5038744918699183</v>
      </c>
      <c r="F34" s="578"/>
      <c r="G34" s="587"/>
      <c r="H34" s="578"/>
      <c r="I34" s="567"/>
      <c r="J34" s="567"/>
      <c r="K34" s="566"/>
      <c r="L34" s="566"/>
      <c r="M34" s="566"/>
      <c r="N34" s="566"/>
      <c r="O34" s="566"/>
      <c r="P34" s="566"/>
      <c r="Q34" s="566"/>
      <c r="R34" s="566"/>
      <c r="S34" s="566"/>
    </row>
    <row r="35" spans="2:19">
      <c r="B35" s="566"/>
      <c r="C35" s="578"/>
      <c r="D35" s="578"/>
      <c r="E35" s="591"/>
      <c r="F35" s="578"/>
      <c r="G35" s="587"/>
      <c r="H35" s="578"/>
      <c r="I35" s="567"/>
      <c r="J35" s="567"/>
      <c r="K35" s="566"/>
      <c r="L35" s="566"/>
      <c r="M35" s="566"/>
      <c r="N35" s="566"/>
      <c r="O35" s="566"/>
      <c r="P35" s="566"/>
      <c r="Q35" s="566"/>
      <c r="R35" s="566"/>
      <c r="S35" s="566"/>
    </row>
    <row r="36" spans="2:19">
      <c r="B36" s="566"/>
      <c r="C36" s="587"/>
      <c r="D36" s="587"/>
      <c r="E36" s="578"/>
      <c r="F36" s="578"/>
      <c r="G36" s="587"/>
      <c r="H36" s="578"/>
      <c r="I36" s="567"/>
      <c r="J36" s="567"/>
      <c r="K36" s="566"/>
      <c r="L36" s="566"/>
      <c r="M36" s="566"/>
      <c r="N36" s="566"/>
      <c r="O36" s="566"/>
      <c r="P36" s="566"/>
      <c r="Q36" s="566"/>
      <c r="R36" s="566"/>
      <c r="S36" s="566"/>
    </row>
    <row r="37" spans="2:19">
      <c r="B37" s="573" t="s">
        <v>189</v>
      </c>
      <c r="C37" s="589"/>
      <c r="D37" s="589"/>
      <c r="E37" s="578"/>
      <c r="F37" s="578"/>
      <c r="G37" s="587"/>
      <c r="H37" s="587"/>
      <c r="I37" s="566"/>
      <c r="J37" s="566"/>
      <c r="K37" s="566"/>
      <c r="L37" s="566"/>
      <c r="M37" s="566"/>
      <c r="N37" s="566"/>
      <c r="O37" s="566"/>
      <c r="P37" s="566"/>
      <c r="Q37" s="566"/>
      <c r="R37" s="566"/>
      <c r="S37" s="566"/>
    </row>
    <row r="38" spans="2:19">
      <c r="B38" s="564"/>
      <c r="C38" s="575" t="s">
        <v>187</v>
      </c>
      <c r="D38" s="575" t="s">
        <v>23</v>
      </c>
      <c r="E38" s="578" t="s">
        <v>34</v>
      </c>
      <c r="F38" s="587"/>
      <c r="G38" s="587"/>
      <c r="H38" s="587"/>
      <c r="I38" s="566"/>
      <c r="J38" s="566"/>
      <c r="K38" s="566"/>
      <c r="L38" s="566"/>
      <c r="M38" s="566"/>
      <c r="N38" s="566"/>
      <c r="O38" s="566"/>
      <c r="P38" s="566"/>
      <c r="Q38" s="566"/>
      <c r="R38" s="566"/>
      <c r="S38" s="566"/>
    </row>
    <row r="39" spans="2:19">
      <c r="B39" s="576" t="s">
        <v>207</v>
      </c>
      <c r="C39" s="578">
        <f>$E$15</f>
        <v>783229.48661145056</v>
      </c>
      <c r="D39" s="577">
        <f t="shared" ref="D39:D45" si="9">C39/$C$45</f>
        <v>0.1</v>
      </c>
      <c r="E39" s="578">
        <f>C39/1000</f>
        <v>783.22948661145051</v>
      </c>
      <c r="F39" s="587"/>
      <c r="G39" s="587"/>
      <c r="H39" s="587"/>
      <c r="I39" s="566"/>
      <c r="J39" s="566"/>
      <c r="K39" s="566"/>
      <c r="L39" s="566"/>
      <c r="M39" s="566"/>
      <c r="N39" s="566"/>
      <c r="O39" s="566"/>
      <c r="P39" s="566"/>
      <c r="Q39" s="566"/>
      <c r="R39" s="566"/>
      <c r="S39" s="566"/>
    </row>
    <row r="40" spans="2:19">
      <c r="B40" s="566" t="s">
        <v>186</v>
      </c>
      <c r="C40" s="578">
        <f>$E$16</f>
        <v>1566458.9732229011</v>
      </c>
      <c r="D40" s="577">
        <f t="shared" si="9"/>
        <v>0.2</v>
      </c>
      <c r="E40" s="578">
        <f>C40/1000</f>
        <v>1566.458973222901</v>
      </c>
      <c r="F40" s="587"/>
      <c r="G40" s="587"/>
      <c r="H40" s="587"/>
      <c r="I40" s="566"/>
      <c r="J40" s="566"/>
      <c r="K40" s="566"/>
      <c r="L40" s="566"/>
      <c r="M40" s="566"/>
      <c r="N40" s="566"/>
      <c r="O40" s="566"/>
      <c r="P40" s="566"/>
      <c r="Q40" s="566"/>
      <c r="R40" s="566"/>
      <c r="S40" s="566"/>
    </row>
    <row r="41" spans="2:19">
      <c r="B41" s="566" t="s">
        <v>460</v>
      </c>
      <c r="C41" s="578">
        <f>$E$17</f>
        <v>0</v>
      </c>
      <c r="D41" s="577">
        <f t="shared" si="9"/>
        <v>0</v>
      </c>
      <c r="E41" s="578">
        <f>C41/1000</f>
        <v>0</v>
      </c>
      <c r="F41" s="587"/>
      <c r="G41" s="587"/>
      <c r="H41" s="587"/>
      <c r="I41" s="566"/>
      <c r="J41" s="566"/>
      <c r="K41" s="566"/>
      <c r="L41" s="566"/>
      <c r="M41" s="566"/>
      <c r="N41" s="566"/>
      <c r="O41" s="566"/>
      <c r="P41" s="566"/>
      <c r="Q41" s="566"/>
      <c r="R41" s="566"/>
      <c r="S41" s="566"/>
    </row>
    <row r="42" spans="2:19">
      <c r="B42" s="566" t="s">
        <v>208</v>
      </c>
      <c r="C42" s="578">
        <f>$E$18</f>
        <v>2741303.2031400762</v>
      </c>
      <c r="D42" s="577">
        <f t="shared" si="9"/>
        <v>0.35</v>
      </c>
      <c r="E42" s="578">
        <f>C42/1000</f>
        <v>2741.3032031400762</v>
      </c>
      <c r="F42" s="587"/>
      <c r="G42" s="587"/>
      <c r="H42" s="587"/>
      <c r="I42" s="566"/>
      <c r="J42" s="566"/>
      <c r="K42" s="566"/>
      <c r="L42" s="566"/>
      <c r="M42" s="566"/>
      <c r="N42" s="566"/>
      <c r="O42" s="566"/>
      <c r="P42" s="566"/>
      <c r="Q42" s="566"/>
      <c r="R42" s="566"/>
      <c r="S42" s="566"/>
    </row>
    <row r="43" spans="2:19">
      <c r="B43" s="566" t="s">
        <v>182</v>
      </c>
      <c r="C43" s="578">
        <f>$E$19</f>
        <v>2349688.4598343512</v>
      </c>
      <c r="D43" s="577">
        <f t="shared" si="9"/>
        <v>0.3</v>
      </c>
      <c r="E43" s="578">
        <f t="shared" ref="E43" si="10">C43/1000</f>
        <v>2349.6884598343513</v>
      </c>
      <c r="F43" s="587"/>
      <c r="G43" s="587"/>
      <c r="H43" s="587"/>
      <c r="I43" s="566"/>
      <c r="J43" s="566"/>
      <c r="K43" s="566"/>
      <c r="L43" s="566"/>
      <c r="M43" s="566"/>
      <c r="N43" s="566"/>
      <c r="O43" s="566"/>
      <c r="P43" s="566"/>
      <c r="Q43" s="566"/>
      <c r="R43" s="566"/>
      <c r="S43" s="566"/>
    </row>
    <row r="44" spans="2:19">
      <c r="B44" s="566" t="s">
        <v>185</v>
      </c>
      <c r="C44" s="578">
        <f>$E$20</f>
        <v>391614.74330572528</v>
      </c>
      <c r="D44" s="577">
        <f t="shared" si="9"/>
        <v>0.05</v>
      </c>
      <c r="E44" s="578">
        <f t="shared" ref="E44" si="11">C44/1000</f>
        <v>391.61474330572526</v>
      </c>
      <c r="F44" s="587"/>
      <c r="G44" s="587"/>
      <c r="H44" s="587"/>
      <c r="I44" s="566"/>
      <c r="J44" s="566"/>
      <c r="K44" s="566"/>
      <c r="L44" s="566"/>
      <c r="M44" s="566"/>
      <c r="N44" s="566"/>
      <c r="O44" s="566"/>
      <c r="P44" s="566"/>
      <c r="Q44" s="566"/>
      <c r="R44" s="566"/>
      <c r="S44" s="566"/>
    </row>
    <row r="45" spans="2:19">
      <c r="B45" s="146" t="s">
        <v>1</v>
      </c>
      <c r="C45" s="582">
        <f>SUM(C39:C44)</f>
        <v>7832294.8661145046</v>
      </c>
      <c r="D45" s="594">
        <f t="shared" si="9"/>
        <v>1</v>
      </c>
      <c r="E45" s="578"/>
      <c r="F45" s="587"/>
      <c r="G45" s="587"/>
      <c r="H45" s="587"/>
      <c r="I45" s="566"/>
      <c r="J45" s="566"/>
      <c r="K45" s="566"/>
      <c r="L45" s="566"/>
      <c r="M45" s="566"/>
      <c r="N45" s="566"/>
      <c r="O45" s="566"/>
      <c r="P45" s="566"/>
      <c r="Q45" s="566"/>
      <c r="R45" s="566"/>
      <c r="S45" s="566"/>
    </row>
    <row r="46" spans="2:19">
      <c r="B46" s="595"/>
      <c r="C46" s="596"/>
      <c r="D46" s="106"/>
      <c r="E46" s="596"/>
      <c r="F46" s="587"/>
      <c r="G46" s="587"/>
      <c r="H46" s="587"/>
      <c r="I46" s="566"/>
      <c r="J46" s="566"/>
      <c r="K46" s="566"/>
      <c r="L46" s="566"/>
      <c r="M46" s="566"/>
      <c r="N46" s="566"/>
      <c r="O46" s="566"/>
      <c r="P46" s="566"/>
      <c r="Q46" s="566"/>
      <c r="R46" s="566"/>
      <c r="S46" s="566"/>
    </row>
    <row r="47" spans="2:19">
      <c r="B47" s="573" t="s">
        <v>188</v>
      </c>
      <c r="C47" s="589"/>
      <c r="D47" s="589"/>
      <c r="E47" s="597"/>
      <c r="F47" s="587"/>
      <c r="G47" s="587"/>
      <c r="H47" s="587"/>
      <c r="I47" s="566"/>
      <c r="J47" s="566"/>
      <c r="K47" s="566"/>
      <c r="L47" s="566"/>
      <c r="M47" s="566"/>
      <c r="N47" s="566"/>
      <c r="O47" s="566"/>
      <c r="P47" s="566"/>
      <c r="Q47" s="566"/>
      <c r="R47" s="566"/>
      <c r="S47" s="566"/>
    </row>
    <row r="48" spans="2:19">
      <c r="B48" s="564"/>
      <c r="C48" s="575" t="s">
        <v>187</v>
      </c>
      <c r="D48" s="575" t="s">
        <v>23</v>
      </c>
      <c r="E48" s="578"/>
      <c r="F48" s="578"/>
      <c r="G48" s="587"/>
      <c r="H48" s="578"/>
      <c r="I48" s="567"/>
      <c r="J48" s="567"/>
      <c r="K48" s="566"/>
      <c r="L48" s="566"/>
      <c r="M48" s="566"/>
      <c r="N48" s="566"/>
      <c r="O48" s="566"/>
      <c r="P48" s="566"/>
      <c r="Q48" s="566"/>
      <c r="R48" s="566"/>
      <c r="S48" s="566"/>
    </row>
    <row r="49" spans="2:19">
      <c r="B49" s="576" t="s">
        <v>207</v>
      </c>
      <c r="C49" s="578">
        <f>N15</f>
        <v>783229.48661145056</v>
      </c>
      <c r="D49" s="577">
        <f t="shared" ref="D49:D55" si="12">C49/$C$55</f>
        <v>3.70051756476611E-2</v>
      </c>
      <c r="E49" s="578">
        <f>C49/1000</f>
        <v>783.22948661145051</v>
      </c>
      <c r="F49" s="578"/>
      <c r="G49" s="587"/>
      <c r="H49" s="578"/>
      <c r="I49" s="567"/>
      <c r="J49" s="567"/>
      <c r="K49" s="566"/>
      <c r="L49" s="566"/>
      <c r="M49" s="566"/>
      <c r="N49" s="566"/>
      <c r="O49" s="566"/>
      <c r="P49" s="566"/>
      <c r="Q49" s="566"/>
      <c r="R49" s="566"/>
      <c r="S49" s="566"/>
    </row>
    <row r="50" spans="2:19">
      <c r="B50" s="566" t="s">
        <v>186</v>
      </c>
      <c r="C50" s="578">
        <f t="shared" ref="C50:C54" si="13">N16</f>
        <v>1361100.0224650209</v>
      </c>
      <c r="D50" s="577">
        <f t="shared" si="12"/>
        <v>6.4307774753557409E-2</v>
      </c>
      <c r="E50" s="578">
        <f>C50/1000</f>
        <v>1361.1000224650209</v>
      </c>
      <c r="F50" s="578"/>
      <c r="G50" s="587"/>
      <c r="H50" s="578"/>
      <c r="I50" s="567"/>
      <c r="J50" s="567"/>
      <c r="K50" s="566"/>
      <c r="L50" s="566"/>
      <c r="M50" s="566"/>
      <c r="N50" s="566"/>
      <c r="O50" s="566"/>
      <c r="P50" s="566"/>
      <c r="Q50" s="566"/>
      <c r="R50" s="566"/>
      <c r="S50" s="566"/>
    </row>
    <row r="51" spans="2:19">
      <c r="B51" s="566" t="s">
        <v>460</v>
      </c>
      <c r="C51" s="578">
        <f t="shared" si="13"/>
        <v>0</v>
      </c>
      <c r="D51" s="577">
        <f t="shared" si="12"/>
        <v>0</v>
      </c>
      <c r="E51" s="578">
        <f t="shared" ref="E51:E54" si="14">C51/1000</f>
        <v>0</v>
      </c>
      <c r="F51" s="578"/>
      <c r="G51" s="587"/>
      <c r="H51" s="578"/>
      <c r="I51" s="567"/>
      <c r="J51" s="567"/>
      <c r="K51" s="566"/>
      <c r="L51" s="566"/>
      <c r="M51" s="566"/>
      <c r="N51" s="566"/>
      <c r="O51" s="566"/>
      <c r="P51" s="566"/>
      <c r="Q51" s="566"/>
      <c r="R51" s="566"/>
      <c r="S51" s="566"/>
    </row>
    <row r="52" spans="2:19">
      <c r="B52" s="566" t="s">
        <v>208</v>
      </c>
      <c r="C52" s="578">
        <f t="shared" si="13"/>
        <v>8566572.5098127369</v>
      </c>
      <c r="D52" s="577">
        <f t="shared" si="12"/>
        <v>0.40474410864629312</v>
      </c>
      <c r="E52" s="578">
        <f t="shared" ref="E52" si="15">C52/1000</f>
        <v>8566.5725098127368</v>
      </c>
      <c r="F52" s="578"/>
      <c r="G52" s="587"/>
      <c r="H52" s="578"/>
      <c r="I52" s="567"/>
      <c r="J52" s="567"/>
      <c r="K52" s="566"/>
      <c r="L52" s="566"/>
      <c r="M52" s="566"/>
      <c r="N52" s="566"/>
      <c r="O52" s="566"/>
      <c r="P52" s="566"/>
      <c r="Q52" s="566"/>
      <c r="R52" s="566"/>
      <c r="S52" s="566"/>
    </row>
    <row r="53" spans="2:19">
      <c r="B53" s="566" t="s">
        <v>182</v>
      </c>
      <c r="C53" s="578">
        <f t="shared" si="13"/>
        <v>9402335.6815017853</v>
      </c>
      <c r="D53" s="577">
        <f t="shared" si="12"/>
        <v>0.44423133875812659</v>
      </c>
      <c r="E53" s="578">
        <f>C53/1000</f>
        <v>9402.3356815017851</v>
      </c>
      <c r="F53" s="578"/>
      <c r="G53" s="587"/>
      <c r="H53" s="578"/>
      <c r="I53" s="567"/>
      <c r="J53" s="567"/>
      <c r="K53" s="566"/>
      <c r="L53" s="566"/>
      <c r="M53" s="566"/>
      <c r="N53" s="566"/>
      <c r="O53" s="566"/>
      <c r="P53" s="566"/>
      <c r="Q53" s="566"/>
      <c r="R53" s="566"/>
      <c r="S53" s="566"/>
    </row>
    <row r="54" spans="2:19">
      <c r="B54" s="566" t="s">
        <v>185</v>
      </c>
      <c r="C54" s="578">
        <f t="shared" si="13"/>
        <v>1052166.1357871047</v>
      </c>
      <c r="D54" s="577">
        <f t="shared" si="12"/>
        <v>4.9711602194361798E-2</v>
      </c>
      <c r="E54" s="578">
        <f t="shared" si="14"/>
        <v>1052.1661357871046</v>
      </c>
      <c r="F54" s="578"/>
      <c r="G54" s="587"/>
      <c r="H54" s="578"/>
      <c r="I54" s="567"/>
      <c r="J54" s="567"/>
      <c r="K54" s="566"/>
      <c r="L54" s="566"/>
      <c r="M54" s="566"/>
      <c r="N54" s="566"/>
      <c r="O54" s="566"/>
      <c r="P54" s="566"/>
      <c r="Q54" s="566"/>
      <c r="R54" s="566"/>
      <c r="S54" s="566"/>
    </row>
    <row r="55" spans="2:19">
      <c r="B55" s="146" t="s">
        <v>1</v>
      </c>
      <c r="C55" s="582">
        <f>SUM(C49:C54)</f>
        <v>21165403.836178098</v>
      </c>
      <c r="D55" s="594">
        <f t="shared" si="12"/>
        <v>1</v>
      </c>
      <c r="E55" s="578"/>
      <c r="F55" s="578"/>
      <c r="G55" s="587"/>
      <c r="H55" s="578"/>
      <c r="I55" s="567"/>
      <c r="J55" s="567"/>
      <c r="K55" s="566"/>
      <c r="L55" s="566"/>
      <c r="M55" s="566"/>
      <c r="N55" s="566"/>
      <c r="O55" s="566"/>
      <c r="P55" s="566"/>
      <c r="Q55" s="566"/>
      <c r="R55" s="566"/>
      <c r="S55" s="566"/>
    </row>
    <row r="56" spans="2:19">
      <c r="B56" s="566"/>
      <c r="C56" s="566"/>
      <c r="D56" s="568"/>
      <c r="E56" s="567"/>
      <c r="F56" s="567"/>
      <c r="G56" s="566"/>
      <c r="H56" s="567"/>
      <c r="I56" s="567"/>
      <c r="J56" s="567"/>
      <c r="K56" s="566"/>
      <c r="L56" s="566"/>
      <c r="M56" s="566"/>
      <c r="N56" s="566"/>
      <c r="O56" s="566"/>
      <c r="P56" s="566"/>
      <c r="Q56" s="566"/>
      <c r="R56" s="566"/>
      <c r="S56" s="566"/>
    </row>
    <row r="57" spans="2:19">
      <c r="B57" s="566"/>
      <c r="C57" s="566"/>
      <c r="D57" s="566"/>
      <c r="E57" s="567"/>
      <c r="F57" s="567"/>
      <c r="G57" s="566"/>
      <c r="H57" s="567"/>
      <c r="I57" s="567"/>
      <c r="J57" s="567"/>
      <c r="K57" s="566"/>
      <c r="L57" s="566"/>
      <c r="M57" s="566"/>
      <c r="N57" s="566"/>
      <c r="O57" s="566"/>
      <c r="P57" s="566"/>
      <c r="Q57" s="566"/>
      <c r="R57" s="566"/>
      <c r="S57" s="566"/>
    </row>
    <row r="58" spans="2:19">
      <c r="B58" s="566"/>
      <c r="C58" s="566"/>
      <c r="D58" s="566"/>
      <c r="E58" s="567"/>
      <c r="F58" s="567"/>
      <c r="G58" s="566"/>
      <c r="H58" s="567"/>
      <c r="I58" s="567"/>
      <c r="J58" s="567"/>
      <c r="K58" s="566"/>
      <c r="L58" s="566"/>
      <c r="M58" s="566"/>
      <c r="N58" s="566"/>
      <c r="O58" s="566"/>
      <c r="P58" s="566"/>
      <c r="Q58" s="566"/>
      <c r="R58" s="566"/>
      <c r="S58" s="566"/>
    </row>
    <row r="66" s="104" customFormat="1"/>
    <row r="67" s="104" customFormat="1"/>
    <row r="68" s="104" customFormat="1"/>
    <row r="69" s="104" customFormat="1"/>
    <row r="70" s="104" customFormat="1"/>
    <row r="71" s="104" customFormat="1"/>
    <row r="72" s="104" customFormat="1"/>
    <row r="73" s="104" customFormat="1"/>
    <row r="74" s="104" customFormat="1"/>
    <row r="75" s="104" customFormat="1"/>
    <row r="76" s="104" customFormat="1"/>
    <row r="77" s="104" customFormat="1"/>
    <row r="78" s="104" customFormat="1"/>
    <row r="79" s="104" customFormat="1"/>
    <row r="80" s="104" customFormat="1"/>
    <row r="81" s="104" customFormat="1"/>
  </sheetData>
  <autoFilter ref="B48:D54" xr:uid="{00000000-0009-0000-0000-00000B000000}">
    <sortState xmlns:xlrd2="http://schemas.microsoft.com/office/spreadsheetml/2017/richdata2" ref="B68:D80">
      <sortCondition descending="1" ref="C67:C80"/>
    </sortState>
  </autoFilter>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9">
    <tabColor theme="7" tint="0.39997558519241921"/>
  </sheetPr>
  <dimension ref="A3:O27"/>
  <sheetViews>
    <sheetView zoomScale="80" zoomScaleNormal="80" workbookViewId="0">
      <selection activeCell="L14" sqref="L14"/>
    </sheetView>
  </sheetViews>
  <sheetFormatPr baseColWidth="10" defaultColWidth="8.83203125" defaultRowHeight="15"/>
  <cols>
    <col min="1" max="1" width="8.83203125" style="10"/>
    <col min="2" max="2" width="26.5" style="10" bestFit="1" customWidth="1"/>
    <col min="3" max="3" width="10.5" style="10" customWidth="1"/>
    <col min="4" max="16384" width="8.83203125" style="10"/>
  </cols>
  <sheetData>
    <row r="3" spans="1:15">
      <c r="D3" s="92">
        <v>0.5</v>
      </c>
      <c r="E3" s="92">
        <v>1</v>
      </c>
      <c r="F3" s="92">
        <v>1</v>
      </c>
      <c r="G3" s="92">
        <v>1</v>
      </c>
      <c r="H3" s="92">
        <v>1</v>
      </c>
      <c r="I3" s="92">
        <v>1</v>
      </c>
      <c r="J3" s="92">
        <v>1</v>
      </c>
      <c r="K3" s="92">
        <v>1</v>
      </c>
      <c r="L3" s="92">
        <v>1</v>
      </c>
      <c r="M3" s="92">
        <v>1</v>
      </c>
      <c r="N3" s="92">
        <v>1</v>
      </c>
      <c r="O3" s="92">
        <v>1</v>
      </c>
    </row>
    <row r="4" spans="1:15">
      <c r="B4" s="598"/>
      <c r="C4" s="598"/>
      <c r="D4" s="598"/>
      <c r="E4" s="598"/>
      <c r="F4" s="598"/>
      <c r="G4" s="598"/>
      <c r="H4" s="598"/>
      <c r="I4" s="598"/>
      <c r="J4" s="598"/>
      <c r="K4" s="598"/>
      <c r="L4" s="598"/>
      <c r="M4" s="598"/>
      <c r="N4" s="598"/>
      <c r="O4" s="598"/>
    </row>
    <row r="5" spans="1:15">
      <c r="B5" s="599"/>
      <c r="C5" s="599"/>
      <c r="D5" s="599" t="s">
        <v>4</v>
      </c>
      <c r="E5" s="599" t="s">
        <v>5</v>
      </c>
      <c r="F5" s="599" t="s">
        <v>6</v>
      </c>
      <c r="G5" s="599" t="s">
        <v>7</v>
      </c>
      <c r="H5" s="599" t="s">
        <v>8</v>
      </c>
      <c r="I5" s="599" t="s">
        <v>9</v>
      </c>
      <c r="J5" s="599" t="s">
        <v>10</v>
      </c>
      <c r="K5" s="599" t="s">
        <v>11</v>
      </c>
      <c r="L5" s="599" t="s">
        <v>12</v>
      </c>
      <c r="M5" s="599" t="s">
        <v>13</v>
      </c>
      <c r="N5" s="599" t="s">
        <v>14</v>
      </c>
      <c r="O5" s="599" t="s">
        <v>15</v>
      </c>
    </row>
    <row r="6" spans="1:15">
      <c r="B6" s="600" t="s">
        <v>497</v>
      </c>
      <c r="C6" s="600" t="s">
        <v>20</v>
      </c>
      <c r="D6" s="601">
        <v>9000</v>
      </c>
      <c r="E6" s="601">
        <v>18000</v>
      </c>
      <c r="F6" s="601">
        <v>18000</v>
      </c>
      <c r="G6" s="601">
        <v>18000</v>
      </c>
      <c r="H6" s="601">
        <v>18000</v>
      </c>
      <c r="I6" s="601">
        <v>18000</v>
      </c>
      <c r="J6" s="601">
        <v>18000</v>
      </c>
      <c r="K6" s="601">
        <v>18000</v>
      </c>
      <c r="L6" s="601">
        <v>18000</v>
      </c>
      <c r="M6" s="601">
        <v>18000</v>
      </c>
      <c r="N6" s="601">
        <v>18000</v>
      </c>
      <c r="O6" s="601">
        <v>18000</v>
      </c>
    </row>
    <row r="7" spans="1:15">
      <c r="B7" s="600" t="s">
        <v>498</v>
      </c>
      <c r="C7" s="600" t="s">
        <v>20</v>
      </c>
      <c r="D7" s="601">
        <v>0</v>
      </c>
      <c r="E7" s="601">
        <v>46.800000000000004</v>
      </c>
      <c r="F7" s="601">
        <v>86.480581824000012</v>
      </c>
      <c r="G7" s="601">
        <v>107.97437157623999</v>
      </c>
      <c r="H7" s="601">
        <v>129.45177315657784</v>
      </c>
      <c r="I7" s="601">
        <v>146.94737084642597</v>
      </c>
      <c r="J7" s="601">
        <v>146.85552873964696</v>
      </c>
      <c r="K7" s="601">
        <v>146.76374403418467</v>
      </c>
      <c r="L7" s="601">
        <v>146.67201669416332</v>
      </c>
      <c r="M7" s="601">
        <v>146.58034668372946</v>
      </c>
      <c r="N7" s="601">
        <v>146.48873396705213</v>
      </c>
      <c r="O7" s="601">
        <v>146.3971785083227</v>
      </c>
    </row>
    <row r="8" spans="1:15">
      <c r="B8" s="600" t="s">
        <v>480</v>
      </c>
      <c r="C8" s="600" t="s">
        <v>195</v>
      </c>
      <c r="D8" s="601">
        <f>D6*$E$20+D7*$E$21</f>
        <v>2250000</v>
      </c>
      <c r="E8" s="601">
        <f t="shared" ref="E8:O8" si="0">E6*$E$20+E7*$E$21</f>
        <v>4523400</v>
      </c>
      <c r="F8" s="601">
        <f t="shared" si="0"/>
        <v>4543240.2909120005</v>
      </c>
      <c r="G8" s="601">
        <f t="shared" si="0"/>
        <v>4553987.1857881201</v>
      </c>
      <c r="H8" s="601">
        <f t="shared" si="0"/>
        <v>4564725.8865782889</v>
      </c>
      <c r="I8" s="601">
        <f t="shared" si="0"/>
        <v>4573473.6854232131</v>
      </c>
      <c r="J8" s="601">
        <f t="shared" si="0"/>
        <v>4573427.764369823</v>
      </c>
      <c r="K8" s="601">
        <f t="shared" si="0"/>
        <v>4573381.8720170921</v>
      </c>
      <c r="L8" s="601">
        <f t="shared" si="0"/>
        <v>4573336.008347082</v>
      </c>
      <c r="M8" s="601">
        <f t="shared" si="0"/>
        <v>4573290.1733418647</v>
      </c>
      <c r="N8" s="601">
        <f t="shared" si="0"/>
        <v>4573244.3669835264</v>
      </c>
      <c r="O8" s="601">
        <f t="shared" si="0"/>
        <v>4573198.5892541613</v>
      </c>
    </row>
    <row r="9" spans="1:15">
      <c r="A9" s="68">
        <v>0.65</v>
      </c>
      <c r="B9" s="600" t="s">
        <v>494</v>
      </c>
      <c r="C9" s="600" t="s">
        <v>195</v>
      </c>
      <c r="D9" s="601">
        <f>D8*$E$22*$A$9</f>
        <v>1243125</v>
      </c>
      <c r="E9" s="601">
        <f>E8*$E$22*$A$9</f>
        <v>2499178.5</v>
      </c>
      <c r="F9" s="601">
        <f>F8*$E$22*$A$9</f>
        <v>2510140.2607288803</v>
      </c>
      <c r="G9" s="601">
        <f>G8*$E$22*$A$9</f>
        <v>2516077.9201479363</v>
      </c>
      <c r="H9" s="601">
        <f>H8*$E$22*$A$9</f>
        <v>2522011.0523345047</v>
      </c>
      <c r="I9" s="601">
        <f t="shared" ref="I9:O9" si="1">I8*$E$22*$A$9</f>
        <v>2526844.2111963253</v>
      </c>
      <c r="J9" s="601">
        <f t="shared" si="1"/>
        <v>2526818.8398143272</v>
      </c>
      <c r="K9" s="601">
        <f t="shared" si="1"/>
        <v>2526793.4842894436</v>
      </c>
      <c r="L9" s="601">
        <f t="shared" si="1"/>
        <v>2526768.1446117628</v>
      </c>
      <c r="M9" s="601">
        <f t="shared" si="1"/>
        <v>2526742.8207713803</v>
      </c>
      <c r="N9" s="601">
        <f t="shared" si="1"/>
        <v>2526717.5127583984</v>
      </c>
      <c r="O9" s="601">
        <f t="shared" si="1"/>
        <v>2526692.2205629242</v>
      </c>
    </row>
    <row r="10" spans="1:15">
      <c r="A10" s="68">
        <f>1-A9</f>
        <v>0.35</v>
      </c>
      <c r="B10" s="600" t="s">
        <v>161</v>
      </c>
      <c r="C10" s="600" t="s">
        <v>195</v>
      </c>
      <c r="D10" s="601">
        <f>D8*$E$22*$E$23*$A$10</f>
        <v>368156.25</v>
      </c>
      <c r="E10" s="601">
        <f>E8*$E$22*$E$23*$A$10</f>
        <v>740141.32499999995</v>
      </c>
      <c r="F10" s="601">
        <f>F8*$E$22*$E$23*$A$10</f>
        <v>743387.69260047609</v>
      </c>
      <c r="G10" s="601">
        <f>G8*$E$22*$E$23*$A$10</f>
        <v>745146.15327458119</v>
      </c>
      <c r="H10" s="601">
        <f>H8*$E$22*$E$23*$A$10</f>
        <v>746903.27319137251</v>
      </c>
      <c r="I10" s="601">
        <f t="shared" ref="I10:O10" si="2">I8*$E$22*$E$23*$A$10</f>
        <v>748334.63177737314</v>
      </c>
      <c r="J10" s="601">
        <f t="shared" si="2"/>
        <v>748327.11794501229</v>
      </c>
      <c r="K10" s="601">
        <f t="shared" si="2"/>
        <v>748319.60880879674</v>
      </c>
      <c r="L10" s="601">
        <f t="shared" si="2"/>
        <v>748312.10436579119</v>
      </c>
      <c r="M10" s="601">
        <f t="shared" si="2"/>
        <v>748304.60461306258</v>
      </c>
      <c r="N10" s="601">
        <f t="shared" si="2"/>
        <v>748297.10954767943</v>
      </c>
      <c r="O10" s="601">
        <f t="shared" si="2"/>
        <v>748289.61916671216</v>
      </c>
    </row>
    <row r="11" spans="1:15">
      <c r="A11" s="68">
        <v>0.05</v>
      </c>
      <c r="B11" s="600" t="s">
        <v>495</v>
      </c>
      <c r="C11" s="600" t="s">
        <v>195</v>
      </c>
      <c r="D11" s="601">
        <f>D8*$A$11</f>
        <v>112500</v>
      </c>
      <c r="E11" s="601">
        <f t="shared" ref="E11:H11" si="3">E8*$A$11</f>
        <v>226170</v>
      </c>
      <c r="F11" s="601">
        <f t="shared" si="3"/>
        <v>227162.01454560005</v>
      </c>
      <c r="G11" s="601">
        <f t="shared" si="3"/>
        <v>227699.35928940601</v>
      </c>
      <c r="H11" s="601">
        <f t="shared" si="3"/>
        <v>228236.29432891446</v>
      </c>
      <c r="I11" s="601">
        <f t="shared" ref="I11:O11" si="4">I8*$A$11</f>
        <v>228673.68427116066</v>
      </c>
      <c r="J11" s="601">
        <f t="shared" si="4"/>
        <v>228671.38821849116</v>
      </c>
      <c r="K11" s="601">
        <f t="shared" si="4"/>
        <v>228669.09360085463</v>
      </c>
      <c r="L11" s="601">
        <f t="shared" si="4"/>
        <v>228666.8004173541</v>
      </c>
      <c r="M11" s="601">
        <f t="shared" si="4"/>
        <v>228664.50866709324</v>
      </c>
      <c r="N11" s="601">
        <f t="shared" si="4"/>
        <v>228662.21834917634</v>
      </c>
      <c r="O11" s="601">
        <f t="shared" si="4"/>
        <v>228659.92946270807</v>
      </c>
    </row>
    <row r="12" spans="1:15">
      <c r="A12" s="68"/>
      <c r="B12" s="600" t="s">
        <v>493</v>
      </c>
      <c r="C12" s="600" t="s">
        <v>20</v>
      </c>
      <c r="D12" s="601">
        <f>D6+D7</f>
        <v>9000</v>
      </c>
      <c r="E12" s="601">
        <f t="shared" ref="E12:O12" si="5">E6+E7</f>
        <v>18046.8</v>
      </c>
      <c r="F12" s="601">
        <f t="shared" si="5"/>
        <v>18086.480581823998</v>
      </c>
      <c r="G12" s="601">
        <f t="shared" si="5"/>
        <v>18107.974371576242</v>
      </c>
      <c r="H12" s="601">
        <f t="shared" si="5"/>
        <v>18129.451773156579</v>
      </c>
      <c r="I12" s="601">
        <f t="shared" si="5"/>
        <v>18146.947370846425</v>
      </c>
      <c r="J12" s="601">
        <f t="shared" si="5"/>
        <v>18146.855528739648</v>
      </c>
      <c r="K12" s="601">
        <f t="shared" si="5"/>
        <v>18146.763744034186</v>
      </c>
      <c r="L12" s="601">
        <f t="shared" si="5"/>
        <v>18146.672016694163</v>
      </c>
      <c r="M12" s="601">
        <f t="shared" si="5"/>
        <v>18146.580346683728</v>
      </c>
      <c r="N12" s="601">
        <f t="shared" si="5"/>
        <v>18146.488733967053</v>
      </c>
      <c r="O12" s="601">
        <f t="shared" si="5"/>
        <v>18146.397178508323</v>
      </c>
    </row>
    <row r="13" spans="1:15">
      <c r="A13" s="68"/>
      <c r="B13" s="600"/>
      <c r="C13" s="600"/>
      <c r="D13" s="601"/>
      <c r="E13" s="601"/>
      <c r="F13" s="601"/>
      <c r="G13" s="601"/>
      <c r="H13" s="601"/>
      <c r="J13" s="601"/>
      <c r="K13" s="601"/>
      <c r="L13" s="600"/>
      <c r="N13" s="600"/>
      <c r="O13" s="600"/>
    </row>
    <row r="14" spans="1:15">
      <c r="B14" s="600"/>
      <c r="C14" s="600"/>
      <c r="D14" s="600"/>
      <c r="E14" s="600"/>
      <c r="F14" s="601"/>
      <c r="G14" s="601"/>
      <c r="H14" s="600"/>
      <c r="I14" s="601"/>
      <c r="J14" s="601"/>
      <c r="K14" s="601"/>
      <c r="L14" s="600"/>
      <c r="M14" s="600"/>
      <c r="N14" s="600"/>
      <c r="O14" s="600"/>
    </row>
    <row r="15" spans="1:15">
      <c r="B15" s="600"/>
      <c r="C15" s="600"/>
      <c r="D15" s="600"/>
      <c r="E15" s="600"/>
      <c r="F15" s="601"/>
      <c r="G15" s="601"/>
      <c r="H15" s="600"/>
      <c r="I15" s="601"/>
      <c r="J15" s="601"/>
      <c r="K15" s="601"/>
      <c r="L15" s="600"/>
      <c r="M15" s="600"/>
      <c r="N15" s="600"/>
      <c r="O15" s="600"/>
    </row>
    <row r="16" spans="1:15">
      <c r="B16" s="600"/>
      <c r="C16" s="600"/>
      <c r="D16" s="600"/>
      <c r="E16" s="600"/>
      <c r="F16" s="601"/>
      <c r="G16" s="601"/>
      <c r="H16" s="600"/>
      <c r="I16" s="601"/>
      <c r="J16" s="601"/>
      <c r="K16" s="601"/>
      <c r="L16" s="600"/>
      <c r="M16" s="600"/>
      <c r="N16" s="600"/>
      <c r="O16" s="600"/>
    </row>
    <row r="17" spans="2:15">
      <c r="B17" s="600"/>
      <c r="C17" s="600"/>
      <c r="D17" s="600"/>
      <c r="E17" s="600"/>
      <c r="F17" s="601"/>
      <c r="G17" s="601"/>
      <c r="H17" s="600"/>
      <c r="I17" s="601"/>
      <c r="J17" s="601"/>
      <c r="K17" s="601"/>
      <c r="L17" s="600"/>
      <c r="M17" s="600"/>
      <c r="N17" s="600"/>
      <c r="O17" s="600"/>
    </row>
    <row r="18" spans="2:15">
      <c r="B18" s="602" t="s">
        <v>478</v>
      </c>
      <c r="C18" s="602"/>
      <c r="D18" s="602"/>
      <c r="E18" s="602"/>
      <c r="F18" s="601"/>
      <c r="G18" s="601"/>
      <c r="H18" s="600"/>
      <c r="I18" s="601"/>
      <c r="J18" s="601"/>
      <c r="K18" s="601"/>
      <c r="L18" s="600"/>
      <c r="M18" s="600"/>
      <c r="N18" s="600"/>
      <c r="O18" s="600"/>
    </row>
    <row r="19" spans="2:15">
      <c r="B19" s="524" t="s">
        <v>21</v>
      </c>
      <c r="C19" s="524"/>
      <c r="D19" s="524" t="s">
        <v>0</v>
      </c>
      <c r="E19" s="603" t="s">
        <v>23</v>
      </c>
      <c r="F19" s="601"/>
      <c r="G19" s="601"/>
      <c r="H19" s="600"/>
      <c r="I19" s="601"/>
      <c r="J19" s="601"/>
      <c r="K19" s="601"/>
      <c r="L19" s="600"/>
      <c r="M19" s="600"/>
      <c r="N19" s="600"/>
      <c r="O19" s="600"/>
    </row>
    <row r="20" spans="2:15">
      <c r="B20" s="488" t="s">
        <v>492</v>
      </c>
      <c r="C20" s="488"/>
      <c r="D20" s="488" t="s">
        <v>22</v>
      </c>
      <c r="E20" s="604">
        <v>250</v>
      </c>
      <c r="F20" s="601"/>
      <c r="G20" s="601"/>
      <c r="H20" s="600"/>
      <c r="I20" s="601"/>
      <c r="J20" s="601"/>
      <c r="K20" s="601"/>
      <c r="L20" s="600"/>
      <c r="M20" s="600"/>
      <c r="N20" s="600"/>
      <c r="O20" s="600"/>
    </row>
    <row r="21" spans="2:15">
      <c r="B21" s="488" t="s">
        <v>496</v>
      </c>
      <c r="C21" s="488"/>
      <c r="D21" s="488" t="s">
        <v>22</v>
      </c>
      <c r="E21" s="604">
        <v>500</v>
      </c>
      <c r="F21" s="601"/>
      <c r="G21" s="601"/>
      <c r="H21" s="600"/>
      <c r="I21" s="601"/>
      <c r="J21" s="601"/>
      <c r="K21" s="601"/>
      <c r="L21" s="600"/>
      <c r="M21" s="600"/>
      <c r="N21" s="600"/>
      <c r="O21" s="600"/>
    </row>
    <row r="22" spans="2:15">
      <c r="B22" s="488" t="s">
        <v>531</v>
      </c>
      <c r="C22" s="488"/>
      <c r="D22" s="488" t="s">
        <v>2</v>
      </c>
      <c r="E22" s="605">
        <v>0.85</v>
      </c>
      <c r="F22" s="601"/>
      <c r="G22" s="601"/>
      <c r="H22" s="600"/>
      <c r="I22" s="601"/>
      <c r="J22" s="601"/>
      <c r="K22" s="601"/>
      <c r="L22" s="600"/>
      <c r="M22" s="600"/>
      <c r="N22" s="600"/>
      <c r="O22" s="600"/>
    </row>
    <row r="23" spans="2:15">
      <c r="B23" s="488" t="s">
        <v>532</v>
      </c>
      <c r="C23" s="488"/>
      <c r="D23" s="488" t="s">
        <v>2</v>
      </c>
      <c r="E23" s="605">
        <v>0.55000000000000004</v>
      </c>
      <c r="F23" s="92"/>
      <c r="G23" s="601"/>
      <c r="H23" s="600"/>
      <c r="I23" s="601"/>
      <c r="J23" s="601"/>
      <c r="K23" s="601"/>
      <c r="L23" s="600"/>
      <c r="M23" s="600"/>
      <c r="N23" s="600"/>
      <c r="O23" s="600"/>
    </row>
    <row r="24" spans="2:15">
      <c r="B24" s="488" t="s">
        <v>479</v>
      </c>
      <c r="C24" s="488"/>
      <c r="D24" s="488" t="s">
        <v>2</v>
      </c>
      <c r="E24" s="605">
        <v>0.05</v>
      </c>
      <c r="F24" s="601"/>
      <c r="G24" s="601"/>
      <c r="H24" s="600"/>
      <c r="I24" s="601"/>
      <c r="J24" s="601"/>
      <c r="K24" s="601"/>
      <c r="L24" s="600"/>
      <c r="M24" s="600"/>
      <c r="N24" s="600"/>
      <c r="O24" s="600"/>
    </row>
    <row r="25" spans="2:15">
      <c r="B25" s="600"/>
      <c r="C25" s="600"/>
      <c r="D25" s="600"/>
      <c r="E25" s="606"/>
      <c r="F25" s="601"/>
      <c r="G25" s="601"/>
      <c r="H25" s="600"/>
      <c r="I25" s="601"/>
      <c r="J25" s="601"/>
      <c r="K25" s="601"/>
      <c r="L25" s="600"/>
      <c r="M25" s="600"/>
      <c r="N25" s="600"/>
      <c r="O25" s="600"/>
    </row>
    <row r="26" spans="2:15">
      <c r="E26" s="473"/>
    </row>
    <row r="27" spans="2:15">
      <c r="E27" s="47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DC165"/>
  <sheetViews>
    <sheetView workbookViewId="0"/>
  </sheetViews>
  <sheetFormatPr baseColWidth="10" defaultColWidth="8.83203125" defaultRowHeight="15"/>
  <cols>
    <col min="1" max="1" width="8.83203125" style="52"/>
    <col min="2" max="2" width="34.5" style="52" bestFit="1" customWidth="1"/>
    <col min="3" max="3" width="9.5" style="52" bestFit="1" customWidth="1"/>
    <col min="4" max="31" width="8.83203125" style="52"/>
    <col min="32" max="32" width="9.5" style="52" bestFit="1" customWidth="1"/>
    <col min="33" max="43" width="8.83203125" style="52"/>
    <col min="44" max="44" width="9.5" style="52" bestFit="1" customWidth="1"/>
    <col min="45" max="180" width="8.83203125" style="52"/>
    <col min="181" max="181" width="21.83203125" style="52" customWidth="1"/>
    <col min="182" max="182" width="8.83203125" style="52" customWidth="1"/>
    <col min="183" max="436" width="8.83203125" style="52"/>
    <col min="437" max="437" width="21.83203125" style="52" customWidth="1"/>
    <col min="438" max="438" width="8.83203125" style="52" customWidth="1"/>
    <col min="439" max="692" width="8.83203125" style="52"/>
    <col min="693" max="693" width="21.83203125" style="52" customWidth="1"/>
    <col min="694" max="694" width="8.83203125" style="52" customWidth="1"/>
    <col min="695" max="948" width="8.83203125" style="52"/>
    <col min="949" max="949" width="21.83203125" style="52" customWidth="1"/>
    <col min="950" max="950" width="8.83203125" style="52" customWidth="1"/>
    <col min="951" max="1204" width="8.83203125" style="52"/>
    <col min="1205" max="1205" width="21.83203125" style="52" customWidth="1"/>
    <col min="1206" max="1206" width="8.83203125" style="52" customWidth="1"/>
    <col min="1207" max="1460" width="8.83203125" style="52"/>
    <col min="1461" max="1461" width="21.83203125" style="52" customWidth="1"/>
    <col min="1462" max="1462" width="8.83203125" style="52" customWidth="1"/>
    <col min="1463" max="1716" width="8.83203125" style="52"/>
    <col min="1717" max="1717" width="21.83203125" style="52" customWidth="1"/>
    <col min="1718" max="1718" width="8.83203125" style="52" customWidth="1"/>
    <col min="1719" max="1972" width="8.83203125" style="52"/>
    <col min="1973" max="1973" width="21.83203125" style="52" customWidth="1"/>
    <col min="1974" max="1974" width="8.83203125" style="52" customWidth="1"/>
    <col min="1975" max="2228" width="8.83203125" style="52"/>
    <col min="2229" max="2229" width="21.83203125" style="52" customWidth="1"/>
    <col min="2230" max="2230" width="8.83203125" style="52" customWidth="1"/>
    <col min="2231" max="2484" width="8.83203125" style="52"/>
    <col min="2485" max="2485" width="21.83203125" style="52" customWidth="1"/>
    <col min="2486" max="2486" width="8.83203125" style="52" customWidth="1"/>
    <col min="2487" max="2740" width="8.83203125" style="52"/>
    <col min="2741" max="2741" width="21.83203125" style="52" customWidth="1"/>
    <col min="2742" max="2742" width="8.83203125" style="52" customWidth="1"/>
    <col min="2743" max="2996" width="8.83203125" style="52"/>
    <col min="2997" max="2997" width="21.83203125" style="52" customWidth="1"/>
    <col min="2998" max="2998" width="8.83203125" style="52" customWidth="1"/>
    <col min="2999" max="3252" width="8.83203125" style="52"/>
    <col min="3253" max="3253" width="21.83203125" style="52" customWidth="1"/>
    <col min="3254" max="3254" width="8.83203125" style="52" customWidth="1"/>
    <col min="3255" max="3508" width="8.83203125" style="52"/>
    <col min="3509" max="3509" width="21.83203125" style="52" customWidth="1"/>
    <col min="3510" max="3510" width="8.83203125" style="52" customWidth="1"/>
    <col min="3511" max="3764" width="8.83203125" style="52"/>
    <col min="3765" max="3765" width="21.83203125" style="52" customWidth="1"/>
    <col min="3766" max="3766" width="8.83203125" style="52" customWidth="1"/>
    <col min="3767" max="4020" width="8.83203125" style="52"/>
    <col min="4021" max="4021" width="21.83203125" style="52" customWidth="1"/>
    <col min="4022" max="4022" width="8.83203125" style="52" customWidth="1"/>
    <col min="4023" max="4276" width="8.83203125" style="52"/>
    <col min="4277" max="4277" width="21.83203125" style="52" customWidth="1"/>
    <col min="4278" max="4278" width="8.83203125" style="52" customWidth="1"/>
    <col min="4279" max="4532" width="8.83203125" style="52"/>
    <col min="4533" max="4533" width="21.83203125" style="52" customWidth="1"/>
    <col min="4534" max="4534" width="8.83203125" style="52" customWidth="1"/>
    <col min="4535" max="4788" width="8.83203125" style="52"/>
    <col min="4789" max="4789" width="21.83203125" style="52" customWidth="1"/>
    <col min="4790" max="4790" width="8.83203125" style="52" customWidth="1"/>
    <col min="4791" max="5044" width="8.83203125" style="52"/>
    <col min="5045" max="5045" width="21.83203125" style="52" customWidth="1"/>
    <col min="5046" max="5046" width="8.83203125" style="52" customWidth="1"/>
    <col min="5047" max="5300" width="8.83203125" style="52"/>
    <col min="5301" max="5301" width="21.83203125" style="52" customWidth="1"/>
    <col min="5302" max="5302" width="8.83203125" style="52" customWidth="1"/>
    <col min="5303" max="5556" width="8.83203125" style="52"/>
    <col min="5557" max="5557" width="21.83203125" style="52" customWidth="1"/>
    <col min="5558" max="5558" width="8.83203125" style="52" customWidth="1"/>
    <col min="5559" max="5812" width="8.83203125" style="52"/>
    <col min="5813" max="5813" width="21.83203125" style="52" customWidth="1"/>
    <col min="5814" max="5814" width="8.83203125" style="52" customWidth="1"/>
    <col min="5815" max="6068" width="8.83203125" style="52"/>
    <col min="6069" max="6069" width="21.83203125" style="52" customWidth="1"/>
    <col min="6070" max="6070" width="8.83203125" style="52" customWidth="1"/>
    <col min="6071" max="6324" width="8.83203125" style="52"/>
    <col min="6325" max="6325" width="21.83203125" style="52" customWidth="1"/>
    <col min="6326" max="6326" width="8.83203125" style="52" customWidth="1"/>
    <col min="6327" max="6580" width="8.83203125" style="52"/>
    <col min="6581" max="6581" width="21.83203125" style="52" customWidth="1"/>
    <col min="6582" max="6582" width="8.83203125" style="52" customWidth="1"/>
    <col min="6583" max="6836" width="8.83203125" style="52"/>
    <col min="6837" max="6837" width="21.83203125" style="52" customWidth="1"/>
    <col min="6838" max="6838" width="8.83203125" style="52" customWidth="1"/>
    <col min="6839" max="7092" width="8.83203125" style="52"/>
    <col min="7093" max="7093" width="21.83203125" style="52" customWidth="1"/>
    <col min="7094" max="7094" width="8.83203125" style="52" customWidth="1"/>
    <col min="7095" max="7348" width="8.83203125" style="52"/>
    <col min="7349" max="7349" width="21.83203125" style="52" customWidth="1"/>
    <col min="7350" max="7350" width="8.83203125" style="52" customWidth="1"/>
    <col min="7351" max="7604" width="8.83203125" style="52"/>
    <col min="7605" max="7605" width="21.83203125" style="52" customWidth="1"/>
    <col min="7606" max="7606" width="8.83203125" style="52" customWidth="1"/>
    <col min="7607" max="7860" width="8.83203125" style="52"/>
    <col min="7861" max="7861" width="21.83203125" style="52" customWidth="1"/>
    <col min="7862" max="7862" width="8.83203125" style="52" customWidth="1"/>
    <col min="7863" max="8116" width="8.83203125" style="52"/>
    <col min="8117" max="8117" width="21.83203125" style="52" customWidth="1"/>
    <col min="8118" max="8118" width="8.83203125" style="52" customWidth="1"/>
    <col min="8119" max="8372" width="8.83203125" style="52"/>
    <col min="8373" max="8373" width="21.83203125" style="52" customWidth="1"/>
    <col min="8374" max="8374" width="8.83203125" style="52" customWidth="1"/>
    <col min="8375" max="8628" width="8.83203125" style="52"/>
    <col min="8629" max="8629" width="21.83203125" style="52" customWidth="1"/>
    <col min="8630" max="8630" width="8.83203125" style="52" customWidth="1"/>
    <col min="8631" max="8884" width="8.83203125" style="52"/>
    <col min="8885" max="8885" width="21.83203125" style="52" customWidth="1"/>
    <col min="8886" max="8886" width="8.83203125" style="52" customWidth="1"/>
    <col min="8887" max="9140" width="8.83203125" style="52"/>
    <col min="9141" max="9141" width="21.83203125" style="52" customWidth="1"/>
    <col min="9142" max="9142" width="8.83203125" style="52" customWidth="1"/>
    <col min="9143" max="9396" width="8.83203125" style="52"/>
    <col min="9397" max="9397" width="21.83203125" style="52" customWidth="1"/>
    <col min="9398" max="9398" width="8.83203125" style="52" customWidth="1"/>
    <col min="9399" max="9652" width="8.83203125" style="52"/>
    <col min="9653" max="9653" width="21.83203125" style="52" customWidth="1"/>
    <col min="9654" max="9654" width="8.83203125" style="52" customWidth="1"/>
    <col min="9655" max="9908" width="8.83203125" style="52"/>
    <col min="9909" max="9909" width="21.83203125" style="52" customWidth="1"/>
    <col min="9910" max="9910" width="8.83203125" style="52" customWidth="1"/>
    <col min="9911" max="10164" width="8.83203125" style="52"/>
    <col min="10165" max="10165" width="21.83203125" style="52" customWidth="1"/>
    <col min="10166" max="10166" width="8.83203125" style="52" customWidth="1"/>
    <col min="10167" max="10420" width="8.83203125" style="52"/>
    <col min="10421" max="10421" width="21.83203125" style="52" customWidth="1"/>
    <col min="10422" max="10422" width="8.83203125" style="52" customWidth="1"/>
    <col min="10423" max="10676" width="8.83203125" style="52"/>
    <col min="10677" max="10677" width="21.83203125" style="52" customWidth="1"/>
    <col min="10678" max="10678" width="8.83203125" style="52" customWidth="1"/>
    <col min="10679" max="10932" width="8.83203125" style="52"/>
    <col min="10933" max="10933" width="21.83203125" style="52" customWidth="1"/>
    <col min="10934" max="10934" width="8.83203125" style="52" customWidth="1"/>
    <col min="10935" max="11188" width="8.83203125" style="52"/>
    <col min="11189" max="11189" width="21.83203125" style="52" customWidth="1"/>
    <col min="11190" max="11190" width="8.83203125" style="52" customWidth="1"/>
    <col min="11191" max="11444" width="8.83203125" style="52"/>
    <col min="11445" max="11445" width="21.83203125" style="52" customWidth="1"/>
    <col min="11446" max="11446" width="8.83203125" style="52" customWidth="1"/>
    <col min="11447" max="11700" width="8.83203125" style="52"/>
    <col min="11701" max="11701" width="21.83203125" style="52" customWidth="1"/>
    <col min="11702" max="11702" width="8.83203125" style="52" customWidth="1"/>
    <col min="11703" max="11956" width="8.83203125" style="52"/>
    <col min="11957" max="11957" width="21.83203125" style="52" customWidth="1"/>
    <col min="11958" max="11958" width="8.83203125" style="52" customWidth="1"/>
    <col min="11959" max="12212" width="8.83203125" style="52"/>
    <col min="12213" max="12213" width="21.83203125" style="52" customWidth="1"/>
    <col min="12214" max="12214" width="8.83203125" style="52" customWidth="1"/>
    <col min="12215" max="12468" width="8.83203125" style="52"/>
    <col min="12469" max="12469" width="21.83203125" style="52" customWidth="1"/>
    <col min="12470" max="12470" width="8.83203125" style="52" customWidth="1"/>
    <col min="12471" max="12724" width="8.83203125" style="52"/>
    <col min="12725" max="12725" width="21.83203125" style="52" customWidth="1"/>
    <col min="12726" max="12726" width="8.83203125" style="52" customWidth="1"/>
    <col min="12727" max="12980" width="8.83203125" style="52"/>
    <col min="12981" max="12981" width="21.83203125" style="52" customWidth="1"/>
    <col min="12982" max="12982" width="8.83203125" style="52" customWidth="1"/>
    <col min="12983" max="13236" width="8.83203125" style="52"/>
    <col min="13237" max="13237" width="21.83203125" style="52" customWidth="1"/>
    <col min="13238" max="13238" width="8.83203125" style="52" customWidth="1"/>
    <col min="13239" max="13492" width="8.83203125" style="52"/>
    <col min="13493" max="13493" width="21.83203125" style="52" customWidth="1"/>
    <col min="13494" max="13494" width="8.83203125" style="52" customWidth="1"/>
    <col min="13495" max="13748" width="8.83203125" style="52"/>
    <col min="13749" max="13749" width="21.83203125" style="52" customWidth="1"/>
    <col min="13750" max="13750" width="8.83203125" style="52" customWidth="1"/>
    <col min="13751" max="14004" width="8.83203125" style="52"/>
    <col min="14005" max="14005" width="21.83203125" style="52" customWidth="1"/>
    <col min="14006" max="14006" width="8.83203125" style="52" customWidth="1"/>
    <col min="14007" max="14260" width="8.83203125" style="52"/>
    <col min="14261" max="14261" width="21.83203125" style="52" customWidth="1"/>
    <col min="14262" max="14262" width="8.83203125" style="52" customWidth="1"/>
    <col min="14263" max="14516" width="8.83203125" style="52"/>
    <col min="14517" max="14517" width="21.83203125" style="52" customWidth="1"/>
    <col min="14518" max="14518" width="8.83203125" style="52" customWidth="1"/>
    <col min="14519" max="14772" width="8.83203125" style="52"/>
    <col min="14773" max="14773" width="21.83203125" style="52" customWidth="1"/>
    <col min="14774" max="14774" width="8.83203125" style="52" customWidth="1"/>
    <col min="14775" max="15028" width="8.83203125" style="52"/>
    <col min="15029" max="15029" width="21.83203125" style="52" customWidth="1"/>
    <col min="15030" max="15030" width="8.83203125" style="52" customWidth="1"/>
    <col min="15031" max="15284" width="8.83203125" style="52"/>
    <col min="15285" max="15285" width="21.83203125" style="52" customWidth="1"/>
    <col min="15286" max="15286" width="8.83203125" style="52" customWidth="1"/>
    <col min="15287" max="15540" width="8.83203125" style="52"/>
    <col min="15541" max="15541" width="21.83203125" style="52" customWidth="1"/>
    <col min="15542" max="15542" width="8.83203125" style="52" customWidth="1"/>
    <col min="15543" max="15796" width="8.83203125" style="52"/>
    <col min="15797" max="15797" width="21.83203125" style="52" customWidth="1"/>
    <col min="15798" max="15798" width="8.83203125" style="52" customWidth="1"/>
    <col min="15799" max="16052" width="8.83203125" style="52"/>
    <col min="16053" max="16053" width="21.83203125" style="52" customWidth="1"/>
    <col min="16054" max="16054" width="8.83203125" style="52" customWidth="1"/>
    <col min="16055" max="16384" width="8.83203125" style="52"/>
  </cols>
  <sheetData>
    <row r="1" spans="2:87">
      <c r="J1" s="52">
        <f>750/900</f>
        <v>0.83333333333333337</v>
      </c>
      <c r="K1" s="52">
        <f>0.9*12</f>
        <v>10.8</v>
      </c>
    </row>
    <row r="2" spans="2:87" ht="16" thickBot="1">
      <c r="B2" s="52" t="s">
        <v>118</v>
      </c>
      <c r="C2" s="69" t="e">
        <f>#REF!</f>
        <v>#REF!</v>
      </c>
    </row>
    <row r="3" spans="2:87" ht="16" thickBot="1">
      <c r="B3" s="53" t="s">
        <v>108</v>
      </c>
      <c r="C3" s="54">
        <v>0</v>
      </c>
      <c r="D3" s="54">
        <v>1</v>
      </c>
      <c r="E3" s="54">
        <f t="shared" ref="E3:AS3" si="0">D3+1</f>
        <v>2</v>
      </c>
      <c r="F3" s="54">
        <f t="shared" si="0"/>
        <v>3</v>
      </c>
      <c r="G3" s="54">
        <f t="shared" si="0"/>
        <v>4</v>
      </c>
      <c r="H3" s="54">
        <f t="shared" si="0"/>
        <v>5</v>
      </c>
      <c r="I3" s="54">
        <f t="shared" si="0"/>
        <v>6</v>
      </c>
      <c r="J3" s="54">
        <f t="shared" si="0"/>
        <v>7</v>
      </c>
      <c r="K3" s="54">
        <f t="shared" si="0"/>
        <v>8</v>
      </c>
      <c r="L3" s="54">
        <f t="shared" si="0"/>
        <v>9</v>
      </c>
      <c r="M3" s="54">
        <f t="shared" si="0"/>
        <v>10</v>
      </c>
      <c r="N3" s="54">
        <f t="shared" si="0"/>
        <v>11</v>
      </c>
      <c r="O3" s="54">
        <f t="shared" si="0"/>
        <v>12</v>
      </c>
      <c r="P3" s="54">
        <f t="shared" si="0"/>
        <v>13</v>
      </c>
      <c r="Q3" s="54">
        <f t="shared" si="0"/>
        <v>14</v>
      </c>
      <c r="R3" s="54">
        <f t="shared" si="0"/>
        <v>15</v>
      </c>
      <c r="S3" s="54">
        <f t="shared" si="0"/>
        <v>16</v>
      </c>
      <c r="T3" s="54">
        <f t="shared" si="0"/>
        <v>17</v>
      </c>
      <c r="U3" s="54">
        <f t="shared" si="0"/>
        <v>18</v>
      </c>
      <c r="V3" s="54">
        <f t="shared" si="0"/>
        <v>19</v>
      </c>
      <c r="W3" s="54">
        <f t="shared" si="0"/>
        <v>20</v>
      </c>
      <c r="X3" s="54">
        <f t="shared" si="0"/>
        <v>21</v>
      </c>
      <c r="Y3" s="54">
        <f t="shared" si="0"/>
        <v>22</v>
      </c>
      <c r="Z3" s="54">
        <f t="shared" si="0"/>
        <v>23</v>
      </c>
      <c r="AA3" s="55">
        <f t="shared" si="0"/>
        <v>24</v>
      </c>
      <c r="AB3" s="55">
        <f t="shared" si="0"/>
        <v>25</v>
      </c>
      <c r="AC3" s="55">
        <f t="shared" si="0"/>
        <v>26</v>
      </c>
      <c r="AD3" s="55">
        <f t="shared" si="0"/>
        <v>27</v>
      </c>
      <c r="AE3" s="55">
        <f t="shared" si="0"/>
        <v>28</v>
      </c>
      <c r="AF3" s="55">
        <f t="shared" si="0"/>
        <v>29</v>
      </c>
      <c r="AG3" s="55">
        <f t="shared" si="0"/>
        <v>30</v>
      </c>
      <c r="AH3" s="55">
        <f t="shared" si="0"/>
        <v>31</v>
      </c>
      <c r="AI3" s="55">
        <f t="shared" si="0"/>
        <v>32</v>
      </c>
      <c r="AJ3" s="55">
        <f t="shared" si="0"/>
        <v>33</v>
      </c>
      <c r="AK3" s="55">
        <f t="shared" si="0"/>
        <v>34</v>
      </c>
      <c r="AL3" s="55">
        <f t="shared" si="0"/>
        <v>35</v>
      </c>
      <c r="AM3" s="55">
        <f t="shared" si="0"/>
        <v>36</v>
      </c>
      <c r="AN3" s="55">
        <f t="shared" si="0"/>
        <v>37</v>
      </c>
      <c r="AO3" s="55">
        <f t="shared" si="0"/>
        <v>38</v>
      </c>
      <c r="AP3" s="55">
        <f t="shared" si="0"/>
        <v>39</v>
      </c>
      <c r="AQ3" s="55">
        <f t="shared" si="0"/>
        <v>40</v>
      </c>
      <c r="AR3" s="55">
        <f t="shared" si="0"/>
        <v>41</v>
      </c>
      <c r="AS3" s="55">
        <f t="shared" si="0"/>
        <v>42</v>
      </c>
      <c r="AT3" s="55">
        <f t="shared" ref="AT3:CI3" si="1">AS3+1</f>
        <v>43</v>
      </c>
      <c r="AU3" s="55">
        <f t="shared" si="1"/>
        <v>44</v>
      </c>
      <c r="AV3" s="55">
        <f t="shared" si="1"/>
        <v>45</v>
      </c>
      <c r="AW3" s="55">
        <f t="shared" si="1"/>
        <v>46</v>
      </c>
      <c r="AX3" s="55">
        <f t="shared" si="1"/>
        <v>47</v>
      </c>
      <c r="AY3" s="55">
        <f t="shared" si="1"/>
        <v>48</v>
      </c>
      <c r="AZ3" s="55">
        <f t="shared" si="1"/>
        <v>49</v>
      </c>
      <c r="BA3" s="55">
        <f t="shared" si="1"/>
        <v>50</v>
      </c>
      <c r="BB3" s="55">
        <f t="shared" si="1"/>
        <v>51</v>
      </c>
      <c r="BC3" s="55">
        <f t="shared" si="1"/>
        <v>52</v>
      </c>
      <c r="BD3" s="55">
        <f t="shared" si="1"/>
        <v>53</v>
      </c>
      <c r="BE3" s="55">
        <f t="shared" si="1"/>
        <v>54</v>
      </c>
      <c r="BF3" s="55">
        <f t="shared" si="1"/>
        <v>55</v>
      </c>
      <c r="BG3" s="55">
        <f t="shared" si="1"/>
        <v>56</v>
      </c>
      <c r="BH3" s="55">
        <f t="shared" si="1"/>
        <v>57</v>
      </c>
      <c r="BI3" s="55">
        <f t="shared" si="1"/>
        <v>58</v>
      </c>
      <c r="BJ3" s="55">
        <f t="shared" si="1"/>
        <v>59</v>
      </c>
      <c r="BK3" s="55">
        <f t="shared" si="1"/>
        <v>60</v>
      </c>
      <c r="BL3" s="55">
        <f t="shared" si="1"/>
        <v>61</v>
      </c>
      <c r="BM3" s="55">
        <f t="shared" si="1"/>
        <v>62</v>
      </c>
      <c r="BN3" s="55">
        <f t="shared" si="1"/>
        <v>63</v>
      </c>
      <c r="BO3" s="55">
        <f t="shared" si="1"/>
        <v>64</v>
      </c>
      <c r="BP3" s="55">
        <f t="shared" si="1"/>
        <v>65</v>
      </c>
      <c r="BQ3" s="55">
        <f t="shared" si="1"/>
        <v>66</v>
      </c>
      <c r="BR3" s="55">
        <f t="shared" si="1"/>
        <v>67</v>
      </c>
      <c r="BS3" s="55">
        <f t="shared" si="1"/>
        <v>68</v>
      </c>
      <c r="BT3" s="55">
        <f t="shared" si="1"/>
        <v>69</v>
      </c>
      <c r="BU3" s="55">
        <f t="shared" si="1"/>
        <v>70</v>
      </c>
      <c r="BV3" s="55">
        <f t="shared" si="1"/>
        <v>71</v>
      </c>
      <c r="BW3" s="55">
        <f t="shared" si="1"/>
        <v>72</v>
      </c>
      <c r="BX3" s="55">
        <f t="shared" si="1"/>
        <v>73</v>
      </c>
      <c r="BY3" s="55">
        <f t="shared" si="1"/>
        <v>74</v>
      </c>
      <c r="BZ3" s="55">
        <f t="shared" si="1"/>
        <v>75</v>
      </c>
      <c r="CA3" s="55">
        <f t="shared" si="1"/>
        <v>76</v>
      </c>
      <c r="CB3" s="55">
        <f t="shared" si="1"/>
        <v>77</v>
      </c>
      <c r="CC3" s="55">
        <f t="shared" si="1"/>
        <v>78</v>
      </c>
      <c r="CD3" s="55">
        <f t="shared" si="1"/>
        <v>79</v>
      </c>
      <c r="CE3" s="55">
        <f t="shared" si="1"/>
        <v>80</v>
      </c>
      <c r="CF3" s="55">
        <f t="shared" si="1"/>
        <v>81</v>
      </c>
      <c r="CG3" s="55">
        <f t="shared" si="1"/>
        <v>82</v>
      </c>
      <c r="CH3" s="55">
        <f t="shared" si="1"/>
        <v>83</v>
      </c>
      <c r="CI3" s="55">
        <f t="shared" si="1"/>
        <v>84</v>
      </c>
    </row>
    <row r="4" spans="2:87">
      <c r="B4" s="71" t="s">
        <v>152</v>
      </c>
      <c r="C4" s="52">
        <v>0</v>
      </c>
      <c r="D4" s="58" t="e">
        <f>SUM($D18:D18)</f>
        <v>#REF!</v>
      </c>
      <c r="E4" s="58" t="e">
        <f>SUM($D18:E18)</f>
        <v>#REF!</v>
      </c>
      <c r="F4" s="58" t="e">
        <f>SUM($D18:F18)</f>
        <v>#REF!</v>
      </c>
      <c r="G4" s="58" t="e">
        <f>SUM($D18:G18)</f>
        <v>#REF!</v>
      </c>
      <c r="H4" s="58" t="e">
        <f>SUM($D18:H18)</f>
        <v>#REF!</v>
      </c>
      <c r="I4" s="58" t="e">
        <f>SUM($D18:I18)</f>
        <v>#REF!</v>
      </c>
      <c r="J4" s="58" t="e">
        <f>SUM($D18:J18)</f>
        <v>#REF!</v>
      </c>
      <c r="K4" s="58" t="e">
        <f>SUM($D18:K18)</f>
        <v>#REF!</v>
      </c>
      <c r="L4" s="58" t="e">
        <f>SUM($D18:L18)</f>
        <v>#REF!</v>
      </c>
      <c r="M4" s="58" t="e">
        <f>SUM($D18:M18)</f>
        <v>#REF!</v>
      </c>
      <c r="N4" s="58" t="e">
        <f>SUM($D18:N18)</f>
        <v>#REF!</v>
      </c>
      <c r="O4" s="58" t="e">
        <f t="shared" ref="O4:X4" si="2">SUM(D18:O18)</f>
        <v>#REF!</v>
      </c>
      <c r="P4" s="58">
        <f t="shared" si="2"/>
        <v>0</v>
      </c>
      <c r="Q4" s="58">
        <f t="shared" si="2"/>
        <v>0</v>
      </c>
      <c r="R4" s="58">
        <f t="shared" si="2"/>
        <v>0</v>
      </c>
      <c r="S4" s="58">
        <f t="shared" si="2"/>
        <v>0</v>
      </c>
      <c r="T4" s="58">
        <f t="shared" si="2"/>
        <v>0</v>
      </c>
      <c r="U4" s="58">
        <f t="shared" si="2"/>
        <v>0</v>
      </c>
      <c r="V4" s="58">
        <f t="shared" si="2"/>
        <v>0</v>
      </c>
      <c r="W4" s="58">
        <f t="shared" si="2"/>
        <v>0</v>
      </c>
      <c r="X4" s="58">
        <f t="shared" si="2"/>
        <v>0</v>
      </c>
      <c r="Y4" s="58">
        <f t="shared" ref="Y4:BD4" si="3">SUM(N18:Y18)</f>
        <v>0</v>
      </c>
      <c r="Z4" s="58">
        <f t="shared" si="3"/>
        <v>0</v>
      </c>
      <c r="AA4" s="58">
        <f t="shared" si="3"/>
        <v>0</v>
      </c>
      <c r="AB4" s="58">
        <f t="shared" si="3"/>
        <v>0</v>
      </c>
      <c r="AC4" s="58">
        <f t="shared" si="3"/>
        <v>0</v>
      </c>
      <c r="AD4" s="58">
        <f t="shared" si="3"/>
        <v>0</v>
      </c>
      <c r="AE4" s="58">
        <f t="shared" si="3"/>
        <v>0</v>
      </c>
      <c r="AF4" s="58">
        <f t="shared" si="3"/>
        <v>0</v>
      </c>
      <c r="AG4" s="58">
        <f t="shared" si="3"/>
        <v>0</v>
      </c>
      <c r="AH4" s="58">
        <f t="shared" si="3"/>
        <v>0</v>
      </c>
      <c r="AI4" s="58">
        <f t="shared" si="3"/>
        <v>0</v>
      </c>
      <c r="AJ4" s="58">
        <f t="shared" si="3"/>
        <v>0</v>
      </c>
      <c r="AK4" s="58">
        <f t="shared" si="3"/>
        <v>0</v>
      </c>
      <c r="AL4" s="58">
        <f t="shared" si="3"/>
        <v>0</v>
      </c>
      <c r="AM4" s="58">
        <f t="shared" si="3"/>
        <v>0</v>
      </c>
      <c r="AN4" s="58">
        <f t="shared" si="3"/>
        <v>0</v>
      </c>
      <c r="AO4" s="58">
        <f t="shared" si="3"/>
        <v>0</v>
      </c>
      <c r="AP4" s="58">
        <f t="shared" si="3"/>
        <v>0</v>
      </c>
      <c r="AQ4" s="58">
        <f t="shared" si="3"/>
        <v>0</v>
      </c>
      <c r="AR4" s="58">
        <f t="shared" si="3"/>
        <v>0</v>
      </c>
      <c r="AS4" s="58">
        <f t="shared" si="3"/>
        <v>0</v>
      </c>
      <c r="AT4" s="58">
        <f t="shared" si="3"/>
        <v>0</v>
      </c>
      <c r="AU4" s="58">
        <f t="shared" si="3"/>
        <v>0</v>
      </c>
      <c r="AV4" s="58">
        <f t="shared" si="3"/>
        <v>0</v>
      </c>
      <c r="AW4" s="58">
        <f t="shared" si="3"/>
        <v>0</v>
      </c>
      <c r="AX4" s="58">
        <f t="shared" si="3"/>
        <v>0</v>
      </c>
      <c r="AY4" s="58">
        <f t="shared" si="3"/>
        <v>0</v>
      </c>
      <c r="AZ4" s="58">
        <f t="shared" si="3"/>
        <v>0</v>
      </c>
      <c r="BA4" s="58">
        <f t="shared" si="3"/>
        <v>0</v>
      </c>
      <c r="BB4" s="58">
        <f t="shared" si="3"/>
        <v>0</v>
      </c>
      <c r="BC4" s="58">
        <f t="shared" si="3"/>
        <v>0</v>
      </c>
      <c r="BD4" s="58">
        <f t="shared" si="3"/>
        <v>0</v>
      </c>
      <c r="BE4" s="58">
        <f t="shared" ref="BE4:CI4" si="4">SUM(AT18:BE18)</f>
        <v>0</v>
      </c>
      <c r="BF4" s="58">
        <f t="shared" si="4"/>
        <v>0</v>
      </c>
      <c r="BG4" s="58">
        <f t="shared" si="4"/>
        <v>0</v>
      </c>
      <c r="BH4" s="58">
        <f t="shared" si="4"/>
        <v>0</v>
      </c>
      <c r="BI4" s="58">
        <f t="shared" si="4"/>
        <v>0</v>
      </c>
      <c r="BJ4" s="58">
        <f t="shared" si="4"/>
        <v>0</v>
      </c>
      <c r="BK4" s="58">
        <f t="shared" si="4"/>
        <v>0</v>
      </c>
      <c r="BL4" s="58">
        <f t="shared" si="4"/>
        <v>0</v>
      </c>
      <c r="BM4" s="58">
        <f t="shared" si="4"/>
        <v>0</v>
      </c>
      <c r="BN4" s="58">
        <f t="shared" si="4"/>
        <v>0</v>
      </c>
      <c r="BO4" s="58">
        <f t="shared" si="4"/>
        <v>0</v>
      </c>
      <c r="BP4" s="58">
        <f t="shared" si="4"/>
        <v>0</v>
      </c>
      <c r="BQ4" s="58">
        <f t="shared" si="4"/>
        <v>0</v>
      </c>
      <c r="BR4" s="58">
        <f t="shared" si="4"/>
        <v>0</v>
      </c>
      <c r="BS4" s="58">
        <f t="shared" si="4"/>
        <v>0</v>
      </c>
      <c r="BT4" s="58">
        <f t="shared" si="4"/>
        <v>0</v>
      </c>
      <c r="BU4" s="58">
        <f t="shared" si="4"/>
        <v>0</v>
      </c>
      <c r="BV4" s="58">
        <f t="shared" si="4"/>
        <v>0</v>
      </c>
      <c r="BW4" s="58">
        <f t="shared" si="4"/>
        <v>0</v>
      </c>
      <c r="BX4" s="58">
        <f t="shared" si="4"/>
        <v>0</v>
      </c>
      <c r="BY4" s="58">
        <f t="shared" si="4"/>
        <v>0</v>
      </c>
      <c r="BZ4" s="58">
        <f t="shared" si="4"/>
        <v>0</v>
      </c>
      <c r="CA4" s="58">
        <f t="shared" si="4"/>
        <v>0</v>
      </c>
      <c r="CB4" s="58">
        <f t="shared" si="4"/>
        <v>0</v>
      </c>
      <c r="CC4" s="58">
        <f t="shared" si="4"/>
        <v>0</v>
      </c>
      <c r="CD4" s="58">
        <f t="shared" si="4"/>
        <v>0</v>
      </c>
      <c r="CE4" s="58">
        <f t="shared" si="4"/>
        <v>0</v>
      </c>
      <c r="CF4" s="58">
        <f t="shared" si="4"/>
        <v>0</v>
      </c>
      <c r="CG4" s="58">
        <f t="shared" si="4"/>
        <v>0</v>
      </c>
      <c r="CH4" s="58">
        <f t="shared" si="4"/>
        <v>0</v>
      </c>
      <c r="CI4" s="58">
        <f t="shared" si="4"/>
        <v>0</v>
      </c>
    </row>
    <row r="5" spans="2:87">
      <c r="B5" s="83" t="str">
        <f>B4&amp;" (Cumulative)"</f>
        <v>Purchased Pregnant cows (Cumulative)</v>
      </c>
      <c r="C5" s="52">
        <v>0</v>
      </c>
      <c r="D5" s="58" t="e">
        <f>D4+C5</f>
        <v>#REF!</v>
      </c>
      <c r="E5" s="58" t="e">
        <f t="shared" ref="E5:O5" si="5">E4+D5</f>
        <v>#REF!</v>
      </c>
      <c r="F5" s="58" t="e">
        <f t="shared" si="5"/>
        <v>#REF!</v>
      </c>
      <c r="G5" s="58" t="e">
        <f t="shared" si="5"/>
        <v>#REF!</v>
      </c>
      <c r="H5" s="58" t="e">
        <f t="shared" si="5"/>
        <v>#REF!</v>
      </c>
      <c r="I5" s="58" t="e">
        <f t="shared" si="5"/>
        <v>#REF!</v>
      </c>
      <c r="J5" s="58" t="e">
        <f t="shared" si="5"/>
        <v>#REF!</v>
      </c>
      <c r="K5" s="58" t="e">
        <f t="shared" si="5"/>
        <v>#REF!</v>
      </c>
      <c r="L5" s="58" t="e">
        <f t="shared" si="5"/>
        <v>#REF!</v>
      </c>
      <c r="M5" s="58" t="e">
        <f t="shared" si="5"/>
        <v>#REF!</v>
      </c>
      <c r="N5" s="58" t="e">
        <f t="shared" si="5"/>
        <v>#REF!</v>
      </c>
      <c r="O5" s="58" t="e">
        <f t="shared" si="5"/>
        <v>#REF!</v>
      </c>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row>
    <row r="6" spans="2:87">
      <c r="B6" s="71" t="s">
        <v>154</v>
      </c>
      <c r="C6" s="52">
        <v>0</v>
      </c>
      <c r="D6" s="58">
        <f>SUM($D19:D19)</f>
        <v>0</v>
      </c>
      <c r="E6" s="58">
        <f>SUM($D19:E19)</f>
        <v>0</v>
      </c>
      <c r="F6" s="58">
        <f>SUM($D19:F19)</f>
        <v>0</v>
      </c>
      <c r="G6" s="58">
        <f>SUM($D19:G19)</f>
        <v>0</v>
      </c>
      <c r="H6" s="58">
        <f>SUM($D19:H19)</f>
        <v>0</v>
      </c>
      <c r="I6" s="58">
        <f>SUM($D19:I19)</f>
        <v>0</v>
      </c>
      <c r="J6" s="58">
        <f>SUM($D19:J19)</f>
        <v>0</v>
      </c>
      <c r="K6" s="58">
        <f>SUM($D19:K19)</f>
        <v>0</v>
      </c>
      <c r="L6" s="58">
        <f>SUM($D19:L19)</f>
        <v>0</v>
      </c>
      <c r="M6" s="58">
        <f>SUM($D19:M19)</f>
        <v>0</v>
      </c>
      <c r="N6" s="58">
        <f>SUM($D19:N19)</f>
        <v>0</v>
      </c>
      <c r="O6" s="58">
        <f t="shared" ref="O6:AT6" si="6">SUM(D19:O19)</f>
        <v>0</v>
      </c>
      <c r="P6" s="58">
        <f t="shared" si="6"/>
        <v>0</v>
      </c>
      <c r="Q6" s="58">
        <f t="shared" si="6"/>
        <v>0</v>
      </c>
      <c r="R6" s="58">
        <f t="shared" si="6"/>
        <v>0</v>
      </c>
      <c r="S6" s="58">
        <f t="shared" si="6"/>
        <v>0</v>
      </c>
      <c r="T6" s="58">
        <f t="shared" si="6"/>
        <v>0</v>
      </c>
      <c r="U6" s="58">
        <f t="shared" si="6"/>
        <v>0</v>
      </c>
      <c r="V6" s="58">
        <f t="shared" si="6"/>
        <v>0</v>
      </c>
      <c r="W6" s="58">
        <f t="shared" si="6"/>
        <v>0</v>
      </c>
      <c r="X6" s="58">
        <f t="shared" si="6"/>
        <v>0</v>
      </c>
      <c r="Y6" s="58" t="e">
        <f t="shared" si="6"/>
        <v>#REF!</v>
      </c>
      <c r="Z6" s="58" t="e">
        <f t="shared" si="6"/>
        <v>#REF!</v>
      </c>
      <c r="AA6" s="58" t="e">
        <f t="shared" si="6"/>
        <v>#REF!</v>
      </c>
      <c r="AB6" s="58" t="e">
        <f t="shared" si="6"/>
        <v>#REF!</v>
      </c>
      <c r="AC6" s="58" t="e">
        <f t="shared" si="6"/>
        <v>#REF!</v>
      </c>
      <c r="AD6" s="58" t="e">
        <f t="shared" si="6"/>
        <v>#REF!</v>
      </c>
      <c r="AE6" s="58" t="e">
        <f t="shared" si="6"/>
        <v>#REF!</v>
      </c>
      <c r="AF6" s="58" t="e">
        <f t="shared" si="6"/>
        <v>#REF!</v>
      </c>
      <c r="AG6" s="58" t="e">
        <f t="shared" si="6"/>
        <v>#REF!</v>
      </c>
      <c r="AH6" s="58" t="e">
        <f t="shared" si="6"/>
        <v>#REF!</v>
      </c>
      <c r="AI6" s="58" t="e">
        <f t="shared" si="6"/>
        <v>#REF!</v>
      </c>
      <c r="AJ6" s="58" t="e">
        <f t="shared" si="6"/>
        <v>#REF!</v>
      </c>
      <c r="AK6" s="58" t="e">
        <f t="shared" si="6"/>
        <v>#REF!</v>
      </c>
      <c r="AL6" s="58" t="e">
        <f t="shared" si="6"/>
        <v>#REF!</v>
      </c>
      <c r="AM6" s="58" t="e">
        <f t="shared" si="6"/>
        <v>#REF!</v>
      </c>
      <c r="AN6" s="58" t="e">
        <f t="shared" si="6"/>
        <v>#REF!</v>
      </c>
      <c r="AO6" s="58" t="e">
        <f t="shared" si="6"/>
        <v>#REF!</v>
      </c>
      <c r="AP6" s="58" t="e">
        <f t="shared" si="6"/>
        <v>#REF!</v>
      </c>
      <c r="AQ6" s="58" t="e">
        <f t="shared" si="6"/>
        <v>#REF!</v>
      </c>
      <c r="AR6" s="58" t="e">
        <f t="shared" si="6"/>
        <v>#REF!</v>
      </c>
      <c r="AS6" s="58" t="e">
        <f t="shared" si="6"/>
        <v>#REF!</v>
      </c>
      <c r="AT6" s="58" t="e">
        <f t="shared" si="6"/>
        <v>#REF!</v>
      </c>
      <c r="AU6" s="58" t="e">
        <f t="shared" ref="AU6:BZ6" si="7">SUM(AJ19:AU19)</f>
        <v>#REF!</v>
      </c>
      <c r="AV6" s="58" t="e">
        <f t="shared" si="7"/>
        <v>#REF!</v>
      </c>
      <c r="AW6" s="58" t="e">
        <f t="shared" si="7"/>
        <v>#REF!</v>
      </c>
      <c r="AX6" s="58" t="e">
        <f t="shared" si="7"/>
        <v>#REF!</v>
      </c>
      <c r="AY6" s="58" t="e">
        <f t="shared" si="7"/>
        <v>#REF!</v>
      </c>
      <c r="AZ6" s="58" t="e">
        <f t="shared" si="7"/>
        <v>#REF!</v>
      </c>
      <c r="BA6" s="58" t="e">
        <f t="shared" si="7"/>
        <v>#REF!</v>
      </c>
      <c r="BB6" s="58" t="e">
        <f t="shared" si="7"/>
        <v>#REF!</v>
      </c>
      <c r="BC6" s="58" t="e">
        <f t="shared" si="7"/>
        <v>#REF!</v>
      </c>
      <c r="BD6" s="58" t="e">
        <f t="shared" si="7"/>
        <v>#REF!</v>
      </c>
      <c r="BE6" s="58" t="e">
        <f t="shared" si="7"/>
        <v>#REF!</v>
      </c>
      <c r="BF6" s="58" t="e">
        <f t="shared" si="7"/>
        <v>#REF!</v>
      </c>
      <c r="BG6" s="58" t="e">
        <f t="shared" si="7"/>
        <v>#REF!</v>
      </c>
      <c r="BH6" s="58" t="e">
        <f t="shared" si="7"/>
        <v>#REF!</v>
      </c>
      <c r="BI6" s="58" t="e">
        <f t="shared" si="7"/>
        <v>#REF!</v>
      </c>
      <c r="BJ6" s="58" t="e">
        <f t="shared" si="7"/>
        <v>#REF!</v>
      </c>
      <c r="BK6" s="58" t="e">
        <f t="shared" si="7"/>
        <v>#REF!</v>
      </c>
      <c r="BL6" s="58" t="e">
        <f t="shared" si="7"/>
        <v>#REF!</v>
      </c>
      <c r="BM6" s="58" t="e">
        <f t="shared" si="7"/>
        <v>#REF!</v>
      </c>
      <c r="BN6" s="58" t="e">
        <f t="shared" si="7"/>
        <v>#REF!</v>
      </c>
      <c r="BO6" s="58" t="e">
        <f t="shared" si="7"/>
        <v>#REF!</v>
      </c>
      <c r="BP6" s="58" t="e">
        <f t="shared" si="7"/>
        <v>#REF!</v>
      </c>
      <c r="BQ6" s="58" t="e">
        <f t="shared" si="7"/>
        <v>#REF!</v>
      </c>
      <c r="BR6" s="58" t="e">
        <f t="shared" si="7"/>
        <v>#REF!</v>
      </c>
      <c r="BS6" s="58" t="e">
        <f t="shared" si="7"/>
        <v>#REF!</v>
      </c>
      <c r="BT6" s="58" t="e">
        <f t="shared" si="7"/>
        <v>#REF!</v>
      </c>
      <c r="BU6" s="58" t="e">
        <f t="shared" si="7"/>
        <v>#REF!</v>
      </c>
      <c r="BV6" s="58" t="e">
        <f t="shared" si="7"/>
        <v>#REF!</v>
      </c>
      <c r="BW6" s="58" t="e">
        <f t="shared" si="7"/>
        <v>#REF!</v>
      </c>
      <c r="BX6" s="58" t="e">
        <f t="shared" si="7"/>
        <v>#REF!</v>
      </c>
      <c r="BY6" s="58" t="e">
        <f t="shared" si="7"/>
        <v>#REF!</v>
      </c>
      <c r="BZ6" s="58" t="e">
        <f t="shared" si="7"/>
        <v>#REF!</v>
      </c>
      <c r="CA6" s="58" t="e">
        <f t="shared" ref="CA6:CI6" si="8">SUM(BP19:CA19)</f>
        <v>#REF!</v>
      </c>
      <c r="CB6" s="58" t="e">
        <f t="shared" si="8"/>
        <v>#REF!</v>
      </c>
      <c r="CC6" s="58" t="e">
        <f t="shared" si="8"/>
        <v>#REF!</v>
      </c>
      <c r="CD6" s="58" t="e">
        <f t="shared" si="8"/>
        <v>#REF!</v>
      </c>
      <c r="CE6" s="58" t="e">
        <f t="shared" si="8"/>
        <v>#REF!</v>
      </c>
      <c r="CF6" s="58" t="e">
        <f t="shared" si="8"/>
        <v>#REF!</v>
      </c>
      <c r="CG6" s="58">
        <f t="shared" si="8"/>
        <v>0</v>
      </c>
      <c r="CH6" s="58">
        <f t="shared" si="8"/>
        <v>0</v>
      </c>
      <c r="CI6" s="58">
        <f t="shared" si="8"/>
        <v>0</v>
      </c>
    </row>
    <row r="7" spans="2:87">
      <c r="B7" s="83" t="str">
        <f>B6&amp;" (Cumulative)"</f>
        <v>Sold Heifes (Cumulative)</v>
      </c>
      <c r="C7" s="52">
        <v>0</v>
      </c>
      <c r="D7" s="58">
        <f t="shared" ref="D7:AI7" si="9">D6+C7</f>
        <v>0</v>
      </c>
      <c r="E7" s="58">
        <f t="shared" si="9"/>
        <v>0</v>
      </c>
      <c r="F7" s="58">
        <f t="shared" si="9"/>
        <v>0</v>
      </c>
      <c r="G7" s="58">
        <f t="shared" si="9"/>
        <v>0</v>
      </c>
      <c r="H7" s="58">
        <f t="shared" si="9"/>
        <v>0</v>
      </c>
      <c r="I7" s="58">
        <f t="shared" si="9"/>
        <v>0</v>
      </c>
      <c r="J7" s="58">
        <f t="shared" si="9"/>
        <v>0</v>
      </c>
      <c r="K7" s="58">
        <f t="shared" si="9"/>
        <v>0</v>
      </c>
      <c r="L7" s="58">
        <f t="shared" si="9"/>
        <v>0</v>
      </c>
      <c r="M7" s="58">
        <f t="shared" si="9"/>
        <v>0</v>
      </c>
      <c r="N7" s="58">
        <f t="shared" si="9"/>
        <v>0</v>
      </c>
      <c r="O7" s="58">
        <f t="shared" si="9"/>
        <v>0</v>
      </c>
      <c r="P7" s="58">
        <f t="shared" si="9"/>
        <v>0</v>
      </c>
      <c r="Q7" s="58">
        <f t="shared" si="9"/>
        <v>0</v>
      </c>
      <c r="R7" s="58">
        <f t="shared" si="9"/>
        <v>0</v>
      </c>
      <c r="S7" s="58">
        <f t="shared" si="9"/>
        <v>0</v>
      </c>
      <c r="T7" s="58">
        <f t="shared" si="9"/>
        <v>0</v>
      </c>
      <c r="U7" s="58">
        <f t="shared" si="9"/>
        <v>0</v>
      </c>
      <c r="V7" s="58">
        <f t="shared" si="9"/>
        <v>0</v>
      </c>
      <c r="W7" s="58">
        <f t="shared" si="9"/>
        <v>0</v>
      </c>
      <c r="X7" s="58">
        <f t="shared" si="9"/>
        <v>0</v>
      </c>
      <c r="Y7" s="58" t="e">
        <f t="shared" si="9"/>
        <v>#REF!</v>
      </c>
      <c r="Z7" s="58" t="e">
        <f t="shared" si="9"/>
        <v>#REF!</v>
      </c>
      <c r="AA7" s="58" t="e">
        <f t="shared" si="9"/>
        <v>#REF!</v>
      </c>
      <c r="AB7" s="58" t="e">
        <f t="shared" si="9"/>
        <v>#REF!</v>
      </c>
      <c r="AC7" s="58" t="e">
        <f t="shared" si="9"/>
        <v>#REF!</v>
      </c>
      <c r="AD7" s="58" t="e">
        <f t="shared" si="9"/>
        <v>#REF!</v>
      </c>
      <c r="AE7" s="58" t="e">
        <f t="shared" si="9"/>
        <v>#REF!</v>
      </c>
      <c r="AF7" s="58" t="e">
        <f t="shared" si="9"/>
        <v>#REF!</v>
      </c>
      <c r="AG7" s="58" t="e">
        <f t="shared" si="9"/>
        <v>#REF!</v>
      </c>
      <c r="AH7" s="58" t="e">
        <f t="shared" si="9"/>
        <v>#REF!</v>
      </c>
      <c r="AI7" s="58" t="e">
        <f t="shared" si="9"/>
        <v>#REF!</v>
      </c>
      <c r="AJ7" s="58" t="e">
        <f t="shared" ref="AJ7:BO7" si="10">AJ6+AI7</f>
        <v>#REF!</v>
      </c>
      <c r="AK7" s="58" t="e">
        <f t="shared" si="10"/>
        <v>#REF!</v>
      </c>
      <c r="AL7" s="58" t="e">
        <f t="shared" si="10"/>
        <v>#REF!</v>
      </c>
      <c r="AM7" s="58" t="e">
        <f t="shared" si="10"/>
        <v>#REF!</v>
      </c>
      <c r="AN7" s="58" t="e">
        <f t="shared" si="10"/>
        <v>#REF!</v>
      </c>
      <c r="AO7" s="58" t="e">
        <f t="shared" si="10"/>
        <v>#REF!</v>
      </c>
      <c r="AP7" s="58" t="e">
        <f t="shared" si="10"/>
        <v>#REF!</v>
      </c>
      <c r="AQ7" s="58" t="e">
        <f t="shared" si="10"/>
        <v>#REF!</v>
      </c>
      <c r="AR7" s="58" t="e">
        <f t="shared" si="10"/>
        <v>#REF!</v>
      </c>
      <c r="AS7" s="58" t="e">
        <f t="shared" si="10"/>
        <v>#REF!</v>
      </c>
      <c r="AT7" s="58" t="e">
        <f t="shared" si="10"/>
        <v>#REF!</v>
      </c>
      <c r="AU7" s="58" t="e">
        <f t="shared" si="10"/>
        <v>#REF!</v>
      </c>
      <c r="AV7" s="58" t="e">
        <f t="shared" si="10"/>
        <v>#REF!</v>
      </c>
      <c r="AW7" s="58" t="e">
        <f t="shared" si="10"/>
        <v>#REF!</v>
      </c>
      <c r="AX7" s="58" t="e">
        <f t="shared" si="10"/>
        <v>#REF!</v>
      </c>
      <c r="AY7" s="58" t="e">
        <f t="shared" si="10"/>
        <v>#REF!</v>
      </c>
      <c r="AZ7" s="58" t="e">
        <f t="shared" si="10"/>
        <v>#REF!</v>
      </c>
      <c r="BA7" s="58" t="e">
        <f t="shared" si="10"/>
        <v>#REF!</v>
      </c>
      <c r="BB7" s="58" t="e">
        <f t="shared" si="10"/>
        <v>#REF!</v>
      </c>
      <c r="BC7" s="58" t="e">
        <f t="shared" si="10"/>
        <v>#REF!</v>
      </c>
      <c r="BD7" s="58" t="e">
        <f t="shared" si="10"/>
        <v>#REF!</v>
      </c>
      <c r="BE7" s="58" t="e">
        <f t="shared" si="10"/>
        <v>#REF!</v>
      </c>
      <c r="BF7" s="58" t="e">
        <f t="shared" si="10"/>
        <v>#REF!</v>
      </c>
      <c r="BG7" s="58" t="e">
        <f t="shared" si="10"/>
        <v>#REF!</v>
      </c>
      <c r="BH7" s="58" t="e">
        <f t="shared" si="10"/>
        <v>#REF!</v>
      </c>
      <c r="BI7" s="58" t="e">
        <f t="shared" si="10"/>
        <v>#REF!</v>
      </c>
      <c r="BJ7" s="58" t="e">
        <f t="shared" si="10"/>
        <v>#REF!</v>
      </c>
      <c r="BK7" s="58" t="e">
        <f t="shared" si="10"/>
        <v>#REF!</v>
      </c>
      <c r="BL7" s="58" t="e">
        <f t="shared" si="10"/>
        <v>#REF!</v>
      </c>
      <c r="BM7" s="58" t="e">
        <f t="shared" si="10"/>
        <v>#REF!</v>
      </c>
      <c r="BN7" s="58" t="e">
        <f t="shared" si="10"/>
        <v>#REF!</v>
      </c>
      <c r="BO7" s="58" t="e">
        <f t="shared" si="10"/>
        <v>#REF!</v>
      </c>
      <c r="BP7" s="58" t="e">
        <f t="shared" ref="BP7:CI7" si="11">BP6+BO7</f>
        <v>#REF!</v>
      </c>
      <c r="BQ7" s="58" t="e">
        <f t="shared" si="11"/>
        <v>#REF!</v>
      </c>
      <c r="BR7" s="58" t="e">
        <f t="shared" si="11"/>
        <v>#REF!</v>
      </c>
      <c r="BS7" s="58" t="e">
        <f t="shared" si="11"/>
        <v>#REF!</v>
      </c>
      <c r="BT7" s="58" t="e">
        <f t="shared" si="11"/>
        <v>#REF!</v>
      </c>
      <c r="BU7" s="58" t="e">
        <f t="shared" si="11"/>
        <v>#REF!</v>
      </c>
      <c r="BV7" s="58" t="e">
        <f t="shared" si="11"/>
        <v>#REF!</v>
      </c>
      <c r="BW7" s="58" t="e">
        <f t="shared" si="11"/>
        <v>#REF!</v>
      </c>
      <c r="BX7" s="58" t="e">
        <f t="shared" si="11"/>
        <v>#REF!</v>
      </c>
      <c r="BY7" s="58" t="e">
        <f t="shared" si="11"/>
        <v>#REF!</v>
      </c>
      <c r="BZ7" s="58" t="e">
        <f t="shared" si="11"/>
        <v>#REF!</v>
      </c>
      <c r="CA7" s="58" t="e">
        <f t="shared" si="11"/>
        <v>#REF!</v>
      </c>
      <c r="CB7" s="58" t="e">
        <f t="shared" si="11"/>
        <v>#REF!</v>
      </c>
      <c r="CC7" s="58" t="e">
        <f t="shared" si="11"/>
        <v>#REF!</v>
      </c>
      <c r="CD7" s="58" t="e">
        <f t="shared" si="11"/>
        <v>#REF!</v>
      </c>
      <c r="CE7" s="58" t="e">
        <f t="shared" si="11"/>
        <v>#REF!</v>
      </c>
      <c r="CF7" s="58" t="e">
        <f t="shared" si="11"/>
        <v>#REF!</v>
      </c>
      <c r="CG7" s="58" t="e">
        <f t="shared" si="11"/>
        <v>#REF!</v>
      </c>
      <c r="CH7" s="58" t="e">
        <f t="shared" si="11"/>
        <v>#REF!</v>
      </c>
      <c r="CI7" s="58" t="e">
        <f t="shared" si="11"/>
        <v>#REF!</v>
      </c>
    </row>
    <row r="8" spans="2:87">
      <c r="B8" s="71" t="s">
        <v>130</v>
      </c>
      <c r="C8" s="52">
        <v>0</v>
      </c>
      <c r="D8" s="58">
        <f>SUM($D20:D20)</f>
        <v>0</v>
      </c>
      <c r="E8" s="58">
        <f>SUM($D20:E20)</f>
        <v>0</v>
      </c>
      <c r="F8" s="58">
        <f>SUM($D20:F20)</f>
        <v>0</v>
      </c>
      <c r="G8" s="58">
        <f>SUM($D20:G20)</f>
        <v>0</v>
      </c>
      <c r="H8" s="58">
        <f>SUM($D20:H20)</f>
        <v>0</v>
      </c>
      <c r="I8" s="58" t="e">
        <f>SUM($D20:I20)</f>
        <v>#REF!</v>
      </c>
      <c r="J8" s="58" t="e">
        <f>SUM($D20:J20)</f>
        <v>#REF!</v>
      </c>
      <c r="K8" s="58" t="e">
        <f>SUM($D20:K20)</f>
        <v>#REF!</v>
      </c>
      <c r="L8" s="58" t="e">
        <f>SUM($D20:L20)</f>
        <v>#REF!</v>
      </c>
      <c r="M8" s="58" t="e">
        <f>SUM($D20:M20)</f>
        <v>#REF!</v>
      </c>
      <c r="N8" s="58" t="e">
        <f>SUM($D20:N20)</f>
        <v>#REF!</v>
      </c>
      <c r="O8" s="58" t="e">
        <f t="shared" ref="O8:X10" si="12">SUM(D20:O20)</f>
        <v>#REF!</v>
      </c>
      <c r="P8" s="58" t="e">
        <f t="shared" si="12"/>
        <v>#REF!</v>
      </c>
      <c r="Q8" s="58" t="e">
        <f t="shared" si="12"/>
        <v>#REF!</v>
      </c>
      <c r="R8" s="58" t="e">
        <f t="shared" si="12"/>
        <v>#REF!</v>
      </c>
      <c r="S8" s="58" t="e">
        <f t="shared" si="12"/>
        <v>#REF!</v>
      </c>
      <c r="T8" s="58" t="e">
        <f t="shared" si="12"/>
        <v>#REF!</v>
      </c>
      <c r="U8" s="58" t="e">
        <f t="shared" si="12"/>
        <v>#REF!</v>
      </c>
      <c r="V8" s="58" t="e">
        <f t="shared" si="12"/>
        <v>#REF!</v>
      </c>
      <c r="W8" s="58" t="e">
        <f t="shared" si="12"/>
        <v>#REF!</v>
      </c>
      <c r="X8" s="58" t="e">
        <f t="shared" si="12"/>
        <v>#REF!</v>
      </c>
      <c r="Y8" s="58" t="e">
        <f t="shared" ref="Y8:AH10" si="13">SUM(N20:Y20)</f>
        <v>#REF!</v>
      </c>
      <c r="Z8" s="58" t="e">
        <f t="shared" si="13"/>
        <v>#REF!</v>
      </c>
      <c r="AA8" s="58" t="e">
        <f t="shared" si="13"/>
        <v>#REF!</v>
      </c>
      <c r="AB8" s="58" t="e">
        <f t="shared" si="13"/>
        <v>#REF!</v>
      </c>
      <c r="AC8" s="58" t="e">
        <f t="shared" si="13"/>
        <v>#REF!</v>
      </c>
      <c r="AD8" s="58" t="e">
        <f t="shared" si="13"/>
        <v>#REF!</v>
      </c>
      <c r="AE8" s="58" t="e">
        <f t="shared" si="13"/>
        <v>#REF!</v>
      </c>
      <c r="AF8" s="58" t="e">
        <f t="shared" si="13"/>
        <v>#REF!</v>
      </c>
      <c r="AG8" s="58" t="e">
        <f t="shared" si="13"/>
        <v>#REF!</v>
      </c>
      <c r="AH8" s="58" t="e">
        <f t="shared" si="13"/>
        <v>#REF!</v>
      </c>
      <c r="AI8" s="58" t="e">
        <f t="shared" ref="AI8:AR10" si="14">SUM(X20:AI20)</f>
        <v>#REF!</v>
      </c>
      <c r="AJ8" s="58" t="e">
        <f t="shared" si="14"/>
        <v>#REF!</v>
      </c>
      <c r="AK8" s="58" t="e">
        <f t="shared" si="14"/>
        <v>#REF!</v>
      </c>
      <c r="AL8" s="58" t="e">
        <f t="shared" si="14"/>
        <v>#REF!</v>
      </c>
      <c r="AM8" s="58" t="e">
        <f t="shared" si="14"/>
        <v>#REF!</v>
      </c>
      <c r="AN8" s="58" t="e">
        <f t="shared" si="14"/>
        <v>#REF!</v>
      </c>
      <c r="AO8" s="58" t="e">
        <f t="shared" si="14"/>
        <v>#REF!</v>
      </c>
      <c r="AP8" s="58" t="e">
        <f t="shared" si="14"/>
        <v>#REF!</v>
      </c>
      <c r="AQ8" s="58" t="e">
        <f t="shared" si="14"/>
        <v>#REF!</v>
      </c>
      <c r="AR8" s="58" t="e">
        <f t="shared" si="14"/>
        <v>#REF!</v>
      </c>
      <c r="AS8" s="58" t="e">
        <f t="shared" ref="AS8:BB10" si="15">SUM(AH20:AS20)</f>
        <v>#REF!</v>
      </c>
      <c r="AT8" s="58" t="e">
        <f t="shared" si="15"/>
        <v>#REF!</v>
      </c>
      <c r="AU8" s="58" t="e">
        <f t="shared" si="15"/>
        <v>#REF!</v>
      </c>
      <c r="AV8" s="58" t="e">
        <f t="shared" si="15"/>
        <v>#REF!</v>
      </c>
      <c r="AW8" s="58" t="e">
        <f t="shared" si="15"/>
        <v>#REF!</v>
      </c>
      <c r="AX8" s="58" t="e">
        <f t="shared" si="15"/>
        <v>#REF!</v>
      </c>
      <c r="AY8" s="58" t="e">
        <f t="shared" si="15"/>
        <v>#REF!</v>
      </c>
      <c r="AZ8" s="58" t="e">
        <f t="shared" si="15"/>
        <v>#REF!</v>
      </c>
      <c r="BA8" s="58" t="e">
        <f t="shared" si="15"/>
        <v>#REF!</v>
      </c>
      <c r="BB8" s="58" t="e">
        <f t="shared" si="15"/>
        <v>#REF!</v>
      </c>
      <c r="BC8" s="58" t="e">
        <f t="shared" ref="BC8:BL10" si="16">SUM(AR20:BC20)</f>
        <v>#REF!</v>
      </c>
      <c r="BD8" s="58" t="e">
        <f t="shared" si="16"/>
        <v>#REF!</v>
      </c>
      <c r="BE8" s="58" t="e">
        <f t="shared" si="16"/>
        <v>#REF!</v>
      </c>
      <c r="BF8" s="58" t="e">
        <f t="shared" si="16"/>
        <v>#REF!</v>
      </c>
      <c r="BG8" s="58" t="e">
        <f t="shared" si="16"/>
        <v>#REF!</v>
      </c>
      <c r="BH8" s="58" t="e">
        <f t="shared" si="16"/>
        <v>#REF!</v>
      </c>
      <c r="BI8" s="58" t="e">
        <f t="shared" si="16"/>
        <v>#REF!</v>
      </c>
      <c r="BJ8" s="58" t="e">
        <f t="shared" si="16"/>
        <v>#REF!</v>
      </c>
      <c r="BK8" s="58" t="e">
        <f t="shared" si="16"/>
        <v>#REF!</v>
      </c>
      <c r="BL8" s="58" t="e">
        <f t="shared" si="16"/>
        <v>#REF!</v>
      </c>
      <c r="BM8" s="58" t="e">
        <f t="shared" ref="BM8:BV10" si="17">SUM(BB20:BM20)</f>
        <v>#REF!</v>
      </c>
      <c r="BN8" s="58" t="e">
        <f t="shared" si="17"/>
        <v>#REF!</v>
      </c>
      <c r="BO8" s="58" t="e">
        <f t="shared" si="17"/>
        <v>#REF!</v>
      </c>
      <c r="BP8" s="58" t="e">
        <f t="shared" si="17"/>
        <v>#REF!</v>
      </c>
      <c r="BQ8" s="58" t="e">
        <f t="shared" si="17"/>
        <v>#REF!</v>
      </c>
      <c r="BR8" s="58" t="e">
        <f t="shared" si="17"/>
        <v>#REF!</v>
      </c>
      <c r="BS8" s="58" t="e">
        <f t="shared" si="17"/>
        <v>#REF!</v>
      </c>
      <c r="BT8" s="58" t="e">
        <f t="shared" si="17"/>
        <v>#REF!</v>
      </c>
      <c r="BU8" s="58" t="e">
        <f t="shared" si="17"/>
        <v>#REF!</v>
      </c>
      <c r="BV8" s="58" t="e">
        <f t="shared" si="17"/>
        <v>#REF!</v>
      </c>
      <c r="BW8" s="58" t="e">
        <f t="shared" ref="BW8:CF10" si="18">SUM(BL20:BW20)</f>
        <v>#REF!</v>
      </c>
      <c r="BX8" s="58" t="e">
        <f t="shared" si="18"/>
        <v>#REF!</v>
      </c>
      <c r="BY8" s="58" t="e">
        <f t="shared" si="18"/>
        <v>#REF!</v>
      </c>
      <c r="BZ8" s="58" t="e">
        <f t="shared" si="18"/>
        <v>#REF!</v>
      </c>
      <c r="CA8" s="58" t="e">
        <f t="shared" si="18"/>
        <v>#REF!</v>
      </c>
      <c r="CB8" s="58" t="e">
        <f t="shared" si="18"/>
        <v>#REF!</v>
      </c>
      <c r="CC8" s="58" t="e">
        <f t="shared" si="18"/>
        <v>#REF!</v>
      </c>
      <c r="CD8" s="58" t="e">
        <f t="shared" si="18"/>
        <v>#REF!</v>
      </c>
      <c r="CE8" s="58" t="e">
        <f t="shared" si="18"/>
        <v>#REF!</v>
      </c>
      <c r="CF8" s="58" t="e">
        <f t="shared" si="18"/>
        <v>#REF!</v>
      </c>
      <c r="CG8" s="58" t="e">
        <f t="shared" ref="CG8:CI10" si="19">SUM(BV20:CG20)</f>
        <v>#REF!</v>
      </c>
      <c r="CH8" s="58" t="e">
        <f t="shared" si="19"/>
        <v>#REF!</v>
      </c>
      <c r="CI8" s="58" t="e">
        <f t="shared" si="19"/>
        <v>#REF!</v>
      </c>
    </row>
    <row r="9" spans="2:87">
      <c r="B9" s="52" t="s">
        <v>121</v>
      </c>
      <c r="C9" s="52">
        <v>0</v>
      </c>
      <c r="D9" s="58">
        <f>SUM($D21:D21)</f>
        <v>0</v>
      </c>
      <c r="E9" s="58">
        <f>SUM($D21:E21)</f>
        <v>0</v>
      </c>
      <c r="F9" s="58">
        <f>SUM($D21:F21)</f>
        <v>0</v>
      </c>
      <c r="G9" s="58">
        <f>SUM($D21:G21)</f>
        <v>0</v>
      </c>
      <c r="H9" s="58">
        <f>SUM($D21:H21)</f>
        <v>0</v>
      </c>
      <c r="I9" s="58" t="e">
        <f>SUM($D21:I21)</f>
        <v>#REF!</v>
      </c>
      <c r="J9" s="58" t="e">
        <f>SUM($D21:J21)</f>
        <v>#REF!</v>
      </c>
      <c r="K9" s="58" t="e">
        <f>SUM($D21:K21)</f>
        <v>#REF!</v>
      </c>
      <c r="L9" s="58" t="e">
        <f>SUM($D21:L21)</f>
        <v>#REF!</v>
      </c>
      <c r="M9" s="58" t="e">
        <f>SUM($D21:M21)</f>
        <v>#REF!</v>
      </c>
      <c r="N9" s="58" t="e">
        <f>SUM($D21:N21)</f>
        <v>#REF!</v>
      </c>
      <c r="O9" s="58" t="e">
        <f t="shared" si="12"/>
        <v>#REF!</v>
      </c>
      <c r="P9" s="58" t="e">
        <f t="shared" si="12"/>
        <v>#REF!</v>
      </c>
      <c r="Q9" s="58" t="e">
        <f t="shared" si="12"/>
        <v>#REF!</v>
      </c>
      <c r="R9" s="58" t="e">
        <f t="shared" si="12"/>
        <v>#REF!</v>
      </c>
      <c r="S9" s="58" t="e">
        <f t="shared" si="12"/>
        <v>#REF!</v>
      </c>
      <c r="T9" s="58" t="e">
        <f t="shared" si="12"/>
        <v>#REF!</v>
      </c>
      <c r="U9" s="58" t="e">
        <f t="shared" si="12"/>
        <v>#REF!</v>
      </c>
      <c r="V9" s="58" t="e">
        <f t="shared" si="12"/>
        <v>#REF!</v>
      </c>
      <c r="W9" s="58" t="e">
        <f t="shared" si="12"/>
        <v>#REF!</v>
      </c>
      <c r="X9" s="58" t="e">
        <f t="shared" si="12"/>
        <v>#REF!</v>
      </c>
      <c r="Y9" s="58" t="e">
        <f t="shared" si="13"/>
        <v>#REF!</v>
      </c>
      <c r="Z9" s="58" t="e">
        <f t="shared" si="13"/>
        <v>#REF!</v>
      </c>
      <c r="AA9" s="58" t="e">
        <f t="shared" si="13"/>
        <v>#REF!</v>
      </c>
      <c r="AB9" s="58" t="e">
        <f t="shared" si="13"/>
        <v>#REF!</v>
      </c>
      <c r="AC9" s="58" t="e">
        <f t="shared" si="13"/>
        <v>#REF!</v>
      </c>
      <c r="AD9" s="58" t="e">
        <f t="shared" si="13"/>
        <v>#REF!</v>
      </c>
      <c r="AE9" s="58" t="e">
        <f t="shared" si="13"/>
        <v>#REF!</v>
      </c>
      <c r="AF9" s="58" t="e">
        <f t="shared" si="13"/>
        <v>#REF!</v>
      </c>
      <c r="AG9" s="58" t="e">
        <f t="shared" si="13"/>
        <v>#REF!</v>
      </c>
      <c r="AH9" s="58" t="e">
        <f t="shared" si="13"/>
        <v>#REF!</v>
      </c>
      <c r="AI9" s="58" t="e">
        <f t="shared" si="14"/>
        <v>#REF!</v>
      </c>
      <c r="AJ9" s="58" t="e">
        <f t="shared" si="14"/>
        <v>#REF!</v>
      </c>
      <c r="AK9" s="58" t="e">
        <f t="shared" si="14"/>
        <v>#REF!</v>
      </c>
      <c r="AL9" s="58" t="e">
        <f t="shared" si="14"/>
        <v>#REF!</v>
      </c>
      <c r="AM9" s="58" t="e">
        <f t="shared" si="14"/>
        <v>#REF!</v>
      </c>
      <c r="AN9" s="58" t="e">
        <f t="shared" si="14"/>
        <v>#REF!</v>
      </c>
      <c r="AO9" s="58" t="e">
        <f t="shared" si="14"/>
        <v>#REF!</v>
      </c>
      <c r="AP9" s="58" t="e">
        <f t="shared" si="14"/>
        <v>#REF!</v>
      </c>
      <c r="AQ9" s="58" t="e">
        <f t="shared" si="14"/>
        <v>#REF!</v>
      </c>
      <c r="AR9" s="58" t="e">
        <f t="shared" si="14"/>
        <v>#REF!</v>
      </c>
      <c r="AS9" s="58" t="e">
        <f t="shared" si="15"/>
        <v>#REF!</v>
      </c>
      <c r="AT9" s="58" t="e">
        <f t="shared" si="15"/>
        <v>#REF!</v>
      </c>
      <c r="AU9" s="58" t="e">
        <f t="shared" si="15"/>
        <v>#REF!</v>
      </c>
      <c r="AV9" s="58" t="e">
        <f t="shared" si="15"/>
        <v>#REF!</v>
      </c>
      <c r="AW9" s="58" t="e">
        <f t="shared" si="15"/>
        <v>#REF!</v>
      </c>
      <c r="AX9" s="58" t="e">
        <f t="shared" si="15"/>
        <v>#REF!</v>
      </c>
      <c r="AY9" s="58" t="e">
        <f t="shared" si="15"/>
        <v>#REF!</v>
      </c>
      <c r="AZ9" s="58" t="e">
        <f t="shared" si="15"/>
        <v>#REF!</v>
      </c>
      <c r="BA9" s="58" t="e">
        <f t="shared" si="15"/>
        <v>#REF!</v>
      </c>
      <c r="BB9" s="58" t="e">
        <f t="shared" si="15"/>
        <v>#REF!</v>
      </c>
      <c r="BC9" s="58" t="e">
        <f t="shared" si="16"/>
        <v>#REF!</v>
      </c>
      <c r="BD9" s="58" t="e">
        <f t="shared" si="16"/>
        <v>#REF!</v>
      </c>
      <c r="BE9" s="58" t="e">
        <f t="shared" si="16"/>
        <v>#REF!</v>
      </c>
      <c r="BF9" s="58" t="e">
        <f t="shared" si="16"/>
        <v>#REF!</v>
      </c>
      <c r="BG9" s="58" t="e">
        <f t="shared" si="16"/>
        <v>#REF!</v>
      </c>
      <c r="BH9" s="58" t="e">
        <f t="shared" si="16"/>
        <v>#REF!</v>
      </c>
      <c r="BI9" s="58" t="e">
        <f t="shared" si="16"/>
        <v>#REF!</v>
      </c>
      <c r="BJ9" s="58" t="e">
        <f t="shared" si="16"/>
        <v>#REF!</v>
      </c>
      <c r="BK9" s="58" t="e">
        <f t="shared" si="16"/>
        <v>#REF!</v>
      </c>
      <c r="BL9" s="58" t="e">
        <f t="shared" si="16"/>
        <v>#REF!</v>
      </c>
      <c r="BM9" s="58" t="e">
        <f t="shared" si="17"/>
        <v>#REF!</v>
      </c>
      <c r="BN9" s="58" t="e">
        <f t="shared" si="17"/>
        <v>#REF!</v>
      </c>
      <c r="BO9" s="58" t="e">
        <f t="shared" si="17"/>
        <v>#REF!</v>
      </c>
      <c r="BP9" s="58" t="e">
        <f t="shared" si="17"/>
        <v>#REF!</v>
      </c>
      <c r="BQ9" s="58" t="e">
        <f t="shared" si="17"/>
        <v>#REF!</v>
      </c>
      <c r="BR9" s="58" t="e">
        <f t="shared" si="17"/>
        <v>#REF!</v>
      </c>
      <c r="BS9" s="58" t="e">
        <f t="shared" si="17"/>
        <v>#REF!</v>
      </c>
      <c r="BT9" s="58" t="e">
        <f t="shared" si="17"/>
        <v>#REF!</v>
      </c>
      <c r="BU9" s="58" t="e">
        <f t="shared" si="17"/>
        <v>#REF!</v>
      </c>
      <c r="BV9" s="58" t="e">
        <f t="shared" si="17"/>
        <v>#REF!</v>
      </c>
      <c r="BW9" s="58" t="e">
        <f t="shared" si="18"/>
        <v>#REF!</v>
      </c>
      <c r="BX9" s="58" t="e">
        <f t="shared" si="18"/>
        <v>#REF!</v>
      </c>
      <c r="BY9" s="58" t="e">
        <f t="shared" si="18"/>
        <v>#REF!</v>
      </c>
      <c r="BZ9" s="58" t="e">
        <f t="shared" si="18"/>
        <v>#REF!</v>
      </c>
      <c r="CA9" s="58" t="e">
        <f t="shared" si="18"/>
        <v>#REF!</v>
      </c>
      <c r="CB9" s="58" t="e">
        <f t="shared" si="18"/>
        <v>#REF!</v>
      </c>
      <c r="CC9" s="58" t="e">
        <f t="shared" si="18"/>
        <v>#REF!</v>
      </c>
      <c r="CD9" s="58" t="e">
        <f t="shared" si="18"/>
        <v>#REF!</v>
      </c>
      <c r="CE9" s="58" t="e">
        <f t="shared" si="18"/>
        <v>#REF!</v>
      </c>
      <c r="CF9" s="58" t="e">
        <f t="shared" si="18"/>
        <v>#REF!</v>
      </c>
      <c r="CG9" s="58" t="e">
        <f t="shared" si="19"/>
        <v>#REF!</v>
      </c>
      <c r="CH9" s="58" t="e">
        <f t="shared" si="19"/>
        <v>#REF!</v>
      </c>
      <c r="CI9" s="58" t="e">
        <f t="shared" si="19"/>
        <v>#REF!</v>
      </c>
    </row>
    <row r="10" spans="2:87">
      <c r="B10" s="52" t="s">
        <v>132</v>
      </c>
      <c r="C10" s="52">
        <v>0</v>
      </c>
      <c r="D10" s="58">
        <f>SUM($D22:D22)</f>
        <v>0</v>
      </c>
      <c r="E10" s="58">
        <f>SUM($D22:E22)</f>
        <v>0</v>
      </c>
      <c r="F10" s="58">
        <f>SUM($D22:F22)</f>
        <v>0</v>
      </c>
      <c r="G10" s="58">
        <f>SUM($D22:G22)</f>
        <v>0</v>
      </c>
      <c r="H10" s="58">
        <f>SUM($D22:H22)</f>
        <v>0</v>
      </c>
      <c r="I10" s="58">
        <f>SUM($D22:I22)</f>
        <v>0</v>
      </c>
      <c r="J10" s="58">
        <f>SUM($D22:J22)</f>
        <v>0</v>
      </c>
      <c r="K10" s="58">
        <f>SUM($D22:K22)</f>
        <v>0</v>
      </c>
      <c r="L10" s="58">
        <f>SUM($D22:L22)</f>
        <v>0</v>
      </c>
      <c r="M10" s="58">
        <f>SUM($D22:M22)</f>
        <v>0</v>
      </c>
      <c r="N10" s="58">
        <f>SUM($D22:N22)</f>
        <v>0</v>
      </c>
      <c r="O10" s="58">
        <f t="shared" si="12"/>
        <v>0</v>
      </c>
      <c r="P10" s="58">
        <f t="shared" si="12"/>
        <v>0</v>
      </c>
      <c r="Q10" s="58">
        <f t="shared" si="12"/>
        <v>0</v>
      </c>
      <c r="R10" s="58">
        <f t="shared" si="12"/>
        <v>0</v>
      </c>
      <c r="S10" s="58">
        <f t="shared" si="12"/>
        <v>0</v>
      </c>
      <c r="T10" s="58">
        <f t="shared" si="12"/>
        <v>0</v>
      </c>
      <c r="U10" s="58">
        <f t="shared" si="12"/>
        <v>0</v>
      </c>
      <c r="V10" s="58">
        <f t="shared" si="12"/>
        <v>0</v>
      </c>
      <c r="W10" s="58">
        <f t="shared" si="12"/>
        <v>0</v>
      </c>
      <c r="X10" s="58">
        <f t="shared" si="12"/>
        <v>0</v>
      </c>
      <c r="Y10" s="58">
        <f t="shared" si="13"/>
        <v>0</v>
      </c>
      <c r="Z10" s="58">
        <f t="shared" si="13"/>
        <v>0</v>
      </c>
      <c r="AA10" s="58">
        <f t="shared" si="13"/>
        <v>0</v>
      </c>
      <c r="AB10" s="58">
        <f t="shared" si="13"/>
        <v>0</v>
      </c>
      <c r="AC10" s="58">
        <f t="shared" si="13"/>
        <v>0</v>
      </c>
      <c r="AD10" s="58">
        <f t="shared" si="13"/>
        <v>0</v>
      </c>
      <c r="AE10" s="58">
        <f t="shared" si="13"/>
        <v>0</v>
      </c>
      <c r="AF10" s="58" t="e">
        <f t="shared" si="13"/>
        <v>#REF!</v>
      </c>
      <c r="AG10" s="58" t="e">
        <f t="shared" si="13"/>
        <v>#REF!</v>
      </c>
      <c r="AH10" s="58" t="e">
        <f t="shared" si="13"/>
        <v>#REF!</v>
      </c>
      <c r="AI10" s="58" t="e">
        <f t="shared" si="14"/>
        <v>#REF!</v>
      </c>
      <c r="AJ10" s="58" t="e">
        <f t="shared" si="14"/>
        <v>#REF!</v>
      </c>
      <c r="AK10" s="58" t="e">
        <f t="shared" si="14"/>
        <v>#REF!</v>
      </c>
      <c r="AL10" s="58" t="e">
        <f t="shared" si="14"/>
        <v>#REF!</v>
      </c>
      <c r="AM10" s="58" t="e">
        <f t="shared" si="14"/>
        <v>#REF!</v>
      </c>
      <c r="AN10" s="58" t="e">
        <f t="shared" si="14"/>
        <v>#REF!</v>
      </c>
      <c r="AO10" s="58" t="e">
        <f t="shared" si="14"/>
        <v>#REF!</v>
      </c>
      <c r="AP10" s="58" t="e">
        <f t="shared" si="14"/>
        <v>#REF!</v>
      </c>
      <c r="AQ10" s="58" t="e">
        <f t="shared" si="14"/>
        <v>#REF!</v>
      </c>
      <c r="AR10" s="58" t="e">
        <f t="shared" si="14"/>
        <v>#REF!</v>
      </c>
      <c r="AS10" s="58" t="e">
        <f t="shared" si="15"/>
        <v>#REF!</v>
      </c>
      <c r="AT10" s="58" t="e">
        <f t="shared" si="15"/>
        <v>#REF!</v>
      </c>
      <c r="AU10" s="58" t="e">
        <f t="shared" si="15"/>
        <v>#REF!</v>
      </c>
      <c r="AV10" s="58" t="e">
        <f t="shared" si="15"/>
        <v>#REF!</v>
      </c>
      <c r="AW10" s="58" t="e">
        <f t="shared" si="15"/>
        <v>#REF!</v>
      </c>
      <c r="AX10" s="58" t="e">
        <f t="shared" si="15"/>
        <v>#REF!</v>
      </c>
      <c r="AY10" s="58" t="e">
        <f t="shared" si="15"/>
        <v>#REF!</v>
      </c>
      <c r="AZ10" s="58" t="e">
        <f t="shared" si="15"/>
        <v>#REF!</v>
      </c>
      <c r="BA10" s="58" t="e">
        <f t="shared" si="15"/>
        <v>#REF!</v>
      </c>
      <c r="BB10" s="58" t="e">
        <f t="shared" si="15"/>
        <v>#REF!</v>
      </c>
      <c r="BC10" s="58" t="e">
        <f t="shared" si="16"/>
        <v>#REF!</v>
      </c>
      <c r="BD10" s="58" t="e">
        <f t="shared" si="16"/>
        <v>#REF!</v>
      </c>
      <c r="BE10" s="58" t="e">
        <f t="shared" si="16"/>
        <v>#REF!</v>
      </c>
      <c r="BF10" s="58" t="e">
        <f t="shared" si="16"/>
        <v>#REF!</v>
      </c>
      <c r="BG10" s="58" t="e">
        <f t="shared" si="16"/>
        <v>#REF!</v>
      </c>
      <c r="BH10" s="58" t="e">
        <f t="shared" si="16"/>
        <v>#REF!</v>
      </c>
      <c r="BI10" s="58" t="e">
        <f t="shared" si="16"/>
        <v>#REF!</v>
      </c>
      <c r="BJ10" s="58" t="e">
        <f t="shared" si="16"/>
        <v>#REF!</v>
      </c>
      <c r="BK10" s="58" t="e">
        <f t="shared" si="16"/>
        <v>#REF!</v>
      </c>
      <c r="BL10" s="58" t="e">
        <f t="shared" si="16"/>
        <v>#REF!</v>
      </c>
      <c r="BM10" s="58" t="e">
        <f t="shared" si="17"/>
        <v>#REF!</v>
      </c>
      <c r="BN10" s="58" t="e">
        <f t="shared" si="17"/>
        <v>#REF!</v>
      </c>
      <c r="BO10" s="58" t="e">
        <f t="shared" si="17"/>
        <v>#REF!</v>
      </c>
      <c r="BP10" s="58" t="e">
        <f t="shared" si="17"/>
        <v>#REF!</v>
      </c>
      <c r="BQ10" s="58" t="e">
        <f t="shared" si="17"/>
        <v>#REF!</v>
      </c>
      <c r="BR10" s="58" t="e">
        <f t="shared" si="17"/>
        <v>#REF!</v>
      </c>
      <c r="BS10" s="58" t="e">
        <f t="shared" si="17"/>
        <v>#REF!</v>
      </c>
      <c r="BT10" s="58" t="e">
        <f t="shared" si="17"/>
        <v>#REF!</v>
      </c>
      <c r="BU10" s="58" t="e">
        <f t="shared" si="17"/>
        <v>#REF!</v>
      </c>
      <c r="BV10" s="58" t="e">
        <f t="shared" si="17"/>
        <v>#REF!</v>
      </c>
      <c r="BW10" s="58" t="e">
        <f t="shared" si="18"/>
        <v>#REF!</v>
      </c>
      <c r="BX10" s="58" t="e">
        <f t="shared" si="18"/>
        <v>#REF!</v>
      </c>
      <c r="BY10" s="58" t="e">
        <f t="shared" si="18"/>
        <v>#REF!</v>
      </c>
      <c r="BZ10" s="58" t="e">
        <f t="shared" si="18"/>
        <v>#REF!</v>
      </c>
      <c r="CA10" s="58" t="e">
        <f t="shared" si="18"/>
        <v>#REF!</v>
      </c>
      <c r="CB10" s="58" t="e">
        <f t="shared" si="18"/>
        <v>#REF!</v>
      </c>
      <c r="CC10" s="58" t="e">
        <f t="shared" si="18"/>
        <v>#REF!</v>
      </c>
      <c r="CD10" s="58" t="e">
        <f t="shared" si="18"/>
        <v>#REF!</v>
      </c>
      <c r="CE10" s="58" t="e">
        <f t="shared" si="18"/>
        <v>#REF!</v>
      </c>
      <c r="CF10" s="58" t="e">
        <f t="shared" si="18"/>
        <v>#REF!</v>
      </c>
      <c r="CG10" s="58" t="e">
        <f t="shared" si="19"/>
        <v>#REF!</v>
      </c>
      <c r="CH10" s="58" t="e">
        <f t="shared" si="19"/>
        <v>#REF!</v>
      </c>
      <c r="CI10" s="58" t="e">
        <f t="shared" si="19"/>
        <v>#REF!</v>
      </c>
    </row>
    <row r="11" spans="2:87">
      <c r="B11" s="83" t="str">
        <f>B10&amp;" (Cumulative)"</f>
        <v>Replacement (Cumulative)</v>
      </c>
      <c r="C11" s="52">
        <v>0</v>
      </c>
      <c r="D11" s="58">
        <f t="shared" ref="D11:AI11" si="20">D10+C11</f>
        <v>0</v>
      </c>
      <c r="E11" s="58">
        <f t="shared" si="20"/>
        <v>0</v>
      </c>
      <c r="F11" s="58">
        <f t="shared" si="20"/>
        <v>0</v>
      </c>
      <c r="G11" s="58">
        <f t="shared" si="20"/>
        <v>0</v>
      </c>
      <c r="H11" s="58">
        <f t="shared" si="20"/>
        <v>0</v>
      </c>
      <c r="I11" s="58">
        <f t="shared" si="20"/>
        <v>0</v>
      </c>
      <c r="J11" s="58">
        <f t="shared" si="20"/>
        <v>0</v>
      </c>
      <c r="K11" s="58">
        <f t="shared" si="20"/>
        <v>0</v>
      </c>
      <c r="L11" s="58">
        <f t="shared" si="20"/>
        <v>0</v>
      </c>
      <c r="M11" s="58">
        <f t="shared" si="20"/>
        <v>0</v>
      </c>
      <c r="N11" s="58">
        <f t="shared" si="20"/>
        <v>0</v>
      </c>
      <c r="O11" s="58">
        <f t="shared" si="20"/>
        <v>0</v>
      </c>
      <c r="P11" s="58">
        <f t="shared" si="20"/>
        <v>0</v>
      </c>
      <c r="Q11" s="58">
        <f t="shared" si="20"/>
        <v>0</v>
      </c>
      <c r="R11" s="58">
        <f t="shared" si="20"/>
        <v>0</v>
      </c>
      <c r="S11" s="58">
        <f t="shared" si="20"/>
        <v>0</v>
      </c>
      <c r="T11" s="58">
        <f t="shared" si="20"/>
        <v>0</v>
      </c>
      <c r="U11" s="58">
        <f t="shared" si="20"/>
        <v>0</v>
      </c>
      <c r="V11" s="58">
        <f t="shared" si="20"/>
        <v>0</v>
      </c>
      <c r="W11" s="58">
        <f t="shared" si="20"/>
        <v>0</v>
      </c>
      <c r="X11" s="58">
        <f t="shared" si="20"/>
        <v>0</v>
      </c>
      <c r="Y11" s="58">
        <f t="shared" si="20"/>
        <v>0</v>
      </c>
      <c r="Z11" s="58">
        <f t="shared" si="20"/>
        <v>0</v>
      </c>
      <c r="AA11" s="58">
        <f t="shared" si="20"/>
        <v>0</v>
      </c>
      <c r="AB11" s="58">
        <f t="shared" si="20"/>
        <v>0</v>
      </c>
      <c r="AC11" s="58">
        <f t="shared" si="20"/>
        <v>0</v>
      </c>
      <c r="AD11" s="58">
        <f t="shared" si="20"/>
        <v>0</v>
      </c>
      <c r="AE11" s="58">
        <f t="shared" si="20"/>
        <v>0</v>
      </c>
      <c r="AF11" s="58" t="e">
        <f t="shared" si="20"/>
        <v>#REF!</v>
      </c>
      <c r="AG11" s="58" t="e">
        <f t="shared" si="20"/>
        <v>#REF!</v>
      </c>
      <c r="AH11" s="58" t="e">
        <f t="shared" si="20"/>
        <v>#REF!</v>
      </c>
      <c r="AI11" s="58" t="e">
        <f t="shared" si="20"/>
        <v>#REF!</v>
      </c>
      <c r="AJ11" s="58" t="e">
        <f t="shared" ref="AJ11:BO11" si="21">AJ10+AI11</f>
        <v>#REF!</v>
      </c>
      <c r="AK11" s="58" t="e">
        <f t="shared" si="21"/>
        <v>#REF!</v>
      </c>
      <c r="AL11" s="58" t="e">
        <f t="shared" si="21"/>
        <v>#REF!</v>
      </c>
      <c r="AM11" s="58" t="e">
        <f t="shared" si="21"/>
        <v>#REF!</v>
      </c>
      <c r="AN11" s="58" t="e">
        <f t="shared" si="21"/>
        <v>#REF!</v>
      </c>
      <c r="AO11" s="58" t="e">
        <f t="shared" si="21"/>
        <v>#REF!</v>
      </c>
      <c r="AP11" s="58" t="e">
        <f t="shared" si="21"/>
        <v>#REF!</v>
      </c>
      <c r="AQ11" s="58" t="e">
        <f t="shared" si="21"/>
        <v>#REF!</v>
      </c>
      <c r="AR11" s="58" t="e">
        <f t="shared" si="21"/>
        <v>#REF!</v>
      </c>
      <c r="AS11" s="58" t="e">
        <f t="shared" si="21"/>
        <v>#REF!</v>
      </c>
      <c r="AT11" s="58" t="e">
        <f t="shared" si="21"/>
        <v>#REF!</v>
      </c>
      <c r="AU11" s="58" t="e">
        <f t="shared" si="21"/>
        <v>#REF!</v>
      </c>
      <c r="AV11" s="58" t="e">
        <f t="shared" si="21"/>
        <v>#REF!</v>
      </c>
      <c r="AW11" s="58" t="e">
        <f t="shared" si="21"/>
        <v>#REF!</v>
      </c>
      <c r="AX11" s="58" t="e">
        <f t="shared" si="21"/>
        <v>#REF!</v>
      </c>
      <c r="AY11" s="58" t="e">
        <f t="shared" si="21"/>
        <v>#REF!</v>
      </c>
      <c r="AZ11" s="58" t="e">
        <f t="shared" si="21"/>
        <v>#REF!</v>
      </c>
      <c r="BA11" s="58" t="e">
        <f t="shared" si="21"/>
        <v>#REF!</v>
      </c>
      <c r="BB11" s="58" t="e">
        <f t="shared" si="21"/>
        <v>#REF!</v>
      </c>
      <c r="BC11" s="58" t="e">
        <f t="shared" si="21"/>
        <v>#REF!</v>
      </c>
      <c r="BD11" s="58" t="e">
        <f t="shared" si="21"/>
        <v>#REF!</v>
      </c>
      <c r="BE11" s="58" t="e">
        <f t="shared" si="21"/>
        <v>#REF!</v>
      </c>
      <c r="BF11" s="58" t="e">
        <f t="shared" si="21"/>
        <v>#REF!</v>
      </c>
      <c r="BG11" s="58" t="e">
        <f t="shared" si="21"/>
        <v>#REF!</v>
      </c>
      <c r="BH11" s="58" t="e">
        <f t="shared" si="21"/>
        <v>#REF!</v>
      </c>
      <c r="BI11" s="58" t="e">
        <f t="shared" si="21"/>
        <v>#REF!</v>
      </c>
      <c r="BJ11" s="58" t="e">
        <f t="shared" si="21"/>
        <v>#REF!</v>
      </c>
      <c r="BK11" s="58" t="e">
        <f t="shared" si="21"/>
        <v>#REF!</v>
      </c>
      <c r="BL11" s="58" t="e">
        <f t="shared" si="21"/>
        <v>#REF!</v>
      </c>
      <c r="BM11" s="58" t="e">
        <f t="shared" si="21"/>
        <v>#REF!</v>
      </c>
      <c r="BN11" s="58" t="e">
        <f t="shared" si="21"/>
        <v>#REF!</v>
      </c>
      <c r="BO11" s="58" t="e">
        <f t="shared" si="21"/>
        <v>#REF!</v>
      </c>
      <c r="BP11" s="58" t="e">
        <f t="shared" ref="BP11:CI11" si="22">BP10+BO11</f>
        <v>#REF!</v>
      </c>
      <c r="BQ11" s="58" t="e">
        <f t="shared" si="22"/>
        <v>#REF!</v>
      </c>
      <c r="BR11" s="58" t="e">
        <f t="shared" si="22"/>
        <v>#REF!</v>
      </c>
      <c r="BS11" s="58" t="e">
        <f t="shared" si="22"/>
        <v>#REF!</v>
      </c>
      <c r="BT11" s="58" t="e">
        <f t="shared" si="22"/>
        <v>#REF!</v>
      </c>
      <c r="BU11" s="58" t="e">
        <f t="shared" si="22"/>
        <v>#REF!</v>
      </c>
      <c r="BV11" s="58" t="e">
        <f t="shared" si="22"/>
        <v>#REF!</v>
      </c>
      <c r="BW11" s="58" t="e">
        <f t="shared" si="22"/>
        <v>#REF!</v>
      </c>
      <c r="BX11" s="58" t="e">
        <f t="shared" si="22"/>
        <v>#REF!</v>
      </c>
      <c r="BY11" s="58" t="e">
        <f t="shared" si="22"/>
        <v>#REF!</v>
      </c>
      <c r="BZ11" s="58" t="e">
        <f t="shared" si="22"/>
        <v>#REF!</v>
      </c>
      <c r="CA11" s="58" t="e">
        <f t="shared" si="22"/>
        <v>#REF!</v>
      </c>
      <c r="CB11" s="58" t="e">
        <f t="shared" si="22"/>
        <v>#REF!</v>
      </c>
      <c r="CC11" s="58" t="e">
        <f t="shared" si="22"/>
        <v>#REF!</v>
      </c>
      <c r="CD11" s="58" t="e">
        <f t="shared" si="22"/>
        <v>#REF!</v>
      </c>
      <c r="CE11" s="58" t="e">
        <f t="shared" si="22"/>
        <v>#REF!</v>
      </c>
      <c r="CF11" s="58" t="e">
        <f t="shared" si="22"/>
        <v>#REF!</v>
      </c>
      <c r="CG11" s="58" t="e">
        <f t="shared" si="22"/>
        <v>#REF!</v>
      </c>
      <c r="CH11" s="58" t="e">
        <f t="shared" si="22"/>
        <v>#REF!</v>
      </c>
      <c r="CI11" s="58" t="e">
        <f t="shared" si="22"/>
        <v>#REF!</v>
      </c>
    </row>
    <row r="12" spans="2:87">
      <c r="B12" s="52" t="s">
        <v>122</v>
      </c>
      <c r="C12" s="52">
        <v>0</v>
      </c>
      <c r="D12" s="58">
        <f>SUM($D23:D23)</f>
        <v>0</v>
      </c>
      <c r="E12" s="58">
        <f>SUM($D23:E23)</f>
        <v>0</v>
      </c>
      <c r="F12" s="58">
        <f>SUM($D23:F23)</f>
        <v>0</v>
      </c>
      <c r="G12" s="58">
        <f>SUM($D23:G23)</f>
        <v>0</v>
      </c>
      <c r="H12" s="58">
        <f>SUM($D23:H23)</f>
        <v>0</v>
      </c>
      <c r="I12" s="58">
        <f>SUM($D23:I23)</f>
        <v>0</v>
      </c>
      <c r="J12" s="58">
        <f>SUM($D23:J23)</f>
        <v>0</v>
      </c>
      <c r="K12" s="58">
        <f>SUM($D23:K23)</f>
        <v>0</v>
      </c>
      <c r="L12" s="58">
        <f>SUM($D23:L23)</f>
        <v>0</v>
      </c>
      <c r="M12" s="58">
        <f>SUM($D23:M23)</f>
        <v>0</v>
      </c>
      <c r="N12" s="58">
        <f>SUM($D23:N23)</f>
        <v>0</v>
      </c>
      <c r="O12" s="58">
        <f t="shared" ref="O12:X13" si="23">SUM(D23:O23)</f>
        <v>0</v>
      </c>
      <c r="P12" s="58">
        <f t="shared" si="23"/>
        <v>0</v>
      </c>
      <c r="Q12" s="58">
        <f t="shared" si="23"/>
        <v>0</v>
      </c>
      <c r="R12" s="58">
        <f t="shared" si="23"/>
        <v>0</v>
      </c>
      <c r="S12" s="58" t="e">
        <f t="shared" si="23"/>
        <v>#REF!</v>
      </c>
      <c r="T12" s="58" t="e">
        <f t="shared" si="23"/>
        <v>#REF!</v>
      </c>
      <c r="U12" s="58" t="e">
        <f t="shared" si="23"/>
        <v>#REF!</v>
      </c>
      <c r="V12" s="58" t="e">
        <f t="shared" si="23"/>
        <v>#REF!</v>
      </c>
      <c r="W12" s="58" t="e">
        <f t="shared" si="23"/>
        <v>#REF!</v>
      </c>
      <c r="X12" s="58" t="e">
        <f t="shared" si="23"/>
        <v>#REF!</v>
      </c>
      <c r="Y12" s="58" t="e">
        <f t="shared" ref="Y12:AH13" si="24">SUM(N23:Y23)</f>
        <v>#REF!</v>
      </c>
      <c r="Z12" s="58" t="e">
        <f t="shared" si="24"/>
        <v>#REF!</v>
      </c>
      <c r="AA12" s="58" t="e">
        <f t="shared" si="24"/>
        <v>#REF!</v>
      </c>
      <c r="AB12" s="58" t="e">
        <f t="shared" si="24"/>
        <v>#REF!</v>
      </c>
      <c r="AC12" s="58" t="e">
        <f t="shared" si="24"/>
        <v>#REF!</v>
      </c>
      <c r="AD12" s="58" t="e">
        <f t="shared" si="24"/>
        <v>#REF!</v>
      </c>
      <c r="AE12" s="58" t="e">
        <f t="shared" si="24"/>
        <v>#REF!</v>
      </c>
      <c r="AF12" s="58" t="e">
        <f t="shared" si="24"/>
        <v>#REF!</v>
      </c>
      <c r="AG12" s="58" t="e">
        <f t="shared" si="24"/>
        <v>#REF!</v>
      </c>
      <c r="AH12" s="58" t="e">
        <f t="shared" si="24"/>
        <v>#REF!</v>
      </c>
      <c r="AI12" s="58" t="e">
        <f t="shared" ref="AI12:AR13" si="25">SUM(X23:AI23)</f>
        <v>#REF!</v>
      </c>
      <c r="AJ12" s="58" t="e">
        <f t="shared" si="25"/>
        <v>#REF!</v>
      </c>
      <c r="AK12" s="58" t="e">
        <f t="shared" si="25"/>
        <v>#REF!</v>
      </c>
      <c r="AL12" s="58" t="e">
        <f t="shared" si="25"/>
        <v>#REF!</v>
      </c>
      <c r="AM12" s="58" t="e">
        <f t="shared" si="25"/>
        <v>#REF!</v>
      </c>
      <c r="AN12" s="58" t="e">
        <f t="shared" si="25"/>
        <v>#REF!</v>
      </c>
      <c r="AO12" s="58" t="e">
        <f t="shared" si="25"/>
        <v>#REF!</v>
      </c>
      <c r="AP12" s="58" t="e">
        <f t="shared" si="25"/>
        <v>#REF!</v>
      </c>
      <c r="AQ12" s="58" t="e">
        <f t="shared" si="25"/>
        <v>#REF!</v>
      </c>
      <c r="AR12" s="58" t="e">
        <f t="shared" si="25"/>
        <v>#REF!</v>
      </c>
      <c r="AS12" s="58" t="e">
        <f t="shared" ref="AS12:BB13" si="26">SUM(AH23:AS23)</f>
        <v>#REF!</v>
      </c>
      <c r="AT12" s="58" t="e">
        <f t="shared" si="26"/>
        <v>#REF!</v>
      </c>
      <c r="AU12" s="58" t="e">
        <f t="shared" si="26"/>
        <v>#REF!</v>
      </c>
      <c r="AV12" s="58" t="e">
        <f t="shared" si="26"/>
        <v>#REF!</v>
      </c>
      <c r="AW12" s="58" t="e">
        <f t="shared" si="26"/>
        <v>#REF!</v>
      </c>
      <c r="AX12" s="58" t="e">
        <f t="shared" si="26"/>
        <v>#REF!</v>
      </c>
      <c r="AY12" s="58" t="e">
        <f t="shared" si="26"/>
        <v>#REF!</v>
      </c>
      <c r="AZ12" s="58" t="e">
        <f t="shared" si="26"/>
        <v>#REF!</v>
      </c>
      <c r="BA12" s="58" t="e">
        <f t="shared" si="26"/>
        <v>#REF!</v>
      </c>
      <c r="BB12" s="58" t="e">
        <f t="shared" si="26"/>
        <v>#REF!</v>
      </c>
      <c r="BC12" s="58" t="e">
        <f t="shared" ref="BC12:BL13" si="27">SUM(AR23:BC23)</f>
        <v>#REF!</v>
      </c>
      <c r="BD12" s="58" t="e">
        <f t="shared" si="27"/>
        <v>#REF!</v>
      </c>
      <c r="BE12" s="58" t="e">
        <f t="shared" si="27"/>
        <v>#REF!</v>
      </c>
      <c r="BF12" s="58" t="e">
        <f t="shared" si="27"/>
        <v>#REF!</v>
      </c>
      <c r="BG12" s="58" t="e">
        <f t="shared" si="27"/>
        <v>#REF!</v>
      </c>
      <c r="BH12" s="58" t="e">
        <f t="shared" si="27"/>
        <v>#REF!</v>
      </c>
      <c r="BI12" s="58" t="e">
        <f t="shared" si="27"/>
        <v>#REF!</v>
      </c>
      <c r="BJ12" s="58" t="e">
        <f t="shared" si="27"/>
        <v>#REF!</v>
      </c>
      <c r="BK12" s="58" t="e">
        <f t="shared" si="27"/>
        <v>#REF!</v>
      </c>
      <c r="BL12" s="58" t="e">
        <f t="shared" si="27"/>
        <v>#REF!</v>
      </c>
      <c r="BM12" s="58" t="e">
        <f t="shared" ref="BM12:BV13" si="28">SUM(BB23:BM23)</f>
        <v>#REF!</v>
      </c>
      <c r="BN12" s="58" t="e">
        <f t="shared" si="28"/>
        <v>#REF!</v>
      </c>
      <c r="BO12" s="58" t="e">
        <f t="shared" si="28"/>
        <v>#REF!</v>
      </c>
      <c r="BP12" s="58" t="e">
        <f t="shared" si="28"/>
        <v>#REF!</v>
      </c>
      <c r="BQ12" s="58" t="e">
        <f t="shared" si="28"/>
        <v>#REF!</v>
      </c>
      <c r="BR12" s="58" t="e">
        <f t="shared" si="28"/>
        <v>#REF!</v>
      </c>
      <c r="BS12" s="58" t="e">
        <f t="shared" si="28"/>
        <v>#REF!</v>
      </c>
      <c r="BT12" s="58" t="e">
        <f t="shared" si="28"/>
        <v>#REF!</v>
      </c>
      <c r="BU12" s="58" t="e">
        <f t="shared" si="28"/>
        <v>#REF!</v>
      </c>
      <c r="BV12" s="58" t="e">
        <f t="shared" si="28"/>
        <v>#REF!</v>
      </c>
      <c r="BW12" s="58" t="e">
        <f t="shared" ref="BW12:CF13" si="29">SUM(BL23:BW23)</f>
        <v>#REF!</v>
      </c>
      <c r="BX12" s="58" t="e">
        <f t="shared" si="29"/>
        <v>#REF!</v>
      </c>
      <c r="BY12" s="58" t="e">
        <f t="shared" si="29"/>
        <v>#REF!</v>
      </c>
      <c r="BZ12" s="58" t="e">
        <f t="shared" si="29"/>
        <v>#REF!</v>
      </c>
      <c r="CA12" s="58" t="e">
        <f t="shared" si="29"/>
        <v>#REF!</v>
      </c>
      <c r="CB12" s="58" t="e">
        <f t="shared" si="29"/>
        <v>#REF!</v>
      </c>
      <c r="CC12" s="58" t="e">
        <f t="shared" si="29"/>
        <v>#REF!</v>
      </c>
      <c r="CD12" s="58" t="e">
        <f t="shared" si="29"/>
        <v>#REF!</v>
      </c>
      <c r="CE12" s="58" t="e">
        <f t="shared" si="29"/>
        <v>#REF!</v>
      </c>
      <c r="CF12" s="58" t="e">
        <f t="shared" si="29"/>
        <v>#REF!</v>
      </c>
      <c r="CG12" s="58" t="e">
        <f t="shared" ref="CG12:CI13" si="30">SUM(BV23:CG23)</f>
        <v>#REF!</v>
      </c>
      <c r="CH12" s="58" t="e">
        <f t="shared" si="30"/>
        <v>#REF!</v>
      </c>
      <c r="CI12" s="58" t="e">
        <f t="shared" si="30"/>
        <v>#REF!</v>
      </c>
    </row>
    <row r="13" spans="2:87">
      <c r="B13" s="71" t="s">
        <v>145</v>
      </c>
      <c r="C13" s="52">
        <v>0</v>
      </c>
      <c r="D13" s="58">
        <f>SUM($D24:D24)</f>
        <v>0</v>
      </c>
      <c r="E13" s="58">
        <f>SUM($D24:E24)</f>
        <v>0</v>
      </c>
      <c r="F13" s="58">
        <f>SUM($D24:F24)</f>
        <v>0</v>
      </c>
      <c r="G13" s="58">
        <f>SUM($D24:G24)</f>
        <v>0</v>
      </c>
      <c r="H13" s="58">
        <f>SUM($D24:H24)</f>
        <v>0</v>
      </c>
      <c r="I13" s="58" t="e">
        <f>SUM($D24:I24)</f>
        <v>#REF!</v>
      </c>
      <c r="J13" s="58" t="e">
        <f>SUM($D24:J24)</f>
        <v>#REF!</v>
      </c>
      <c r="K13" s="58" t="e">
        <f>SUM($D24:K24)</f>
        <v>#REF!</v>
      </c>
      <c r="L13" s="58" t="e">
        <f>SUM($D24:L24)</f>
        <v>#REF!</v>
      </c>
      <c r="M13" s="58" t="e">
        <f>SUM($D24:M24)</f>
        <v>#REF!</v>
      </c>
      <c r="N13" s="58" t="e">
        <f>SUM($D24:N24)</f>
        <v>#REF!</v>
      </c>
      <c r="O13" s="58" t="e">
        <f t="shared" si="23"/>
        <v>#REF!</v>
      </c>
      <c r="P13" s="58" t="e">
        <f t="shared" si="23"/>
        <v>#REF!</v>
      </c>
      <c r="Q13" s="58" t="e">
        <f t="shared" si="23"/>
        <v>#REF!</v>
      </c>
      <c r="R13" s="58" t="e">
        <f t="shared" si="23"/>
        <v>#REF!</v>
      </c>
      <c r="S13" s="58" t="e">
        <f t="shared" si="23"/>
        <v>#REF!</v>
      </c>
      <c r="T13" s="58" t="e">
        <f t="shared" si="23"/>
        <v>#REF!</v>
      </c>
      <c r="U13" s="58" t="e">
        <f t="shared" si="23"/>
        <v>#REF!</v>
      </c>
      <c r="V13" s="58" t="e">
        <f t="shared" si="23"/>
        <v>#REF!</v>
      </c>
      <c r="W13" s="58" t="e">
        <f t="shared" si="23"/>
        <v>#REF!</v>
      </c>
      <c r="X13" s="58" t="e">
        <f t="shared" si="23"/>
        <v>#REF!</v>
      </c>
      <c r="Y13" s="58" t="e">
        <f t="shared" si="24"/>
        <v>#REF!</v>
      </c>
      <c r="Z13" s="58" t="e">
        <f t="shared" si="24"/>
        <v>#REF!</v>
      </c>
      <c r="AA13" s="58" t="e">
        <f t="shared" si="24"/>
        <v>#REF!</v>
      </c>
      <c r="AB13" s="58" t="e">
        <f t="shared" si="24"/>
        <v>#REF!</v>
      </c>
      <c r="AC13" s="58" t="e">
        <f t="shared" si="24"/>
        <v>#REF!</v>
      </c>
      <c r="AD13" s="58" t="e">
        <f t="shared" si="24"/>
        <v>#REF!</v>
      </c>
      <c r="AE13" s="58" t="e">
        <f t="shared" si="24"/>
        <v>#REF!</v>
      </c>
      <c r="AF13" s="58" t="e">
        <f t="shared" si="24"/>
        <v>#REF!</v>
      </c>
      <c r="AG13" s="58" t="e">
        <f t="shared" si="24"/>
        <v>#REF!</v>
      </c>
      <c r="AH13" s="58" t="e">
        <f t="shared" si="24"/>
        <v>#REF!</v>
      </c>
      <c r="AI13" s="58" t="e">
        <f t="shared" si="25"/>
        <v>#REF!</v>
      </c>
      <c r="AJ13" s="58" t="e">
        <f t="shared" si="25"/>
        <v>#REF!</v>
      </c>
      <c r="AK13" s="58" t="e">
        <f t="shared" si="25"/>
        <v>#REF!</v>
      </c>
      <c r="AL13" s="58" t="e">
        <f t="shared" si="25"/>
        <v>#REF!</v>
      </c>
      <c r="AM13" s="58" t="e">
        <f t="shared" si="25"/>
        <v>#REF!</v>
      </c>
      <c r="AN13" s="58" t="e">
        <f t="shared" si="25"/>
        <v>#REF!</v>
      </c>
      <c r="AO13" s="58" t="e">
        <f t="shared" si="25"/>
        <v>#REF!</v>
      </c>
      <c r="AP13" s="58" t="e">
        <f t="shared" si="25"/>
        <v>#REF!</v>
      </c>
      <c r="AQ13" s="58" t="e">
        <f t="shared" si="25"/>
        <v>#REF!</v>
      </c>
      <c r="AR13" s="58" t="e">
        <f t="shared" si="25"/>
        <v>#REF!</v>
      </c>
      <c r="AS13" s="58" t="e">
        <f t="shared" si="26"/>
        <v>#REF!</v>
      </c>
      <c r="AT13" s="58" t="e">
        <f t="shared" si="26"/>
        <v>#REF!</v>
      </c>
      <c r="AU13" s="58" t="e">
        <f t="shared" si="26"/>
        <v>#REF!</v>
      </c>
      <c r="AV13" s="58" t="e">
        <f t="shared" si="26"/>
        <v>#REF!</v>
      </c>
      <c r="AW13" s="58" t="e">
        <f t="shared" si="26"/>
        <v>#REF!</v>
      </c>
      <c r="AX13" s="58" t="e">
        <f t="shared" si="26"/>
        <v>#REF!</v>
      </c>
      <c r="AY13" s="58" t="e">
        <f t="shared" si="26"/>
        <v>#REF!</v>
      </c>
      <c r="AZ13" s="58" t="e">
        <f t="shared" si="26"/>
        <v>#REF!</v>
      </c>
      <c r="BA13" s="58" t="e">
        <f t="shared" si="26"/>
        <v>#REF!</v>
      </c>
      <c r="BB13" s="58" t="e">
        <f t="shared" si="26"/>
        <v>#REF!</v>
      </c>
      <c r="BC13" s="58" t="e">
        <f t="shared" si="27"/>
        <v>#REF!</v>
      </c>
      <c r="BD13" s="58" t="e">
        <f t="shared" si="27"/>
        <v>#REF!</v>
      </c>
      <c r="BE13" s="58" t="e">
        <f t="shared" si="27"/>
        <v>#REF!</v>
      </c>
      <c r="BF13" s="58" t="e">
        <f t="shared" si="27"/>
        <v>#REF!</v>
      </c>
      <c r="BG13" s="58" t="e">
        <f t="shared" si="27"/>
        <v>#REF!</v>
      </c>
      <c r="BH13" s="58" t="e">
        <f t="shared" si="27"/>
        <v>#REF!</v>
      </c>
      <c r="BI13" s="58" t="e">
        <f t="shared" si="27"/>
        <v>#REF!</v>
      </c>
      <c r="BJ13" s="58" t="e">
        <f t="shared" si="27"/>
        <v>#REF!</v>
      </c>
      <c r="BK13" s="58" t="e">
        <f t="shared" si="27"/>
        <v>#REF!</v>
      </c>
      <c r="BL13" s="58" t="e">
        <f t="shared" si="27"/>
        <v>#REF!</v>
      </c>
      <c r="BM13" s="58" t="e">
        <f t="shared" si="28"/>
        <v>#REF!</v>
      </c>
      <c r="BN13" s="58" t="e">
        <f t="shared" si="28"/>
        <v>#REF!</v>
      </c>
      <c r="BO13" s="58" t="e">
        <f t="shared" si="28"/>
        <v>#REF!</v>
      </c>
      <c r="BP13" s="58" t="e">
        <f t="shared" si="28"/>
        <v>#REF!</v>
      </c>
      <c r="BQ13" s="58" t="e">
        <f t="shared" si="28"/>
        <v>#REF!</v>
      </c>
      <c r="BR13" s="58" t="e">
        <f t="shared" si="28"/>
        <v>#REF!</v>
      </c>
      <c r="BS13" s="58" t="e">
        <f t="shared" si="28"/>
        <v>#REF!</v>
      </c>
      <c r="BT13" s="58" t="e">
        <f t="shared" si="28"/>
        <v>#REF!</v>
      </c>
      <c r="BU13" s="58" t="e">
        <f t="shared" si="28"/>
        <v>#REF!</v>
      </c>
      <c r="BV13" s="58" t="e">
        <f t="shared" si="28"/>
        <v>#REF!</v>
      </c>
      <c r="BW13" s="58" t="e">
        <f t="shared" si="29"/>
        <v>#REF!</v>
      </c>
      <c r="BX13" s="58" t="e">
        <f t="shared" si="29"/>
        <v>#REF!</v>
      </c>
      <c r="BY13" s="58" t="e">
        <f t="shared" si="29"/>
        <v>#REF!</v>
      </c>
      <c r="BZ13" s="58" t="e">
        <f t="shared" si="29"/>
        <v>#REF!</v>
      </c>
      <c r="CA13" s="58" t="e">
        <f t="shared" si="29"/>
        <v>#REF!</v>
      </c>
      <c r="CB13" s="58" t="e">
        <f t="shared" si="29"/>
        <v>#REF!</v>
      </c>
      <c r="CC13" s="58" t="e">
        <f t="shared" si="29"/>
        <v>#REF!</v>
      </c>
      <c r="CD13" s="58" t="e">
        <f t="shared" si="29"/>
        <v>#REF!</v>
      </c>
      <c r="CE13" s="58" t="e">
        <f t="shared" si="29"/>
        <v>#REF!</v>
      </c>
      <c r="CF13" s="58" t="e">
        <f t="shared" si="29"/>
        <v>#REF!</v>
      </c>
      <c r="CG13" s="58" t="e">
        <f t="shared" si="30"/>
        <v>#REF!</v>
      </c>
      <c r="CH13" s="58" t="e">
        <f t="shared" si="30"/>
        <v>#REF!</v>
      </c>
      <c r="CI13" s="58" t="e">
        <f t="shared" si="30"/>
        <v>#REF!</v>
      </c>
    </row>
    <row r="14" spans="2:87">
      <c r="B14" s="80" t="s">
        <v>156</v>
      </c>
      <c r="C14" s="52">
        <v>0</v>
      </c>
      <c r="D14" s="58">
        <f>SUM($D25:D25)</f>
        <v>0</v>
      </c>
      <c r="E14" s="58">
        <f>SUM($D25:E25)</f>
        <v>0</v>
      </c>
      <c r="F14" s="58">
        <f>SUM($D25:F25)</f>
        <v>0</v>
      </c>
      <c r="G14" s="58">
        <f t="shared" ref="G14:AL14" si="31">SUM(D25:G25)</f>
        <v>0</v>
      </c>
      <c r="H14" s="58">
        <f t="shared" si="31"/>
        <v>0</v>
      </c>
      <c r="I14" s="58">
        <f t="shared" si="31"/>
        <v>0</v>
      </c>
      <c r="J14" s="58">
        <f t="shared" si="31"/>
        <v>0</v>
      </c>
      <c r="K14" s="58">
        <f t="shared" si="31"/>
        <v>0</v>
      </c>
      <c r="L14" s="58" t="e">
        <f t="shared" si="31"/>
        <v>#REF!</v>
      </c>
      <c r="M14" s="58" t="e">
        <f t="shared" si="31"/>
        <v>#REF!</v>
      </c>
      <c r="N14" s="58" t="e">
        <f t="shared" si="31"/>
        <v>#REF!</v>
      </c>
      <c r="O14" s="58" t="e">
        <f t="shared" si="31"/>
        <v>#REF!</v>
      </c>
      <c r="P14" s="58" t="e">
        <f t="shared" si="31"/>
        <v>#REF!</v>
      </c>
      <c r="Q14" s="58" t="e">
        <f t="shared" si="31"/>
        <v>#REF!</v>
      </c>
      <c r="R14" s="58">
        <f t="shared" si="31"/>
        <v>0</v>
      </c>
      <c r="S14" s="58">
        <f t="shared" si="31"/>
        <v>0</v>
      </c>
      <c r="T14" s="58">
        <f t="shared" si="31"/>
        <v>0</v>
      </c>
      <c r="U14" s="58">
        <f t="shared" si="31"/>
        <v>0</v>
      </c>
      <c r="V14" s="58">
        <f t="shared" si="31"/>
        <v>0</v>
      </c>
      <c r="W14" s="58">
        <f t="shared" si="31"/>
        <v>0</v>
      </c>
      <c r="X14" s="58" t="e">
        <f t="shared" si="31"/>
        <v>#REF!</v>
      </c>
      <c r="Y14" s="58" t="e">
        <f t="shared" si="31"/>
        <v>#REF!</v>
      </c>
      <c r="Z14" s="58" t="e">
        <f t="shared" si="31"/>
        <v>#REF!</v>
      </c>
      <c r="AA14" s="58" t="e">
        <f t="shared" si="31"/>
        <v>#REF!</v>
      </c>
      <c r="AB14" s="58" t="e">
        <f t="shared" si="31"/>
        <v>#REF!</v>
      </c>
      <c r="AC14" s="58" t="e">
        <f t="shared" si="31"/>
        <v>#REF!</v>
      </c>
      <c r="AD14" s="58">
        <f t="shared" si="31"/>
        <v>0</v>
      </c>
      <c r="AE14" s="58">
        <f t="shared" si="31"/>
        <v>0</v>
      </c>
      <c r="AF14" s="58">
        <f t="shared" si="31"/>
        <v>0</v>
      </c>
      <c r="AG14" s="58">
        <f t="shared" si="31"/>
        <v>0</v>
      </c>
      <c r="AH14" s="58">
        <f t="shared" si="31"/>
        <v>0</v>
      </c>
      <c r="AI14" s="58">
        <f t="shared" si="31"/>
        <v>0</v>
      </c>
      <c r="AJ14" s="58" t="e">
        <f t="shared" si="31"/>
        <v>#REF!</v>
      </c>
      <c r="AK14" s="58" t="e">
        <f t="shared" si="31"/>
        <v>#REF!</v>
      </c>
      <c r="AL14" s="58" t="e">
        <f t="shared" si="31"/>
        <v>#REF!</v>
      </c>
      <c r="AM14" s="58" t="e">
        <f t="shared" ref="AM14:BR14" si="32">SUM(AJ25:AM25)</f>
        <v>#REF!</v>
      </c>
      <c r="AN14" s="58" t="e">
        <f t="shared" si="32"/>
        <v>#REF!</v>
      </c>
      <c r="AO14" s="58" t="e">
        <f t="shared" si="32"/>
        <v>#REF!</v>
      </c>
      <c r="AP14" s="58">
        <f t="shared" si="32"/>
        <v>0</v>
      </c>
      <c r="AQ14" s="58">
        <f t="shared" si="32"/>
        <v>0</v>
      </c>
      <c r="AR14" s="58">
        <f t="shared" si="32"/>
        <v>0</v>
      </c>
      <c r="AS14" s="58">
        <f t="shared" si="32"/>
        <v>0</v>
      </c>
      <c r="AT14" s="58">
        <f t="shared" si="32"/>
        <v>0</v>
      </c>
      <c r="AU14" s="58">
        <f t="shared" si="32"/>
        <v>0</v>
      </c>
      <c r="AV14" s="58" t="e">
        <f t="shared" si="32"/>
        <v>#REF!</v>
      </c>
      <c r="AW14" s="58" t="e">
        <f t="shared" si="32"/>
        <v>#REF!</v>
      </c>
      <c r="AX14" s="58" t="e">
        <f t="shared" si="32"/>
        <v>#REF!</v>
      </c>
      <c r="AY14" s="58" t="e">
        <f t="shared" si="32"/>
        <v>#REF!</v>
      </c>
      <c r="AZ14" s="58" t="e">
        <f t="shared" si="32"/>
        <v>#REF!</v>
      </c>
      <c r="BA14" s="58" t="e">
        <f t="shared" si="32"/>
        <v>#REF!</v>
      </c>
      <c r="BB14" s="58">
        <f t="shared" si="32"/>
        <v>0</v>
      </c>
      <c r="BC14" s="58">
        <f t="shared" si="32"/>
        <v>0</v>
      </c>
      <c r="BD14" s="58">
        <f t="shared" si="32"/>
        <v>0</v>
      </c>
      <c r="BE14" s="58">
        <f t="shared" si="32"/>
        <v>0</v>
      </c>
      <c r="BF14" s="58">
        <f t="shared" si="32"/>
        <v>0</v>
      </c>
      <c r="BG14" s="58">
        <f t="shared" si="32"/>
        <v>0</v>
      </c>
      <c r="BH14" s="58" t="e">
        <f t="shared" si="32"/>
        <v>#REF!</v>
      </c>
      <c r="BI14" s="58" t="e">
        <f t="shared" si="32"/>
        <v>#REF!</v>
      </c>
      <c r="BJ14" s="58" t="e">
        <f t="shared" si="32"/>
        <v>#REF!</v>
      </c>
      <c r="BK14" s="58" t="e">
        <f t="shared" si="32"/>
        <v>#REF!</v>
      </c>
      <c r="BL14" s="58" t="e">
        <f t="shared" si="32"/>
        <v>#REF!</v>
      </c>
      <c r="BM14" s="58" t="e">
        <f t="shared" si="32"/>
        <v>#REF!</v>
      </c>
      <c r="BN14" s="58">
        <f t="shared" si="32"/>
        <v>0</v>
      </c>
      <c r="BO14" s="58">
        <f t="shared" si="32"/>
        <v>0</v>
      </c>
      <c r="BP14" s="58">
        <f t="shared" si="32"/>
        <v>0</v>
      </c>
      <c r="BQ14" s="58">
        <f t="shared" si="32"/>
        <v>0</v>
      </c>
      <c r="BR14" s="58">
        <f t="shared" si="32"/>
        <v>0</v>
      </c>
      <c r="BS14" s="58">
        <f t="shared" ref="BS14:CI14" si="33">SUM(BP25:BS25)</f>
        <v>0</v>
      </c>
      <c r="BT14" s="58" t="e">
        <f t="shared" si="33"/>
        <v>#REF!</v>
      </c>
      <c r="BU14" s="58" t="e">
        <f t="shared" si="33"/>
        <v>#REF!</v>
      </c>
      <c r="BV14" s="58" t="e">
        <f t="shared" si="33"/>
        <v>#REF!</v>
      </c>
      <c r="BW14" s="58" t="e">
        <f t="shared" si="33"/>
        <v>#REF!</v>
      </c>
      <c r="BX14" s="58" t="e">
        <f t="shared" si="33"/>
        <v>#REF!</v>
      </c>
      <c r="BY14" s="58" t="e">
        <f t="shared" si="33"/>
        <v>#REF!</v>
      </c>
      <c r="BZ14" s="58">
        <f t="shared" si="33"/>
        <v>0</v>
      </c>
      <c r="CA14" s="58">
        <f t="shared" si="33"/>
        <v>0</v>
      </c>
      <c r="CB14" s="58">
        <f t="shared" si="33"/>
        <v>0</v>
      </c>
      <c r="CC14" s="58">
        <f t="shared" si="33"/>
        <v>0</v>
      </c>
      <c r="CD14" s="58">
        <f t="shared" si="33"/>
        <v>0</v>
      </c>
      <c r="CE14" s="58">
        <f t="shared" si="33"/>
        <v>0</v>
      </c>
      <c r="CF14" s="58" t="e">
        <f t="shared" si="33"/>
        <v>#REF!</v>
      </c>
      <c r="CG14" s="58" t="e">
        <f t="shared" si="33"/>
        <v>#REF!</v>
      </c>
      <c r="CH14" s="58" t="e">
        <f t="shared" si="33"/>
        <v>#REF!</v>
      </c>
      <c r="CI14" s="58" t="e">
        <f t="shared" si="33"/>
        <v>#REF!</v>
      </c>
    </row>
    <row r="15" spans="2:87">
      <c r="B15" s="83" t="str">
        <f>B14&amp;" (Cumulative)"</f>
        <v>Sold Young Bulls (Cumulative)</v>
      </c>
      <c r="C15" s="52">
        <v>0</v>
      </c>
      <c r="D15" s="58">
        <f t="shared" ref="D15:AI15" si="34">D14+C15</f>
        <v>0</v>
      </c>
      <c r="E15" s="58">
        <f t="shared" si="34"/>
        <v>0</v>
      </c>
      <c r="F15" s="58">
        <f t="shared" si="34"/>
        <v>0</v>
      </c>
      <c r="G15" s="58">
        <f t="shared" si="34"/>
        <v>0</v>
      </c>
      <c r="H15" s="58">
        <f t="shared" si="34"/>
        <v>0</v>
      </c>
      <c r="I15" s="58">
        <f t="shared" si="34"/>
        <v>0</v>
      </c>
      <c r="J15" s="58">
        <f t="shared" si="34"/>
        <v>0</v>
      </c>
      <c r="K15" s="58">
        <f t="shared" si="34"/>
        <v>0</v>
      </c>
      <c r="L15" s="58" t="e">
        <f t="shared" si="34"/>
        <v>#REF!</v>
      </c>
      <c r="M15" s="58" t="e">
        <f t="shared" si="34"/>
        <v>#REF!</v>
      </c>
      <c r="N15" s="58" t="e">
        <f t="shared" si="34"/>
        <v>#REF!</v>
      </c>
      <c r="O15" s="58" t="e">
        <f t="shared" si="34"/>
        <v>#REF!</v>
      </c>
      <c r="P15" s="58" t="e">
        <f t="shared" si="34"/>
        <v>#REF!</v>
      </c>
      <c r="Q15" s="58" t="e">
        <f t="shared" si="34"/>
        <v>#REF!</v>
      </c>
      <c r="R15" s="58" t="e">
        <f t="shared" si="34"/>
        <v>#REF!</v>
      </c>
      <c r="S15" s="58" t="e">
        <f t="shared" si="34"/>
        <v>#REF!</v>
      </c>
      <c r="T15" s="58" t="e">
        <f t="shared" si="34"/>
        <v>#REF!</v>
      </c>
      <c r="U15" s="58" t="e">
        <f t="shared" si="34"/>
        <v>#REF!</v>
      </c>
      <c r="V15" s="58" t="e">
        <f t="shared" si="34"/>
        <v>#REF!</v>
      </c>
      <c r="W15" s="58" t="e">
        <f t="shared" si="34"/>
        <v>#REF!</v>
      </c>
      <c r="X15" s="58" t="e">
        <f t="shared" si="34"/>
        <v>#REF!</v>
      </c>
      <c r="Y15" s="58" t="e">
        <f t="shared" si="34"/>
        <v>#REF!</v>
      </c>
      <c r="Z15" s="58" t="e">
        <f t="shared" si="34"/>
        <v>#REF!</v>
      </c>
      <c r="AA15" s="58" t="e">
        <f t="shared" si="34"/>
        <v>#REF!</v>
      </c>
      <c r="AB15" s="58" t="e">
        <f t="shared" si="34"/>
        <v>#REF!</v>
      </c>
      <c r="AC15" s="58" t="e">
        <f t="shared" si="34"/>
        <v>#REF!</v>
      </c>
      <c r="AD15" s="58" t="e">
        <f t="shared" si="34"/>
        <v>#REF!</v>
      </c>
      <c r="AE15" s="58" t="e">
        <f t="shared" si="34"/>
        <v>#REF!</v>
      </c>
      <c r="AF15" s="58" t="e">
        <f t="shared" si="34"/>
        <v>#REF!</v>
      </c>
      <c r="AG15" s="58" t="e">
        <f t="shared" si="34"/>
        <v>#REF!</v>
      </c>
      <c r="AH15" s="58" t="e">
        <f t="shared" si="34"/>
        <v>#REF!</v>
      </c>
      <c r="AI15" s="58" t="e">
        <f t="shared" si="34"/>
        <v>#REF!</v>
      </c>
      <c r="AJ15" s="58" t="e">
        <f t="shared" ref="AJ15:BO15" si="35">AJ14+AI15</f>
        <v>#REF!</v>
      </c>
      <c r="AK15" s="58" t="e">
        <f t="shared" si="35"/>
        <v>#REF!</v>
      </c>
      <c r="AL15" s="58" t="e">
        <f t="shared" si="35"/>
        <v>#REF!</v>
      </c>
      <c r="AM15" s="58" t="e">
        <f t="shared" si="35"/>
        <v>#REF!</v>
      </c>
      <c r="AN15" s="58" t="e">
        <f t="shared" si="35"/>
        <v>#REF!</v>
      </c>
      <c r="AO15" s="58" t="e">
        <f t="shared" si="35"/>
        <v>#REF!</v>
      </c>
      <c r="AP15" s="58" t="e">
        <f t="shared" si="35"/>
        <v>#REF!</v>
      </c>
      <c r="AQ15" s="58" t="e">
        <f t="shared" si="35"/>
        <v>#REF!</v>
      </c>
      <c r="AR15" s="58" t="e">
        <f t="shared" si="35"/>
        <v>#REF!</v>
      </c>
      <c r="AS15" s="58" t="e">
        <f t="shared" si="35"/>
        <v>#REF!</v>
      </c>
      <c r="AT15" s="58" t="e">
        <f t="shared" si="35"/>
        <v>#REF!</v>
      </c>
      <c r="AU15" s="58" t="e">
        <f t="shared" si="35"/>
        <v>#REF!</v>
      </c>
      <c r="AV15" s="58" t="e">
        <f t="shared" si="35"/>
        <v>#REF!</v>
      </c>
      <c r="AW15" s="58" t="e">
        <f t="shared" si="35"/>
        <v>#REF!</v>
      </c>
      <c r="AX15" s="58" t="e">
        <f t="shared" si="35"/>
        <v>#REF!</v>
      </c>
      <c r="AY15" s="58" t="e">
        <f t="shared" si="35"/>
        <v>#REF!</v>
      </c>
      <c r="AZ15" s="58" t="e">
        <f t="shared" si="35"/>
        <v>#REF!</v>
      </c>
      <c r="BA15" s="58" t="e">
        <f t="shared" si="35"/>
        <v>#REF!</v>
      </c>
      <c r="BB15" s="58" t="e">
        <f t="shared" si="35"/>
        <v>#REF!</v>
      </c>
      <c r="BC15" s="58" t="e">
        <f t="shared" si="35"/>
        <v>#REF!</v>
      </c>
      <c r="BD15" s="58" t="e">
        <f t="shared" si="35"/>
        <v>#REF!</v>
      </c>
      <c r="BE15" s="58" t="e">
        <f t="shared" si="35"/>
        <v>#REF!</v>
      </c>
      <c r="BF15" s="58" t="e">
        <f t="shared" si="35"/>
        <v>#REF!</v>
      </c>
      <c r="BG15" s="58" t="e">
        <f t="shared" si="35"/>
        <v>#REF!</v>
      </c>
      <c r="BH15" s="58" t="e">
        <f t="shared" si="35"/>
        <v>#REF!</v>
      </c>
      <c r="BI15" s="58" t="e">
        <f t="shared" si="35"/>
        <v>#REF!</v>
      </c>
      <c r="BJ15" s="58" t="e">
        <f t="shared" si="35"/>
        <v>#REF!</v>
      </c>
      <c r="BK15" s="58" t="e">
        <f t="shared" si="35"/>
        <v>#REF!</v>
      </c>
      <c r="BL15" s="58" t="e">
        <f t="shared" si="35"/>
        <v>#REF!</v>
      </c>
      <c r="BM15" s="58" t="e">
        <f t="shared" si="35"/>
        <v>#REF!</v>
      </c>
      <c r="BN15" s="58" t="e">
        <f t="shared" si="35"/>
        <v>#REF!</v>
      </c>
      <c r="BO15" s="58" t="e">
        <f t="shared" si="35"/>
        <v>#REF!</v>
      </c>
      <c r="BP15" s="58" t="e">
        <f t="shared" ref="BP15:CI15" si="36">BP14+BO15</f>
        <v>#REF!</v>
      </c>
      <c r="BQ15" s="58" t="e">
        <f t="shared" si="36"/>
        <v>#REF!</v>
      </c>
      <c r="BR15" s="58" t="e">
        <f t="shared" si="36"/>
        <v>#REF!</v>
      </c>
      <c r="BS15" s="58" t="e">
        <f t="shared" si="36"/>
        <v>#REF!</v>
      </c>
      <c r="BT15" s="58" t="e">
        <f t="shared" si="36"/>
        <v>#REF!</v>
      </c>
      <c r="BU15" s="58" t="e">
        <f t="shared" si="36"/>
        <v>#REF!</v>
      </c>
      <c r="BV15" s="58" t="e">
        <f t="shared" si="36"/>
        <v>#REF!</v>
      </c>
      <c r="BW15" s="58" t="e">
        <f t="shared" si="36"/>
        <v>#REF!</v>
      </c>
      <c r="BX15" s="58" t="e">
        <f t="shared" si="36"/>
        <v>#REF!</v>
      </c>
      <c r="BY15" s="58" t="e">
        <f t="shared" si="36"/>
        <v>#REF!</v>
      </c>
      <c r="BZ15" s="58" t="e">
        <f t="shared" si="36"/>
        <v>#REF!</v>
      </c>
      <c r="CA15" s="58" t="e">
        <f t="shared" si="36"/>
        <v>#REF!</v>
      </c>
      <c r="CB15" s="58" t="e">
        <f t="shared" si="36"/>
        <v>#REF!</v>
      </c>
      <c r="CC15" s="58" t="e">
        <f t="shared" si="36"/>
        <v>#REF!</v>
      </c>
      <c r="CD15" s="58" t="e">
        <f t="shared" si="36"/>
        <v>#REF!</v>
      </c>
      <c r="CE15" s="58" t="e">
        <f t="shared" si="36"/>
        <v>#REF!</v>
      </c>
      <c r="CF15" s="58" t="e">
        <f t="shared" si="36"/>
        <v>#REF!</v>
      </c>
      <c r="CG15" s="58" t="e">
        <f t="shared" si="36"/>
        <v>#REF!</v>
      </c>
      <c r="CH15" s="58" t="e">
        <f t="shared" si="36"/>
        <v>#REF!</v>
      </c>
      <c r="CI15" s="58" t="e">
        <f t="shared" si="36"/>
        <v>#REF!</v>
      </c>
    </row>
    <row r="16" spans="2:87" ht="16" thickBot="1"/>
    <row r="17" spans="2:87" ht="16" thickBot="1">
      <c r="B17" s="53" t="s">
        <v>155</v>
      </c>
      <c r="C17" s="54"/>
      <c r="D17" s="54">
        <v>1</v>
      </c>
      <c r="E17" s="54">
        <f t="shared" ref="E17:AS17" si="37">D17+1</f>
        <v>2</v>
      </c>
      <c r="F17" s="54">
        <f t="shared" si="37"/>
        <v>3</v>
      </c>
      <c r="G17" s="54">
        <f t="shared" si="37"/>
        <v>4</v>
      </c>
      <c r="H17" s="54">
        <f t="shared" si="37"/>
        <v>5</v>
      </c>
      <c r="I17" s="54">
        <f t="shared" si="37"/>
        <v>6</v>
      </c>
      <c r="J17" s="54">
        <f t="shared" si="37"/>
        <v>7</v>
      </c>
      <c r="K17" s="54">
        <f t="shared" si="37"/>
        <v>8</v>
      </c>
      <c r="L17" s="54">
        <f t="shared" si="37"/>
        <v>9</v>
      </c>
      <c r="M17" s="54">
        <f t="shared" si="37"/>
        <v>10</v>
      </c>
      <c r="N17" s="54">
        <f t="shared" si="37"/>
        <v>11</v>
      </c>
      <c r="O17" s="54">
        <f t="shared" si="37"/>
        <v>12</v>
      </c>
      <c r="P17" s="54">
        <f t="shared" si="37"/>
        <v>13</v>
      </c>
      <c r="Q17" s="54">
        <f t="shared" si="37"/>
        <v>14</v>
      </c>
      <c r="R17" s="54">
        <f t="shared" si="37"/>
        <v>15</v>
      </c>
      <c r="S17" s="54">
        <f t="shared" si="37"/>
        <v>16</v>
      </c>
      <c r="T17" s="54">
        <f t="shared" si="37"/>
        <v>17</v>
      </c>
      <c r="U17" s="54">
        <f t="shared" si="37"/>
        <v>18</v>
      </c>
      <c r="V17" s="54">
        <f t="shared" si="37"/>
        <v>19</v>
      </c>
      <c r="W17" s="54">
        <f t="shared" si="37"/>
        <v>20</v>
      </c>
      <c r="X17" s="54">
        <f t="shared" si="37"/>
        <v>21</v>
      </c>
      <c r="Y17" s="54">
        <f t="shared" si="37"/>
        <v>22</v>
      </c>
      <c r="Z17" s="54">
        <f t="shared" si="37"/>
        <v>23</v>
      </c>
      <c r="AA17" s="55">
        <f t="shared" si="37"/>
        <v>24</v>
      </c>
      <c r="AB17" s="55">
        <f t="shared" si="37"/>
        <v>25</v>
      </c>
      <c r="AC17" s="55">
        <f t="shared" si="37"/>
        <v>26</v>
      </c>
      <c r="AD17" s="55">
        <f t="shared" si="37"/>
        <v>27</v>
      </c>
      <c r="AE17" s="55">
        <f t="shared" si="37"/>
        <v>28</v>
      </c>
      <c r="AF17" s="55">
        <f t="shared" si="37"/>
        <v>29</v>
      </c>
      <c r="AG17" s="55">
        <f t="shared" si="37"/>
        <v>30</v>
      </c>
      <c r="AH17" s="55">
        <f t="shared" si="37"/>
        <v>31</v>
      </c>
      <c r="AI17" s="55">
        <f t="shared" si="37"/>
        <v>32</v>
      </c>
      <c r="AJ17" s="55">
        <f t="shared" si="37"/>
        <v>33</v>
      </c>
      <c r="AK17" s="55">
        <f t="shared" si="37"/>
        <v>34</v>
      </c>
      <c r="AL17" s="55">
        <f t="shared" si="37"/>
        <v>35</v>
      </c>
      <c r="AM17" s="55">
        <f t="shared" si="37"/>
        <v>36</v>
      </c>
      <c r="AN17" s="55">
        <f t="shared" si="37"/>
        <v>37</v>
      </c>
      <c r="AO17" s="55">
        <f t="shared" si="37"/>
        <v>38</v>
      </c>
      <c r="AP17" s="55">
        <f t="shared" si="37"/>
        <v>39</v>
      </c>
      <c r="AQ17" s="55">
        <f t="shared" si="37"/>
        <v>40</v>
      </c>
      <c r="AR17" s="55">
        <f t="shared" si="37"/>
        <v>41</v>
      </c>
      <c r="AS17" s="55">
        <f t="shared" si="37"/>
        <v>42</v>
      </c>
      <c r="AT17" s="55">
        <f t="shared" ref="AT17:CI17" si="38">AS17+1</f>
        <v>43</v>
      </c>
      <c r="AU17" s="55">
        <f t="shared" si="38"/>
        <v>44</v>
      </c>
      <c r="AV17" s="55">
        <f t="shared" si="38"/>
        <v>45</v>
      </c>
      <c r="AW17" s="55">
        <f t="shared" si="38"/>
        <v>46</v>
      </c>
      <c r="AX17" s="55">
        <f t="shared" si="38"/>
        <v>47</v>
      </c>
      <c r="AY17" s="55">
        <f t="shared" si="38"/>
        <v>48</v>
      </c>
      <c r="AZ17" s="55">
        <f t="shared" si="38"/>
        <v>49</v>
      </c>
      <c r="BA17" s="55">
        <f t="shared" si="38"/>
        <v>50</v>
      </c>
      <c r="BB17" s="55">
        <f t="shared" si="38"/>
        <v>51</v>
      </c>
      <c r="BC17" s="55">
        <f t="shared" si="38"/>
        <v>52</v>
      </c>
      <c r="BD17" s="55">
        <f t="shared" si="38"/>
        <v>53</v>
      </c>
      <c r="BE17" s="55">
        <f t="shared" si="38"/>
        <v>54</v>
      </c>
      <c r="BF17" s="55">
        <f t="shared" si="38"/>
        <v>55</v>
      </c>
      <c r="BG17" s="55">
        <f t="shared" si="38"/>
        <v>56</v>
      </c>
      <c r="BH17" s="55">
        <f t="shared" si="38"/>
        <v>57</v>
      </c>
      <c r="BI17" s="55">
        <f t="shared" si="38"/>
        <v>58</v>
      </c>
      <c r="BJ17" s="55">
        <f t="shared" si="38"/>
        <v>59</v>
      </c>
      <c r="BK17" s="55">
        <f t="shared" si="38"/>
        <v>60</v>
      </c>
      <c r="BL17" s="55">
        <f t="shared" si="38"/>
        <v>61</v>
      </c>
      <c r="BM17" s="55">
        <f t="shared" si="38"/>
        <v>62</v>
      </c>
      <c r="BN17" s="55">
        <f t="shared" si="38"/>
        <v>63</v>
      </c>
      <c r="BO17" s="55">
        <f t="shared" si="38"/>
        <v>64</v>
      </c>
      <c r="BP17" s="55">
        <f t="shared" si="38"/>
        <v>65</v>
      </c>
      <c r="BQ17" s="55">
        <f t="shared" si="38"/>
        <v>66</v>
      </c>
      <c r="BR17" s="55">
        <f t="shared" si="38"/>
        <v>67</v>
      </c>
      <c r="BS17" s="55">
        <f t="shared" si="38"/>
        <v>68</v>
      </c>
      <c r="BT17" s="55">
        <f t="shared" si="38"/>
        <v>69</v>
      </c>
      <c r="BU17" s="55">
        <f t="shared" si="38"/>
        <v>70</v>
      </c>
      <c r="BV17" s="55">
        <f t="shared" si="38"/>
        <v>71</v>
      </c>
      <c r="BW17" s="55">
        <f t="shared" si="38"/>
        <v>72</v>
      </c>
      <c r="BX17" s="55">
        <f t="shared" si="38"/>
        <v>73</v>
      </c>
      <c r="BY17" s="55">
        <f t="shared" si="38"/>
        <v>74</v>
      </c>
      <c r="BZ17" s="55">
        <f t="shared" si="38"/>
        <v>75</v>
      </c>
      <c r="CA17" s="55">
        <f t="shared" si="38"/>
        <v>76</v>
      </c>
      <c r="CB17" s="55">
        <f t="shared" si="38"/>
        <v>77</v>
      </c>
      <c r="CC17" s="55">
        <f t="shared" si="38"/>
        <v>78</v>
      </c>
      <c r="CD17" s="55">
        <f t="shared" si="38"/>
        <v>79</v>
      </c>
      <c r="CE17" s="55">
        <f t="shared" si="38"/>
        <v>80</v>
      </c>
      <c r="CF17" s="55">
        <f t="shared" si="38"/>
        <v>81</v>
      </c>
      <c r="CG17" s="55">
        <f t="shared" si="38"/>
        <v>82</v>
      </c>
      <c r="CH17" s="55">
        <f t="shared" si="38"/>
        <v>83</v>
      </c>
      <c r="CI17" s="55">
        <f t="shared" si="38"/>
        <v>84</v>
      </c>
    </row>
    <row r="18" spans="2:87">
      <c r="B18" s="71" t="s">
        <v>152</v>
      </c>
      <c r="D18" s="58" t="e">
        <f>D45</f>
        <v>#REF!</v>
      </c>
      <c r="E18" s="58">
        <f t="shared" ref="E18:BP18" si="39">E45</f>
        <v>0</v>
      </c>
      <c r="F18" s="58">
        <f t="shared" si="39"/>
        <v>0</v>
      </c>
      <c r="G18" s="58">
        <f t="shared" si="39"/>
        <v>0</v>
      </c>
      <c r="H18" s="58">
        <f t="shared" si="39"/>
        <v>0</v>
      </c>
      <c r="I18" s="58">
        <f t="shared" si="39"/>
        <v>0</v>
      </c>
      <c r="J18" s="58">
        <f t="shared" si="39"/>
        <v>0</v>
      </c>
      <c r="K18" s="58">
        <f t="shared" si="39"/>
        <v>0</v>
      </c>
      <c r="L18" s="58">
        <f t="shared" si="39"/>
        <v>0</v>
      </c>
      <c r="M18" s="58">
        <f t="shared" si="39"/>
        <v>0</v>
      </c>
      <c r="N18" s="58">
        <f t="shared" si="39"/>
        <v>0</v>
      </c>
      <c r="O18" s="58">
        <f t="shared" si="39"/>
        <v>0</v>
      </c>
      <c r="P18" s="58">
        <f t="shared" si="39"/>
        <v>0</v>
      </c>
      <c r="Q18" s="58">
        <f t="shared" si="39"/>
        <v>0</v>
      </c>
      <c r="R18" s="58">
        <f t="shared" si="39"/>
        <v>0</v>
      </c>
      <c r="S18" s="58">
        <f t="shared" si="39"/>
        <v>0</v>
      </c>
      <c r="T18" s="58">
        <f t="shared" si="39"/>
        <v>0</v>
      </c>
      <c r="U18" s="58">
        <f t="shared" si="39"/>
        <v>0</v>
      </c>
      <c r="V18" s="58">
        <f t="shared" si="39"/>
        <v>0</v>
      </c>
      <c r="W18" s="58">
        <f t="shared" si="39"/>
        <v>0</v>
      </c>
      <c r="X18" s="58">
        <f t="shared" si="39"/>
        <v>0</v>
      </c>
      <c r="Y18" s="58">
        <f t="shared" si="39"/>
        <v>0</v>
      </c>
      <c r="Z18" s="58">
        <f t="shared" si="39"/>
        <v>0</v>
      </c>
      <c r="AA18" s="58">
        <f t="shared" si="39"/>
        <v>0</v>
      </c>
      <c r="AB18" s="58">
        <f t="shared" si="39"/>
        <v>0</v>
      </c>
      <c r="AC18" s="58">
        <f t="shared" si="39"/>
        <v>0</v>
      </c>
      <c r="AD18" s="58">
        <f t="shared" si="39"/>
        <v>0</v>
      </c>
      <c r="AE18" s="58">
        <f t="shared" si="39"/>
        <v>0</v>
      </c>
      <c r="AF18" s="58">
        <f t="shared" si="39"/>
        <v>0</v>
      </c>
      <c r="AG18" s="58">
        <f t="shared" si="39"/>
        <v>0</v>
      </c>
      <c r="AH18" s="58">
        <f t="shared" si="39"/>
        <v>0</v>
      </c>
      <c r="AI18" s="58">
        <f t="shared" si="39"/>
        <v>0</v>
      </c>
      <c r="AJ18" s="58">
        <f t="shared" si="39"/>
        <v>0</v>
      </c>
      <c r="AK18" s="58">
        <f t="shared" si="39"/>
        <v>0</v>
      </c>
      <c r="AL18" s="58">
        <f t="shared" si="39"/>
        <v>0</v>
      </c>
      <c r="AM18" s="58">
        <f t="shared" si="39"/>
        <v>0</v>
      </c>
      <c r="AN18" s="58">
        <f t="shared" si="39"/>
        <v>0</v>
      </c>
      <c r="AO18" s="58">
        <f t="shared" si="39"/>
        <v>0</v>
      </c>
      <c r="AP18" s="58">
        <f t="shared" si="39"/>
        <v>0</v>
      </c>
      <c r="AQ18" s="58">
        <f t="shared" si="39"/>
        <v>0</v>
      </c>
      <c r="AR18" s="58">
        <f t="shared" si="39"/>
        <v>0</v>
      </c>
      <c r="AS18" s="58">
        <f t="shared" si="39"/>
        <v>0</v>
      </c>
      <c r="AT18" s="58">
        <f t="shared" si="39"/>
        <v>0</v>
      </c>
      <c r="AU18" s="58">
        <f t="shared" si="39"/>
        <v>0</v>
      </c>
      <c r="AV18" s="58">
        <f t="shared" si="39"/>
        <v>0</v>
      </c>
      <c r="AW18" s="58">
        <f t="shared" si="39"/>
        <v>0</v>
      </c>
      <c r="AX18" s="58">
        <f t="shared" si="39"/>
        <v>0</v>
      </c>
      <c r="AY18" s="58">
        <f t="shared" si="39"/>
        <v>0</v>
      </c>
      <c r="AZ18" s="58">
        <f t="shared" si="39"/>
        <v>0</v>
      </c>
      <c r="BA18" s="58">
        <f t="shared" si="39"/>
        <v>0</v>
      </c>
      <c r="BB18" s="58">
        <f t="shared" si="39"/>
        <v>0</v>
      </c>
      <c r="BC18" s="58">
        <f t="shared" si="39"/>
        <v>0</v>
      </c>
      <c r="BD18" s="58">
        <f t="shared" si="39"/>
        <v>0</v>
      </c>
      <c r="BE18" s="58">
        <f t="shared" si="39"/>
        <v>0</v>
      </c>
      <c r="BF18" s="58">
        <f t="shared" si="39"/>
        <v>0</v>
      </c>
      <c r="BG18" s="58">
        <f t="shared" si="39"/>
        <v>0</v>
      </c>
      <c r="BH18" s="58">
        <f t="shared" si="39"/>
        <v>0</v>
      </c>
      <c r="BI18" s="58">
        <f t="shared" si="39"/>
        <v>0</v>
      </c>
      <c r="BJ18" s="58">
        <f t="shared" si="39"/>
        <v>0</v>
      </c>
      <c r="BK18" s="58">
        <f t="shared" si="39"/>
        <v>0</v>
      </c>
      <c r="BL18" s="58">
        <f t="shared" si="39"/>
        <v>0</v>
      </c>
      <c r="BM18" s="58">
        <f t="shared" si="39"/>
        <v>0</v>
      </c>
      <c r="BN18" s="58">
        <f t="shared" si="39"/>
        <v>0</v>
      </c>
      <c r="BO18" s="58">
        <f t="shared" si="39"/>
        <v>0</v>
      </c>
      <c r="BP18" s="58">
        <f t="shared" si="39"/>
        <v>0</v>
      </c>
      <c r="BQ18" s="58">
        <f t="shared" ref="BQ18:CI18" si="40">BQ45</f>
        <v>0</v>
      </c>
      <c r="BR18" s="58">
        <f t="shared" si="40"/>
        <v>0</v>
      </c>
      <c r="BS18" s="58">
        <f t="shared" si="40"/>
        <v>0</v>
      </c>
      <c r="BT18" s="58">
        <f t="shared" si="40"/>
        <v>0</v>
      </c>
      <c r="BU18" s="58">
        <f t="shared" si="40"/>
        <v>0</v>
      </c>
      <c r="BV18" s="58">
        <f t="shared" si="40"/>
        <v>0</v>
      </c>
      <c r="BW18" s="58">
        <f t="shared" si="40"/>
        <v>0</v>
      </c>
      <c r="BX18" s="58">
        <f t="shared" si="40"/>
        <v>0</v>
      </c>
      <c r="BY18" s="58">
        <f t="shared" si="40"/>
        <v>0</v>
      </c>
      <c r="BZ18" s="58">
        <f t="shared" si="40"/>
        <v>0</v>
      </c>
      <c r="CA18" s="58">
        <f t="shared" si="40"/>
        <v>0</v>
      </c>
      <c r="CB18" s="58">
        <f t="shared" si="40"/>
        <v>0</v>
      </c>
      <c r="CC18" s="58">
        <f t="shared" si="40"/>
        <v>0</v>
      </c>
      <c r="CD18" s="58">
        <f t="shared" si="40"/>
        <v>0</v>
      </c>
      <c r="CE18" s="58">
        <f t="shared" si="40"/>
        <v>0</v>
      </c>
      <c r="CF18" s="58">
        <f t="shared" si="40"/>
        <v>0</v>
      </c>
      <c r="CG18" s="58">
        <f t="shared" si="40"/>
        <v>0</v>
      </c>
      <c r="CH18" s="58">
        <f t="shared" si="40"/>
        <v>0</v>
      </c>
      <c r="CI18" s="58">
        <f t="shared" si="40"/>
        <v>0</v>
      </c>
    </row>
    <row r="19" spans="2:87">
      <c r="B19" s="71" t="s">
        <v>154</v>
      </c>
      <c r="D19" s="58">
        <f t="shared" ref="D19:AI19" si="41">SUM(D59,D64,D69,D74,D79,D84,D98,D103,D108,D113,D127,D132)</f>
        <v>0</v>
      </c>
      <c r="E19" s="58">
        <f t="shared" si="41"/>
        <v>0</v>
      </c>
      <c r="F19" s="58">
        <f t="shared" si="41"/>
        <v>0</v>
      </c>
      <c r="G19" s="58">
        <f t="shared" si="41"/>
        <v>0</v>
      </c>
      <c r="H19" s="58">
        <f t="shared" si="41"/>
        <v>0</v>
      </c>
      <c r="I19" s="58">
        <f t="shared" si="41"/>
        <v>0</v>
      </c>
      <c r="J19" s="58">
        <f t="shared" si="41"/>
        <v>0</v>
      </c>
      <c r="K19" s="58">
        <f t="shared" si="41"/>
        <v>0</v>
      </c>
      <c r="L19" s="58">
        <f t="shared" si="41"/>
        <v>0</v>
      </c>
      <c r="M19" s="58">
        <f t="shared" si="41"/>
        <v>0</v>
      </c>
      <c r="N19" s="58">
        <f t="shared" si="41"/>
        <v>0</v>
      </c>
      <c r="O19" s="58">
        <f t="shared" si="41"/>
        <v>0</v>
      </c>
      <c r="P19" s="58">
        <f t="shared" si="41"/>
        <v>0</v>
      </c>
      <c r="Q19" s="58">
        <f t="shared" si="41"/>
        <v>0</v>
      </c>
      <c r="R19" s="58">
        <f t="shared" si="41"/>
        <v>0</v>
      </c>
      <c r="S19" s="58">
        <f t="shared" si="41"/>
        <v>0</v>
      </c>
      <c r="T19" s="58">
        <f t="shared" si="41"/>
        <v>0</v>
      </c>
      <c r="U19" s="58">
        <f t="shared" si="41"/>
        <v>0</v>
      </c>
      <c r="V19" s="58">
        <f t="shared" si="41"/>
        <v>0</v>
      </c>
      <c r="W19" s="58">
        <f t="shared" si="41"/>
        <v>0</v>
      </c>
      <c r="X19" s="58">
        <f t="shared" si="41"/>
        <v>0</v>
      </c>
      <c r="Y19" s="58" t="e">
        <f t="shared" si="41"/>
        <v>#REF!</v>
      </c>
      <c r="Z19" s="58">
        <f t="shared" si="41"/>
        <v>0</v>
      </c>
      <c r="AA19" s="58">
        <f t="shared" si="41"/>
        <v>0</v>
      </c>
      <c r="AB19" s="58">
        <f t="shared" si="41"/>
        <v>0</v>
      </c>
      <c r="AC19" s="58">
        <f t="shared" si="41"/>
        <v>0</v>
      </c>
      <c r="AD19" s="58">
        <f t="shared" si="41"/>
        <v>0</v>
      </c>
      <c r="AE19" s="58">
        <f t="shared" si="41"/>
        <v>0</v>
      </c>
      <c r="AF19" s="58">
        <f t="shared" si="41"/>
        <v>0</v>
      </c>
      <c r="AG19" s="58">
        <f t="shared" si="41"/>
        <v>0</v>
      </c>
      <c r="AH19" s="58">
        <f t="shared" si="41"/>
        <v>0</v>
      </c>
      <c r="AI19" s="58">
        <f t="shared" si="41"/>
        <v>0</v>
      </c>
      <c r="AJ19" s="58">
        <f t="shared" ref="AJ19:BO19" si="42">SUM(AJ59,AJ64,AJ69,AJ74,AJ79,AJ84,AJ98,AJ103,AJ108,AJ113,AJ127,AJ132)</f>
        <v>0</v>
      </c>
      <c r="AK19" s="58" t="e">
        <f t="shared" si="42"/>
        <v>#REF!</v>
      </c>
      <c r="AL19" s="58">
        <f t="shared" si="42"/>
        <v>0</v>
      </c>
      <c r="AM19" s="58">
        <f t="shared" si="42"/>
        <v>0</v>
      </c>
      <c r="AN19" s="58">
        <f t="shared" si="42"/>
        <v>0</v>
      </c>
      <c r="AO19" s="58">
        <f t="shared" si="42"/>
        <v>0</v>
      </c>
      <c r="AP19" s="58">
        <f t="shared" si="42"/>
        <v>0</v>
      </c>
      <c r="AQ19" s="58">
        <f t="shared" si="42"/>
        <v>0</v>
      </c>
      <c r="AR19" s="58">
        <f t="shared" si="42"/>
        <v>0</v>
      </c>
      <c r="AS19" s="58">
        <f t="shared" si="42"/>
        <v>0</v>
      </c>
      <c r="AT19" s="58">
        <f t="shared" si="42"/>
        <v>0</v>
      </c>
      <c r="AU19" s="58">
        <f t="shared" si="42"/>
        <v>0</v>
      </c>
      <c r="AV19" s="58">
        <f t="shared" si="42"/>
        <v>0</v>
      </c>
      <c r="AW19" s="58" t="e">
        <f t="shared" si="42"/>
        <v>#REF!</v>
      </c>
      <c r="AX19" s="58">
        <f t="shared" si="42"/>
        <v>0</v>
      </c>
      <c r="AY19" s="58">
        <f t="shared" si="42"/>
        <v>0</v>
      </c>
      <c r="AZ19" s="58">
        <f t="shared" si="42"/>
        <v>0</v>
      </c>
      <c r="BA19" s="58">
        <f t="shared" si="42"/>
        <v>0</v>
      </c>
      <c r="BB19" s="58">
        <f t="shared" si="42"/>
        <v>0</v>
      </c>
      <c r="BC19" s="58">
        <f t="shared" si="42"/>
        <v>0</v>
      </c>
      <c r="BD19" s="58">
        <f>SUM(BD59,BD64,BD69,BD74,BD79,BD84,BD98,BD103,BD108,BD113,BD127,BD132)</f>
        <v>0</v>
      </c>
      <c r="BE19" s="58">
        <f t="shared" si="42"/>
        <v>0</v>
      </c>
      <c r="BF19" s="58">
        <f t="shared" si="42"/>
        <v>0</v>
      </c>
      <c r="BG19" s="58">
        <f t="shared" si="42"/>
        <v>0</v>
      </c>
      <c r="BH19" s="58">
        <f t="shared" si="42"/>
        <v>0</v>
      </c>
      <c r="BI19" s="58" t="e">
        <f t="shared" si="42"/>
        <v>#REF!</v>
      </c>
      <c r="BJ19" s="58">
        <f t="shared" si="42"/>
        <v>0</v>
      </c>
      <c r="BK19" s="58">
        <f t="shared" si="42"/>
        <v>0</v>
      </c>
      <c r="BL19" s="58">
        <f t="shared" si="42"/>
        <v>0</v>
      </c>
      <c r="BM19" s="58">
        <f t="shared" si="42"/>
        <v>0</v>
      </c>
      <c r="BN19" s="58">
        <f t="shared" si="42"/>
        <v>0</v>
      </c>
      <c r="BO19" s="58">
        <f t="shared" si="42"/>
        <v>0</v>
      </c>
      <c r="BP19" s="58" t="e">
        <f t="shared" ref="BP19:CI19" si="43">SUM(BP59,BP64,BP69,BP74,BP79,BP84,BP98,BP103,BP108,BP113,BP127,BP132)</f>
        <v>#REF!</v>
      </c>
      <c r="BQ19" s="58">
        <f t="shared" si="43"/>
        <v>0</v>
      </c>
      <c r="BR19" s="58">
        <f t="shared" si="43"/>
        <v>0</v>
      </c>
      <c r="BS19" s="58">
        <f t="shared" si="43"/>
        <v>0</v>
      </c>
      <c r="BT19" s="58">
        <f t="shared" si="43"/>
        <v>0</v>
      </c>
      <c r="BU19" s="58" t="e">
        <f t="shared" si="43"/>
        <v>#REF!</v>
      </c>
      <c r="BV19" s="58">
        <f t="shared" si="43"/>
        <v>0</v>
      </c>
      <c r="BW19" s="58">
        <f t="shared" si="43"/>
        <v>0</v>
      </c>
      <c r="BX19" s="58">
        <f t="shared" si="43"/>
        <v>0</v>
      </c>
      <c r="BY19" s="58">
        <f t="shared" si="43"/>
        <v>0</v>
      </c>
      <c r="BZ19" s="58">
        <f t="shared" si="43"/>
        <v>0</v>
      </c>
      <c r="CA19" s="58">
        <f t="shared" si="43"/>
        <v>0</v>
      </c>
      <c r="CB19" s="58">
        <f t="shared" si="43"/>
        <v>0</v>
      </c>
      <c r="CC19" s="58">
        <f t="shared" si="43"/>
        <v>0</v>
      </c>
      <c r="CD19" s="58">
        <f t="shared" si="43"/>
        <v>0</v>
      </c>
      <c r="CE19" s="58">
        <f t="shared" si="43"/>
        <v>0</v>
      </c>
      <c r="CF19" s="58">
        <f t="shared" si="43"/>
        <v>0</v>
      </c>
      <c r="CG19" s="58">
        <f t="shared" si="43"/>
        <v>0</v>
      </c>
      <c r="CH19" s="58">
        <f t="shared" si="43"/>
        <v>0</v>
      </c>
      <c r="CI19" s="58">
        <f t="shared" si="43"/>
        <v>0</v>
      </c>
    </row>
    <row r="20" spans="2:87">
      <c r="B20" s="71" t="s">
        <v>130</v>
      </c>
      <c r="D20" s="58">
        <f t="shared" ref="D20:AI20" si="44">SUM(D46,D60,D65,D70,D75,D80,D85,D99,D104,D109,D114,D128,D133)</f>
        <v>0</v>
      </c>
      <c r="E20" s="58">
        <f t="shared" si="44"/>
        <v>0</v>
      </c>
      <c r="F20" s="58">
        <f t="shared" si="44"/>
        <v>0</v>
      </c>
      <c r="G20" s="58">
        <f t="shared" si="44"/>
        <v>0</v>
      </c>
      <c r="H20" s="58">
        <f t="shared" si="44"/>
        <v>0</v>
      </c>
      <c r="I20" s="58" t="e">
        <f t="shared" si="44"/>
        <v>#REF!</v>
      </c>
      <c r="J20" s="58">
        <f t="shared" si="44"/>
        <v>0</v>
      </c>
      <c r="K20" s="58">
        <f t="shared" si="44"/>
        <v>0</v>
      </c>
      <c r="L20" s="58">
        <f t="shared" si="44"/>
        <v>0</v>
      </c>
      <c r="M20" s="58">
        <f t="shared" si="44"/>
        <v>0</v>
      </c>
      <c r="N20" s="58">
        <f t="shared" si="44"/>
        <v>0</v>
      </c>
      <c r="O20" s="58">
        <f t="shared" si="44"/>
        <v>0</v>
      </c>
      <c r="P20" s="58">
        <f t="shared" si="44"/>
        <v>0</v>
      </c>
      <c r="Q20" s="58">
        <f t="shared" si="44"/>
        <v>0</v>
      </c>
      <c r="R20" s="58">
        <f t="shared" si="44"/>
        <v>0</v>
      </c>
      <c r="S20" s="58">
        <f t="shared" si="44"/>
        <v>0</v>
      </c>
      <c r="T20" s="58">
        <f t="shared" si="44"/>
        <v>0</v>
      </c>
      <c r="U20" s="58" t="e">
        <f t="shared" si="44"/>
        <v>#REF!</v>
      </c>
      <c r="V20" s="58">
        <f t="shared" si="44"/>
        <v>0</v>
      </c>
      <c r="W20" s="58">
        <f t="shared" si="44"/>
        <v>0</v>
      </c>
      <c r="X20" s="58">
        <f t="shared" si="44"/>
        <v>0</v>
      </c>
      <c r="Y20" s="58">
        <f t="shared" si="44"/>
        <v>0</v>
      </c>
      <c r="Z20" s="58">
        <f t="shared" si="44"/>
        <v>0</v>
      </c>
      <c r="AA20" s="58">
        <f t="shared" si="44"/>
        <v>0</v>
      </c>
      <c r="AB20" s="58">
        <f t="shared" si="44"/>
        <v>0</v>
      </c>
      <c r="AC20" s="58">
        <f t="shared" si="44"/>
        <v>0</v>
      </c>
      <c r="AD20" s="58">
        <f t="shared" si="44"/>
        <v>0</v>
      </c>
      <c r="AE20" s="58">
        <f t="shared" si="44"/>
        <v>0</v>
      </c>
      <c r="AF20" s="58">
        <f t="shared" si="44"/>
        <v>0</v>
      </c>
      <c r="AG20" s="58" t="e">
        <f>SUM(AG46,AG60,AG65,AG70,AG75,AG80,AG85,AG99,AG104,AG109,AG114,AG128,AG133)</f>
        <v>#REF!</v>
      </c>
      <c r="AH20" s="58">
        <f t="shared" si="44"/>
        <v>0</v>
      </c>
      <c r="AI20" s="58">
        <f t="shared" si="44"/>
        <v>0</v>
      </c>
      <c r="AJ20" s="58">
        <f t="shared" ref="AJ20:BO20" si="45">SUM(AJ46,AJ60,AJ65,AJ70,AJ75,AJ80,AJ85,AJ99,AJ104,AJ109,AJ114,AJ128,AJ133)</f>
        <v>0</v>
      </c>
      <c r="AK20" s="58">
        <f t="shared" si="45"/>
        <v>0</v>
      </c>
      <c r="AL20" s="58">
        <f t="shared" si="45"/>
        <v>0</v>
      </c>
      <c r="AM20" s="58">
        <f t="shared" si="45"/>
        <v>0</v>
      </c>
      <c r="AN20" s="58">
        <f t="shared" si="45"/>
        <v>0</v>
      </c>
      <c r="AO20" s="58">
        <f t="shared" si="45"/>
        <v>0</v>
      </c>
      <c r="AP20" s="58">
        <f t="shared" si="45"/>
        <v>0</v>
      </c>
      <c r="AQ20" s="58">
        <f t="shared" si="45"/>
        <v>0</v>
      </c>
      <c r="AR20" s="58">
        <f t="shared" si="45"/>
        <v>0</v>
      </c>
      <c r="AS20" s="58" t="e">
        <f t="shared" si="45"/>
        <v>#REF!</v>
      </c>
      <c r="AT20" s="58">
        <f t="shared" si="45"/>
        <v>0</v>
      </c>
      <c r="AU20" s="58">
        <f t="shared" si="45"/>
        <v>0</v>
      </c>
      <c r="AV20" s="58">
        <f t="shared" si="45"/>
        <v>0</v>
      </c>
      <c r="AW20" s="58">
        <f t="shared" si="45"/>
        <v>0</v>
      </c>
      <c r="AX20" s="58">
        <f t="shared" si="45"/>
        <v>0</v>
      </c>
      <c r="AY20" s="58">
        <f t="shared" si="45"/>
        <v>0</v>
      </c>
      <c r="AZ20" s="58">
        <f t="shared" si="45"/>
        <v>0</v>
      </c>
      <c r="BA20" s="58">
        <f t="shared" si="45"/>
        <v>0</v>
      </c>
      <c r="BB20" s="58">
        <f t="shared" si="45"/>
        <v>0</v>
      </c>
      <c r="BC20" s="58">
        <f t="shared" si="45"/>
        <v>0</v>
      </c>
      <c r="BD20" s="58">
        <f t="shared" si="45"/>
        <v>0</v>
      </c>
      <c r="BE20" s="58" t="e">
        <f>SUM(BE46,BE60,BE65,BE70,BE75,BE80,BE85,BE99,BE104,BE109,BE114,BE128,BE133)</f>
        <v>#REF!</v>
      </c>
      <c r="BF20" s="58">
        <f t="shared" si="45"/>
        <v>0</v>
      </c>
      <c r="BG20" s="58">
        <f t="shared" si="45"/>
        <v>0</v>
      </c>
      <c r="BH20" s="58">
        <f t="shared" si="45"/>
        <v>0</v>
      </c>
      <c r="BI20" s="58">
        <f t="shared" si="45"/>
        <v>0</v>
      </c>
      <c r="BJ20" s="58">
        <f t="shared" si="45"/>
        <v>0</v>
      </c>
      <c r="BK20" s="58">
        <f t="shared" si="45"/>
        <v>0</v>
      </c>
      <c r="BL20" s="58">
        <f t="shared" si="45"/>
        <v>0</v>
      </c>
      <c r="BM20" s="58">
        <f t="shared" si="45"/>
        <v>0</v>
      </c>
      <c r="BN20" s="58">
        <f t="shared" si="45"/>
        <v>0</v>
      </c>
      <c r="BO20" s="58">
        <f t="shared" si="45"/>
        <v>0</v>
      </c>
      <c r="BP20" s="58">
        <f t="shared" ref="BP20:CI20" si="46">SUM(BP46,BP60,BP65,BP70,BP75,BP80,BP85,BP99,BP104,BP109,BP114,BP128,BP133)</f>
        <v>0</v>
      </c>
      <c r="BQ20" s="58" t="e">
        <f t="shared" si="46"/>
        <v>#REF!</v>
      </c>
      <c r="BR20" s="58">
        <f t="shared" si="46"/>
        <v>0</v>
      </c>
      <c r="BS20" s="58">
        <f t="shared" si="46"/>
        <v>0</v>
      </c>
      <c r="BT20" s="58">
        <f t="shared" si="46"/>
        <v>0</v>
      </c>
      <c r="BU20" s="58">
        <f t="shared" si="46"/>
        <v>0</v>
      </c>
      <c r="BV20" s="58">
        <f t="shared" si="46"/>
        <v>0</v>
      </c>
      <c r="BW20" s="58">
        <f t="shared" si="46"/>
        <v>0</v>
      </c>
      <c r="BX20" s="58">
        <f t="shared" si="46"/>
        <v>0</v>
      </c>
      <c r="BY20" s="58">
        <f t="shared" si="46"/>
        <v>0</v>
      </c>
      <c r="BZ20" s="58">
        <f t="shared" si="46"/>
        <v>0</v>
      </c>
      <c r="CA20" s="58">
        <f t="shared" si="46"/>
        <v>0</v>
      </c>
      <c r="CB20" s="58">
        <f t="shared" si="46"/>
        <v>0</v>
      </c>
      <c r="CC20" s="58" t="e">
        <f t="shared" si="46"/>
        <v>#REF!</v>
      </c>
      <c r="CD20" s="58">
        <f t="shared" si="46"/>
        <v>0</v>
      </c>
      <c r="CE20" s="58">
        <f t="shared" si="46"/>
        <v>0</v>
      </c>
      <c r="CF20" s="58">
        <f t="shared" si="46"/>
        <v>0</v>
      </c>
      <c r="CG20" s="58">
        <f t="shared" si="46"/>
        <v>0</v>
      </c>
      <c r="CH20" s="58">
        <f t="shared" si="46"/>
        <v>0</v>
      </c>
      <c r="CI20" s="58">
        <f t="shared" si="46"/>
        <v>0</v>
      </c>
    </row>
    <row r="21" spans="2:87">
      <c r="B21" s="52" t="s">
        <v>121</v>
      </c>
      <c r="D21" s="58">
        <f t="shared" ref="D21:AI21" si="47">SUM(D47,D61,D66,D71,D76,D81,D86,D100,D105,D110,D115,D129,D134)</f>
        <v>0</v>
      </c>
      <c r="E21" s="58">
        <f t="shared" si="47"/>
        <v>0</v>
      </c>
      <c r="F21" s="58">
        <f t="shared" si="47"/>
        <v>0</v>
      </c>
      <c r="G21" s="58">
        <f t="shared" si="47"/>
        <v>0</v>
      </c>
      <c r="H21" s="58">
        <f t="shared" si="47"/>
        <v>0</v>
      </c>
      <c r="I21" s="58" t="e">
        <f t="shared" si="47"/>
        <v>#REF!</v>
      </c>
      <c r="J21" s="58" t="e">
        <f t="shared" si="47"/>
        <v>#REF!</v>
      </c>
      <c r="K21" s="58" t="e">
        <f t="shared" si="47"/>
        <v>#REF!</v>
      </c>
      <c r="L21" s="58" t="e">
        <f t="shared" si="47"/>
        <v>#REF!</v>
      </c>
      <c r="M21" s="58" t="e">
        <f t="shared" si="47"/>
        <v>#REF!</v>
      </c>
      <c r="N21" s="58" t="e">
        <f t="shared" si="47"/>
        <v>#REF!</v>
      </c>
      <c r="O21" s="58" t="e">
        <f t="shared" si="47"/>
        <v>#REF!</v>
      </c>
      <c r="P21" s="58" t="e">
        <f t="shared" si="47"/>
        <v>#REF!</v>
      </c>
      <c r="Q21" s="58" t="e">
        <f t="shared" si="47"/>
        <v>#REF!</v>
      </c>
      <c r="R21" s="58" t="e">
        <f t="shared" si="47"/>
        <v>#REF!</v>
      </c>
      <c r="S21" s="58" t="e">
        <f t="shared" si="47"/>
        <v>#REF!</v>
      </c>
      <c r="T21" s="58">
        <f t="shared" si="47"/>
        <v>0</v>
      </c>
      <c r="U21" s="58" t="e">
        <f t="shared" si="47"/>
        <v>#REF!</v>
      </c>
      <c r="V21" s="58" t="e">
        <f t="shared" si="47"/>
        <v>#REF!</v>
      </c>
      <c r="W21" s="58" t="e">
        <f t="shared" si="47"/>
        <v>#REF!</v>
      </c>
      <c r="X21" s="58" t="e">
        <f t="shared" si="47"/>
        <v>#REF!</v>
      </c>
      <c r="Y21" s="58" t="e">
        <f t="shared" si="47"/>
        <v>#REF!</v>
      </c>
      <c r="Z21" s="58" t="e">
        <f t="shared" si="47"/>
        <v>#REF!</v>
      </c>
      <c r="AA21" s="58" t="e">
        <f t="shared" si="47"/>
        <v>#REF!</v>
      </c>
      <c r="AB21" s="58" t="e">
        <f t="shared" si="47"/>
        <v>#REF!</v>
      </c>
      <c r="AC21" s="58" t="e">
        <f t="shared" si="47"/>
        <v>#REF!</v>
      </c>
      <c r="AD21" s="58" t="e">
        <f t="shared" si="47"/>
        <v>#REF!</v>
      </c>
      <c r="AE21" s="58" t="e">
        <f t="shared" si="47"/>
        <v>#REF!</v>
      </c>
      <c r="AF21" s="58">
        <f t="shared" si="47"/>
        <v>0</v>
      </c>
      <c r="AG21" s="58" t="e">
        <f t="shared" si="47"/>
        <v>#REF!</v>
      </c>
      <c r="AH21" s="58" t="e">
        <f t="shared" si="47"/>
        <v>#REF!</v>
      </c>
      <c r="AI21" s="58" t="e">
        <f t="shared" si="47"/>
        <v>#REF!</v>
      </c>
      <c r="AJ21" s="58" t="e">
        <f t="shared" ref="AJ21:BO21" si="48">SUM(AJ47,AJ61,AJ66,AJ71,AJ76,AJ81,AJ86,AJ100,AJ105,AJ110,AJ115,AJ129,AJ134)</f>
        <v>#REF!</v>
      </c>
      <c r="AK21" s="58" t="e">
        <f t="shared" si="48"/>
        <v>#REF!</v>
      </c>
      <c r="AL21" s="58" t="e">
        <f t="shared" si="48"/>
        <v>#REF!</v>
      </c>
      <c r="AM21" s="58" t="e">
        <f t="shared" si="48"/>
        <v>#REF!</v>
      </c>
      <c r="AN21" s="58" t="e">
        <f t="shared" si="48"/>
        <v>#REF!</v>
      </c>
      <c r="AO21" s="58" t="e">
        <f t="shared" si="48"/>
        <v>#REF!</v>
      </c>
      <c r="AP21" s="58" t="e">
        <f t="shared" si="48"/>
        <v>#REF!</v>
      </c>
      <c r="AQ21" s="58" t="e">
        <f t="shared" si="48"/>
        <v>#REF!</v>
      </c>
      <c r="AR21" s="58">
        <f t="shared" si="48"/>
        <v>0</v>
      </c>
      <c r="AS21" s="58" t="e">
        <f t="shared" si="48"/>
        <v>#REF!</v>
      </c>
      <c r="AT21" s="58" t="e">
        <f t="shared" si="48"/>
        <v>#REF!</v>
      </c>
      <c r="AU21" s="58" t="e">
        <f t="shared" si="48"/>
        <v>#REF!</v>
      </c>
      <c r="AV21" s="58" t="e">
        <f t="shared" si="48"/>
        <v>#REF!</v>
      </c>
      <c r="AW21" s="58" t="e">
        <f t="shared" si="48"/>
        <v>#REF!</v>
      </c>
      <c r="AX21" s="58" t="e">
        <f t="shared" si="48"/>
        <v>#REF!</v>
      </c>
      <c r="AY21" s="58" t="e">
        <f t="shared" si="48"/>
        <v>#REF!</v>
      </c>
      <c r="AZ21" s="58" t="e">
        <f t="shared" si="48"/>
        <v>#REF!</v>
      </c>
      <c r="BA21" s="58" t="e">
        <f t="shared" si="48"/>
        <v>#REF!</v>
      </c>
      <c r="BB21" s="58" t="e">
        <f t="shared" si="48"/>
        <v>#REF!</v>
      </c>
      <c r="BC21" s="58" t="e">
        <f t="shared" si="48"/>
        <v>#REF!</v>
      </c>
      <c r="BD21" s="58">
        <f t="shared" si="48"/>
        <v>0</v>
      </c>
      <c r="BE21" s="58" t="e">
        <f t="shared" si="48"/>
        <v>#REF!</v>
      </c>
      <c r="BF21" s="58" t="e">
        <f t="shared" si="48"/>
        <v>#REF!</v>
      </c>
      <c r="BG21" s="58" t="e">
        <f t="shared" si="48"/>
        <v>#REF!</v>
      </c>
      <c r="BH21" s="58" t="e">
        <f t="shared" si="48"/>
        <v>#REF!</v>
      </c>
      <c r="BI21" s="58" t="e">
        <f t="shared" si="48"/>
        <v>#REF!</v>
      </c>
      <c r="BJ21" s="58" t="e">
        <f t="shared" si="48"/>
        <v>#REF!</v>
      </c>
      <c r="BK21" s="58" t="e">
        <f t="shared" si="48"/>
        <v>#REF!</v>
      </c>
      <c r="BL21" s="58" t="e">
        <f t="shared" si="48"/>
        <v>#REF!</v>
      </c>
      <c r="BM21" s="58" t="e">
        <f t="shared" si="48"/>
        <v>#REF!</v>
      </c>
      <c r="BN21" s="58" t="e">
        <f t="shared" si="48"/>
        <v>#REF!</v>
      </c>
      <c r="BO21" s="58" t="e">
        <f t="shared" si="48"/>
        <v>#REF!</v>
      </c>
      <c r="BP21" s="58">
        <f t="shared" ref="BP21:CI21" si="49">SUM(BP47,BP61,BP66,BP71,BP76,BP81,BP86,BP100,BP105,BP110,BP115,BP129,BP134)</f>
        <v>0</v>
      </c>
      <c r="BQ21" s="58" t="e">
        <f t="shared" si="49"/>
        <v>#REF!</v>
      </c>
      <c r="BR21" s="58" t="e">
        <f t="shared" si="49"/>
        <v>#REF!</v>
      </c>
      <c r="BS21" s="58" t="e">
        <f t="shared" si="49"/>
        <v>#REF!</v>
      </c>
      <c r="BT21" s="58" t="e">
        <f t="shared" si="49"/>
        <v>#REF!</v>
      </c>
      <c r="BU21" s="58" t="e">
        <f t="shared" si="49"/>
        <v>#REF!</v>
      </c>
      <c r="BV21" s="58" t="e">
        <f t="shared" si="49"/>
        <v>#REF!</v>
      </c>
      <c r="BW21" s="58" t="e">
        <f t="shared" si="49"/>
        <v>#REF!</v>
      </c>
      <c r="BX21" s="58" t="e">
        <f t="shared" si="49"/>
        <v>#REF!</v>
      </c>
      <c r="BY21" s="58" t="e">
        <f t="shared" si="49"/>
        <v>#REF!</v>
      </c>
      <c r="BZ21" s="58" t="e">
        <f t="shared" si="49"/>
        <v>#REF!</v>
      </c>
      <c r="CA21" s="58" t="e">
        <f t="shared" si="49"/>
        <v>#REF!</v>
      </c>
      <c r="CB21" s="58">
        <f t="shared" si="49"/>
        <v>0</v>
      </c>
      <c r="CC21" s="58" t="e">
        <f t="shared" si="49"/>
        <v>#REF!</v>
      </c>
      <c r="CD21" s="58" t="e">
        <f t="shared" si="49"/>
        <v>#REF!</v>
      </c>
      <c r="CE21" s="58" t="e">
        <f t="shared" si="49"/>
        <v>#REF!</v>
      </c>
      <c r="CF21" s="58" t="e">
        <f t="shared" si="49"/>
        <v>#REF!</v>
      </c>
      <c r="CG21" s="58" t="e">
        <f t="shared" si="49"/>
        <v>#REF!</v>
      </c>
      <c r="CH21" s="58" t="e">
        <f t="shared" si="49"/>
        <v>#REF!</v>
      </c>
      <c r="CI21" s="58" t="e">
        <f t="shared" si="49"/>
        <v>#REF!</v>
      </c>
    </row>
    <row r="22" spans="2:87">
      <c r="B22" s="52" t="s">
        <v>132</v>
      </c>
      <c r="D22" s="58">
        <f t="shared" ref="D22:AI22" si="50">SUM(D48,D62,D67,D72,D77,D82,D87,D101,D106,D111,D116,D130,D135)</f>
        <v>0</v>
      </c>
      <c r="E22" s="58">
        <f t="shared" si="50"/>
        <v>0</v>
      </c>
      <c r="F22" s="58">
        <f t="shared" si="50"/>
        <v>0</v>
      </c>
      <c r="G22" s="58">
        <f t="shared" si="50"/>
        <v>0</v>
      </c>
      <c r="H22" s="58">
        <f t="shared" si="50"/>
        <v>0</v>
      </c>
      <c r="I22" s="58">
        <f t="shared" si="50"/>
        <v>0</v>
      </c>
      <c r="J22" s="58">
        <f t="shared" si="50"/>
        <v>0</v>
      </c>
      <c r="K22" s="58">
        <f t="shared" si="50"/>
        <v>0</v>
      </c>
      <c r="L22" s="58">
        <f t="shared" si="50"/>
        <v>0</v>
      </c>
      <c r="M22" s="58">
        <f t="shared" si="50"/>
        <v>0</v>
      </c>
      <c r="N22" s="58">
        <f t="shared" si="50"/>
        <v>0</v>
      </c>
      <c r="O22" s="58">
        <f t="shared" si="50"/>
        <v>0</v>
      </c>
      <c r="P22" s="58">
        <f t="shared" si="50"/>
        <v>0</v>
      </c>
      <c r="Q22" s="58">
        <f t="shared" si="50"/>
        <v>0</v>
      </c>
      <c r="R22" s="58">
        <f t="shared" si="50"/>
        <v>0</v>
      </c>
      <c r="S22" s="58">
        <f t="shared" si="50"/>
        <v>0</v>
      </c>
      <c r="T22" s="58">
        <f t="shared" si="50"/>
        <v>0</v>
      </c>
      <c r="U22" s="58">
        <f t="shared" si="50"/>
        <v>0</v>
      </c>
      <c r="V22" s="58">
        <f t="shared" si="50"/>
        <v>0</v>
      </c>
      <c r="W22" s="58">
        <f t="shared" si="50"/>
        <v>0</v>
      </c>
      <c r="X22" s="58">
        <f t="shared" si="50"/>
        <v>0</v>
      </c>
      <c r="Y22" s="58">
        <f t="shared" si="50"/>
        <v>0</v>
      </c>
      <c r="Z22" s="58">
        <f t="shared" si="50"/>
        <v>0</v>
      </c>
      <c r="AA22" s="58">
        <f t="shared" si="50"/>
        <v>0</v>
      </c>
      <c r="AB22" s="58">
        <f t="shared" si="50"/>
        <v>0</v>
      </c>
      <c r="AC22" s="58">
        <f t="shared" si="50"/>
        <v>0</v>
      </c>
      <c r="AD22" s="58">
        <f t="shared" si="50"/>
        <v>0</v>
      </c>
      <c r="AE22" s="58">
        <f t="shared" si="50"/>
        <v>0</v>
      </c>
      <c r="AF22" s="58" t="e">
        <f t="shared" si="50"/>
        <v>#REF!</v>
      </c>
      <c r="AG22" s="58">
        <f t="shared" si="50"/>
        <v>0</v>
      </c>
      <c r="AH22" s="58">
        <f t="shared" si="50"/>
        <v>0</v>
      </c>
      <c r="AI22" s="58">
        <f t="shared" si="50"/>
        <v>0</v>
      </c>
      <c r="AJ22" s="58">
        <f t="shared" ref="AJ22:BO22" si="51">SUM(AJ48,AJ62,AJ67,AJ72,AJ77,AJ82,AJ87,AJ101,AJ106,AJ111,AJ116,AJ130,AJ135)</f>
        <v>0</v>
      </c>
      <c r="AK22" s="58">
        <f t="shared" si="51"/>
        <v>0</v>
      </c>
      <c r="AL22" s="58">
        <f t="shared" si="51"/>
        <v>0</v>
      </c>
      <c r="AM22" s="58">
        <f t="shared" si="51"/>
        <v>0</v>
      </c>
      <c r="AN22" s="58">
        <f t="shared" si="51"/>
        <v>0</v>
      </c>
      <c r="AO22" s="58">
        <f t="shared" si="51"/>
        <v>0</v>
      </c>
      <c r="AP22" s="58">
        <f t="shared" si="51"/>
        <v>0</v>
      </c>
      <c r="AQ22" s="58">
        <f t="shared" si="51"/>
        <v>0</v>
      </c>
      <c r="AR22" s="58" t="e">
        <f t="shared" si="51"/>
        <v>#REF!</v>
      </c>
      <c r="AS22" s="58">
        <f t="shared" si="51"/>
        <v>0</v>
      </c>
      <c r="AT22" s="58">
        <f t="shared" si="51"/>
        <v>0</v>
      </c>
      <c r="AU22" s="58">
        <f t="shared" si="51"/>
        <v>0</v>
      </c>
      <c r="AV22" s="58">
        <f t="shared" si="51"/>
        <v>0</v>
      </c>
      <c r="AW22" s="58">
        <f t="shared" si="51"/>
        <v>0</v>
      </c>
      <c r="AX22" s="58">
        <f t="shared" si="51"/>
        <v>0</v>
      </c>
      <c r="AY22" s="58">
        <f t="shared" si="51"/>
        <v>0</v>
      </c>
      <c r="AZ22" s="58">
        <f t="shared" si="51"/>
        <v>0</v>
      </c>
      <c r="BA22" s="58">
        <f t="shared" si="51"/>
        <v>0</v>
      </c>
      <c r="BB22" s="58">
        <f t="shared" si="51"/>
        <v>0</v>
      </c>
      <c r="BC22" s="58">
        <f t="shared" si="51"/>
        <v>0</v>
      </c>
      <c r="BD22" s="58" t="e">
        <f t="shared" si="51"/>
        <v>#REF!</v>
      </c>
      <c r="BE22" s="58">
        <f t="shared" si="51"/>
        <v>0</v>
      </c>
      <c r="BF22" s="58">
        <f t="shared" si="51"/>
        <v>0</v>
      </c>
      <c r="BG22" s="58">
        <f t="shared" si="51"/>
        <v>0</v>
      </c>
      <c r="BH22" s="58">
        <f t="shared" si="51"/>
        <v>0</v>
      </c>
      <c r="BI22" s="58">
        <f t="shared" si="51"/>
        <v>0</v>
      </c>
      <c r="BJ22" s="58">
        <f t="shared" si="51"/>
        <v>0</v>
      </c>
      <c r="BK22" s="58">
        <f t="shared" si="51"/>
        <v>0</v>
      </c>
      <c r="BL22" s="58">
        <f t="shared" si="51"/>
        <v>0</v>
      </c>
      <c r="BM22" s="58">
        <f t="shared" si="51"/>
        <v>0</v>
      </c>
      <c r="BN22" s="58">
        <f t="shared" si="51"/>
        <v>0</v>
      </c>
      <c r="BO22" s="58">
        <f t="shared" si="51"/>
        <v>0</v>
      </c>
      <c r="BP22" s="58" t="e">
        <f t="shared" ref="BP22:CI22" si="52">SUM(BP48,BP62,BP67,BP72,BP77,BP82,BP87,BP101,BP106,BP111,BP116,BP130,BP135)</f>
        <v>#REF!</v>
      </c>
      <c r="BQ22" s="58">
        <f t="shared" si="52"/>
        <v>0</v>
      </c>
      <c r="BR22" s="58">
        <f t="shared" si="52"/>
        <v>0</v>
      </c>
      <c r="BS22" s="58">
        <f t="shared" si="52"/>
        <v>0</v>
      </c>
      <c r="BT22" s="58">
        <f t="shared" si="52"/>
        <v>0</v>
      </c>
      <c r="BU22" s="58">
        <f t="shared" si="52"/>
        <v>0</v>
      </c>
      <c r="BV22" s="58">
        <f t="shared" si="52"/>
        <v>0</v>
      </c>
      <c r="BW22" s="58">
        <f t="shared" si="52"/>
        <v>0</v>
      </c>
      <c r="BX22" s="58">
        <f t="shared" si="52"/>
        <v>0</v>
      </c>
      <c r="BY22" s="58">
        <f t="shared" si="52"/>
        <v>0</v>
      </c>
      <c r="BZ22" s="58">
        <f t="shared" si="52"/>
        <v>0</v>
      </c>
      <c r="CA22" s="58">
        <f t="shared" si="52"/>
        <v>0</v>
      </c>
      <c r="CB22" s="58" t="e">
        <f t="shared" si="52"/>
        <v>#REF!</v>
      </c>
      <c r="CC22" s="58">
        <f t="shared" si="52"/>
        <v>0</v>
      </c>
      <c r="CD22" s="58">
        <f t="shared" si="52"/>
        <v>0</v>
      </c>
      <c r="CE22" s="58">
        <f t="shared" si="52"/>
        <v>0</v>
      </c>
      <c r="CF22" s="58">
        <f t="shared" si="52"/>
        <v>0</v>
      </c>
      <c r="CG22" s="58">
        <f t="shared" si="52"/>
        <v>0</v>
      </c>
      <c r="CH22" s="58">
        <f t="shared" si="52"/>
        <v>0</v>
      </c>
      <c r="CI22" s="58">
        <f t="shared" si="52"/>
        <v>0</v>
      </c>
    </row>
    <row r="23" spans="2:87">
      <c r="B23" s="52" t="s">
        <v>122</v>
      </c>
      <c r="D23" s="58">
        <f t="shared" ref="D23:AI23" si="53">SUM(D49,D63,D68,D73,D78,D83,D88,D102,D107,D112,D117,D131,D136)</f>
        <v>0</v>
      </c>
      <c r="E23" s="58">
        <f t="shared" si="53"/>
        <v>0</v>
      </c>
      <c r="F23" s="58">
        <f t="shared" si="53"/>
        <v>0</v>
      </c>
      <c r="G23" s="58">
        <f t="shared" si="53"/>
        <v>0</v>
      </c>
      <c r="H23" s="58">
        <f t="shared" si="53"/>
        <v>0</v>
      </c>
      <c r="I23" s="58">
        <f t="shared" si="53"/>
        <v>0</v>
      </c>
      <c r="J23" s="58">
        <f t="shared" si="53"/>
        <v>0</v>
      </c>
      <c r="K23" s="58">
        <f t="shared" si="53"/>
        <v>0</v>
      </c>
      <c r="L23" s="58">
        <f t="shared" si="53"/>
        <v>0</v>
      </c>
      <c r="M23" s="58">
        <f t="shared" si="53"/>
        <v>0</v>
      </c>
      <c r="N23" s="58">
        <f t="shared" si="53"/>
        <v>0</v>
      </c>
      <c r="O23" s="58">
        <f t="shared" si="53"/>
        <v>0</v>
      </c>
      <c r="P23" s="58">
        <f t="shared" si="53"/>
        <v>0</v>
      </c>
      <c r="Q23" s="58">
        <f t="shared" si="53"/>
        <v>0</v>
      </c>
      <c r="R23" s="58">
        <f t="shared" si="53"/>
        <v>0</v>
      </c>
      <c r="S23" s="58" t="e">
        <f t="shared" si="53"/>
        <v>#REF!</v>
      </c>
      <c r="T23" s="58" t="e">
        <f t="shared" si="53"/>
        <v>#REF!</v>
      </c>
      <c r="U23" s="58">
        <f t="shared" si="53"/>
        <v>0</v>
      </c>
      <c r="V23" s="58">
        <f t="shared" si="53"/>
        <v>0</v>
      </c>
      <c r="W23" s="58">
        <f t="shared" si="53"/>
        <v>0</v>
      </c>
      <c r="X23" s="58">
        <f t="shared" si="53"/>
        <v>0</v>
      </c>
      <c r="Y23" s="58">
        <f t="shared" si="53"/>
        <v>0</v>
      </c>
      <c r="Z23" s="58">
        <f t="shared" si="53"/>
        <v>0</v>
      </c>
      <c r="AA23" s="58">
        <f t="shared" si="53"/>
        <v>0</v>
      </c>
      <c r="AB23" s="58">
        <f t="shared" si="53"/>
        <v>0</v>
      </c>
      <c r="AC23" s="58">
        <f t="shared" si="53"/>
        <v>0</v>
      </c>
      <c r="AD23" s="58">
        <f t="shared" si="53"/>
        <v>0</v>
      </c>
      <c r="AE23" s="58" t="e">
        <f>SUM(AE49,AE63,AE68,AE73,AE78,AE83,AE88,AE102,AE107,AE112,AE117,AE131,AE136)</f>
        <v>#REF!</v>
      </c>
      <c r="AF23" s="58" t="e">
        <f t="shared" si="53"/>
        <v>#REF!</v>
      </c>
      <c r="AG23" s="58">
        <f t="shared" si="53"/>
        <v>0</v>
      </c>
      <c r="AH23" s="58">
        <f t="shared" si="53"/>
        <v>0</v>
      </c>
      <c r="AI23" s="58">
        <f t="shared" si="53"/>
        <v>0</v>
      </c>
      <c r="AJ23" s="58">
        <f t="shared" ref="AJ23:BO23" si="54">SUM(AJ49,AJ63,AJ68,AJ73,AJ78,AJ83,AJ88,AJ102,AJ107,AJ112,AJ117,AJ131,AJ136)</f>
        <v>0</v>
      </c>
      <c r="AK23" s="58">
        <f t="shared" si="54"/>
        <v>0</v>
      </c>
      <c r="AL23" s="58">
        <f t="shared" si="54"/>
        <v>0</v>
      </c>
      <c r="AM23" s="58">
        <f t="shared" si="54"/>
        <v>0</v>
      </c>
      <c r="AN23" s="58">
        <f t="shared" si="54"/>
        <v>0</v>
      </c>
      <c r="AO23" s="58">
        <f t="shared" si="54"/>
        <v>0</v>
      </c>
      <c r="AP23" s="58">
        <f t="shared" si="54"/>
        <v>0</v>
      </c>
      <c r="AQ23" s="58" t="e">
        <f>SUM(AQ49,AQ63,AQ68,AQ73,AQ78,AQ83,AQ88,AQ102,AQ107,AQ112,AQ117,AQ131,AQ136)</f>
        <v>#REF!</v>
      </c>
      <c r="AR23" s="58" t="e">
        <f t="shared" si="54"/>
        <v>#REF!</v>
      </c>
      <c r="AS23" s="58">
        <f t="shared" si="54"/>
        <v>0</v>
      </c>
      <c r="AT23" s="58">
        <f t="shared" si="54"/>
        <v>0</v>
      </c>
      <c r="AU23" s="58">
        <f t="shared" si="54"/>
        <v>0</v>
      </c>
      <c r="AV23" s="58">
        <f t="shared" si="54"/>
        <v>0</v>
      </c>
      <c r="AW23" s="58">
        <f t="shared" si="54"/>
        <v>0</v>
      </c>
      <c r="AX23" s="58">
        <f t="shared" si="54"/>
        <v>0</v>
      </c>
      <c r="AY23" s="58">
        <f t="shared" si="54"/>
        <v>0</v>
      </c>
      <c r="AZ23" s="58">
        <f t="shared" si="54"/>
        <v>0</v>
      </c>
      <c r="BA23" s="58">
        <f t="shared" si="54"/>
        <v>0</v>
      </c>
      <c r="BB23" s="58">
        <f t="shared" si="54"/>
        <v>0</v>
      </c>
      <c r="BC23" s="58" t="e">
        <f t="shared" si="54"/>
        <v>#REF!</v>
      </c>
      <c r="BD23" s="58" t="e">
        <f t="shared" si="54"/>
        <v>#REF!</v>
      </c>
      <c r="BE23" s="58">
        <f t="shared" si="54"/>
        <v>0</v>
      </c>
      <c r="BF23" s="58">
        <f t="shared" si="54"/>
        <v>0</v>
      </c>
      <c r="BG23" s="58">
        <f t="shared" si="54"/>
        <v>0</v>
      </c>
      <c r="BH23" s="58">
        <f t="shared" si="54"/>
        <v>0</v>
      </c>
      <c r="BI23" s="58">
        <f t="shared" si="54"/>
        <v>0</v>
      </c>
      <c r="BJ23" s="58">
        <f t="shared" si="54"/>
        <v>0</v>
      </c>
      <c r="BK23" s="58">
        <f t="shared" si="54"/>
        <v>0</v>
      </c>
      <c r="BL23" s="58">
        <f t="shared" si="54"/>
        <v>0</v>
      </c>
      <c r="BM23" s="58">
        <f t="shared" si="54"/>
        <v>0</v>
      </c>
      <c r="BN23" s="58">
        <f t="shared" si="54"/>
        <v>0</v>
      </c>
      <c r="BO23" s="58" t="e">
        <f t="shared" si="54"/>
        <v>#REF!</v>
      </c>
      <c r="BP23" s="58" t="e">
        <f t="shared" ref="BP23:CI23" si="55">SUM(BP49,BP63,BP68,BP73,BP78,BP83,BP88,BP102,BP107,BP112,BP117,BP131,BP136)</f>
        <v>#REF!</v>
      </c>
      <c r="BQ23" s="58">
        <f t="shared" si="55"/>
        <v>0</v>
      </c>
      <c r="BR23" s="58">
        <f t="shared" si="55"/>
        <v>0</v>
      </c>
      <c r="BS23" s="58">
        <f t="shared" si="55"/>
        <v>0</v>
      </c>
      <c r="BT23" s="58">
        <f t="shared" si="55"/>
        <v>0</v>
      </c>
      <c r="BU23" s="58">
        <f t="shared" si="55"/>
        <v>0</v>
      </c>
      <c r="BV23" s="58">
        <f t="shared" si="55"/>
        <v>0</v>
      </c>
      <c r="BW23" s="58">
        <f t="shared" si="55"/>
        <v>0</v>
      </c>
      <c r="BX23" s="58">
        <f t="shared" si="55"/>
        <v>0</v>
      </c>
      <c r="BY23" s="58">
        <f t="shared" si="55"/>
        <v>0</v>
      </c>
      <c r="BZ23" s="58">
        <f t="shared" si="55"/>
        <v>0</v>
      </c>
      <c r="CA23" s="58" t="e">
        <f t="shared" si="55"/>
        <v>#REF!</v>
      </c>
      <c r="CB23" s="58" t="e">
        <f t="shared" si="55"/>
        <v>#REF!</v>
      </c>
      <c r="CC23" s="58">
        <f t="shared" si="55"/>
        <v>0</v>
      </c>
      <c r="CD23" s="58">
        <f t="shared" si="55"/>
        <v>0</v>
      </c>
      <c r="CE23" s="58">
        <f t="shared" si="55"/>
        <v>0</v>
      </c>
      <c r="CF23" s="58">
        <f t="shared" si="55"/>
        <v>0</v>
      </c>
      <c r="CG23" s="58">
        <f t="shared" si="55"/>
        <v>0</v>
      </c>
      <c r="CH23" s="58">
        <f t="shared" si="55"/>
        <v>0</v>
      </c>
      <c r="CI23" s="58">
        <f t="shared" si="55"/>
        <v>0</v>
      </c>
    </row>
    <row r="24" spans="2:87">
      <c r="B24" s="71" t="s">
        <v>145</v>
      </c>
      <c r="D24" s="58">
        <f>SUM(D52:D58,D91:D97,D120:D126)</f>
        <v>0</v>
      </c>
      <c r="E24" s="58">
        <f t="shared" ref="E24:BP24" si="56">SUM(E52:E58,E91:E97,E120:E126)</f>
        <v>0</v>
      </c>
      <c r="F24" s="58">
        <f t="shared" si="56"/>
        <v>0</v>
      </c>
      <c r="G24" s="58">
        <f t="shared" si="56"/>
        <v>0</v>
      </c>
      <c r="H24" s="58">
        <f t="shared" si="56"/>
        <v>0</v>
      </c>
      <c r="I24" s="58" t="e">
        <f t="shared" si="56"/>
        <v>#REF!</v>
      </c>
      <c r="J24" s="58" t="e">
        <f t="shared" si="56"/>
        <v>#REF!</v>
      </c>
      <c r="K24" s="58" t="e">
        <f t="shared" si="56"/>
        <v>#REF!</v>
      </c>
      <c r="L24" s="58" t="e">
        <f t="shared" si="56"/>
        <v>#REF!</v>
      </c>
      <c r="M24" s="58" t="e">
        <f t="shared" si="56"/>
        <v>#REF!</v>
      </c>
      <c r="N24" s="58" t="e">
        <f t="shared" si="56"/>
        <v>#REF!</v>
      </c>
      <c r="O24" s="58" t="e">
        <f t="shared" si="56"/>
        <v>#REF!</v>
      </c>
      <c r="P24" s="58" t="e">
        <f t="shared" si="56"/>
        <v>#REF!</v>
      </c>
      <c r="Q24" s="58" t="e">
        <f t="shared" si="56"/>
        <v>#REF!</v>
      </c>
      <c r="R24" s="58" t="e">
        <f t="shared" si="56"/>
        <v>#REF!</v>
      </c>
      <c r="S24" s="58" t="e">
        <f t="shared" si="56"/>
        <v>#REF!</v>
      </c>
      <c r="T24" s="58" t="e">
        <f t="shared" si="56"/>
        <v>#REF!</v>
      </c>
      <c r="U24" s="58" t="e">
        <f t="shared" si="56"/>
        <v>#REF!</v>
      </c>
      <c r="V24" s="58" t="e">
        <f t="shared" si="56"/>
        <v>#REF!</v>
      </c>
      <c r="W24" s="58" t="e">
        <f t="shared" si="56"/>
        <v>#REF!</v>
      </c>
      <c r="X24" s="58" t="e">
        <f t="shared" si="56"/>
        <v>#REF!</v>
      </c>
      <c r="Y24" s="58" t="e">
        <f t="shared" si="56"/>
        <v>#REF!</v>
      </c>
      <c r="Z24" s="58" t="e">
        <f t="shared" si="56"/>
        <v>#REF!</v>
      </c>
      <c r="AA24" s="58" t="e">
        <f t="shared" si="56"/>
        <v>#REF!</v>
      </c>
      <c r="AB24" s="58" t="e">
        <f>SUM(AB52:AB58,AB91:AB97,AB120:AB126)</f>
        <v>#REF!</v>
      </c>
      <c r="AC24" s="58" t="e">
        <f t="shared" si="56"/>
        <v>#REF!</v>
      </c>
      <c r="AD24" s="58" t="e">
        <f t="shared" si="56"/>
        <v>#REF!</v>
      </c>
      <c r="AE24" s="58" t="e">
        <f t="shared" si="56"/>
        <v>#REF!</v>
      </c>
      <c r="AF24" s="58" t="e">
        <f t="shared" si="56"/>
        <v>#REF!</v>
      </c>
      <c r="AG24" s="58" t="e">
        <f>SUM(AG52:AG58,AG91:AG97,AG120:AG126)</f>
        <v>#REF!</v>
      </c>
      <c r="AH24" s="58" t="e">
        <f t="shared" si="56"/>
        <v>#REF!</v>
      </c>
      <c r="AI24" s="58" t="e">
        <f t="shared" si="56"/>
        <v>#REF!</v>
      </c>
      <c r="AJ24" s="58" t="e">
        <f t="shared" si="56"/>
        <v>#REF!</v>
      </c>
      <c r="AK24" s="58" t="e">
        <f t="shared" si="56"/>
        <v>#REF!</v>
      </c>
      <c r="AL24" s="58" t="e">
        <f>SUM(AL52:AL58,AL91:AL97,AL120:AL126)</f>
        <v>#REF!</v>
      </c>
      <c r="AM24" s="58" t="e">
        <f t="shared" si="56"/>
        <v>#REF!</v>
      </c>
      <c r="AN24" s="58" t="e">
        <f t="shared" si="56"/>
        <v>#REF!</v>
      </c>
      <c r="AO24" s="58" t="e">
        <f t="shared" si="56"/>
        <v>#REF!</v>
      </c>
      <c r="AP24" s="58" t="e">
        <f t="shared" si="56"/>
        <v>#REF!</v>
      </c>
      <c r="AQ24" s="58" t="e">
        <f t="shared" si="56"/>
        <v>#REF!</v>
      </c>
      <c r="AR24" s="58" t="e">
        <f t="shared" si="56"/>
        <v>#REF!</v>
      </c>
      <c r="AS24" s="58" t="e">
        <f t="shared" si="56"/>
        <v>#REF!</v>
      </c>
      <c r="AT24" s="58" t="e">
        <f t="shared" si="56"/>
        <v>#REF!</v>
      </c>
      <c r="AU24" s="58" t="e">
        <f t="shared" si="56"/>
        <v>#REF!</v>
      </c>
      <c r="AV24" s="58" t="e">
        <f t="shared" si="56"/>
        <v>#REF!</v>
      </c>
      <c r="AW24" s="58" t="e">
        <f t="shared" si="56"/>
        <v>#REF!</v>
      </c>
      <c r="AX24" s="58" t="e">
        <f t="shared" si="56"/>
        <v>#REF!</v>
      </c>
      <c r="AY24" s="58" t="e">
        <f t="shared" si="56"/>
        <v>#REF!</v>
      </c>
      <c r="AZ24" s="58" t="e">
        <f t="shared" si="56"/>
        <v>#REF!</v>
      </c>
      <c r="BA24" s="58" t="e">
        <f t="shared" si="56"/>
        <v>#REF!</v>
      </c>
      <c r="BB24" s="58" t="e">
        <f t="shared" si="56"/>
        <v>#REF!</v>
      </c>
      <c r="BC24" s="58" t="e">
        <f t="shared" si="56"/>
        <v>#REF!</v>
      </c>
      <c r="BD24" s="58" t="e">
        <f t="shared" si="56"/>
        <v>#REF!</v>
      </c>
      <c r="BE24" s="58" t="e">
        <f t="shared" si="56"/>
        <v>#REF!</v>
      </c>
      <c r="BF24" s="58" t="e">
        <f t="shared" si="56"/>
        <v>#REF!</v>
      </c>
      <c r="BG24" s="58" t="e">
        <f t="shared" si="56"/>
        <v>#REF!</v>
      </c>
      <c r="BH24" s="58" t="e">
        <f t="shared" si="56"/>
        <v>#REF!</v>
      </c>
      <c r="BI24" s="58" t="e">
        <f t="shared" si="56"/>
        <v>#REF!</v>
      </c>
      <c r="BJ24" s="58" t="e">
        <f t="shared" si="56"/>
        <v>#REF!</v>
      </c>
      <c r="BK24" s="58" t="e">
        <f t="shared" si="56"/>
        <v>#REF!</v>
      </c>
      <c r="BL24" s="58" t="e">
        <f t="shared" si="56"/>
        <v>#REF!</v>
      </c>
      <c r="BM24" s="58" t="e">
        <f t="shared" si="56"/>
        <v>#REF!</v>
      </c>
      <c r="BN24" s="58" t="e">
        <f t="shared" si="56"/>
        <v>#REF!</v>
      </c>
      <c r="BO24" s="58" t="e">
        <f t="shared" si="56"/>
        <v>#REF!</v>
      </c>
      <c r="BP24" s="58" t="e">
        <f t="shared" si="56"/>
        <v>#REF!</v>
      </c>
      <c r="BQ24" s="58" t="e">
        <f t="shared" ref="BQ24:CI24" si="57">SUM(BQ52:BQ58,BQ91:BQ97,BQ120:BQ126)</f>
        <v>#REF!</v>
      </c>
      <c r="BR24" s="58" t="e">
        <f t="shared" si="57"/>
        <v>#REF!</v>
      </c>
      <c r="BS24" s="58" t="e">
        <f t="shared" si="57"/>
        <v>#REF!</v>
      </c>
      <c r="BT24" s="58" t="e">
        <f t="shared" si="57"/>
        <v>#REF!</v>
      </c>
      <c r="BU24" s="58" t="e">
        <f t="shared" si="57"/>
        <v>#REF!</v>
      </c>
      <c r="BV24" s="58" t="e">
        <f t="shared" si="57"/>
        <v>#REF!</v>
      </c>
      <c r="BW24" s="58" t="e">
        <f t="shared" si="57"/>
        <v>#REF!</v>
      </c>
      <c r="BX24" s="58" t="e">
        <f t="shared" si="57"/>
        <v>#REF!</v>
      </c>
      <c r="BY24" s="58" t="e">
        <f t="shared" si="57"/>
        <v>#REF!</v>
      </c>
      <c r="BZ24" s="58" t="e">
        <f t="shared" si="57"/>
        <v>#REF!</v>
      </c>
      <c r="CA24" s="58" t="e">
        <f t="shared" si="57"/>
        <v>#REF!</v>
      </c>
      <c r="CB24" s="58" t="e">
        <f t="shared" si="57"/>
        <v>#REF!</v>
      </c>
      <c r="CC24" s="58" t="e">
        <f t="shared" si="57"/>
        <v>#REF!</v>
      </c>
      <c r="CD24" s="58" t="e">
        <f t="shared" si="57"/>
        <v>#REF!</v>
      </c>
      <c r="CE24" s="58" t="e">
        <f t="shared" si="57"/>
        <v>#REF!</v>
      </c>
      <c r="CF24" s="58" t="e">
        <f t="shared" si="57"/>
        <v>#REF!</v>
      </c>
      <c r="CG24" s="58" t="e">
        <f t="shared" si="57"/>
        <v>#REF!</v>
      </c>
      <c r="CH24" s="58" t="e">
        <f t="shared" si="57"/>
        <v>#REF!</v>
      </c>
      <c r="CI24" s="58" t="e">
        <f t="shared" si="57"/>
        <v>#REF!</v>
      </c>
    </row>
    <row r="25" spans="2:87">
      <c r="B25" s="80" t="s">
        <v>156</v>
      </c>
      <c r="D25" s="58">
        <f>SUM(D140:D164)</f>
        <v>0</v>
      </c>
      <c r="E25" s="58">
        <f t="shared" ref="E25:BP25" si="58">SUM(E140:E164)</f>
        <v>0</v>
      </c>
      <c r="F25" s="58">
        <f t="shared" si="58"/>
        <v>0</v>
      </c>
      <c r="G25" s="58">
        <f t="shared" si="58"/>
        <v>0</v>
      </c>
      <c r="H25" s="58">
        <f t="shared" si="58"/>
        <v>0</v>
      </c>
      <c r="I25" s="58">
        <f t="shared" si="58"/>
        <v>0</v>
      </c>
      <c r="J25" s="58">
        <f t="shared" si="58"/>
        <v>0</v>
      </c>
      <c r="K25" s="58">
        <f t="shared" si="58"/>
        <v>0</v>
      </c>
      <c r="L25" s="58" t="e">
        <f t="shared" si="58"/>
        <v>#REF!</v>
      </c>
      <c r="M25" s="58" t="e">
        <f t="shared" si="58"/>
        <v>#REF!</v>
      </c>
      <c r="N25" s="58" t="e">
        <f t="shared" si="58"/>
        <v>#REF!</v>
      </c>
      <c r="O25" s="58">
        <f t="shared" si="58"/>
        <v>0</v>
      </c>
      <c r="P25" s="58">
        <f t="shared" si="58"/>
        <v>0</v>
      </c>
      <c r="Q25" s="58">
        <f t="shared" si="58"/>
        <v>0</v>
      </c>
      <c r="R25" s="58">
        <f t="shared" si="58"/>
        <v>0</v>
      </c>
      <c r="S25" s="58">
        <f t="shared" si="58"/>
        <v>0</v>
      </c>
      <c r="T25" s="58">
        <f t="shared" si="58"/>
        <v>0</v>
      </c>
      <c r="U25" s="58">
        <f t="shared" si="58"/>
        <v>0</v>
      </c>
      <c r="V25" s="58">
        <f t="shared" si="58"/>
        <v>0</v>
      </c>
      <c r="W25" s="58">
        <f t="shared" si="58"/>
        <v>0</v>
      </c>
      <c r="X25" s="58" t="e">
        <f t="shared" si="58"/>
        <v>#REF!</v>
      </c>
      <c r="Y25" s="58" t="e">
        <f t="shared" si="58"/>
        <v>#REF!</v>
      </c>
      <c r="Z25" s="58" t="e">
        <f t="shared" si="58"/>
        <v>#REF!</v>
      </c>
      <c r="AA25" s="58">
        <f t="shared" si="58"/>
        <v>0</v>
      </c>
      <c r="AB25" s="58">
        <f t="shared" si="58"/>
        <v>0</v>
      </c>
      <c r="AC25" s="58">
        <f t="shared" si="58"/>
        <v>0</v>
      </c>
      <c r="AD25" s="58">
        <f t="shared" si="58"/>
        <v>0</v>
      </c>
      <c r="AE25" s="58">
        <f t="shared" si="58"/>
        <v>0</v>
      </c>
      <c r="AF25" s="58">
        <f t="shared" si="58"/>
        <v>0</v>
      </c>
      <c r="AG25" s="58">
        <f t="shared" si="58"/>
        <v>0</v>
      </c>
      <c r="AH25" s="58">
        <f t="shared" si="58"/>
        <v>0</v>
      </c>
      <c r="AI25" s="58">
        <f t="shared" si="58"/>
        <v>0</v>
      </c>
      <c r="AJ25" s="58" t="e">
        <f t="shared" si="58"/>
        <v>#REF!</v>
      </c>
      <c r="AK25" s="58" t="e">
        <f t="shared" si="58"/>
        <v>#REF!</v>
      </c>
      <c r="AL25" s="58" t="e">
        <f t="shared" si="58"/>
        <v>#REF!</v>
      </c>
      <c r="AM25" s="58">
        <f t="shared" si="58"/>
        <v>0</v>
      </c>
      <c r="AN25" s="58">
        <f t="shared" si="58"/>
        <v>0</v>
      </c>
      <c r="AO25" s="58">
        <f t="shared" si="58"/>
        <v>0</v>
      </c>
      <c r="AP25" s="58">
        <f t="shared" si="58"/>
        <v>0</v>
      </c>
      <c r="AQ25" s="58">
        <f t="shared" si="58"/>
        <v>0</v>
      </c>
      <c r="AR25" s="58">
        <f t="shared" si="58"/>
        <v>0</v>
      </c>
      <c r="AS25" s="58">
        <f t="shared" si="58"/>
        <v>0</v>
      </c>
      <c r="AT25" s="58">
        <f t="shared" si="58"/>
        <v>0</v>
      </c>
      <c r="AU25" s="58">
        <f t="shared" si="58"/>
        <v>0</v>
      </c>
      <c r="AV25" s="58" t="e">
        <f t="shared" si="58"/>
        <v>#REF!</v>
      </c>
      <c r="AW25" s="58" t="e">
        <f t="shared" si="58"/>
        <v>#REF!</v>
      </c>
      <c r="AX25" s="58" t="e">
        <f t="shared" si="58"/>
        <v>#REF!</v>
      </c>
      <c r="AY25" s="58">
        <f t="shared" si="58"/>
        <v>0</v>
      </c>
      <c r="AZ25" s="58">
        <f t="shared" si="58"/>
        <v>0</v>
      </c>
      <c r="BA25" s="58">
        <f t="shared" si="58"/>
        <v>0</v>
      </c>
      <c r="BB25" s="58">
        <f t="shared" si="58"/>
        <v>0</v>
      </c>
      <c r="BC25" s="58">
        <f t="shared" si="58"/>
        <v>0</v>
      </c>
      <c r="BD25" s="58">
        <f t="shared" si="58"/>
        <v>0</v>
      </c>
      <c r="BE25" s="58">
        <f t="shared" si="58"/>
        <v>0</v>
      </c>
      <c r="BF25" s="58">
        <f t="shared" si="58"/>
        <v>0</v>
      </c>
      <c r="BG25" s="58">
        <f t="shared" si="58"/>
        <v>0</v>
      </c>
      <c r="BH25" s="58" t="e">
        <f t="shared" si="58"/>
        <v>#REF!</v>
      </c>
      <c r="BI25" s="58" t="e">
        <f t="shared" si="58"/>
        <v>#REF!</v>
      </c>
      <c r="BJ25" s="58" t="e">
        <f t="shared" si="58"/>
        <v>#REF!</v>
      </c>
      <c r="BK25" s="58">
        <f t="shared" si="58"/>
        <v>0</v>
      </c>
      <c r="BL25" s="58">
        <f t="shared" si="58"/>
        <v>0</v>
      </c>
      <c r="BM25" s="58">
        <f t="shared" si="58"/>
        <v>0</v>
      </c>
      <c r="BN25" s="58">
        <f t="shared" si="58"/>
        <v>0</v>
      </c>
      <c r="BO25" s="58">
        <f t="shared" si="58"/>
        <v>0</v>
      </c>
      <c r="BP25" s="58">
        <f t="shared" si="58"/>
        <v>0</v>
      </c>
      <c r="BQ25" s="58">
        <f t="shared" ref="BQ25:CI25" si="59">SUM(BQ140:BQ164)</f>
        <v>0</v>
      </c>
      <c r="BR25" s="58">
        <f t="shared" si="59"/>
        <v>0</v>
      </c>
      <c r="BS25" s="58">
        <f t="shared" si="59"/>
        <v>0</v>
      </c>
      <c r="BT25" s="58" t="e">
        <f t="shared" si="59"/>
        <v>#REF!</v>
      </c>
      <c r="BU25" s="58" t="e">
        <f t="shared" si="59"/>
        <v>#REF!</v>
      </c>
      <c r="BV25" s="58" t="e">
        <f t="shared" si="59"/>
        <v>#REF!</v>
      </c>
      <c r="BW25" s="58">
        <f t="shared" si="59"/>
        <v>0</v>
      </c>
      <c r="BX25" s="58">
        <f t="shared" si="59"/>
        <v>0</v>
      </c>
      <c r="BY25" s="58">
        <f t="shared" si="59"/>
        <v>0</v>
      </c>
      <c r="BZ25" s="58">
        <f t="shared" si="59"/>
        <v>0</v>
      </c>
      <c r="CA25" s="58">
        <f t="shared" si="59"/>
        <v>0</v>
      </c>
      <c r="CB25" s="58">
        <f t="shared" si="59"/>
        <v>0</v>
      </c>
      <c r="CC25" s="58">
        <f t="shared" si="59"/>
        <v>0</v>
      </c>
      <c r="CD25" s="58">
        <f t="shared" si="59"/>
        <v>0</v>
      </c>
      <c r="CE25" s="58">
        <f t="shared" si="59"/>
        <v>0</v>
      </c>
      <c r="CF25" s="58" t="e">
        <f t="shared" si="59"/>
        <v>#REF!</v>
      </c>
      <c r="CG25" s="58" t="e">
        <f t="shared" si="59"/>
        <v>#REF!</v>
      </c>
      <c r="CH25" s="58" t="e">
        <f t="shared" si="59"/>
        <v>#REF!</v>
      </c>
      <c r="CI25" s="58">
        <f t="shared" si="59"/>
        <v>0</v>
      </c>
    </row>
    <row r="28" spans="2:87">
      <c r="AF28" s="78"/>
    </row>
    <row r="30" spans="2:87">
      <c r="BH30" s="79"/>
      <c r="BI30" s="79"/>
    </row>
    <row r="33" spans="2:87">
      <c r="AR33" s="82"/>
    </row>
    <row r="34" spans="2:87">
      <c r="AR34" s="77"/>
    </row>
    <row r="39" spans="2:87">
      <c r="AB39" s="58"/>
    </row>
    <row r="40" spans="2:87">
      <c r="AB40" s="77"/>
    </row>
    <row r="42" spans="2:87" ht="16" thickBot="1">
      <c r="S42" s="52">
        <v>0.8</v>
      </c>
      <c r="Y42" s="76"/>
    </row>
    <row r="43" spans="2:87" ht="16" thickBot="1">
      <c r="B43" s="53" t="s">
        <v>108</v>
      </c>
      <c r="C43" s="54"/>
      <c r="D43" s="54">
        <v>1</v>
      </c>
      <c r="E43" s="54">
        <f t="shared" ref="E43:AS43" si="60">D43+1</f>
        <v>2</v>
      </c>
      <c r="F43" s="54">
        <f t="shared" si="60"/>
        <v>3</v>
      </c>
      <c r="G43" s="54">
        <f t="shared" si="60"/>
        <v>4</v>
      </c>
      <c r="H43" s="54">
        <f t="shared" si="60"/>
        <v>5</v>
      </c>
      <c r="I43" s="54">
        <f t="shared" si="60"/>
        <v>6</v>
      </c>
      <c r="J43" s="54">
        <f t="shared" si="60"/>
        <v>7</v>
      </c>
      <c r="K43" s="54">
        <f t="shared" si="60"/>
        <v>8</v>
      </c>
      <c r="L43" s="54">
        <f t="shared" si="60"/>
        <v>9</v>
      </c>
      <c r="M43" s="54">
        <f t="shared" si="60"/>
        <v>10</v>
      </c>
      <c r="N43" s="54">
        <f t="shared" si="60"/>
        <v>11</v>
      </c>
      <c r="O43" s="54">
        <f t="shared" si="60"/>
        <v>12</v>
      </c>
      <c r="P43" s="54">
        <f t="shared" si="60"/>
        <v>13</v>
      </c>
      <c r="Q43" s="54">
        <f t="shared" si="60"/>
        <v>14</v>
      </c>
      <c r="R43" s="54">
        <f t="shared" si="60"/>
        <v>15</v>
      </c>
      <c r="S43" s="54">
        <f t="shared" si="60"/>
        <v>16</v>
      </c>
      <c r="T43" s="54">
        <f t="shared" si="60"/>
        <v>17</v>
      </c>
      <c r="U43" s="54">
        <f t="shared" si="60"/>
        <v>18</v>
      </c>
      <c r="V43" s="54">
        <f t="shared" si="60"/>
        <v>19</v>
      </c>
      <c r="W43" s="54">
        <f t="shared" si="60"/>
        <v>20</v>
      </c>
      <c r="X43" s="54">
        <f t="shared" si="60"/>
        <v>21</v>
      </c>
      <c r="Y43" s="54">
        <f t="shared" si="60"/>
        <v>22</v>
      </c>
      <c r="Z43" s="54">
        <f t="shared" si="60"/>
        <v>23</v>
      </c>
      <c r="AA43" s="55">
        <f t="shared" si="60"/>
        <v>24</v>
      </c>
      <c r="AB43" s="55">
        <f t="shared" si="60"/>
        <v>25</v>
      </c>
      <c r="AC43" s="55">
        <f t="shared" si="60"/>
        <v>26</v>
      </c>
      <c r="AD43" s="55">
        <f t="shared" si="60"/>
        <v>27</v>
      </c>
      <c r="AE43" s="55">
        <f t="shared" si="60"/>
        <v>28</v>
      </c>
      <c r="AF43" s="55">
        <f t="shared" si="60"/>
        <v>29</v>
      </c>
      <c r="AG43" s="55">
        <f t="shared" si="60"/>
        <v>30</v>
      </c>
      <c r="AH43" s="55">
        <f t="shared" si="60"/>
        <v>31</v>
      </c>
      <c r="AI43" s="55">
        <f t="shared" si="60"/>
        <v>32</v>
      </c>
      <c r="AJ43" s="55">
        <f t="shared" si="60"/>
        <v>33</v>
      </c>
      <c r="AK43" s="55">
        <f t="shared" si="60"/>
        <v>34</v>
      </c>
      <c r="AL43" s="55">
        <f t="shared" si="60"/>
        <v>35</v>
      </c>
      <c r="AM43" s="55">
        <f t="shared" si="60"/>
        <v>36</v>
      </c>
      <c r="AN43" s="55">
        <f t="shared" si="60"/>
        <v>37</v>
      </c>
      <c r="AO43" s="55">
        <f t="shared" si="60"/>
        <v>38</v>
      </c>
      <c r="AP43" s="55">
        <f t="shared" si="60"/>
        <v>39</v>
      </c>
      <c r="AQ43" s="55">
        <f t="shared" si="60"/>
        <v>40</v>
      </c>
      <c r="AR43" s="55">
        <f t="shared" si="60"/>
        <v>41</v>
      </c>
      <c r="AS43" s="55">
        <f t="shared" si="60"/>
        <v>42</v>
      </c>
      <c r="AT43" s="55">
        <f t="shared" ref="AT43:CI43" si="61">AS43+1</f>
        <v>43</v>
      </c>
      <c r="AU43" s="55">
        <f t="shared" si="61"/>
        <v>44</v>
      </c>
      <c r="AV43" s="55">
        <f t="shared" si="61"/>
        <v>45</v>
      </c>
      <c r="AW43" s="55">
        <f t="shared" si="61"/>
        <v>46</v>
      </c>
      <c r="AX43" s="55">
        <f t="shared" si="61"/>
        <v>47</v>
      </c>
      <c r="AY43" s="55">
        <f t="shared" si="61"/>
        <v>48</v>
      </c>
      <c r="AZ43" s="55">
        <f t="shared" si="61"/>
        <v>49</v>
      </c>
      <c r="BA43" s="55">
        <f t="shared" si="61"/>
        <v>50</v>
      </c>
      <c r="BB43" s="55">
        <f t="shared" si="61"/>
        <v>51</v>
      </c>
      <c r="BC43" s="55">
        <f t="shared" si="61"/>
        <v>52</v>
      </c>
      <c r="BD43" s="55">
        <f t="shared" si="61"/>
        <v>53</v>
      </c>
      <c r="BE43" s="55">
        <f t="shared" si="61"/>
        <v>54</v>
      </c>
      <c r="BF43" s="55">
        <f t="shared" si="61"/>
        <v>55</v>
      </c>
      <c r="BG43" s="55">
        <f t="shared" si="61"/>
        <v>56</v>
      </c>
      <c r="BH43" s="55">
        <f t="shared" si="61"/>
        <v>57</v>
      </c>
      <c r="BI43" s="55">
        <f t="shared" si="61"/>
        <v>58</v>
      </c>
      <c r="BJ43" s="55">
        <f t="shared" si="61"/>
        <v>59</v>
      </c>
      <c r="BK43" s="55">
        <f t="shared" si="61"/>
        <v>60</v>
      </c>
      <c r="BL43" s="55">
        <f t="shared" si="61"/>
        <v>61</v>
      </c>
      <c r="BM43" s="55">
        <f t="shared" si="61"/>
        <v>62</v>
      </c>
      <c r="BN43" s="55">
        <f t="shared" si="61"/>
        <v>63</v>
      </c>
      <c r="BO43" s="55">
        <f t="shared" si="61"/>
        <v>64</v>
      </c>
      <c r="BP43" s="55">
        <f t="shared" si="61"/>
        <v>65</v>
      </c>
      <c r="BQ43" s="55">
        <f t="shared" si="61"/>
        <v>66</v>
      </c>
      <c r="BR43" s="55">
        <f t="shared" si="61"/>
        <v>67</v>
      </c>
      <c r="BS43" s="55">
        <f t="shared" si="61"/>
        <v>68</v>
      </c>
      <c r="BT43" s="55">
        <f t="shared" si="61"/>
        <v>69</v>
      </c>
      <c r="BU43" s="55">
        <f t="shared" si="61"/>
        <v>70</v>
      </c>
      <c r="BV43" s="55">
        <f t="shared" si="61"/>
        <v>71</v>
      </c>
      <c r="BW43" s="55">
        <f t="shared" si="61"/>
        <v>72</v>
      </c>
      <c r="BX43" s="55">
        <f t="shared" si="61"/>
        <v>73</v>
      </c>
      <c r="BY43" s="55">
        <f t="shared" si="61"/>
        <v>74</v>
      </c>
      <c r="BZ43" s="55">
        <f t="shared" si="61"/>
        <v>75</v>
      </c>
      <c r="CA43" s="55">
        <f t="shared" si="61"/>
        <v>76</v>
      </c>
      <c r="CB43" s="55">
        <f t="shared" si="61"/>
        <v>77</v>
      </c>
      <c r="CC43" s="55">
        <f t="shared" si="61"/>
        <v>78</v>
      </c>
      <c r="CD43" s="55">
        <f t="shared" si="61"/>
        <v>79</v>
      </c>
      <c r="CE43" s="55">
        <f t="shared" si="61"/>
        <v>80</v>
      </c>
      <c r="CF43" s="55">
        <f t="shared" si="61"/>
        <v>81</v>
      </c>
      <c r="CG43" s="55">
        <f t="shared" si="61"/>
        <v>82</v>
      </c>
      <c r="CH43" s="55">
        <f t="shared" si="61"/>
        <v>83</v>
      </c>
      <c r="CI43" s="55">
        <f t="shared" si="61"/>
        <v>84</v>
      </c>
    </row>
    <row r="44" spans="2:87">
      <c r="B44" s="72" t="s">
        <v>136</v>
      </c>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row>
    <row r="45" spans="2:87">
      <c r="B45" s="52" t="s">
        <v>119</v>
      </c>
      <c r="C45" s="70"/>
      <c r="D45" s="57" t="e">
        <f>C2/12</f>
        <v>#REF!</v>
      </c>
      <c r="E45" s="57"/>
      <c r="F45" s="57"/>
      <c r="G45" s="57"/>
      <c r="H45" s="57"/>
      <c r="I45" s="57"/>
      <c r="J45" s="57"/>
      <c r="K45" s="57"/>
      <c r="L45" s="57"/>
      <c r="M45" s="57"/>
      <c r="N45" s="57"/>
      <c r="O45" s="57"/>
    </row>
    <row r="46" spans="2:87">
      <c r="B46" s="71" t="s">
        <v>130</v>
      </c>
      <c r="C46" s="56">
        <v>1</v>
      </c>
      <c r="I46" s="57" t="e">
        <f>D45*$C46</f>
        <v>#REF!</v>
      </c>
      <c r="J46" s="57"/>
      <c r="K46" s="57"/>
      <c r="L46" s="57"/>
      <c r="M46" s="57"/>
      <c r="N46" s="57"/>
      <c r="O46" s="57"/>
      <c r="P46" s="57"/>
      <c r="Q46" s="57"/>
      <c r="R46" s="57"/>
      <c r="S46" s="57"/>
      <c r="T46" s="57"/>
      <c r="U46" s="57" t="e">
        <f>T49*$C46</f>
        <v>#REF!</v>
      </c>
      <c r="V46" s="57"/>
      <c r="W46" s="57"/>
      <c r="X46" s="57"/>
      <c r="Y46" s="57"/>
      <c r="Z46" s="57"/>
      <c r="AA46" s="57"/>
      <c r="AB46" s="57"/>
      <c r="AC46" s="57"/>
      <c r="AD46" s="57"/>
      <c r="AE46" s="57"/>
      <c r="AF46" s="57"/>
      <c r="AG46" s="57" t="e">
        <f>AF49*$C46</f>
        <v>#REF!</v>
      </c>
      <c r="AH46" s="57"/>
      <c r="AI46" s="57"/>
      <c r="AJ46" s="57"/>
      <c r="AK46" s="57"/>
      <c r="AL46" s="57"/>
      <c r="AM46" s="57"/>
      <c r="AN46" s="57"/>
      <c r="AO46" s="57"/>
      <c r="AP46" s="57"/>
      <c r="AQ46" s="57"/>
      <c r="AR46" s="57"/>
      <c r="AS46" s="57" t="e">
        <f>AR49*$C46</f>
        <v>#REF!</v>
      </c>
      <c r="AT46" s="57"/>
      <c r="AU46" s="57"/>
      <c r="AV46" s="57"/>
      <c r="AW46" s="57"/>
      <c r="AX46" s="57"/>
      <c r="AY46" s="57"/>
      <c r="AZ46" s="57"/>
      <c r="BA46" s="57"/>
      <c r="BB46" s="57"/>
      <c r="BC46" s="57"/>
      <c r="BD46" s="57"/>
      <c r="BE46" s="57" t="e">
        <f>BD49*$C46</f>
        <v>#REF!</v>
      </c>
      <c r="BF46" s="57"/>
      <c r="BG46" s="57"/>
      <c r="BH46" s="57"/>
      <c r="BI46" s="57"/>
      <c r="BJ46" s="57"/>
      <c r="BK46" s="57"/>
      <c r="BL46" s="57"/>
      <c r="BM46" s="57"/>
      <c r="BN46" s="57"/>
      <c r="BO46" s="57"/>
      <c r="BP46" s="57"/>
      <c r="BQ46" s="57" t="e">
        <f>BP49*$C46</f>
        <v>#REF!</v>
      </c>
      <c r="BR46" s="57"/>
      <c r="BS46" s="57"/>
      <c r="BT46" s="57"/>
      <c r="BU46" s="57"/>
      <c r="BV46" s="57"/>
      <c r="BW46" s="57"/>
      <c r="BX46" s="57"/>
      <c r="BY46" s="57"/>
      <c r="BZ46" s="57"/>
      <c r="CA46" s="57"/>
      <c r="CB46" s="57"/>
      <c r="CC46" s="57" t="e">
        <f>CB49*$C46</f>
        <v>#REF!</v>
      </c>
      <c r="CD46" s="57"/>
      <c r="CE46" s="57"/>
      <c r="CF46" s="57"/>
      <c r="CG46" s="57"/>
      <c r="CH46" s="57"/>
      <c r="CI46" s="57"/>
    </row>
    <row r="47" spans="2:87">
      <c r="B47" s="52" t="s">
        <v>121</v>
      </c>
      <c r="I47" s="57" t="e">
        <f>I46</f>
        <v>#REF!</v>
      </c>
      <c r="J47" s="57" t="e">
        <f>I47</f>
        <v>#REF!</v>
      </c>
      <c r="K47" s="57" t="e">
        <f t="shared" ref="K47:R47" si="62">J47</f>
        <v>#REF!</v>
      </c>
      <c r="L47" s="57" t="e">
        <f t="shared" si="62"/>
        <v>#REF!</v>
      </c>
      <c r="M47" s="57" t="e">
        <f t="shared" si="62"/>
        <v>#REF!</v>
      </c>
      <c r="N47" s="57" t="e">
        <f t="shared" si="62"/>
        <v>#REF!</v>
      </c>
      <c r="O47" s="57" t="e">
        <f t="shared" si="62"/>
        <v>#REF!</v>
      </c>
      <c r="P47" s="57" t="e">
        <f t="shared" si="62"/>
        <v>#REF!</v>
      </c>
      <c r="Q47" s="57" t="e">
        <f t="shared" si="62"/>
        <v>#REF!</v>
      </c>
      <c r="R47" s="57" t="e">
        <f t="shared" si="62"/>
        <v>#REF!</v>
      </c>
      <c r="S47" s="57" t="e">
        <f>R47*$S$42</f>
        <v>#REF!</v>
      </c>
      <c r="T47" s="57"/>
      <c r="U47" s="57" t="e">
        <f>U46</f>
        <v>#REF!</v>
      </c>
      <c r="V47" s="57" t="e">
        <f>U47</f>
        <v>#REF!</v>
      </c>
      <c r="W47" s="57" t="e">
        <f t="shared" ref="W47:AD47" si="63">V47</f>
        <v>#REF!</v>
      </c>
      <c r="X47" s="57" t="e">
        <f t="shared" si="63"/>
        <v>#REF!</v>
      </c>
      <c r="Y47" s="57" t="e">
        <f t="shared" si="63"/>
        <v>#REF!</v>
      </c>
      <c r="Z47" s="57" t="e">
        <f t="shared" si="63"/>
        <v>#REF!</v>
      </c>
      <c r="AA47" s="57" t="e">
        <f t="shared" si="63"/>
        <v>#REF!</v>
      </c>
      <c r="AB47" s="57" t="e">
        <f t="shared" si="63"/>
        <v>#REF!</v>
      </c>
      <c r="AC47" s="57" t="e">
        <f t="shared" si="63"/>
        <v>#REF!</v>
      </c>
      <c r="AD47" s="57" t="e">
        <f t="shared" si="63"/>
        <v>#REF!</v>
      </c>
      <c r="AE47" s="57" t="e">
        <f>AD47*$S$42</f>
        <v>#REF!</v>
      </c>
      <c r="AF47" s="57"/>
      <c r="AG47" s="57" t="e">
        <f>AG46</f>
        <v>#REF!</v>
      </c>
      <c r="AH47" s="57" t="e">
        <f>AG47</f>
        <v>#REF!</v>
      </c>
      <c r="AI47" s="57" t="e">
        <f t="shared" ref="AI47:AP47" si="64">AH47</f>
        <v>#REF!</v>
      </c>
      <c r="AJ47" s="57" t="e">
        <f t="shared" si="64"/>
        <v>#REF!</v>
      </c>
      <c r="AK47" s="57" t="e">
        <f t="shared" si="64"/>
        <v>#REF!</v>
      </c>
      <c r="AL47" s="57" t="e">
        <f t="shared" si="64"/>
        <v>#REF!</v>
      </c>
      <c r="AM47" s="57" t="e">
        <f t="shared" si="64"/>
        <v>#REF!</v>
      </c>
      <c r="AN47" s="57" t="e">
        <f t="shared" si="64"/>
        <v>#REF!</v>
      </c>
      <c r="AO47" s="57" t="e">
        <f t="shared" si="64"/>
        <v>#REF!</v>
      </c>
      <c r="AP47" s="57" t="e">
        <f t="shared" si="64"/>
        <v>#REF!</v>
      </c>
      <c r="AQ47" s="57" t="e">
        <f>AP47*$S$42</f>
        <v>#REF!</v>
      </c>
      <c r="AR47" s="57"/>
      <c r="AS47" s="57" t="e">
        <f>AS46</f>
        <v>#REF!</v>
      </c>
      <c r="AT47" s="57" t="e">
        <f>AS47</f>
        <v>#REF!</v>
      </c>
      <c r="AU47" s="57" t="e">
        <f t="shared" ref="AU47:BB47" si="65">AT47</f>
        <v>#REF!</v>
      </c>
      <c r="AV47" s="57" t="e">
        <f t="shared" si="65"/>
        <v>#REF!</v>
      </c>
      <c r="AW47" s="57" t="e">
        <f t="shared" si="65"/>
        <v>#REF!</v>
      </c>
      <c r="AX47" s="57" t="e">
        <f t="shared" si="65"/>
        <v>#REF!</v>
      </c>
      <c r="AY47" s="57" t="e">
        <f t="shared" si="65"/>
        <v>#REF!</v>
      </c>
      <c r="AZ47" s="57" t="e">
        <f t="shared" si="65"/>
        <v>#REF!</v>
      </c>
      <c r="BA47" s="57" t="e">
        <f t="shared" si="65"/>
        <v>#REF!</v>
      </c>
      <c r="BB47" s="57" t="e">
        <f t="shared" si="65"/>
        <v>#REF!</v>
      </c>
      <c r="BC47" s="57" t="e">
        <f>BB47*$S$42</f>
        <v>#REF!</v>
      </c>
      <c r="BD47" s="57"/>
      <c r="BE47" s="57" t="e">
        <f>BE46</f>
        <v>#REF!</v>
      </c>
      <c r="BF47" s="57" t="e">
        <f>BE47</f>
        <v>#REF!</v>
      </c>
      <c r="BG47" s="57" t="e">
        <f t="shared" ref="BG47:BN47" si="66">BF47</f>
        <v>#REF!</v>
      </c>
      <c r="BH47" s="57" t="e">
        <f t="shared" si="66"/>
        <v>#REF!</v>
      </c>
      <c r="BI47" s="57" t="e">
        <f t="shared" si="66"/>
        <v>#REF!</v>
      </c>
      <c r="BJ47" s="57" t="e">
        <f t="shared" si="66"/>
        <v>#REF!</v>
      </c>
      <c r="BK47" s="57" t="e">
        <f t="shared" si="66"/>
        <v>#REF!</v>
      </c>
      <c r="BL47" s="57" t="e">
        <f t="shared" si="66"/>
        <v>#REF!</v>
      </c>
      <c r="BM47" s="57" t="e">
        <f t="shared" si="66"/>
        <v>#REF!</v>
      </c>
      <c r="BN47" s="57" t="e">
        <f t="shared" si="66"/>
        <v>#REF!</v>
      </c>
      <c r="BO47" s="57" t="e">
        <f>BN47*$S$42</f>
        <v>#REF!</v>
      </c>
      <c r="BP47" s="57"/>
      <c r="BQ47" s="57" t="e">
        <f>BQ46</f>
        <v>#REF!</v>
      </c>
      <c r="BR47" s="57" t="e">
        <f>BQ47</f>
        <v>#REF!</v>
      </c>
      <c r="BS47" s="57" t="e">
        <f t="shared" ref="BS47:BZ47" si="67">BR47</f>
        <v>#REF!</v>
      </c>
      <c r="BT47" s="57" t="e">
        <f t="shared" si="67"/>
        <v>#REF!</v>
      </c>
      <c r="BU47" s="57" t="e">
        <f t="shared" si="67"/>
        <v>#REF!</v>
      </c>
      <c r="BV47" s="57" t="e">
        <f t="shared" si="67"/>
        <v>#REF!</v>
      </c>
      <c r="BW47" s="57" t="e">
        <f t="shared" si="67"/>
        <v>#REF!</v>
      </c>
      <c r="BX47" s="57" t="e">
        <f t="shared" si="67"/>
        <v>#REF!</v>
      </c>
      <c r="BY47" s="57" t="e">
        <f t="shared" si="67"/>
        <v>#REF!</v>
      </c>
      <c r="BZ47" s="57" t="e">
        <f t="shared" si="67"/>
        <v>#REF!</v>
      </c>
      <c r="CA47" s="57" t="e">
        <f>BZ47*$S$42</f>
        <v>#REF!</v>
      </c>
      <c r="CB47" s="57"/>
      <c r="CC47" s="57" t="e">
        <f>CC46</f>
        <v>#REF!</v>
      </c>
      <c r="CD47" s="57" t="e">
        <f t="shared" ref="CD47:CI47" si="68">CC47</f>
        <v>#REF!</v>
      </c>
      <c r="CE47" s="57" t="e">
        <f t="shared" si="68"/>
        <v>#REF!</v>
      </c>
      <c r="CF47" s="57" t="e">
        <f t="shared" si="68"/>
        <v>#REF!</v>
      </c>
      <c r="CG47" s="57" t="e">
        <f t="shared" si="68"/>
        <v>#REF!</v>
      </c>
      <c r="CH47" s="57" t="e">
        <f t="shared" si="68"/>
        <v>#REF!</v>
      </c>
      <c r="CI47" s="57" t="e">
        <f t="shared" si="68"/>
        <v>#REF!</v>
      </c>
    </row>
    <row r="48" spans="2:87">
      <c r="B48" s="71" t="s">
        <v>132</v>
      </c>
      <c r="C48" s="56">
        <v>0.15</v>
      </c>
      <c r="S48" s="57"/>
      <c r="T48" s="81">
        <v>0</v>
      </c>
      <c r="U48" s="57"/>
      <c r="V48" s="57"/>
      <c r="W48" s="57"/>
      <c r="X48" s="57"/>
      <c r="Y48" s="57"/>
      <c r="Z48" s="57"/>
      <c r="AA48" s="57"/>
      <c r="AB48" s="57"/>
      <c r="AC48" s="57"/>
      <c r="AD48" s="57"/>
      <c r="AE48" s="57"/>
      <c r="AF48" s="81" t="e">
        <f>$D$45*$C48</f>
        <v>#REF!</v>
      </c>
      <c r="AG48" s="57"/>
      <c r="AH48" s="57"/>
      <c r="AI48" s="57"/>
      <c r="AJ48" s="57"/>
      <c r="AK48" s="57"/>
      <c r="AL48" s="57"/>
      <c r="AM48" s="57"/>
      <c r="AN48" s="57"/>
      <c r="AO48" s="57"/>
      <c r="AP48" s="57"/>
      <c r="AQ48" s="57"/>
      <c r="AR48" s="57" t="e">
        <f>$D$45*$C48</f>
        <v>#REF!</v>
      </c>
      <c r="AS48" s="57"/>
      <c r="AT48" s="57"/>
      <c r="AU48" s="57"/>
      <c r="AV48" s="57"/>
      <c r="AW48" s="57"/>
      <c r="AX48" s="57"/>
      <c r="AY48" s="57"/>
      <c r="AZ48" s="57"/>
      <c r="BA48" s="57"/>
      <c r="BB48" s="57"/>
      <c r="BC48" s="57"/>
      <c r="BD48" s="57" t="e">
        <f>$D$45*$C48</f>
        <v>#REF!</v>
      </c>
      <c r="BE48" s="57"/>
      <c r="BF48" s="57"/>
      <c r="BG48" s="57"/>
      <c r="BH48" s="57"/>
      <c r="BI48" s="57"/>
      <c r="BJ48" s="57"/>
      <c r="BK48" s="57"/>
      <c r="BL48" s="57"/>
      <c r="BM48" s="57"/>
      <c r="BN48" s="57"/>
      <c r="BO48" s="57"/>
      <c r="BP48" s="57" t="e">
        <f>$D$45*$C48</f>
        <v>#REF!</v>
      </c>
      <c r="BQ48" s="57"/>
      <c r="BR48" s="57"/>
      <c r="BS48" s="57"/>
      <c r="BT48" s="57"/>
      <c r="BU48" s="57"/>
      <c r="BV48" s="57"/>
      <c r="BW48" s="57"/>
      <c r="BX48" s="57"/>
      <c r="BY48" s="57"/>
      <c r="BZ48" s="57"/>
      <c r="CA48" s="57"/>
      <c r="CB48" s="57" t="e">
        <f>$D$45*$C48</f>
        <v>#REF!</v>
      </c>
      <c r="CC48" s="57"/>
      <c r="CD48" s="57"/>
      <c r="CE48" s="57"/>
      <c r="CF48" s="57"/>
      <c r="CG48" s="57"/>
      <c r="CH48" s="57"/>
      <c r="CI48" s="57"/>
    </row>
    <row r="49" spans="1:87">
      <c r="B49" s="52" t="s">
        <v>122</v>
      </c>
      <c r="C49" s="56"/>
      <c r="S49" s="57" t="e">
        <f>I47-S47</f>
        <v>#REF!</v>
      </c>
      <c r="T49" s="57" t="e">
        <f>I47-T48</f>
        <v>#REF!</v>
      </c>
      <c r="U49" s="57"/>
      <c r="V49" s="57"/>
      <c r="W49" s="57"/>
      <c r="X49" s="57"/>
      <c r="Y49" s="57"/>
      <c r="Z49" s="57"/>
      <c r="AA49" s="57"/>
      <c r="AB49" s="57"/>
      <c r="AC49" s="57"/>
      <c r="AD49" s="57"/>
      <c r="AE49" s="57" t="e">
        <f>U47-AE47</f>
        <v>#REF!</v>
      </c>
      <c r="AF49" s="57" t="e">
        <f>U47-AF48</f>
        <v>#REF!</v>
      </c>
      <c r="AG49" s="57"/>
      <c r="AH49" s="57"/>
      <c r="AI49" s="57"/>
      <c r="AJ49" s="57"/>
      <c r="AK49" s="57"/>
      <c r="AL49" s="57"/>
      <c r="AM49" s="57"/>
      <c r="AN49" s="57"/>
      <c r="AO49" s="57"/>
      <c r="AP49" s="57"/>
      <c r="AQ49" s="57" t="e">
        <f>AG47-AQ47</f>
        <v>#REF!</v>
      </c>
      <c r="AR49" s="57" t="e">
        <f>AG47-AR48</f>
        <v>#REF!</v>
      </c>
      <c r="AS49" s="57"/>
      <c r="AT49" s="57"/>
      <c r="AU49" s="57"/>
      <c r="AV49" s="57"/>
      <c r="AW49" s="57"/>
      <c r="AX49" s="57"/>
      <c r="AY49" s="57"/>
      <c r="AZ49" s="57"/>
      <c r="BA49" s="57"/>
      <c r="BB49" s="57"/>
      <c r="BC49" s="57" t="e">
        <f>AS47-BC47</f>
        <v>#REF!</v>
      </c>
      <c r="BD49" s="57" t="e">
        <f>AS47-BD48</f>
        <v>#REF!</v>
      </c>
      <c r="BE49" s="57"/>
      <c r="BF49" s="57"/>
      <c r="BG49" s="57"/>
      <c r="BH49" s="57"/>
      <c r="BI49" s="57"/>
      <c r="BJ49" s="57"/>
      <c r="BK49" s="57"/>
      <c r="BL49" s="57"/>
      <c r="BM49" s="57"/>
      <c r="BN49" s="57"/>
      <c r="BO49" s="57" t="e">
        <f>BE47-BO47</f>
        <v>#REF!</v>
      </c>
      <c r="BP49" s="57" t="e">
        <f>BE47-BP48</f>
        <v>#REF!</v>
      </c>
      <c r="BQ49" s="57"/>
      <c r="BR49" s="57"/>
      <c r="BS49" s="57"/>
      <c r="BT49" s="57"/>
      <c r="BU49" s="57"/>
      <c r="BV49" s="57"/>
      <c r="BW49" s="57"/>
      <c r="BX49" s="57"/>
      <c r="BY49" s="57"/>
      <c r="BZ49" s="57"/>
      <c r="CA49" s="57" t="e">
        <f>BQ47-CA47</f>
        <v>#REF!</v>
      </c>
      <c r="CB49" s="57" t="e">
        <f>BQ47-CB48</f>
        <v>#REF!</v>
      </c>
      <c r="CC49" s="57"/>
      <c r="CD49" s="57"/>
      <c r="CE49" s="57"/>
      <c r="CF49" s="57"/>
      <c r="CG49" s="57"/>
      <c r="CH49" s="57"/>
      <c r="CI49" s="57"/>
    </row>
    <row r="50" spans="1:87">
      <c r="C50" s="56"/>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row>
    <row r="51" spans="1:87">
      <c r="B51" s="72" t="s">
        <v>147</v>
      </c>
      <c r="C51" s="56"/>
      <c r="U51" s="57"/>
      <c r="V51" s="57"/>
      <c r="W51" s="57"/>
      <c r="X51" s="57"/>
      <c r="Y51" s="57"/>
      <c r="Z51" s="57"/>
      <c r="AA51" s="57"/>
      <c r="AB51" s="57"/>
      <c r="AC51" s="57"/>
      <c r="AD51" s="57"/>
      <c r="AE51" s="57"/>
      <c r="AF51" s="57"/>
      <c r="AG51" s="57"/>
    </row>
    <row r="52" spans="1:87">
      <c r="B52" s="71" t="s">
        <v>137</v>
      </c>
      <c r="C52" s="56">
        <v>0.5</v>
      </c>
      <c r="I52" s="57" t="e">
        <f>I46*$C52</f>
        <v>#REF!</v>
      </c>
      <c r="J52" s="57" t="e">
        <f>I52</f>
        <v>#REF!</v>
      </c>
      <c r="K52" s="57" t="e">
        <f t="shared" ref="K52:Y52" si="69">J52</f>
        <v>#REF!</v>
      </c>
      <c r="L52" s="57" t="e">
        <f t="shared" si="69"/>
        <v>#REF!</v>
      </c>
      <c r="M52" s="57" t="e">
        <f t="shared" si="69"/>
        <v>#REF!</v>
      </c>
      <c r="N52" s="57" t="e">
        <f t="shared" si="69"/>
        <v>#REF!</v>
      </c>
      <c r="O52" s="57" t="e">
        <f t="shared" si="69"/>
        <v>#REF!</v>
      </c>
      <c r="P52" s="57" t="e">
        <f t="shared" si="69"/>
        <v>#REF!</v>
      </c>
      <c r="Q52" s="57" t="e">
        <f t="shared" si="69"/>
        <v>#REF!</v>
      </c>
      <c r="R52" s="57" t="e">
        <f t="shared" si="69"/>
        <v>#REF!</v>
      </c>
      <c r="S52" s="57" t="e">
        <f t="shared" si="69"/>
        <v>#REF!</v>
      </c>
      <c r="T52" s="57" t="e">
        <f t="shared" si="69"/>
        <v>#REF!</v>
      </c>
      <c r="U52" s="57" t="e">
        <f t="shared" si="69"/>
        <v>#REF!</v>
      </c>
      <c r="V52" s="57" t="e">
        <f t="shared" si="69"/>
        <v>#REF!</v>
      </c>
      <c r="W52" s="57" t="e">
        <f t="shared" si="69"/>
        <v>#REF!</v>
      </c>
      <c r="X52" s="57" t="e">
        <f t="shared" si="69"/>
        <v>#REF!</v>
      </c>
      <c r="Y52" s="57" t="e">
        <f t="shared" si="69"/>
        <v>#REF!</v>
      </c>
      <c r="Z52" s="57" t="e">
        <f>Y52-Y59</f>
        <v>#REF!</v>
      </c>
      <c r="AA52" s="57" t="e">
        <f>Z52-Z59</f>
        <v>#REF!</v>
      </c>
      <c r="AB52" s="57" t="e">
        <f>AA52-AA59</f>
        <v>#REF!</v>
      </c>
      <c r="AC52" s="57" t="e">
        <f>AB52-AB59</f>
        <v>#REF!</v>
      </c>
      <c r="AD52" s="57" t="e">
        <f>AC52-AC59</f>
        <v>#REF!</v>
      </c>
      <c r="AE52" s="57" t="e">
        <f>AD52</f>
        <v>#REF!</v>
      </c>
      <c r="AF52" s="77" t="e">
        <f>AE52</f>
        <v>#REF!</v>
      </c>
      <c r="AG52" s="57"/>
    </row>
    <row r="53" spans="1:87">
      <c r="B53" s="71" t="s">
        <v>138</v>
      </c>
      <c r="C53" s="56">
        <v>0.5</v>
      </c>
      <c r="I53" s="57"/>
      <c r="J53" s="57"/>
      <c r="K53" s="57"/>
      <c r="L53" s="57"/>
      <c r="M53" s="57"/>
      <c r="N53" s="57"/>
      <c r="O53" s="57"/>
      <c r="P53" s="57"/>
      <c r="Q53" s="57"/>
      <c r="R53" s="57"/>
      <c r="S53" s="57"/>
      <c r="T53" s="57"/>
      <c r="U53" s="57" t="e">
        <f>U46*C53</f>
        <v>#REF!</v>
      </c>
      <c r="V53" s="57" t="e">
        <f t="shared" ref="V53:AK53" si="70">U53</f>
        <v>#REF!</v>
      </c>
      <c r="W53" s="57" t="e">
        <f t="shared" si="70"/>
        <v>#REF!</v>
      </c>
      <c r="X53" s="57" t="e">
        <f t="shared" si="70"/>
        <v>#REF!</v>
      </c>
      <c r="Y53" s="57" t="e">
        <f t="shared" si="70"/>
        <v>#REF!</v>
      </c>
      <c r="Z53" s="57" t="e">
        <f t="shared" si="70"/>
        <v>#REF!</v>
      </c>
      <c r="AA53" s="57" t="e">
        <f t="shared" si="70"/>
        <v>#REF!</v>
      </c>
      <c r="AB53" s="57" t="e">
        <f t="shared" si="70"/>
        <v>#REF!</v>
      </c>
      <c r="AC53" s="57" t="e">
        <f t="shared" si="70"/>
        <v>#REF!</v>
      </c>
      <c r="AD53" s="57" t="e">
        <f t="shared" si="70"/>
        <v>#REF!</v>
      </c>
      <c r="AE53" s="57" t="e">
        <f t="shared" si="70"/>
        <v>#REF!</v>
      </c>
      <c r="AF53" s="57" t="e">
        <f t="shared" si="70"/>
        <v>#REF!</v>
      </c>
      <c r="AG53" s="57" t="e">
        <f t="shared" si="70"/>
        <v>#REF!</v>
      </c>
      <c r="AH53" s="57" t="e">
        <f t="shared" si="70"/>
        <v>#REF!</v>
      </c>
      <c r="AI53" s="57" t="e">
        <f t="shared" si="70"/>
        <v>#REF!</v>
      </c>
      <c r="AJ53" s="57" t="e">
        <f t="shared" si="70"/>
        <v>#REF!</v>
      </c>
      <c r="AK53" s="57" t="e">
        <f t="shared" si="70"/>
        <v>#REF!</v>
      </c>
      <c r="AL53" s="57" t="e">
        <f>AK53-AK64</f>
        <v>#REF!</v>
      </c>
      <c r="AM53" s="57" t="e">
        <f>AL53-AL60</f>
        <v>#REF!</v>
      </c>
      <c r="AN53" s="57" t="e">
        <f>AM53-AM60</f>
        <v>#REF!</v>
      </c>
      <c r="AO53" s="57" t="e">
        <f>AN53-AN60</f>
        <v>#REF!</v>
      </c>
      <c r="AP53" s="57" t="e">
        <f>AO53-AO60</f>
        <v>#REF!</v>
      </c>
      <c r="AQ53" s="57" t="e">
        <f>AP53</f>
        <v>#REF!</v>
      </c>
      <c r="AR53" s="57" t="e">
        <f>AQ53</f>
        <v>#REF!</v>
      </c>
    </row>
    <row r="54" spans="1:87">
      <c r="B54" s="71" t="s">
        <v>139</v>
      </c>
      <c r="C54" s="56">
        <v>0.5</v>
      </c>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t="e">
        <f>AG46*C54</f>
        <v>#REF!</v>
      </c>
      <c r="AH54" s="57" t="e">
        <f>AG54</f>
        <v>#REF!</v>
      </c>
      <c r="AI54" s="57" t="e">
        <f t="shared" ref="AI54:AW54" si="71">AH54</f>
        <v>#REF!</v>
      </c>
      <c r="AJ54" s="57" t="e">
        <f t="shared" si="71"/>
        <v>#REF!</v>
      </c>
      <c r="AK54" s="57" t="e">
        <f t="shared" si="71"/>
        <v>#REF!</v>
      </c>
      <c r="AL54" s="57" t="e">
        <f t="shared" si="71"/>
        <v>#REF!</v>
      </c>
      <c r="AM54" s="57" t="e">
        <f t="shared" si="71"/>
        <v>#REF!</v>
      </c>
      <c r="AN54" s="57" t="e">
        <f t="shared" si="71"/>
        <v>#REF!</v>
      </c>
      <c r="AO54" s="57" t="e">
        <f t="shared" si="71"/>
        <v>#REF!</v>
      </c>
      <c r="AP54" s="57" t="e">
        <f t="shared" si="71"/>
        <v>#REF!</v>
      </c>
      <c r="AQ54" s="57" t="e">
        <f t="shared" si="71"/>
        <v>#REF!</v>
      </c>
      <c r="AR54" s="57" t="e">
        <f t="shared" si="71"/>
        <v>#REF!</v>
      </c>
      <c r="AS54" s="57" t="e">
        <f t="shared" si="71"/>
        <v>#REF!</v>
      </c>
      <c r="AT54" s="57" t="e">
        <f t="shared" si="71"/>
        <v>#REF!</v>
      </c>
      <c r="AU54" s="57" t="e">
        <f t="shared" si="71"/>
        <v>#REF!</v>
      </c>
      <c r="AV54" s="57" t="e">
        <f t="shared" si="71"/>
        <v>#REF!</v>
      </c>
      <c r="AW54" s="57" t="e">
        <f t="shared" si="71"/>
        <v>#REF!</v>
      </c>
      <c r="AX54" s="57" t="e">
        <f>AW54-AW69</f>
        <v>#REF!</v>
      </c>
      <c r="AY54" s="57" t="e">
        <f t="shared" ref="AY54:BD54" si="72">AX54-AX69</f>
        <v>#REF!</v>
      </c>
      <c r="AZ54" s="57" t="e">
        <f t="shared" si="72"/>
        <v>#REF!</v>
      </c>
      <c r="BA54" s="57" t="e">
        <f t="shared" si="72"/>
        <v>#REF!</v>
      </c>
      <c r="BB54" s="57" t="e">
        <f t="shared" si="72"/>
        <v>#REF!</v>
      </c>
      <c r="BC54" s="57" t="e">
        <f t="shared" si="72"/>
        <v>#REF!</v>
      </c>
      <c r="BD54" s="57" t="e">
        <f t="shared" si="72"/>
        <v>#REF!</v>
      </c>
    </row>
    <row r="55" spans="1:87">
      <c r="B55" s="71" t="s">
        <v>140</v>
      </c>
      <c r="C55" s="56">
        <v>0.5</v>
      </c>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S55" s="57" t="e">
        <f>AS46*C55</f>
        <v>#REF!</v>
      </c>
      <c r="AT55" s="57" t="e">
        <f>AS55</f>
        <v>#REF!</v>
      </c>
      <c r="AU55" s="57" t="e">
        <f t="shared" ref="AU55:BP55" si="73">AT55</f>
        <v>#REF!</v>
      </c>
      <c r="AV55" s="57" t="e">
        <f t="shared" si="73"/>
        <v>#REF!</v>
      </c>
      <c r="AW55" s="57" t="e">
        <f t="shared" si="73"/>
        <v>#REF!</v>
      </c>
      <c r="AX55" s="57" t="e">
        <f t="shared" si="73"/>
        <v>#REF!</v>
      </c>
      <c r="AY55" s="57" t="e">
        <f t="shared" si="73"/>
        <v>#REF!</v>
      </c>
      <c r="AZ55" s="57" t="e">
        <f t="shared" si="73"/>
        <v>#REF!</v>
      </c>
      <c r="BA55" s="57" t="e">
        <f t="shared" si="73"/>
        <v>#REF!</v>
      </c>
      <c r="BB55" s="57" t="e">
        <f t="shared" si="73"/>
        <v>#REF!</v>
      </c>
      <c r="BC55" s="57" t="e">
        <f t="shared" si="73"/>
        <v>#REF!</v>
      </c>
      <c r="BD55" s="57" t="e">
        <f t="shared" si="73"/>
        <v>#REF!</v>
      </c>
      <c r="BE55" s="57" t="e">
        <f t="shared" si="73"/>
        <v>#REF!</v>
      </c>
      <c r="BF55" s="57" t="e">
        <f t="shared" si="73"/>
        <v>#REF!</v>
      </c>
      <c r="BG55" s="57" t="e">
        <f t="shared" si="73"/>
        <v>#REF!</v>
      </c>
      <c r="BH55" s="57" t="e">
        <f t="shared" si="73"/>
        <v>#REF!</v>
      </c>
      <c r="BI55" s="57" t="e">
        <f t="shared" si="73"/>
        <v>#REF!</v>
      </c>
      <c r="BJ55" s="57" t="e">
        <f>BI55-BI74</f>
        <v>#REF!</v>
      </c>
      <c r="BK55" s="57" t="e">
        <f t="shared" si="73"/>
        <v>#REF!</v>
      </c>
      <c r="BL55" s="57" t="e">
        <f t="shared" si="73"/>
        <v>#REF!</v>
      </c>
      <c r="BM55" s="57" t="e">
        <f t="shared" si="73"/>
        <v>#REF!</v>
      </c>
      <c r="BN55" s="57" t="e">
        <f>BM55</f>
        <v>#REF!</v>
      </c>
      <c r="BO55" s="57" t="e">
        <f t="shared" si="73"/>
        <v>#REF!</v>
      </c>
      <c r="BP55" s="57" t="e">
        <f t="shared" si="73"/>
        <v>#REF!</v>
      </c>
      <c r="BQ55" s="57"/>
    </row>
    <row r="56" spans="1:87">
      <c r="B56" s="71" t="s">
        <v>141</v>
      </c>
      <c r="C56" s="56">
        <v>0.5</v>
      </c>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BE56" s="57" t="e">
        <f>BE46*C56</f>
        <v>#REF!</v>
      </c>
      <c r="BF56" s="57" t="e">
        <f>BE56</f>
        <v>#REF!</v>
      </c>
      <c r="BG56" s="57" t="e">
        <f t="shared" ref="BG56:CB56" si="74">BF56</f>
        <v>#REF!</v>
      </c>
      <c r="BH56" s="57" t="e">
        <f t="shared" si="74"/>
        <v>#REF!</v>
      </c>
      <c r="BI56" s="57" t="e">
        <f t="shared" si="74"/>
        <v>#REF!</v>
      </c>
      <c r="BJ56" s="57" t="e">
        <f t="shared" si="74"/>
        <v>#REF!</v>
      </c>
      <c r="BK56" s="57" t="e">
        <f t="shared" si="74"/>
        <v>#REF!</v>
      </c>
      <c r="BL56" s="57" t="e">
        <f t="shared" si="74"/>
        <v>#REF!</v>
      </c>
      <c r="BM56" s="57" t="e">
        <f t="shared" si="74"/>
        <v>#REF!</v>
      </c>
      <c r="BN56" s="57" t="e">
        <f t="shared" si="74"/>
        <v>#REF!</v>
      </c>
      <c r="BO56" s="57" t="e">
        <f t="shared" si="74"/>
        <v>#REF!</v>
      </c>
      <c r="BP56" s="57" t="e">
        <f t="shared" si="74"/>
        <v>#REF!</v>
      </c>
      <c r="BQ56" s="57" t="e">
        <f t="shared" si="74"/>
        <v>#REF!</v>
      </c>
      <c r="BR56" s="57" t="e">
        <f t="shared" si="74"/>
        <v>#REF!</v>
      </c>
      <c r="BS56" s="57" t="e">
        <f t="shared" si="74"/>
        <v>#REF!</v>
      </c>
      <c r="BT56" s="57" t="e">
        <f t="shared" si="74"/>
        <v>#REF!</v>
      </c>
      <c r="BU56" s="57" t="e">
        <f t="shared" si="74"/>
        <v>#REF!</v>
      </c>
      <c r="BV56" s="57" t="e">
        <f>BU56-BU79</f>
        <v>#REF!</v>
      </c>
      <c r="BW56" s="57" t="e">
        <f t="shared" si="74"/>
        <v>#REF!</v>
      </c>
      <c r="BX56" s="57" t="e">
        <f t="shared" si="74"/>
        <v>#REF!</v>
      </c>
      <c r="BY56" s="57" t="e">
        <f t="shared" si="74"/>
        <v>#REF!</v>
      </c>
      <c r="BZ56" s="57" t="e">
        <f t="shared" si="74"/>
        <v>#REF!</v>
      </c>
      <c r="CA56" s="57" t="e">
        <f t="shared" si="74"/>
        <v>#REF!</v>
      </c>
      <c r="CB56" s="57" t="e">
        <f t="shared" si="74"/>
        <v>#REF!</v>
      </c>
      <c r="CC56" s="57"/>
    </row>
    <row r="57" spans="1:87">
      <c r="B57" s="71" t="s">
        <v>142</v>
      </c>
      <c r="C57" s="56">
        <v>0.5</v>
      </c>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BQ57" s="57" t="e">
        <f>BQ46*C57</f>
        <v>#REF!</v>
      </c>
      <c r="BR57" s="57" t="e">
        <f>BQ57</f>
        <v>#REF!</v>
      </c>
      <c r="BS57" s="57" t="e">
        <f t="shared" ref="BS57:CI57" si="75">BR57</f>
        <v>#REF!</v>
      </c>
      <c r="BT57" s="57" t="e">
        <f t="shared" si="75"/>
        <v>#REF!</v>
      </c>
      <c r="BU57" s="57" t="e">
        <f t="shared" si="75"/>
        <v>#REF!</v>
      </c>
      <c r="BV57" s="57" t="e">
        <f t="shared" si="75"/>
        <v>#REF!</v>
      </c>
      <c r="BW57" s="57" t="e">
        <f t="shared" si="75"/>
        <v>#REF!</v>
      </c>
      <c r="BX57" s="57" t="e">
        <f t="shared" si="75"/>
        <v>#REF!</v>
      </c>
      <c r="BY57" s="57" t="e">
        <f t="shared" si="75"/>
        <v>#REF!</v>
      </c>
      <c r="BZ57" s="57" t="e">
        <f t="shared" si="75"/>
        <v>#REF!</v>
      </c>
      <c r="CA57" s="57" t="e">
        <f t="shared" si="75"/>
        <v>#REF!</v>
      </c>
      <c r="CB57" s="57" t="e">
        <f t="shared" si="75"/>
        <v>#REF!</v>
      </c>
      <c r="CC57" s="57" t="e">
        <f t="shared" si="75"/>
        <v>#REF!</v>
      </c>
      <c r="CD57" s="57" t="e">
        <f t="shared" si="75"/>
        <v>#REF!</v>
      </c>
      <c r="CE57" s="57" t="e">
        <f t="shared" si="75"/>
        <v>#REF!</v>
      </c>
      <c r="CF57" s="57" t="e">
        <f t="shared" si="75"/>
        <v>#REF!</v>
      </c>
      <c r="CG57" s="57" t="e">
        <f t="shared" si="75"/>
        <v>#REF!</v>
      </c>
      <c r="CH57" s="57" t="e">
        <f t="shared" si="75"/>
        <v>#REF!</v>
      </c>
      <c r="CI57" s="57" t="e">
        <f t="shared" si="75"/>
        <v>#REF!</v>
      </c>
    </row>
    <row r="58" spans="1:87">
      <c r="B58" s="71" t="s">
        <v>143</v>
      </c>
      <c r="C58" s="56">
        <v>0.5</v>
      </c>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CC58" s="57" t="e">
        <f>CC46*C58</f>
        <v>#REF!</v>
      </c>
      <c r="CD58" s="57" t="e">
        <f t="shared" ref="CD58:CI58" si="76">CC58</f>
        <v>#REF!</v>
      </c>
      <c r="CE58" s="57" t="e">
        <f t="shared" si="76"/>
        <v>#REF!</v>
      </c>
      <c r="CF58" s="57" t="e">
        <f t="shared" si="76"/>
        <v>#REF!</v>
      </c>
      <c r="CG58" s="57" t="e">
        <f t="shared" si="76"/>
        <v>#REF!</v>
      </c>
      <c r="CH58" s="57" t="e">
        <f t="shared" si="76"/>
        <v>#REF!</v>
      </c>
      <c r="CI58" s="57" t="e">
        <f t="shared" si="76"/>
        <v>#REF!</v>
      </c>
    </row>
    <row r="59" spans="1:87">
      <c r="B59" s="71" t="s">
        <v>153</v>
      </c>
      <c r="C59" s="56"/>
      <c r="I59" s="57"/>
      <c r="J59" s="57"/>
      <c r="K59" s="57"/>
      <c r="L59" s="57"/>
      <c r="M59" s="57"/>
      <c r="N59" s="57"/>
      <c r="O59" s="57"/>
      <c r="P59" s="57"/>
      <c r="Q59" s="57"/>
      <c r="R59" s="57"/>
      <c r="S59" s="57"/>
      <c r="T59" s="57"/>
      <c r="U59" s="57"/>
      <c r="V59" s="57"/>
      <c r="W59" s="57"/>
      <c r="X59" s="57"/>
      <c r="Y59" s="57" t="e">
        <f>X52-($C$2/12-AF49)</f>
        <v>#REF!</v>
      </c>
      <c r="Z59" s="57"/>
      <c r="AA59" s="57"/>
      <c r="AB59" s="57"/>
      <c r="AC59" s="57"/>
      <c r="AD59" s="57"/>
      <c r="AE59" s="57"/>
      <c r="AF59" s="57"/>
      <c r="AG59" s="57"/>
    </row>
    <row r="60" spans="1:87">
      <c r="A60" s="57" t="e">
        <f>AG60</f>
        <v>#REF!</v>
      </c>
      <c r="B60" s="52" t="s">
        <v>120</v>
      </c>
      <c r="C60" s="56">
        <v>1</v>
      </c>
      <c r="U60" s="57"/>
      <c r="V60" s="57"/>
      <c r="W60" s="57"/>
      <c r="X60" s="57"/>
      <c r="Y60" s="57"/>
      <c r="Z60" s="57"/>
      <c r="AA60" s="57"/>
      <c r="AB60" s="57"/>
      <c r="AC60" s="57"/>
      <c r="AD60" s="57"/>
      <c r="AE60" s="57"/>
      <c r="AF60" s="57"/>
      <c r="AG60" s="57" t="e">
        <f>AF52</f>
        <v>#REF!</v>
      </c>
      <c r="AH60" s="57"/>
      <c r="AS60" s="57" t="e">
        <f>AR63</f>
        <v>#REF!</v>
      </c>
      <c r="BE60" s="57" t="e">
        <f>BD63</f>
        <v>#REF!</v>
      </c>
      <c r="BQ60" s="57" t="e">
        <f>BP63</f>
        <v>#REF!</v>
      </c>
      <c r="CC60" s="57" t="e">
        <f>CB63</f>
        <v>#REF!</v>
      </c>
    </row>
    <row r="61" spans="1:87">
      <c r="B61" s="52" t="s">
        <v>121</v>
      </c>
      <c r="U61" s="57"/>
      <c r="V61" s="57"/>
      <c r="W61" s="57"/>
      <c r="X61" s="57"/>
      <c r="Y61" s="57"/>
      <c r="Z61" s="57"/>
      <c r="AA61" s="57"/>
      <c r="AB61" s="57"/>
      <c r="AC61" s="57"/>
      <c r="AD61" s="57"/>
      <c r="AE61" s="57"/>
      <c r="AF61" s="57"/>
      <c r="AG61" s="57" t="e">
        <f>AG60</f>
        <v>#REF!</v>
      </c>
      <c r="AH61" s="57" t="e">
        <f>AG61</f>
        <v>#REF!</v>
      </c>
      <c r="AI61" s="57" t="e">
        <f t="shared" ref="AI61:AO61" si="77">AH61</f>
        <v>#REF!</v>
      </c>
      <c r="AJ61" s="57" t="e">
        <f t="shared" si="77"/>
        <v>#REF!</v>
      </c>
      <c r="AK61" s="57" t="e">
        <f t="shared" si="77"/>
        <v>#REF!</v>
      </c>
      <c r="AL61" s="57" t="e">
        <f t="shared" si="77"/>
        <v>#REF!</v>
      </c>
      <c r="AM61" s="57" t="e">
        <f t="shared" si="77"/>
        <v>#REF!</v>
      </c>
      <c r="AN61" s="57" t="e">
        <f t="shared" si="77"/>
        <v>#REF!</v>
      </c>
      <c r="AO61" s="57" t="e">
        <f t="shared" si="77"/>
        <v>#REF!</v>
      </c>
      <c r="AP61" s="57" t="e">
        <f>AO61</f>
        <v>#REF!</v>
      </c>
      <c r="AQ61" s="57" t="e">
        <f>AP61*$S$42</f>
        <v>#REF!</v>
      </c>
      <c r="AR61" s="57"/>
      <c r="AS61" s="57" t="e">
        <f>AS60</f>
        <v>#REF!</v>
      </c>
      <c r="AT61" s="57" t="e">
        <f>AS61</f>
        <v>#REF!</v>
      </c>
      <c r="AU61" s="57" t="e">
        <f t="shared" ref="AU61:BA61" si="78">AT61</f>
        <v>#REF!</v>
      </c>
      <c r="AV61" s="57" t="e">
        <f t="shared" si="78"/>
        <v>#REF!</v>
      </c>
      <c r="AW61" s="57" t="e">
        <f t="shared" si="78"/>
        <v>#REF!</v>
      </c>
      <c r="AX61" s="57" t="e">
        <f t="shared" si="78"/>
        <v>#REF!</v>
      </c>
      <c r="AY61" s="57" t="e">
        <f t="shared" si="78"/>
        <v>#REF!</v>
      </c>
      <c r="AZ61" s="57" t="e">
        <f t="shared" si="78"/>
        <v>#REF!</v>
      </c>
      <c r="BA61" s="57" t="e">
        <f t="shared" si="78"/>
        <v>#REF!</v>
      </c>
      <c r="BB61" s="57" t="e">
        <f>BA61</f>
        <v>#REF!</v>
      </c>
      <c r="BC61" s="57" t="e">
        <f>BB61*$S$42</f>
        <v>#REF!</v>
      </c>
      <c r="BD61" s="57"/>
      <c r="BE61" s="57" t="e">
        <f>BE60</f>
        <v>#REF!</v>
      </c>
      <c r="BF61" s="57" t="e">
        <f>BE61</f>
        <v>#REF!</v>
      </c>
      <c r="BG61" s="57" t="e">
        <f t="shared" ref="BG61:BM61" si="79">BF61</f>
        <v>#REF!</v>
      </c>
      <c r="BH61" s="57" t="e">
        <f t="shared" si="79"/>
        <v>#REF!</v>
      </c>
      <c r="BI61" s="57" t="e">
        <f t="shared" si="79"/>
        <v>#REF!</v>
      </c>
      <c r="BJ61" s="57" t="e">
        <f t="shared" si="79"/>
        <v>#REF!</v>
      </c>
      <c r="BK61" s="57" t="e">
        <f t="shared" si="79"/>
        <v>#REF!</v>
      </c>
      <c r="BL61" s="57" t="e">
        <f t="shared" si="79"/>
        <v>#REF!</v>
      </c>
      <c r="BM61" s="57" t="e">
        <f t="shared" si="79"/>
        <v>#REF!</v>
      </c>
      <c r="BN61" s="57" t="e">
        <f>BM61</f>
        <v>#REF!</v>
      </c>
      <c r="BO61" s="57" t="e">
        <f>BN61*$S$42</f>
        <v>#REF!</v>
      </c>
      <c r="BP61" s="57"/>
      <c r="BQ61" s="57" t="e">
        <f>BQ60</f>
        <v>#REF!</v>
      </c>
      <c r="BR61" s="57" t="e">
        <f>BQ61</f>
        <v>#REF!</v>
      </c>
      <c r="BS61" s="57" t="e">
        <f t="shared" ref="BS61:BY61" si="80">BR61</f>
        <v>#REF!</v>
      </c>
      <c r="BT61" s="57" t="e">
        <f t="shared" si="80"/>
        <v>#REF!</v>
      </c>
      <c r="BU61" s="57" t="e">
        <f t="shared" si="80"/>
        <v>#REF!</v>
      </c>
      <c r="BV61" s="57" t="e">
        <f t="shared" si="80"/>
        <v>#REF!</v>
      </c>
      <c r="BW61" s="57" t="e">
        <f t="shared" si="80"/>
        <v>#REF!</v>
      </c>
      <c r="BX61" s="57" t="e">
        <f t="shared" si="80"/>
        <v>#REF!</v>
      </c>
      <c r="BY61" s="57" t="e">
        <f t="shared" si="80"/>
        <v>#REF!</v>
      </c>
      <c r="BZ61" s="57" t="e">
        <f>BY61</f>
        <v>#REF!</v>
      </c>
      <c r="CA61" s="57" t="e">
        <f>BZ61*$S$42</f>
        <v>#REF!</v>
      </c>
      <c r="CB61" s="57"/>
      <c r="CC61" s="57" t="e">
        <f>CC60</f>
        <v>#REF!</v>
      </c>
      <c r="CD61" s="57" t="e">
        <f t="shared" ref="CD61:CI61" si="81">CC61</f>
        <v>#REF!</v>
      </c>
      <c r="CE61" s="57" t="e">
        <f t="shared" si="81"/>
        <v>#REF!</v>
      </c>
      <c r="CF61" s="57" t="e">
        <f t="shared" si="81"/>
        <v>#REF!</v>
      </c>
      <c r="CG61" s="57" t="e">
        <f t="shared" si="81"/>
        <v>#REF!</v>
      </c>
      <c r="CH61" s="57" t="e">
        <f t="shared" si="81"/>
        <v>#REF!</v>
      </c>
      <c r="CI61" s="57" t="e">
        <f t="shared" si="81"/>
        <v>#REF!</v>
      </c>
    </row>
    <row r="62" spans="1:87">
      <c r="B62" s="71" t="s">
        <v>132</v>
      </c>
      <c r="C62" s="56">
        <f>$C$48</f>
        <v>0.15</v>
      </c>
      <c r="U62" s="57"/>
      <c r="V62" s="57"/>
      <c r="W62" s="57"/>
      <c r="X62" s="57"/>
      <c r="Y62" s="57"/>
      <c r="Z62" s="57"/>
      <c r="AA62" s="57"/>
      <c r="AB62" s="57"/>
      <c r="AC62" s="57"/>
      <c r="AD62" s="57"/>
      <c r="AE62" s="57"/>
      <c r="AF62" s="57"/>
      <c r="AG62" s="57"/>
      <c r="AH62" s="57"/>
      <c r="AQ62" s="57"/>
      <c r="AR62" s="57" t="e">
        <f>$A60*$C62</f>
        <v>#REF!</v>
      </c>
      <c r="AS62" s="57"/>
      <c r="AT62" s="57"/>
      <c r="BC62" s="57"/>
      <c r="BD62" s="57" t="e">
        <f>$A60*$C62</f>
        <v>#REF!</v>
      </c>
      <c r="BE62" s="57"/>
      <c r="BF62" s="57"/>
      <c r="BO62" s="57"/>
      <c r="BP62" s="57" t="e">
        <f>$A60*$C62</f>
        <v>#REF!</v>
      </c>
      <c r="BQ62" s="57"/>
      <c r="BR62" s="57"/>
      <c r="CA62" s="57"/>
      <c r="CB62" s="57" t="e">
        <f>$A60*$C62</f>
        <v>#REF!</v>
      </c>
      <c r="CC62" s="57"/>
      <c r="CD62" s="57"/>
    </row>
    <row r="63" spans="1:87">
      <c r="B63" s="52" t="s">
        <v>122</v>
      </c>
      <c r="C63" s="56"/>
      <c r="U63" s="57"/>
      <c r="V63" s="57"/>
      <c r="W63" s="57"/>
      <c r="X63" s="57"/>
      <c r="Y63" s="57"/>
      <c r="Z63" s="57"/>
      <c r="AA63" s="57"/>
      <c r="AB63" s="57"/>
      <c r="AC63" s="57"/>
      <c r="AD63" s="57"/>
      <c r="AE63" s="57"/>
      <c r="AF63" s="57" t="e">
        <f>AH61</f>
        <v>#REF!</v>
      </c>
      <c r="AG63" s="57"/>
      <c r="AH63" s="57"/>
      <c r="AQ63" s="57" t="e">
        <f>AG61-AQ61</f>
        <v>#REF!</v>
      </c>
      <c r="AR63" s="57" t="e">
        <f>AG61-AR62</f>
        <v>#REF!</v>
      </c>
      <c r="AS63" s="57"/>
      <c r="AT63" s="57"/>
      <c r="BC63" s="57" t="e">
        <f>AS61-BC61</f>
        <v>#REF!</v>
      </c>
      <c r="BD63" s="57" t="e">
        <f>AS61-BD62</f>
        <v>#REF!</v>
      </c>
      <c r="BE63" s="57"/>
      <c r="BF63" s="57"/>
      <c r="BO63" s="57" t="e">
        <f>BE61-BO61</f>
        <v>#REF!</v>
      </c>
      <c r="BP63" s="57" t="e">
        <f>BE61-BP62</f>
        <v>#REF!</v>
      </c>
      <c r="BQ63" s="57"/>
      <c r="BR63" s="57"/>
      <c r="CA63" s="57" t="e">
        <f>BQ61-CA61</f>
        <v>#REF!</v>
      </c>
      <c r="CB63" s="57" t="e">
        <f>BQ61-CB62</f>
        <v>#REF!</v>
      </c>
      <c r="CC63" s="57"/>
      <c r="CD63" s="57"/>
    </row>
    <row r="64" spans="1:87">
      <c r="B64" s="71" t="s">
        <v>153</v>
      </c>
      <c r="C64" s="56"/>
      <c r="U64" s="57"/>
      <c r="V64" s="57"/>
      <c r="W64" s="57"/>
      <c r="X64" s="57"/>
      <c r="Y64" s="57"/>
      <c r="Z64" s="57"/>
      <c r="AA64" s="57"/>
      <c r="AB64" s="57"/>
      <c r="AC64" s="57"/>
      <c r="AD64" s="57"/>
      <c r="AE64" s="57"/>
      <c r="AF64" s="57"/>
      <c r="AG64" s="57"/>
      <c r="AH64" s="57"/>
      <c r="AK64" s="57" t="e">
        <f>AJ53-(C2/12-AR49-AR63)</f>
        <v>#REF!</v>
      </c>
      <c r="AR64" s="57"/>
    </row>
    <row r="65" spans="1:87">
      <c r="A65" s="57" t="e">
        <f>AS65</f>
        <v>#REF!</v>
      </c>
      <c r="B65" s="71" t="s">
        <v>144</v>
      </c>
      <c r="C65" s="56">
        <v>1</v>
      </c>
      <c r="U65" s="57"/>
      <c r="V65" s="57"/>
      <c r="W65" s="57"/>
      <c r="X65" s="57"/>
      <c r="Y65" s="57"/>
      <c r="Z65" s="57"/>
      <c r="AA65" s="57"/>
      <c r="AB65" s="57"/>
      <c r="AC65" s="57"/>
      <c r="AD65" s="57"/>
      <c r="AE65" s="57"/>
      <c r="AF65" s="57"/>
      <c r="AG65" s="57"/>
      <c r="AH65" s="57"/>
      <c r="AS65" s="57" t="e">
        <f>AR53-AR64</f>
        <v>#REF!</v>
      </c>
      <c r="AT65" s="57"/>
      <c r="BE65" s="57" t="e">
        <f>BD68</f>
        <v>#REF!</v>
      </c>
      <c r="BQ65" s="57" t="e">
        <f>BP68</f>
        <v>#REF!</v>
      </c>
      <c r="CC65" s="57" t="e">
        <f>CB68</f>
        <v>#REF!</v>
      </c>
    </row>
    <row r="66" spans="1:87">
      <c r="B66" s="52" t="s">
        <v>121</v>
      </c>
      <c r="U66" s="57"/>
      <c r="V66" s="57"/>
      <c r="W66" s="57"/>
      <c r="X66" s="57"/>
      <c r="Y66" s="57"/>
      <c r="Z66" s="57"/>
      <c r="AA66" s="57"/>
      <c r="AB66" s="57"/>
      <c r="AC66" s="57"/>
      <c r="AD66" s="57"/>
      <c r="AE66" s="57"/>
      <c r="AF66" s="57"/>
      <c r="AG66" s="57"/>
      <c r="AH66" s="57"/>
      <c r="AI66" s="57"/>
      <c r="AJ66" s="57"/>
      <c r="AK66" s="57"/>
      <c r="AL66" s="57"/>
      <c r="AM66" s="57"/>
      <c r="AN66" s="57"/>
      <c r="AO66" s="57"/>
      <c r="AP66" s="57"/>
      <c r="AS66" s="57" t="e">
        <f>AS65</f>
        <v>#REF!</v>
      </c>
      <c r="AT66" s="57" t="e">
        <f>AS66</f>
        <v>#REF!</v>
      </c>
      <c r="AU66" s="57" t="e">
        <f t="shared" ref="AU66:BA66" si="82">AT66</f>
        <v>#REF!</v>
      </c>
      <c r="AV66" s="57" t="e">
        <f t="shared" si="82"/>
        <v>#REF!</v>
      </c>
      <c r="AW66" s="57" t="e">
        <f t="shared" si="82"/>
        <v>#REF!</v>
      </c>
      <c r="AX66" s="57" t="e">
        <f t="shared" si="82"/>
        <v>#REF!</v>
      </c>
      <c r="AY66" s="57" t="e">
        <f t="shared" si="82"/>
        <v>#REF!</v>
      </c>
      <c r="AZ66" s="57" t="e">
        <f t="shared" si="82"/>
        <v>#REF!</v>
      </c>
      <c r="BA66" s="57" t="e">
        <f t="shared" si="82"/>
        <v>#REF!</v>
      </c>
      <c r="BB66" s="57" t="e">
        <f>BA66</f>
        <v>#REF!</v>
      </c>
      <c r="BC66" s="57" t="e">
        <f>BB66*$S$42</f>
        <v>#REF!</v>
      </c>
      <c r="BD66" s="57"/>
      <c r="BE66" s="57" t="e">
        <f>BE65</f>
        <v>#REF!</v>
      </c>
      <c r="BF66" s="57" t="e">
        <f>BE66</f>
        <v>#REF!</v>
      </c>
      <c r="BG66" s="57" t="e">
        <f t="shared" ref="BG66:BM66" si="83">BF66</f>
        <v>#REF!</v>
      </c>
      <c r="BH66" s="57" t="e">
        <f t="shared" si="83"/>
        <v>#REF!</v>
      </c>
      <c r="BI66" s="57" t="e">
        <f t="shared" si="83"/>
        <v>#REF!</v>
      </c>
      <c r="BJ66" s="57" t="e">
        <f t="shared" si="83"/>
        <v>#REF!</v>
      </c>
      <c r="BK66" s="57" t="e">
        <f t="shared" si="83"/>
        <v>#REF!</v>
      </c>
      <c r="BL66" s="57" t="e">
        <f t="shared" si="83"/>
        <v>#REF!</v>
      </c>
      <c r="BM66" s="57" t="e">
        <f t="shared" si="83"/>
        <v>#REF!</v>
      </c>
      <c r="BN66" s="57" t="e">
        <f>BM66</f>
        <v>#REF!</v>
      </c>
      <c r="BO66" s="57" t="e">
        <f>BN66*$S$42</f>
        <v>#REF!</v>
      </c>
      <c r="BP66" s="57"/>
      <c r="BQ66" s="57" t="e">
        <f>BQ65</f>
        <v>#REF!</v>
      </c>
      <c r="BR66" s="57" t="e">
        <f>BQ66</f>
        <v>#REF!</v>
      </c>
      <c r="BS66" s="57" t="e">
        <f t="shared" ref="BS66:BY66" si="84">BR66</f>
        <v>#REF!</v>
      </c>
      <c r="BT66" s="57" t="e">
        <f t="shared" si="84"/>
        <v>#REF!</v>
      </c>
      <c r="BU66" s="57" t="e">
        <f t="shared" si="84"/>
        <v>#REF!</v>
      </c>
      <c r="BV66" s="57" t="e">
        <f t="shared" si="84"/>
        <v>#REF!</v>
      </c>
      <c r="BW66" s="57" t="e">
        <f t="shared" si="84"/>
        <v>#REF!</v>
      </c>
      <c r="BX66" s="57" t="e">
        <f t="shared" si="84"/>
        <v>#REF!</v>
      </c>
      <c r="BY66" s="57" t="e">
        <f t="shared" si="84"/>
        <v>#REF!</v>
      </c>
      <c r="BZ66" s="57" t="e">
        <f>BY66</f>
        <v>#REF!</v>
      </c>
      <c r="CA66" s="57" t="e">
        <f>BZ66*$S$42</f>
        <v>#REF!</v>
      </c>
      <c r="CB66" s="57"/>
      <c r="CC66" s="57" t="e">
        <f>CC65</f>
        <v>#REF!</v>
      </c>
      <c r="CD66" s="57" t="e">
        <f t="shared" ref="CD66:CI66" si="85">CC66</f>
        <v>#REF!</v>
      </c>
      <c r="CE66" s="57" t="e">
        <f t="shared" si="85"/>
        <v>#REF!</v>
      </c>
      <c r="CF66" s="57" t="e">
        <f t="shared" si="85"/>
        <v>#REF!</v>
      </c>
      <c r="CG66" s="57" t="e">
        <f t="shared" si="85"/>
        <v>#REF!</v>
      </c>
      <c r="CH66" s="57" t="e">
        <f t="shared" si="85"/>
        <v>#REF!</v>
      </c>
      <c r="CI66" s="57" t="e">
        <f t="shared" si="85"/>
        <v>#REF!</v>
      </c>
    </row>
    <row r="67" spans="1:87">
      <c r="B67" s="71" t="s">
        <v>132</v>
      </c>
      <c r="C67" s="56">
        <f>$C$48</f>
        <v>0.15</v>
      </c>
      <c r="U67" s="57"/>
      <c r="V67" s="57"/>
      <c r="W67" s="57"/>
      <c r="X67" s="57"/>
      <c r="Y67" s="57"/>
      <c r="Z67" s="57"/>
      <c r="AA67" s="57"/>
      <c r="AB67" s="57"/>
      <c r="AC67" s="57"/>
      <c r="AD67" s="57"/>
      <c r="AE67" s="57"/>
      <c r="AF67" s="57"/>
      <c r="AG67" s="57"/>
      <c r="AH67" s="57"/>
      <c r="AQ67" s="57"/>
      <c r="AS67" s="57"/>
      <c r="AT67" s="57"/>
      <c r="BC67" s="57"/>
      <c r="BD67" s="57" t="e">
        <f>$A65*$C67</f>
        <v>#REF!</v>
      </c>
      <c r="BE67" s="57"/>
      <c r="BF67" s="57"/>
      <c r="BO67" s="57"/>
      <c r="BP67" s="57" t="e">
        <f>$A65*$C67</f>
        <v>#REF!</v>
      </c>
      <c r="BQ67" s="57"/>
      <c r="BR67" s="57"/>
      <c r="CA67" s="57"/>
      <c r="CB67" s="57" t="e">
        <f>$A65*$C67</f>
        <v>#REF!</v>
      </c>
      <c r="CC67" s="57"/>
      <c r="CD67" s="57"/>
    </row>
    <row r="68" spans="1:87">
      <c r="B68" s="52" t="s">
        <v>122</v>
      </c>
      <c r="C68" s="56"/>
      <c r="U68" s="57"/>
      <c r="V68" s="57"/>
      <c r="W68" s="57"/>
      <c r="X68" s="57"/>
      <c r="Y68" s="57"/>
      <c r="Z68" s="57"/>
      <c r="AA68" s="57"/>
      <c r="AB68" s="57"/>
      <c r="AC68" s="57"/>
      <c r="AD68" s="57"/>
      <c r="AE68" s="57"/>
      <c r="AF68" s="57"/>
      <c r="AG68" s="57"/>
      <c r="AH68" s="57"/>
      <c r="AQ68" s="57"/>
      <c r="AR68" s="57" t="e">
        <f>AT66</f>
        <v>#REF!</v>
      </c>
      <c r="AS68" s="57"/>
      <c r="AT68" s="57"/>
      <c r="BC68" s="57" t="e">
        <f>AS66-BC66</f>
        <v>#REF!</v>
      </c>
      <c r="BD68" s="57" t="e">
        <f>AS66-BD67</f>
        <v>#REF!</v>
      </c>
      <c r="BE68" s="57"/>
      <c r="BF68" s="57"/>
      <c r="BO68" s="57" t="e">
        <f>BE66-BO66</f>
        <v>#REF!</v>
      </c>
      <c r="BP68" s="57" t="e">
        <f>BE66-BP67</f>
        <v>#REF!</v>
      </c>
      <c r="BQ68" s="57"/>
      <c r="BR68" s="57"/>
      <c r="CA68" s="57" t="e">
        <f>BQ66-CA66</f>
        <v>#REF!</v>
      </c>
      <c r="CB68" s="57" t="e">
        <f>BQ66-CB67</f>
        <v>#REF!</v>
      </c>
      <c r="CC68" s="57"/>
      <c r="CD68" s="57"/>
    </row>
    <row r="69" spans="1:87">
      <c r="B69" s="71" t="s">
        <v>153</v>
      </c>
      <c r="C69" s="56"/>
      <c r="U69" s="57"/>
      <c r="V69" s="57"/>
      <c r="W69" s="57"/>
      <c r="X69" s="57"/>
      <c r="Y69" s="57"/>
      <c r="Z69" s="57"/>
      <c r="AA69" s="57"/>
      <c r="AB69" s="57"/>
      <c r="AC69" s="57"/>
      <c r="AD69" s="57"/>
      <c r="AE69" s="57"/>
      <c r="AF69" s="57"/>
      <c r="AG69" s="57"/>
      <c r="AH69" s="57"/>
      <c r="AW69" s="57" t="e">
        <f>(AW54+BD91)-(C2/12-BD49-BD63-BD68)</f>
        <v>#REF!</v>
      </c>
      <c r="BD69" s="57"/>
    </row>
    <row r="70" spans="1:87">
      <c r="A70" s="57" t="e">
        <f>BE70</f>
        <v>#REF!</v>
      </c>
      <c r="B70" s="71" t="s">
        <v>123</v>
      </c>
      <c r="C70" s="56">
        <v>1</v>
      </c>
      <c r="U70" s="57"/>
      <c r="V70" s="57"/>
      <c r="W70" s="57"/>
      <c r="X70" s="57"/>
      <c r="Y70" s="57"/>
      <c r="Z70" s="57"/>
      <c r="AA70" s="57"/>
      <c r="AB70" s="57"/>
      <c r="AC70" s="57"/>
      <c r="AD70" s="57"/>
      <c r="AE70" s="57"/>
      <c r="AF70" s="57"/>
      <c r="AG70" s="57"/>
      <c r="AH70" s="57"/>
      <c r="AS70" s="57"/>
      <c r="AT70" s="57"/>
      <c r="BE70" s="57" t="e">
        <f>BD54-BD69</f>
        <v>#REF!</v>
      </c>
      <c r="BF70" s="57"/>
      <c r="BQ70" s="57" t="e">
        <f>BP73</f>
        <v>#REF!</v>
      </c>
      <c r="CC70" s="57" t="e">
        <f>CB73</f>
        <v>#REF!</v>
      </c>
    </row>
    <row r="71" spans="1:87">
      <c r="B71" s="52" t="s">
        <v>121</v>
      </c>
      <c r="U71" s="57"/>
      <c r="V71" s="57"/>
      <c r="W71" s="57"/>
      <c r="X71" s="57"/>
      <c r="Y71" s="57"/>
      <c r="Z71" s="57"/>
      <c r="AA71" s="57"/>
      <c r="AB71" s="57"/>
      <c r="AC71" s="57"/>
      <c r="AD71" s="57"/>
      <c r="AE71" s="57"/>
      <c r="AF71" s="57"/>
      <c r="AG71" s="57"/>
      <c r="AH71" s="57"/>
      <c r="AI71" s="57"/>
      <c r="AJ71" s="57"/>
      <c r="AK71" s="57"/>
      <c r="AL71" s="57"/>
      <c r="AM71" s="57"/>
      <c r="AN71" s="57"/>
      <c r="AO71" s="57"/>
      <c r="AP71" s="57"/>
      <c r="AS71" s="57"/>
      <c r="AT71" s="57"/>
      <c r="AU71" s="57"/>
      <c r="AV71" s="57"/>
      <c r="AW71" s="57"/>
      <c r="AX71" s="57"/>
      <c r="AY71" s="57"/>
      <c r="AZ71" s="57"/>
      <c r="BA71" s="57"/>
      <c r="BB71" s="57"/>
      <c r="BE71" s="57" t="e">
        <f>BE70</f>
        <v>#REF!</v>
      </c>
      <c r="BF71" s="57" t="e">
        <f>BE71</f>
        <v>#REF!</v>
      </c>
      <c r="BG71" s="57" t="e">
        <f t="shared" ref="BG71:BM71" si="86">BF71</f>
        <v>#REF!</v>
      </c>
      <c r="BH71" s="57" t="e">
        <f t="shared" si="86"/>
        <v>#REF!</v>
      </c>
      <c r="BI71" s="57" t="e">
        <f t="shared" si="86"/>
        <v>#REF!</v>
      </c>
      <c r="BJ71" s="57" t="e">
        <f t="shared" si="86"/>
        <v>#REF!</v>
      </c>
      <c r="BK71" s="57" t="e">
        <f t="shared" si="86"/>
        <v>#REF!</v>
      </c>
      <c r="BL71" s="57" t="e">
        <f t="shared" si="86"/>
        <v>#REF!</v>
      </c>
      <c r="BM71" s="57" t="e">
        <f t="shared" si="86"/>
        <v>#REF!</v>
      </c>
      <c r="BN71" s="57" t="e">
        <f>BM71</f>
        <v>#REF!</v>
      </c>
      <c r="BO71" s="57" t="e">
        <f>BN71*$S$42</f>
        <v>#REF!</v>
      </c>
      <c r="BP71" s="57"/>
      <c r="BQ71" s="57" t="e">
        <f>BQ70</f>
        <v>#REF!</v>
      </c>
      <c r="BR71" s="57" t="e">
        <f>BQ71</f>
        <v>#REF!</v>
      </c>
      <c r="BS71" s="57" t="e">
        <f t="shared" ref="BS71:BY71" si="87">BR71</f>
        <v>#REF!</v>
      </c>
      <c r="BT71" s="57" t="e">
        <f t="shared" si="87"/>
        <v>#REF!</v>
      </c>
      <c r="BU71" s="57" t="e">
        <f t="shared" si="87"/>
        <v>#REF!</v>
      </c>
      <c r="BV71" s="57" t="e">
        <f t="shared" si="87"/>
        <v>#REF!</v>
      </c>
      <c r="BW71" s="57" t="e">
        <f t="shared" si="87"/>
        <v>#REF!</v>
      </c>
      <c r="BX71" s="57" t="e">
        <f t="shared" si="87"/>
        <v>#REF!</v>
      </c>
      <c r="BY71" s="57" t="e">
        <f t="shared" si="87"/>
        <v>#REF!</v>
      </c>
      <c r="BZ71" s="57" t="e">
        <f>BY71</f>
        <v>#REF!</v>
      </c>
      <c r="CA71" s="57" t="e">
        <f>BZ71*$S$42</f>
        <v>#REF!</v>
      </c>
      <c r="CB71" s="57"/>
      <c r="CC71" s="57" t="e">
        <f>CC70</f>
        <v>#REF!</v>
      </c>
      <c r="CD71" s="57" t="e">
        <f t="shared" ref="CD71:CI71" si="88">CC71</f>
        <v>#REF!</v>
      </c>
      <c r="CE71" s="57" t="e">
        <f t="shared" si="88"/>
        <v>#REF!</v>
      </c>
      <c r="CF71" s="57" t="e">
        <f t="shared" si="88"/>
        <v>#REF!</v>
      </c>
      <c r="CG71" s="57" t="e">
        <f t="shared" si="88"/>
        <v>#REF!</v>
      </c>
      <c r="CH71" s="57" t="e">
        <f t="shared" si="88"/>
        <v>#REF!</v>
      </c>
      <c r="CI71" s="57" t="e">
        <f t="shared" si="88"/>
        <v>#REF!</v>
      </c>
    </row>
    <row r="72" spans="1:87">
      <c r="B72" s="71" t="s">
        <v>132</v>
      </c>
      <c r="C72" s="56">
        <f>$C$48</f>
        <v>0.15</v>
      </c>
      <c r="U72" s="57"/>
      <c r="V72" s="57"/>
      <c r="W72" s="57"/>
      <c r="X72" s="57"/>
      <c r="Y72" s="57"/>
      <c r="Z72" s="57"/>
      <c r="AA72" s="57"/>
      <c r="AB72" s="57"/>
      <c r="AC72" s="57"/>
      <c r="AD72" s="57"/>
      <c r="AE72" s="57"/>
      <c r="AF72" s="57"/>
      <c r="AG72" s="57"/>
      <c r="AH72" s="57"/>
      <c r="AQ72" s="57"/>
      <c r="AS72" s="57"/>
      <c r="AT72" s="57"/>
      <c r="BC72" s="57"/>
      <c r="BE72" s="57"/>
      <c r="BF72" s="57"/>
      <c r="BO72" s="57"/>
      <c r="BP72" s="57" t="e">
        <f>$A70*$C72</f>
        <v>#REF!</v>
      </c>
      <c r="BQ72" s="57"/>
      <c r="BR72" s="57"/>
      <c r="CA72" s="57"/>
      <c r="CB72" s="57" t="e">
        <f>$A70*$C72</f>
        <v>#REF!</v>
      </c>
      <c r="CC72" s="57"/>
      <c r="CD72" s="57"/>
    </row>
    <row r="73" spans="1:87">
      <c r="B73" s="52" t="s">
        <v>122</v>
      </c>
      <c r="C73" s="56"/>
      <c r="U73" s="57"/>
      <c r="V73" s="57"/>
      <c r="W73" s="57"/>
      <c r="X73" s="57"/>
      <c r="Y73" s="57"/>
      <c r="Z73" s="57"/>
      <c r="AA73" s="57"/>
      <c r="AB73" s="57"/>
      <c r="AC73" s="57"/>
      <c r="AD73" s="57"/>
      <c r="AE73" s="57"/>
      <c r="AF73" s="57"/>
      <c r="AG73" s="57"/>
      <c r="AH73" s="57"/>
      <c r="AQ73" s="57"/>
      <c r="AR73" s="57"/>
      <c r="AS73" s="57"/>
      <c r="AT73" s="57"/>
      <c r="BC73" s="57"/>
      <c r="BD73" s="57" t="e">
        <f>BF71</f>
        <v>#REF!</v>
      </c>
      <c r="BE73" s="57"/>
      <c r="BF73" s="57"/>
      <c r="BO73" s="57" t="e">
        <f>BE71-BO71</f>
        <v>#REF!</v>
      </c>
      <c r="BP73" s="57" t="e">
        <f>BE71-BP72</f>
        <v>#REF!</v>
      </c>
      <c r="BQ73" s="57"/>
      <c r="BR73" s="57"/>
      <c r="CA73" s="57" t="e">
        <f>BQ71-CA71</f>
        <v>#REF!</v>
      </c>
      <c r="CB73" s="57" t="e">
        <f>BQ71-CB72</f>
        <v>#REF!</v>
      </c>
      <c r="CC73" s="57"/>
      <c r="CD73" s="57"/>
    </row>
    <row r="74" spans="1:87">
      <c r="B74" s="71" t="s">
        <v>153</v>
      </c>
      <c r="C74" s="56"/>
      <c r="U74" s="57"/>
      <c r="V74" s="57"/>
      <c r="W74" s="57"/>
      <c r="X74" s="57"/>
      <c r="Y74" s="57"/>
      <c r="Z74" s="57"/>
      <c r="AA74" s="57"/>
      <c r="AB74" s="57"/>
      <c r="AC74" s="57"/>
      <c r="AD74" s="57"/>
      <c r="AE74" s="57"/>
      <c r="AF74" s="57"/>
      <c r="AG74" s="57"/>
      <c r="AH74" s="57"/>
      <c r="BI74" s="57" t="e">
        <f>(BI55+BP92)-(C2/12-BP49-BP63-BP68-BP73-BP102)</f>
        <v>#REF!</v>
      </c>
      <c r="BP74" s="57" t="e">
        <f>(BP55+BP92)-(C2/12-BP49-BP63-BP68-BP73-BP102)</f>
        <v>#REF!</v>
      </c>
      <c r="BR74" s="57"/>
      <c r="CC74" s="57"/>
      <c r="CD74" s="57"/>
    </row>
    <row r="75" spans="1:87">
      <c r="A75" s="57" t="e">
        <f>BQ75</f>
        <v>#REF!</v>
      </c>
      <c r="B75" s="71" t="s">
        <v>133</v>
      </c>
      <c r="C75" s="56">
        <v>1</v>
      </c>
      <c r="U75" s="57"/>
      <c r="V75" s="57"/>
      <c r="W75" s="57"/>
      <c r="X75" s="57"/>
      <c r="Y75" s="57"/>
      <c r="Z75" s="57"/>
      <c r="AA75" s="57"/>
      <c r="AB75" s="57"/>
      <c r="AC75" s="57"/>
      <c r="AD75" s="57"/>
      <c r="AE75" s="57"/>
      <c r="AF75" s="57"/>
      <c r="AG75" s="57"/>
      <c r="AH75" s="57"/>
      <c r="AS75" s="57"/>
      <c r="AT75" s="57"/>
      <c r="BE75" s="57"/>
      <c r="BF75" s="57"/>
      <c r="BQ75" s="57" t="e">
        <f>BP55-BP74</f>
        <v>#REF!</v>
      </c>
      <c r="BR75" s="57"/>
      <c r="CC75" s="57" t="e">
        <f>CB78</f>
        <v>#REF!</v>
      </c>
    </row>
    <row r="76" spans="1:87">
      <c r="A76" s="57"/>
      <c r="B76" s="52" t="s">
        <v>121</v>
      </c>
      <c r="U76" s="57"/>
      <c r="V76" s="57"/>
      <c r="W76" s="57"/>
      <c r="X76" s="57"/>
      <c r="Y76" s="57"/>
      <c r="Z76" s="57"/>
      <c r="AA76" s="57"/>
      <c r="AB76" s="57"/>
      <c r="AC76" s="57"/>
      <c r="AD76" s="57"/>
      <c r="AE76" s="57"/>
      <c r="AF76" s="57"/>
      <c r="AG76" s="57"/>
      <c r="AH76" s="57"/>
      <c r="AI76" s="57"/>
      <c r="AJ76" s="57"/>
      <c r="AK76" s="57"/>
      <c r="AL76" s="57"/>
      <c r="AM76" s="57"/>
      <c r="AN76" s="57"/>
      <c r="AO76" s="57"/>
      <c r="AP76" s="57"/>
      <c r="AS76" s="57"/>
      <c r="AT76" s="57"/>
      <c r="AU76" s="57"/>
      <c r="AV76" s="57"/>
      <c r="AW76" s="57"/>
      <c r="AX76" s="57"/>
      <c r="AY76" s="57"/>
      <c r="AZ76" s="57"/>
      <c r="BA76" s="57"/>
      <c r="BB76" s="57"/>
      <c r="BE76" s="57"/>
      <c r="BF76" s="57"/>
      <c r="BG76" s="57"/>
      <c r="BH76" s="57"/>
      <c r="BI76" s="57"/>
      <c r="BJ76" s="57"/>
      <c r="BK76" s="57"/>
      <c r="BL76" s="57"/>
      <c r="BM76" s="57"/>
      <c r="BN76" s="57"/>
      <c r="BQ76" s="57" t="e">
        <f>BQ75</f>
        <v>#REF!</v>
      </c>
      <c r="BR76" s="57" t="e">
        <f>BQ76</f>
        <v>#REF!</v>
      </c>
      <c r="BS76" s="57" t="e">
        <f t="shared" ref="BS76:BY76" si="89">BR76</f>
        <v>#REF!</v>
      </c>
      <c r="BT76" s="57" t="e">
        <f t="shared" si="89"/>
        <v>#REF!</v>
      </c>
      <c r="BU76" s="57" t="e">
        <f t="shared" si="89"/>
        <v>#REF!</v>
      </c>
      <c r="BV76" s="57" t="e">
        <f t="shared" si="89"/>
        <v>#REF!</v>
      </c>
      <c r="BW76" s="57" t="e">
        <f t="shared" si="89"/>
        <v>#REF!</v>
      </c>
      <c r="BX76" s="57" t="e">
        <f t="shared" si="89"/>
        <v>#REF!</v>
      </c>
      <c r="BY76" s="57" t="e">
        <f t="shared" si="89"/>
        <v>#REF!</v>
      </c>
      <c r="BZ76" s="57" t="e">
        <f>BY76</f>
        <v>#REF!</v>
      </c>
      <c r="CA76" s="57" t="e">
        <f>BZ76*$S$42</f>
        <v>#REF!</v>
      </c>
      <c r="CB76" s="57"/>
      <c r="CC76" s="57" t="e">
        <f>CC75</f>
        <v>#REF!</v>
      </c>
      <c r="CD76" s="57" t="e">
        <f t="shared" ref="CD76:CI76" si="90">CC76</f>
        <v>#REF!</v>
      </c>
      <c r="CE76" s="57" t="e">
        <f t="shared" si="90"/>
        <v>#REF!</v>
      </c>
      <c r="CF76" s="57" t="e">
        <f t="shared" si="90"/>
        <v>#REF!</v>
      </c>
      <c r="CG76" s="57" t="e">
        <f t="shared" si="90"/>
        <v>#REF!</v>
      </c>
      <c r="CH76" s="57" t="e">
        <f t="shared" si="90"/>
        <v>#REF!</v>
      </c>
      <c r="CI76" s="57" t="e">
        <f t="shared" si="90"/>
        <v>#REF!</v>
      </c>
    </row>
    <row r="77" spans="1:87">
      <c r="A77" s="57"/>
      <c r="B77" s="71" t="s">
        <v>132</v>
      </c>
      <c r="C77" s="56">
        <f>$C$48</f>
        <v>0.15</v>
      </c>
      <c r="U77" s="57"/>
      <c r="V77" s="57"/>
      <c r="W77" s="57"/>
      <c r="X77" s="57"/>
      <c r="Y77" s="57"/>
      <c r="Z77" s="57"/>
      <c r="AA77" s="57"/>
      <c r="AB77" s="57"/>
      <c r="AC77" s="57"/>
      <c r="AD77" s="57"/>
      <c r="AE77" s="57"/>
      <c r="AF77" s="57"/>
      <c r="AG77" s="57"/>
      <c r="AH77" s="57"/>
      <c r="AQ77" s="57"/>
      <c r="AS77" s="57"/>
      <c r="AT77" s="57"/>
      <c r="BC77" s="57"/>
      <c r="BE77" s="57"/>
      <c r="BF77" s="57"/>
      <c r="BO77" s="57"/>
      <c r="BQ77" s="57"/>
      <c r="BR77" s="57"/>
      <c r="CA77" s="57"/>
      <c r="CB77" s="57" t="e">
        <f>$A75*$C77</f>
        <v>#REF!</v>
      </c>
      <c r="CC77" s="57"/>
      <c r="CD77" s="57"/>
    </row>
    <row r="78" spans="1:87">
      <c r="B78" s="52" t="s">
        <v>122</v>
      </c>
      <c r="C78" s="56"/>
      <c r="U78" s="57"/>
      <c r="V78" s="57"/>
      <c r="W78" s="57"/>
      <c r="X78" s="57"/>
      <c r="Y78" s="57"/>
      <c r="Z78" s="57"/>
      <c r="AA78" s="57"/>
      <c r="AB78" s="57"/>
      <c r="AC78" s="57"/>
      <c r="AD78" s="57"/>
      <c r="AE78" s="57"/>
      <c r="AF78" s="57"/>
      <c r="AG78" s="57"/>
      <c r="AH78" s="57"/>
      <c r="AQ78" s="57"/>
      <c r="AR78" s="57"/>
      <c r="AS78" s="57"/>
      <c r="AT78" s="57"/>
      <c r="BC78" s="57"/>
      <c r="BD78" s="57"/>
      <c r="BE78" s="57"/>
      <c r="BF78" s="57"/>
      <c r="BO78" s="57"/>
      <c r="BP78" s="57" t="e">
        <f>BR76</f>
        <v>#REF!</v>
      </c>
      <c r="BQ78" s="57"/>
      <c r="BR78" s="57"/>
      <c r="CA78" s="57" t="e">
        <f>BQ76-CA76</f>
        <v>#REF!</v>
      </c>
      <c r="CB78" s="57" t="e">
        <f>BQ76-CB77</f>
        <v>#REF!</v>
      </c>
      <c r="CC78" s="57"/>
      <c r="CD78" s="57"/>
    </row>
    <row r="79" spans="1:87">
      <c r="B79" s="71" t="s">
        <v>153</v>
      </c>
      <c r="C79" s="56"/>
      <c r="U79" s="57"/>
      <c r="V79" s="57"/>
      <c r="W79" s="57"/>
      <c r="X79" s="57"/>
      <c r="Y79" s="57"/>
      <c r="Z79" s="57"/>
      <c r="AA79" s="57"/>
      <c r="AB79" s="57"/>
      <c r="AC79" s="57"/>
      <c r="AD79" s="57"/>
      <c r="AE79" s="57"/>
      <c r="AF79" s="57"/>
      <c r="AG79" s="57"/>
      <c r="AH79" s="57"/>
      <c r="AQ79" s="57"/>
      <c r="AR79" s="57"/>
      <c r="AS79" s="57"/>
      <c r="AT79" s="57"/>
      <c r="BC79" s="57"/>
      <c r="BD79" s="57"/>
      <c r="BE79" s="57"/>
      <c r="BF79" s="57"/>
      <c r="BO79" s="57"/>
      <c r="BP79" s="57"/>
      <c r="BQ79" s="57"/>
      <c r="BR79" s="57"/>
      <c r="BU79" s="57" t="e">
        <f>(BU56+CB93+CB120)-(C2/12-CB49-CB63-CB68-CB73-CB78-CB102-CB107)</f>
        <v>#REF!</v>
      </c>
      <c r="CA79" s="57"/>
      <c r="CB79" s="57"/>
      <c r="CD79" s="57"/>
    </row>
    <row r="80" spans="1:87">
      <c r="A80" s="57" t="e">
        <f>CC80</f>
        <v>#REF!</v>
      </c>
      <c r="B80" s="71" t="s">
        <v>134</v>
      </c>
      <c r="C80" s="56">
        <v>1</v>
      </c>
      <c r="U80" s="57"/>
      <c r="V80" s="57"/>
      <c r="W80" s="57"/>
      <c r="X80" s="57"/>
      <c r="Y80" s="57"/>
      <c r="Z80" s="57"/>
      <c r="AA80" s="57"/>
      <c r="AB80" s="57"/>
      <c r="AC80" s="57"/>
      <c r="AD80" s="57"/>
      <c r="AE80" s="57"/>
      <c r="AF80" s="57"/>
      <c r="AG80" s="57"/>
      <c r="AH80" s="57"/>
      <c r="AS80" s="57"/>
      <c r="AT80" s="57"/>
      <c r="BE80" s="57"/>
      <c r="BF80" s="57"/>
      <c r="BQ80" s="57"/>
      <c r="BR80" s="57"/>
      <c r="CC80" s="57" t="e">
        <f>CB56-CB79</f>
        <v>#REF!</v>
      </c>
      <c r="CD80" s="57"/>
    </row>
    <row r="81" spans="1:87">
      <c r="B81" s="52" t="s">
        <v>121</v>
      </c>
      <c r="U81" s="57"/>
      <c r="V81" s="57"/>
      <c r="W81" s="57"/>
      <c r="X81" s="57"/>
      <c r="Y81" s="57"/>
      <c r="Z81" s="57"/>
      <c r="AA81" s="57"/>
      <c r="AB81" s="57"/>
      <c r="AC81" s="57"/>
      <c r="AD81" s="57"/>
      <c r="AE81" s="57"/>
      <c r="AF81" s="57"/>
      <c r="AG81" s="57"/>
      <c r="AH81" s="57"/>
      <c r="AI81" s="57"/>
      <c r="AJ81" s="57"/>
      <c r="AK81" s="57"/>
      <c r="AL81" s="57"/>
      <c r="AM81" s="57"/>
      <c r="AN81" s="57"/>
      <c r="AO81" s="57"/>
      <c r="AP81" s="57"/>
      <c r="AS81" s="57"/>
      <c r="AT81" s="57"/>
      <c r="AU81" s="57"/>
      <c r="AV81" s="57"/>
      <c r="AW81" s="57"/>
      <c r="AX81" s="57"/>
      <c r="AY81" s="57"/>
      <c r="AZ81" s="57"/>
      <c r="BA81" s="57"/>
      <c r="BB81" s="57"/>
      <c r="BE81" s="57"/>
      <c r="BF81" s="57"/>
      <c r="BG81" s="57"/>
      <c r="BH81" s="57"/>
      <c r="BI81" s="57"/>
      <c r="BJ81" s="57"/>
      <c r="BK81" s="57"/>
      <c r="BL81" s="57"/>
      <c r="BM81" s="57"/>
      <c r="BN81" s="57"/>
      <c r="BQ81" s="57"/>
      <c r="BR81" s="57"/>
      <c r="BS81" s="57"/>
      <c r="BT81" s="57"/>
      <c r="BU81" s="57"/>
      <c r="BV81" s="57"/>
      <c r="BW81" s="57"/>
      <c r="BX81" s="57"/>
      <c r="BY81" s="57"/>
      <c r="BZ81" s="57"/>
      <c r="CC81" s="57" t="e">
        <f>CC80</f>
        <v>#REF!</v>
      </c>
      <c r="CD81" s="57" t="e">
        <f t="shared" ref="CD81:CI81" si="91">CC81</f>
        <v>#REF!</v>
      </c>
      <c r="CE81" s="57" t="e">
        <f t="shared" si="91"/>
        <v>#REF!</v>
      </c>
      <c r="CF81" s="57" t="e">
        <f t="shared" si="91"/>
        <v>#REF!</v>
      </c>
      <c r="CG81" s="57" t="e">
        <f t="shared" si="91"/>
        <v>#REF!</v>
      </c>
      <c r="CH81" s="57" t="e">
        <f t="shared" si="91"/>
        <v>#REF!</v>
      </c>
      <c r="CI81" s="57" t="e">
        <f t="shared" si="91"/>
        <v>#REF!</v>
      </c>
    </row>
    <row r="82" spans="1:87">
      <c r="B82" s="71" t="s">
        <v>132</v>
      </c>
      <c r="C82" s="56">
        <f>$C$48</f>
        <v>0.15</v>
      </c>
      <c r="U82" s="57"/>
      <c r="V82" s="57"/>
      <c r="W82" s="57"/>
      <c r="X82" s="57"/>
      <c r="Y82" s="57"/>
      <c r="Z82" s="57"/>
      <c r="AA82" s="57"/>
      <c r="AB82" s="57"/>
      <c r="AC82" s="57"/>
      <c r="AD82" s="57"/>
      <c r="AE82" s="57"/>
      <c r="AF82" s="57"/>
      <c r="AG82" s="57"/>
      <c r="AH82" s="57"/>
      <c r="AQ82" s="57"/>
      <c r="AS82" s="57"/>
      <c r="AT82" s="57"/>
      <c r="BC82" s="57"/>
      <c r="BE82" s="57"/>
      <c r="BF82" s="57"/>
      <c r="BO82" s="57"/>
      <c r="BQ82" s="57"/>
      <c r="BR82" s="57"/>
      <c r="CA82" s="57"/>
      <c r="CC82" s="57"/>
      <c r="CD82" s="57"/>
    </row>
    <row r="83" spans="1:87">
      <c r="B83" s="52" t="s">
        <v>122</v>
      </c>
      <c r="C83" s="56"/>
      <c r="U83" s="57"/>
      <c r="V83" s="57"/>
      <c r="W83" s="57"/>
      <c r="X83" s="57"/>
      <c r="Y83" s="57"/>
      <c r="Z83" s="57"/>
      <c r="AA83" s="57"/>
      <c r="AB83" s="57"/>
      <c r="AC83" s="57"/>
      <c r="AD83" s="57"/>
      <c r="AE83" s="57"/>
      <c r="AF83" s="57"/>
      <c r="AG83" s="57"/>
      <c r="AH83" s="57"/>
      <c r="AQ83" s="57"/>
      <c r="AR83" s="57"/>
      <c r="AS83" s="57"/>
      <c r="AT83" s="57"/>
      <c r="BC83" s="57"/>
      <c r="BD83" s="57"/>
      <c r="BE83" s="57"/>
      <c r="BF83" s="57"/>
      <c r="BO83" s="57"/>
      <c r="BP83" s="57"/>
      <c r="BQ83" s="57"/>
      <c r="BR83" s="57"/>
      <c r="CA83" s="57"/>
      <c r="CB83" s="57" t="e">
        <f>CD81</f>
        <v>#REF!</v>
      </c>
      <c r="CC83" s="57"/>
      <c r="CD83" s="57"/>
    </row>
    <row r="84" spans="1:87">
      <c r="B84" s="71" t="s">
        <v>153</v>
      </c>
      <c r="C84" s="56"/>
      <c r="U84" s="57"/>
      <c r="V84" s="57"/>
      <c r="W84" s="57"/>
      <c r="X84" s="57"/>
      <c r="Y84" s="57"/>
      <c r="Z84" s="57"/>
      <c r="AA84" s="57"/>
      <c r="AB84" s="57"/>
      <c r="AC84" s="57"/>
      <c r="AD84" s="57"/>
      <c r="AE84" s="57"/>
      <c r="AF84" s="57"/>
      <c r="AG84" s="57"/>
      <c r="AH84" s="57"/>
      <c r="AQ84" s="57"/>
      <c r="AR84" s="57"/>
      <c r="AS84" s="57"/>
      <c r="AT84" s="57"/>
      <c r="BC84" s="57"/>
      <c r="BD84" s="57"/>
      <c r="BE84" s="57"/>
      <c r="BF84" s="57"/>
      <c r="BO84" s="57"/>
      <c r="BP84" s="57"/>
      <c r="BQ84" s="57"/>
      <c r="BR84" s="57"/>
      <c r="CA84" s="57"/>
      <c r="CB84" s="57"/>
      <c r="CC84" s="57"/>
      <c r="CD84" s="57"/>
    </row>
    <row r="85" spans="1:87">
      <c r="A85" s="57"/>
      <c r="B85" s="71" t="s">
        <v>135</v>
      </c>
      <c r="C85" s="56">
        <v>1</v>
      </c>
      <c r="U85" s="57"/>
      <c r="V85" s="57"/>
      <c r="W85" s="57"/>
      <c r="X85" s="57"/>
      <c r="Y85" s="57"/>
      <c r="Z85" s="57"/>
      <c r="AA85" s="57"/>
      <c r="AB85" s="57"/>
      <c r="AC85" s="57"/>
      <c r="AD85" s="57"/>
      <c r="AE85" s="57"/>
      <c r="AF85" s="57"/>
      <c r="AG85" s="57"/>
      <c r="AH85" s="57"/>
      <c r="AS85" s="57"/>
      <c r="AT85" s="57"/>
      <c r="BE85" s="57"/>
      <c r="BF85" s="57"/>
      <c r="BQ85" s="57"/>
      <c r="BR85" s="57"/>
      <c r="CC85" s="57"/>
    </row>
    <row r="86" spans="1:87">
      <c r="B86" s="52" t="s">
        <v>121</v>
      </c>
      <c r="U86" s="57"/>
      <c r="V86" s="57"/>
      <c r="W86" s="57"/>
      <c r="X86" s="57"/>
      <c r="Y86" s="57"/>
      <c r="Z86" s="57"/>
      <c r="AA86" s="57"/>
      <c r="AB86" s="57"/>
      <c r="AC86" s="57"/>
      <c r="AD86" s="57"/>
      <c r="AE86" s="57"/>
      <c r="AF86" s="57"/>
      <c r="AG86" s="57"/>
      <c r="AH86" s="57"/>
      <c r="AI86" s="57"/>
      <c r="AJ86" s="57"/>
      <c r="AK86" s="57"/>
      <c r="AL86" s="57"/>
      <c r="AM86" s="57"/>
      <c r="AN86" s="57"/>
      <c r="AO86" s="57"/>
      <c r="AP86" s="57"/>
      <c r="AS86" s="57"/>
      <c r="AT86" s="57"/>
      <c r="AU86" s="57"/>
      <c r="AV86" s="57"/>
      <c r="AW86" s="57"/>
      <c r="AX86" s="57"/>
      <c r="AY86" s="57"/>
      <c r="AZ86" s="57"/>
      <c r="BA86" s="57"/>
      <c r="BB86" s="57"/>
      <c r="BE86" s="57"/>
      <c r="BF86" s="57"/>
      <c r="BG86" s="57"/>
      <c r="BH86" s="57"/>
      <c r="BI86" s="57"/>
      <c r="BJ86" s="57"/>
      <c r="BK86" s="57"/>
      <c r="BL86" s="57"/>
      <c r="BM86" s="57"/>
      <c r="BN86" s="57"/>
      <c r="BQ86" s="57"/>
      <c r="BR86" s="57"/>
      <c r="BS86" s="57"/>
      <c r="BT86" s="57"/>
      <c r="BU86" s="57"/>
      <c r="BV86" s="57"/>
      <c r="BW86" s="57"/>
      <c r="BX86" s="57"/>
      <c r="BY86" s="57"/>
      <c r="BZ86" s="57"/>
      <c r="CC86" s="57"/>
      <c r="CD86" s="57"/>
      <c r="CE86" s="57"/>
      <c r="CF86" s="57"/>
      <c r="CG86" s="57"/>
      <c r="CH86" s="57"/>
      <c r="CI86" s="57"/>
    </row>
    <row r="87" spans="1:87">
      <c r="B87" s="71" t="s">
        <v>132</v>
      </c>
      <c r="C87" s="56">
        <f>$C$48</f>
        <v>0.15</v>
      </c>
      <c r="U87" s="57"/>
      <c r="V87" s="57"/>
      <c r="W87" s="57"/>
      <c r="X87" s="57"/>
      <c r="Y87" s="57"/>
      <c r="Z87" s="57"/>
      <c r="AA87" s="57"/>
      <c r="AB87" s="57"/>
      <c r="AC87" s="57"/>
      <c r="AD87" s="57"/>
      <c r="AE87" s="57"/>
      <c r="AF87" s="57"/>
      <c r="AG87" s="57"/>
      <c r="AH87" s="57"/>
      <c r="AQ87" s="57"/>
      <c r="AS87" s="57"/>
      <c r="AT87" s="57"/>
      <c r="BC87" s="57"/>
      <c r="BE87" s="57"/>
      <c r="BF87" s="57"/>
      <c r="BO87" s="57"/>
      <c r="BQ87" s="57"/>
      <c r="BR87" s="57"/>
      <c r="CA87" s="57"/>
      <c r="CC87" s="57"/>
      <c r="CD87" s="57"/>
    </row>
    <row r="88" spans="1:87" s="74" customFormat="1">
      <c r="B88" s="74" t="s">
        <v>122</v>
      </c>
      <c r="C88" s="73"/>
      <c r="U88" s="75"/>
      <c r="V88" s="75"/>
      <c r="W88" s="75"/>
      <c r="X88" s="75"/>
      <c r="Y88" s="75"/>
      <c r="Z88" s="75"/>
      <c r="AA88" s="75"/>
      <c r="AB88" s="75"/>
      <c r="AC88" s="75"/>
      <c r="AD88" s="75"/>
      <c r="AE88" s="75"/>
      <c r="AF88" s="75"/>
      <c r="AG88" s="75"/>
      <c r="AH88" s="75"/>
      <c r="AQ88" s="75"/>
      <c r="AR88" s="75"/>
      <c r="AS88" s="75"/>
      <c r="AT88" s="75"/>
      <c r="BC88" s="75"/>
      <c r="BD88" s="75"/>
      <c r="BE88" s="75"/>
      <c r="BF88" s="75"/>
      <c r="BO88" s="75"/>
      <c r="BP88" s="75"/>
      <c r="BQ88" s="75"/>
      <c r="BR88" s="75"/>
      <c r="CA88" s="75"/>
      <c r="CB88" s="75"/>
      <c r="CC88" s="75"/>
      <c r="CD88" s="75"/>
    </row>
    <row r="89" spans="1:87">
      <c r="C89" s="56"/>
      <c r="U89" s="57"/>
      <c r="V89" s="57"/>
      <c r="W89" s="57"/>
      <c r="X89" s="57"/>
      <c r="Y89" s="57"/>
      <c r="Z89" s="57"/>
      <c r="AA89" s="57"/>
      <c r="AB89" s="57"/>
      <c r="AC89" s="57"/>
      <c r="AD89" s="57"/>
      <c r="AE89" s="57"/>
      <c r="AF89" s="57"/>
      <c r="AG89" s="57"/>
      <c r="AH89" s="57"/>
      <c r="AQ89" s="57"/>
      <c r="AR89" s="57"/>
      <c r="AS89" s="57"/>
      <c r="AT89" s="57"/>
      <c r="BC89" s="57"/>
      <c r="BD89" s="57"/>
      <c r="BE89" s="57"/>
      <c r="BF89" s="57"/>
      <c r="BO89" s="57"/>
      <c r="BP89" s="57"/>
      <c r="BQ89" s="57"/>
      <c r="BR89" s="57"/>
      <c r="CA89" s="57"/>
      <c r="CB89" s="57"/>
      <c r="CC89" s="57"/>
      <c r="CD89" s="57"/>
    </row>
    <row r="90" spans="1:87">
      <c r="B90" s="72" t="s">
        <v>146</v>
      </c>
      <c r="C90" s="56"/>
      <c r="U90" s="57"/>
      <c r="V90" s="57"/>
      <c r="W90" s="57"/>
      <c r="X90" s="57"/>
      <c r="Y90" s="57"/>
      <c r="Z90" s="57"/>
      <c r="AA90" s="57"/>
      <c r="AB90" s="57"/>
      <c r="AC90" s="57"/>
      <c r="AD90" s="57"/>
      <c r="AE90" s="57"/>
      <c r="AF90" s="57"/>
      <c r="AG90" s="57"/>
    </row>
    <row r="91" spans="1:87">
      <c r="B91" s="71" t="s">
        <v>137</v>
      </c>
      <c r="C91" s="56">
        <v>0.5</v>
      </c>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t="e">
        <f>SUM(AG$60,AG$65,AG$70,AG$75,AG$80,AG$85)*$C91</f>
        <v>#REF!</v>
      </c>
      <c r="AH91" s="57" t="e">
        <f>AG91</f>
        <v>#REF!</v>
      </c>
      <c r="AI91" s="57" t="e">
        <f t="shared" ref="AI91:BD92" si="92">AH91</f>
        <v>#REF!</v>
      </c>
      <c r="AJ91" s="57" t="e">
        <f t="shared" si="92"/>
        <v>#REF!</v>
      </c>
      <c r="AK91" s="57" t="e">
        <f t="shared" si="92"/>
        <v>#REF!</v>
      </c>
      <c r="AL91" s="57" t="e">
        <f t="shared" si="92"/>
        <v>#REF!</v>
      </c>
      <c r="AM91" s="57" t="e">
        <f t="shared" si="92"/>
        <v>#REF!</v>
      </c>
      <c r="AN91" s="57" t="e">
        <f t="shared" si="92"/>
        <v>#REF!</v>
      </c>
      <c r="AO91" s="57" t="e">
        <f t="shared" si="92"/>
        <v>#REF!</v>
      </c>
      <c r="AP91" s="57" t="e">
        <f t="shared" si="92"/>
        <v>#REF!</v>
      </c>
      <c r="AQ91" s="57" t="e">
        <f t="shared" si="92"/>
        <v>#REF!</v>
      </c>
      <c r="AR91" s="57" t="e">
        <f t="shared" si="92"/>
        <v>#REF!</v>
      </c>
      <c r="AS91" s="57" t="e">
        <f t="shared" si="92"/>
        <v>#REF!</v>
      </c>
      <c r="AT91" s="57" t="e">
        <f t="shared" si="92"/>
        <v>#REF!</v>
      </c>
      <c r="AU91" s="57" t="e">
        <f t="shared" si="92"/>
        <v>#REF!</v>
      </c>
      <c r="AV91" s="57" t="e">
        <f t="shared" si="92"/>
        <v>#REF!</v>
      </c>
      <c r="AW91" s="57" t="e">
        <f t="shared" si="92"/>
        <v>#REF!</v>
      </c>
      <c r="AX91" s="57" t="e">
        <f t="shared" si="92"/>
        <v>#REF!</v>
      </c>
      <c r="AY91" s="57" t="e">
        <f t="shared" si="92"/>
        <v>#REF!</v>
      </c>
      <c r="AZ91" s="57" t="e">
        <f t="shared" si="92"/>
        <v>#REF!</v>
      </c>
      <c r="BA91" s="57" t="e">
        <f t="shared" si="92"/>
        <v>#REF!</v>
      </c>
      <c r="BB91" s="57" t="e">
        <f>BA91</f>
        <v>#REF!</v>
      </c>
      <c r="BC91" s="57" t="e">
        <f t="shared" si="92"/>
        <v>#REF!</v>
      </c>
      <c r="BD91" s="57" t="e">
        <f t="shared" si="92"/>
        <v>#REF!</v>
      </c>
    </row>
    <row r="92" spans="1:87">
      <c r="B92" s="71" t="s">
        <v>138</v>
      </c>
      <c r="C92" s="56">
        <v>0.5</v>
      </c>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t="e">
        <f>SUM(AS$60,AS$65,AS$70,AS$75,AS$80,AS$85)*$C92</f>
        <v>#REF!</v>
      </c>
      <c r="AT92" s="57" t="e">
        <f>AS92</f>
        <v>#REF!</v>
      </c>
      <c r="AU92" s="57" t="e">
        <f t="shared" si="92"/>
        <v>#REF!</v>
      </c>
      <c r="AV92" s="57" t="e">
        <f t="shared" si="92"/>
        <v>#REF!</v>
      </c>
      <c r="AW92" s="57" t="e">
        <f t="shared" si="92"/>
        <v>#REF!</v>
      </c>
      <c r="AX92" s="57" t="e">
        <f t="shared" si="92"/>
        <v>#REF!</v>
      </c>
      <c r="AY92" s="57" t="e">
        <f t="shared" si="92"/>
        <v>#REF!</v>
      </c>
      <c r="AZ92" s="57" t="e">
        <f t="shared" si="92"/>
        <v>#REF!</v>
      </c>
      <c r="BA92" s="57" t="e">
        <f t="shared" si="92"/>
        <v>#REF!</v>
      </c>
      <c r="BB92" s="57" t="e">
        <f t="shared" si="92"/>
        <v>#REF!</v>
      </c>
      <c r="BC92" s="57" t="e">
        <f t="shared" si="92"/>
        <v>#REF!</v>
      </c>
      <c r="BD92" s="57" t="e">
        <f t="shared" si="92"/>
        <v>#REF!</v>
      </c>
      <c r="BE92" s="57" t="e">
        <f t="shared" ref="BE92:BT94" si="93">BD92</f>
        <v>#REF!</v>
      </c>
      <c r="BF92" s="57" t="e">
        <f t="shared" si="93"/>
        <v>#REF!</v>
      </c>
      <c r="BG92" s="57" t="e">
        <f t="shared" si="93"/>
        <v>#REF!</v>
      </c>
      <c r="BH92" s="57" t="e">
        <f t="shared" si="93"/>
        <v>#REF!</v>
      </c>
      <c r="BI92" s="57" t="e">
        <f t="shared" si="93"/>
        <v>#REF!</v>
      </c>
      <c r="BJ92" s="57" t="e">
        <f t="shared" si="93"/>
        <v>#REF!</v>
      </c>
      <c r="BK92" s="57" t="e">
        <f t="shared" si="93"/>
        <v>#REF!</v>
      </c>
      <c r="BL92" s="57" t="e">
        <f t="shared" si="93"/>
        <v>#REF!</v>
      </c>
      <c r="BM92" s="57" t="e">
        <f t="shared" si="93"/>
        <v>#REF!</v>
      </c>
      <c r="BN92" s="57" t="e">
        <f>BM92</f>
        <v>#REF!</v>
      </c>
      <c r="BO92" s="57" t="e">
        <f t="shared" si="93"/>
        <v>#REF!</v>
      </c>
      <c r="BP92" s="57" t="e">
        <f t="shared" si="93"/>
        <v>#REF!</v>
      </c>
    </row>
    <row r="93" spans="1:87">
      <c r="B93" s="71" t="s">
        <v>139</v>
      </c>
      <c r="C93" s="56">
        <v>0.5</v>
      </c>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t="e">
        <f>SUM(BE$60,BE$65,BE$70,BE$75,BE$80,BE$85)*$C93</f>
        <v>#REF!</v>
      </c>
      <c r="BF93" s="57" t="e">
        <f>BE93</f>
        <v>#REF!</v>
      </c>
      <c r="BG93" s="57" t="e">
        <f t="shared" si="93"/>
        <v>#REF!</v>
      </c>
      <c r="BH93" s="57" t="e">
        <f t="shared" si="93"/>
        <v>#REF!</v>
      </c>
      <c r="BI93" s="57" t="e">
        <f t="shared" si="93"/>
        <v>#REF!</v>
      </c>
      <c r="BJ93" s="57" t="e">
        <f t="shared" si="93"/>
        <v>#REF!</v>
      </c>
      <c r="BK93" s="57" t="e">
        <f t="shared" si="93"/>
        <v>#REF!</v>
      </c>
      <c r="BL93" s="57" t="e">
        <f t="shared" si="93"/>
        <v>#REF!</v>
      </c>
      <c r="BM93" s="57" t="e">
        <f t="shared" si="93"/>
        <v>#REF!</v>
      </c>
      <c r="BN93" s="57" t="e">
        <f t="shared" si="93"/>
        <v>#REF!</v>
      </c>
      <c r="BO93" s="57" t="e">
        <f t="shared" si="93"/>
        <v>#REF!</v>
      </c>
      <c r="BP93" s="57" t="e">
        <f t="shared" si="93"/>
        <v>#REF!</v>
      </c>
      <c r="BQ93" s="57" t="e">
        <f t="shared" si="93"/>
        <v>#REF!</v>
      </c>
      <c r="BR93" s="57" t="e">
        <f t="shared" si="93"/>
        <v>#REF!</v>
      </c>
      <c r="BS93" s="57" t="e">
        <f t="shared" si="93"/>
        <v>#REF!</v>
      </c>
      <c r="BT93" s="57" t="e">
        <f t="shared" si="93"/>
        <v>#REF!</v>
      </c>
      <c r="BU93" s="57" t="e">
        <f t="shared" ref="BU93:CI95" si="94">BT93</f>
        <v>#REF!</v>
      </c>
      <c r="BV93" s="57" t="e">
        <f t="shared" si="94"/>
        <v>#REF!</v>
      </c>
      <c r="BW93" s="57" t="e">
        <f t="shared" si="94"/>
        <v>#REF!</v>
      </c>
      <c r="BX93" s="57" t="e">
        <f t="shared" si="94"/>
        <v>#REF!</v>
      </c>
      <c r="BY93" s="57" t="e">
        <f t="shared" si="94"/>
        <v>#REF!</v>
      </c>
      <c r="BZ93" s="57" t="e">
        <f>BY93</f>
        <v>#REF!</v>
      </c>
      <c r="CA93" s="57" t="e">
        <f t="shared" si="94"/>
        <v>#REF!</v>
      </c>
      <c r="CB93" s="57" t="e">
        <f t="shared" si="94"/>
        <v>#REF!</v>
      </c>
    </row>
    <row r="94" spans="1:87">
      <c r="B94" s="71" t="s">
        <v>140</v>
      </c>
      <c r="C94" s="56">
        <v>0.5</v>
      </c>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t="e">
        <f>SUM(BQ$60,BQ$65,BQ$70,BQ$75,BQ$80,BQ$85)*$C94</f>
        <v>#REF!</v>
      </c>
      <c r="BR94" s="57" t="e">
        <f>BQ94</f>
        <v>#REF!</v>
      </c>
      <c r="BS94" s="57" t="e">
        <f t="shared" si="93"/>
        <v>#REF!</v>
      </c>
      <c r="BT94" s="57" t="e">
        <f t="shared" si="93"/>
        <v>#REF!</v>
      </c>
      <c r="BU94" s="57" t="e">
        <f t="shared" si="94"/>
        <v>#REF!</v>
      </c>
      <c r="BV94" s="57" t="e">
        <f t="shared" si="94"/>
        <v>#REF!</v>
      </c>
      <c r="BW94" s="57" t="e">
        <f t="shared" si="94"/>
        <v>#REF!</v>
      </c>
      <c r="BX94" s="57" t="e">
        <f t="shared" si="94"/>
        <v>#REF!</v>
      </c>
      <c r="BY94" s="57" t="e">
        <f t="shared" si="94"/>
        <v>#REF!</v>
      </c>
      <c r="BZ94" s="57" t="e">
        <f t="shared" si="94"/>
        <v>#REF!</v>
      </c>
      <c r="CA94" s="57" t="e">
        <f t="shared" si="94"/>
        <v>#REF!</v>
      </c>
      <c r="CB94" s="57" t="e">
        <f t="shared" si="94"/>
        <v>#REF!</v>
      </c>
      <c r="CC94" s="57" t="e">
        <f t="shared" si="94"/>
        <v>#REF!</v>
      </c>
      <c r="CD94" s="57" t="e">
        <f t="shared" si="94"/>
        <v>#REF!</v>
      </c>
      <c r="CE94" s="57" t="e">
        <f t="shared" si="94"/>
        <v>#REF!</v>
      </c>
      <c r="CF94" s="57" t="e">
        <f t="shared" si="94"/>
        <v>#REF!</v>
      </c>
      <c r="CG94" s="57" t="e">
        <f t="shared" si="94"/>
        <v>#REF!</v>
      </c>
      <c r="CH94" s="57" t="e">
        <f t="shared" si="94"/>
        <v>#REF!</v>
      </c>
      <c r="CI94" s="57" t="e">
        <f t="shared" si="94"/>
        <v>#REF!</v>
      </c>
    </row>
    <row r="95" spans="1:87">
      <c r="B95" s="71" t="s">
        <v>141</v>
      </c>
      <c r="C95" s="56">
        <v>0.5</v>
      </c>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t="e">
        <f>SUM(CC$60,CC$65,CC$70,CC$75,CC$80,CC$85)*$C95</f>
        <v>#REF!</v>
      </c>
      <c r="CD95" s="57" t="e">
        <f>CC95</f>
        <v>#REF!</v>
      </c>
      <c r="CE95" s="57" t="e">
        <f t="shared" si="94"/>
        <v>#REF!</v>
      </c>
      <c r="CF95" s="57" t="e">
        <f t="shared" si="94"/>
        <v>#REF!</v>
      </c>
      <c r="CG95" s="57" t="e">
        <f t="shared" si="94"/>
        <v>#REF!</v>
      </c>
      <c r="CH95" s="57" t="e">
        <f t="shared" si="94"/>
        <v>#REF!</v>
      </c>
      <c r="CI95" s="57" t="e">
        <f t="shared" si="94"/>
        <v>#REF!</v>
      </c>
    </row>
    <row r="96" spans="1:87">
      <c r="B96" s="71" t="s">
        <v>142</v>
      </c>
      <c r="C96" s="56">
        <v>0.5</v>
      </c>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BQ96" s="57"/>
      <c r="BR96" s="57"/>
      <c r="BS96" s="57"/>
      <c r="BT96" s="57"/>
      <c r="BU96" s="57"/>
      <c r="BV96" s="57"/>
      <c r="BW96" s="57"/>
      <c r="BX96" s="57"/>
      <c r="BY96" s="57"/>
      <c r="BZ96" s="57"/>
      <c r="CA96" s="57"/>
      <c r="CB96" s="57"/>
      <c r="CC96" s="57"/>
      <c r="CD96" s="57"/>
      <c r="CE96" s="57"/>
      <c r="CF96" s="57"/>
      <c r="CG96" s="57"/>
      <c r="CH96" s="57"/>
      <c r="CI96" s="57"/>
    </row>
    <row r="97" spans="1:87">
      <c r="B97" s="71" t="s">
        <v>143</v>
      </c>
      <c r="C97" s="56">
        <v>0.5</v>
      </c>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BQ97" s="57"/>
      <c r="BR97" s="57"/>
      <c r="BS97" s="57"/>
      <c r="BT97" s="57"/>
      <c r="BU97" s="57"/>
      <c r="BV97" s="57"/>
      <c r="BW97" s="57"/>
      <c r="BX97" s="57"/>
      <c r="BY97" s="57"/>
      <c r="BZ97" s="57"/>
      <c r="CA97" s="57"/>
      <c r="CB97" s="57"/>
      <c r="CC97" s="57"/>
      <c r="CD97" s="57"/>
      <c r="CE97" s="57"/>
      <c r="CF97" s="57"/>
      <c r="CG97" s="57"/>
      <c r="CH97" s="57"/>
      <c r="CI97" s="57"/>
    </row>
    <row r="98" spans="1:87">
      <c r="B98" s="71" t="s">
        <v>153</v>
      </c>
      <c r="C98" s="56"/>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row>
    <row r="99" spans="1:87">
      <c r="A99" s="57" t="e">
        <f>BE99</f>
        <v>#REF!</v>
      </c>
      <c r="B99" s="52" t="s">
        <v>120</v>
      </c>
      <c r="C99" s="56">
        <v>1</v>
      </c>
      <c r="U99" s="57"/>
      <c r="V99" s="57"/>
      <c r="W99" s="57"/>
      <c r="X99" s="57"/>
      <c r="Y99" s="57"/>
      <c r="Z99" s="57"/>
      <c r="AA99" s="57"/>
      <c r="AB99" s="57"/>
      <c r="AC99" s="57"/>
      <c r="AD99" s="57"/>
      <c r="AE99" s="57"/>
      <c r="AF99" s="57"/>
      <c r="AG99" s="57"/>
      <c r="AH99" s="57"/>
      <c r="AS99" s="57"/>
      <c r="BE99" s="57" t="e">
        <f>BD91</f>
        <v>#REF!</v>
      </c>
      <c r="BF99" s="57"/>
      <c r="BQ99" s="57" t="e">
        <f>BP102</f>
        <v>#REF!</v>
      </c>
      <c r="CC99" s="57" t="e">
        <f>CB102</f>
        <v>#REF!</v>
      </c>
    </row>
    <row r="100" spans="1:87">
      <c r="B100" s="52" t="s">
        <v>121</v>
      </c>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S100" s="57"/>
      <c r="AT100" s="57"/>
      <c r="AU100" s="57"/>
      <c r="AV100" s="57"/>
      <c r="AW100" s="57"/>
      <c r="AX100" s="57"/>
      <c r="AY100" s="57"/>
      <c r="AZ100" s="57"/>
      <c r="BA100" s="57"/>
      <c r="BB100" s="57"/>
      <c r="BE100" s="57" t="e">
        <f>BE99</f>
        <v>#REF!</v>
      </c>
      <c r="BF100" s="57" t="e">
        <f>BE100</f>
        <v>#REF!</v>
      </c>
      <c r="BG100" s="57" t="e">
        <f t="shared" ref="BG100:BM100" si="95">BF100</f>
        <v>#REF!</v>
      </c>
      <c r="BH100" s="57" t="e">
        <f t="shared" si="95"/>
        <v>#REF!</v>
      </c>
      <c r="BI100" s="57" t="e">
        <f t="shared" si="95"/>
        <v>#REF!</v>
      </c>
      <c r="BJ100" s="57" t="e">
        <f t="shared" si="95"/>
        <v>#REF!</v>
      </c>
      <c r="BK100" s="57" t="e">
        <f t="shared" si="95"/>
        <v>#REF!</v>
      </c>
      <c r="BL100" s="57" t="e">
        <f t="shared" si="95"/>
        <v>#REF!</v>
      </c>
      <c r="BM100" s="57" t="e">
        <f t="shared" si="95"/>
        <v>#REF!</v>
      </c>
      <c r="BN100" s="57" t="e">
        <f>BM100</f>
        <v>#REF!</v>
      </c>
      <c r="BO100" s="57" t="e">
        <f>BN100*$S$42</f>
        <v>#REF!</v>
      </c>
      <c r="BP100" s="57"/>
      <c r="BQ100" s="57" t="e">
        <f>BQ99</f>
        <v>#REF!</v>
      </c>
      <c r="BR100" s="57" t="e">
        <f>BQ100</f>
        <v>#REF!</v>
      </c>
      <c r="BS100" s="57" t="e">
        <f t="shared" ref="BS100:BY100" si="96">BR100</f>
        <v>#REF!</v>
      </c>
      <c r="BT100" s="57" t="e">
        <f t="shared" si="96"/>
        <v>#REF!</v>
      </c>
      <c r="BU100" s="57" t="e">
        <f t="shared" si="96"/>
        <v>#REF!</v>
      </c>
      <c r="BV100" s="57" t="e">
        <f t="shared" si="96"/>
        <v>#REF!</v>
      </c>
      <c r="BW100" s="57" t="e">
        <f t="shared" si="96"/>
        <v>#REF!</v>
      </c>
      <c r="BX100" s="57" t="e">
        <f t="shared" si="96"/>
        <v>#REF!</v>
      </c>
      <c r="BY100" s="57" t="e">
        <f t="shared" si="96"/>
        <v>#REF!</v>
      </c>
      <c r="BZ100" s="57" t="e">
        <f>BY100</f>
        <v>#REF!</v>
      </c>
      <c r="CA100" s="57" t="e">
        <f>BZ100*$S$42</f>
        <v>#REF!</v>
      </c>
      <c r="CB100" s="57"/>
      <c r="CC100" s="57" t="e">
        <f>CC99</f>
        <v>#REF!</v>
      </c>
      <c r="CD100" s="57" t="e">
        <f t="shared" ref="CD100:CI100" si="97">CC100</f>
        <v>#REF!</v>
      </c>
      <c r="CE100" s="57" t="e">
        <f t="shared" si="97"/>
        <v>#REF!</v>
      </c>
      <c r="CF100" s="57" t="e">
        <f t="shared" si="97"/>
        <v>#REF!</v>
      </c>
      <c r="CG100" s="57" t="e">
        <f t="shared" si="97"/>
        <v>#REF!</v>
      </c>
      <c r="CH100" s="57" t="e">
        <f t="shared" si="97"/>
        <v>#REF!</v>
      </c>
      <c r="CI100" s="57" t="e">
        <f t="shared" si="97"/>
        <v>#REF!</v>
      </c>
    </row>
    <row r="101" spans="1:87">
      <c r="B101" s="71" t="s">
        <v>132</v>
      </c>
      <c r="C101" s="56">
        <f>$C$48</f>
        <v>0.15</v>
      </c>
      <c r="U101" s="57"/>
      <c r="V101" s="57"/>
      <c r="W101" s="57"/>
      <c r="X101" s="57"/>
      <c r="Y101" s="57"/>
      <c r="Z101" s="57"/>
      <c r="AA101" s="57"/>
      <c r="AB101" s="57"/>
      <c r="AC101" s="57"/>
      <c r="AD101" s="57"/>
      <c r="AE101" s="57"/>
      <c r="AF101" s="57"/>
      <c r="AG101" s="57"/>
      <c r="AH101" s="57"/>
      <c r="AQ101" s="57"/>
      <c r="AS101" s="57"/>
      <c r="AT101" s="57"/>
      <c r="BC101" s="57"/>
      <c r="BE101" s="57"/>
      <c r="BF101" s="57"/>
      <c r="BO101" s="57"/>
      <c r="BP101" s="57" t="e">
        <f>$A99*$C101</f>
        <v>#REF!</v>
      </c>
      <c r="BQ101" s="57"/>
      <c r="BR101" s="57"/>
      <c r="CA101" s="57"/>
      <c r="CB101" s="57" t="e">
        <f>$A99*$C101</f>
        <v>#REF!</v>
      </c>
      <c r="CC101" s="57"/>
      <c r="CD101" s="57"/>
    </row>
    <row r="102" spans="1:87">
      <c r="B102" s="52" t="s">
        <v>122</v>
      </c>
      <c r="C102" s="56"/>
      <c r="U102" s="57"/>
      <c r="V102" s="57"/>
      <c r="W102" s="57"/>
      <c r="X102" s="57"/>
      <c r="Y102" s="57"/>
      <c r="Z102" s="57"/>
      <c r="AA102" s="57"/>
      <c r="AB102" s="57"/>
      <c r="AC102" s="57"/>
      <c r="AD102" s="57"/>
      <c r="AE102" s="57"/>
      <c r="AF102" s="57"/>
      <c r="AG102" s="57"/>
      <c r="AH102" s="57"/>
      <c r="AQ102" s="57"/>
      <c r="AR102" s="57"/>
      <c r="AS102" s="57"/>
      <c r="AT102" s="57"/>
      <c r="BC102" s="57"/>
      <c r="BD102" s="57" t="e">
        <f>BF100</f>
        <v>#REF!</v>
      </c>
      <c r="BE102" s="57"/>
      <c r="BF102" s="57"/>
      <c r="BO102" s="57" t="e">
        <f>BE100-BO100</f>
        <v>#REF!</v>
      </c>
      <c r="BP102" s="57" t="e">
        <f>BE100-BP101</f>
        <v>#REF!</v>
      </c>
      <c r="BQ102" s="57"/>
      <c r="BR102" s="57"/>
      <c r="CA102" s="57" t="e">
        <f>BQ100-CA100</f>
        <v>#REF!</v>
      </c>
      <c r="CB102" s="57" t="e">
        <f>BQ100-CB101</f>
        <v>#REF!</v>
      </c>
      <c r="CC102" s="57"/>
      <c r="CD102" s="57"/>
    </row>
    <row r="103" spans="1:87">
      <c r="B103" s="71" t="s">
        <v>153</v>
      </c>
      <c r="C103" s="56"/>
      <c r="U103" s="57"/>
      <c r="V103" s="57"/>
      <c r="W103" s="57"/>
      <c r="X103" s="57"/>
      <c r="Y103" s="57"/>
      <c r="Z103" s="57"/>
      <c r="AA103" s="57"/>
      <c r="AB103" s="57"/>
      <c r="AC103" s="57"/>
      <c r="AD103" s="57"/>
      <c r="AE103" s="57"/>
      <c r="AF103" s="57"/>
      <c r="AG103" s="57"/>
      <c r="AH103" s="57"/>
      <c r="BE103" s="57"/>
      <c r="BF103" s="57"/>
    </row>
    <row r="104" spans="1:87">
      <c r="A104" s="57" t="e">
        <f>BQ104</f>
        <v>#REF!</v>
      </c>
      <c r="B104" s="71" t="s">
        <v>144</v>
      </c>
      <c r="C104" s="56">
        <v>1</v>
      </c>
      <c r="U104" s="57"/>
      <c r="V104" s="57"/>
      <c r="W104" s="57"/>
      <c r="X104" s="57"/>
      <c r="Y104" s="57"/>
      <c r="Z104" s="57"/>
      <c r="AA104" s="57"/>
      <c r="AB104" s="57"/>
      <c r="AC104" s="57"/>
      <c r="AD104" s="57"/>
      <c r="AE104" s="57"/>
      <c r="AF104" s="57"/>
      <c r="AG104" s="57"/>
      <c r="AH104" s="57"/>
      <c r="AS104" s="57"/>
      <c r="AT104" s="57"/>
      <c r="BE104" s="57"/>
      <c r="BF104" s="57"/>
      <c r="BQ104" s="57" t="e">
        <f>BP92</f>
        <v>#REF!</v>
      </c>
      <c r="BR104" s="57"/>
      <c r="CC104" s="57" t="e">
        <f>CB107</f>
        <v>#REF!</v>
      </c>
    </row>
    <row r="105" spans="1:87">
      <c r="B105" s="52" t="s">
        <v>121</v>
      </c>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S105" s="57"/>
      <c r="AT105" s="57"/>
      <c r="AU105" s="57"/>
      <c r="AV105" s="57"/>
      <c r="AW105" s="57"/>
      <c r="AX105" s="57"/>
      <c r="AY105" s="57"/>
      <c r="AZ105" s="57"/>
      <c r="BA105" s="57"/>
      <c r="BB105" s="57"/>
      <c r="BE105" s="57"/>
      <c r="BF105" s="57"/>
      <c r="BG105" s="57"/>
      <c r="BH105" s="57"/>
      <c r="BI105" s="57"/>
      <c r="BJ105" s="57"/>
      <c r="BK105" s="57"/>
      <c r="BL105" s="57"/>
      <c r="BM105" s="57"/>
      <c r="BN105" s="57"/>
      <c r="BQ105" s="57" t="e">
        <f>BQ104</f>
        <v>#REF!</v>
      </c>
      <c r="BR105" s="57" t="e">
        <f>BQ105</f>
        <v>#REF!</v>
      </c>
      <c r="BS105" s="57" t="e">
        <f t="shared" ref="BS105:BY105" si="98">BR105</f>
        <v>#REF!</v>
      </c>
      <c r="BT105" s="57" t="e">
        <f t="shared" si="98"/>
        <v>#REF!</v>
      </c>
      <c r="BU105" s="57" t="e">
        <f t="shared" si="98"/>
        <v>#REF!</v>
      </c>
      <c r="BV105" s="57" t="e">
        <f t="shared" si="98"/>
        <v>#REF!</v>
      </c>
      <c r="BW105" s="57" t="e">
        <f t="shared" si="98"/>
        <v>#REF!</v>
      </c>
      <c r="BX105" s="57" t="e">
        <f t="shared" si="98"/>
        <v>#REF!</v>
      </c>
      <c r="BY105" s="57" t="e">
        <f t="shared" si="98"/>
        <v>#REF!</v>
      </c>
      <c r="BZ105" s="57" t="e">
        <f>BY105</f>
        <v>#REF!</v>
      </c>
      <c r="CA105" s="57" t="e">
        <f>BZ105*$S$42</f>
        <v>#REF!</v>
      </c>
      <c r="CB105" s="57"/>
      <c r="CC105" s="57" t="e">
        <f>CC104</f>
        <v>#REF!</v>
      </c>
      <c r="CD105" s="57" t="e">
        <f t="shared" ref="CD105:CI105" si="99">CC105</f>
        <v>#REF!</v>
      </c>
      <c r="CE105" s="57" t="e">
        <f t="shared" si="99"/>
        <v>#REF!</v>
      </c>
      <c r="CF105" s="57" t="e">
        <f t="shared" si="99"/>
        <v>#REF!</v>
      </c>
      <c r="CG105" s="57" t="e">
        <f t="shared" si="99"/>
        <v>#REF!</v>
      </c>
      <c r="CH105" s="57" t="e">
        <f t="shared" si="99"/>
        <v>#REF!</v>
      </c>
      <c r="CI105" s="57" t="e">
        <f t="shared" si="99"/>
        <v>#REF!</v>
      </c>
    </row>
    <row r="106" spans="1:87">
      <c r="B106" s="71" t="s">
        <v>132</v>
      </c>
      <c r="C106" s="56">
        <f>$C$48</f>
        <v>0.15</v>
      </c>
      <c r="U106" s="57"/>
      <c r="V106" s="57"/>
      <c r="W106" s="57"/>
      <c r="X106" s="57"/>
      <c r="Y106" s="57"/>
      <c r="Z106" s="57"/>
      <c r="AA106" s="57"/>
      <c r="AB106" s="57"/>
      <c r="AC106" s="57"/>
      <c r="AD106" s="57"/>
      <c r="AE106" s="57"/>
      <c r="AF106" s="57"/>
      <c r="AG106" s="57"/>
      <c r="AH106" s="57"/>
      <c r="AQ106" s="57"/>
      <c r="AS106" s="57"/>
      <c r="AT106" s="57"/>
      <c r="BC106" s="57"/>
      <c r="BE106" s="57"/>
      <c r="BF106" s="57"/>
      <c r="BO106" s="57"/>
      <c r="BQ106" s="57"/>
      <c r="BR106" s="57"/>
      <c r="CA106" s="57"/>
      <c r="CB106" s="57" t="e">
        <f>$A104*$C106</f>
        <v>#REF!</v>
      </c>
      <c r="CC106" s="57"/>
      <c r="CD106" s="57"/>
    </row>
    <row r="107" spans="1:87">
      <c r="B107" s="52" t="s">
        <v>122</v>
      </c>
      <c r="C107" s="56"/>
      <c r="U107" s="57"/>
      <c r="V107" s="57"/>
      <c r="W107" s="57"/>
      <c r="X107" s="57"/>
      <c r="Y107" s="57"/>
      <c r="Z107" s="57"/>
      <c r="AA107" s="57"/>
      <c r="AB107" s="57"/>
      <c r="AC107" s="57"/>
      <c r="AD107" s="57"/>
      <c r="AE107" s="57"/>
      <c r="AF107" s="57"/>
      <c r="AG107" s="57"/>
      <c r="AH107" s="57"/>
      <c r="AQ107" s="57"/>
      <c r="AR107" s="57"/>
      <c r="AS107" s="57"/>
      <c r="AT107" s="57"/>
      <c r="BC107" s="57"/>
      <c r="BD107" s="57"/>
      <c r="BE107" s="57"/>
      <c r="BF107" s="57"/>
      <c r="BO107" s="57"/>
      <c r="BP107" s="57" t="e">
        <f>BR105</f>
        <v>#REF!</v>
      </c>
      <c r="BQ107" s="57"/>
      <c r="BR107" s="57"/>
      <c r="CA107" s="57" t="e">
        <f>BQ105-CA105</f>
        <v>#REF!</v>
      </c>
      <c r="CB107" s="57" t="e">
        <f>BQ105-CB106</f>
        <v>#REF!</v>
      </c>
      <c r="CC107" s="57"/>
      <c r="CD107" s="57"/>
    </row>
    <row r="108" spans="1:87">
      <c r="B108" s="71" t="s">
        <v>153</v>
      </c>
      <c r="C108" s="56"/>
      <c r="U108" s="57"/>
      <c r="V108" s="57"/>
      <c r="W108" s="57"/>
      <c r="X108" s="57"/>
      <c r="Y108" s="57"/>
      <c r="Z108" s="57"/>
      <c r="AA108" s="57"/>
      <c r="AB108" s="57"/>
      <c r="AC108" s="57"/>
      <c r="AD108" s="57"/>
      <c r="AE108" s="57"/>
      <c r="AF108" s="57"/>
      <c r="AG108" s="57"/>
      <c r="AH108" s="57"/>
      <c r="BE108" s="57"/>
      <c r="BF108" s="57"/>
    </row>
    <row r="109" spans="1:87">
      <c r="A109" s="57" t="e">
        <f>CC109</f>
        <v>#REF!</v>
      </c>
      <c r="B109" s="71" t="s">
        <v>123</v>
      </c>
      <c r="C109" s="56">
        <v>1</v>
      </c>
      <c r="U109" s="57"/>
      <c r="V109" s="57"/>
      <c r="W109" s="57"/>
      <c r="X109" s="57"/>
      <c r="Y109" s="57"/>
      <c r="Z109" s="57"/>
      <c r="AA109" s="57"/>
      <c r="AB109" s="57"/>
      <c r="AC109" s="57"/>
      <c r="AD109" s="57"/>
      <c r="AE109" s="57"/>
      <c r="AF109" s="57"/>
      <c r="AG109" s="57"/>
      <c r="AH109" s="57"/>
      <c r="AS109" s="57"/>
      <c r="AT109" s="57"/>
      <c r="BE109" s="57"/>
      <c r="BF109" s="57"/>
      <c r="BQ109" s="57"/>
      <c r="BR109" s="57"/>
      <c r="CC109" s="57" t="e">
        <f>CB93</f>
        <v>#REF!</v>
      </c>
      <c r="CD109" s="57"/>
    </row>
    <row r="110" spans="1:87">
      <c r="B110" s="52" t="s">
        <v>121</v>
      </c>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S110" s="57"/>
      <c r="AT110" s="57"/>
      <c r="AU110" s="57"/>
      <c r="AV110" s="57"/>
      <c r="AW110" s="57"/>
      <c r="AX110" s="57"/>
      <c r="AY110" s="57"/>
      <c r="AZ110" s="57"/>
      <c r="BA110" s="57"/>
      <c r="BB110" s="57"/>
      <c r="BE110" s="57"/>
      <c r="BF110" s="57"/>
      <c r="BG110" s="57"/>
      <c r="BH110" s="57"/>
      <c r="BI110" s="57"/>
      <c r="BJ110" s="57"/>
      <c r="BK110" s="57"/>
      <c r="BL110" s="57"/>
      <c r="BM110" s="57"/>
      <c r="BN110" s="57"/>
      <c r="BQ110" s="57"/>
      <c r="BR110" s="57"/>
      <c r="BS110" s="57"/>
      <c r="BT110" s="57"/>
      <c r="BU110" s="57"/>
      <c r="BV110" s="57"/>
      <c r="BW110" s="57"/>
      <c r="BX110" s="57"/>
      <c r="BY110" s="57"/>
      <c r="BZ110" s="57"/>
      <c r="CC110" s="57" t="e">
        <f>CC109</f>
        <v>#REF!</v>
      </c>
      <c r="CD110" s="57" t="e">
        <f t="shared" ref="CD110:CI110" si="100">CC110</f>
        <v>#REF!</v>
      </c>
      <c r="CE110" s="57" t="e">
        <f t="shared" si="100"/>
        <v>#REF!</v>
      </c>
      <c r="CF110" s="57" t="e">
        <f t="shared" si="100"/>
        <v>#REF!</v>
      </c>
      <c r="CG110" s="57" t="e">
        <f t="shared" si="100"/>
        <v>#REF!</v>
      </c>
      <c r="CH110" s="57" t="e">
        <f t="shared" si="100"/>
        <v>#REF!</v>
      </c>
      <c r="CI110" s="57" t="e">
        <f t="shared" si="100"/>
        <v>#REF!</v>
      </c>
    </row>
    <row r="111" spans="1:87">
      <c r="B111" s="71" t="s">
        <v>132</v>
      </c>
      <c r="C111" s="56">
        <f>$C$48</f>
        <v>0.15</v>
      </c>
      <c r="U111" s="57"/>
      <c r="V111" s="57"/>
      <c r="W111" s="57"/>
      <c r="X111" s="57"/>
      <c r="Y111" s="57"/>
      <c r="Z111" s="57"/>
      <c r="AA111" s="57"/>
      <c r="AB111" s="57"/>
      <c r="AC111" s="57"/>
      <c r="AD111" s="57"/>
      <c r="AE111" s="57"/>
      <c r="AF111" s="57"/>
      <c r="AG111" s="57"/>
      <c r="AH111" s="57"/>
      <c r="AQ111" s="57"/>
      <c r="AS111" s="57"/>
      <c r="AT111" s="57"/>
      <c r="BC111" s="57"/>
      <c r="BE111" s="57"/>
      <c r="BF111" s="57"/>
      <c r="BO111" s="57"/>
      <c r="BQ111" s="57"/>
      <c r="BR111" s="57"/>
      <c r="CA111" s="57"/>
      <c r="CC111" s="57"/>
      <c r="CD111" s="57"/>
    </row>
    <row r="112" spans="1:87">
      <c r="B112" s="52" t="s">
        <v>122</v>
      </c>
      <c r="C112" s="56"/>
      <c r="U112" s="57"/>
      <c r="V112" s="57"/>
      <c r="W112" s="57"/>
      <c r="X112" s="57"/>
      <c r="Y112" s="57"/>
      <c r="Z112" s="57"/>
      <c r="AA112" s="57"/>
      <c r="AB112" s="57"/>
      <c r="AC112" s="57"/>
      <c r="AD112" s="57"/>
      <c r="AE112" s="57"/>
      <c r="AF112" s="57"/>
      <c r="AG112" s="57"/>
      <c r="AH112" s="57"/>
      <c r="AQ112" s="57"/>
      <c r="AR112" s="57"/>
      <c r="AS112" s="57"/>
      <c r="AT112" s="57"/>
      <c r="BC112" s="57"/>
      <c r="BD112" s="57"/>
      <c r="BE112" s="57"/>
      <c r="BF112" s="57"/>
      <c r="BO112" s="57"/>
      <c r="BP112" s="57"/>
      <c r="BQ112" s="57"/>
      <c r="BR112" s="57"/>
      <c r="CA112" s="57"/>
      <c r="CB112" s="57" t="e">
        <f>CD110</f>
        <v>#REF!</v>
      </c>
      <c r="CC112" s="57"/>
      <c r="CD112" s="57"/>
    </row>
    <row r="113" spans="1:87">
      <c r="B113" s="71" t="s">
        <v>153</v>
      </c>
      <c r="C113" s="56"/>
      <c r="U113" s="57"/>
      <c r="V113" s="57"/>
      <c r="W113" s="57"/>
      <c r="X113" s="57"/>
      <c r="Y113" s="57"/>
      <c r="Z113" s="57"/>
      <c r="AA113" s="57"/>
      <c r="AB113" s="57"/>
      <c r="AC113" s="57"/>
      <c r="AD113" s="57"/>
      <c r="AE113" s="57"/>
      <c r="AF113" s="57"/>
      <c r="AG113" s="57"/>
      <c r="AH113" s="57"/>
      <c r="BE113" s="57"/>
      <c r="BF113" s="57"/>
    </row>
    <row r="114" spans="1:87">
      <c r="A114" s="57"/>
      <c r="B114" s="71" t="s">
        <v>133</v>
      </c>
      <c r="C114" s="56">
        <v>1</v>
      </c>
      <c r="U114" s="57"/>
      <c r="V114" s="57"/>
      <c r="W114" s="57"/>
      <c r="X114" s="57"/>
      <c r="Y114" s="57"/>
      <c r="Z114" s="57"/>
      <c r="AA114" s="57"/>
      <c r="AB114" s="57"/>
      <c r="AC114" s="57"/>
      <c r="AD114" s="57"/>
      <c r="AE114" s="57"/>
      <c r="AF114" s="57"/>
      <c r="AG114" s="57"/>
      <c r="AH114" s="57"/>
      <c r="AS114" s="57"/>
      <c r="AT114" s="57"/>
      <c r="BE114" s="57"/>
      <c r="BF114" s="57"/>
      <c r="BQ114" s="57"/>
      <c r="BR114" s="57"/>
      <c r="CC114" s="57"/>
      <c r="CD114" s="57"/>
    </row>
    <row r="115" spans="1:87">
      <c r="B115" s="52" t="s">
        <v>121</v>
      </c>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S115" s="57"/>
      <c r="AT115" s="57"/>
      <c r="AU115" s="57"/>
      <c r="AV115" s="57"/>
      <c r="AW115" s="57"/>
      <c r="AX115" s="57"/>
      <c r="AY115" s="57"/>
      <c r="AZ115" s="57"/>
      <c r="BA115" s="57"/>
      <c r="BB115" s="57"/>
      <c r="BE115" s="57"/>
      <c r="BF115" s="57"/>
      <c r="BG115" s="57"/>
      <c r="BH115" s="57"/>
      <c r="BI115" s="57"/>
      <c r="BJ115" s="57"/>
      <c r="BK115" s="57"/>
      <c r="BL115" s="57"/>
      <c r="BM115" s="57"/>
      <c r="BN115" s="57"/>
      <c r="BQ115" s="57"/>
      <c r="BR115" s="57"/>
      <c r="BS115" s="57"/>
      <c r="BT115" s="57"/>
      <c r="BU115" s="57"/>
      <c r="BV115" s="57"/>
      <c r="BW115" s="57"/>
      <c r="BX115" s="57"/>
      <c r="BY115" s="57"/>
      <c r="BZ115" s="57"/>
      <c r="CC115" s="57"/>
      <c r="CD115" s="57"/>
      <c r="CE115" s="57"/>
      <c r="CF115" s="57"/>
      <c r="CG115" s="57"/>
      <c r="CH115" s="57"/>
      <c r="CI115" s="57"/>
    </row>
    <row r="116" spans="1:87">
      <c r="B116" s="71" t="s">
        <v>132</v>
      </c>
      <c r="C116" s="56">
        <f>$C$48</f>
        <v>0.15</v>
      </c>
      <c r="U116" s="57"/>
      <c r="V116" s="57"/>
      <c r="W116" s="57"/>
      <c r="X116" s="57"/>
      <c r="Y116" s="57"/>
      <c r="Z116" s="57"/>
      <c r="AA116" s="57"/>
      <c r="AB116" s="57"/>
      <c r="AC116" s="57"/>
      <c r="AD116" s="57"/>
      <c r="AE116" s="57"/>
      <c r="AF116" s="57"/>
      <c r="AG116" s="57"/>
      <c r="AH116" s="57"/>
      <c r="AQ116" s="57"/>
      <c r="AS116" s="57"/>
      <c r="AT116" s="57"/>
      <c r="BC116" s="57"/>
      <c r="BE116" s="57"/>
      <c r="BF116" s="57"/>
      <c r="BO116" s="57"/>
      <c r="BQ116" s="57"/>
      <c r="BR116" s="57"/>
      <c r="CA116" s="57"/>
      <c r="CC116" s="57"/>
      <c r="CD116" s="57"/>
    </row>
    <row r="117" spans="1:87" s="74" customFormat="1">
      <c r="B117" s="74" t="s">
        <v>122</v>
      </c>
      <c r="C117" s="73"/>
      <c r="U117" s="75"/>
      <c r="V117" s="75"/>
      <c r="W117" s="75"/>
      <c r="X117" s="75"/>
      <c r="Y117" s="75"/>
      <c r="Z117" s="75"/>
      <c r="AA117" s="75"/>
      <c r="AB117" s="75"/>
      <c r="AC117" s="75"/>
      <c r="AD117" s="75"/>
      <c r="AE117" s="75"/>
      <c r="AF117" s="75"/>
      <c r="AG117" s="75"/>
      <c r="AH117" s="75"/>
      <c r="AQ117" s="75"/>
      <c r="AR117" s="75"/>
      <c r="AS117" s="75"/>
      <c r="AT117" s="75"/>
      <c r="BC117" s="75"/>
      <c r="BD117" s="75"/>
      <c r="BE117" s="75"/>
      <c r="BF117" s="75"/>
      <c r="BO117" s="75"/>
      <c r="BP117" s="75"/>
      <c r="BQ117" s="75"/>
      <c r="BR117" s="75"/>
      <c r="CA117" s="75"/>
      <c r="CB117" s="75"/>
      <c r="CC117" s="75"/>
      <c r="CD117" s="75"/>
    </row>
    <row r="118" spans="1:87">
      <c r="C118" s="56"/>
      <c r="U118" s="57"/>
      <c r="V118" s="57"/>
      <c r="W118" s="57"/>
      <c r="X118" s="57"/>
      <c r="Y118" s="57"/>
      <c r="Z118" s="57"/>
      <c r="AA118" s="57"/>
      <c r="AB118" s="57"/>
      <c r="AC118" s="57"/>
      <c r="AD118" s="57"/>
      <c r="AE118" s="57"/>
      <c r="AF118" s="57"/>
      <c r="AG118" s="57"/>
      <c r="AH118" s="57"/>
      <c r="AQ118" s="57"/>
      <c r="AR118" s="57"/>
      <c r="AS118" s="57"/>
      <c r="AT118" s="57"/>
      <c r="BC118" s="57"/>
      <c r="BD118" s="57"/>
      <c r="BE118" s="57"/>
      <c r="BF118" s="57"/>
      <c r="BO118" s="57"/>
      <c r="BP118" s="57"/>
      <c r="BQ118" s="57"/>
      <c r="BR118" s="57"/>
      <c r="CA118" s="57"/>
      <c r="CB118" s="57"/>
      <c r="CC118" s="57"/>
      <c r="CD118" s="57"/>
    </row>
    <row r="119" spans="1:87">
      <c r="B119" s="72" t="s">
        <v>148</v>
      </c>
      <c r="C119" s="56"/>
      <c r="U119" s="57"/>
      <c r="V119" s="57"/>
      <c r="W119" s="57"/>
      <c r="X119" s="57"/>
      <c r="Y119" s="57"/>
      <c r="Z119" s="57"/>
      <c r="AA119" s="57"/>
      <c r="AB119" s="57"/>
      <c r="AC119" s="57"/>
      <c r="AD119" s="57"/>
      <c r="AE119" s="57"/>
      <c r="AF119" s="57"/>
      <c r="AG119" s="57"/>
    </row>
    <row r="120" spans="1:87">
      <c r="B120" s="71" t="s">
        <v>137</v>
      </c>
      <c r="C120" s="56">
        <v>0.5</v>
      </c>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t="e">
        <f>SUM(BE$99,BE$104,BE$109,BE$114)*$C120</f>
        <v>#REF!</v>
      </c>
      <c r="BF120" s="57" t="e">
        <f t="shared" ref="BF120:CB120" si="101">BE120</f>
        <v>#REF!</v>
      </c>
      <c r="BG120" s="57" t="e">
        <f t="shared" si="101"/>
        <v>#REF!</v>
      </c>
      <c r="BH120" s="57" t="e">
        <f t="shared" si="101"/>
        <v>#REF!</v>
      </c>
      <c r="BI120" s="57" t="e">
        <f t="shared" si="101"/>
        <v>#REF!</v>
      </c>
      <c r="BJ120" s="57" t="e">
        <f t="shared" si="101"/>
        <v>#REF!</v>
      </c>
      <c r="BK120" s="57" t="e">
        <f t="shared" si="101"/>
        <v>#REF!</v>
      </c>
      <c r="BL120" s="57" t="e">
        <f t="shared" si="101"/>
        <v>#REF!</v>
      </c>
      <c r="BM120" s="57" t="e">
        <f t="shared" si="101"/>
        <v>#REF!</v>
      </c>
      <c r="BN120" s="57" t="e">
        <f t="shared" si="101"/>
        <v>#REF!</v>
      </c>
      <c r="BO120" s="57" t="e">
        <f t="shared" si="101"/>
        <v>#REF!</v>
      </c>
      <c r="BP120" s="57" t="e">
        <f t="shared" si="101"/>
        <v>#REF!</v>
      </c>
      <c r="BQ120" s="57" t="e">
        <f t="shared" si="101"/>
        <v>#REF!</v>
      </c>
      <c r="BR120" s="57" t="e">
        <f t="shared" si="101"/>
        <v>#REF!</v>
      </c>
      <c r="BS120" s="57" t="e">
        <f t="shared" si="101"/>
        <v>#REF!</v>
      </c>
      <c r="BT120" s="57" t="e">
        <f t="shared" si="101"/>
        <v>#REF!</v>
      </c>
      <c r="BU120" s="57" t="e">
        <f t="shared" si="101"/>
        <v>#REF!</v>
      </c>
      <c r="BV120" s="57" t="e">
        <f t="shared" si="101"/>
        <v>#REF!</v>
      </c>
      <c r="BW120" s="57" t="e">
        <f t="shared" si="101"/>
        <v>#REF!</v>
      </c>
      <c r="BX120" s="57" t="e">
        <f t="shared" si="101"/>
        <v>#REF!</v>
      </c>
      <c r="BY120" s="57" t="e">
        <f t="shared" si="101"/>
        <v>#REF!</v>
      </c>
      <c r="BZ120" s="57" t="e">
        <f t="shared" si="101"/>
        <v>#REF!</v>
      </c>
      <c r="CA120" s="57" t="e">
        <f t="shared" si="101"/>
        <v>#REF!</v>
      </c>
      <c r="CB120" s="57" t="e">
        <f t="shared" si="101"/>
        <v>#REF!</v>
      </c>
      <c r="CC120" s="57"/>
    </row>
    <row r="121" spans="1:87">
      <c r="B121" s="71" t="s">
        <v>138</v>
      </c>
      <c r="C121" s="56">
        <v>0.5</v>
      </c>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t="e">
        <f>SUM(BQ$99,BQ$104,BQ$109,BQ$114)*$C121</f>
        <v>#REF!</v>
      </c>
      <c r="BR121" s="57" t="e">
        <f t="shared" ref="BR121:CE121" si="102">BQ121</f>
        <v>#REF!</v>
      </c>
      <c r="BS121" s="57" t="e">
        <f t="shared" si="102"/>
        <v>#REF!</v>
      </c>
      <c r="BT121" s="57" t="e">
        <f t="shared" si="102"/>
        <v>#REF!</v>
      </c>
      <c r="BU121" s="57" t="e">
        <f t="shared" si="102"/>
        <v>#REF!</v>
      </c>
      <c r="BV121" s="57" t="e">
        <f t="shared" si="102"/>
        <v>#REF!</v>
      </c>
      <c r="BW121" s="57" t="e">
        <f t="shared" si="102"/>
        <v>#REF!</v>
      </c>
      <c r="BX121" s="57" t="e">
        <f t="shared" si="102"/>
        <v>#REF!</v>
      </c>
      <c r="BY121" s="57" t="e">
        <f t="shared" si="102"/>
        <v>#REF!</v>
      </c>
      <c r="BZ121" s="57" t="e">
        <f t="shared" si="102"/>
        <v>#REF!</v>
      </c>
      <c r="CA121" s="57" t="e">
        <f t="shared" si="102"/>
        <v>#REF!</v>
      </c>
      <c r="CB121" s="57" t="e">
        <f t="shared" si="102"/>
        <v>#REF!</v>
      </c>
      <c r="CC121" s="57" t="e">
        <f t="shared" si="102"/>
        <v>#REF!</v>
      </c>
      <c r="CD121" s="57" t="e">
        <f t="shared" si="102"/>
        <v>#REF!</v>
      </c>
      <c r="CE121" s="57" t="e">
        <f t="shared" si="102"/>
        <v>#REF!</v>
      </c>
      <c r="CF121" s="57" t="e">
        <f t="shared" ref="CF121:CI122" si="103">CE121</f>
        <v>#REF!</v>
      </c>
      <c r="CG121" s="57" t="e">
        <f t="shared" si="103"/>
        <v>#REF!</v>
      </c>
      <c r="CH121" s="57" t="e">
        <f t="shared" si="103"/>
        <v>#REF!</v>
      </c>
      <c r="CI121" s="57" t="e">
        <f t="shared" si="103"/>
        <v>#REF!</v>
      </c>
    </row>
    <row r="122" spans="1:87">
      <c r="B122" s="71" t="s">
        <v>139</v>
      </c>
      <c r="C122" s="56">
        <v>0.5</v>
      </c>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t="e">
        <f>SUM(CC$99,CC$104,CC$109,CC$114)*$C122</f>
        <v>#REF!</v>
      </c>
      <c r="CD122" s="57" t="e">
        <f>CC122</f>
        <v>#REF!</v>
      </c>
      <c r="CE122" s="57" t="e">
        <f>CD122</f>
        <v>#REF!</v>
      </c>
      <c r="CF122" s="57" t="e">
        <f t="shared" si="103"/>
        <v>#REF!</v>
      </c>
      <c r="CG122" s="57" t="e">
        <f t="shared" si="103"/>
        <v>#REF!</v>
      </c>
      <c r="CH122" s="57" t="e">
        <f t="shared" si="103"/>
        <v>#REF!</v>
      </c>
      <c r="CI122" s="57" t="e">
        <f t="shared" si="103"/>
        <v>#REF!</v>
      </c>
    </row>
    <row r="123" spans="1:87">
      <c r="B123" s="71" t="s">
        <v>140</v>
      </c>
      <c r="C123" s="56">
        <v>0.5</v>
      </c>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row>
    <row r="124" spans="1:87">
      <c r="B124" s="71" t="s">
        <v>141</v>
      </c>
      <c r="C124" s="56">
        <v>0.5</v>
      </c>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row>
    <row r="125" spans="1:87">
      <c r="B125" s="71" t="s">
        <v>142</v>
      </c>
      <c r="C125" s="56">
        <v>0.5</v>
      </c>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BQ125" s="57"/>
      <c r="BR125" s="57"/>
      <c r="BS125" s="57"/>
      <c r="BT125" s="57"/>
      <c r="BU125" s="57"/>
      <c r="BV125" s="57"/>
      <c r="BW125" s="57"/>
      <c r="BX125" s="57"/>
      <c r="BY125" s="57"/>
      <c r="BZ125" s="57"/>
      <c r="CA125" s="57"/>
      <c r="CB125" s="57"/>
      <c r="CC125" s="57"/>
      <c r="CD125" s="57"/>
      <c r="CE125" s="57"/>
      <c r="CF125" s="57"/>
      <c r="CG125" s="57"/>
      <c r="CH125" s="57"/>
      <c r="CI125" s="57"/>
    </row>
    <row r="126" spans="1:87">
      <c r="B126" s="71" t="s">
        <v>143</v>
      </c>
      <c r="C126" s="56">
        <v>1.5</v>
      </c>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BQ126" s="57"/>
      <c r="BR126" s="57"/>
      <c r="BS126" s="57"/>
      <c r="BT126" s="57"/>
      <c r="BU126" s="57"/>
      <c r="BV126" s="57"/>
      <c r="BW126" s="57"/>
      <c r="BX126" s="57"/>
      <c r="BY126" s="57"/>
      <c r="BZ126" s="57"/>
      <c r="CA126" s="57"/>
      <c r="CB126" s="57"/>
      <c r="CC126" s="57"/>
      <c r="CD126" s="57"/>
      <c r="CE126" s="57"/>
      <c r="CF126" s="57"/>
      <c r="CG126" s="57"/>
      <c r="CH126" s="57"/>
      <c r="CI126" s="57"/>
    </row>
    <row r="127" spans="1:87">
      <c r="B127" s="71"/>
      <c r="C127" s="56"/>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row>
    <row r="128" spans="1:87">
      <c r="A128" s="57" t="e">
        <f>CC128</f>
        <v>#REF!</v>
      </c>
      <c r="B128" s="52" t="s">
        <v>120</v>
      </c>
      <c r="C128" s="56">
        <v>1</v>
      </c>
      <c r="U128" s="57"/>
      <c r="V128" s="57"/>
      <c r="W128" s="57"/>
      <c r="X128" s="57"/>
      <c r="Y128" s="57"/>
      <c r="Z128" s="57"/>
      <c r="AA128" s="57"/>
      <c r="AB128" s="57"/>
      <c r="AC128" s="57"/>
      <c r="AD128" s="57"/>
      <c r="AE128" s="57"/>
      <c r="AF128" s="57"/>
      <c r="AG128" s="57"/>
      <c r="AH128" s="57"/>
      <c r="AS128" s="57"/>
      <c r="BE128" s="57"/>
      <c r="BF128" s="57"/>
      <c r="BQ128" s="57"/>
      <c r="CC128" s="57" t="e">
        <f>CB120</f>
        <v>#REF!</v>
      </c>
      <c r="CD128" s="57"/>
    </row>
    <row r="129" spans="1:87">
      <c r="B129" s="52" t="s">
        <v>121</v>
      </c>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S129" s="57"/>
      <c r="AT129" s="57"/>
      <c r="AU129" s="57"/>
      <c r="AV129" s="57"/>
      <c r="AW129" s="57"/>
      <c r="AX129" s="57"/>
      <c r="AY129" s="57"/>
      <c r="AZ129" s="57"/>
      <c r="BA129" s="57"/>
      <c r="BB129" s="57"/>
      <c r="BE129" s="57"/>
      <c r="BF129" s="57"/>
      <c r="BG129" s="57"/>
      <c r="BH129" s="57"/>
      <c r="BI129" s="57"/>
      <c r="BJ129" s="57"/>
      <c r="BK129" s="57"/>
      <c r="BL129" s="57"/>
      <c r="BM129" s="57"/>
      <c r="BN129" s="57"/>
      <c r="BQ129" s="57"/>
      <c r="BR129" s="57"/>
      <c r="BS129" s="57"/>
      <c r="BT129" s="57"/>
      <c r="BU129" s="57"/>
      <c r="BV129" s="57"/>
      <c r="BW129" s="57"/>
      <c r="BX129" s="57"/>
      <c r="BY129" s="57"/>
      <c r="BZ129" s="57"/>
      <c r="CC129" s="57" t="e">
        <f>CC128</f>
        <v>#REF!</v>
      </c>
      <c r="CD129" s="57" t="e">
        <f t="shared" ref="CD129:CI129" si="104">CC129</f>
        <v>#REF!</v>
      </c>
      <c r="CE129" s="57" t="e">
        <f t="shared" si="104"/>
        <v>#REF!</v>
      </c>
      <c r="CF129" s="57" t="e">
        <f t="shared" si="104"/>
        <v>#REF!</v>
      </c>
      <c r="CG129" s="57" t="e">
        <f t="shared" si="104"/>
        <v>#REF!</v>
      </c>
      <c r="CH129" s="57" t="e">
        <f t="shared" si="104"/>
        <v>#REF!</v>
      </c>
      <c r="CI129" s="57" t="e">
        <f t="shared" si="104"/>
        <v>#REF!</v>
      </c>
    </row>
    <row r="130" spans="1:87">
      <c r="B130" s="71" t="s">
        <v>132</v>
      </c>
      <c r="C130" s="56">
        <f>$C$48</f>
        <v>0.15</v>
      </c>
      <c r="U130" s="57"/>
      <c r="V130" s="57"/>
      <c r="W130" s="57"/>
      <c r="X130" s="57"/>
      <c r="Y130" s="57"/>
      <c r="Z130" s="57"/>
      <c r="AA130" s="57"/>
      <c r="AB130" s="57"/>
      <c r="AC130" s="57"/>
      <c r="AD130" s="57"/>
      <c r="AE130" s="57"/>
      <c r="AF130" s="57"/>
      <c r="AG130" s="57"/>
      <c r="AH130" s="57"/>
      <c r="AQ130" s="57"/>
      <c r="AS130" s="57"/>
      <c r="AT130" s="57"/>
      <c r="BC130" s="57"/>
      <c r="BE130" s="57"/>
      <c r="BF130" s="57"/>
      <c r="BO130" s="57"/>
      <c r="BQ130" s="57"/>
      <c r="BR130" s="57"/>
      <c r="CA130" s="57"/>
      <c r="CC130" s="57"/>
      <c r="CD130" s="57"/>
    </row>
    <row r="131" spans="1:87">
      <c r="B131" s="52" t="s">
        <v>122</v>
      </c>
      <c r="C131" s="56"/>
      <c r="U131" s="57"/>
      <c r="V131" s="57"/>
      <c r="W131" s="57"/>
      <c r="X131" s="57"/>
      <c r="Y131" s="57"/>
      <c r="Z131" s="57"/>
      <c r="AA131" s="57"/>
      <c r="AB131" s="57"/>
      <c r="AC131" s="57"/>
      <c r="AD131" s="57"/>
      <c r="AE131" s="57"/>
      <c r="AF131" s="57"/>
      <c r="AG131" s="57"/>
      <c r="AH131" s="57"/>
      <c r="AQ131" s="57"/>
      <c r="AR131" s="57"/>
      <c r="AS131" s="57"/>
      <c r="AT131" s="57"/>
      <c r="BC131" s="57"/>
      <c r="BD131" s="57"/>
      <c r="BE131" s="57"/>
      <c r="BF131" s="57"/>
      <c r="BO131" s="57"/>
      <c r="BP131" s="57"/>
      <c r="BQ131" s="57"/>
      <c r="BR131" s="57"/>
      <c r="CA131" s="57"/>
      <c r="CB131" s="57" t="e">
        <f>CD129</f>
        <v>#REF!</v>
      </c>
      <c r="CC131" s="57"/>
      <c r="CD131" s="57"/>
    </row>
    <row r="132" spans="1:87">
      <c r="C132" s="56"/>
      <c r="U132" s="57"/>
      <c r="V132" s="57"/>
      <c r="W132" s="57"/>
      <c r="X132" s="57"/>
      <c r="Y132" s="57"/>
      <c r="Z132" s="57"/>
      <c r="AA132" s="57"/>
      <c r="AB132" s="57"/>
      <c r="AC132" s="57"/>
      <c r="AD132" s="57"/>
      <c r="AE132" s="57"/>
      <c r="AF132" s="57"/>
      <c r="AG132" s="57"/>
      <c r="AH132" s="57"/>
      <c r="BE132" s="57"/>
      <c r="BF132" s="57"/>
      <c r="CC132" s="57"/>
      <c r="CD132" s="57"/>
    </row>
    <row r="133" spans="1:87">
      <c r="A133" s="57"/>
      <c r="B133" s="71" t="s">
        <v>144</v>
      </c>
      <c r="C133" s="56">
        <v>1</v>
      </c>
      <c r="U133" s="57"/>
      <c r="V133" s="57"/>
      <c r="W133" s="57"/>
      <c r="X133" s="57"/>
      <c r="Y133" s="57"/>
      <c r="Z133" s="57"/>
      <c r="AA133" s="57"/>
      <c r="AB133" s="57"/>
      <c r="AC133" s="57"/>
      <c r="AD133" s="57"/>
      <c r="AE133" s="57"/>
      <c r="AF133" s="57"/>
      <c r="AG133" s="57"/>
      <c r="AH133" s="57"/>
      <c r="AS133" s="57"/>
      <c r="AT133" s="57"/>
      <c r="BE133" s="57"/>
      <c r="BF133" s="57"/>
      <c r="BQ133" s="57"/>
      <c r="BR133" s="57"/>
      <c r="CC133" s="57"/>
      <c r="CD133" s="57"/>
    </row>
    <row r="134" spans="1:87">
      <c r="B134" s="52" t="s">
        <v>121</v>
      </c>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S134" s="57"/>
      <c r="AT134" s="57"/>
      <c r="AU134" s="57"/>
      <c r="AV134" s="57"/>
      <c r="AW134" s="57"/>
      <c r="AX134" s="57"/>
      <c r="AY134" s="57"/>
      <c r="AZ134" s="57"/>
      <c r="BA134" s="57"/>
      <c r="BB134" s="57"/>
      <c r="BE134" s="57"/>
      <c r="BF134" s="57"/>
      <c r="BG134" s="57"/>
      <c r="BH134" s="57"/>
      <c r="BI134" s="57"/>
      <c r="BJ134" s="57"/>
      <c r="BK134" s="57"/>
      <c r="BL134" s="57"/>
      <c r="BM134" s="57"/>
      <c r="BN134" s="57"/>
      <c r="BQ134" s="57"/>
      <c r="BR134" s="57"/>
      <c r="BS134" s="57"/>
      <c r="BT134" s="57"/>
      <c r="BU134" s="57"/>
      <c r="BV134" s="57"/>
      <c r="BW134" s="57"/>
      <c r="BX134" s="57"/>
      <c r="BY134" s="57"/>
      <c r="BZ134" s="57"/>
      <c r="CC134" s="57"/>
      <c r="CD134" s="57"/>
      <c r="CE134" s="57"/>
      <c r="CF134" s="57"/>
      <c r="CG134" s="57"/>
      <c r="CH134" s="57"/>
      <c r="CI134" s="57"/>
    </row>
    <row r="135" spans="1:87">
      <c r="B135" s="71" t="s">
        <v>132</v>
      </c>
      <c r="C135" s="56">
        <f>$C$48</f>
        <v>0.15</v>
      </c>
      <c r="U135" s="57"/>
      <c r="V135" s="57"/>
      <c r="W135" s="57"/>
      <c r="X135" s="57"/>
      <c r="Y135" s="57"/>
      <c r="Z135" s="57"/>
      <c r="AA135" s="57"/>
      <c r="AB135" s="57"/>
      <c r="AC135" s="57"/>
      <c r="AD135" s="57"/>
      <c r="AE135" s="57"/>
      <c r="AF135" s="57"/>
      <c r="AG135" s="57"/>
      <c r="AH135" s="57"/>
      <c r="AQ135" s="57"/>
      <c r="AS135" s="57"/>
      <c r="AT135" s="57"/>
      <c r="BC135" s="57"/>
      <c r="BE135" s="57"/>
      <c r="BF135" s="57"/>
      <c r="BO135" s="57"/>
      <c r="BQ135" s="57"/>
      <c r="BR135" s="57"/>
      <c r="CA135" s="57"/>
      <c r="CC135" s="57"/>
      <c r="CD135" s="57"/>
    </row>
    <row r="136" spans="1:87">
      <c r="B136" s="52" t="s">
        <v>122</v>
      </c>
      <c r="C136" s="56"/>
      <c r="U136" s="57"/>
      <c r="V136" s="57"/>
      <c r="W136" s="57"/>
      <c r="X136" s="57"/>
      <c r="Y136" s="57"/>
      <c r="Z136" s="57"/>
      <c r="AA136" s="57"/>
      <c r="AB136" s="57"/>
      <c r="AC136" s="57"/>
      <c r="AD136" s="57"/>
      <c r="AE136" s="57"/>
      <c r="AF136" s="57"/>
      <c r="AG136" s="57"/>
      <c r="AH136" s="57"/>
      <c r="AQ136" s="57"/>
      <c r="AR136" s="57"/>
      <c r="AS136" s="57"/>
      <c r="AT136" s="57"/>
      <c r="BC136" s="57"/>
      <c r="BD136" s="57"/>
      <c r="BE136" s="57"/>
      <c r="BF136" s="57"/>
      <c r="BO136" s="57"/>
      <c r="BP136" s="57"/>
      <c r="BQ136" s="57"/>
      <c r="BR136" s="57"/>
      <c r="CA136" s="57"/>
      <c r="CB136" s="57"/>
      <c r="CC136" s="57"/>
      <c r="CD136" s="57"/>
    </row>
    <row r="137" spans="1:87">
      <c r="C137" s="56"/>
      <c r="X137" s="57"/>
      <c r="Y137" s="57"/>
      <c r="Z137" s="57"/>
      <c r="AA137" s="57"/>
      <c r="AB137" s="57"/>
      <c r="AC137" s="57"/>
      <c r="AD137" s="57"/>
      <c r="AE137" s="57"/>
      <c r="AF137" s="57"/>
      <c r="AG137" s="57"/>
      <c r="AH137" s="57"/>
      <c r="AI137" s="57"/>
      <c r="AJ137" s="57"/>
      <c r="AK137" s="57"/>
      <c r="BH137" s="57"/>
      <c r="BI137" s="57"/>
      <c r="CF137" s="57"/>
      <c r="CG137" s="57"/>
    </row>
    <row r="139" spans="1:87">
      <c r="B139" s="72" t="s">
        <v>149</v>
      </c>
      <c r="C139" s="56"/>
      <c r="X139" s="57"/>
      <c r="Y139" s="57"/>
      <c r="Z139" s="57"/>
      <c r="AA139" s="57"/>
      <c r="AB139" s="57"/>
      <c r="AC139" s="57"/>
      <c r="AD139" s="57"/>
      <c r="AE139" s="57"/>
      <c r="AF139" s="57"/>
      <c r="AG139" s="57"/>
      <c r="AH139" s="57"/>
      <c r="AI139" s="57"/>
      <c r="AJ139" s="57"/>
    </row>
    <row r="140" spans="1:87">
      <c r="B140" s="71" t="s">
        <v>137</v>
      </c>
      <c r="C140" s="56">
        <v>0.5</v>
      </c>
      <c r="I140" s="57"/>
      <c r="J140" s="57"/>
      <c r="K140" s="57"/>
      <c r="L140" s="57" t="e">
        <f>I52</f>
        <v>#REF!</v>
      </c>
      <c r="M140" s="57" t="e">
        <f>J52</f>
        <v>#REF!</v>
      </c>
      <c r="N140" s="57" t="e">
        <f>K52</f>
        <v>#REF!</v>
      </c>
      <c r="O140" s="57"/>
      <c r="P140" s="57"/>
      <c r="Q140" s="57"/>
      <c r="R140" s="57"/>
      <c r="S140" s="57"/>
      <c r="T140" s="57"/>
      <c r="U140" s="57"/>
      <c r="V140" s="57"/>
      <c r="W140" s="57"/>
      <c r="X140" s="57"/>
      <c r="Y140" s="57"/>
      <c r="Z140" s="57"/>
      <c r="AA140" s="57"/>
      <c r="AB140" s="57"/>
      <c r="AC140" s="57"/>
      <c r="AD140" s="57"/>
      <c r="AE140" s="57"/>
      <c r="AF140" s="57"/>
      <c r="AG140" s="57"/>
      <c r="AH140" s="57"/>
      <c r="AI140" s="57"/>
      <c r="AJ140" s="57"/>
    </row>
    <row r="141" spans="1:87">
      <c r="B141" s="71" t="s">
        <v>138</v>
      </c>
      <c r="C141" s="56">
        <v>0.5</v>
      </c>
      <c r="I141" s="57"/>
      <c r="J141" s="57"/>
      <c r="K141" s="57"/>
      <c r="L141" s="57"/>
      <c r="M141" s="57"/>
      <c r="N141" s="57"/>
      <c r="O141" s="57"/>
      <c r="P141" s="57"/>
      <c r="Q141" s="57"/>
      <c r="R141" s="57"/>
      <c r="S141" s="57"/>
      <c r="T141" s="57"/>
      <c r="U141" s="57"/>
      <c r="V141" s="57"/>
      <c r="W141" s="57"/>
      <c r="X141" s="57" t="e">
        <f>U53</f>
        <v>#REF!</v>
      </c>
      <c r="Y141" s="57" t="e">
        <f>V53</f>
        <v>#REF!</v>
      </c>
      <c r="Z141" s="57" t="e">
        <f>W53</f>
        <v>#REF!</v>
      </c>
      <c r="AA141" s="57"/>
      <c r="AB141" s="57"/>
      <c r="AC141" s="57"/>
      <c r="AD141" s="57"/>
      <c r="AE141" s="57"/>
      <c r="AF141" s="57"/>
      <c r="AG141" s="57"/>
      <c r="AH141" s="57"/>
      <c r="AI141" s="57"/>
      <c r="AJ141" s="57"/>
      <c r="AK141" s="57"/>
      <c r="AL141" s="57"/>
      <c r="AM141" s="57"/>
      <c r="AN141" s="57"/>
      <c r="AO141" s="57"/>
      <c r="AP141" s="57"/>
      <c r="AQ141" s="57"/>
      <c r="AR141" s="57"/>
      <c r="AS141" s="57"/>
      <c r="AT141" s="57"/>
      <c r="AU141" s="57"/>
    </row>
    <row r="142" spans="1:87">
      <c r="B142" s="71" t="s">
        <v>139</v>
      </c>
      <c r="C142" s="56">
        <v>0.5</v>
      </c>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t="e">
        <f>AG54</f>
        <v>#REF!</v>
      </c>
      <c r="AK142" s="57" t="e">
        <f>AH54</f>
        <v>#REF!</v>
      </c>
      <c r="AL142" s="57" t="e">
        <f>AI54</f>
        <v>#REF!</v>
      </c>
      <c r="AM142" s="57"/>
      <c r="AN142" s="57"/>
      <c r="AO142" s="57"/>
      <c r="AP142" s="57"/>
      <c r="AQ142" s="57"/>
      <c r="AR142" s="57"/>
      <c r="AS142" s="57"/>
      <c r="AT142" s="57"/>
      <c r="AU142" s="57"/>
      <c r="AV142" s="57"/>
      <c r="AW142" s="57"/>
      <c r="AX142" s="57"/>
      <c r="AY142" s="57"/>
      <c r="AZ142" s="57"/>
      <c r="BA142" s="57"/>
      <c r="BB142" s="57"/>
      <c r="BC142" s="57"/>
      <c r="BD142" s="57"/>
      <c r="BE142" s="57"/>
      <c r="BF142" s="57"/>
      <c r="BG142" s="57"/>
    </row>
    <row r="143" spans="1:87">
      <c r="B143" s="71" t="s">
        <v>140</v>
      </c>
      <c r="C143" s="56">
        <v>0.5</v>
      </c>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V143" s="57" t="e">
        <f>AS55</f>
        <v>#REF!</v>
      </c>
      <c r="AW143" s="57" t="e">
        <f>AT55</f>
        <v>#REF!</v>
      </c>
      <c r="AX143" s="57" t="e">
        <f>AU55</f>
        <v>#REF!</v>
      </c>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row>
    <row r="144" spans="1:87">
      <c r="B144" s="71" t="s">
        <v>141</v>
      </c>
      <c r="C144" s="56">
        <v>0.5</v>
      </c>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BH144" s="57" t="e">
        <f>BE56</f>
        <v>#REF!</v>
      </c>
      <c r="BI144" s="57" t="e">
        <f>BF56</f>
        <v>#REF!</v>
      </c>
      <c r="BJ144" s="57" t="e">
        <f>BG56</f>
        <v>#REF!</v>
      </c>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row>
    <row r="145" spans="2:107">
      <c r="B145" s="71" t="s">
        <v>142</v>
      </c>
      <c r="C145" s="56">
        <v>0.5</v>
      </c>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BT145" s="57" t="e">
        <f>BQ57</f>
        <v>#REF!</v>
      </c>
      <c r="BU145" s="57" t="e">
        <f>BR57</f>
        <v>#REF!</v>
      </c>
      <c r="BV145" s="57" t="e">
        <f>BS57</f>
        <v>#REF!</v>
      </c>
      <c r="BW145" s="57"/>
      <c r="BX145" s="57"/>
      <c r="BY145" s="57"/>
      <c r="BZ145" s="57"/>
      <c r="CA145" s="57"/>
      <c r="CB145" s="57"/>
      <c r="CC145" s="57"/>
      <c r="CD145" s="57"/>
      <c r="CE145" s="57"/>
      <c r="CF145" s="57"/>
      <c r="CG145" s="57"/>
      <c r="CH145" s="57"/>
      <c r="CI145" s="57"/>
      <c r="CJ145" s="57"/>
      <c r="CK145" s="57"/>
      <c r="CL145" s="57"/>
      <c r="CM145" s="57"/>
      <c r="CN145" s="57"/>
      <c r="CO145" s="57"/>
      <c r="CP145" s="57"/>
      <c r="CQ145" s="57"/>
    </row>
    <row r="146" spans="2:107">
      <c r="B146" s="71" t="s">
        <v>143</v>
      </c>
      <c r="C146" s="56">
        <v>0.5</v>
      </c>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CF146" s="57" t="e">
        <f>CC58</f>
        <v>#REF!</v>
      </c>
      <c r="CG146" s="57" t="e">
        <f>CD58</f>
        <v>#REF!</v>
      </c>
      <c r="CH146" s="57" t="e">
        <f>CE58</f>
        <v>#REF!</v>
      </c>
      <c r="CI146" s="57"/>
      <c r="CJ146" s="57"/>
      <c r="CK146" s="57"/>
      <c r="CL146" s="57"/>
      <c r="CM146" s="57"/>
      <c r="CN146" s="57"/>
      <c r="CO146" s="57"/>
      <c r="CP146" s="57"/>
      <c r="CQ146" s="57"/>
      <c r="CR146" s="57"/>
      <c r="CS146" s="57"/>
      <c r="CT146" s="57"/>
      <c r="CU146" s="57"/>
      <c r="CV146" s="57"/>
      <c r="CW146" s="57"/>
      <c r="CX146" s="57"/>
      <c r="CY146" s="57"/>
      <c r="CZ146" s="57"/>
      <c r="DA146" s="57"/>
      <c r="DB146" s="57"/>
      <c r="DC146" s="57"/>
    </row>
    <row r="147" spans="2:107">
      <c r="B147" s="71"/>
      <c r="C147" s="56"/>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row>
    <row r="148" spans="2:107">
      <c r="B148" s="72" t="s">
        <v>150</v>
      </c>
      <c r="C148" s="56"/>
      <c r="X148" s="57"/>
      <c r="Y148" s="57"/>
      <c r="Z148" s="57"/>
      <c r="AA148" s="57"/>
      <c r="AB148" s="57"/>
      <c r="AC148" s="57"/>
      <c r="AD148" s="57"/>
      <c r="AE148" s="57"/>
      <c r="AF148" s="57"/>
      <c r="AG148" s="57"/>
      <c r="AH148" s="57"/>
      <c r="AI148" s="57"/>
      <c r="AJ148" s="57"/>
    </row>
    <row r="149" spans="2:107">
      <c r="B149" s="71" t="s">
        <v>137</v>
      </c>
      <c r="C149" s="56">
        <v>0.5</v>
      </c>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t="e">
        <f>AG91</f>
        <v>#REF!</v>
      </c>
      <c r="AK149" s="57" t="e">
        <f>AH91</f>
        <v>#REF!</v>
      </c>
      <c r="AL149" s="57" t="e">
        <f>AI91</f>
        <v>#REF!</v>
      </c>
      <c r="AM149" s="57"/>
      <c r="AN149" s="57"/>
      <c r="AO149" s="57"/>
      <c r="AP149" s="57"/>
      <c r="AQ149" s="57"/>
      <c r="AR149" s="57"/>
      <c r="AS149" s="57"/>
      <c r="AT149" s="57"/>
      <c r="AU149" s="57"/>
      <c r="AV149" s="57"/>
      <c r="AW149" s="57"/>
      <c r="AX149" s="57"/>
      <c r="AY149" s="57"/>
      <c r="AZ149" s="57"/>
      <c r="BA149" s="57"/>
      <c r="BB149" s="57"/>
      <c r="BC149" s="57"/>
      <c r="BD149" s="57"/>
      <c r="BE149" s="57"/>
      <c r="BF149" s="57"/>
      <c r="BG149" s="57"/>
    </row>
    <row r="150" spans="2:107">
      <c r="B150" s="71" t="s">
        <v>138</v>
      </c>
      <c r="C150" s="56">
        <v>0.5</v>
      </c>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t="e">
        <f>AS92</f>
        <v>#REF!</v>
      </c>
      <c r="AW150" s="57" t="e">
        <f>AT92</f>
        <v>#REF!</v>
      </c>
      <c r="AX150" s="57" t="e">
        <f>AU92</f>
        <v>#REF!</v>
      </c>
      <c r="AY150" s="57"/>
      <c r="AZ150" s="57"/>
      <c r="BA150" s="57"/>
      <c r="BB150" s="57"/>
      <c r="BC150" s="57"/>
      <c r="BD150" s="57"/>
      <c r="BE150" s="57"/>
      <c r="BF150" s="57"/>
      <c r="BG150" s="57"/>
      <c r="BH150" s="57"/>
      <c r="BI150" s="57"/>
      <c r="BJ150" s="57"/>
      <c r="BK150" s="57"/>
      <c r="BL150" s="57"/>
      <c r="BM150" s="57"/>
      <c r="BN150" s="57"/>
      <c r="BO150" s="57"/>
      <c r="BP150" s="57"/>
      <c r="BQ150" s="57"/>
      <c r="BR150" s="57"/>
      <c r="BS150" s="57"/>
    </row>
    <row r="151" spans="2:107">
      <c r="B151" s="71" t="s">
        <v>139</v>
      </c>
      <c r="C151" s="56">
        <v>0.5</v>
      </c>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t="e">
        <f>BE93</f>
        <v>#REF!</v>
      </c>
      <c r="BI151" s="57" t="e">
        <f>BF93</f>
        <v>#REF!</v>
      </c>
      <c r="BJ151" s="57" t="e">
        <f>BG93</f>
        <v>#REF!</v>
      </c>
      <c r="BK151" s="57"/>
      <c r="BL151" s="57"/>
      <c r="BM151" s="57"/>
      <c r="BN151" s="57"/>
      <c r="BO151" s="57"/>
      <c r="BP151" s="57"/>
      <c r="BQ151" s="57"/>
      <c r="BR151" s="57"/>
      <c r="BS151" s="57"/>
      <c r="BT151" s="57"/>
      <c r="BU151" s="57"/>
      <c r="BV151" s="57"/>
      <c r="BW151" s="57"/>
      <c r="BX151" s="57"/>
      <c r="BY151" s="57"/>
      <c r="BZ151" s="57"/>
      <c r="CA151" s="57"/>
      <c r="CB151" s="57"/>
      <c r="CC151" s="57"/>
      <c r="CD151" s="57"/>
      <c r="CE151" s="57"/>
    </row>
    <row r="152" spans="2:107">
      <c r="B152" s="71" t="s">
        <v>140</v>
      </c>
      <c r="C152" s="56">
        <v>0.5</v>
      </c>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t="e">
        <f>BQ94</f>
        <v>#REF!</v>
      </c>
      <c r="BU152" s="57" t="e">
        <f>BR94</f>
        <v>#REF!</v>
      </c>
      <c r="BV152" s="57" t="e">
        <f>BS94</f>
        <v>#REF!</v>
      </c>
      <c r="BW152" s="57"/>
      <c r="BX152" s="57"/>
      <c r="BY152" s="57"/>
      <c r="BZ152" s="57"/>
      <c r="CA152" s="57"/>
      <c r="CB152" s="57"/>
      <c r="CC152" s="57"/>
      <c r="CD152" s="57"/>
      <c r="CE152" s="57"/>
      <c r="CF152" s="57"/>
      <c r="CG152" s="57"/>
      <c r="CH152" s="57"/>
      <c r="CI152" s="57"/>
      <c r="CJ152" s="57"/>
      <c r="CK152" s="57"/>
      <c r="CL152" s="57"/>
      <c r="CM152" s="57"/>
      <c r="CN152" s="57"/>
      <c r="CO152" s="57"/>
      <c r="CP152" s="57"/>
      <c r="CQ152" s="57"/>
    </row>
    <row r="153" spans="2:107">
      <c r="B153" s="71" t="s">
        <v>141</v>
      </c>
      <c r="C153" s="56">
        <v>0.5</v>
      </c>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t="e">
        <f>CC95</f>
        <v>#REF!</v>
      </c>
      <c r="CG153" s="57" t="e">
        <f>CD95</f>
        <v>#REF!</v>
      </c>
      <c r="CH153" s="57" t="e">
        <f>CE95</f>
        <v>#REF!</v>
      </c>
      <c r="CI153" s="57"/>
      <c r="CJ153" s="57"/>
      <c r="CK153" s="57"/>
      <c r="CL153" s="57"/>
      <c r="CM153" s="57"/>
      <c r="CN153" s="57"/>
      <c r="CO153" s="57"/>
      <c r="CP153" s="57"/>
      <c r="CQ153" s="57"/>
      <c r="CR153" s="57"/>
      <c r="CS153" s="57"/>
      <c r="CT153" s="57"/>
      <c r="CU153" s="57"/>
      <c r="CV153" s="57"/>
      <c r="CW153" s="57"/>
      <c r="CX153" s="57"/>
      <c r="CY153" s="57"/>
      <c r="CZ153" s="57"/>
      <c r="DA153" s="57"/>
      <c r="DB153" s="57"/>
      <c r="DC153" s="57"/>
    </row>
    <row r="154" spans="2:107">
      <c r="B154" s="71" t="s">
        <v>142</v>
      </c>
      <c r="C154" s="56">
        <v>0.5</v>
      </c>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BT154" s="57"/>
      <c r="BU154" s="57"/>
      <c r="BV154" s="57"/>
      <c r="BW154" s="57"/>
      <c r="BX154" s="57"/>
      <c r="BY154" s="57"/>
      <c r="BZ154" s="57"/>
      <c r="CA154" s="57"/>
      <c r="CB154" s="57"/>
      <c r="CC154" s="57"/>
      <c r="CD154" s="57"/>
      <c r="CE154" s="57"/>
      <c r="CF154" s="57"/>
      <c r="CG154" s="57"/>
      <c r="CH154" s="57"/>
      <c r="CI154" s="57"/>
      <c r="CJ154" s="57"/>
      <c r="CK154" s="57"/>
      <c r="CL154" s="57"/>
    </row>
    <row r="155" spans="2:107">
      <c r="B155" s="71" t="s">
        <v>143</v>
      </c>
      <c r="C155" s="56">
        <v>1.5</v>
      </c>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BT155" s="57"/>
      <c r="BU155" s="57"/>
      <c r="BV155" s="57"/>
      <c r="BW155" s="57"/>
      <c r="BX155" s="57"/>
      <c r="BY155" s="57"/>
      <c r="BZ155" s="57"/>
      <c r="CA155" s="57"/>
      <c r="CB155" s="57"/>
      <c r="CC155" s="57"/>
      <c r="CD155" s="57"/>
      <c r="CE155" s="57"/>
      <c r="CF155" s="57"/>
      <c r="CG155" s="57"/>
      <c r="CH155" s="57"/>
      <c r="CI155" s="57"/>
      <c r="CJ155" s="57"/>
      <c r="CK155" s="57"/>
      <c r="CL155" s="57"/>
    </row>
    <row r="156" spans="2:107">
      <c r="C156" s="56"/>
      <c r="X156" s="57"/>
      <c r="Y156" s="57"/>
      <c r="Z156" s="57"/>
      <c r="AA156" s="57"/>
      <c r="AB156" s="57"/>
      <c r="AC156" s="57"/>
      <c r="AD156" s="57"/>
      <c r="AE156" s="57"/>
      <c r="AF156" s="57"/>
      <c r="AG156" s="57"/>
      <c r="AH156" s="57"/>
      <c r="AI156" s="57"/>
      <c r="AJ156" s="57"/>
      <c r="AK156" s="57"/>
      <c r="AT156" s="57"/>
      <c r="AU156" s="57"/>
      <c r="AV156" s="57"/>
      <c r="AW156" s="57"/>
      <c r="BF156" s="57"/>
      <c r="BG156" s="57"/>
      <c r="BH156" s="57"/>
      <c r="BI156" s="57"/>
      <c r="BR156" s="57"/>
      <c r="BS156" s="57"/>
      <c r="BT156" s="57"/>
      <c r="BU156" s="57"/>
      <c r="CD156" s="57"/>
      <c r="CE156" s="57"/>
      <c r="CF156" s="57"/>
      <c r="CG156" s="57"/>
    </row>
    <row r="157" spans="2:107">
      <c r="B157" s="72" t="s">
        <v>151</v>
      </c>
      <c r="C157" s="56"/>
      <c r="X157" s="57"/>
      <c r="Y157" s="57"/>
      <c r="Z157" s="57"/>
      <c r="AA157" s="57"/>
      <c r="AB157" s="57"/>
      <c r="AC157" s="57"/>
      <c r="AD157" s="57"/>
      <c r="AE157" s="57"/>
      <c r="AF157" s="57"/>
      <c r="AG157" s="57"/>
      <c r="AH157" s="57"/>
      <c r="AI157" s="57"/>
      <c r="AJ157" s="57"/>
    </row>
    <row r="158" spans="2:107">
      <c r="B158" s="71" t="s">
        <v>137</v>
      </c>
      <c r="C158" s="56">
        <v>0.5</v>
      </c>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t="e">
        <f>BE120</f>
        <v>#REF!</v>
      </c>
      <c r="BI158" s="57" t="e">
        <f>BF120</f>
        <v>#REF!</v>
      </c>
      <c r="BJ158" s="57" t="e">
        <f>BG120</f>
        <v>#REF!</v>
      </c>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row>
    <row r="159" spans="2:107">
      <c r="B159" s="71" t="s">
        <v>138</v>
      </c>
      <c r="C159" s="56">
        <v>0.5</v>
      </c>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t="e">
        <f>BQ121</f>
        <v>#REF!</v>
      </c>
      <c r="BU159" s="57" t="e">
        <f>BR121</f>
        <v>#REF!</v>
      </c>
      <c r="BV159" s="57" t="e">
        <f>BS121</f>
        <v>#REF!</v>
      </c>
      <c r="BW159" s="57"/>
      <c r="BX159" s="57"/>
      <c r="BY159" s="57"/>
      <c r="BZ159" s="57"/>
      <c r="CA159" s="57"/>
      <c r="CB159" s="57"/>
      <c r="CC159" s="57"/>
      <c r="CD159" s="57"/>
      <c r="CE159" s="57"/>
      <c r="CF159" s="57"/>
      <c r="CG159" s="57"/>
      <c r="CH159" s="57"/>
      <c r="CI159" s="57"/>
      <c r="CJ159" s="57"/>
      <c r="CK159" s="57"/>
      <c r="CL159" s="57"/>
      <c r="CM159" s="57"/>
      <c r="CN159" s="57"/>
      <c r="CO159" s="57"/>
      <c r="CP159" s="57"/>
      <c r="CQ159" s="57"/>
    </row>
    <row r="160" spans="2:107">
      <c r="B160" s="71" t="s">
        <v>139</v>
      </c>
      <c r="C160" s="56">
        <v>0.5</v>
      </c>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t="e">
        <f>CC122</f>
        <v>#REF!</v>
      </c>
      <c r="CG160" s="57" t="e">
        <f>CD122</f>
        <v>#REF!</v>
      </c>
      <c r="CH160" s="57" t="e">
        <f>CE122</f>
        <v>#REF!</v>
      </c>
      <c r="CI160" s="57"/>
      <c r="CJ160" s="57"/>
      <c r="CK160" s="57"/>
      <c r="CL160" s="57"/>
      <c r="CM160" s="57"/>
      <c r="CN160" s="57"/>
      <c r="CO160" s="57"/>
      <c r="CP160" s="57"/>
      <c r="CQ160" s="57"/>
      <c r="CR160" s="57"/>
      <c r="CS160" s="57"/>
      <c r="CT160" s="57"/>
      <c r="CU160" s="57"/>
      <c r="CV160" s="57"/>
      <c r="CW160" s="57"/>
      <c r="CX160" s="57"/>
      <c r="CY160" s="57"/>
      <c r="CZ160" s="57"/>
      <c r="DA160" s="57"/>
      <c r="DB160" s="57"/>
      <c r="DC160" s="57"/>
    </row>
    <row r="161" spans="2:90">
      <c r="B161" s="71" t="s">
        <v>140</v>
      </c>
      <c r="C161" s="56">
        <v>0.5</v>
      </c>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V161" s="57"/>
      <c r="AW161" s="57"/>
      <c r="AX161" s="57"/>
      <c r="AY161" s="57"/>
      <c r="AZ161" s="57"/>
      <c r="BA161" s="57"/>
      <c r="BB161" s="57"/>
      <c r="BC161" s="57"/>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row>
    <row r="162" spans="2:90">
      <c r="B162" s="71" t="s">
        <v>141</v>
      </c>
      <c r="C162" s="56">
        <v>0.5</v>
      </c>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row>
    <row r="163" spans="2:90">
      <c r="B163" s="71" t="s">
        <v>142</v>
      </c>
      <c r="C163" s="56">
        <v>0.5</v>
      </c>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BT163" s="57"/>
      <c r="BU163" s="57"/>
      <c r="BV163" s="57"/>
      <c r="BW163" s="57"/>
      <c r="BX163" s="57"/>
      <c r="BY163" s="57"/>
      <c r="BZ163" s="57"/>
      <c r="CA163" s="57"/>
      <c r="CB163" s="57"/>
      <c r="CC163" s="57"/>
      <c r="CD163" s="57"/>
      <c r="CE163" s="57"/>
      <c r="CF163" s="57"/>
      <c r="CG163" s="57"/>
      <c r="CH163" s="57"/>
      <c r="CI163" s="57"/>
      <c r="CJ163" s="57"/>
      <c r="CK163" s="57"/>
      <c r="CL163" s="57"/>
    </row>
    <row r="164" spans="2:90">
      <c r="B164" s="71" t="s">
        <v>143</v>
      </c>
      <c r="C164" s="56">
        <v>1.5</v>
      </c>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BT164" s="57"/>
      <c r="BU164" s="57"/>
      <c r="BV164" s="57"/>
      <c r="BW164" s="57"/>
      <c r="BX164" s="57"/>
      <c r="BY164" s="57"/>
      <c r="BZ164" s="57"/>
      <c r="CA164" s="57"/>
      <c r="CB164" s="57"/>
      <c r="CC164" s="57"/>
      <c r="CD164" s="57"/>
      <c r="CE164" s="57"/>
      <c r="CF164" s="57"/>
      <c r="CG164" s="57"/>
      <c r="CH164" s="57"/>
      <c r="CI164" s="57"/>
      <c r="CJ164" s="57"/>
      <c r="CK164" s="57"/>
      <c r="CL164" s="57"/>
    </row>
    <row r="165" spans="2:90">
      <c r="B165" s="71"/>
      <c r="C165" s="56"/>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row>
  </sheetData>
  <pageMargins left="0.7" right="0.7" top="0.75" bottom="0.75" header="0.3" footer="0.3"/>
  <pageSetup paperSize="9"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dimension ref="A2:AL29"/>
  <sheetViews>
    <sheetView workbookViewId="0"/>
  </sheetViews>
  <sheetFormatPr baseColWidth="10" defaultColWidth="8.83203125" defaultRowHeight="15"/>
  <cols>
    <col min="1" max="1" width="26.1640625" style="52" customWidth="1"/>
    <col min="2" max="2" width="9.5" style="52" customWidth="1"/>
    <col min="3" max="3" width="12.1640625" style="52" customWidth="1"/>
    <col min="4" max="14" width="9.83203125" style="52" customWidth="1"/>
    <col min="15" max="38" width="9.1640625" style="52" bestFit="1" customWidth="1"/>
    <col min="39" max="256" width="8.83203125" style="52"/>
    <col min="257" max="257" width="26.1640625" style="52" customWidth="1"/>
    <col min="258" max="258" width="9.5" style="52" customWidth="1"/>
    <col min="259" max="259" width="12.1640625" style="52" customWidth="1"/>
    <col min="260" max="270" width="9.83203125" style="52" customWidth="1"/>
    <col min="271" max="282" width="8.83203125" style="52"/>
    <col min="283" max="283" width="10.83203125" style="52" bestFit="1" customWidth="1"/>
    <col min="284" max="512" width="8.83203125" style="52"/>
    <col min="513" max="513" width="26.1640625" style="52" customWidth="1"/>
    <col min="514" max="514" width="9.5" style="52" customWidth="1"/>
    <col min="515" max="515" width="12.1640625" style="52" customWidth="1"/>
    <col min="516" max="526" width="9.83203125" style="52" customWidth="1"/>
    <col min="527" max="538" width="8.83203125" style="52"/>
    <col min="539" max="539" width="10.83203125" style="52" bestFit="1" customWidth="1"/>
    <col min="540" max="768" width="8.83203125" style="52"/>
    <col min="769" max="769" width="26.1640625" style="52" customWidth="1"/>
    <col min="770" max="770" width="9.5" style="52" customWidth="1"/>
    <col min="771" max="771" width="12.1640625" style="52" customWidth="1"/>
    <col min="772" max="782" width="9.83203125" style="52" customWidth="1"/>
    <col min="783" max="794" width="8.83203125" style="52"/>
    <col min="795" max="795" width="10.83203125" style="52" bestFit="1" customWidth="1"/>
    <col min="796" max="1024" width="8.83203125" style="52"/>
    <col min="1025" max="1025" width="26.1640625" style="52" customWidth="1"/>
    <col min="1026" max="1026" width="9.5" style="52" customWidth="1"/>
    <col min="1027" max="1027" width="12.1640625" style="52" customWidth="1"/>
    <col min="1028" max="1038" width="9.83203125" style="52" customWidth="1"/>
    <col min="1039" max="1050" width="8.83203125" style="52"/>
    <col min="1051" max="1051" width="10.83203125" style="52" bestFit="1" customWidth="1"/>
    <col min="1052" max="1280" width="8.83203125" style="52"/>
    <col min="1281" max="1281" width="26.1640625" style="52" customWidth="1"/>
    <col min="1282" max="1282" width="9.5" style="52" customWidth="1"/>
    <col min="1283" max="1283" width="12.1640625" style="52" customWidth="1"/>
    <col min="1284" max="1294" width="9.83203125" style="52" customWidth="1"/>
    <col min="1295" max="1306" width="8.83203125" style="52"/>
    <col min="1307" max="1307" width="10.83203125" style="52" bestFit="1" customWidth="1"/>
    <col min="1308" max="1536" width="8.83203125" style="52"/>
    <col min="1537" max="1537" width="26.1640625" style="52" customWidth="1"/>
    <col min="1538" max="1538" width="9.5" style="52" customWidth="1"/>
    <col min="1539" max="1539" width="12.1640625" style="52" customWidth="1"/>
    <col min="1540" max="1550" width="9.83203125" style="52" customWidth="1"/>
    <col min="1551" max="1562" width="8.83203125" style="52"/>
    <col min="1563" max="1563" width="10.83203125" style="52" bestFit="1" customWidth="1"/>
    <col min="1564" max="1792" width="8.83203125" style="52"/>
    <col min="1793" max="1793" width="26.1640625" style="52" customWidth="1"/>
    <col min="1794" max="1794" width="9.5" style="52" customWidth="1"/>
    <col min="1795" max="1795" width="12.1640625" style="52" customWidth="1"/>
    <col min="1796" max="1806" width="9.83203125" style="52" customWidth="1"/>
    <col min="1807" max="1818" width="8.83203125" style="52"/>
    <col min="1819" max="1819" width="10.83203125" style="52" bestFit="1" customWidth="1"/>
    <col min="1820" max="2048" width="8.83203125" style="52"/>
    <col min="2049" max="2049" width="26.1640625" style="52" customWidth="1"/>
    <col min="2050" max="2050" width="9.5" style="52" customWidth="1"/>
    <col min="2051" max="2051" width="12.1640625" style="52" customWidth="1"/>
    <col min="2052" max="2062" width="9.83203125" style="52" customWidth="1"/>
    <col min="2063" max="2074" width="8.83203125" style="52"/>
    <col min="2075" max="2075" width="10.83203125" style="52" bestFit="1" customWidth="1"/>
    <col min="2076" max="2304" width="8.83203125" style="52"/>
    <col min="2305" max="2305" width="26.1640625" style="52" customWidth="1"/>
    <col min="2306" max="2306" width="9.5" style="52" customWidth="1"/>
    <col min="2307" max="2307" width="12.1640625" style="52" customWidth="1"/>
    <col min="2308" max="2318" width="9.83203125" style="52" customWidth="1"/>
    <col min="2319" max="2330" width="8.83203125" style="52"/>
    <col min="2331" max="2331" width="10.83203125" style="52" bestFit="1" customWidth="1"/>
    <col min="2332" max="2560" width="8.83203125" style="52"/>
    <col min="2561" max="2561" width="26.1640625" style="52" customWidth="1"/>
    <col min="2562" max="2562" width="9.5" style="52" customWidth="1"/>
    <col min="2563" max="2563" width="12.1640625" style="52" customWidth="1"/>
    <col min="2564" max="2574" width="9.83203125" style="52" customWidth="1"/>
    <col min="2575" max="2586" width="8.83203125" style="52"/>
    <col min="2587" max="2587" width="10.83203125" style="52" bestFit="1" customWidth="1"/>
    <col min="2588" max="2816" width="8.83203125" style="52"/>
    <col min="2817" max="2817" width="26.1640625" style="52" customWidth="1"/>
    <col min="2818" max="2818" width="9.5" style="52" customWidth="1"/>
    <col min="2819" max="2819" width="12.1640625" style="52" customWidth="1"/>
    <col min="2820" max="2830" width="9.83203125" style="52" customWidth="1"/>
    <col min="2831" max="2842" width="8.83203125" style="52"/>
    <col min="2843" max="2843" width="10.83203125" style="52" bestFit="1" customWidth="1"/>
    <col min="2844" max="3072" width="8.83203125" style="52"/>
    <col min="3073" max="3073" width="26.1640625" style="52" customWidth="1"/>
    <col min="3074" max="3074" width="9.5" style="52" customWidth="1"/>
    <col min="3075" max="3075" width="12.1640625" style="52" customWidth="1"/>
    <col min="3076" max="3086" width="9.83203125" style="52" customWidth="1"/>
    <col min="3087" max="3098" width="8.83203125" style="52"/>
    <col min="3099" max="3099" width="10.83203125" style="52" bestFit="1" customWidth="1"/>
    <col min="3100" max="3328" width="8.83203125" style="52"/>
    <col min="3329" max="3329" width="26.1640625" style="52" customWidth="1"/>
    <col min="3330" max="3330" width="9.5" style="52" customWidth="1"/>
    <col min="3331" max="3331" width="12.1640625" style="52" customWidth="1"/>
    <col min="3332" max="3342" width="9.83203125" style="52" customWidth="1"/>
    <col min="3343" max="3354" width="8.83203125" style="52"/>
    <col min="3355" max="3355" width="10.83203125" style="52" bestFit="1" customWidth="1"/>
    <col min="3356" max="3584" width="8.83203125" style="52"/>
    <col min="3585" max="3585" width="26.1640625" style="52" customWidth="1"/>
    <col min="3586" max="3586" width="9.5" style="52" customWidth="1"/>
    <col min="3587" max="3587" width="12.1640625" style="52" customWidth="1"/>
    <col min="3588" max="3598" width="9.83203125" style="52" customWidth="1"/>
    <col min="3599" max="3610" width="8.83203125" style="52"/>
    <col min="3611" max="3611" width="10.83203125" style="52" bestFit="1" customWidth="1"/>
    <col min="3612" max="3840" width="8.83203125" style="52"/>
    <col min="3841" max="3841" width="26.1640625" style="52" customWidth="1"/>
    <col min="3842" max="3842" width="9.5" style="52" customWidth="1"/>
    <col min="3843" max="3843" width="12.1640625" style="52" customWidth="1"/>
    <col min="3844" max="3854" width="9.83203125" style="52" customWidth="1"/>
    <col min="3855" max="3866" width="8.83203125" style="52"/>
    <col min="3867" max="3867" width="10.83203125" style="52" bestFit="1" customWidth="1"/>
    <col min="3868" max="4096" width="8.83203125" style="52"/>
    <col min="4097" max="4097" width="26.1640625" style="52" customWidth="1"/>
    <col min="4098" max="4098" width="9.5" style="52" customWidth="1"/>
    <col min="4099" max="4099" width="12.1640625" style="52" customWidth="1"/>
    <col min="4100" max="4110" width="9.83203125" style="52" customWidth="1"/>
    <col min="4111" max="4122" width="8.83203125" style="52"/>
    <col min="4123" max="4123" width="10.83203125" style="52" bestFit="1" customWidth="1"/>
    <col min="4124" max="4352" width="8.83203125" style="52"/>
    <col min="4353" max="4353" width="26.1640625" style="52" customWidth="1"/>
    <col min="4354" max="4354" width="9.5" style="52" customWidth="1"/>
    <col min="4355" max="4355" width="12.1640625" style="52" customWidth="1"/>
    <col min="4356" max="4366" width="9.83203125" style="52" customWidth="1"/>
    <col min="4367" max="4378" width="8.83203125" style="52"/>
    <col min="4379" max="4379" width="10.83203125" style="52" bestFit="1" customWidth="1"/>
    <col min="4380" max="4608" width="8.83203125" style="52"/>
    <col min="4609" max="4609" width="26.1640625" style="52" customWidth="1"/>
    <col min="4610" max="4610" width="9.5" style="52" customWidth="1"/>
    <col min="4611" max="4611" width="12.1640625" style="52" customWidth="1"/>
    <col min="4612" max="4622" width="9.83203125" style="52" customWidth="1"/>
    <col min="4623" max="4634" width="8.83203125" style="52"/>
    <col min="4635" max="4635" width="10.83203125" style="52" bestFit="1" customWidth="1"/>
    <col min="4636" max="4864" width="8.83203125" style="52"/>
    <col min="4865" max="4865" width="26.1640625" style="52" customWidth="1"/>
    <col min="4866" max="4866" width="9.5" style="52" customWidth="1"/>
    <col min="4867" max="4867" width="12.1640625" style="52" customWidth="1"/>
    <col min="4868" max="4878" width="9.83203125" style="52" customWidth="1"/>
    <col min="4879" max="4890" width="8.83203125" style="52"/>
    <col min="4891" max="4891" width="10.83203125" style="52" bestFit="1" customWidth="1"/>
    <col min="4892" max="5120" width="8.83203125" style="52"/>
    <col min="5121" max="5121" width="26.1640625" style="52" customWidth="1"/>
    <col min="5122" max="5122" width="9.5" style="52" customWidth="1"/>
    <col min="5123" max="5123" width="12.1640625" style="52" customWidth="1"/>
    <col min="5124" max="5134" width="9.83203125" style="52" customWidth="1"/>
    <col min="5135" max="5146" width="8.83203125" style="52"/>
    <col min="5147" max="5147" width="10.83203125" style="52" bestFit="1" customWidth="1"/>
    <col min="5148" max="5376" width="8.83203125" style="52"/>
    <col min="5377" max="5377" width="26.1640625" style="52" customWidth="1"/>
    <col min="5378" max="5378" width="9.5" style="52" customWidth="1"/>
    <col min="5379" max="5379" width="12.1640625" style="52" customWidth="1"/>
    <col min="5380" max="5390" width="9.83203125" style="52" customWidth="1"/>
    <col min="5391" max="5402" width="8.83203125" style="52"/>
    <col min="5403" max="5403" width="10.83203125" style="52" bestFit="1" customWidth="1"/>
    <col min="5404" max="5632" width="8.83203125" style="52"/>
    <col min="5633" max="5633" width="26.1640625" style="52" customWidth="1"/>
    <col min="5634" max="5634" width="9.5" style="52" customWidth="1"/>
    <col min="5635" max="5635" width="12.1640625" style="52" customWidth="1"/>
    <col min="5636" max="5646" width="9.83203125" style="52" customWidth="1"/>
    <col min="5647" max="5658" width="8.83203125" style="52"/>
    <col min="5659" max="5659" width="10.83203125" style="52" bestFit="1" customWidth="1"/>
    <col min="5660" max="5888" width="8.83203125" style="52"/>
    <col min="5889" max="5889" width="26.1640625" style="52" customWidth="1"/>
    <col min="5890" max="5890" width="9.5" style="52" customWidth="1"/>
    <col min="5891" max="5891" width="12.1640625" style="52" customWidth="1"/>
    <col min="5892" max="5902" width="9.83203125" style="52" customWidth="1"/>
    <col min="5903" max="5914" width="8.83203125" style="52"/>
    <col min="5915" max="5915" width="10.83203125" style="52" bestFit="1" customWidth="1"/>
    <col min="5916" max="6144" width="8.83203125" style="52"/>
    <col min="6145" max="6145" width="26.1640625" style="52" customWidth="1"/>
    <col min="6146" max="6146" width="9.5" style="52" customWidth="1"/>
    <col min="6147" max="6147" width="12.1640625" style="52" customWidth="1"/>
    <col min="6148" max="6158" width="9.83203125" style="52" customWidth="1"/>
    <col min="6159" max="6170" width="8.83203125" style="52"/>
    <col min="6171" max="6171" width="10.83203125" style="52" bestFit="1" customWidth="1"/>
    <col min="6172" max="6400" width="8.83203125" style="52"/>
    <col min="6401" max="6401" width="26.1640625" style="52" customWidth="1"/>
    <col min="6402" max="6402" width="9.5" style="52" customWidth="1"/>
    <col min="6403" max="6403" width="12.1640625" style="52" customWidth="1"/>
    <col min="6404" max="6414" width="9.83203125" style="52" customWidth="1"/>
    <col min="6415" max="6426" width="8.83203125" style="52"/>
    <col min="6427" max="6427" width="10.83203125" style="52" bestFit="1" customWidth="1"/>
    <col min="6428" max="6656" width="8.83203125" style="52"/>
    <col min="6657" max="6657" width="26.1640625" style="52" customWidth="1"/>
    <col min="6658" max="6658" width="9.5" style="52" customWidth="1"/>
    <col min="6659" max="6659" width="12.1640625" style="52" customWidth="1"/>
    <col min="6660" max="6670" width="9.83203125" style="52" customWidth="1"/>
    <col min="6671" max="6682" width="8.83203125" style="52"/>
    <col min="6683" max="6683" width="10.83203125" style="52" bestFit="1" customWidth="1"/>
    <col min="6684" max="6912" width="8.83203125" style="52"/>
    <col min="6913" max="6913" width="26.1640625" style="52" customWidth="1"/>
    <col min="6914" max="6914" width="9.5" style="52" customWidth="1"/>
    <col min="6915" max="6915" width="12.1640625" style="52" customWidth="1"/>
    <col min="6916" max="6926" width="9.83203125" style="52" customWidth="1"/>
    <col min="6927" max="6938" width="8.83203125" style="52"/>
    <col min="6939" max="6939" width="10.83203125" style="52" bestFit="1" customWidth="1"/>
    <col min="6940" max="7168" width="8.83203125" style="52"/>
    <col min="7169" max="7169" width="26.1640625" style="52" customWidth="1"/>
    <col min="7170" max="7170" width="9.5" style="52" customWidth="1"/>
    <col min="7171" max="7171" width="12.1640625" style="52" customWidth="1"/>
    <col min="7172" max="7182" width="9.83203125" style="52" customWidth="1"/>
    <col min="7183" max="7194" width="8.83203125" style="52"/>
    <col min="7195" max="7195" width="10.83203125" style="52" bestFit="1" customWidth="1"/>
    <col min="7196" max="7424" width="8.83203125" style="52"/>
    <col min="7425" max="7425" width="26.1640625" style="52" customWidth="1"/>
    <col min="7426" max="7426" width="9.5" style="52" customWidth="1"/>
    <col min="7427" max="7427" width="12.1640625" style="52" customWidth="1"/>
    <col min="7428" max="7438" width="9.83203125" style="52" customWidth="1"/>
    <col min="7439" max="7450" width="8.83203125" style="52"/>
    <col min="7451" max="7451" width="10.83203125" style="52" bestFit="1" customWidth="1"/>
    <col min="7452" max="7680" width="8.83203125" style="52"/>
    <col min="7681" max="7681" width="26.1640625" style="52" customWidth="1"/>
    <col min="7682" max="7682" width="9.5" style="52" customWidth="1"/>
    <col min="7683" max="7683" width="12.1640625" style="52" customWidth="1"/>
    <col min="7684" max="7694" width="9.83203125" style="52" customWidth="1"/>
    <col min="7695" max="7706" width="8.83203125" style="52"/>
    <col min="7707" max="7707" width="10.83203125" style="52" bestFit="1" customWidth="1"/>
    <col min="7708" max="7936" width="8.83203125" style="52"/>
    <col min="7937" max="7937" width="26.1640625" style="52" customWidth="1"/>
    <col min="7938" max="7938" width="9.5" style="52" customWidth="1"/>
    <col min="7939" max="7939" width="12.1640625" style="52" customWidth="1"/>
    <col min="7940" max="7950" width="9.83203125" style="52" customWidth="1"/>
    <col min="7951" max="7962" width="8.83203125" style="52"/>
    <col min="7963" max="7963" width="10.83203125" style="52" bestFit="1" customWidth="1"/>
    <col min="7964" max="8192" width="8.83203125" style="52"/>
    <col min="8193" max="8193" width="26.1640625" style="52" customWidth="1"/>
    <col min="8194" max="8194" width="9.5" style="52" customWidth="1"/>
    <col min="8195" max="8195" width="12.1640625" style="52" customWidth="1"/>
    <col min="8196" max="8206" width="9.83203125" style="52" customWidth="1"/>
    <col min="8207" max="8218" width="8.83203125" style="52"/>
    <col min="8219" max="8219" width="10.83203125" style="52" bestFit="1" customWidth="1"/>
    <col min="8220" max="8448" width="8.83203125" style="52"/>
    <col min="8449" max="8449" width="26.1640625" style="52" customWidth="1"/>
    <col min="8450" max="8450" width="9.5" style="52" customWidth="1"/>
    <col min="8451" max="8451" width="12.1640625" style="52" customWidth="1"/>
    <col min="8452" max="8462" width="9.83203125" style="52" customWidth="1"/>
    <col min="8463" max="8474" width="8.83203125" style="52"/>
    <col min="8475" max="8475" width="10.83203125" style="52" bestFit="1" customWidth="1"/>
    <col min="8476" max="8704" width="8.83203125" style="52"/>
    <col min="8705" max="8705" width="26.1640625" style="52" customWidth="1"/>
    <col min="8706" max="8706" width="9.5" style="52" customWidth="1"/>
    <col min="8707" max="8707" width="12.1640625" style="52" customWidth="1"/>
    <col min="8708" max="8718" width="9.83203125" style="52" customWidth="1"/>
    <col min="8719" max="8730" width="8.83203125" style="52"/>
    <col min="8731" max="8731" width="10.83203125" style="52" bestFit="1" customWidth="1"/>
    <col min="8732" max="8960" width="8.83203125" style="52"/>
    <col min="8961" max="8961" width="26.1640625" style="52" customWidth="1"/>
    <col min="8962" max="8962" width="9.5" style="52" customWidth="1"/>
    <col min="8963" max="8963" width="12.1640625" style="52" customWidth="1"/>
    <col min="8964" max="8974" width="9.83203125" style="52" customWidth="1"/>
    <col min="8975" max="8986" width="8.83203125" style="52"/>
    <col min="8987" max="8987" width="10.83203125" style="52" bestFit="1" customWidth="1"/>
    <col min="8988" max="9216" width="8.83203125" style="52"/>
    <col min="9217" max="9217" width="26.1640625" style="52" customWidth="1"/>
    <col min="9218" max="9218" width="9.5" style="52" customWidth="1"/>
    <col min="9219" max="9219" width="12.1640625" style="52" customWidth="1"/>
    <col min="9220" max="9230" width="9.83203125" style="52" customWidth="1"/>
    <col min="9231" max="9242" width="8.83203125" style="52"/>
    <col min="9243" max="9243" width="10.83203125" style="52" bestFit="1" customWidth="1"/>
    <col min="9244" max="9472" width="8.83203125" style="52"/>
    <col min="9473" max="9473" width="26.1640625" style="52" customWidth="1"/>
    <col min="9474" max="9474" width="9.5" style="52" customWidth="1"/>
    <col min="9475" max="9475" width="12.1640625" style="52" customWidth="1"/>
    <col min="9476" max="9486" width="9.83203125" style="52" customWidth="1"/>
    <col min="9487" max="9498" width="8.83203125" style="52"/>
    <col min="9499" max="9499" width="10.83203125" style="52" bestFit="1" customWidth="1"/>
    <col min="9500" max="9728" width="8.83203125" style="52"/>
    <col min="9729" max="9729" width="26.1640625" style="52" customWidth="1"/>
    <col min="9730" max="9730" width="9.5" style="52" customWidth="1"/>
    <col min="9731" max="9731" width="12.1640625" style="52" customWidth="1"/>
    <col min="9732" max="9742" width="9.83203125" style="52" customWidth="1"/>
    <col min="9743" max="9754" width="8.83203125" style="52"/>
    <col min="9755" max="9755" width="10.83203125" style="52" bestFit="1" customWidth="1"/>
    <col min="9756" max="9984" width="8.83203125" style="52"/>
    <col min="9985" max="9985" width="26.1640625" style="52" customWidth="1"/>
    <col min="9986" max="9986" width="9.5" style="52" customWidth="1"/>
    <col min="9987" max="9987" width="12.1640625" style="52" customWidth="1"/>
    <col min="9988" max="9998" width="9.83203125" style="52" customWidth="1"/>
    <col min="9999" max="10010" width="8.83203125" style="52"/>
    <col min="10011" max="10011" width="10.83203125" style="52" bestFit="1" customWidth="1"/>
    <col min="10012" max="10240" width="8.83203125" style="52"/>
    <col min="10241" max="10241" width="26.1640625" style="52" customWidth="1"/>
    <col min="10242" max="10242" width="9.5" style="52" customWidth="1"/>
    <col min="10243" max="10243" width="12.1640625" style="52" customWidth="1"/>
    <col min="10244" max="10254" width="9.83203125" style="52" customWidth="1"/>
    <col min="10255" max="10266" width="8.83203125" style="52"/>
    <col min="10267" max="10267" width="10.83203125" style="52" bestFit="1" customWidth="1"/>
    <col min="10268" max="10496" width="8.83203125" style="52"/>
    <col min="10497" max="10497" width="26.1640625" style="52" customWidth="1"/>
    <col min="10498" max="10498" width="9.5" style="52" customWidth="1"/>
    <col min="10499" max="10499" width="12.1640625" style="52" customWidth="1"/>
    <col min="10500" max="10510" width="9.83203125" style="52" customWidth="1"/>
    <col min="10511" max="10522" width="8.83203125" style="52"/>
    <col min="10523" max="10523" width="10.83203125" style="52" bestFit="1" customWidth="1"/>
    <col min="10524" max="10752" width="8.83203125" style="52"/>
    <col min="10753" max="10753" width="26.1640625" style="52" customWidth="1"/>
    <col min="10754" max="10754" width="9.5" style="52" customWidth="1"/>
    <col min="10755" max="10755" width="12.1640625" style="52" customWidth="1"/>
    <col min="10756" max="10766" width="9.83203125" style="52" customWidth="1"/>
    <col min="10767" max="10778" width="8.83203125" style="52"/>
    <col min="10779" max="10779" width="10.83203125" style="52" bestFit="1" customWidth="1"/>
    <col min="10780" max="11008" width="8.83203125" style="52"/>
    <col min="11009" max="11009" width="26.1640625" style="52" customWidth="1"/>
    <col min="11010" max="11010" width="9.5" style="52" customWidth="1"/>
    <col min="11011" max="11011" width="12.1640625" style="52" customWidth="1"/>
    <col min="11012" max="11022" width="9.83203125" style="52" customWidth="1"/>
    <col min="11023" max="11034" width="8.83203125" style="52"/>
    <col min="11035" max="11035" width="10.83203125" style="52" bestFit="1" customWidth="1"/>
    <col min="11036" max="11264" width="8.83203125" style="52"/>
    <col min="11265" max="11265" width="26.1640625" style="52" customWidth="1"/>
    <col min="11266" max="11266" width="9.5" style="52" customWidth="1"/>
    <col min="11267" max="11267" width="12.1640625" style="52" customWidth="1"/>
    <col min="11268" max="11278" width="9.83203125" style="52" customWidth="1"/>
    <col min="11279" max="11290" width="8.83203125" style="52"/>
    <col min="11291" max="11291" width="10.83203125" style="52" bestFit="1" customWidth="1"/>
    <col min="11292" max="11520" width="8.83203125" style="52"/>
    <col min="11521" max="11521" width="26.1640625" style="52" customWidth="1"/>
    <col min="11522" max="11522" width="9.5" style="52" customWidth="1"/>
    <col min="11523" max="11523" width="12.1640625" style="52" customWidth="1"/>
    <col min="11524" max="11534" width="9.83203125" style="52" customWidth="1"/>
    <col min="11535" max="11546" width="8.83203125" style="52"/>
    <col min="11547" max="11547" width="10.83203125" style="52" bestFit="1" customWidth="1"/>
    <col min="11548" max="11776" width="8.83203125" style="52"/>
    <col min="11777" max="11777" width="26.1640625" style="52" customWidth="1"/>
    <col min="11778" max="11778" width="9.5" style="52" customWidth="1"/>
    <col min="11779" max="11779" width="12.1640625" style="52" customWidth="1"/>
    <col min="11780" max="11790" width="9.83203125" style="52" customWidth="1"/>
    <col min="11791" max="11802" width="8.83203125" style="52"/>
    <col min="11803" max="11803" width="10.83203125" style="52" bestFit="1" customWidth="1"/>
    <col min="11804" max="12032" width="8.83203125" style="52"/>
    <col min="12033" max="12033" width="26.1640625" style="52" customWidth="1"/>
    <col min="12034" max="12034" width="9.5" style="52" customWidth="1"/>
    <col min="12035" max="12035" width="12.1640625" style="52" customWidth="1"/>
    <col min="12036" max="12046" width="9.83203125" style="52" customWidth="1"/>
    <col min="12047" max="12058" width="8.83203125" style="52"/>
    <col min="12059" max="12059" width="10.83203125" style="52" bestFit="1" customWidth="1"/>
    <col min="12060" max="12288" width="8.83203125" style="52"/>
    <col min="12289" max="12289" width="26.1640625" style="52" customWidth="1"/>
    <col min="12290" max="12290" width="9.5" style="52" customWidth="1"/>
    <col min="12291" max="12291" width="12.1640625" style="52" customWidth="1"/>
    <col min="12292" max="12302" width="9.83203125" style="52" customWidth="1"/>
    <col min="12303" max="12314" width="8.83203125" style="52"/>
    <col min="12315" max="12315" width="10.83203125" style="52" bestFit="1" customWidth="1"/>
    <col min="12316" max="12544" width="8.83203125" style="52"/>
    <col min="12545" max="12545" width="26.1640625" style="52" customWidth="1"/>
    <col min="12546" max="12546" width="9.5" style="52" customWidth="1"/>
    <col min="12547" max="12547" width="12.1640625" style="52" customWidth="1"/>
    <col min="12548" max="12558" width="9.83203125" style="52" customWidth="1"/>
    <col min="12559" max="12570" width="8.83203125" style="52"/>
    <col min="12571" max="12571" width="10.83203125" style="52" bestFit="1" customWidth="1"/>
    <col min="12572" max="12800" width="8.83203125" style="52"/>
    <col min="12801" max="12801" width="26.1640625" style="52" customWidth="1"/>
    <col min="12802" max="12802" width="9.5" style="52" customWidth="1"/>
    <col min="12803" max="12803" width="12.1640625" style="52" customWidth="1"/>
    <col min="12804" max="12814" width="9.83203125" style="52" customWidth="1"/>
    <col min="12815" max="12826" width="8.83203125" style="52"/>
    <col min="12827" max="12827" width="10.83203125" style="52" bestFit="1" customWidth="1"/>
    <col min="12828" max="13056" width="8.83203125" style="52"/>
    <col min="13057" max="13057" width="26.1640625" style="52" customWidth="1"/>
    <col min="13058" max="13058" width="9.5" style="52" customWidth="1"/>
    <col min="13059" max="13059" width="12.1640625" style="52" customWidth="1"/>
    <col min="13060" max="13070" width="9.83203125" style="52" customWidth="1"/>
    <col min="13071" max="13082" width="8.83203125" style="52"/>
    <col min="13083" max="13083" width="10.83203125" style="52" bestFit="1" customWidth="1"/>
    <col min="13084" max="13312" width="8.83203125" style="52"/>
    <col min="13313" max="13313" width="26.1640625" style="52" customWidth="1"/>
    <col min="13314" max="13314" width="9.5" style="52" customWidth="1"/>
    <col min="13315" max="13315" width="12.1640625" style="52" customWidth="1"/>
    <col min="13316" max="13326" width="9.83203125" style="52" customWidth="1"/>
    <col min="13327" max="13338" width="8.83203125" style="52"/>
    <col min="13339" max="13339" width="10.83203125" style="52" bestFit="1" customWidth="1"/>
    <col min="13340" max="13568" width="8.83203125" style="52"/>
    <col min="13569" max="13569" width="26.1640625" style="52" customWidth="1"/>
    <col min="13570" max="13570" width="9.5" style="52" customWidth="1"/>
    <col min="13571" max="13571" width="12.1640625" style="52" customWidth="1"/>
    <col min="13572" max="13582" width="9.83203125" style="52" customWidth="1"/>
    <col min="13583" max="13594" width="8.83203125" style="52"/>
    <col min="13595" max="13595" width="10.83203125" style="52" bestFit="1" customWidth="1"/>
    <col min="13596" max="13824" width="8.83203125" style="52"/>
    <col min="13825" max="13825" width="26.1640625" style="52" customWidth="1"/>
    <col min="13826" max="13826" width="9.5" style="52" customWidth="1"/>
    <col min="13827" max="13827" width="12.1640625" style="52" customWidth="1"/>
    <col min="13828" max="13838" width="9.83203125" style="52" customWidth="1"/>
    <col min="13839" max="13850" width="8.83203125" style="52"/>
    <col min="13851" max="13851" width="10.83203125" style="52" bestFit="1" customWidth="1"/>
    <col min="13852" max="14080" width="8.83203125" style="52"/>
    <col min="14081" max="14081" width="26.1640625" style="52" customWidth="1"/>
    <col min="14082" max="14082" width="9.5" style="52" customWidth="1"/>
    <col min="14083" max="14083" width="12.1640625" style="52" customWidth="1"/>
    <col min="14084" max="14094" width="9.83203125" style="52" customWidth="1"/>
    <col min="14095" max="14106" width="8.83203125" style="52"/>
    <col min="14107" max="14107" width="10.83203125" style="52" bestFit="1" customWidth="1"/>
    <col min="14108" max="14336" width="8.83203125" style="52"/>
    <col min="14337" max="14337" width="26.1640625" style="52" customWidth="1"/>
    <col min="14338" max="14338" width="9.5" style="52" customWidth="1"/>
    <col min="14339" max="14339" width="12.1640625" style="52" customWidth="1"/>
    <col min="14340" max="14350" width="9.83203125" style="52" customWidth="1"/>
    <col min="14351" max="14362" width="8.83203125" style="52"/>
    <col min="14363" max="14363" width="10.83203125" style="52" bestFit="1" customWidth="1"/>
    <col min="14364" max="14592" width="8.83203125" style="52"/>
    <col min="14593" max="14593" width="26.1640625" style="52" customWidth="1"/>
    <col min="14594" max="14594" width="9.5" style="52" customWidth="1"/>
    <col min="14595" max="14595" width="12.1640625" style="52" customWidth="1"/>
    <col min="14596" max="14606" width="9.83203125" style="52" customWidth="1"/>
    <col min="14607" max="14618" width="8.83203125" style="52"/>
    <col min="14619" max="14619" width="10.83203125" style="52" bestFit="1" customWidth="1"/>
    <col min="14620" max="14848" width="8.83203125" style="52"/>
    <col min="14849" max="14849" width="26.1640625" style="52" customWidth="1"/>
    <col min="14850" max="14850" width="9.5" style="52" customWidth="1"/>
    <col min="14851" max="14851" width="12.1640625" style="52" customWidth="1"/>
    <col min="14852" max="14862" width="9.83203125" style="52" customWidth="1"/>
    <col min="14863" max="14874" width="8.83203125" style="52"/>
    <col min="14875" max="14875" width="10.83203125" style="52" bestFit="1" customWidth="1"/>
    <col min="14876" max="15104" width="8.83203125" style="52"/>
    <col min="15105" max="15105" width="26.1640625" style="52" customWidth="1"/>
    <col min="15106" max="15106" width="9.5" style="52" customWidth="1"/>
    <col min="15107" max="15107" width="12.1640625" style="52" customWidth="1"/>
    <col min="15108" max="15118" width="9.83203125" style="52" customWidth="1"/>
    <col min="15119" max="15130" width="8.83203125" style="52"/>
    <col min="15131" max="15131" width="10.83203125" style="52" bestFit="1" customWidth="1"/>
    <col min="15132" max="15360" width="8.83203125" style="52"/>
    <col min="15361" max="15361" width="26.1640625" style="52" customWidth="1"/>
    <col min="15362" max="15362" width="9.5" style="52" customWidth="1"/>
    <col min="15363" max="15363" width="12.1640625" style="52" customWidth="1"/>
    <col min="15364" max="15374" width="9.83203125" style="52" customWidth="1"/>
    <col min="15375" max="15386" width="8.83203125" style="52"/>
    <col min="15387" max="15387" width="10.83203125" style="52" bestFit="1" customWidth="1"/>
    <col min="15388" max="15616" width="8.83203125" style="52"/>
    <col min="15617" max="15617" width="26.1640625" style="52" customWidth="1"/>
    <col min="15618" max="15618" width="9.5" style="52" customWidth="1"/>
    <col min="15619" max="15619" width="12.1640625" style="52" customWidth="1"/>
    <col min="15620" max="15630" width="9.83203125" style="52" customWidth="1"/>
    <col min="15631" max="15642" width="8.83203125" style="52"/>
    <col min="15643" max="15643" width="10.83203125" style="52" bestFit="1" customWidth="1"/>
    <col min="15644" max="15872" width="8.83203125" style="52"/>
    <col min="15873" max="15873" width="26.1640625" style="52" customWidth="1"/>
    <col min="15874" max="15874" width="9.5" style="52" customWidth="1"/>
    <col min="15875" max="15875" width="12.1640625" style="52" customWidth="1"/>
    <col min="15876" max="15886" width="9.83203125" style="52" customWidth="1"/>
    <col min="15887" max="15898" width="8.83203125" style="52"/>
    <col min="15899" max="15899" width="10.83203125" style="52" bestFit="1" customWidth="1"/>
    <col min="15900" max="16128" width="8.83203125" style="52"/>
    <col min="16129" max="16129" width="26.1640625" style="52" customWidth="1"/>
    <col min="16130" max="16130" width="9.5" style="52" customWidth="1"/>
    <col min="16131" max="16131" width="12.1640625" style="52" customWidth="1"/>
    <col min="16132" max="16142" width="9.83203125" style="52" customWidth="1"/>
    <col min="16143" max="16154" width="8.83203125" style="52"/>
    <col min="16155" max="16155" width="10.83203125" style="52" bestFit="1" customWidth="1"/>
    <col min="16156" max="16384" width="8.83203125" style="52"/>
  </cols>
  <sheetData>
    <row r="2" spans="1:38">
      <c r="A2" s="52" t="s">
        <v>124</v>
      </c>
      <c r="B2" s="58">
        <v>7760</v>
      </c>
    </row>
    <row r="3" spans="1:38">
      <c r="A3" s="52" t="s">
        <v>113</v>
      </c>
      <c r="B3" s="58">
        <v>450</v>
      </c>
    </row>
    <row r="4" spans="1:38">
      <c r="A4" s="52" t="s">
        <v>125</v>
      </c>
      <c r="B4" s="59">
        <f>B2-B3</f>
        <v>7310</v>
      </c>
      <c r="D4" s="57">
        <f>D7+D8</f>
        <v>667.19166666666661</v>
      </c>
    </row>
    <row r="5" spans="1:38" ht="16" thickBot="1"/>
    <row r="6" spans="1:38" ht="16" thickBot="1">
      <c r="A6" s="53" t="s">
        <v>108</v>
      </c>
      <c r="B6" s="54"/>
      <c r="C6" s="54">
        <v>1</v>
      </c>
      <c r="D6" s="54">
        <f>C6+1</f>
        <v>2</v>
      </c>
      <c r="E6" s="54">
        <f t="shared" ref="E6:AL6" si="0">D6+1</f>
        <v>3</v>
      </c>
      <c r="F6" s="54">
        <f t="shared" si="0"/>
        <v>4</v>
      </c>
      <c r="G6" s="54">
        <f t="shared" si="0"/>
        <v>5</v>
      </c>
      <c r="H6" s="54">
        <f t="shared" si="0"/>
        <v>6</v>
      </c>
      <c r="I6" s="54">
        <f t="shared" si="0"/>
        <v>7</v>
      </c>
      <c r="J6" s="54">
        <f t="shared" si="0"/>
        <v>8</v>
      </c>
      <c r="K6" s="54">
        <f t="shared" si="0"/>
        <v>9</v>
      </c>
      <c r="L6" s="54">
        <f t="shared" si="0"/>
        <v>10</v>
      </c>
      <c r="M6" s="54">
        <f t="shared" si="0"/>
        <v>11</v>
      </c>
      <c r="N6" s="54">
        <f t="shared" si="0"/>
        <v>12</v>
      </c>
      <c r="O6" s="54">
        <f t="shared" si="0"/>
        <v>13</v>
      </c>
      <c r="P6" s="54">
        <f t="shared" si="0"/>
        <v>14</v>
      </c>
      <c r="Q6" s="54">
        <f t="shared" si="0"/>
        <v>15</v>
      </c>
      <c r="R6" s="54">
        <f t="shared" si="0"/>
        <v>16</v>
      </c>
      <c r="S6" s="54">
        <f t="shared" si="0"/>
        <v>17</v>
      </c>
      <c r="T6" s="54">
        <f t="shared" si="0"/>
        <v>18</v>
      </c>
      <c r="U6" s="54">
        <f t="shared" si="0"/>
        <v>19</v>
      </c>
      <c r="V6" s="54">
        <f t="shared" si="0"/>
        <v>20</v>
      </c>
      <c r="W6" s="54">
        <f t="shared" si="0"/>
        <v>21</v>
      </c>
      <c r="X6" s="54">
        <f t="shared" si="0"/>
        <v>22</v>
      </c>
      <c r="Y6" s="54">
        <f t="shared" si="0"/>
        <v>23</v>
      </c>
      <c r="Z6" s="55">
        <f t="shared" si="0"/>
        <v>24</v>
      </c>
      <c r="AA6" s="55">
        <f t="shared" si="0"/>
        <v>25</v>
      </c>
      <c r="AB6" s="55">
        <f t="shared" si="0"/>
        <v>26</v>
      </c>
      <c r="AC6" s="55">
        <f t="shared" si="0"/>
        <v>27</v>
      </c>
      <c r="AD6" s="55">
        <f t="shared" si="0"/>
        <v>28</v>
      </c>
      <c r="AE6" s="55">
        <f t="shared" si="0"/>
        <v>29</v>
      </c>
      <c r="AF6" s="55">
        <f t="shared" si="0"/>
        <v>30</v>
      </c>
      <c r="AG6" s="55">
        <f t="shared" si="0"/>
        <v>31</v>
      </c>
      <c r="AH6" s="55">
        <f t="shared" si="0"/>
        <v>32</v>
      </c>
      <c r="AI6" s="55">
        <f t="shared" si="0"/>
        <v>33</v>
      </c>
      <c r="AJ6" s="55">
        <f t="shared" si="0"/>
        <v>34</v>
      </c>
      <c r="AK6" s="55">
        <f t="shared" si="0"/>
        <v>35</v>
      </c>
      <c r="AL6" s="55">
        <f t="shared" si="0"/>
        <v>36</v>
      </c>
    </row>
    <row r="7" spans="1:38">
      <c r="A7" s="52" t="s">
        <v>126</v>
      </c>
      <c r="C7" s="57">
        <f>(C10+C9)-C8</f>
        <v>629.69166666666661</v>
      </c>
      <c r="D7" s="57">
        <f t="shared" ref="D7:N7" si="1">(D10+D9)-D8</f>
        <v>629.69166666666661</v>
      </c>
      <c r="E7" s="57">
        <f t="shared" si="1"/>
        <v>629.69166666666661</v>
      </c>
      <c r="F7" s="57">
        <f t="shared" si="1"/>
        <v>629.69166666666661</v>
      </c>
      <c r="G7" s="57">
        <f t="shared" si="1"/>
        <v>629.69166666666661</v>
      </c>
      <c r="H7" s="57">
        <f t="shared" si="1"/>
        <v>629.69166666666661</v>
      </c>
      <c r="I7" s="57">
        <f t="shared" si="1"/>
        <v>629.69166666666661</v>
      </c>
      <c r="J7" s="57">
        <f t="shared" si="1"/>
        <v>629.69166666666661</v>
      </c>
      <c r="K7" s="57">
        <f t="shared" si="1"/>
        <v>629.69166666666661</v>
      </c>
      <c r="L7" s="57">
        <f t="shared" si="1"/>
        <v>629.69166666666661</v>
      </c>
      <c r="M7" s="57">
        <f t="shared" si="1"/>
        <v>629.69166666666661</v>
      </c>
      <c r="N7" s="57">
        <f t="shared" si="1"/>
        <v>629.69166666666661</v>
      </c>
      <c r="O7" s="84">
        <f>SUM(C7:N7)</f>
        <v>7556.2999999999993</v>
      </c>
      <c r="P7" s="60"/>
    </row>
    <row r="8" spans="1:38">
      <c r="A8" s="52" t="s">
        <v>113</v>
      </c>
      <c r="C8" s="57">
        <f>$B$3/12</f>
        <v>37.5</v>
      </c>
      <c r="D8" s="57">
        <f t="shared" ref="D8:N8" si="2">$B$3/12</f>
        <v>37.5</v>
      </c>
      <c r="E8" s="57">
        <f t="shared" si="2"/>
        <v>37.5</v>
      </c>
      <c r="F8" s="57">
        <f t="shared" si="2"/>
        <v>37.5</v>
      </c>
      <c r="G8" s="57">
        <f t="shared" si="2"/>
        <v>37.5</v>
      </c>
      <c r="H8" s="57">
        <f t="shared" si="2"/>
        <v>37.5</v>
      </c>
      <c r="I8" s="57">
        <f t="shared" si="2"/>
        <v>37.5</v>
      </c>
      <c r="J8" s="57">
        <f t="shared" si="2"/>
        <v>37.5</v>
      </c>
      <c r="K8" s="57">
        <f t="shared" si="2"/>
        <v>37.5</v>
      </c>
      <c r="L8" s="57">
        <f t="shared" si="2"/>
        <v>37.5</v>
      </c>
      <c r="M8" s="57">
        <f t="shared" si="2"/>
        <v>37.5</v>
      </c>
      <c r="N8" s="57">
        <f t="shared" si="2"/>
        <v>37.5</v>
      </c>
      <c r="O8" s="84">
        <f>SUM(C8:N8)</f>
        <v>450</v>
      </c>
      <c r="P8" s="60"/>
      <c r="Q8" s="57"/>
    </row>
    <row r="9" spans="1:38">
      <c r="A9" s="52" t="s">
        <v>127</v>
      </c>
      <c r="B9" s="56">
        <v>0.03</v>
      </c>
      <c r="C9" s="57">
        <f>(C10+C8)*$B$9</f>
        <v>20.524999999999999</v>
      </c>
      <c r="D9" s="57">
        <f t="shared" ref="D9:N9" si="3">(D10+D8)*$B$9</f>
        <v>20.524999999999999</v>
      </c>
      <c r="E9" s="57">
        <f t="shared" si="3"/>
        <v>20.524999999999999</v>
      </c>
      <c r="F9" s="57">
        <f t="shared" si="3"/>
        <v>20.524999999999999</v>
      </c>
      <c r="G9" s="57">
        <f t="shared" si="3"/>
        <v>20.524999999999999</v>
      </c>
      <c r="H9" s="57">
        <f t="shared" si="3"/>
        <v>20.524999999999999</v>
      </c>
      <c r="I9" s="57">
        <f t="shared" si="3"/>
        <v>20.524999999999999</v>
      </c>
      <c r="J9" s="57">
        <f t="shared" si="3"/>
        <v>20.524999999999999</v>
      </c>
      <c r="K9" s="57">
        <f t="shared" si="3"/>
        <v>20.524999999999999</v>
      </c>
      <c r="L9" s="57">
        <f t="shared" si="3"/>
        <v>20.524999999999999</v>
      </c>
      <c r="M9" s="57">
        <f t="shared" si="3"/>
        <v>20.524999999999999</v>
      </c>
      <c r="N9" s="57">
        <f t="shared" si="3"/>
        <v>20.524999999999999</v>
      </c>
      <c r="O9" s="84">
        <f>SUM(C9:N9)</f>
        <v>246.30000000000004</v>
      </c>
      <c r="P9" s="61"/>
    </row>
    <row r="10" spans="1:38">
      <c r="A10" s="52" t="s">
        <v>128</v>
      </c>
      <c r="B10" s="56"/>
      <c r="C10" s="57">
        <f>$B$2/12</f>
        <v>646.66666666666663</v>
      </c>
      <c r="D10" s="57">
        <f t="shared" ref="D10:N10" si="4">$B$2/12</f>
        <v>646.66666666666663</v>
      </c>
      <c r="E10" s="57">
        <f t="shared" si="4"/>
        <v>646.66666666666663</v>
      </c>
      <c r="F10" s="57">
        <f t="shared" si="4"/>
        <v>646.66666666666663</v>
      </c>
      <c r="G10" s="57">
        <f t="shared" si="4"/>
        <v>646.66666666666663</v>
      </c>
      <c r="H10" s="57">
        <f t="shared" si="4"/>
        <v>646.66666666666663</v>
      </c>
      <c r="I10" s="57">
        <f t="shared" si="4"/>
        <v>646.66666666666663</v>
      </c>
      <c r="J10" s="57">
        <f t="shared" si="4"/>
        <v>646.66666666666663</v>
      </c>
      <c r="K10" s="57">
        <f t="shared" si="4"/>
        <v>646.66666666666663</v>
      </c>
      <c r="L10" s="57">
        <f t="shared" si="4"/>
        <v>646.66666666666663</v>
      </c>
      <c r="M10" s="57">
        <f t="shared" si="4"/>
        <v>646.66666666666663</v>
      </c>
      <c r="N10" s="57">
        <f t="shared" si="4"/>
        <v>646.66666666666663</v>
      </c>
      <c r="O10" s="84">
        <f>SUM(C10:N10)</f>
        <v>7760.0000000000009</v>
      </c>
      <c r="P10" s="61"/>
    </row>
    <row r="11" spans="1:38">
      <c r="A11" s="52" t="s">
        <v>129</v>
      </c>
      <c r="B11" s="52">
        <v>554.5</v>
      </c>
      <c r="O11" s="62">
        <f>C10*$B$11</f>
        <v>358576.66666666663</v>
      </c>
      <c r="P11" s="62">
        <f t="shared" ref="P11:Z11" si="5">D10*$B$11</f>
        <v>358576.66666666663</v>
      </c>
      <c r="Q11" s="62">
        <f t="shared" si="5"/>
        <v>358576.66666666663</v>
      </c>
      <c r="R11" s="62">
        <f t="shared" si="5"/>
        <v>358576.66666666663</v>
      </c>
      <c r="S11" s="62">
        <f t="shared" si="5"/>
        <v>358576.66666666663</v>
      </c>
      <c r="T11" s="62">
        <f t="shared" si="5"/>
        <v>358576.66666666663</v>
      </c>
      <c r="U11" s="62">
        <f t="shared" si="5"/>
        <v>358576.66666666663</v>
      </c>
      <c r="V11" s="62">
        <f t="shared" si="5"/>
        <v>358576.66666666663</v>
      </c>
      <c r="W11" s="62">
        <f t="shared" si="5"/>
        <v>358576.66666666663</v>
      </c>
      <c r="X11" s="62">
        <f t="shared" si="5"/>
        <v>358576.66666666663</v>
      </c>
      <c r="Y11" s="62">
        <f t="shared" si="5"/>
        <v>358576.66666666663</v>
      </c>
      <c r="Z11" s="62">
        <f t="shared" si="5"/>
        <v>358576.66666666663</v>
      </c>
      <c r="AA11" s="63"/>
    </row>
    <row r="12" spans="1:38">
      <c r="A12" s="64"/>
      <c r="B12" s="64"/>
      <c r="C12" s="65"/>
      <c r="D12" s="64"/>
      <c r="E12" s="64"/>
      <c r="F12" s="64"/>
      <c r="G12" s="64"/>
      <c r="H12" s="64"/>
      <c r="I12" s="64"/>
      <c r="J12" s="64"/>
      <c r="K12" s="64"/>
      <c r="L12" s="64"/>
      <c r="M12" s="64"/>
      <c r="N12" s="64"/>
      <c r="O12" s="66"/>
      <c r="P12" s="66"/>
      <c r="Q12" s="66"/>
      <c r="R12" s="66"/>
      <c r="S12" s="66"/>
      <c r="T12" s="66"/>
      <c r="U12" s="66"/>
      <c r="V12" s="66"/>
      <c r="W12" s="66"/>
      <c r="X12" s="66"/>
      <c r="Y12" s="66"/>
      <c r="Z12" s="66"/>
    </row>
    <row r="13" spans="1:38">
      <c r="A13" s="52" t="str">
        <f>A7</f>
        <v>Imported calves 3 month age</v>
      </c>
      <c r="E13" s="67"/>
      <c r="O13" s="57">
        <f>C7</f>
        <v>629.69166666666661</v>
      </c>
      <c r="P13" s="57">
        <f t="shared" ref="P13:Z16" si="6">D7</f>
        <v>629.69166666666661</v>
      </c>
      <c r="Q13" s="57">
        <f t="shared" si="6"/>
        <v>629.69166666666661</v>
      </c>
      <c r="R13" s="57">
        <f t="shared" si="6"/>
        <v>629.69166666666661</v>
      </c>
      <c r="S13" s="57">
        <f t="shared" si="6"/>
        <v>629.69166666666661</v>
      </c>
      <c r="T13" s="57">
        <f t="shared" si="6"/>
        <v>629.69166666666661</v>
      </c>
      <c r="U13" s="57">
        <f t="shared" si="6"/>
        <v>629.69166666666661</v>
      </c>
      <c r="V13" s="57">
        <f t="shared" si="6"/>
        <v>629.69166666666661</v>
      </c>
      <c r="W13" s="57">
        <f t="shared" si="6"/>
        <v>629.69166666666661</v>
      </c>
      <c r="X13" s="57">
        <f t="shared" si="6"/>
        <v>629.69166666666661</v>
      </c>
      <c r="Y13" s="57">
        <f t="shared" si="6"/>
        <v>629.69166666666661</v>
      </c>
      <c r="Z13" s="57">
        <f t="shared" si="6"/>
        <v>629.69166666666661</v>
      </c>
    </row>
    <row r="14" spans="1:38">
      <c r="A14" s="52" t="str">
        <f>A8</f>
        <v>Calves from dairy farm</v>
      </c>
      <c r="O14" s="57">
        <f>C8</f>
        <v>37.5</v>
      </c>
      <c r="P14" s="57">
        <f t="shared" si="6"/>
        <v>37.5</v>
      </c>
      <c r="Q14" s="57">
        <f t="shared" si="6"/>
        <v>37.5</v>
      </c>
      <c r="R14" s="57">
        <f t="shared" si="6"/>
        <v>37.5</v>
      </c>
      <c r="S14" s="57">
        <f t="shared" si="6"/>
        <v>37.5</v>
      </c>
      <c r="T14" s="57">
        <f t="shared" si="6"/>
        <v>37.5</v>
      </c>
      <c r="U14" s="57">
        <f t="shared" si="6"/>
        <v>37.5</v>
      </c>
      <c r="V14" s="57">
        <f t="shared" si="6"/>
        <v>37.5</v>
      </c>
      <c r="W14" s="57">
        <f t="shared" si="6"/>
        <v>37.5</v>
      </c>
      <c r="X14" s="57">
        <f t="shared" si="6"/>
        <v>37.5</v>
      </c>
      <c r="Y14" s="57">
        <f t="shared" si="6"/>
        <v>37.5</v>
      </c>
      <c r="Z14" s="57">
        <f t="shared" si="6"/>
        <v>37.5</v>
      </c>
    </row>
    <row r="15" spans="1:38">
      <c r="A15" s="52" t="str">
        <f t="shared" ref="A15:B17" si="7">A9</f>
        <v>Death of calves</v>
      </c>
      <c r="B15" s="56">
        <f>B9</f>
        <v>0.03</v>
      </c>
      <c r="O15" s="57">
        <f>C9</f>
        <v>20.524999999999999</v>
      </c>
      <c r="P15" s="57">
        <f t="shared" si="6"/>
        <v>20.524999999999999</v>
      </c>
      <c r="Q15" s="57">
        <f t="shared" si="6"/>
        <v>20.524999999999999</v>
      </c>
      <c r="R15" s="57">
        <f t="shared" si="6"/>
        <v>20.524999999999999</v>
      </c>
      <c r="S15" s="57">
        <f t="shared" si="6"/>
        <v>20.524999999999999</v>
      </c>
      <c r="T15" s="57">
        <f t="shared" si="6"/>
        <v>20.524999999999999</v>
      </c>
      <c r="U15" s="57">
        <f t="shared" si="6"/>
        <v>20.524999999999999</v>
      </c>
      <c r="V15" s="57">
        <f t="shared" si="6"/>
        <v>20.524999999999999</v>
      </c>
      <c r="W15" s="57">
        <f t="shared" si="6"/>
        <v>20.524999999999999</v>
      </c>
      <c r="X15" s="57">
        <f t="shared" si="6"/>
        <v>20.524999999999999</v>
      </c>
      <c r="Y15" s="57">
        <f t="shared" si="6"/>
        <v>20.524999999999999</v>
      </c>
      <c r="Z15" s="57">
        <f t="shared" si="6"/>
        <v>20.524999999999999</v>
      </c>
    </row>
    <row r="16" spans="1:38">
      <c r="A16" s="52" t="str">
        <f t="shared" si="7"/>
        <v>Feeding calves</v>
      </c>
      <c r="B16" s="56"/>
      <c r="O16" s="57">
        <f>C10</f>
        <v>646.66666666666663</v>
      </c>
      <c r="P16" s="57">
        <f t="shared" si="6"/>
        <v>646.66666666666663</v>
      </c>
      <c r="Q16" s="57">
        <f t="shared" si="6"/>
        <v>646.66666666666663</v>
      </c>
      <c r="R16" s="57">
        <f t="shared" si="6"/>
        <v>646.66666666666663</v>
      </c>
      <c r="S16" s="57">
        <f t="shared" si="6"/>
        <v>646.66666666666663</v>
      </c>
      <c r="T16" s="57">
        <f t="shared" si="6"/>
        <v>646.66666666666663</v>
      </c>
      <c r="U16" s="57">
        <f t="shared" si="6"/>
        <v>646.66666666666663</v>
      </c>
      <c r="V16" s="57">
        <f t="shared" si="6"/>
        <v>646.66666666666663</v>
      </c>
      <c r="W16" s="57">
        <f t="shared" si="6"/>
        <v>646.66666666666663</v>
      </c>
      <c r="X16" s="57">
        <f t="shared" si="6"/>
        <v>646.66666666666663</v>
      </c>
      <c r="Y16" s="57">
        <f t="shared" si="6"/>
        <v>646.66666666666663</v>
      </c>
      <c r="Z16" s="57">
        <f t="shared" si="6"/>
        <v>646.66666666666663</v>
      </c>
    </row>
    <row r="17" spans="1:38">
      <c r="A17" s="52" t="str">
        <f t="shared" si="7"/>
        <v>Live weight for slaughter/kg</v>
      </c>
      <c r="B17" s="52">
        <f t="shared" si="7"/>
        <v>554.5</v>
      </c>
      <c r="AA17" s="62">
        <f>O16*$B$11</f>
        <v>358576.66666666663</v>
      </c>
      <c r="AB17" s="62">
        <f t="shared" ref="AB17:AL17" si="8">P16*$B$11</f>
        <v>358576.66666666663</v>
      </c>
      <c r="AC17" s="62">
        <f t="shared" si="8"/>
        <v>358576.66666666663</v>
      </c>
      <c r="AD17" s="62">
        <f t="shared" si="8"/>
        <v>358576.66666666663</v>
      </c>
      <c r="AE17" s="62">
        <f t="shared" si="8"/>
        <v>358576.66666666663</v>
      </c>
      <c r="AF17" s="62">
        <f t="shared" si="8"/>
        <v>358576.66666666663</v>
      </c>
      <c r="AG17" s="62">
        <f t="shared" si="8"/>
        <v>358576.66666666663</v>
      </c>
      <c r="AH17" s="62">
        <f t="shared" si="8"/>
        <v>358576.66666666663</v>
      </c>
      <c r="AI17" s="62">
        <f t="shared" si="8"/>
        <v>358576.66666666663</v>
      </c>
      <c r="AJ17" s="62">
        <f t="shared" si="8"/>
        <v>358576.66666666663</v>
      </c>
      <c r="AK17" s="62">
        <f t="shared" si="8"/>
        <v>358576.66666666663</v>
      </c>
      <c r="AL17" s="62">
        <f t="shared" si="8"/>
        <v>358576.66666666663</v>
      </c>
    </row>
    <row r="18" spans="1:38">
      <c r="A18" s="64"/>
      <c r="B18" s="64"/>
      <c r="C18" s="65"/>
      <c r="D18" s="64"/>
      <c r="E18" s="64"/>
      <c r="F18" s="64"/>
      <c r="G18" s="64"/>
      <c r="H18" s="64"/>
      <c r="I18" s="64"/>
      <c r="J18" s="64"/>
      <c r="K18" s="64"/>
      <c r="L18" s="64"/>
      <c r="M18" s="64"/>
      <c r="N18" s="64"/>
      <c r="O18" s="66"/>
      <c r="P18" s="66"/>
      <c r="Q18" s="66"/>
      <c r="R18" s="66"/>
      <c r="S18" s="66"/>
      <c r="T18" s="66"/>
      <c r="U18" s="66"/>
      <c r="V18" s="66"/>
      <c r="W18" s="66"/>
      <c r="X18" s="66"/>
      <c r="Y18" s="66"/>
      <c r="Z18" s="66"/>
      <c r="AA18" s="66"/>
      <c r="AB18" s="66"/>
      <c r="AC18" s="66"/>
      <c r="AD18" s="66"/>
      <c r="AE18" s="66"/>
      <c r="AF18" s="66"/>
      <c r="AG18" s="66"/>
      <c r="AH18" s="66"/>
      <c r="AI18" s="66"/>
      <c r="AJ18" s="66"/>
      <c r="AK18" s="66"/>
      <c r="AL18" s="66"/>
    </row>
    <row r="19" spans="1:38">
      <c r="A19" s="52" t="str">
        <f>A13</f>
        <v>Imported calves 3 month age</v>
      </c>
      <c r="AA19" s="57">
        <f>O13</f>
        <v>629.69166666666661</v>
      </c>
      <c r="AB19" s="57">
        <f t="shared" ref="AB19:AL22" si="9">P13</f>
        <v>629.69166666666661</v>
      </c>
      <c r="AC19" s="57">
        <f t="shared" si="9"/>
        <v>629.69166666666661</v>
      </c>
      <c r="AD19" s="57">
        <f t="shared" si="9"/>
        <v>629.69166666666661</v>
      </c>
      <c r="AE19" s="57">
        <f t="shared" si="9"/>
        <v>629.69166666666661</v>
      </c>
      <c r="AF19" s="57">
        <f t="shared" si="9"/>
        <v>629.69166666666661</v>
      </c>
      <c r="AG19" s="57">
        <f t="shared" si="9"/>
        <v>629.69166666666661</v>
      </c>
      <c r="AH19" s="57">
        <f t="shared" si="9"/>
        <v>629.69166666666661</v>
      </c>
      <c r="AI19" s="57">
        <f t="shared" si="9"/>
        <v>629.69166666666661</v>
      </c>
      <c r="AJ19" s="57">
        <f t="shared" si="9"/>
        <v>629.69166666666661</v>
      </c>
      <c r="AK19" s="57">
        <f t="shared" si="9"/>
        <v>629.69166666666661</v>
      </c>
      <c r="AL19" s="57">
        <f t="shared" si="9"/>
        <v>629.69166666666661</v>
      </c>
    </row>
    <row r="20" spans="1:38">
      <c r="A20" s="52" t="str">
        <f>A14</f>
        <v>Calves from dairy farm</v>
      </c>
      <c r="B20" s="52">
        <f>B14</f>
        <v>0</v>
      </c>
      <c r="AA20" s="57">
        <f>O14</f>
        <v>37.5</v>
      </c>
      <c r="AB20" s="57">
        <f t="shared" si="9"/>
        <v>37.5</v>
      </c>
      <c r="AC20" s="57">
        <f t="shared" si="9"/>
        <v>37.5</v>
      </c>
      <c r="AD20" s="57">
        <f t="shared" si="9"/>
        <v>37.5</v>
      </c>
      <c r="AE20" s="57">
        <f t="shared" si="9"/>
        <v>37.5</v>
      </c>
      <c r="AF20" s="57">
        <f t="shared" si="9"/>
        <v>37.5</v>
      </c>
      <c r="AG20" s="57">
        <f t="shared" si="9"/>
        <v>37.5</v>
      </c>
      <c r="AH20" s="57">
        <f t="shared" si="9"/>
        <v>37.5</v>
      </c>
      <c r="AI20" s="57">
        <f t="shared" si="9"/>
        <v>37.5</v>
      </c>
      <c r="AJ20" s="57">
        <f t="shared" si="9"/>
        <v>37.5</v>
      </c>
      <c r="AK20" s="57">
        <f t="shared" si="9"/>
        <v>37.5</v>
      </c>
      <c r="AL20" s="57">
        <f t="shared" si="9"/>
        <v>37.5</v>
      </c>
    </row>
    <row r="21" spans="1:38">
      <c r="A21" s="52" t="str">
        <f>A15</f>
        <v>Death of calves</v>
      </c>
      <c r="B21" s="56">
        <f>B15</f>
        <v>0.03</v>
      </c>
      <c r="AA21" s="57">
        <f>O15</f>
        <v>20.524999999999999</v>
      </c>
      <c r="AB21" s="57">
        <f t="shared" si="9"/>
        <v>20.524999999999999</v>
      </c>
      <c r="AC21" s="57">
        <f t="shared" si="9"/>
        <v>20.524999999999999</v>
      </c>
      <c r="AD21" s="57">
        <f t="shared" si="9"/>
        <v>20.524999999999999</v>
      </c>
      <c r="AE21" s="57">
        <f t="shared" si="9"/>
        <v>20.524999999999999</v>
      </c>
      <c r="AF21" s="57">
        <f t="shared" si="9"/>
        <v>20.524999999999999</v>
      </c>
      <c r="AG21" s="57">
        <f t="shared" si="9"/>
        <v>20.524999999999999</v>
      </c>
      <c r="AH21" s="57">
        <f t="shared" si="9"/>
        <v>20.524999999999999</v>
      </c>
      <c r="AI21" s="57">
        <f t="shared" si="9"/>
        <v>20.524999999999999</v>
      </c>
      <c r="AJ21" s="57">
        <f t="shared" si="9"/>
        <v>20.524999999999999</v>
      </c>
      <c r="AK21" s="57">
        <f t="shared" si="9"/>
        <v>20.524999999999999</v>
      </c>
      <c r="AL21" s="57">
        <f t="shared" si="9"/>
        <v>20.524999999999999</v>
      </c>
    </row>
    <row r="22" spans="1:38">
      <c r="A22" s="52" t="str">
        <f>A16</f>
        <v>Feeding calves</v>
      </c>
      <c r="B22" s="56"/>
      <c r="AA22" s="57">
        <f>O16</f>
        <v>646.66666666666663</v>
      </c>
      <c r="AB22" s="57">
        <f t="shared" si="9"/>
        <v>646.66666666666663</v>
      </c>
      <c r="AC22" s="57">
        <f t="shared" si="9"/>
        <v>646.66666666666663</v>
      </c>
      <c r="AD22" s="57">
        <f t="shared" si="9"/>
        <v>646.66666666666663</v>
      </c>
      <c r="AE22" s="57">
        <f t="shared" si="9"/>
        <v>646.66666666666663</v>
      </c>
      <c r="AF22" s="57">
        <f t="shared" si="9"/>
        <v>646.66666666666663</v>
      </c>
      <c r="AG22" s="57">
        <f t="shared" si="9"/>
        <v>646.66666666666663</v>
      </c>
      <c r="AH22" s="57">
        <f t="shared" si="9"/>
        <v>646.66666666666663</v>
      </c>
      <c r="AI22" s="57">
        <f t="shared" si="9"/>
        <v>646.66666666666663</v>
      </c>
      <c r="AJ22" s="57">
        <f t="shared" si="9"/>
        <v>646.66666666666663</v>
      </c>
      <c r="AK22" s="57">
        <f t="shared" si="9"/>
        <v>646.66666666666663</v>
      </c>
      <c r="AL22" s="57">
        <f t="shared" si="9"/>
        <v>646.66666666666663</v>
      </c>
    </row>
    <row r="23" spans="1:38">
      <c r="A23" s="52" t="str">
        <f>A17</f>
        <v>Live weight for slaughter/kg</v>
      </c>
      <c r="B23" s="56">
        <f>B17</f>
        <v>554.5</v>
      </c>
    </row>
    <row r="24" spans="1:38">
      <c r="A24" s="64"/>
      <c r="B24" s="64"/>
      <c r="C24" s="65"/>
      <c r="D24" s="64"/>
      <c r="E24" s="64"/>
      <c r="F24" s="64"/>
      <c r="G24" s="64"/>
      <c r="H24" s="64"/>
      <c r="I24" s="64"/>
      <c r="J24" s="64"/>
      <c r="K24" s="64"/>
      <c r="L24" s="64"/>
      <c r="M24" s="64"/>
      <c r="N24" s="64"/>
      <c r="O24" s="66"/>
      <c r="P24" s="66"/>
      <c r="Q24" s="66"/>
      <c r="R24" s="66"/>
      <c r="S24" s="66"/>
      <c r="T24" s="66"/>
      <c r="U24" s="66"/>
      <c r="V24" s="66"/>
      <c r="W24" s="66"/>
      <c r="X24" s="66"/>
      <c r="Y24" s="66"/>
      <c r="Z24" s="66"/>
      <c r="AA24" s="66"/>
      <c r="AB24" s="66"/>
      <c r="AC24" s="66"/>
      <c r="AD24" s="66"/>
      <c r="AE24" s="66"/>
      <c r="AF24" s="66"/>
      <c r="AG24" s="66"/>
      <c r="AH24" s="66"/>
      <c r="AI24" s="66"/>
      <c r="AJ24" s="66"/>
      <c r="AK24" s="66"/>
      <c r="AL24" s="66"/>
    </row>
    <row r="25" spans="1:38">
      <c r="A25" s="52" t="str">
        <f>A19</f>
        <v>Imported calves 3 month age</v>
      </c>
      <c r="C25" s="57">
        <f>SUM(C7,C13,C19)</f>
        <v>629.69166666666661</v>
      </c>
      <c r="D25" s="57">
        <f t="shared" ref="D25:AL29" si="10">SUM(D7,D13,D19)</f>
        <v>629.69166666666661</v>
      </c>
      <c r="E25" s="57">
        <f t="shared" si="10"/>
        <v>629.69166666666661</v>
      </c>
      <c r="F25" s="57">
        <f t="shared" si="10"/>
        <v>629.69166666666661</v>
      </c>
      <c r="G25" s="57">
        <f t="shared" si="10"/>
        <v>629.69166666666661</v>
      </c>
      <c r="H25" s="57">
        <f t="shared" si="10"/>
        <v>629.69166666666661</v>
      </c>
      <c r="I25" s="57">
        <f t="shared" si="10"/>
        <v>629.69166666666661</v>
      </c>
      <c r="J25" s="57">
        <f t="shared" si="10"/>
        <v>629.69166666666661</v>
      </c>
      <c r="K25" s="57">
        <f t="shared" si="10"/>
        <v>629.69166666666661</v>
      </c>
      <c r="L25" s="57">
        <f t="shared" si="10"/>
        <v>629.69166666666661</v>
      </c>
      <c r="M25" s="57">
        <f t="shared" si="10"/>
        <v>629.69166666666661</v>
      </c>
      <c r="N25" s="57">
        <f t="shared" si="10"/>
        <v>629.69166666666661</v>
      </c>
      <c r="O25" s="57">
        <f t="shared" si="10"/>
        <v>8185.9916666666659</v>
      </c>
      <c r="P25" s="57">
        <f t="shared" si="10"/>
        <v>629.69166666666661</v>
      </c>
      <c r="Q25" s="57">
        <f t="shared" si="10"/>
        <v>629.69166666666661</v>
      </c>
      <c r="R25" s="57">
        <f t="shared" si="10"/>
        <v>629.69166666666661</v>
      </c>
      <c r="S25" s="57">
        <f t="shared" si="10"/>
        <v>629.69166666666661</v>
      </c>
      <c r="T25" s="57">
        <f t="shared" si="10"/>
        <v>629.69166666666661</v>
      </c>
      <c r="U25" s="57">
        <f t="shared" si="10"/>
        <v>629.69166666666661</v>
      </c>
      <c r="V25" s="57">
        <f t="shared" si="10"/>
        <v>629.69166666666661</v>
      </c>
      <c r="W25" s="57">
        <f t="shared" si="10"/>
        <v>629.69166666666661</v>
      </c>
      <c r="X25" s="57">
        <f t="shared" si="10"/>
        <v>629.69166666666661</v>
      </c>
      <c r="Y25" s="57">
        <f t="shared" si="10"/>
        <v>629.69166666666661</v>
      </c>
      <c r="Z25" s="57">
        <f t="shared" si="10"/>
        <v>629.69166666666661</v>
      </c>
      <c r="AA25" s="57">
        <f t="shared" si="10"/>
        <v>629.69166666666661</v>
      </c>
      <c r="AB25" s="57">
        <f t="shared" si="10"/>
        <v>629.69166666666661</v>
      </c>
      <c r="AC25" s="57">
        <f t="shared" si="10"/>
        <v>629.69166666666661</v>
      </c>
      <c r="AD25" s="57">
        <f t="shared" si="10"/>
        <v>629.69166666666661</v>
      </c>
      <c r="AE25" s="57">
        <f t="shared" si="10"/>
        <v>629.69166666666661</v>
      </c>
      <c r="AF25" s="57">
        <f t="shared" si="10"/>
        <v>629.69166666666661</v>
      </c>
      <c r="AG25" s="57">
        <f t="shared" si="10"/>
        <v>629.69166666666661</v>
      </c>
      <c r="AH25" s="57">
        <f t="shared" si="10"/>
        <v>629.69166666666661</v>
      </c>
      <c r="AI25" s="57">
        <f t="shared" si="10"/>
        <v>629.69166666666661</v>
      </c>
      <c r="AJ25" s="57">
        <f t="shared" si="10"/>
        <v>629.69166666666661</v>
      </c>
      <c r="AK25" s="57">
        <f t="shared" si="10"/>
        <v>629.69166666666661</v>
      </c>
      <c r="AL25" s="57">
        <f t="shared" si="10"/>
        <v>629.69166666666661</v>
      </c>
    </row>
    <row r="26" spans="1:38">
      <c r="A26" s="52" t="str">
        <f>A20</f>
        <v>Calves from dairy farm</v>
      </c>
      <c r="C26" s="57">
        <f>SUM(C8,C14,C20)</f>
        <v>37.5</v>
      </c>
      <c r="D26" s="57">
        <f t="shared" ref="D26:R26" si="11">SUM(D8,D14,D20)</f>
        <v>37.5</v>
      </c>
      <c r="E26" s="57">
        <f t="shared" si="11"/>
        <v>37.5</v>
      </c>
      <c r="F26" s="57">
        <f t="shared" si="11"/>
        <v>37.5</v>
      </c>
      <c r="G26" s="57">
        <f t="shared" si="11"/>
        <v>37.5</v>
      </c>
      <c r="H26" s="57">
        <f t="shared" si="11"/>
        <v>37.5</v>
      </c>
      <c r="I26" s="57">
        <f t="shared" si="11"/>
        <v>37.5</v>
      </c>
      <c r="J26" s="57">
        <f t="shared" si="11"/>
        <v>37.5</v>
      </c>
      <c r="K26" s="57">
        <f t="shared" si="11"/>
        <v>37.5</v>
      </c>
      <c r="L26" s="57">
        <f t="shared" si="11"/>
        <v>37.5</v>
      </c>
      <c r="M26" s="57">
        <f t="shared" si="11"/>
        <v>37.5</v>
      </c>
      <c r="N26" s="57">
        <f t="shared" si="11"/>
        <v>37.5</v>
      </c>
      <c r="O26" s="57">
        <f t="shared" si="11"/>
        <v>487.5</v>
      </c>
      <c r="P26" s="57">
        <f t="shared" si="11"/>
        <v>37.5</v>
      </c>
      <c r="Q26" s="57">
        <f t="shared" si="11"/>
        <v>37.5</v>
      </c>
      <c r="R26" s="57">
        <f t="shared" si="11"/>
        <v>37.5</v>
      </c>
      <c r="S26" s="57">
        <f t="shared" si="10"/>
        <v>37.5</v>
      </c>
      <c r="T26" s="57">
        <f t="shared" si="10"/>
        <v>37.5</v>
      </c>
      <c r="U26" s="57">
        <f t="shared" si="10"/>
        <v>37.5</v>
      </c>
      <c r="V26" s="57">
        <f t="shared" si="10"/>
        <v>37.5</v>
      </c>
      <c r="W26" s="57">
        <f t="shared" si="10"/>
        <v>37.5</v>
      </c>
      <c r="X26" s="57">
        <f t="shared" si="10"/>
        <v>37.5</v>
      </c>
      <c r="Y26" s="57">
        <f t="shared" si="10"/>
        <v>37.5</v>
      </c>
      <c r="Z26" s="57">
        <f t="shared" si="10"/>
        <v>37.5</v>
      </c>
      <c r="AA26" s="57">
        <f t="shared" si="10"/>
        <v>37.5</v>
      </c>
      <c r="AB26" s="57">
        <f t="shared" si="10"/>
        <v>37.5</v>
      </c>
      <c r="AC26" s="57">
        <f t="shared" si="10"/>
        <v>37.5</v>
      </c>
      <c r="AD26" s="57">
        <f t="shared" si="10"/>
        <v>37.5</v>
      </c>
      <c r="AE26" s="57">
        <f t="shared" si="10"/>
        <v>37.5</v>
      </c>
      <c r="AF26" s="57">
        <f t="shared" si="10"/>
        <v>37.5</v>
      </c>
      <c r="AG26" s="57">
        <f t="shared" si="10"/>
        <v>37.5</v>
      </c>
      <c r="AH26" s="57">
        <f t="shared" si="10"/>
        <v>37.5</v>
      </c>
      <c r="AI26" s="57">
        <f t="shared" si="10"/>
        <v>37.5</v>
      </c>
      <c r="AJ26" s="57">
        <f t="shared" si="10"/>
        <v>37.5</v>
      </c>
      <c r="AK26" s="57">
        <f t="shared" si="10"/>
        <v>37.5</v>
      </c>
      <c r="AL26" s="57">
        <f t="shared" si="10"/>
        <v>37.5</v>
      </c>
    </row>
    <row r="27" spans="1:38">
      <c r="A27" s="52" t="str">
        <f>A21</f>
        <v>Death of calves</v>
      </c>
      <c r="C27" s="57">
        <f>SUM(C9,C15,C21)</f>
        <v>20.524999999999999</v>
      </c>
      <c r="D27" s="57">
        <f t="shared" si="10"/>
        <v>20.524999999999999</v>
      </c>
      <c r="E27" s="57">
        <f t="shared" si="10"/>
        <v>20.524999999999999</v>
      </c>
      <c r="F27" s="57">
        <f t="shared" si="10"/>
        <v>20.524999999999999</v>
      </c>
      <c r="G27" s="57">
        <f t="shared" si="10"/>
        <v>20.524999999999999</v>
      </c>
      <c r="H27" s="57">
        <f t="shared" si="10"/>
        <v>20.524999999999999</v>
      </c>
      <c r="I27" s="57">
        <f t="shared" si="10"/>
        <v>20.524999999999999</v>
      </c>
      <c r="J27" s="57">
        <f t="shared" si="10"/>
        <v>20.524999999999999</v>
      </c>
      <c r="K27" s="57">
        <f t="shared" si="10"/>
        <v>20.524999999999999</v>
      </c>
      <c r="L27" s="57">
        <f t="shared" si="10"/>
        <v>20.524999999999999</v>
      </c>
      <c r="M27" s="57">
        <f t="shared" si="10"/>
        <v>20.524999999999999</v>
      </c>
      <c r="N27" s="57">
        <f t="shared" si="10"/>
        <v>20.524999999999999</v>
      </c>
      <c r="O27" s="57">
        <f t="shared" si="10"/>
        <v>266.82500000000005</v>
      </c>
      <c r="P27" s="57">
        <f t="shared" si="10"/>
        <v>20.524999999999999</v>
      </c>
      <c r="Q27" s="57">
        <f t="shared" si="10"/>
        <v>20.524999999999999</v>
      </c>
      <c r="R27" s="57">
        <f t="shared" si="10"/>
        <v>20.524999999999999</v>
      </c>
      <c r="S27" s="57">
        <f t="shared" si="10"/>
        <v>20.524999999999999</v>
      </c>
      <c r="T27" s="57">
        <f t="shared" si="10"/>
        <v>20.524999999999999</v>
      </c>
      <c r="U27" s="57">
        <f t="shared" si="10"/>
        <v>20.524999999999999</v>
      </c>
      <c r="V27" s="57">
        <f t="shared" si="10"/>
        <v>20.524999999999999</v>
      </c>
      <c r="W27" s="57">
        <f t="shared" si="10"/>
        <v>20.524999999999999</v>
      </c>
      <c r="X27" s="57">
        <f t="shared" si="10"/>
        <v>20.524999999999999</v>
      </c>
      <c r="Y27" s="57">
        <f t="shared" si="10"/>
        <v>20.524999999999999</v>
      </c>
      <c r="Z27" s="57">
        <f t="shared" si="10"/>
        <v>20.524999999999999</v>
      </c>
      <c r="AA27" s="57">
        <f t="shared" si="10"/>
        <v>20.524999999999999</v>
      </c>
      <c r="AB27" s="57">
        <f t="shared" si="10"/>
        <v>20.524999999999999</v>
      </c>
      <c r="AC27" s="57">
        <f t="shared" si="10"/>
        <v>20.524999999999999</v>
      </c>
      <c r="AD27" s="57">
        <f t="shared" si="10"/>
        <v>20.524999999999999</v>
      </c>
      <c r="AE27" s="57">
        <f t="shared" si="10"/>
        <v>20.524999999999999</v>
      </c>
      <c r="AF27" s="57">
        <f t="shared" si="10"/>
        <v>20.524999999999999</v>
      </c>
      <c r="AG27" s="57">
        <f t="shared" si="10"/>
        <v>20.524999999999999</v>
      </c>
      <c r="AH27" s="57">
        <f t="shared" si="10"/>
        <v>20.524999999999999</v>
      </c>
      <c r="AI27" s="57">
        <f t="shared" si="10"/>
        <v>20.524999999999999</v>
      </c>
      <c r="AJ27" s="57">
        <f t="shared" si="10"/>
        <v>20.524999999999999</v>
      </c>
      <c r="AK27" s="57">
        <f t="shared" si="10"/>
        <v>20.524999999999999</v>
      </c>
      <c r="AL27" s="57">
        <f t="shared" si="10"/>
        <v>20.524999999999999</v>
      </c>
    </row>
    <row r="28" spans="1:38">
      <c r="A28" s="52" t="str">
        <f>A22</f>
        <v>Feeding calves</v>
      </c>
      <c r="C28" s="57">
        <f>SUM(C10,C16,C22)</f>
        <v>646.66666666666663</v>
      </c>
      <c r="D28" s="57">
        <f t="shared" si="10"/>
        <v>646.66666666666663</v>
      </c>
      <c r="E28" s="57">
        <f t="shared" si="10"/>
        <v>646.66666666666663</v>
      </c>
      <c r="F28" s="57">
        <f t="shared" si="10"/>
        <v>646.66666666666663</v>
      </c>
      <c r="G28" s="57">
        <f t="shared" si="10"/>
        <v>646.66666666666663</v>
      </c>
      <c r="H28" s="57">
        <f t="shared" si="10"/>
        <v>646.66666666666663</v>
      </c>
      <c r="I28" s="57">
        <f t="shared" si="10"/>
        <v>646.66666666666663</v>
      </c>
      <c r="J28" s="57">
        <f t="shared" si="10"/>
        <v>646.66666666666663</v>
      </c>
      <c r="K28" s="57">
        <f t="shared" si="10"/>
        <v>646.66666666666663</v>
      </c>
      <c r="L28" s="57">
        <f t="shared" si="10"/>
        <v>646.66666666666663</v>
      </c>
      <c r="M28" s="57">
        <f t="shared" si="10"/>
        <v>646.66666666666663</v>
      </c>
      <c r="N28" s="57">
        <f t="shared" si="10"/>
        <v>646.66666666666663</v>
      </c>
      <c r="O28" s="57">
        <f t="shared" si="10"/>
        <v>8406.6666666666679</v>
      </c>
      <c r="P28" s="57">
        <f t="shared" si="10"/>
        <v>646.66666666666663</v>
      </c>
      <c r="Q28" s="57">
        <f t="shared" si="10"/>
        <v>646.66666666666663</v>
      </c>
      <c r="R28" s="57">
        <f t="shared" si="10"/>
        <v>646.66666666666663</v>
      </c>
      <c r="S28" s="57">
        <f t="shared" si="10"/>
        <v>646.66666666666663</v>
      </c>
      <c r="T28" s="57">
        <f t="shared" si="10"/>
        <v>646.66666666666663</v>
      </c>
      <c r="U28" s="57">
        <f t="shared" si="10"/>
        <v>646.66666666666663</v>
      </c>
      <c r="V28" s="57">
        <f t="shared" si="10"/>
        <v>646.66666666666663</v>
      </c>
      <c r="W28" s="57">
        <f t="shared" si="10"/>
        <v>646.66666666666663</v>
      </c>
      <c r="X28" s="57">
        <f t="shared" si="10"/>
        <v>646.66666666666663</v>
      </c>
      <c r="Y28" s="57">
        <f t="shared" si="10"/>
        <v>646.66666666666663</v>
      </c>
      <c r="Z28" s="57">
        <f t="shared" si="10"/>
        <v>646.66666666666663</v>
      </c>
      <c r="AA28" s="57">
        <f t="shared" si="10"/>
        <v>646.66666666666663</v>
      </c>
      <c r="AB28" s="57">
        <f t="shared" si="10"/>
        <v>646.66666666666663</v>
      </c>
      <c r="AC28" s="57">
        <f t="shared" si="10"/>
        <v>646.66666666666663</v>
      </c>
      <c r="AD28" s="57">
        <f t="shared" si="10"/>
        <v>646.66666666666663</v>
      </c>
      <c r="AE28" s="57">
        <f t="shared" si="10"/>
        <v>646.66666666666663</v>
      </c>
      <c r="AF28" s="57">
        <f t="shared" si="10"/>
        <v>646.66666666666663</v>
      </c>
      <c r="AG28" s="57">
        <f t="shared" si="10"/>
        <v>646.66666666666663</v>
      </c>
      <c r="AH28" s="57">
        <f t="shared" si="10"/>
        <v>646.66666666666663</v>
      </c>
      <c r="AI28" s="57">
        <f t="shared" si="10"/>
        <v>646.66666666666663</v>
      </c>
      <c r="AJ28" s="57">
        <f t="shared" si="10"/>
        <v>646.66666666666663</v>
      </c>
      <c r="AK28" s="57">
        <f t="shared" si="10"/>
        <v>646.66666666666663</v>
      </c>
      <c r="AL28" s="57">
        <f t="shared" si="10"/>
        <v>646.66666666666663</v>
      </c>
    </row>
    <row r="29" spans="1:38">
      <c r="A29" s="52" t="str">
        <f>A23</f>
        <v>Live weight for slaughter/kg</v>
      </c>
      <c r="C29" s="57">
        <f>SUM(C11,C17,C23)</f>
        <v>0</v>
      </c>
      <c r="D29" s="57">
        <f t="shared" si="10"/>
        <v>0</v>
      </c>
      <c r="E29" s="57">
        <f t="shared" si="10"/>
        <v>0</v>
      </c>
      <c r="F29" s="57">
        <f t="shared" si="10"/>
        <v>0</v>
      </c>
      <c r="G29" s="57">
        <f t="shared" si="10"/>
        <v>0</v>
      </c>
      <c r="H29" s="57">
        <f t="shared" si="10"/>
        <v>0</v>
      </c>
      <c r="I29" s="57">
        <f t="shared" si="10"/>
        <v>0</v>
      </c>
      <c r="J29" s="57">
        <f t="shared" si="10"/>
        <v>0</v>
      </c>
      <c r="K29" s="57">
        <f t="shared" si="10"/>
        <v>0</v>
      </c>
      <c r="L29" s="57">
        <f t="shared" si="10"/>
        <v>0</v>
      </c>
      <c r="M29" s="57">
        <f t="shared" si="10"/>
        <v>0</v>
      </c>
      <c r="N29" s="57">
        <f t="shared" si="10"/>
        <v>0</v>
      </c>
      <c r="O29" s="57">
        <f t="shared" si="10"/>
        <v>358576.66666666663</v>
      </c>
      <c r="P29" s="57">
        <f t="shared" si="10"/>
        <v>358576.66666666663</v>
      </c>
      <c r="Q29" s="57">
        <f t="shared" si="10"/>
        <v>358576.66666666663</v>
      </c>
      <c r="R29" s="57">
        <f t="shared" si="10"/>
        <v>358576.66666666663</v>
      </c>
      <c r="S29" s="57">
        <f t="shared" si="10"/>
        <v>358576.66666666663</v>
      </c>
      <c r="T29" s="57">
        <f t="shared" si="10"/>
        <v>358576.66666666663</v>
      </c>
      <c r="U29" s="57">
        <f t="shared" si="10"/>
        <v>358576.66666666663</v>
      </c>
      <c r="V29" s="57">
        <f t="shared" si="10"/>
        <v>358576.66666666663</v>
      </c>
      <c r="W29" s="57">
        <f t="shared" si="10"/>
        <v>358576.66666666663</v>
      </c>
      <c r="X29" s="57">
        <f t="shared" si="10"/>
        <v>358576.66666666663</v>
      </c>
      <c r="Y29" s="57">
        <f t="shared" si="10"/>
        <v>358576.66666666663</v>
      </c>
      <c r="Z29" s="57">
        <f t="shared" si="10"/>
        <v>358576.66666666663</v>
      </c>
      <c r="AA29" s="57">
        <f t="shared" si="10"/>
        <v>358576.66666666663</v>
      </c>
      <c r="AB29" s="57">
        <f t="shared" si="10"/>
        <v>358576.66666666663</v>
      </c>
      <c r="AC29" s="57">
        <f t="shared" si="10"/>
        <v>358576.66666666663</v>
      </c>
      <c r="AD29" s="57">
        <f t="shared" si="10"/>
        <v>358576.66666666663</v>
      </c>
      <c r="AE29" s="57">
        <f t="shared" si="10"/>
        <v>358576.66666666663</v>
      </c>
      <c r="AF29" s="57">
        <f t="shared" si="10"/>
        <v>358576.66666666663</v>
      </c>
      <c r="AG29" s="57">
        <f t="shared" si="10"/>
        <v>358576.66666666663</v>
      </c>
      <c r="AH29" s="57">
        <f t="shared" si="10"/>
        <v>358576.66666666663</v>
      </c>
      <c r="AI29" s="57">
        <f t="shared" si="10"/>
        <v>358576.66666666663</v>
      </c>
      <c r="AJ29" s="57">
        <f t="shared" si="10"/>
        <v>358576.66666666663</v>
      </c>
      <c r="AK29" s="57">
        <f t="shared" si="10"/>
        <v>358576.66666666663</v>
      </c>
      <c r="AL29" s="57">
        <f t="shared" si="10"/>
        <v>358576.66666666663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15</vt:i4>
      </vt:variant>
    </vt:vector>
  </HeadingPairs>
  <TitlesOfParts>
    <vt:vector size="15" baseType="lpstr">
      <vt:lpstr>Cover</vt:lpstr>
      <vt:lpstr>Data Input</vt:lpstr>
      <vt:lpstr>Dashboard</vt:lpstr>
      <vt:lpstr>Fin.Statements</vt:lpstr>
      <vt:lpstr>CAPEX Financing</vt:lpstr>
      <vt:lpstr>WC Financing</vt:lpstr>
      <vt:lpstr>Depreciation</vt:lpstr>
      <vt:lpstr>Revenues</vt:lpstr>
      <vt:lpstr>OPEX</vt:lpstr>
      <vt:lpstr>CAPEX</vt:lpstr>
      <vt:lpstr>field crops farm CAPEX</vt:lpstr>
      <vt:lpstr>Dairy Product Composition</vt:lpstr>
      <vt:lpstr>Beef Product Composition</vt:lpstr>
      <vt:lpstr>Dairy Herd Movement</vt:lpstr>
      <vt:lpstr>Beef Herd Movement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Selected Option</dc:title>
  <dc:creator>Dimitri</dc:creator>
  <cp:lastModifiedBy>Microsoft Office User</cp:lastModifiedBy>
  <cp:lastPrinted>2014-12-09T13:32:00Z</cp:lastPrinted>
  <dcterms:created xsi:type="dcterms:W3CDTF">2009-09-01T08:10:31Z</dcterms:created>
  <dcterms:modified xsi:type="dcterms:W3CDTF">2025-04-16T14:19:36Z</dcterms:modified>
  <cp:contentStatus/>
</cp:coreProperties>
</file>