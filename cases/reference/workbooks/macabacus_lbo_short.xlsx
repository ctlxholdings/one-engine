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928"/>
  <workbookPr defaultThemeVersion="124226"/>
  <mc:AlternateContent xmlns:mc="http://schemas.openxmlformats.org/markup-compatibility/2006">
    <mc:Choice Requires="x15">
      <x15ac:absPath xmlns:x15ac="http://schemas.microsoft.com/office/spreadsheetml/2010/11/ac" url="G:\Shared drives\Non Course Content\Macabacus Learning Resources\Complete Models - Complete\"/>
    </mc:Choice>
  </mc:AlternateContent>
  <xr:revisionPtr revIDLastSave="0" documentId="13_ncr:1_{E374F9AF-F574-4E6D-87DB-90E398CA0619}" xr6:coauthVersionLast="47" xr6:coauthVersionMax="47" xr10:uidLastSave="{00000000-0000-0000-0000-000000000000}"/>
  <bookViews>
    <workbookView xWindow="-96" yWindow="-96" windowWidth="23232" windowHeight="12696" xr2:uid="{00000000-000D-0000-FFFF-FFFF00000000}"/>
  </bookViews>
  <sheets>
    <sheet name="Cover Page" sheetId="14" r:id="rId1"/>
    <sheet name="LBO" sheetId="12" r:id="rId2"/>
  </sheets>
  <externalReferences>
    <externalReference r:id="rId3"/>
  </externalReferences>
  <definedNames>
    <definedName name="_tags1" localSheetId="1" hidden="1">"&lt;tags&gt;&lt;tag n=""Palette"" v=""3"" /&gt;&lt;tag n=""ClosestPalette"" v=""3"" /&gt;&lt;/tags&gt;"</definedName>
    <definedName name="avg_int">LBO!$K$25</definedName>
    <definedName name="CIQWBGuid" hidden="1">"2cd8126d-26c3-430c-b7fa-a069e3a1fc62"</definedName>
    <definedName name="close">LBO!$K$13</definedName>
    <definedName name="err_msg">LBO!$K$31</definedName>
    <definedName name="exit_year">LBO!$K$18</definedName>
    <definedName name="goodwill">LBO!$P$42</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41666.7099189815</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LBO">LBO!$O$827</definedName>
    <definedName name="op_case">LBO!$F$40</definedName>
    <definedName name="_xlnm.Print_Area" localSheetId="0">'Cover Page'!$A$1:$N$53</definedName>
    <definedName name="_xlnm.Print_Area">#REF!</definedName>
    <definedName name="revolver">LBO!$O$828</definedName>
    <definedName name="scenario">LBO!$F$39</definedName>
    <definedName name="sponsor_fee">LBO!#REF!</definedName>
    <definedName name="tax">LBO!$K$24</definedName>
  </definedNames>
  <calcPr calcId="191029" calcMode="autoNoTable" iterate="1"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9" i="12" l="1"/>
  <c r="H189" i="12"/>
  <c r="E189" i="12"/>
  <c r="F189" i="12"/>
  <c r="K65" i="12"/>
  <c r="K408" i="12"/>
  <c r="K407" i="12"/>
  <c r="K406" i="12"/>
  <c r="K405" i="12"/>
  <c r="K404" i="12"/>
  <c r="K403" i="12"/>
  <c r="K402" i="12"/>
  <c r="K401" i="12"/>
  <c r="K400" i="12"/>
  <c r="K398" i="12"/>
  <c r="K397" i="12"/>
  <c r="K189" i="12"/>
  <c r="L189" i="12" s="1"/>
  <c r="M189" i="12" s="1"/>
  <c r="N189" i="12" s="1"/>
  <c r="O189" i="12" s="1"/>
  <c r="P189" i="12" s="1"/>
  <c r="Q189" i="12" s="1"/>
  <c r="R189" i="12" s="1"/>
  <c r="S189" i="12" s="1"/>
  <c r="T189" i="12" s="1"/>
  <c r="K195" i="12"/>
  <c r="L195" i="12" s="1"/>
  <c r="M195" i="12" s="1"/>
  <c r="N195" i="12" s="1"/>
  <c r="O195" i="12" s="1"/>
  <c r="P195" i="12" s="1"/>
  <c r="Q195" i="12" s="1"/>
  <c r="R195" i="12" s="1"/>
  <c r="S195" i="12" s="1"/>
  <c r="T195" i="12" s="1"/>
  <c r="K197" i="12"/>
  <c r="L197" i="12" s="1"/>
  <c r="M197" i="12" s="1"/>
  <c r="N197" i="12" s="1"/>
  <c r="O197" i="12" s="1"/>
  <c r="P197" i="12" s="1"/>
  <c r="Q197" i="12" s="1"/>
  <c r="R197" i="12" s="1"/>
  <c r="S197" i="12" s="1"/>
  <c r="T197" i="12" s="1"/>
  <c r="K194" i="12"/>
  <c r="L194" i="12" s="1"/>
  <c r="M194" i="12" s="1"/>
  <c r="N194" i="12" s="1"/>
  <c r="O194" i="12" s="1"/>
  <c r="P194" i="12" s="1"/>
  <c r="Q194" i="12" s="1"/>
  <c r="R194" i="12" s="1"/>
  <c r="S194" i="12" s="1"/>
  <c r="T194" i="12" s="1"/>
  <c r="K193" i="12"/>
  <c r="L193" i="12" s="1"/>
  <c r="M193" i="12" s="1"/>
  <c r="N193" i="12" s="1"/>
  <c r="O193" i="12" s="1"/>
  <c r="P193" i="12" s="1"/>
  <c r="Q193" i="12" s="1"/>
  <c r="R193" i="12" s="1"/>
  <c r="S193" i="12" s="1"/>
  <c r="T193" i="12" s="1"/>
  <c r="K192" i="12"/>
  <c r="L192" i="12" s="1"/>
  <c r="M192" i="12" s="1"/>
  <c r="N192" i="12" s="1"/>
  <c r="O192" i="12" s="1"/>
  <c r="P192" i="12" s="1"/>
  <c r="Q192" i="12" s="1"/>
  <c r="R192" i="12" s="1"/>
  <c r="S192" i="12" s="1"/>
  <c r="T192" i="12" s="1"/>
  <c r="K14" i="12"/>
  <c r="E930" i="12"/>
  <c r="L144" i="12" l="1"/>
  <c r="M144" i="12" s="1"/>
  <c r="N144" i="12" s="1"/>
  <c r="O144" i="12" s="1"/>
  <c r="P144" i="12" s="1"/>
  <c r="Q144" i="12" s="1"/>
  <c r="R144" i="12" s="1"/>
  <c r="S144" i="12" s="1"/>
  <c r="T144" i="12" s="1"/>
  <c r="K669" i="12"/>
  <c r="K692" i="12"/>
  <c r="M956" i="12"/>
  <c r="K988" i="12"/>
  <c r="K755" i="12"/>
  <c r="K701" i="12"/>
  <c r="K678" i="12"/>
  <c r="K634" i="12"/>
  <c r="K613" i="12"/>
  <c r="K565" i="12"/>
  <c r="K277" i="12"/>
  <c r="K371" i="12"/>
  <c r="K140" i="12"/>
  <c r="K987" i="12" s="1"/>
  <c r="K370" i="12" l="1"/>
  <c r="K633" i="12"/>
  <c r="K700" i="12"/>
  <c r="K564" i="12"/>
  <c r="K276" i="12"/>
  <c r="K612" i="12"/>
  <c r="K677" i="12"/>
  <c r="K754" i="12"/>
  <c r="L141" i="12"/>
  <c r="E466" i="12"/>
  <c r="L755" i="12" l="1"/>
  <c r="L988" i="12"/>
  <c r="L634" i="12"/>
  <c r="L613" i="12"/>
  <c r="L701" i="12"/>
  <c r="L678" i="12"/>
  <c r="L277" i="12"/>
  <c r="L371" i="12"/>
  <c r="B574" i="12"/>
  <c r="B591" i="12"/>
  <c r="F463" i="12" l="1"/>
  <c r="I432" i="12"/>
  <c r="I431" i="12"/>
  <c r="B432" i="12"/>
  <c r="B433" i="12"/>
  <c r="B462" i="12"/>
  <c r="I442" i="12"/>
  <c r="I433" i="12"/>
  <c r="I434" i="12"/>
  <c r="I435" i="12"/>
  <c r="I436" i="12"/>
  <c r="I437" i="12"/>
  <c r="I438" i="12"/>
  <c r="I439" i="12"/>
  <c r="I440" i="12"/>
  <c r="I441" i="12"/>
  <c r="B552" i="12"/>
  <c r="B543" i="12"/>
  <c r="B534" i="12"/>
  <c r="B525" i="12"/>
  <c r="B516" i="12"/>
  <c r="B507" i="12"/>
  <c r="B498" i="12"/>
  <c r="B489" i="12"/>
  <c r="B480" i="12"/>
  <c r="B442" i="12"/>
  <c r="B440" i="12"/>
  <c r="B441" i="12"/>
  <c r="B434" i="12"/>
  <c r="B435" i="12"/>
  <c r="B436" i="12"/>
  <c r="B437" i="12"/>
  <c r="B438" i="12"/>
  <c r="B439" i="12"/>
  <c r="B418" i="12"/>
  <c r="B419" i="12"/>
  <c r="B420" i="12"/>
  <c r="B421" i="12"/>
  <c r="B422" i="12"/>
  <c r="B423" i="12"/>
  <c r="B424" i="12"/>
  <c r="B425" i="12"/>
  <c r="B426" i="12"/>
  <c r="B417" i="12"/>
  <c r="L413" i="12"/>
  <c r="M413" i="12"/>
  <c r="N413" i="12"/>
  <c r="O413" i="12"/>
  <c r="P413" i="12"/>
  <c r="Q413" i="12"/>
  <c r="R413" i="12"/>
  <c r="S413" i="12"/>
  <c r="T413" i="12"/>
  <c r="K413" i="12"/>
  <c r="B471" i="12"/>
  <c r="O825" i="12"/>
  <c r="F466" i="12" l="1"/>
  <c r="G463" i="12" s="1"/>
  <c r="G466" i="12" l="1"/>
  <c r="H463" i="12" s="1"/>
  <c r="H466" i="12" s="1"/>
  <c r="L287" i="12" l="1"/>
  <c r="K899" i="12" l="1"/>
  <c r="B879" i="12"/>
  <c r="B854" i="12"/>
  <c r="E591" i="12" l="1"/>
  <c r="E774" i="12" l="1"/>
  <c r="E775" i="12"/>
  <c r="E776" i="12"/>
  <c r="E777" i="12"/>
  <c r="E778" i="12"/>
  <c r="E779" i="12"/>
  <c r="E780" i="12"/>
  <c r="E781" i="12"/>
  <c r="E782" i="12"/>
  <c r="E773" i="12"/>
  <c r="G185" i="12"/>
  <c r="H185" i="12"/>
  <c r="F185" i="12"/>
  <c r="B1011" i="12" l="1"/>
  <c r="H975" i="12"/>
  <c r="H976" i="12"/>
  <c r="H977" i="12"/>
  <c r="H979" i="12"/>
  <c r="H980" i="12"/>
  <c r="H981" i="12"/>
  <c r="H978" i="12"/>
  <c r="H974" i="12"/>
  <c r="B983" i="12"/>
  <c r="B976" i="12"/>
  <c r="B977" i="12"/>
  <c r="B978" i="12"/>
  <c r="B979" i="12"/>
  <c r="B980" i="12"/>
  <c r="B981" i="12"/>
  <c r="B982" i="12"/>
  <c r="B975" i="12"/>
  <c r="B974" i="12"/>
  <c r="L997" i="12"/>
  <c r="M997" i="12"/>
  <c r="N997" i="12"/>
  <c r="O997" i="12"/>
  <c r="P997" i="12"/>
  <c r="Q997" i="12"/>
  <c r="R997" i="12"/>
  <c r="S997" i="12"/>
  <c r="T997" i="12"/>
  <c r="K997" i="12"/>
  <c r="B1046" i="12" l="1"/>
  <c r="B1035" i="12"/>
  <c r="B1023" i="12"/>
  <c r="H982" i="12"/>
  <c r="H983" i="12"/>
  <c r="M1004" i="12"/>
  <c r="B26" i="12"/>
  <c r="B27" i="12"/>
  <c r="B17" i="12"/>
  <c r="B18" i="12"/>
  <c r="B19" i="12"/>
  <c r="B20" i="12"/>
  <c r="B21" i="12"/>
  <c r="B22" i="12"/>
  <c r="B23" i="12"/>
  <c r="B24" i="12"/>
  <c r="B25" i="12"/>
  <c r="B16" i="12"/>
  <c r="I847" i="12"/>
  <c r="I863" i="12"/>
  <c r="N856" i="12"/>
  <c r="I864" i="12" l="1"/>
  <c r="I848" i="12"/>
  <c r="G571" i="12"/>
  <c r="H571" i="12"/>
  <c r="F571" i="12"/>
  <c r="F589" i="12" s="1"/>
  <c r="L856" i="12" l="1"/>
  <c r="M856" i="12"/>
  <c r="B399" i="12"/>
  <c r="B400" i="12"/>
  <c r="B401" i="12"/>
  <c r="B402" i="12"/>
  <c r="B403" i="12"/>
  <c r="B404" i="12"/>
  <c r="B405" i="12"/>
  <c r="B406" i="12"/>
  <c r="B407" i="12"/>
  <c r="B408" i="12"/>
  <c r="B576" i="12"/>
  <c r="B577" i="12"/>
  <c r="B578" i="12"/>
  <c r="B579" i="12"/>
  <c r="B580" i="12"/>
  <c r="B581" i="12"/>
  <c r="B582" i="12"/>
  <c r="B583" i="12"/>
  <c r="B584" i="12"/>
  <c r="B585" i="12"/>
  <c r="B899" i="12"/>
  <c r="B882" i="12"/>
  <c r="B883" i="12"/>
  <c r="B884" i="12"/>
  <c r="B885" i="12"/>
  <c r="B886" i="12"/>
  <c r="B887" i="12"/>
  <c r="B888" i="12"/>
  <c r="B889" i="12"/>
  <c r="B890" i="12"/>
  <c r="B881" i="12"/>
  <c r="I849" i="12" l="1"/>
  <c r="B34" i="12"/>
  <c r="B33" i="12"/>
  <c r="B31" i="12"/>
  <c r="J853" i="12" l="1"/>
  <c r="K853" i="12"/>
  <c r="K833" i="12"/>
  <c r="J833" i="12"/>
  <c r="K857" i="12" l="1"/>
  <c r="K858" i="12"/>
  <c r="J857" i="12"/>
  <c r="J858" i="12"/>
  <c r="K863" i="12" l="1"/>
  <c r="J863" i="12"/>
  <c r="K215" i="12" l="1"/>
  <c r="N935" i="12"/>
  <c r="M935" i="12"/>
  <c r="N919" i="12"/>
  <c r="M919" i="12"/>
  <c r="L947" i="12"/>
  <c r="L935" i="12"/>
  <c r="L919" i="12"/>
  <c r="J935" i="12"/>
  <c r="J919" i="12"/>
  <c r="F935" i="12"/>
  <c r="G935" i="12"/>
  <c r="H935" i="12"/>
  <c r="F947" i="12"/>
  <c r="G947" i="12"/>
  <c r="H947" i="12"/>
  <c r="F957" i="12"/>
  <c r="G957" i="12"/>
  <c r="H957" i="12"/>
  <c r="B931" i="12"/>
  <c r="B932" i="12"/>
  <c r="B933" i="12"/>
  <c r="B934" i="12"/>
  <c r="B935" i="12"/>
  <c r="B936" i="12"/>
  <c r="B937" i="12"/>
  <c r="B947" i="12"/>
  <c r="B948" i="12"/>
  <c r="B949" i="12"/>
  <c r="B950" i="12"/>
  <c r="B954" i="12"/>
  <c r="B955" i="12"/>
  <c r="B956" i="12"/>
  <c r="B951" i="12"/>
  <c r="B952" i="12"/>
  <c r="B953" i="12"/>
  <c r="B957" i="12"/>
  <c r="B958" i="12"/>
  <c r="B930" i="12"/>
  <c r="F919" i="12"/>
  <c r="H919" i="12"/>
  <c r="F916" i="12"/>
  <c r="G916" i="12"/>
  <c r="H916" i="12"/>
  <c r="B912" i="12"/>
  <c r="B913" i="12"/>
  <c r="B914" i="12"/>
  <c r="B915" i="12"/>
  <c r="B916" i="12"/>
  <c r="B917" i="12"/>
  <c r="B918" i="12"/>
  <c r="B919" i="12"/>
  <c r="B920" i="12"/>
  <c r="B921" i="12"/>
  <c r="B922" i="12"/>
  <c r="B923" i="12"/>
  <c r="B924" i="12"/>
  <c r="B925" i="12"/>
  <c r="B926" i="12"/>
  <c r="B911" i="12"/>
  <c r="L899" i="12"/>
  <c r="H926" i="12" l="1"/>
  <c r="F950" i="12"/>
  <c r="F958" i="12" s="1"/>
  <c r="L950" i="12"/>
  <c r="G950" i="12"/>
  <c r="G958" i="12" s="1"/>
  <c r="B625" i="12" l="1"/>
  <c r="B626" i="12"/>
  <c r="H574" i="12" l="1"/>
  <c r="H468" i="12" s="1"/>
  <c r="G574" i="12"/>
  <c r="G468" i="12" s="1"/>
  <c r="F574" i="12"/>
  <c r="F468" i="12" s="1"/>
  <c r="L574" i="12"/>
  <c r="M574" i="12"/>
  <c r="N574" i="12"/>
  <c r="O574" i="12"/>
  <c r="P574" i="12"/>
  <c r="Q574" i="12"/>
  <c r="R574" i="12"/>
  <c r="S574" i="12"/>
  <c r="T574" i="12"/>
  <c r="L575" i="12"/>
  <c r="M575" i="12"/>
  <c r="N575" i="12"/>
  <c r="O575" i="12"/>
  <c r="P575" i="12"/>
  <c r="Q575" i="12"/>
  <c r="R575" i="12"/>
  <c r="S575" i="12"/>
  <c r="T575" i="12"/>
  <c r="L576" i="12"/>
  <c r="M576" i="12"/>
  <c r="N576" i="12"/>
  <c r="O576" i="12"/>
  <c r="P576" i="12"/>
  <c r="Q576" i="12"/>
  <c r="R576" i="12"/>
  <c r="S576" i="12"/>
  <c r="T576" i="12"/>
  <c r="L577" i="12"/>
  <c r="M577" i="12"/>
  <c r="N577" i="12"/>
  <c r="O577" i="12"/>
  <c r="P577" i="12"/>
  <c r="Q577" i="12"/>
  <c r="R577" i="12"/>
  <c r="S577" i="12"/>
  <c r="T577" i="12"/>
  <c r="L578" i="12"/>
  <c r="M578" i="12"/>
  <c r="N578" i="12"/>
  <c r="O578" i="12"/>
  <c r="P578" i="12"/>
  <c r="Q578" i="12"/>
  <c r="R578" i="12"/>
  <c r="S578" i="12"/>
  <c r="T578" i="12"/>
  <c r="L579" i="12"/>
  <c r="M579" i="12"/>
  <c r="N579" i="12"/>
  <c r="O579" i="12"/>
  <c r="P579" i="12"/>
  <c r="Q579" i="12"/>
  <c r="R579" i="12"/>
  <c r="S579" i="12"/>
  <c r="T579" i="12"/>
  <c r="L580" i="12"/>
  <c r="M580" i="12"/>
  <c r="N580" i="12"/>
  <c r="O580" i="12"/>
  <c r="P580" i="12"/>
  <c r="Q580" i="12"/>
  <c r="R580" i="12"/>
  <c r="S580" i="12"/>
  <c r="T580" i="12"/>
  <c r="L581" i="12"/>
  <c r="M581" i="12"/>
  <c r="N581" i="12"/>
  <c r="O581" i="12"/>
  <c r="P581" i="12"/>
  <c r="Q581" i="12"/>
  <c r="R581" i="12"/>
  <c r="S581" i="12"/>
  <c r="T581" i="12"/>
  <c r="L582" i="12"/>
  <c r="M582" i="12"/>
  <c r="N582" i="12"/>
  <c r="O582" i="12"/>
  <c r="P582" i="12"/>
  <c r="Q582" i="12"/>
  <c r="R582" i="12"/>
  <c r="S582" i="12"/>
  <c r="T582" i="12"/>
  <c r="L583" i="12"/>
  <c r="M583" i="12"/>
  <c r="N583" i="12"/>
  <c r="O583" i="12"/>
  <c r="P583" i="12"/>
  <c r="Q583" i="12"/>
  <c r="R583" i="12"/>
  <c r="S583" i="12"/>
  <c r="T583" i="12"/>
  <c r="L584" i="12"/>
  <c r="M584" i="12"/>
  <c r="N584" i="12"/>
  <c r="O584" i="12"/>
  <c r="P584" i="12"/>
  <c r="Q584" i="12"/>
  <c r="R584" i="12"/>
  <c r="S584" i="12"/>
  <c r="T584" i="12"/>
  <c r="L585" i="12"/>
  <c r="M585" i="12"/>
  <c r="N585" i="12"/>
  <c r="O585" i="12"/>
  <c r="P585" i="12"/>
  <c r="Q585" i="12"/>
  <c r="R585" i="12"/>
  <c r="S585" i="12"/>
  <c r="T585" i="12"/>
  <c r="K575" i="12"/>
  <c r="K576" i="12"/>
  <c r="K577" i="12"/>
  <c r="K578" i="12"/>
  <c r="K579" i="12"/>
  <c r="K580" i="12"/>
  <c r="K581" i="12"/>
  <c r="K582" i="12"/>
  <c r="K583" i="12"/>
  <c r="K584" i="12"/>
  <c r="K585" i="12"/>
  <c r="K574" i="12"/>
  <c r="B575" i="12"/>
  <c r="B397" i="12"/>
  <c r="B662" i="12"/>
  <c r="B663" i="12"/>
  <c r="B661" i="12"/>
  <c r="B659" i="12"/>
  <c r="B658" i="12"/>
  <c r="E759" i="12"/>
  <c r="F759" i="12" l="1"/>
  <c r="E772" i="12"/>
  <c r="G759" i="12" l="1"/>
  <c r="F772" i="12"/>
  <c r="B800" i="12"/>
  <c r="B801" i="12"/>
  <c r="B802" i="12"/>
  <c r="B803" i="12"/>
  <c r="B804" i="12"/>
  <c r="B805" i="12"/>
  <c r="B806" i="12"/>
  <c r="B807" i="12"/>
  <c r="B808" i="12"/>
  <c r="B809" i="12"/>
  <c r="B810" i="12"/>
  <c r="B785" i="12"/>
  <c r="B786" i="12"/>
  <c r="B787" i="12"/>
  <c r="B788" i="12"/>
  <c r="B789" i="12"/>
  <c r="B790" i="12"/>
  <c r="B791" i="12"/>
  <c r="B792" i="12"/>
  <c r="B793" i="12"/>
  <c r="B794" i="12"/>
  <c r="B795" i="12"/>
  <c r="B772" i="12"/>
  <c r="B773" i="12"/>
  <c r="B774" i="12"/>
  <c r="B775" i="12"/>
  <c r="B776" i="12"/>
  <c r="B777" i="12"/>
  <c r="B778" i="12"/>
  <c r="B779" i="12"/>
  <c r="B780" i="12"/>
  <c r="B781" i="12"/>
  <c r="B782" i="12"/>
  <c r="F761" i="12"/>
  <c r="F774" i="12" s="1"/>
  <c r="F762" i="12"/>
  <c r="F763" i="12"/>
  <c r="F764" i="12"/>
  <c r="F765" i="12"/>
  <c r="F766" i="12"/>
  <c r="F779" i="12" s="1"/>
  <c r="F767" i="12"/>
  <c r="F768" i="12"/>
  <c r="F781" i="12" s="1"/>
  <c r="F769" i="12"/>
  <c r="F760" i="12"/>
  <c r="F773" i="12" s="1"/>
  <c r="B759" i="12"/>
  <c r="B767" i="12"/>
  <c r="B768" i="12"/>
  <c r="B769" i="12"/>
  <c r="B761" i="12"/>
  <c r="B762" i="12"/>
  <c r="B763" i="12"/>
  <c r="B764" i="12"/>
  <c r="B765" i="12"/>
  <c r="B766" i="12"/>
  <c r="B760" i="12"/>
  <c r="G769" i="12" l="1"/>
  <c r="G782" i="12" s="1"/>
  <c r="F782" i="12"/>
  <c r="G765" i="12"/>
  <c r="G778" i="12" s="1"/>
  <c r="F778" i="12"/>
  <c r="G764" i="12"/>
  <c r="F777" i="12"/>
  <c r="G762" i="12"/>
  <c r="G775" i="12" s="1"/>
  <c r="F775" i="12"/>
  <c r="G767" i="12"/>
  <c r="G780" i="12" s="1"/>
  <c r="F780" i="12"/>
  <c r="G763" i="12"/>
  <c r="G776" i="12" s="1"/>
  <c r="F776" i="12"/>
  <c r="H759" i="12"/>
  <c r="G772" i="12"/>
  <c r="G760" i="12"/>
  <c r="G761" i="12"/>
  <c r="G768" i="12"/>
  <c r="G781" i="12" s="1"/>
  <c r="G766" i="12"/>
  <c r="G779" i="12" s="1"/>
  <c r="B616" i="12"/>
  <c r="H767" i="12" l="1"/>
  <c r="H780" i="12" s="1"/>
  <c r="H769" i="12"/>
  <c r="H782" i="12" s="1"/>
  <c r="H762" i="12"/>
  <c r="H775" i="12" s="1"/>
  <c r="H765" i="12"/>
  <c r="H778" i="12" s="1"/>
  <c r="H763" i="12"/>
  <c r="H776" i="12" s="1"/>
  <c r="H760" i="12"/>
  <c r="H773" i="12" s="1"/>
  <c r="G773" i="12"/>
  <c r="H761" i="12"/>
  <c r="G774" i="12"/>
  <c r="H772" i="12"/>
  <c r="H764" i="12"/>
  <c r="G777" i="12"/>
  <c r="H768" i="12"/>
  <c r="H781" i="12" s="1"/>
  <c r="H766" i="12"/>
  <c r="H779" i="12" s="1"/>
  <c r="H777" i="12" l="1"/>
  <c r="H774" i="12"/>
  <c r="L328" i="12"/>
  <c r="K328" i="12"/>
  <c r="E733" i="12"/>
  <c r="F814" i="12"/>
  <c r="F317" i="12" s="1"/>
  <c r="H755" i="12"/>
  <c r="G755" i="12"/>
  <c r="F755" i="12"/>
  <c r="E755" i="12"/>
  <c r="E701" i="12"/>
  <c r="E725" i="12"/>
  <c r="F723" i="12" s="1"/>
  <c r="L704" i="12"/>
  <c r="M704" i="12"/>
  <c r="N704" i="12"/>
  <c r="O704" i="12"/>
  <c r="P704" i="12"/>
  <c r="Q704" i="12"/>
  <c r="R704" i="12"/>
  <c r="S704" i="12"/>
  <c r="T704" i="12"/>
  <c r="L705" i="12"/>
  <c r="M705" i="12"/>
  <c r="N705" i="12"/>
  <c r="O705" i="12"/>
  <c r="P705" i="12"/>
  <c r="Q705" i="12"/>
  <c r="R705" i="12"/>
  <c r="S705" i="12"/>
  <c r="T705" i="12"/>
  <c r="K705" i="12"/>
  <c r="K704" i="12"/>
  <c r="H704" i="12"/>
  <c r="H705" i="12"/>
  <c r="G705" i="12"/>
  <c r="G704" i="12"/>
  <c r="F706" i="12"/>
  <c r="F209" i="12" s="1"/>
  <c r="K716" i="12"/>
  <c r="L715" i="12"/>
  <c r="M715" i="12"/>
  <c r="N715" i="12"/>
  <c r="O715" i="12"/>
  <c r="P715" i="12"/>
  <c r="Q715" i="12"/>
  <c r="R715" i="12"/>
  <c r="S715" i="12"/>
  <c r="T715" i="12"/>
  <c r="K715" i="12"/>
  <c r="G715" i="12"/>
  <c r="H715" i="12"/>
  <c r="F715" i="12"/>
  <c r="G712" i="12"/>
  <c r="H712" i="12"/>
  <c r="F712" i="12"/>
  <c r="G711" i="12"/>
  <c r="H711" i="12"/>
  <c r="F711" i="12"/>
  <c r="H701" i="12"/>
  <c r="G701" i="12"/>
  <c r="F701" i="12"/>
  <c r="H371" i="12"/>
  <c r="G371" i="12"/>
  <c r="F371" i="12"/>
  <c r="M287" i="12"/>
  <c r="N287" i="12"/>
  <c r="O287" i="12"/>
  <c r="P287" i="12"/>
  <c r="Q287" i="12"/>
  <c r="R287" i="12"/>
  <c r="S287" i="12"/>
  <c r="T287" i="12"/>
  <c r="L288" i="12"/>
  <c r="M288" i="12"/>
  <c r="N288" i="12"/>
  <c r="O288" i="12"/>
  <c r="P288" i="12"/>
  <c r="Q288" i="12"/>
  <c r="R288" i="12"/>
  <c r="S288" i="12"/>
  <c r="T288" i="12"/>
  <c r="K288" i="12"/>
  <c r="K287" i="12"/>
  <c r="G287" i="12"/>
  <c r="H287" i="12"/>
  <c r="G288" i="12"/>
  <c r="H288" i="12"/>
  <c r="F288" i="12"/>
  <c r="F287" i="12"/>
  <c r="L168" i="12"/>
  <c r="M168" i="12"/>
  <c r="N168" i="12"/>
  <c r="O168" i="12"/>
  <c r="P168" i="12"/>
  <c r="Q168" i="12"/>
  <c r="R168" i="12"/>
  <c r="S168" i="12"/>
  <c r="T168" i="12"/>
  <c r="K168" i="12"/>
  <c r="G168" i="12"/>
  <c r="H168" i="12"/>
  <c r="F168" i="12"/>
  <c r="G377" i="12"/>
  <c r="H377" i="12"/>
  <c r="K377" i="12"/>
  <c r="L377" i="12"/>
  <c r="M377" i="12"/>
  <c r="N377" i="12"/>
  <c r="O377" i="12"/>
  <c r="P377" i="12"/>
  <c r="Q377" i="12"/>
  <c r="R377" i="12"/>
  <c r="S377" i="12"/>
  <c r="T377" i="12"/>
  <c r="F377" i="12"/>
  <c r="F230" i="12" s="1"/>
  <c r="E166" i="12"/>
  <c r="K743" i="12" l="1"/>
  <c r="K742" i="12"/>
  <c r="K749" i="12"/>
  <c r="G814" i="12"/>
  <c r="K744" i="12"/>
  <c r="K748" i="12"/>
  <c r="K746" i="12"/>
  <c r="K741" i="12"/>
  <c r="K740" i="12"/>
  <c r="K745" i="12"/>
  <c r="K747" i="12"/>
  <c r="G230" i="12"/>
  <c r="H230" i="12" s="1"/>
  <c r="E920" i="12" s="1"/>
  <c r="M706" i="12"/>
  <c r="M209" i="12" s="1"/>
  <c r="K706" i="12"/>
  <c r="K209" i="12" s="1"/>
  <c r="T706" i="12"/>
  <c r="T209" i="12" s="1"/>
  <c r="P706" i="12"/>
  <c r="P209" i="12" s="1"/>
  <c r="L706" i="12"/>
  <c r="L209" i="12" s="1"/>
  <c r="G706" i="12"/>
  <c r="G209" i="12" s="1"/>
  <c r="Q706" i="12"/>
  <c r="Q209" i="12" s="1"/>
  <c r="H706" i="12"/>
  <c r="H209" i="12" s="1"/>
  <c r="S706" i="12"/>
  <c r="S209" i="12" s="1"/>
  <c r="O706" i="12"/>
  <c r="O209" i="12" s="1"/>
  <c r="R706" i="12"/>
  <c r="R209" i="12" s="1"/>
  <c r="N706" i="12"/>
  <c r="N209" i="12" s="1"/>
  <c r="E257" i="12"/>
  <c r="H814" i="12" l="1"/>
  <c r="P14" i="12" s="1"/>
  <c r="G317" i="12"/>
  <c r="K750" i="12"/>
  <c r="O46" i="12"/>
  <c r="M52" i="12"/>
  <c r="M51" i="12"/>
  <c r="M48" i="12"/>
  <c r="M47" i="12"/>
  <c r="F197" i="12"/>
  <c r="G197" i="12"/>
  <c r="H197" i="12"/>
  <c r="F193" i="12"/>
  <c r="G193" i="12"/>
  <c r="H193" i="12"/>
  <c r="F192" i="12"/>
  <c r="G192" i="12"/>
  <c r="H192" i="12"/>
  <c r="G815" i="12" l="1"/>
  <c r="E815" i="12"/>
  <c r="H317" i="12"/>
  <c r="H815" i="12"/>
  <c r="F815" i="12"/>
  <c r="E197" i="12" l="1"/>
  <c r="L571" i="12"/>
  <c r="M571" i="12" s="1"/>
  <c r="N571" i="12" s="1"/>
  <c r="O571" i="12" s="1"/>
  <c r="P571" i="12" s="1"/>
  <c r="Q571" i="12" s="1"/>
  <c r="R571" i="12" s="1"/>
  <c r="S571" i="12" s="1"/>
  <c r="T571" i="12" s="1"/>
  <c r="L572" i="12"/>
  <c r="M572" i="12" s="1"/>
  <c r="N572" i="12" s="1"/>
  <c r="O572" i="12" s="1"/>
  <c r="P572" i="12" s="1"/>
  <c r="Q572" i="12" s="1"/>
  <c r="R572" i="12" s="1"/>
  <c r="S572" i="12" s="1"/>
  <c r="T572" i="12" s="1"/>
  <c r="B601" i="12"/>
  <c r="B602" i="12"/>
  <c r="B593" i="12"/>
  <c r="B594" i="12"/>
  <c r="B595" i="12"/>
  <c r="B596" i="12"/>
  <c r="B597" i="12"/>
  <c r="B598" i="12"/>
  <c r="B599" i="12"/>
  <c r="B600" i="12"/>
  <c r="B618" i="12"/>
  <c r="B619" i="12"/>
  <c r="B620" i="12"/>
  <c r="B621" i="12"/>
  <c r="B622" i="12"/>
  <c r="B623" i="12"/>
  <c r="B624" i="12"/>
  <c r="B617" i="12"/>
  <c r="F164" i="12"/>
  <c r="G164" i="12" s="1"/>
  <c r="H164" i="12" s="1"/>
  <c r="F165" i="12"/>
  <c r="G165" i="12" s="1"/>
  <c r="H165" i="12" s="1"/>
  <c r="B159" i="12"/>
  <c r="B160" i="12"/>
  <c r="B161" i="12"/>
  <c r="B162" i="12"/>
  <c r="B163" i="12"/>
  <c r="B164" i="12"/>
  <c r="B165" i="12"/>
  <c r="B158" i="12"/>
  <c r="F318" i="12"/>
  <c r="G313" i="12"/>
  <c r="G314" i="12"/>
  <c r="H314" i="12" s="1"/>
  <c r="B308" i="12"/>
  <c r="B309" i="12"/>
  <c r="B310" i="12"/>
  <c r="B311" i="12"/>
  <c r="B312" i="12"/>
  <c r="B313" i="12"/>
  <c r="B314" i="12"/>
  <c r="B315" i="12"/>
  <c r="B316" i="12"/>
  <c r="B307" i="12"/>
  <c r="F255" i="12"/>
  <c r="G255" i="12" s="1"/>
  <c r="F256" i="12"/>
  <c r="G256" i="12" s="1"/>
  <c r="H256" i="12" s="1"/>
  <c r="E946" i="12" s="1"/>
  <c r="B256" i="12"/>
  <c r="B946" i="12" s="1"/>
  <c r="B255" i="12"/>
  <c r="B945" i="12" s="1"/>
  <c r="B254" i="12"/>
  <c r="B944" i="12" s="1"/>
  <c r="B253" i="12"/>
  <c r="B943" i="12" s="1"/>
  <c r="B252" i="12"/>
  <c r="B942" i="12" s="1"/>
  <c r="B251" i="12"/>
  <c r="B941" i="12" s="1"/>
  <c r="B250" i="12"/>
  <c r="B940" i="12" s="1"/>
  <c r="B249" i="12"/>
  <c r="B939" i="12" s="1"/>
  <c r="H313" i="12" l="1"/>
  <c r="H255" i="12"/>
  <c r="E945" i="12" s="1"/>
  <c r="L565" i="12"/>
  <c r="L392" i="12"/>
  <c r="K392" i="12"/>
  <c r="Q881" i="12"/>
  <c r="K399" i="12" s="1"/>
  <c r="M382" i="12" l="1"/>
  <c r="M381" i="12"/>
  <c r="P381" i="12"/>
  <c r="P382" i="12"/>
  <c r="S382" i="12"/>
  <c r="S381" i="12"/>
  <c r="O382" i="12"/>
  <c r="O381" i="12"/>
  <c r="K382" i="12"/>
  <c r="K381" i="12"/>
  <c r="Q381" i="12"/>
  <c r="Q382" i="12"/>
  <c r="T381" i="12"/>
  <c r="T382" i="12"/>
  <c r="L382" i="12"/>
  <c r="L381" i="12"/>
  <c r="R381" i="12"/>
  <c r="R382" i="12"/>
  <c r="N381" i="12"/>
  <c r="N382" i="12"/>
  <c r="O846" i="12"/>
  <c r="J1067" i="12" s="1"/>
  <c r="L1004" i="12"/>
  <c r="N1004" i="12"/>
  <c r="O1004" i="12"/>
  <c r="P1004" i="12"/>
  <c r="Q1004" i="12"/>
  <c r="R1004" i="12"/>
  <c r="S1004" i="12"/>
  <c r="T1004" i="12"/>
  <c r="K1004" i="12"/>
  <c r="L641" i="12"/>
  <c r="L640" i="12"/>
  <c r="M640" i="12" s="1"/>
  <c r="N640" i="12" s="1"/>
  <c r="O640" i="12" s="1"/>
  <c r="P640" i="12" s="1"/>
  <c r="Q640" i="12" s="1"/>
  <c r="R640" i="12" s="1"/>
  <c r="S640" i="12" s="1"/>
  <c r="T640" i="12" s="1"/>
  <c r="L991" i="12"/>
  <c r="K991" i="12"/>
  <c r="M641" i="12" l="1"/>
  <c r="D27" i="12"/>
  <c r="E972" i="12"/>
  <c r="O828" i="12"/>
  <c r="O862" i="12"/>
  <c r="O859" i="12"/>
  <c r="O860" i="12"/>
  <c r="O861" i="12"/>
  <c r="O870" i="12"/>
  <c r="S899" i="12" s="1"/>
  <c r="O839" i="12"/>
  <c r="O843" i="12"/>
  <c r="N952" i="12" s="1"/>
  <c r="O836" i="12"/>
  <c r="O840" i="12"/>
  <c r="O844" i="12"/>
  <c r="O837" i="12"/>
  <c r="O841" i="12"/>
  <c r="O834" i="12"/>
  <c r="O838" i="12"/>
  <c r="O842" i="12"/>
  <c r="Q383" i="12"/>
  <c r="Q385" i="12" s="1"/>
  <c r="R383" i="12"/>
  <c r="R385" i="12" s="1"/>
  <c r="O383" i="12"/>
  <c r="O385" i="12" s="1"/>
  <c r="M383" i="12"/>
  <c r="M385" i="12" s="1"/>
  <c r="T383" i="12"/>
  <c r="T385" i="12" s="1"/>
  <c r="K383" i="12"/>
  <c r="K385" i="12" s="1"/>
  <c r="P383" i="12"/>
  <c r="P385" i="12" s="1"/>
  <c r="N383" i="12"/>
  <c r="N385" i="12" s="1"/>
  <c r="L383" i="12"/>
  <c r="L385" i="12" s="1"/>
  <c r="S383" i="12"/>
  <c r="S385" i="12" s="1"/>
  <c r="O827" i="12"/>
  <c r="O826" i="12"/>
  <c r="B39" i="12" s="1"/>
  <c r="D15" i="12" l="1"/>
  <c r="J451" i="12"/>
  <c r="N938" i="12" s="1"/>
  <c r="N641" i="12"/>
  <c r="I815" i="12"/>
  <c r="J1036" i="12"/>
  <c r="N953" i="12"/>
  <c r="J1047" i="12"/>
  <c r="M880" i="12"/>
  <c r="J453" i="12"/>
  <c r="K453" i="12" s="1"/>
  <c r="L453" i="12" s="1"/>
  <c r="M453" i="12" s="1"/>
  <c r="N453" i="12" s="1"/>
  <c r="O453" i="12" s="1"/>
  <c r="P453" i="12" s="1"/>
  <c r="Q453" i="12" s="1"/>
  <c r="R453" i="12" s="1"/>
  <c r="S453" i="12" s="1"/>
  <c r="T453" i="12" s="1"/>
  <c r="J556" i="12"/>
  <c r="J547" i="12"/>
  <c r="J538" i="12"/>
  <c r="N946" i="12" s="1"/>
  <c r="J529" i="12"/>
  <c r="N945" i="12" s="1"/>
  <c r="J520" i="12"/>
  <c r="N944" i="12" s="1"/>
  <c r="J511" i="12"/>
  <c r="N943" i="12" s="1"/>
  <c r="J1012" i="12"/>
  <c r="J1017" i="12" s="1"/>
  <c r="J502" i="12"/>
  <c r="N942" i="12" s="1"/>
  <c r="J493" i="12"/>
  <c r="N941" i="12" s="1"/>
  <c r="J484" i="12"/>
  <c r="N940" i="12" s="1"/>
  <c r="L185" i="12"/>
  <c r="P185" i="12"/>
  <c r="T185" i="12"/>
  <c r="M185" i="12"/>
  <c r="Q185" i="12"/>
  <c r="K185" i="12"/>
  <c r="S185" i="12"/>
  <c r="N185" i="12"/>
  <c r="R185" i="12"/>
  <c r="O185" i="12"/>
  <c r="J1024" i="12"/>
  <c r="N888" i="12"/>
  <c r="M888" i="12"/>
  <c r="M883" i="12"/>
  <c r="N883" i="12"/>
  <c r="N886" i="12"/>
  <c r="M886" i="12"/>
  <c r="M887" i="12"/>
  <c r="N887" i="12"/>
  <c r="N882" i="12"/>
  <c r="M882" i="12"/>
  <c r="N889" i="12"/>
  <c r="M889" i="12"/>
  <c r="N884" i="12"/>
  <c r="M884" i="12"/>
  <c r="D25" i="12"/>
  <c r="N890" i="12"/>
  <c r="M890" i="12"/>
  <c r="N885" i="12"/>
  <c r="M885" i="12"/>
  <c r="D19" i="12"/>
  <c r="D21" i="12"/>
  <c r="D22" i="12"/>
  <c r="D17" i="12"/>
  <c r="D20" i="12"/>
  <c r="D23" i="12"/>
  <c r="D18" i="12"/>
  <c r="D24" i="12"/>
  <c r="H48" i="12"/>
  <c r="H49" i="12"/>
  <c r="H50" i="12"/>
  <c r="H51" i="12"/>
  <c r="E335" i="12"/>
  <c r="B335" i="12"/>
  <c r="B353" i="12" s="1"/>
  <c r="K59" i="12"/>
  <c r="L59" i="12"/>
  <c r="F157" i="12"/>
  <c r="G157" i="12" s="1"/>
  <c r="H157" i="12" s="1"/>
  <c r="K620" i="12" l="1"/>
  <c r="L620" i="12" s="1"/>
  <c r="K618" i="12"/>
  <c r="L618" i="12" s="1"/>
  <c r="K622" i="12"/>
  <c r="K624" i="12"/>
  <c r="L624" i="12" s="1"/>
  <c r="K616" i="12"/>
  <c r="L616" i="12" s="1"/>
  <c r="K626" i="12"/>
  <c r="K625" i="12"/>
  <c r="L625" i="12" s="1"/>
  <c r="K621" i="12"/>
  <c r="L621" i="12" s="1"/>
  <c r="K623" i="12"/>
  <c r="K619" i="12"/>
  <c r="O641" i="12"/>
  <c r="J762" i="12"/>
  <c r="J775" i="12" s="1"/>
  <c r="J767" i="12"/>
  <c r="J780" i="12" s="1"/>
  <c r="K508" i="12"/>
  <c r="K513" i="12" s="1"/>
  <c r="J764" i="12"/>
  <c r="J777" i="12" s="1"/>
  <c r="J768" i="12"/>
  <c r="J781" i="12" s="1"/>
  <c r="K517" i="12"/>
  <c r="K522" i="12" s="1"/>
  <c r="J765" i="12"/>
  <c r="J778" i="12" s="1"/>
  <c r="K553" i="12"/>
  <c r="K558" i="12" s="1"/>
  <c r="J769" i="12"/>
  <c r="J782" i="12" s="1"/>
  <c r="J761" i="12"/>
  <c r="J774" i="12" s="1"/>
  <c r="K499" i="12"/>
  <c r="K504" i="12" s="1"/>
  <c r="J763" i="12"/>
  <c r="J776" i="12" s="1"/>
  <c r="K526" i="12"/>
  <c r="K531" i="12" s="1"/>
  <c r="J766" i="12"/>
  <c r="J779" i="12" s="1"/>
  <c r="J50" i="12"/>
  <c r="I50" i="12"/>
  <c r="J49" i="12"/>
  <c r="I49" i="12"/>
  <c r="J48" i="12"/>
  <c r="I48" i="12"/>
  <c r="J51" i="12"/>
  <c r="I51" i="12"/>
  <c r="E195" i="12"/>
  <c r="J683" i="12"/>
  <c r="E194" i="12"/>
  <c r="J658" i="12"/>
  <c r="M620" i="12" l="1"/>
  <c r="N620" i="12" s="1"/>
  <c r="L623" i="12"/>
  <c r="L622" i="12"/>
  <c r="M622" i="12" s="1"/>
  <c r="M618" i="12"/>
  <c r="M616" i="12"/>
  <c r="L626" i="12"/>
  <c r="M626" i="12" s="1"/>
  <c r="N626" i="12" s="1"/>
  <c r="M624" i="12"/>
  <c r="N624" i="12" s="1"/>
  <c r="M621" i="12"/>
  <c r="N621" i="12" s="1"/>
  <c r="M625" i="12"/>
  <c r="L619" i="12"/>
  <c r="M619" i="12" s="1"/>
  <c r="K684" i="12"/>
  <c r="L684" i="12" s="1"/>
  <c r="K659" i="12"/>
  <c r="P641" i="12"/>
  <c r="J65" i="12"/>
  <c r="O620" i="12" l="1"/>
  <c r="M623" i="12"/>
  <c r="N623" i="12" s="1"/>
  <c r="O623" i="12" s="1"/>
  <c r="P623" i="12" s="1"/>
  <c r="N622" i="12"/>
  <c r="N616" i="12"/>
  <c r="N619" i="12"/>
  <c r="O626" i="12"/>
  <c r="P626" i="12" s="1"/>
  <c r="Q626" i="12" s="1"/>
  <c r="O624" i="12"/>
  <c r="P624" i="12" s="1"/>
  <c r="N618" i="12"/>
  <c r="O621" i="12"/>
  <c r="N625" i="12"/>
  <c r="O625" i="12" s="1"/>
  <c r="P625" i="12" s="1"/>
  <c r="M684" i="12"/>
  <c r="N684" i="12" s="1"/>
  <c r="L659" i="12"/>
  <c r="Q641" i="12"/>
  <c r="L169" i="12"/>
  <c r="L716" i="12" s="1"/>
  <c r="E216" i="12"/>
  <c r="E328" i="12"/>
  <c r="H277" i="12"/>
  <c r="G277" i="12"/>
  <c r="F277" i="12"/>
  <c r="H216" i="12"/>
  <c r="G216" i="12"/>
  <c r="F216" i="12"/>
  <c r="G328" i="12"/>
  <c r="H328" i="12"/>
  <c r="F328" i="12"/>
  <c r="L216" i="12"/>
  <c r="M216" i="12" s="1"/>
  <c r="N216" i="12" s="1"/>
  <c r="O216" i="12" s="1"/>
  <c r="P216" i="12" s="1"/>
  <c r="Q216" i="12" s="1"/>
  <c r="R216" i="12" s="1"/>
  <c r="S216" i="12" s="1"/>
  <c r="T216" i="12" s="1"/>
  <c r="P620" i="12" l="1"/>
  <c r="Q620" i="12" s="1"/>
  <c r="R620" i="12" s="1"/>
  <c r="Q623" i="12"/>
  <c r="R623" i="12" s="1"/>
  <c r="S623" i="12" s="1"/>
  <c r="O622" i="12"/>
  <c r="P622" i="12" s="1"/>
  <c r="Q622" i="12" s="1"/>
  <c r="R622" i="12" s="1"/>
  <c r="S622" i="12" s="1"/>
  <c r="T622" i="12" s="1"/>
  <c r="R626" i="12"/>
  <c r="S626" i="12" s="1"/>
  <c r="T626" i="12" s="1"/>
  <c r="Q625" i="12"/>
  <c r="R625" i="12" s="1"/>
  <c r="S625" i="12" s="1"/>
  <c r="T625" i="12" s="1"/>
  <c r="P621" i="12"/>
  <c r="Q621" i="12" s="1"/>
  <c r="R621" i="12" s="1"/>
  <c r="O618" i="12"/>
  <c r="Q624" i="12"/>
  <c r="R624" i="12" s="1"/>
  <c r="O616" i="12"/>
  <c r="P616" i="12" s="1"/>
  <c r="O619" i="12"/>
  <c r="M659" i="12"/>
  <c r="N659" i="12" s="1"/>
  <c r="O684" i="12"/>
  <c r="P684" i="12" s="1"/>
  <c r="R641" i="12"/>
  <c r="L175" i="12"/>
  <c r="M175" i="12" s="1"/>
  <c r="N175" i="12" s="1"/>
  <c r="O175" i="12" s="1"/>
  <c r="P175" i="12" s="1"/>
  <c r="Q175" i="12" s="1"/>
  <c r="R175" i="12" s="1"/>
  <c r="S175" i="12" s="1"/>
  <c r="T175" i="12" s="1"/>
  <c r="M169" i="12"/>
  <c r="G299" i="12"/>
  <c r="H299" i="12"/>
  <c r="F299" i="12"/>
  <c r="F301" i="12" s="1"/>
  <c r="F347" i="12"/>
  <c r="G347" i="12"/>
  <c r="H347" i="12"/>
  <c r="E348" i="12"/>
  <c r="E347" i="12"/>
  <c r="F174" i="12"/>
  <c r="G174" i="12" s="1"/>
  <c r="H174" i="12" s="1"/>
  <c r="F175" i="12"/>
  <c r="G175" i="12" s="1"/>
  <c r="H175" i="12" s="1"/>
  <c r="F173" i="12"/>
  <c r="G173" i="12" s="1"/>
  <c r="H173" i="12" s="1"/>
  <c r="F167" i="12"/>
  <c r="F169" i="12"/>
  <c r="F155" i="12"/>
  <c r="F158" i="12"/>
  <c r="G158" i="12" s="1"/>
  <c r="H158" i="12" s="1"/>
  <c r="F159" i="12"/>
  <c r="G159" i="12" s="1"/>
  <c r="H159" i="12" s="1"/>
  <c r="F160" i="12"/>
  <c r="G160" i="12" s="1"/>
  <c r="H160" i="12" s="1"/>
  <c r="F161" i="12"/>
  <c r="G161" i="12" s="1"/>
  <c r="H161" i="12" s="1"/>
  <c r="F162" i="12"/>
  <c r="G162" i="12" s="1"/>
  <c r="H162" i="12" s="1"/>
  <c r="F163" i="12"/>
  <c r="G163" i="12" s="1"/>
  <c r="H163" i="12" s="1"/>
  <c r="E196" i="12"/>
  <c r="F284" i="12"/>
  <c r="E193" i="12"/>
  <c r="E192" i="12"/>
  <c r="E142" i="12"/>
  <c r="E146" i="12"/>
  <c r="E148" i="12" s="1"/>
  <c r="F264" i="12"/>
  <c r="G264" i="12" s="1"/>
  <c r="H264" i="12" s="1"/>
  <c r="E954" i="12" s="1"/>
  <c r="G306" i="12"/>
  <c r="H306" i="12" s="1"/>
  <c r="G307" i="12"/>
  <c r="H307" i="12" s="1"/>
  <c r="G308" i="12"/>
  <c r="H308" i="12" s="1"/>
  <c r="G309" i="12"/>
  <c r="H309" i="12" s="1"/>
  <c r="G310" i="12"/>
  <c r="H310" i="12" s="1"/>
  <c r="G311" i="12"/>
  <c r="H311" i="12" s="1"/>
  <c r="G312" i="12"/>
  <c r="H312" i="12" s="1"/>
  <c r="G315" i="12"/>
  <c r="H315" i="12" s="1"/>
  <c r="G316" i="12"/>
  <c r="H316" i="12" s="1"/>
  <c r="G305" i="12"/>
  <c r="G300" i="12"/>
  <c r="G285" i="12"/>
  <c r="H285" i="12" s="1"/>
  <c r="F262" i="12"/>
  <c r="G262" i="12" s="1"/>
  <c r="H262" i="12" s="1"/>
  <c r="E952" i="12" s="1"/>
  <c r="F263" i="12"/>
  <c r="G263" i="12" s="1"/>
  <c r="H263" i="12" s="1"/>
  <c r="E953" i="12" s="1"/>
  <c r="F261" i="12"/>
  <c r="F248" i="12"/>
  <c r="F247" i="12"/>
  <c r="F249" i="12"/>
  <c r="G249" i="12" s="1"/>
  <c r="H249" i="12" s="1"/>
  <c r="E939" i="12" s="1"/>
  <c r="F250" i="12"/>
  <c r="G250" i="12" s="1"/>
  <c r="H250" i="12" s="1"/>
  <c r="E940" i="12" s="1"/>
  <c r="F251" i="12"/>
  <c r="G251" i="12" s="1"/>
  <c r="H251" i="12" s="1"/>
  <c r="E941" i="12" s="1"/>
  <c r="F252" i="12"/>
  <c r="G252" i="12" s="1"/>
  <c r="H252" i="12" s="1"/>
  <c r="E942" i="12" s="1"/>
  <c r="F253" i="12"/>
  <c r="G253" i="12" s="1"/>
  <c r="H253" i="12" s="1"/>
  <c r="E943" i="12" s="1"/>
  <c r="F254" i="12"/>
  <c r="G254" i="12" s="1"/>
  <c r="H254" i="12" s="1"/>
  <c r="E944" i="12" s="1"/>
  <c r="F259" i="12"/>
  <c r="F293" i="12" s="1"/>
  <c r="F246" i="12"/>
  <c r="G246" i="12" s="1"/>
  <c r="H246" i="12" s="1"/>
  <c r="E936" i="12" s="1"/>
  <c r="F234" i="12"/>
  <c r="G234" i="12" s="1"/>
  <c r="H234" i="12" s="1"/>
  <c r="E924" i="12" s="1"/>
  <c r="F231" i="12"/>
  <c r="G231" i="12" s="1"/>
  <c r="H231" i="12" s="1"/>
  <c r="E921" i="12" s="1"/>
  <c r="F235" i="12"/>
  <c r="F232" i="12"/>
  <c r="G232" i="12" s="1"/>
  <c r="H232" i="12" s="1"/>
  <c r="S624" i="12" l="1"/>
  <c r="T624" i="12" s="1"/>
  <c r="T623" i="12"/>
  <c r="S620" i="12"/>
  <c r="T620" i="12" s="1"/>
  <c r="P618" i="12"/>
  <c r="Q618" i="12" s="1"/>
  <c r="S621" i="12"/>
  <c r="T621" i="12" s="1"/>
  <c r="J347" i="12"/>
  <c r="E353" i="12"/>
  <c r="Q616" i="12"/>
  <c r="P619" i="12"/>
  <c r="Q619" i="12" s="1"/>
  <c r="R619" i="12" s="1"/>
  <c r="S619" i="12" s="1"/>
  <c r="T619" i="12" s="1"/>
  <c r="O659" i="12"/>
  <c r="P659" i="12" s="1"/>
  <c r="Q659" i="12" s="1"/>
  <c r="Q684" i="12"/>
  <c r="R684" i="12" s="1"/>
  <c r="S684" i="12" s="1"/>
  <c r="T684" i="12" s="1"/>
  <c r="S641" i="12"/>
  <c r="E922" i="12"/>
  <c r="P35" i="12"/>
  <c r="F591" i="12"/>
  <c r="E702" i="12"/>
  <c r="E756" i="12"/>
  <c r="G235" i="12"/>
  <c r="G292" i="12" s="1"/>
  <c r="F292" i="12"/>
  <c r="N169" i="12"/>
  <c r="M716" i="12"/>
  <c r="G169" i="12"/>
  <c r="F716" i="12"/>
  <c r="G155" i="12"/>
  <c r="H155" i="12" s="1"/>
  <c r="G167" i="12"/>
  <c r="G247" i="12"/>
  <c r="F257" i="12"/>
  <c r="G248" i="12"/>
  <c r="H305" i="12"/>
  <c r="G318" i="12"/>
  <c r="H300" i="12"/>
  <c r="G301" i="12"/>
  <c r="G284" i="12"/>
  <c r="F195" i="12"/>
  <c r="F194" i="12"/>
  <c r="F283" i="12"/>
  <c r="E150" i="12"/>
  <c r="E201" i="12" s="1"/>
  <c r="F142" i="12"/>
  <c r="E217" i="12"/>
  <c r="E329" i="12"/>
  <c r="F233" i="12"/>
  <c r="E200" i="12"/>
  <c r="E199" i="12"/>
  <c r="G259" i="12"/>
  <c r="H259" i="12" s="1"/>
  <c r="E949" i="12" s="1"/>
  <c r="G261" i="12"/>
  <c r="R618" i="12" l="1"/>
  <c r="S618" i="12" s="1"/>
  <c r="T618" i="12" s="1"/>
  <c r="R616" i="12"/>
  <c r="S616" i="12" s="1"/>
  <c r="T616" i="12" s="1"/>
  <c r="R659" i="12"/>
  <c r="S659" i="12" s="1"/>
  <c r="T641" i="12"/>
  <c r="G591" i="12"/>
  <c r="G156" i="12" s="1"/>
  <c r="G166" i="12" s="1"/>
  <c r="G170" i="12" s="1"/>
  <c r="F156" i="12"/>
  <c r="F166" i="12" s="1"/>
  <c r="F170" i="12" s="1"/>
  <c r="F756" i="12"/>
  <c r="H235" i="12"/>
  <c r="F702" i="12"/>
  <c r="F372" i="12"/>
  <c r="O169" i="12"/>
  <c r="N716" i="12"/>
  <c r="H169" i="12"/>
  <c r="G716" i="12"/>
  <c r="H167" i="12"/>
  <c r="H247" i="12"/>
  <c r="E937" i="12" s="1"/>
  <c r="G257" i="12"/>
  <c r="H248" i="12"/>
  <c r="E938" i="12" s="1"/>
  <c r="H318" i="12"/>
  <c r="H301" i="12"/>
  <c r="G233" i="12"/>
  <c r="H284" i="12"/>
  <c r="G195" i="12"/>
  <c r="G283" i="12"/>
  <c r="G194" i="12"/>
  <c r="E153" i="12"/>
  <c r="E170" i="12" s="1"/>
  <c r="G142" i="12"/>
  <c r="F329" i="12"/>
  <c r="F278" i="12"/>
  <c r="F217" i="12"/>
  <c r="K142" i="12"/>
  <c r="F146" i="12"/>
  <c r="F348" i="12"/>
  <c r="H293" i="12"/>
  <c r="G293" i="12"/>
  <c r="H261" i="12"/>
  <c r="P32" i="12" s="1"/>
  <c r="E205" i="12" l="1"/>
  <c r="T659" i="12"/>
  <c r="E951" i="12"/>
  <c r="P24" i="12"/>
  <c r="H292" i="12"/>
  <c r="E925" i="12"/>
  <c r="K635" i="12"/>
  <c r="K372" i="12"/>
  <c r="K989" i="12"/>
  <c r="K679" i="12"/>
  <c r="K278" i="12"/>
  <c r="K702" i="12"/>
  <c r="K756" i="12"/>
  <c r="K614" i="12"/>
  <c r="K566" i="12"/>
  <c r="H591" i="12"/>
  <c r="H156" i="12" s="1"/>
  <c r="H166" i="12" s="1"/>
  <c r="H170" i="12" s="1"/>
  <c r="F714" i="12"/>
  <c r="G756" i="12"/>
  <c r="K329" i="12"/>
  <c r="G702" i="12"/>
  <c r="G372" i="12"/>
  <c r="P169" i="12"/>
  <c r="O716" i="12"/>
  <c r="H716" i="12"/>
  <c r="G714" i="12"/>
  <c r="H257" i="12"/>
  <c r="G146" i="12"/>
  <c r="G199" i="12" s="1"/>
  <c r="F148" i="12"/>
  <c r="K393" i="12"/>
  <c r="K60" i="12"/>
  <c r="H233" i="12"/>
  <c r="H195" i="12"/>
  <c r="H283" i="12"/>
  <c r="H194" i="12"/>
  <c r="E202" i="12"/>
  <c r="H142" i="12"/>
  <c r="G278" i="12"/>
  <c r="G217" i="12"/>
  <c r="G329" i="12"/>
  <c r="F199" i="12"/>
  <c r="L142" i="12"/>
  <c r="K217" i="12"/>
  <c r="H714" i="12" l="1"/>
  <c r="E923" i="12"/>
  <c r="L989" i="12"/>
  <c r="L702" i="12"/>
  <c r="L679" i="12"/>
  <c r="L635" i="12"/>
  <c r="L756" i="12"/>
  <c r="L614" i="12"/>
  <c r="L372" i="12"/>
  <c r="L278" i="12"/>
  <c r="K1048" i="12"/>
  <c r="K1025" i="12"/>
  <c r="K1013" i="12"/>
  <c r="L401" i="12"/>
  <c r="L398" i="12"/>
  <c r="H756" i="12"/>
  <c r="L397" i="12"/>
  <c r="L329" i="12"/>
  <c r="K327" i="12"/>
  <c r="H702" i="12"/>
  <c r="H372" i="12"/>
  <c r="Q169" i="12"/>
  <c r="P716" i="12"/>
  <c r="F200" i="12"/>
  <c r="F710" i="12"/>
  <c r="F150" i="12"/>
  <c r="F152" i="12" s="1"/>
  <c r="G348" i="12"/>
  <c r="L393" i="12"/>
  <c r="L566" i="12"/>
  <c r="K391" i="12"/>
  <c r="L60" i="12"/>
  <c r="K58" i="12"/>
  <c r="E209" i="12"/>
  <c r="E172" i="12"/>
  <c r="H329" i="12"/>
  <c r="H278" i="12"/>
  <c r="H217" i="12"/>
  <c r="G148" i="12"/>
  <c r="G710" i="12" s="1"/>
  <c r="H146" i="12"/>
  <c r="H148" i="12" s="1"/>
  <c r="H348" i="12"/>
  <c r="M142" i="12"/>
  <c r="L217" i="12"/>
  <c r="J348" i="12" l="1"/>
  <c r="E907" i="12"/>
  <c r="J60" i="12"/>
  <c r="J217" i="12"/>
  <c r="M989" i="12"/>
  <c r="M679" i="12"/>
  <c r="M635" i="12"/>
  <c r="M756" i="12"/>
  <c r="M614" i="12"/>
  <c r="M702" i="12"/>
  <c r="M372" i="12"/>
  <c r="M278" i="12"/>
  <c r="K598" i="12"/>
  <c r="K596" i="12"/>
  <c r="K599" i="12"/>
  <c r="K597" i="12"/>
  <c r="L408" i="12"/>
  <c r="K554" i="12"/>
  <c r="K426" i="12" s="1"/>
  <c r="L407" i="12"/>
  <c r="L406" i="12"/>
  <c r="L405" i="12"/>
  <c r="K527" i="12"/>
  <c r="K423" i="12" s="1"/>
  <c r="L404" i="12"/>
  <c r="K518" i="12"/>
  <c r="K422" i="12" s="1"/>
  <c r="L403" i="12"/>
  <c r="K509" i="12"/>
  <c r="L402" i="12"/>
  <c r="K500" i="12"/>
  <c r="K420" i="12" s="1"/>
  <c r="L400" i="12"/>
  <c r="L399" i="12"/>
  <c r="E706" i="12"/>
  <c r="R169" i="12"/>
  <c r="Q716" i="12"/>
  <c r="H150" i="12"/>
  <c r="H152" i="12" s="1"/>
  <c r="H710" i="12"/>
  <c r="F196" i="12"/>
  <c r="F713" i="12"/>
  <c r="F201" i="12"/>
  <c r="F286" i="12"/>
  <c r="F289" i="12" s="1"/>
  <c r="O50" i="12"/>
  <c r="F265" i="12"/>
  <c r="G150" i="12"/>
  <c r="J64" i="12"/>
  <c r="K347" i="12"/>
  <c r="M393" i="12"/>
  <c r="M566" i="12"/>
  <c r="M60" i="12"/>
  <c r="E176" i="12"/>
  <c r="G200" i="12"/>
  <c r="H199" i="12"/>
  <c r="M329" i="12"/>
  <c r="N142" i="12"/>
  <c r="M217" i="12"/>
  <c r="F202" i="12"/>
  <c r="H200" i="12"/>
  <c r="E206" i="12" l="1"/>
  <c r="J329" i="12"/>
  <c r="J679" i="12"/>
  <c r="J635" i="12"/>
  <c r="J393" i="12"/>
  <c r="J756" i="12"/>
  <c r="J989" i="12"/>
  <c r="J702" i="12"/>
  <c r="N635" i="12"/>
  <c r="N756" i="12"/>
  <c r="N614" i="12"/>
  <c r="N702" i="12"/>
  <c r="N989" i="12"/>
  <c r="N679" i="12"/>
  <c r="N278" i="12"/>
  <c r="N372" i="12"/>
  <c r="F717" i="12"/>
  <c r="F719" i="12" s="1"/>
  <c r="K421" i="12"/>
  <c r="H713" i="12"/>
  <c r="E203" i="12"/>
  <c r="K639" i="12"/>
  <c r="E797" i="12"/>
  <c r="E785" i="12"/>
  <c r="F27" i="12"/>
  <c r="F22" i="12"/>
  <c r="F25" i="12"/>
  <c r="F23" i="12"/>
  <c r="F24" i="12"/>
  <c r="J815" i="12"/>
  <c r="E795" i="12"/>
  <c r="E791" i="12"/>
  <c r="E787" i="12"/>
  <c r="E792" i="12"/>
  <c r="E794" i="12"/>
  <c r="E790" i="12"/>
  <c r="E786" i="12"/>
  <c r="E793" i="12"/>
  <c r="E789" i="12"/>
  <c r="E788" i="12"/>
  <c r="H196" i="12"/>
  <c r="S169" i="12"/>
  <c r="R716" i="12"/>
  <c r="H286" i="12"/>
  <c r="H289" i="12" s="1"/>
  <c r="G152" i="12"/>
  <c r="G201" i="12"/>
  <c r="K299" i="12"/>
  <c r="N566" i="12"/>
  <c r="N393" i="12"/>
  <c r="N60" i="12"/>
  <c r="O142" i="12"/>
  <c r="N217" i="12"/>
  <c r="N329" i="12"/>
  <c r="G202" i="12"/>
  <c r="H202" i="12"/>
  <c r="H201" i="12"/>
  <c r="K644" i="12" l="1"/>
  <c r="L644" i="12" s="1"/>
  <c r="M644" i="12" s="1"/>
  <c r="N644" i="12" s="1"/>
  <c r="O756" i="12"/>
  <c r="O614" i="12"/>
  <c r="O702" i="12"/>
  <c r="O989" i="12"/>
  <c r="O679" i="12"/>
  <c r="O635" i="12"/>
  <c r="O278" i="12"/>
  <c r="O372" i="12"/>
  <c r="H717" i="12"/>
  <c r="H719" i="12" s="1"/>
  <c r="E800" i="12"/>
  <c r="K815" i="12"/>
  <c r="L815" i="12" s="1"/>
  <c r="M815" i="12" s="1"/>
  <c r="N815" i="12" s="1"/>
  <c r="O815" i="12" s="1"/>
  <c r="P815" i="12" s="1"/>
  <c r="Q815" i="12" s="1"/>
  <c r="R815" i="12" s="1"/>
  <c r="S815" i="12" s="1"/>
  <c r="T815" i="12" s="1"/>
  <c r="I946" i="12"/>
  <c r="K946" i="12" s="1"/>
  <c r="I945" i="12"/>
  <c r="K945" i="12" s="1"/>
  <c r="E802" i="12"/>
  <c r="E806" i="12"/>
  <c r="E810" i="12"/>
  <c r="E807" i="12"/>
  <c r="E804" i="12"/>
  <c r="E801" i="12"/>
  <c r="E805" i="12"/>
  <c r="E809" i="12"/>
  <c r="E803" i="12"/>
  <c r="E808" i="12"/>
  <c r="T169" i="12"/>
  <c r="T716" i="12" s="1"/>
  <c r="S716" i="12"/>
  <c r="G196" i="12"/>
  <c r="G713" i="12"/>
  <c r="G286" i="12"/>
  <c r="G289" i="12" s="1"/>
  <c r="G265" i="12"/>
  <c r="H265" i="12" s="1"/>
  <c r="E955" i="12" s="1"/>
  <c r="O393" i="12"/>
  <c r="O566" i="12"/>
  <c r="O60" i="12"/>
  <c r="O329" i="12"/>
  <c r="P142" i="12"/>
  <c r="O217" i="12"/>
  <c r="O644" i="12" l="1"/>
  <c r="P644" i="12" s="1"/>
  <c r="P989" i="12"/>
  <c r="P679" i="12"/>
  <c r="P635" i="12"/>
  <c r="P756" i="12"/>
  <c r="P702" i="12"/>
  <c r="P614" i="12"/>
  <c r="P372" i="12"/>
  <c r="P278" i="12"/>
  <c r="G717" i="12"/>
  <c r="G719" i="12" s="1"/>
  <c r="O945" i="12"/>
  <c r="J255" i="12" s="1"/>
  <c r="I255" i="12" s="1"/>
  <c r="O946" i="12"/>
  <c r="J256" i="12" s="1"/>
  <c r="I256" i="12" s="1"/>
  <c r="E816" i="12"/>
  <c r="E817" i="12" s="1"/>
  <c r="P393" i="12"/>
  <c r="P566" i="12"/>
  <c r="P60" i="12"/>
  <c r="P329" i="12"/>
  <c r="P217" i="12"/>
  <c r="Q142" i="12"/>
  <c r="Q644" i="12" l="1"/>
  <c r="R644" i="12" s="1"/>
  <c r="S644" i="12" s="1"/>
  <c r="Q635" i="12"/>
  <c r="Q989" i="12"/>
  <c r="Q679" i="12"/>
  <c r="Q756" i="12"/>
  <c r="Q614" i="12"/>
  <c r="Q702" i="12"/>
  <c r="Q278" i="12"/>
  <c r="Q372" i="12"/>
  <c r="Q393" i="12"/>
  <c r="Q566" i="12"/>
  <c r="Q60" i="12"/>
  <c r="Q329" i="12"/>
  <c r="Q217" i="12"/>
  <c r="R142" i="12"/>
  <c r="T644" i="12" l="1"/>
  <c r="R756" i="12"/>
  <c r="R989" i="12"/>
  <c r="R679" i="12"/>
  <c r="R635" i="12"/>
  <c r="R614" i="12"/>
  <c r="R702" i="12"/>
  <c r="R278" i="12"/>
  <c r="R372" i="12"/>
  <c r="R566" i="12"/>
  <c r="R393" i="12"/>
  <c r="R60" i="12"/>
  <c r="R329" i="12"/>
  <c r="S142" i="12"/>
  <c r="R217" i="12"/>
  <c r="S679" i="12" l="1"/>
  <c r="S756" i="12"/>
  <c r="S614" i="12"/>
  <c r="S702" i="12"/>
  <c r="S989" i="12"/>
  <c r="S635" i="12"/>
  <c r="S278" i="12"/>
  <c r="S372" i="12"/>
  <c r="S566" i="12"/>
  <c r="S393" i="12"/>
  <c r="S60" i="12"/>
  <c r="S217" i="12"/>
  <c r="T142" i="12"/>
  <c r="S329" i="12"/>
  <c r="T989" i="12" l="1"/>
  <c r="T702" i="12"/>
  <c r="T679" i="12"/>
  <c r="T635" i="12"/>
  <c r="T756" i="12"/>
  <c r="T614" i="12"/>
  <c r="T372" i="12"/>
  <c r="T278" i="12"/>
  <c r="T393" i="12"/>
  <c r="T566" i="12"/>
  <c r="T60" i="12"/>
  <c r="B644" i="12" a="1"/>
  <c r="T217" i="12"/>
  <c r="T329" i="12"/>
  <c r="B647" i="12" l="1"/>
  <c r="B650" i="12"/>
  <c r="B645" i="12"/>
  <c r="B651" i="12"/>
  <c r="B646" i="12"/>
  <c r="B652" i="12"/>
  <c r="B653" i="12"/>
  <c r="B648" i="12"/>
  <c r="B649" i="12"/>
  <c r="B644" i="12"/>
  <c r="E338" i="12"/>
  <c r="E356" i="12" s="1"/>
  <c r="E339" i="12"/>
  <c r="E357" i="12" s="1"/>
  <c r="E340" i="12"/>
  <c r="E358" i="12" s="1"/>
  <c r="E341" i="12"/>
  <c r="E359" i="12" s="1"/>
  <c r="E333" i="12"/>
  <c r="E351" i="12" s="1"/>
  <c r="E334" i="12"/>
  <c r="E352" i="12" s="1"/>
  <c r="E336" i="12"/>
  <c r="E354" i="12" s="1"/>
  <c r="E267" i="12"/>
  <c r="E245" i="12"/>
  <c r="E260" i="12" s="1"/>
  <c r="E228" i="12"/>
  <c r="F228" i="12" s="1"/>
  <c r="G228" i="12" s="1"/>
  <c r="H228" i="12" s="1"/>
  <c r="E918" i="12" s="1"/>
  <c r="E226" i="12"/>
  <c r="E236" i="12" s="1"/>
  <c r="E207" i="12" s="1"/>
  <c r="M141" i="12"/>
  <c r="B174" i="12"/>
  <c r="B173" i="12"/>
  <c r="M988" i="12" l="1"/>
  <c r="M991" i="12" s="1"/>
  <c r="M678" i="12"/>
  <c r="M755" i="12"/>
  <c r="M613" i="12"/>
  <c r="M701" i="12"/>
  <c r="M634" i="12"/>
  <c r="M277" i="12"/>
  <c r="M328" i="12"/>
  <c r="M371" i="12"/>
  <c r="M392" i="12"/>
  <c r="M398" i="12" s="1"/>
  <c r="M565" i="12"/>
  <c r="E337" i="12"/>
  <c r="F351" i="12"/>
  <c r="F333" i="12" s="1"/>
  <c r="E342" i="12"/>
  <c r="F356" i="12"/>
  <c r="F338" i="12" s="1"/>
  <c r="M59" i="12"/>
  <c r="N141" i="12"/>
  <c r="E227" i="12"/>
  <c r="F227" i="12" s="1"/>
  <c r="F352" i="12"/>
  <c r="F334" i="12" s="1"/>
  <c r="F358" i="12"/>
  <c r="F340" i="12" s="1"/>
  <c r="F353" i="12"/>
  <c r="F335" i="12" s="1"/>
  <c r="F354" i="12"/>
  <c r="F336" i="12" s="1"/>
  <c r="F357" i="12"/>
  <c r="F339" i="12" s="1"/>
  <c r="F359" i="12"/>
  <c r="F341" i="12" s="1"/>
  <c r="E268" i="12"/>
  <c r="E270" i="12" s="1"/>
  <c r="P12" i="12"/>
  <c r="E734" i="12" s="1"/>
  <c r="K301" i="12"/>
  <c r="J825" i="12"/>
  <c r="K825" i="12" s="1"/>
  <c r="L825" i="12" s="1"/>
  <c r="M825" i="12" s="1"/>
  <c r="N825" i="12" s="1"/>
  <c r="B305" i="12"/>
  <c r="B248" i="12"/>
  <c r="B938" i="12" s="1"/>
  <c r="B341" i="12"/>
  <c r="B359" i="12" s="1"/>
  <c r="B340" i="12"/>
  <c r="B358" i="12" s="1"/>
  <c r="B339" i="12"/>
  <c r="B357" i="12" s="1"/>
  <c r="B338" i="12"/>
  <c r="B356" i="12" s="1"/>
  <c r="B336" i="12"/>
  <c r="B354" i="12" s="1"/>
  <c r="B334" i="12"/>
  <c r="B352" i="12" s="1"/>
  <c r="B333" i="12"/>
  <c r="B351" i="12" s="1"/>
  <c r="F364" i="12" l="1"/>
  <c r="F363" i="12"/>
  <c r="F361" i="12"/>
  <c r="L692" i="12"/>
  <c r="L669" i="12"/>
  <c r="N988" i="12"/>
  <c r="N991" i="12" s="1"/>
  <c r="N678" i="12"/>
  <c r="N701" i="12"/>
  <c r="N634" i="12"/>
  <c r="N755" i="12"/>
  <c r="N613" i="12"/>
  <c r="N371" i="12"/>
  <c r="N328" i="12"/>
  <c r="N277" i="12"/>
  <c r="G743" i="12"/>
  <c r="H743" i="12" s="1"/>
  <c r="G747" i="12"/>
  <c r="H747" i="12" s="1"/>
  <c r="G744" i="12"/>
  <c r="H744" i="12" s="1"/>
  <c r="G748" i="12"/>
  <c r="H748" i="12" s="1"/>
  <c r="G741" i="12"/>
  <c r="H741" i="12" s="1"/>
  <c r="G745" i="12"/>
  <c r="H745" i="12" s="1"/>
  <c r="G749" i="12"/>
  <c r="H749" i="12" s="1"/>
  <c r="G742" i="12"/>
  <c r="H742" i="12" s="1"/>
  <c r="G746" i="12"/>
  <c r="H746" i="12" s="1"/>
  <c r="G740" i="12"/>
  <c r="M405" i="12"/>
  <c r="M408" i="12"/>
  <c r="M401" i="12"/>
  <c r="M404" i="12"/>
  <c r="M400" i="12"/>
  <c r="M397" i="12"/>
  <c r="M407" i="12"/>
  <c r="M402" i="12"/>
  <c r="M399" i="12"/>
  <c r="M406" i="12"/>
  <c r="M403" i="12"/>
  <c r="P23" i="12"/>
  <c r="F349" i="12"/>
  <c r="F362" i="12" s="1"/>
  <c r="L184" i="12"/>
  <c r="L65" i="12" s="1"/>
  <c r="N392" i="12"/>
  <c r="N398" i="12" s="1"/>
  <c r="N565" i="12"/>
  <c r="E343" i="12"/>
  <c r="F224" i="12"/>
  <c r="F223" i="12"/>
  <c r="F342" i="12"/>
  <c r="F222" i="12"/>
  <c r="N59" i="12"/>
  <c r="O141" i="12"/>
  <c r="G227" i="12"/>
  <c r="H227" i="12" s="1"/>
  <c r="G352" i="12"/>
  <c r="G351" i="12"/>
  <c r="G358" i="12"/>
  <c r="G340" i="12" s="1"/>
  <c r="F243" i="12"/>
  <c r="G353" i="12"/>
  <c r="G335" i="12" s="1"/>
  <c r="G354" i="12"/>
  <c r="G336" i="12" s="1"/>
  <c r="F225" i="12"/>
  <c r="G356" i="12"/>
  <c r="G338" i="12" s="1"/>
  <c r="F241" i="12"/>
  <c r="G359" i="12"/>
  <c r="G341" i="12" s="1"/>
  <c r="F244" i="12"/>
  <c r="G357" i="12"/>
  <c r="G339" i="12" s="1"/>
  <c r="F242" i="12"/>
  <c r="P18" i="12"/>
  <c r="G334" i="12" l="1"/>
  <c r="G333" i="12"/>
  <c r="M692" i="12"/>
  <c r="M669" i="12"/>
  <c r="E917" i="12"/>
  <c r="F46" i="12"/>
  <c r="O988" i="12"/>
  <c r="O991" i="12" s="1"/>
  <c r="O678" i="12"/>
  <c r="O634" i="12"/>
  <c r="O755" i="12"/>
  <c r="O613" i="12"/>
  <c r="O701" i="12"/>
  <c r="O277" i="12"/>
  <c r="O328" i="12"/>
  <c r="O371" i="12"/>
  <c r="H740" i="12"/>
  <c r="H750" i="12" s="1"/>
  <c r="G750" i="12"/>
  <c r="P15" i="12" s="1"/>
  <c r="M899" i="12"/>
  <c r="O899" i="12" s="1"/>
  <c r="N408" i="12"/>
  <c r="N404" i="12"/>
  <c r="N400" i="12"/>
  <c r="N403" i="12"/>
  <c r="N402" i="12"/>
  <c r="N399" i="12"/>
  <c r="N406" i="12"/>
  <c r="N407" i="12"/>
  <c r="N405" i="12"/>
  <c r="N401" i="12"/>
  <c r="N397" i="12"/>
  <c r="L639" i="12"/>
  <c r="L299" i="12"/>
  <c r="M184" i="12"/>
  <c r="M65" i="12" s="1"/>
  <c r="O392" i="12"/>
  <c r="O398" i="12" s="1"/>
  <c r="O565" i="12"/>
  <c r="G224" i="12"/>
  <c r="F337" i="12"/>
  <c r="F343" i="12" s="1"/>
  <c r="G342" i="12"/>
  <c r="G222" i="12"/>
  <c r="O59" i="12"/>
  <c r="P141" i="12"/>
  <c r="H352" i="12"/>
  <c r="H334" i="12" s="1"/>
  <c r="H351" i="12"/>
  <c r="H333" i="12" s="1"/>
  <c r="H353" i="12"/>
  <c r="H335" i="12" s="1"/>
  <c r="H358" i="12"/>
  <c r="H340" i="12" s="1"/>
  <c r="G243" i="12"/>
  <c r="H357" i="12"/>
  <c r="H339" i="12" s="1"/>
  <c r="G242" i="12"/>
  <c r="H359" i="12"/>
  <c r="H341" i="12" s="1"/>
  <c r="G244" i="12"/>
  <c r="F245" i="12"/>
  <c r="H356" i="12"/>
  <c r="H338" i="12" s="1"/>
  <c r="G241" i="12"/>
  <c r="H354" i="12"/>
  <c r="H336" i="12" s="1"/>
  <c r="G225" i="12"/>
  <c r="O47" i="12"/>
  <c r="L645" i="12" l="1"/>
  <c r="M645" i="12" s="1"/>
  <c r="N645" i="12" s="1"/>
  <c r="H361" i="12"/>
  <c r="G361" i="12"/>
  <c r="H364" i="12"/>
  <c r="H363" i="12"/>
  <c r="G363" i="12"/>
  <c r="G364" i="12"/>
  <c r="G349" i="12"/>
  <c r="G362" i="12" s="1"/>
  <c r="G223" i="12"/>
  <c r="N692" i="12"/>
  <c r="N669" i="12"/>
  <c r="P613" i="12"/>
  <c r="P988" i="12"/>
  <c r="P991" i="12" s="1"/>
  <c r="P678" i="12"/>
  <c r="P634" i="12"/>
  <c r="P755" i="12"/>
  <c r="P701" i="12"/>
  <c r="P277" i="12"/>
  <c r="P371" i="12"/>
  <c r="P328" i="12"/>
  <c r="M639" i="12"/>
  <c r="M833" i="12"/>
  <c r="L833" i="12"/>
  <c r="P20" i="12"/>
  <c r="N833" i="12"/>
  <c r="O833" i="12" s="1"/>
  <c r="D14" i="12" s="1"/>
  <c r="F14" i="12" s="1"/>
  <c r="R899" i="12"/>
  <c r="P899" i="12"/>
  <c r="O400" i="12"/>
  <c r="O399" i="12"/>
  <c r="O397" i="12"/>
  <c r="O407" i="12"/>
  <c r="O401" i="12"/>
  <c r="O405" i="12"/>
  <c r="O406" i="12"/>
  <c r="O403" i="12"/>
  <c r="O402" i="12"/>
  <c r="O408" i="12"/>
  <c r="O404" i="12"/>
  <c r="H243" i="12"/>
  <c r="E933" i="12" s="1"/>
  <c r="N184" i="12"/>
  <c r="N65" i="12" s="1"/>
  <c r="M299" i="12"/>
  <c r="M301" i="12" s="1"/>
  <c r="L301" i="12"/>
  <c r="P565" i="12"/>
  <c r="P392" i="12"/>
  <c r="P398" i="12" s="1"/>
  <c r="G337" i="12"/>
  <c r="G343" i="12" s="1"/>
  <c r="H222" i="12"/>
  <c r="E912" i="12" s="1"/>
  <c r="P59" i="12"/>
  <c r="Q141" i="12"/>
  <c r="F290" i="12"/>
  <c r="G245" i="12"/>
  <c r="L347" i="12"/>
  <c r="O48" i="12"/>
  <c r="L145" i="12"/>
  <c r="L147" i="12"/>
  <c r="O645" i="12" l="1"/>
  <c r="M646" i="12"/>
  <c r="N646" i="12" s="1"/>
  <c r="O646" i="12" s="1"/>
  <c r="O692" i="12"/>
  <c r="O669" i="12"/>
  <c r="Q701" i="12"/>
  <c r="Q755" i="12"/>
  <c r="Q613" i="12"/>
  <c r="Q988" i="12"/>
  <c r="Q991" i="12" s="1"/>
  <c r="Q678" i="12"/>
  <c r="Q634" i="12"/>
  <c r="Q277" i="12"/>
  <c r="Q328" i="12"/>
  <c r="Q371" i="12"/>
  <c r="Q899" i="12"/>
  <c r="P16" i="12"/>
  <c r="P17" i="12" s="1"/>
  <c r="P19" i="12" s="1"/>
  <c r="N853" i="12" s="1"/>
  <c r="T899" i="12"/>
  <c r="M937" i="12" s="1"/>
  <c r="M911" i="12" s="1"/>
  <c r="J937" i="12"/>
  <c r="N639" i="12"/>
  <c r="P408" i="12"/>
  <c r="P405" i="12"/>
  <c r="P404" i="12"/>
  <c r="P407" i="12"/>
  <c r="P401" i="12"/>
  <c r="P397" i="12"/>
  <c r="P400" i="12"/>
  <c r="P399" i="12"/>
  <c r="P402" i="12"/>
  <c r="P406" i="12"/>
  <c r="P403" i="12"/>
  <c r="H349" i="12"/>
  <c r="N299" i="12"/>
  <c r="O184" i="12"/>
  <c r="O65" i="12" s="1"/>
  <c r="Q565" i="12"/>
  <c r="Q392" i="12"/>
  <c r="L146" i="12"/>
  <c r="H224" i="12"/>
  <c r="E914" i="12" s="1"/>
  <c r="H342" i="12"/>
  <c r="H337" i="12"/>
  <c r="Q59" i="12"/>
  <c r="R141" i="12"/>
  <c r="G290" i="12"/>
  <c r="H223" i="12"/>
  <c r="E913" i="12" s="1"/>
  <c r="I944" i="12"/>
  <c r="K944" i="12" s="1"/>
  <c r="I939" i="12"/>
  <c r="K939" i="12" s="1"/>
  <c r="I941" i="12"/>
  <c r="K941" i="12" s="1"/>
  <c r="H242" i="12"/>
  <c r="E932" i="12" s="1"/>
  <c r="I943" i="12"/>
  <c r="K943" i="12" s="1"/>
  <c r="H225" i="12"/>
  <c r="E915" i="12" s="1"/>
  <c r="H241" i="12"/>
  <c r="E931" i="12" s="1"/>
  <c r="H244" i="12"/>
  <c r="E934" i="12" s="1"/>
  <c r="I940" i="12"/>
  <c r="K940" i="12" s="1"/>
  <c r="I942" i="12"/>
  <c r="K942" i="12" s="1"/>
  <c r="I921" i="12"/>
  <c r="K921" i="12" s="1"/>
  <c r="P646" i="12" l="1"/>
  <c r="Q646" i="12" s="1"/>
  <c r="N647" i="12"/>
  <c r="O647" i="12" s="1"/>
  <c r="P645" i="12"/>
  <c r="Q645" i="12" s="1"/>
  <c r="R645" i="12" s="1"/>
  <c r="J349" i="12"/>
  <c r="H362" i="12"/>
  <c r="P692" i="12"/>
  <c r="P669" i="12"/>
  <c r="I937" i="12"/>
  <c r="I931" i="12"/>
  <c r="K931" i="12" s="1"/>
  <c r="O931" i="12" s="1"/>
  <c r="J338" i="12" s="1"/>
  <c r="R988" i="12"/>
  <c r="R991" i="12" s="1"/>
  <c r="R634" i="12"/>
  <c r="R755" i="12"/>
  <c r="R701" i="12"/>
  <c r="R678" i="12"/>
  <c r="R613" i="12"/>
  <c r="R371" i="12"/>
  <c r="R328" i="12"/>
  <c r="R277" i="12"/>
  <c r="I938" i="12"/>
  <c r="O299" i="12"/>
  <c r="O301" i="12" s="1"/>
  <c r="N857" i="12"/>
  <c r="N858" i="12"/>
  <c r="O942" i="12"/>
  <c r="J252" i="12" s="1"/>
  <c r="I252" i="12" s="1"/>
  <c r="O940" i="12"/>
  <c r="J250" i="12" s="1"/>
  <c r="I250" i="12" s="1"/>
  <c r="O943" i="12"/>
  <c r="J253" i="12" s="1"/>
  <c r="I253" i="12" s="1"/>
  <c r="O941" i="12"/>
  <c r="J251" i="12" s="1"/>
  <c r="I251" i="12" s="1"/>
  <c r="O944" i="12"/>
  <c r="J254" i="12" s="1"/>
  <c r="I254" i="12" s="1"/>
  <c r="L853" i="12"/>
  <c r="M853" i="12"/>
  <c r="J947" i="12"/>
  <c r="J950" i="12" s="1"/>
  <c r="I930" i="12"/>
  <c r="K930" i="12" s="1"/>
  <c r="I954" i="12"/>
  <c r="J954" i="12" s="1"/>
  <c r="I955" i="12"/>
  <c r="J955" i="12" s="1"/>
  <c r="I952" i="12"/>
  <c r="K952" i="12" s="1"/>
  <c r="I953" i="12"/>
  <c r="K953" i="12" s="1"/>
  <c r="I951" i="12"/>
  <c r="K951" i="12" s="1"/>
  <c r="F922" i="12"/>
  <c r="I949" i="12"/>
  <c r="K949" i="12" s="1"/>
  <c r="I936" i="12"/>
  <c r="K936" i="12" s="1"/>
  <c r="I933" i="12"/>
  <c r="K933" i="12" s="1"/>
  <c r="I934" i="12"/>
  <c r="K934" i="12" s="1"/>
  <c r="I932" i="12"/>
  <c r="K932" i="12" s="1"/>
  <c r="I925" i="12"/>
  <c r="K925" i="12" s="1"/>
  <c r="I920" i="12"/>
  <c r="K920" i="12" s="1"/>
  <c r="I924" i="12"/>
  <c r="K924" i="12" s="1"/>
  <c r="I918" i="12"/>
  <c r="K918" i="12" s="1"/>
  <c r="G46" i="12"/>
  <c r="H46" i="12" s="1"/>
  <c r="I914" i="12"/>
  <c r="K914" i="12" s="1"/>
  <c r="I912" i="12"/>
  <c r="K912" i="12" s="1"/>
  <c r="I915" i="12"/>
  <c r="K915" i="12" s="1"/>
  <c r="I913" i="12"/>
  <c r="K913" i="12" s="1"/>
  <c r="Q397" i="12"/>
  <c r="Q398" i="12"/>
  <c r="Q399" i="12"/>
  <c r="Q401" i="12"/>
  <c r="Q408" i="12"/>
  <c r="Q405" i="12"/>
  <c r="Q407" i="12"/>
  <c r="Q400" i="12"/>
  <c r="Q404" i="12"/>
  <c r="Q402" i="12"/>
  <c r="Q406" i="12"/>
  <c r="Q403" i="12"/>
  <c r="P21" i="12"/>
  <c r="P184" i="12"/>
  <c r="P65" i="12" s="1"/>
  <c r="N301" i="12"/>
  <c r="O639" i="12"/>
  <c r="L148" i="12"/>
  <c r="R392" i="12"/>
  <c r="R565" i="12"/>
  <c r="L199" i="12"/>
  <c r="P25" i="12"/>
  <c r="H343" i="12"/>
  <c r="R59" i="12"/>
  <c r="S141" i="12"/>
  <c r="H245" i="12"/>
  <c r="L348" i="12"/>
  <c r="P647" i="12" l="1"/>
  <c r="Q647" i="12" s="1"/>
  <c r="R647" i="12" s="1"/>
  <c r="S647" i="12" s="1"/>
  <c r="T647" i="12" s="1"/>
  <c r="R646" i="12"/>
  <c r="S646" i="12" s="1"/>
  <c r="T646" i="12" s="1"/>
  <c r="S645" i="12"/>
  <c r="T645" i="12" s="1"/>
  <c r="O648" i="12"/>
  <c r="L64" i="12"/>
  <c r="L996" i="12"/>
  <c r="I338" i="12"/>
  <c r="J356" i="12"/>
  <c r="Q692" i="12"/>
  <c r="Q669" i="12"/>
  <c r="S634" i="12"/>
  <c r="S988" i="12"/>
  <c r="S991" i="12" s="1"/>
  <c r="S678" i="12"/>
  <c r="S755" i="12"/>
  <c r="S613" i="12"/>
  <c r="S701" i="12"/>
  <c r="S277" i="12"/>
  <c r="S328" i="12"/>
  <c r="S371" i="12"/>
  <c r="K938" i="12"/>
  <c r="O938" i="12" s="1"/>
  <c r="I947" i="12"/>
  <c r="E947" i="12"/>
  <c r="P299" i="12"/>
  <c r="P301" i="12" s="1"/>
  <c r="N863" i="12"/>
  <c r="N848" i="12" s="1"/>
  <c r="M857" i="12"/>
  <c r="M858" i="12"/>
  <c r="L857" i="12"/>
  <c r="L858" i="12"/>
  <c r="O853" i="12"/>
  <c r="O952" i="12"/>
  <c r="J262" i="12" s="1"/>
  <c r="I262" i="12" s="1"/>
  <c r="O951" i="12"/>
  <c r="J261" i="12" s="1"/>
  <c r="I261" i="12" s="1"/>
  <c r="O953" i="12"/>
  <c r="J263" i="12" s="1"/>
  <c r="I263" i="12" s="1"/>
  <c r="O949" i="12"/>
  <c r="J259" i="12" s="1"/>
  <c r="I259" i="12" s="1"/>
  <c r="O936" i="12"/>
  <c r="J246" i="12" s="1"/>
  <c r="I246" i="12" s="1"/>
  <c r="O932" i="12"/>
  <c r="J339" i="12" s="1"/>
  <c r="O933" i="12"/>
  <c r="J340" i="12" s="1"/>
  <c r="J241" i="12"/>
  <c r="I241" i="12" s="1"/>
  <c r="O930" i="12"/>
  <c r="J240" i="12" s="1"/>
  <c r="I240" i="12" s="1"/>
  <c r="O934" i="12"/>
  <c r="J244" i="12" s="1"/>
  <c r="I244" i="12" s="1"/>
  <c r="O924" i="12"/>
  <c r="J234" i="12" s="1"/>
  <c r="I234" i="12" s="1"/>
  <c r="O920" i="12"/>
  <c r="J230" i="12" s="1"/>
  <c r="I230" i="12" s="1"/>
  <c r="O925" i="12"/>
  <c r="J235" i="12" s="1"/>
  <c r="I235" i="12" s="1"/>
  <c r="O918" i="12"/>
  <c r="J228" i="12" s="1"/>
  <c r="I228" i="12" s="1"/>
  <c r="O913" i="12"/>
  <c r="O912" i="12"/>
  <c r="O914" i="12"/>
  <c r="J335" i="12" s="1"/>
  <c r="J353" i="12" s="1"/>
  <c r="O915" i="12"/>
  <c r="J336" i="12" s="1"/>
  <c r="K937" i="12"/>
  <c r="K954" i="12"/>
  <c r="K955" i="12"/>
  <c r="K935" i="12"/>
  <c r="G917" i="12"/>
  <c r="I922" i="12"/>
  <c r="I935" i="12"/>
  <c r="E935" i="12"/>
  <c r="I46" i="12"/>
  <c r="J46" i="12"/>
  <c r="E919" i="12"/>
  <c r="J663" i="12"/>
  <c r="K662" i="12" s="1"/>
  <c r="K670" i="12" s="1"/>
  <c r="K671" i="12" s="1"/>
  <c r="R398" i="12"/>
  <c r="R405" i="12"/>
  <c r="R408" i="12"/>
  <c r="R404" i="12"/>
  <c r="R402" i="12"/>
  <c r="R397" i="12"/>
  <c r="R400" i="12"/>
  <c r="R399" i="12"/>
  <c r="R406" i="12"/>
  <c r="R407" i="12"/>
  <c r="R403" i="12"/>
  <c r="R401" i="12"/>
  <c r="P31" i="12"/>
  <c r="O52" i="12"/>
  <c r="L710" i="12"/>
  <c r="Q184" i="12"/>
  <c r="Q65" i="12" s="1"/>
  <c r="P639" i="12"/>
  <c r="L200" i="12"/>
  <c r="S392" i="12"/>
  <c r="S565" i="12"/>
  <c r="S59" i="12"/>
  <c r="T141" i="12"/>
  <c r="H290" i="12"/>
  <c r="P648" i="12" l="1"/>
  <c r="Q648" i="12" s="1"/>
  <c r="R648" i="12" s="1"/>
  <c r="P649" i="12"/>
  <c r="Q649" i="12" s="1"/>
  <c r="R649" i="12" s="1"/>
  <c r="I336" i="12"/>
  <c r="J354" i="12"/>
  <c r="K354" i="12" s="1"/>
  <c r="I339" i="12"/>
  <c r="J357" i="12"/>
  <c r="K357" i="12" s="1"/>
  <c r="I340" i="12"/>
  <c r="J358" i="12"/>
  <c r="K358" i="12" s="1"/>
  <c r="R692" i="12"/>
  <c r="R669" i="12"/>
  <c r="K353" i="12"/>
  <c r="I335" i="12"/>
  <c r="T701" i="12"/>
  <c r="T988" i="12"/>
  <c r="T991" i="12" s="1"/>
  <c r="T634" i="12"/>
  <c r="T755" i="12"/>
  <c r="T613" i="12"/>
  <c r="T678" i="12"/>
  <c r="T277" i="12"/>
  <c r="T371" i="12"/>
  <c r="T328" i="12"/>
  <c r="J248" i="12"/>
  <c r="I248" i="12" s="1"/>
  <c r="K602" i="12"/>
  <c r="J334" i="12"/>
  <c r="J222" i="12"/>
  <c r="I222" i="12" s="1"/>
  <c r="O857" i="12"/>
  <c r="O858" i="12"/>
  <c r="Q299" i="12"/>
  <c r="M863" i="12"/>
  <c r="M848" i="12" s="1"/>
  <c r="L863" i="12"/>
  <c r="L848" i="12" s="1"/>
  <c r="D31" i="12"/>
  <c r="J911" i="12"/>
  <c r="J242" i="12"/>
  <c r="I242" i="12" s="1"/>
  <c r="O954" i="12"/>
  <c r="J264" i="12" s="1"/>
  <c r="I264" i="12" s="1"/>
  <c r="K259" i="12"/>
  <c r="L259" i="12" s="1"/>
  <c r="L293" i="12" s="1"/>
  <c r="J74" i="12"/>
  <c r="K246" i="12"/>
  <c r="K74" i="12" s="1"/>
  <c r="K235" i="12"/>
  <c r="K292" i="12" s="1"/>
  <c r="K947" i="12"/>
  <c r="O937" i="12"/>
  <c r="J341" i="12"/>
  <c r="J243" i="12"/>
  <c r="I243" i="12" s="1"/>
  <c r="K234" i="12"/>
  <c r="L234" i="12" s="1"/>
  <c r="M234" i="12" s="1"/>
  <c r="O935" i="12"/>
  <c r="K230" i="12"/>
  <c r="L230" i="12" s="1"/>
  <c r="M230" i="12" s="1"/>
  <c r="J223" i="12"/>
  <c r="I223" i="12" s="1"/>
  <c r="J224" i="12"/>
  <c r="I224" i="12" s="1"/>
  <c r="J225" i="12"/>
  <c r="I225" i="12" s="1"/>
  <c r="J333" i="12"/>
  <c r="M947" i="12"/>
  <c r="M950" i="12" s="1"/>
  <c r="M957" i="12"/>
  <c r="F926" i="12"/>
  <c r="I917" i="12"/>
  <c r="K917" i="12" s="1"/>
  <c r="G919" i="12"/>
  <c r="R662" i="12"/>
  <c r="R670" i="12" s="1"/>
  <c r="K661" i="12"/>
  <c r="K663" i="12" s="1"/>
  <c r="L661" i="12" s="1"/>
  <c r="Q662" i="12"/>
  <c r="Q670" i="12" s="1"/>
  <c r="Q671" i="12" s="1"/>
  <c r="O662" i="12"/>
  <c r="O670" i="12" s="1"/>
  <c r="O671" i="12" s="1"/>
  <c r="M662" i="12"/>
  <c r="M670" i="12" s="1"/>
  <c r="M671" i="12" s="1"/>
  <c r="T662" i="12"/>
  <c r="T670" i="12" s="1"/>
  <c r="P662" i="12"/>
  <c r="P670" i="12" s="1"/>
  <c r="P671" i="12" s="1"/>
  <c r="L662" i="12"/>
  <c r="L670" i="12" s="1"/>
  <c r="L671" i="12" s="1"/>
  <c r="S662" i="12"/>
  <c r="S670" i="12" s="1"/>
  <c r="N662" i="12"/>
  <c r="N670" i="12" s="1"/>
  <c r="N671" i="12" s="1"/>
  <c r="S398" i="12"/>
  <c r="S403" i="12"/>
  <c r="S401" i="12"/>
  <c r="S397" i="12"/>
  <c r="S399" i="12"/>
  <c r="S405" i="12"/>
  <c r="S404" i="12"/>
  <c r="S407" i="12"/>
  <c r="S406" i="12"/>
  <c r="S402" i="12"/>
  <c r="S408" i="12"/>
  <c r="S400" i="12"/>
  <c r="Q639" i="12"/>
  <c r="R184" i="12"/>
  <c r="R65" i="12" s="1"/>
  <c r="L998" i="12"/>
  <c r="T565" i="12"/>
  <c r="T392" i="12"/>
  <c r="K240" i="12"/>
  <c r="T59" i="12"/>
  <c r="K356" i="12"/>
  <c r="S649" i="12" l="1"/>
  <c r="T649" i="12" s="1"/>
  <c r="S648" i="12"/>
  <c r="T648" i="12" s="1"/>
  <c r="Q650" i="12"/>
  <c r="R650" i="12" s="1"/>
  <c r="L357" i="12"/>
  <c r="M357" i="12" s="1"/>
  <c r="I333" i="12"/>
  <c r="J351" i="12"/>
  <c r="K351" i="12" s="1"/>
  <c r="I341" i="12"/>
  <c r="I342" i="12" s="1"/>
  <c r="J359" i="12"/>
  <c r="K359" i="12" s="1"/>
  <c r="L354" i="12"/>
  <c r="M354" i="12" s="1"/>
  <c r="J352" i="12"/>
  <c r="K352" i="12" s="1"/>
  <c r="K340" i="12"/>
  <c r="K243" i="12" s="1"/>
  <c r="K335" i="12"/>
  <c r="K224" i="12" s="1"/>
  <c r="S692" i="12"/>
  <c r="S669" i="12"/>
  <c r="S671" i="12" s="1"/>
  <c r="L353" i="12"/>
  <c r="I334" i="12"/>
  <c r="K448" i="12"/>
  <c r="K457" i="12" s="1"/>
  <c r="J454" i="12"/>
  <c r="K458" i="12" s="1"/>
  <c r="N230" i="12"/>
  <c r="O230" i="12" s="1"/>
  <c r="P230" i="12" s="1"/>
  <c r="Q230" i="12" s="1"/>
  <c r="R230" i="12" s="1"/>
  <c r="S230" i="12" s="1"/>
  <c r="T230" i="12" s="1"/>
  <c r="O863" i="12"/>
  <c r="Q301" i="12"/>
  <c r="R639" i="12"/>
  <c r="L235" i="12"/>
  <c r="L292" i="12" s="1"/>
  <c r="J342" i="12"/>
  <c r="M259" i="12"/>
  <c r="M293" i="12" s="1"/>
  <c r="L246" i="12"/>
  <c r="L74" i="12" s="1"/>
  <c r="K293" i="12"/>
  <c r="J245" i="12"/>
  <c r="O917" i="12"/>
  <c r="J227" i="12" s="1"/>
  <c r="M958" i="12"/>
  <c r="J247" i="12"/>
  <c r="I247" i="12" s="1"/>
  <c r="I245" i="12"/>
  <c r="J337" i="12"/>
  <c r="L358" i="12"/>
  <c r="R671" i="12"/>
  <c r="I919" i="12"/>
  <c r="K919" i="12"/>
  <c r="L663" i="12"/>
  <c r="M661" i="12" s="1"/>
  <c r="M663" i="12" s="1"/>
  <c r="N661" i="12" s="1"/>
  <c r="N663" i="12" s="1"/>
  <c r="O661" i="12" s="1"/>
  <c r="O663" i="12" s="1"/>
  <c r="P661" i="12" s="1"/>
  <c r="P663" i="12" s="1"/>
  <c r="Q661" i="12" s="1"/>
  <c r="Q663" i="12" s="1"/>
  <c r="R661" i="12" s="1"/>
  <c r="R663" i="12" s="1"/>
  <c r="S661" i="12" s="1"/>
  <c r="S663" i="12" s="1"/>
  <c r="T661" i="12" s="1"/>
  <c r="T663" i="12" s="1"/>
  <c r="T407" i="12"/>
  <c r="T398" i="12"/>
  <c r="T406" i="12"/>
  <c r="T399" i="12"/>
  <c r="T404" i="12"/>
  <c r="T405" i="12"/>
  <c r="T403" i="12"/>
  <c r="T408" i="12"/>
  <c r="T401" i="12"/>
  <c r="T400" i="12"/>
  <c r="T402" i="12"/>
  <c r="T397" i="12"/>
  <c r="R299" i="12"/>
  <c r="R301" i="12" s="1"/>
  <c r="S184" i="12"/>
  <c r="S65" i="12" s="1"/>
  <c r="L240" i="12"/>
  <c r="N234" i="12"/>
  <c r="L356" i="12"/>
  <c r="L338" i="12" s="1"/>
  <c r="S650" i="12" l="1"/>
  <c r="T650" i="12" s="1"/>
  <c r="R651" i="12"/>
  <c r="S651" i="12" s="1"/>
  <c r="L352" i="12"/>
  <c r="K333" i="12"/>
  <c r="L359" i="12"/>
  <c r="M359" i="12" s="1"/>
  <c r="N354" i="12"/>
  <c r="L335" i="12"/>
  <c r="L224" i="12" s="1"/>
  <c r="L336" i="12"/>
  <c r="L225" i="12" s="1"/>
  <c r="L340" i="12"/>
  <c r="L243" i="12" s="1"/>
  <c r="N357" i="12"/>
  <c r="L339" i="12"/>
  <c r="L242" i="12" s="1"/>
  <c r="T692" i="12"/>
  <c r="T669" i="12"/>
  <c r="T671" i="12" s="1"/>
  <c r="M353" i="12"/>
  <c r="M352" i="12"/>
  <c r="I227" i="12"/>
  <c r="I229" i="12" s="1"/>
  <c r="J466" i="12"/>
  <c r="K459" i="12"/>
  <c r="K592" i="12" s="1"/>
  <c r="J71" i="12"/>
  <c r="L911" i="12"/>
  <c r="L916" i="12" s="1"/>
  <c r="L926" i="12" s="1"/>
  <c r="K490" i="12"/>
  <c r="K495" i="12" s="1"/>
  <c r="K481" i="12"/>
  <c r="K486" i="12" s="1"/>
  <c r="D35" i="12"/>
  <c r="F35" i="12" s="1"/>
  <c r="L956" i="12"/>
  <c r="L957" i="12" s="1"/>
  <c r="L958" i="12" s="1"/>
  <c r="L351" i="12"/>
  <c r="S299" i="12"/>
  <c r="J343" i="12"/>
  <c r="M235" i="12"/>
  <c r="M292" i="12" s="1"/>
  <c r="N259" i="12"/>
  <c r="N293" i="12" s="1"/>
  <c r="M246" i="12"/>
  <c r="M74" i="12" s="1"/>
  <c r="I337" i="12"/>
  <c r="I343" i="12" s="1"/>
  <c r="O919" i="12"/>
  <c r="M358" i="12"/>
  <c r="T184" i="12"/>
  <c r="T65" i="12" s="1"/>
  <c r="S639" i="12"/>
  <c r="M240" i="12"/>
  <c r="N240" i="12" s="1"/>
  <c r="O234" i="12"/>
  <c r="M356" i="12"/>
  <c r="O354" i="12" l="1"/>
  <c r="P354" i="12" s="1"/>
  <c r="S652" i="12"/>
  <c r="T652" i="12" s="1"/>
  <c r="T651" i="12"/>
  <c r="K130" i="12"/>
  <c r="K133" i="12" s="1"/>
  <c r="N352" i="12"/>
  <c r="O357" i="12"/>
  <c r="K361" i="12"/>
  <c r="K222" i="12"/>
  <c r="N353" i="12"/>
  <c r="L333" i="12"/>
  <c r="L130" i="12" s="1"/>
  <c r="L133" i="12" s="1"/>
  <c r="N358" i="12"/>
  <c r="N359" i="12"/>
  <c r="L341" i="12"/>
  <c r="L342" i="12" s="1"/>
  <c r="L334" i="12"/>
  <c r="L337" i="12" s="1"/>
  <c r="K595" i="12"/>
  <c r="J759" i="12"/>
  <c r="J772" i="12" s="1"/>
  <c r="K594" i="12"/>
  <c r="K463" i="12"/>
  <c r="K468" i="12" s="1"/>
  <c r="K535" i="12"/>
  <c r="K540" i="12" s="1"/>
  <c r="K491" i="12"/>
  <c r="K419" i="12" s="1"/>
  <c r="K482" i="12"/>
  <c r="M351" i="12"/>
  <c r="S301" i="12"/>
  <c r="T639" i="12"/>
  <c r="T653" i="12" s="1"/>
  <c r="N235" i="12"/>
  <c r="O235" i="12" s="1"/>
  <c r="P235" i="12" s="1"/>
  <c r="N246" i="12"/>
  <c r="N74" i="12" s="1"/>
  <c r="O259" i="12"/>
  <c r="P259" i="12" s="1"/>
  <c r="L960" i="12"/>
  <c r="T299" i="12"/>
  <c r="O240" i="12"/>
  <c r="P234" i="12"/>
  <c r="L241" i="12"/>
  <c r="N356" i="12"/>
  <c r="L343" i="12" l="1"/>
  <c r="L244" i="12"/>
  <c r="L245" i="12" s="1"/>
  <c r="O358" i="12"/>
  <c r="P357" i="12"/>
  <c r="N351" i="12"/>
  <c r="L223" i="12"/>
  <c r="O359" i="12"/>
  <c r="L222" i="12"/>
  <c r="O353" i="12"/>
  <c r="L361" i="12"/>
  <c r="O352" i="12"/>
  <c r="K464" i="12"/>
  <c r="K536" i="12"/>
  <c r="K418" i="12"/>
  <c r="N292" i="12"/>
  <c r="O292" i="12"/>
  <c r="O293" i="12"/>
  <c r="O246" i="12"/>
  <c r="O74" i="12" s="1"/>
  <c r="P292" i="12"/>
  <c r="T301" i="12"/>
  <c r="Q235" i="12"/>
  <c r="P293" i="12"/>
  <c r="Q259" i="12"/>
  <c r="P240" i="12"/>
  <c r="Q234" i="12"/>
  <c r="O356" i="12"/>
  <c r="Q354" i="12"/>
  <c r="K654" i="12"/>
  <c r="P359" i="12" l="1"/>
  <c r="P353" i="12"/>
  <c r="Q357" i="12"/>
  <c r="O351" i="12"/>
  <c r="P352" i="12"/>
  <c r="P358" i="12"/>
  <c r="K424" i="12"/>
  <c r="P246" i="12"/>
  <c r="Q246" i="12" s="1"/>
  <c r="R246" i="12" s="1"/>
  <c r="Q292" i="12"/>
  <c r="K668" i="12"/>
  <c r="K667" i="12" s="1"/>
  <c r="R235" i="12"/>
  <c r="R259" i="12"/>
  <c r="Q293" i="12"/>
  <c r="Q240" i="12"/>
  <c r="R234" i="12"/>
  <c r="P356" i="12"/>
  <c r="R354" i="12"/>
  <c r="M654" i="12"/>
  <c r="M668" i="12" s="1"/>
  <c r="M667" i="12" s="1"/>
  <c r="L654" i="12"/>
  <c r="L668" i="12" s="1"/>
  <c r="L667" i="12" s="1"/>
  <c r="N654" i="12"/>
  <c r="N668" i="12" s="1"/>
  <c r="N667" i="12" s="1"/>
  <c r="O654" i="12"/>
  <c r="O668" i="12" s="1"/>
  <c r="O667" i="12" s="1"/>
  <c r="R357" i="12" l="1"/>
  <c r="Q353" i="12"/>
  <c r="Q352" i="12"/>
  <c r="Q358" i="12"/>
  <c r="Q359" i="12"/>
  <c r="P351" i="12"/>
  <c r="Q74" i="12"/>
  <c r="P74" i="12"/>
  <c r="R292" i="12"/>
  <c r="S235" i="12"/>
  <c r="R293" i="12"/>
  <c r="S259" i="12"/>
  <c r="R240" i="12"/>
  <c r="S234" i="12"/>
  <c r="Q356" i="12"/>
  <c r="S354" i="12"/>
  <c r="S246" i="12"/>
  <c r="R74" i="12"/>
  <c r="R359" i="12" l="1"/>
  <c r="R353" i="12"/>
  <c r="R352" i="12"/>
  <c r="Q351" i="12"/>
  <c r="R358" i="12"/>
  <c r="S357" i="12"/>
  <c r="S292" i="12"/>
  <c r="T235" i="12"/>
  <c r="T292" i="12" s="1"/>
  <c r="T259" i="12"/>
  <c r="S293" i="12"/>
  <c r="S240" i="12"/>
  <c r="T234" i="12"/>
  <c r="R356" i="12"/>
  <c r="T354" i="12"/>
  <c r="T246" i="12"/>
  <c r="S74" i="12"/>
  <c r="S353" i="12" l="1"/>
  <c r="R351" i="12"/>
  <c r="T357" i="12"/>
  <c r="S358" i="12"/>
  <c r="S352" i="12"/>
  <c r="S359" i="12"/>
  <c r="T293" i="12"/>
  <c r="T74" i="12"/>
  <c r="T240" i="12"/>
  <c r="S356" i="12"/>
  <c r="T359" i="12" l="1"/>
  <c r="T358" i="12"/>
  <c r="S351" i="12"/>
  <c r="T353" i="12"/>
  <c r="T352" i="12"/>
  <c r="T356" i="12"/>
  <c r="T351" i="12" l="1"/>
  <c r="K711" i="12"/>
  <c r="K283" i="12"/>
  <c r="K227" i="12"/>
  <c r="J229" i="12"/>
  <c r="K228" i="12" l="1"/>
  <c r="L227" i="12"/>
  <c r="K229" i="12" l="1"/>
  <c r="K126" i="12" s="1"/>
  <c r="M227" i="12"/>
  <c r="N227" i="12" l="1"/>
  <c r="O227" i="12" l="1"/>
  <c r="J1040" i="12" l="1"/>
  <c r="J1029" i="12"/>
  <c r="F18" i="12"/>
  <c r="F20" i="12"/>
  <c r="F15" i="12"/>
  <c r="F21" i="12"/>
  <c r="J1051" i="12"/>
  <c r="F31" i="12"/>
  <c r="F17" i="12"/>
  <c r="F19" i="12"/>
  <c r="J72" i="12" l="1"/>
  <c r="K261" i="12" l="1"/>
  <c r="J73" i="12"/>
  <c r="K157" i="12" l="1"/>
  <c r="L261" i="12"/>
  <c r="K73" i="12"/>
  <c r="M261" i="12" l="1"/>
  <c r="L73" i="12"/>
  <c r="K162" i="12" l="1"/>
  <c r="K161" i="12"/>
  <c r="K160" i="12"/>
  <c r="K163" i="12"/>
  <c r="K174" i="12"/>
  <c r="M73" i="12"/>
  <c r="N261" i="12"/>
  <c r="K164" i="12" l="1"/>
  <c r="O261" i="12"/>
  <c r="N73" i="12"/>
  <c r="O73" i="12" l="1"/>
  <c r="F229" i="12" l="1"/>
  <c r="G229" i="12"/>
  <c r="H229" i="12"/>
  <c r="M147" i="12"/>
  <c r="M347" i="12"/>
  <c r="M340" i="12" l="1"/>
  <c r="M243" i="12" s="1"/>
  <c r="M335" i="12"/>
  <c r="M333" i="12"/>
  <c r="M145" i="12"/>
  <c r="M130" i="12" l="1"/>
  <c r="M133" i="12" s="1"/>
  <c r="M361" i="12"/>
  <c r="M348" i="12"/>
  <c r="M224" i="12"/>
  <c r="M222" i="12"/>
  <c r="M146" i="12"/>
  <c r="M336" i="12" l="1"/>
  <c r="M225" i="12" s="1"/>
  <c r="M339" i="12"/>
  <c r="M242" i="12" s="1"/>
  <c r="M338" i="12"/>
  <c r="M341" i="12"/>
  <c r="M244" i="12" s="1"/>
  <c r="M334" i="12"/>
  <c r="M129" i="12" s="1"/>
  <c r="M132" i="12" s="1"/>
  <c r="M148" i="12"/>
  <c r="M199" i="12"/>
  <c r="M349" i="12" l="1"/>
  <c r="M362" i="12" s="1"/>
  <c r="M996" i="12"/>
  <c r="M64" i="12"/>
  <c r="M364" i="12"/>
  <c r="M131" i="12"/>
  <c r="M134" i="12" s="1"/>
  <c r="M363" i="12"/>
  <c r="M710" i="12"/>
  <c r="M337" i="12"/>
  <c r="M342" i="12"/>
  <c r="M241" i="12"/>
  <c r="M245" i="12" s="1"/>
  <c r="M223" i="12"/>
  <c r="M200" i="12"/>
  <c r="N145" i="12"/>
  <c r="O145" i="12"/>
  <c r="P145" i="12"/>
  <c r="Q145" i="12"/>
  <c r="R145" i="12"/>
  <c r="S145" i="12"/>
  <c r="T145" i="12"/>
  <c r="N147" i="12"/>
  <c r="O147" i="12"/>
  <c r="P147" i="12"/>
  <c r="Q147" i="12"/>
  <c r="R147" i="12"/>
  <c r="S147" i="12"/>
  <c r="T147" i="12"/>
  <c r="N347" i="12"/>
  <c r="O347" i="12"/>
  <c r="P347" i="12"/>
  <c r="Q347" i="12"/>
  <c r="R347" i="12"/>
  <c r="S347" i="12"/>
  <c r="T347" i="12"/>
  <c r="T340" i="12" l="1"/>
  <c r="T243" i="12" s="1"/>
  <c r="T335" i="12"/>
  <c r="T224" i="12" s="1"/>
  <c r="T333" i="12"/>
  <c r="Q335" i="12"/>
  <c r="Q340" i="12"/>
  <c r="Q243" i="12" s="1"/>
  <c r="Q333" i="12"/>
  <c r="P335" i="12"/>
  <c r="P340" i="12"/>
  <c r="P243" i="12" s="1"/>
  <c r="P333" i="12"/>
  <c r="S340" i="12"/>
  <c r="S243" i="12" s="1"/>
  <c r="S335" i="12"/>
  <c r="S333" i="12"/>
  <c r="O340" i="12"/>
  <c r="O243" i="12" s="1"/>
  <c r="O335" i="12"/>
  <c r="O333" i="12"/>
  <c r="R340" i="12"/>
  <c r="R243" i="12" s="1"/>
  <c r="R335" i="12"/>
  <c r="R333" i="12"/>
  <c r="N340" i="12"/>
  <c r="N243" i="12" s="1"/>
  <c r="N335" i="12"/>
  <c r="N333" i="12"/>
  <c r="M343" i="12"/>
  <c r="M290" i="12" s="1"/>
  <c r="M66" i="12" s="1"/>
  <c r="M998" i="12"/>
  <c r="P146" i="12"/>
  <c r="Q146" i="12"/>
  <c r="T146" i="12"/>
  <c r="R146" i="12"/>
  <c r="N146" i="12"/>
  <c r="Q348" i="12"/>
  <c r="P348" i="12"/>
  <c r="P261" i="12"/>
  <c r="N348" i="12"/>
  <c r="R348" i="12"/>
  <c r="S146" i="12"/>
  <c r="S348" i="12"/>
  <c r="O146" i="12"/>
  <c r="O348" i="12"/>
  <c r="P227" i="12"/>
  <c r="T348" i="12"/>
  <c r="T130" i="12" l="1"/>
  <c r="T133" i="12" s="1"/>
  <c r="T361" i="12"/>
  <c r="O336" i="12"/>
  <c r="O225" i="12" s="1"/>
  <c r="O339" i="12"/>
  <c r="O242" i="12" s="1"/>
  <c r="O338" i="12"/>
  <c r="O341" i="12"/>
  <c r="O244" i="12" s="1"/>
  <c r="O334" i="12"/>
  <c r="R336" i="12"/>
  <c r="R225" i="12" s="1"/>
  <c r="R339" i="12"/>
  <c r="R242" i="12" s="1"/>
  <c r="R334" i="12"/>
  <c r="R338" i="12"/>
  <c r="R341" i="12"/>
  <c r="R244" i="12" s="1"/>
  <c r="O130" i="12"/>
  <c r="O133" i="12" s="1"/>
  <c r="P361" i="12"/>
  <c r="P130" i="12"/>
  <c r="P133" i="12" s="1"/>
  <c r="N336" i="12"/>
  <c r="N225" i="12" s="1"/>
  <c r="N339" i="12"/>
  <c r="N242" i="12" s="1"/>
  <c r="N341" i="12"/>
  <c r="N244" i="12" s="1"/>
  <c r="N334" i="12"/>
  <c r="N338" i="12"/>
  <c r="P336" i="12"/>
  <c r="P339" i="12"/>
  <c r="P242" i="12" s="1"/>
  <c r="P341" i="12"/>
  <c r="P244" i="12" s="1"/>
  <c r="P338" i="12"/>
  <c r="P334" i="12"/>
  <c r="R130" i="12"/>
  <c r="R133" i="12" s="1"/>
  <c r="S361" i="12"/>
  <c r="S130" i="12"/>
  <c r="S133" i="12" s="1"/>
  <c r="R361" i="12"/>
  <c r="T336" i="12"/>
  <c r="T225" i="12" s="1"/>
  <c r="T339" i="12"/>
  <c r="T242" i="12" s="1"/>
  <c r="T334" i="12"/>
  <c r="T341" i="12"/>
  <c r="T244" i="12" s="1"/>
  <c r="T338" i="12"/>
  <c r="S336" i="12"/>
  <c r="S225" i="12" s="1"/>
  <c r="S339" i="12"/>
  <c r="S242" i="12" s="1"/>
  <c r="S338" i="12"/>
  <c r="S341" i="12"/>
  <c r="S244" i="12" s="1"/>
  <c r="S334" i="12"/>
  <c r="Q336" i="12"/>
  <c r="Q225" i="12" s="1"/>
  <c r="Q339" i="12"/>
  <c r="Q242" i="12" s="1"/>
  <c r="Q338" i="12"/>
  <c r="Q341" i="12"/>
  <c r="Q244" i="12" s="1"/>
  <c r="Q334" i="12"/>
  <c r="O361" i="12"/>
  <c r="N130" i="12"/>
  <c r="N133" i="12" s="1"/>
  <c r="N361" i="12"/>
  <c r="Q361" i="12"/>
  <c r="Q130" i="12"/>
  <c r="Q133" i="12" s="1"/>
  <c r="P148" i="12"/>
  <c r="N148" i="12"/>
  <c r="T148" i="12"/>
  <c r="R199" i="12"/>
  <c r="R148" i="12"/>
  <c r="Q199" i="12"/>
  <c r="Q148" i="12"/>
  <c r="N199" i="12"/>
  <c r="T199" i="12"/>
  <c r="P199" i="12"/>
  <c r="P73" i="12"/>
  <c r="Q224" i="12"/>
  <c r="P224" i="12"/>
  <c r="N224" i="12"/>
  <c r="O224" i="12"/>
  <c r="R224" i="12"/>
  <c r="S224" i="12"/>
  <c r="T222" i="12"/>
  <c r="P222" i="12"/>
  <c r="Q222" i="12"/>
  <c r="O148" i="12"/>
  <c r="O199" i="12"/>
  <c r="S148" i="12"/>
  <c r="S199" i="12"/>
  <c r="N222" i="12"/>
  <c r="R222" i="12"/>
  <c r="P654" i="12"/>
  <c r="P668" i="12" s="1"/>
  <c r="P667" i="12" s="1"/>
  <c r="Q261" i="12"/>
  <c r="S222" i="12"/>
  <c r="Q227" i="12"/>
  <c r="O222" i="12"/>
  <c r="O129" i="12" l="1"/>
  <c r="O132" i="12" s="1"/>
  <c r="P129" i="12"/>
  <c r="P132" i="12" s="1"/>
  <c r="Q129" i="12"/>
  <c r="Q132" i="12" s="1"/>
  <c r="R129" i="12"/>
  <c r="R132" i="12" s="1"/>
  <c r="O131" i="12"/>
  <c r="O996" i="12"/>
  <c r="O64" i="12"/>
  <c r="R64" i="12"/>
  <c r="R996" i="12"/>
  <c r="P996" i="12"/>
  <c r="P64" i="12"/>
  <c r="S131" i="12"/>
  <c r="S134" i="12" s="1"/>
  <c r="T363" i="12"/>
  <c r="S363" i="12"/>
  <c r="S349" i="12"/>
  <c r="S362" i="12" s="1"/>
  <c r="R363" i="12"/>
  <c r="T364" i="12"/>
  <c r="P364" i="12"/>
  <c r="Q363" i="12"/>
  <c r="N131" i="12"/>
  <c r="N134" i="12" s="1"/>
  <c r="N363" i="12"/>
  <c r="R364" i="12"/>
  <c r="O363" i="12"/>
  <c r="P363" i="12"/>
  <c r="S996" i="12"/>
  <c r="S64" i="12"/>
  <c r="Q996" i="12"/>
  <c r="Q64" i="12"/>
  <c r="T996" i="12"/>
  <c r="T64" i="12"/>
  <c r="S364" i="12"/>
  <c r="T129" i="12"/>
  <c r="T132" i="12" s="1"/>
  <c r="Q131" i="12"/>
  <c r="Q134" i="12" s="1"/>
  <c r="N129" i="12"/>
  <c r="N132" i="12" s="1"/>
  <c r="N64" i="12"/>
  <c r="N996" i="12"/>
  <c r="N349" i="12"/>
  <c r="N362" i="12" s="1"/>
  <c r="Q364" i="12"/>
  <c r="R131" i="12"/>
  <c r="R134" i="12" s="1"/>
  <c r="S129" i="12"/>
  <c r="S132" i="12" s="1"/>
  <c r="T131" i="12"/>
  <c r="T134" i="12" s="1"/>
  <c r="N364" i="12"/>
  <c r="O364" i="12"/>
  <c r="P131" i="12"/>
  <c r="P134" i="12" s="1"/>
  <c r="O134" i="12"/>
  <c r="R710" i="12"/>
  <c r="S710" i="12"/>
  <c r="Q710" i="12"/>
  <c r="O710" i="12"/>
  <c r="O349" i="12"/>
  <c r="O362" i="12" s="1"/>
  <c r="Q349" i="12"/>
  <c r="Q362" i="12" s="1"/>
  <c r="P223" i="12"/>
  <c r="P349" i="12"/>
  <c r="P362" i="12" s="1"/>
  <c r="R223" i="12"/>
  <c r="R349" i="12"/>
  <c r="R362" i="12" s="1"/>
  <c r="T223" i="12"/>
  <c r="T349" i="12"/>
  <c r="T362" i="12" s="1"/>
  <c r="N337" i="12"/>
  <c r="Q337" i="12"/>
  <c r="N342" i="12"/>
  <c r="P337" i="12"/>
  <c r="T337" i="12"/>
  <c r="P225" i="12"/>
  <c r="Q223" i="12"/>
  <c r="O337" i="12"/>
  <c r="R337" i="12"/>
  <c r="S337" i="12"/>
  <c r="Q342" i="12"/>
  <c r="R342" i="12"/>
  <c r="P342" i="12"/>
  <c r="S342" i="12"/>
  <c r="O342" i="12"/>
  <c r="T342" i="12"/>
  <c r="T710" i="12"/>
  <c r="N710" i="12"/>
  <c r="P710" i="12"/>
  <c r="P200" i="12"/>
  <c r="N200" i="12"/>
  <c r="T200" i="12"/>
  <c r="S200" i="12"/>
  <c r="R200" i="12"/>
  <c r="Q200" i="12"/>
  <c r="Q73" i="12"/>
  <c r="P241" i="12"/>
  <c r="Q241" i="12"/>
  <c r="T241" i="12"/>
  <c r="R241" i="12"/>
  <c r="O200" i="12"/>
  <c r="Q654" i="12"/>
  <c r="Q668" i="12" s="1"/>
  <c r="Q667" i="12" s="1"/>
  <c r="R261" i="12"/>
  <c r="N223" i="12"/>
  <c r="N241" i="12"/>
  <c r="S241" i="12"/>
  <c r="R227" i="12"/>
  <c r="S223" i="12"/>
  <c r="O223" i="12"/>
  <c r="O241" i="12"/>
  <c r="N343" i="12" l="1"/>
  <c r="O343" i="12"/>
  <c r="Q343" i="12"/>
  <c r="P343" i="12"/>
  <c r="T343" i="12"/>
  <c r="S343" i="12"/>
  <c r="R343" i="12"/>
  <c r="O998" i="12"/>
  <c r="N998" i="12"/>
  <c r="S998" i="12"/>
  <c r="T998" i="12"/>
  <c r="R998" i="12"/>
  <c r="Q998" i="12"/>
  <c r="P998" i="12"/>
  <c r="R73" i="12"/>
  <c r="T245" i="12"/>
  <c r="P245" i="12"/>
  <c r="S245" i="12"/>
  <c r="R245" i="12"/>
  <c r="N245" i="12"/>
  <c r="Q245" i="12"/>
  <c r="O245" i="12"/>
  <c r="R654" i="12"/>
  <c r="R668" i="12" s="1"/>
  <c r="R667" i="12" s="1"/>
  <c r="S261" i="12"/>
  <c r="S227" i="12"/>
  <c r="R290" i="12" l="1"/>
  <c r="R66" i="12" s="1"/>
  <c r="Q290" i="12"/>
  <c r="Q66" i="12" s="1"/>
  <c r="S73" i="12"/>
  <c r="S654" i="12"/>
  <c r="S668" i="12" s="1"/>
  <c r="S667" i="12" s="1"/>
  <c r="O290" i="12"/>
  <c r="O66" i="12" s="1"/>
  <c r="N290" i="12"/>
  <c r="N66" i="12" s="1"/>
  <c r="T290" i="12"/>
  <c r="T66" i="12" s="1"/>
  <c r="S290" i="12"/>
  <c r="S66" i="12" s="1"/>
  <c r="P290" i="12"/>
  <c r="P66" i="12" s="1"/>
  <c r="T261" i="12"/>
  <c r="T227" i="12"/>
  <c r="T73" i="12" l="1"/>
  <c r="T654" i="12"/>
  <c r="T668" i="12" s="1"/>
  <c r="T667" i="12" s="1"/>
  <c r="L149" i="12" l="1"/>
  <c r="L711" i="12" s="1"/>
  <c r="L150" i="12" l="1"/>
  <c r="M149" i="12"/>
  <c r="M711" i="12" s="1"/>
  <c r="L283" i="12"/>
  <c r="L201" i="12" l="1"/>
  <c r="L228" i="12"/>
  <c r="M283" i="12"/>
  <c r="N149" i="12"/>
  <c r="N711" i="12" s="1"/>
  <c r="M150" i="12"/>
  <c r="M201" i="12" l="1"/>
  <c r="L229" i="12"/>
  <c r="M228" i="12"/>
  <c r="N150" i="12"/>
  <c r="O149" i="12"/>
  <c r="O711" i="12" s="1"/>
  <c r="N283" i="12"/>
  <c r="L126" i="12" l="1"/>
  <c r="M229" i="12"/>
  <c r="N228" i="12"/>
  <c r="N201" i="12"/>
  <c r="O150" i="12"/>
  <c r="O283" i="12"/>
  <c r="P149" i="12"/>
  <c r="P711" i="12" s="1"/>
  <c r="M126" i="12" l="1"/>
  <c r="N229" i="12"/>
  <c r="O228" i="12"/>
  <c r="O201" i="12"/>
  <c r="P283" i="12"/>
  <c r="P150" i="12"/>
  <c r="Q149" i="12"/>
  <c r="Q711" i="12" s="1"/>
  <c r="N126" i="12" l="1"/>
  <c r="O229" i="12"/>
  <c r="P228" i="12"/>
  <c r="Q150" i="12"/>
  <c r="Q283" i="12"/>
  <c r="P201" i="12"/>
  <c r="S149" i="12"/>
  <c r="S711" i="12" s="1"/>
  <c r="R149" i="12"/>
  <c r="R711" i="12" s="1"/>
  <c r="O126" i="12" l="1"/>
  <c r="R150" i="12"/>
  <c r="Q201" i="12"/>
  <c r="P229" i="12"/>
  <c r="S150" i="12"/>
  <c r="Q228" i="12"/>
  <c r="S283" i="12"/>
  <c r="R283" i="12"/>
  <c r="T149" i="12"/>
  <c r="T711" i="12" s="1"/>
  <c r="P126" i="12" l="1"/>
  <c r="T150" i="12"/>
  <c r="S201" i="12"/>
  <c r="R201" i="12"/>
  <c r="R228" i="12"/>
  <c r="Q229" i="12"/>
  <c r="T283" i="12"/>
  <c r="Q126" i="12" l="1"/>
  <c r="T201" i="12"/>
  <c r="R229" i="12"/>
  <c r="R126" i="12" s="1"/>
  <c r="S228" i="12"/>
  <c r="S229" i="12" l="1"/>
  <c r="T228" i="12"/>
  <c r="S126" i="12" l="1"/>
  <c r="T229" i="12"/>
  <c r="T126" i="12" s="1"/>
  <c r="K146" i="12" l="1"/>
  <c r="K348" i="12"/>
  <c r="K338" i="12" l="1"/>
  <c r="K339" i="12"/>
  <c r="K242" i="12" s="1"/>
  <c r="K336" i="12"/>
  <c r="K225" i="12" s="1"/>
  <c r="K334" i="12"/>
  <c r="K341" i="12"/>
  <c r="K244" i="12" s="1"/>
  <c r="K148" i="12"/>
  <c r="K199" i="12"/>
  <c r="K131" i="12" l="1"/>
  <c r="K134" i="12" s="1"/>
  <c r="L131" i="12"/>
  <c r="L134" i="12" s="1"/>
  <c r="K363" i="12"/>
  <c r="L363" i="12"/>
  <c r="L364" i="12"/>
  <c r="L129" i="12"/>
  <c r="L132" i="12" s="1"/>
  <c r="K64" i="12"/>
  <c r="K996" i="12"/>
  <c r="K998" i="12" s="1"/>
  <c r="K129" i="12"/>
  <c r="K132" i="12" s="1"/>
  <c r="K364" i="12"/>
  <c r="K710" i="12"/>
  <c r="K349" i="12"/>
  <c r="K362" i="12" s="1"/>
  <c r="L349" i="12"/>
  <c r="L362" i="12" s="1"/>
  <c r="K342" i="12"/>
  <c r="K337" i="12"/>
  <c r="K223" i="12"/>
  <c r="O51" i="12"/>
  <c r="K200" i="12"/>
  <c r="K150" i="12"/>
  <c r="K153" i="12" s="1"/>
  <c r="K241" i="12"/>
  <c r="K196" i="12" l="1"/>
  <c r="L196" i="12" s="1"/>
  <c r="K713" i="12"/>
  <c r="K286" i="12"/>
  <c r="K343" i="12"/>
  <c r="L290" i="12" s="1"/>
  <c r="L66" i="12" s="1"/>
  <c r="K245" i="12"/>
  <c r="K201" i="12"/>
  <c r="M196" i="12" l="1"/>
  <c r="L152" i="12"/>
  <c r="K290" i="12"/>
  <c r="K66" i="12" s="1"/>
  <c r="N196" i="12" l="1"/>
  <c r="M152" i="12"/>
  <c r="L286" i="12"/>
  <c r="L713" i="12"/>
  <c r="F381" i="12"/>
  <c r="F382" i="12"/>
  <c r="M286" i="12" l="1"/>
  <c r="M713" i="12"/>
  <c r="O196" i="12"/>
  <c r="N152" i="12"/>
  <c r="F383" i="12"/>
  <c r="F385" i="12" s="1"/>
  <c r="F171" i="12" s="1"/>
  <c r="P196" i="12" l="1"/>
  <c r="O152" i="12"/>
  <c r="N713" i="12"/>
  <c r="N286" i="12"/>
  <c r="F721" i="12"/>
  <c r="F720" i="12" s="1"/>
  <c r="F724" i="12" s="1"/>
  <c r="F725" i="12" s="1"/>
  <c r="F258" i="12" s="1"/>
  <c r="F291" i="12" s="1"/>
  <c r="F294" i="12" s="1"/>
  <c r="F172" i="12"/>
  <c r="F176" i="12" s="1"/>
  <c r="F190" i="12" s="1"/>
  <c r="Q196" i="12" l="1"/>
  <c r="P152" i="12"/>
  <c r="O286" i="12"/>
  <c r="O713" i="12"/>
  <c r="F260" i="12"/>
  <c r="G723" i="12"/>
  <c r="F203" i="12"/>
  <c r="F797" i="12"/>
  <c r="F792" i="12"/>
  <c r="F788" i="12"/>
  <c r="F795" i="12"/>
  <c r="F791" i="12"/>
  <c r="F787" i="12"/>
  <c r="F794" i="12"/>
  <c r="F790" i="12"/>
  <c r="F786" i="12"/>
  <c r="F793" i="12"/>
  <c r="F789" i="12"/>
  <c r="F785" i="12"/>
  <c r="F282" i="12"/>
  <c r="F295" i="12" s="1"/>
  <c r="F320" i="12" s="1"/>
  <c r="F266" i="12"/>
  <c r="F205" i="12" s="1"/>
  <c r="F206" i="12" l="1"/>
  <c r="P713" i="12"/>
  <c r="P286" i="12"/>
  <c r="R196" i="12"/>
  <c r="Q152" i="12"/>
  <c r="F806" i="12"/>
  <c r="F801" i="12"/>
  <c r="F804" i="12"/>
  <c r="F800" i="12"/>
  <c r="F808" i="12"/>
  <c r="F805" i="12"/>
  <c r="F810" i="12"/>
  <c r="F803" i="12"/>
  <c r="F807" i="12"/>
  <c r="F802" i="12"/>
  <c r="F809" i="12"/>
  <c r="F321" i="12"/>
  <c r="F267" i="12"/>
  <c r="F268" i="12" s="1"/>
  <c r="G381" i="12"/>
  <c r="H381" i="12"/>
  <c r="G382" i="12"/>
  <c r="H382" i="12"/>
  <c r="F221" i="12" l="1"/>
  <c r="Q713" i="12"/>
  <c r="Q286" i="12"/>
  <c r="S196" i="12"/>
  <c r="R152" i="12"/>
  <c r="F816" i="12"/>
  <c r="F817" i="12" s="1"/>
  <c r="G383" i="12"/>
  <c r="G385" i="12" s="1"/>
  <c r="G171" i="12" s="1"/>
  <c r="H383" i="12"/>
  <c r="H385" i="12" s="1"/>
  <c r="H171" i="12" s="1"/>
  <c r="F226" i="12" l="1"/>
  <c r="F236" i="12" s="1"/>
  <c r="F207" i="12" s="1"/>
  <c r="G589" i="12"/>
  <c r="T196" i="12"/>
  <c r="T152" i="12" s="1"/>
  <c r="S152" i="12"/>
  <c r="R713" i="12"/>
  <c r="R286" i="12"/>
  <c r="H172" i="12"/>
  <c r="H176" i="12" s="1"/>
  <c r="G721" i="12"/>
  <c r="G720" i="12" s="1"/>
  <c r="G724" i="12" s="1"/>
  <c r="G725" i="12" s="1"/>
  <c r="H723" i="12" s="1"/>
  <c r="H721" i="12"/>
  <c r="H720" i="12" s="1"/>
  <c r="H724" i="12" s="1"/>
  <c r="G172" i="12"/>
  <c r="G176" i="12" s="1"/>
  <c r="G190" i="12" s="1"/>
  <c r="F270" i="12" l="1"/>
  <c r="H190" i="12"/>
  <c r="T713" i="12"/>
  <c r="T286" i="12"/>
  <c r="S713" i="12"/>
  <c r="S286" i="12"/>
  <c r="G258" i="12"/>
  <c r="G291" i="12" s="1"/>
  <c r="G294" i="12" s="1"/>
  <c r="H725" i="12"/>
  <c r="G203" i="12"/>
  <c r="H203" i="12"/>
  <c r="G790" i="12"/>
  <c r="G797" i="12"/>
  <c r="G793" i="12"/>
  <c r="G789" i="12"/>
  <c r="G785" i="12"/>
  <c r="G792" i="12"/>
  <c r="G788" i="12"/>
  <c r="G795" i="12"/>
  <c r="G791" i="12"/>
  <c r="G787" i="12"/>
  <c r="G794" i="12"/>
  <c r="G786" i="12"/>
  <c r="H797" i="12"/>
  <c r="J797" i="12" s="1"/>
  <c r="H794" i="12"/>
  <c r="J794" i="12" s="1"/>
  <c r="H790" i="12"/>
  <c r="J790" i="12" s="1"/>
  <c r="H786" i="12"/>
  <c r="J786" i="12" s="1"/>
  <c r="H793" i="12"/>
  <c r="J793" i="12" s="1"/>
  <c r="H789" i="12"/>
  <c r="J789" i="12" s="1"/>
  <c r="H785" i="12"/>
  <c r="J785" i="12" s="1"/>
  <c r="H792" i="12"/>
  <c r="J792" i="12" s="1"/>
  <c r="H788" i="12"/>
  <c r="J788" i="12" s="1"/>
  <c r="H795" i="12"/>
  <c r="J795" i="12" s="1"/>
  <c r="H791" i="12"/>
  <c r="J791" i="12" s="1"/>
  <c r="H787" i="12"/>
  <c r="J787" i="12" s="1"/>
  <c r="H282" i="12"/>
  <c r="G282" i="12"/>
  <c r="G266" i="12"/>
  <c r="G205" i="12" s="1"/>
  <c r="G206" i="12" l="1"/>
  <c r="G295" i="12"/>
  <c r="G320" i="12" s="1"/>
  <c r="H258" i="12"/>
  <c r="G260" i="12"/>
  <c r="H803" i="12"/>
  <c r="J802" i="12"/>
  <c r="J804" i="12"/>
  <c r="J800" i="12"/>
  <c r="J809" i="12"/>
  <c r="J810" i="12"/>
  <c r="J805" i="12"/>
  <c r="J803" i="12"/>
  <c r="J806" i="12"/>
  <c r="J808" i="12"/>
  <c r="J801" i="12"/>
  <c r="J807" i="12"/>
  <c r="H808" i="12"/>
  <c r="G802" i="12"/>
  <c r="G807" i="12"/>
  <c r="G808" i="12"/>
  <c r="H802" i="12"/>
  <c r="H807" i="12"/>
  <c r="G801" i="12"/>
  <c r="G806" i="12"/>
  <c r="H801" i="12"/>
  <c r="H800" i="12"/>
  <c r="G805" i="12"/>
  <c r="G810" i="12"/>
  <c r="H804" i="12"/>
  <c r="H809" i="12"/>
  <c r="G809" i="12"/>
  <c r="G800" i="12"/>
  <c r="G804" i="12"/>
  <c r="G803" i="12"/>
  <c r="H805" i="12"/>
  <c r="H806" i="12"/>
  <c r="H810" i="12"/>
  <c r="H266" i="12"/>
  <c r="G267" i="12"/>
  <c r="H205" i="12" l="1"/>
  <c r="H206" i="12"/>
  <c r="E956" i="12"/>
  <c r="H291" i="12"/>
  <c r="H294" i="12" s="1"/>
  <c r="H295" i="12" s="1"/>
  <c r="H320" i="12" s="1"/>
  <c r="E948" i="12"/>
  <c r="G321" i="12"/>
  <c r="H260" i="12"/>
  <c r="G268" i="12"/>
  <c r="G816" i="12"/>
  <c r="G817" i="12" s="1"/>
  <c r="H816" i="12"/>
  <c r="H817" i="12" s="1"/>
  <c r="H267" i="12"/>
  <c r="G221" i="12" l="1"/>
  <c r="G226" i="12" s="1"/>
  <c r="G236" i="12" s="1"/>
  <c r="H321" i="12"/>
  <c r="H268" i="12"/>
  <c r="E950" i="12"/>
  <c r="I956" i="12"/>
  <c r="H221" i="12" l="1"/>
  <c r="K832" i="12" s="1"/>
  <c r="H589" i="12"/>
  <c r="G270" i="12"/>
  <c r="G207" i="12"/>
  <c r="E957" i="12"/>
  <c r="E958" i="12" s="1"/>
  <c r="I957" i="12"/>
  <c r="M832" i="12" l="1"/>
  <c r="N832" i="12"/>
  <c r="J832" i="12"/>
  <c r="P26" i="12"/>
  <c r="P27" i="12" s="1"/>
  <c r="P28" i="12" s="1"/>
  <c r="P47" i="12" s="1"/>
  <c r="H226" i="12"/>
  <c r="H236" i="12" s="1"/>
  <c r="H207" i="12" s="1"/>
  <c r="L832" i="12"/>
  <c r="E911" i="12"/>
  <c r="E916" i="12" s="1"/>
  <c r="E926" i="12" s="1"/>
  <c r="E960" i="12" s="1"/>
  <c r="P33" i="12" l="1"/>
  <c r="P34" i="12" s="1"/>
  <c r="H47" i="12" s="1"/>
  <c r="P36" i="12" s="1"/>
  <c r="H270" i="12"/>
  <c r="P46" i="12"/>
  <c r="P51" i="12"/>
  <c r="P52" i="12"/>
  <c r="P48" i="12"/>
  <c r="I911" i="12"/>
  <c r="I916" i="12" s="1"/>
  <c r="P50" i="12"/>
  <c r="K264" i="12"/>
  <c r="J688" i="12" l="1"/>
  <c r="M687" i="12" s="1"/>
  <c r="M693" i="12" s="1"/>
  <c r="M694" i="12" s="1"/>
  <c r="M151" i="12" s="1"/>
  <c r="G923" i="12"/>
  <c r="G47" i="12"/>
  <c r="J47" i="12"/>
  <c r="J52" i="12" s="1"/>
  <c r="I47" i="12"/>
  <c r="I52" i="12" s="1"/>
  <c r="P38" i="12" s="1"/>
  <c r="L264" i="12"/>
  <c r="P37" i="12" l="1"/>
  <c r="H948" i="12"/>
  <c r="I923" i="12"/>
  <c r="I926" i="12" s="1"/>
  <c r="K686" i="12"/>
  <c r="O687" i="12"/>
  <c r="O693" i="12" s="1"/>
  <c r="O694" i="12" s="1"/>
  <c r="O151" i="12" s="1"/>
  <c r="G926" i="12"/>
  <c r="L687" i="12"/>
  <c r="L693" i="12" s="1"/>
  <c r="L694" i="12" s="1"/>
  <c r="L151" i="12" s="1"/>
  <c r="R687" i="12"/>
  <c r="R693" i="12" s="1"/>
  <c r="R694" i="12" s="1"/>
  <c r="R151" i="12" s="1"/>
  <c r="K687" i="12"/>
  <c r="K693" i="12" s="1"/>
  <c r="K694" i="12" s="1"/>
  <c r="T687" i="12"/>
  <c r="T693" i="12" s="1"/>
  <c r="T694" i="12" s="1"/>
  <c r="T151" i="12" s="1"/>
  <c r="P687" i="12"/>
  <c r="P693" i="12" s="1"/>
  <c r="P694" i="12" s="1"/>
  <c r="P151" i="12" s="1"/>
  <c r="Q687" i="12"/>
  <c r="Q693" i="12" s="1"/>
  <c r="Q694" i="12" s="1"/>
  <c r="Q151" i="12" s="1"/>
  <c r="N687" i="12"/>
  <c r="N693" i="12" s="1"/>
  <c r="N694" i="12" s="1"/>
  <c r="N151" i="12" s="1"/>
  <c r="S687" i="12"/>
  <c r="S693" i="12" s="1"/>
  <c r="S694" i="12" s="1"/>
  <c r="S151" i="12" s="1"/>
  <c r="M153" i="12"/>
  <c r="M284" i="12"/>
  <c r="M712" i="12"/>
  <c r="M264" i="12"/>
  <c r="T153" i="12" l="1"/>
  <c r="N284" i="12"/>
  <c r="O153" i="12"/>
  <c r="R284" i="12"/>
  <c r="L153" i="12"/>
  <c r="K923" i="12"/>
  <c r="O284" i="12"/>
  <c r="O712" i="12"/>
  <c r="L712" i="12"/>
  <c r="R712" i="12"/>
  <c r="Q712" i="12"/>
  <c r="Q153" i="12"/>
  <c r="Q284" i="12"/>
  <c r="P153" i="12"/>
  <c r="L284" i="12"/>
  <c r="R153" i="12"/>
  <c r="S712" i="12"/>
  <c r="N712" i="12"/>
  <c r="S284" i="12"/>
  <c r="T712" i="12"/>
  <c r="S153" i="12"/>
  <c r="K284" i="12"/>
  <c r="K688" i="12"/>
  <c r="L686" i="12" s="1"/>
  <c r="L688" i="12" s="1"/>
  <c r="M686" i="12" s="1"/>
  <c r="M688" i="12" s="1"/>
  <c r="N686" i="12" s="1"/>
  <c r="N688" i="12" s="1"/>
  <c r="O686" i="12" s="1"/>
  <c r="O688" i="12" s="1"/>
  <c r="P686" i="12" s="1"/>
  <c r="P688" i="12" s="1"/>
  <c r="Q686" i="12" s="1"/>
  <c r="Q688" i="12" s="1"/>
  <c r="R686" i="12" s="1"/>
  <c r="R688" i="12" s="1"/>
  <c r="S686" i="12" s="1"/>
  <c r="S688" i="12" s="1"/>
  <c r="T686" i="12" s="1"/>
  <c r="T688" i="12" s="1"/>
  <c r="N153" i="12"/>
  <c r="K712" i="12"/>
  <c r="P284" i="12"/>
  <c r="P712" i="12"/>
  <c r="T284" i="12"/>
  <c r="P39" i="12"/>
  <c r="P40" i="12" s="1"/>
  <c r="P41" i="12" s="1"/>
  <c r="J956" i="12" s="1"/>
  <c r="M202" i="12"/>
  <c r="N264" i="12"/>
  <c r="O202" i="12" l="1"/>
  <c r="T202" i="12"/>
  <c r="L202" i="12"/>
  <c r="K202" i="12"/>
  <c r="P202" i="12"/>
  <c r="R202" i="12"/>
  <c r="N202" i="12"/>
  <c r="S202" i="12"/>
  <c r="Q202" i="12"/>
  <c r="O923" i="12"/>
  <c r="J233" i="12" s="1"/>
  <c r="I233" i="12" s="1"/>
  <c r="H950" i="12"/>
  <c r="H958" i="12" s="1"/>
  <c r="I948" i="12"/>
  <c r="P42" i="12"/>
  <c r="K956" i="12"/>
  <c r="O264" i="12"/>
  <c r="O956" i="12" l="1"/>
  <c r="J266" i="12" s="1"/>
  <c r="I266" i="12" s="1"/>
  <c r="K233" i="12"/>
  <c r="L233" i="12" s="1"/>
  <c r="M233" i="12" s="1"/>
  <c r="N233" i="12" s="1"/>
  <c r="O233" i="12" s="1"/>
  <c r="P233" i="12" s="1"/>
  <c r="Q233" i="12" s="1"/>
  <c r="R233" i="12" s="1"/>
  <c r="S233" i="12" s="1"/>
  <c r="T233" i="12" s="1"/>
  <c r="J922" i="12"/>
  <c r="I950" i="12"/>
  <c r="I958" i="12" s="1"/>
  <c r="K948" i="12"/>
  <c r="P264" i="12"/>
  <c r="I866" i="12" l="1"/>
  <c r="O832" i="12"/>
  <c r="K922" i="12"/>
  <c r="K950" i="12"/>
  <c r="Q264" i="12"/>
  <c r="O922" i="12" l="1"/>
  <c r="J232" i="12" s="1"/>
  <c r="I232" i="12" s="1"/>
  <c r="D13" i="12"/>
  <c r="R264" i="12"/>
  <c r="K232" i="12" l="1"/>
  <c r="L232" i="12" s="1"/>
  <c r="M232" i="12" s="1"/>
  <c r="N232" i="12" s="1"/>
  <c r="O232" i="12" s="1"/>
  <c r="F13" i="12"/>
  <c r="S264" i="12"/>
  <c r="P232" i="12" l="1"/>
  <c r="T264" i="12"/>
  <c r="Q232" i="12" l="1"/>
  <c r="R232" i="12" l="1"/>
  <c r="S232" i="12" l="1"/>
  <c r="T232" i="12" l="1"/>
  <c r="K159" i="12" l="1"/>
  <c r="K911" i="12" l="1"/>
  <c r="J916" i="12" l="1"/>
  <c r="J926" i="12" s="1"/>
  <c r="J957" i="12"/>
  <c r="J958" i="12" s="1"/>
  <c r="K916" i="12"/>
  <c r="K926" i="12" s="1"/>
  <c r="K957" i="12" l="1"/>
  <c r="K958" i="12" s="1"/>
  <c r="K960" i="12" s="1"/>
  <c r="J1069" i="12" l="1"/>
  <c r="O835" i="12" l="1"/>
  <c r="J847" i="12"/>
  <c r="J856" i="12"/>
  <c r="O856" i="12" l="1"/>
  <c r="D34" i="12" s="1"/>
  <c r="F34" i="12" s="1"/>
  <c r="J848" i="12"/>
  <c r="J475" i="12"/>
  <c r="D16" i="12"/>
  <c r="N881" i="12"/>
  <c r="N891" i="12" s="1"/>
  <c r="M881" i="12"/>
  <c r="K617" i="12" l="1"/>
  <c r="L617" i="12" s="1"/>
  <c r="N939" i="12"/>
  <c r="J760" i="12"/>
  <c r="J773" i="12" s="1"/>
  <c r="J816" i="12" s="1"/>
  <c r="K472" i="12"/>
  <c r="K477" i="12" s="1"/>
  <c r="K627" i="12"/>
  <c r="K167" i="12" s="1"/>
  <c r="M891" i="12"/>
  <c r="F16" i="12"/>
  <c r="M617" i="12" l="1"/>
  <c r="K593" i="12"/>
  <c r="K473" i="12"/>
  <c r="K285" i="12"/>
  <c r="N948" i="12"/>
  <c r="O948" i="12" s="1"/>
  <c r="J258" i="12" s="1"/>
  <c r="I258" i="12" s="1"/>
  <c r="N921" i="12"/>
  <c r="N617" i="12" l="1"/>
  <c r="K417" i="12"/>
  <c r="O939" i="12"/>
  <c r="N947" i="12"/>
  <c r="N950" i="12" s="1"/>
  <c r="L627" i="12"/>
  <c r="L167" i="12" s="1"/>
  <c r="O921" i="12"/>
  <c r="J725" i="12"/>
  <c r="K723" i="12" s="1"/>
  <c r="O617" i="12" l="1"/>
  <c r="P617" i="12" s="1"/>
  <c r="Q617" i="12" s="1"/>
  <c r="R617" i="12" s="1"/>
  <c r="S617" i="12" s="1"/>
  <c r="T617" i="12" s="1"/>
  <c r="K158" i="12"/>
  <c r="L285" i="12"/>
  <c r="J249" i="12"/>
  <c r="I249" i="12" s="1"/>
  <c r="O947" i="12"/>
  <c r="O950" i="12" s="1"/>
  <c r="J231" i="12"/>
  <c r="I231" i="12" s="1"/>
  <c r="M627" i="12"/>
  <c r="M167" i="12" s="1"/>
  <c r="M285" i="12" l="1"/>
  <c r="N627" i="12"/>
  <c r="N167" i="12" s="1"/>
  <c r="K231" i="12"/>
  <c r="O627" i="12"/>
  <c r="O167" i="12" s="1"/>
  <c r="J70" i="12"/>
  <c r="J257" i="12"/>
  <c r="J260" i="12" s="1"/>
  <c r="I257" i="12"/>
  <c r="I260" i="12" s="1"/>
  <c r="P627" i="12" l="1"/>
  <c r="P167" i="12" s="1"/>
  <c r="J75" i="12"/>
  <c r="J91" i="12"/>
  <c r="L231" i="12"/>
  <c r="N285" i="12"/>
  <c r="O285" i="12"/>
  <c r="P285" i="12" l="1"/>
  <c r="Q627" i="12"/>
  <c r="Q167" i="12" s="1"/>
  <c r="M231" i="12"/>
  <c r="J93" i="12"/>
  <c r="J90" i="12"/>
  <c r="Q285" i="12" l="1"/>
  <c r="R627" i="12"/>
  <c r="R167" i="12" s="1"/>
  <c r="N231" i="12"/>
  <c r="S627" i="12" l="1"/>
  <c r="S167" i="12" s="1"/>
  <c r="R285" i="12"/>
  <c r="O231" i="12"/>
  <c r="T627" i="12" l="1"/>
  <c r="T167" i="12" s="1"/>
  <c r="S285" i="12"/>
  <c r="P231" i="12"/>
  <c r="T285" i="12" l="1"/>
  <c r="Q231" i="12"/>
  <c r="R231" i="12" l="1"/>
  <c r="S231" i="12" l="1"/>
  <c r="T231" i="12" l="1"/>
  <c r="K847" i="12"/>
  <c r="K856" i="12"/>
  <c r="K848" i="12" s="1"/>
  <c r="O855" i="12" l="1"/>
  <c r="D33" i="12" s="1"/>
  <c r="F33" i="12" s="1"/>
  <c r="K179" i="12" l="1"/>
  <c r="L179" i="12"/>
  <c r="M179" i="12"/>
  <c r="N179" i="12"/>
  <c r="O179" i="12"/>
  <c r="P179" i="12"/>
  <c r="Q179" i="12"/>
  <c r="R179" i="12"/>
  <c r="S179" i="12"/>
  <c r="T179" i="12"/>
  <c r="K181" i="12"/>
  <c r="L181" i="12"/>
  <c r="M181" i="12"/>
  <c r="N181" i="12"/>
  <c r="O181" i="12"/>
  <c r="K182" i="12"/>
  <c r="L182" i="12"/>
  <c r="M182" i="12"/>
  <c r="N182" i="12"/>
  <c r="O182" i="12"/>
  <c r="N854" i="12"/>
  <c r="O854" i="12" s="1"/>
  <c r="O864" i="12" l="1"/>
  <c r="O848" i="12"/>
  <c r="D28" i="12" s="1"/>
  <c r="N864" i="12"/>
  <c r="D32" i="12"/>
  <c r="D36" i="12" s="1"/>
  <c r="F28" i="12" l="1"/>
  <c r="F32" i="12"/>
  <c r="N845" i="12"/>
  <c r="K544" i="12" l="1"/>
  <c r="K549" i="12" s="1"/>
  <c r="O845" i="12"/>
  <c r="N847" i="12"/>
  <c r="N849" i="12" s="1"/>
  <c r="N866" i="12" s="1"/>
  <c r="F36" i="12"/>
  <c r="M916" i="12"/>
  <c r="M926" i="12" s="1"/>
  <c r="M960" i="12" s="1"/>
  <c r="K1037" i="12" l="1"/>
  <c r="K545" i="12"/>
  <c r="K425" i="12" s="1"/>
  <c r="K427" i="12" s="1"/>
  <c r="E971" i="12"/>
  <c r="E985" i="12" s="1"/>
  <c r="N955" i="12"/>
  <c r="O847" i="12"/>
  <c r="N911" i="12" s="1"/>
  <c r="D26" i="12"/>
  <c r="I814" i="12" s="1"/>
  <c r="J814" i="12" s="1"/>
  <c r="J1058" i="12"/>
  <c r="J1060" i="12" s="1"/>
  <c r="E31" i="12"/>
  <c r="E33" i="12"/>
  <c r="E34" i="12"/>
  <c r="E35" i="12"/>
  <c r="E32" i="12"/>
  <c r="K601" i="12" l="1"/>
  <c r="K173" i="12" s="1"/>
  <c r="N957" i="12"/>
  <c r="N958" i="12" s="1"/>
  <c r="O955" i="12"/>
  <c r="F971" i="12"/>
  <c r="F978" i="12"/>
  <c r="F980" i="12"/>
  <c r="F984" i="12"/>
  <c r="F982" i="12"/>
  <c r="F972" i="12"/>
  <c r="G972" i="12" s="1"/>
  <c r="H972" i="12" s="1"/>
  <c r="F983" i="12"/>
  <c r="F979" i="12"/>
  <c r="F977" i="12"/>
  <c r="F976" i="12"/>
  <c r="F974" i="12"/>
  <c r="F981" i="12"/>
  <c r="F975" i="12"/>
  <c r="F26" i="12"/>
  <c r="F29" i="12" s="1"/>
  <c r="D29" i="12"/>
  <c r="E36" i="12"/>
  <c r="O849" i="12"/>
  <c r="O866" i="12" s="1"/>
  <c r="I817" i="12" l="1"/>
  <c r="E27" i="12"/>
  <c r="E24" i="12"/>
  <c r="E14" i="12"/>
  <c r="E15" i="12"/>
  <c r="E17" i="12"/>
  <c r="E13" i="12"/>
  <c r="E20" i="12"/>
  <c r="E18" i="12"/>
  <c r="E19" i="12"/>
  <c r="E25" i="12"/>
  <c r="E16" i="12"/>
  <c r="E22" i="12"/>
  <c r="E23" i="12"/>
  <c r="E21" i="12"/>
  <c r="E28" i="12"/>
  <c r="G971" i="12"/>
  <c r="F985" i="12"/>
  <c r="E26" i="12"/>
  <c r="N916" i="12"/>
  <c r="N926" i="12" s="1"/>
  <c r="N960" i="12" s="1"/>
  <c r="O911" i="12"/>
  <c r="O957" i="12"/>
  <c r="O958" i="12" s="1"/>
  <c r="J265" i="12"/>
  <c r="I265" i="12" s="1"/>
  <c r="K814" i="12" l="1"/>
  <c r="J817" i="12"/>
  <c r="K265" i="12"/>
  <c r="J267" i="12"/>
  <c r="J268" i="12" s="1"/>
  <c r="I267" i="12"/>
  <c r="I268" i="12" s="1"/>
  <c r="E29" i="12"/>
  <c r="J221" i="12"/>
  <c r="O916" i="12"/>
  <c r="O926" i="12" s="1"/>
  <c r="O960" i="12" s="1"/>
  <c r="H971" i="12"/>
  <c r="H985" i="12" s="1"/>
  <c r="G985" i="12"/>
  <c r="I221" i="12" l="1"/>
  <c r="I226" i="12" s="1"/>
  <c r="I236" i="12" s="1"/>
  <c r="I270" i="12" s="1"/>
  <c r="K589" i="12"/>
  <c r="K155" i="12" s="1"/>
  <c r="K600" i="12"/>
  <c r="K412" i="12"/>
  <c r="K414" i="12" s="1"/>
  <c r="L814" i="12"/>
  <c r="K317" i="12"/>
  <c r="J226" i="12"/>
  <c r="J122" i="12"/>
  <c r="J76" i="12"/>
  <c r="J77" i="12" s="1"/>
  <c r="J92" i="12" s="1"/>
  <c r="L265" i="12"/>
  <c r="K165" i="12" l="1"/>
  <c r="K606" i="12"/>
  <c r="K83" i="12" s="1"/>
  <c r="J236" i="12"/>
  <c r="J121" i="12"/>
  <c r="M814" i="12"/>
  <c r="L317" i="12"/>
  <c r="M265" i="12"/>
  <c r="M317" i="12" l="1"/>
  <c r="N814" i="12"/>
  <c r="N265" i="12"/>
  <c r="J270" i="12"/>
  <c r="O265" i="12" l="1"/>
  <c r="O814" i="12"/>
  <c r="N317" i="12"/>
  <c r="P265" i="12" l="1"/>
  <c r="O317" i="12"/>
  <c r="P814" i="12"/>
  <c r="Q265" i="12" l="1"/>
  <c r="P317" i="12"/>
  <c r="Q814" i="12"/>
  <c r="R265" i="12" l="1"/>
  <c r="R814" i="12"/>
  <c r="Q317" i="12"/>
  <c r="S814" i="12" l="1"/>
  <c r="R317" i="12"/>
  <c r="S265" i="12"/>
  <c r="T265" i="12" l="1"/>
  <c r="S317" i="12"/>
  <c r="T814" i="12"/>
  <c r="T317" i="12" l="1"/>
  <c r="K591" i="12" l="1"/>
  <c r="K156" i="12" l="1"/>
  <c r="K166" i="12" s="1"/>
  <c r="K170" i="12" s="1"/>
  <c r="K604" i="12"/>
  <c r="K81" i="12" s="1"/>
  <c r="K605" i="12"/>
  <c r="K82" i="12" l="1"/>
  <c r="K84" i="12" s="1"/>
  <c r="K86" i="12"/>
  <c r="K105" i="12"/>
  <c r="K101" i="12"/>
  <c r="K97" i="12"/>
  <c r="K714" i="12"/>
  <c r="K717" i="12" s="1"/>
  <c r="K719" i="12" s="1"/>
  <c r="K103" i="12" l="1"/>
  <c r="K107" i="12"/>
  <c r="K99" i="12"/>
  <c r="K98" i="12"/>
  <c r="K106" i="12"/>
  <c r="K102" i="12"/>
  <c r="K171" i="12" l="1"/>
  <c r="K172" i="12" l="1"/>
  <c r="K176" i="12" s="1"/>
  <c r="K1003" i="12" s="1"/>
  <c r="K721" i="12"/>
  <c r="K720" i="12" s="1"/>
  <c r="K724" i="12" s="1"/>
  <c r="K725" i="12" s="1"/>
  <c r="L723" i="12" s="1"/>
  <c r="K289" i="12"/>
  <c r="K258" i="12" l="1"/>
  <c r="K291" i="12" s="1"/>
  <c r="K294" i="12" s="1"/>
  <c r="K1005" i="12"/>
  <c r="K203" i="12"/>
  <c r="K266" i="12"/>
  <c r="K206" i="12" s="1"/>
  <c r="K282" i="12"/>
  <c r="K797" i="12"/>
  <c r="K295" i="12" l="1"/>
  <c r="K320" i="12" s="1"/>
  <c r="K415" i="12" s="1"/>
  <c r="K416" i="12" s="1"/>
  <c r="K428" i="12" s="1"/>
  <c r="K117" i="12"/>
  <c r="K449" i="12" l="1"/>
  <c r="K431" i="12"/>
  <c r="K432" i="12" l="1"/>
  <c r="K450" i="12"/>
  <c r="K465" i="12" l="1"/>
  <c r="K433" i="12"/>
  <c r="K305" i="12"/>
  <c r="K248" i="12" s="1"/>
  <c r="K451" i="12"/>
  <c r="K474" i="12" l="1"/>
  <c r="K307" i="12" s="1"/>
  <c r="K306" i="12"/>
  <c r="K247" i="12" s="1"/>
  <c r="K466" i="12"/>
  <c r="K434" i="12"/>
  <c r="K454" i="12"/>
  <c r="L458" i="12" s="1"/>
  <c r="L448" i="12"/>
  <c r="L457" i="12" s="1"/>
  <c r="K475" i="12" l="1"/>
  <c r="K249" i="12" s="1"/>
  <c r="K483" i="12"/>
  <c r="K435" i="12"/>
  <c r="K492" i="12" s="1"/>
  <c r="K493" i="12" s="1"/>
  <c r="K251" i="12" s="1"/>
  <c r="L463" i="12"/>
  <c r="K759" i="12"/>
  <c r="K772" i="12" s="1"/>
  <c r="K785" i="12" s="1"/>
  <c r="K800" i="12" s="1"/>
  <c r="L459" i="12"/>
  <c r="L592" i="12" s="1"/>
  <c r="L157" i="12" s="1"/>
  <c r="K760" i="12" l="1"/>
  <c r="K773" i="12" s="1"/>
  <c r="K786" i="12" s="1"/>
  <c r="K801" i="12" s="1"/>
  <c r="L472" i="12"/>
  <c r="K309" i="12"/>
  <c r="K436" i="12"/>
  <c r="K308" i="12"/>
  <c r="K484" i="12"/>
  <c r="L468" i="12"/>
  <c r="L591" i="12" s="1"/>
  <c r="L156" i="12" s="1"/>
  <c r="L464" i="12"/>
  <c r="L490" i="12"/>
  <c r="K762" i="12"/>
  <c r="K775" i="12" s="1"/>
  <c r="L495" i="12" l="1"/>
  <c r="L477" i="12"/>
  <c r="L593" i="12" s="1"/>
  <c r="L158" i="12" s="1"/>
  <c r="L473" i="12"/>
  <c r="L417" i="12" s="1"/>
  <c r="K501" i="12"/>
  <c r="K437" i="12"/>
  <c r="K761" i="12"/>
  <c r="K774" i="12" s="1"/>
  <c r="K787" i="12" s="1"/>
  <c r="K802" i="12" s="1"/>
  <c r="K250" i="12"/>
  <c r="L481" i="12"/>
  <c r="K788" i="12"/>
  <c r="K803" i="12" s="1"/>
  <c r="L491" i="12"/>
  <c r="K510" i="12" l="1"/>
  <c r="K438" i="12"/>
  <c r="K439" i="12" s="1"/>
  <c r="K440" i="12" s="1"/>
  <c r="K441" i="12" s="1"/>
  <c r="K442" i="12" s="1"/>
  <c r="K1014" i="12"/>
  <c r="K310" i="12"/>
  <c r="K502" i="12"/>
  <c r="L486" i="12"/>
  <c r="L594" i="12" s="1"/>
  <c r="L159" i="12" s="1"/>
  <c r="L482" i="12"/>
  <c r="L418" i="12" s="1"/>
  <c r="L419" i="12"/>
  <c r="L595" i="12"/>
  <c r="K519" i="12" l="1"/>
  <c r="K520" i="12" s="1"/>
  <c r="K528" i="12"/>
  <c r="K312" i="12"/>
  <c r="K1026" i="12"/>
  <c r="K511" i="12"/>
  <c r="K311" i="12"/>
  <c r="K252" i="12"/>
  <c r="K1015" i="12"/>
  <c r="L499" i="12"/>
  <c r="K763" i="12"/>
  <c r="K776" i="12" s="1"/>
  <c r="K789" i="12" s="1"/>
  <c r="K804" i="12" s="1"/>
  <c r="L160" i="12"/>
  <c r="K765" i="12" l="1"/>
  <c r="K778" i="12" s="1"/>
  <c r="K791" i="12" s="1"/>
  <c r="K806" i="12" s="1"/>
  <c r="L517" i="12"/>
  <c r="K254" i="12"/>
  <c r="K1027" i="12"/>
  <c r="K253" i="12"/>
  <c r="L508" i="12"/>
  <c r="K764" i="12"/>
  <c r="K777" i="12" s="1"/>
  <c r="K790" i="12" s="1"/>
  <c r="K805" i="12" s="1"/>
  <c r="L504" i="12"/>
  <c r="L500" i="12"/>
  <c r="L420" i="12" s="1"/>
  <c r="L518" i="12"/>
  <c r="K529" i="12"/>
  <c r="K255" i="12" s="1"/>
  <c r="K313" i="12"/>
  <c r="K537" i="12"/>
  <c r="L522" i="12" l="1"/>
  <c r="L598" i="12" s="1"/>
  <c r="L163" i="12" s="1"/>
  <c r="L509" i="12"/>
  <c r="L421" i="12" s="1"/>
  <c r="L513" i="12"/>
  <c r="L1013" i="12"/>
  <c r="L596" i="12"/>
  <c r="L161" i="12" s="1"/>
  <c r="L422" i="12"/>
  <c r="K314" i="12"/>
  <c r="K538" i="12"/>
  <c r="K256" i="12" s="1"/>
  <c r="K546" i="12"/>
  <c r="L526" i="12"/>
  <c r="K766" i="12"/>
  <c r="K779" i="12" s="1"/>
  <c r="K792" i="12" s="1"/>
  <c r="K807" i="12" s="1"/>
  <c r="L531" i="12" l="1"/>
  <c r="L599" i="12" s="1"/>
  <c r="L164" i="12" s="1"/>
  <c r="L1025" i="12"/>
  <c r="L597" i="12"/>
  <c r="L162" i="12" s="1"/>
  <c r="L527" i="12"/>
  <c r="K547" i="12"/>
  <c r="K262" i="12" s="1"/>
  <c r="K315" i="12"/>
  <c r="K767" i="12"/>
  <c r="K780" i="12" s="1"/>
  <c r="K793" i="12" s="1"/>
  <c r="K808" i="12" s="1"/>
  <c r="L535" i="12"/>
  <c r="K555" i="12"/>
  <c r="K443" i="12"/>
  <c r="L540" i="12" l="1"/>
  <c r="K316" i="12"/>
  <c r="K318" i="12" s="1"/>
  <c r="K321" i="12" s="1"/>
  <c r="K556" i="12"/>
  <c r="K263" i="12" s="1"/>
  <c r="L536" i="12"/>
  <c r="L600" i="12"/>
  <c r="L165" i="12" s="1"/>
  <c r="L544" i="12"/>
  <c r="K768" i="12"/>
  <c r="K781" i="12" s="1"/>
  <c r="K794" i="12" s="1"/>
  <c r="K809" i="12" s="1"/>
  <c r="K1038" i="12"/>
  <c r="L423" i="12"/>
  <c r="K221" i="12" l="1"/>
  <c r="K226" i="12" s="1"/>
  <c r="L549" i="12"/>
  <c r="L1037" i="12" s="1"/>
  <c r="K257" i="12"/>
  <c r="K205" i="12" s="1"/>
  <c r="K70" i="12"/>
  <c r="K71" i="12"/>
  <c r="K769" i="12"/>
  <c r="K782" i="12" s="1"/>
  <c r="K795" i="12" s="1"/>
  <c r="K810" i="12" s="1"/>
  <c r="K816" i="12" s="1"/>
  <c r="K817" i="12" s="1"/>
  <c r="L553" i="12"/>
  <c r="K1049" i="12"/>
  <c r="L545" i="12"/>
  <c r="L424" i="12"/>
  <c r="L289" i="12"/>
  <c r="L412" i="12" l="1"/>
  <c r="L414" i="12" s="1"/>
  <c r="K76" i="12"/>
  <c r="K122" i="12"/>
  <c r="L589" i="12"/>
  <c r="L155" i="12" s="1"/>
  <c r="L166" i="12" s="1"/>
  <c r="L170" i="12" s="1"/>
  <c r="L558" i="12"/>
  <c r="L1048" i="12" s="1"/>
  <c r="K260" i="12"/>
  <c r="K116" i="12"/>
  <c r="K91" i="12"/>
  <c r="K112" i="12"/>
  <c r="K236" i="12"/>
  <c r="K121" i="12"/>
  <c r="L554" i="12"/>
  <c r="L425" i="12"/>
  <c r="L601" i="12"/>
  <c r="L173" i="12" s="1"/>
  <c r="L714" i="12" l="1"/>
  <c r="L717" i="12" s="1"/>
  <c r="L719" i="12" s="1"/>
  <c r="L171" i="12"/>
  <c r="L721" i="12" s="1"/>
  <c r="K207" i="12"/>
  <c r="K118" i="12" s="1"/>
  <c r="K125" i="12"/>
  <c r="L602" i="12"/>
  <c r="L174" i="12" s="1"/>
  <c r="K267" i="12"/>
  <c r="K268" i="12" s="1"/>
  <c r="K270" i="12" s="1"/>
  <c r="L426" i="12"/>
  <c r="L427" i="12" s="1"/>
  <c r="K72" i="12"/>
  <c r="K75" i="12" s="1"/>
  <c r="L172" i="12" l="1"/>
  <c r="L176" i="12" s="1"/>
  <c r="L1003" i="12" s="1"/>
  <c r="L604" i="12"/>
  <c r="L605" i="12"/>
  <c r="L86" i="12" s="1"/>
  <c r="L606" i="12"/>
  <c r="L83" i="12" s="1"/>
  <c r="K77" i="12"/>
  <c r="K90" i="12"/>
  <c r="K113" i="12"/>
  <c r="K93" i="12"/>
  <c r="L81" i="12" l="1"/>
  <c r="L101" i="12" s="1"/>
  <c r="L103" i="12"/>
  <c r="L190" i="12"/>
  <c r="L203" i="12"/>
  <c r="L1005" i="12"/>
  <c r="L797" i="12"/>
  <c r="L266" i="12"/>
  <c r="L282" i="12"/>
  <c r="L99" i="12"/>
  <c r="K999" i="12"/>
  <c r="K1000" i="12" s="1"/>
  <c r="K1007" i="12" s="1"/>
  <c r="K92" i="12"/>
  <c r="L105" i="12" l="1"/>
  <c r="L107" i="12"/>
  <c r="L82" i="12"/>
  <c r="L84" i="12" s="1"/>
  <c r="L106" i="12" s="1"/>
  <c r="L97" i="12"/>
  <c r="L206" i="12"/>
  <c r="L117" i="12" s="1"/>
  <c r="K1039" i="12"/>
  <c r="K1040" i="12" s="1"/>
  <c r="K1050" i="12"/>
  <c r="K1051" i="12" s="1"/>
  <c r="K1016" i="12"/>
  <c r="K1017" i="12" s="1"/>
  <c r="K1068" i="12"/>
  <c r="K1069" i="12" s="1"/>
  <c r="K1059" i="12"/>
  <c r="K1060" i="12" s="1"/>
  <c r="K1028" i="12"/>
  <c r="K1029" i="12" s="1"/>
  <c r="L102" i="12" l="1"/>
  <c r="L98" i="12"/>
  <c r="L720" i="12"/>
  <c r="L724" i="12" s="1"/>
  <c r="L725" i="12" s="1"/>
  <c r="L258" i="12" l="1"/>
  <c r="L291" i="12" s="1"/>
  <c r="L294" i="12" s="1"/>
  <c r="L295" i="12" s="1"/>
  <c r="L320" i="12" s="1"/>
  <c r="L415" i="12" s="1"/>
  <c r="L416" i="12" s="1"/>
  <c r="L428" i="12" s="1"/>
  <c r="M723" i="12"/>
  <c r="L449" i="12" l="1"/>
  <c r="L431" i="12"/>
  <c r="L432" i="12" l="1"/>
  <c r="L433" i="12" s="1"/>
  <c r="L474" i="12" s="1"/>
  <c r="L450" i="12"/>
  <c r="L305" i="12" s="1"/>
  <c r="L465" i="12" l="1"/>
  <c r="L434" i="12"/>
  <c r="L435" i="12" s="1"/>
  <c r="L451" i="12"/>
  <c r="L454" i="12" s="1"/>
  <c r="M458" i="12" s="1"/>
  <c r="L475" i="12"/>
  <c r="L249" i="12" s="1"/>
  <c r="L307" i="12"/>
  <c r="L248" i="12"/>
  <c r="L483" i="12" l="1"/>
  <c r="L484" i="12" s="1"/>
  <c r="L250" i="12" s="1"/>
  <c r="L466" i="12"/>
  <c r="L306" i="12"/>
  <c r="L247" i="12" s="1"/>
  <c r="L436" i="12"/>
  <c r="M448" i="12"/>
  <c r="L492" i="12"/>
  <c r="M472" i="12"/>
  <c r="L760" i="12"/>
  <c r="L773" i="12" s="1"/>
  <c r="L786" i="12" s="1"/>
  <c r="L801" i="12" s="1"/>
  <c r="L308" i="12" l="1"/>
  <c r="L761" i="12"/>
  <c r="L774" i="12" s="1"/>
  <c r="L787" i="12" s="1"/>
  <c r="L802" i="12" s="1"/>
  <c r="M481" i="12"/>
  <c r="M482" i="12" s="1"/>
  <c r="M477" i="12"/>
  <c r="M463" i="12"/>
  <c r="L759" i="12"/>
  <c r="L772" i="12" s="1"/>
  <c r="L785" i="12" s="1"/>
  <c r="L800" i="12" s="1"/>
  <c r="M486" i="12"/>
  <c r="L437" i="12"/>
  <c r="L438" i="12" s="1"/>
  <c r="L439" i="12" s="1"/>
  <c r="L440" i="12" s="1"/>
  <c r="L441" i="12" s="1"/>
  <c r="L442" i="12" s="1"/>
  <c r="M457" i="12"/>
  <c r="M459" i="12" s="1"/>
  <c r="M592" i="12" s="1"/>
  <c r="M157" i="12" s="1"/>
  <c r="L493" i="12"/>
  <c r="L251" i="12" s="1"/>
  <c r="L309" i="12"/>
  <c r="M473" i="12"/>
  <c r="M468" i="12" l="1"/>
  <c r="M591" i="12" s="1"/>
  <c r="M156" i="12" s="1"/>
  <c r="M464" i="12"/>
  <c r="L510" i="12"/>
  <c r="L501" i="12"/>
  <c r="M490" i="12"/>
  <c r="L762" i="12"/>
  <c r="L775" i="12" s="1"/>
  <c r="L788" i="12" s="1"/>
  <c r="L803" i="12" s="1"/>
  <c r="M418" i="12"/>
  <c r="M594" i="12"/>
  <c r="M159" i="12" s="1"/>
  <c r="M417" i="12"/>
  <c r="M593" i="12"/>
  <c r="M495" i="12" l="1"/>
  <c r="M595" i="12" s="1"/>
  <c r="M160" i="12" s="1"/>
  <c r="L519" i="12"/>
  <c r="L1026" i="12"/>
  <c r="L311" i="12"/>
  <c r="L511" i="12"/>
  <c r="L253" i="12" s="1"/>
  <c r="M491" i="12"/>
  <c r="L1014" i="12"/>
  <c r="L310" i="12"/>
  <c r="L502" i="12"/>
  <c r="L252" i="12" s="1"/>
  <c r="M158" i="12"/>
  <c r="L528" i="12" l="1"/>
  <c r="L313" i="12" s="1"/>
  <c r="M419" i="12"/>
  <c r="L312" i="12"/>
  <c r="L520" i="12"/>
  <c r="L254" i="12" s="1"/>
  <c r="L763" i="12"/>
  <c r="L776" i="12" s="1"/>
  <c r="L789" i="12" s="1"/>
  <c r="L804" i="12" s="1"/>
  <c r="M499" i="12"/>
  <c r="L1015" i="12"/>
  <c r="L764" i="12"/>
  <c r="L777" i="12" s="1"/>
  <c r="L790" i="12" s="1"/>
  <c r="L805" i="12" s="1"/>
  <c r="L1027" i="12"/>
  <c r="M508" i="12"/>
  <c r="M513" i="12" l="1"/>
  <c r="M1025" i="12" s="1"/>
  <c r="M504" i="12"/>
  <c r="M1013" i="12" s="1"/>
  <c r="L529" i="12"/>
  <c r="M500" i="12"/>
  <c r="M509" i="12"/>
  <c r="M517" i="12"/>
  <c r="L765" i="12"/>
  <c r="L778" i="12" s="1"/>
  <c r="L791" i="12" s="1"/>
  <c r="L806" i="12" s="1"/>
  <c r="M522" i="12" l="1"/>
  <c r="L766" i="12"/>
  <c r="L779" i="12" s="1"/>
  <c r="L792" i="12" s="1"/>
  <c r="L807" i="12" s="1"/>
  <c r="L255" i="12"/>
  <c r="L537" i="12"/>
  <c r="M526" i="12"/>
  <c r="M597" i="12"/>
  <c r="M162" i="12" s="1"/>
  <c r="M420" i="12"/>
  <c r="L546" i="12"/>
  <c r="M421" i="12"/>
  <c r="M518" i="12"/>
  <c r="M596" i="12"/>
  <c r="M161" i="12" s="1"/>
  <c r="M531" i="12" l="1"/>
  <c r="L538" i="12"/>
  <c r="M527" i="12"/>
  <c r="M423" i="12" s="1"/>
  <c r="L314" i="12"/>
  <c r="M598" i="12"/>
  <c r="M163" i="12" s="1"/>
  <c r="L555" i="12"/>
  <c r="L443" i="12"/>
  <c r="M422" i="12"/>
  <c r="L547" i="12"/>
  <c r="L262" i="12" s="1"/>
  <c r="L315" i="12"/>
  <c r="M535" i="12" l="1"/>
  <c r="L256" i="12"/>
  <c r="M599" i="12"/>
  <c r="M164" i="12" s="1"/>
  <c r="L767" i="12"/>
  <c r="L780" i="12" s="1"/>
  <c r="L793" i="12" s="1"/>
  <c r="L808" i="12" s="1"/>
  <c r="M544" i="12"/>
  <c r="L768" i="12"/>
  <c r="L781" i="12" s="1"/>
  <c r="L794" i="12" s="1"/>
  <c r="L809" i="12" s="1"/>
  <c r="L1038" i="12"/>
  <c r="L556" i="12"/>
  <c r="L263" i="12" s="1"/>
  <c r="L316" i="12"/>
  <c r="L318" i="12" s="1"/>
  <c r="L321" i="12" s="1"/>
  <c r="L221" i="12" l="1"/>
  <c r="M549" i="12"/>
  <c r="M1037" i="12" s="1"/>
  <c r="M540" i="12"/>
  <c r="M600" i="12" s="1"/>
  <c r="M165" i="12" s="1"/>
  <c r="M536" i="12"/>
  <c r="L71" i="12"/>
  <c r="M545" i="12"/>
  <c r="M553" i="12"/>
  <c r="L769" i="12"/>
  <c r="L782" i="12" s="1"/>
  <c r="L795" i="12" s="1"/>
  <c r="L810" i="12" s="1"/>
  <c r="L1049" i="12"/>
  <c r="M289" i="12"/>
  <c r="M589" i="12" l="1"/>
  <c r="M155" i="12" s="1"/>
  <c r="M166" i="12" s="1"/>
  <c r="M170" i="12" s="1"/>
  <c r="M412" i="12"/>
  <c r="M414" i="12" s="1"/>
  <c r="L76" i="12"/>
  <c r="L226" i="12"/>
  <c r="L236" i="12" s="1"/>
  <c r="L122" i="12"/>
  <c r="M558" i="12"/>
  <c r="M1048" i="12" s="1"/>
  <c r="M424" i="12"/>
  <c r="L257" i="12"/>
  <c r="L205" i="12" s="1"/>
  <c r="L70" i="12"/>
  <c r="L112" i="12" s="1"/>
  <c r="M425" i="12"/>
  <c r="M554" i="12"/>
  <c r="L816" i="12"/>
  <c r="L817" i="12" s="1"/>
  <c r="M601" i="12"/>
  <c r="M173" i="12" s="1"/>
  <c r="L121" i="12" l="1"/>
  <c r="L207" i="12"/>
  <c r="L118" i="12" s="1"/>
  <c r="L125" i="12"/>
  <c r="M714" i="12"/>
  <c r="M717" i="12" s="1"/>
  <c r="M719" i="12" s="1"/>
  <c r="L260" i="12"/>
  <c r="L116" i="12"/>
  <c r="L91" i="12"/>
  <c r="M602" i="12"/>
  <c r="M604" i="12" s="1"/>
  <c r="L72" i="12"/>
  <c r="L75" i="12" s="1"/>
  <c r="M426" i="12"/>
  <c r="M427" i="12" s="1"/>
  <c r="L267" i="12"/>
  <c r="M171" i="12" l="1"/>
  <c r="M721" i="12" s="1"/>
  <c r="M81" i="12"/>
  <c r="M97" i="12" s="1"/>
  <c r="L268" i="12"/>
  <c r="L270" i="12" s="1"/>
  <c r="M605" i="12"/>
  <c r="M606" i="12"/>
  <c r="M83" i="12" s="1"/>
  <c r="M174" i="12"/>
  <c r="L90" i="12"/>
  <c r="L93" i="12"/>
  <c r="L77" i="12"/>
  <c r="L113" i="12"/>
  <c r="M172" i="12" l="1"/>
  <c r="M176" i="12" s="1"/>
  <c r="M82" i="12"/>
  <c r="M84" i="12" s="1"/>
  <c r="M102" i="12" s="1"/>
  <c r="M86" i="12"/>
  <c r="M101" i="12"/>
  <c r="M105" i="12"/>
  <c r="L999" i="12"/>
  <c r="L1000" i="12" s="1"/>
  <c r="L1007" i="12" s="1"/>
  <c r="L92" i="12"/>
  <c r="M1003" i="12" l="1"/>
  <c r="M1005" i="12" s="1"/>
  <c r="M190" i="12"/>
  <c r="M203" i="12"/>
  <c r="M266" i="12"/>
  <c r="M206" i="12" s="1"/>
  <c r="M117" i="12" s="1"/>
  <c r="M797" i="12"/>
  <c r="M282" i="12"/>
  <c r="M98" i="12"/>
  <c r="M106" i="12"/>
  <c r="M107" i="12"/>
  <c r="M103" i="12"/>
  <c r="M99" i="12"/>
  <c r="L1050" i="12"/>
  <c r="L1051" i="12" s="1"/>
  <c r="L1039" i="12"/>
  <c r="L1040" i="12" s="1"/>
  <c r="L1068" i="12"/>
  <c r="L1069" i="12" s="1"/>
  <c r="L1028" i="12"/>
  <c r="L1029" i="12" s="1"/>
  <c r="L1059" i="12"/>
  <c r="L1060" i="12" s="1"/>
  <c r="L1016" i="12"/>
  <c r="L1017" i="12" s="1"/>
  <c r="M720" i="12" l="1"/>
  <c r="M724" i="12" s="1"/>
  <c r="M725" i="12" s="1"/>
  <c r="M258" i="12" l="1"/>
  <c r="M291" i="12" s="1"/>
  <c r="M294" i="12" s="1"/>
  <c r="M295" i="12" s="1"/>
  <c r="M320" i="12" s="1"/>
  <c r="M415" i="12" s="1"/>
  <c r="M416" i="12" s="1"/>
  <c r="M428" i="12" s="1"/>
  <c r="N723" i="12"/>
  <c r="M449" i="12" l="1"/>
  <c r="M431" i="12"/>
  <c r="M432" i="12" s="1"/>
  <c r="M433" i="12" l="1"/>
  <c r="M465" i="12"/>
  <c r="M306" i="12" s="1"/>
  <c r="M247" i="12" s="1"/>
  <c r="M450" i="12"/>
  <c r="M451" i="12" s="1"/>
  <c r="M466" i="12" l="1"/>
  <c r="M474" i="12"/>
  <c r="M475" i="12" s="1"/>
  <c r="M434" i="12"/>
  <c r="M435" i="12" s="1"/>
  <c r="M436" i="12" s="1"/>
  <c r="M305" i="12"/>
  <c r="M248" i="12" s="1"/>
  <c r="M454" i="12"/>
  <c r="N458" i="12" s="1"/>
  <c r="N448" i="12"/>
  <c r="N457" i="12" s="1"/>
  <c r="N463" i="12"/>
  <c r="M759" i="12"/>
  <c r="M772" i="12" s="1"/>
  <c r="M483" i="12" l="1"/>
  <c r="M308" i="12" s="1"/>
  <c r="M307" i="12"/>
  <c r="M437" i="12"/>
  <c r="M438" i="12" s="1"/>
  <c r="M439" i="12" s="1"/>
  <c r="M440" i="12" s="1"/>
  <c r="N468" i="12"/>
  <c r="M760" i="12"/>
  <c r="M773" i="12" s="1"/>
  <c r="M786" i="12" s="1"/>
  <c r="M801" i="12" s="1"/>
  <c r="M249" i="12"/>
  <c r="M484" i="12"/>
  <c r="M492" i="12"/>
  <c r="N472" i="12"/>
  <c r="M785" i="12"/>
  <c r="M800" i="12" s="1"/>
  <c r="N591" i="12"/>
  <c r="N464" i="12"/>
  <c r="N459" i="12"/>
  <c r="N592" i="12" s="1"/>
  <c r="N157" i="12" s="1"/>
  <c r="M441" i="12" l="1"/>
  <c r="M442" i="12" s="1"/>
  <c r="N477" i="12"/>
  <c r="N593" i="12" s="1"/>
  <c r="N481" i="12"/>
  <c r="M250" i="12"/>
  <c r="N473" i="12"/>
  <c r="M309" i="12"/>
  <c r="M761" i="12"/>
  <c r="M774" i="12" s="1"/>
  <c r="M787" i="12" s="1"/>
  <c r="M802" i="12" s="1"/>
  <c r="M493" i="12"/>
  <c r="M501" i="12"/>
  <c r="N156" i="12"/>
  <c r="N486" i="12" l="1"/>
  <c r="N594" i="12" s="1"/>
  <c r="N417" i="12"/>
  <c r="N482" i="12"/>
  <c r="N418" i="12" s="1"/>
  <c r="M762" i="12"/>
  <c r="M775" i="12" s="1"/>
  <c r="M788" i="12" s="1"/>
  <c r="M803" i="12" s="1"/>
  <c r="M251" i="12"/>
  <c r="N490" i="12"/>
  <c r="M502" i="12"/>
  <c r="M252" i="12" s="1"/>
  <c r="M1014" i="12"/>
  <c r="M519" i="12"/>
  <c r="M310" i="12"/>
  <c r="N158" i="12"/>
  <c r="N491" i="12" l="1"/>
  <c r="N419" i="12" s="1"/>
  <c r="N495" i="12"/>
  <c r="M528" i="12"/>
  <c r="M510" i="12"/>
  <c r="N499" i="12"/>
  <c r="M1015" i="12"/>
  <c r="M763" i="12"/>
  <c r="M776" i="12" s="1"/>
  <c r="M789" i="12" s="1"/>
  <c r="M804" i="12" s="1"/>
  <c r="N159" i="12"/>
  <c r="M520" i="12"/>
  <c r="M254" i="12" s="1"/>
  <c r="M312" i="12"/>
  <c r="N504" i="12" l="1"/>
  <c r="N1013" i="12" s="1"/>
  <c r="N595" i="12"/>
  <c r="N160" i="12" s="1"/>
  <c r="M537" i="12"/>
  <c r="M511" i="12"/>
  <c r="M1026" i="12"/>
  <c r="M311" i="12"/>
  <c r="N500" i="12"/>
  <c r="M529" i="12"/>
  <c r="M255" i="12" s="1"/>
  <c r="M313" i="12"/>
  <c r="N517" i="12"/>
  <c r="M765" i="12"/>
  <c r="M778" i="12" s="1"/>
  <c r="M791" i="12" s="1"/>
  <c r="M806" i="12" s="1"/>
  <c r="N522" i="12" l="1"/>
  <c r="M1027" i="12"/>
  <c r="M253" i="12"/>
  <c r="M764" i="12"/>
  <c r="M777" i="12" s="1"/>
  <c r="M790" i="12" s="1"/>
  <c r="M805" i="12" s="1"/>
  <c r="N508" i="12"/>
  <c r="N420" i="12"/>
  <c r="N596" i="12"/>
  <c r="N161" i="12" s="1"/>
  <c r="N526" i="12"/>
  <c r="M766" i="12"/>
  <c r="M779" i="12" s="1"/>
  <c r="M792" i="12" s="1"/>
  <c r="M807" i="12" s="1"/>
  <c r="N518" i="12"/>
  <c r="M538" i="12"/>
  <c r="M256" i="12" s="1"/>
  <c r="M314" i="12"/>
  <c r="N531" i="12" l="1"/>
  <c r="N513" i="12"/>
  <c r="N1025" i="12" s="1"/>
  <c r="M546" i="12"/>
  <c r="M315" i="12" s="1"/>
  <c r="N509" i="12"/>
  <c r="N422" i="12"/>
  <c r="N527" i="12"/>
  <c r="N535" i="12"/>
  <c r="M767" i="12"/>
  <c r="M780" i="12" s="1"/>
  <c r="M793" i="12" s="1"/>
  <c r="M808" i="12" s="1"/>
  <c r="N598" i="12"/>
  <c r="M555" i="12"/>
  <c r="M443" i="12"/>
  <c r="N540" i="12" l="1"/>
  <c r="M547" i="12"/>
  <c r="N597" i="12"/>
  <c r="N162" i="12" s="1"/>
  <c r="N421" i="12"/>
  <c r="N163" i="12"/>
  <c r="N536" i="12"/>
  <c r="M556" i="12"/>
  <c r="M263" i="12" s="1"/>
  <c r="M316" i="12"/>
  <c r="M318" i="12" s="1"/>
  <c r="M321" i="12" s="1"/>
  <c r="N599" i="12"/>
  <c r="N164" i="12" s="1"/>
  <c r="N423" i="12"/>
  <c r="M221" i="12" l="1"/>
  <c r="N589" i="12" s="1"/>
  <c r="N155" i="12" s="1"/>
  <c r="M1038" i="12"/>
  <c r="M262" i="12"/>
  <c r="N544" i="12"/>
  <c r="M768" i="12"/>
  <c r="M781" i="12" s="1"/>
  <c r="M794" i="12" s="1"/>
  <c r="M809" i="12" s="1"/>
  <c r="N553" i="12"/>
  <c r="M769" i="12"/>
  <c r="M782" i="12" s="1"/>
  <c r="M1049" i="12"/>
  <c r="N600" i="12"/>
  <c r="N165" i="12" s="1"/>
  <c r="N424" i="12"/>
  <c r="M70" i="12"/>
  <c r="M257" i="12"/>
  <c r="M71" i="12"/>
  <c r="N549" i="12" l="1"/>
  <c r="N1037" i="12" s="1"/>
  <c r="N412" i="12"/>
  <c r="N414" i="12" s="1"/>
  <c r="M122" i="12"/>
  <c r="M76" i="12"/>
  <c r="M226" i="12"/>
  <c r="M236" i="12" s="1"/>
  <c r="N558" i="12"/>
  <c r="N1048" i="12" s="1"/>
  <c r="M205" i="12"/>
  <c r="N545" i="12"/>
  <c r="N425" i="12" s="1"/>
  <c r="N554" i="12"/>
  <c r="M260" i="12"/>
  <c r="M795" i="12"/>
  <c r="M810" i="12" s="1"/>
  <c r="M816" i="12" s="1"/>
  <c r="M817" i="12" s="1"/>
  <c r="N166" i="12"/>
  <c r="N170" i="12" s="1"/>
  <c r="M91" i="12"/>
  <c r="M112" i="12"/>
  <c r="M121" i="12" l="1"/>
  <c r="M207" i="12"/>
  <c r="M118" i="12" s="1"/>
  <c r="M125" i="12"/>
  <c r="N601" i="12"/>
  <c r="N173" i="12" s="1"/>
  <c r="M72" i="12"/>
  <c r="M75" i="12" s="1"/>
  <c r="M90" i="12" s="1"/>
  <c r="M116" i="12"/>
  <c r="N714" i="12"/>
  <c r="N426" i="12"/>
  <c r="N427" i="12" s="1"/>
  <c r="M267" i="12"/>
  <c r="M268" i="12" s="1"/>
  <c r="M270" i="12" s="1"/>
  <c r="N602" i="12"/>
  <c r="N289" i="12"/>
  <c r="N717" i="12" l="1"/>
  <c r="N719" i="12" s="1"/>
  <c r="M77" i="12"/>
  <c r="M92" i="12" s="1"/>
  <c r="M93" i="12"/>
  <c r="M113" i="12"/>
  <c r="N174" i="12"/>
  <c r="N605" i="12"/>
  <c r="N86" i="12" s="1"/>
  <c r="N604" i="12"/>
  <c r="N81" i="12" s="1"/>
  <c r="N606" i="12"/>
  <c r="N83" i="12" s="1"/>
  <c r="N171" i="12"/>
  <c r="N82" i="12" l="1"/>
  <c r="N84" i="12" s="1"/>
  <c r="M999" i="12"/>
  <c r="M1000" i="12" s="1"/>
  <c r="N721" i="12"/>
  <c r="N101" i="12"/>
  <c r="N105" i="12"/>
  <c r="N97" i="12"/>
  <c r="N172" i="12"/>
  <c r="N176" i="12" s="1"/>
  <c r="N1003" i="12" s="1"/>
  <c r="N190" i="12" l="1"/>
  <c r="M1007" i="12"/>
  <c r="M1059" i="12" s="1"/>
  <c r="M1060" i="12" s="1"/>
  <c r="N99" i="12"/>
  <c r="N103" i="12"/>
  <c r="N107" i="12"/>
  <c r="N106" i="12"/>
  <c r="N102" i="12"/>
  <c r="N98" i="12"/>
  <c r="N282" i="12"/>
  <c r="N203" i="12"/>
  <c r="N1005" i="12"/>
  <c r="N797" i="12"/>
  <c r="N266" i="12"/>
  <c r="N206" i="12" s="1"/>
  <c r="M1068" i="12" l="1"/>
  <c r="M1069" i="12" s="1"/>
  <c r="M1016" i="12"/>
  <c r="M1017" i="12" s="1"/>
  <c r="M1028" i="12"/>
  <c r="M1029" i="12" s="1"/>
  <c r="M1039" i="12"/>
  <c r="M1040" i="12" s="1"/>
  <c r="M1050" i="12"/>
  <c r="M1051" i="12" s="1"/>
  <c r="N117" i="12"/>
  <c r="N720" i="12" l="1"/>
  <c r="N724" i="12" s="1"/>
  <c r="N725" i="12" s="1"/>
  <c r="N258" i="12" l="1"/>
  <c r="N291" i="12" s="1"/>
  <c r="N294" i="12" s="1"/>
  <c r="N295" i="12" s="1"/>
  <c r="N320" i="12" s="1"/>
  <c r="N415" i="12" s="1"/>
  <c r="N416" i="12" s="1"/>
  <c r="N428" i="12" s="1"/>
  <c r="O723" i="12"/>
  <c r="N449" i="12" l="1"/>
  <c r="N431" i="12"/>
  <c r="N432" i="12" s="1"/>
  <c r="N465" i="12" l="1"/>
  <c r="N466" i="12" s="1"/>
  <c r="N450" i="12"/>
  <c r="N305" i="12" s="1"/>
  <c r="N433" i="12"/>
  <c r="N474" i="12" s="1"/>
  <c r="N475" i="12" s="1"/>
  <c r="N249" i="12" s="1"/>
  <c r="N451" i="12"/>
  <c r="N454" i="12" s="1"/>
  <c r="O458" i="12" s="1"/>
  <c r="N248" i="12"/>
  <c r="N306" i="12" l="1"/>
  <c r="N247" i="12" s="1"/>
  <c r="N307" i="12"/>
  <c r="N434" i="12"/>
  <c r="N435" i="12" s="1"/>
  <c r="N436" i="12" s="1"/>
  <c r="O448" i="12"/>
  <c r="O472" i="12"/>
  <c r="N760" i="12"/>
  <c r="N773" i="12" s="1"/>
  <c r="N786" i="12" s="1"/>
  <c r="N801" i="12" s="1"/>
  <c r="O463" i="12"/>
  <c r="N759" i="12"/>
  <c r="N772" i="12" s="1"/>
  <c r="N483" i="12" l="1"/>
  <c r="O468" i="12"/>
  <c r="O591" i="12" s="1"/>
  <c r="O477" i="12"/>
  <c r="N437" i="12"/>
  <c r="O457" i="12"/>
  <c r="O459" i="12" s="1"/>
  <c r="O592" i="12" s="1"/>
  <c r="O157" i="12" s="1"/>
  <c r="O464" i="12"/>
  <c r="N785" i="12"/>
  <c r="N800" i="12" s="1"/>
  <c r="N484" i="12"/>
  <c r="N250" i="12" s="1"/>
  <c r="N308" i="12"/>
  <c r="O473" i="12"/>
  <c r="N492" i="12"/>
  <c r="N438" i="12" l="1"/>
  <c r="N439" i="12" s="1"/>
  <c r="N440" i="12" s="1"/>
  <c r="N441" i="12" s="1"/>
  <c r="N442" i="12" s="1"/>
  <c r="N501" i="12"/>
  <c r="O417" i="12"/>
  <c r="O593" i="12"/>
  <c r="N493" i="12"/>
  <c r="N251" i="12" s="1"/>
  <c r="N309" i="12"/>
  <c r="O156" i="12"/>
  <c r="O481" i="12"/>
  <c r="N761" i="12"/>
  <c r="N774" i="12" s="1"/>
  <c r="O486" i="12" l="1"/>
  <c r="O158" i="12"/>
  <c r="N510" i="12"/>
  <c r="O490" i="12"/>
  <c r="N762" i="12"/>
  <c r="N775" i="12" s="1"/>
  <c r="N788" i="12" s="1"/>
  <c r="N803" i="12" s="1"/>
  <c r="N787" i="12"/>
  <c r="N802" i="12" s="1"/>
  <c r="O482" i="12"/>
  <c r="N1014" i="12"/>
  <c r="N502" i="12"/>
  <c r="N252" i="12" s="1"/>
  <c r="N310" i="12"/>
  <c r="O495" i="12" l="1"/>
  <c r="O499" i="12"/>
  <c r="N763" i="12"/>
  <c r="N776" i="12" s="1"/>
  <c r="N1015" i="12"/>
  <c r="N519" i="12"/>
  <c r="O491" i="12"/>
  <c r="N511" i="12"/>
  <c r="N253" i="12" s="1"/>
  <c r="N1026" i="12"/>
  <c r="N311" i="12"/>
  <c r="O418" i="12"/>
  <c r="O594" i="12"/>
  <c r="O504" i="12" l="1"/>
  <c r="O1013" i="12" s="1"/>
  <c r="O159" i="12"/>
  <c r="O419" i="12"/>
  <c r="O595" i="12"/>
  <c r="O160" i="12" s="1"/>
  <c r="O508" i="12"/>
  <c r="N764" i="12"/>
  <c r="N777" i="12" s="1"/>
  <c r="N790" i="12" s="1"/>
  <c r="N805" i="12" s="1"/>
  <c r="N1027" i="12"/>
  <c r="N789" i="12"/>
  <c r="N804" i="12" s="1"/>
  <c r="N520" i="12"/>
  <c r="N254" i="12" s="1"/>
  <c r="N312" i="12"/>
  <c r="O500" i="12"/>
  <c r="N528" i="12"/>
  <c r="O513" i="12" l="1"/>
  <c r="O1025" i="12" s="1"/>
  <c r="N529" i="12"/>
  <c r="N255" i="12" s="1"/>
  <c r="N313" i="12"/>
  <c r="O596" i="12"/>
  <c r="O420" i="12"/>
  <c r="N537" i="12"/>
  <c r="O517" i="12"/>
  <c r="N765" i="12"/>
  <c r="N778" i="12" s="1"/>
  <c r="N791" i="12" s="1"/>
  <c r="N806" i="12" s="1"/>
  <c r="O509" i="12"/>
  <c r="O522" i="12" l="1"/>
  <c r="O421" i="12"/>
  <c r="O518" i="12"/>
  <c r="O597" i="12"/>
  <c r="N314" i="12"/>
  <c r="N538" i="12"/>
  <c r="N256" i="12" s="1"/>
  <c r="O526" i="12"/>
  <c r="N766" i="12"/>
  <c r="N779" i="12" s="1"/>
  <c r="N792" i="12" s="1"/>
  <c r="N807" i="12" s="1"/>
  <c r="O161" i="12"/>
  <c r="N546" i="12"/>
  <c r="O531" i="12" l="1"/>
  <c r="O422" i="12"/>
  <c r="N547" i="12"/>
  <c r="N262" i="12" s="1"/>
  <c r="N315" i="12"/>
  <c r="O535" i="12"/>
  <c r="N767" i="12"/>
  <c r="N780" i="12" s="1"/>
  <c r="N793" i="12" s="1"/>
  <c r="N808" i="12" s="1"/>
  <c r="O527" i="12"/>
  <c r="N555" i="12"/>
  <c r="N443" i="12"/>
  <c r="O162" i="12"/>
  <c r="O598" i="12"/>
  <c r="O540" i="12" l="1"/>
  <c r="O163" i="12"/>
  <c r="O423" i="12"/>
  <c r="O536" i="12"/>
  <c r="O544" i="12"/>
  <c r="N1038" i="12"/>
  <c r="N768" i="12"/>
  <c r="N781" i="12" s="1"/>
  <c r="N794" i="12" s="1"/>
  <c r="N809" i="12" s="1"/>
  <c r="O599" i="12"/>
  <c r="O164" i="12" s="1"/>
  <c r="N316" i="12"/>
  <c r="N318" i="12" s="1"/>
  <c r="N321" i="12" s="1"/>
  <c r="N556" i="12"/>
  <c r="N263" i="12" s="1"/>
  <c r="N221" i="12" l="1"/>
  <c r="O589" i="12" s="1"/>
  <c r="O155" i="12" s="1"/>
  <c r="O549" i="12"/>
  <c r="O1037" i="12" s="1"/>
  <c r="O424" i="12"/>
  <c r="O545" i="12"/>
  <c r="N769" i="12"/>
  <c r="N782" i="12" s="1"/>
  <c r="O553" i="12"/>
  <c r="N1049" i="12"/>
  <c r="N257" i="12"/>
  <c r="N205" i="12" s="1"/>
  <c r="N70" i="12"/>
  <c r="N71" i="12"/>
  <c r="O600" i="12"/>
  <c r="O165" i="12" s="1"/>
  <c r="N76" i="12" l="1"/>
  <c r="N122" i="12"/>
  <c r="O412" i="12"/>
  <c r="O414" i="12" s="1"/>
  <c r="N226" i="12"/>
  <c r="N121" i="12" s="1"/>
  <c r="O558" i="12"/>
  <c r="O1048" i="12" s="1"/>
  <c r="O166" i="12"/>
  <c r="O170" i="12" s="1"/>
  <c r="O601" i="12"/>
  <c r="O173" i="12" s="1"/>
  <c r="O554" i="12"/>
  <c r="O425" i="12"/>
  <c r="N91" i="12"/>
  <c r="N112" i="12"/>
  <c r="N260" i="12"/>
  <c r="N267" i="12"/>
  <c r="N795" i="12"/>
  <c r="N810" i="12" s="1"/>
  <c r="N816" i="12" s="1"/>
  <c r="N817" i="12" s="1"/>
  <c r="N236" i="12" l="1"/>
  <c r="N207" i="12" s="1"/>
  <c r="N118" i="12" s="1"/>
  <c r="N72" i="12"/>
  <c r="N75" i="12" s="1"/>
  <c r="N113" i="12" s="1"/>
  <c r="N116" i="12"/>
  <c r="O714" i="12"/>
  <c r="N268" i="12"/>
  <c r="O602" i="12"/>
  <c r="O289" i="12"/>
  <c r="O426" i="12"/>
  <c r="O427" i="12" s="1"/>
  <c r="O171" i="12"/>
  <c r="N270" i="12" l="1"/>
  <c r="N125" i="12"/>
  <c r="O172" i="12"/>
  <c r="O717" i="12"/>
  <c r="O719" i="12" s="1"/>
  <c r="N93" i="12"/>
  <c r="N77" i="12"/>
  <c r="N92" i="12" s="1"/>
  <c r="N90" i="12"/>
  <c r="O174" i="12"/>
  <c r="O604" i="12"/>
  <c r="O81" i="12" s="1"/>
  <c r="O605" i="12"/>
  <c r="O606" i="12"/>
  <c r="O83" i="12" s="1"/>
  <c r="O721" i="12"/>
  <c r="O82" i="12" l="1"/>
  <c r="O84" i="12" s="1"/>
  <c r="O86" i="12"/>
  <c r="O176" i="12"/>
  <c r="O1003" i="12" s="1"/>
  <c r="N999" i="12"/>
  <c r="N1000" i="12" s="1"/>
  <c r="O105" i="12"/>
  <c r="O101" i="12"/>
  <c r="O97" i="12"/>
  <c r="O1005" i="12" l="1"/>
  <c r="O190" i="12"/>
  <c r="O282" i="12"/>
  <c r="O266" i="12"/>
  <c r="O206" i="12" s="1"/>
  <c r="O203" i="12"/>
  <c r="O797" i="12"/>
  <c r="N1007" i="12"/>
  <c r="N1028" i="12" s="1"/>
  <c r="N1029" i="12" s="1"/>
  <c r="O98" i="12"/>
  <c r="O102" i="12"/>
  <c r="O106" i="12"/>
  <c r="O99" i="12"/>
  <c r="O103" i="12"/>
  <c r="O107" i="12"/>
  <c r="O117" i="12" l="1"/>
  <c r="N1068" i="12"/>
  <c r="N1069" i="12" s="1"/>
  <c r="N1039" i="12"/>
  <c r="N1040" i="12" s="1"/>
  <c r="N1016" i="12"/>
  <c r="N1017" i="12" s="1"/>
  <c r="N1050" i="12"/>
  <c r="N1051" i="12" s="1"/>
  <c r="N1059" i="12"/>
  <c r="N1060" i="12" s="1"/>
  <c r="O720" i="12"/>
  <c r="O724" i="12" s="1"/>
  <c r="O725" i="12" s="1"/>
  <c r="O258" i="12" s="1"/>
  <c r="O291" i="12" s="1"/>
  <c r="O294" i="12" s="1"/>
  <c r="O295" i="12" s="1"/>
  <c r="O320" i="12" s="1"/>
  <c r="O415" i="12" s="1"/>
  <c r="O416" i="12" s="1"/>
  <c r="O428" i="12" s="1"/>
  <c r="O449" i="12" l="1"/>
  <c r="O431" i="12"/>
  <c r="O432" i="12" s="1"/>
  <c r="P723" i="12"/>
  <c r="O433" i="12" l="1"/>
  <c r="O465" i="12"/>
  <c r="O466" i="12" s="1"/>
  <c r="O450" i="12"/>
  <c r="O451" i="12" s="1"/>
  <c r="O434" i="12" l="1"/>
  <c r="O435" i="12" s="1"/>
  <c r="O436" i="12" s="1"/>
  <c r="O437" i="12" s="1"/>
  <c r="O438" i="12" s="1"/>
  <c r="O439" i="12" s="1"/>
  <c r="O305" i="12"/>
  <c r="O248" i="12" s="1"/>
  <c r="O474" i="12"/>
  <c r="O306" i="12"/>
  <c r="O247" i="12" s="1"/>
  <c r="P448" i="12"/>
  <c r="P457" i="12" s="1"/>
  <c r="O454" i="12"/>
  <c r="P458" i="12" s="1"/>
  <c r="P463" i="12"/>
  <c r="O759" i="12"/>
  <c r="O772" i="12" s="1"/>
  <c r="O440" i="12" l="1"/>
  <c r="O441" i="12" s="1"/>
  <c r="O442" i="12" s="1"/>
  <c r="P468" i="12"/>
  <c r="P591" i="12" s="1"/>
  <c r="O475" i="12"/>
  <c r="O249" i="12" s="1"/>
  <c r="O483" i="12"/>
  <c r="O307" i="12"/>
  <c r="O785" i="12"/>
  <c r="O800" i="12" s="1"/>
  <c r="P464" i="12"/>
  <c r="P459" i="12"/>
  <c r="P592" i="12" s="1"/>
  <c r="P157" i="12" s="1"/>
  <c r="P472" i="12" l="1"/>
  <c r="O760" i="12"/>
  <c r="O773" i="12" s="1"/>
  <c r="O786" i="12" s="1"/>
  <c r="O801" i="12" s="1"/>
  <c r="O484" i="12"/>
  <c r="O250" i="12" s="1"/>
  <c r="O308" i="12"/>
  <c r="P156" i="12"/>
  <c r="P473" i="12" l="1"/>
  <c r="P417" i="12" s="1"/>
  <c r="P477" i="12"/>
  <c r="P593" i="12" s="1"/>
  <c r="P158" i="12" s="1"/>
  <c r="O501" i="12"/>
  <c r="O492" i="12"/>
  <c r="O761" i="12"/>
  <c r="O774" i="12" s="1"/>
  <c r="O787" i="12" s="1"/>
  <c r="O802" i="12" s="1"/>
  <c r="P481" i="12"/>
  <c r="P486" i="12" l="1"/>
  <c r="P594" i="12" s="1"/>
  <c r="P159" i="12" s="1"/>
  <c r="O510" i="12"/>
  <c r="O511" i="12" s="1"/>
  <c r="O309" i="12"/>
  <c r="O493" i="12"/>
  <c r="O251" i="12" s="1"/>
  <c r="O1014" i="12"/>
  <c r="O310" i="12"/>
  <c r="O502" i="12"/>
  <c r="O252" i="12" s="1"/>
  <c r="P482" i="12"/>
  <c r="O1027" i="12" l="1"/>
  <c r="O253" i="12"/>
  <c r="O764" i="12"/>
  <c r="O777" i="12" s="1"/>
  <c r="O790" i="12" s="1"/>
  <c r="O805" i="12" s="1"/>
  <c r="O528" i="12"/>
  <c r="P508" i="12"/>
  <c r="O1026" i="12"/>
  <c r="O311" i="12"/>
  <c r="P418" i="12"/>
  <c r="O1015" i="12"/>
  <c r="P499" i="12"/>
  <c r="O763" i="12"/>
  <c r="O776" i="12" s="1"/>
  <c r="O789" i="12" s="1"/>
  <c r="O804" i="12" s="1"/>
  <c r="P490" i="12"/>
  <c r="O762" i="12"/>
  <c r="O775" i="12" s="1"/>
  <c r="O788" i="12" s="1"/>
  <c r="O803" i="12" s="1"/>
  <c r="P513" i="12" l="1"/>
  <c r="P1025" i="12" s="1"/>
  <c r="P495" i="12"/>
  <c r="P504" i="12"/>
  <c r="P1013" i="12" s="1"/>
  <c r="P509" i="12"/>
  <c r="P421" i="12" s="1"/>
  <c r="O519" i="12"/>
  <c r="O529" i="12"/>
  <c r="O255" i="12" s="1"/>
  <c r="O313" i="12"/>
  <c r="P500" i="12"/>
  <c r="P491" i="12"/>
  <c r="P595" i="12"/>
  <c r="P160" i="12" s="1"/>
  <c r="P597" i="12" l="1"/>
  <c r="P162" i="12" s="1"/>
  <c r="O312" i="12"/>
  <c r="P596" i="12"/>
  <c r="P161" i="12" s="1"/>
  <c r="O520" i="12"/>
  <c r="O537" i="12"/>
  <c r="O555" i="12"/>
  <c r="P526" i="12"/>
  <c r="O766" i="12"/>
  <c r="O779" i="12" s="1"/>
  <c r="O792" i="12" s="1"/>
  <c r="O807" i="12" s="1"/>
  <c r="P419" i="12"/>
  <c r="P420" i="12"/>
  <c r="P531" i="12" l="1"/>
  <c r="P599" i="12" s="1"/>
  <c r="P164" i="12" s="1"/>
  <c r="P517" i="12"/>
  <c r="O254" i="12"/>
  <c r="O765" i="12"/>
  <c r="O778" i="12" s="1"/>
  <c r="O791" i="12" s="1"/>
  <c r="O806" i="12" s="1"/>
  <c r="O556" i="12"/>
  <c r="O316" i="12"/>
  <c r="O546" i="12"/>
  <c r="O443" i="12"/>
  <c r="O538" i="12"/>
  <c r="O256" i="12" s="1"/>
  <c r="O314" i="12"/>
  <c r="P527" i="12"/>
  <c r="P522" i="12" l="1"/>
  <c r="P598" i="12" s="1"/>
  <c r="P163" i="12" s="1"/>
  <c r="O769" i="12"/>
  <c r="O782" i="12" s="1"/>
  <c r="O795" i="12" s="1"/>
  <c r="O810" i="12" s="1"/>
  <c r="O263" i="12"/>
  <c r="P518" i="12"/>
  <c r="O1049" i="12"/>
  <c r="P553" i="12"/>
  <c r="P535" i="12"/>
  <c r="O767" i="12"/>
  <c r="O780" i="12" s="1"/>
  <c r="O793" i="12" s="1"/>
  <c r="O808" i="12" s="1"/>
  <c r="O547" i="12"/>
  <c r="O262" i="12" s="1"/>
  <c r="O315" i="12"/>
  <c r="O318" i="12" s="1"/>
  <c r="O321" i="12" s="1"/>
  <c r="P289" i="12"/>
  <c r="P423" i="12"/>
  <c r="P540" i="12" l="1"/>
  <c r="O221" i="12"/>
  <c r="O226" i="12" s="1"/>
  <c r="P554" i="12"/>
  <c r="P426" i="12" s="1"/>
  <c r="P558" i="12"/>
  <c r="P1048" i="12" s="1"/>
  <c r="P422" i="12"/>
  <c r="P536" i="12"/>
  <c r="P544" i="12"/>
  <c r="O768" i="12"/>
  <c r="O781" i="12" s="1"/>
  <c r="O794" i="12" s="1"/>
  <c r="O809" i="12" s="1"/>
  <c r="O1038" i="12"/>
  <c r="O76" i="12" l="1"/>
  <c r="P412" i="12"/>
  <c r="P414" i="12" s="1"/>
  <c r="O122" i="12"/>
  <c r="P589" i="12"/>
  <c r="P155" i="12" s="1"/>
  <c r="P549" i="12"/>
  <c r="P1037" i="12" s="1"/>
  <c r="P602" i="12"/>
  <c r="P174" i="12" s="1"/>
  <c r="P600" i="12"/>
  <c r="P165" i="12" s="1"/>
  <c r="P545" i="12"/>
  <c r="O816" i="12"/>
  <c r="O817" i="12" s="1"/>
  <c r="O257" i="12"/>
  <c r="O205" i="12" s="1"/>
  <c r="O70" i="12"/>
  <c r="O71" i="12"/>
  <c r="P424" i="12"/>
  <c r="O236" i="12"/>
  <c r="O121" i="12"/>
  <c r="P166" i="12" l="1"/>
  <c r="P170" i="12" s="1"/>
  <c r="O207" i="12"/>
  <c r="O118" i="12" s="1"/>
  <c r="O125" i="12"/>
  <c r="P601" i="12"/>
  <c r="P173" i="12" s="1"/>
  <c r="O91" i="12"/>
  <c r="O112" i="12"/>
  <c r="O260" i="12"/>
  <c r="O116" i="12"/>
  <c r="P425" i="12"/>
  <c r="P427" i="12" s="1"/>
  <c r="O267" i="12"/>
  <c r="O72" i="12"/>
  <c r="O75" i="12" s="1"/>
  <c r="P714" i="12" l="1"/>
  <c r="P717" i="12" s="1"/>
  <c r="P719" i="12" s="1"/>
  <c r="P171" i="12"/>
  <c r="P721" i="12" s="1"/>
  <c r="O268" i="12"/>
  <c r="O270" i="12" s="1"/>
  <c r="P605" i="12"/>
  <c r="P86" i="12" s="1"/>
  <c r="P604" i="12"/>
  <c r="P606" i="12"/>
  <c r="P83" i="12" s="1"/>
  <c r="O77" i="12"/>
  <c r="O90" i="12"/>
  <c r="O113" i="12"/>
  <c r="O93" i="12"/>
  <c r="P172" i="12" l="1"/>
  <c r="P176" i="12" s="1"/>
  <c r="P1003" i="12" s="1"/>
  <c r="P1005" i="12" s="1"/>
  <c r="P103" i="12"/>
  <c r="P81" i="12"/>
  <c r="P105" i="12" s="1"/>
  <c r="P99" i="12"/>
  <c r="P107" i="12"/>
  <c r="O999" i="12"/>
  <c r="O1000" i="12" s="1"/>
  <c r="O1007" i="12" s="1"/>
  <c r="O92" i="12"/>
  <c r="P797" i="12" l="1"/>
  <c r="P266" i="12"/>
  <c r="P206" i="12" s="1"/>
  <c r="P117" i="12" s="1"/>
  <c r="P190" i="12"/>
  <c r="P282" i="12"/>
  <c r="P203" i="12"/>
  <c r="P101" i="12"/>
  <c r="P97" i="12"/>
  <c r="P82" i="12"/>
  <c r="P84" i="12" s="1"/>
  <c r="P106" i="12" s="1"/>
  <c r="O1068" i="12"/>
  <c r="O1069" i="12" s="1"/>
  <c r="O1059" i="12"/>
  <c r="O1060" i="12" s="1"/>
  <c r="O1050" i="12"/>
  <c r="O1051" i="12" s="1"/>
  <c r="O1016" i="12"/>
  <c r="O1017" i="12" s="1"/>
  <c r="O1028" i="12"/>
  <c r="O1029" i="12" s="1"/>
  <c r="O1039" i="12"/>
  <c r="O1040" i="12" s="1"/>
  <c r="P98" i="12" l="1"/>
  <c r="P102" i="12"/>
  <c r="P720" i="12"/>
  <c r="P724" i="12" s="1"/>
  <c r="P725" i="12" s="1"/>
  <c r="P258" i="12" s="1"/>
  <c r="P291" i="12" s="1"/>
  <c r="P294" i="12" s="1"/>
  <c r="P295" i="12" s="1"/>
  <c r="P320" i="12" s="1"/>
  <c r="P415" i="12" s="1"/>
  <c r="P416" i="12" s="1"/>
  <c r="P428" i="12" s="1"/>
  <c r="P449" i="12" l="1"/>
  <c r="P431" i="12"/>
  <c r="Q723" i="12"/>
  <c r="P432" i="12" l="1"/>
  <c r="P465" i="12" s="1"/>
  <c r="P466" i="12" s="1"/>
  <c r="P450" i="12"/>
  <c r="P305" i="12" s="1"/>
  <c r="P306" i="12" l="1"/>
  <c r="P247" i="12" s="1"/>
  <c r="P433" i="12"/>
  <c r="P474" i="12" s="1"/>
  <c r="P307" i="12" s="1"/>
  <c r="P248" i="12"/>
  <c r="P451" i="12"/>
  <c r="Q463" i="12"/>
  <c r="P759" i="12"/>
  <c r="P772" i="12" s="1"/>
  <c r="P475" i="12" l="1"/>
  <c r="P249" i="12" s="1"/>
  <c r="P434" i="12"/>
  <c r="P483" i="12" s="1"/>
  <c r="P308" i="12" s="1"/>
  <c r="Q468" i="12"/>
  <c r="Q591" i="12" s="1"/>
  <c r="P785" i="12"/>
  <c r="P800" i="12" s="1"/>
  <c r="Q464" i="12"/>
  <c r="P454" i="12"/>
  <c r="Q458" i="12" s="1"/>
  <c r="Q448" i="12"/>
  <c r="Q457" i="12" s="1"/>
  <c r="P760" i="12" l="1"/>
  <c r="P773" i="12" s="1"/>
  <c r="P786" i="12" s="1"/>
  <c r="P801" i="12" s="1"/>
  <c r="Q472" i="12"/>
  <c r="Q477" i="12" s="1"/>
  <c r="Q593" i="12" s="1"/>
  <c r="P435" i="12"/>
  <c r="P492" i="12" s="1"/>
  <c r="P309" i="12" s="1"/>
  <c r="P484" i="12"/>
  <c r="P761" i="12"/>
  <c r="P774" i="12" s="1"/>
  <c r="P787" i="12" s="1"/>
  <c r="P802" i="12" s="1"/>
  <c r="P250" i="12"/>
  <c r="Q481" i="12"/>
  <c r="Q459" i="12"/>
  <c r="Q592" i="12" s="1"/>
  <c r="Q157" i="12" s="1"/>
  <c r="Q156" i="12"/>
  <c r="Q473" i="12" l="1"/>
  <c r="Q417" i="12" s="1"/>
  <c r="P493" i="12"/>
  <c r="P762" i="12" s="1"/>
  <c r="P775" i="12" s="1"/>
  <c r="P788" i="12" s="1"/>
  <c r="P803" i="12" s="1"/>
  <c r="P436" i="12"/>
  <c r="P501" i="12" s="1"/>
  <c r="P1014" i="12" s="1"/>
  <c r="Q486" i="12"/>
  <c r="Q482" i="12"/>
  <c r="Q158" i="12"/>
  <c r="P310" i="12" l="1"/>
  <c r="Q490" i="12"/>
  <c r="P251" i="12"/>
  <c r="P502" i="12"/>
  <c r="P437" i="12"/>
  <c r="P438" i="12" s="1"/>
  <c r="P439" i="12" s="1"/>
  <c r="P440" i="12" s="1"/>
  <c r="P441" i="12" s="1"/>
  <c r="P442" i="12" s="1"/>
  <c r="Q495" i="12"/>
  <c r="Q499" i="12"/>
  <c r="P252" i="12"/>
  <c r="Q418" i="12"/>
  <c r="P1015" i="12"/>
  <c r="Q491" i="12"/>
  <c r="Q419" i="12" s="1"/>
  <c r="P763" i="12"/>
  <c r="P776" i="12" s="1"/>
  <c r="P789" i="12" s="1"/>
  <c r="P804" i="12" s="1"/>
  <c r="Q594" i="12"/>
  <c r="Q159" i="12" s="1"/>
  <c r="P510" i="12" l="1"/>
  <c r="Q504" i="12"/>
  <c r="Q1013" i="12" s="1"/>
  <c r="Q500" i="12"/>
  <c r="Q420" i="12" s="1"/>
  <c r="Q595" i="12"/>
  <c r="Q160" i="12" s="1"/>
  <c r="P1026" i="12"/>
  <c r="P511" i="12"/>
  <c r="P253" i="12" s="1"/>
  <c r="P311" i="12"/>
  <c r="P519" i="12"/>
  <c r="Q596" i="12" l="1"/>
  <c r="Q161" i="12" s="1"/>
  <c r="P764" i="12"/>
  <c r="P777" i="12" s="1"/>
  <c r="P790" i="12" s="1"/>
  <c r="P805" i="12" s="1"/>
  <c r="P1027" i="12"/>
  <c r="Q508" i="12"/>
  <c r="P528" i="12"/>
  <c r="P520" i="12"/>
  <c r="P254" i="12" s="1"/>
  <c r="P312" i="12"/>
  <c r="Q513" i="12" l="1"/>
  <c r="Q1025" i="12" s="1"/>
  <c r="P313" i="12"/>
  <c r="P529" i="12"/>
  <c r="P255" i="12" s="1"/>
  <c r="Q517" i="12"/>
  <c r="P765" i="12"/>
  <c r="P778" i="12" s="1"/>
  <c r="P791" i="12" s="1"/>
  <c r="P806" i="12" s="1"/>
  <c r="Q509" i="12"/>
  <c r="P537" i="12"/>
  <c r="P546" i="12"/>
  <c r="Q522" i="12" l="1"/>
  <c r="P547" i="12"/>
  <c r="P315" i="12"/>
  <c r="Q597" i="12"/>
  <c r="Q162" i="12" s="1"/>
  <c r="Q421" i="12"/>
  <c r="P538" i="12"/>
  <c r="P256" i="12" s="1"/>
  <c r="P314" i="12"/>
  <c r="P766" i="12"/>
  <c r="P779" i="12" s="1"/>
  <c r="P792" i="12" s="1"/>
  <c r="P807" i="12" s="1"/>
  <c r="Q526" i="12"/>
  <c r="Q518" i="12"/>
  <c r="Q531" i="12" l="1"/>
  <c r="Q599" i="12" s="1"/>
  <c r="Q164" i="12" s="1"/>
  <c r="P768" i="12"/>
  <c r="P781" i="12" s="1"/>
  <c r="P794" i="12" s="1"/>
  <c r="P809" i="12" s="1"/>
  <c r="P262" i="12"/>
  <c r="Q544" i="12"/>
  <c r="Q598" i="12"/>
  <c r="Q163" i="12" s="1"/>
  <c r="P1038" i="12"/>
  <c r="Q535" i="12"/>
  <c r="P767" i="12"/>
  <c r="P780" i="12" s="1"/>
  <c r="P793" i="12" s="1"/>
  <c r="P808" i="12" s="1"/>
  <c r="Q422" i="12"/>
  <c r="P555" i="12"/>
  <c r="P443" i="12"/>
  <c r="Q527" i="12"/>
  <c r="Q549" i="12" l="1"/>
  <c r="Q1037" i="12" s="1"/>
  <c r="Q540" i="12"/>
  <c r="Q545" i="12"/>
  <c r="Q423" i="12"/>
  <c r="P556" i="12"/>
  <c r="P263" i="12" s="1"/>
  <c r="P316" i="12"/>
  <c r="P318" i="12" s="1"/>
  <c r="P321" i="12" s="1"/>
  <c r="P70" i="12"/>
  <c r="P112" i="12" s="1"/>
  <c r="Q536" i="12"/>
  <c r="P221" i="12" l="1"/>
  <c r="P76" i="12" s="1"/>
  <c r="Q425" i="12"/>
  <c r="Q601" i="12"/>
  <c r="Q173" i="12" s="1"/>
  <c r="Q600" i="12"/>
  <c r="Q165" i="12" s="1"/>
  <c r="P91" i="12"/>
  <c r="Q424" i="12"/>
  <c r="Q289" i="12"/>
  <c r="P71" i="12"/>
  <c r="Q553" i="12"/>
  <c r="P769" i="12"/>
  <c r="P782" i="12" s="1"/>
  <c r="P795" i="12" s="1"/>
  <c r="P810" i="12" s="1"/>
  <c r="P816" i="12" s="1"/>
  <c r="P817" i="12" s="1"/>
  <c r="P1049" i="12"/>
  <c r="P257" i="12"/>
  <c r="P205" i="12" s="1"/>
  <c r="Q412" i="12" l="1"/>
  <c r="Q414" i="12" s="1"/>
  <c r="P122" i="12"/>
  <c r="P226" i="12"/>
  <c r="P121" i="12" s="1"/>
  <c r="Q589" i="12"/>
  <c r="Q155" i="12" s="1"/>
  <c r="Q166" i="12" s="1"/>
  <c r="Q170" i="12" s="1"/>
  <c r="Q558" i="12"/>
  <c r="Q1048" i="12" s="1"/>
  <c r="P116" i="12"/>
  <c r="Q554" i="12"/>
  <c r="P260" i="12"/>
  <c r="P236" i="12" l="1"/>
  <c r="P207" i="12" s="1"/>
  <c r="P118" i="12" s="1"/>
  <c r="Q714" i="12"/>
  <c r="Q171" i="12"/>
  <c r="Q426" i="12"/>
  <c r="Q427" i="12" s="1"/>
  <c r="Q602" i="12"/>
  <c r="P72" i="12"/>
  <c r="P75" i="12" s="1"/>
  <c r="P267" i="12"/>
  <c r="P268" i="12" s="1"/>
  <c r="P270" i="12" l="1"/>
  <c r="P125" i="12"/>
  <c r="Q172" i="12"/>
  <c r="Q717" i="12"/>
  <c r="Q719" i="12" s="1"/>
  <c r="Q721" i="12"/>
  <c r="P90" i="12"/>
  <c r="P113" i="12"/>
  <c r="P93" i="12"/>
  <c r="P77" i="12"/>
  <c r="Q606" i="12"/>
  <c r="Q83" i="12" s="1"/>
  <c r="Q174" i="12"/>
  <c r="Q604" i="12"/>
  <c r="Q81" i="12" s="1"/>
  <c r="Q605" i="12"/>
  <c r="Q82" i="12" l="1"/>
  <c r="Q84" i="12" s="1"/>
  <c r="Q86" i="12"/>
  <c r="Q176" i="12"/>
  <c r="Q1003" i="12" s="1"/>
  <c r="P92" i="12"/>
  <c r="P999" i="12"/>
  <c r="P1000" i="12" s="1"/>
  <c r="P1007" i="12" s="1"/>
  <c r="Q97" i="12"/>
  <c r="Q101" i="12"/>
  <c r="Q105" i="12"/>
  <c r="Q282" i="12" l="1"/>
  <c r="Q203" i="12"/>
  <c r="Q190" i="12"/>
  <c r="Q1005" i="12"/>
  <c r="Q797" i="12"/>
  <c r="Q266" i="12"/>
  <c r="P1050" i="12"/>
  <c r="P1051" i="12" s="1"/>
  <c r="P1039" i="12"/>
  <c r="P1040" i="12" s="1"/>
  <c r="P1068" i="12"/>
  <c r="P1069" i="12" s="1"/>
  <c r="P1059" i="12"/>
  <c r="P1060" i="12" s="1"/>
  <c r="P1016" i="12"/>
  <c r="P1017" i="12" s="1"/>
  <c r="P1028" i="12"/>
  <c r="P1029" i="12" s="1"/>
  <c r="Q98" i="12"/>
  <c r="Q102" i="12"/>
  <c r="Q106" i="12"/>
  <c r="Q99" i="12"/>
  <c r="Q107" i="12"/>
  <c r="Q103" i="12"/>
  <c r="Q206" i="12" l="1"/>
  <c r="Q117" i="12" s="1"/>
  <c r="Q720" i="12"/>
  <c r="Q724" i="12" s="1"/>
  <c r="Q725" i="12" s="1"/>
  <c r="Q258" i="12" s="1"/>
  <c r="Q291" i="12" s="1"/>
  <c r="Q294" i="12" s="1"/>
  <c r="Q295" i="12" s="1"/>
  <c r="Q320" i="12" s="1"/>
  <c r="Q415" i="12" s="1"/>
  <c r="Q416" i="12" s="1"/>
  <c r="Q428" i="12" s="1"/>
  <c r="Q449" i="12" l="1"/>
  <c r="Q431" i="12"/>
  <c r="R723" i="12"/>
  <c r="Q432" i="12" l="1"/>
  <c r="Q433" i="12" s="1"/>
  <c r="Q474" i="12" s="1"/>
  <c r="Q450" i="12"/>
  <c r="Q451" i="12" s="1"/>
  <c r="Q465" i="12" l="1"/>
  <c r="Q434" i="12"/>
  <c r="Q305" i="12"/>
  <c r="Q248" i="12" s="1"/>
  <c r="Q454" i="12"/>
  <c r="R458" i="12" s="1"/>
  <c r="R448" i="12"/>
  <c r="R457" i="12" s="1"/>
  <c r="Q475" i="12"/>
  <c r="Q249" i="12" s="1"/>
  <c r="Q307" i="12"/>
  <c r="Q483" i="12" l="1"/>
  <c r="Q484" i="12" s="1"/>
  <c r="Q250" i="12" s="1"/>
  <c r="Q306" i="12"/>
  <c r="Q247" i="12" s="1"/>
  <c r="Q466" i="12"/>
  <c r="Q435" i="12"/>
  <c r="Q308" i="12"/>
  <c r="R459" i="12"/>
  <c r="R592" i="12" s="1"/>
  <c r="R157" i="12" s="1"/>
  <c r="R472" i="12"/>
  <c r="Q760" i="12"/>
  <c r="Q773" i="12" s="1"/>
  <c r="Q786" i="12" s="1"/>
  <c r="Q801" i="12" s="1"/>
  <c r="R481" i="12"/>
  <c r="Q761" i="12" l="1"/>
  <c r="Q774" i="12" s="1"/>
  <c r="Q787" i="12" s="1"/>
  <c r="Q802" i="12" s="1"/>
  <c r="Q492" i="12"/>
  <c r="Q436" i="12"/>
  <c r="Q437" i="12" s="1"/>
  <c r="Q438" i="12" s="1"/>
  <c r="R463" i="12"/>
  <c r="Q759" i="12"/>
  <c r="Q772" i="12" s="1"/>
  <c r="Q785" i="12" s="1"/>
  <c r="Q800" i="12" s="1"/>
  <c r="R486" i="12"/>
  <c r="R477" i="12"/>
  <c r="Q309" i="12"/>
  <c r="Q493" i="12"/>
  <c r="Q251" i="12" s="1"/>
  <c r="R482" i="12"/>
  <c r="R473" i="12"/>
  <c r="Q501" i="12" l="1"/>
  <c r="Q1014" i="12" s="1"/>
  <c r="R468" i="12"/>
  <c r="R591" i="12" s="1"/>
  <c r="R156" i="12" s="1"/>
  <c r="R464" i="12"/>
  <c r="Q439" i="12"/>
  <c r="Q510" i="12"/>
  <c r="R490" i="12"/>
  <c r="Q762" i="12"/>
  <c r="Q775" i="12" s="1"/>
  <c r="Q788" i="12" s="1"/>
  <c r="Q803" i="12" s="1"/>
  <c r="Q310" i="12"/>
  <c r="Q502" i="12"/>
  <c r="Q252" i="12" s="1"/>
  <c r="R418" i="12"/>
  <c r="R593" i="12"/>
  <c r="R594" i="12"/>
  <c r="R159" i="12" s="1"/>
  <c r="R417" i="12"/>
  <c r="Q440" i="12" l="1"/>
  <c r="Q441" i="12" s="1"/>
  <c r="Q442" i="12" s="1"/>
  <c r="R495" i="12"/>
  <c r="R595" i="12" s="1"/>
  <c r="R160" i="12" s="1"/>
  <c r="Q519" i="12"/>
  <c r="R491" i="12"/>
  <c r="R499" i="12"/>
  <c r="Q763" i="12"/>
  <c r="Q776" i="12" s="1"/>
  <c r="Q789" i="12" s="1"/>
  <c r="Q804" i="12" s="1"/>
  <c r="Q1015" i="12"/>
  <c r="Q311" i="12"/>
  <c r="Q511" i="12"/>
  <c r="Q253" i="12" s="1"/>
  <c r="Q1026" i="12"/>
  <c r="R158" i="12"/>
  <c r="R504" i="12" l="1"/>
  <c r="R1013" i="12" s="1"/>
  <c r="Q528" i="12"/>
  <c r="Q312" i="12"/>
  <c r="Q520" i="12"/>
  <c r="Q254" i="12" s="1"/>
  <c r="R419" i="12"/>
  <c r="R508" i="12"/>
  <c r="Q1027" i="12"/>
  <c r="Q764" i="12"/>
  <c r="Q777" i="12" s="1"/>
  <c r="Q790" i="12" s="1"/>
  <c r="Q805" i="12" s="1"/>
  <c r="R500" i="12"/>
  <c r="R513" i="12" l="1"/>
  <c r="R1025" i="12" s="1"/>
  <c r="Q529" i="12"/>
  <c r="Q255" i="12" s="1"/>
  <c r="Q313" i="12"/>
  <c r="R517" i="12"/>
  <c r="Q765" i="12"/>
  <c r="Q778" i="12" s="1"/>
  <c r="Q791" i="12" s="1"/>
  <c r="Q806" i="12" s="1"/>
  <c r="R420" i="12"/>
  <c r="R509" i="12"/>
  <c r="R596" i="12"/>
  <c r="R161" i="12" s="1"/>
  <c r="R522" i="12" l="1"/>
  <c r="R598" i="12" s="1"/>
  <c r="R163" i="12" s="1"/>
  <c r="Q766" i="12"/>
  <c r="Q779" i="12" s="1"/>
  <c r="Q792" i="12" s="1"/>
  <c r="Q807" i="12" s="1"/>
  <c r="R526" i="12"/>
  <c r="Q537" i="12"/>
  <c r="Q546" i="12"/>
  <c r="R518" i="12"/>
  <c r="R597" i="12"/>
  <c r="R162" i="12" s="1"/>
  <c r="R421" i="12"/>
  <c r="R531" i="12" l="1"/>
  <c r="R599" i="12" s="1"/>
  <c r="R164" i="12" s="1"/>
  <c r="R527" i="12"/>
  <c r="Q547" i="12"/>
  <c r="Q262" i="12" s="1"/>
  <c r="Q315" i="12"/>
  <c r="Q538" i="12"/>
  <c r="Q256" i="12" s="1"/>
  <c r="Q314" i="12"/>
  <c r="Q555" i="12"/>
  <c r="R422" i="12"/>
  <c r="R423" i="12" l="1"/>
  <c r="Q443" i="12"/>
  <c r="Q767" i="12"/>
  <c r="Q780" i="12" s="1"/>
  <c r="Q793" i="12" s="1"/>
  <c r="Q808" i="12" s="1"/>
  <c r="R535" i="12"/>
  <c r="Q316" i="12"/>
  <c r="Q318" i="12" s="1"/>
  <c r="Q321" i="12" s="1"/>
  <c r="Q556" i="12"/>
  <c r="Q263" i="12" s="1"/>
  <c r="Q1038" i="12"/>
  <c r="R544" i="12"/>
  <c r="Q768" i="12"/>
  <c r="Q781" i="12" s="1"/>
  <c r="Q794" i="12" s="1"/>
  <c r="Q809" i="12" s="1"/>
  <c r="R289" i="12"/>
  <c r="R540" i="12" l="1"/>
  <c r="Q221" i="12"/>
  <c r="Q122" i="12" s="1"/>
  <c r="R549" i="12"/>
  <c r="R1037" i="12" s="1"/>
  <c r="R553" i="12"/>
  <c r="Q769" i="12"/>
  <c r="Q782" i="12" s="1"/>
  <c r="Q795" i="12" s="1"/>
  <c r="Q810" i="12" s="1"/>
  <c r="Q816" i="12" s="1"/>
  <c r="Q817" i="12" s="1"/>
  <c r="Q1049" i="12"/>
  <c r="R536" i="12"/>
  <c r="R545" i="12"/>
  <c r="Q226" i="12" l="1"/>
  <c r="Q121" i="12" s="1"/>
  <c r="R412" i="12"/>
  <c r="R414" i="12" s="1"/>
  <c r="Q76" i="12"/>
  <c r="R589" i="12"/>
  <c r="R155" i="12" s="1"/>
  <c r="R558" i="12"/>
  <c r="R1048" i="12" s="1"/>
  <c r="Q72" i="12"/>
  <c r="R600" i="12"/>
  <c r="R554" i="12"/>
  <c r="R601" i="12"/>
  <c r="R173" i="12" s="1"/>
  <c r="R425" i="12"/>
  <c r="Q70" i="12"/>
  <c r="Q257" i="12"/>
  <c r="Q205" i="12" s="1"/>
  <c r="Q71" i="12"/>
  <c r="R424" i="12"/>
  <c r="Q236" i="12" l="1"/>
  <c r="Q207" i="12" s="1"/>
  <c r="Q118" i="12" s="1"/>
  <c r="Q267" i="12"/>
  <c r="Q75" i="12"/>
  <c r="Q77" i="12" s="1"/>
  <c r="R426" i="12"/>
  <c r="R427" i="12" s="1"/>
  <c r="R602" i="12"/>
  <c r="R174" i="12" s="1"/>
  <c r="Q260" i="12"/>
  <c r="Q116" i="12"/>
  <c r="Q91" i="12"/>
  <c r="Q112" i="12"/>
  <c r="R165" i="12"/>
  <c r="R166" i="12" s="1"/>
  <c r="R170" i="12" s="1"/>
  <c r="Q125" i="12" l="1"/>
  <c r="Q113" i="12"/>
  <c r="R605" i="12"/>
  <c r="R86" i="12" s="1"/>
  <c r="Q90" i="12"/>
  <c r="Q93" i="12"/>
  <c r="Q268" i="12"/>
  <c r="Q270" i="12" s="1"/>
  <c r="R714" i="12"/>
  <c r="R606" i="12"/>
  <c r="R83" i="12" s="1"/>
  <c r="Q999" i="12"/>
  <c r="Q1000" i="12" s="1"/>
  <c r="Q1007" i="12" s="1"/>
  <c r="Q92" i="12"/>
  <c r="R604" i="12"/>
  <c r="R81" i="12" s="1"/>
  <c r="R82" i="12" l="1"/>
  <c r="R84" i="12" s="1"/>
  <c r="R717" i="12"/>
  <c r="R719" i="12" s="1"/>
  <c r="R97" i="12"/>
  <c r="R101" i="12"/>
  <c r="R105" i="12"/>
  <c r="R99" i="12"/>
  <c r="R103" i="12"/>
  <c r="R107" i="12"/>
  <c r="Q1016" i="12"/>
  <c r="Q1017" i="12" s="1"/>
  <c r="Q1050" i="12"/>
  <c r="Q1051" i="12" s="1"/>
  <c r="Q1028" i="12"/>
  <c r="Q1029" i="12" s="1"/>
  <c r="Q1059" i="12"/>
  <c r="Q1060" i="12" s="1"/>
  <c r="Q1068" i="12"/>
  <c r="Q1069" i="12" s="1"/>
  <c r="Q1039" i="12"/>
  <c r="Q1040" i="12" s="1"/>
  <c r="R171" i="12"/>
  <c r="R721" i="12" l="1"/>
  <c r="R172" i="12"/>
  <c r="R176" i="12" s="1"/>
  <c r="R1003" i="12" s="1"/>
  <c r="R106" i="12"/>
  <c r="R98" i="12"/>
  <c r="R102" i="12"/>
  <c r="R266" i="12" l="1"/>
  <c r="R190" i="12"/>
  <c r="R282" i="12"/>
  <c r="R1005" i="12"/>
  <c r="R203" i="12"/>
  <c r="R797" i="12"/>
  <c r="R206" i="12" l="1"/>
  <c r="R117" i="12" s="1"/>
  <c r="R720" i="12"/>
  <c r="R724" i="12" s="1"/>
  <c r="R725" i="12" s="1"/>
  <c r="R258" i="12" l="1"/>
  <c r="R291" i="12" s="1"/>
  <c r="R294" i="12" s="1"/>
  <c r="R295" i="12" s="1"/>
  <c r="R320" i="12" s="1"/>
  <c r="R415" i="12" s="1"/>
  <c r="R416" i="12" s="1"/>
  <c r="R428" i="12" s="1"/>
  <c r="S723" i="12"/>
  <c r="R449" i="12" l="1"/>
  <c r="R431" i="12"/>
  <c r="R450" i="12" s="1"/>
  <c r="R432" i="12" l="1"/>
  <c r="R465" i="12" s="1"/>
  <c r="R305" i="12"/>
  <c r="R248" i="12" s="1"/>
  <c r="R451" i="12"/>
  <c r="R433" i="12" l="1"/>
  <c r="R434" i="12" s="1"/>
  <c r="R435" i="12" s="1"/>
  <c r="R436" i="12" s="1"/>
  <c r="R437" i="12" s="1"/>
  <c r="R438" i="12" s="1"/>
  <c r="R466" i="12"/>
  <c r="S463" i="12" s="1"/>
  <c r="R306" i="12"/>
  <c r="R247" i="12" s="1"/>
  <c r="S448" i="12"/>
  <c r="S457" i="12" s="1"/>
  <c r="R454" i="12"/>
  <c r="S458" i="12" s="1"/>
  <c r="R483" i="12" l="1"/>
  <c r="R484" i="12" s="1"/>
  <c r="S481" i="12" s="1"/>
  <c r="R439" i="12"/>
  <c r="R440" i="12" s="1"/>
  <c r="R441" i="12" s="1"/>
  <c r="R442" i="12" s="1"/>
  <c r="S468" i="12"/>
  <c r="S591" i="12" s="1"/>
  <c r="S156" i="12" s="1"/>
  <c r="S464" i="12"/>
  <c r="R759" i="12"/>
  <c r="R772" i="12" s="1"/>
  <c r="R785" i="12" s="1"/>
  <c r="R800" i="12" s="1"/>
  <c r="R761" i="12"/>
  <c r="R774" i="12" s="1"/>
  <c r="R787" i="12" s="1"/>
  <c r="R802" i="12" s="1"/>
  <c r="R474" i="12"/>
  <c r="R308" i="12"/>
  <c r="R492" i="12"/>
  <c r="S459" i="12"/>
  <c r="S592" i="12" s="1"/>
  <c r="S157" i="12" s="1"/>
  <c r="R250" i="12" l="1"/>
  <c r="S486" i="12"/>
  <c r="S594" i="12" s="1"/>
  <c r="S159" i="12" s="1"/>
  <c r="S482" i="12"/>
  <c r="S418" i="12" s="1"/>
  <c r="R493" i="12"/>
  <c r="R251" i="12" s="1"/>
  <c r="R309" i="12"/>
  <c r="R307" i="12"/>
  <c r="R475" i="12"/>
  <c r="S472" i="12" l="1"/>
  <c r="R249" i="12"/>
  <c r="R760" i="12"/>
  <c r="R773" i="12" s="1"/>
  <c r="R786" i="12" s="1"/>
  <c r="R801" i="12" s="1"/>
  <c r="R501" i="12"/>
  <c r="S490" i="12"/>
  <c r="R762" i="12"/>
  <c r="R775" i="12" s="1"/>
  <c r="R788" i="12" s="1"/>
  <c r="R803" i="12" s="1"/>
  <c r="S495" i="12" l="1"/>
  <c r="S477" i="12"/>
  <c r="S593" i="12" s="1"/>
  <c r="S158" i="12" s="1"/>
  <c r="S473" i="12"/>
  <c r="R310" i="12"/>
  <c r="R1014" i="12"/>
  <c r="R502" i="12"/>
  <c r="R252" i="12" s="1"/>
  <c r="R519" i="12"/>
  <c r="R510" i="12"/>
  <c r="S491" i="12"/>
  <c r="S417" i="12" l="1"/>
  <c r="R528" i="12"/>
  <c r="R529" i="12" s="1"/>
  <c r="R255" i="12" s="1"/>
  <c r="S595" i="12"/>
  <c r="S160" i="12" s="1"/>
  <c r="R1026" i="12"/>
  <c r="R511" i="12"/>
  <c r="R253" i="12" s="1"/>
  <c r="R311" i="12"/>
  <c r="R520" i="12"/>
  <c r="R254" i="12" s="1"/>
  <c r="R312" i="12"/>
  <c r="R763" i="12"/>
  <c r="R776" i="12" s="1"/>
  <c r="R789" i="12" s="1"/>
  <c r="R804" i="12" s="1"/>
  <c r="S499" i="12"/>
  <c r="R1015" i="12"/>
  <c r="S419" i="12"/>
  <c r="S504" i="12" l="1"/>
  <c r="S1013" i="12" s="1"/>
  <c r="R313" i="12"/>
  <c r="R766" i="12"/>
  <c r="R779" i="12" s="1"/>
  <c r="R792" i="12" s="1"/>
  <c r="R807" i="12" s="1"/>
  <c r="S526" i="12"/>
  <c r="R537" i="12"/>
  <c r="S500" i="12"/>
  <c r="S517" i="12"/>
  <c r="R765" i="12"/>
  <c r="R778" i="12" s="1"/>
  <c r="R791" i="12" s="1"/>
  <c r="R806" i="12" s="1"/>
  <c r="S508" i="12"/>
  <c r="R764" i="12"/>
  <c r="R777" i="12" s="1"/>
  <c r="R790" i="12" s="1"/>
  <c r="R805" i="12" s="1"/>
  <c r="R1027" i="12"/>
  <c r="S522" i="12" l="1"/>
  <c r="S531" i="12"/>
  <c r="S513" i="12"/>
  <c r="S1025" i="12" s="1"/>
  <c r="S527" i="12"/>
  <c r="S423" i="12" s="1"/>
  <c r="S596" i="12"/>
  <c r="S161" i="12" s="1"/>
  <c r="R546" i="12"/>
  <c r="S420" i="12"/>
  <c r="R538" i="12"/>
  <c r="R256" i="12" s="1"/>
  <c r="R314" i="12"/>
  <c r="S509" i="12"/>
  <c r="S518" i="12"/>
  <c r="S599" i="12" l="1"/>
  <c r="S164" i="12" s="1"/>
  <c r="S598" i="12"/>
  <c r="S163" i="12" s="1"/>
  <c r="R555" i="12"/>
  <c r="R556" i="12" s="1"/>
  <c r="S597" i="12"/>
  <c r="S162" i="12" s="1"/>
  <c r="S422" i="12"/>
  <c r="S421" i="12"/>
  <c r="S535" i="12"/>
  <c r="R767" i="12"/>
  <c r="R780" i="12" s="1"/>
  <c r="R793" i="12" s="1"/>
  <c r="R808" i="12" s="1"/>
  <c r="R547" i="12"/>
  <c r="R262" i="12" s="1"/>
  <c r="R315" i="12"/>
  <c r="S540" i="12" l="1"/>
  <c r="R769" i="12"/>
  <c r="R782" i="12" s="1"/>
  <c r="R795" i="12" s="1"/>
  <c r="R810" i="12" s="1"/>
  <c r="R263" i="12"/>
  <c r="R1049" i="12"/>
  <c r="S553" i="12"/>
  <c r="R316" i="12"/>
  <c r="R318" i="12" s="1"/>
  <c r="R321" i="12" s="1"/>
  <c r="R443" i="12"/>
  <c r="S544" i="12"/>
  <c r="R1038" i="12"/>
  <c r="R768" i="12"/>
  <c r="R781" i="12" s="1"/>
  <c r="R794" i="12" s="1"/>
  <c r="R809" i="12" s="1"/>
  <c r="S536" i="12"/>
  <c r="S558" i="12" l="1"/>
  <c r="R221" i="12"/>
  <c r="S412" i="12" s="1"/>
  <c r="S414" i="12" s="1"/>
  <c r="S549" i="12"/>
  <c r="S1037" i="12" s="1"/>
  <c r="S554" i="12"/>
  <c r="S1048" i="12"/>
  <c r="R816" i="12"/>
  <c r="R817" i="12" s="1"/>
  <c r="S600" i="12"/>
  <c r="S165" i="12" s="1"/>
  <c r="R70" i="12"/>
  <c r="R257" i="12"/>
  <c r="R205" i="12" s="1"/>
  <c r="R71" i="12"/>
  <c r="S424" i="12"/>
  <c r="S545" i="12"/>
  <c r="S289" i="12"/>
  <c r="R226" i="12" l="1"/>
  <c r="R121" i="12" s="1"/>
  <c r="R122" i="12"/>
  <c r="R76" i="12"/>
  <c r="S589" i="12"/>
  <c r="S155" i="12" s="1"/>
  <c r="S166" i="12" s="1"/>
  <c r="S170" i="12" s="1"/>
  <c r="R260" i="12"/>
  <c r="S426" i="12"/>
  <c r="S602" i="12"/>
  <c r="S174" i="12" s="1"/>
  <c r="R72" i="12"/>
  <c r="R75" i="12" s="1"/>
  <c r="R90" i="12" s="1"/>
  <c r="R91" i="12"/>
  <c r="R112" i="12"/>
  <c r="S425" i="12"/>
  <c r="S601" i="12"/>
  <c r="S173" i="12" s="1"/>
  <c r="S714" i="12" l="1"/>
  <c r="S717" i="12" s="1"/>
  <c r="S719" i="12" s="1"/>
  <c r="S171" i="12"/>
  <c r="R236" i="12"/>
  <c r="R207" i="12" s="1"/>
  <c r="R118" i="12" s="1"/>
  <c r="S427" i="12"/>
  <c r="R267" i="12"/>
  <c r="R268" i="12" s="1"/>
  <c r="R116" i="12"/>
  <c r="S606" i="12"/>
  <c r="S83" i="12" s="1"/>
  <c r="R113" i="12"/>
  <c r="R93" i="12"/>
  <c r="R77" i="12"/>
  <c r="S604" i="12"/>
  <c r="S81" i="12" s="1"/>
  <c r="S605" i="12"/>
  <c r="S86" i="12" s="1"/>
  <c r="R125" i="12" l="1"/>
  <c r="R270" i="12"/>
  <c r="S82" i="12"/>
  <c r="S84" i="12" s="1"/>
  <c r="S102" i="12" s="1"/>
  <c r="S172" i="12"/>
  <c r="S176" i="12" s="1"/>
  <c r="S1003" i="12" s="1"/>
  <c r="S721" i="12"/>
  <c r="R999" i="12"/>
  <c r="R1000" i="12" s="1"/>
  <c r="R1007" i="12" s="1"/>
  <c r="R92" i="12"/>
  <c r="S97" i="12"/>
  <c r="S101" i="12"/>
  <c r="S105" i="12"/>
  <c r="S99" i="12"/>
  <c r="S103" i="12"/>
  <c r="S107" i="12"/>
  <c r="S203" i="12" l="1"/>
  <c r="S190" i="12"/>
  <c r="S282" i="12"/>
  <c r="S1005" i="12"/>
  <c r="S266" i="12"/>
  <c r="S797" i="12"/>
  <c r="S98" i="12"/>
  <c r="S106" i="12"/>
  <c r="R1039" i="12"/>
  <c r="R1040" i="12" s="1"/>
  <c r="R1016" i="12"/>
  <c r="R1017" i="12" s="1"/>
  <c r="R1028" i="12"/>
  <c r="R1029" i="12" s="1"/>
  <c r="R1068" i="12"/>
  <c r="R1069" i="12" s="1"/>
  <c r="R1059" i="12"/>
  <c r="R1060" i="12" s="1"/>
  <c r="R1050" i="12"/>
  <c r="R1051" i="12" s="1"/>
  <c r="S206" i="12" l="1"/>
  <c r="S117" i="12" s="1"/>
  <c r="S720" i="12"/>
  <c r="S724" i="12" s="1"/>
  <c r="S725" i="12" s="1"/>
  <c r="S258" i="12" l="1"/>
  <c r="S291" i="12" s="1"/>
  <c r="S294" i="12" s="1"/>
  <c r="S295" i="12" s="1"/>
  <c r="S320" i="12" s="1"/>
  <c r="S415" i="12" s="1"/>
  <c r="S416" i="12" s="1"/>
  <c r="S428" i="12" s="1"/>
  <c r="T723" i="12"/>
  <c r="S449" i="12" l="1"/>
  <c r="S431" i="12"/>
  <c r="S432" i="12" s="1"/>
  <c r="S433" i="12" l="1"/>
  <c r="S474" i="12" s="1"/>
  <c r="S475" i="12" s="1"/>
  <c r="S249" i="12" s="1"/>
  <c r="S465" i="12"/>
  <c r="S306" i="12" s="1"/>
  <c r="S247" i="12" s="1"/>
  <c r="S450" i="12"/>
  <c r="S305" i="12" s="1"/>
  <c r="S248" i="12" s="1"/>
  <c r="S307" i="12"/>
  <c r="S434" i="12" l="1"/>
  <c r="S483" i="12" s="1"/>
  <c r="S308" i="12" s="1"/>
  <c r="S466" i="12"/>
  <c r="S435" i="12"/>
  <c r="S436" i="12" s="1"/>
  <c r="S501" i="12" s="1"/>
  <c r="S451" i="12"/>
  <c r="T448" i="12" s="1"/>
  <c r="T457" i="12" s="1"/>
  <c r="S484" i="12"/>
  <c r="T472" i="12"/>
  <c r="S760" i="12"/>
  <c r="S773" i="12" s="1"/>
  <c r="S786" i="12" s="1"/>
  <c r="S801" i="12" s="1"/>
  <c r="T463" i="12"/>
  <c r="S759" i="12"/>
  <c r="S772" i="12" s="1"/>
  <c r="S437" i="12" l="1"/>
  <c r="S454" i="12"/>
  <c r="T458" i="12" s="1"/>
  <c r="T459" i="12" s="1"/>
  <c r="T592" i="12" s="1"/>
  <c r="T157" i="12" s="1"/>
  <c r="T468" i="12"/>
  <c r="T591" i="12" s="1"/>
  <c r="T477" i="12"/>
  <c r="S761" i="12"/>
  <c r="S774" i="12" s="1"/>
  <c r="S787" i="12" s="1"/>
  <c r="S802" i="12" s="1"/>
  <c r="S250" i="12"/>
  <c r="T481" i="12"/>
  <c r="S510" i="12"/>
  <c r="S492" i="12"/>
  <c r="S493" i="12" s="1"/>
  <c r="S251" i="12" s="1"/>
  <c r="S785" i="12"/>
  <c r="S800" i="12" s="1"/>
  <c r="T464" i="12"/>
  <c r="T473" i="12"/>
  <c r="S502" i="12"/>
  <c r="S252" i="12" s="1"/>
  <c r="S1014" i="12"/>
  <c r="S310" i="12"/>
  <c r="S438" i="12" l="1"/>
  <c r="S439" i="12" s="1"/>
  <c r="S440" i="12" s="1"/>
  <c r="S441" i="12" s="1"/>
  <c r="S442" i="12" s="1"/>
  <c r="T486" i="12"/>
  <c r="T594" i="12" s="1"/>
  <c r="T159" i="12" s="1"/>
  <c r="T482" i="12"/>
  <c r="T418" i="12" s="1"/>
  <c r="S519" i="12"/>
  <c r="S309" i="12"/>
  <c r="T156" i="12"/>
  <c r="S763" i="12"/>
  <c r="S776" i="12" s="1"/>
  <c r="S789" i="12" s="1"/>
  <c r="S804" i="12" s="1"/>
  <c r="T499" i="12"/>
  <c r="S1015" i="12"/>
  <c r="T593" i="12"/>
  <c r="S511" i="12"/>
  <c r="S253" i="12" s="1"/>
  <c r="S311" i="12"/>
  <c r="S1026" i="12"/>
  <c r="T490" i="12"/>
  <c r="S762" i="12"/>
  <c r="S775" i="12" s="1"/>
  <c r="T417" i="12"/>
  <c r="T495" i="12" l="1"/>
  <c r="T504" i="12"/>
  <c r="T1013" i="12" s="1"/>
  <c r="T158" i="12"/>
  <c r="S520" i="12"/>
  <c r="S254" i="12" s="1"/>
  <c r="S312" i="12"/>
  <c r="S788" i="12"/>
  <c r="S803" i="12" s="1"/>
  <c r="T500" i="12"/>
  <c r="T491" i="12"/>
  <c r="S764" i="12"/>
  <c r="S777" i="12" s="1"/>
  <c r="S790" i="12" s="1"/>
  <c r="S805" i="12" s="1"/>
  <c r="S1027" i="12"/>
  <c r="T508" i="12"/>
  <c r="T513" i="12" l="1"/>
  <c r="T1025" i="12" s="1"/>
  <c r="S528" i="12"/>
  <c r="S313" i="12" s="1"/>
  <c r="T419" i="12"/>
  <c r="T420" i="12"/>
  <c r="T595" i="12"/>
  <c r="S765" i="12"/>
  <c r="S778" i="12" s="1"/>
  <c r="S791" i="12" s="1"/>
  <c r="S806" i="12" s="1"/>
  <c r="T517" i="12"/>
  <c r="T509" i="12"/>
  <c r="S537" i="12"/>
  <c r="T596" i="12"/>
  <c r="T161" i="12" s="1"/>
  <c r="T522" i="12" l="1"/>
  <c r="S529" i="12"/>
  <c r="T160" i="12"/>
  <c r="S538" i="12"/>
  <c r="S256" i="12" s="1"/>
  <c r="S314" i="12"/>
  <c r="T421" i="12"/>
  <c r="T518" i="12"/>
  <c r="T597" i="12"/>
  <c r="S546" i="12"/>
  <c r="S766" i="12" l="1"/>
  <c r="S779" i="12" s="1"/>
  <c r="S792" i="12" s="1"/>
  <c r="S807" i="12" s="1"/>
  <c r="S255" i="12"/>
  <c r="T526" i="12"/>
  <c r="T162" i="12"/>
  <c r="S555" i="12"/>
  <c r="S443" i="12"/>
  <c r="S547" i="12"/>
  <c r="S262" i="12" s="1"/>
  <c r="S315" i="12"/>
  <c r="T422" i="12"/>
  <c r="S767" i="12"/>
  <c r="S780" i="12" s="1"/>
  <c r="S793" i="12" s="1"/>
  <c r="S808" i="12" s="1"/>
  <c r="T535" i="12"/>
  <c r="T598" i="12"/>
  <c r="T540" i="12" l="1"/>
  <c r="T527" i="12"/>
  <c r="T423" i="12" s="1"/>
  <c r="T531" i="12"/>
  <c r="T599" i="12" s="1"/>
  <c r="T164" i="12" s="1"/>
  <c r="S70" i="12"/>
  <c r="T163" i="12"/>
  <c r="S768" i="12"/>
  <c r="S781" i="12" s="1"/>
  <c r="S794" i="12" s="1"/>
  <c r="S809" i="12" s="1"/>
  <c r="T544" i="12"/>
  <c r="S1038" i="12"/>
  <c r="S556" i="12"/>
  <c r="S263" i="12" s="1"/>
  <c r="S316" i="12"/>
  <c r="S318" i="12" s="1"/>
  <c r="S321" i="12" s="1"/>
  <c r="T536" i="12"/>
  <c r="S221" i="12" l="1"/>
  <c r="T549" i="12"/>
  <c r="T1037" i="12" s="1"/>
  <c r="T600" i="12"/>
  <c r="T165" i="12" s="1"/>
  <c r="T424" i="12"/>
  <c r="T545" i="12"/>
  <c r="S112" i="12"/>
  <c r="S91" i="12"/>
  <c r="S769" i="12"/>
  <c r="S782" i="12" s="1"/>
  <c r="S1049" i="12"/>
  <c r="T553" i="12"/>
  <c r="S71" i="12"/>
  <c r="S257" i="12"/>
  <c r="S205" i="12" s="1"/>
  <c r="S226" i="12" l="1"/>
  <c r="S121" i="12" s="1"/>
  <c r="T412" i="12"/>
  <c r="T414" i="12" s="1"/>
  <c r="S76" i="12"/>
  <c r="S122" i="12"/>
  <c r="T589" i="12"/>
  <c r="T155" i="12" s="1"/>
  <c r="T166" i="12" s="1"/>
  <c r="T170" i="12" s="1"/>
  <c r="T558" i="12"/>
  <c r="T1048" i="12" s="1"/>
  <c r="S72" i="12"/>
  <c r="S75" i="12" s="1"/>
  <c r="T425" i="12"/>
  <c r="T601" i="12"/>
  <c r="T173" i="12" s="1"/>
  <c r="S260" i="12"/>
  <c r="T554" i="12"/>
  <c r="S795" i="12"/>
  <c r="S810" i="12" s="1"/>
  <c r="S816" i="12" s="1"/>
  <c r="S817" i="12" s="1"/>
  <c r="T714" i="12" l="1"/>
  <c r="T717" i="12" s="1"/>
  <c r="T719" i="12" s="1"/>
  <c r="T171" i="12"/>
  <c r="S236" i="12"/>
  <c r="S125" i="12" s="1"/>
  <c r="S116" i="12"/>
  <c r="S267" i="12"/>
  <c r="S268" i="12" s="1"/>
  <c r="S77" i="12"/>
  <c r="S90" i="12"/>
  <c r="S93" i="12"/>
  <c r="S113" i="12"/>
  <c r="T602" i="12"/>
  <c r="T289" i="12"/>
  <c r="T426" i="12"/>
  <c r="T427" i="12" s="1"/>
  <c r="S270" i="12" l="1"/>
  <c r="S207" i="12"/>
  <c r="S118" i="12" s="1"/>
  <c r="T172" i="12"/>
  <c r="T174" i="12"/>
  <c r="T604" i="12"/>
  <c r="T81" i="12" s="1"/>
  <c r="T605" i="12"/>
  <c r="T86" i="12" s="1"/>
  <c r="T606" i="12"/>
  <c r="T83" i="12" s="1"/>
  <c r="T721" i="12"/>
  <c r="S92" i="12"/>
  <c r="S999" i="12"/>
  <c r="S1000" i="12" s="1"/>
  <c r="S1007" i="12" s="1"/>
  <c r="T82" i="12" l="1"/>
  <c r="T84" i="12" s="1"/>
  <c r="T176" i="12"/>
  <c r="T1003" i="12" s="1"/>
  <c r="T97" i="12"/>
  <c r="T105" i="12"/>
  <c r="T101" i="12"/>
  <c r="S1050" i="12"/>
  <c r="S1051" i="12" s="1"/>
  <c r="S1068" i="12"/>
  <c r="S1069" i="12" s="1"/>
  <c r="S1028" i="12"/>
  <c r="S1029" i="12" s="1"/>
  <c r="S1039" i="12"/>
  <c r="S1040" i="12" s="1"/>
  <c r="S1016" i="12"/>
  <c r="S1017" i="12" s="1"/>
  <c r="S1059" i="12"/>
  <c r="S1060" i="12" s="1"/>
  <c r="T203" i="12" l="1"/>
  <c r="T190" i="12"/>
  <c r="T1005" i="12"/>
  <c r="T797" i="12"/>
  <c r="T282" i="12"/>
  <c r="T266" i="12"/>
  <c r="T98" i="12"/>
  <c r="T102" i="12"/>
  <c r="T106" i="12"/>
  <c r="T103" i="12"/>
  <c r="T107" i="12"/>
  <c r="T99" i="12"/>
  <c r="T206" i="12" l="1"/>
  <c r="T117" i="12" s="1"/>
  <c r="T720" i="12"/>
  <c r="T724" i="12" s="1"/>
  <c r="T725" i="12" s="1"/>
  <c r="T258" i="12" s="1"/>
  <c r="T291" i="12" s="1"/>
  <c r="T294" i="12" s="1"/>
  <c r="T295" i="12" s="1"/>
  <c r="T320" i="12" s="1"/>
  <c r="T415" i="12" s="1"/>
  <c r="T416" i="12" s="1"/>
  <c r="T428" i="12" s="1"/>
  <c r="T449" i="12" l="1"/>
  <c r="T431" i="12"/>
  <c r="T432" i="12" l="1"/>
  <c r="T433" i="12" s="1"/>
  <c r="T474" i="12" s="1"/>
  <c r="T450" i="12"/>
  <c r="T305" i="12" s="1"/>
  <c r="T465" i="12" l="1"/>
  <c r="T434" i="12"/>
  <c r="T435" i="12" s="1"/>
  <c r="T248" i="12"/>
  <c r="K30" i="12" s="1"/>
  <c r="T451" i="12"/>
  <c r="T454" i="12" s="1"/>
  <c r="T475" i="12"/>
  <c r="T307" i="12"/>
  <c r="T483" i="12" l="1"/>
  <c r="T484" i="12" s="1"/>
  <c r="T436" i="12"/>
  <c r="T437" i="12" s="1"/>
  <c r="T438" i="12" s="1"/>
  <c r="T439" i="12" s="1"/>
  <c r="T466" i="12"/>
  <c r="T759" i="12" s="1"/>
  <c r="T772" i="12" s="1"/>
  <c r="T785" i="12" s="1"/>
  <c r="T800" i="12" s="1"/>
  <c r="T306" i="12"/>
  <c r="T247" i="12" s="1"/>
  <c r="T760" i="12"/>
  <c r="T773" i="12" s="1"/>
  <c r="T786" i="12" s="1"/>
  <c r="T801" i="12" s="1"/>
  <c r="T249" i="12"/>
  <c r="T492" i="12"/>
  <c r="T308" i="12" l="1"/>
  <c r="T440" i="12"/>
  <c r="T441" i="12" s="1"/>
  <c r="T442" i="12" s="1"/>
  <c r="T761" i="12"/>
  <c r="T774" i="12" s="1"/>
  <c r="T787" i="12" s="1"/>
  <c r="T802" i="12" s="1"/>
  <c r="T250" i="12"/>
  <c r="T501" i="12"/>
  <c r="T493" i="12"/>
  <c r="T309" i="12"/>
  <c r="T762" i="12" l="1"/>
  <c r="T775" i="12" s="1"/>
  <c r="T788" i="12" s="1"/>
  <c r="T803" i="12" s="1"/>
  <c r="T251" i="12"/>
  <c r="T510" i="12"/>
  <c r="T502" i="12"/>
  <c r="T252" i="12" s="1"/>
  <c r="T1014" i="12"/>
  <c r="T310" i="12"/>
  <c r="T519" i="12" l="1"/>
  <c r="T1015" i="12"/>
  <c r="T763" i="12"/>
  <c r="T776" i="12" s="1"/>
  <c r="T511" i="12"/>
  <c r="T253" i="12" s="1"/>
  <c r="T311" i="12"/>
  <c r="T1026" i="12"/>
  <c r="T789" i="12" l="1"/>
  <c r="T804" i="12" s="1"/>
  <c r="T764" i="12"/>
  <c r="T777" i="12" s="1"/>
  <c r="T790" i="12" s="1"/>
  <c r="T805" i="12" s="1"/>
  <c r="T1027" i="12"/>
  <c r="T520" i="12"/>
  <c r="T312" i="12"/>
  <c r="T765" i="12" l="1"/>
  <c r="T778" i="12" s="1"/>
  <c r="T791" i="12" s="1"/>
  <c r="T806" i="12" s="1"/>
  <c r="T254" i="12"/>
  <c r="T528" i="12"/>
  <c r="T537" i="12"/>
  <c r="T313" i="12" l="1"/>
  <c r="T529" i="12"/>
  <c r="T538" i="12"/>
  <c r="T314" i="12"/>
  <c r="T546" i="12"/>
  <c r="T555" i="12"/>
  <c r="T767" i="12" l="1"/>
  <c r="T780" i="12" s="1"/>
  <c r="T793" i="12" s="1"/>
  <c r="T808" i="12" s="1"/>
  <c r="T256" i="12"/>
  <c r="T766" i="12"/>
  <c r="T779" i="12" s="1"/>
  <c r="T792" i="12" s="1"/>
  <c r="T807" i="12" s="1"/>
  <c r="T255" i="12"/>
  <c r="T556" i="12"/>
  <c r="T263" i="12" s="1"/>
  <c r="T316" i="12"/>
  <c r="T547" i="12"/>
  <c r="T262" i="12" s="1"/>
  <c r="T315" i="12"/>
  <c r="T443" i="12"/>
  <c r="T318" i="12" l="1"/>
  <c r="T321" i="12" s="1"/>
  <c r="T70" i="12"/>
  <c r="T257" i="12"/>
  <c r="T205" i="12" s="1"/>
  <c r="T71" i="12"/>
  <c r="T768" i="12"/>
  <c r="T781" i="12" s="1"/>
  <c r="T794" i="12" s="1"/>
  <c r="T809" i="12" s="1"/>
  <c r="T1038" i="12"/>
  <c r="T1049" i="12"/>
  <c r="T769" i="12"/>
  <c r="T782" i="12" s="1"/>
  <c r="T221" i="12" l="1"/>
  <c r="T76" i="12" s="1"/>
  <c r="T260" i="12"/>
  <c r="T116" i="12"/>
  <c r="T795" i="12"/>
  <c r="T810" i="12" s="1"/>
  <c r="T816" i="12" s="1"/>
  <c r="T817" i="12" s="1"/>
  <c r="T72" i="12"/>
  <c r="T75" i="12" s="1"/>
  <c r="T267" i="12"/>
  <c r="T91" i="12"/>
  <c r="T112" i="12"/>
  <c r="T122" i="12" l="1"/>
  <c r="T226" i="12"/>
  <c r="T121" i="12" s="1"/>
  <c r="T268" i="12"/>
  <c r="T90" i="12"/>
  <c r="T113" i="12"/>
  <c r="T93" i="12"/>
  <c r="T77" i="12"/>
  <c r="T236" i="12" l="1"/>
  <c r="T125" i="12" s="1"/>
  <c r="T92" i="12"/>
  <c r="T999" i="12"/>
  <c r="T1000" i="12" s="1"/>
  <c r="T1007" i="12" s="1"/>
  <c r="T207" i="12" l="1"/>
  <c r="T118" i="12" s="1"/>
  <c r="T270" i="12"/>
  <c r="K29" i="12" s="1"/>
  <c r="T1016" i="12"/>
  <c r="T1017" i="12" s="1"/>
  <c r="T1050" i="12"/>
  <c r="T1051" i="12" s="1"/>
  <c r="T1068" i="12"/>
  <c r="T1069" i="12" s="1"/>
  <c r="T1059" i="12"/>
  <c r="T1060" i="12" s="1"/>
  <c r="T1028" i="12"/>
  <c r="T1029" i="12" s="1"/>
  <c r="T1039" i="12"/>
  <c r="T1040" i="12" s="1"/>
  <c r="C1031" i="12" l="1"/>
  <c r="C1032" i="12"/>
  <c r="C1020" i="12"/>
  <c r="C1019" i="12"/>
  <c r="C1071" i="12"/>
  <c r="C1072" i="12"/>
  <c r="C1042" i="12"/>
  <c r="C1043" i="12"/>
  <c r="C1054" i="12"/>
  <c r="C1053" i="12"/>
  <c r="C1063" i="12"/>
  <c r="C1062" i="12"/>
  <c r="J849" i="12"/>
  <c r="K849" i="12"/>
  <c r="K28" i="12"/>
  <c r="K31" i="12"/>
  <c r="T57" i="12"/>
  <c r="T139" i="12"/>
  <c r="E178" i="12"/>
  <c r="F178" i="12"/>
  <c r="G178" i="12"/>
  <c r="H178" i="12"/>
  <c r="K178" i="12"/>
  <c r="L178" i="12"/>
  <c r="M178" i="12"/>
  <c r="N178" i="12"/>
  <c r="O178" i="12"/>
  <c r="P178" i="12"/>
  <c r="Q178" i="12"/>
  <c r="R178" i="12"/>
  <c r="S178" i="12"/>
  <c r="T178" i="12"/>
  <c r="T214" i="12"/>
  <c r="T275" i="12"/>
  <c r="T326" i="12"/>
  <c r="T369" i="12"/>
  <c r="T390" i="12"/>
  <c r="T563" i="12"/>
  <c r="T611" i="12"/>
  <c r="T632" i="12"/>
  <c r="T676" i="12"/>
  <c r="T699" i="12"/>
  <c r="T822" i="12"/>
  <c r="L845" i="12"/>
  <c r="M845" i="12"/>
  <c r="L847" i="12"/>
  <c r="M847" i="12"/>
  <c r="L849" i="12"/>
  <c r="M849" i="12"/>
  <c r="J854" i="12"/>
  <c r="K854" i="12"/>
  <c r="L854" i="12"/>
  <c r="M854" i="12"/>
  <c r="J855" i="12"/>
  <c r="K855" i="12"/>
  <c r="J864" i="12"/>
  <c r="K864" i="12"/>
  <c r="L864" i="12"/>
  <c r="M864" i="12"/>
  <c r="J866" i="12"/>
  <c r="K866" i="12"/>
  <c r="L866" i="12"/>
  <c r="M866" i="12"/>
  <c r="T965"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Ryan MacGregor</author>
  </authors>
  <commentList>
    <comment ref="K12" authorId="0" shapeId="0" xr:uid="{00000000-0006-0000-0100-000001000000}">
      <text>
        <r>
          <rPr>
            <b/>
            <sz val="9"/>
            <color indexed="81"/>
            <rFont val="Tahoma"/>
            <family val="2"/>
          </rPr>
          <t>Macabacus:</t>
        </r>
        <r>
          <rPr>
            <sz val="9"/>
            <color indexed="81"/>
            <rFont val="Tahoma"/>
            <family val="2"/>
          </rPr>
          <t xml:space="preserve">
This is not used in the model, but could be used in a FactSet or CapitalIQ formula to pull the target's share price.</t>
        </r>
      </text>
    </comment>
    <comment ref="P22" authorId="0" shapeId="0" xr:uid="{00000000-0006-0000-0100-000002000000}">
      <text>
        <r>
          <rPr>
            <sz val="8"/>
            <color indexed="8"/>
            <rFont val="Tahoma"/>
            <family val="2"/>
          </rPr>
          <t>Includes current portion of long-term debt.</t>
        </r>
      </text>
    </comment>
    <comment ref="K25" authorId="0" shapeId="0" xr:uid="{00000000-0006-0000-0100-000003000000}">
      <text>
        <r>
          <rPr>
            <b/>
            <sz val="9"/>
            <color indexed="81"/>
            <rFont val="Tahoma"/>
            <family val="2"/>
          </rPr>
          <t>Macabacus:</t>
        </r>
        <r>
          <rPr>
            <sz val="9"/>
            <color indexed="81"/>
            <rFont val="Tahoma"/>
            <family val="2"/>
          </rPr>
          <t xml:space="preserve">
When average interest is not selected, interest expense is computed using the beginning balance.  To break the circular reference, toggle average interest off then back on.</t>
        </r>
      </text>
    </comment>
    <comment ref="K31" authorId="0" shapeId="0" xr:uid="{00000000-0006-0000-0100-000004000000}">
      <text>
        <r>
          <rPr>
            <b/>
            <sz val="9"/>
            <color indexed="81"/>
            <rFont val="Tahoma"/>
            <family val="2"/>
          </rPr>
          <t>Macabacus:</t>
        </r>
        <r>
          <rPr>
            <sz val="9"/>
            <color indexed="81"/>
            <rFont val="Tahoma"/>
            <family val="2"/>
          </rPr>
          <t xml:space="preserve">
You may need to recalculate a few times to clear an error after switching scenarios due to circularity.</t>
        </r>
      </text>
    </comment>
    <comment ref="P32" authorId="0" shapeId="0" xr:uid="{00000000-0006-0000-0100-000005000000}">
      <text>
        <r>
          <rPr>
            <b/>
            <sz val="9"/>
            <color indexed="81"/>
            <rFont val="Tahoma"/>
            <family val="2"/>
          </rPr>
          <t>Macabacus:</t>
        </r>
        <r>
          <rPr>
            <sz val="9"/>
            <color indexed="81"/>
            <rFont val="Tahoma"/>
            <family val="2"/>
          </rPr>
          <t xml:space="preserve">
For simplicity, assume that the FV of NCI equals the book value. </t>
        </r>
      </text>
    </comment>
    <comment ref="P41" authorId="0" shapeId="0" xr:uid="{00000000-0006-0000-0100-000006000000}">
      <text>
        <r>
          <rPr>
            <b/>
            <sz val="9"/>
            <color indexed="81"/>
            <rFont val="Tahoma"/>
            <family val="2"/>
          </rPr>
          <t>Macabacus:</t>
        </r>
        <r>
          <rPr>
            <sz val="9"/>
            <color indexed="81"/>
            <rFont val="Tahoma"/>
            <family val="2"/>
          </rPr>
          <t xml:space="preserve">
Note that there is no DTL related to bargain purchase gains that we need to adjust for in the calculation of goodwill.</t>
        </r>
      </text>
    </comment>
    <comment ref="B45" authorId="0" shapeId="0" xr:uid="{00000000-0006-0000-0100-000007000000}">
      <text>
        <r>
          <rPr>
            <b/>
            <sz val="9"/>
            <color indexed="81"/>
            <rFont val="Tahoma"/>
            <family val="2"/>
          </rPr>
          <t>Macabacus:</t>
        </r>
        <r>
          <rPr>
            <sz val="9"/>
            <color indexed="81"/>
            <rFont val="Tahoma"/>
            <family val="2"/>
          </rPr>
          <t xml:space="preserve">
We have made the simplifying assumption that face values of debt and preferred equals their book values.  Had we not made this assumption, you would enter the write-ups/downs to face value here.</t>
        </r>
      </text>
    </comment>
    <comment ref="E45" authorId="0" shapeId="0" xr:uid="{00000000-0006-0000-0100-000008000000}">
      <text>
        <r>
          <rPr>
            <b/>
            <sz val="9"/>
            <color indexed="81"/>
            <rFont val="Tahoma"/>
            <family val="2"/>
          </rPr>
          <t>Macabacus:</t>
        </r>
        <r>
          <rPr>
            <sz val="9"/>
            <color indexed="81"/>
            <rFont val="Tahoma"/>
            <family val="2"/>
          </rPr>
          <t xml:space="preserve">
Enter 1  for assets, and 0 for liabilities.</t>
        </r>
      </text>
    </comment>
    <comment ref="G45" authorId="0" shapeId="0" xr:uid="{00000000-0006-0000-0100-000009000000}">
      <text>
        <r>
          <rPr>
            <b/>
            <sz val="9"/>
            <color indexed="81"/>
            <rFont val="Tahoma"/>
            <family val="2"/>
          </rPr>
          <t>Macabacus:</t>
        </r>
        <r>
          <rPr>
            <sz val="9"/>
            <color indexed="81"/>
            <rFont val="Tahoma"/>
            <family val="2"/>
          </rPr>
          <t xml:space="preserve">
Assume equal to book value if not available.  For debt, this is the face value of the debt.</t>
        </r>
      </text>
    </comment>
    <comment ref="H45" authorId="0" shapeId="0" xr:uid="{00000000-0006-0000-0100-00000A000000}">
      <text>
        <r>
          <rPr>
            <b/>
            <sz val="9"/>
            <color indexed="81"/>
            <rFont val="Tahoma"/>
            <family val="2"/>
          </rPr>
          <t>Macabacus:</t>
        </r>
        <r>
          <rPr>
            <sz val="9"/>
            <color indexed="81"/>
            <rFont val="Tahoma"/>
            <family val="2"/>
          </rPr>
          <t xml:space="preserve">
Fair value marks expressed in direction of the mark.</t>
        </r>
      </text>
    </comment>
    <comment ref="I45" authorId="0" shapeId="0" xr:uid="{00000000-0006-0000-0100-00000B000000}">
      <text>
        <r>
          <rPr>
            <b/>
            <sz val="9"/>
            <color indexed="81"/>
            <rFont val="Tahoma"/>
            <family val="2"/>
          </rPr>
          <t>Macacbacus:</t>
        </r>
        <r>
          <rPr>
            <sz val="9"/>
            <color indexed="81"/>
            <rFont val="Tahoma"/>
            <family val="2"/>
          </rPr>
          <t xml:space="preserve">
DTA created from write-down of an asset or write-up of a liability.</t>
        </r>
      </text>
    </comment>
    <comment ref="J45" authorId="0" shapeId="0" xr:uid="{00000000-0006-0000-0100-00000C000000}">
      <text>
        <r>
          <rPr>
            <b/>
            <sz val="9"/>
            <color indexed="81"/>
            <rFont val="Tahoma"/>
            <family val="2"/>
          </rPr>
          <t>Macacbacus:</t>
        </r>
        <r>
          <rPr>
            <sz val="9"/>
            <color indexed="81"/>
            <rFont val="Tahoma"/>
            <family val="2"/>
          </rPr>
          <t xml:space="preserve">
DTA created from write-up of an asset or write-down of a liability.</t>
        </r>
      </text>
    </comment>
    <comment ref="O46" authorId="0" shapeId="0" xr:uid="{00000000-0006-0000-0100-00000D000000}">
      <text>
        <r>
          <rPr>
            <b/>
            <sz val="9"/>
            <color indexed="81"/>
            <rFont val="Tahoma"/>
            <family val="2"/>
          </rPr>
          <t>Macabacus:</t>
        </r>
        <r>
          <rPr>
            <sz val="9"/>
            <color indexed="81"/>
            <rFont val="Tahoma"/>
            <family val="2"/>
          </rPr>
          <t xml:space="preserve">
LTM as of transaction close.</t>
        </r>
      </text>
    </comment>
    <comment ref="O50" authorId="0" shapeId="0" xr:uid="{00000000-0006-0000-0100-00000E000000}">
      <text>
        <r>
          <rPr>
            <b/>
            <sz val="9"/>
            <color indexed="81"/>
            <rFont val="Tahoma"/>
            <family val="2"/>
          </rPr>
          <t>Macabacus:</t>
        </r>
        <r>
          <rPr>
            <sz val="9"/>
            <color indexed="81"/>
            <rFont val="Tahoma"/>
            <family val="2"/>
          </rPr>
          <t xml:space="preserve">
LTM as of transaction close.</t>
        </r>
      </text>
    </comment>
    <comment ref="B81" authorId="0" shapeId="0" xr:uid="{00000000-0006-0000-0100-00000F000000}">
      <text>
        <r>
          <rPr>
            <b/>
            <sz val="9"/>
            <color indexed="81"/>
            <rFont val="Tahoma"/>
            <family val="2"/>
          </rPr>
          <t>Macacbacus:</t>
        </r>
        <r>
          <rPr>
            <sz val="9"/>
            <color indexed="81"/>
            <rFont val="Tahoma"/>
            <family val="2"/>
          </rPr>
          <t xml:space="preserve">
Includes revolver undrawn commitment fee.</t>
        </r>
      </text>
    </comment>
    <comment ref="B122" authorId="0" shapeId="0" xr:uid="{00000000-0006-0000-0100-000010000000}">
      <text>
        <r>
          <rPr>
            <b/>
            <sz val="9"/>
            <color indexed="81"/>
            <rFont val="Tahoma"/>
            <family val="2"/>
          </rPr>
          <t>Macabacus:</t>
        </r>
        <r>
          <rPr>
            <sz val="9"/>
            <color indexed="81"/>
            <rFont val="Tahoma"/>
            <family val="2"/>
          </rPr>
          <t xml:space="preserve">
Defined as cash and cash equivalents plus A/R divided by current liabilities.</t>
        </r>
      </text>
    </comment>
    <comment ref="B130" authorId="0" shapeId="0" xr:uid="{00000000-0006-0000-0100-000011000000}">
      <text>
        <r>
          <rPr>
            <b/>
            <sz val="9"/>
            <color indexed="81"/>
            <rFont val="Tahoma"/>
            <family val="2"/>
          </rPr>
          <t>Macabacus:</t>
        </r>
        <r>
          <rPr>
            <sz val="9"/>
            <color indexed="81"/>
            <rFont val="Tahoma"/>
            <family val="2"/>
          </rPr>
          <t xml:space="preserve">
Computed as sales made on credit divided by the average A/R.  Total net sales may be used as a proxy for net credit sales when credit sales are not broken out from total sales.</t>
        </r>
      </text>
    </comment>
    <comment ref="B131" authorId="0" shapeId="0" xr:uid="{00000000-0006-0000-0100-000012000000}">
      <text>
        <r>
          <rPr>
            <b/>
            <sz val="9"/>
            <color indexed="81"/>
            <rFont val="Tahoma"/>
            <family val="2"/>
          </rPr>
          <t>Macacbacus:</t>
        </r>
        <r>
          <rPr>
            <sz val="9"/>
            <color indexed="81"/>
            <rFont val="Tahoma"/>
            <family val="2"/>
          </rPr>
          <t xml:space="preserve">
The numerator describes purchases made on credit, and is calculated as the ending inventory less the beginning inventory plus COGS.  Total purchases is often used as a proxy for credit purchases since credit purchases are not usually broken out from total purchases.</t>
        </r>
      </text>
    </comment>
    <comment ref="E142" authorId="0" shapeId="0" xr:uid="{00000000-0006-0000-0100-000013000000}">
      <text>
        <r>
          <rPr>
            <b/>
            <sz val="9"/>
            <color indexed="81"/>
            <rFont val="Tahoma"/>
            <family val="2"/>
          </rPr>
          <t>Macabacus:</t>
        </r>
        <r>
          <rPr>
            <sz val="9"/>
            <color indexed="81"/>
            <rFont val="Tahoma"/>
            <family val="2"/>
          </rPr>
          <t xml:space="preserve">
Source:  10-Q.</t>
        </r>
      </text>
    </comment>
    <comment ref="F142" authorId="0" shapeId="0" xr:uid="{00000000-0006-0000-0100-000014000000}">
      <text>
        <r>
          <rPr>
            <b/>
            <sz val="9"/>
            <color indexed="81"/>
            <rFont val="Tahoma"/>
            <family val="2"/>
          </rPr>
          <t>Macabacus:</t>
        </r>
        <r>
          <rPr>
            <sz val="9"/>
            <color indexed="81"/>
            <rFont val="Tahoma"/>
            <family val="2"/>
          </rPr>
          <t xml:space="preserve">
Source:  Analyst projections.</t>
        </r>
      </text>
    </comment>
    <comment ref="G142" authorId="0" shapeId="0" xr:uid="{00000000-0006-0000-0100-000015000000}">
      <text>
        <r>
          <rPr>
            <b/>
            <sz val="9"/>
            <color indexed="81"/>
            <rFont val="Tahoma"/>
            <family val="2"/>
          </rPr>
          <t>Macabacus:</t>
        </r>
        <r>
          <rPr>
            <sz val="9"/>
            <color indexed="81"/>
            <rFont val="Tahoma"/>
            <family val="2"/>
          </rPr>
          <t xml:space="preserve">
Source:  Analyst projections.</t>
        </r>
      </text>
    </comment>
    <comment ref="H142" authorId="0" shapeId="0" xr:uid="{00000000-0006-0000-0100-000016000000}">
      <text>
        <r>
          <rPr>
            <b/>
            <sz val="9"/>
            <color indexed="81"/>
            <rFont val="Tahoma"/>
            <family val="2"/>
          </rPr>
          <t>Macabacus:</t>
        </r>
        <r>
          <rPr>
            <sz val="9"/>
            <color indexed="81"/>
            <rFont val="Tahoma"/>
            <family val="2"/>
          </rPr>
          <t xml:space="preserve">
Source:  Analyst projections.</t>
        </r>
      </text>
    </comment>
    <comment ref="K142" authorId="0" shapeId="0" xr:uid="{00000000-0006-0000-0100-000017000000}">
      <text>
        <r>
          <rPr>
            <b/>
            <sz val="9"/>
            <color indexed="81"/>
            <rFont val="Tahoma"/>
            <family val="2"/>
          </rPr>
          <t>Macabacus:</t>
        </r>
        <r>
          <rPr>
            <sz val="9"/>
            <color indexed="81"/>
            <rFont val="Tahoma"/>
            <family val="2"/>
          </rPr>
          <t xml:space="preserve">
Source:  Analyst projections.</t>
        </r>
      </text>
    </comment>
    <comment ref="B147" authorId="0" shapeId="0" xr:uid="{00000000-0006-0000-0100-000018000000}">
      <text>
        <r>
          <rPr>
            <b/>
            <sz val="9"/>
            <color indexed="81"/>
            <rFont val="Tahoma"/>
            <family val="2"/>
          </rPr>
          <t>Macabacus:</t>
        </r>
        <r>
          <rPr>
            <sz val="9"/>
            <color indexed="81"/>
            <rFont val="Tahoma"/>
            <family val="2"/>
          </rPr>
          <t xml:space="preserve">
Does not include stock-based compensation expense.</t>
        </r>
      </text>
    </comment>
    <comment ref="B224" authorId="0" shapeId="0" xr:uid="{00000000-0006-0000-0100-000019000000}">
      <text>
        <r>
          <rPr>
            <b/>
            <sz val="9"/>
            <color indexed="81"/>
            <rFont val="Tahoma"/>
            <family val="2"/>
          </rPr>
          <t>Macabacus:</t>
        </r>
        <r>
          <rPr>
            <sz val="9"/>
            <color indexed="81"/>
            <rFont val="Tahoma"/>
            <family val="2"/>
          </rPr>
          <t xml:space="preserve">
This DTA does not include NOLs.  Any NOLs are reflected in the long-term DTA below.</t>
        </r>
      </text>
    </comment>
    <comment ref="B261" authorId="0" shapeId="0" xr:uid="{00000000-0006-0000-0100-00001A000000}">
      <text>
        <r>
          <rPr>
            <sz val="8"/>
            <color indexed="8"/>
            <rFont val="Tahoma"/>
            <family val="2"/>
          </rPr>
          <t>Under the new FAS 141r accounting rules, effective 12/15/2008, non-controlling interest now resides in the shareholders' equity section of the balance sheet.</t>
        </r>
      </text>
    </comment>
    <comment ref="D350" authorId="0" shapeId="0" xr:uid="{00000000-0006-0000-0100-00001B000000}">
      <text>
        <r>
          <rPr>
            <b/>
            <sz val="9"/>
            <color indexed="81"/>
            <rFont val="Tahoma"/>
            <family val="2"/>
          </rPr>
          <t>Macabacus:</t>
        </r>
        <r>
          <rPr>
            <sz val="9"/>
            <color indexed="81"/>
            <rFont val="Tahoma"/>
            <family val="2"/>
          </rPr>
          <t xml:space="preserve">
1 = Sales, 2 = COGS</t>
        </r>
      </text>
    </comment>
    <comment ref="E382" authorId="0" shapeId="0" xr:uid="{00000000-0006-0000-0100-00001C000000}">
      <text>
        <r>
          <rPr>
            <b/>
            <sz val="9"/>
            <color indexed="81"/>
            <rFont val="Tahoma"/>
            <family val="2"/>
          </rPr>
          <t>Macabacus:</t>
        </r>
        <r>
          <rPr>
            <sz val="9"/>
            <color indexed="81"/>
            <rFont val="Tahoma"/>
            <family val="2"/>
          </rPr>
          <t xml:space="preserve">
Whether you apply the DRD to deferred taxes is a judgement call.  Accountants will generally advise you not to, since companies rarely pay "catch-up" dividends (i.e. they will not likely distribute dividends in the future that were not distributed in the current period).  So, these undistributed dividends would never qualify for the DRD because they are not expected to be distributed in the future.
If you do expect undistributed earnings to be paid out in a future period, then you would apply the DRD to the undistrubted earnings.</t>
        </r>
      </text>
    </comment>
    <comment ref="B667" authorId="0" shapeId="0" xr:uid="{00000000-0006-0000-0100-00001D000000}">
      <text>
        <r>
          <rPr>
            <b/>
            <sz val="9"/>
            <color indexed="81"/>
            <rFont val="Tahoma"/>
            <family val="2"/>
          </rPr>
          <t>Macabacus:</t>
        </r>
        <r>
          <rPr>
            <sz val="9"/>
            <color indexed="81"/>
            <rFont val="Tahoma"/>
            <family val="2"/>
          </rPr>
          <t xml:space="preserve">
This is a plug.  If assumptions are reasonable, this row should go to zero.</t>
        </r>
      </text>
    </comment>
    <comment ref="B711" authorId="0" shapeId="0" xr:uid="{00000000-0006-0000-0100-00001E000000}">
      <text>
        <r>
          <rPr>
            <b/>
            <sz val="9"/>
            <color indexed="81"/>
            <rFont val="Tahoma"/>
            <family val="2"/>
          </rPr>
          <t>Macabacus:</t>
        </r>
        <r>
          <rPr>
            <sz val="9"/>
            <color indexed="81"/>
            <rFont val="Tahoma"/>
            <family val="2"/>
          </rPr>
          <t xml:space="preserve">
Assume same as book depreciation for simplicity and to avoid masking purchase accounting adjustments on a pro forma basis.  This might be a valid assumption if the company has no existing DTA/DTL.</t>
        </r>
      </text>
    </comment>
    <comment ref="B712" authorId="0" shapeId="0" xr:uid="{00000000-0006-0000-0100-00001F000000}">
      <text>
        <r>
          <rPr>
            <b/>
            <sz val="9"/>
            <color indexed="81"/>
            <rFont val="Tahoma"/>
            <family val="2"/>
          </rPr>
          <t>Macabacus:</t>
        </r>
        <r>
          <rPr>
            <sz val="9"/>
            <color indexed="81"/>
            <rFont val="Tahoma"/>
            <family val="2"/>
          </rPr>
          <t xml:space="preserve">
Assume same as book amortization for simplicity and to avoid masking purchase accounting adjustments on a pro forma basis.  This might be a valid assumption if the company has no existing DTA/DTL.</t>
        </r>
      </text>
    </comment>
    <comment ref="B713" authorId="0" shapeId="0" xr:uid="{00000000-0006-0000-0100-000020000000}">
      <text>
        <r>
          <rPr>
            <b/>
            <sz val="9"/>
            <color indexed="81"/>
            <rFont val="Tahoma"/>
            <family val="2"/>
          </rPr>
          <t>Macabacus:</t>
        </r>
        <r>
          <rPr>
            <sz val="9"/>
            <color indexed="81"/>
            <rFont val="Tahoma"/>
            <family val="2"/>
          </rPr>
          <t xml:space="preserve">
Assume same as book for simplicity.</t>
        </r>
      </text>
    </comment>
    <comment ref="B784" authorId="0" shapeId="0" xr:uid="{00000000-0006-0000-0100-000021000000}">
      <text>
        <r>
          <rPr>
            <b/>
            <sz val="9"/>
            <color indexed="81"/>
            <rFont val="Tahoma"/>
            <family val="2"/>
          </rPr>
          <t>Macabacus:</t>
        </r>
        <r>
          <rPr>
            <sz val="9"/>
            <color indexed="81"/>
            <rFont val="Tahoma"/>
            <family val="2"/>
          </rPr>
          <t xml:space="preserve">
Note that we do not tax effect the add-back of preferred dividends.</t>
        </r>
      </text>
    </comment>
    <comment ref="B799" authorId="0" shapeId="0" xr:uid="{00000000-0006-0000-0100-000022000000}">
      <text>
        <r>
          <rPr>
            <b/>
            <sz val="9"/>
            <color indexed="81"/>
            <rFont val="Tahoma"/>
            <family val="2"/>
          </rPr>
          <t>Macabacus:</t>
        </r>
        <r>
          <rPr>
            <sz val="9"/>
            <color indexed="81"/>
            <rFont val="Tahoma"/>
            <family val="2"/>
          </rPr>
          <t xml:space="preserve">
If the security is anti-dilutive, it is not included in the fully diluted share count.  Conversely, if the security is dilutive, it is included in the fully diluted share count.</t>
        </r>
      </text>
    </comment>
    <comment ref="I814" authorId="0" shapeId="0" xr:uid="{00000000-0006-0000-0100-000023000000}">
      <text>
        <r>
          <rPr>
            <b/>
            <sz val="9"/>
            <color indexed="81"/>
            <rFont val="Tahoma"/>
            <family val="2"/>
          </rPr>
          <t>Macabacus:</t>
        </r>
        <r>
          <rPr>
            <sz val="9"/>
            <color indexed="81"/>
            <rFont val="Tahoma"/>
            <family val="2"/>
          </rPr>
          <t xml:space="preserve">
It doesn't matter what the pro forma share count is in the case of an LBO, since there is no relationship between the standalone and pro forma share counts, and the concept of accretion/dilution is NM.  Also, in an LBO, we assume no dividends, so that all cash is used to service debt rather than distributed to shareholders.</t>
        </r>
      </text>
    </comment>
    <comment ref="I815" authorId="0" shapeId="0" xr:uid="{00000000-0006-0000-0100-000024000000}">
      <text>
        <r>
          <rPr>
            <b/>
            <sz val="9"/>
            <color indexed="81"/>
            <rFont val="Tahoma"/>
            <family val="2"/>
          </rPr>
          <t>Macabacus:</t>
        </r>
        <r>
          <rPr>
            <sz val="9"/>
            <color indexed="81"/>
            <rFont val="Tahoma"/>
            <family val="2"/>
          </rPr>
          <t xml:space="preserve">
It doesn't matter what the pro forma share count is in the case of an LBO, since there is no relationship between the standalone and pro forma share counts, and the concept of accretion/dilution is NM.  Also, in an LBO, we assume no dividends, so that all cash is used to service debt rather than distributed to shareholders.</t>
        </r>
      </text>
    </comment>
    <comment ref="B828" authorId="0" shapeId="0" xr:uid="{00000000-0006-0000-0100-000025000000}">
      <text>
        <r>
          <rPr>
            <b/>
            <sz val="9"/>
            <color indexed="81"/>
            <rFont val="Tahoma"/>
            <family val="2"/>
          </rPr>
          <t>Macabacus:</t>
        </r>
        <r>
          <rPr>
            <sz val="9"/>
            <color indexed="81"/>
            <rFont val="Tahoma"/>
            <family val="2"/>
          </rPr>
          <t xml:space="preserve">
This is the size of the revolving credit facility to which the bank has committed.</t>
        </r>
      </text>
    </comment>
    <comment ref="L845" authorId="0" shapeId="0" xr:uid="{00000000-0006-0000-0100-000026000000}">
      <text>
        <r>
          <rPr>
            <b/>
            <sz val="9"/>
            <color indexed="81"/>
            <rFont val="Tahoma"/>
            <family val="2"/>
          </rPr>
          <t>Macabacus:</t>
        </r>
        <r>
          <rPr>
            <sz val="9"/>
            <color indexed="81"/>
            <rFont val="Tahoma"/>
            <family val="2"/>
          </rPr>
          <t xml:space="preserve">
Plug.</t>
        </r>
      </text>
    </comment>
    <comment ref="M845" authorId="0" shapeId="0" xr:uid="{00000000-0006-0000-0100-000027000000}">
      <text>
        <r>
          <rPr>
            <b/>
            <sz val="9"/>
            <color indexed="81"/>
            <rFont val="Tahoma"/>
            <family val="2"/>
          </rPr>
          <t>Macabacus:</t>
        </r>
        <r>
          <rPr>
            <sz val="9"/>
            <color indexed="81"/>
            <rFont val="Tahoma"/>
            <family val="2"/>
          </rPr>
          <t xml:space="preserve">
Plug.</t>
        </r>
      </text>
    </comment>
    <comment ref="N845" authorId="0" shapeId="0" xr:uid="{00000000-0006-0000-0100-000028000000}">
      <text>
        <r>
          <rPr>
            <b/>
            <sz val="9"/>
            <color indexed="81"/>
            <rFont val="Tahoma"/>
            <family val="2"/>
          </rPr>
          <t>Macabacus:</t>
        </r>
        <r>
          <rPr>
            <sz val="9"/>
            <color indexed="81"/>
            <rFont val="Tahoma"/>
            <family val="2"/>
          </rPr>
          <t xml:space="preserve">
Plug.</t>
        </r>
      </text>
    </comment>
    <comment ref="B848" authorId="0" shapeId="0" xr:uid="{00000000-0006-0000-0100-000029000000}">
      <text>
        <r>
          <rPr>
            <b/>
            <sz val="9"/>
            <color indexed="81"/>
            <rFont val="Tahoma"/>
            <family val="2"/>
          </rPr>
          <t>Macabacus:</t>
        </r>
        <r>
          <rPr>
            <sz val="9"/>
            <color indexed="81"/>
            <rFont val="Tahoma"/>
            <family val="2"/>
          </rPr>
          <t xml:space="preserve">
Assume that tax refund is received immediately, so as to avoid managing a tax receivable current asset.  This is consistent with the methodology used in the transaction balance sheet.</t>
        </r>
      </text>
    </comment>
    <comment ref="J855" authorId="0" shapeId="0" xr:uid="{00000000-0006-0000-0100-00002A000000}">
      <text>
        <r>
          <rPr>
            <b/>
            <sz val="9"/>
            <color indexed="81"/>
            <rFont val="Tahoma"/>
            <family val="2"/>
          </rPr>
          <t>Macabacus:</t>
        </r>
        <r>
          <rPr>
            <sz val="9"/>
            <color indexed="81"/>
            <rFont val="Tahoma"/>
            <family val="2"/>
          </rPr>
          <t xml:space="preserve">
Plug.</t>
        </r>
      </text>
    </comment>
    <comment ref="K855" authorId="0" shapeId="0" xr:uid="{00000000-0006-0000-0100-00002B000000}">
      <text>
        <r>
          <rPr>
            <b/>
            <sz val="9"/>
            <color indexed="81"/>
            <rFont val="Tahoma"/>
            <family val="2"/>
          </rPr>
          <t>Macabacus:</t>
        </r>
        <r>
          <rPr>
            <sz val="9"/>
            <color indexed="81"/>
            <rFont val="Tahoma"/>
            <family val="2"/>
          </rPr>
          <t xml:space="preserve">
Plug.</t>
        </r>
      </text>
    </comment>
    <comment ref="B863" authorId="0" shapeId="0" xr:uid="{00000000-0006-0000-0100-00002C000000}">
      <text>
        <r>
          <rPr>
            <b/>
            <sz val="9"/>
            <color indexed="81"/>
            <rFont val="Tahoma"/>
            <family val="2"/>
          </rPr>
          <t>Macabacus:</t>
        </r>
        <r>
          <rPr>
            <sz val="9"/>
            <color indexed="81"/>
            <rFont val="Tahoma"/>
            <family val="2"/>
          </rPr>
          <t xml:space="preserve">
Includes M&amp;A, legal, and other advisory fees.  Unlike financing fees, which are either capitalized (debt) or reduce APIC (preferred), these fees are expensed at close.</t>
        </r>
      </text>
    </comment>
    <comment ref="L877" authorId="0" shapeId="0" xr:uid="{00000000-0006-0000-0100-00002D000000}">
      <text>
        <r>
          <rPr>
            <b/>
            <sz val="9"/>
            <color indexed="81"/>
            <rFont val="Tahoma"/>
            <family val="2"/>
          </rPr>
          <t>Macabacus:</t>
        </r>
        <r>
          <rPr>
            <sz val="9"/>
            <color indexed="81"/>
            <rFont val="Tahoma"/>
            <family val="2"/>
          </rPr>
          <t xml:space="preserve">
For the revolver, since the revolver does not amortize, use the period over which the bank has committed the funds.</t>
        </r>
      </text>
    </comment>
    <comment ref="M877" authorId="0" shapeId="0" xr:uid="{00000000-0006-0000-0100-00002E000000}">
      <text>
        <r>
          <rPr>
            <b/>
            <sz val="9"/>
            <color indexed="81"/>
            <rFont val="Tahoma"/>
            <family val="2"/>
          </rPr>
          <t>Macabacus:</t>
        </r>
        <r>
          <rPr>
            <sz val="9"/>
            <color indexed="81"/>
            <rFont val="Tahoma"/>
            <family val="2"/>
          </rPr>
          <t xml:space="preserve">
The issuance fee on debt instruments is capitalized.</t>
        </r>
      </text>
    </comment>
    <comment ref="N877" authorId="0" shapeId="0" xr:uid="{00000000-0006-0000-0100-00002F000000}">
      <text>
        <r>
          <rPr>
            <b/>
            <sz val="9"/>
            <color indexed="81"/>
            <rFont val="Tahoma"/>
            <family val="2"/>
          </rPr>
          <t>Macabacus:</t>
        </r>
        <r>
          <rPr>
            <sz val="9"/>
            <color indexed="81"/>
            <rFont val="Tahoma"/>
            <family val="2"/>
          </rPr>
          <t xml:space="preserve">
The issuance fee on preferred and common stock is netted against proceeds and is reflected as a reduction in APIC.</t>
        </r>
      </text>
    </comment>
    <comment ref="O877" authorId="0" shapeId="0" xr:uid="{00000000-0006-0000-0100-000030000000}">
      <text>
        <r>
          <rPr>
            <b/>
            <sz val="9"/>
            <color indexed="81"/>
            <rFont val="Tahoma"/>
            <family val="2"/>
          </rPr>
          <t>Macabacus:</t>
        </r>
        <r>
          <rPr>
            <sz val="9"/>
            <color indexed="81"/>
            <rFont val="Tahoma"/>
            <family val="2"/>
          </rPr>
          <t xml:space="preserve">
Enter zero for floating rates.</t>
        </r>
      </text>
    </comment>
    <comment ref="P877" authorId="0" shapeId="0" xr:uid="{00000000-0006-0000-0100-000031000000}">
      <text>
        <r>
          <rPr>
            <b/>
            <sz val="9"/>
            <color indexed="81"/>
            <rFont val="Tahoma"/>
            <family val="2"/>
          </rPr>
          <t>Macabacus:</t>
        </r>
        <r>
          <rPr>
            <sz val="9"/>
            <color indexed="81"/>
            <rFont val="Tahoma"/>
            <family val="2"/>
          </rPr>
          <t xml:space="preserve">
Enter zero for fixed rates.</t>
        </r>
      </text>
    </comment>
    <comment ref="Q877" authorId="0" shapeId="0" xr:uid="{00000000-0006-0000-0100-000032000000}">
      <text>
        <r>
          <rPr>
            <b/>
            <sz val="9"/>
            <color indexed="81"/>
            <rFont val="Tahoma"/>
            <family val="2"/>
          </rPr>
          <t>Macacbacus:</t>
        </r>
        <r>
          <rPr>
            <sz val="9"/>
            <color indexed="81"/>
            <rFont val="Tahoma"/>
            <family val="2"/>
          </rPr>
          <t xml:space="preserve">
Revolver and preferred have no scheduled amortization.</t>
        </r>
      </text>
    </comment>
    <comment ref="R877" authorId="0" shapeId="0" xr:uid="{00000000-0006-0000-0100-000033000000}">
      <text>
        <r>
          <rPr>
            <b/>
            <sz val="9"/>
            <color indexed="81"/>
            <rFont val="Tahoma"/>
            <family val="2"/>
          </rPr>
          <t>Macabacus:</t>
        </r>
        <r>
          <rPr>
            <sz val="9"/>
            <color indexed="81"/>
            <rFont val="Tahoma"/>
            <family val="2"/>
          </rPr>
          <t xml:space="preserve">
This is the year in which the debt (or majority of the debt) must be repaid.</t>
        </r>
      </text>
    </comment>
    <comment ref="S877" authorId="0" shapeId="0" xr:uid="{00000000-0006-0000-0100-000034000000}">
      <text>
        <r>
          <rPr>
            <b/>
            <sz val="9"/>
            <color indexed="81"/>
            <rFont val="Tahoma"/>
            <family val="2"/>
          </rPr>
          <t>Macabacus:</t>
        </r>
        <r>
          <rPr>
            <sz val="9"/>
            <color indexed="81"/>
            <rFont val="Tahoma"/>
            <family val="2"/>
          </rPr>
          <t xml:space="preserve">
Assume 100% for revolver.</t>
        </r>
      </text>
    </comment>
    <comment ref="M880" authorId="0" shapeId="0" xr:uid="{00000000-0006-0000-0100-000035000000}">
      <text>
        <r>
          <rPr>
            <b/>
            <sz val="9"/>
            <color indexed="81"/>
            <rFont val="Tahoma"/>
            <family val="2"/>
          </rPr>
          <t>Macabacus:</t>
        </r>
        <r>
          <rPr>
            <sz val="9"/>
            <color indexed="81"/>
            <rFont val="Tahoma"/>
            <family val="2"/>
          </rPr>
          <t xml:space="preserve">
The revolver financing fee is based on the size of the facility, not the balance drawn.</t>
        </r>
      </text>
    </comment>
    <comment ref="F907" authorId="0" shapeId="0" xr:uid="{00000000-0006-0000-0100-000036000000}">
      <text>
        <r>
          <rPr>
            <b/>
            <sz val="9"/>
            <color indexed="81"/>
            <rFont val="Tahoma"/>
            <family val="2"/>
          </rPr>
          <t>Macabacus:</t>
        </r>
        <r>
          <rPr>
            <sz val="9"/>
            <color indexed="81"/>
            <rFont val="Tahoma"/>
            <family val="2"/>
          </rPr>
          <t xml:space="preserve">
Only write off purchase accounting-related intangibles.  For our purposes, we assume that only goodwill falls into this category.</t>
        </r>
      </text>
    </comment>
    <comment ref="L911" authorId="0" shapeId="0" xr:uid="{00000000-0006-0000-0100-000037000000}">
      <text>
        <r>
          <rPr>
            <b/>
            <sz val="9"/>
            <color indexed="81"/>
            <rFont val="Tahoma"/>
            <family val="2"/>
          </rPr>
          <t>Macabacus:</t>
        </r>
        <r>
          <rPr>
            <sz val="9"/>
            <color indexed="81"/>
            <rFont val="Tahoma"/>
            <family val="2"/>
          </rPr>
          <t xml:space="preserve">
Assume income tax receivable from expenses booked at close is immediately recognized as a cash tax refund.</t>
        </r>
      </text>
    </comment>
    <comment ref="M911" authorId="0" shapeId="0" xr:uid="{00000000-0006-0000-0100-000038000000}">
      <text>
        <r>
          <rPr>
            <b/>
            <sz val="9"/>
            <color indexed="81"/>
            <rFont val="Tahoma"/>
            <family val="2"/>
          </rPr>
          <t>Macabacus:</t>
        </r>
        <r>
          <rPr>
            <sz val="9"/>
            <color indexed="81"/>
            <rFont val="Tahoma"/>
            <family val="2"/>
          </rPr>
          <t xml:space="preserve">
Assume income tax receivable from expenses booked at close is immediately recognized as a cash tax refund.</t>
        </r>
      </text>
    </comment>
    <comment ref="N911" authorId="0" shapeId="0" xr:uid="{00000000-0006-0000-0100-000039000000}">
      <text>
        <r>
          <rPr>
            <b/>
            <sz val="9"/>
            <color indexed="81"/>
            <rFont val="Tahoma"/>
            <family val="2"/>
          </rPr>
          <t>Macabacus:</t>
        </r>
        <r>
          <rPr>
            <sz val="9"/>
            <color indexed="81"/>
            <rFont val="Tahoma"/>
            <family val="2"/>
          </rPr>
          <t xml:space="preserve">
Includes new debt, preferred stock, and sponsor equity.</t>
        </r>
      </text>
    </comment>
    <comment ref="M948" authorId="0" shapeId="0" xr:uid="{00000000-0006-0000-0100-00003A000000}">
      <text>
        <r>
          <rPr>
            <b/>
            <sz val="9"/>
            <color indexed="81"/>
            <rFont val="Tahoma"/>
            <family val="2"/>
          </rPr>
          <t>Macabacus:</t>
        </r>
        <r>
          <rPr>
            <sz val="9"/>
            <color indexed="81"/>
            <rFont val="Tahoma"/>
            <family val="2"/>
          </rPr>
          <t xml:space="preserve">
Reverse any DTA/DTL resulting from marking debt to face value if the debt is converted or repaid at close.</t>
        </r>
      </text>
    </comment>
    <comment ref="N948" authorId="0" shapeId="0" xr:uid="{00000000-0006-0000-0100-00003B000000}">
      <text>
        <r>
          <rPr>
            <b/>
            <sz val="9"/>
            <color indexed="81"/>
            <rFont val="Tahoma"/>
            <family val="2"/>
          </rPr>
          <t>Macabacus:</t>
        </r>
        <r>
          <rPr>
            <sz val="9"/>
            <color indexed="81"/>
            <rFont val="Tahoma"/>
            <family val="2"/>
          </rPr>
          <t xml:space="preserve">
DTL related to capitalized financing costs.  The DTL arises because these costs are capitalized for book purposes, but not tax purposes.</t>
        </r>
      </text>
    </comment>
    <comment ref="N952" authorId="0" shapeId="0" xr:uid="{00000000-0006-0000-0100-00003C000000}">
      <text>
        <r>
          <rPr>
            <b/>
            <sz val="9"/>
            <color indexed="81"/>
            <rFont val="Tahoma"/>
            <family val="2"/>
          </rPr>
          <t>Macabacus:</t>
        </r>
        <r>
          <rPr>
            <sz val="9"/>
            <color indexed="81"/>
            <rFont val="Tahoma"/>
            <family val="2"/>
          </rPr>
          <t xml:space="preserve">
Face amount less any OID.</t>
        </r>
      </text>
    </comment>
    <comment ref="N953" authorId="0" shapeId="0" xr:uid="{00000000-0006-0000-0100-00003D000000}">
      <text>
        <r>
          <rPr>
            <b/>
            <sz val="9"/>
            <color indexed="81"/>
            <rFont val="Tahoma"/>
            <family val="2"/>
          </rPr>
          <t>Macabacus:</t>
        </r>
        <r>
          <rPr>
            <sz val="9"/>
            <color indexed="81"/>
            <rFont val="Tahoma"/>
            <family val="2"/>
          </rPr>
          <t xml:space="preserve">
Face amount less any OID.</t>
        </r>
      </text>
    </comment>
    <comment ref="J955" authorId="0" shapeId="0" xr:uid="{00000000-0006-0000-0100-00003E000000}">
      <text>
        <r>
          <rPr>
            <b/>
            <sz val="9"/>
            <color indexed="81"/>
            <rFont val="Tahoma"/>
            <family val="2"/>
          </rPr>
          <t>Macabacus:</t>
        </r>
        <r>
          <rPr>
            <sz val="9"/>
            <color indexed="81"/>
            <rFont val="Tahoma"/>
            <family val="2"/>
          </rPr>
          <t xml:space="preserve">
Includes APIC from any conversion of legacy convertible debt or preferred stock.</t>
        </r>
      </text>
    </comment>
    <comment ref="N955" authorId="0" shapeId="0" xr:uid="{00000000-0006-0000-0100-00003F000000}">
      <text>
        <r>
          <rPr>
            <b/>
            <sz val="9"/>
            <color indexed="81"/>
            <rFont val="Tahoma"/>
            <family val="2"/>
          </rPr>
          <t>Macabacus:</t>
        </r>
        <r>
          <rPr>
            <sz val="9"/>
            <color indexed="81"/>
            <rFont val="Tahoma"/>
            <family val="2"/>
          </rPr>
          <t xml:space="preserve">
Sponsor equity less after-tax fees on any preferred stock issuance.  Preferred stock financing fees reduce APIC.</t>
        </r>
      </text>
    </comment>
    <comment ref="L956" authorId="0" shapeId="0" xr:uid="{00000000-0006-0000-0100-000040000000}">
      <text>
        <r>
          <rPr>
            <b/>
            <sz val="9"/>
            <color indexed="81"/>
            <rFont val="Tahoma"/>
            <family val="2"/>
          </rPr>
          <t>Macabacus:</t>
        </r>
        <r>
          <rPr>
            <sz val="9"/>
            <color indexed="81"/>
            <rFont val="Tahoma"/>
            <family val="2"/>
          </rPr>
          <t xml:space="preserve">
After-tax transaction costs expensed at close.</t>
        </r>
      </text>
    </comment>
    <comment ref="M956" authorId="0" shapeId="0" xr:uid="{00000000-0006-0000-0100-000041000000}">
      <text>
        <r>
          <rPr>
            <b/>
            <sz val="9"/>
            <color indexed="81"/>
            <rFont val="Tahoma"/>
            <family val="2"/>
          </rPr>
          <t>Macabacus:</t>
        </r>
        <r>
          <rPr>
            <sz val="9"/>
            <color indexed="81"/>
            <rFont val="Tahoma"/>
            <family val="2"/>
          </rPr>
          <t xml:space="preserve">
After-tax prepayment penalties expensed at close.</t>
        </r>
      </text>
    </comment>
    <comment ref="B1015" authorId="0" shapeId="0" xr:uid="{00000000-0006-0000-0100-000042000000}">
      <text>
        <r>
          <rPr>
            <b/>
            <sz val="9"/>
            <color indexed="81"/>
            <rFont val="Tahoma"/>
            <family val="2"/>
          </rPr>
          <t>Macabacus:</t>
        </r>
        <r>
          <rPr>
            <sz val="9"/>
            <color indexed="81"/>
            <rFont val="Tahoma"/>
            <family val="2"/>
          </rPr>
          <t xml:space="preserve">
Includes any PIK accrual.</t>
        </r>
      </text>
    </comment>
    <comment ref="B1027" authorId="0" shapeId="0" xr:uid="{00000000-0006-0000-0100-000043000000}">
      <text>
        <r>
          <rPr>
            <b/>
            <sz val="9"/>
            <color indexed="81"/>
            <rFont val="Tahoma"/>
            <family val="2"/>
          </rPr>
          <t>Macabacus:</t>
        </r>
        <r>
          <rPr>
            <sz val="9"/>
            <color indexed="81"/>
            <rFont val="Tahoma"/>
            <family val="2"/>
          </rPr>
          <t xml:space="preserve">
Includes any PIK accrual.</t>
        </r>
      </text>
    </comment>
    <comment ref="B1038" authorId="0" shapeId="0" xr:uid="{00000000-0006-0000-0100-000044000000}">
      <text>
        <r>
          <rPr>
            <b/>
            <sz val="9"/>
            <color indexed="81"/>
            <rFont val="Tahoma"/>
            <family val="2"/>
          </rPr>
          <t>Macabacus:</t>
        </r>
        <r>
          <rPr>
            <sz val="9"/>
            <color indexed="81"/>
            <rFont val="Tahoma"/>
            <family val="2"/>
          </rPr>
          <t xml:space="preserve">
Includes any PIK accrual.</t>
        </r>
      </text>
    </comment>
    <comment ref="B1049" authorId="0" shapeId="0" xr:uid="{00000000-0006-0000-0100-000045000000}">
      <text>
        <r>
          <rPr>
            <b/>
            <sz val="9"/>
            <color indexed="81"/>
            <rFont val="Tahoma"/>
            <family val="2"/>
          </rPr>
          <t>Macabacus:</t>
        </r>
        <r>
          <rPr>
            <sz val="9"/>
            <color indexed="81"/>
            <rFont val="Tahoma"/>
            <family val="2"/>
          </rPr>
          <t xml:space="preserve">
Includes any PIK accrual.</t>
        </r>
      </text>
    </comment>
  </commentList>
</comments>
</file>

<file path=xl/sharedStrings.xml><?xml version="1.0" encoding="utf-8"?>
<sst xmlns="http://schemas.openxmlformats.org/spreadsheetml/2006/main" count="845" uniqueCount="586">
  <si>
    <t>($ in millions, except per share data)</t>
  </si>
  <si>
    <t>NA</t>
  </si>
  <si>
    <t>Number of</t>
  </si>
  <si>
    <t>Average</t>
  </si>
  <si>
    <t>Treasury</t>
  </si>
  <si>
    <t>Strike</t>
  </si>
  <si>
    <t>Shares</t>
  </si>
  <si>
    <t>Tranche 1</t>
  </si>
  <si>
    <t>Tranche 2</t>
  </si>
  <si>
    <t>Tranche 3</t>
  </si>
  <si>
    <t>Tranche 4</t>
  </si>
  <si>
    <t>Tranche 5</t>
  </si>
  <si>
    <t>Tranche 6</t>
  </si>
  <si>
    <t>Tranche 7</t>
  </si>
  <si>
    <t>Tranche 8</t>
  </si>
  <si>
    <t>Tranche 9</t>
  </si>
  <si>
    <t>Tranche 10</t>
  </si>
  <si>
    <t>Total</t>
  </si>
  <si>
    <t>EBITDA</t>
  </si>
  <si>
    <t>Options</t>
  </si>
  <si>
    <t>Pro Forma</t>
  </si>
  <si>
    <t>Financing</t>
  </si>
  <si>
    <t>Assets</t>
  </si>
  <si>
    <t>Revolver</t>
  </si>
  <si>
    <t>COGS</t>
  </si>
  <si>
    <t>SG&amp;A</t>
  </si>
  <si>
    <t>EBIT</t>
  </si>
  <si>
    <t>EBITA</t>
  </si>
  <si>
    <t>Capex</t>
  </si>
  <si>
    <t>Depreciation</t>
  </si>
  <si>
    <t>Amortization</t>
  </si>
  <si>
    <t>% of</t>
  </si>
  <si>
    <t>Mult. of</t>
  </si>
  <si>
    <t>Sources of Funds</t>
  </si>
  <si>
    <t>Mezzanine</t>
  </si>
  <si>
    <t>Metric</t>
  </si>
  <si>
    <t>Multiple</t>
  </si>
  <si>
    <t>Preferred</t>
  </si>
  <si>
    <t>LTM Sales</t>
  </si>
  <si>
    <t>Preferred Stock - A</t>
  </si>
  <si>
    <t>Preferred Stock - B</t>
  </si>
  <si>
    <t>LTM EBITDA</t>
  </si>
  <si>
    <t>Uses of Funds</t>
  </si>
  <si>
    <t>Calendarization / Timing</t>
  </si>
  <si>
    <t>Summary Credit Statistics</t>
  </si>
  <si>
    <t>Other Switches / Assumptions</t>
  </si>
  <si>
    <t>LTM</t>
  </si>
  <si>
    <t>Leverage Statistics</t>
  </si>
  <si>
    <t>Interest Coverage</t>
  </si>
  <si>
    <t>Closing</t>
  </si>
  <si>
    <t>Debt Summary</t>
  </si>
  <si>
    <t>Returns</t>
  </si>
  <si>
    <t>Working Capital Assumptions</t>
  </si>
  <si>
    <t>Pre-Deal</t>
  </si>
  <si>
    <t>Equity Value Calculation</t>
  </si>
  <si>
    <t>Cash Flows to Contributors of Capital</t>
  </si>
  <si>
    <t>Income Statement</t>
  </si>
  <si>
    <t>Net Sales</t>
  </si>
  <si>
    <t>Amortization of Capitalized Financing Costs</t>
  </si>
  <si>
    <t>Historical</t>
  </si>
  <si>
    <t>Sales</t>
  </si>
  <si>
    <t>Balance Sheet</t>
  </si>
  <si>
    <t>Inventories</t>
  </si>
  <si>
    <t>PP&amp;E, gross</t>
  </si>
  <si>
    <t>PP&amp;E, net</t>
  </si>
  <si>
    <t>Goodwill, net</t>
  </si>
  <si>
    <t>Liabilities &amp; Shareholders' Equity</t>
  </si>
  <si>
    <t>Cash Flow Statement</t>
  </si>
  <si>
    <t>Operating Activities</t>
  </si>
  <si>
    <t>Investing Activities</t>
  </si>
  <si>
    <t>Financing Activities</t>
  </si>
  <si>
    <t>Debt Schedule</t>
  </si>
  <si>
    <t>Balance</t>
  </si>
  <si>
    <t>PP&amp;E</t>
  </si>
  <si>
    <t>Depreciation of Capital Expenditures</t>
  </si>
  <si>
    <t>Financing Scenarios</t>
  </si>
  <si>
    <t>Case</t>
  </si>
  <si>
    <t>Description</t>
  </si>
  <si>
    <t>No deal</t>
  </si>
  <si>
    <t>Refi A</t>
  </si>
  <si>
    <t>Refi B</t>
  </si>
  <si>
    <t>LBO A</t>
  </si>
  <si>
    <t>LBO B</t>
  </si>
  <si>
    <t>LBO C</t>
  </si>
  <si>
    <t>LBO?</t>
  </si>
  <si>
    <t>Accounting</t>
  </si>
  <si>
    <t>Model Detail</t>
  </si>
  <si>
    <t>www.macacbacus.com</t>
  </si>
  <si>
    <t>Equity purchase price</t>
  </si>
  <si>
    <t>Excess purchase price to allocate</t>
  </si>
  <si>
    <t>Goodwill created</t>
  </si>
  <si>
    <t>Model created / modified by:</t>
  </si>
  <si>
    <t>Minority interest</t>
  </si>
  <si>
    <t>Convertible debt</t>
  </si>
  <si>
    <t>Non-convertible debt</t>
  </si>
  <si>
    <t>Total debt and minority interest</t>
  </si>
  <si>
    <t>( – ) Cash &amp; cash equivalents</t>
  </si>
  <si>
    <t>Net debt</t>
  </si>
  <si>
    <t>Face value</t>
  </si>
  <si>
    <t>Convertible shares</t>
  </si>
  <si>
    <t>Sources and uses balance</t>
  </si>
  <si>
    <t>Balance sheet balances</t>
  </si>
  <si>
    <t>Error message</t>
  </si>
  <si>
    <t>Pro forma enterprise value</t>
  </si>
  <si>
    <t>( + ) In-the-money convertible shares</t>
  </si>
  <si>
    <t>Basic shares outstanding (BSO)</t>
  </si>
  <si>
    <t>Fully diluted shares outstanding (FDSO)</t>
  </si>
  <si>
    <t>Offer price per share</t>
  </si>
  <si>
    <t>Sales growth</t>
  </si>
  <si>
    <t>COGS / sales</t>
  </si>
  <si>
    <t>SG&amp;A / sales</t>
  </si>
  <si>
    <t>EBITDA margin</t>
  </si>
  <si>
    <t>EBITA margin</t>
  </si>
  <si>
    <t>Stock-based compensation / sales</t>
  </si>
  <si>
    <t>EBIT margin</t>
  </si>
  <si>
    <t>Debt assumed</t>
  </si>
  <si>
    <t>GAAP net margin</t>
  </si>
  <si>
    <t>Other (income) / expense</t>
  </si>
  <si>
    <t>Income before tax</t>
  </si>
  <si>
    <t>Amortization of capitalized financing costs</t>
  </si>
  <si>
    <t>Interest expense</t>
  </si>
  <si>
    <t>Stock-based compensation</t>
  </si>
  <si>
    <t>Cash &amp; equivalents</t>
  </si>
  <si>
    <t>Accounts receivable</t>
  </si>
  <si>
    <t>Prepaid expenses &amp; other</t>
  </si>
  <si>
    <t>Total current assets</t>
  </si>
  <si>
    <t>( – ) Accumluated depreciation</t>
  </si>
  <si>
    <t>Short-term debt</t>
  </si>
  <si>
    <t>Accounts payable</t>
  </si>
  <si>
    <t>Accrued liabilities</t>
  </si>
  <si>
    <t>Client deposits</t>
  </si>
  <si>
    <t>Other current liabilities</t>
  </si>
  <si>
    <t>Total current liabilities</t>
  </si>
  <si>
    <t>Noncontrolling (minority) interest</t>
  </si>
  <si>
    <t>Retained earnings</t>
  </si>
  <si>
    <t>Total shareholders' equity</t>
  </si>
  <si>
    <t>Liabilities &amp; shareholders' equity</t>
  </si>
  <si>
    <t>Total debt</t>
  </si>
  <si>
    <t>Existing LT debt (excl. current portion)</t>
  </si>
  <si>
    <t>Other long-term liabilities</t>
  </si>
  <si>
    <t>Capital leases</t>
  </si>
  <si>
    <t>Net working capital</t>
  </si>
  <si>
    <t>Amortization of intangibles</t>
  </si>
  <si>
    <t>Income statement adjustments</t>
  </si>
  <si>
    <t>(Increase) / decrease in working capital</t>
  </si>
  <si>
    <t>Balance sheet adjustments</t>
  </si>
  <si>
    <t>Cash flow from operating activities</t>
  </si>
  <si>
    <t>Capital expenditures</t>
  </si>
  <si>
    <t>Proceeds from the sale of assets</t>
  </si>
  <si>
    <t>Cash flow from investing activities</t>
  </si>
  <si>
    <t>Cash flow from financing activities</t>
  </si>
  <si>
    <t>Change in cash</t>
  </si>
  <si>
    <t>Cash flow available for debt repayment</t>
  </si>
  <si>
    <t>Assumed debt</t>
  </si>
  <si>
    <t>( – ) Minimum cash balance</t>
  </si>
  <si>
    <t>Beginning cash balance</t>
  </si>
  <si>
    <t>Excess cash / (cash deficit)</t>
  </si>
  <si>
    <t>Optional debt repayment</t>
  </si>
  <si>
    <t>Check that balance sheet balances</t>
  </si>
  <si>
    <t>Gross margin</t>
  </si>
  <si>
    <t>Tax rate</t>
  </si>
  <si>
    <t>Gross profit</t>
  </si>
  <si>
    <t>Capex / sales</t>
  </si>
  <si>
    <t>MRQ date</t>
  </si>
  <si>
    <t>Market date</t>
  </si>
  <si>
    <t>MRQ</t>
  </si>
  <si>
    <t>at Close</t>
  </si>
  <si>
    <t>Quarterly Rollforward</t>
  </si>
  <si>
    <t>Working Capital Drivers</t>
  </si>
  <si>
    <t>Equity investments</t>
  </si>
  <si>
    <t>Capitalized financing costs</t>
  </si>
  <si>
    <t>Intangible assets, net</t>
  </si>
  <si>
    <t>Operating rights, net</t>
  </si>
  <si>
    <t>Other long-term assets</t>
  </si>
  <si>
    <t>Total assets</t>
  </si>
  <si>
    <t>Total liabilities</t>
  </si>
  <si>
    <t>Check that sources equal uses</t>
  </si>
  <si>
    <t>( – ) Cash</t>
  </si>
  <si>
    <t>Increase / (decrease) in working capital</t>
  </si>
  <si>
    <t>Subordinated debt</t>
  </si>
  <si>
    <t>Preferred stock</t>
  </si>
  <si>
    <t>Preferred dividends</t>
  </si>
  <si>
    <t>Cash interest expense</t>
  </si>
  <si>
    <t>Close date</t>
  </si>
  <si>
    <t>GAAP accretion / (dilution) ($)</t>
  </si>
  <si>
    <t>GAAP accretion / (dilution) (%)</t>
  </si>
  <si>
    <t>Last FYE</t>
  </si>
  <si>
    <t>Next FYE after transaction close</t>
  </si>
  <si>
    <t>MRQ+1</t>
  </si>
  <si>
    <t>MRQ+2</t>
  </si>
  <si>
    <t>MRQ+3</t>
  </si>
  <si>
    <t>Total optional debt repayment</t>
  </si>
  <si>
    <t>Total annual amortization</t>
  </si>
  <si>
    <t>Useful life (yrs)</t>
  </si>
  <si>
    <t>Salvage value</t>
  </si>
  <si>
    <t>FDSO</t>
  </si>
  <si>
    <t>Close</t>
  </si>
  <si>
    <t>Depreciation (straight-line)</t>
  </si>
  <si>
    <t>Depreciation of existing fixed assets</t>
  </si>
  <si>
    <t>Depreciation of capex</t>
  </si>
  <si>
    <t>Depreciation / sales</t>
  </si>
  <si>
    <t>($ in millions)</t>
  </si>
  <si>
    <t>Amortization / sales</t>
  </si>
  <si>
    <t>Undrawn revolver balance</t>
  </si>
  <si>
    <t>Undrawn commitment fee</t>
  </si>
  <si>
    <t>Purchase price</t>
  </si>
  <si>
    <t>Deferred tax asset, current</t>
  </si>
  <si>
    <t>Net Working Capital</t>
  </si>
  <si>
    <t>Non-debt current liabilities</t>
  </si>
  <si>
    <t>Non-cash current assets</t>
  </si>
  <si>
    <t>Transaction DTL</t>
  </si>
  <si>
    <t>Transaction DTA</t>
  </si>
  <si>
    <t>[Asset 3]</t>
  </si>
  <si>
    <t>[Liability 1]</t>
  </si>
  <si>
    <t>[Liability 2]</t>
  </si>
  <si>
    <t>Identifiable intangibles</t>
  </si>
  <si>
    <t>[Liability 3]</t>
  </si>
  <si>
    <t>Purchase Price Allocation</t>
  </si>
  <si>
    <t>( – ) Book value</t>
  </si>
  <si>
    <t>( – ) Book value adjustments</t>
  </si>
  <si>
    <t>Write off existing goodwill</t>
  </si>
  <si>
    <t>Fair value adjustments</t>
  </si>
  <si>
    <t>( + ) Bargain purchase gain</t>
  </si>
  <si>
    <t>Excess purchase price after allocation</t>
  </si>
  <si>
    <t>Valuation</t>
  </si>
  <si>
    <t>Offer premium to market</t>
  </si>
  <si>
    <t>Current stock price</t>
  </si>
  <si>
    <t>Average interest?</t>
  </si>
  <si>
    <t>( + ) Net debt</t>
  </si>
  <si>
    <t>Scheduled Debt Amortization</t>
  </si>
  <si>
    <t>Excess cash</t>
  </si>
  <si>
    <t>Seller note</t>
  </si>
  <si>
    <t>Subordinated note</t>
  </si>
  <si>
    <t>Term loan - A</t>
  </si>
  <si>
    <t>Term loan - B</t>
  </si>
  <si>
    <t>Preferred stock - A</t>
  </si>
  <si>
    <t>Preferred stock - B</t>
  </si>
  <si>
    <t>Senior note</t>
  </si>
  <si>
    <t>Minimum cash balance</t>
  </si>
  <si>
    <t>Identifiable intangible asset amortization / accretion schedule</t>
  </si>
  <si>
    <t>Identifiable intangible asset amortization period (yrs)</t>
  </si>
  <si>
    <t>EBITDA multiple method</t>
  </si>
  <si>
    <t>( x ) Forward EBITDA multiple</t>
  </si>
  <si>
    <t>( – ) Net debt</t>
  </si>
  <si>
    <t>Equity value used in calculating equity returns</t>
  </si>
  <si>
    <t>Tax Schedules</t>
  </si>
  <si>
    <t>( x ) Forward P/E multiple</t>
  </si>
  <si>
    <t>GAAP P/E multiple method</t>
  </si>
  <si>
    <t>Exit year</t>
  </si>
  <si>
    <t>Exit Assumptions</t>
  </si>
  <si>
    <t>Total equity value</t>
  </si>
  <si>
    <t>Enterprise value</t>
  </si>
  <si>
    <t>GAAP net income</t>
  </si>
  <si>
    <t>Initial investment</t>
  </si>
  <si>
    <t>Cash interest payments</t>
  </si>
  <si>
    <t>Equity participation at exit</t>
  </si>
  <si>
    <t>Total cash flows</t>
  </si>
  <si>
    <t>Cash dividends</t>
  </si>
  <si>
    <t>Management performance equity</t>
  </si>
  <si>
    <t>Sponsor equity</t>
  </si>
  <si>
    <t>Sponsor fee</t>
  </si>
  <si>
    <t>Total sources</t>
  </si>
  <si>
    <t>Total uses</t>
  </si>
  <si>
    <t>Refinance debt</t>
  </si>
  <si>
    <t>Fund cash balance</t>
  </si>
  <si>
    <t>Existing debt</t>
  </si>
  <si>
    <t>[Debt 8]</t>
  </si>
  <si>
    <t>LIBOR</t>
  </si>
  <si>
    <t>Interest Rates</t>
  </si>
  <si>
    <t>Spread to</t>
  </si>
  <si>
    <t>Cash</t>
  </si>
  <si>
    <t>Model Checks</t>
  </si>
  <si>
    <t>( + ) Depreciation of new fixed assets</t>
  </si>
  <si>
    <t>Standalone depreciation expense</t>
  </si>
  <si>
    <t>Pro forma depreciation expense</t>
  </si>
  <si>
    <t>Standalone amortization expense</t>
  </si>
  <si>
    <t>Pro forma amortization expense</t>
  </si>
  <si>
    <t>Total GAAP Amortization</t>
  </si>
  <si>
    <t>Identifiable intangible asset write-up / (down) – beginning</t>
  </si>
  <si>
    <t>Identifiable intangible asset write-up / (down) – ending</t>
  </si>
  <si>
    <t>Total GAAP Depreciation</t>
  </si>
  <si>
    <t>GAAP Depreciation of Fixed Asset Write-ups</t>
  </si>
  <si>
    <t>GAAP Amortization of Identifiable Intangible Asset Write-ups</t>
  </si>
  <si>
    <t>( + ) Depreciation / (accretion) of fixed asset write-ups / (downs)</t>
  </si>
  <si>
    <t>( + ) Amortization / (accretion) of identifiable intangible asset write-ups / (downs)</t>
  </si>
  <si>
    <t>EBITDA / cash interest</t>
  </si>
  <si>
    <t>EBITDA / total interest</t>
  </si>
  <si>
    <t>EBITDA / senior interest</t>
  </si>
  <si>
    <t>Net debt / EBITDA</t>
  </si>
  <si>
    <t>Senior debt / EBITDA</t>
  </si>
  <si>
    <t>Total debt / EBITDA</t>
  </si>
  <si>
    <t>Cumulative senior debt paydown</t>
  </si>
  <si>
    <t>Cumulative debt paydown (excl. preferred and minority interest)</t>
  </si>
  <si>
    <t>Current ratio</t>
  </si>
  <si>
    <t>Quick ("Acid Test") ratio</t>
  </si>
  <si>
    <t>Total asset turnover</t>
  </si>
  <si>
    <t>Fixed asset turnover</t>
  </si>
  <si>
    <t>Inventory turnover</t>
  </si>
  <si>
    <t>Accounts receivable turnover</t>
  </si>
  <si>
    <t>Accounts payable turnover</t>
  </si>
  <si>
    <t>Inventory holding period (days)</t>
  </si>
  <si>
    <t>Days receivable</t>
  </si>
  <si>
    <t>Days payable</t>
  </si>
  <si>
    <t>as of</t>
  </si>
  <si>
    <t>Other Ratios</t>
  </si>
  <si>
    <t>Management equity</t>
  </si>
  <si>
    <t>Cash-on-cash</t>
  </si>
  <si>
    <t>IRR</t>
  </si>
  <si>
    <t>Senior</t>
  </si>
  <si>
    <t>Debt?</t>
  </si>
  <si>
    <t>(Amortization) / accretion of identifiable intangible asset write-up / (down) – straight-line</t>
  </si>
  <si>
    <t>Interest (income) / expense</t>
  </si>
  <si>
    <t>Provision for tax</t>
  </si>
  <si>
    <t>x</t>
  </si>
  <si>
    <t>Equity Investments</t>
  </si>
  <si>
    <t>Equity income in affiliates</t>
  </si>
  <si>
    <t>( – ) Cash dividends received from equity investments</t>
  </si>
  <si>
    <t>Undistributed earnings</t>
  </si>
  <si>
    <t>Dividends Received Deduction (DRD)</t>
  </si>
  <si>
    <t>Current taxes payable</t>
  </si>
  <si>
    <t>Deferred tax expense</t>
  </si>
  <si>
    <t>Income tax expense</t>
  </si>
  <si>
    <t>Tax benefit from DRD</t>
  </si>
  <si>
    <t>Cash dividends from equity investments</t>
  </si>
  <si>
    <t>Federal tax rate</t>
  </si>
  <si>
    <t>State and local tax rate</t>
  </si>
  <si>
    <t>Blended tax rate</t>
  </si>
  <si>
    <t>Cash Taxes &amp; Net DTL</t>
  </si>
  <si>
    <t>( – ) Tax depreciation</t>
  </si>
  <si>
    <t>( – ) Tax amortization of intangible assets</t>
  </si>
  <si>
    <t>( – ) Stock-based compensation</t>
  </si>
  <si>
    <t>( + ) Interest income / (expense)</t>
  </si>
  <si>
    <t>( + ) Distributed equity income in affiliates</t>
  </si>
  <si>
    <t>( + ) Other income / (expense)</t>
  </si>
  <si>
    <t>( + ) Deferred tax expense / (benefit)</t>
  </si>
  <si>
    <t>Book tax expense</t>
  </si>
  <si>
    <t>Net DTL – beginning balance</t>
  </si>
  <si>
    <t>Increase / (decrease) in net DTL</t>
  </si>
  <si>
    <t>Net DTL – ending balance</t>
  </si>
  <si>
    <t>Net deferred tax liability / (asset)</t>
  </si>
  <si>
    <t>(Increase) / decrease in other assets</t>
  </si>
  <si>
    <t>Increase / (decrease) in other liabilities</t>
  </si>
  <si>
    <t>Beginning balance</t>
  </si>
  <si>
    <t>Ending balance</t>
  </si>
  <si>
    <t>Common dividend</t>
  </si>
  <si>
    <t>Common stock dividend per share</t>
  </si>
  <si>
    <t>Shares Outstanding</t>
  </si>
  <si>
    <t>Stock Options</t>
  </si>
  <si>
    <t>Current share price</t>
  </si>
  <si>
    <t>Options Outstanding</t>
  </si>
  <si>
    <t>Options Exercisable</t>
  </si>
  <si>
    <t>Method</t>
  </si>
  <si>
    <t>Convertible Securities</t>
  </si>
  <si>
    <t>Fixed Rate /</t>
  </si>
  <si>
    <t>Coupon</t>
  </si>
  <si>
    <t>Convertible</t>
  </si>
  <si>
    <t>Security?</t>
  </si>
  <si>
    <t>Conversion</t>
  </si>
  <si>
    <t>Price</t>
  </si>
  <si>
    <t>Sweep</t>
  </si>
  <si>
    <t>Selector</t>
  </si>
  <si>
    <t>Purchases</t>
  </si>
  <si>
    <t>Accounts receivable days</t>
  </si>
  <si>
    <t>Accounts payable days</t>
  </si>
  <si>
    <t>Inventory days</t>
  </si>
  <si>
    <t>Liquidation</t>
  </si>
  <si>
    <t>In-the-money</t>
  </si>
  <si>
    <t>Proceeds in</t>
  </si>
  <si>
    <t>Proceeds from liquidation of options</t>
  </si>
  <si>
    <t>Capitalized</t>
  </si>
  <si>
    <t>Fee (%)</t>
  </si>
  <si>
    <t>Proceeds</t>
  </si>
  <si>
    <t>Fee</t>
  </si>
  <si>
    <t>Convertible bond</t>
  </si>
  <si>
    <t>Fee Amort.</t>
  </si>
  <si>
    <t>(yrs)</t>
  </si>
  <si>
    <t xml:space="preserve">Financing </t>
  </si>
  <si>
    <t>Proceeds &amp; Fees</t>
  </si>
  <si>
    <t>Miscellaneous</t>
  </si>
  <si>
    <t>Liquidation of options</t>
  </si>
  <si>
    <t>($ in millions, except per share amounts)</t>
  </si>
  <si>
    <t>( + ) In-the-money options liquidated</t>
  </si>
  <si>
    <t>( – ) Proceeds from liquidation of options</t>
  </si>
  <si>
    <t>EPS if converted</t>
  </si>
  <si>
    <t>Basic EPS</t>
  </si>
  <si>
    <t>Is conversion dilutive?</t>
  </si>
  <si>
    <t>GAAP net income available to common</t>
  </si>
  <si>
    <t>( + ) Shares from convertible securities</t>
  </si>
  <si>
    <t>Senior interest expense</t>
  </si>
  <si>
    <t>Total interest expense</t>
  </si>
  <si>
    <t>Total preferred dividends</t>
  </si>
  <si>
    <t>Interest on cash</t>
  </si>
  <si>
    <t>Fair Value Adjustments</t>
  </si>
  <si>
    <t>Excess purch. price allocated to identifiable intangibles (%)</t>
  </si>
  <si>
    <t>Asset / Liability</t>
  </si>
  <si>
    <t>Asset?</t>
  </si>
  <si>
    <t>Depr. / Amrt.</t>
  </si>
  <si>
    <t>Period (yrs)</t>
  </si>
  <si>
    <t>feedback@macabacus.com</t>
  </si>
  <si>
    <t>Macabacus, LLC</t>
  </si>
  <si>
    <t>DTA</t>
  </si>
  <si>
    <t>Created</t>
  </si>
  <si>
    <t>DTL</t>
  </si>
  <si>
    <t>Book Value</t>
  </si>
  <si>
    <t>Fair Value</t>
  </si>
  <si>
    <t>Mark</t>
  </si>
  <si>
    <t>Financing Triggers &amp; Drivers</t>
  </si>
  <si>
    <t>Stated Interest Rates</t>
  </si>
  <si>
    <t>Fee Netted</t>
  </si>
  <si>
    <t>Against</t>
  </si>
  <si>
    <t>DISCLAIMER</t>
  </si>
  <si>
    <t>LIMITATION OF LIABILITY OF MACABACUS</t>
  </si>
  <si>
    <t>Depreciation of Fixed Assets</t>
  </si>
  <si>
    <t>Amortization of Intangible Assets</t>
  </si>
  <si>
    <t>Existing Debt</t>
  </si>
  <si>
    <t>In-the-Money</t>
  </si>
  <si>
    <t>Convert at</t>
  </si>
  <si>
    <t>Converted</t>
  </si>
  <si>
    <t>Additional</t>
  </si>
  <si>
    <t>Convertible?</t>
  </si>
  <si>
    <t>at Offer Price?</t>
  </si>
  <si>
    <t>Close if ITM?</t>
  </si>
  <si>
    <t>Converted?</t>
  </si>
  <si>
    <t>Paid-in Capital</t>
  </si>
  <si>
    <t>Face Value</t>
  </si>
  <si>
    <t>Post-</t>
  </si>
  <si>
    <t>Pre-</t>
  </si>
  <si>
    <t>Write Off Purch.</t>
  </si>
  <si>
    <t>New Net DTL</t>
  </si>
  <si>
    <t>Accnt. Intang.</t>
  </si>
  <si>
    <t>from FV Marks</t>
  </si>
  <si>
    <t>Purchase</t>
  </si>
  <si>
    <t>of Acquired</t>
  </si>
  <si>
    <t>Adjustments</t>
  </si>
  <si>
    <t>Acquired</t>
  </si>
  <si>
    <t>Sheet</t>
  </si>
  <si>
    <t>Common stock, par value</t>
  </si>
  <si>
    <t>Transaction</t>
  </si>
  <si>
    <t>Charges</t>
  </si>
  <si>
    <t>Refinance</t>
  </si>
  <si>
    <t>/ Preferred</t>
  </si>
  <si>
    <t>Deal</t>
  </si>
  <si>
    <t>FV Marks</t>
  </si>
  <si>
    <t>(pre-tax)</t>
  </si>
  <si>
    <t>Transaction Balance Sheet</t>
  </si>
  <si>
    <t>Refinance?</t>
  </si>
  <si>
    <t>( x ) Offer price per share</t>
  </si>
  <si>
    <t>Legacy Debt / Preferred Stock Disposition</t>
  </si>
  <si>
    <t>Scenarios</t>
  </si>
  <si>
    <t>Net income available to common</t>
  </si>
  <si>
    <t>Sources</t>
  </si>
  <si>
    <t>Financing fees</t>
  </si>
  <si>
    <t>Transaction costs expensed at close</t>
  </si>
  <si>
    <t>Revolver draw-down</t>
  </si>
  <si>
    <t>Tax refund</t>
  </si>
  <si>
    <t>Transaction costs</t>
  </si>
  <si>
    <t>New</t>
  </si>
  <si>
    <t>Funding</t>
  </si>
  <si>
    <t>Legacy Debt / Preferred Stock Refinancing Triggers</t>
  </si>
  <si>
    <t>New revolver bank commitment</t>
  </si>
  <si>
    <t>Refinancing</t>
  </si>
  <si>
    <t>Bullet Year</t>
  </si>
  <si>
    <t>Term /</t>
  </si>
  <si>
    <t>New funding</t>
  </si>
  <si>
    <t>Periodic</t>
  </si>
  <si>
    <t>Scheduled Amortization</t>
  </si>
  <si>
    <t>Advisory fee</t>
  </si>
  <si>
    <t>Legal fee</t>
  </si>
  <si>
    <t>Accounting fee</t>
  </si>
  <si>
    <t>Printing fee</t>
  </si>
  <si>
    <t>Other fee</t>
  </si>
  <si>
    <t>Summary Sources &amp; Uses of Funds</t>
  </si>
  <si>
    <t>Dashboard</t>
  </si>
  <si>
    <t>Financing Scenarios &amp; Drivers</t>
  </si>
  <si>
    <t>Active Case</t>
  </si>
  <si>
    <t>Exit EBITDA multiple</t>
  </si>
  <si>
    <t>Exit P/E multiple</t>
  </si>
  <si>
    <t>Investment</t>
  </si>
  <si>
    <t>Undiluted</t>
  </si>
  <si>
    <t>Partial</t>
  </si>
  <si>
    <t>Full</t>
  </si>
  <si>
    <t>Dilution</t>
  </si>
  <si>
    <t>Initial Equity</t>
  </si>
  <si>
    <t>Equity Allocation</t>
  </si>
  <si>
    <t>Returns Analysis</t>
  </si>
  <si>
    <t>Principal repayment</t>
  </si>
  <si>
    <t>Exit Year?</t>
  </si>
  <si>
    <t>Multiples</t>
  </si>
  <si>
    <t>Equity kickers</t>
  </si>
  <si>
    <t>EBITDA – annualized</t>
  </si>
  <si>
    <t>GAAP net income – annualized</t>
  </si>
  <si>
    <t>Periodic amortization</t>
  </si>
  <si>
    <t>( + ) Treasury Method option shares</t>
  </si>
  <si>
    <t>GAAP earnings growth</t>
  </si>
  <si>
    <t>Key Ratios &amp; Drivers</t>
  </si>
  <si>
    <t>Senior debt</t>
  </si>
  <si>
    <t>EBITDA – capex / senior interest</t>
  </si>
  <si>
    <t>EBITDA – capex / total interest</t>
  </si>
  <si>
    <t>EBITDA – capex / cash interest</t>
  </si>
  <si>
    <t>EBITDA – capex – Δ WC / senior interest</t>
  </si>
  <si>
    <t>EBITDA – capex – Δ WC / total interest</t>
  </si>
  <si>
    <t>EBITDA – capex – Δ WC / cash interest</t>
  </si>
  <si>
    <t>Subordinated interest expense</t>
  </si>
  <si>
    <t>Total fixed charges</t>
  </si>
  <si>
    <t>Total debt / EBITDA – capex</t>
  </si>
  <si>
    <t>Operating Data (annualized)</t>
  </si>
  <si>
    <t>Interest Expense &amp; Preferred Dividends (annualized)</t>
  </si>
  <si>
    <t>ROA</t>
  </si>
  <si>
    <t>ROE</t>
  </si>
  <si>
    <t>Debt paydown</t>
  </si>
  <si>
    <t>Liquidity ratios</t>
  </si>
  <si>
    <t>Asset utilization</t>
  </si>
  <si>
    <t>Working capital</t>
  </si>
  <si>
    <t>ROIC</t>
  </si>
  <si>
    <t>Legacy debt</t>
  </si>
  <si>
    <t>Additional paid-in capital (APIC)</t>
  </si>
  <si>
    <t>Standalone GAAP EPS</t>
  </si>
  <si>
    <t>Pro forma GAAP EPS</t>
  </si>
  <si>
    <t>( – ) Mandatory repayment</t>
  </si>
  <si>
    <t>( – ) Optional repayment</t>
  </si>
  <si>
    <t>( + ) Cash flow available for debt service</t>
  </si>
  <si>
    <t>Total cash available for debt service</t>
  </si>
  <si>
    <t>( – ) Scheduled debt repayment</t>
  </si>
  <si>
    <t>Cash available for sweep / (revolver draw-down)</t>
  </si>
  <si>
    <t>( + ) Revolver draw-down</t>
  </si>
  <si>
    <t>( – ) Revolver pay-down</t>
  </si>
  <si>
    <t>Bank revolver commitment</t>
  </si>
  <si>
    <t>Debt Schedules</t>
  </si>
  <si>
    <t>Cash Sweep</t>
  </si>
  <si>
    <t>Interest expense on drawn balance</t>
  </si>
  <si>
    <t>Summary Interest Income / Expense &amp; Preferred Dividends</t>
  </si>
  <si>
    <t>Interest Rates &amp; Summary</t>
  </si>
  <si>
    <t>Macabacus Simple LBO Model</t>
  </si>
  <si>
    <t>Interest expense or preferred dividend</t>
  </si>
  <si>
    <t>Taxable income</t>
  </si>
  <si>
    <t>Cash taxes payable</t>
  </si>
  <si>
    <t>The Macabacus Simple LBO Model excludes the several features present in the Macabacus Complex LBO Model, and makes simplifying assumptions, as follows:</t>
  </si>
  <si>
    <t>No original issue discounts (OID)</t>
  </si>
  <si>
    <t>No payment-in-kind (PIK)</t>
  </si>
  <si>
    <t>Assumes no NOLs, either at LBO or going forward</t>
  </si>
  <si>
    <t>No discounted cash flow (DCF) analysis</t>
  </si>
  <si>
    <t>Assumes no existing purchase accounting-related intangibles to be written off</t>
  </si>
  <si>
    <t>Simplified timing; no ability to select the transaction close date</t>
  </si>
  <si>
    <t>No cost savings</t>
  </si>
  <si>
    <t>No sponsor management fee</t>
  </si>
  <si>
    <t>No weighted average cost of capital (WACC) calculation</t>
  </si>
  <si>
    <t>No prepayment premiums/penalties</t>
  </si>
  <si>
    <t>Valuation method (1=EBITDA, 2=GAAP P/E)</t>
  </si>
  <si>
    <t>No cash earnings or accretion/dilution</t>
  </si>
  <si>
    <t>Transaction closes at calendar year-end, and fiscal years are aligned with calendar years</t>
  </si>
  <si>
    <t>Single operating case</t>
  </si>
  <si>
    <t>Revolver limit observed</t>
  </si>
  <si>
    <t>( + ) FV of noncontrolling interests</t>
  </si>
  <si>
    <t>Strictly Confidential</t>
  </si>
  <si>
    <t>Table of Contents</t>
  </si>
  <si>
    <t>This model now has the circularity turned on. Please confirm the Excel settings below.</t>
  </si>
  <si>
    <t>PC</t>
  </si>
  <si>
    <t>File - Options - Formulas - Check the box on the top-right labeled 'Enable iterative calculation'.</t>
  </si>
  <si>
    <t>Mac</t>
  </si>
  <si>
    <t>Excel - Preferences - Calculation - Check the box near the bottom labeled 'Use iterative calculation'.</t>
  </si>
  <si>
    <t>© 2023 Macabacus, LLC</t>
  </si>
  <si>
    <t>This model represents a hypothetical DCF of a hypothetical company. Any similarity between the financial metrics of this company and actual companies</t>
  </si>
  <si>
    <t>is purely coincidental. Macabacus does not provide investment, accounting or tax advice. Additionally, tax and accounting rules used in the model are</t>
  </si>
  <si>
    <t>illustrative and may not reflect current tax or accounting rules and standards.</t>
  </si>
  <si>
    <t>Except as otherwise expressly stated, including but not limited to in a license or other agreement governing the use of specific content, all content in this</t>
  </si>
  <si>
    <t>model is provided "as is," and Macabacus makes no representations or warranties, express or implied, including but not limited to warranties</t>
  </si>
  <si>
    <t xml:space="preserve">of merchantability, fitness for a particular purpose, title or non-infringement of proprietary rights. Without limiting the foregoing, Macabacus </t>
  </si>
  <si>
    <t>makes no representation or warranty that content in this model is free from error or suitable for any purpose; nor that the use of such</t>
  </si>
  <si>
    <t xml:space="preserve">content will not infringe any third-party copyrights, trademarks or other intellectual property rights. You understand and agree that you </t>
  </si>
  <si>
    <t xml:space="preserve">download or otherwise obtain content through Macabacus' websites at your own discretion and risk, and that Macabacus will have no </t>
  </si>
  <si>
    <t>liability or responsibility for any damage to your computer system or data that results from the download or use of such content. Some</t>
  </si>
  <si>
    <t>jurisdictions may not allow the exclusion of implied warranties, so some of the above limitations may not apply to you.</t>
  </si>
  <si>
    <t>Except as otherwise expressly stated, including but not limited to in a license or other agreement governing the use of specific content, in no event will Macabacus</t>
  </si>
  <si>
    <t>be liabile to you or any other party for any direct, indirect, special, consequential or exemplary damages, regardless of the basis or nature of the claim, resulting</t>
  </si>
  <si>
    <t>from any use of this model, or the contents thereof, including without limitation any lost profits, business interruption, loss of data or otherwise, even if Macabacus</t>
  </si>
  <si>
    <t>was expressly advised of the possibility of such damages. Some jurisdictions may not allow the exclcusion or limitation of liability for certain incidental or</t>
  </si>
  <si>
    <t>consequential damages, so some of the above limitations may not apply to you.</t>
  </si>
  <si>
    <t>This Excel model is for educational purposes only and should not be used for any other reason. All content is Copyright material of CFI Education Inc.</t>
  </si>
  <si>
    <t>All rights reserved.  The contents of this publication, including but not limited to all written material, content layout, images, formulas, and code, are protected</t>
  </si>
  <si>
    <t>under international copyright and trademark laws.  No part of this publication may be modified, manipulated, reproduced, distributed, or transmitted in any</t>
  </si>
  <si>
    <t xml:space="preserve">form by any means, including photocopying, recording, or other electronic or mechanical methods, without prior written permission of the publisher, </t>
  </si>
  <si>
    <t>except in the case of certain noncommercial uses permitted by copyright law.</t>
  </si>
  <si>
    <t>https://www.macabacus.com/</t>
  </si>
  <si>
    <t xml:space="preserve"> </t>
  </si>
  <si>
    <t>Macabacus Short-Form LBO Model</t>
  </si>
  <si>
    <t>LBO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</si>
</sst>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5">
    <numFmt numFmtId="7" formatCode="&quot;$&quot;#,##0.00_);\(&quot;$&quot;#,##0.00\)"/>
    <numFmt numFmtId="8" formatCode="&quot;$&quot;#,##0.00_);[Red]\(&quot;$&quot;#,##0.00\)"/>
    <numFmt numFmtId="42" formatCode="_(&quot;$&quot;* #,##0_);_(&quot;$&quot;* \(#,##0\);_(&quot;$&quot;* &quot;-&quot;_);_(@_)"/>
    <numFmt numFmtId="41" formatCode="_(* #,##0_);_(* \(#,##0\);_(* &quot;-&quot;_);_(@_)"/>
    <numFmt numFmtId="43" formatCode="_(* #,##0.00_);_(* \(#,##0.00\);_(* &quot;-&quot;??_);_(@_)"/>
    <numFmt numFmtId="164" formatCode="&quot;$&quot;#,##0.00_);\(&quot;$&quot;#,##0.00\);&quot;$&quot;#,##0.00_);@_)"/>
    <numFmt numFmtId="165" formatCode="0.0%_);\(0.0%\);0.0%_);@_)"/>
    <numFmt numFmtId="166" formatCode="#,##0.000_);\(#,##0.000\);#,##0.000_);@_)"/>
    <numFmt numFmtId="167" formatCode="&quot;$&quot;#,##0.0_);\(&quot;$&quot;#,##0.0\);&quot;$&quot;#,##0.0_);@_)"/>
    <numFmt numFmtId="168" formatCode="#,##0.0_);\(#,##0.0\);#,##0.0_);@_)"/>
    <numFmt numFmtId="169" formatCode="0.00\x_);\(0.00\x\);0.00\x_);@_)"/>
    <numFmt numFmtId="170" formatCode="0.00%_);\(0.00%\);0.00%_);@_)"/>
    <numFmt numFmtId="171" formatCode="&quot;$&quot;#,##0.0_);\(&quot;$&quot;#,##0.0\)"/>
    <numFmt numFmtId="172" formatCode="&quot;Year &quot;0"/>
    <numFmt numFmtId="173" formatCode="0&quot; mos.&quot;"/>
    <numFmt numFmtId="174" formatCode="_(&quot;$&quot;#,##0.0_)_%;_(\(&quot;$&quot;#,##0.0\)_%;_(&quot;–&quot;_)_%;@_(_%"/>
    <numFmt numFmtId="175" formatCode="_(#,##0_)_%;_(\(#,##0\)_%;_(&quot;–&quot;_)_%;@_(_%"/>
    <numFmt numFmtId="176" formatCode="_(#,##0.0_)_%;_(\(#,##0.0\)_%;_(&quot;–&quot;_)_%;@_(_%"/>
    <numFmt numFmtId="177" formatCode="m/d/yy_)_%;@_)_%"/>
    <numFmt numFmtId="178" formatCode="_(0.00%_);\(0.00%\);_(&quot;–&quot;_)_%;@_(_%"/>
    <numFmt numFmtId="179" formatCode="_(0.0%_);\(0.0%\);_(&quot;–&quot;_)_%;@_(_%"/>
    <numFmt numFmtId="180" formatCode="_(#,##0.000_)_%;_(\(#,##0.000\)_%;_(&quot;–&quot;_)_%;@_(_%"/>
    <numFmt numFmtId="181" formatCode="_(&quot;$&quot;#,##0.00_)_%;_(\(&quot;$&quot;#,##0.00\)_%;_(&quot;–&quot;_)_%;@_(_%"/>
    <numFmt numFmtId="182" formatCode="&quot;Yes&quot;_)_%;&quot;ERROR&quot;_)_%;&quot;No&quot;_)_%;&quot;ERROR&quot;_)_%"/>
    <numFmt numFmtId="183" formatCode="_(0.00\x_)_);_(\(0.00\x\);_(&quot;–&quot;_)_%;@_(_%"/>
    <numFmt numFmtId="184" formatCode="_(#,##0.00_)_%;_(\(#,##0.00\)_%;_(&quot;–&quot;_)_%;@_(_%"/>
    <numFmt numFmtId="185" formatCode="m/d/yy;@"/>
    <numFmt numFmtId="186" formatCode="yyyy"/>
    <numFmt numFmtId="187" formatCode="_(0.0\x_)_);_(\(0.0\x\);_(&quot;–&quot;_)_%;@_(_%"/>
    <numFmt numFmtId="188" formatCode="_(#,##0_)_%;_(\(#,##0\)_%"/>
    <numFmt numFmtId="189" formatCode="_(0.00\x_)_);_(\(0.00\x\)_'_';_(&quot;–&quot;_)_%;@_(_%"/>
    <numFmt numFmtId="190" formatCode="&quot;Yes&quot;_)_%;;&quot;No&quot;_)_%"/>
    <numFmt numFmtId="191" formatCode="_(0.00&quot;%&quot;_);\(0.00&quot;%&quot;\);_(&quot;–&quot;_)_%;@_)_%"/>
    <numFmt numFmtId="192" formatCode="_([$$]#,##0.0_)_%;\([$$]#,##0.0\)_%;_(&quot;–&quot;_)_%;@_)_%"/>
    <numFmt numFmtId="193" formatCode="_(#,##0_)_%;\(#,##0\)_%;_(&quot;–&quot;_)_%;_(@_)_%"/>
  </numFmts>
  <fonts count="90">
    <font>
      <sz val="10"/>
      <name val="Arial"/>
    </font>
    <font>
      <sz val="10"/>
      <color theme="1"/>
      <name val="Open Sans"/>
      <family val="2"/>
    </font>
    <font>
      <u/>
      <sz val="8"/>
      <color indexed="12"/>
      <name val="Arial"/>
      <family val="2"/>
    </font>
    <font>
      <sz val="8"/>
      <color indexed="8"/>
      <name val="Tahoma"/>
      <family val="2"/>
    </font>
    <font>
      <sz val="8"/>
      <name val="Arial"/>
      <family val="2"/>
    </font>
    <font>
      <sz val="10"/>
      <name val="Arial"/>
      <family val="2"/>
    </font>
    <font>
      <sz val="10"/>
      <name val="Calibri"/>
      <family val="2"/>
      <scheme val="minor"/>
    </font>
    <font>
      <sz val="9"/>
      <color indexed="81"/>
      <name val="Tahoma"/>
      <family val="2"/>
    </font>
    <font>
      <b/>
      <sz val="9"/>
      <color indexed="81"/>
      <name val="Tahoma"/>
      <family val="2"/>
    </font>
    <font>
      <b/>
      <sz val="15"/>
      <color theme="3"/>
      <name val="Calibri"/>
      <family val="2"/>
      <scheme val="minor"/>
    </font>
    <font>
      <sz val="12"/>
      <name val="ⓒoUAAA¨u"/>
      <family val="1"/>
      <charset val="255"/>
    </font>
    <font>
      <sz val="11"/>
      <name val="￥i￠￢￠?o"/>
      <family val="3"/>
      <charset val="255"/>
    </font>
    <font>
      <sz val="12"/>
      <name val="¹ÙÅÁÃ¼"/>
      <family val="1"/>
      <charset val="129"/>
    </font>
    <font>
      <sz val="12"/>
      <name val="¹UAAA¼"/>
      <family val="3"/>
      <charset val="129"/>
    </font>
    <font>
      <sz val="12"/>
      <name val="¹UAAA¼"/>
      <family val="1"/>
      <charset val="255"/>
    </font>
    <font>
      <sz val="12"/>
      <name val="System"/>
      <family val="3"/>
      <charset val="129"/>
    </font>
    <font>
      <sz val="10"/>
      <name val="±¼¸²Ã¼"/>
      <family val="3"/>
      <charset val="129"/>
    </font>
    <font>
      <sz val="10"/>
      <name val="Arial"/>
      <family val="2"/>
    </font>
    <font>
      <b/>
      <sz val="11"/>
      <color theme="0"/>
      <name val="Calibri"/>
      <family val="2"/>
      <scheme val="minor"/>
    </font>
    <font>
      <sz val="10"/>
      <color theme="0"/>
      <name val="Open Sans"/>
      <family val="2"/>
    </font>
    <font>
      <sz val="11"/>
      <color theme="1"/>
      <name val="Calibri"/>
      <family val="2"/>
      <scheme val="minor"/>
    </font>
    <font>
      <sz val="11"/>
      <color theme="1"/>
      <name val="Open Sans"/>
      <family val="2"/>
    </font>
    <font>
      <sz val="11"/>
      <color rgb="FFC32838"/>
      <name val="Calibri"/>
      <family val="2"/>
      <scheme val="minor"/>
    </font>
    <font>
      <b/>
      <sz val="20"/>
      <color rgb="FF264E58"/>
      <name val="Open Sans"/>
      <family val="2"/>
    </font>
    <font>
      <b/>
      <sz val="14"/>
      <color rgb="FF264E58"/>
      <name val="Open Sans"/>
      <family val="2"/>
    </font>
    <font>
      <u/>
      <sz val="10"/>
      <color theme="10"/>
      <name val="Arial"/>
      <family val="2"/>
    </font>
    <font>
      <u/>
      <sz val="12"/>
      <color rgb="FF3271D2"/>
      <name val="Open Sans"/>
      <family val="2"/>
    </font>
    <font>
      <b/>
      <sz val="11"/>
      <color rgb="FFFA621C"/>
      <name val="Open Sans"/>
      <family val="2"/>
    </font>
    <font>
      <u/>
      <sz val="11"/>
      <color rgb="FFFA621C"/>
      <name val="Open Sans"/>
      <family val="2"/>
    </font>
    <font>
      <sz val="11"/>
      <color rgb="FFFA621C"/>
      <name val="Open Sans"/>
      <family val="2"/>
    </font>
    <font>
      <b/>
      <sz val="12"/>
      <color theme="0"/>
      <name val="Open Sans"/>
      <family val="2"/>
    </font>
    <font>
      <sz val="12"/>
      <color rgb="FFC32838"/>
      <name val="Calibri"/>
      <family val="2"/>
      <scheme val="minor"/>
    </font>
    <font>
      <sz val="12"/>
      <color rgb="FFFA621C"/>
      <name val="Calibri"/>
      <family val="2"/>
      <scheme val="minor"/>
    </font>
    <font>
      <sz val="12"/>
      <color theme="0"/>
      <name val="Open Sans"/>
      <family val="2"/>
    </font>
    <font>
      <sz val="11"/>
      <color theme="0"/>
      <name val="Open Sans"/>
      <family val="2"/>
    </font>
    <font>
      <u/>
      <sz val="11"/>
      <color theme="0"/>
      <name val="Open Sans"/>
      <family val="2"/>
    </font>
    <font>
      <sz val="10"/>
      <name val="Open Sans"/>
      <family val="2"/>
    </font>
    <font>
      <b/>
      <sz val="18"/>
      <color indexed="8"/>
      <name val="Open Sans"/>
      <family val="2"/>
    </font>
    <font>
      <u/>
      <sz val="10"/>
      <color indexed="12"/>
      <name val="Open Sans"/>
      <family val="2"/>
    </font>
    <font>
      <b/>
      <sz val="12"/>
      <color rgb="FFFFFFFF"/>
      <name val="Open Sans"/>
      <family val="2"/>
    </font>
    <font>
      <b/>
      <sz val="12"/>
      <color indexed="16"/>
      <name val="Open Sans"/>
      <family val="2"/>
    </font>
    <font>
      <sz val="10"/>
      <color indexed="16"/>
      <name val="Open Sans"/>
      <family val="2"/>
    </font>
    <font>
      <sz val="8"/>
      <name val="Open Sans"/>
      <family val="2"/>
    </font>
    <font>
      <b/>
      <sz val="10"/>
      <name val="Open Sans"/>
      <family val="2"/>
    </font>
    <font>
      <b/>
      <sz val="10"/>
      <color rgb="FF003769"/>
      <name val="Open Sans"/>
      <family val="2"/>
    </font>
    <font>
      <sz val="10"/>
      <color rgb="FF0000FF"/>
      <name val="Open Sans"/>
      <family val="2"/>
    </font>
    <font>
      <sz val="10"/>
      <color indexed="12"/>
      <name val="Open Sans"/>
      <family val="2"/>
    </font>
    <font>
      <i/>
      <sz val="10"/>
      <color rgb="FF0000FF"/>
      <name val="Open Sans"/>
      <family val="2"/>
    </font>
    <font>
      <i/>
      <sz val="10"/>
      <color indexed="8"/>
      <name val="Open Sans"/>
      <family val="2"/>
    </font>
    <font>
      <sz val="10"/>
      <color indexed="8"/>
      <name val="Open Sans"/>
      <family val="2"/>
    </font>
    <font>
      <sz val="10"/>
      <color rgb="FF000000"/>
      <name val="Open Sans"/>
      <family val="2"/>
    </font>
    <font>
      <i/>
      <sz val="10"/>
      <color rgb="FF000000"/>
      <name val="Open Sans"/>
      <family val="2"/>
    </font>
    <font>
      <i/>
      <sz val="10"/>
      <color indexed="12"/>
      <name val="Open Sans"/>
      <family val="2"/>
    </font>
    <font>
      <i/>
      <sz val="10"/>
      <name val="Open Sans"/>
      <family val="2"/>
    </font>
    <font>
      <b/>
      <i/>
      <sz val="10"/>
      <name val="Open Sans"/>
      <family val="2"/>
    </font>
    <font>
      <b/>
      <sz val="10"/>
      <color indexed="8"/>
      <name val="Open Sans"/>
      <family val="2"/>
    </font>
    <font>
      <b/>
      <i/>
      <sz val="10"/>
      <color indexed="8"/>
      <name val="Open Sans"/>
      <family val="2"/>
    </font>
    <font>
      <sz val="10"/>
      <color rgb="FFC00000"/>
      <name val="Open Sans"/>
      <family val="2"/>
    </font>
    <font>
      <b/>
      <sz val="10"/>
      <color indexed="10"/>
      <name val="Open Sans"/>
      <family val="2"/>
    </font>
    <font>
      <b/>
      <sz val="10"/>
      <color rgb="FF003868"/>
      <name val="Open Sans"/>
      <family val="2"/>
    </font>
    <font>
      <b/>
      <u val="singleAccounting"/>
      <sz val="10"/>
      <color rgb="FF003769"/>
      <name val="Open Sans"/>
      <family val="2"/>
    </font>
    <font>
      <sz val="8"/>
      <color rgb="FF000000"/>
      <name val="Open Sans"/>
      <family val="2"/>
    </font>
    <font>
      <b/>
      <sz val="10"/>
      <color rgb="FF1F497D"/>
      <name val="Open Sans"/>
      <family val="2"/>
    </font>
    <font>
      <b/>
      <u/>
      <sz val="10"/>
      <name val="Open Sans"/>
      <family val="2"/>
    </font>
    <font>
      <i/>
      <u/>
      <sz val="10"/>
      <name val="Open Sans"/>
      <family val="2"/>
    </font>
    <font>
      <b/>
      <sz val="10"/>
      <color rgb="FFC23841"/>
      <name val="Open Sans"/>
      <family val="2"/>
    </font>
    <font>
      <b/>
      <sz val="10"/>
      <color indexed="12"/>
      <name val="Open Sans"/>
      <family val="2"/>
    </font>
    <font>
      <sz val="10"/>
      <color rgb="FFC23841"/>
      <name val="Open Sans"/>
      <family val="2"/>
    </font>
    <font>
      <i/>
      <sz val="10"/>
      <color rgb="FFC00000"/>
      <name val="Open Sans"/>
      <family val="2"/>
    </font>
    <font>
      <sz val="10"/>
      <color rgb="FF1F497D"/>
      <name val="Open Sans"/>
      <family val="2"/>
    </font>
    <font>
      <b/>
      <u val="singleAccounting"/>
      <sz val="10"/>
      <color rgb="FF1F497D"/>
      <name val="Open Sans"/>
      <family val="2"/>
    </font>
    <font>
      <i/>
      <sz val="10"/>
      <color rgb="FFC23841"/>
      <name val="Open Sans"/>
      <family val="2"/>
    </font>
    <font>
      <b/>
      <u val="singleAccounting"/>
      <sz val="10"/>
      <color rgb="FF003868"/>
      <name val="Open Sans"/>
      <family val="2"/>
    </font>
    <font>
      <u/>
      <sz val="10"/>
      <name val="Open Sans"/>
      <family val="2"/>
    </font>
    <font>
      <sz val="10"/>
      <color rgb="FF003769"/>
      <name val="Open Sans"/>
      <family val="2"/>
    </font>
    <font>
      <b/>
      <sz val="10"/>
      <color indexed="53"/>
      <name val="Open Sans"/>
      <family val="2"/>
    </font>
    <font>
      <b/>
      <sz val="10"/>
      <color rgb="FF000000"/>
      <name val="Open Sans"/>
      <family val="2"/>
    </font>
    <font>
      <sz val="10"/>
      <color rgb="FF008000"/>
      <name val="Open Sans"/>
      <family val="2"/>
    </font>
    <font>
      <b/>
      <i/>
      <sz val="10"/>
      <color rgb="FFC00000"/>
      <name val="Open Sans"/>
      <family val="2"/>
    </font>
    <font>
      <b/>
      <u/>
      <sz val="10"/>
      <color indexed="8"/>
      <name val="Open Sans"/>
      <family val="2"/>
    </font>
    <font>
      <b/>
      <sz val="10"/>
      <color rgb="FFC00000"/>
      <name val="Open Sans"/>
      <family val="2"/>
    </font>
    <font>
      <sz val="10"/>
      <color indexed="60"/>
      <name val="Open Sans"/>
      <family val="2"/>
    </font>
    <font>
      <i/>
      <u/>
      <sz val="10"/>
      <color rgb="FF000000"/>
      <name val="Open Sans"/>
      <family val="2"/>
    </font>
    <font>
      <b/>
      <sz val="10"/>
      <color indexed="16"/>
      <name val="Open Sans"/>
      <family val="2"/>
    </font>
    <font>
      <i/>
      <sz val="10"/>
      <color indexed="10"/>
      <name val="Open Sans"/>
      <family val="2"/>
    </font>
    <font>
      <b/>
      <u/>
      <sz val="10"/>
      <color rgb="FF000000"/>
      <name val="Open Sans"/>
      <family val="2"/>
    </font>
    <font>
      <sz val="10"/>
      <color rgb="FF3271D2"/>
      <name val="Open Sans"/>
      <family val="2"/>
    </font>
    <font>
      <i/>
      <sz val="10"/>
      <color rgb="FF3271D2"/>
      <name val="Open Sans"/>
      <family val="2"/>
    </font>
    <font>
      <b/>
      <sz val="10"/>
      <color rgb="FF3271D2"/>
      <name val="Open Sans"/>
      <family val="2"/>
    </font>
    <font>
      <u/>
      <sz val="10"/>
      <color rgb="FF3271D2"/>
      <name val="Open Sans"/>
      <family val="2"/>
    </font>
  </fonts>
  <fills count="9">
    <fill>
      <patternFill patternType="none"/>
    </fill>
    <fill>
      <patternFill patternType="gray125"/>
    </fill>
    <fill>
      <patternFill patternType="solid">
        <fgColor rgb="FFECEBE5"/>
        <bgColor indexed="64"/>
      </patternFill>
    </fill>
    <fill>
      <patternFill patternType="solid">
        <fgColor rgb="FFFFF5D2"/>
        <bgColor indexed="64"/>
      </patternFill>
    </fill>
    <fill>
      <patternFill patternType="solid">
        <fgColor rgb="FFDCE6EB"/>
        <bgColor indexed="64"/>
      </patternFill>
    </fill>
    <fill>
      <patternFill patternType="solid">
        <fgColor rgb="FFEBEBE6"/>
        <bgColor indexed="64"/>
      </patternFill>
    </fill>
    <fill>
      <patternFill patternType="solid">
        <fgColor rgb="FF7896AF"/>
        <bgColor indexed="64"/>
      </patternFill>
    </fill>
    <fill>
      <patternFill patternType="solid">
        <fgColor rgb="FFA5A5A5"/>
      </patternFill>
    </fill>
    <fill>
      <patternFill patternType="solid">
        <fgColor rgb="FF264E58"/>
        <bgColor indexed="64"/>
      </patternFill>
    </fill>
  </fills>
  <borders count="31">
    <border>
      <left/>
      <right/>
      <top/>
      <bottom/>
      <diagonal/>
    </border>
    <border>
      <left/>
      <right/>
      <top style="thin">
        <color indexed="64"/>
      </top>
      <bottom/>
      <diagonal/>
    </border>
    <border>
      <left/>
      <right/>
      <top style="hair">
        <color auto="1"/>
      </top>
      <bottom/>
      <diagonal/>
    </border>
    <border>
      <left/>
      <right/>
      <top style="thin">
        <color rgb="FF000000"/>
      </top>
      <bottom/>
      <diagonal/>
    </border>
    <border>
      <left/>
      <right/>
      <top style="hair">
        <color rgb="FF000000"/>
      </top>
      <bottom style="thin">
        <color rgb="FF000000"/>
      </bottom>
      <diagonal/>
    </border>
    <border>
      <left/>
      <right/>
      <top style="thin">
        <color auto="1"/>
      </top>
      <bottom/>
      <diagonal/>
    </border>
    <border>
      <left/>
      <right/>
      <top style="hair">
        <color rgb="FF000000"/>
      </top>
      <bottom/>
      <diagonal/>
    </border>
    <border>
      <left/>
      <right/>
      <top/>
      <bottom style="thick">
        <color theme="4"/>
      </bottom>
      <diagonal/>
    </border>
    <border>
      <left/>
      <right/>
      <top/>
      <bottom style="medium">
        <color rgb="FF000000"/>
      </bottom>
      <diagonal/>
    </border>
    <border>
      <left/>
      <right/>
      <top style="thick">
        <color theme="0"/>
      </top>
      <bottom/>
      <diagonal/>
    </border>
    <border>
      <left/>
      <right/>
      <top style="medium">
        <color indexed="64"/>
      </top>
      <bottom style="thin">
        <color indexed="64"/>
      </bottom>
      <diagonal/>
    </border>
    <border>
      <left/>
      <right/>
      <top/>
      <bottom style="medium">
        <color theme="4" tint="-0.24994659260841701"/>
      </bottom>
      <diagonal/>
    </border>
    <border>
      <left/>
      <right/>
      <top/>
      <bottom style="medium">
        <color rgb="FF235A8C"/>
      </bottom>
      <diagonal/>
    </border>
    <border>
      <left style="thin">
        <color rgb="FFB4C3D2"/>
      </left>
      <right/>
      <top style="thin">
        <color rgb="FFB4C3D2"/>
      </top>
      <bottom style="thin">
        <color rgb="FFB4C3D2"/>
      </bottom>
      <diagonal/>
    </border>
    <border>
      <left/>
      <right/>
      <top style="thin">
        <color rgb="FFB4C3D2"/>
      </top>
      <bottom style="thin">
        <color rgb="FFB4C3D2"/>
      </bottom>
      <diagonal/>
    </border>
    <border>
      <left/>
      <right style="thin">
        <color rgb="FFB4C3D2"/>
      </right>
      <top style="thin">
        <color rgb="FFB4C3D2"/>
      </top>
      <bottom style="thin">
        <color rgb="FFB4C3D2"/>
      </bottom>
      <diagonal/>
    </border>
    <border>
      <left/>
      <right/>
      <top/>
      <bottom style="thin">
        <color rgb="FF000000"/>
      </bottom>
      <diagonal/>
    </border>
    <border>
      <left style="dashed">
        <color rgb="FFC00000"/>
      </left>
      <right/>
      <top style="dashed">
        <color rgb="FFC00000"/>
      </top>
      <bottom/>
      <diagonal/>
    </border>
    <border>
      <left/>
      <right style="dashed">
        <color rgb="FFC00000"/>
      </right>
      <top style="dashed">
        <color rgb="FFC00000"/>
      </top>
      <bottom/>
      <diagonal/>
    </border>
    <border>
      <left style="dashed">
        <color rgb="FFC00000"/>
      </left>
      <right/>
      <top/>
      <bottom style="dashed">
        <color rgb="FFC00000"/>
      </bottom>
      <diagonal/>
    </border>
    <border>
      <left/>
      <right style="dashed">
        <color rgb="FFC00000"/>
      </right>
      <top/>
      <bottom style="dashed">
        <color rgb="FFC00000"/>
      </bottom>
      <diagonal/>
    </border>
    <border>
      <left style="double">
        <color rgb="FF3F3F3F"/>
      </left>
      <right style="double">
        <color rgb="FF3F3F3F"/>
      </right>
      <top style="double">
        <color rgb="FF3F3F3F"/>
      </top>
      <bottom style="double">
        <color rgb="FF3F3F3F"/>
      </bottom>
      <diagonal/>
    </border>
    <border>
      <left style="thick">
        <color rgb="FF132E57"/>
      </left>
      <right/>
      <top style="thick">
        <color rgb="FF132E57"/>
      </top>
      <bottom/>
      <diagonal/>
    </border>
    <border>
      <left/>
      <right/>
      <top style="thick">
        <color rgb="FF132E57"/>
      </top>
      <bottom/>
      <diagonal/>
    </border>
    <border>
      <left/>
      <right style="thick">
        <color rgb="FF132E57"/>
      </right>
      <top style="thick">
        <color rgb="FF132E57"/>
      </top>
      <bottom/>
      <diagonal/>
    </border>
    <border>
      <left style="thick">
        <color rgb="FF132E57"/>
      </left>
      <right/>
      <top/>
      <bottom/>
      <diagonal/>
    </border>
    <border>
      <left/>
      <right style="thick">
        <color rgb="FF132E57"/>
      </right>
      <top/>
      <bottom/>
      <diagonal/>
    </border>
    <border>
      <left/>
      <right/>
      <top/>
      <bottom style="thin">
        <color indexed="64"/>
      </bottom>
      <diagonal/>
    </border>
    <border>
      <left style="thick">
        <color rgb="FF132E57"/>
      </left>
      <right/>
      <top/>
      <bottom style="thick">
        <color rgb="FF132E57"/>
      </bottom>
      <diagonal/>
    </border>
    <border>
      <left/>
      <right/>
      <top/>
      <bottom style="thick">
        <color rgb="FF132E57"/>
      </bottom>
      <diagonal/>
    </border>
    <border>
      <left/>
      <right style="thick">
        <color rgb="FF132E57"/>
      </right>
      <top/>
      <bottom style="thick">
        <color rgb="FF132E57"/>
      </bottom>
      <diagonal/>
    </border>
  </borders>
  <cellStyleXfs count="28">
    <xf numFmtId="0" fontId="0" fillId="0" borderId="0"/>
    <xf numFmtId="43" fontId="5" fillId="0" borderId="0" applyFont="0" applyFill="0" applyBorder="0" applyAlignment="0" applyProtection="0"/>
    <xf numFmtId="0" fontId="2" fillId="0" borderId="0" applyNumberFormat="0" applyFill="0" applyBorder="0" applyAlignment="0" applyProtection="0"/>
    <xf numFmtId="0" fontId="9" fillId="0" borderId="7" applyNumberFormat="0" applyFill="0" applyAlignment="0" applyProtection="0"/>
    <xf numFmtId="0" fontId="10" fillId="0" borderId="0" applyFont="0" applyFill="0" applyBorder="0" applyAlignment="0" applyProtection="0"/>
    <xf numFmtId="0" fontId="11" fillId="0" borderId="0" applyFont="0" applyFill="0" applyBorder="0" applyAlignment="0" applyProtection="0"/>
    <xf numFmtId="0" fontId="12" fillId="0" borderId="0" applyFont="0" applyFill="0" applyBorder="0" applyAlignment="0" applyProtection="0"/>
    <xf numFmtId="0" fontId="13" fillId="0" borderId="0" applyFont="0" applyFill="0" applyBorder="0" applyAlignment="0" applyProtection="0"/>
    <xf numFmtId="0" fontId="12" fillId="0" borderId="0" applyFont="0" applyFill="0" applyBorder="0" applyAlignment="0" applyProtection="0"/>
    <xf numFmtId="0" fontId="13" fillId="0" borderId="0" applyFont="0" applyFill="0" applyBorder="0" applyAlignment="0" applyProtection="0"/>
    <xf numFmtId="0" fontId="5" fillId="0" borderId="0"/>
    <xf numFmtId="0" fontId="13" fillId="0" borderId="0"/>
    <xf numFmtId="0" fontId="15" fillId="0" borderId="0"/>
    <xf numFmtId="0" fontId="15" fillId="0" borderId="0"/>
    <xf numFmtId="0" fontId="12" fillId="0" borderId="0"/>
    <xf numFmtId="0" fontId="14" fillId="0" borderId="0"/>
    <xf numFmtId="0" fontId="12" fillId="0" borderId="0"/>
    <xf numFmtId="0" fontId="13" fillId="0" borderId="0"/>
    <xf numFmtId="0" fontId="12" fillId="0" borderId="0"/>
    <xf numFmtId="0" fontId="13" fillId="0" borderId="0"/>
    <xf numFmtId="0" fontId="16" fillId="0" borderId="0"/>
    <xf numFmtId="41" fontId="17" fillId="0" borderId="0" applyFont="0" applyFill="0" applyBorder="0" applyAlignment="0" applyProtection="0"/>
    <xf numFmtId="42" fontId="17" fillId="0" borderId="0" applyFont="0" applyFill="0" applyBorder="0" applyAlignment="0" applyProtection="0"/>
    <xf numFmtId="0" fontId="18" fillId="7" borderId="21" applyNumberFormat="0" applyAlignment="0" applyProtection="0"/>
    <xf numFmtId="0" fontId="20" fillId="0" borderId="0"/>
    <xf numFmtId="0" fontId="5" fillId="0" borderId="0"/>
    <xf numFmtId="0" fontId="25" fillId="0" borderId="0" applyNumberFormat="0" applyFill="0" applyBorder="0" applyAlignment="0" applyProtection="0"/>
    <xf numFmtId="0" fontId="25" fillId="0" borderId="0" applyNumberFormat="0" applyFill="0" applyBorder="0" applyAlignment="0" applyProtection="0"/>
  </cellStyleXfs>
  <cellXfs count="441">
    <xf numFmtId="0" fontId="0" fillId="0" borderId="0" xfId="0"/>
    <xf numFmtId="0" fontId="6" fillId="0" borderId="0" xfId="0" applyFont="1" applyAlignment="1">
      <alignment vertical="center"/>
    </xf>
    <xf numFmtId="0" fontId="21" fillId="0" borderId="0" xfId="24" applyFont="1"/>
    <xf numFmtId="0" fontId="20" fillId="0" borderId="0" xfId="24"/>
    <xf numFmtId="0" fontId="21" fillId="8" borderId="22" xfId="24" applyFont="1" applyFill="1" applyBorder="1"/>
    <xf numFmtId="0" fontId="21" fillId="8" borderId="23" xfId="24" applyFont="1" applyFill="1" applyBorder="1"/>
    <xf numFmtId="0" fontId="21" fillId="8" borderId="24" xfId="24" applyFont="1" applyFill="1" applyBorder="1"/>
    <xf numFmtId="0" fontId="21" fillId="8" borderId="25" xfId="24" applyFont="1" applyFill="1" applyBorder="1"/>
    <xf numFmtId="0" fontId="21" fillId="8" borderId="0" xfId="24" applyFont="1" applyFill="1"/>
    <xf numFmtId="0" fontId="21" fillId="8" borderId="26" xfId="24" applyFont="1" applyFill="1" applyBorder="1"/>
    <xf numFmtId="0" fontId="22" fillId="0" borderId="0" xfId="24" applyFont="1"/>
    <xf numFmtId="0" fontId="21" fillId="0" borderId="25" xfId="24" applyFont="1" applyBorder="1"/>
    <xf numFmtId="0" fontId="21" fillId="0" borderId="26" xfId="24" applyFont="1" applyBorder="1"/>
    <xf numFmtId="0" fontId="23" fillId="0" borderId="0" xfId="24" applyFont="1" applyProtection="1">
      <protection locked="0"/>
    </xf>
    <xf numFmtId="0" fontId="24" fillId="0" borderId="0" xfId="24" applyFont="1" applyAlignment="1">
      <alignment horizontal="right"/>
    </xf>
    <xf numFmtId="0" fontId="21" fillId="0" borderId="0" xfId="24" applyFont="1" applyProtection="1">
      <protection locked="0"/>
    </xf>
    <xf numFmtId="0" fontId="5" fillId="0" borderId="0" xfId="25"/>
    <xf numFmtId="0" fontId="24" fillId="0" borderId="27" xfId="24" applyFont="1" applyBorder="1" applyProtection="1">
      <protection locked="0"/>
    </xf>
    <xf numFmtId="0" fontId="1" fillId="0" borderId="0" xfId="24" applyFont="1"/>
    <xf numFmtId="193" fontId="26" fillId="0" borderId="0" xfId="26" applyNumberFormat="1" applyFont="1" applyFill="1" applyBorder="1" applyProtection="1">
      <protection locked="0"/>
    </xf>
    <xf numFmtId="0" fontId="27" fillId="0" borderId="0" xfId="24" applyFont="1"/>
    <xf numFmtId="193" fontId="28" fillId="0" borderId="0" xfId="27" applyNumberFormat="1" applyFont="1" applyFill="1" applyBorder="1"/>
    <xf numFmtId="0" fontId="29" fillId="0" borderId="0" xfId="24" applyFont="1"/>
    <xf numFmtId="0" fontId="30" fillId="8" borderId="0" xfId="24" applyFont="1" applyFill="1"/>
    <xf numFmtId="0" fontId="1" fillId="8" borderId="0" xfId="24" applyFont="1" applyFill="1"/>
    <xf numFmtId="0" fontId="31" fillId="0" borderId="0" xfId="24" applyFont="1"/>
    <xf numFmtId="0" fontId="32" fillId="0" borderId="0" xfId="24" applyFont="1"/>
    <xf numFmtId="0" fontId="33" fillId="8" borderId="0" xfId="24" applyFont="1" applyFill="1"/>
    <xf numFmtId="0" fontId="34" fillId="8" borderId="0" xfId="24" applyFont="1" applyFill="1"/>
    <xf numFmtId="193" fontId="34" fillId="8" borderId="0" xfId="24" applyNumberFormat="1" applyFont="1" applyFill="1"/>
    <xf numFmtId="0" fontId="19" fillId="8" borderId="0" xfId="24" applyFont="1" applyFill="1"/>
    <xf numFmtId="193" fontId="35" fillId="8" borderId="0" xfId="26" applyNumberFormat="1" applyFont="1" applyFill="1"/>
    <xf numFmtId="0" fontId="21" fillId="0" borderId="28" xfId="24" applyFont="1" applyBorder="1"/>
    <xf numFmtId="0" fontId="21" fillId="0" borderId="29" xfId="24" applyFont="1" applyBorder="1"/>
    <xf numFmtId="0" fontId="21" fillId="0" borderId="30" xfId="24" applyFont="1" applyBorder="1"/>
    <xf numFmtId="0" fontId="36" fillId="0" borderId="0" xfId="0" applyFont="1"/>
    <xf numFmtId="0" fontId="37" fillId="0" borderId="0" xfId="0" applyFont="1"/>
    <xf numFmtId="0" fontId="38" fillId="0" borderId="0" xfId="2" applyFont="1" applyBorder="1" applyAlignment="1">
      <alignment horizontal="right"/>
    </xf>
    <xf numFmtId="0" fontId="36" fillId="0" borderId="0" xfId="0" applyFont="1" applyAlignment="1">
      <alignment vertical="center"/>
    </xf>
    <xf numFmtId="0" fontId="37" fillId="0" borderId="10" xfId="0" applyFont="1" applyBorder="1" applyAlignment="1">
      <alignment vertical="center"/>
    </xf>
    <xf numFmtId="0" fontId="36" fillId="0" borderId="10" xfId="0" applyFont="1" applyBorder="1" applyAlignment="1">
      <alignment vertical="center"/>
    </xf>
    <xf numFmtId="0" fontId="36" fillId="0" borderId="9" xfId="0" applyFont="1" applyBorder="1" applyAlignment="1">
      <alignment horizontal="center" vertical="center"/>
    </xf>
    <xf numFmtId="0" fontId="39" fillId="6" borderId="9" xfId="0" applyFont="1" applyFill="1" applyBorder="1" applyAlignment="1">
      <alignment vertical="center"/>
    </xf>
    <xf numFmtId="0" fontId="40" fillId="6" borderId="9" xfId="0" applyFont="1" applyFill="1" applyBorder="1" applyAlignment="1">
      <alignment vertical="center"/>
    </xf>
    <xf numFmtId="0" fontId="41" fillId="6" borderId="9" xfId="0" applyFont="1" applyFill="1" applyBorder="1" applyAlignment="1">
      <alignment vertical="center"/>
    </xf>
    <xf numFmtId="0" fontId="42" fillId="0" borderId="0" xfId="0" applyFont="1" applyAlignment="1">
      <alignment vertical="center"/>
    </xf>
    <xf numFmtId="0" fontId="43" fillId="4" borderId="13" xfId="0" applyFont="1" applyFill="1" applyBorder="1" applyAlignment="1">
      <alignment horizontal="left" vertical="center"/>
    </xf>
    <xf numFmtId="0" fontId="43" fillId="4" borderId="14" xfId="0" applyFont="1" applyFill="1" applyBorder="1" applyAlignment="1">
      <alignment horizontal="left" vertical="center" indent="1"/>
    </xf>
    <xf numFmtId="0" fontId="43" fillId="4" borderId="15" xfId="0" applyFont="1" applyFill="1" applyBorder="1" applyAlignment="1">
      <alignment horizontal="left" vertical="center" indent="1"/>
    </xf>
    <xf numFmtId="0" fontId="44" fillId="0" borderId="0" xfId="3" applyNumberFormat="1" applyFont="1" applyFill="1" applyBorder="1" applyAlignment="1">
      <alignment horizontal="center" vertical="center"/>
    </xf>
    <xf numFmtId="0" fontId="44" fillId="0" borderId="11" xfId="3" applyNumberFormat="1" applyFont="1" applyFill="1" applyBorder="1" applyAlignment="1">
      <alignment horizontal="center" vertical="center"/>
    </xf>
    <xf numFmtId="179" fontId="47" fillId="0" borderId="0" xfId="0" applyNumberFormat="1" applyFont="1" applyAlignment="1">
      <alignment horizontal="right" vertical="center"/>
    </xf>
    <xf numFmtId="0" fontId="36" fillId="0" borderId="2" xfId="0" applyFont="1" applyBorder="1" applyAlignment="1">
      <alignment vertical="center"/>
    </xf>
    <xf numFmtId="181" fontId="36" fillId="0" borderId="2" xfId="0" applyNumberFormat="1" applyFont="1" applyBorder="1" applyAlignment="1">
      <alignment vertical="center"/>
    </xf>
    <xf numFmtId="174" fontId="36" fillId="0" borderId="0" xfId="0" applyNumberFormat="1" applyFont="1" applyAlignment="1">
      <alignment vertical="center"/>
    </xf>
    <xf numFmtId="179" fontId="48" fillId="0" borderId="0" xfId="0" applyNumberFormat="1" applyFont="1" applyAlignment="1">
      <alignment horizontal="right" vertical="center"/>
    </xf>
    <xf numFmtId="183" fontId="49" fillId="0" borderId="0" xfId="0" applyNumberFormat="1" applyFont="1" applyAlignment="1">
      <alignment vertical="center"/>
    </xf>
    <xf numFmtId="176" fontId="36" fillId="0" borderId="0" xfId="0" applyNumberFormat="1" applyFont="1" applyAlignment="1">
      <alignment vertical="center"/>
    </xf>
    <xf numFmtId="179" fontId="48" fillId="0" borderId="0" xfId="0" applyNumberFormat="1" applyFont="1" applyAlignment="1">
      <alignment vertical="center"/>
    </xf>
    <xf numFmtId="177" fontId="50" fillId="0" borderId="0" xfId="0" applyNumberFormat="1" applyFont="1" applyAlignment="1">
      <alignment horizontal="right" vertical="center"/>
    </xf>
    <xf numFmtId="180" fontId="50" fillId="0" borderId="0" xfId="0" applyNumberFormat="1" applyFont="1" applyAlignment="1">
      <alignment vertical="center"/>
    </xf>
    <xf numFmtId="0" fontId="43" fillId="0" borderId="0" xfId="0" applyFont="1"/>
    <xf numFmtId="0" fontId="36" fillId="0" borderId="0" xfId="0" applyFont="1" applyAlignment="1">
      <alignment horizontal="left" vertical="center"/>
    </xf>
    <xf numFmtId="178" fontId="51" fillId="0" borderId="0" xfId="0" applyNumberFormat="1" applyFont="1" applyAlignment="1">
      <alignment horizontal="right" vertical="center"/>
    </xf>
    <xf numFmtId="175" fontId="36" fillId="0" borderId="0" xfId="0" applyNumberFormat="1" applyFont="1" applyAlignment="1">
      <alignment vertical="center"/>
    </xf>
    <xf numFmtId="180" fontId="36" fillId="0" borderId="0" xfId="0" applyNumberFormat="1" applyFont="1" applyAlignment="1">
      <alignment vertical="center"/>
    </xf>
    <xf numFmtId="170" fontId="52" fillId="0" borderId="0" xfId="0" applyNumberFormat="1" applyFont="1" applyAlignment="1">
      <alignment horizontal="right" vertical="center"/>
    </xf>
    <xf numFmtId="170" fontId="53" fillId="0" borderId="0" xfId="0" applyNumberFormat="1" applyFont="1" applyAlignment="1">
      <alignment vertical="center"/>
    </xf>
    <xf numFmtId="165" fontId="54" fillId="0" borderId="0" xfId="0" applyNumberFormat="1" applyFont="1" applyAlignment="1">
      <alignment horizontal="center"/>
    </xf>
    <xf numFmtId="175" fontId="46" fillId="0" borderId="0" xfId="0" applyNumberFormat="1" applyFont="1" applyAlignment="1">
      <alignment horizontal="right" vertical="center"/>
    </xf>
    <xf numFmtId="180" fontId="36" fillId="0" borderId="2" xfId="0" applyNumberFormat="1" applyFont="1" applyBorder="1" applyAlignment="1">
      <alignment vertical="center"/>
    </xf>
    <xf numFmtId="181" fontId="36" fillId="0" borderId="0" xfId="0" applyNumberFormat="1" applyFont="1" applyAlignment="1">
      <alignment vertical="center"/>
    </xf>
    <xf numFmtId="0" fontId="43" fillId="5" borderId="2" xfId="0" applyFont="1" applyFill="1" applyBorder="1" applyAlignment="1">
      <alignment vertical="center"/>
    </xf>
    <xf numFmtId="174" fontId="43" fillId="5" borderId="2" xfId="0" applyNumberFormat="1" applyFont="1" applyFill="1" applyBorder="1" applyAlignment="1">
      <alignment vertical="center"/>
    </xf>
    <xf numFmtId="0" fontId="43" fillId="5" borderId="5" xfId="0" applyFont="1" applyFill="1" applyBorder="1" applyAlignment="1">
      <alignment vertical="center"/>
    </xf>
    <xf numFmtId="176" fontId="43" fillId="5" borderId="5" xfId="0" applyNumberFormat="1" applyFont="1" applyFill="1" applyBorder="1" applyAlignment="1">
      <alignment vertical="center"/>
    </xf>
    <xf numFmtId="178" fontId="47" fillId="0" borderId="0" xfId="0" applyNumberFormat="1" applyFont="1" applyAlignment="1">
      <alignment horizontal="right" vertical="center"/>
    </xf>
    <xf numFmtId="0" fontId="36" fillId="0" borderId="0" xfId="0" applyFont="1" applyAlignment="1">
      <alignment horizontal="left" vertical="center" indent="2"/>
    </xf>
    <xf numFmtId="0" fontId="43" fillId="0" borderId="0" xfId="0" applyFont="1" applyAlignment="1">
      <alignment vertical="center"/>
    </xf>
    <xf numFmtId="174" fontId="46" fillId="0" borderId="0" xfId="0" applyNumberFormat="1" applyFont="1" applyAlignment="1">
      <alignment vertical="center"/>
    </xf>
    <xf numFmtId="176" fontId="50" fillId="0" borderId="0" xfId="0" applyNumberFormat="1" applyFont="1" applyAlignment="1">
      <alignment vertical="center"/>
    </xf>
    <xf numFmtId="170" fontId="36" fillId="0" borderId="0" xfId="0" applyNumberFormat="1" applyFont="1" applyAlignment="1">
      <alignment vertical="center"/>
    </xf>
    <xf numFmtId="0" fontId="36" fillId="0" borderId="2" xfId="0" applyFont="1" applyBorder="1" applyAlignment="1">
      <alignment horizontal="left" vertical="center" indent="1"/>
    </xf>
    <xf numFmtId="176" fontId="36" fillId="0" borderId="2" xfId="0" applyNumberFormat="1" applyFont="1" applyBorder="1" applyAlignment="1">
      <alignment vertical="center"/>
    </xf>
    <xf numFmtId="0" fontId="36" fillId="0" borderId="0" xfId="0" applyFont="1" applyAlignment="1">
      <alignment horizontal="left" vertical="center" indent="1"/>
    </xf>
    <xf numFmtId="180" fontId="53" fillId="0" borderId="0" xfId="0" applyNumberFormat="1" applyFont="1" applyAlignment="1">
      <alignment horizontal="right" vertical="center"/>
    </xf>
    <xf numFmtId="0" fontId="43" fillId="0" borderId="5" xfId="0" applyFont="1" applyBorder="1" applyAlignment="1">
      <alignment horizontal="left" vertical="center"/>
    </xf>
    <xf numFmtId="0" fontId="43" fillId="0" borderId="5" xfId="0" applyFont="1" applyBorder="1" applyAlignment="1">
      <alignment vertical="center"/>
    </xf>
    <xf numFmtId="174" fontId="55" fillId="0" borderId="5" xfId="0" applyNumberFormat="1" applyFont="1" applyBorder="1" applyAlignment="1">
      <alignment vertical="center"/>
    </xf>
    <xf numFmtId="0" fontId="43" fillId="5" borderId="1" xfId="0" applyFont="1" applyFill="1" applyBorder="1" applyAlignment="1">
      <alignment vertical="center"/>
    </xf>
    <xf numFmtId="174" fontId="55" fillId="5" borderId="1" xfId="0" applyNumberFormat="1" applyFont="1" applyFill="1" applyBorder="1" applyAlignment="1">
      <alignment vertical="center"/>
    </xf>
    <xf numFmtId="179" fontId="56" fillId="5" borderId="1" xfId="0" applyNumberFormat="1" applyFont="1" applyFill="1" applyBorder="1" applyAlignment="1">
      <alignment vertical="center"/>
    </xf>
    <xf numFmtId="183" fontId="55" fillId="5" borderId="1" xfId="0" applyNumberFormat="1" applyFont="1" applyFill="1" applyBorder="1" applyAlignment="1">
      <alignment vertical="center"/>
    </xf>
    <xf numFmtId="0" fontId="53" fillId="0" borderId="0" xfId="0" applyFont="1"/>
    <xf numFmtId="0" fontId="36" fillId="0" borderId="0" xfId="0" applyFont="1" applyAlignment="1">
      <alignment horizontal="left" indent="1"/>
    </xf>
    <xf numFmtId="0" fontId="43" fillId="5" borderId="3" xfId="0" applyFont="1" applyFill="1" applyBorder="1" applyAlignment="1">
      <alignment vertical="center"/>
    </xf>
    <xf numFmtId="174" fontId="55" fillId="5" borderId="3" xfId="0" applyNumberFormat="1" applyFont="1" applyFill="1" applyBorder="1" applyAlignment="1">
      <alignment vertical="center"/>
    </xf>
    <xf numFmtId="0" fontId="36" fillId="0" borderId="6" xfId="0" applyFont="1" applyBorder="1" applyAlignment="1">
      <alignment vertical="center"/>
    </xf>
    <xf numFmtId="176" fontId="36" fillId="0" borderId="6" xfId="0" applyNumberFormat="1" applyFont="1" applyBorder="1" applyAlignment="1">
      <alignment vertical="center"/>
    </xf>
    <xf numFmtId="176" fontId="49" fillId="0" borderId="6" xfId="0" applyNumberFormat="1" applyFont="1" applyBorder="1" applyAlignment="1">
      <alignment vertical="center"/>
    </xf>
    <xf numFmtId="0" fontId="36" fillId="5" borderId="3" xfId="0" applyFont="1" applyFill="1" applyBorder="1" applyAlignment="1">
      <alignment vertical="center"/>
    </xf>
    <xf numFmtId="0" fontId="44" fillId="0" borderId="0" xfId="0" applyFont="1"/>
    <xf numFmtId="172" fontId="44" fillId="0" borderId="0" xfId="0" applyNumberFormat="1" applyFont="1" applyAlignment="1">
      <alignment horizontal="center" vertical="center"/>
    </xf>
    <xf numFmtId="0" fontId="44" fillId="0" borderId="12" xfId="3" applyNumberFormat="1" applyFont="1" applyFill="1" applyBorder="1" applyAlignment="1">
      <alignment horizontal="left" vertical="center"/>
    </xf>
    <xf numFmtId="0" fontId="44" fillId="0" borderId="12" xfId="3" applyNumberFormat="1" applyFont="1" applyFill="1" applyBorder="1" applyAlignment="1">
      <alignment horizontal="center" vertical="center"/>
    </xf>
    <xf numFmtId="174" fontId="50" fillId="0" borderId="0" xfId="0" applyNumberFormat="1" applyFont="1" applyAlignment="1">
      <alignment vertical="center"/>
    </xf>
    <xf numFmtId="174" fontId="45" fillId="0" borderId="0" xfId="0" applyNumberFormat="1" applyFont="1" applyAlignment="1">
      <alignment vertical="center"/>
    </xf>
    <xf numFmtId="176" fontId="46" fillId="0" borderId="0" xfId="0" applyNumberFormat="1" applyFont="1" applyAlignment="1">
      <alignment vertical="center"/>
    </xf>
    <xf numFmtId="176" fontId="45" fillId="0" borderId="0" xfId="0" applyNumberFormat="1" applyFont="1" applyAlignment="1">
      <alignment vertical="center"/>
    </xf>
    <xf numFmtId="176" fontId="57" fillId="0" borderId="0" xfId="0" applyNumberFormat="1" applyFont="1" applyAlignment="1">
      <alignment vertical="center"/>
    </xf>
    <xf numFmtId="176" fontId="36" fillId="0" borderId="0" xfId="0" applyNumberFormat="1" applyFont="1"/>
    <xf numFmtId="0" fontId="41" fillId="0" borderId="2" xfId="0" applyFont="1" applyBorder="1" applyAlignment="1">
      <alignment vertical="center"/>
    </xf>
    <xf numFmtId="174" fontId="41" fillId="0" borderId="2" xfId="0" applyNumberFormat="1" applyFont="1" applyBorder="1" applyAlignment="1">
      <alignment vertical="center"/>
    </xf>
    <xf numFmtId="174" fontId="36" fillId="0" borderId="2" xfId="0" applyNumberFormat="1" applyFont="1" applyBorder="1" applyAlignment="1">
      <alignment vertical="center"/>
    </xf>
    <xf numFmtId="0" fontId="36" fillId="0" borderId="8" xfId="0" applyFont="1" applyBorder="1"/>
    <xf numFmtId="0" fontId="58" fillId="0" borderId="0" xfId="0" applyFont="1" applyAlignment="1">
      <alignment horizontal="right" vertical="center"/>
    </xf>
    <xf numFmtId="0" fontId="59" fillId="0" borderId="0" xfId="0" applyFont="1"/>
    <xf numFmtId="173" fontId="59" fillId="0" borderId="0" xfId="0" applyNumberFormat="1" applyFont="1" applyAlignment="1">
      <alignment horizontal="center" vertical="center"/>
    </xf>
    <xf numFmtId="0" fontId="59" fillId="0" borderId="0" xfId="0" applyFont="1" applyAlignment="1">
      <alignment horizontal="centerContinuous"/>
    </xf>
    <xf numFmtId="173" fontId="44" fillId="0" borderId="0" xfId="0" applyNumberFormat="1" applyFont="1" applyAlignment="1">
      <alignment horizontal="center" vertical="center"/>
    </xf>
    <xf numFmtId="0" fontId="60" fillId="0" borderId="0" xfId="3" applyFont="1" applyFill="1" applyBorder="1" applyAlignment="1">
      <alignment horizontal="centerContinuous" vertical="center"/>
    </xf>
    <xf numFmtId="173" fontId="59" fillId="0" borderId="0" xfId="0" applyNumberFormat="1" applyFont="1" applyAlignment="1">
      <alignment horizontal="center"/>
    </xf>
    <xf numFmtId="0" fontId="61" fillId="0" borderId="12" xfId="0" applyFont="1" applyBorder="1" applyAlignment="1">
      <alignment horizontal="left" vertical="center"/>
    </xf>
    <xf numFmtId="0" fontId="62" fillId="0" borderId="12" xfId="3" applyNumberFormat="1" applyFont="1" applyBorder="1" applyAlignment="1">
      <alignment horizontal="center" vertical="center"/>
    </xf>
    <xf numFmtId="185" fontId="62" fillId="0" borderId="12" xfId="3" applyNumberFormat="1" applyFont="1" applyBorder="1" applyAlignment="1">
      <alignment horizontal="center" vertical="center"/>
    </xf>
    <xf numFmtId="185" fontId="44" fillId="0" borderId="12" xfId="3" applyNumberFormat="1" applyFont="1" applyBorder="1" applyAlignment="1">
      <alignment horizontal="center" vertical="center"/>
    </xf>
    <xf numFmtId="186" fontId="44" fillId="0" borderId="12" xfId="3" applyNumberFormat="1" applyFont="1" applyFill="1" applyBorder="1" applyAlignment="1">
      <alignment horizontal="center"/>
    </xf>
    <xf numFmtId="0" fontId="53" fillId="0" borderId="0" xfId="0" applyFont="1" applyAlignment="1">
      <alignment horizontal="right" vertical="center"/>
    </xf>
    <xf numFmtId="174" fontId="36" fillId="0" borderId="0" xfId="0" applyNumberFormat="1" applyFont="1" applyAlignment="1">
      <alignment horizontal="right" vertical="center"/>
    </xf>
    <xf numFmtId="176" fontId="36" fillId="0" borderId="0" xfId="0" applyNumberFormat="1" applyFont="1" applyAlignment="1">
      <alignment horizontal="right" vertical="center"/>
    </xf>
    <xf numFmtId="0" fontId="36" fillId="0" borderId="2" xfId="0" applyFont="1" applyBorder="1" applyAlignment="1">
      <alignment horizontal="left" vertical="center"/>
    </xf>
    <xf numFmtId="167" fontId="36" fillId="0" borderId="0" xfId="0" applyNumberFormat="1" applyFont="1" applyAlignment="1">
      <alignment vertical="center"/>
    </xf>
    <xf numFmtId="0" fontId="36" fillId="0" borderId="3" xfId="0" applyFont="1" applyBorder="1" applyAlignment="1">
      <alignment horizontal="left" vertical="center"/>
    </xf>
    <xf numFmtId="0" fontId="36" fillId="0" borderId="3" xfId="0" applyFont="1" applyBorder="1" applyAlignment="1">
      <alignment vertical="center"/>
    </xf>
    <xf numFmtId="174" fontId="49" fillId="0" borderId="3" xfId="0" applyNumberFormat="1" applyFont="1" applyBorder="1" applyAlignment="1">
      <alignment vertical="center"/>
    </xf>
    <xf numFmtId="0" fontId="63" fillId="0" borderId="0" xfId="0" applyFont="1" applyAlignment="1">
      <alignment vertical="center"/>
    </xf>
    <xf numFmtId="171" fontId="43" fillId="0" borderId="0" xfId="0" applyNumberFormat="1" applyFont="1" applyAlignment="1">
      <alignment vertical="center"/>
    </xf>
    <xf numFmtId="171" fontId="36" fillId="0" borderId="0" xfId="0" applyNumberFormat="1" applyFont="1" applyAlignment="1">
      <alignment vertical="center"/>
    </xf>
    <xf numFmtId="189" fontId="57" fillId="0" borderId="0" xfId="0" applyNumberFormat="1" applyFont="1" applyAlignment="1">
      <alignment horizontal="right" vertical="center"/>
    </xf>
    <xf numFmtId="189" fontId="49" fillId="0" borderId="0" xfId="0" applyNumberFormat="1" applyFont="1" applyAlignment="1">
      <alignment horizontal="right" vertical="center"/>
    </xf>
    <xf numFmtId="0" fontId="36" fillId="0" borderId="0" xfId="0" applyFont="1" applyAlignment="1">
      <alignment horizontal="right" vertical="center"/>
    </xf>
    <xf numFmtId="183" fontId="49" fillId="0" borderId="0" xfId="0" applyNumberFormat="1" applyFont="1" applyAlignment="1">
      <alignment horizontal="right" vertical="center"/>
    </xf>
    <xf numFmtId="0" fontId="64" fillId="0" borderId="0" xfId="0" applyFont="1" applyAlignment="1">
      <alignment vertical="center"/>
    </xf>
    <xf numFmtId="169" fontId="49" fillId="0" borderId="0" xfId="0" applyNumberFormat="1" applyFont="1" applyAlignment="1">
      <alignment horizontal="right" vertical="center"/>
    </xf>
    <xf numFmtId="0" fontId="36" fillId="0" borderId="8" xfId="0" applyFont="1" applyBorder="1" applyAlignment="1">
      <alignment vertical="center"/>
    </xf>
    <xf numFmtId="0" fontId="53" fillId="0" borderId="8" xfId="0" applyFont="1" applyBorder="1" applyAlignment="1">
      <alignment horizontal="right" vertical="center"/>
    </xf>
    <xf numFmtId="0" fontId="42" fillId="0" borderId="0" xfId="0" applyFont="1"/>
    <xf numFmtId="0" fontId="58" fillId="0" borderId="0" xfId="0" applyFont="1" applyAlignment="1">
      <alignment horizontal="right"/>
    </xf>
    <xf numFmtId="173" fontId="44" fillId="0" borderId="0" xfId="0" applyNumberFormat="1" applyFont="1" applyAlignment="1">
      <alignment horizontal="center"/>
    </xf>
    <xf numFmtId="0" fontId="44" fillId="0" borderId="12" xfId="3" applyNumberFormat="1" applyFont="1" applyBorder="1" applyAlignment="1">
      <alignment horizontal="center" vertical="center"/>
    </xf>
    <xf numFmtId="174" fontId="65" fillId="0" borderId="0" xfId="0" applyNumberFormat="1" applyFont="1" applyAlignment="1">
      <alignment vertical="center"/>
    </xf>
    <xf numFmtId="174" fontId="43" fillId="0" borderId="0" xfId="0" applyNumberFormat="1" applyFont="1" applyAlignment="1">
      <alignment horizontal="right" vertical="center"/>
    </xf>
    <xf numFmtId="176" fontId="67" fillId="0" borderId="0" xfId="0" applyNumberFormat="1" applyFont="1" applyAlignment="1">
      <alignment vertical="center"/>
    </xf>
    <xf numFmtId="176" fontId="49" fillId="0" borderId="2" xfId="0" applyNumberFormat="1" applyFont="1" applyBorder="1" applyAlignment="1">
      <alignment vertical="center"/>
    </xf>
    <xf numFmtId="176" fontId="49" fillId="0" borderId="2" xfId="0" applyNumberFormat="1" applyFont="1" applyBorder="1" applyAlignment="1">
      <alignment horizontal="right" vertical="center"/>
    </xf>
    <xf numFmtId="0" fontId="43" fillId="0" borderId="2" xfId="0" applyFont="1" applyBorder="1" applyAlignment="1">
      <alignment vertical="center"/>
    </xf>
    <xf numFmtId="176" fontId="43" fillId="0" borderId="2" xfId="0" applyNumberFormat="1" applyFont="1" applyBorder="1" applyAlignment="1">
      <alignment vertical="center"/>
    </xf>
    <xf numFmtId="176" fontId="43" fillId="0" borderId="2" xfId="0" applyNumberFormat="1" applyFont="1" applyBorder="1" applyAlignment="1">
      <alignment horizontal="right" vertical="center"/>
    </xf>
    <xf numFmtId="176" fontId="50" fillId="0" borderId="0" xfId="0" applyNumberFormat="1" applyFont="1" applyAlignment="1">
      <alignment horizontal="right" vertical="center"/>
    </xf>
    <xf numFmtId="176" fontId="36" fillId="0" borderId="2" xfId="0" applyNumberFormat="1" applyFont="1" applyBorder="1" applyAlignment="1">
      <alignment horizontal="right" vertical="center"/>
    </xf>
    <xf numFmtId="176" fontId="36" fillId="0" borderId="0" xfId="0" applyNumberFormat="1" applyFont="1" applyAlignment="1">
      <alignment horizontal="right"/>
    </xf>
    <xf numFmtId="7" fontId="36" fillId="0" borderId="0" xfId="0" applyNumberFormat="1" applyFont="1" applyAlignment="1">
      <alignment horizontal="right" vertical="center"/>
    </xf>
    <xf numFmtId="0" fontId="36" fillId="0" borderId="0" xfId="0" applyFont="1" applyAlignment="1">
      <alignment horizontal="right"/>
    </xf>
    <xf numFmtId="0" fontId="36" fillId="0" borderId="2" xfId="0" applyFont="1" applyBorder="1" applyAlignment="1">
      <alignment horizontal="right" vertical="center"/>
    </xf>
    <xf numFmtId="176" fontId="55" fillId="0" borderId="2" xfId="0" applyNumberFormat="1" applyFont="1" applyBorder="1" applyAlignment="1">
      <alignment vertical="center"/>
    </xf>
    <xf numFmtId="176" fontId="55" fillId="0" borderId="2" xfId="0" applyNumberFormat="1" applyFont="1" applyBorder="1" applyAlignment="1">
      <alignment horizontal="right" vertical="center"/>
    </xf>
    <xf numFmtId="0" fontId="43" fillId="0" borderId="2" xfId="0" applyFont="1" applyBorder="1" applyAlignment="1">
      <alignment horizontal="right" vertical="center"/>
    </xf>
    <xf numFmtId="176" fontId="55" fillId="5" borderId="3" xfId="0" applyNumberFormat="1" applyFont="1" applyFill="1" applyBorder="1" applyAlignment="1">
      <alignment vertical="center"/>
    </xf>
    <xf numFmtId="174" fontId="55" fillId="5" borderId="3" xfId="0" applyNumberFormat="1" applyFont="1" applyFill="1" applyBorder="1" applyAlignment="1">
      <alignment horizontal="right" vertical="center"/>
    </xf>
    <xf numFmtId="0" fontId="43" fillId="5" borderId="3" xfId="0" applyFont="1" applyFill="1" applyBorder="1" applyAlignment="1">
      <alignment horizontal="right" vertical="center"/>
    </xf>
    <xf numFmtId="176" fontId="55" fillId="5" borderId="3" xfId="0" applyNumberFormat="1" applyFont="1" applyFill="1" applyBorder="1" applyAlignment="1">
      <alignment horizontal="right" vertical="center"/>
    </xf>
    <xf numFmtId="181" fontId="36" fillId="0" borderId="0" xfId="0" applyNumberFormat="1" applyFont="1" applyAlignment="1">
      <alignment horizontal="right" vertical="center"/>
    </xf>
    <xf numFmtId="184" fontId="36" fillId="0" borderId="0" xfId="0" applyNumberFormat="1" applyFont="1" applyAlignment="1">
      <alignment horizontal="right" vertical="center"/>
    </xf>
    <xf numFmtId="164" fontId="36" fillId="0" borderId="0" xfId="0" applyNumberFormat="1" applyFont="1" applyAlignment="1">
      <alignment horizontal="right" vertical="center"/>
    </xf>
    <xf numFmtId="0" fontId="43" fillId="5" borderId="0" xfId="0" applyFont="1" applyFill="1" applyAlignment="1">
      <alignment vertical="center"/>
    </xf>
    <xf numFmtId="0" fontId="43" fillId="5" borderId="0" xfId="0" applyFont="1" applyFill="1" applyAlignment="1">
      <alignment horizontal="right" vertical="center"/>
    </xf>
    <xf numFmtId="181" fontId="43" fillId="5" borderId="0" xfId="0" applyNumberFormat="1" applyFont="1" applyFill="1" applyAlignment="1">
      <alignment horizontal="right" vertical="center"/>
    </xf>
    <xf numFmtId="179" fontId="56" fillId="5" borderId="0" xfId="0" applyNumberFormat="1" applyFont="1" applyFill="1" applyAlignment="1">
      <alignment horizontal="right" vertical="center"/>
    </xf>
    <xf numFmtId="174" fontId="50" fillId="0" borderId="0" xfId="0" applyNumberFormat="1" applyFont="1" applyAlignment="1">
      <alignment horizontal="right" vertical="center"/>
    </xf>
    <xf numFmtId="181" fontId="50" fillId="0" borderId="0" xfId="0" applyNumberFormat="1" applyFont="1" applyAlignment="1">
      <alignment horizontal="right" vertical="center"/>
    </xf>
    <xf numFmtId="176" fontId="46" fillId="0" borderId="0" xfId="0" applyNumberFormat="1" applyFont="1" applyAlignment="1">
      <alignment horizontal="right" vertical="center"/>
    </xf>
    <xf numFmtId="174" fontId="66" fillId="0" borderId="0" xfId="0" applyNumberFormat="1" applyFont="1" applyAlignment="1">
      <alignment vertical="center"/>
    </xf>
    <xf numFmtId="0" fontId="52" fillId="0" borderId="0" xfId="0" applyFont="1" applyAlignment="1">
      <alignment horizontal="right" vertical="center"/>
    </xf>
    <xf numFmtId="179" fontId="68" fillId="0" borderId="0" xfId="0" applyNumberFormat="1" applyFont="1" applyAlignment="1">
      <alignment horizontal="right" vertical="center"/>
    </xf>
    <xf numFmtId="179" fontId="47" fillId="0" borderId="0" xfId="0" applyNumberFormat="1" applyFont="1" applyAlignment="1">
      <alignment vertical="center"/>
    </xf>
    <xf numFmtId="165" fontId="36" fillId="0" borderId="0" xfId="0" applyNumberFormat="1" applyFont="1" applyAlignment="1">
      <alignment vertical="center"/>
    </xf>
    <xf numFmtId="165" fontId="48" fillId="0" borderId="0" xfId="0" applyNumberFormat="1" applyFont="1" applyAlignment="1">
      <alignment vertical="center"/>
    </xf>
    <xf numFmtId="179" fontId="68" fillId="0" borderId="0" xfId="0" applyNumberFormat="1" applyFont="1" applyAlignment="1">
      <alignment vertical="center"/>
    </xf>
    <xf numFmtId="165" fontId="51" fillId="0" borderId="0" xfId="0" applyNumberFormat="1" applyFont="1" applyAlignment="1">
      <alignment vertical="center"/>
    </xf>
    <xf numFmtId="179" fontId="51" fillId="0" borderId="0" xfId="0" applyNumberFormat="1" applyFont="1" applyAlignment="1">
      <alignment vertical="center"/>
    </xf>
    <xf numFmtId="165" fontId="47" fillId="0" borderId="0" xfId="0" applyNumberFormat="1" applyFont="1" applyAlignment="1">
      <alignment vertical="center"/>
    </xf>
    <xf numFmtId="165" fontId="53" fillId="0" borderId="0" xfId="0" applyNumberFormat="1" applyFont="1" applyAlignment="1">
      <alignment vertical="center"/>
    </xf>
    <xf numFmtId="179" fontId="53" fillId="0" borderId="0" xfId="0" applyNumberFormat="1" applyFont="1" applyAlignment="1">
      <alignment vertical="center"/>
    </xf>
    <xf numFmtId="0" fontId="69" fillId="0" borderId="0" xfId="0" applyFont="1"/>
    <xf numFmtId="0" fontId="70" fillId="0" borderId="0" xfId="0" applyFont="1" applyAlignment="1">
      <alignment horizontal="centerContinuous" vertical="center"/>
    </xf>
    <xf numFmtId="0" fontId="60" fillId="0" borderId="0" xfId="0" applyFont="1" applyAlignment="1">
      <alignment horizontal="centerContinuous" vertical="center"/>
    </xf>
    <xf numFmtId="0" fontId="60" fillId="0" borderId="0" xfId="0" applyFont="1" applyAlignment="1">
      <alignment vertical="center"/>
    </xf>
    <xf numFmtId="0" fontId="44" fillId="0" borderId="0" xfId="0" applyFont="1" applyAlignment="1">
      <alignment horizontal="center" vertical="center"/>
    </xf>
    <xf numFmtId="172" fontId="62" fillId="0" borderId="0" xfId="0" applyNumberFormat="1" applyFont="1" applyAlignment="1">
      <alignment horizontal="center"/>
    </xf>
    <xf numFmtId="0" fontId="62" fillId="0" borderId="12" xfId="0" applyFont="1" applyBorder="1" applyAlignment="1">
      <alignment horizontal="center" vertical="center"/>
    </xf>
    <xf numFmtId="185" fontId="44" fillId="0" borderId="12" xfId="0" applyNumberFormat="1" applyFont="1" applyBorder="1" applyAlignment="1">
      <alignment horizontal="center" vertical="center"/>
    </xf>
    <xf numFmtId="0" fontId="44" fillId="0" borderId="12" xfId="0" applyFont="1" applyBorder="1" applyAlignment="1">
      <alignment horizontal="center" vertical="center"/>
    </xf>
    <xf numFmtId="186" fontId="44" fillId="0" borderId="12" xfId="0" applyNumberFormat="1" applyFont="1" applyBorder="1" applyAlignment="1">
      <alignment horizontal="center"/>
    </xf>
    <xf numFmtId="0" fontId="36" fillId="5" borderId="0" xfId="0" applyFont="1" applyFill="1"/>
    <xf numFmtId="174" fontId="36" fillId="5" borderId="0" xfId="0" applyNumberFormat="1" applyFont="1" applyFill="1" applyAlignment="1">
      <alignment vertical="center"/>
    </xf>
    <xf numFmtId="174" fontId="57" fillId="0" borderId="0" xfId="0" applyNumberFormat="1" applyFont="1" applyAlignment="1">
      <alignment vertical="center"/>
    </xf>
    <xf numFmtId="175" fontId="49" fillId="5" borderId="0" xfId="0" applyNumberFormat="1" applyFont="1" applyFill="1" applyAlignment="1">
      <alignment vertical="center"/>
    </xf>
    <xf numFmtId="176" fontId="49" fillId="5" borderId="2" xfId="0" applyNumberFormat="1" applyFont="1" applyFill="1" applyBorder="1" applyAlignment="1">
      <alignment vertical="center"/>
    </xf>
    <xf numFmtId="176" fontId="49" fillId="0" borderId="0" xfId="0" applyNumberFormat="1" applyFont="1" applyAlignment="1">
      <alignment vertical="center"/>
    </xf>
    <xf numFmtId="176" fontId="36" fillId="5" borderId="0" xfId="0" applyNumberFormat="1" applyFont="1" applyFill="1" applyAlignment="1">
      <alignment vertical="center"/>
    </xf>
    <xf numFmtId="176" fontId="46" fillId="0" borderId="2" xfId="0" applyNumberFormat="1" applyFont="1" applyBorder="1" applyAlignment="1">
      <alignment vertical="center"/>
    </xf>
    <xf numFmtId="176" fontId="36" fillId="5" borderId="2" xfId="0" applyNumberFormat="1" applyFont="1" applyFill="1" applyBorder="1" applyAlignment="1">
      <alignment vertical="center"/>
    </xf>
    <xf numFmtId="0" fontId="43" fillId="0" borderId="3" xfId="0" applyFont="1" applyBorder="1" applyAlignment="1">
      <alignment vertical="center"/>
    </xf>
    <xf numFmtId="174" fontId="55" fillId="0" borderId="3" xfId="0" applyNumberFormat="1" applyFont="1" applyBorder="1" applyAlignment="1">
      <alignment vertical="center"/>
    </xf>
    <xf numFmtId="0" fontId="36" fillId="5" borderId="0" xfId="0" applyFont="1" applyFill="1" applyAlignment="1">
      <alignment vertical="center"/>
    </xf>
    <xf numFmtId="176" fontId="49" fillId="5" borderId="0" xfId="0" applyNumberFormat="1" applyFont="1" applyFill="1" applyAlignment="1">
      <alignment vertical="center"/>
    </xf>
    <xf numFmtId="176" fontId="50" fillId="0" borderId="6" xfId="0" applyNumberFormat="1" applyFont="1" applyBorder="1" applyAlignment="1">
      <alignment vertical="center"/>
    </xf>
    <xf numFmtId="176" fontId="50" fillId="5" borderId="6" xfId="0" applyNumberFormat="1" applyFont="1" applyFill="1" applyBorder="1" applyAlignment="1">
      <alignment vertical="center"/>
    </xf>
    <xf numFmtId="176" fontId="55" fillId="0" borderId="3" xfId="0" applyNumberFormat="1" applyFont="1" applyBorder="1" applyAlignment="1">
      <alignment vertical="center"/>
    </xf>
    <xf numFmtId="0" fontId="43" fillId="0" borderId="3" xfId="0" applyFont="1" applyBorder="1" applyAlignment="1">
      <alignment horizontal="left" vertical="center"/>
    </xf>
    <xf numFmtId="0" fontId="57" fillId="0" borderId="0" xfId="0" applyFont="1"/>
    <xf numFmtId="0" fontId="68" fillId="0" borderId="0" xfId="0" applyFont="1"/>
    <xf numFmtId="180" fontId="68" fillId="0" borderId="0" xfId="0" applyNumberFormat="1" applyFont="1"/>
    <xf numFmtId="180" fontId="68" fillId="5" borderId="0" xfId="0" applyNumberFormat="1" applyFont="1" applyFill="1"/>
    <xf numFmtId="179" fontId="71" fillId="0" borderId="8" xfId="0" applyNumberFormat="1" applyFont="1" applyBorder="1" applyAlignment="1">
      <alignment vertical="center"/>
    </xf>
    <xf numFmtId="179" fontId="48" fillId="0" borderId="8" xfId="0" applyNumberFormat="1" applyFont="1" applyBorder="1" applyAlignment="1">
      <alignment vertical="center"/>
    </xf>
    <xf numFmtId="180" fontId="71" fillId="0" borderId="0" xfId="0" applyNumberFormat="1" applyFont="1"/>
    <xf numFmtId="166" fontId="49" fillId="0" borderId="0" xfId="0" applyNumberFormat="1" applyFont="1"/>
    <xf numFmtId="0" fontId="36" fillId="0" borderId="4" xfId="0" applyFont="1" applyBorder="1" applyAlignment="1">
      <alignment vertical="center"/>
    </xf>
    <xf numFmtId="176" fontId="36" fillId="0" borderId="4" xfId="0" applyNumberFormat="1" applyFont="1" applyBorder="1" applyAlignment="1">
      <alignment vertical="center"/>
    </xf>
    <xf numFmtId="174" fontId="43" fillId="5" borderId="3" xfId="0" applyNumberFormat="1" applyFont="1" applyFill="1" applyBorder="1" applyAlignment="1">
      <alignment vertical="center"/>
    </xf>
    <xf numFmtId="7" fontId="36" fillId="0" borderId="0" xfId="0" applyNumberFormat="1" applyFont="1" applyAlignment="1">
      <alignment vertical="center"/>
    </xf>
    <xf numFmtId="167" fontId="55" fillId="0" borderId="0" xfId="0" applyNumberFormat="1" applyFont="1" applyAlignment="1">
      <alignment vertical="center"/>
    </xf>
    <xf numFmtId="174" fontId="43" fillId="0" borderId="0" xfId="0" applyNumberFormat="1" applyFont="1" applyAlignment="1">
      <alignment vertical="center"/>
    </xf>
    <xf numFmtId="176" fontId="43" fillId="0" borderId="0" xfId="0" applyNumberFormat="1" applyFont="1" applyAlignment="1">
      <alignment vertical="center"/>
    </xf>
    <xf numFmtId="0" fontId="72" fillId="0" borderId="0" xfId="0" applyFont="1" applyAlignment="1">
      <alignment horizontal="centerContinuous" vertical="center"/>
    </xf>
    <xf numFmtId="172" fontId="59" fillId="0" borderId="0" xfId="0" applyNumberFormat="1" applyFont="1" applyAlignment="1">
      <alignment horizontal="center"/>
    </xf>
    <xf numFmtId="192" fontId="36" fillId="0" borderId="0" xfId="0" applyNumberFormat="1" applyFont="1" applyAlignment="1">
      <alignment vertical="center"/>
    </xf>
    <xf numFmtId="168" fontId="49" fillId="5" borderId="0" xfId="0" applyNumberFormat="1" applyFont="1" applyFill="1" applyAlignment="1">
      <alignment vertical="center"/>
    </xf>
    <xf numFmtId="0" fontId="73" fillId="0" borderId="0" xfId="0" applyFont="1" applyAlignment="1">
      <alignment horizontal="center" vertical="center"/>
    </xf>
    <xf numFmtId="0" fontId="57" fillId="0" borderId="0" xfId="0" applyFont="1" applyAlignment="1">
      <alignment vertical="center"/>
    </xf>
    <xf numFmtId="179" fontId="48" fillId="5" borderId="0" xfId="0" applyNumberFormat="1" applyFont="1" applyFill="1" applyAlignment="1">
      <alignment vertical="center"/>
    </xf>
    <xf numFmtId="0" fontId="67" fillId="0" borderId="0" xfId="0" applyFont="1"/>
    <xf numFmtId="178" fontId="68" fillId="0" borderId="0" xfId="0" applyNumberFormat="1" applyFont="1" applyAlignment="1">
      <alignment horizontal="right" vertical="center"/>
    </xf>
    <xf numFmtId="0" fontId="74" fillId="0" borderId="0" xfId="0" applyFont="1"/>
    <xf numFmtId="0" fontId="75" fillId="0" borderId="0" xfId="0" applyFont="1" applyAlignment="1">
      <alignment vertical="center"/>
    </xf>
    <xf numFmtId="0" fontId="41" fillId="0" borderId="0" xfId="0" applyFont="1" applyAlignment="1">
      <alignment vertical="center"/>
    </xf>
    <xf numFmtId="175" fontId="41" fillId="0" borderId="0" xfId="0" applyNumberFormat="1" applyFont="1" applyAlignment="1">
      <alignment vertical="center"/>
    </xf>
    <xf numFmtId="172" fontId="62" fillId="0" borderId="0" xfId="0" applyNumberFormat="1" applyFont="1" applyAlignment="1">
      <alignment horizontal="center" vertical="center"/>
    </xf>
    <xf numFmtId="185" fontId="62" fillId="0" borderId="12" xfId="0" applyNumberFormat="1" applyFont="1" applyBorder="1" applyAlignment="1">
      <alignment horizontal="center" vertical="center"/>
    </xf>
    <xf numFmtId="0" fontId="63" fillId="0" borderId="0" xfId="0" applyFont="1"/>
    <xf numFmtId="0" fontId="49" fillId="0" borderId="0" xfId="0" applyFont="1" applyAlignment="1">
      <alignment horizontal="center"/>
    </xf>
    <xf numFmtId="184" fontId="36" fillId="0" borderId="0" xfId="0" applyNumberFormat="1" applyFont="1" applyAlignment="1">
      <alignment vertical="center"/>
    </xf>
    <xf numFmtId="174" fontId="76" fillId="5" borderId="3" xfId="0" applyNumberFormat="1" applyFont="1" applyFill="1" applyBorder="1" applyAlignment="1">
      <alignment vertical="center"/>
    </xf>
    <xf numFmtId="174" fontId="77" fillId="0" borderId="2" xfId="0" applyNumberFormat="1" applyFont="1" applyBorder="1" applyAlignment="1">
      <alignment vertical="center"/>
    </xf>
    <xf numFmtId="0" fontId="78" fillId="0" borderId="16" xfId="0" applyFont="1" applyBorder="1" applyAlignment="1">
      <alignment vertical="center"/>
    </xf>
    <xf numFmtId="0" fontId="36" fillId="0" borderId="16" xfId="0" applyFont="1" applyBorder="1" applyAlignment="1">
      <alignment vertical="center"/>
    </xf>
    <xf numFmtId="184" fontId="36" fillId="0" borderId="16" xfId="0" applyNumberFormat="1" applyFont="1" applyBorder="1" applyAlignment="1">
      <alignment vertical="center"/>
    </xf>
    <xf numFmtId="0" fontId="36" fillId="5" borderId="0" xfId="0" applyFont="1" applyFill="1" applyAlignment="1">
      <alignment horizontal="left" vertical="center"/>
    </xf>
    <xf numFmtId="0" fontId="75" fillId="5" borderId="0" xfId="0" applyFont="1" applyFill="1" applyAlignment="1">
      <alignment vertical="center"/>
    </xf>
    <xf numFmtId="0" fontId="41" fillId="5" borderId="0" xfId="0" applyFont="1" applyFill="1" applyAlignment="1">
      <alignment vertical="center"/>
    </xf>
    <xf numFmtId="0" fontId="36" fillId="5" borderId="2" xfId="0" applyFont="1" applyFill="1" applyBorder="1" applyAlignment="1">
      <alignment vertical="center"/>
    </xf>
    <xf numFmtId="174" fontId="57" fillId="5" borderId="6" xfId="0" applyNumberFormat="1" applyFont="1" applyFill="1" applyBorder="1" applyAlignment="1">
      <alignment vertical="center"/>
    </xf>
    <xf numFmtId="174" fontId="36" fillId="5" borderId="2" xfId="0" applyNumberFormat="1" applyFont="1" applyFill="1" applyBorder="1" applyAlignment="1">
      <alignment vertical="center"/>
    </xf>
    <xf numFmtId="184" fontId="36" fillId="5" borderId="0" xfId="0" applyNumberFormat="1" applyFont="1" applyFill="1" applyAlignment="1">
      <alignment vertical="center"/>
    </xf>
    <xf numFmtId="174" fontId="57" fillId="5" borderId="0" xfId="0" applyNumberFormat="1" applyFont="1" applyFill="1" applyAlignment="1">
      <alignment vertical="center"/>
    </xf>
    <xf numFmtId="0" fontId="64" fillId="5" borderId="0" xfId="0" applyFont="1" applyFill="1" applyAlignment="1">
      <alignment vertical="center"/>
    </xf>
    <xf numFmtId="174" fontId="49" fillId="5" borderId="0" xfId="0" applyNumberFormat="1" applyFont="1" applyFill="1" applyAlignment="1">
      <alignment vertical="center"/>
    </xf>
    <xf numFmtId="174" fontId="49" fillId="5" borderId="6" xfId="0" applyNumberFormat="1" applyFont="1" applyFill="1" applyBorder="1" applyAlignment="1">
      <alignment vertical="center"/>
    </xf>
    <xf numFmtId="184" fontId="36" fillId="0" borderId="8" xfId="0" applyNumberFormat="1" applyFont="1" applyBorder="1" applyAlignment="1">
      <alignment vertical="center"/>
    </xf>
    <xf numFmtId="0" fontId="59" fillId="0" borderId="0" xfId="0" applyFont="1" applyAlignment="1">
      <alignment horizontal="center" vertical="center"/>
    </xf>
    <xf numFmtId="185" fontId="59" fillId="0" borderId="0" xfId="0" applyNumberFormat="1" applyFont="1" applyAlignment="1">
      <alignment horizontal="center" vertical="center"/>
    </xf>
    <xf numFmtId="1" fontId="59" fillId="0" borderId="0" xfId="0" applyNumberFormat="1" applyFont="1" applyAlignment="1">
      <alignment horizontal="center" vertical="center"/>
    </xf>
    <xf numFmtId="178" fontId="48" fillId="0" borderId="0" xfId="0" applyNumberFormat="1" applyFont="1" applyAlignment="1">
      <alignment horizontal="right" vertical="center"/>
    </xf>
    <xf numFmtId="178" fontId="71" fillId="0" borderId="0" xfId="0" applyNumberFormat="1" applyFont="1" applyAlignment="1">
      <alignment vertical="center"/>
    </xf>
    <xf numFmtId="0" fontId="79" fillId="0" borderId="0" xfId="0" applyFont="1" applyAlignment="1">
      <alignment horizontal="center" vertical="center"/>
    </xf>
    <xf numFmtId="174" fontId="57" fillId="0" borderId="0" xfId="0" applyNumberFormat="1" applyFont="1" applyAlignment="1">
      <alignment horizontal="right" vertical="center"/>
    </xf>
    <xf numFmtId="0" fontId="43" fillId="0" borderId="0" xfId="0" applyFont="1" applyAlignment="1">
      <alignment horizontal="left" vertical="center"/>
    </xf>
    <xf numFmtId="174" fontId="76" fillId="0" borderId="0" xfId="0" applyNumberFormat="1" applyFont="1" applyAlignment="1">
      <alignment horizontal="right" vertical="center"/>
    </xf>
    <xf numFmtId="176" fontId="76" fillId="0" borderId="0" xfId="0" applyNumberFormat="1" applyFont="1" applyAlignment="1">
      <alignment horizontal="right" vertical="center"/>
    </xf>
    <xf numFmtId="0" fontId="59" fillId="0" borderId="12" xfId="0" applyFont="1" applyBorder="1" applyAlignment="1">
      <alignment horizontal="center" vertical="center"/>
    </xf>
    <xf numFmtId="0" fontId="55" fillId="0" borderId="0" xfId="0" applyFont="1" applyAlignment="1">
      <alignment horizontal="center"/>
    </xf>
    <xf numFmtId="174" fontId="49" fillId="0" borderId="6" xfId="0" applyNumberFormat="1" applyFont="1" applyBorder="1" applyAlignment="1">
      <alignment vertical="center"/>
    </xf>
    <xf numFmtId="186" fontId="59" fillId="0" borderId="0" xfId="0" applyNumberFormat="1" applyFont="1" applyAlignment="1">
      <alignment horizontal="center" vertical="center"/>
    </xf>
    <xf numFmtId="0" fontId="43" fillId="0" borderId="0" xfId="0" applyFont="1" applyAlignment="1">
      <alignment horizontal="center" vertical="center"/>
    </xf>
    <xf numFmtId="186" fontId="36" fillId="0" borderId="0" xfId="0" applyNumberFormat="1" applyFont="1" applyAlignment="1">
      <alignment horizontal="left" vertical="center"/>
    </xf>
    <xf numFmtId="167" fontId="46" fillId="0" borderId="0" xfId="0" applyNumberFormat="1" applyFont="1" applyAlignment="1">
      <alignment vertical="center"/>
    </xf>
    <xf numFmtId="168" fontId="46" fillId="0" borderId="0" xfId="0" applyNumberFormat="1" applyFont="1" applyAlignment="1">
      <alignment vertical="center"/>
    </xf>
    <xf numFmtId="176" fontId="36" fillId="5" borderId="0" xfId="0" applyNumberFormat="1" applyFont="1" applyFill="1" applyAlignment="1">
      <alignment horizontal="right" vertical="center"/>
    </xf>
    <xf numFmtId="176" fontId="49" fillId="0" borderId="0" xfId="0" applyNumberFormat="1" applyFont="1" applyAlignment="1">
      <alignment horizontal="right" vertical="center"/>
    </xf>
    <xf numFmtId="174" fontId="49" fillId="0" borderId="2" xfId="0" applyNumberFormat="1" applyFont="1" applyBorder="1" applyAlignment="1">
      <alignment vertical="center"/>
    </xf>
    <xf numFmtId="174" fontId="57" fillId="0" borderId="2" xfId="0" applyNumberFormat="1" applyFont="1" applyBorder="1" applyAlignment="1">
      <alignment vertical="center"/>
    </xf>
    <xf numFmtId="8" fontId="36" fillId="0" borderId="0" xfId="0" applyNumberFormat="1" applyFont="1" applyAlignment="1">
      <alignment vertical="center"/>
    </xf>
    <xf numFmtId="174" fontId="36" fillId="0" borderId="2" xfId="0" applyNumberFormat="1" applyFont="1" applyBorder="1" applyAlignment="1">
      <alignment horizontal="right" vertical="center"/>
    </xf>
    <xf numFmtId="0" fontId="44" fillId="0" borderId="0" xfId="0" applyFont="1" applyAlignment="1">
      <alignment vertical="center"/>
    </xf>
    <xf numFmtId="179" fontId="51" fillId="0" borderId="0" xfId="0" applyNumberFormat="1" applyFont="1" applyAlignment="1">
      <alignment horizontal="right" vertical="center"/>
    </xf>
    <xf numFmtId="168" fontId="36" fillId="0" borderId="0" xfId="0" applyNumberFormat="1" applyFont="1" applyAlignment="1">
      <alignment vertical="center"/>
    </xf>
    <xf numFmtId="174" fontId="50" fillId="0" borderId="2" xfId="0" applyNumberFormat="1" applyFont="1" applyBorder="1" applyAlignment="1">
      <alignment vertical="center"/>
    </xf>
    <xf numFmtId="175" fontId="43" fillId="0" borderId="5" xfId="0" applyNumberFormat="1" applyFont="1" applyBorder="1" applyAlignment="1">
      <alignment vertical="center"/>
    </xf>
    <xf numFmtId="174" fontId="80" fillId="0" borderId="5" xfId="0" applyNumberFormat="1" applyFont="1" applyBorder="1" applyAlignment="1">
      <alignment vertical="center"/>
    </xf>
    <xf numFmtId="174" fontId="43" fillId="0" borderId="5" xfId="0" applyNumberFormat="1" applyFont="1" applyBorder="1" applyAlignment="1">
      <alignment vertical="center"/>
    </xf>
    <xf numFmtId="0" fontId="81" fillId="0" borderId="0" xfId="0" applyFont="1" applyAlignment="1">
      <alignment vertical="center"/>
    </xf>
    <xf numFmtId="181" fontId="50" fillId="0" borderId="0" xfId="0" applyNumberFormat="1" applyFont="1" applyAlignment="1">
      <alignment vertical="center"/>
    </xf>
    <xf numFmtId="0" fontId="60" fillId="0" borderId="0" xfId="3" applyNumberFormat="1" applyFont="1" applyFill="1" applyBorder="1" applyAlignment="1">
      <alignment horizontal="centerContinuous" vertical="center"/>
    </xf>
    <xf numFmtId="0" fontId="69" fillId="0" borderId="0" xfId="3" applyNumberFormat="1" applyFont="1" applyFill="1" applyBorder="1" applyAlignment="1">
      <alignment horizontal="center" vertical="center"/>
    </xf>
    <xf numFmtId="0" fontId="69" fillId="0" borderId="12" xfId="3" applyNumberFormat="1" applyFont="1" applyFill="1" applyBorder="1" applyAlignment="1">
      <alignment horizontal="center" vertical="center"/>
    </xf>
    <xf numFmtId="191" fontId="81" fillId="0" borderId="0" xfId="0" applyNumberFormat="1" applyFont="1" applyAlignment="1">
      <alignment horizontal="right" vertical="center"/>
    </xf>
    <xf numFmtId="0" fontId="50" fillId="0" borderId="0" xfId="0" applyFont="1" applyAlignment="1">
      <alignment vertical="center"/>
    </xf>
    <xf numFmtId="0" fontId="82" fillId="0" borderId="0" xfId="0" applyFont="1" applyAlignment="1">
      <alignment vertical="center"/>
    </xf>
    <xf numFmtId="180" fontId="50" fillId="0" borderId="0" xfId="0" applyNumberFormat="1" applyFont="1" applyAlignment="1">
      <alignment horizontal="right" vertical="center"/>
    </xf>
    <xf numFmtId="181" fontId="57" fillId="0" borderId="0" xfId="0" applyNumberFormat="1" applyFont="1" applyAlignment="1">
      <alignment vertical="center"/>
    </xf>
    <xf numFmtId="190" fontId="50" fillId="0" borderId="0" xfId="0" applyNumberFormat="1" applyFont="1" applyAlignment="1">
      <alignment horizontal="right" vertical="center"/>
    </xf>
    <xf numFmtId="180" fontId="36" fillId="5" borderId="0" xfId="0" applyNumberFormat="1" applyFont="1" applyFill="1" applyAlignment="1">
      <alignment vertical="center"/>
    </xf>
    <xf numFmtId="180" fontId="57" fillId="0" borderId="0" xfId="0" applyNumberFormat="1" applyFont="1" applyAlignment="1">
      <alignment vertical="center"/>
    </xf>
    <xf numFmtId="0" fontId="83" fillId="0" borderId="5" xfId="0" applyFont="1" applyBorder="1" applyAlignment="1">
      <alignment vertical="center"/>
    </xf>
    <xf numFmtId="180" fontId="43" fillId="0" borderId="5" xfId="0" applyNumberFormat="1" applyFont="1" applyBorder="1" applyAlignment="1">
      <alignment vertical="center"/>
    </xf>
    <xf numFmtId="180" fontId="43" fillId="5" borderId="5" xfId="0" applyNumberFormat="1" applyFont="1" applyFill="1" applyBorder="1" applyAlignment="1">
      <alignment vertical="center"/>
    </xf>
    <xf numFmtId="0" fontId="44" fillId="0" borderId="12" xfId="0" applyFont="1" applyBorder="1" applyAlignment="1">
      <alignment horizontal="centerContinuous" vertical="center"/>
    </xf>
    <xf numFmtId="0" fontId="55" fillId="0" borderId="0" xfId="0" applyFont="1" applyAlignment="1">
      <alignment horizontal="centerContinuous" vertical="center"/>
    </xf>
    <xf numFmtId="0" fontId="55" fillId="5" borderId="0" xfId="0" applyFont="1" applyFill="1" applyAlignment="1">
      <alignment horizontal="center" vertical="center"/>
    </xf>
    <xf numFmtId="175" fontId="49" fillId="0" borderId="0" xfId="0" applyNumberFormat="1" applyFont="1" applyAlignment="1">
      <alignment horizontal="right" vertical="center"/>
    </xf>
    <xf numFmtId="175" fontId="57" fillId="2" borderId="0" xfId="0" applyNumberFormat="1" applyFont="1" applyFill="1" applyAlignment="1">
      <alignment horizontal="right" vertical="center"/>
    </xf>
    <xf numFmtId="0" fontId="53" fillId="0" borderId="0" xfId="0" applyFont="1" applyAlignment="1">
      <alignment vertical="center" wrapText="1"/>
    </xf>
    <xf numFmtId="174" fontId="36" fillId="5" borderId="0" xfId="0" applyNumberFormat="1" applyFont="1" applyFill="1" applyAlignment="1">
      <alignment horizontal="right" vertical="center"/>
    </xf>
    <xf numFmtId="182" fontId="50" fillId="5" borderId="0" xfId="0" applyNumberFormat="1" applyFont="1" applyFill="1" applyAlignment="1">
      <alignment horizontal="right" vertical="center"/>
    </xf>
    <xf numFmtId="180" fontId="68" fillId="0" borderId="0" xfId="0" applyNumberFormat="1" applyFont="1" applyAlignment="1">
      <alignment vertical="center"/>
    </xf>
    <xf numFmtId="180" fontId="68" fillId="5" borderId="0" xfId="0" applyNumberFormat="1" applyFont="1" applyFill="1" applyAlignment="1">
      <alignment vertical="center"/>
    </xf>
    <xf numFmtId="0" fontId="68" fillId="0" borderId="0" xfId="0" applyFont="1" applyAlignment="1">
      <alignment vertical="center"/>
    </xf>
    <xf numFmtId="176" fontId="57" fillId="0" borderId="0" xfId="0" applyNumberFormat="1" applyFont="1" applyAlignment="1">
      <alignment horizontal="right" vertical="center"/>
    </xf>
    <xf numFmtId="176" fontId="50" fillId="0" borderId="2" xfId="0" applyNumberFormat="1" applyFont="1" applyBorder="1" applyAlignment="1">
      <alignment horizontal="right" vertical="center"/>
    </xf>
    <xf numFmtId="176" fontId="50" fillId="5" borderId="2" xfId="0" applyNumberFormat="1" applyFont="1" applyFill="1" applyBorder="1" applyAlignment="1">
      <alignment horizontal="right" vertical="center"/>
    </xf>
    <xf numFmtId="176" fontId="50" fillId="5" borderId="16" xfId="0" applyNumberFormat="1" applyFont="1" applyFill="1" applyBorder="1" applyAlignment="1">
      <alignment horizontal="right" vertical="center"/>
    </xf>
    <xf numFmtId="174" fontId="76" fillId="0" borderId="3" xfId="0" applyNumberFormat="1" applyFont="1" applyBorder="1" applyAlignment="1">
      <alignment horizontal="right" vertical="center"/>
    </xf>
    <xf numFmtId="174" fontId="76" fillId="5" borderId="3" xfId="0" applyNumberFormat="1" applyFont="1" applyFill="1" applyBorder="1" applyAlignment="1">
      <alignment horizontal="right" vertical="center"/>
    </xf>
    <xf numFmtId="7" fontId="41" fillId="0" borderId="0" xfId="0" applyNumberFormat="1" applyFont="1" applyAlignment="1">
      <alignment vertical="center"/>
    </xf>
    <xf numFmtId="7" fontId="41" fillId="5" borderId="0" xfId="0" applyNumberFormat="1" applyFont="1" applyFill="1" applyAlignment="1">
      <alignment vertical="center"/>
    </xf>
    <xf numFmtId="176" fontId="50" fillId="0" borderId="4" xfId="0" applyNumberFormat="1" applyFont="1" applyBorder="1" applyAlignment="1">
      <alignment horizontal="right" vertical="center"/>
    </xf>
    <xf numFmtId="176" fontId="36" fillId="5" borderId="4" xfId="0" applyNumberFormat="1" applyFont="1" applyFill="1" applyBorder="1" applyAlignment="1">
      <alignment horizontal="right" vertical="center"/>
    </xf>
    <xf numFmtId="0" fontId="41" fillId="0" borderId="0" xfId="0" applyFont="1" applyAlignment="1">
      <alignment horizontal="right" vertical="center"/>
    </xf>
    <xf numFmtId="180" fontId="68" fillId="0" borderId="0" xfId="0" applyNumberFormat="1" applyFont="1" applyAlignment="1">
      <alignment horizontal="right" vertical="center"/>
    </xf>
    <xf numFmtId="180" fontId="68" fillId="5" borderId="0" xfId="0" applyNumberFormat="1" applyFont="1" applyFill="1" applyAlignment="1">
      <alignment horizontal="right" vertical="center"/>
    </xf>
    <xf numFmtId="0" fontId="41" fillId="5" borderId="0" xfId="0" applyFont="1" applyFill="1" applyAlignment="1">
      <alignment horizontal="right" vertical="center"/>
    </xf>
    <xf numFmtId="0" fontId="43" fillId="4" borderId="14" xfId="0" applyFont="1" applyFill="1" applyBorder="1" applyAlignment="1">
      <alignment horizontal="right" vertical="center" indent="1"/>
    </xf>
    <xf numFmtId="0" fontId="43" fillId="4" borderId="15" xfId="0" applyFont="1" applyFill="1" applyBorder="1" applyAlignment="1">
      <alignment horizontal="right" vertical="center" indent="1"/>
    </xf>
    <xf numFmtId="0" fontId="36" fillId="5" borderId="0" xfId="0" applyFont="1" applyFill="1" applyAlignment="1">
      <alignment horizontal="right" vertical="center"/>
    </xf>
    <xf numFmtId="0" fontId="74" fillId="0" borderId="0" xfId="0" applyFont="1" applyAlignment="1">
      <alignment vertical="center"/>
    </xf>
    <xf numFmtId="0" fontId="50" fillId="0" borderId="0" xfId="0" applyFont="1" applyAlignment="1">
      <alignment horizontal="left" vertical="center"/>
    </xf>
    <xf numFmtId="0" fontId="44" fillId="0" borderId="0" xfId="3" applyNumberFormat="1" applyFont="1" applyFill="1" applyBorder="1" applyAlignment="1">
      <alignment horizontal="centerContinuous"/>
    </xf>
    <xf numFmtId="0" fontId="60" fillId="0" borderId="0" xfId="3" applyNumberFormat="1" applyFont="1" applyFill="1" applyBorder="1" applyAlignment="1">
      <alignment horizontal="centerContinuous"/>
    </xf>
    <xf numFmtId="0" fontId="44" fillId="0" borderId="0" xfId="0" applyFont="1" applyAlignment="1">
      <alignment horizontal="centerContinuous"/>
    </xf>
    <xf numFmtId="0" fontId="44" fillId="0" borderId="0" xfId="3" applyNumberFormat="1" applyFont="1" applyFill="1" applyBorder="1" applyAlignment="1">
      <alignment horizontal="center"/>
    </xf>
    <xf numFmtId="180" fontId="36" fillId="0" borderId="0" xfId="0" applyNumberFormat="1" applyFont="1" applyAlignment="1">
      <alignment horizontal="right" vertical="center"/>
    </xf>
    <xf numFmtId="0" fontId="44" fillId="0" borderId="0" xfId="0" applyFont="1" applyAlignment="1">
      <alignment horizontal="centerContinuous" vertical="center"/>
    </xf>
    <xf numFmtId="185" fontId="44" fillId="0" borderId="12" xfId="3" applyNumberFormat="1" applyFont="1" applyFill="1" applyBorder="1" applyAlignment="1">
      <alignment horizontal="center" vertical="center"/>
    </xf>
    <xf numFmtId="176" fontId="57" fillId="5" borderId="0" xfId="0" applyNumberFormat="1" applyFont="1" applyFill="1" applyAlignment="1">
      <alignment vertical="center"/>
    </xf>
    <xf numFmtId="165" fontId="56" fillId="0" borderId="0" xfId="0" applyNumberFormat="1" applyFont="1" applyAlignment="1">
      <alignment horizontal="center" vertical="center"/>
    </xf>
    <xf numFmtId="174" fontId="50" fillId="5" borderId="0" xfId="0" applyNumberFormat="1" applyFont="1" applyFill="1" applyAlignment="1">
      <alignment horizontal="right" vertical="center"/>
    </xf>
    <xf numFmtId="178" fontId="53" fillId="5" borderId="0" xfId="0" applyNumberFormat="1" applyFont="1" applyFill="1" applyAlignment="1">
      <alignment horizontal="right" vertical="center"/>
    </xf>
    <xf numFmtId="178" fontId="53" fillId="0" borderId="0" xfId="0" applyNumberFormat="1" applyFont="1" applyAlignment="1">
      <alignment horizontal="right" vertical="center"/>
    </xf>
    <xf numFmtId="178" fontId="53" fillId="0" borderId="2" xfId="0" applyNumberFormat="1" applyFont="1" applyBorder="1" applyAlignment="1">
      <alignment horizontal="right" vertical="center"/>
    </xf>
    <xf numFmtId="174" fontId="36" fillId="0" borderId="8" xfId="0" applyNumberFormat="1" applyFont="1" applyBorder="1" applyAlignment="1">
      <alignment vertical="center"/>
    </xf>
    <xf numFmtId="179" fontId="53" fillId="0" borderId="8" xfId="0" applyNumberFormat="1" applyFont="1" applyBorder="1" applyAlignment="1">
      <alignment horizontal="right" vertical="center"/>
    </xf>
    <xf numFmtId="0" fontId="43" fillId="0" borderId="0" xfId="0" applyFont="1" applyAlignment="1">
      <alignment horizontal="center"/>
    </xf>
    <xf numFmtId="165" fontId="56" fillId="0" borderId="0" xfId="0" applyNumberFormat="1" applyFont="1" applyAlignment="1">
      <alignment horizontal="center"/>
    </xf>
    <xf numFmtId="14" fontId="55" fillId="0" borderId="0" xfId="0" applyNumberFormat="1" applyFont="1" applyAlignment="1">
      <alignment horizontal="center"/>
    </xf>
    <xf numFmtId="1" fontId="55" fillId="0" borderId="0" xfId="0" applyNumberFormat="1" applyFont="1" applyAlignment="1">
      <alignment horizontal="center"/>
    </xf>
    <xf numFmtId="14" fontId="55" fillId="0" borderId="0" xfId="0" applyNumberFormat="1" applyFont="1" applyAlignment="1">
      <alignment horizontal="center" vertical="center"/>
    </xf>
    <xf numFmtId="1" fontId="49" fillId="0" borderId="0" xfId="0" applyNumberFormat="1" applyFont="1" applyAlignment="1">
      <alignment horizontal="center" vertical="center"/>
    </xf>
    <xf numFmtId="1" fontId="55" fillId="0" borderId="0" xfId="0" applyNumberFormat="1" applyFont="1" applyAlignment="1">
      <alignment horizontal="center" vertical="center"/>
    </xf>
    <xf numFmtId="8" fontId="49" fillId="0" borderId="0" xfId="0" applyNumberFormat="1" applyFont="1" applyAlignment="1">
      <alignment vertical="center"/>
    </xf>
    <xf numFmtId="165" fontId="54" fillId="0" borderId="0" xfId="0" applyNumberFormat="1" applyFont="1" applyAlignment="1">
      <alignment horizontal="center" vertical="center"/>
    </xf>
    <xf numFmtId="174" fontId="49" fillId="0" borderId="0" xfId="0" applyNumberFormat="1" applyFont="1" applyAlignment="1">
      <alignment vertical="center"/>
    </xf>
    <xf numFmtId="187" fontId="36" fillId="0" borderId="0" xfId="0" applyNumberFormat="1" applyFont="1" applyAlignment="1">
      <alignment horizontal="right" vertical="center"/>
    </xf>
    <xf numFmtId="0" fontId="43" fillId="0" borderId="2" xfId="0" applyFont="1" applyBorder="1" applyAlignment="1">
      <alignment horizontal="center" vertical="center"/>
    </xf>
    <xf numFmtId="165" fontId="56" fillId="0" borderId="2" xfId="0" applyNumberFormat="1" applyFont="1" applyBorder="1" applyAlignment="1">
      <alignment horizontal="center" vertical="center"/>
    </xf>
    <xf numFmtId="165" fontId="54" fillId="0" borderId="2" xfId="0" applyNumberFormat="1" applyFont="1" applyBorder="1" applyAlignment="1">
      <alignment horizontal="center" vertical="center"/>
    </xf>
    <xf numFmtId="0" fontId="43" fillId="0" borderId="3" xfId="0" applyFont="1" applyBorder="1" applyAlignment="1">
      <alignment horizontal="center" vertical="center"/>
    </xf>
    <xf numFmtId="165" fontId="56" fillId="0" borderId="3" xfId="0" applyNumberFormat="1" applyFont="1" applyBorder="1" applyAlignment="1">
      <alignment horizontal="center" vertical="center"/>
    </xf>
    <xf numFmtId="165" fontId="54" fillId="0" borderId="3" xfId="0" applyNumberFormat="1" applyFont="1" applyBorder="1" applyAlignment="1">
      <alignment horizontal="center" vertical="center"/>
    </xf>
    <xf numFmtId="174" fontId="43" fillId="0" borderId="3" xfId="0" applyNumberFormat="1" applyFont="1" applyBorder="1" applyAlignment="1">
      <alignment vertical="center"/>
    </xf>
    <xf numFmtId="171" fontId="36" fillId="0" borderId="16" xfId="0" applyNumberFormat="1" applyFont="1" applyBorder="1" applyAlignment="1">
      <alignment vertical="center"/>
    </xf>
    <xf numFmtId="171" fontId="36" fillId="5" borderId="0" xfId="0" applyNumberFormat="1" applyFont="1" applyFill="1" applyAlignment="1">
      <alignment vertical="center"/>
    </xf>
    <xf numFmtId="0" fontId="43" fillId="5" borderId="2" xfId="0" applyFont="1" applyFill="1" applyBorder="1" applyAlignment="1">
      <alignment horizontal="center" vertical="center"/>
    </xf>
    <xf numFmtId="165" fontId="56" fillId="5" borderId="2" xfId="0" applyNumberFormat="1" applyFont="1" applyFill="1" applyBorder="1" applyAlignment="1">
      <alignment horizontal="center" vertical="center"/>
    </xf>
    <xf numFmtId="0" fontId="43" fillId="5" borderId="0" xfId="0" applyFont="1" applyFill="1" applyAlignment="1">
      <alignment horizontal="center" vertical="center"/>
    </xf>
    <xf numFmtId="165" fontId="56" fillId="5" borderId="0" xfId="0" applyNumberFormat="1" applyFont="1" applyFill="1" applyAlignment="1">
      <alignment horizontal="center" vertical="center"/>
    </xf>
    <xf numFmtId="0" fontId="43" fillId="5" borderId="17" xfId="0" applyFont="1" applyFill="1" applyBorder="1" applyAlignment="1">
      <alignment vertical="center"/>
    </xf>
    <xf numFmtId="179" fontId="43" fillId="5" borderId="18" xfId="0" applyNumberFormat="1" applyFont="1" applyFill="1" applyBorder="1" applyAlignment="1">
      <alignment horizontal="right" vertical="center"/>
    </xf>
    <xf numFmtId="9" fontId="43" fillId="5" borderId="0" xfId="0" applyNumberFormat="1" applyFont="1" applyFill="1" applyAlignment="1">
      <alignment vertical="center"/>
    </xf>
    <xf numFmtId="165" fontId="53" fillId="5" borderId="0" xfId="0" applyNumberFormat="1" applyFont="1" applyFill="1" applyAlignment="1">
      <alignment horizontal="right" vertical="center"/>
    </xf>
    <xf numFmtId="0" fontId="43" fillId="5" borderId="19" xfId="0" applyFont="1" applyFill="1" applyBorder="1" applyAlignment="1">
      <alignment vertical="center"/>
    </xf>
    <xf numFmtId="183" fontId="43" fillId="5" borderId="20" xfId="0" applyNumberFormat="1" applyFont="1" applyFill="1" applyBorder="1" applyAlignment="1">
      <alignment horizontal="right" vertical="center"/>
    </xf>
    <xf numFmtId="0" fontId="63" fillId="0" borderId="8" xfId="0" applyFont="1" applyBorder="1" applyAlignment="1">
      <alignment vertical="center"/>
    </xf>
    <xf numFmtId="8" fontId="49" fillId="0" borderId="8" xfId="0" applyNumberFormat="1" applyFont="1" applyBorder="1" applyAlignment="1">
      <alignment vertical="center"/>
    </xf>
    <xf numFmtId="179" fontId="54" fillId="5" borderId="18" xfId="0" applyNumberFormat="1" applyFont="1" applyFill="1" applyBorder="1" applyAlignment="1">
      <alignment horizontal="right" vertical="center"/>
    </xf>
    <xf numFmtId="165" fontId="84" fillId="5" borderId="0" xfId="0" applyNumberFormat="1" applyFont="1" applyFill="1" applyAlignment="1">
      <alignment vertical="center"/>
    </xf>
    <xf numFmtId="9" fontId="36" fillId="5" borderId="0" xfId="0" applyNumberFormat="1" applyFont="1" applyFill="1" applyAlignment="1">
      <alignment vertical="center"/>
    </xf>
    <xf numFmtId="172" fontId="36" fillId="0" borderId="0" xfId="0" applyNumberFormat="1" applyFont="1" applyAlignment="1">
      <alignment horizontal="left" vertical="center"/>
    </xf>
    <xf numFmtId="172" fontId="36" fillId="5" borderId="0" xfId="0" applyNumberFormat="1" applyFont="1" applyFill="1" applyAlignment="1">
      <alignment horizontal="left" vertical="center"/>
    </xf>
    <xf numFmtId="165" fontId="53" fillId="5" borderId="0" xfId="0" applyNumberFormat="1" applyFont="1" applyFill="1" applyAlignment="1">
      <alignment vertical="center"/>
    </xf>
    <xf numFmtId="0" fontId="85" fillId="0" borderId="0" xfId="0" applyFont="1" applyAlignment="1">
      <alignment vertical="center"/>
    </xf>
    <xf numFmtId="181" fontId="86" fillId="0" borderId="0" xfId="0" applyNumberFormat="1" applyFont="1" applyAlignment="1">
      <alignment vertical="center"/>
    </xf>
    <xf numFmtId="179" fontId="87" fillId="0" borderId="0" xfId="0" applyNumberFormat="1" applyFont="1" applyAlignment="1">
      <alignment horizontal="right" vertical="center"/>
    </xf>
    <xf numFmtId="177" fontId="86" fillId="0" borderId="0" xfId="0" applyNumberFormat="1" applyFont="1" applyAlignment="1">
      <alignment horizontal="right" vertical="center"/>
    </xf>
    <xf numFmtId="175" fontId="86" fillId="0" borderId="0" xfId="0" applyNumberFormat="1" applyFont="1" applyAlignment="1">
      <alignment horizontal="right" vertical="center"/>
    </xf>
    <xf numFmtId="188" fontId="86" fillId="0" borderId="0" xfId="0" applyNumberFormat="1" applyFont="1" applyAlignment="1">
      <alignment horizontal="right" vertical="center"/>
    </xf>
    <xf numFmtId="187" fontId="86" fillId="0" borderId="0" xfId="0" applyNumberFormat="1" applyFont="1" applyAlignment="1">
      <alignment vertical="center"/>
    </xf>
    <xf numFmtId="174" fontId="86" fillId="0" borderId="0" xfId="0" applyNumberFormat="1" applyFont="1" applyAlignment="1">
      <alignment vertical="center"/>
    </xf>
    <xf numFmtId="165" fontId="87" fillId="0" borderId="0" xfId="0" applyNumberFormat="1" applyFont="1" applyAlignment="1">
      <alignment vertical="center"/>
    </xf>
    <xf numFmtId="182" fontId="86" fillId="0" borderId="0" xfId="0" applyNumberFormat="1" applyFont="1" applyAlignment="1">
      <alignment horizontal="right" vertical="center"/>
    </xf>
    <xf numFmtId="190" fontId="86" fillId="0" borderId="0" xfId="0" applyNumberFormat="1" applyFont="1" applyAlignment="1">
      <alignment horizontal="right" vertical="center" indent="1"/>
    </xf>
    <xf numFmtId="176" fontId="86" fillId="0" borderId="0" xfId="0" applyNumberFormat="1" applyFont="1" applyAlignment="1">
      <alignment vertical="center"/>
    </xf>
    <xf numFmtId="172" fontId="88" fillId="0" borderId="0" xfId="0" applyNumberFormat="1" applyFont="1" applyAlignment="1">
      <alignment horizontal="center" vertical="center"/>
    </xf>
    <xf numFmtId="174" fontId="88" fillId="0" borderId="0" xfId="0" applyNumberFormat="1" applyFont="1" applyAlignment="1">
      <alignment horizontal="right" vertical="center"/>
    </xf>
    <xf numFmtId="176" fontId="86" fillId="0" borderId="0" xfId="0" applyNumberFormat="1" applyFont="1" applyAlignment="1">
      <alignment horizontal="right" vertical="center"/>
    </xf>
    <xf numFmtId="176" fontId="88" fillId="0" borderId="2" xfId="0" applyNumberFormat="1" applyFont="1" applyBorder="1" applyAlignment="1">
      <alignment horizontal="right" vertical="center"/>
    </xf>
    <xf numFmtId="176" fontId="86" fillId="0" borderId="0" xfId="1" applyNumberFormat="1" applyFont="1" applyAlignment="1">
      <alignment horizontal="right" vertical="center"/>
    </xf>
    <xf numFmtId="174" fontId="86" fillId="0" borderId="0" xfId="0" applyNumberFormat="1" applyFont="1" applyAlignment="1">
      <alignment horizontal="right" vertical="center"/>
    </xf>
    <xf numFmtId="181" fontId="86" fillId="0" borderId="0" xfId="0" applyNumberFormat="1" applyFont="1" applyAlignment="1">
      <alignment horizontal="right" vertical="center"/>
    </xf>
    <xf numFmtId="176" fontId="86" fillId="0" borderId="2" xfId="0" applyNumberFormat="1" applyFont="1" applyBorder="1" applyAlignment="1">
      <alignment vertical="center"/>
    </xf>
    <xf numFmtId="0" fontId="86" fillId="3" borderId="0" xfId="0" applyFont="1" applyFill="1" applyAlignment="1">
      <alignment horizontal="center" vertical="center"/>
    </xf>
    <xf numFmtId="174" fontId="86" fillId="3" borderId="0" xfId="0" applyNumberFormat="1" applyFont="1" applyFill="1" applyAlignment="1">
      <alignment vertical="center"/>
    </xf>
    <xf numFmtId="176" fontId="86" fillId="3" borderId="0" xfId="0" applyNumberFormat="1" applyFont="1" applyFill="1" applyAlignment="1">
      <alignment vertical="center"/>
    </xf>
    <xf numFmtId="179" fontId="87" fillId="3" borderId="0" xfId="0" applyNumberFormat="1" applyFont="1" applyFill="1" applyAlignment="1">
      <alignment horizontal="right" vertical="center"/>
    </xf>
    <xf numFmtId="190" fontId="86" fillId="3" borderId="0" xfId="0" applyNumberFormat="1" applyFont="1" applyFill="1" applyAlignment="1">
      <alignment horizontal="right" vertical="center"/>
    </xf>
    <xf numFmtId="176" fontId="86" fillId="5" borderId="0" xfId="0" applyNumberFormat="1" applyFont="1" applyFill="1" applyAlignment="1">
      <alignment vertical="center"/>
    </xf>
    <xf numFmtId="178" fontId="87" fillId="3" borderId="0" xfId="0" applyNumberFormat="1" applyFont="1" applyFill="1" applyAlignment="1">
      <alignment horizontal="right" vertical="center"/>
    </xf>
    <xf numFmtId="180" fontId="86" fillId="3" borderId="0" xfId="0" applyNumberFormat="1" applyFont="1" applyFill="1" applyAlignment="1">
      <alignment vertical="center"/>
    </xf>
    <xf numFmtId="181" fontId="86" fillId="3" borderId="0" xfId="0" applyNumberFormat="1" applyFont="1" applyFill="1" applyAlignment="1">
      <alignment vertical="center"/>
    </xf>
    <xf numFmtId="184" fontId="86" fillId="3" borderId="0" xfId="0" applyNumberFormat="1" applyFont="1" applyFill="1" applyAlignment="1">
      <alignment vertical="center"/>
    </xf>
    <xf numFmtId="182" fontId="86" fillId="3" borderId="0" xfId="0" applyNumberFormat="1" applyFont="1" applyFill="1" applyAlignment="1">
      <alignment horizontal="right" vertical="center"/>
    </xf>
    <xf numFmtId="174" fontId="86" fillId="3" borderId="0" xfId="0" applyNumberFormat="1" applyFont="1" applyFill="1" applyAlignment="1">
      <alignment horizontal="right" vertical="center"/>
    </xf>
    <xf numFmtId="176" fontId="86" fillId="3" borderId="0" xfId="0" applyNumberFormat="1" applyFont="1" applyFill="1" applyAlignment="1">
      <alignment horizontal="right" vertical="center"/>
    </xf>
    <xf numFmtId="178" fontId="87" fillId="3" borderId="0" xfId="0" applyNumberFormat="1" applyFont="1" applyFill="1" applyAlignment="1">
      <alignment vertical="center"/>
    </xf>
    <xf numFmtId="181" fontId="86" fillId="3" borderId="0" xfId="0" applyNumberFormat="1" applyFont="1" applyFill="1" applyAlignment="1">
      <alignment horizontal="right" vertical="center"/>
    </xf>
    <xf numFmtId="0" fontId="86" fillId="0" borderId="0" xfId="0" applyFont="1" applyAlignment="1">
      <alignment horizontal="right"/>
    </xf>
    <xf numFmtId="0" fontId="89" fillId="0" borderId="0" xfId="2" applyFont="1" applyAlignment="1">
      <alignment horizontal="right"/>
    </xf>
    <xf numFmtId="0" fontId="86" fillId="0" borderId="0" xfId="0" applyFont="1" applyAlignment="1">
      <alignment vertical="center"/>
    </xf>
    <xf numFmtId="181" fontId="86" fillId="5" borderId="0" xfId="0" applyNumberFormat="1" applyFont="1" applyFill="1" applyAlignment="1">
      <alignment horizontal="right" vertical="center"/>
    </xf>
    <xf numFmtId="179" fontId="87" fillId="5" borderId="0" xfId="0" applyNumberFormat="1" applyFont="1" applyFill="1" applyAlignment="1">
      <alignment horizontal="right" vertical="center"/>
    </xf>
    <xf numFmtId="0" fontId="86" fillId="0" borderId="0" xfId="0" applyFont="1" applyAlignment="1">
      <alignment horizontal="left" vertical="center" indent="1"/>
    </xf>
  </cellXfs>
  <cellStyles count="28">
    <cellStyle name="A¨­￠￢￠O [0]_C¡IAo_AoAUAy¡ÆeC¡I " xfId="4" xr:uid="{00000000-0005-0000-0000-000000000000}"/>
    <cellStyle name="A¨­￠￢￠O_AoAUAy¡ÆeC¡I " xfId="5" xr:uid="{00000000-0005-0000-0000-000001000000}"/>
    <cellStyle name="ÅëÈ­ [0]_INQUIRY ¿µ¾÷ÃßÁø " xfId="6" xr:uid="{00000000-0005-0000-0000-000002000000}"/>
    <cellStyle name="AeE­ [0]_INQUIRY ¿μ¾÷AßAø " xfId="7" xr:uid="{00000000-0005-0000-0000-000003000000}"/>
    <cellStyle name="ÅëÈ­_INQUIRY ¿µ¾÷ÃßÁø " xfId="8" xr:uid="{00000000-0005-0000-0000-000004000000}"/>
    <cellStyle name="AeE­_INQUIRY ¿μ¾÷AßAø " xfId="9" xr:uid="{00000000-0005-0000-0000-000005000000}"/>
    <cellStyle name="Amount_EQU_RIGH.XLS_Equity market_Preferred Securities " xfId="10" xr:uid="{00000000-0005-0000-0000-000006000000}"/>
    <cellStyle name="C￥AØ_¿μ¾÷CoE² " xfId="11" xr:uid="{00000000-0005-0000-0000-000007000000}"/>
    <cellStyle name="Ç¥ÁØ_»ç¾÷ºÎº° ÃÑ°è " xfId="12" xr:uid="{00000000-0005-0000-0000-000008000000}"/>
    <cellStyle name="C￥AØ_≫c¾÷ºIº° AN°e " xfId="13" xr:uid="{00000000-0005-0000-0000-000009000000}"/>
    <cellStyle name="Ç¥ÁØ_0N-HANDLING " xfId="14" xr:uid="{00000000-0005-0000-0000-00000A000000}"/>
    <cellStyle name="C￥AØ_¾ÆA§AU¾÷" xfId="15" xr:uid="{00000000-0005-0000-0000-00000B000000}"/>
    <cellStyle name="Ç¥ÁØ_5-1±¤°í " xfId="16" xr:uid="{00000000-0005-0000-0000-00000C000000}"/>
    <cellStyle name="C￥AØ_Ay°eC￥(2¿u) " xfId="17" xr:uid="{00000000-0005-0000-0000-00000D000000}"/>
    <cellStyle name="Ç¥ÁØ_Áý°èÇ¥(2¿ù) " xfId="18" xr:uid="{00000000-0005-0000-0000-00000E000000}"/>
    <cellStyle name="C￥AØ_CoAo¹yAI °A¾×¿ⓒ½A " xfId="19" xr:uid="{00000000-0005-0000-0000-00000F000000}"/>
    <cellStyle name="Ç¥ÁØ_Sheet1_¿µ¾÷ÇöÈ² " xfId="20" xr:uid="{00000000-0005-0000-0000-000010000000}"/>
    <cellStyle name="Check Cell" xfId="23" builtinId="23" hidden="1"/>
    <cellStyle name="Comma" xfId="1" builtinId="3"/>
    <cellStyle name="Comma [0]" xfId="21" builtinId="6" hidden="1"/>
    <cellStyle name="Currency [0]" xfId="22" builtinId="7" hidden="1"/>
    <cellStyle name="Heading 1" xfId="3" builtinId="16"/>
    <cellStyle name="Hyperlink" xfId="2" builtinId="8"/>
    <cellStyle name="Hyperlink 2" xfId="26" xr:uid="{CEC348E2-F31F-4F90-BFEA-6F025D4E1B80}"/>
    <cellStyle name="Hyperlink 2 2" xfId="27" xr:uid="{B5CAE0A4-984C-42A9-9D88-10228E8FC41D}"/>
    <cellStyle name="Normal" xfId="0" builtinId="0"/>
    <cellStyle name="Normal 2" xfId="25" xr:uid="{64336641-FC2E-4FD6-ACAA-82EB678EAEA9}"/>
    <cellStyle name="Normal 2 2 2" xfId="24" xr:uid="{E66C0CAE-9B5A-4779-9067-5709C7BF8050}"/>
  </cellStyles>
  <dxfs count="0"/>
  <tableStyles count="0" defaultTableStyle="TableStyleMedium2" defaultPivotStyle="PivotStyleLight16"/>
  <colors>
    <mruColors>
      <color rgb="FFEBEBE6"/>
      <color rgb="FFFFF5D2"/>
      <color rgb="FF003769"/>
      <color rgb="FF1F497D"/>
      <color rgb="FF235A8C"/>
      <color rgb="FFECEBE5"/>
      <color rgb="FF4F81BD"/>
      <color rgb="FF255B89"/>
      <color rgb="FFC3DDB8"/>
      <color rgb="FFE1EED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macabacus.com" TargetMode="Externa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macabacus.com" TargetMode="External"/></Relationships>
</file>

<file path=xl/drawings/drawing1.xml><?xml version="1.0" encoding="utf-8"?>
<xdr:wsDr xmlns:xdr="http://schemas.openxmlformats.org/drawingml/2006/spreadsheetDrawing" xmlns:a="http://schemas.openxmlformats.org/drawingml/2006/main">
  <xdr:twoCellAnchor editAs="oneCell">
    <xdr:from>
      <xdr:col>2</xdr:col>
      <xdr:colOff>14288</xdr:colOff>
      <xdr:row>2</xdr:row>
      <xdr:rowOff>200026</xdr:rowOff>
    </xdr:from>
    <xdr:to>
      <xdr:col>3</xdr:col>
      <xdr:colOff>471093</xdr:colOff>
      <xdr:row>6</xdr:row>
      <xdr:rowOff>52388</xdr:rowOff>
    </xdr:to>
    <xdr:pic>
      <xdr:nvPicPr>
        <xdr:cNvPr id="2" name="Picture 1">
          <a:hlinkClick xmlns:r="http://schemas.openxmlformats.org/officeDocument/2006/relationships" r:id="rId1"/>
          <a:extLst>
            <a:ext uri="{FF2B5EF4-FFF2-40B4-BE49-F238E27FC236}">
              <a16:creationId xmlns:a16="http://schemas.microsoft.com/office/drawing/2014/main" id="{09B95E21-068E-4B3C-8AB0-C0A9215572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03898" y="695326"/>
          <a:ext cx="3112375" cy="84296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183776</xdr:colOff>
      <xdr:row>0</xdr:row>
      <xdr:rowOff>26893</xdr:rowOff>
    </xdr:from>
    <xdr:to>
      <xdr:col>3</xdr:col>
      <xdr:colOff>598367</xdr:colOff>
      <xdr:row>0</xdr:row>
      <xdr:rowOff>572864</xdr:rowOff>
    </xdr:to>
    <xdr:pic>
      <xdr:nvPicPr>
        <xdr:cNvPr id="2" name="Picture 1">
          <a:hlinkClick xmlns:r="http://schemas.openxmlformats.org/officeDocument/2006/relationships" r:id="rId1"/>
          <a:extLst>
            <a:ext uri="{FF2B5EF4-FFF2-40B4-BE49-F238E27FC236}">
              <a16:creationId xmlns:a16="http://schemas.microsoft.com/office/drawing/2014/main" id="{875F3D9C-1D3D-4277-B92A-E81E9045AD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0466" y="26893"/>
          <a:ext cx="2022411" cy="54597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G:\Shared%20drives\Non%20Course%20Content\Macabacus%20Learning%20Resources\Complete%20Models%20-%20Complete\vc-returns.xlsx" TargetMode="External"/><Relationship Id="rId1" Type="http://schemas.openxmlformats.org/officeDocument/2006/relationships/externalLinkPath" Target="vc-return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VC Returns"/>
    </sheetNames>
    <sheetDataSet>
      <sheetData sheetId="0"/>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feedback@macabacus.com" TargetMode="External"/><Relationship Id="rId1" Type="http://schemas.openxmlformats.org/officeDocument/2006/relationships/hyperlink" Target="https://www.macabacus.co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mailto:feedback@macabacus.com" TargetMode="External"/><Relationship Id="rId1" Type="http://schemas.openxmlformats.org/officeDocument/2006/relationships/hyperlink" Target="http://www.macacbacus.com/"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D584F-4B6E-44D6-8852-3867AABE3797}">
  <sheetPr>
    <pageSetUpPr fitToPage="1"/>
  </sheetPr>
  <dimension ref="A1:O54"/>
  <sheetViews>
    <sheetView showGridLines="0" tabSelected="1" zoomScale="75" zoomScaleNormal="75" zoomScaleSheetLayoutView="70" workbookViewId="0"/>
  </sheetViews>
  <sheetFormatPr defaultRowHeight="14.4"/>
  <cols>
    <col min="1" max="1" width="4.94140625" style="3" customWidth="1"/>
    <col min="2" max="2" width="5.109375" style="3" customWidth="1"/>
    <col min="3" max="3" width="38.71875" style="3" customWidth="1"/>
    <col min="4" max="11" width="11.27734375" style="3" customWidth="1"/>
    <col min="12" max="12" width="38.71875" style="3" customWidth="1"/>
    <col min="13" max="13" width="5.109375" style="3" customWidth="1"/>
    <col min="14" max="16384" width="8.88671875" style="3"/>
  </cols>
  <sheetData>
    <row r="1" spans="1:15" ht="19.5" customHeight="1" thickBot="1">
      <c r="A1" s="2"/>
      <c r="B1" s="2"/>
      <c r="C1" s="2"/>
      <c r="D1" s="2"/>
      <c r="E1" s="2"/>
      <c r="F1" s="2"/>
      <c r="G1" s="2"/>
      <c r="H1" s="2"/>
      <c r="I1" s="2"/>
      <c r="J1" s="2"/>
      <c r="K1" s="2"/>
      <c r="L1" s="2"/>
      <c r="M1" s="2"/>
    </row>
    <row r="2" spans="1:15" ht="19.5" customHeight="1" thickTop="1">
      <c r="A2" s="2"/>
      <c r="B2" s="4"/>
      <c r="C2" s="5"/>
      <c r="D2" s="5"/>
      <c r="E2" s="5"/>
      <c r="F2" s="5"/>
      <c r="G2" s="5"/>
      <c r="H2" s="5"/>
      <c r="I2" s="5"/>
      <c r="J2" s="5"/>
      <c r="K2" s="5"/>
      <c r="L2" s="5"/>
      <c r="M2" s="6"/>
    </row>
    <row r="3" spans="1:15" ht="19.5" customHeight="1">
      <c r="A3" s="2"/>
      <c r="B3" s="7"/>
      <c r="C3" s="8"/>
      <c r="D3" s="8"/>
      <c r="E3" s="8"/>
      <c r="F3" s="8"/>
      <c r="G3" s="8"/>
      <c r="H3" s="8"/>
      <c r="I3" s="8"/>
      <c r="J3" s="8"/>
      <c r="K3" s="8"/>
      <c r="L3" s="8"/>
      <c r="M3" s="9"/>
      <c r="O3" s="10"/>
    </row>
    <row r="4" spans="1:15" ht="19.5" customHeight="1">
      <c r="A4" s="2"/>
      <c r="B4" s="7"/>
      <c r="C4" s="8"/>
      <c r="D4" s="8"/>
      <c r="E4" s="8"/>
      <c r="F4" s="8"/>
      <c r="G4" s="8"/>
      <c r="H4" s="8"/>
      <c r="I4" s="8"/>
      <c r="J4" s="8"/>
      <c r="K4" s="8"/>
      <c r="L4" s="8"/>
      <c r="M4" s="9"/>
      <c r="O4" s="10"/>
    </row>
    <row r="5" spans="1:15" ht="19.5" customHeight="1">
      <c r="A5" s="2"/>
      <c r="B5" s="7"/>
      <c r="C5" s="8"/>
      <c r="D5" s="8"/>
      <c r="E5" s="8"/>
      <c r="F5" s="8"/>
      <c r="G5" s="8"/>
      <c r="H5" s="8"/>
      <c r="I5" s="8"/>
      <c r="J5" s="8"/>
      <c r="K5" s="8"/>
      <c r="L5" s="8"/>
      <c r="M5" s="9"/>
    </row>
    <row r="6" spans="1:15" ht="19.5" customHeight="1">
      <c r="A6" s="2"/>
      <c r="B6" s="7"/>
      <c r="C6" s="8"/>
      <c r="D6" s="8"/>
      <c r="E6" s="8"/>
      <c r="F6" s="8"/>
      <c r="G6" s="8"/>
      <c r="H6" s="8"/>
      <c r="I6" s="8"/>
      <c r="J6" s="8"/>
      <c r="K6" s="8"/>
      <c r="L6" s="8"/>
      <c r="M6" s="9"/>
    </row>
    <row r="7" spans="1:15" ht="19.5" customHeight="1">
      <c r="A7" s="2"/>
      <c r="B7" s="7"/>
      <c r="C7" s="8"/>
      <c r="D7" s="8"/>
      <c r="E7" s="8"/>
      <c r="F7" s="8"/>
      <c r="G7" s="8"/>
      <c r="H7" s="8"/>
      <c r="I7" s="8"/>
      <c r="J7" s="8"/>
      <c r="K7" s="8"/>
      <c r="L7" s="8"/>
      <c r="M7" s="9"/>
    </row>
    <row r="8" spans="1:15" ht="19.5" customHeight="1">
      <c r="A8" s="2"/>
      <c r="B8" s="7"/>
      <c r="C8" s="8"/>
      <c r="D8" s="8"/>
      <c r="E8" s="8"/>
      <c r="F8" s="8"/>
      <c r="G8" s="8"/>
      <c r="H8" s="8"/>
      <c r="I8" s="8"/>
      <c r="J8" s="8"/>
      <c r="K8" s="8"/>
      <c r="L8" s="8"/>
      <c r="M8" s="9"/>
    </row>
    <row r="9" spans="1:15" ht="19.5" customHeight="1">
      <c r="A9" s="2"/>
      <c r="B9" s="7"/>
      <c r="C9" s="8"/>
      <c r="D9" s="8"/>
      <c r="E9" s="8"/>
      <c r="F9" s="8"/>
      <c r="G9" s="8"/>
      <c r="H9" s="8"/>
      <c r="I9" s="8"/>
      <c r="J9" s="8"/>
      <c r="K9" s="8"/>
      <c r="L9" s="8"/>
      <c r="M9" s="9"/>
    </row>
    <row r="10" spans="1:15" ht="19.5" customHeight="1">
      <c r="A10" s="2"/>
      <c r="B10" s="11"/>
      <c r="C10" s="2"/>
      <c r="D10" s="2"/>
      <c r="E10" s="2"/>
      <c r="F10" s="2"/>
      <c r="G10" s="2"/>
      <c r="H10" s="2"/>
      <c r="I10" s="2"/>
      <c r="J10" s="2"/>
      <c r="K10" s="2"/>
      <c r="L10" s="2"/>
      <c r="M10" s="12"/>
    </row>
    <row r="11" spans="1:15" ht="28.5" customHeight="1">
      <c r="A11" s="2"/>
      <c r="B11" s="11"/>
      <c r="C11" s="13" t="s">
        <v>584</v>
      </c>
      <c r="D11" s="2"/>
      <c r="E11" s="2"/>
      <c r="F11" s="2"/>
      <c r="G11" s="2"/>
      <c r="H11" s="2"/>
      <c r="I11" s="2"/>
      <c r="J11" s="2"/>
      <c r="K11" s="2"/>
      <c r="L11" s="14" t="s">
        <v>553</v>
      </c>
      <c r="M11" s="12"/>
    </row>
    <row r="12" spans="1:15" ht="19.5" customHeight="1">
      <c r="A12" s="2"/>
      <c r="B12" s="11"/>
      <c r="C12" s="15"/>
      <c r="D12" s="2"/>
      <c r="E12" s="2"/>
      <c r="F12" s="2"/>
      <c r="G12" s="2"/>
      <c r="H12" s="2"/>
      <c r="I12" s="2"/>
      <c r="J12" s="2"/>
      <c r="K12" s="16"/>
      <c r="L12" s="16"/>
      <c r="M12" s="12"/>
    </row>
    <row r="13" spans="1:15" ht="19.5" customHeight="1">
      <c r="A13" s="2"/>
      <c r="B13" s="11"/>
      <c r="C13" s="17" t="s">
        <v>554</v>
      </c>
      <c r="D13" s="18"/>
      <c r="E13" s="18"/>
      <c r="F13" s="18"/>
      <c r="G13" s="18"/>
      <c r="H13" s="18"/>
      <c r="I13" s="18"/>
      <c r="J13" s="18"/>
      <c r="K13" s="16"/>
      <c r="L13" s="16"/>
      <c r="M13" s="12"/>
    </row>
    <row r="14" spans="1:15" ht="19.5" customHeight="1">
      <c r="A14" s="2"/>
      <c r="B14" s="11"/>
      <c r="C14" s="2"/>
      <c r="D14" s="18"/>
      <c r="E14" s="18"/>
      <c r="F14" s="18"/>
      <c r="G14" s="18"/>
      <c r="H14" s="18"/>
      <c r="I14" s="18"/>
      <c r="J14" s="18"/>
      <c r="K14" s="18"/>
      <c r="L14" s="18"/>
      <c r="M14" s="12"/>
    </row>
    <row r="15" spans="1:15" ht="19.5" customHeight="1">
      <c r="A15" s="2"/>
      <c r="B15" s="11"/>
      <c r="C15" s="19" t="s">
        <v>585</v>
      </c>
      <c r="D15" s="18"/>
      <c r="E15" s="18"/>
      <c r="F15" s="18"/>
      <c r="G15" s="18"/>
      <c r="H15" s="18"/>
      <c r="I15" s="18"/>
      <c r="J15" s="18"/>
      <c r="K15" s="18"/>
      <c r="L15" s="18"/>
      <c r="M15" s="12"/>
    </row>
    <row r="16" spans="1:15" ht="19.5" customHeight="1">
      <c r="A16" s="2"/>
      <c r="B16" s="11"/>
      <c r="C16"/>
      <c r="D16" s="18"/>
      <c r="E16" s="18"/>
      <c r="F16" s="18"/>
      <c r="G16" s="18"/>
      <c r="H16" s="18"/>
      <c r="I16" s="18"/>
      <c r="J16" s="18"/>
      <c r="K16" s="18"/>
      <c r="L16" s="18"/>
      <c r="M16" s="12"/>
    </row>
    <row r="17" spans="1:15" ht="19.5" customHeight="1">
      <c r="A17" s="2"/>
      <c r="B17" s="11"/>
      <c r="C17" s="20" t="s">
        <v>555</v>
      </c>
      <c r="D17" s="21"/>
      <c r="E17" s="18"/>
      <c r="F17" s="18"/>
      <c r="G17" s="18"/>
      <c r="H17" s="18"/>
      <c r="I17" s="18"/>
      <c r="J17" s="18"/>
      <c r="K17" s="18"/>
      <c r="L17" s="18"/>
      <c r="M17" s="12"/>
    </row>
    <row r="18" spans="1:15" ht="19.5" customHeight="1">
      <c r="A18" s="2"/>
      <c r="B18" s="11"/>
      <c r="C18" s="20" t="s">
        <v>556</v>
      </c>
      <c r="D18" s="22" t="s">
        <v>557</v>
      </c>
      <c r="E18" s="18"/>
      <c r="F18" s="18"/>
      <c r="G18" s="18"/>
      <c r="H18" s="18"/>
      <c r="I18" s="18"/>
      <c r="J18" s="18"/>
      <c r="K18" s="18"/>
      <c r="L18" s="18"/>
      <c r="M18" s="12"/>
    </row>
    <row r="19" spans="1:15" ht="19.5" customHeight="1">
      <c r="A19" s="2"/>
      <c r="B19" s="11"/>
      <c r="C19" s="20" t="s">
        <v>558</v>
      </c>
      <c r="D19" s="22" t="s">
        <v>559</v>
      </c>
      <c r="E19" s="18"/>
      <c r="F19" s="18"/>
      <c r="G19" s="18"/>
      <c r="H19" s="18"/>
      <c r="I19" s="18"/>
      <c r="J19" s="18"/>
      <c r="K19" s="18"/>
      <c r="L19" s="18"/>
      <c r="M19" s="12"/>
    </row>
    <row r="20" spans="1:15" ht="19.5" customHeight="1">
      <c r="A20" s="2"/>
      <c r="B20" s="11"/>
      <c r="C20" s="20"/>
      <c r="D20" s="22"/>
      <c r="E20" s="18"/>
      <c r="F20" s="18"/>
      <c r="G20" s="18"/>
      <c r="H20" s="18"/>
      <c r="I20" s="18"/>
      <c r="J20" s="18"/>
      <c r="K20" s="18"/>
      <c r="L20" s="18"/>
      <c r="M20" s="12"/>
    </row>
    <row r="21" spans="1:15" ht="19.5" customHeight="1">
      <c r="A21" s="2"/>
      <c r="B21" s="11"/>
      <c r="C21" s="23" t="s">
        <v>560</v>
      </c>
      <c r="D21" s="24"/>
      <c r="E21" s="24"/>
      <c r="F21" s="24"/>
      <c r="G21" s="24"/>
      <c r="H21" s="24"/>
      <c r="I21" s="24"/>
      <c r="J21" s="24"/>
      <c r="K21" s="24"/>
      <c r="L21" s="24"/>
      <c r="M21" s="12"/>
      <c r="O21" s="25"/>
    </row>
    <row r="22" spans="1:15" ht="19.5" customHeight="1">
      <c r="A22" s="2"/>
      <c r="B22" s="11"/>
      <c r="C22" s="23"/>
      <c r="D22" s="24"/>
      <c r="E22" s="24"/>
      <c r="F22" s="24"/>
      <c r="G22" s="24"/>
      <c r="H22" s="24"/>
      <c r="I22" s="24"/>
      <c r="J22" s="24"/>
      <c r="K22" s="24"/>
      <c r="L22" s="24"/>
      <c r="M22" s="12"/>
      <c r="O22" s="26"/>
    </row>
    <row r="23" spans="1:15" ht="19.5" customHeight="1">
      <c r="A23" s="2"/>
      <c r="B23" s="11"/>
      <c r="C23" s="23" t="s">
        <v>410</v>
      </c>
      <c r="D23" s="24"/>
      <c r="E23" s="24"/>
      <c r="F23" s="24"/>
      <c r="G23" s="24"/>
      <c r="H23" s="24"/>
      <c r="I23" s="24"/>
      <c r="J23" s="24"/>
      <c r="K23" s="24"/>
      <c r="L23" s="24"/>
      <c r="M23" s="12"/>
      <c r="O23" s="25"/>
    </row>
    <row r="24" spans="1:15" ht="19.5" customHeight="1">
      <c r="A24" s="2"/>
      <c r="B24" s="11"/>
      <c r="C24" s="27" t="s">
        <v>561</v>
      </c>
      <c r="D24" s="24"/>
      <c r="E24" s="24"/>
      <c r="F24" s="24"/>
      <c r="G24" s="24"/>
      <c r="H24" s="24"/>
      <c r="I24" s="24"/>
      <c r="J24" s="24"/>
      <c r="K24" s="24"/>
      <c r="L24" s="24"/>
      <c r="M24" s="12"/>
    </row>
    <row r="25" spans="1:15" ht="19.5" customHeight="1">
      <c r="A25" s="2"/>
      <c r="B25" s="11"/>
      <c r="C25" s="27" t="s">
        <v>562</v>
      </c>
      <c r="D25" s="24"/>
      <c r="E25" s="24"/>
      <c r="F25" s="24"/>
      <c r="G25" s="24"/>
      <c r="H25" s="24"/>
      <c r="I25" s="24"/>
      <c r="J25" s="24"/>
      <c r="K25" s="24"/>
      <c r="L25" s="24"/>
      <c r="M25" s="12"/>
    </row>
    <row r="26" spans="1:15" ht="19.5" customHeight="1">
      <c r="A26" s="2"/>
      <c r="B26" s="11"/>
      <c r="C26" s="27" t="s">
        <v>563</v>
      </c>
      <c r="D26" s="24"/>
      <c r="E26" s="24"/>
      <c r="F26" s="24"/>
      <c r="G26" s="24"/>
      <c r="H26" s="24"/>
      <c r="I26" s="24"/>
      <c r="J26" s="24"/>
      <c r="K26" s="24"/>
      <c r="L26" s="24"/>
      <c r="M26" s="12"/>
    </row>
    <row r="27" spans="1:15" ht="19.5" customHeight="1">
      <c r="A27" s="2"/>
      <c r="B27" s="11"/>
      <c r="C27" s="27"/>
      <c r="D27" s="24"/>
      <c r="E27" s="24"/>
      <c r="F27" s="24"/>
      <c r="G27" s="24"/>
      <c r="H27" s="24"/>
      <c r="I27" s="24"/>
      <c r="J27" s="24"/>
      <c r="K27" s="24"/>
      <c r="L27" s="24"/>
      <c r="M27" s="12"/>
    </row>
    <row r="28" spans="1:15" ht="19.5" customHeight="1">
      <c r="A28" s="2"/>
      <c r="B28" s="11"/>
      <c r="C28" s="23" t="s">
        <v>410</v>
      </c>
      <c r="D28" s="24"/>
      <c r="E28" s="24"/>
      <c r="F28" s="24"/>
      <c r="G28" s="24"/>
      <c r="H28" s="24"/>
      <c r="I28" s="24"/>
      <c r="J28" s="24"/>
      <c r="K28" s="24"/>
      <c r="L28" s="24"/>
      <c r="M28" s="12"/>
    </row>
    <row r="29" spans="1:15" ht="19.5" customHeight="1">
      <c r="A29" s="2"/>
      <c r="B29" s="11"/>
      <c r="C29" s="28" t="s">
        <v>564</v>
      </c>
      <c r="D29" s="24"/>
      <c r="E29" s="24"/>
      <c r="F29" s="24"/>
      <c r="G29" s="24"/>
      <c r="H29" s="24"/>
      <c r="I29" s="24"/>
      <c r="J29" s="24"/>
      <c r="K29" s="24"/>
      <c r="L29" s="24"/>
      <c r="M29" s="12"/>
    </row>
    <row r="30" spans="1:15" ht="19.5" customHeight="1">
      <c r="A30" s="2"/>
      <c r="B30" s="11"/>
      <c r="C30" s="28" t="s">
        <v>565</v>
      </c>
      <c r="D30" s="24"/>
      <c r="E30" s="24"/>
      <c r="F30" s="24"/>
      <c r="G30" s="24"/>
      <c r="H30" s="24"/>
      <c r="I30" s="24"/>
      <c r="J30" s="24"/>
      <c r="K30" s="24"/>
      <c r="L30" s="24"/>
      <c r="M30" s="12"/>
    </row>
    <row r="31" spans="1:15" ht="19.5" customHeight="1">
      <c r="A31" s="2"/>
      <c r="B31" s="11"/>
      <c r="C31" s="28" t="s">
        <v>566</v>
      </c>
      <c r="D31" s="24"/>
      <c r="E31" s="24"/>
      <c r="F31" s="24"/>
      <c r="G31" s="24"/>
      <c r="H31" s="24"/>
      <c r="I31" s="24"/>
      <c r="J31" s="24"/>
      <c r="K31" s="24"/>
      <c r="L31" s="24"/>
      <c r="M31" s="12"/>
    </row>
    <row r="32" spans="1:15" ht="19.5" customHeight="1">
      <c r="A32" s="2"/>
      <c r="B32" s="11"/>
      <c r="C32" s="28" t="s">
        <v>567</v>
      </c>
      <c r="D32" s="24"/>
      <c r="E32" s="24"/>
      <c r="F32" s="24"/>
      <c r="G32" s="24"/>
      <c r="H32" s="24"/>
      <c r="I32" s="24"/>
      <c r="J32" s="24"/>
      <c r="K32" s="24"/>
      <c r="L32" s="24"/>
      <c r="M32" s="12"/>
    </row>
    <row r="33" spans="1:15" ht="19.5" customHeight="1">
      <c r="A33" s="2"/>
      <c r="B33" s="11"/>
      <c r="C33" s="28" t="s">
        <v>568</v>
      </c>
      <c r="D33" s="24"/>
      <c r="E33" s="24"/>
      <c r="F33" s="24"/>
      <c r="G33" s="24"/>
      <c r="H33" s="24"/>
      <c r="I33" s="24"/>
      <c r="J33" s="24"/>
      <c r="K33" s="24"/>
      <c r="L33" s="24"/>
      <c r="M33" s="12"/>
    </row>
    <row r="34" spans="1:15" ht="19.5" customHeight="1">
      <c r="A34" s="2"/>
      <c r="B34" s="11"/>
      <c r="C34" s="28" t="s">
        <v>569</v>
      </c>
      <c r="D34" s="24"/>
      <c r="E34" s="24"/>
      <c r="F34" s="24"/>
      <c r="G34" s="24"/>
      <c r="H34" s="24"/>
      <c r="I34" s="24"/>
      <c r="J34" s="24"/>
      <c r="K34" s="24"/>
      <c r="L34" s="24"/>
      <c r="M34" s="12"/>
    </row>
    <row r="35" spans="1:15" ht="19.5" customHeight="1">
      <c r="A35" s="2"/>
      <c r="B35" s="11"/>
      <c r="C35" s="28" t="s">
        <v>570</v>
      </c>
      <c r="D35" s="24"/>
      <c r="E35" s="24"/>
      <c r="F35" s="24"/>
      <c r="G35" s="24"/>
      <c r="H35" s="24"/>
      <c r="I35" s="24"/>
      <c r="J35" s="24"/>
      <c r="K35" s="24"/>
      <c r="L35" s="24"/>
      <c r="M35" s="12"/>
    </row>
    <row r="36" spans="1:15" ht="19.5" customHeight="1">
      <c r="A36" s="2"/>
      <c r="B36" s="11"/>
      <c r="C36" s="28" t="s">
        <v>571</v>
      </c>
      <c r="D36" s="24"/>
      <c r="E36" s="24"/>
      <c r="F36" s="24"/>
      <c r="G36" s="24"/>
      <c r="H36" s="24"/>
      <c r="I36" s="24"/>
      <c r="J36" s="24"/>
      <c r="K36" s="24"/>
      <c r="L36" s="24"/>
      <c r="M36" s="12"/>
    </row>
    <row r="37" spans="1:15" ht="19.5" customHeight="1">
      <c r="A37" s="2"/>
      <c r="B37" s="11"/>
      <c r="C37" s="28"/>
      <c r="D37" s="24"/>
      <c r="E37" s="24"/>
      <c r="F37" s="24"/>
      <c r="G37" s="24"/>
      <c r="H37" s="24"/>
      <c r="I37" s="24"/>
      <c r="J37" s="24"/>
      <c r="K37" s="24"/>
      <c r="L37" s="24"/>
      <c r="M37" s="12"/>
    </row>
    <row r="38" spans="1:15" ht="19.5" customHeight="1">
      <c r="A38" s="2"/>
      <c r="B38" s="11"/>
      <c r="C38" s="23" t="s">
        <v>411</v>
      </c>
      <c r="D38" s="24"/>
      <c r="E38" s="24"/>
      <c r="F38" s="24"/>
      <c r="G38" s="24"/>
      <c r="H38" s="24"/>
      <c r="I38" s="24"/>
      <c r="J38" s="24"/>
      <c r="K38" s="24"/>
      <c r="L38" s="24"/>
      <c r="M38" s="12"/>
    </row>
    <row r="39" spans="1:15" ht="19.5" customHeight="1">
      <c r="A39" s="2"/>
      <c r="B39" s="11"/>
      <c r="C39" s="28" t="s">
        <v>572</v>
      </c>
      <c r="D39" s="24"/>
      <c r="E39" s="24"/>
      <c r="F39" s="24"/>
      <c r="G39" s="24"/>
      <c r="H39" s="24"/>
      <c r="I39" s="24"/>
      <c r="J39" s="24"/>
      <c r="K39" s="24"/>
      <c r="L39" s="24"/>
      <c r="M39" s="12"/>
    </row>
    <row r="40" spans="1:15" ht="19.5" customHeight="1">
      <c r="A40" s="2"/>
      <c r="B40" s="11"/>
      <c r="C40" s="28" t="s">
        <v>573</v>
      </c>
      <c r="D40" s="24"/>
      <c r="E40" s="24"/>
      <c r="F40" s="24"/>
      <c r="G40" s="24"/>
      <c r="H40" s="24"/>
      <c r="I40" s="24"/>
      <c r="J40" s="24"/>
      <c r="K40" s="24"/>
      <c r="L40" s="24"/>
      <c r="M40" s="12"/>
    </row>
    <row r="41" spans="1:15" ht="19.5" customHeight="1">
      <c r="A41" s="2"/>
      <c r="B41" s="11"/>
      <c r="C41" s="28" t="s">
        <v>574</v>
      </c>
      <c r="D41" s="24"/>
      <c r="E41" s="24"/>
      <c r="F41" s="24"/>
      <c r="G41" s="24"/>
      <c r="H41" s="24"/>
      <c r="I41" s="24"/>
      <c r="J41" s="24"/>
      <c r="K41" s="24"/>
      <c r="L41" s="24"/>
      <c r="M41" s="12"/>
    </row>
    <row r="42" spans="1:15" ht="19.5" customHeight="1">
      <c r="A42" s="2"/>
      <c r="B42" s="11"/>
      <c r="C42" s="28" t="s">
        <v>575</v>
      </c>
      <c r="D42" s="24"/>
      <c r="E42" s="24"/>
      <c r="F42" s="24"/>
      <c r="G42" s="24"/>
      <c r="H42" s="24"/>
      <c r="I42" s="24"/>
      <c r="J42" s="24"/>
      <c r="K42" s="24"/>
      <c r="L42" s="24"/>
      <c r="M42" s="12"/>
    </row>
    <row r="43" spans="1:15" ht="19.5" customHeight="1">
      <c r="A43" s="2"/>
      <c r="B43" s="11"/>
      <c r="C43" s="28" t="s">
        <v>576</v>
      </c>
      <c r="D43" s="24"/>
      <c r="E43" s="24"/>
      <c r="F43" s="24"/>
      <c r="G43" s="24"/>
      <c r="H43" s="24"/>
      <c r="I43" s="24"/>
      <c r="J43" s="24"/>
      <c r="K43" s="24"/>
      <c r="L43" s="24"/>
      <c r="M43" s="12"/>
    </row>
    <row r="44" spans="1:15" ht="19.5" customHeight="1">
      <c r="A44" s="2"/>
      <c r="B44" s="11"/>
      <c r="C44" s="28"/>
      <c r="D44" s="24"/>
      <c r="E44" s="24"/>
      <c r="F44" s="24"/>
      <c r="G44" s="24"/>
      <c r="H44" s="24"/>
      <c r="I44" s="24"/>
      <c r="J44" s="24"/>
      <c r="K44" s="24"/>
      <c r="L44" s="24"/>
      <c r="M44" s="12"/>
    </row>
    <row r="45" spans="1:15" ht="19.5" customHeight="1">
      <c r="A45" s="2"/>
      <c r="B45" s="11"/>
      <c r="C45" s="29" t="s">
        <v>577</v>
      </c>
      <c r="D45" s="30"/>
      <c r="E45" s="30"/>
      <c r="F45" s="30"/>
      <c r="G45" s="30"/>
      <c r="H45" s="30"/>
      <c r="I45" s="30"/>
      <c r="J45" s="30"/>
      <c r="K45" s="30"/>
      <c r="L45" s="30"/>
      <c r="M45" s="12"/>
      <c r="O45" s="25"/>
    </row>
    <row r="46" spans="1:15" ht="19.5" customHeight="1">
      <c r="A46" s="2"/>
      <c r="B46" s="11"/>
      <c r="C46" s="29" t="s">
        <v>578</v>
      </c>
      <c r="D46" s="30"/>
      <c r="E46" s="30"/>
      <c r="F46" s="30"/>
      <c r="G46" s="30"/>
      <c r="H46" s="30"/>
      <c r="I46" s="30"/>
      <c r="J46" s="30"/>
      <c r="K46" s="30"/>
      <c r="L46" s="30"/>
      <c r="M46" s="12"/>
      <c r="O46" s="25"/>
    </row>
    <row r="47" spans="1:15" ht="19.5" customHeight="1">
      <c r="A47" s="2"/>
      <c r="B47" s="11"/>
      <c r="C47" s="29" t="s">
        <v>579</v>
      </c>
      <c r="D47" s="30"/>
      <c r="E47" s="30"/>
      <c r="F47" s="30"/>
      <c r="G47" s="30"/>
      <c r="H47" s="30"/>
      <c r="I47" s="30"/>
      <c r="J47" s="30"/>
      <c r="K47" s="30"/>
      <c r="L47" s="30"/>
      <c r="M47" s="12"/>
      <c r="O47" s="25"/>
    </row>
    <row r="48" spans="1:15" ht="19.5" customHeight="1">
      <c r="A48" s="2"/>
      <c r="B48" s="11"/>
      <c r="C48" s="29" t="s">
        <v>580</v>
      </c>
      <c r="D48" s="30"/>
      <c r="E48" s="30"/>
      <c r="F48" s="30"/>
      <c r="G48" s="30"/>
      <c r="H48" s="30"/>
      <c r="I48" s="30"/>
      <c r="J48" s="30"/>
      <c r="K48" s="30"/>
      <c r="L48" s="30"/>
      <c r="M48" s="12"/>
      <c r="O48" s="25"/>
    </row>
    <row r="49" spans="1:15" ht="19.5" customHeight="1">
      <c r="A49" s="2"/>
      <c r="B49" s="11"/>
      <c r="C49" s="29" t="s">
        <v>581</v>
      </c>
      <c r="D49" s="30"/>
      <c r="E49" s="30"/>
      <c r="F49" s="30"/>
      <c r="G49" s="30"/>
      <c r="H49" s="30"/>
      <c r="I49" s="30"/>
      <c r="J49" s="30"/>
      <c r="K49" s="30"/>
      <c r="L49" s="30"/>
      <c r="M49" s="12"/>
      <c r="O49" s="25"/>
    </row>
    <row r="50" spans="1:15" ht="19.5" customHeight="1">
      <c r="A50" s="2"/>
      <c r="B50" s="11"/>
      <c r="C50" s="29"/>
      <c r="D50" s="30"/>
      <c r="E50" s="30"/>
      <c r="F50" s="30"/>
      <c r="G50" s="30"/>
      <c r="H50" s="30"/>
      <c r="I50" s="30"/>
      <c r="J50" s="30"/>
      <c r="K50" s="30"/>
      <c r="L50" s="30"/>
      <c r="M50" s="12"/>
    </row>
    <row r="51" spans="1:15" ht="19.5" customHeight="1">
      <c r="A51" s="2"/>
      <c r="B51" s="11"/>
      <c r="C51" s="31" t="s">
        <v>582</v>
      </c>
      <c r="D51" s="30"/>
      <c r="E51" s="30"/>
      <c r="F51" s="30"/>
      <c r="G51" s="30"/>
      <c r="H51" s="30"/>
      <c r="I51" s="30"/>
      <c r="J51" s="30"/>
      <c r="K51" s="30"/>
      <c r="L51" s="30"/>
      <c r="M51" s="12"/>
    </row>
    <row r="52" spans="1:15" ht="19.5" customHeight="1">
      <c r="A52" s="2"/>
      <c r="B52" s="11"/>
      <c r="C52" s="31" t="s">
        <v>398</v>
      </c>
      <c r="D52" s="30"/>
      <c r="E52" s="30"/>
      <c r="F52" s="30"/>
      <c r="G52" s="30"/>
      <c r="H52" s="30"/>
      <c r="I52" s="30"/>
      <c r="J52" s="30"/>
      <c r="K52" s="30"/>
      <c r="L52" s="30"/>
      <c r="M52" s="12"/>
    </row>
    <row r="53" spans="1:15" ht="19.5" customHeight="1" thickBot="1">
      <c r="A53" s="2"/>
      <c r="B53" s="32"/>
      <c r="C53" s="33"/>
      <c r="D53" s="33"/>
      <c r="E53" s="33"/>
      <c r="F53" s="33"/>
      <c r="G53" s="33"/>
      <c r="H53" s="33"/>
      <c r="I53" s="33"/>
      <c r="J53" s="33"/>
      <c r="K53" s="33"/>
      <c r="L53" s="33"/>
      <c r="M53" s="34" t="s">
        <v>583</v>
      </c>
    </row>
    <row r="54" spans="1:15" ht="19.5" customHeight="1" thickTop="1">
      <c r="A54" s="2"/>
      <c r="B54" s="2"/>
      <c r="C54" s="2"/>
      <c r="D54" s="2"/>
      <c r="E54" s="2"/>
      <c r="F54" s="2"/>
      <c r="G54" s="2"/>
      <c r="H54" s="2"/>
      <c r="I54" s="2"/>
      <c r="J54" s="2"/>
      <c r="K54" s="2"/>
      <c r="L54" s="2"/>
      <c r="M54" s="2"/>
    </row>
  </sheetData>
  <hyperlinks>
    <hyperlink ref="C15" location="LBO!A1" tooltip="LBO" display="LBO" xr:uid="{85C8CF96-8196-4D7E-95E8-7E3A70606CC0}"/>
    <hyperlink ref="C51" r:id="rId1" xr:uid="{E33940CF-6720-4BEB-89C4-F2728B0CD8BF}"/>
    <hyperlink ref="C52" r:id="rId2" xr:uid="{8D439D88-C640-463A-998C-9AD7AAD81C8B}"/>
  </hyperlinks>
  <printOptions horizontalCentered="1"/>
  <pageMargins left="0.7" right="0.7" top="0.75" bottom="0.75" header="0.3" footer="0.3"/>
  <pageSetup scale="48" orientation="landscape" horizontalDpi="300" verticalDpi="300" r:id="rId3"/>
  <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U1088"/>
  <sheetViews>
    <sheetView showGridLines="0" zoomScale="85" zoomScaleNormal="85" workbookViewId="0"/>
  </sheetViews>
  <sheetFormatPr defaultColWidth="9.1640625" defaultRowHeight="13.5" customHeight="1" outlineLevelRow="1"/>
  <cols>
    <col min="1" max="1" width="2.71875" style="38" customWidth="1"/>
    <col min="2" max="20" width="11.71875" style="38" customWidth="1"/>
    <col min="21" max="16384" width="9.1640625" style="38"/>
  </cols>
  <sheetData>
    <row r="1" spans="1:20" s="1" customFormat="1" ht="50.1" customHeight="1">
      <c r="B1" s="8"/>
      <c r="C1" s="8"/>
      <c r="D1" s="8"/>
      <c r="E1" s="8"/>
      <c r="F1" s="8"/>
      <c r="G1" s="8"/>
      <c r="H1" s="8"/>
      <c r="I1" s="8"/>
      <c r="J1" s="8"/>
      <c r="K1" s="8"/>
      <c r="L1" s="8"/>
      <c r="M1" s="8"/>
      <c r="N1" s="8"/>
      <c r="O1" s="8"/>
      <c r="P1" s="8"/>
      <c r="Q1" s="8"/>
      <c r="R1" s="8"/>
      <c r="S1" s="8"/>
      <c r="T1" s="8"/>
    </row>
    <row r="2" spans="1:20" s="35" customFormat="1" ht="13.5" customHeight="1"/>
    <row r="3" spans="1:20" s="35" customFormat="1" ht="24" customHeight="1" thickBot="1">
      <c r="B3" s="36" t="s">
        <v>532</v>
      </c>
      <c r="T3" s="37"/>
    </row>
    <row r="4" spans="1:20" ht="2.5" customHeight="1">
      <c r="B4" s="39"/>
      <c r="C4" s="40"/>
      <c r="D4" s="40"/>
      <c r="E4" s="40"/>
      <c r="F4" s="40"/>
      <c r="G4" s="40"/>
      <c r="H4" s="40"/>
      <c r="I4" s="40"/>
      <c r="J4" s="40"/>
      <c r="K4" s="40"/>
      <c r="L4" s="40"/>
      <c r="M4" s="40"/>
      <c r="N4" s="40"/>
      <c r="O4" s="40"/>
      <c r="P4" s="40"/>
      <c r="Q4" s="40"/>
      <c r="R4" s="40"/>
      <c r="S4" s="40"/>
      <c r="T4" s="40"/>
    </row>
    <row r="5" spans="1:20" ht="13.5" customHeight="1" thickBot="1"/>
    <row r="6" spans="1:20" s="35" customFormat="1" ht="20.100000000000001" customHeight="1" thickTop="1">
      <c r="A6" s="41" t="s">
        <v>313</v>
      </c>
      <c r="B6" s="42" t="s">
        <v>472</v>
      </c>
      <c r="C6" s="43"/>
      <c r="D6" s="44"/>
      <c r="E6" s="44"/>
      <c r="F6" s="44"/>
      <c r="G6" s="44"/>
      <c r="H6" s="44"/>
      <c r="I6" s="44"/>
      <c r="J6" s="44"/>
      <c r="K6" s="44"/>
      <c r="L6" s="44"/>
      <c r="M6" s="44"/>
      <c r="N6" s="44"/>
      <c r="O6" s="44"/>
      <c r="P6" s="44"/>
      <c r="Q6" s="44"/>
      <c r="R6" s="44"/>
      <c r="S6" s="44"/>
      <c r="T6" s="44"/>
    </row>
    <row r="7" spans="1:20" s="35" customFormat="1" ht="13.5" customHeight="1" outlineLevel="1">
      <c r="B7" s="45" t="s">
        <v>0</v>
      </c>
    </row>
    <row r="8" spans="1:20" s="35" customFormat="1" ht="13.5" customHeight="1" outlineLevel="1"/>
    <row r="9" spans="1:20" s="35" customFormat="1" ht="13.5" customHeight="1" outlineLevel="1">
      <c r="B9" s="46" t="s">
        <v>471</v>
      </c>
      <c r="C9" s="47"/>
      <c r="D9" s="47"/>
      <c r="E9" s="47"/>
      <c r="F9" s="48"/>
      <c r="H9" s="46" t="s">
        <v>43</v>
      </c>
      <c r="I9" s="47"/>
      <c r="J9" s="47"/>
      <c r="K9" s="48"/>
      <c r="M9" s="46" t="s">
        <v>224</v>
      </c>
      <c r="N9" s="47"/>
      <c r="O9" s="47"/>
      <c r="P9" s="48"/>
    </row>
    <row r="10" spans="1:20" s="35" customFormat="1" ht="13.5" customHeight="1" outlineLevel="1">
      <c r="B10" s="49"/>
      <c r="C10" s="49"/>
      <c r="D10" s="49"/>
      <c r="E10" s="49" t="s">
        <v>31</v>
      </c>
      <c r="F10" s="49" t="s">
        <v>32</v>
      </c>
      <c r="H10" s="38" t="s">
        <v>186</v>
      </c>
      <c r="I10" s="38"/>
      <c r="J10" s="38"/>
      <c r="K10" s="403">
        <v>44926</v>
      </c>
      <c r="M10" s="38" t="s">
        <v>226</v>
      </c>
      <c r="N10" s="38"/>
      <c r="O10" s="38"/>
      <c r="P10" s="401">
        <v>12.81</v>
      </c>
    </row>
    <row r="11" spans="1:20" s="35" customFormat="1" ht="13.5" customHeight="1" outlineLevel="1" thickBot="1">
      <c r="B11" s="50"/>
      <c r="C11" s="50"/>
      <c r="D11" s="50" t="s">
        <v>72</v>
      </c>
      <c r="E11" s="50" t="s">
        <v>17</v>
      </c>
      <c r="F11" s="50" t="s">
        <v>41</v>
      </c>
      <c r="H11" s="38" t="s">
        <v>163</v>
      </c>
      <c r="I11" s="38"/>
      <c r="J11" s="38"/>
      <c r="K11" s="403">
        <v>45016</v>
      </c>
      <c r="M11" s="38" t="s">
        <v>225</v>
      </c>
      <c r="N11" s="38"/>
      <c r="O11" s="38"/>
      <c r="P11" s="402">
        <v>0.25</v>
      </c>
    </row>
    <row r="12" spans="1:20" s="35" customFormat="1" ht="13.5" customHeight="1" outlineLevel="1">
      <c r="H12" s="38" t="s">
        <v>164</v>
      </c>
      <c r="I12" s="38"/>
      <c r="J12" s="38"/>
      <c r="K12" s="403">
        <v>45063</v>
      </c>
      <c r="M12" s="52" t="s">
        <v>107</v>
      </c>
      <c r="N12" s="52"/>
      <c r="O12" s="52"/>
      <c r="P12" s="53">
        <f>P10*(1+P11)</f>
        <v>16.012499999999999</v>
      </c>
    </row>
    <row r="13" spans="1:20" s="35" customFormat="1" ht="13.5" customHeight="1" outlineLevel="1">
      <c r="B13" s="38" t="s">
        <v>230</v>
      </c>
      <c r="C13" s="38"/>
      <c r="D13" s="54">
        <f t="shared" ref="D13:D27" ca="1" si="0">O832</f>
        <v>82.188343471646988</v>
      </c>
      <c r="E13" s="55">
        <f t="shared" ref="E13:E28" ca="1" si="1">IFERROR(D13/$D$29,0)</f>
        <v>9.8466944727247888E-2</v>
      </c>
      <c r="F13" s="56">
        <f t="shared" ref="F13:F28" ca="1" si="2">D13/$O$50</f>
        <v>0.63316777837253557</v>
      </c>
      <c r="H13" s="38" t="s">
        <v>183</v>
      </c>
      <c r="I13" s="38"/>
      <c r="J13" s="38"/>
      <c r="K13" s="403">
        <v>45291</v>
      </c>
      <c r="M13" s="38"/>
      <c r="N13" s="38"/>
      <c r="O13" s="38"/>
      <c r="P13" s="38"/>
    </row>
    <row r="14" spans="1:20" s="35" customFormat="1" ht="13.5" customHeight="1" outlineLevel="1">
      <c r="B14" s="38" t="s">
        <v>379</v>
      </c>
      <c r="C14" s="38"/>
      <c r="D14" s="57">
        <f t="shared" si="0"/>
        <v>14.05946</v>
      </c>
      <c r="E14" s="58">
        <f t="shared" ca="1" si="1"/>
        <v>1.6844141300798143E-2</v>
      </c>
      <c r="F14" s="56">
        <f t="shared" si="2"/>
        <v>0.10831216054851507</v>
      </c>
      <c r="H14" s="38" t="s">
        <v>187</v>
      </c>
      <c r="K14" s="59">
        <f>EOMONTH(close,12)</f>
        <v>45657</v>
      </c>
      <c r="M14" s="38" t="s">
        <v>105</v>
      </c>
      <c r="N14" s="38"/>
      <c r="O14" s="38"/>
      <c r="P14" s="60">
        <f>H814</f>
        <v>34.921999999999997</v>
      </c>
    </row>
    <row r="15" spans="1:20" s="61" customFormat="1" ht="13.5" customHeight="1" outlineLevel="1">
      <c r="B15" s="62" t="s">
        <v>23</v>
      </c>
      <c r="C15" s="38"/>
      <c r="D15" s="57">
        <f t="shared" si="0"/>
        <v>0</v>
      </c>
      <c r="E15" s="58">
        <f t="shared" ca="1" si="1"/>
        <v>0</v>
      </c>
      <c r="F15" s="56">
        <f t="shared" si="2"/>
        <v>0</v>
      </c>
      <c r="G15" s="63"/>
      <c r="H15" s="38"/>
      <c r="I15" s="38"/>
      <c r="J15" s="38"/>
      <c r="K15" s="64"/>
      <c r="M15" s="38" t="s">
        <v>381</v>
      </c>
      <c r="N15" s="38"/>
      <c r="O15" s="38"/>
      <c r="P15" s="65">
        <f>G750</f>
        <v>1.288</v>
      </c>
    </row>
    <row r="16" spans="1:20" s="35" customFormat="1" ht="13.5" customHeight="1" outlineLevel="1">
      <c r="B16" s="62" t="str">
        <f>B835</f>
        <v>Term loan - A</v>
      </c>
      <c r="C16" s="38"/>
      <c r="D16" s="57">
        <f t="shared" si="0"/>
        <v>50</v>
      </c>
      <c r="E16" s="58">
        <f t="shared" ca="1" si="1"/>
        <v>5.9903229927743114E-2</v>
      </c>
      <c r="F16" s="56">
        <f t="shared" si="2"/>
        <v>0.38519317437695</v>
      </c>
      <c r="G16" s="66"/>
      <c r="H16" s="46" t="s">
        <v>249</v>
      </c>
      <c r="I16" s="47"/>
      <c r="J16" s="47"/>
      <c r="K16" s="48"/>
      <c r="M16" s="38" t="s">
        <v>104</v>
      </c>
      <c r="N16" s="38"/>
      <c r="O16" s="38"/>
      <c r="P16" s="65">
        <f>P899</f>
        <v>0</v>
      </c>
    </row>
    <row r="17" spans="2:16" s="35" customFormat="1" ht="13.5" customHeight="1" outlineLevel="1">
      <c r="B17" s="62" t="str">
        <f t="shared" ref="B17:B27" si="3">B836</f>
        <v>Term loan - B</v>
      </c>
      <c r="C17" s="38"/>
      <c r="D17" s="57">
        <f t="shared" si="0"/>
        <v>0</v>
      </c>
      <c r="E17" s="58">
        <f t="shared" ca="1" si="1"/>
        <v>0</v>
      </c>
      <c r="F17" s="56">
        <f t="shared" si="2"/>
        <v>0</v>
      </c>
      <c r="G17" s="67"/>
      <c r="H17" s="38" t="s">
        <v>547</v>
      </c>
      <c r="I17" s="68"/>
      <c r="J17" s="68"/>
      <c r="K17" s="404">
        <v>1</v>
      </c>
      <c r="M17" s="52" t="s">
        <v>106</v>
      </c>
      <c r="N17" s="52"/>
      <c r="O17" s="52"/>
      <c r="P17" s="70">
        <f>SUM(P14:P16)</f>
        <v>36.209999999999994</v>
      </c>
    </row>
    <row r="18" spans="2:16" s="35" customFormat="1" ht="13.5" customHeight="1" outlineLevel="1">
      <c r="B18" s="62" t="str">
        <f t="shared" si="3"/>
        <v>Senior note</v>
      </c>
      <c r="C18" s="38"/>
      <c r="D18" s="57">
        <f t="shared" si="0"/>
        <v>100</v>
      </c>
      <c r="E18" s="58">
        <f t="shared" ca="1" si="1"/>
        <v>0.11980645985548623</v>
      </c>
      <c r="F18" s="56">
        <f t="shared" si="2"/>
        <v>0.7703863487539</v>
      </c>
      <c r="G18" s="63"/>
      <c r="H18" s="38" t="s">
        <v>248</v>
      </c>
      <c r="J18" s="68"/>
      <c r="K18" s="405">
        <v>4</v>
      </c>
      <c r="M18" s="38" t="s">
        <v>446</v>
      </c>
      <c r="N18" s="38"/>
      <c r="O18" s="38"/>
      <c r="P18" s="71">
        <f>P12</f>
        <v>16.012499999999999</v>
      </c>
    </row>
    <row r="19" spans="2:16" s="35" customFormat="1" ht="13.5" customHeight="1" outlineLevel="1">
      <c r="B19" s="62" t="str">
        <f t="shared" si="3"/>
        <v>Subordinated note</v>
      </c>
      <c r="C19" s="38"/>
      <c r="D19" s="57">
        <f t="shared" si="0"/>
        <v>50</v>
      </c>
      <c r="E19" s="58">
        <f t="shared" ca="1" si="1"/>
        <v>5.9903229927743114E-2</v>
      </c>
      <c r="F19" s="56">
        <f t="shared" si="2"/>
        <v>0.38519317437695</v>
      </c>
      <c r="G19" s="63"/>
      <c r="H19" s="38" t="s">
        <v>475</v>
      </c>
      <c r="J19" s="68"/>
      <c r="K19" s="406">
        <v>5</v>
      </c>
      <c r="M19" s="72" t="s">
        <v>88</v>
      </c>
      <c r="N19" s="72"/>
      <c r="O19" s="72"/>
      <c r="P19" s="73">
        <f>P18*P17</f>
        <v>579.81262499999991</v>
      </c>
    </row>
    <row r="20" spans="2:16" s="35" customFormat="1" ht="13.5" customHeight="1" outlineLevel="1">
      <c r="B20" s="62" t="str">
        <f t="shared" si="3"/>
        <v>Mezzanine</v>
      </c>
      <c r="C20" s="38"/>
      <c r="D20" s="57">
        <f t="shared" si="0"/>
        <v>0</v>
      </c>
      <c r="E20" s="58">
        <f t="shared" ca="1" si="1"/>
        <v>0</v>
      </c>
      <c r="F20" s="56">
        <f t="shared" si="2"/>
        <v>0</v>
      </c>
      <c r="G20" s="63"/>
      <c r="H20" s="38" t="s">
        <v>476</v>
      </c>
      <c r="J20" s="68"/>
      <c r="K20" s="406">
        <v>14</v>
      </c>
      <c r="M20" s="38" t="s">
        <v>382</v>
      </c>
      <c r="N20" s="38"/>
      <c r="O20" s="38"/>
      <c r="P20" s="57">
        <f>-H750</f>
        <v>-14.05946</v>
      </c>
    </row>
    <row r="21" spans="2:16" s="35" customFormat="1" ht="13.5" customHeight="1" outlineLevel="1">
      <c r="B21" s="62" t="str">
        <f t="shared" si="3"/>
        <v>Seller note</v>
      </c>
      <c r="C21" s="38"/>
      <c r="D21" s="57">
        <f t="shared" si="0"/>
        <v>0</v>
      </c>
      <c r="E21" s="58">
        <f t="shared" ca="1" si="1"/>
        <v>0</v>
      </c>
      <c r="F21" s="56">
        <f t="shared" si="2"/>
        <v>0</v>
      </c>
      <c r="G21" s="63"/>
      <c r="M21" s="74" t="s">
        <v>205</v>
      </c>
      <c r="N21" s="74"/>
      <c r="O21" s="74"/>
      <c r="P21" s="75">
        <f>SUM(P19:P20)</f>
        <v>565.75316499999997</v>
      </c>
    </row>
    <row r="22" spans="2:16" s="35" customFormat="1" ht="13.5" customHeight="1" outlineLevel="1">
      <c r="B22" s="62" t="str">
        <f t="shared" si="3"/>
        <v>Convertible bond</v>
      </c>
      <c r="D22" s="57">
        <f t="shared" si="0"/>
        <v>0</v>
      </c>
      <c r="E22" s="58">
        <f t="shared" ca="1" si="1"/>
        <v>0</v>
      </c>
      <c r="F22" s="56">
        <f t="shared" si="2"/>
        <v>0</v>
      </c>
      <c r="G22" s="76"/>
      <c r="H22" s="46" t="s">
        <v>45</v>
      </c>
      <c r="I22" s="47"/>
      <c r="J22" s="47"/>
      <c r="K22" s="48"/>
      <c r="M22" s="77" t="s">
        <v>94</v>
      </c>
      <c r="N22" s="78"/>
      <c r="O22" s="38"/>
      <c r="P22" s="407">
        <v>0</v>
      </c>
    </row>
    <row r="23" spans="2:16" s="35" customFormat="1" ht="13.5" customHeight="1" outlineLevel="1">
      <c r="B23" s="62" t="str">
        <f t="shared" si="3"/>
        <v>[Debt 8]</v>
      </c>
      <c r="D23" s="57">
        <f t="shared" si="0"/>
        <v>0</v>
      </c>
      <c r="E23" s="58">
        <f t="shared" ca="1" si="1"/>
        <v>0</v>
      </c>
      <c r="F23" s="56">
        <f t="shared" si="2"/>
        <v>0</v>
      </c>
      <c r="G23" s="76"/>
      <c r="H23" s="38" t="s">
        <v>238</v>
      </c>
      <c r="I23" s="38"/>
      <c r="J23" s="38"/>
      <c r="K23" s="407">
        <v>100</v>
      </c>
      <c r="M23" s="77" t="s">
        <v>93</v>
      </c>
      <c r="N23" s="38"/>
      <c r="O23" s="38"/>
      <c r="P23" s="57">
        <f>IF(T879&gt;P12,E247,0)</f>
        <v>230</v>
      </c>
    </row>
    <row r="24" spans="2:16" s="35" customFormat="1" ht="13.5" customHeight="1" outlineLevel="1">
      <c r="B24" s="62" t="str">
        <f t="shared" si="3"/>
        <v>Preferred stock - A</v>
      </c>
      <c r="C24" s="38"/>
      <c r="D24" s="57">
        <f t="shared" si="0"/>
        <v>10</v>
      </c>
      <c r="E24" s="58">
        <f t="shared" ca="1" si="1"/>
        <v>1.1980645985548623E-2</v>
      </c>
      <c r="F24" s="56">
        <f t="shared" si="2"/>
        <v>7.7038634875390005E-2</v>
      </c>
      <c r="G24" s="76"/>
      <c r="H24" s="38" t="s">
        <v>160</v>
      </c>
      <c r="I24" s="38"/>
      <c r="J24" s="38"/>
      <c r="K24" s="408">
        <v>0.35</v>
      </c>
      <c r="M24" s="77" t="s">
        <v>92</v>
      </c>
      <c r="N24" s="38"/>
      <c r="O24" s="38"/>
      <c r="P24" s="80">
        <f>H261</f>
        <v>0</v>
      </c>
    </row>
    <row r="25" spans="2:16" s="61" customFormat="1" ht="13.5" customHeight="1" outlineLevel="1">
      <c r="B25" s="62" t="str">
        <f t="shared" si="3"/>
        <v>Preferred stock - B</v>
      </c>
      <c r="C25" s="38"/>
      <c r="D25" s="57">
        <f t="shared" si="0"/>
        <v>0</v>
      </c>
      <c r="E25" s="58">
        <f t="shared" ca="1" si="1"/>
        <v>0</v>
      </c>
      <c r="F25" s="56">
        <f t="shared" si="2"/>
        <v>0</v>
      </c>
      <c r="G25" s="81"/>
      <c r="H25" s="35" t="s">
        <v>227</v>
      </c>
      <c r="I25" s="35"/>
      <c r="J25" s="35"/>
      <c r="K25" s="409">
        <v>0</v>
      </c>
      <c r="M25" s="82" t="s">
        <v>95</v>
      </c>
      <c r="N25" s="52"/>
      <c r="O25" s="52"/>
      <c r="P25" s="83">
        <f>SUM(P22:P24)</f>
        <v>230</v>
      </c>
    </row>
    <row r="26" spans="2:16" s="35" customFormat="1" ht="13.5" customHeight="1" outlineLevel="1">
      <c r="B26" s="62" t="str">
        <f t="shared" si="3"/>
        <v>Sponsor equity</v>
      </c>
      <c r="C26" s="38"/>
      <c r="D26" s="57">
        <f t="shared" ca="1" si="0"/>
        <v>509.72831193147789</v>
      </c>
      <c r="E26" s="58">
        <f t="shared" ca="1" si="1"/>
        <v>0.61068744540623365</v>
      </c>
      <c r="F26" s="56">
        <f t="shared" ca="1" si="2"/>
        <v>3.9268773308538027</v>
      </c>
      <c r="G26" s="76"/>
      <c r="M26" s="84" t="s">
        <v>96</v>
      </c>
      <c r="N26" s="38"/>
      <c r="O26" s="38"/>
      <c r="P26" s="57">
        <f ca="1">-H221</f>
        <v>-182.18834347164699</v>
      </c>
    </row>
    <row r="27" spans="2:16" s="35" customFormat="1" ht="13.5" customHeight="1" outlineLevel="1">
      <c r="B27" s="62" t="str">
        <f t="shared" si="3"/>
        <v>Management equity</v>
      </c>
      <c r="D27" s="57">
        <f t="shared" si="0"/>
        <v>10</v>
      </c>
      <c r="E27" s="58">
        <f t="shared" ca="1" si="1"/>
        <v>1.1980645985548623E-2</v>
      </c>
      <c r="F27" s="56">
        <f t="shared" si="2"/>
        <v>7.7038634875390005E-2</v>
      </c>
      <c r="G27" s="76"/>
      <c r="H27" s="46" t="s">
        <v>271</v>
      </c>
      <c r="I27" s="47"/>
      <c r="J27" s="47"/>
      <c r="K27" s="48"/>
      <c r="M27" s="52" t="s">
        <v>228</v>
      </c>
      <c r="N27" s="52"/>
      <c r="O27" s="52"/>
      <c r="P27" s="83">
        <f ca="1">SUM(P25:P26)</f>
        <v>47.811656528353012</v>
      </c>
    </row>
    <row r="28" spans="2:16" s="35" customFormat="1" ht="13.5" customHeight="1" outlineLevel="1">
      <c r="B28" s="62" t="s">
        <v>454</v>
      </c>
      <c r="D28" s="57">
        <f>O848</f>
        <v>8.7034179093749984</v>
      </c>
      <c r="E28" s="58">
        <f t="shared" ca="1" si="1"/>
        <v>1.0427256883650557E-2</v>
      </c>
      <c r="F28" s="56">
        <f t="shared" si="2"/>
        <v>6.7049943448827073E-2</v>
      </c>
      <c r="G28" s="81"/>
      <c r="H28" s="38" t="s">
        <v>100</v>
      </c>
      <c r="I28" s="38"/>
      <c r="J28" s="38"/>
      <c r="K28" s="85" t="b">
        <f ca="1">SUM(COUNTIF(I866:O866,"&lt;&gt;0"),ABS(D29-D36))=0</f>
        <v>1</v>
      </c>
      <c r="M28" s="86" t="s">
        <v>103</v>
      </c>
      <c r="N28" s="87"/>
      <c r="O28" s="87"/>
      <c r="P28" s="88">
        <f ca="1">P19+P27</f>
        <v>627.62428152835287</v>
      </c>
    </row>
    <row r="29" spans="2:16" s="35" customFormat="1" ht="13.5" customHeight="1" outlineLevel="1">
      <c r="B29" s="89" t="s">
        <v>261</v>
      </c>
      <c r="C29" s="89"/>
      <c r="D29" s="90">
        <f ca="1">SUM(D13:D28)</f>
        <v>834.67953331249987</v>
      </c>
      <c r="E29" s="91">
        <f ca="1">SUM(E13:E28)</f>
        <v>0.99999999999999989</v>
      </c>
      <c r="F29" s="92">
        <f ca="1">SUM(F13:F28)</f>
        <v>6.4302571804822612</v>
      </c>
      <c r="H29" s="38" t="s">
        <v>101</v>
      </c>
      <c r="I29" s="38"/>
      <c r="J29" s="38"/>
      <c r="K29" s="85" t="b">
        <f ca="1">COUNTIF(E270:T270,"&lt;&gt;0")=0</f>
        <v>1</v>
      </c>
    </row>
    <row r="30" spans="2:16" s="35" customFormat="1" ht="13.5" customHeight="1" outlineLevel="1">
      <c r="E30" s="93"/>
      <c r="H30" s="38" t="s">
        <v>551</v>
      </c>
      <c r="I30" s="38"/>
      <c r="J30" s="38"/>
      <c r="K30" s="85" t="b">
        <f ca="1">MAX(J248:T248)&lt;=revolver</f>
        <v>1</v>
      </c>
      <c r="M30" s="46" t="s">
        <v>217</v>
      </c>
      <c r="N30" s="47"/>
      <c r="O30" s="47"/>
      <c r="P30" s="48"/>
    </row>
    <row r="31" spans="2:16" s="35" customFormat="1" ht="13.5" customHeight="1" outlineLevel="1">
      <c r="B31" s="62" t="str">
        <f>B853</f>
        <v>Equity purchase price</v>
      </c>
      <c r="C31" s="38"/>
      <c r="D31" s="54">
        <f>O853</f>
        <v>579.81262499999991</v>
      </c>
      <c r="E31" s="55">
        <f>IFERROR(D31/$D$36,0)</f>
        <v>0.69465297980766583</v>
      </c>
      <c r="F31" s="56">
        <f>D31/$O$50</f>
        <v>4.4667973113516419</v>
      </c>
      <c r="H31" s="38" t="s">
        <v>102</v>
      </c>
      <c r="I31" s="38"/>
      <c r="J31" s="38"/>
      <c r="K31" s="85" t="str">
        <f ca="1">IF(AND(K28:K30),"","Model contains errors")</f>
        <v/>
      </c>
      <c r="M31" s="38" t="s">
        <v>205</v>
      </c>
      <c r="N31" s="38"/>
      <c r="O31" s="38"/>
      <c r="P31" s="54">
        <f>P21</f>
        <v>565.75316499999997</v>
      </c>
    </row>
    <row r="32" spans="2:16" s="35" customFormat="1" ht="13.5" customHeight="1" outlineLevel="1">
      <c r="B32" s="62" t="s">
        <v>263</v>
      </c>
      <c r="C32" s="38"/>
      <c r="D32" s="57">
        <f>O854</f>
        <v>230</v>
      </c>
      <c r="E32" s="58">
        <f>IFERROR(D32/$D$36,0)</f>
        <v>0.27555485766761834</v>
      </c>
      <c r="F32" s="56">
        <f>D32/$O$50</f>
        <v>1.7718886021339701</v>
      </c>
      <c r="M32" s="38" t="s">
        <v>552</v>
      </c>
      <c r="N32" s="38"/>
      <c r="O32" s="38"/>
      <c r="P32" s="57">
        <f>H261</f>
        <v>0</v>
      </c>
    </row>
    <row r="33" spans="2:16" s="35" customFormat="1" ht="13.5" customHeight="1" outlineLevel="1">
      <c r="B33" s="62" t="str">
        <f>B855</f>
        <v>Fund cash balance</v>
      </c>
      <c r="C33" s="38"/>
      <c r="D33" s="57">
        <f>O855</f>
        <v>0</v>
      </c>
      <c r="E33" s="58">
        <f>IFERROR(D33/$D$36,0)</f>
        <v>0</v>
      </c>
      <c r="F33" s="56">
        <f>D33/$O$50</f>
        <v>0</v>
      </c>
      <c r="H33" s="46" t="s">
        <v>86</v>
      </c>
      <c r="I33" s="47"/>
      <c r="J33" s="47"/>
      <c r="K33" s="48"/>
      <c r="M33" s="38" t="s">
        <v>218</v>
      </c>
      <c r="N33" s="38"/>
      <c r="O33" s="38"/>
      <c r="P33" s="57">
        <f ca="1">(H260-H236)*LBO</f>
        <v>-127.93176144375002</v>
      </c>
    </row>
    <row r="34" spans="2:16" s="35" customFormat="1" ht="13.5" customHeight="1" outlineLevel="1">
      <c r="B34" s="62" t="str">
        <f>B856</f>
        <v>Financing fees</v>
      </c>
      <c r="C34" s="38"/>
      <c r="D34" s="57">
        <f>O856</f>
        <v>6.8</v>
      </c>
      <c r="E34" s="58">
        <f>IFERROR(D34/$D$36,0)</f>
        <v>8.1468392701730639E-3</v>
      </c>
      <c r="F34" s="56">
        <f>D34/$O$50</f>
        <v>5.2386271715265199E-2</v>
      </c>
      <c r="H34" s="35" t="s">
        <v>91</v>
      </c>
      <c r="K34" s="435" t="s">
        <v>399</v>
      </c>
      <c r="M34" s="52" t="s">
        <v>89</v>
      </c>
      <c r="N34" s="52"/>
      <c r="O34" s="52"/>
      <c r="P34" s="83">
        <f ca="1">SUM(P31:P33)</f>
        <v>437.82140355624995</v>
      </c>
    </row>
    <row r="35" spans="2:16" s="35" customFormat="1" ht="13.5" customHeight="1" outlineLevel="1">
      <c r="B35" s="62" t="s">
        <v>455</v>
      </c>
      <c r="D35" s="57">
        <f>O863</f>
        <v>18.066908312499997</v>
      </c>
      <c r="E35" s="58">
        <f>IFERROR(D35/$D$36,0)</f>
        <v>2.1645323254542815E-2</v>
      </c>
      <c r="F35" s="56">
        <f>D35/$O$50</f>
        <v>0.13918499528138359</v>
      </c>
      <c r="K35" s="436" t="s">
        <v>398</v>
      </c>
      <c r="M35" s="94" t="s">
        <v>220</v>
      </c>
      <c r="P35" s="57">
        <f>-H232*LBO</f>
        <v>-61.094000000000001</v>
      </c>
    </row>
    <row r="36" spans="2:16" s="35" customFormat="1" ht="13.5" customHeight="1" outlineLevel="1">
      <c r="B36" s="95" t="s">
        <v>262</v>
      </c>
      <c r="C36" s="95"/>
      <c r="D36" s="96">
        <f>SUM(D31:D35)</f>
        <v>834.67953331249987</v>
      </c>
      <c r="E36" s="91">
        <f>SUM(E31:E35)</f>
        <v>1</v>
      </c>
      <c r="F36" s="92">
        <f>SUM(F31:F35)</f>
        <v>6.4302571804822604</v>
      </c>
      <c r="K36" s="436" t="s">
        <v>87</v>
      </c>
      <c r="M36" s="94" t="s">
        <v>221</v>
      </c>
      <c r="P36" s="57">
        <f ca="1">SUMIF(E46:E51,1,H46:H51)-SUMIF(E46:E51,0,H46:H51)</f>
        <v>124.45535088906249</v>
      </c>
    </row>
    <row r="37" spans="2:16" s="35" customFormat="1" ht="13.5" customHeight="1" outlineLevel="1">
      <c r="M37" s="84" t="s">
        <v>210</v>
      </c>
      <c r="N37" s="38"/>
      <c r="O37" s="38"/>
      <c r="P37" s="57">
        <f ca="1">-J52</f>
        <v>-43.559372811171869</v>
      </c>
    </row>
    <row r="38" spans="2:16" s="35" customFormat="1" ht="13.5" customHeight="1" outlineLevel="1">
      <c r="B38" s="46" t="s">
        <v>448</v>
      </c>
      <c r="C38" s="47"/>
      <c r="D38" s="47"/>
      <c r="E38" s="47"/>
      <c r="F38" s="48"/>
      <c r="M38" s="84" t="s">
        <v>211</v>
      </c>
      <c r="N38" s="38"/>
      <c r="O38" s="38"/>
      <c r="P38" s="57">
        <f ca="1">I52</f>
        <v>0</v>
      </c>
    </row>
    <row r="39" spans="2:16" s="35" customFormat="1" ht="13.5" customHeight="1" outlineLevel="1">
      <c r="B39" s="38" t="str">
        <f>"Financing case – "&amp;O826</f>
        <v>Financing case – LBO C</v>
      </c>
      <c r="C39" s="38"/>
      <c r="D39" s="38"/>
      <c r="F39" s="405">
        <v>6</v>
      </c>
      <c r="M39" s="97" t="s">
        <v>219</v>
      </c>
      <c r="N39" s="97"/>
      <c r="O39" s="97"/>
      <c r="P39" s="98">
        <f ca="1">SUM(P35:P38)</f>
        <v>19.801978077890617</v>
      </c>
    </row>
    <row r="40" spans="2:16" s="35" customFormat="1" ht="13.5" customHeight="1" outlineLevel="1">
      <c r="B40" s="38"/>
      <c r="C40" s="38"/>
      <c r="D40" s="38"/>
      <c r="F40" s="69"/>
      <c r="M40" s="97" t="s">
        <v>223</v>
      </c>
      <c r="N40" s="97"/>
      <c r="O40" s="97"/>
      <c r="P40" s="99">
        <f ca="1">P34-P39</f>
        <v>418.01942547835932</v>
      </c>
    </row>
    <row r="41" spans="2:16" s="35" customFormat="1" ht="13.5" customHeight="1" outlineLevel="1">
      <c r="B41" s="46" t="s">
        <v>392</v>
      </c>
      <c r="C41" s="47"/>
      <c r="D41" s="47"/>
      <c r="E41" s="47"/>
      <c r="F41" s="47"/>
      <c r="G41" s="47"/>
      <c r="H41" s="47"/>
      <c r="I41" s="47"/>
      <c r="J41" s="47"/>
      <c r="K41" s="48"/>
      <c r="M41" s="38" t="s">
        <v>222</v>
      </c>
      <c r="N41" s="38"/>
      <c r="O41" s="38"/>
      <c r="P41" s="57">
        <f ca="1">MAX(0,-P40)</f>
        <v>0</v>
      </c>
    </row>
    <row r="42" spans="2:16" s="35" customFormat="1" ht="13.5" customHeight="1" outlineLevel="1">
      <c r="B42" s="38" t="s">
        <v>393</v>
      </c>
      <c r="C42" s="38"/>
      <c r="E42" s="38"/>
      <c r="F42" s="38"/>
      <c r="G42" s="402">
        <v>0.25</v>
      </c>
      <c r="H42" s="38"/>
      <c r="I42" s="38"/>
      <c r="J42" s="38"/>
      <c r="K42" s="38"/>
      <c r="M42" s="95" t="s">
        <v>90</v>
      </c>
      <c r="N42" s="100"/>
      <c r="O42" s="100"/>
      <c r="P42" s="96">
        <f ca="1">SUM(P40:P41)</f>
        <v>418.01942547835932</v>
      </c>
    </row>
    <row r="43" spans="2:16" s="35" customFormat="1" ht="13.5" customHeight="1" outlineLevel="1">
      <c r="B43" s="38"/>
      <c r="C43" s="38"/>
      <c r="E43" s="38"/>
      <c r="F43" s="38"/>
      <c r="G43" s="51"/>
      <c r="H43" s="38"/>
      <c r="I43" s="38"/>
      <c r="J43" s="38"/>
      <c r="K43" s="38"/>
    </row>
    <row r="44" spans="2:16" s="35" customFormat="1" ht="13.5" customHeight="1" outlineLevel="1">
      <c r="B44" s="101"/>
      <c r="C44" s="101"/>
      <c r="D44" s="101"/>
      <c r="E44" s="101"/>
      <c r="F44" s="102" t="s">
        <v>403</v>
      </c>
      <c r="G44" s="102" t="s">
        <v>404</v>
      </c>
      <c r="H44" s="102" t="s">
        <v>404</v>
      </c>
      <c r="I44" s="102" t="s">
        <v>400</v>
      </c>
      <c r="J44" s="102" t="s">
        <v>402</v>
      </c>
      <c r="K44" s="102" t="s">
        <v>396</v>
      </c>
      <c r="M44" s="46" t="s">
        <v>487</v>
      </c>
      <c r="N44" s="47"/>
      <c r="O44" s="47"/>
      <c r="P44" s="48"/>
    </row>
    <row r="45" spans="2:16" s="35" customFormat="1" ht="13.5" customHeight="1" outlineLevel="1" thickBot="1">
      <c r="B45" s="103" t="s">
        <v>394</v>
      </c>
      <c r="C45" s="104"/>
      <c r="D45" s="104"/>
      <c r="E45" s="104" t="s">
        <v>395</v>
      </c>
      <c r="F45" s="104" t="s">
        <v>166</v>
      </c>
      <c r="G45" s="104" t="s">
        <v>166</v>
      </c>
      <c r="H45" s="104" t="s">
        <v>405</v>
      </c>
      <c r="I45" s="104" t="s">
        <v>401</v>
      </c>
      <c r="J45" s="104" t="s">
        <v>401</v>
      </c>
      <c r="K45" s="104" t="s">
        <v>397</v>
      </c>
      <c r="M45" s="104"/>
      <c r="N45" s="104"/>
      <c r="O45" s="104" t="s">
        <v>35</v>
      </c>
      <c r="P45" s="104" t="s">
        <v>36</v>
      </c>
    </row>
    <row r="46" spans="2:16" s="35" customFormat="1" ht="13.5" customHeight="1" outlineLevel="1">
      <c r="B46" s="437" t="s">
        <v>73</v>
      </c>
      <c r="C46" s="38"/>
      <c r="D46" s="38"/>
      <c r="E46" s="410">
        <v>1</v>
      </c>
      <c r="F46" s="105">
        <f>H227</f>
        <v>190.98593064667293</v>
      </c>
      <c r="G46" s="407">
        <f>F46+15</f>
        <v>205.98593064667293</v>
      </c>
      <c r="H46" s="105">
        <f>(G46-F46)*LBO</f>
        <v>15</v>
      </c>
      <c r="I46" s="105">
        <f t="shared" ref="I46:I51" si="4">MAX(0,H46*CHOOSE(E46+1,1,-1))*tax</f>
        <v>0</v>
      </c>
      <c r="J46" s="105">
        <f t="shared" ref="J46:J51" si="5">MAX(0,H46*CHOOSE(E46+1,-1,1))*tax</f>
        <v>5.25</v>
      </c>
      <c r="K46" s="411">
        <v>7</v>
      </c>
      <c r="M46" s="35" t="s">
        <v>38</v>
      </c>
      <c r="O46" s="407">
        <f>SUM(E144:H144)</f>
        <v>438.005</v>
      </c>
      <c r="P46" s="56">
        <f ca="1">$P$28/O46</f>
        <v>1.4329157921219002</v>
      </c>
    </row>
    <row r="47" spans="2:16" s="35" customFormat="1" ht="13.5" customHeight="1" outlineLevel="1">
      <c r="B47" s="437" t="s">
        <v>215</v>
      </c>
      <c r="C47" s="38"/>
      <c r="D47" s="38"/>
      <c r="E47" s="410">
        <v>1</v>
      </c>
      <c r="F47" s="411">
        <v>0</v>
      </c>
      <c r="G47" s="80">
        <f ca="1">H47-F47</f>
        <v>109.45535088906249</v>
      </c>
      <c r="H47" s="109">
        <f ca="1">G42*P34*LBO</f>
        <v>109.45535088906249</v>
      </c>
      <c r="I47" s="80">
        <f t="shared" ca="1" si="4"/>
        <v>0</v>
      </c>
      <c r="J47" s="80">
        <f t="shared" ca="1" si="5"/>
        <v>38.309372811171869</v>
      </c>
      <c r="K47" s="411">
        <v>5</v>
      </c>
      <c r="M47" s="35" t="str">
        <f>"FY"&amp;VALUE(TEXT(K10,"yy")+1)&amp;" PF sales"</f>
        <v>FY23 PF sales</v>
      </c>
      <c r="O47" s="110">
        <f>K144</f>
        <v>464.3</v>
      </c>
      <c r="P47" s="56">
        <f ca="1">$P$28/O47</f>
        <v>1.35176455207485</v>
      </c>
    </row>
    <row r="48" spans="2:16" s="35" customFormat="1" ht="13.5" customHeight="1" outlineLevel="1">
      <c r="B48" s="437" t="s">
        <v>212</v>
      </c>
      <c r="C48" s="38"/>
      <c r="D48" s="38"/>
      <c r="E48" s="410">
        <v>1</v>
      </c>
      <c r="F48" s="411">
        <v>0</v>
      </c>
      <c r="G48" s="411">
        <v>0</v>
      </c>
      <c r="H48" s="80">
        <f>(G48-F48)*LBO</f>
        <v>0</v>
      </c>
      <c r="I48" s="80">
        <f t="shared" si="4"/>
        <v>0</v>
      </c>
      <c r="J48" s="80">
        <f t="shared" si="5"/>
        <v>0</v>
      </c>
      <c r="K48" s="411">
        <v>0</v>
      </c>
      <c r="M48" s="35" t="str">
        <f>"FY"&amp;VALUE(TEXT(K10,"yy")+2)&amp;" PF sales"</f>
        <v>FY24 PF sales</v>
      </c>
      <c r="N48" s="61"/>
      <c r="O48" s="110">
        <f>L144</f>
        <v>492.17358249335052</v>
      </c>
      <c r="P48" s="56">
        <f ca="1">$P$28/O48</f>
        <v>1.2752092023078714</v>
      </c>
    </row>
    <row r="49" spans="1:20" s="35" customFormat="1" ht="13.5" customHeight="1" outlineLevel="1">
      <c r="B49" s="437" t="s">
        <v>213</v>
      </c>
      <c r="C49" s="38"/>
      <c r="D49" s="38"/>
      <c r="E49" s="410">
        <v>0</v>
      </c>
      <c r="F49" s="411">
        <v>0</v>
      </c>
      <c r="G49" s="411">
        <v>0</v>
      </c>
      <c r="H49" s="80">
        <f>(G49-F49)*LBO</f>
        <v>0</v>
      </c>
      <c r="I49" s="80">
        <f t="shared" si="4"/>
        <v>0</v>
      </c>
      <c r="J49" s="80">
        <f t="shared" si="5"/>
        <v>0</v>
      </c>
      <c r="K49" s="411">
        <v>0</v>
      </c>
    </row>
    <row r="50" spans="1:20" s="35" customFormat="1" ht="13.5" customHeight="1" outlineLevel="1">
      <c r="B50" s="437" t="s">
        <v>214</v>
      </c>
      <c r="C50" s="38"/>
      <c r="D50" s="38"/>
      <c r="E50" s="410">
        <v>0</v>
      </c>
      <c r="F50" s="411">
        <v>0</v>
      </c>
      <c r="G50" s="411">
        <v>0</v>
      </c>
      <c r="H50" s="80">
        <f>(G50-F50)*LBO</f>
        <v>0</v>
      </c>
      <c r="I50" s="80">
        <f t="shared" si="4"/>
        <v>0</v>
      </c>
      <c r="J50" s="80">
        <f t="shared" si="5"/>
        <v>0</v>
      </c>
      <c r="K50" s="411">
        <v>0</v>
      </c>
      <c r="M50" s="35" t="s">
        <v>41</v>
      </c>
      <c r="O50" s="411">
        <f>SUM(E148:H148)</f>
        <v>129.80500000000001</v>
      </c>
      <c r="P50" s="56">
        <f ca="1">$P$28/O50</f>
        <v>4.8351317863591756</v>
      </c>
    </row>
    <row r="51" spans="1:20" s="35" customFormat="1" ht="13.5" customHeight="1" outlineLevel="1">
      <c r="B51" s="437" t="s">
        <v>216</v>
      </c>
      <c r="C51" s="38"/>
      <c r="D51" s="38"/>
      <c r="E51" s="410">
        <v>0</v>
      </c>
      <c r="F51" s="411">
        <v>0</v>
      </c>
      <c r="G51" s="411">
        <v>0</v>
      </c>
      <c r="H51" s="80">
        <f>(G51-F51)*LBO</f>
        <v>0</v>
      </c>
      <c r="I51" s="80">
        <f t="shared" si="4"/>
        <v>0</v>
      </c>
      <c r="J51" s="80">
        <f t="shared" si="5"/>
        <v>0</v>
      </c>
      <c r="K51" s="411">
        <v>0</v>
      </c>
      <c r="M51" s="35" t="str">
        <f>"FY"&amp;VALUE(TEXT(K10,"yy")+1)&amp;" PF EBITDA"</f>
        <v>FY23 PF EBITDA</v>
      </c>
      <c r="O51" s="57">
        <f>K148</f>
        <v>138.69999999999999</v>
      </c>
      <c r="P51" s="56">
        <f ca="1">$P$28/O51</f>
        <v>4.5250488934993003</v>
      </c>
    </row>
    <row r="52" spans="1:20" s="35" customFormat="1" ht="13.5" customHeight="1" outlineLevel="1">
      <c r="B52" s="52" t="s">
        <v>17</v>
      </c>
      <c r="C52" s="111"/>
      <c r="D52" s="111"/>
      <c r="E52" s="111"/>
      <c r="F52" s="112"/>
      <c r="G52" s="112"/>
      <c r="H52" s="112"/>
      <c r="I52" s="113">
        <f ca="1">SUM(I46:OFFSET(I52,-1,0))</f>
        <v>0</v>
      </c>
      <c r="J52" s="113">
        <f ca="1">SUM(J46:OFFSET(J52,-1,0))</f>
        <v>43.559372811171869</v>
      </c>
      <c r="K52" s="111"/>
      <c r="M52" s="35" t="str">
        <f>"FY"&amp;VALUE(TEXT(K10,"yy")+2)&amp;" PF EBITDA"</f>
        <v>FY24 PF EBITDA</v>
      </c>
      <c r="O52" s="57">
        <f>L148</f>
        <v>147.02665494686133</v>
      </c>
      <c r="P52" s="56">
        <f ca="1">$P$28/O52</f>
        <v>4.2687788942432929</v>
      </c>
    </row>
    <row r="53" spans="1:20" s="35" customFormat="1" ht="5.0999999999999996" customHeight="1" outlineLevel="1" thickBot="1">
      <c r="B53" s="114"/>
      <c r="C53" s="114"/>
      <c r="D53" s="114"/>
      <c r="E53" s="114"/>
      <c r="F53" s="114"/>
      <c r="G53" s="114"/>
      <c r="H53" s="114"/>
      <c r="I53" s="114"/>
      <c r="J53" s="114"/>
      <c r="K53" s="114"/>
      <c r="L53" s="114"/>
      <c r="M53" s="114"/>
      <c r="N53" s="114"/>
      <c r="O53" s="114"/>
      <c r="P53" s="114"/>
      <c r="Q53" s="114"/>
      <c r="R53" s="114"/>
      <c r="S53" s="114"/>
      <c r="T53" s="114"/>
    </row>
    <row r="54" spans="1:20" s="35" customFormat="1" ht="13.5" customHeight="1" outlineLevel="1"/>
    <row r="55" spans="1:20" s="35" customFormat="1" ht="13.5" customHeight="1" outlineLevel="1" thickBot="1"/>
    <row r="56" spans="1:20" s="35" customFormat="1" ht="20.100000000000001" customHeight="1" thickTop="1">
      <c r="A56" s="41" t="s">
        <v>313</v>
      </c>
      <c r="B56" s="42" t="s">
        <v>44</v>
      </c>
      <c r="C56" s="43"/>
      <c r="D56" s="44"/>
      <c r="E56" s="44"/>
      <c r="F56" s="44"/>
      <c r="G56" s="44"/>
      <c r="H56" s="44"/>
      <c r="I56" s="44"/>
      <c r="J56" s="44"/>
      <c r="K56" s="44"/>
      <c r="L56" s="44"/>
      <c r="M56" s="44"/>
      <c r="N56" s="44"/>
      <c r="O56" s="44"/>
      <c r="P56" s="44"/>
      <c r="Q56" s="44"/>
      <c r="R56" s="44"/>
      <c r="S56" s="44"/>
      <c r="T56" s="44"/>
    </row>
    <row r="57" spans="1:20" ht="13.5" customHeight="1" outlineLevel="1">
      <c r="B57" s="45"/>
      <c r="T57" s="115" t="str">
        <f ca="1">err_msg</f>
        <v/>
      </c>
    </row>
    <row r="58" spans="1:20" s="35" customFormat="1" ht="13.5" customHeight="1" outlineLevel="1">
      <c r="B58" s="116"/>
      <c r="C58" s="116"/>
      <c r="D58" s="117"/>
      <c r="E58" s="38"/>
      <c r="F58" s="38"/>
      <c r="G58" s="38"/>
      <c r="H58" s="38"/>
      <c r="I58" s="118"/>
      <c r="J58" s="119" t="s">
        <v>46</v>
      </c>
      <c r="K58" s="120" t="str">
        <f>K$140</f>
        <v>Fiscal Years Ending December 31,</v>
      </c>
      <c r="L58" s="120"/>
      <c r="M58" s="120"/>
      <c r="N58" s="120"/>
      <c r="O58" s="120"/>
      <c r="P58" s="120"/>
      <c r="Q58" s="120"/>
      <c r="R58" s="120"/>
      <c r="S58" s="120"/>
      <c r="T58" s="120"/>
    </row>
    <row r="59" spans="1:20" s="35" customFormat="1" ht="13.5" customHeight="1" outlineLevel="1">
      <c r="B59" s="116"/>
      <c r="C59" s="116"/>
      <c r="D59" s="117"/>
      <c r="E59" s="38"/>
      <c r="F59" s="38"/>
      <c r="G59" s="38"/>
      <c r="H59" s="38"/>
      <c r="I59" s="121"/>
      <c r="J59" s="102" t="s">
        <v>303</v>
      </c>
      <c r="K59" s="102">
        <f t="shared" ref="K59" si="6">K$141</f>
        <v>1</v>
      </c>
      <c r="L59" s="102">
        <f>L$141</f>
        <v>2</v>
      </c>
      <c r="M59" s="102">
        <f t="shared" ref="M59:T59" si="7">M$141</f>
        <v>3</v>
      </c>
      <c r="N59" s="102">
        <f t="shared" si="7"/>
        <v>4</v>
      </c>
      <c r="O59" s="102">
        <f t="shared" si="7"/>
        <v>5</v>
      </c>
      <c r="P59" s="102">
        <f t="shared" si="7"/>
        <v>6</v>
      </c>
      <c r="Q59" s="102">
        <f t="shared" si="7"/>
        <v>7</v>
      </c>
      <c r="R59" s="102">
        <f t="shared" si="7"/>
        <v>8</v>
      </c>
      <c r="S59" s="102">
        <f t="shared" si="7"/>
        <v>9</v>
      </c>
      <c r="T59" s="102">
        <f t="shared" si="7"/>
        <v>10</v>
      </c>
    </row>
    <row r="60" spans="1:20" s="35" customFormat="1" ht="13.5" customHeight="1" outlineLevel="1" thickBot="1">
      <c r="B60" s="122" t="s">
        <v>201</v>
      </c>
      <c r="C60" s="123"/>
      <c r="D60" s="123"/>
      <c r="E60" s="124"/>
      <c r="F60" s="124"/>
      <c r="G60" s="124"/>
      <c r="H60" s="124"/>
      <c r="I60" s="123"/>
      <c r="J60" s="125">
        <f>H217</f>
        <v>45291</v>
      </c>
      <c r="K60" s="126">
        <f t="shared" ref="K60" si="8">K$142</f>
        <v>45657</v>
      </c>
      <c r="L60" s="126">
        <f>L$142</f>
        <v>46022</v>
      </c>
      <c r="M60" s="126">
        <f t="shared" ref="M60:T60" si="9">M$142</f>
        <v>46387</v>
      </c>
      <c r="N60" s="126">
        <f t="shared" si="9"/>
        <v>46752</v>
      </c>
      <c r="O60" s="126">
        <f t="shared" si="9"/>
        <v>47118</v>
      </c>
      <c r="P60" s="126">
        <f t="shared" si="9"/>
        <v>47483</v>
      </c>
      <c r="Q60" s="126">
        <f t="shared" si="9"/>
        <v>47848</v>
      </c>
      <c r="R60" s="126">
        <f t="shared" si="9"/>
        <v>48213</v>
      </c>
      <c r="S60" s="126">
        <f t="shared" si="9"/>
        <v>48579</v>
      </c>
      <c r="T60" s="126">
        <f t="shared" si="9"/>
        <v>48944</v>
      </c>
    </row>
    <row r="61" spans="1:20" ht="5.0999999999999996" customHeight="1" outlineLevel="1">
      <c r="T61" s="127"/>
    </row>
    <row r="62" spans="1:20" s="35" customFormat="1" ht="13.5" customHeight="1" outlineLevel="1">
      <c r="B62" s="46" t="s">
        <v>505</v>
      </c>
      <c r="C62" s="47"/>
      <c r="D62" s="47"/>
      <c r="E62" s="47"/>
      <c r="F62" s="47"/>
      <c r="G62" s="47"/>
      <c r="H62" s="47"/>
      <c r="I62" s="47"/>
      <c r="J62" s="47"/>
      <c r="K62" s="47"/>
      <c r="L62" s="47"/>
      <c r="M62" s="47"/>
      <c r="N62" s="47"/>
      <c r="O62" s="47"/>
      <c r="P62" s="47"/>
      <c r="Q62" s="47"/>
      <c r="R62" s="47"/>
      <c r="S62" s="47"/>
      <c r="T62" s="48"/>
    </row>
    <row r="63" spans="1:20" ht="5.0999999999999996" customHeight="1" outlineLevel="1"/>
    <row r="64" spans="1:20" ht="13.5" customHeight="1" outlineLevel="1">
      <c r="B64" s="38" t="s">
        <v>18</v>
      </c>
      <c r="J64" s="417">
        <f>SUM(E148:H148)</f>
        <v>129.80500000000001</v>
      </c>
      <c r="K64" s="128">
        <f>K148</f>
        <v>138.69999999999999</v>
      </c>
      <c r="L64" s="128">
        <f t="shared" ref="L64:T64" si="10">L148</f>
        <v>147.02665494686133</v>
      </c>
      <c r="M64" s="128">
        <f t="shared" si="10"/>
        <v>155.85318864357191</v>
      </c>
      <c r="N64" s="128">
        <f t="shared" si="10"/>
        <v>165.20961059168371</v>
      </c>
      <c r="O64" s="128">
        <f t="shared" si="10"/>
        <v>175.12773186999863</v>
      </c>
      <c r="P64" s="128">
        <f t="shared" si="10"/>
        <v>185.6412732896664</v>
      </c>
      <c r="Q64" s="128">
        <f t="shared" si="10"/>
        <v>196.78598004221894</v>
      </c>
      <c r="R64" s="128">
        <f t="shared" si="10"/>
        <v>208.59974323033359</v>
      </c>
      <c r="S64" s="128">
        <f t="shared" si="10"/>
        <v>221.12272869452141</v>
      </c>
      <c r="T64" s="128">
        <f t="shared" si="10"/>
        <v>234.39751357374072</v>
      </c>
    </row>
    <row r="65" spans="2:20" ht="13.5" customHeight="1" outlineLevel="1">
      <c r="B65" s="38" t="s">
        <v>28</v>
      </c>
      <c r="J65" s="414">
        <f>SUM(E184:H184)</f>
        <v>20.571930646672914</v>
      </c>
      <c r="K65" s="129">
        <f>K184</f>
        <v>21.8</v>
      </c>
      <c r="L65" s="129">
        <f t="shared" ref="L65:T65" si="11">L184</f>
        <v>23.108731635483615</v>
      </c>
      <c r="M65" s="129">
        <f t="shared" si="11"/>
        <v>24.496031091779866</v>
      </c>
      <c r="N65" s="129">
        <f t="shared" si="11"/>
        <v>25.966615074972641</v>
      </c>
      <c r="O65" s="129">
        <f t="shared" si="11"/>
        <v>27.525483451809443</v>
      </c>
      <c r="P65" s="129">
        <f t="shared" si="11"/>
        <v>29.177936248844475</v>
      </c>
      <c r="Q65" s="129">
        <f t="shared" si="11"/>
        <v>30.929591672100749</v>
      </c>
      <c r="R65" s="129">
        <f t="shared" si="11"/>
        <v>32.786405208516747</v>
      </c>
      <c r="S65" s="129">
        <f t="shared" si="11"/>
        <v>34.754689874120892</v>
      </c>
      <c r="T65" s="129">
        <f t="shared" si="11"/>
        <v>36.841137677776118</v>
      </c>
    </row>
    <row r="66" spans="2:20" ht="13.5" customHeight="1" outlineLevel="1">
      <c r="B66" s="38" t="s">
        <v>178</v>
      </c>
      <c r="J66" s="414" t="s">
        <v>1</v>
      </c>
      <c r="K66" s="129">
        <f>-K290</f>
        <v>3.1002426797732454</v>
      </c>
      <c r="L66" s="129">
        <f t="shared" ref="L66:T66" si="12">-L290</f>
        <v>2.9966190351407391</v>
      </c>
      <c r="M66" s="129">
        <f t="shared" si="12"/>
        <v>3.176516747561891</v>
      </c>
      <c r="N66" s="129">
        <f t="shared" si="12"/>
        <v>3.3672143603223361</v>
      </c>
      <c r="O66" s="129">
        <f t="shared" si="12"/>
        <v>3.5693602299007097</v>
      </c>
      <c r="P66" s="129">
        <f t="shared" si="12"/>
        <v>3.7836416359240275</v>
      </c>
      <c r="Q66" s="129">
        <f t="shared" si="12"/>
        <v>4.0107871178628898</v>
      </c>
      <c r="R66" s="129">
        <f t="shared" si="12"/>
        <v>4.2515689520067497</v>
      </c>
      <c r="S66" s="129">
        <f t="shared" si="12"/>
        <v>4.5068057771412384</v>
      </c>
      <c r="T66" s="129">
        <f t="shared" si="12"/>
        <v>4.777365377853414</v>
      </c>
    </row>
    <row r="67" spans="2:20" ht="13.5" customHeight="1" outlineLevel="1"/>
    <row r="68" spans="2:20" s="35" customFormat="1" ht="13.5" customHeight="1" outlineLevel="1">
      <c r="B68" s="46" t="s">
        <v>50</v>
      </c>
      <c r="C68" s="47"/>
      <c r="D68" s="47"/>
      <c r="E68" s="47"/>
      <c r="F68" s="47"/>
      <c r="G68" s="47"/>
      <c r="H68" s="47"/>
      <c r="I68" s="47"/>
      <c r="J68" s="47"/>
      <c r="K68" s="47"/>
      <c r="L68" s="47"/>
      <c r="M68" s="47"/>
      <c r="N68" s="47"/>
      <c r="O68" s="47"/>
      <c r="P68" s="47"/>
      <c r="Q68" s="47"/>
      <c r="R68" s="47"/>
      <c r="S68" s="47"/>
      <c r="T68" s="48"/>
    </row>
    <row r="69" spans="2:20" ht="5.0999999999999996" customHeight="1" outlineLevel="1"/>
    <row r="70" spans="2:20" ht="13.5" customHeight="1" outlineLevel="1">
      <c r="B70" s="62" t="s">
        <v>495</v>
      </c>
      <c r="J70" s="54">
        <f t="shared" ref="J70:T70" si="13">ROUND(SUMPRODUCT(J247:J256,$I879:$I888),9)</f>
        <v>150</v>
      </c>
      <c r="K70" s="54">
        <f t="shared" ca="1" si="13"/>
        <v>100</v>
      </c>
      <c r="L70" s="54">
        <f t="shared" ca="1" si="13"/>
        <v>100</v>
      </c>
      <c r="M70" s="54">
        <f t="shared" ca="1" si="13"/>
        <v>100</v>
      </c>
      <c r="N70" s="54">
        <f t="shared" ca="1" si="13"/>
        <v>100</v>
      </c>
      <c r="O70" s="54">
        <f t="shared" ca="1" si="13"/>
        <v>100</v>
      </c>
      <c r="P70" s="54">
        <f t="shared" ca="1" si="13"/>
        <v>100</v>
      </c>
      <c r="Q70" s="54">
        <f t="shared" ca="1" si="13"/>
        <v>100</v>
      </c>
      <c r="R70" s="54">
        <f t="shared" ca="1" si="13"/>
        <v>0</v>
      </c>
      <c r="S70" s="54">
        <f t="shared" ca="1" si="13"/>
        <v>0</v>
      </c>
      <c r="T70" s="54">
        <f t="shared" ca="1" si="13"/>
        <v>0</v>
      </c>
    </row>
    <row r="71" spans="2:20" ht="13.5" customHeight="1" outlineLevel="1">
      <c r="B71" s="38" t="s">
        <v>179</v>
      </c>
      <c r="J71" s="57">
        <f t="shared" ref="J71:T71" si="14">SUMIF($I879:$I888,0,J247:J256)</f>
        <v>50</v>
      </c>
      <c r="K71" s="57">
        <f t="shared" ca="1" si="14"/>
        <v>50</v>
      </c>
      <c r="L71" s="57">
        <f t="shared" ca="1" si="14"/>
        <v>50</v>
      </c>
      <c r="M71" s="57">
        <f t="shared" ca="1" si="14"/>
        <v>50</v>
      </c>
      <c r="N71" s="57">
        <f t="shared" ca="1" si="14"/>
        <v>50</v>
      </c>
      <c r="O71" s="57">
        <f t="shared" ca="1" si="14"/>
        <v>50</v>
      </c>
      <c r="P71" s="57">
        <f t="shared" ca="1" si="14"/>
        <v>0</v>
      </c>
      <c r="Q71" s="57">
        <f t="shared" ca="1" si="14"/>
        <v>0</v>
      </c>
      <c r="R71" s="57">
        <f t="shared" ca="1" si="14"/>
        <v>0</v>
      </c>
      <c r="S71" s="57">
        <f t="shared" ca="1" si="14"/>
        <v>0</v>
      </c>
      <c r="T71" s="57">
        <f t="shared" ca="1" si="14"/>
        <v>0</v>
      </c>
    </row>
    <row r="72" spans="2:20" ht="13.5" customHeight="1" outlineLevel="1">
      <c r="B72" s="38" t="s">
        <v>180</v>
      </c>
      <c r="J72" s="57">
        <f>J262+J263</f>
        <v>10</v>
      </c>
      <c r="K72" s="57">
        <f t="shared" ref="K72:T72" ca="1" si="15">K262+K263</f>
        <v>10</v>
      </c>
      <c r="L72" s="57">
        <f ca="1">L262+L263</f>
        <v>10</v>
      </c>
      <c r="M72" s="57">
        <f t="shared" ca="1" si="15"/>
        <v>10</v>
      </c>
      <c r="N72" s="57">
        <f t="shared" ca="1" si="15"/>
        <v>10</v>
      </c>
      <c r="O72" s="57">
        <f t="shared" ca="1" si="15"/>
        <v>10</v>
      </c>
      <c r="P72" s="57">
        <f t="shared" ca="1" si="15"/>
        <v>10</v>
      </c>
      <c r="Q72" s="57">
        <f t="shared" ca="1" si="15"/>
        <v>10</v>
      </c>
      <c r="R72" s="57">
        <f t="shared" ca="1" si="15"/>
        <v>10</v>
      </c>
      <c r="S72" s="57">
        <f t="shared" ca="1" si="15"/>
        <v>10</v>
      </c>
      <c r="T72" s="57">
        <f t="shared" ca="1" si="15"/>
        <v>10</v>
      </c>
    </row>
    <row r="73" spans="2:20" ht="13.5" customHeight="1" outlineLevel="1">
      <c r="B73" s="38" t="s">
        <v>133</v>
      </c>
      <c r="J73" s="57">
        <f t="shared" ref="J73:T73" si="16">J261</f>
        <v>0</v>
      </c>
      <c r="K73" s="57">
        <f t="shared" si="16"/>
        <v>0</v>
      </c>
      <c r="L73" s="57">
        <f t="shared" si="16"/>
        <v>0</v>
      </c>
      <c r="M73" s="57">
        <f t="shared" si="16"/>
        <v>0</v>
      </c>
      <c r="N73" s="57">
        <f t="shared" si="16"/>
        <v>0</v>
      </c>
      <c r="O73" s="57">
        <f t="shared" si="16"/>
        <v>0</v>
      </c>
      <c r="P73" s="57">
        <f t="shared" si="16"/>
        <v>0</v>
      </c>
      <c r="Q73" s="57">
        <f t="shared" si="16"/>
        <v>0</v>
      </c>
      <c r="R73" s="57">
        <f t="shared" si="16"/>
        <v>0</v>
      </c>
      <c r="S73" s="57">
        <f t="shared" si="16"/>
        <v>0</v>
      </c>
      <c r="T73" s="57">
        <f t="shared" si="16"/>
        <v>0</v>
      </c>
    </row>
    <row r="74" spans="2:20" ht="13.5" customHeight="1" outlineLevel="1">
      <c r="B74" s="38" t="s">
        <v>140</v>
      </c>
      <c r="J74" s="57">
        <f t="shared" ref="J74:T74" si="17">J246</f>
        <v>0</v>
      </c>
      <c r="K74" s="57">
        <f t="shared" si="17"/>
        <v>0</v>
      </c>
      <c r="L74" s="57">
        <f t="shared" si="17"/>
        <v>0</v>
      </c>
      <c r="M74" s="57">
        <f t="shared" si="17"/>
        <v>0</v>
      </c>
      <c r="N74" s="57">
        <f t="shared" si="17"/>
        <v>0</v>
      </c>
      <c r="O74" s="57">
        <f t="shared" si="17"/>
        <v>0</v>
      </c>
      <c r="P74" s="57">
        <f t="shared" si="17"/>
        <v>0</v>
      </c>
      <c r="Q74" s="57">
        <f t="shared" si="17"/>
        <v>0</v>
      </c>
      <c r="R74" s="57">
        <f t="shared" si="17"/>
        <v>0</v>
      </c>
      <c r="S74" s="57">
        <f t="shared" si="17"/>
        <v>0</v>
      </c>
      <c r="T74" s="57">
        <f t="shared" si="17"/>
        <v>0</v>
      </c>
    </row>
    <row r="75" spans="2:20" ht="13.5" customHeight="1" outlineLevel="1">
      <c r="B75" s="130" t="s">
        <v>137</v>
      </c>
      <c r="C75" s="52"/>
      <c r="D75" s="52"/>
      <c r="E75" s="52"/>
      <c r="F75" s="52"/>
      <c r="G75" s="52"/>
      <c r="H75" s="52"/>
      <c r="I75" s="52"/>
      <c r="J75" s="83">
        <f t="shared" ref="J75:T75" si="18">SUM(J70:J74)</f>
        <v>210</v>
      </c>
      <c r="K75" s="83">
        <f t="shared" ca="1" si="18"/>
        <v>160</v>
      </c>
      <c r="L75" s="83">
        <f t="shared" ca="1" si="18"/>
        <v>160</v>
      </c>
      <c r="M75" s="83">
        <f t="shared" ca="1" si="18"/>
        <v>160</v>
      </c>
      <c r="N75" s="83">
        <f t="shared" ca="1" si="18"/>
        <v>160</v>
      </c>
      <c r="O75" s="83">
        <f t="shared" ca="1" si="18"/>
        <v>160</v>
      </c>
      <c r="P75" s="83">
        <f t="shared" ca="1" si="18"/>
        <v>110</v>
      </c>
      <c r="Q75" s="83">
        <f t="shared" ca="1" si="18"/>
        <v>110</v>
      </c>
      <c r="R75" s="83">
        <f t="shared" ca="1" si="18"/>
        <v>10</v>
      </c>
      <c r="S75" s="83">
        <f t="shared" ca="1" si="18"/>
        <v>10</v>
      </c>
      <c r="T75" s="83">
        <f t="shared" ca="1" si="18"/>
        <v>10</v>
      </c>
    </row>
    <row r="76" spans="2:20" ht="13.5" customHeight="1" outlineLevel="1">
      <c r="B76" s="38" t="s">
        <v>177</v>
      </c>
      <c r="I76" s="131"/>
      <c r="J76" s="57">
        <f t="shared" ref="J76:T76" ca="1" si="19">J221</f>
        <v>100</v>
      </c>
      <c r="K76" s="57">
        <f t="shared" ca="1" si="19"/>
        <v>116.10101039022676</v>
      </c>
      <c r="L76" s="57">
        <f t="shared" ca="1" si="19"/>
        <v>197.91611028244279</v>
      </c>
      <c r="M76" s="57">
        <f t="shared" ca="1" si="19"/>
        <v>284.95429548790389</v>
      </c>
      <c r="N76" s="57">
        <f t="shared" ca="1" si="19"/>
        <v>377.61887958203016</v>
      </c>
      <c r="O76" s="57">
        <f t="shared" ca="1" si="19"/>
        <v>476.27146843245453</v>
      </c>
      <c r="P76" s="57">
        <f t="shared" ca="1" si="19"/>
        <v>523.72953436959392</v>
      </c>
      <c r="Q76" s="57">
        <f t="shared" ca="1" si="19"/>
        <v>631.08401980858571</v>
      </c>
      <c r="R76" s="57">
        <f t="shared" ca="1" si="19"/>
        <v>645.0356497639907</v>
      </c>
      <c r="S76" s="57">
        <f t="shared" ca="1" si="19"/>
        <v>773.76530438601367</v>
      </c>
      <c r="T76" s="57">
        <f t="shared" ca="1" si="19"/>
        <v>910.89964514382768</v>
      </c>
    </row>
    <row r="77" spans="2:20" ht="13.5" customHeight="1" outlineLevel="1">
      <c r="B77" s="132" t="s">
        <v>97</v>
      </c>
      <c r="C77" s="133"/>
      <c r="D77" s="133"/>
      <c r="E77" s="133"/>
      <c r="F77" s="133"/>
      <c r="G77" s="133"/>
      <c r="H77" s="133"/>
      <c r="I77" s="133"/>
      <c r="J77" s="134">
        <f t="shared" ref="J77:T77" ca="1" si="20">J75-J76</f>
        <v>110</v>
      </c>
      <c r="K77" s="134">
        <f t="shared" ca="1" si="20"/>
        <v>43.898989609773238</v>
      </c>
      <c r="L77" s="134">
        <f t="shared" ca="1" si="20"/>
        <v>-37.916110282442787</v>
      </c>
      <c r="M77" s="134">
        <f t="shared" ca="1" si="20"/>
        <v>-124.95429548790389</v>
      </c>
      <c r="N77" s="134">
        <f t="shared" ca="1" si="20"/>
        <v>-217.61887958203016</v>
      </c>
      <c r="O77" s="134">
        <f t="shared" ca="1" si="20"/>
        <v>-316.27146843245453</v>
      </c>
      <c r="P77" s="134">
        <f t="shared" ca="1" si="20"/>
        <v>-413.72953436959392</v>
      </c>
      <c r="Q77" s="134">
        <f t="shared" ca="1" si="20"/>
        <v>-521.08401980858571</v>
      </c>
      <c r="R77" s="134">
        <f t="shared" ca="1" si="20"/>
        <v>-635.0356497639907</v>
      </c>
      <c r="S77" s="134">
        <f t="shared" ca="1" si="20"/>
        <v>-763.76530438601367</v>
      </c>
      <c r="T77" s="134">
        <f t="shared" ca="1" si="20"/>
        <v>-900.89964514382768</v>
      </c>
    </row>
    <row r="78" spans="2:20" ht="13.5" customHeight="1" outlineLevel="1">
      <c r="T78" s="127"/>
    </row>
    <row r="79" spans="2:20" s="35" customFormat="1" ht="13.5" customHeight="1" outlineLevel="1">
      <c r="B79" s="46" t="s">
        <v>506</v>
      </c>
      <c r="C79" s="47"/>
      <c r="D79" s="47"/>
      <c r="E79" s="47"/>
      <c r="F79" s="47"/>
      <c r="G79" s="47"/>
      <c r="H79" s="47"/>
      <c r="I79" s="47"/>
      <c r="J79" s="47"/>
      <c r="K79" s="47"/>
      <c r="L79" s="47"/>
      <c r="M79" s="47"/>
      <c r="N79" s="47"/>
      <c r="O79" s="47"/>
      <c r="P79" s="47"/>
      <c r="Q79" s="47"/>
      <c r="R79" s="47"/>
      <c r="S79" s="47"/>
      <c r="T79" s="48"/>
    </row>
    <row r="80" spans="2:20" ht="5.0999999999999996" customHeight="1" outlineLevel="1">
      <c r="B80" s="135"/>
      <c r="T80" s="127"/>
    </row>
    <row r="81" spans="2:20" ht="13.5" customHeight="1" outlineLevel="1">
      <c r="B81" s="38" t="s">
        <v>388</v>
      </c>
      <c r="K81" s="54">
        <f>K604</f>
        <v>13.564999999999998</v>
      </c>
      <c r="L81" s="54">
        <f t="shared" ref="L81:T81" ca="1" si="21">L604</f>
        <v>10.21555</v>
      </c>
      <c r="M81" s="54">
        <f t="shared" ca="1" si="21"/>
        <v>10.739725</v>
      </c>
      <c r="N81" s="54">
        <f t="shared" ca="1" si="21"/>
        <v>11.160400000000001</v>
      </c>
      <c r="O81" s="54">
        <f t="shared" ca="1" si="21"/>
        <v>11.573675000000001</v>
      </c>
      <c r="P81" s="54">
        <f t="shared" ca="1" si="21"/>
        <v>11.8315</v>
      </c>
      <c r="Q81" s="54">
        <f t="shared" ca="1" si="21"/>
        <v>11.980550000000001</v>
      </c>
      <c r="R81" s="54">
        <f t="shared" ca="1" si="21"/>
        <v>12.112350000000001</v>
      </c>
      <c r="S81" s="54">
        <f t="shared" ca="1" si="21"/>
        <v>0.5</v>
      </c>
      <c r="T81" s="54">
        <f t="shared" ca="1" si="21"/>
        <v>0.5</v>
      </c>
    </row>
    <row r="82" spans="2:20" ht="13.5" customHeight="1" outlineLevel="1">
      <c r="B82" s="38" t="s">
        <v>502</v>
      </c>
      <c r="K82" s="57">
        <f t="shared" ref="K82:T82" si="22">K605-K81</f>
        <v>5.125</v>
      </c>
      <c r="L82" s="57">
        <f t="shared" ca="1" si="22"/>
        <v>5.125</v>
      </c>
      <c r="M82" s="57">
        <f t="shared" ca="1" si="22"/>
        <v>5.125</v>
      </c>
      <c r="N82" s="57">
        <f t="shared" ca="1" si="22"/>
        <v>5.1250000000000018</v>
      </c>
      <c r="O82" s="57">
        <f t="shared" ca="1" si="22"/>
        <v>5.125</v>
      </c>
      <c r="P82" s="57">
        <f t="shared" ca="1" si="22"/>
        <v>5.1249999999999982</v>
      </c>
      <c r="Q82" s="57">
        <f t="shared" ca="1" si="22"/>
        <v>0</v>
      </c>
      <c r="R82" s="57">
        <f t="shared" ca="1" si="22"/>
        <v>0</v>
      </c>
      <c r="S82" s="57">
        <f t="shared" ca="1" si="22"/>
        <v>0</v>
      </c>
      <c r="T82" s="57">
        <f t="shared" ca="1" si="22"/>
        <v>0</v>
      </c>
    </row>
    <row r="83" spans="2:20" ht="13.5" customHeight="1" outlineLevel="1">
      <c r="B83" s="38" t="s">
        <v>181</v>
      </c>
      <c r="K83" s="57">
        <f>K606</f>
        <v>1.2</v>
      </c>
      <c r="L83" s="57">
        <f t="shared" ref="L83:T83" ca="1" si="23">L606</f>
        <v>1.2</v>
      </c>
      <c r="M83" s="57">
        <f t="shared" ca="1" si="23"/>
        <v>1.2</v>
      </c>
      <c r="N83" s="57">
        <f t="shared" ca="1" si="23"/>
        <v>1.2</v>
      </c>
      <c r="O83" s="57">
        <f t="shared" ca="1" si="23"/>
        <v>1.2</v>
      </c>
      <c r="P83" s="57">
        <f t="shared" ca="1" si="23"/>
        <v>1.2</v>
      </c>
      <c r="Q83" s="57">
        <f t="shared" ca="1" si="23"/>
        <v>1.2</v>
      </c>
      <c r="R83" s="57">
        <f t="shared" ca="1" si="23"/>
        <v>1.2</v>
      </c>
      <c r="S83" s="57">
        <f t="shared" ca="1" si="23"/>
        <v>1.2</v>
      </c>
      <c r="T83" s="57">
        <f t="shared" ca="1" si="23"/>
        <v>1.2</v>
      </c>
    </row>
    <row r="84" spans="2:20" ht="13.5" customHeight="1" outlineLevel="1">
      <c r="B84" s="130" t="s">
        <v>503</v>
      </c>
      <c r="C84" s="52"/>
      <c r="D84" s="52"/>
      <c r="E84" s="52"/>
      <c r="F84" s="52"/>
      <c r="G84" s="52"/>
      <c r="H84" s="52"/>
      <c r="I84" s="52"/>
      <c r="J84" s="83"/>
      <c r="K84" s="113">
        <f>SUM(K81:K83)</f>
        <v>19.889999999999997</v>
      </c>
      <c r="L84" s="113">
        <f t="shared" ref="L84:T84" ca="1" si="24">SUM(L81:L83)</f>
        <v>16.54055</v>
      </c>
      <c r="M84" s="113">
        <f t="shared" ca="1" si="24"/>
        <v>17.064724999999999</v>
      </c>
      <c r="N84" s="113">
        <f t="shared" ca="1" si="24"/>
        <v>17.485400000000002</v>
      </c>
      <c r="O84" s="113">
        <f t="shared" ca="1" si="24"/>
        <v>17.898675000000001</v>
      </c>
      <c r="P84" s="113">
        <f t="shared" ca="1" si="24"/>
        <v>18.156499999999998</v>
      </c>
      <c r="Q84" s="113">
        <f t="shared" ca="1" si="24"/>
        <v>13.18055</v>
      </c>
      <c r="R84" s="113">
        <f t="shared" ca="1" si="24"/>
        <v>13.31235</v>
      </c>
      <c r="S84" s="113">
        <f t="shared" ca="1" si="24"/>
        <v>1.7</v>
      </c>
      <c r="T84" s="113">
        <f t="shared" ca="1" si="24"/>
        <v>1.7</v>
      </c>
    </row>
    <row r="85" spans="2:20" s="78" customFormat="1" ht="13.5" customHeight="1" outlineLevel="1">
      <c r="K85" s="136"/>
      <c r="L85" s="136"/>
      <c r="M85" s="136"/>
      <c r="N85" s="136"/>
      <c r="O85" s="136"/>
      <c r="P85" s="136"/>
      <c r="Q85" s="136"/>
      <c r="R85" s="136"/>
      <c r="S85" s="136"/>
      <c r="T85" s="136"/>
    </row>
    <row r="86" spans="2:20" ht="13.5" customHeight="1" outlineLevel="1">
      <c r="B86" s="38" t="s">
        <v>182</v>
      </c>
      <c r="K86" s="54">
        <f>K605</f>
        <v>18.689999999999998</v>
      </c>
      <c r="L86" s="54">
        <f ca="1">L605</f>
        <v>15.34055</v>
      </c>
      <c r="M86" s="54">
        <f t="shared" ref="M86:T86" ca="1" si="25">M605</f>
        <v>15.864725</v>
      </c>
      <c r="N86" s="54">
        <f t="shared" ca="1" si="25"/>
        <v>16.285400000000003</v>
      </c>
      <c r="O86" s="54">
        <f t="shared" ca="1" si="25"/>
        <v>16.698675000000001</v>
      </c>
      <c r="P86" s="54">
        <f t="shared" ca="1" si="25"/>
        <v>16.956499999999998</v>
      </c>
      <c r="Q86" s="54">
        <f t="shared" ca="1" si="25"/>
        <v>11.980550000000001</v>
      </c>
      <c r="R86" s="54">
        <f t="shared" ca="1" si="25"/>
        <v>12.112350000000001</v>
      </c>
      <c r="S86" s="54">
        <f t="shared" ca="1" si="25"/>
        <v>0.5</v>
      </c>
      <c r="T86" s="54">
        <f t="shared" ca="1" si="25"/>
        <v>0.5</v>
      </c>
    </row>
    <row r="87" spans="2:20" ht="13.5" customHeight="1" outlineLevel="1">
      <c r="K87" s="137"/>
      <c r="L87" s="137"/>
      <c r="M87" s="137"/>
      <c r="N87" s="137"/>
      <c r="O87" s="137"/>
      <c r="P87" s="137"/>
      <c r="Q87" s="137"/>
      <c r="R87" s="137"/>
      <c r="S87" s="137"/>
      <c r="T87" s="137"/>
    </row>
    <row r="88" spans="2:20" s="35" customFormat="1" ht="13.5" customHeight="1" outlineLevel="1">
      <c r="B88" s="46" t="s">
        <v>47</v>
      </c>
      <c r="C88" s="47"/>
      <c r="D88" s="47"/>
      <c r="E88" s="47"/>
      <c r="F88" s="47"/>
      <c r="G88" s="47"/>
      <c r="H88" s="47"/>
      <c r="I88" s="47"/>
      <c r="J88" s="47"/>
      <c r="K88" s="47"/>
      <c r="L88" s="47"/>
      <c r="M88" s="47"/>
      <c r="N88" s="47"/>
      <c r="O88" s="47"/>
      <c r="P88" s="47"/>
      <c r="Q88" s="47"/>
      <c r="R88" s="47"/>
      <c r="S88" s="47"/>
      <c r="T88" s="48"/>
    </row>
    <row r="89" spans="2:20" ht="5.0999999999999996" customHeight="1" outlineLevel="1">
      <c r="B89" s="135"/>
      <c r="T89" s="127"/>
    </row>
    <row r="90" spans="2:20" ht="13.5" customHeight="1" outlineLevel="1">
      <c r="B90" s="38" t="s">
        <v>290</v>
      </c>
      <c r="J90" s="138">
        <f>J75/J64</f>
        <v>1.6178113323831902</v>
      </c>
      <c r="K90" s="139">
        <f ca="1">K75/K64</f>
        <v>1.1535688536409519</v>
      </c>
      <c r="L90" s="139">
        <f t="shared" ref="L90:T90" ca="1" si="26">L75/L64</f>
        <v>1.0882380481132998</v>
      </c>
      <c r="M90" s="139">
        <f t="shared" ca="1" si="26"/>
        <v>1.0266071640402021</v>
      </c>
      <c r="N90" s="139">
        <f t="shared" ca="1" si="26"/>
        <v>0.96846666139441917</v>
      </c>
      <c r="O90" s="139">
        <f t="shared" ca="1" si="26"/>
        <v>0.91361886716360663</v>
      </c>
      <c r="P90" s="139">
        <f t="shared" ca="1" si="26"/>
        <v>0.59254064600365508</v>
      </c>
      <c r="Q90" s="139">
        <f t="shared" ca="1" si="26"/>
        <v>0.55898291116267707</v>
      </c>
      <c r="R90" s="139">
        <f t="shared" ca="1" si="26"/>
        <v>4.7938697551310541E-2</v>
      </c>
      <c r="S90" s="139">
        <f t="shared" ca="1" si="26"/>
        <v>4.5223754514240322E-2</v>
      </c>
      <c r="T90" s="139">
        <f t="shared" ca="1" si="26"/>
        <v>4.2662568589295347E-2</v>
      </c>
    </row>
    <row r="91" spans="2:20" ht="13.5" customHeight="1" outlineLevel="1">
      <c r="B91" s="38" t="s">
        <v>289</v>
      </c>
      <c r="J91" s="138">
        <f>J70/J64</f>
        <v>1.1555795231308501</v>
      </c>
      <c r="K91" s="139">
        <f ca="1">K70/K64</f>
        <v>0.72098053352559488</v>
      </c>
      <c r="L91" s="139">
        <f t="shared" ref="L91:T91" ca="1" si="27">L70/L64</f>
        <v>0.68014878007081236</v>
      </c>
      <c r="M91" s="139">
        <f t="shared" ca="1" si="27"/>
        <v>0.64162947752512633</v>
      </c>
      <c r="N91" s="139">
        <f t="shared" ca="1" si="27"/>
        <v>0.60529166337151197</v>
      </c>
      <c r="O91" s="139">
        <f t="shared" ca="1" si="27"/>
        <v>0.57101179197725416</v>
      </c>
      <c r="P91" s="139">
        <f t="shared" ca="1" si="27"/>
        <v>0.53867331454877732</v>
      </c>
      <c r="Q91" s="139">
        <f t="shared" ca="1" si="27"/>
        <v>0.50816628287516097</v>
      </c>
      <c r="R91" s="139">
        <f t="shared" ca="1" si="27"/>
        <v>0</v>
      </c>
      <c r="S91" s="139">
        <f t="shared" ca="1" si="27"/>
        <v>0</v>
      </c>
      <c r="T91" s="139">
        <f t="shared" ca="1" si="27"/>
        <v>0</v>
      </c>
    </row>
    <row r="92" spans="2:20" ht="13.5" customHeight="1" outlineLevel="1">
      <c r="B92" s="38" t="s">
        <v>288</v>
      </c>
      <c r="J92" s="138">
        <f ca="1">J77/J64</f>
        <v>0.84742498362929009</v>
      </c>
      <c r="K92" s="139">
        <f ca="1">K77/K64</f>
        <v>0.31650316950088853</v>
      </c>
      <c r="L92" s="139">
        <f t="shared" ref="L92:T92" ca="1" si="28">L77/L64</f>
        <v>-0.25788596153633847</v>
      </c>
      <c r="M92" s="139">
        <f t="shared" ca="1" si="28"/>
        <v>-0.80174359328424027</v>
      </c>
      <c r="N92" s="139">
        <f t="shared" ca="1" si="28"/>
        <v>-1.317228936032518</v>
      </c>
      <c r="O92" s="139">
        <f t="shared" ca="1" si="28"/>
        <v>-1.8059473794089342</v>
      </c>
      <c r="P92" s="139">
        <f t="shared" ca="1" si="28"/>
        <v>-2.2286505960559144</v>
      </c>
      <c r="Q92" s="139">
        <f t="shared" ca="1" si="28"/>
        <v>-2.6479732941177572</v>
      </c>
      <c r="R92" s="139">
        <f t="shared" ca="1" si="28"/>
        <v>-3.0442781948335917</v>
      </c>
      <c r="S92" s="139">
        <f t="shared" ca="1" si="28"/>
        <v>-3.4540334632047118</v>
      </c>
      <c r="T92" s="139">
        <f t="shared" ca="1" si="28"/>
        <v>-3.8434692903020387</v>
      </c>
    </row>
    <row r="93" spans="2:20" ht="13.5" customHeight="1" outlineLevel="1">
      <c r="B93" s="38" t="s">
        <v>504</v>
      </c>
      <c r="J93" s="138">
        <f>J75/(J64-J65)</f>
        <v>1.9224947284116911</v>
      </c>
      <c r="K93" s="139">
        <f ca="1">K75/(K64-K65)</f>
        <v>1.3686911890504705</v>
      </c>
      <c r="L93" s="139">
        <f t="shared" ref="L93:T93" ca="1" si="29">L75/(L64-L65)</f>
        <v>1.2911772221840436</v>
      </c>
      <c r="M93" s="139">
        <f t="shared" ca="1" si="29"/>
        <v>1.218053153570368</v>
      </c>
      <c r="N93" s="139">
        <f t="shared" ca="1" si="29"/>
        <v>1.149070367283199</v>
      </c>
      <c r="O93" s="139">
        <f t="shared" ca="1" si="29"/>
        <v>1.0839943274216615</v>
      </c>
      <c r="P93" s="139">
        <f t="shared" ca="1" si="29"/>
        <v>0.70304009923615873</v>
      </c>
      <c r="Q93" s="139">
        <f t="shared" ca="1" si="29"/>
        <v>0.66322437791499833</v>
      </c>
      <c r="R93" s="139">
        <f t="shared" ca="1" si="29"/>
        <v>5.687850599116144E-2</v>
      </c>
      <c r="S93" s="139">
        <f t="shared" ca="1" si="29"/>
        <v>5.3657269042986587E-2</v>
      </c>
      <c r="T93" s="139">
        <f t="shared" ca="1" si="29"/>
        <v>5.061846247506642E-2</v>
      </c>
    </row>
    <row r="94" spans="2:20" ht="13.5" customHeight="1" outlineLevel="1"/>
    <row r="95" spans="2:20" s="35" customFormat="1" ht="13.5" customHeight="1" outlineLevel="1">
      <c r="B95" s="46" t="s">
        <v>48</v>
      </c>
      <c r="C95" s="47"/>
      <c r="D95" s="47"/>
      <c r="E95" s="47"/>
      <c r="F95" s="47"/>
      <c r="G95" s="47"/>
      <c r="H95" s="47"/>
      <c r="I95" s="47"/>
      <c r="J95" s="47"/>
      <c r="K95" s="47"/>
      <c r="L95" s="47"/>
      <c r="M95" s="47"/>
      <c r="N95" s="47"/>
      <c r="O95" s="47"/>
      <c r="P95" s="47"/>
      <c r="Q95" s="47"/>
      <c r="R95" s="47"/>
      <c r="S95" s="47"/>
      <c r="T95" s="48"/>
    </row>
    <row r="96" spans="2:20" ht="5.0999999999999996" customHeight="1" outlineLevel="1">
      <c r="B96" s="135"/>
      <c r="T96" s="127"/>
    </row>
    <row r="97" spans="2:20" ht="13.5" customHeight="1" outlineLevel="1">
      <c r="B97" s="38" t="s">
        <v>287</v>
      </c>
      <c r="K97" s="139">
        <f>IFERROR(K64/K81,"NM")</f>
        <v>10.224843346848509</v>
      </c>
      <c r="L97" s="139">
        <f t="shared" ref="L97:T97" ca="1" si="30">IFERROR(L64/L81,"NM")</f>
        <v>14.392436525381534</v>
      </c>
      <c r="M97" s="139">
        <f t="shared" ca="1" si="30"/>
        <v>14.511841657358257</v>
      </c>
      <c r="N97" s="139">
        <f t="shared" ca="1" si="30"/>
        <v>14.803197967069613</v>
      </c>
      <c r="O97" s="139">
        <f t="shared" ca="1" si="30"/>
        <v>15.131557769679779</v>
      </c>
      <c r="P97" s="139">
        <f t="shared" ca="1" si="30"/>
        <v>15.690425836932461</v>
      </c>
      <c r="Q97" s="139">
        <f t="shared" ca="1" si="30"/>
        <v>16.425454594506839</v>
      </c>
      <c r="R97" s="139">
        <f t="shared" ca="1" si="30"/>
        <v>17.222070302652547</v>
      </c>
      <c r="S97" s="139">
        <f t="shared" ca="1" si="30"/>
        <v>442.24545738904283</v>
      </c>
      <c r="T97" s="139">
        <f t="shared" ca="1" si="30"/>
        <v>468.79502714748145</v>
      </c>
    </row>
    <row r="98" spans="2:20" ht="13.5" customHeight="1" outlineLevel="1">
      <c r="B98" s="38" t="s">
        <v>286</v>
      </c>
      <c r="K98" s="139">
        <f>IFERROR(K64/K84,"NM")</f>
        <v>6.9733534439416793</v>
      </c>
      <c r="L98" s="139">
        <f t="shared" ref="L98:T98" ca="1" si="31">IFERROR(L64/L84,"NM")</f>
        <v>8.8888613103470764</v>
      </c>
      <c r="M98" s="139">
        <f t="shared" ca="1" si="31"/>
        <v>9.1330618362482792</v>
      </c>
      <c r="N98" s="139">
        <f t="shared" ca="1" si="31"/>
        <v>9.4484318683978454</v>
      </c>
      <c r="O98" s="139">
        <f t="shared" ca="1" si="31"/>
        <v>9.7843964354902599</v>
      </c>
      <c r="P98" s="139">
        <f t="shared" ca="1" si="31"/>
        <v>10.224507657845203</v>
      </c>
      <c r="Q98" s="139">
        <f t="shared" ca="1" si="31"/>
        <v>14.930027961065276</v>
      </c>
      <c r="R98" s="139">
        <f t="shared" ca="1" si="31"/>
        <v>15.669640839546254</v>
      </c>
      <c r="S98" s="139">
        <f t="shared" ca="1" si="31"/>
        <v>130.07219334971848</v>
      </c>
      <c r="T98" s="139">
        <f t="shared" ca="1" si="31"/>
        <v>137.88089033749455</v>
      </c>
    </row>
    <row r="99" spans="2:20" ht="13.5" customHeight="1" outlineLevel="1">
      <c r="B99" s="38" t="s">
        <v>285</v>
      </c>
      <c r="K99" s="139">
        <f>IFERROR(K64/K86,"NM")</f>
        <v>7.4210807918673094</v>
      </c>
      <c r="L99" s="139">
        <f t="shared" ref="L99:T99" ca="1" si="32">IFERROR(L64/L86,"NM")</f>
        <v>9.5841840707706911</v>
      </c>
      <c r="M99" s="139">
        <f t="shared" ca="1" si="32"/>
        <v>9.8238821437857826</v>
      </c>
      <c r="N99" s="139">
        <f t="shared" ca="1" si="32"/>
        <v>10.144645547034994</v>
      </c>
      <c r="O99" s="139">
        <f t="shared" ca="1" si="32"/>
        <v>10.487522624998606</v>
      </c>
      <c r="P99" s="139">
        <f t="shared" ca="1" si="32"/>
        <v>10.948089127453567</v>
      </c>
      <c r="Q99" s="139">
        <f t="shared" ca="1" si="32"/>
        <v>16.425454594506839</v>
      </c>
      <c r="R99" s="139">
        <f t="shared" ca="1" si="32"/>
        <v>17.222070302652547</v>
      </c>
      <c r="S99" s="139">
        <f t="shared" ca="1" si="32"/>
        <v>442.24545738904283</v>
      </c>
      <c r="T99" s="139">
        <f t="shared" ca="1" si="32"/>
        <v>468.79502714748145</v>
      </c>
    </row>
    <row r="100" spans="2:20" ht="13.5" customHeight="1" outlineLevel="1">
      <c r="K100" s="140"/>
      <c r="L100" s="140"/>
      <c r="M100" s="140"/>
      <c r="N100" s="140"/>
      <c r="O100" s="140"/>
      <c r="P100" s="140"/>
      <c r="Q100" s="140"/>
      <c r="R100" s="140"/>
      <c r="S100" s="140"/>
      <c r="T100" s="140"/>
    </row>
    <row r="101" spans="2:20" ht="13.5" customHeight="1" outlineLevel="1">
      <c r="B101" s="38" t="s">
        <v>496</v>
      </c>
      <c r="K101" s="139">
        <f>IFERROR((K64-K65)/K81,"NM")</f>
        <v>8.6177663103575384</v>
      </c>
      <c r="L101" s="139">
        <f t="shared" ref="L101:T101" ca="1" si="33">IFERROR((L64-L65)/L81,"NM")</f>
        <v>12.130323214254513</v>
      </c>
      <c r="M101" s="139">
        <f t="shared" ca="1" si="33"/>
        <v>12.230960993115938</v>
      </c>
      <c r="N101" s="139">
        <f t="shared" ca="1" si="33"/>
        <v>12.476523737205749</v>
      </c>
      <c r="O101" s="139">
        <f t="shared" ca="1" si="33"/>
        <v>12.753273996218935</v>
      </c>
      <c r="P101" s="139">
        <f t="shared" ca="1" si="33"/>
        <v>13.224302670060595</v>
      </c>
      <c r="Q101" s="139">
        <f t="shared" ca="1" si="33"/>
        <v>13.843804196812181</v>
      </c>
      <c r="R101" s="139">
        <f t="shared" ca="1" si="33"/>
        <v>14.515212821774208</v>
      </c>
      <c r="S101" s="139">
        <f t="shared" ca="1" si="33"/>
        <v>372.73607764080106</v>
      </c>
      <c r="T101" s="139">
        <f t="shared" ca="1" si="33"/>
        <v>395.11275179192921</v>
      </c>
    </row>
    <row r="102" spans="2:20" ht="13.5" customHeight="1" outlineLevel="1">
      <c r="B102" s="38" t="s">
        <v>497</v>
      </c>
      <c r="K102" s="139">
        <f>IFERROR((K64-K65)/K84,"NM")</f>
        <v>5.8773252890899954</v>
      </c>
      <c r="L102" s="139">
        <f t="shared" ref="L102:T102" ca="1" si="34">IFERROR((L64-L65)/L84,"NM")</f>
        <v>7.4917655888938217</v>
      </c>
      <c r="M102" s="139">
        <f t="shared" ca="1" si="34"/>
        <v>7.6975842008466042</v>
      </c>
      <c r="N102" s="139">
        <f t="shared" ca="1" si="34"/>
        <v>7.9633863404160641</v>
      </c>
      <c r="O102" s="139">
        <f t="shared" ca="1" si="34"/>
        <v>8.2465460945119791</v>
      </c>
      <c r="P102" s="139">
        <f t="shared" ca="1" si="34"/>
        <v>8.6174833828558342</v>
      </c>
      <c r="Q102" s="139">
        <f t="shared" ca="1" si="34"/>
        <v>12.583419384632522</v>
      </c>
      <c r="R102" s="139">
        <f t="shared" ca="1" si="34"/>
        <v>13.206784528788443</v>
      </c>
      <c r="S102" s="139">
        <f t="shared" ca="1" si="34"/>
        <v>109.62825812964738</v>
      </c>
      <c r="T102" s="139">
        <f t="shared" ca="1" si="34"/>
        <v>116.20963287997918</v>
      </c>
    </row>
    <row r="103" spans="2:20" ht="13.5" customHeight="1" outlineLevel="1">
      <c r="B103" s="38" t="s">
        <v>498</v>
      </c>
      <c r="K103" s="139">
        <f>IFERROR((K64-K65)/K86,"NM")</f>
        <v>6.2546816479400755</v>
      </c>
      <c r="L103" s="139">
        <f t="shared" ref="L103:T103" ca="1" si="35">IFERROR((L64-L65)/L86,"NM")</f>
        <v>8.0778018592148069</v>
      </c>
      <c r="M103" s="139">
        <f t="shared" ca="1" si="35"/>
        <v>8.2798256857141901</v>
      </c>
      <c r="N103" s="139">
        <f t="shared" ca="1" si="35"/>
        <v>8.5501734999883965</v>
      </c>
      <c r="O103" s="139">
        <f t="shared" ca="1" si="35"/>
        <v>8.8391592996563606</v>
      </c>
      <c r="P103" s="139">
        <f t="shared" ca="1" si="35"/>
        <v>9.2273368348905702</v>
      </c>
      <c r="Q103" s="139">
        <f t="shared" ca="1" si="35"/>
        <v>13.843804196812181</v>
      </c>
      <c r="R103" s="139">
        <f t="shared" ca="1" si="35"/>
        <v>14.515212821774208</v>
      </c>
      <c r="S103" s="139">
        <f t="shared" ca="1" si="35"/>
        <v>372.73607764080106</v>
      </c>
      <c r="T103" s="139">
        <f t="shared" ca="1" si="35"/>
        <v>395.11275179192921</v>
      </c>
    </row>
    <row r="104" spans="2:20" ht="13.5" customHeight="1" outlineLevel="1"/>
    <row r="105" spans="2:20" ht="13.5" customHeight="1" outlineLevel="1">
      <c r="B105" s="38" t="s">
        <v>499</v>
      </c>
      <c r="K105" s="141">
        <f>IFERROR((K64-K65-K66)/K81,"NM")</f>
        <v>8.389219116861538</v>
      </c>
      <c r="L105" s="141">
        <f t="shared" ref="L105:T105" ca="1" si="36">IFERROR((L64-L65-L66)/L81,"NM")</f>
        <v>11.836984232492323</v>
      </c>
      <c r="M105" s="141">
        <f t="shared" ca="1" si="36"/>
        <v>11.935188359499909</v>
      </c>
      <c r="N105" s="141">
        <f t="shared" ca="1" si="36"/>
        <v>12.174812834341843</v>
      </c>
      <c r="O105" s="141">
        <f t="shared" ca="1" si="36"/>
        <v>12.444870638607744</v>
      </c>
      <c r="P105" s="141">
        <f t="shared" ca="1" si="36"/>
        <v>12.904508760926163</v>
      </c>
      <c r="Q105" s="141">
        <f t="shared" ca="1" si="36"/>
        <v>13.509029322715175</v>
      </c>
      <c r="R105" s="141">
        <f t="shared" ca="1" si="36"/>
        <v>14.164201750263992</v>
      </c>
      <c r="S105" s="141">
        <f t="shared" ca="1" si="36"/>
        <v>363.72246608651858</v>
      </c>
      <c r="T105" s="141">
        <f t="shared" ca="1" si="36"/>
        <v>385.55802103622239</v>
      </c>
    </row>
    <row r="106" spans="2:20" ht="13.5" customHeight="1" outlineLevel="1">
      <c r="B106" s="38" t="s">
        <v>500</v>
      </c>
      <c r="K106" s="141">
        <f>IFERROR((K64-K65-K66)/K84,"NM")</f>
        <v>5.721455873314568</v>
      </c>
      <c r="L106" s="141">
        <f t="shared" ref="L106:T106" ca="1" si="37">IFERROR((L64-L65-L66)/L84,"NM")</f>
        <v>7.3105975482216108</v>
      </c>
      <c r="M106" s="141">
        <f t="shared" ca="1" si="37"/>
        <v>7.5114389950163378</v>
      </c>
      <c r="N106" s="141">
        <f t="shared" ca="1" si="37"/>
        <v>7.7708134304270242</v>
      </c>
      <c r="O106" s="141">
        <f t="shared" ca="1" si="37"/>
        <v>8.0471257335131501</v>
      </c>
      <c r="P106" s="141">
        <f t="shared" ca="1" si="37"/>
        <v>8.4090929091453699</v>
      </c>
      <c r="Q106" s="141">
        <f t="shared" ca="1" si="37"/>
        <v>12.279123500328538</v>
      </c>
      <c r="R106" s="141">
        <f t="shared" ca="1" si="37"/>
        <v>12.88741424840919</v>
      </c>
      <c r="S106" s="141">
        <f t="shared" ca="1" si="37"/>
        <v>106.97719590779958</v>
      </c>
      <c r="T106" s="141">
        <f t="shared" ca="1" si="37"/>
        <v>113.39941795183012</v>
      </c>
    </row>
    <row r="107" spans="2:20" ht="13.5" customHeight="1" outlineLevel="1">
      <c r="B107" s="38" t="s">
        <v>501</v>
      </c>
      <c r="K107" s="141">
        <f>IFERROR((K64-K65-K66)/K86,"NM")</f>
        <v>6.0888045650201583</v>
      </c>
      <c r="L107" s="141">
        <f t="shared" ref="L107:T107" ca="1" si="38">IFERROR((L64-L65-L66)/L86,"NM")</f>
        <v>7.8824621200828497</v>
      </c>
      <c r="M107" s="141">
        <f t="shared" ca="1" si="38"/>
        <v>8.0796005480227464</v>
      </c>
      <c r="N107" s="141">
        <f t="shared" ca="1" si="38"/>
        <v>8.34341073331872</v>
      </c>
      <c r="O107" s="141">
        <f t="shared" ca="1" si="38"/>
        <v>8.6254081948590819</v>
      </c>
      <c r="P107" s="141">
        <f t="shared" ca="1" si="38"/>
        <v>9.004198708748735</v>
      </c>
      <c r="Q107" s="141">
        <f t="shared" ca="1" si="38"/>
        <v>13.509029322715175</v>
      </c>
      <c r="R107" s="141">
        <f t="shared" ca="1" si="38"/>
        <v>14.164201750263992</v>
      </c>
      <c r="S107" s="141">
        <f t="shared" ca="1" si="38"/>
        <v>363.72246608651858</v>
      </c>
      <c r="T107" s="141">
        <f t="shared" ca="1" si="38"/>
        <v>385.55802103622239</v>
      </c>
    </row>
    <row r="108" spans="2:20" ht="13.5" customHeight="1" outlineLevel="1">
      <c r="T108" s="127"/>
    </row>
    <row r="109" spans="2:20" s="35" customFormat="1" ht="13.5" customHeight="1" outlineLevel="1">
      <c r="B109" s="46" t="s">
        <v>304</v>
      </c>
      <c r="C109" s="47"/>
      <c r="D109" s="47"/>
      <c r="E109" s="47"/>
      <c r="F109" s="47"/>
      <c r="G109" s="47"/>
      <c r="H109" s="47"/>
      <c r="I109" s="47"/>
      <c r="J109" s="47"/>
      <c r="K109" s="47"/>
      <c r="L109" s="47"/>
      <c r="M109" s="47"/>
      <c r="N109" s="47"/>
      <c r="O109" s="47"/>
      <c r="P109" s="47"/>
      <c r="Q109" s="47"/>
      <c r="R109" s="47"/>
      <c r="S109" s="47"/>
      <c r="T109" s="48"/>
    </row>
    <row r="110" spans="2:20" ht="5.0999999999999996" customHeight="1" outlineLevel="1">
      <c r="B110" s="135"/>
      <c r="T110" s="127"/>
    </row>
    <row r="111" spans="2:20" ht="13.5" customHeight="1" outlineLevel="1">
      <c r="B111" s="142" t="s">
        <v>509</v>
      </c>
      <c r="T111" s="127"/>
    </row>
    <row r="112" spans="2:20" ht="13.5" customHeight="1" outlineLevel="1">
      <c r="B112" s="38" t="s">
        <v>291</v>
      </c>
      <c r="K112" s="55">
        <f ca="1">IFERROR(1-(K70/$J70),0)</f>
        <v>0.33333333333333337</v>
      </c>
      <c r="L112" s="55">
        <f t="shared" ref="L112:T112" ca="1" si="39">IFERROR(1-(L70/$J70),0)</f>
        <v>0.33333333333333337</v>
      </c>
      <c r="M112" s="55">
        <f t="shared" ca="1" si="39"/>
        <v>0.33333333333333337</v>
      </c>
      <c r="N112" s="55">
        <f t="shared" ca="1" si="39"/>
        <v>0.33333333333333337</v>
      </c>
      <c r="O112" s="55">
        <f t="shared" ca="1" si="39"/>
        <v>0.33333333333333337</v>
      </c>
      <c r="P112" s="55">
        <f t="shared" ca="1" si="39"/>
        <v>0.33333333333333337</v>
      </c>
      <c r="Q112" s="55">
        <f t="shared" ca="1" si="39"/>
        <v>0.33333333333333337</v>
      </c>
      <c r="R112" s="55">
        <f t="shared" ca="1" si="39"/>
        <v>1</v>
      </c>
      <c r="S112" s="55">
        <f t="shared" ca="1" si="39"/>
        <v>1</v>
      </c>
      <c r="T112" s="55">
        <f t="shared" ca="1" si="39"/>
        <v>1</v>
      </c>
    </row>
    <row r="113" spans="2:20" ht="13.5" customHeight="1" outlineLevel="1">
      <c r="B113" s="38" t="s">
        <v>292</v>
      </c>
      <c r="K113" s="58">
        <f t="shared" ref="K113:T113" ca="1" si="40">1-((K75-SUM(K72:K73))/($J75-SUM($J72:$J73)))</f>
        <v>0.25</v>
      </c>
      <c r="L113" s="58">
        <f t="shared" ca="1" si="40"/>
        <v>0.25</v>
      </c>
      <c r="M113" s="58">
        <f t="shared" ca="1" si="40"/>
        <v>0.25</v>
      </c>
      <c r="N113" s="58">
        <f t="shared" ca="1" si="40"/>
        <v>0.25</v>
      </c>
      <c r="O113" s="58">
        <f t="shared" ca="1" si="40"/>
        <v>0.25</v>
      </c>
      <c r="P113" s="58">
        <f t="shared" ca="1" si="40"/>
        <v>0.5</v>
      </c>
      <c r="Q113" s="58">
        <f t="shared" ca="1" si="40"/>
        <v>0.5</v>
      </c>
      <c r="R113" s="58">
        <f t="shared" ca="1" si="40"/>
        <v>1</v>
      </c>
      <c r="S113" s="58">
        <f t="shared" ca="1" si="40"/>
        <v>1</v>
      </c>
      <c r="T113" s="58">
        <f t="shared" ca="1" si="40"/>
        <v>1</v>
      </c>
    </row>
    <row r="114" spans="2:20" ht="13.5" customHeight="1" outlineLevel="1">
      <c r="T114" s="127"/>
    </row>
    <row r="115" spans="2:20" ht="13.5" customHeight="1" outlineLevel="1">
      <c r="B115" s="142" t="s">
        <v>51</v>
      </c>
      <c r="T115" s="127"/>
    </row>
    <row r="116" spans="2:20" ht="13.5" customHeight="1" outlineLevel="1">
      <c r="B116" s="38" t="s">
        <v>513</v>
      </c>
      <c r="K116" s="58">
        <f t="shared" ref="K116:L118" ca="1" si="41">K205</f>
        <v>9.6902612523721163E-2</v>
      </c>
      <c r="L116" s="58">
        <f t="shared" ca="1" si="41"/>
        <v>7.3952881254490926E-2</v>
      </c>
      <c r="M116" s="58">
        <f t="shared" ref="M116:T117" ca="1" si="42">M205</f>
        <v>7.3870146465458517E-2</v>
      </c>
      <c r="N116" s="58">
        <f t="shared" ca="1" si="42"/>
        <v>7.3583952411506878E-2</v>
      </c>
      <c r="O116" s="58">
        <f t="shared" ca="1" si="42"/>
        <v>7.3160957894780457E-2</v>
      </c>
      <c r="P116" s="58">
        <f t="shared" ca="1" si="42"/>
        <v>8.9769719040029644E-2</v>
      </c>
      <c r="Q116" s="58">
        <f t="shared" ca="1" si="42"/>
        <v>8.490015114092106E-2</v>
      </c>
      <c r="R116" s="58">
        <f t="shared" ca="1" si="42"/>
        <v>9.0853472277798872E-2</v>
      </c>
      <c r="S116" s="58">
        <f t="shared" ca="1" si="42"/>
        <v>8.3410987197432729E-2</v>
      </c>
      <c r="T116" s="58">
        <f t="shared" ca="1" si="42"/>
        <v>7.9831335720647989E-2</v>
      </c>
    </row>
    <row r="117" spans="2:20" ht="13.5" customHeight="1" outlineLevel="1">
      <c r="B117" s="38" t="s">
        <v>508</v>
      </c>
      <c r="K117" s="58">
        <f t="shared" ca="1" si="41"/>
        <v>9.0935623923761894E-2</v>
      </c>
      <c r="L117" s="58">
        <f t="shared" ca="1" si="41"/>
        <v>6.8213486344319563E-2</v>
      </c>
      <c r="M117" s="58">
        <f t="shared" ca="1" si="42"/>
        <v>6.9020328479470774E-2</v>
      </c>
      <c r="N117" s="58">
        <f t="shared" ca="1" si="42"/>
        <v>6.9685193322321953E-2</v>
      </c>
      <c r="O117" s="58">
        <f t="shared" ca="1" si="42"/>
        <v>7.0141677750785045E-2</v>
      </c>
      <c r="P117" s="58">
        <f t="shared" ca="1" si="42"/>
        <v>8.5803498887781965E-2</v>
      </c>
      <c r="Q117" s="58">
        <f t="shared" ca="1" si="42"/>
        <v>8.6319302111738078E-2</v>
      </c>
      <c r="R117" s="58">
        <f t="shared" ca="1" si="42"/>
        <v>8.5255045129464788E-2</v>
      </c>
      <c r="S117" s="58">
        <f t="shared" ca="1" si="42"/>
        <v>8.8036246251033082E-2</v>
      </c>
      <c r="T117" s="58">
        <f t="shared" ca="1" si="42"/>
        <v>8.4954766572543597E-2</v>
      </c>
    </row>
    <row r="118" spans="2:20" ht="13.5" customHeight="1" outlineLevel="1">
      <c r="B118" s="38" t="s">
        <v>507</v>
      </c>
      <c r="K118" s="58">
        <f t="shared" ca="1" si="41"/>
        <v>5.8125041540291245E-2</v>
      </c>
      <c r="L118" s="58">
        <f t="shared" ca="1" si="41"/>
        <v>4.4645609429134585E-2</v>
      </c>
      <c r="M118" s="58">
        <f t="shared" ref="M118:T118" ca="1" si="43">M207</f>
        <v>4.6203491829580882E-2</v>
      </c>
      <c r="N118" s="58">
        <f t="shared" ca="1" si="43"/>
        <v>4.7657485289706578E-2</v>
      </c>
      <c r="O118" s="58">
        <f t="shared" ca="1" si="43"/>
        <v>4.894992687928796E-2</v>
      </c>
      <c r="P118" s="58">
        <f t="shared" ca="1" si="43"/>
        <v>6.3888224993112586E-2</v>
      </c>
      <c r="Q118" s="58">
        <f t="shared" ca="1" si="43"/>
        <v>6.5497383636899734E-2</v>
      </c>
      <c r="R118" s="58">
        <f t="shared" ca="1" si="43"/>
        <v>7.0828728922756032E-2</v>
      </c>
      <c r="S118" s="58">
        <f t="shared" ca="1" si="43"/>
        <v>7.3886708062811779E-2</v>
      </c>
      <c r="T118" s="58">
        <f t="shared" ca="1" si="43"/>
        <v>7.194202114335016E-2</v>
      </c>
    </row>
    <row r="119" spans="2:20" ht="13.5" customHeight="1" outlineLevel="1">
      <c r="T119" s="127"/>
    </row>
    <row r="120" spans="2:20" ht="13.5" customHeight="1" outlineLevel="1">
      <c r="B120" s="142" t="s">
        <v>510</v>
      </c>
      <c r="T120" s="127"/>
    </row>
    <row r="121" spans="2:20" ht="13.5" customHeight="1" outlineLevel="1">
      <c r="B121" s="38" t="s">
        <v>293</v>
      </c>
      <c r="J121" s="58">
        <f ca="1">J226/J245</f>
        <v>2.4674674170831361</v>
      </c>
      <c r="K121" s="58">
        <f t="shared" ref="K121:T121" ca="1" si="44">K226/K245</f>
        <v>2.570108019130473</v>
      </c>
      <c r="L121" s="58">
        <f t="shared" ca="1" si="44"/>
        <v>3.23786994772522</v>
      </c>
      <c r="M121" s="58">
        <f t="shared" ca="1" si="44"/>
        <v>3.8704353079419702</v>
      </c>
      <c r="N121" s="58">
        <f t="shared" ca="1" si="44"/>
        <v>4.4703615976338069</v>
      </c>
      <c r="O121" s="58">
        <f t="shared" ca="1" si="44"/>
        <v>5.0394954019854143</v>
      </c>
      <c r="P121" s="58">
        <f t="shared" ca="1" si="44"/>
        <v>5.172802922124526</v>
      </c>
      <c r="Q121" s="58">
        <f t="shared" ca="1" si="44"/>
        <v>5.6788336516421811</v>
      </c>
      <c r="R121" s="58">
        <f t="shared" ca="1" si="44"/>
        <v>5.5283233053315497</v>
      </c>
      <c r="S121" s="58">
        <f t="shared" ca="1" si="44"/>
        <v>6.0622621862816173</v>
      </c>
      <c r="T121" s="58">
        <f t="shared" ca="1" si="44"/>
        <v>6.5697485460323763</v>
      </c>
    </row>
    <row r="122" spans="2:20" ht="13.5" customHeight="1" outlineLevel="1">
      <c r="B122" s="38" t="s">
        <v>294</v>
      </c>
      <c r="J122" s="58">
        <f t="shared" ref="J122:T122" ca="1" si="45">(J221+J222)/J245</f>
        <v>2.3810686779184396</v>
      </c>
      <c r="K122" s="58">
        <f ca="1">(K221+K222)/K245</f>
        <v>2.4837092799657761</v>
      </c>
      <c r="L122" s="58">
        <f t="shared" ca="1" si="45"/>
        <v>3.151471208560523</v>
      </c>
      <c r="M122" s="58">
        <f t="shared" ca="1" si="45"/>
        <v>3.7840365687772737</v>
      </c>
      <c r="N122" s="58">
        <f t="shared" ca="1" si="45"/>
        <v>4.3839628584691095</v>
      </c>
      <c r="O122" s="58">
        <f t="shared" ca="1" si="45"/>
        <v>4.9530966628207178</v>
      </c>
      <c r="P122" s="58">
        <f t="shared" ca="1" si="45"/>
        <v>5.0864041829598294</v>
      </c>
      <c r="Q122" s="58">
        <f t="shared" ca="1" si="45"/>
        <v>5.5924349124774846</v>
      </c>
      <c r="R122" s="58">
        <f t="shared" ca="1" si="45"/>
        <v>5.4419245661668532</v>
      </c>
      <c r="S122" s="58">
        <f t="shared" ca="1" si="45"/>
        <v>5.9758634471169207</v>
      </c>
      <c r="T122" s="58">
        <f t="shared" ca="1" si="45"/>
        <v>6.4833498068676807</v>
      </c>
    </row>
    <row r="123" spans="2:20" ht="13.5" customHeight="1" outlineLevel="1">
      <c r="T123" s="127"/>
    </row>
    <row r="124" spans="2:20" ht="13.5" customHeight="1" outlineLevel="1">
      <c r="B124" s="142" t="s">
        <v>511</v>
      </c>
      <c r="T124" s="127"/>
    </row>
    <row r="125" spans="2:20" ht="13.5" customHeight="1" outlineLevel="1">
      <c r="B125" s="38" t="s">
        <v>295</v>
      </c>
      <c r="K125" s="141">
        <f ca="1">K144/AVERAGE(J236:K236)</f>
        <v>0.52748636654858505</v>
      </c>
      <c r="L125" s="141">
        <f t="shared" ref="L125:T125" ca="1" si="46">L144/AVERAGE(K236:L236)</f>
        <v>0.53732656003245782</v>
      </c>
      <c r="M125" s="141">
        <f t="shared" ca="1" si="46"/>
        <v>0.53499828135225125</v>
      </c>
      <c r="N125" s="141">
        <f t="shared" ca="1" si="46"/>
        <v>0.53186496422792673</v>
      </c>
      <c r="O125" s="141">
        <f t="shared" ca="1" si="46"/>
        <v>0.52802729862345377</v>
      </c>
      <c r="P125" s="141">
        <f t="shared" ca="1" si="46"/>
        <v>0.53146218974719639</v>
      </c>
      <c r="Q125" s="141">
        <f t="shared" ca="1" si="46"/>
        <v>0.52957642835679386</v>
      </c>
      <c r="R125" s="141">
        <f t="shared" ca="1" si="46"/>
        <v>0.53587008305102324</v>
      </c>
      <c r="S125" s="141">
        <f t="shared" ca="1" si="46"/>
        <v>0.53860746521172198</v>
      </c>
      <c r="T125" s="141">
        <f t="shared" ca="1" si="46"/>
        <v>0.52063545389433352</v>
      </c>
    </row>
    <row r="126" spans="2:20" ht="13.5" customHeight="1" outlineLevel="1">
      <c r="B126" s="38" t="s">
        <v>296</v>
      </c>
      <c r="K126" s="141">
        <f>K144/AVERAGE(J229:K229)</f>
        <v>8.1971075967777374</v>
      </c>
      <c r="L126" s="141">
        <f t="shared" ref="L126:T126" si="47">L144/AVERAGE(K229:L229)</f>
        <v>7.9703445877928152</v>
      </c>
      <c r="M126" s="141">
        <f t="shared" si="47"/>
        <v>7.8858752608053875</v>
      </c>
      <c r="N126" s="141">
        <f t="shared" si="47"/>
        <v>7.7936599705680676</v>
      </c>
      <c r="O126" s="141">
        <f t="shared" si="47"/>
        <v>7.6956049622891589</v>
      </c>
      <c r="P126" s="141">
        <f t="shared" si="47"/>
        <v>7.5933834695482121</v>
      </c>
      <c r="Q126" s="141">
        <f t="shared" si="47"/>
        <v>7.4884425998049782</v>
      </c>
      <c r="R126" s="141">
        <f t="shared" si="47"/>
        <v>7.2993393841015699</v>
      </c>
      <c r="S126" s="141">
        <f t="shared" si="47"/>
        <v>7.0523496086208199</v>
      </c>
      <c r="T126" s="141">
        <f t="shared" si="47"/>
        <v>6.8341955951394588</v>
      </c>
    </row>
    <row r="127" spans="2:20" ht="13.5" customHeight="1" outlineLevel="1">
      <c r="T127" s="127"/>
    </row>
    <row r="128" spans="2:20" ht="13.5" customHeight="1" outlineLevel="1">
      <c r="B128" s="142" t="s">
        <v>512</v>
      </c>
      <c r="T128" s="127"/>
    </row>
    <row r="129" spans="1:20" ht="13.5" customHeight="1" outlineLevel="1">
      <c r="B129" s="38" t="s">
        <v>297</v>
      </c>
      <c r="J129" s="143"/>
      <c r="K129" s="141" t="str">
        <f>IFERROR(K348/AVERAGE(J334:K334),"NA")</f>
        <v>NA</v>
      </c>
      <c r="L129" s="141" t="str">
        <f t="shared" ref="L129:T129" si="48">IFERROR(L348/AVERAGE(K334:L334),"NA")</f>
        <v>NA</v>
      </c>
      <c r="M129" s="141" t="str">
        <f t="shared" si="48"/>
        <v>NA</v>
      </c>
      <c r="N129" s="141" t="str">
        <f t="shared" si="48"/>
        <v>NA</v>
      </c>
      <c r="O129" s="141" t="str">
        <f t="shared" si="48"/>
        <v>NA</v>
      </c>
      <c r="P129" s="141" t="str">
        <f t="shared" si="48"/>
        <v>NA</v>
      </c>
      <c r="Q129" s="141" t="str">
        <f t="shared" si="48"/>
        <v>NA</v>
      </c>
      <c r="R129" s="141" t="str">
        <f t="shared" si="48"/>
        <v>NA</v>
      </c>
      <c r="S129" s="141" t="str">
        <f t="shared" si="48"/>
        <v>NA</v>
      </c>
      <c r="T129" s="141" t="str">
        <f t="shared" si="48"/>
        <v>NA</v>
      </c>
    </row>
    <row r="130" spans="1:20" ht="13.5" customHeight="1" outlineLevel="1">
      <c r="B130" s="38" t="s">
        <v>298</v>
      </c>
      <c r="K130" s="141">
        <f>IF(OR(J333&gt;0,K333&gt;0),K347/AVERAGE(J333,K333),"NM")</f>
        <v>3.2612829753908295</v>
      </c>
      <c r="L130" s="141">
        <f t="shared" ref="L130:T130" si="49">IF(OR(K333&gt;0,L333&gt;0),L347/AVERAGE(K333,L333),"NM")</f>
        <v>3.2612829753908299</v>
      </c>
      <c r="M130" s="141">
        <f t="shared" si="49"/>
        <v>3.2612829753908299</v>
      </c>
      <c r="N130" s="141">
        <f t="shared" si="49"/>
        <v>3.2612829753908295</v>
      </c>
      <c r="O130" s="141">
        <f t="shared" si="49"/>
        <v>3.2612829753908295</v>
      </c>
      <c r="P130" s="141">
        <f t="shared" si="49"/>
        <v>3.2612829753908299</v>
      </c>
      <c r="Q130" s="141">
        <f t="shared" si="49"/>
        <v>3.2612829753908299</v>
      </c>
      <c r="R130" s="141">
        <f t="shared" si="49"/>
        <v>3.2612829753908295</v>
      </c>
      <c r="S130" s="141">
        <f t="shared" si="49"/>
        <v>3.2612829753908295</v>
      </c>
      <c r="T130" s="141">
        <f t="shared" si="49"/>
        <v>3.2612829753908295</v>
      </c>
    </row>
    <row r="131" spans="1:20" ht="13.5" customHeight="1" outlineLevel="1">
      <c r="B131" s="38" t="s">
        <v>299</v>
      </c>
      <c r="J131" s="143"/>
      <c r="K131" s="141">
        <f>IF(OR(J338&gt;0,K338&gt;0),(K334-J334+K348)/AVERAGE(J338,K338),"NM")</f>
        <v>10.650403607899408</v>
      </c>
      <c r="L131" s="141">
        <f t="shared" ref="L131:T131" si="50">IF(OR(K338&gt;0,L338&gt;0),(L334-K334+L348)/AVERAGE(K338,L338),"NM")</f>
        <v>10.665910492777163</v>
      </c>
      <c r="M131" s="141">
        <f t="shared" si="50"/>
        <v>10.665910492777162</v>
      </c>
      <c r="N131" s="141">
        <f t="shared" si="50"/>
        <v>10.665910492777163</v>
      </c>
      <c r="O131" s="141">
        <f t="shared" si="50"/>
        <v>10.665910492777163</v>
      </c>
      <c r="P131" s="141">
        <f t="shared" si="50"/>
        <v>10.665910492777163</v>
      </c>
      <c r="Q131" s="141">
        <f t="shared" si="50"/>
        <v>10.665910492777163</v>
      </c>
      <c r="R131" s="141">
        <f t="shared" si="50"/>
        <v>10.665910492777163</v>
      </c>
      <c r="S131" s="141">
        <f t="shared" si="50"/>
        <v>10.665910492777163</v>
      </c>
      <c r="T131" s="141">
        <f t="shared" si="50"/>
        <v>10.665910492777163</v>
      </c>
    </row>
    <row r="132" spans="1:20" ht="13.5" customHeight="1" outlineLevel="1">
      <c r="B132" s="38" t="s">
        <v>300</v>
      </c>
      <c r="J132" s="143"/>
      <c r="K132" s="129" t="str">
        <f>IFERROR(365/K129,"NA")</f>
        <v>NA</v>
      </c>
      <c r="L132" s="129" t="str">
        <f t="shared" ref="L132:T132" si="51">IFERROR(365/L129,"NA")</f>
        <v>NA</v>
      </c>
      <c r="M132" s="129" t="str">
        <f t="shared" si="51"/>
        <v>NA</v>
      </c>
      <c r="N132" s="129" t="str">
        <f t="shared" si="51"/>
        <v>NA</v>
      </c>
      <c r="O132" s="129" t="str">
        <f t="shared" si="51"/>
        <v>NA</v>
      </c>
      <c r="P132" s="129" t="str">
        <f t="shared" si="51"/>
        <v>NA</v>
      </c>
      <c r="Q132" s="129" t="str">
        <f t="shared" si="51"/>
        <v>NA</v>
      </c>
      <c r="R132" s="129" t="str">
        <f t="shared" si="51"/>
        <v>NA</v>
      </c>
      <c r="S132" s="129" t="str">
        <f t="shared" si="51"/>
        <v>NA</v>
      </c>
      <c r="T132" s="129" t="str">
        <f t="shared" si="51"/>
        <v>NA</v>
      </c>
    </row>
    <row r="133" spans="1:20" ht="13.5" customHeight="1" outlineLevel="1">
      <c r="B133" s="38" t="s">
        <v>301</v>
      </c>
      <c r="J133" s="143"/>
      <c r="K133" s="129">
        <f t="shared" ref="K133:T133" si="52">IF(K130="NM","NM",365/K130)</f>
        <v>111.91914432272125</v>
      </c>
      <c r="L133" s="129">
        <f t="shared" si="52"/>
        <v>111.91914432272122</v>
      </c>
      <c r="M133" s="129">
        <f t="shared" si="52"/>
        <v>111.91914432272122</v>
      </c>
      <c r="N133" s="129">
        <f t="shared" si="52"/>
        <v>111.91914432272125</v>
      </c>
      <c r="O133" s="129">
        <f t="shared" si="52"/>
        <v>111.91914432272125</v>
      </c>
      <c r="P133" s="129">
        <f t="shared" si="52"/>
        <v>111.91914432272122</v>
      </c>
      <c r="Q133" s="129">
        <f t="shared" si="52"/>
        <v>111.91914432272122</v>
      </c>
      <c r="R133" s="129">
        <f t="shared" si="52"/>
        <v>111.91914432272125</v>
      </c>
      <c r="S133" s="129">
        <f t="shared" si="52"/>
        <v>111.91914432272125</v>
      </c>
      <c r="T133" s="129">
        <f t="shared" si="52"/>
        <v>111.91914432272125</v>
      </c>
    </row>
    <row r="134" spans="1:20" ht="13.5" customHeight="1" outlineLevel="1">
      <c r="B134" s="38" t="s">
        <v>302</v>
      </c>
      <c r="K134" s="129">
        <f t="shared" ref="K134:T134" si="53">IF(K131="NM","NM",365/K131)</f>
        <v>34.271001685727605</v>
      </c>
      <c r="L134" s="129">
        <f t="shared" si="53"/>
        <v>34.221175983726283</v>
      </c>
      <c r="M134" s="129">
        <f t="shared" si="53"/>
        <v>34.221175983726283</v>
      </c>
      <c r="N134" s="129">
        <f t="shared" si="53"/>
        <v>34.221175983726283</v>
      </c>
      <c r="O134" s="129">
        <f t="shared" si="53"/>
        <v>34.221175983726283</v>
      </c>
      <c r="P134" s="129">
        <f t="shared" si="53"/>
        <v>34.221175983726283</v>
      </c>
      <c r="Q134" s="129">
        <f t="shared" si="53"/>
        <v>34.221175983726283</v>
      </c>
      <c r="R134" s="129">
        <f t="shared" si="53"/>
        <v>34.221175983726283</v>
      </c>
      <c r="S134" s="129">
        <f t="shared" si="53"/>
        <v>34.221175983726283</v>
      </c>
      <c r="T134" s="129">
        <f t="shared" si="53"/>
        <v>34.221175983726283</v>
      </c>
    </row>
    <row r="135" spans="1:20" ht="5.0999999999999996" customHeight="1" outlineLevel="1" thickBot="1">
      <c r="B135" s="144"/>
      <c r="C135" s="144"/>
      <c r="D135" s="144"/>
      <c r="E135" s="144"/>
      <c r="F135" s="144"/>
      <c r="G135" s="144"/>
      <c r="H135" s="144"/>
      <c r="I135" s="144"/>
      <c r="J135" s="144"/>
      <c r="K135" s="144"/>
      <c r="L135" s="144"/>
      <c r="M135" s="144"/>
      <c r="N135" s="144"/>
      <c r="O135" s="144"/>
      <c r="P135" s="144"/>
      <c r="Q135" s="144"/>
      <c r="R135" s="144"/>
      <c r="S135" s="144"/>
      <c r="T135" s="145"/>
    </row>
    <row r="136" spans="1:20" ht="13.5" customHeight="1" outlineLevel="1">
      <c r="T136" s="127"/>
    </row>
    <row r="137" spans="1:20" ht="13.5" customHeight="1" outlineLevel="1" thickBot="1">
      <c r="T137" s="127"/>
    </row>
    <row r="138" spans="1:20" s="35" customFormat="1" ht="20.100000000000001" customHeight="1" thickTop="1">
      <c r="A138" s="41" t="s">
        <v>313</v>
      </c>
      <c r="B138" s="42" t="s">
        <v>56</v>
      </c>
      <c r="C138" s="43"/>
      <c r="D138" s="44"/>
      <c r="E138" s="44"/>
      <c r="F138" s="44"/>
      <c r="G138" s="44"/>
      <c r="H138" s="44"/>
      <c r="I138" s="44"/>
      <c r="J138" s="44"/>
      <c r="K138" s="44"/>
      <c r="L138" s="44"/>
      <c r="M138" s="44"/>
      <c r="N138" s="44"/>
      <c r="O138" s="44"/>
      <c r="P138" s="44"/>
      <c r="Q138" s="44"/>
      <c r="R138" s="44"/>
      <c r="S138" s="44"/>
      <c r="T138" s="44"/>
    </row>
    <row r="139" spans="1:20" s="35" customFormat="1" ht="13.5" customHeight="1" outlineLevel="1">
      <c r="B139" s="146"/>
      <c r="T139" s="147" t="str">
        <f ca="1">err_msg</f>
        <v/>
      </c>
    </row>
    <row r="140" spans="1:20" s="35" customFormat="1" ht="13.5" customHeight="1" outlineLevel="1">
      <c r="B140" s="116"/>
      <c r="C140" s="116"/>
      <c r="D140" s="117"/>
      <c r="E140" s="120" t="s">
        <v>59</v>
      </c>
      <c r="F140" s="120" t="s">
        <v>167</v>
      </c>
      <c r="G140" s="120"/>
      <c r="H140" s="120"/>
      <c r="I140" s="101"/>
      <c r="J140" s="119"/>
      <c r="K140" s="120" t="str">
        <f>"Fiscal Years Ending "&amp;TEXT($K$10, "mmmm d")&amp;","</f>
        <v>Fiscal Years Ending December 31,</v>
      </c>
      <c r="L140" s="120"/>
      <c r="M140" s="120"/>
      <c r="N140" s="120"/>
      <c r="O140" s="120"/>
      <c r="P140" s="120"/>
      <c r="Q140" s="120"/>
      <c r="R140" s="120"/>
      <c r="S140" s="120"/>
      <c r="T140" s="120"/>
    </row>
    <row r="141" spans="1:20" s="35" customFormat="1" ht="13.5" customHeight="1" outlineLevel="1">
      <c r="B141" s="116"/>
      <c r="C141" s="116"/>
      <c r="D141" s="117"/>
      <c r="E141" s="102" t="s">
        <v>165</v>
      </c>
      <c r="F141" s="102" t="s">
        <v>188</v>
      </c>
      <c r="G141" s="102" t="s">
        <v>189</v>
      </c>
      <c r="H141" s="102" t="s">
        <v>190</v>
      </c>
      <c r="I141" s="148"/>
      <c r="J141" s="102"/>
      <c r="K141" s="412">
        <v>1</v>
      </c>
      <c r="L141" s="102">
        <f t="shared" ref="L141:T141" si="54">K141+1</f>
        <v>2</v>
      </c>
      <c r="M141" s="102">
        <f t="shared" si="54"/>
        <v>3</v>
      </c>
      <c r="N141" s="102">
        <f>M141+1</f>
        <v>4</v>
      </c>
      <c r="O141" s="102">
        <f t="shared" si="54"/>
        <v>5</v>
      </c>
      <c r="P141" s="102">
        <f t="shared" si="54"/>
        <v>6</v>
      </c>
      <c r="Q141" s="102">
        <f t="shared" si="54"/>
        <v>7</v>
      </c>
      <c r="R141" s="102">
        <f t="shared" si="54"/>
        <v>8</v>
      </c>
      <c r="S141" s="102">
        <f t="shared" si="54"/>
        <v>9</v>
      </c>
      <c r="T141" s="102">
        <f t="shared" si="54"/>
        <v>10</v>
      </c>
    </row>
    <row r="142" spans="1:20" s="35" customFormat="1" ht="13.5" customHeight="1" outlineLevel="1" thickBot="1">
      <c r="B142" s="122" t="s">
        <v>0</v>
      </c>
      <c r="C142" s="123"/>
      <c r="D142" s="123"/>
      <c r="E142" s="125">
        <f>K11</f>
        <v>45016</v>
      </c>
      <c r="F142" s="125">
        <f>EOMONTH(E142,3)</f>
        <v>45107</v>
      </c>
      <c r="G142" s="125">
        <f>EOMONTH(F142,3)</f>
        <v>45199</v>
      </c>
      <c r="H142" s="125">
        <f>EOMONTH(G142,3)</f>
        <v>45291</v>
      </c>
      <c r="I142" s="149"/>
      <c r="J142" s="149"/>
      <c r="K142" s="126">
        <f>$K$14</f>
        <v>45657</v>
      </c>
      <c r="L142" s="126">
        <f>EOMONTH(K142,12)</f>
        <v>46022</v>
      </c>
      <c r="M142" s="126">
        <f t="shared" ref="M142:T142" si="55">EOMONTH(L142,12)</f>
        <v>46387</v>
      </c>
      <c r="N142" s="126">
        <f t="shared" si="55"/>
        <v>46752</v>
      </c>
      <c r="O142" s="126">
        <f t="shared" si="55"/>
        <v>47118</v>
      </c>
      <c r="P142" s="126">
        <f t="shared" si="55"/>
        <v>47483</v>
      </c>
      <c r="Q142" s="126">
        <f t="shared" si="55"/>
        <v>47848</v>
      </c>
      <c r="R142" s="126">
        <f t="shared" si="55"/>
        <v>48213</v>
      </c>
      <c r="S142" s="126">
        <f t="shared" si="55"/>
        <v>48579</v>
      </c>
      <c r="T142" s="126">
        <f t="shared" si="55"/>
        <v>48944</v>
      </c>
    </row>
    <row r="143" spans="1:20" s="35" customFormat="1" ht="13.5" customHeight="1" outlineLevel="1"/>
    <row r="144" spans="1:20" s="61" customFormat="1" ht="13.5" customHeight="1" outlineLevel="1">
      <c r="B144" s="78" t="s">
        <v>57</v>
      </c>
      <c r="C144" s="78"/>
      <c r="D144" s="150"/>
      <c r="E144" s="413">
        <v>106.7</v>
      </c>
      <c r="F144" s="413">
        <v>108.405</v>
      </c>
      <c r="G144" s="413">
        <v>110.7</v>
      </c>
      <c r="H144" s="413">
        <v>112.2</v>
      </c>
      <c r="I144" s="151"/>
      <c r="J144" s="151"/>
      <c r="K144" s="413">
        <v>464.3</v>
      </c>
      <c r="L144" s="151">
        <f>K144*(1+L189)</f>
        <v>492.17358249335052</v>
      </c>
      <c r="M144" s="151">
        <f t="shared" ref="M144:T144" si="56">L144*(1+M189)</f>
        <v>521.72051540887117</v>
      </c>
      <c r="N144" s="151">
        <f t="shared" si="56"/>
        <v>553.04125593164201</v>
      </c>
      <c r="O144" s="151">
        <f t="shared" si="56"/>
        <v>586.2422920493176</v>
      </c>
      <c r="P144" s="151">
        <f t="shared" si="56"/>
        <v>621.43650460268293</v>
      </c>
      <c r="Q144" s="151">
        <f t="shared" si="56"/>
        <v>658.74355107139343</v>
      </c>
      <c r="R144" s="151">
        <f t="shared" si="56"/>
        <v>698.29027239973959</v>
      </c>
      <c r="S144" s="151">
        <f t="shared" si="56"/>
        <v>740.21112424561147</v>
      </c>
      <c r="T144" s="151">
        <f t="shared" si="56"/>
        <v>784.64863411887393</v>
      </c>
    </row>
    <row r="145" spans="2:20" s="35" customFormat="1" ht="13.5" customHeight="1" outlineLevel="1">
      <c r="B145" s="38" t="s">
        <v>24</v>
      </c>
      <c r="C145" s="38"/>
      <c r="D145" s="152"/>
      <c r="E145" s="414">
        <v>54.7</v>
      </c>
      <c r="F145" s="414">
        <v>56.1</v>
      </c>
      <c r="G145" s="414">
        <v>56.8</v>
      </c>
      <c r="H145" s="414">
        <v>57.5</v>
      </c>
      <c r="I145" s="129"/>
      <c r="J145" s="129"/>
      <c r="K145" s="414">
        <v>237.9</v>
      </c>
      <c r="L145" s="129">
        <f t="shared" ref="L145:T145" si="57">L192*L$144</f>
        <v>252.18198422392439</v>
      </c>
      <c r="M145" s="129">
        <f t="shared" si="57"/>
        <v>267.32136682268026</v>
      </c>
      <c r="N145" s="129">
        <f t="shared" si="57"/>
        <v>283.369620474128</v>
      </c>
      <c r="O145" s="129">
        <f t="shared" si="57"/>
        <v>300.38130794428741</v>
      </c>
      <c r="P145" s="129">
        <f t="shared" si="57"/>
        <v>318.41426759633487</v>
      </c>
      <c r="Q145" s="129">
        <f t="shared" si="57"/>
        <v>337.52981003636552</v>
      </c>
      <c r="R145" s="129">
        <f t="shared" si="57"/>
        <v>357.7929265645015</v>
      </c>
      <c r="S145" s="129">
        <f t="shared" si="57"/>
        <v>379.27251014006242</v>
      </c>
      <c r="T145" s="129">
        <f t="shared" si="57"/>
        <v>402.04158961206139</v>
      </c>
    </row>
    <row r="146" spans="2:20" s="35" customFormat="1" ht="13.5" customHeight="1" outlineLevel="1">
      <c r="B146" s="52" t="s">
        <v>161</v>
      </c>
      <c r="C146" s="52"/>
      <c r="D146" s="153"/>
      <c r="E146" s="154">
        <f>E144-E145</f>
        <v>52</v>
      </c>
      <c r="F146" s="154">
        <f>F144-F145</f>
        <v>52.305</v>
      </c>
      <c r="G146" s="154">
        <f>G144-G145</f>
        <v>53.900000000000006</v>
      </c>
      <c r="H146" s="154">
        <f>H144-H145</f>
        <v>54.7</v>
      </c>
      <c r="I146" s="154"/>
      <c r="J146" s="154"/>
      <c r="K146" s="154">
        <f t="shared" ref="K146" si="58">K144-K145</f>
        <v>226.4</v>
      </c>
      <c r="L146" s="154">
        <f t="shared" ref="L146" si="59">L144-L145</f>
        <v>239.99159826942613</v>
      </c>
      <c r="M146" s="154">
        <f t="shared" ref="M146" si="60">M144-M145</f>
        <v>254.3991485861909</v>
      </c>
      <c r="N146" s="154">
        <f t="shared" ref="N146" si="61">N144-N145</f>
        <v>269.67163545751401</v>
      </c>
      <c r="O146" s="154">
        <f t="shared" ref="O146" si="62">O144-O145</f>
        <v>285.86098410503018</v>
      </c>
      <c r="P146" s="154">
        <f t="shared" ref="P146" si="63">P144-P145</f>
        <v>303.02223700634806</v>
      </c>
      <c r="Q146" s="154">
        <f t="shared" ref="Q146" si="64">Q144-Q145</f>
        <v>321.21374103502791</v>
      </c>
      <c r="R146" s="154">
        <f t="shared" ref="R146" si="65">R144-R145</f>
        <v>340.49734583523809</v>
      </c>
      <c r="S146" s="154">
        <f t="shared" ref="S146" si="66">S144-S145</f>
        <v>360.93861410554905</v>
      </c>
      <c r="T146" s="154">
        <f t="shared" ref="T146" si="67">T144-T145</f>
        <v>382.60704450681254</v>
      </c>
    </row>
    <row r="147" spans="2:20" s="35" customFormat="1" ht="13.5" customHeight="1" outlineLevel="1">
      <c r="B147" s="38" t="s">
        <v>25</v>
      </c>
      <c r="C147" s="38"/>
      <c r="D147" s="152"/>
      <c r="E147" s="414">
        <v>20.2</v>
      </c>
      <c r="F147" s="414">
        <v>20.7</v>
      </c>
      <c r="G147" s="414">
        <v>21</v>
      </c>
      <c r="H147" s="414">
        <v>21.2</v>
      </c>
      <c r="I147" s="129"/>
      <c r="J147" s="129"/>
      <c r="K147" s="414">
        <v>87.7</v>
      </c>
      <c r="L147" s="129">
        <f t="shared" ref="L147:T147" si="68">L144*L193</f>
        <v>92.964943322564807</v>
      </c>
      <c r="M147" s="129">
        <f t="shared" si="68"/>
        <v>98.545959942619007</v>
      </c>
      <c r="N147" s="129">
        <f t="shared" si="68"/>
        <v>104.46202486583029</v>
      </c>
      <c r="O147" s="129">
        <f t="shared" si="68"/>
        <v>110.73325223503156</v>
      </c>
      <c r="P147" s="129">
        <f t="shared" si="68"/>
        <v>117.38096371668166</v>
      </c>
      <c r="Q147" s="129">
        <f t="shared" si="68"/>
        <v>124.42776099280897</v>
      </c>
      <c r="R147" s="129">
        <f t="shared" si="68"/>
        <v>131.89760260490451</v>
      </c>
      <c r="S147" s="129">
        <f t="shared" si="68"/>
        <v>139.81588541102764</v>
      </c>
      <c r="T147" s="129">
        <f t="shared" si="68"/>
        <v>148.20953093307182</v>
      </c>
    </row>
    <row r="148" spans="2:20" s="61" customFormat="1" ht="13.5" customHeight="1" outlineLevel="1">
      <c r="B148" s="155" t="s">
        <v>18</v>
      </c>
      <c r="C148" s="155"/>
      <c r="D148" s="156"/>
      <c r="E148" s="157">
        <f>E146-E147</f>
        <v>31.8</v>
      </c>
      <c r="F148" s="157">
        <f>F146-F147</f>
        <v>31.605</v>
      </c>
      <c r="G148" s="157">
        <f>G146-G147</f>
        <v>32.900000000000006</v>
      </c>
      <c r="H148" s="157">
        <f>H146-H147</f>
        <v>33.5</v>
      </c>
      <c r="I148" s="157"/>
      <c r="J148" s="157"/>
      <c r="K148" s="157">
        <f t="shared" ref="K148:T148" si="69">K146-K147</f>
        <v>138.69999999999999</v>
      </c>
      <c r="L148" s="157">
        <f t="shared" si="69"/>
        <v>147.02665494686133</v>
      </c>
      <c r="M148" s="157">
        <f t="shared" si="69"/>
        <v>155.85318864357191</v>
      </c>
      <c r="N148" s="157">
        <f t="shared" si="69"/>
        <v>165.20961059168371</v>
      </c>
      <c r="O148" s="157">
        <f t="shared" si="69"/>
        <v>175.12773186999863</v>
      </c>
      <c r="P148" s="157">
        <f t="shared" si="69"/>
        <v>185.6412732896664</v>
      </c>
      <c r="Q148" s="157">
        <f t="shared" si="69"/>
        <v>196.78598004221894</v>
      </c>
      <c r="R148" s="157">
        <f t="shared" si="69"/>
        <v>208.59974323033359</v>
      </c>
      <c r="S148" s="157">
        <f t="shared" si="69"/>
        <v>221.12272869452141</v>
      </c>
      <c r="T148" s="157">
        <f t="shared" si="69"/>
        <v>234.39751357374072</v>
      </c>
    </row>
    <row r="149" spans="2:20" s="35" customFormat="1" ht="13.5" customHeight="1" outlineLevel="1">
      <c r="B149" s="35" t="s">
        <v>29</v>
      </c>
      <c r="C149" s="38"/>
      <c r="D149" s="152"/>
      <c r="E149" s="414">
        <v>3.3</v>
      </c>
      <c r="F149" s="414">
        <v>3.3</v>
      </c>
      <c r="G149" s="414">
        <v>3.3</v>
      </c>
      <c r="H149" s="414">
        <v>3.3</v>
      </c>
      <c r="I149" s="129"/>
      <c r="J149" s="129"/>
      <c r="K149" s="414">
        <v>15.8</v>
      </c>
      <c r="L149" s="158">
        <f t="shared" ref="L149:T149" si="70">L671</f>
        <v>18.89138741077646</v>
      </c>
      <c r="M149" s="158">
        <f t="shared" si="70"/>
        <v>19.896861328642551</v>
      </c>
      <c r="N149" s="158">
        <f t="shared" si="70"/>
        <v>20.962697426552907</v>
      </c>
      <c r="O149" s="158">
        <f t="shared" si="70"/>
        <v>22.092519461141052</v>
      </c>
      <c r="P149" s="158">
        <f t="shared" si="70"/>
        <v>23.290168736056348</v>
      </c>
      <c r="Q149" s="158">
        <f t="shared" si="70"/>
        <v>24.559717162086127</v>
      </c>
      <c r="R149" s="158">
        <f t="shared" si="70"/>
        <v>23.762623958466268</v>
      </c>
      <c r="S149" s="158">
        <f t="shared" si="70"/>
        <v>25.189178899592207</v>
      </c>
      <c r="T149" s="158">
        <f t="shared" si="70"/>
        <v>26.701375014168015</v>
      </c>
    </row>
    <row r="150" spans="2:20" s="35" customFormat="1" ht="13.5" customHeight="1" outlineLevel="1">
      <c r="B150" s="52" t="s">
        <v>27</v>
      </c>
      <c r="C150" s="52"/>
      <c r="D150" s="83"/>
      <c r="E150" s="159">
        <f>E148-E149</f>
        <v>28.5</v>
      </c>
      <c r="F150" s="159">
        <f>F148-F149</f>
        <v>28.305</v>
      </c>
      <c r="G150" s="159">
        <f>G148-G149</f>
        <v>29.600000000000005</v>
      </c>
      <c r="H150" s="159">
        <f>H148-H149</f>
        <v>30.2</v>
      </c>
      <c r="I150" s="159"/>
      <c r="J150" s="159"/>
      <c r="K150" s="159">
        <f t="shared" ref="K150:T150" si="71">K148-K149</f>
        <v>122.89999999999999</v>
      </c>
      <c r="L150" s="159">
        <f t="shared" si="71"/>
        <v>128.13526753608488</v>
      </c>
      <c r="M150" s="159">
        <f t="shared" si="71"/>
        <v>135.95632731492935</v>
      </c>
      <c r="N150" s="159">
        <f t="shared" si="71"/>
        <v>144.24691316513082</v>
      </c>
      <c r="O150" s="159">
        <f t="shared" si="71"/>
        <v>153.03521240885757</v>
      </c>
      <c r="P150" s="159">
        <f t="shared" si="71"/>
        <v>162.35110455361004</v>
      </c>
      <c r="Q150" s="159">
        <f t="shared" si="71"/>
        <v>172.22626288013282</v>
      </c>
      <c r="R150" s="159">
        <f t="shared" si="71"/>
        <v>184.83711927186732</v>
      </c>
      <c r="S150" s="159">
        <f t="shared" si="71"/>
        <v>195.93354979492921</v>
      </c>
      <c r="T150" s="159">
        <f t="shared" si="71"/>
        <v>207.69613855957272</v>
      </c>
    </row>
    <row r="151" spans="2:20" s="35" customFormat="1" ht="13.5" customHeight="1" outlineLevel="1">
      <c r="B151" s="35" t="s">
        <v>30</v>
      </c>
      <c r="D151" s="152"/>
      <c r="E151" s="414">
        <v>4.5</v>
      </c>
      <c r="F151" s="414">
        <v>4.5</v>
      </c>
      <c r="G151" s="414">
        <v>4.5</v>
      </c>
      <c r="H151" s="414">
        <v>4.5</v>
      </c>
      <c r="I151" s="160"/>
      <c r="J151" s="129"/>
      <c r="K151" s="414">
        <v>14.9</v>
      </c>
      <c r="L151" s="158">
        <f t="shared" ref="L151:T151" ca="1" si="72">L694</f>
        <v>37.685570240597173</v>
      </c>
      <c r="M151" s="158">
        <f t="shared" ca="1" si="72"/>
        <v>38.633770327698741</v>
      </c>
      <c r="N151" s="158">
        <f t="shared" ca="1" si="72"/>
        <v>39.638894242816733</v>
      </c>
      <c r="O151" s="158">
        <f t="shared" ca="1" si="72"/>
        <v>40.704359326067568</v>
      </c>
      <c r="P151" s="158">
        <f ca="1">P694</f>
        <v>19.942717894852414</v>
      </c>
      <c r="Q151" s="158">
        <f t="shared" ca="1" si="72"/>
        <v>21.139950271298218</v>
      </c>
      <c r="R151" s="158">
        <f t="shared" ca="1" si="72"/>
        <v>22.409056770958692</v>
      </c>
      <c r="S151" s="158">
        <f t="shared" ca="1" si="72"/>
        <v>23.754352253412904</v>
      </c>
      <c r="T151" s="158">
        <f t="shared" ca="1" si="72"/>
        <v>25.180410614626798</v>
      </c>
    </row>
    <row r="152" spans="2:20" s="35" customFormat="1" ht="13.5" customHeight="1" outlineLevel="1">
      <c r="B152" s="35" t="s">
        <v>121</v>
      </c>
      <c r="D152" s="152"/>
      <c r="E152" s="414">
        <v>2.9</v>
      </c>
      <c r="F152" s="129">
        <f>F150-F151-F153</f>
        <v>2.004999999999999</v>
      </c>
      <c r="G152" s="129">
        <f t="shared" ref="G152:H152" si="73">G150-G151-G153</f>
        <v>2.9000000000000057</v>
      </c>
      <c r="H152" s="129">
        <f t="shared" si="73"/>
        <v>3.0999999999999979</v>
      </c>
      <c r="I152" s="160"/>
      <c r="J152" s="129"/>
      <c r="K152" s="414">
        <v>8</v>
      </c>
      <c r="L152" s="158">
        <f t="shared" ref="L152:T152" si="74">L144*L196</f>
        <v>8.480268490085729</v>
      </c>
      <c r="M152" s="158">
        <f t="shared" si="74"/>
        <v>8.9893692079926115</v>
      </c>
      <c r="N152" s="158">
        <f t="shared" si="74"/>
        <v>9.5290330550358302</v>
      </c>
      <c r="O152" s="158">
        <f t="shared" si="74"/>
        <v>10.101094844700713</v>
      </c>
      <c r="P152" s="158">
        <f t="shared" si="74"/>
        <v>10.707499540860356</v>
      </c>
      <c r="Q152" s="158">
        <f t="shared" si="74"/>
        <v>11.350308870495686</v>
      </c>
      <c r="R152" s="158">
        <f t="shared" si="74"/>
        <v>12.031708333400639</v>
      </c>
      <c r="S152" s="158">
        <f t="shared" si="74"/>
        <v>12.754014632704914</v>
      </c>
      <c r="T152" s="158">
        <f t="shared" si="74"/>
        <v>13.519683551477474</v>
      </c>
    </row>
    <row r="153" spans="2:20" s="61" customFormat="1" ht="13.5" customHeight="1" outlineLevel="1">
      <c r="B153" s="155" t="s">
        <v>26</v>
      </c>
      <c r="C153" s="155"/>
      <c r="D153" s="156"/>
      <c r="E153" s="157">
        <f>E150-SUM(E151:E152)</f>
        <v>21.1</v>
      </c>
      <c r="F153" s="415">
        <v>21.8</v>
      </c>
      <c r="G153" s="415">
        <v>22.2</v>
      </c>
      <c r="H153" s="415">
        <v>22.6</v>
      </c>
      <c r="I153" s="157"/>
      <c r="J153" s="157"/>
      <c r="K153" s="157">
        <f t="shared" ref="K153:T153" si="75">K150-SUM(K151:K152)</f>
        <v>100</v>
      </c>
      <c r="L153" s="157">
        <f t="shared" ca="1" si="75"/>
        <v>81.969428805401975</v>
      </c>
      <c r="M153" s="157">
        <f t="shared" ca="1" si="75"/>
        <v>88.333187779238003</v>
      </c>
      <c r="N153" s="157">
        <f t="shared" ca="1" si="75"/>
        <v>95.078985867278249</v>
      </c>
      <c r="O153" s="157">
        <f t="shared" ca="1" si="75"/>
        <v>102.22975823808929</v>
      </c>
      <c r="P153" s="157">
        <f t="shared" ca="1" si="75"/>
        <v>131.70088711789728</v>
      </c>
      <c r="Q153" s="157">
        <f t="shared" ca="1" si="75"/>
        <v>139.73600373833892</v>
      </c>
      <c r="R153" s="157">
        <f t="shared" ca="1" si="75"/>
        <v>150.39635416750798</v>
      </c>
      <c r="S153" s="157">
        <f t="shared" ca="1" si="75"/>
        <v>159.42518290881139</v>
      </c>
      <c r="T153" s="157">
        <f t="shared" ca="1" si="75"/>
        <v>168.99604439346845</v>
      </c>
    </row>
    <row r="154" spans="2:20" s="35" customFormat="1" ht="13.5" customHeight="1" outlineLevel="1">
      <c r="B154" s="142" t="s">
        <v>120</v>
      </c>
      <c r="C154" s="38"/>
      <c r="D154" s="38"/>
      <c r="E154" s="140"/>
      <c r="F154" s="140"/>
      <c r="G154" s="140"/>
      <c r="H154" s="140"/>
      <c r="I154" s="140"/>
      <c r="J154" s="140"/>
      <c r="K154" s="161"/>
      <c r="L154" s="140"/>
      <c r="M154" s="140"/>
      <c r="N154" s="140"/>
      <c r="O154" s="140"/>
      <c r="P154" s="140"/>
      <c r="Q154" s="140"/>
      <c r="R154" s="140"/>
      <c r="S154" s="140"/>
      <c r="T154" s="140"/>
    </row>
    <row r="155" spans="2:20" s="35" customFormat="1" ht="13.5" customHeight="1" outlineLevel="1">
      <c r="B155" s="84" t="s">
        <v>270</v>
      </c>
      <c r="D155" s="152"/>
      <c r="E155" s="416">
        <v>0</v>
      </c>
      <c r="F155" s="129">
        <f>E155</f>
        <v>0</v>
      </c>
      <c r="G155" s="129">
        <f>F155</f>
        <v>0</v>
      </c>
      <c r="H155" s="129">
        <f>G155</f>
        <v>0</v>
      </c>
      <c r="I155" s="162"/>
      <c r="J155" s="129"/>
      <c r="K155" s="129">
        <f t="shared" ref="K155:T155" ca="1" si="76">-K589</f>
        <v>-1</v>
      </c>
      <c r="L155" s="129">
        <f t="shared" ca="1" si="76"/>
        <v>-1.1610101039022676</v>
      </c>
      <c r="M155" s="129">
        <f t="shared" ca="1" si="76"/>
        <v>-1.9791611028244278</v>
      </c>
      <c r="N155" s="129">
        <f t="shared" ca="1" si="76"/>
        <v>-2.849542954879039</v>
      </c>
      <c r="O155" s="129">
        <f t="shared" ca="1" si="76"/>
        <v>-3.7761887958203015</v>
      </c>
      <c r="P155" s="129">
        <f t="shared" ca="1" si="76"/>
        <v>-4.7627146843245454</v>
      </c>
      <c r="Q155" s="129">
        <f t="shared" ca="1" si="76"/>
        <v>-5.2372953436959397</v>
      </c>
      <c r="R155" s="129">
        <f t="shared" ca="1" si="76"/>
        <v>-6.3108401980858568</v>
      </c>
      <c r="S155" s="129">
        <f t="shared" ca="1" si="76"/>
        <v>-6.4503564976399073</v>
      </c>
      <c r="T155" s="129">
        <f t="shared" ca="1" si="76"/>
        <v>-7.7376530438601367</v>
      </c>
    </row>
    <row r="156" spans="2:20" s="35" customFormat="1" ht="13.5" customHeight="1" outlineLevel="1">
      <c r="B156" s="84" t="s">
        <v>265</v>
      </c>
      <c r="C156" s="38"/>
      <c r="D156" s="152"/>
      <c r="E156" s="416">
        <v>8.1999999999999993</v>
      </c>
      <c r="F156" s="129">
        <f>F591</f>
        <v>8.1937499999999996</v>
      </c>
      <c r="G156" s="129">
        <f t="shared" ref="G156:H156" si="77">G591</f>
        <v>8.1937499999999996</v>
      </c>
      <c r="H156" s="129">
        <f t="shared" si="77"/>
        <v>8.1937499999999996</v>
      </c>
      <c r="I156" s="140"/>
      <c r="J156" s="129"/>
      <c r="K156" s="129">
        <f>K591</f>
        <v>0</v>
      </c>
      <c r="L156" s="129">
        <f ca="1">L591</f>
        <v>0</v>
      </c>
      <c r="M156" s="129">
        <f t="shared" ref="M156:T156" ca="1" si="78">M591</f>
        <v>0</v>
      </c>
      <c r="N156" s="129">
        <f t="shared" ca="1" si="78"/>
        <v>0</v>
      </c>
      <c r="O156" s="129">
        <f t="shared" ca="1" si="78"/>
        <v>0</v>
      </c>
      <c r="P156" s="129">
        <f t="shared" ca="1" si="78"/>
        <v>0</v>
      </c>
      <c r="Q156" s="129">
        <f t="shared" ca="1" si="78"/>
        <v>0</v>
      </c>
      <c r="R156" s="129">
        <f t="shared" ca="1" si="78"/>
        <v>0</v>
      </c>
      <c r="S156" s="129">
        <f t="shared" ca="1" si="78"/>
        <v>0</v>
      </c>
      <c r="T156" s="129">
        <f t="shared" ca="1" si="78"/>
        <v>0</v>
      </c>
    </row>
    <row r="157" spans="2:20" s="35" customFormat="1" ht="13.5" customHeight="1" outlineLevel="1">
      <c r="B157" s="84" t="s">
        <v>23</v>
      </c>
      <c r="C157" s="38"/>
      <c r="D157" s="152"/>
      <c r="E157" s="416">
        <v>0</v>
      </c>
      <c r="F157" s="129">
        <f t="shared" ref="F157:H163" si="79">E157</f>
        <v>0</v>
      </c>
      <c r="G157" s="129">
        <f t="shared" si="79"/>
        <v>0</v>
      </c>
      <c r="H157" s="129">
        <f t="shared" si="79"/>
        <v>0</v>
      </c>
      <c r="I157" s="140"/>
      <c r="J157" s="129"/>
      <c r="K157" s="129">
        <f t="shared" ref="K157:T157" si="80">K592</f>
        <v>0.5</v>
      </c>
      <c r="L157" s="129">
        <f ca="1">L592</f>
        <v>0.5</v>
      </c>
      <c r="M157" s="129">
        <f t="shared" ca="1" si="80"/>
        <v>0.5</v>
      </c>
      <c r="N157" s="129">
        <f t="shared" ca="1" si="80"/>
        <v>0.5</v>
      </c>
      <c r="O157" s="129">
        <f t="shared" ca="1" si="80"/>
        <v>0.5</v>
      </c>
      <c r="P157" s="129">
        <f t="shared" ca="1" si="80"/>
        <v>0.5</v>
      </c>
      <c r="Q157" s="129">
        <f t="shared" ca="1" si="80"/>
        <v>0.5</v>
      </c>
      <c r="R157" s="129">
        <f t="shared" ca="1" si="80"/>
        <v>0.5</v>
      </c>
      <c r="S157" s="129">
        <f t="shared" ca="1" si="80"/>
        <v>0.5</v>
      </c>
      <c r="T157" s="129">
        <f t="shared" ca="1" si="80"/>
        <v>0.5</v>
      </c>
    </row>
    <row r="158" spans="2:20" s="35" customFormat="1" ht="13.5" customHeight="1" outlineLevel="1">
      <c r="B158" s="84" t="str">
        <f t="shared" ref="B158:B165" si="81">B881</f>
        <v>Term loan - A</v>
      </c>
      <c r="C158" s="38"/>
      <c r="D158" s="152"/>
      <c r="E158" s="416">
        <v>0</v>
      </c>
      <c r="F158" s="129">
        <f t="shared" si="79"/>
        <v>0</v>
      </c>
      <c r="G158" s="129">
        <f t="shared" si="79"/>
        <v>0</v>
      </c>
      <c r="H158" s="129">
        <f t="shared" si="79"/>
        <v>0</v>
      </c>
      <c r="I158" s="140"/>
      <c r="J158" s="129"/>
      <c r="K158" s="129">
        <f>K593</f>
        <v>3.7849999999999993</v>
      </c>
      <c r="L158" s="129">
        <f t="shared" ref="L158:T158" ca="1" si="82">L593</f>
        <v>0</v>
      </c>
      <c r="M158" s="129">
        <f t="shared" ca="1" si="82"/>
        <v>0</v>
      </c>
      <c r="N158" s="129">
        <f t="shared" ca="1" si="82"/>
        <v>0</v>
      </c>
      <c r="O158" s="129">
        <f t="shared" ca="1" si="82"/>
        <v>0</v>
      </c>
      <c r="P158" s="129">
        <f t="shared" ca="1" si="82"/>
        <v>0</v>
      </c>
      <c r="Q158" s="129">
        <f t="shared" ca="1" si="82"/>
        <v>0</v>
      </c>
      <c r="R158" s="129">
        <f t="shared" ca="1" si="82"/>
        <v>0</v>
      </c>
      <c r="S158" s="129">
        <f t="shared" ca="1" si="82"/>
        <v>0</v>
      </c>
      <c r="T158" s="129">
        <f t="shared" ca="1" si="82"/>
        <v>0</v>
      </c>
    </row>
    <row r="159" spans="2:20" s="35" customFormat="1" ht="13.5" customHeight="1" outlineLevel="1">
      <c r="B159" s="84" t="str">
        <f t="shared" si="81"/>
        <v>Term loan - B</v>
      </c>
      <c r="C159" s="38"/>
      <c r="D159" s="152"/>
      <c r="E159" s="416">
        <v>0</v>
      </c>
      <c r="F159" s="129">
        <f t="shared" si="79"/>
        <v>0</v>
      </c>
      <c r="G159" s="129">
        <f t="shared" si="79"/>
        <v>0</v>
      </c>
      <c r="H159" s="129">
        <f t="shared" si="79"/>
        <v>0</v>
      </c>
      <c r="I159" s="140"/>
      <c r="J159" s="129"/>
      <c r="K159" s="129">
        <f t="shared" ref="K159:T161" si="83">K594</f>
        <v>0</v>
      </c>
      <c r="L159" s="129">
        <f t="shared" ca="1" si="83"/>
        <v>0</v>
      </c>
      <c r="M159" s="129">
        <f t="shared" ca="1" si="83"/>
        <v>0</v>
      </c>
      <c r="N159" s="129">
        <f t="shared" ca="1" si="83"/>
        <v>0</v>
      </c>
      <c r="O159" s="129">
        <f t="shared" ca="1" si="83"/>
        <v>0</v>
      </c>
      <c r="P159" s="129">
        <f t="shared" ca="1" si="83"/>
        <v>0</v>
      </c>
      <c r="Q159" s="129">
        <f t="shared" ca="1" si="83"/>
        <v>0</v>
      </c>
      <c r="R159" s="129">
        <f t="shared" ca="1" si="83"/>
        <v>0</v>
      </c>
      <c r="S159" s="129">
        <f t="shared" ca="1" si="83"/>
        <v>0</v>
      </c>
      <c r="T159" s="129">
        <f t="shared" ca="1" si="83"/>
        <v>0</v>
      </c>
    </row>
    <row r="160" spans="2:20" s="35" customFormat="1" ht="13.5" customHeight="1" outlineLevel="1">
      <c r="B160" s="84" t="str">
        <f t="shared" si="81"/>
        <v>Senior note</v>
      </c>
      <c r="C160" s="38"/>
      <c r="D160" s="152"/>
      <c r="E160" s="416">
        <v>0</v>
      </c>
      <c r="F160" s="129">
        <f t="shared" si="79"/>
        <v>0</v>
      </c>
      <c r="G160" s="129">
        <f t="shared" si="79"/>
        <v>0</v>
      </c>
      <c r="H160" s="129">
        <f t="shared" si="79"/>
        <v>0</v>
      </c>
      <c r="I160" s="140"/>
      <c r="J160" s="129"/>
      <c r="K160" s="129">
        <f t="shared" si="83"/>
        <v>9.2799999999999994</v>
      </c>
      <c r="L160" s="129">
        <f t="shared" ca="1" si="83"/>
        <v>9.7155500000000004</v>
      </c>
      <c r="M160" s="129">
        <f t="shared" ca="1" si="83"/>
        <v>10.239725</v>
      </c>
      <c r="N160" s="129">
        <f t="shared" ca="1" si="83"/>
        <v>10.660400000000001</v>
      </c>
      <c r="O160" s="129">
        <f t="shared" ca="1" si="83"/>
        <v>11.073675000000001</v>
      </c>
      <c r="P160" s="129">
        <f t="shared" ca="1" si="83"/>
        <v>11.3315</v>
      </c>
      <c r="Q160" s="129">
        <f t="shared" ca="1" si="83"/>
        <v>11.480550000000001</v>
      </c>
      <c r="R160" s="129">
        <f t="shared" ca="1" si="83"/>
        <v>11.612350000000001</v>
      </c>
      <c r="S160" s="129">
        <f t="shared" ca="1" si="83"/>
        <v>0</v>
      </c>
      <c r="T160" s="129">
        <f t="shared" ca="1" si="83"/>
        <v>0</v>
      </c>
    </row>
    <row r="161" spans="2:20" s="35" customFormat="1" ht="13.5" customHeight="1" outlineLevel="1">
      <c r="B161" s="84" t="str">
        <f t="shared" si="81"/>
        <v>Subordinated note</v>
      </c>
      <c r="C161" s="38"/>
      <c r="D161" s="152"/>
      <c r="E161" s="416">
        <v>0</v>
      </c>
      <c r="F161" s="129">
        <f t="shared" si="79"/>
        <v>0</v>
      </c>
      <c r="G161" s="129">
        <f t="shared" si="79"/>
        <v>0</v>
      </c>
      <c r="H161" s="129">
        <f t="shared" si="79"/>
        <v>0</v>
      </c>
      <c r="I161" s="140"/>
      <c r="J161" s="129"/>
      <c r="K161" s="129">
        <f t="shared" si="83"/>
        <v>5.125</v>
      </c>
      <c r="L161" s="129">
        <f t="shared" ca="1" si="83"/>
        <v>5.125</v>
      </c>
      <c r="M161" s="129">
        <f t="shared" ca="1" si="83"/>
        <v>5.125</v>
      </c>
      <c r="N161" s="129">
        <f t="shared" ca="1" si="83"/>
        <v>5.125</v>
      </c>
      <c r="O161" s="129">
        <f t="shared" ca="1" si="83"/>
        <v>5.125</v>
      </c>
      <c r="P161" s="129">
        <f t="shared" ca="1" si="83"/>
        <v>5.125</v>
      </c>
      <c r="Q161" s="129">
        <f t="shared" ca="1" si="83"/>
        <v>0</v>
      </c>
      <c r="R161" s="129">
        <f t="shared" ca="1" si="83"/>
        <v>0</v>
      </c>
      <c r="S161" s="129">
        <f t="shared" ca="1" si="83"/>
        <v>0</v>
      </c>
      <c r="T161" s="129">
        <f t="shared" ca="1" si="83"/>
        <v>0</v>
      </c>
    </row>
    <row r="162" spans="2:20" s="35" customFormat="1" ht="13.5" customHeight="1" outlineLevel="1">
      <c r="B162" s="84" t="str">
        <f t="shared" si="81"/>
        <v>Mezzanine</v>
      </c>
      <c r="C162" s="38"/>
      <c r="D162" s="152"/>
      <c r="E162" s="416">
        <v>0</v>
      </c>
      <c r="F162" s="129">
        <f t="shared" si="79"/>
        <v>0</v>
      </c>
      <c r="G162" s="129">
        <f t="shared" si="79"/>
        <v>0</v>
      </c>
      <c r="H162" s="129">
        <f t="shared" si="79"/>
        <v>0</v>
      </c>
      <c r="I162" s="140"/>
      <c r="J162" s="129"/>
      <c r="K162" s="129">
        <f t="shared" ref="K162:T162" si="84">K597</f>
        <v>0</v>
      </c>
      <c r="L162" s="129">
        <f t="shared" ca="1" si="84"/>
        <v>0</v>
      </c>
      <c r="M162" s="129">
        <f t="shared" ca="1" si="84"/>
        <v>0</v>
      </c>
      <c r="N162" s="129">
        <f t="shared" ca="1" si="84"/>
        <v>0</v>
      </c>
      <c r="O162" s="129">
        <f t="shared" ca="1" si="84"/>
        <v>0</v>
      </c>
      <c r="P162" s="129">
        <f t="shared" ca="1" si="84"/>
        <v>0</v>
      </c>
      <c r="Q162" s="129">
        <f t="shared" ca="1" si="84"/>
        <v>0</v>
      </c>
      <c r="R162" s="129">
        <f t="shared" ca="1" si="84"/>
        <v>0</v>
      </c>
      <c r="S162" s="129">
        <f t="shared" ca="1" si="84"/>
        <v>0</v>
      </c>
      <c r="T162" s="129">
        <f t="shared" ca="1" si="84"/>
        <v>0</v>
      </c>
    </row>
    <row r="163" spans="2:20" s="35" customFormat="1" ht="13.5" customHeight="1" outlineLevel="1">
      <c r="B163" s="84" t="str">
        <f t="shared" si="81"/>
        <v>Seller note</v>
      </c>
      <c r="C163" s="38"/>
      <c r="D163" s="152"/>
      <c r="E163" s="416">
        <v>0</v>
      </c>
      <c r="F163" s="129">
        <f t="shared" si="79"/>
        <v>0</v>
      </c>
      <c r="G163" s="129">
        <f t="shared" si="79"/>
        <v>0</v>
      </c>
      <c r="H163" s="129">
        <f t="shared" si="79"/>
        <v>0</v>
      </c>
      <c r="I163" s="140"/>
      <c r="J163" s="129"/>
      <c r="K163" s="129">
        <f t="shared" ref="K163:T163" si="85">K598</f>
        <v>0</v>
      </c>
      <c r="L163" s="129">
        <f t="shared" ca="1" si="85"/>
        <v>0</v>
      </c>
      <c r="M163" s="129">
        <f t="shared" ca="1" si="85"/>
        <v>0</v>
      </c>
      <c r="N163" s="129">
        <f t="shared" ca="1" si="85"/>
        <v>0</v>
      </c>
      <c r="O163" s="129">
        <f t="shared" ca="1" si="85"/>
        <v>0</v>
      </c>
      <c r="P163" s="129">
        <f t="shared" ca="1" si="85"/>
        <v>0</v>
      </c>
      <c r="Q163" s="129">
        <f t="shared" ca="1" si="85"/>
        <v>0</v>
      </c>
      <c r="R163" s="129">
        <f t="shared" ca="1" si="85"/>
        <v>0</v>
      </c>
      <c r="S163" s="129">
        <f t="shared" ca="1" si="85"/>
        <v>0</v>
      </c>
      <c r="T163" s="129">
        <f t="shared" ca="1" si="85"/>
        <v>0</v>
      </c>
    </row>
    <row r="164" spans="2:20" s="35" customFormat="1" ht="13.5" customHeight="1" outlineLevel="1">
      <c r="B164" s="84" t="str">
        <f t="shared" si="81"/>
        <v>Convertible bond</v>
      </c>
      <c r="C164" s="38"/>
      <c r="D164" s="152"/>
      <c r="E164" s="416">
        <v>0</v>
      </c>
      <c r="F164" s="129">
        <f t="shared" ref="F164:H164" si="86">E164</f>
        <v>0</v>
      </c>
      <c r="G164" s="129">
        <f t="shared" si="86"/>
        <v>0</v>
      </c>
      <c r="H164" s="129">
        <f t="shared" si="86"/>
        <v>0</v>
      </c>
      <c r="I164" s="140"/>
      <c r="J164" s="129"/>
      <c r="K164" s="129">
        <f t="shared" ref="K164:T164" si="87">K599</f>
        <v>0</v>
      </c>
      <c r="L164" s="129">
        <f t="shared" ca="1" si="87"/>
        <v>0</v>
      </c>
      <c r="M164" s="129">
        <f t="shared" ca="1" si="87"/>
        <v>0</v>
      </c>
      <c r="N164" s="129">
        <f t="shared" ca="1" si="87"/>
        <v>0</v>
      </c>
      <c r="O164" s="129">
        <f t="shared" ca="1" si="87"/>
        <v>0</v>
      </c>
      <c r="P164" s="129">
        <f t="shared" ca="1" si="87"/>
        <v>0</v>
      </c>
      <c r="Q164" s="129">
        <f t="shared" ca="1" si="87"/>
        <v>0</v>
      </c>
      <c r="R164" s="129">
        <f t="shared" ca="1" si="87"/>
        <v>0</v>
      </c>
      <c r="S164" s="129">
        <f t="shared" ca="1" si="87"/>
        <v>0</v>
      </c>
      <c r="T164" s="129">
        <f t="shared" ca="1" si="87"/>
        <v>0</v>
      </c>
    </row>
    <row r="165" spans="2:20" s="35" customFormat="1" ht="13.5" customHeight="1" outlineLevel="1">
      <c r="B165" s="84" t="str">
        <f t="shared" si="81"/>
        <v>[Debt 8]</v>
      </c>
      <c r="C165" s="38"/>
      <c r="D165" s="152"/>
      <c r="E165" s="416">
        <v>0</v>
      </c>
      <c r="F165" s="129">
        <f t="shared" ref="F165:H165" si="88">E165</f>
        <v>0</v>
      </c>
      <c r="G165" s="129">
        <f t="shared" si="88"/>
        <v>0</v>
      </c>
      <c r="H165" s="129">
        <f t="shared" si="88"/>
        <v>0</v>
      </c>
      <c r="I165" s="140"/>
      <c r="J165" s="129"/>
      <c r="K165" s="129">
        <f t="shared" ref="K165:T165" si="89">K600</f>
        <v>0</v>
      </c>
      <c r="L165" s="129">
        <f ca="1">L600</f>
        <v>0</v>
      </c>
      <c r="M165" s="129">
        <f t="shared" ca="1" si="89"/>
        <v>0</v>
      </c>
      <c r="N165" s="129">
        <f t="shared" ca="1" si="89"/>
        <v>0</v>
      </c>
      <c r="O165" s="129">
        <f t="shared" ca="1" si="89"/>
        <v>0</v>
      </c>
      <c r="P165" s="129">
        <f t="shared" ca="1" si="89"/>
        <v>0</v>
      </c>
      <c r="Q165" s="129">
        <f t="shared" ca="1" si="89"/>
        <v>0</v>
      </c>
      <c r="R165" s="129">
        <f t="shared" ca="1" si="89"/>
        <v>0</v>
      </c>
      <c r="S165" s="129">
        <f t="shared" ca="1" si="89"/>
        <v>0</v>
      </c>
      <c r="T165" s="129">
        <f t="shared" ca="1" si="89"/>
        <v>0</v>
      </c>
    </row>
    <row r="166" spans="2:20" s="35" customFormat="1" ht="13.5" customHeight="1" outlineLevel="1">
      <c r="B166" s="52" t="s">
        <v>311</v>
      </c>
      <c r="C166" s="52"/>
      <c r="D166" s="153"/>
      <c r="E166" s="154">
        <f ca="1">SUM(E155:OFFSET(E166,-1,0))</f>
        <v>8.1999999999999993</v>
      </c>
      <c r="F166" s="154">
        <f ca="1">SUM(F155:OFFSET(F166,-1,0))</f>
        <v>8.1937499999999996</v>
      </c>
      <c r="G166" s="154">
        <f ca="1">SUM(G155:OFFSET(G166,-1,0))</f>
        <v>8.1937499999999996</v>
      </c>
      <c r="H166" s="154">
        <f ca="1">SUM(H155:OFFSET(H166,-1,0))</f>
        <v>8.1937499999999996</v>
      </c>
      <c r="I166" s="163"/>
      <c r="J166" s="154"/>
      <c r="K166" s="154">
        <f ca="1">SUM(K155:OFFSET(K166,-1,0))</f>
        <v>17.689999999999998</v>
      </c>
      <c r="L166" s="154">
        <f ca="1">SUM(L155:OFFSET(L166,-1,0))</f>
        <v>14.179539896097733</v>
      </c>
      <c r="M166" s="154">
        <f ca="1">SUM(M155:OFFSET(M166,-1,0))</f>
        <v>13.885563897175572</v>
      </c>
      <c r="N166" s="154">
        <f ca="1">SUM(N155:OFFSET(N166,-1,0))</f>
        <v>13.435857045120962</v>
      </c>
      <c r="O166" s="154">
        <f ca="1">SUM(O155:OFFSET(O166,-1,0))</f>
        <v>12.9224862041797</v>
      </c>
      <c r="P166" s="154">
        <f ca="1">SUM(P155:OFFSET(P166,-1,0))</f>
        <v>12.193785315675456</v>
      </c>
      <c r="Q166" s="154">
        <f ca="1">SUM(Q155:OFFSET(Q166,-1,0))</f>
        <v>6.7432546563040612</v>
      </c>
      <c r="R166" s="154">
        <f ca="1">SUM(R155:OFFSET(R166,-1,0))</f>
        <v>5.8015098019141442</v>
      </c>
      <c r="S166" s="154">
        <f ca="1">SUM(S155:OFFSET(S166,-1,0))</f>
        <v>-5.9503564976399073</v>
      </c>
      <c r="T166" s="154">
        <f ca="1">SUM(T155:OFFSET(T166,-1,0))</f>
        <v>-7.2376530438601367</v>
      </c>
    </row>
    <row r="167" spans="2:20" s="35" customFormat="1" ht="13.5" customHeight="1" outlineLevel="1">
      <c r="B167" s="62" t="s">
        <v>119</v>
      </c>
      <c r="D167" s="152"/>
      <c r="E167" s="416">
        <v>0</v>
      </c>
      <c r="F167" s="129">
        <f t="shared" ref="F167:H169" si="90">E167</f>
        <v>0</v>
      </c>
      <c r="G167" s="129">
        <f t="shared" si="90"/>
        <v>0</v>
      </c>
      <c r="H167" s="129">
        <f t="shared" si="90"/>
        <v>0</v>
      </c>
      <c r="I167" s="162"/>
      <c r="J167" s="129"/>
      <c r="K167" s="129">
        <f t="shared" ref="K167:T167" ca="1" si="91">K627</f>
        <v>1.0857142857142856</v>
      </c>
      <c r="L167" s="129">
        <f t="shared" ca="1" si="91"/>
        <v>1.0857142857142856</v>
      </c>
      <c r="M167" s="129">
        <f t="shared" ca="1" si="91"/>
        <v>1.0857142857142856</v>
      </c>
      <c r="N167" s="129">
        <f t="shared" ca="1" si="91"/>
        <v>1.0857142857142856</v>
      </c>
      <c r="O167" s="129">
        <f t="shared" ca="1" si="91"/>
        <v>1.0857142857142856</v>
      </c>
      <c r="P167" s="129">
        <f t="shared" ca="1" si="91"/>
        <v>0.5357142857142857</v>
      </c>
      <c r="Q167" s="129">
        <f t="shared" ca="1" si="91"/>
        <v>0.5357142857142857</v>
      </c>
      <c r="R167" s="129">
        <f t="shared" ca="1" si="91"/>
        <v>2.2204460492503131E-16</v>
      </c>
      <c r="S167" s="129">
        <f t="shared" ca="1" si="91"/>
        <v>0</v>
      </c>
      <c r="T167" s="129">
        <f t="shared" ca="1" si="91"/>
        <v>0</v>
      </c>
    </row>
    <row r="168" spans="2:20" s="35" customFormat="1" ht="13.5" customHeight="1" outlineLevel="1">
      <c r="B168" s="38" t="s">
        <v>315</v>
      </c>
      <c r="D168" s="152"/>
      <c r="E168" s="416">
        <v>0</v>
      </c>
      <c r="F168" s="129">
        <f>F375</f>
        <v>0</v>
      </c>
      <c r="G168" s="129">
        <f t="shared" ref="G168:H168" si="92">G375</f>
        <v>0</v>
      </c>
      <c r="H168" s="129">
        <f t="shared" si="92"/>
        <v>0</v>
      </c>
      <c r="I168" s="162"/>
      <c r="J168" s="129"/>
      <c r="K168" s="129">
        <f t="shared" ref="K168:T168" si="93">K375</f>
        <v>0</v>
      </c>
      <c r="L168" s="129">
        <f t="shared" si="93"/>
        <v>0</v>
      </c>
      <c r="M168" s="129">
        <f t="shared" si="93"/>
        <v>0</v>
      </c>
      <c r="N168" s="129">
        <f t="shared" si="93"/>
        <v>0</v>
      </c>
      <c r="O168" s="129">
        <f t="shared" si="93"/>
        <v>0</v>
      </c>
      <c r="P168" s="129">
        <f t="shared" si="93"/>
        <v>0</v>
      </c>
      <c r="Q168" s="129">
        <f t="shared" si="93"/>
        <v>0</v>
      </c>
      <c r="R168" s="129">
        <f t="shared" si="93"/>
        <v>0</v>
      </c>
      <c r="S168" s="129">
        <f t="shared" si="93"/>
        <v>0</v>
      </c>
      <c r="T168" s="129">
        <f t="shared" si="93"/>
        <v>0</v>
      </c>
    </row>
    <row r="169" spans="2:20" s="35" customFormat="1" ht="13.5" customHeight="1" outlineLevel="1">
      <c r="B169" s="62" t="s">
        <v>117</v>
      </c>
      <c r="D169" s="152"/>
      <c r="E169" s="416">
        <v>0</v>
      </c>
      <c r="F169" s="129">
        <f t="shared" si="90"/>
        <v>0</v>
      </c>
      <c r="G169" s="129">
        <f t="shared" si="90"/>
        <v>0</v>
      </c>
      <c r="H169" s="129">
        <f t="shared" si="90"/>
        <v>0</v>
      </c>
      <c r="I169" s="162"/>
      <c r="J169" s="129"/>
      <c r="K169" s="416">
        <v>0</v>
      </c>
      <c r="L169" s="158">
        <f>K169</f>
        <v>0</v>
      </c>
      <c r="M169" s="158">
        <f>L169</f>
        <v>0</v>
      </c>
      <c r="N169" s="158">
        <f t="shared" ref="N169:T169" si="94">M169</f>
        <v>0</v>
      </c>
      <c r="O169" s="158">
        <f t="shared" si="94"/>
        <v>0</v>
      </c>
      <c r="P169" s="158">
        <f t="shared" si="94"/>
        <v>0</v>
      </c>
      <c r="Q169" s="158">
        <f t="shared" si="94"/>
        <v>0</v>
      </c>
      <c r="R169" s="158">
        <f t="shared" si="94"/>
        <v>0</v>
      </c>
      <c r="S169" s="158">
        <f t="shared" si="94"/>
        <v>0</v>
      </c>
      <c r="T169" s="158">
        <f t="shared" si="94"/>
        <v>0</v>
      </c>
    </row>
    <row r="170" spans="2:20" s="61" customFormat="1" ht="13.5" customHeight="1" outlineLevel="1">
      <c r="B170" s="155" t="s">
        <v>118</v>
      </c>
      <c r="C170" s="155"/>
      <c r="D170" s="164"/>
      <c r="E170" s="165">
        <f ca="1">E153-SUM(E166:E167)+E168-E169</f>
        <v>12.900000000000002</v>
      </c>
      <c r="F170" s="165">
        <f t="shared" ref="F170:H170" ca="1" si="95">F153-SUM(F166:F167)+F168-F169</f>
        <v>13.606250000000001</v>
      </c>
      <c r="G170" s="165">
        <f t="shared" ca="1" si="95"/>
        <v>14.00625</v>
      </c>
      <c r="H170" s="165">
        <f t="shared" ca="1" si="95"/>
        <v>14.406250000000002</v>
      </c>
      <c r="I170" s="166"/>
      <c r="J170" s="165"/>
      <c r="K170" s="165">
        <f t="shared" ref="K170" ca="1" si="96">K153-SUM(K166:K167)+K168-K169</f>
        <v>81.224285714285713</v>
      </c>
      <c r="L170" s="165">
        <f t="shared" ref="L170" ca="1" si="97">L153-SUM(L166:L167)+L168-L169</f>
        <v>66.70417462358995</v>
      </c>
      <c r="M170" s="165">
        <f t="shared" ref="M170" ca="1" si="98">M153-SUM(M166:M167)+M168-M169</f>
        <v>73.361909596348141</v>
      </c>
      <c r="N170" s="165">
        <f t="shared" ref="N170" ca="1" si="99">N153-SUM(N166:N167)+N168-N169</f>
        <v>80.557414536443005</v>
      </c>
      <c r="O170" s="165">
        <f t="shared" ref="O170" ca="1" si="100">O153-SUM(O166:O167)+O168-O169</f>
        <v>88.221557748195309</v>
      </c>
      <c r="P170" s="165">
        <f t="shared" ref="P170" ca="1" si="101">P153-SUM(P166:P167)+P168-P169</f>
        <v>118.97138751650753</v>
      </c>
      <c r="Q170" s="165">
        <f t="shared" ref="Q170" ca="1" si="102">Q153-SUM(Q166:Q167)+Q168-Q169</f>
        <v>132.45703479632058</v>
      </c>
      <c r="R170" s="165">
        <f t="shared" ref="R170" ca="1" si="103">R153-SUM(R166:R167)+R168-R169</f>
        <v>144.59484436559384</v>
      </c>
      <c r="S170" s="165">
        <f t="shared" ref="S170" ca="1" si="104">S153-SUM(S166:S167)+S168-S169</f>
        <v>165.37553940645131</v>
      </c>
      <c r="T170" s="165">
        <f t="shared" ref="T170" ca="1" si="105">T153-SUM(T166:T167)+T168-T169</f>
        <v>176.2336974373286</v>
      </c>
    </row>
    <row r="171" spans="2:20" s="35" customFormat="1" ht="13.5" customHeight="1" outlineLevel="1">
      <c r="B171" s="38" t="s">
        <v>312</v>
      </c>
      <c r="C171" s="38"/>
      <c r="D171" s="152"/>
      <c r="E171" s="414">
        <v>4.5149999999999997</v>
      </c>
      <c r="F171" s="129">
        <f ca="1">F170*F209-F385</f>
        <v>4.762228318750001</v>
      </c>
      <c r="G171" s="129">
        <f ca="1">G170*G209-G385</f>
        <v>4.9022295187500005</v>
      </c>
      <c r="H171" s="129">
        <f ca="1">H170*H209-H385</f>
        <v>5.0422307187500017</v>
      </c>
      <c r="I171" s="162"/>
      <c r="J171" s="129"/>
      <c r="K171" s="129">
        <f t="shared" ref="K171:T171" ca="1" si="106">K170*K209-K385</f>
        <v>28.428743672857149</v>
      </c>
      <c r="L171" s="129">
        <f t="shared" ca="1" si="106"/>
        <v>23.346661230780356</v>
      </c>
      <c r="M171" s="129">
        <f t="shared" ca="1" si="106"/>
        <v>25.676888444450643</v>
      </c>
      <c r="N171" s="129">
        <f t="shared" ca="1" si="106"/>
        <v>28.195336759998668</v>
      </c>
      <c r="O171" s="129">
        <f t="shared" ca="1" si="106"/>
        <v>30.877809876541608</v>
      </c>
      <c r="P171" s="129">
        <f t="shared" ca="1" si="106"/>
        <v>41.640342544940196</v>
      </c>
      <c r="Q171" s="129">
        <f t="shared" ca="1" si="106"/>
        <v>46.3603595498166</v>
      </c>
      <c r="R171" s="129">
        <f t="shared" ca="1" si="106"/>
        <v>50.608629312490955</v>
      </c>
      <c r="S171" s="129">
        <f t="shared" ca="1" si="106"/>
        <v>57.88193491887619</v>
      </c>
      <c r="T171" s="129">
        <f t="shared" ca="1" si="106"/>
        <v>61.68232280415733</v>
      </c>
    </row>
    <row r="172" spans="2:20" s="61" customFormat="1" ht="13.5" customHeight="1" outlineLevel="1">
      <c r="B172" s="155" t="s">
        <v>252</v>
      </c>
      <c r="C172" s="155"/>
      <c r="D172" s="164"/>
      <c r="E172" s="165">
        <f ca="1">E170-E171</f>
        <v>8.3850000000000016</v>
      </c>
      <c r="F172" s="165">
        <f t="shared" ref="F172:H172" ca="1" si="107">F170-F171</f>
        <v>8.8440216812500001</v>
      </c>
      <c r="G172" s="165">
        <f t="shared" ca="1" si="107"/>
        <v>9.1040204812500001</v>
      </c>
      <c r="H172" s="165">
        <f t="shared" ca="1" si="107"/>
        <v>9.36401928125</v>
      </c>
      <c r="I172" s="166"/>
      <c r="J172" s="165"/>
      <c r="K172" s="165">
        <f t="shared" ref="K172:T172" ca="1" si="108">K170-K171</f>
        <v>52.795542041428561</v>
      </c>
      <c r="L172" s="165">
        <f t="shared" ca="1" si="108"/>
        <v>43.357513392809594</v>
      </c>
      <c r="M172" s="165">
        <f t="shared" ca="1" si="108"/>
        <v>47.685021151897502</v>
      </c>
      <c r="N172" s="165">
        <f t="shared" ca="1" si="108"/>
        <v>52.362077776444337</v>
      </c>
      <c r="O172" s="165">
        <f t="shared" ca="1" si="108"/>
        <v>57.343747871653704</v>
      </c>
      <c r="P172" s="165">
        <f t="shared" ca="1" si="108"/>
        <v>77.331044971567337</v>
      </c>
      <c r="Q172" s="165">
        <f t="shared" ca="1" si="108"/>
        <v>86.096675246503992</v>
      </c>
      <c r="R172" s="165">
        <f t="shared" ca="1" si="108"/>
        <v>93.986215053102882</v>
      </c>
      <c r="S172" s="165">
        <f t="shared" ca="1" si="108"/>
        <v>107.49360448757511</v>
      </c>
      <c r="T172" s="165">
        <f t="shared" ca="1" si="108"/>
        <v>114.55137463317126</v>
      </c>
    </row>
    <row r="173" spans="2:20" s="35" customFormat="1" ht="13.5" customHeight="1" outlineLevel="1">
      <c r="B173" s="38" t="str">
        <f>B24&amp;" dividend"</f>
        <v>Preferred stock - A dividend</v>
      </c>
      <c r="C173" s="38"/>
      <c r="D173" s="152"/>
      <c r="E173" s="416">
        <v>0</v>
      </c>
      <c r="F173" s="129">
        <f t="shared" ref="F173:H175" si="109">E173</f>
        <v>0</v>
      </c>
      <c r="G173" s="129">
        <f t="shared" si="109"/>
        <v>0</v>
      </c>
      <c r="H173" s="129">
        <f t="shared" si="109"/>
        <v>0</v>
      </c>
      <c r="I173" s="140"/>
      <c r="J173" s="129"/>
      <c r="K173" s="129">
        <f>K601</f>
        <v>1.2</v>
      </c>
      <c r="L173" s="129">
        <f t="shared" ref="L173:T174" ca="1" si="110">L601</f>
        <v>1.2</v>
      </c>
      <c r="M173" s="129">
        <f t="shared" ca="1" si="110"/>
        <v>1.2</v>
      </c>
      <c r="N173" s="129">
        <f t="shared" ca="1" si="110"/>
        <v>1.2</v>
      </c>
      <c r="O173" s="129">
        <f t="shared" ca="1" si="110"/>
        <v>1.2</v>
      </c>
      <c r="P173" s="129">
        <f t="shared" ca="1" si="110"/>
        <v>1.2</v>
      </c>
      <c r="Q173" s="129">
        <f t="shared" ca="1" si="110"/>
        <v>1.2</v>
      </c>
      <c r="R173" s="129">
        <f t="shared" ca="1" si="110"/>
        <v>1.2</v>
      </c>
      <c r="S173" s="129">
        <f t="shared" ca="1" si="110"/>
        <v>1.2</v>
      </c>
      <c r="T173" s="129">
        <f t="shared" ca="1" si="110"/>
        <v>1.2</v>
      </c>
    </row>
    <row r="174" spans="2:20" s="35" customFormat="1" ht="13.5" customHeight="1" outlineLevel="1">
      <c r="B174" s="38" t="str">
        <f>B25&amp;" dividend"</f>
        <v>Preferred stock - B dividend</v>
      </c>
      <c r="C174" s="38"/>
      <c r="D174" s="152"/>
      <c r="E174" s="416">
        <v>0</v>
      </c>
      <c r="F174" s="129">
        <f t="shared" si="109"/>
        <v>0</v>
      </c>
      <c r="G174" s="129">
        <f t="shared" si="109"/>
        <v>0</v>
      </c>
      <c r="H174" s="129">
        <f t="shared" si="109"/>
        <v>0</v>
      </c>
      <c r="I174" s="140"/>
      <c r="J174" s="129"/>
      <c r="K174" s="129">
        <f>K602</f>
        <v>0</v>
      </c>
      <c r="L174" s="129">
        <f t="shared" ca="1" si="110"/>
        <v>0</v>
      </c>
      <c r="M174" s="129">
        <f t="shared" ca="1" si="110"/>
        <v>0</v>
      </c>
      <c r="N174" s="129">
        <f t="shared" ca="1" si="110"/>
        <v>0</v>
      </c>
      <c r="O174" s="129">
        <f t="shared" ca="1" si="110"/>
        <v>0</v>
      </c>
      <c r="P174" s="129">
        <f t="shared" ca="1" si="110"/>
        <v>0</v>
      </c>
      <c r="Q174" s="129">
        <f t="shared" ca="1" si="110"/>
        <v>0</v>
      </c>
      <c r="R174" s="129">
        <f t="shared" ca="1" si="110"/>
        <v>0</v>
      </c>
      <c r="S174" s="129">
        <f t="shared" ca="1" si="110"/>
        <v>0</v>
      </c>
      <c r="T174" s="129">
        <f t="shared" ca="1" si="110"/>
        <v>0</v>
      </c>
    </row>
    <row r="175" spans="2:20" s="35" customFormat="1" ht="13.5" customHeight="1" outlineLevel="1">
      <c r="B175" s="38" t="s">
        <v>133</v>
      </c>
      <c r="C175" s="38"/>
      <c r="D175" s="152"/>
      <c r="E175" s="416">
        <v>0</v>
      </c>
      <c r="F175" s="129">
        <f t="shared" si="109"/>
        <v>0</v>
      </c>
      <c r="G175" s="129">
        <f t="shared" si="109"/>
        <v>0</v>
      </c>
      <c r="H175" s="129">
        <f t="shared" si="109"/>
        <v>0</v>
      </c>
      <c r="I175" s="140"/>
      <c r="J175" s="129"/>
      <c r="K175" s="414">
        <v>0</v>
      </c>
      <c r="L175" s="158">
        <f>K175</f>
        <v>0</v>
      </c>
      <c r="M175" s="158">
        <f t="shared" ref="M175:T175" si="111">L175</f>
        <v>0</v>
      </c>
      <c r="N175" s="158">
        <f t="shared" si="111"/>
        <v>0</v>
      </c>
      <c r="O175" s="158">
        <f t="shared" si="111"/>
        <v>0</v>
      </c>
      <c r="P175" s="158">
        <f t="shared" si="111"/>
        <v>0</v>
      </c>
      <c r="Q175" s="158">
        <f t="shared" si="111"/>
        <v>0</v>
      </c>
      <c r="R175" s="158">
        <f t="shared" si="111"/>
        <v>0</v>
      </c>
      <c r="S175" s="158">
        <f t="shared" si="111"/>
        <v>0</v>
      </c>
      <c r="T175" s="158">
        <f t="shared" si="111"/>
        <v>0</v>
      </c>
    </row>
    <row r="176" spans="2:20" s="61" customFormat="1" ht="13.5" customHeight="1" outlineLevel="1">
      <c r="B176" s="95" t="s">
        <v>386</v>
      </c>
      <c r="C176" s="95"/>
      <c r="D176" s="167"/>
      <c r="E176" s="168">
        <f ca="1">E172-SUM(E173:E175)</f>
        <v>8.3850000000000016</v>
      </c>
      <c r="F176" s="168">
        <f ca="1">F172-SUM(F173:F175)</f>
        <v>8.8440216812500001</v>
      </c>
      <c r="G176" s="168">
        <f ca="1">G172-SUM(G173:G175)</f>
        <v>9.1040204812500001</v>
      </c>
      <c r="H176" s="168">
        <f ca="1">H172-SUM(H173:H175)</f>
        <v>9.36401928125</v>
      </c>
      <c r="I176" s="169"/>
      <c r="J176" s="170"/>
      <c r="K176" s="168">
        <f t="shared" ref="K176:T176" ca="1" si="112">K172-SUM(K173:K175)</f>
        <v>51.595542041428558</v>
      </c>
      <c r="L176" s="168">
        <f t="shared" ca="1" si="112"/>
        <v>42.157513392809591</v>
      </c>
      <c r="M176" s="168">
        <f t="shared" ca="1" si="112"/>
        <v>46.485021151897499</v>
      </c>
      <c r="N176" s="168">
        <f t="shared" ca="1" si="112"/>
        <v>51.162077776444335</v>
      </c>
      <c r="O176" s="168">
        <f t="shared" ca="1" si="112"/>
        <v>56.143747871653702</v>
      </c>
      <c r="P176" s="168">
        <f t="shared" ca="1" si="112"/>
        <v>76.131044971567334</v>
      </c>
      <c r="Q176" s="168">
        <f t="shared" ca="1" si="112"/>
        <v>84.896675246503989</v>
      </c>
      <c r="R176" s="168">
        <f t="shared" ca="1" si="112"/>
        <v>92.786215053102879</v>
      </c>
      <c r="S176" s="168">
        <f t="shared" ca="1" si="112"/>
        <v>106.29360448757511</v>
      </c>
      <c r="T176" s="168">
        <f t="shared" ca="1" si="112"/>
        <v>113.35137463317126</v>
      </c>
    </row>
    <row r="177" spans="2:20" s="35" customFormat="1" ht="14.4" outlineLevel="1">
      <c r="E177" s="162"/>
      <c r="F177" s="162"/>
      <c r="G177" s="162"/>
      <c r="H177" s="162"/>
      <c r="I177" s="162"/>
      <c r="J177" s="162"/>
      <c r="K177" s="162"/>
      <c r="L177" s="162"/>
      <c r="M177" s="162"/>
      <c r="N177" s="162"/>
      <c r="O177" s="162"/>
      <c r="P177" s="162"/>
      <c r="Q177" s="162"/>
      <c r="R177" s="162"/>
      <c r="S177" s="162"/>
      <c r="T177" s="162"/>
    </row>
    <row r="178" spans="2:20" ht="13.5" customHeight="1" outlineLevel="1">
      <c r="B178" s="38" t="s">
        <v>516</v>
      </c>
      <c r="D178" s="71"/>
      <c r="E178" s="171">
        <f ca="1">IF(scenario=1,E176/E817,E178)</f>
        <v>0.23942636294971506</v>
      </c>
      <c r="F178" s="171">
        <f ca="1">IF(scenario=1,F176/F817,F178)</f>
        <v>0.25253332677282186</v>
      </c>
      <c r="G178" s="171">
        <f ca="1">IF(scenario=1,G176/G817,G178)</f>
        <v>0.2599573657776269</v>
      </c>
      <c r="H178" s="171">
        <f ca="1">IF(scenario=1,H176/H817,H178)</f>
        <v>0.26738140478243194</v>
      </c>
      <c r="I178" s="140"/>
      <c r="J178" s="140"/>
      <c r="K178" s="171">
        <f t="shared" ref="K178:T178" ca="1" si="113">IF(scenario=1,K176/K817,K178)</f>
        <v>0.70918434336110825</v>
      </c>
      <c r="L178" s="171">
        <f t="shared" ca="1" si="113"/>
        <v>0.93922153077256876</v>
      </c>
      <c r="M178" s="171">
        <f t="shared" ca="1" si="113"/>
        <v>1.0279630005873808</v>
      </c>
      <c r="N178" s="171">
        <f t="shared" ca="1" si="113"/>
        <v>1.0530015824273418</v>
      </c>
      <c r="O178" s="171">
        <f t="shared" ca="1" si="113"/>
        <v>1.0785357260776369</v>
      </c>
      <c r="P178" s="171">
        <f t="shared" ca="1" si="113"/>
        <v>1.6700245420531401</v>
      </c>
      <c r="Q178" s="171">
        <f t="shared" ca="1" si="113"/>
        <v>1.6999102905078411</v>
      </c>
      <c r="R178" s="171">
        <f t="shared" ca="1" si="113"/>
        <v>1.7301630686741927</v>
      </c>
      <c r="S178" s="171">
        <f t="shared" ca="1" si="113"/>
        <v>1.7607868045246877</v>
      </c>
      <c r="T178" s="171">
        <f t="shared" ca="1" si="113"/>
        <v>1.7917854653310405</v>
      </c>
    </row>
    <row r="179" spans="2:20" ht="13.5" customHeight="1" outlineLevel="1">
      <c r="B179" s="38" t="s">
        <v>517</v>
      </c>
      <c r="E179" s="404" t="s">
        <v>1</v>
      </c>
      <c r="F179" s="404" t="s">
        <v>1</v>
      </c>
      <c r="G179" s="404" t="s">
        <v>1</v>
      </c>
      <c r="H179" s="404" t="s">
        <v>1</v>
      </c>
      <c r="I179" s="140"/>
      <c r="J179" s="140"/>
      <c r="K179" s="172" t="str">
        <f t="shared" ref="K179:T179" si="114">IF(LBO,"NM",K176/K817)</f>
        <v>NM</v>
      </c>
      <c r="L179" s="172" t="str">
        <f t="shared" si="114"/>
        <v>NM</v>
      </c>
      <c r="M179" s="172" t="str">
        <f t="shared" si="114"/>
        <v>NM</v>
      </c>
      <c r="N179" s="172" t="str">
        <f t="shared" si="114"/>
        <v>NM</v>
      </c>
      <c r="O179" s="172" t="str">
        <f t="shared" si="114"/>
        <v>NM</v>
      </c>
      <c r="P179" s="172" t="str">
        <f t="shared" si="114"/>
        <v>NM</v>
      </c>
      <c r="Q179" s="172" t="str">
        <f t="shared" si="114"/>
        <v>NM</v>
      </c>
      <c r="R179" s="172" t="str">
        <f t="shared" si="114"/>
        <v>NM</v>
      </c>
      <c r="S179" s="172" t="str">
        <f t="shared" si="114"/>
        <v>NM</v>
      </c>
      <c r="T179" s="172" t="str">
        <f t="shared" si="114"/>
        <v>NM</v>
      </c>
    </row>
    <row r="180" spans="2:20" ht="13.5" customHeight="1" outlineLevel="1">
      <c r="E180" s="140"/>
      <c r="F180" s="140"/>
      <c r="G180" s="140"/>
      <c r="H180" s="140"/>
      <c r="I180" s="140"/>
      <c r="J180" s="140"/>
      <c r="K180" s="173"/>
      <c r="L180" s="173"/>
      <c r="M180" s="173"/>
      <c r="N180" s="173"/>
      <c r="O180" s="173"/>
      <c r="P180" s="173"/>
      <c r="Q180" s="173"/>
      <c r="R180" s="173"/>
      <c r="S180" s="173"/>
      <c r="T180" s="173"/>
    </row>
    <row r="181" spans="2:20" s="78" customFormat="1" ht="13.5" customHeight="1" outlineLevel="1">
      <c r="B181" s="174" t="s">
        <v>184</v>
      </c>
      <c r="C181" s="174"/>
      <c r="D181" s="174"/>
      <c r="E181" s="438" t="s">
        <v>1</v>
      </c>
      <c r="F181" s="438" t="s">
        <v>1</v>
      </c>
      <c r="G181" s="438" t="s">
        <v>1</v>
      </c>
      <c r="H181" s="438" t="s">
        <v>1</v>
      </c>
      <c r="I181" s="175"/>
      <c r="J181" s="175"/>
      <c r="K181" s="176" t="str">
        <f>IF(LBO,"NM",K179-K178)</f>
        <v>NM</v>
      </c>
      <c r="L181" s="176" t="str">
        <f>IF(LBO,"NM",L179-L178)</f>
        <v>NM</v>
      </c>
      <c r="M181" s="176" t="str">
        <f>IF(LBO,"NM",M179-M178)</f>
        <v>NM</v>
      </c>
      <c r="N181" s="176" t="str">
        <f>IF(LBO,"NM",N179-N178)</f>
        <v>NM</v>
      </c>
      <c r="O181" s="176" t="str">
        <f>IF(LBO,"NM",O179-O178)</f>
        <v>NM</v>
      </c>
      <c r="P181" s="438" t="s">
        <v>1</v>
      </c>
      <c r="Q181" s="438" t="s">
        <v>1</v>
      </c>
      <c r="R181" s="438" t="s">
        <v>1</v>
      </c>
      <c r="S181" s="438" t="s">
        <v>1</v>
      </c>
      <c r="T181" s="438" t="s">
        <v>1</v>
      </c>
    </row>
    <row r="182" spans="2:20" s="78" customFormat="1" ht="13.5" customHeight="1" outlineLevel="1">
      <c r="B182" s="174" t="s">
        <v>185</v>
      </c>
      <c r="C182" s="174"/>
      <c r="D182" s="174"/>
      <c r="E182" s="439" t="s">
        <v>1</v>
      </c>
      <c r="F182" s="439" t="s">
        <v>1</v>
      </c>
      <c r="G182" s="439" t="s">
        <v>1</v>
      </c>
      <c r="H182" s="439" t="s">
        <v>1</v>
      </c>
      <c r="I182" s="175"/>
      <c r="J182" s="175"/>
      <c r="K182" s="177" t="str">
        <f>IF(LBO,"NM",(K179-K178)/K178)</f>
        <v>NM</v>
      </c>
      <c r="L182" s="177" t="str">
        <f>IF(LBO,"NM",(L179-L178)/L178)</f>
        <v>NM</v>
      </c>
      <c r="M182" s="177" t="str">
        <f>IF(LBO,"NM",(M179-M178)/M178)</f>
        <v>NM</v>
      </c>
      <c r="N182" s="177" t="str">
        <f>IF(LBO,"NM",(N179-N178)/N178)</f>
        <v>NM</v>
      </c>
      <c r="O182" s="177" t="str">
        <f>IF(LBO,"NM",(O179-O178)/O178)</f>
        <v>NM</v>
      </c>
      <c r="P182" s="439" t="s">
        <v>1</v>
      </c>
      <c r="Q182" s="439" t="s">
        <v>1</v>
      </c>
      <c r="R182" s="439" t="s">
        <v>1</v>
      </c>
      <c r="S182" s="439" t="s">
        <v>1</v>
      </c>
      <c r="T182" s="439" t="s">
        <v>1</v>
      </c>
    </row>
    <row r="183" spans="2:20" ht="14.4" outlineLevel="1">
      <c r="E183" s="140"/>
      <c r="F183" s="140"/>
      <c r="G183" s="140"/>
      <c r="H183" s="140"/>
      <c r="I183" s="140"/>
      <c r="J183" s="140"/>
      <c r="K183" s="140"/>
      <c r="L183" s="140"/>
      <c r="M183" s="140"/>
      <c r="N183" s="140"/>
      <c r="O183" s="140"/>
      <c r="P183" s="140"/>
      <c r="Q183" s="140"/>
      <c r="R183" s="140"/>
      <c r="S183" s="140"/>
      <c r="T183" s="140"/>
    </row>
    <row r="184" spans="2:20" ht="13.5" customHeight="1" outlineLevel="1">
      <c r="B184" s="38" t="s">
        <v>147</v>
      </c>
      <c r="E184" s="417">
        <v>5</v>
      </c>
      <c r="F184" s="417">
        <v>5.1267572633552021</v>
      </c>
      <c r="G184" s="417">
        <v>5.1874414245548266</v>
      </c>
      <c r="H184" s="417">
        <v>5.2577319587628866</v>
      </c>
      <c r="I184" s="140"/>
      <c r="J184" s="140"/>
      <c r="K184" s="417">
        <v>21.8</v>
      </c>
      <c r="L184" s="178">
        <f t="shared" ref="L184:T184" si="115">L197*L144</f>
        <v>23.108731635483615</v>
      </c>
      <c r="M184" s="178">
        <f t="shared" si="115"/>
        <v>24.496031091779866</v>
      </c>
      <c r="N184" s="178">
        <f t="shared" si="115"/>
        <v>25.966615074972641</v>
      </c>
      <c r="O184" s="178">
        <f t="shared" si="115"/>
        <v>27.525483451809443</v>
      </c>
      <c r="P184" s="178">
        <f t="shared" si="115"/>
        <v>29.177936248844475</v>
      </c>
      <c r="Q184" s="178">
        <f t="shared" si="115"/>
        <v>30.929591672100749</v>
      </c>
      <c r="R184" s="178">
        <f t="shared" si="115"/>
        <v>32.786405208516747</v>
      </c>
      <c r="S184" s="178">
        <f t="shared" si="115"/>
        <v>34.754689874120892</v>
      </c>
      <c r="T184" s="178">
        <f t="shared" si="115"/>
        <v>36.841137677776118</v>
      </c>
    </row>
    <row r="185" spans="2:20" s="35" customFormat="1" ht="13.5" customHeight="1" outlineLevel="1">
      <c r="B185" s="38" t="s">
        <v>345</v>
      </c>
      <c r="C185" s="38"/>
      <c r="D185" s="152"/>
      <c r="E185" s="418">
        <v>0.05</v>
      </c>
      <c r="F185" s="179">
        <f>$E185</f>
        <v>0.05</v>
      </c>
      <c r="G185" s="179">
        <f t="shared" ref="G185:H185" si="116">$E185</f>
        <v>0.05</v>
      </c>
      <c r="H185" s="179">
        <f t="shared" si="116"/>
        <v>0.05</v>
      </c>
      <c r="I185" s="140"/>
      <c r="J185" s="180"/>
      <c r="K185" s="179">
        <f t="shared" ref="K185:T185" si="117">IF(LBO,0,$E185)</f>
        <v>0</v>
      </c>
      <c r="L185" s="179">
        <f t="shared" si="117"/>
        <v>0</v>
      </c>
      <c r="M185" s="179">
        <f t="shared" si="117"/>
        <v>0</v>
      </c>
      <c r="N185" s="179">
        <f t="shared" si="117"/>
        <v>0</v>
      </c>
      <c r="O185" s="179">
        <f t="shared" si="117"/>
        <v>0</v>
      </c>
      <c r="P185" s="179">
        <f t="shared" si="117"/>
        <v>0</v>
      </c>
      <c r="Q185" s="179">
        <f t="shared" si="117"/>
        <v>0</v>
      </c>
      <c r="R185" s="179">
        <f t="shared" si="117"/>
        <v>0</v>
      </c>
      <c r="S185" s="179">
        <f t="shared" si="117"/>
        <v>0</v>
      </c>
      <c r="T185" s="179">
        <f t="shared" si="117"/>
        <v>0</v>
      </c>
    </row>
    <row r="186" spans="2:20" ht="13.5" customHeight="1" outlineLevel="1"/>
    <row r="187" spans="2:20" s="35" customFormat="1" ht="13.5" customHeight="1" outlineLevel="1">
      <c r="B187" s="46" t="s">
        <v>494</v>
      </c>
      <c r="C187" s="47"/>
      <c r="D187" s="47"/>
      <c r="E187" s="47"/>
      <c r="F187" s="47"/>
      <c r="G187" s="47"/>
      <c r="H187" s="47"/>
      <c r="I187" s="47"/>
      <c r="J187" s="47"/>
      <c r="K187" s="47"/>
      <c r="L187" s="47"/>
      <c r="M187" s="47"/>
      <c r="N187" s="47"/>
      <c r="O187" s="47"/>
      <c r="P187" s="47"/>
      <c r="Q187" s="47"/>
      <c r="R187" s="47"/>
      <c r="S187" s="47"/>
      <c r="T187" s="48"/>
    </row>
    <row r="188" spans="2:20" ht="5.0999999999999996" customHeight="1" outlineLevel="1">
      <c r="I188" s="181"/>
    </row>
    <row r="189" spans="2:20" s="78" customFormat="1" ht="13.5" customHeight="1" outlineLevel="1">
      <c r="B189" s="38" t="s">
        <v>108</v>
      </c>
      <c r="C189" s="38"/>
      <c r="D189" s="38"/>
      <c r="E189" s="402">
        <f>(E144/105.6-1)*4</f>
        <v>4.1666666666666963E-2</v>
      </c>
      <c r="F189" s="55">
        <f>(F144/E144-1)*4</f>
        <v>6.3917525773195649E-2</v>
      </c>
      <c r="G189" s="55">
        <f t="shared" ref="G189:H189" si="118">(G144/F144-1)*4</f>
        <v>8.4682440846824747E-2</v>
      </c>
      <c r="H189" s="55">
        <f t="shared" si="118"/>
        <v>5.4200542005419905E-2</v>
      </c>
      <c r="I189" s="182"/>
      <c r="J189" s="182"/>
      <c r="K189" s="183">
        <f>K144/SUM(E144:H144)-1</f>
        <v>6.0033561260716128E-2</v>
      </c>
      <c r="L189" s="55">
        <f>K189</f>
        <v>6.0033561260716128E-2</v>
      </c>
      <c r="M189" s="55">
        <f t="shared" ref="M189:T189" si="119">L189</f>
        <v>6.0033561260716128E-2</v>
      </c>
      <c r="N189" s="55">
        <f t="shared" si="119"/>
        <v>6.0033561260716128E-2</v>
      </c>
      <c r="O189" s="55">
        <f t="shared" si="119"/>
        <v>6.0033561260716128E-2</v>
      </c>
      <c r="P189" s="55">
        <f t="shared" si="119"/>
        <v>6.0033561260716128E-2</v>
      </c>
      <c r="Q189" s="55">
        <f t="shared" si="119"/>
        <v>6.0033561260716128E-2</v>
      </c>
      <c r="R189" s="55">
        <f t="shared" si="119"/>
        <v>6.0033561260716128E-2</v>
      </c>
      <c r="S189" s="55">
        <f t="shared" si="119"/>
        <v>6.0033561260716128E-2</v>
      </c>
      <c r="T189" s="55">
        <f t="shared" si="119"/>
        <v>6.0033561260716128E-2</v>
      </c>
    </row>
    <row r="190" spans="2:20" s="78" customFormat="1" ht="13.5" customHeight="1" outlineLevel="1">
      <c r="B190" s="38" t="s">
        <v>493</v>
      </c>
      <c r="C190" s="38"/>
      <c r="D190" s="38"/>
      <c r="E190" s="51"/>
      <c r="F190" s="55">
        <f ca="1">(F176/E176-1)*4</f>
        <v>0.21897277579010055</v>
      </c>
      <c r="G190" s="55">
        <f t="shared" ref="G190:H190" ca="1" si="120">(G176/F176-1)*4</f>
        <v>0.11759301791456167</v>
      </c>
      <c r="H190" s="55">
        <f t="shared" ca="1" si="120"/>
        <v>0.11423471664435514</v>
      </c>
      <c r="I190" s="182"/>
      <c r="J190" s="182"/>
      <c r="K190" s="55"/>
      <c r="L190" s="55">
        <f ca="1">L176/K176-1</f>
        <v>-0.18292333552849815</v>
      </c>
      <c r="M190" s="55">
        <f ca="1">M176/L176-1</f>
        <v>0.10265092532298192</v>
      </c>
      <c r="N190" s="55">
        <f t="shared" ref="N190:T190" ca="1" si="121">N176/M176-1</f>
        <v>0.10061427334331596</v>
      </c>
      <c r="O190" s="55">
        <f t="shared" ca="1" si="121"/>
        <v>9.7370363200983912E-2</v>
      </c>
      <c r="P190" s="55">
        <f t="shared" ca="1" si="121"/>
        <v>0.35600218826867769</v>
      </c>
      <c r="Q190" s="55">
        <f t="shared" ca="1" si="121"/>
        <v>0.11513870955285532</v>
      </c>
      <c r="R190" s="55">
        <f t="shared" ca="1" si="121"/>
        <v>9.2931081031041751E-2</v>
      </c>
      <c r="S190" s="55">
        <f t="shared" ca="1" si="121"/>
        <v>0.1455753899083152</v>
      </c>
      <c r="T190" s="55">
        <f t="shared" ca="1" si="121"/>
        <v>6.6398822202149876E-2</v>
      </c>
    </row>
    <row r="191" spans="2:20" s="78" customFormat="1" ht="13.5" customHeight="1" outlineLevel="1">
      <c r="B191" s="38"/>
      <c r="C191" s="38"/>
      <c r="D191" s="38"/>
      <c r="E191" s="184"/>
      <c r="F191" s="58"/>
      <c r="G191" s="58"/>
      <c r="H191" s="58"/>
      <c r="I191" s="182"/>
      <c r="J191" s="182"/>
      <c r="K191" s="58"/>
      <c r="L191" s="58"/>
      <c r="M191" s="58"/>
      <c r="N191" s="58"/>
      <c r="O191" s="58"/>
      <c r="P191" s="58"/>
      <c r="Q191" s="58"/>
      <c r="R191" s="58"/>
      <c r="S191" s="58"/>
      <c r="T191" s="58"/>
    </row>
    <row r="192" spans="2:20" s="78" customFormat="1" ht="13.5" customHeight="1" outlineLevel="1">
      <c r="B192" s="185" t="s">
        <v>109</v>
      </c>
      <c r="C192" s="38"/>
      <c r="D192" s="186"/>
      <c r="E192" s="58">
        <f>E145/E144</f>
        <v>0.51265229615745078</v>
      </c>
      <c r="F192" s="58">
        <f>F145/F144</f>
        <v>0.51750380517503802</v>
      </c>
      <c r="G192" s="58">
        <f>G145/G144</f>
        <v>0.51309846431797645</v>
      </c>
      <c r="H192" s="58">
        <f>H145/H144</f>
        <v>0.51247771836007128</v>
      </c>
      <c r="I192" s="182"/>
      <c r="J192" s="186"/>
      <c r="K192" s="187">
        <f>K145/K144</f>
        <v>0.51238423433125135</v>
      </c>
      <c r="L192" s="55">
        <f>K192</f>
        <v>0.51238423433125135</v>
      </c>
      <c r="M192" s="55">
        <f t="shared" ref="M192:T192" si="122">L192</f>
        <v>0.51238423433125135</v>
      </c>
      <c r="N192" s="55">
        <f t="shared" si="122"/>
        <v>0.51238423433125135</v>
      </c>
      <c r="O192" s="55">
        <f t="shared" si="122"/>
        <v>0.51238423433125135</v>
      </c>
      <c r="P192" s="55">
        <f t="shared" si="122"/>
        <v>0.51238423433125135</v>
      </c>
      <c r="Q192" s="55">
        <f t="shared" si="122"/>
        <v>0.51238423433125135</v>
      </c>
      <c r="R192" s="55">
        <f t="shared" si="122"/>
        <v>0.51238423433125135</v>
      </c>
      <c r="S192" s="55">
        <f t="shared" si="122"/>
        <v>0.51238423433125135</v>
      </c>
      <c r="T192" s="55">
        <f t="shared" si="122"/>
        <v>0.51238423433125135</v>
      </c>
    </row>
    <row r="193" spans="2:20" s="78" customFormat="1" ht="13.5" customHeight="1" outlineLevel="1">
      <c r="B193" s="185" t="s">
        <v>110</v>
      </c>
      <c r="C193" s="38"/>
      <c r="D193" s="186"/>
      <c r="E193" s="58">
        <f>E147/E144</f>
        <v>0.18931583880037486</v>
      </c>
      <c r="F193" s="58">
        <f>F147/F144</f>
        <v>0.19095060190950602</v>
      </c>
      <c r="G193" s="58">
        <f>G147/G144</f>
        <v>0.18970189701897019</v>
      </c>
      <c r="H193" s="58">
        <f>H147/H144</f>
        <v>0.18894830659536541</v>
      </c>
      <c r="I193" s="182"/>
      <c r="J193" s="186"/>
      <c r="K193" s="187">
        <f>K147/K144</f>
        <v>0.18888649580012923</v>
      </c>
      <c r="L193" s="55">
        <f t="shared" ref="L193:T193" si="123">K193</f>
        <v>0.18888649580012923</v>
      </c>
      <c r="M193" s="55">
        <f t="shared" si="123"/>
        <v>0.18888649580012923</v>
      </c>
      <c r="N193" s="55">
        <f t="shared" si="123"/>
        <v>0.18888649580012923</v>
      </c>
      <c r="O193" s="55">
        <f t="shared" si="123"/>
        <v>0.18888649580012923</v>
      </c>
      <c r="P193" s="55">
        <f t="shared" si="123"/>
        <v>0.18888649580012923</v>
      </c>
      <c r="Q193" s="55">
        <f t="shared" si="123"/>
        <v>0.18888649580012923</v>
      </c>
      <c r="R193" s="55">
        <f t="shared" si="123"/>
        <v>0.18888649580012923</v>
      </c>
      <c r="S193" s="55">
        <f t="shared" si="123"/>
        <v>0.18888649580012923</v>
      </c>
      <c r="T193" s="55">
        <f t="shared" si="123"/>
        <v>0.18888649580012923</v>
      </c>
    </row>
    <row r="194" spans="2:20" s="78" customFormat="1" ht="13.5" customHeight="1" outlineLevel="1">
      <c r="B194" s="38" t="s">
        <v>200</v>
      </c>
      <c r="C194" s="38"/>
      <c r="D194" s="186"/>
      <c r="E194" s="58">
        <f>E149/E144</f>
        <v>3.0927835051546389E-2</v>
      </c>
      <c r="F194" s="58">
        <f>F149/F144</f>
        <v>3.0441400304414001E-2</v>
      </c>
      <c r="G194" s="58">
        <f>G149/G144</f>
        <v>2.9810298102981029E-2</v>
      </c>
      <c r="H194" s="58">
        <f>H149/H144</f>
        <v>2.9411764705882349E-2</v>
      </c>
      <c r="I194" s="182"/>
      <c r="J194" s="182"/>
      <c r="K194" s="187">
        <f>K149/K144</f>
        <v>3.4029722162395006E-2</v>
      </c>
      <c r="L194" s="55">
        <f t="shared" ref="L194:T194" si="124">K194</f>
        <v>3.4029722162395006E-2</v>
      </c>
      <c r="M194" s="55">
        <f t="shared" si="124"/>
        <v>3.4029722162395006E-2</v>
      </c>
      <c r="N194" s="55">
        <f t="shared" si="124"/>
        <v>3.4029722162395006E-2</v>
      </c>
      <c r="O194" s="55">
        <f t="shared" si="124"/>
        <v>3.4029722162395006E-2</v>
      </c>
      <c r="P194" s="55">
        <f t="shared" si="124"/>
        <v>3.4029722162395006E-2</v>
      </c>
      <c r="Q194" s="55">
        <f t="shared" si="124"/>
        <v>3.4029722162395006E-2</v>
      </c>
      <c r="R194" s="55">
        <f t="shared" si="124"/>
        <v>3.4029722162395006E-2</v>
      </c>
      <c r="S194" s="55">
        <f t="shared" si="124"/>
        <v>3.4029722162395006E-2</v>
      </c>
      <c r="T194" s="55">
        <f t="shared" si="124"/>
        <v>3.4029722162395006E-2</v>
      </c>
    </row>
    <row r="195" spans="2:20" s="78" customFormat="1" ht="13.5" customHeight="1" outlineLevel="1">
      <c r="B195" s="38" t="s">
        <v>202</v>
      </c>
      <c r="C195" s="38"/>
      <c r="D195" s="186"/>
      <c r="E195" s="58">
        <f>E151/E144</f>
        <v>4.2174320524835988E-2</v>
      </c>
      <c r="F195" s="58">
        <f>F151/F144</f>
        <v>4.1511000415110001E-2</v>
      </c>
      <c r="G195" s="58">
        <f>G151/G144</f>
        <v>4.065040650406504E-2</v>
      </c>
      <c r="H195" s="58">
        <f>H151/H144</f>
        <v>4.0106951871657755E-2</v>
      </c>
      <c r="I195" s="182"/>
      <c r="J195" s="182"/>
      <c r="K195" s="187">
        <f>K151/K144</f>
        <v>3.2091320267068707E-2</v>
      </c>
      <c r="L195" s="58">
        <f>K195</f>
        <v>3.2091320267068707E-2</v>
      </c>
      <c r="M195" s="58">
        <f t="shared" ref="M195:T195" si="125">L195</f>
        <v>3.2091320267068707E-2</v>
      </c>
      <c r="N195" s="58">
        <f t="shared" si="125"/>
        <v>3.2091320267068707E-2</v>
      </c>
      <c r="O195" s="58">
        <f t="shared" si="125"/>
        <v>3.2091320267068707E-2</v>
      </c>
      <c r="P195" s="58">
        <f t="shared" si="125"/>
        <v>3.2091320267068707E-2</v>
      </c>
      <c r="Q195" s="58">
        <f t="shared" si="125"/>
        <v>3.2091320267068707E-2</v>
      </c>
      <c r="R195" s="58">
        <f t="shared" si="125"/>
        <v>3.2091320267068707E-2</v>
      </c>
      <c r="S195" s="58">
        <f t="shared" si="125"/>
        <v>3.2091320267068707E-2</v>
      </c>
      <c r="T195" s="58">
        <f t="shared" si="125"/>
        <v>3.2091320267068707E-2</v>
      </c>
    </row>
    <row r="196" spans="2:20" ht="13.5" customHeight="1" outlineLevel="1">
      <c r="B196" s="185" t="s">
        <v>113</v>
      </c>
      <c r="D196" s="186"/>
      <c r="E196" s="58">
        <f>E152/E144</f>
        <v>2.7179006560449859E-2</v>
      </c>
      <c r="F196" s="58">
        <f>F152/F144</f>
        <v>1.8495456851621225E-2</v>
      </c>
      <c r="G196" s="58">
        <f>G152/G144</f>
        <v>2.6196928635953076E-2</v>
      </c>
      <c r="H196" s="58">
        <f>H152/H144</f>
        <v>2.7629233511586433E-2</v>
      </c>
      <c r="I196" s="182"/>
      <c r="J196" s="182"/>
      <c r="K196" s="187">
        <f>K152/K144</f>
        <v>1.723023906956709E-2</v>
      </c>
      <c r="L196" s="58">
        <f t="shared" ref="L196:T196" si="126">K196</f>
        <v>1.723023906956709E-2</v>
      </c>
      <c r="M196" s="58">
        <f t="shared" si="126"/>
        <v>1.723023906956709E-2</v>
      </c>
      <c r="N196" s="58">
        <f t="shared" si="126"/>
        <v>1.723023906956709E-2</v>
      </c>
      <c r="O196" s="58">
        <f t="shared" si="126"/>
        <v>1.723023906956709E-2</v>
      </c>
      <c r="P196" s="58">
        <f t="shared" si="126"/>
        <v>1.723023906956709E-2</v>
      </c>
      <c r="Q196" s="58">
        <f t="shared" si="126"/>
        <v>1.723023906956709E-2</v>
      </c>
      <c r="R196" s="58">
        <f t="shared" si="126"/>
        <v>1.723023906956709E-2</v>
      </c>
      <c r="S196" s="58">
        <f t="shared" si="126"/>
        <v>1.723023906956709E-2</v>
      </c>
      <c r="T196" s="58">
        <f t="shared" si="126"/>
        <v>1.723023906956709E-2</v>
      </c>
    </row>
    <row r="197" spans="2:20" ht="13.5" customHeight="1" outlineLevel="1">
      <c r="B197" s="185" t="s">
        <v>162</v>
      </c>
      <c r="D197" s="188"/>
      <c r="E197" s="189">
        <f>E184/E144</f>
        <v>4.6860356138706656E-2</v>
      </c>
      <c r="F197" s="189">
        <f>F184/F144</f>
        <v>4.7292627308290223E-2</v>
      </c>
      <c r="G197" s="189">
        <f>G184/G144</f>
        <v>4.6860356138706656E-2</v>
      </c>
      <c r="H197" s="189">
        <f>H184/H144</f>
        <v>4.6860356138706656E-2</v>
      </c>
      <c r="I197" s="182"/>
      <c r="J197" s="55"/>
      <c r="K197" s="187">
        <f>K184/K144</f>
        <v>4.6952401464570324E-2</v>
      </c>
      <c r="L197" s="58">
        <f t="shared" ref="L197:T197" si="127">K197</f>
        <v>4.6952401464570324E-2</v>
      </c>
      <c r="M197" s="58">
        <f t="shared" si="127"/>
        <v>4.6952401464570324E-2</v>
      </c>
      <c r="N197" s="58">
        <f t="shared" si="127"/>
        <v>4.6952401464570324E-2</v>
      </c>
      <c r="O197" s="58">
        <f t="shared" si="127"/>
        <v>4.6952401464570324E-2</v>
      </c>
      <c r="P197" s="58">
        <f t="shared" si="127"/>
        <v>4.6952401464570324E-2</v>
      </c>
      <c r="Q197" s="58">
        <f t="shared" si="127"/>
        <v>4.6952401464570324E-2</v>
      </c>
      <c r="R197" s="58">
        <f t="shared" si="127"/>
        <v>4.6952401464570324E-2</v>
      </c>
      <c r="S197" s="58">
        <f t="shared" si="127"/>
        <v>4.6952401464570324E-2</v>
      </c>
      <c r="T197" s="58">
        <f t="shared" si="127"/>
        <v>4.6952401464570324E-2</v>
      </c>
    </row>
    <row r="198" spans="2:20" ht="13.5" customHeight="1" outlineLevel="1">
      <c r="B198" s="185"/>
      <c r="D198" s="186"/>
      <c r="E198" s="186"/>
      <c r="F198" s="190"/>
      <c r="G198" s="191"/>
      <c r="H198" s="191"/>
      <c r="I198" s="182"/>
      <c r="J198" s="182"/>
      <c r="K198" s="191"/>
      <c r="L198" s="191"/>
      <c r="M198" s="191"/>
      <c r="N198" s="191"/>
      <c r="O198" s="191"/>
      <c r="P198" s="191"/>
      <c r="Q198" s="191"/>
      <c r="R198" s="191"/>
      <c r="S198" s="191"/>
      <c r="T198" s="191"/>
    </row>
    <row r="199" spans="2:20" s="78" customFormat="1" ht="13.5" customHeight="1" outlineLevel="1">
      <c r="B199" s="185" t="s">
        <v>159</v>
      </c>
      <c r="C199" s="38"/>
      <c r="D199" s="186"/>
      <c r="E199" s="192">
        <f>E146/E144</f>
        <v>0.48734770384254922</v>
      </c>
      <c r="F199" s="192">
        <f>F146/F144</f>
        <v>0.48249619482496192</v>
      </c>
      <c r="G199" s="192">
        <f>G146/G144</f>
        <v>0.48690153568202355</v>
      </c>
      <c r="H199" s="192">
        <f>H146/H144</f>
        <v>0.48752228163992872</v>
      </c>
      <c r="I199" s="182"/>
      <c r="J199" s="186"/>
      <c r="K199" s="192">
        <f t="shared" ref="K199:T199" si="128">K146/K144</f>
        <v>0.48761576566874865</v>
      </c>
      <c r="L199" s="192">
        <f t="shared" si="128"/>
        <v>0.48761576566874865</v>
      </c>
      <c r="M199" s="192">
        <f t="shared" si="128"/>
        <v>0.4876157656687487</v>
      </c>
      <c r="N199" s="192">
        <f t="shared" si="128"/>
        <v>0.48761576566874865</v>
      </c>
      <c r="O199" s="192">
        <f t="shared" si="128"/>
        <v>0.4876157656687487</v>
      </c>
      <c r="P199" s="192">
        <f t="shared" si="128"/>
        <v>0.48761576566874865</v>
      </c>
      <c r="Q199" s="192">
        <f t="shared" si="128"/>
        <v>0.48761576566874859</v>
      </c>
      <c r="R199" s="192">
        <f t="shared" si="128"/>
        <v>0.48761576566874865</v>
      </c>
      <c r="S199" s="192">
        <f t="shared" si="128"/>
        <v>0.48761576566874859</v>
      </c>
      <c r="T199" s="192">
        <f t="shared" si="128"/>
        <v>0.48761576566874865</v>
      </c>
    </row>
    <row r="200" spans="2:20" s="78" customFormat="1" ht="13.5" customHeight="1" outlineLevel="1">
      <c r="B200" s="185" t="s">
        <v>111</v>
      </c>
      <c r="C200" s="38"/>
      <c r="D200" s="186"/>
      <c r="E200" s="192">
        <f>E148/E144</f>
        <v>0.29803186504217433</v>
      </c>
      <c r="F200" s="192">
        <f>F148/F144</f>
        <v>0.29154559291545595</v>
      </c>
      <c r="G200" s="192">
        <f>G148/G144</f>
        <v>0.29719963866305332</v>
      </c>
      <c r="H200" s="192">
        <f>H148/H144</f>
        <v>0.29857397504456329</v>
      </c>
      <c r="I200" s="182"/>
      <c r="J200" s="186"/>
      <c r="K200" s="192">
        <f t="shared" ref="K200:T200" si="129">K148/K$144</f>
        <v>0.29872926986861942</v>
      </c>
      <c r="L200" s="192">
        <f t="shared" si="129"/>
        <v>0.29872926986861942</v>
      </c>
      <c r="M200" s="192">
        <f t="shared" si="129"/>
        <v>0.29872926986861947</v>
      </c>
      <c r="N200" s="192">
        <f t="shared" si="129"/>
        <v>0.29872926986861942</v>
      </c>
      <c r="O200" s="192">
        <f t="shared" si="129"/>
        <v>0.29872926986861947</v>
      </c>
      <c r="P200" s="192">
        <f t="shared" si="129"/>
        <v>0.29872926986861936</v>
      </c>
      <c r="Q200" s="192">
        <f t="shared" si="129"/>
        <v>0.29872926986861936</v>
      </c>
      <c r="R200" s="192">
        <f t="shared" si="129"/>
        <v>0.29872926986861942</v>
      </c>
      <c r="S200" s="192">
        <f t="shared" si="129"/>
        <v>0.29872926986861936</v>
      </c>
      <c r="T200" s="192">
        <f t="shared" si="129"/>
        <v>0.29872926986861942</v>
      </c>
    </row>
    <row r="201" spans="2:20" s="78" customFormat="1" ht="13.5" customHeight="1" outlineLevel="1">
      <c r="B201" s="185" t="s">
        <v>112</v>
      </c>
      <c r="C201" s="38"/>
      <c r="D201" s="186"/>
      <c r="E201" s="192">
        <f>E150/E144</f>
        <v>0.26710402999062793</v>
      </c>
      <c r="F201" s="192">
        <f>F150/F144</f>
        <v>0.2611041926110419</v>
      </c>
      <c r="G201" s="192">
        <f>G150/G144</f>
        <v>0.2673893405600723</v>
      </c>
      <c r="H201" s="192">
        <f>H150/H144</f>
        <v>0.26916221033868093</v>
      </c>
      <c r="I201" s="182"/>
      <c r="J201" s="182"/>
      <c r="K201" s="192">
        <f t="shared" ref="K201:T201" si="130">K150/K$144</f>
        <v>0.26469954770622439</v>
      </c>
      <c r="L201" s="192">
        <f t="shared" si="130"/>
        <v>0.26034568309609757</v>
      </c>
      <c r="M201" s="192">
        <f t="shared" si="130"/>
        <v>0.26059225830592592</v>
      </c>
      <c r="N201" s="192">
        <f t="shared" si="130"/>
        <v>0.26082486906358443</v>
      </c>
      <c r="O201" s="192">
        <f t="shared" si="130"/>
        <v>0.26104430622685865</v>
      </c>
      <c r="P201" s="192">
        <f t="shared" si="130"/>
        <v>0.26125131586437722</v>
      </c>
      <c r="Q201" s="192">
        <f t="shared" si="130"/>
        <v>0.26144660179218554</v>
      </c>
      <c r="R201" s="192">
        <f t="shared" si="130"/>
        <v>0.26469954770622445</v>
      </c>
      <c r="S201" s="192">
        <f t="shared" si="130"/>
        <v>0.26469954770622439</v>
      </c>
      <c r="T201" s="192">
        <f t="shared" si="130"/>
        <v>0.26469954770622445</v>
      </c>
    </row>
    <row r="202" spans="2:20" s="78" customFormat="1" ht="13.5" customHeight="1" outlineLevel="1">
      <c r="B202" s="185" t="s">
        <v>114</v>
      </c>
      <c r="C202" s="38"/>
      <c r="D202" s="186"/>
      <c r="E202" s="192">
        <f>E153/E144</f>
        <v>0.19775070290534208</v>
      </c>
      <c r="F202" s="192">
        <f>F153/F144</f>
        <v>0.20109773534431069</v>
      </c>
      <c r="G202" s="192">
        <f>G153/G144</f>
        <v>0.20054200542005418</v>
      </c>
      <c r="H202" s="192">
        <f>H153/H144</f>
        <v>0.20142602495543674</v>
      </c>
      <c r="I202" s="182"/>
      <c r="J202" s="182"/>
      <c r="K202" s="192">
        <f t="shared" ref="K202:T202" si="131">K153/K$144</f>
        <v>0.21537798836958863</v>
      </c>
      <c r="L202" s="192">
        <f t="shared" ca="1" si="131"/>
        <v>0.166545771087804</v>
      </c>
      <c r="M202" s="192">
        <f t="shared" ca="1" si="131"/>
        <v>0.1693113174014472</v>
      </c>
      <c r="N202" s="192">
        <f t="shared" ca="1" si="131"/>
        <v>0.17192024075511353</v>
      </c>
      <c r="O202" s="192">
        <f t="shared" ca="1" si="131"/>
        <v>0.17438141127745388</v>
      </c>
      <c r="P202" s="192">
        <f t="shared" ca="1" si="131"/>
        <v>0.21192975652774146</v>
      </c>
      <c r="Q202" s="192">
        <f t="shared" ca="1" si="131"/>
        <v>0.21212504245554972</v>
      </c>
      <c r="R202" s="192">
        <f t="shared" ca="1" si="131"/>
        <v>0.2153779883695886</v>
      </c>
      <c r="S202" s="192">
        <f t="shared" ca="1" si="131"/>
        <v>0.21537798836958857</v>
      </c>
      <c r="T202" s="192">
        <f t="shared" ca="1" si="131"/>
        <v>0.21537798836958866</v>
      </c>
    </row>
    <row r="203" spans="2:20" s="78" customFormat="1" ht="13.5" customHeight="1" outlineLevel="1">
      <c r="B203" s="185" t="s">
        <v>116</v>
      </c>
      <c r="C203" s="38"/>
      <c r="D203" s="186"/>
      <c r="E203" s="192">
        <f ca="1">E176/E144</f>
        <v>7.8584817244611069E-2</v>
      </c>
      <c r="F203" s="192">
        <f ca="1">F176/F144</f>
        <v>8.158315281813569E-2</v>
      </c>
      <c r="G203" s="192">
        <f ca="1">G176/G144</f>
        <v>8.2240474085365847E-2</v>
      </c>
      <c r="H203" s="192">
        <f ca="1">H176/H144</f>
        <v>8.3458282364081995E-2</v>
      </c>
      <c r="I203" s="182"/>
      <c r="J203" s="182"/>
      <c r="K203" s="192">
        <f t="shared" ref="K203:T203" ca="1" si="132">K176/K$144</f>
        <v>0.11112544053721421</v>
      </c>
      <c r="L203" s="192">
        <f t="shared" ca="1" si="132"/>
        <v>8.5655782618887635E-2</v>
      </c>
      <c r="M203" s="192">
        <f t="shared" ca="1" si="132"/>
        <v>8.9099469503259407E-2</v>
      </c>
      <c r="N203" s="192">
        <f t="shared" ca="1" si="132"/>
        <v>9.251041803428886E-2</v>
      </c>
      <c r="O203" s="192">
        <f t="shared" ca="1" si="132"/>
        <v>9.5768846146177755E-2</v>
      </c>
      <c r="P203" s="192">
        <f t="shared" ca="1" si="132"/>
        <v>0.1225081635978915</v>
      </c>
      <c r="Q203" s="192">
        <f t="shared" ca="1" si="132"/>
        <v>0.1288766700006799</v>
      </c>
      <c r="R203" s="192">
        <f t="shared" ca="1" si="132"/>
        <v>0.13287628185659009</v>
      </c>
      <c r="S203" s="192">
        <f t="shared" ca="1" si="132"/>
        <v>0.1435990368233179</v>
      </c>
      <c r="T203" s="192">
        <f t="shared" ca="1" si="132"/>
        <v>0.14446131644702331</v>
      </c>
    </row>
    <row r="204" spans="2:20" s="78" customFormat="1" ht="13.5" customHeight="1" outlineLevel="1">
      <c r="B204" s="185"/>
      <c r="C204" s="38"/>
      <c r="D204" s="38"/>
      <c r="E204" s="192"/>
      <c r="F204" s="192"/>
      <c r="G204" s="192"/>
      <c r="H204" s="192"/>
      <c r="I204" s="182"/>
      <c r="J204" s="182"/>
      <c r="K204" s="192"/>
      <c r="L204" s="192"/>
      <c r="M204" s="192"/>
      <c r="N204" s="192"/>
      <c r="O204" s="192"/>
      <c r="P204" s="192"/>
      <c r="Q204" s="192"/>
      <c r="R204" s="192"/>
      <c r="S204" s="192"/>
      <c r="T204" s="192"/>
    </row>
    <row r="205" spans="2:20" s="78" customFormat="1" ht="13.5" customHeight="1" outlineLevel="1">
      <c r="B205" s="185" t="s">
        <v>513</v>
      </c>
      <c r="C205" s="38"/>
      <c r="D205" s="38"/>
      <c r="E205" s="192">
        <f ca="1">(E153+E168-SUM(E167,E169,E171))/SUM(E257,E261:E266)*4</f>
        <v>0.2023467834669806</v>
      </c>
      <c r="F205" s="192">
        <f t="shared" ref="F205:H205" ca="1" si="133">(F153+F168-SUM(F167,F169,F171))/SUM(F257,F261:F266)*4</f>
        <v>0.20225519820206286</v>
      </c>
      <c r="G205" s="192">
        <f t="shared" ca="1" si="133"/>
        <v>0.19927512536386088</v>
      </c>
      <c r="H205" s="192">
        <f t="shared" ca="1" si="133"/>
        <v>0.19621359345624043</v>
      </c>
      <c r="I205" s="182"/>
      <c r="J205" s="182"/>
      <c r="K205" s="192">
        <f ca="1">(K153+K168-SUM(K167,K169,K171))/SUM(K257,K261:K266)</f>
        <v>9.6902612523721163E-2</v>
      </c>
      <c r="L205" s="192">
        <f t="shared" ref="L205:T205" ca="1" si="134">(L153+L168-SUM(L167,L169,L171))/SUM(L257,L261:L266)</f>
        <v>7.3952881254490926E-2</v>
      </c>
      <c r="M205" s="192">
        <f t="shared" ca="1" si="134"/>
        <v>7.3870146465458517E-2</v>
      </c>
      <c r="N205" s="192">
        <f t="shared" ca="1" si="134"/>
        <v>7.3583952411506878E-2</v>
      </c>
      <c r="O205" s="192">
        <f t="shared" ca="1" si="134"/>
        <v>7.3160957894780457E-2</v>
      </c>
      <c r="P205" s="192">
        <f t="shared" ca="1" si="134"/>
        <v>8.9769719040029644E-2</v>
      </c>
      <c r="Q205" s="192">
        <f t="shared" ca="1" si="134"/>
        <v>8.490015114092106E-2</v>
      </c>
      <c r="R205" s="192">
        <f t="shared" ca="1" si="134"/>
        <v>9.0853472277798872E-2</v>
      </c>
      <c r="S205" s="192">
        <f t="shared" ca="1" si="134"/>
        <v>8.3410987197432729E-2</v>
      </c>
      <c r="T205" s="192">
        <f t="shared" ca="1" si="134"/>
        <v>7.9831335720647989E-2</v>
      </c>
    </row>
    <row r="206" spans="2:20" s="78" customFormat="1" ht="13.5" customHeight="1" outlineLevel="1">
      <c r="B206" s="185" t="s">
        <v>508</v>
      </c>
      <c r="C206" s="38"/>
      <c r="D206" s="38"/>
      <c r="E206" s="192">
        <f ca="1">E$176/SUM(E264:E266)*4</f>
        <v>0.34275903651395462</v>
      </c>
      <c r="F206" s="192">
        <f t="shared" ref="F206:H206" ca="1" si="135">F$176/SUM(F264:F266)*4</f>
        <v>0.33075388598331001</v>
      </c>
      <c r="G206" s="192">
        <f t="shared" ca="1" si="135"/>
        <v>0.31068072894082233</v>
      </c>
      <c r="H206" s="192">
        <f t="shared" ca="1" si="135"/>
        <v>0.29278168847435881</v>
      </c>
      <c r="I206" s="182"/>
      <c r="J206" s="182"/>
      <c r="K206" s="192">
        <f ca="1">K$176/SUM(K264:K266)</f>
        <v>9.0935623923761894E-2</v>
      </c>
      <c r="L206" s="192">
        <f t="shared" ref="L206:T206" ca="1" si="136">L$176/SUM(L264:L266)</f>
        <v>6.8213486344319563E-2</v>
      </c>
      <c r="M206" s="192">
        <f t="shared" ca="1" si="136"/>
        <v>6.9020328479470774E-2</v>
      </c>
      <c r="N206" s="192">
        <f t="shared" ca="1" si="136"/>
        <v>6.9685193322321953E-2</v>
      </c>
      <c r="O206" s="192">
        <f t="shared" ca="1" si="136"/>
        <v>7.0141677750785045E-2</v>
      </c>
      <c r="P206" s="192">
        <f t="shared" ca="1" si="136"/>
        <v>8.5803498887781965E-2</v>
      </c>
      <c r="Q206" s="192">
        <f t="shared" ca="1" si="136"/>
        <v>8.6319302111738078E-2</v>
      </c>
      <c r="R206" s="192">
        <f t="shared" ca="1" si="136"/>
        <v>8.5255045129464788E-2</v>
      </c>
      <c r="S206" s="192">
        <f t="shared" ca="1" si="136"/>
        <v>8.8036246251033082E-2</v>
      </c>
      <c r="T206" s="192">
        <f t="shared" ca="1" si="136"/>
        <v>8.4954766572543597E-2</v>
      </c>
    </row>
    <row r="207" spans="2:20" s="78" customFormat="1" ht="13.5" customHeight="1" outlineLevel="1">
      <c r="B207" s="185" t="s">
        <v>507</v>
      </c>
      <c r="C207" s="38"/>
      <c r="D207" s="38"/>
      <c r="E207" s="192">
        <f ca="1">E$176/E236*4</f>
        <v>7.7617867383139305E-2</v>
      </c>
      <c r="F207" s="192">
        <f t="shared" ref="F207:H207" ca="1" si="137">F$176/F236*4</f>
        <v>7.9737677597980117E-2</v>
      </c>
      <c r="G207" s="192">
        <f t="shared" ca="1" si="137"/>
        <v>8.0012180574469377E-2</v>
      </c>
      <c r="H207" s="192">
        <f t="shared" ca="1" si="137"/>
        <v>8.0194122848946253E-2</v>
      </c>
      <c r="I207" s="182"/>
      <c r="J207" s="182"/>
      <c r="K207" s="192">
        <f ca="1">K$176/K236</f>
        <v>5.8125041540291245E-2</v>
      </c>
      <c r="L207" s="192">
        <f t="shared" ref="L207:T207" ca="1" si="138">L$176/L236</f>
        <v>4.4645609429134585E-2</v>
      </c>
      <c r="M207" s="192">
        <f t="shared" ca="1" si="138"/>
        <v>4.6203491829580882E-2</v>
      </c>
      <c r="N207" s="192">
        <f t="shared" ca="1" si="138"/>
        <v>4.7657485289706578E-2</v>
      </c>
      <c r="O207" s="192">
        <f t="shared" ca="1" si="138"/>
        <v>4.894992687928796E-2</v>
      </c>
      <c r="P207" s="192">
        <f t="shared" ca="1" si="138"/>
        <v>6.3888224993112586E-2</v>
      </c>
      <c r="Q207" s="192">
        <f t="shared" ca="1" si="138"/>
        <v>6.5497383636899734E-2</v>
      </c>
      <c r="R207" s="192">
        <f t="shared" ca="1" si="138"/>
        <v>7.0828728922756032E-2</v>
      </c>
      <c r="S207" s="192">
        <f t="shared" ca="1" si="138"/>
        <v>7.3886708062811779E-2</v>
      </c>
      <c r="T207" s="192">
        <f t="shared" ca="1" si="138"/>
        <v>7.194202114335016E-2</v>
      </c>
    </row>
    <row r="208" spans="2:20" s="78" customFormat="1" ht="13.5" customHeight="1" outlineLevel="1">
      <c r="B208" s="185"/>
      <c r="C208" s="38"/>
      <c r="D208" s="38"/>
      <c r="E208" s="192"/>
      <c r="F208" s="192"/>
      <c r="G208" s="192"/>
      <c r="H208" s="192"/>
      <c r="I208" s="182"/>
      <c r="J208" s="182"/>
      <c r="K208" s="192"/>
      <c r="L208" s="192"/>
      <c r="M208" s="192"/>
      <c r="N208" s="192"/>
      <c r="O208" s="192"/>
      <c r="P208" s="192"/>
      <c r="Q208" s="192"/>
      <c r="R208" s="192"/>
      <c r="S208" s="192"/>
      <c r="T208" s="192"/>
    </row>
    <row r="209" spans="1:20" ht="13.5" customHeight="1" outlineLevel="1">
      <c r="B209" s="185" t="s">
        <v>160</v>
      </c>
      <c r="D209" s="188"/>
      <c r="E209" s="187">
        <f ca="1">E171/E170</f>
        <v>0.34999999999999992</v>
      </c>
      <c r="F209" s="192">
        <f>F706</f>
        <v>0.35000300000000006</v>
      </c>
      <c r="G209" s="192">
        <f t="shared" ref="G209:H209" si="139">G706</f>
        <v>0.35000300000000006</v>
      </c>
      <c r="H209" s="192">
        <f t="shared" si="139"/>
        <v>0.35000300000000006</v>
      </c>
      <c r="I209" s="182"/>
      <c r="J209" s="182"/>
      <c r="K209" s="192">
        <f t="shared" ref="K209:T209" si="140">K706</f>
        <v>0.35000300000000006</v>
      </c>
      <c r="L209" s="192">
        <f t="shared" si="140"/>
        <v>0.35000300000000006</v>
      </c>
      <c r="M209" s="192">
        <f t="shared" si="140"/>
        <v>0.35000300000000006</v>
      </c>
      <c r="N209" s="192">
        <f t="shared" si="140"/>
        <v>0.35000300000000006</v>
      </c>
      <c r="O209" s="192">
        <f t="shared" si="140"/>
        <v>0.35000300000000006</v>
      </c>
      <c r="P209" s="192">
        <f t="shared" si="140"/>
        <v>0.35000300000000006</v>
      </c>
      <c r="Q209" s="192">
        <f t="shared" si="140"/>
        <v>0.35000300000000006</v>
      </c>
      <c r="R209" s="192">
        <f t="shared" si="140"/>
        <v>0.35000300000000006</v>
      </c>
      <c r="S209" s="192">
        <f t="shared" si="140"/>
        <v>0.35000300000000006</v>
      </c>
      <c r="T209" s="192">
        <f t="shared" si="140"/>
        <v>0.35000300000000006</v>
      </c>
    </row>
    <row r="210" spans="1:20" ht="5.0999999999999996" customHeight="1" outlineLevel="1" thickBot="1">
      <c r="B210" s="144"/>
      <c r="C210" s="144"/>
      <c r="D210" s="144"/>
      <c r="E210" s="144"/>
      <c r="F210" s="144"/>
      <c r="G210" s="144"/>
      <c r="H210" s="144"/>
      <c r="I210" s="144"/>
      <c r="J210" s="144"/>
      <c r="K210" s="144"/>
      <c r="L210" s="144"/>
      <c r="M210" s="144"/>
      <c r="N210" s="144"/>
      <c r="O210" s="144"/>
      <c r="P210" s="144"/>
      <c r="Q210" s="144"/>
      <c r="R210" s="144"/>
      <c r="S210" s="144"/>
      <c r="T210" s="144"/>
    </row>
    <row r="211" spans="1:20" ht="14.4" outlineLevel="1"/>
    <row r="212" spans="1:20" ht="14.7" outlineLevel="1" thickBot="1">
      <c r="B212" s="191"/>
      <c r="I212" s="186"/>
      <c r="J212" s="186"/>
      <c r="K212" s="186"/>
      <c r="L212" s="186"/>
      <c r="M212" s="186"/>
      <c r="N212" s="186"/>
      <c r="O212" s="186"/>
      <c r="P212" s="186"/>
      <c r="Q212" s="186"/>
      <c r="R212" s="186"/>
      <c r="S212" s="186"/>
      <c r="T212" s="186"/>
    </row>
    <row r="213" spans="1:20" s="35" customFormat="1" ht="20.100000000000001" customHeight="1" thickTop="1">
      <c r="A213" s="41" t="s">
        <v>313</v>
      </c>
      <c r="B213" s="42" t="s">
        <v>61</v>
      </c>
      <c r="C213" s="43"/>
      <c r="D213" s="44"/>
      <c r="E213" s="44"/>
      <c r="F213" s="44"/>
      <c r="G213" s="44"/>
      <c r="H213" s="44"/>
      <c r="I213" s="44"/>
      <c r="J213" s="44"/>
      <c r="K213" s="44"/>
      <c r="L213" s="44"/>
      <c r="M213" s="44"/>
      <c r="N213" s="44"/>
      <c r="O213" s="44"/>
      <c r="P213" s="44"/>
      <c r="Q213" s="44"/>
      <c r="R213" s="44"/>
      <c r="S213" s="44"/>
      <c r="T213" s="44"/>
    </row>
    <row r="214" spans="1:20" ht="14.4" outlineLevel="1">
      <c r="B214" s="45"/>
      <c r="T214" s="147" t="str">
        <f ca="1">err_msg</f>
        <v/>
      </c>
    </row>
    <row r="215" spans="1:20" s="193" customFormat="1" ht="13.5" customHeight="1" outlineLevel="1">
      <c r="D215" s="194"/>
      <c r="E215" s="195" t="s">
        <v>59</v>
      </c>
      <c r="F215" s="195" t="s">
        <v>167</v>
      </c>
      <c r="G215" s="195"/>
      <c r="H215" s="195"/>
      <c r="I215" s="196"/>
      <c r="J215" s="197" t="s">
        <v>20</v>
      </c>
      <c r="K215" s="195" t="str">
        <f>"Fiscal Years Ending "&amp;TEXT(K10, "mmmm d")&amp;","</f>
        <v>Fiscal Years Ending December 31,</v>
      </c>
      <c r="L215" s="195"/>
      <c r="M215" s="195"/>
      <c r="N215" s="195"/>
      <c r="O215" s="195"/>
      <c r="P215" s="195"/>
      <c r="Q215" s="195"/>
      <c r="R215" s="195"/>
      <c r="S215" s="195"/>
      <c r="T215" s="195"/>
    </row>
    <row r="216" spans="1:20" s="193" customFormat="1" ht="13.5" customHeight="1" outlineLevel="1">
      <c r="D216" s="198"/>
      <c r="E216" s="102" t="str">
        <f>E$141</f>
        <v>MRQ</v>
      </c>
      <c r="F216" s="102" t="str">
        <f>F$141</f>
        <v>MRQ+1</v>
      </c>
      <c r="G216" s="102" t="str">
        <f t="shared" ref="G216:H216" si="141">G$141</f>
        <v>MRQ+2</v>
      </c>
      <c r="H216" s="102" t="str">
        <f t="shared" si="141"/>
        <v>MRQ+3</v>
      </c>
      <c r="I216" s="197" t="s">
        <v>441</v>
      </c>
      <c r="J216" s="197" t="s">
        <v>166</v>
      </c>
      <c r="K216" s="412">
        <v>1</v>
      </c>
      <c r="L216" s="102">
        <f>K216+1</f>
        <v>2</v>
      </c>
      <c r="M216" s="102">
        <f t="shared" ref="M216:T216" si="142">L216+1</f>
        <v>3</v>
      </c>
      <c r="N216" s="102">
        <f t="shared" si="142"/>
        <v>4</v>
      </c>
      <c r="O216" s="102">
        <f t="shared" si="142"/>
        <v>5</v>
      </c>
      <c r="P216" s="102">
        <f t="shared" si="142"/>
        <v>6</v>
      </c>
      <c r="Q216" s="102">
        <f t="shared" si="142"/>
        <v>7</v>
      </c>
      <c r="R216" s="102">
        <f t="shared" si="142"/>
        <v>8</v>
      </c>
      <c r="S216" s="102">
        <f t="shared" si="142"/>
        <v>9</v>
      </c>
      <c r="T216" s="102">
        <f t="shared" si="142"/>
        <v>10</v>
      </c>
    </row>
    <row r="217" spans="1:20" s="193" customFormat="1" ht="13.5" customHeight="1" outlineLevel="1" thickBot="1">
      <c r="B217" s="122" t="s">
        <v>201</v>
      </c>
      <c r="C217" s="199"/>
      <c r="D217" s="199"/>
      <c r="E217" s="200">
        <f>E$142</f>
        <v>45016</v>
      </c>
      <c r="F217" s="200">
        <f>F$142</f>
        <v>45107</v>
      </c>
      <c r="G217" s="200">
        <f t="shared" ref="G217:H217" si="143">G$142</f>
        <v>45199</v>
      </c>
      <c r="H217" s="200">
        <f t="shared" si="143"/>
        <v>45291</v>
      </c>
      <c r="I217" s="201" t="s">
        <v>433</v>
      </c>
      <c r="J217" s="200">
        <f>H217</f>
        <v>45291</v>
      </c>
      <c r="K217" s="202">
        <f>K$142</f>
        <v>45657</v>
      </c>
      <c r="L217" s="202">
        <f t="shared" ref="L217:T217" si="144">L$142</f>
        <v>46022</v>
      </c>
      <c r="M217" s="202">
        <f t="shared" si="144"/>
        <v>46387</v>
      </c>
      <c r="N217" s="202">
        <f t="shared" si="144"/>
        <v>46752</v>
      </c>
      <c r="O217" s="202">
        <f t="shared" si="144"/>
        <v>47118</v>
      </c>
      <c r="P217" s="202">
        <f t="shared" si="144"/>
        <v>47483</v>
      </c>
      <c r="Q217" s="202">
        <f t="shared" si="144"/>
        <v>47848</v>
      </c>
      <c r="R217" s="202">
        <f t="shared" si="144"/>
        <v>48213</v>
      </c>
      <c r="S217" s="202">
        <f t="shared" si="144"/>
        <v>48579</v>
      </c>
      <c r="T217" s="202">
        <f t="shared" si="144"/>
        <v>48944</v>
      </c>
    </row>
    <row r="218" spans="1:20" s="35" customFormat="1" ht="5.0999999999999996" customHeight="1" outlineLevel="1">
      <c r="B218" s="38"/>
      <c r="C218" s="38"/>
      <c r="D218" s="38"/>
      <c r="E218" s="38"/>
      <c r="F218" s="38"/>
      <c r="G218" s="38"/>
      <c r="H218" s="38"/>
      <c r="I218" s="38"/>
      <c r="J218" s="38"/>
      <c r="K218" s="38"/>
      <c r="L218" s="38"/>
      <c r="M218" s="38"/>
      <c r="N218" s="38"/>
      <c r="O218" s="38"/>
      <c r="P218" s="38"/>
      <c r="Q218" s="38"/>
      <c r="R218" s="38"/>
      <c r="S218" s="38"/>
      <c r="T218" s="38"/>
    </row>
    <row r="219" spans="1:20" s="35" customFormat="1" ht="13.5" customHeight="1" outlineLevel="1">
      <c r="B219" s="46" t="s">
        <v>22</v>
      </c>
      <c r="C219" s="47"/>
      <c r="D219" s="47"/>
      <c r="E219" s="47"/>
      <c r="F219" s="47"/>
      <c r="G219" s="47"/>
      <c r="H219" s="47"/>
      <c r="I219" s="47"/>
      <c r="J219" s="47"/>
      <c r="K219" s="47"/>
      <c r="L219" s="47"/>
      <c r="M219" s="47"/>
      <c r="N219" s="47"/>
      <c r="O219" s="47"/>
      <c r="P219" s="47"/>
      <c r="Q219" s="47"/>
      <c r="R219" s="47"/>
      <c r="S219" s="47"/>
      <c r="T219" s="48"/>
    </row>
    <row r="220" spans="1:20" s="35" customFormat="1" ht="5.0999999999999996" customHeight="1" outlineLevel="1">
      <c r="I220" s="203"/>
    </row>
    <row r="221" spans="1:20" s="35" customFormat="1" ht="13.5" customHeight="1" outlineLevel="1">
      <c r="B221" s="84" t="s">
        <v>122</v>
      </c>
      <c r="C221" s="38"/>
      <c r="D221" s="79"/>
      <c r="E221" s="407">
        <v>146.60599999999999</v>
      </c>
      <c r="F221" s="54">
        <f ca="1">MAX(0,E221+F321)</f>
        <v>158.50724910569517</v>
      </c>
      <c r="G221" s="54">
        <f ca="1">MAX(0,F221+G321)</f>
        <v>169.66326462531586</v>
      </c>
      <c r="H221" s="54">
        <f ca="1">MAX(0,G221+H321)</f>
        <v>182.18834347164699</v>
      </c>
      <c r="I221" s="204">
        <f ca="1">J221-H221</f>
        <v>-82.188343471646988</v>
      </c>
      <c r="J221" s="205">
        <f ca="1">O911</f>
        <v>100</v>
      </c>
      <c r="K221" s="54">
        <f t="shared" ref="K221:T221" ca="1" si="145">MAX(0,J221+K321)</f>
        <v>116.10101039022676</v>
      </c>
      <c r="L221" s="54">
        <f t="shared" ca="1" si="145"/>
        <v>197.91611028244279</v>
      </c>
      <c r="M221" s="54">
        <f t="shared" ca="1" si="145"/>
        <v>284.95429548790389</v>
      </c>
      <c r="N221" s="54">
        <f t="shared" ca="1" si="145"/>
        <v>377.61887958203016</v>
      </c>
      <c r="O221" s="54">
        <f t="shared" ca="1" si="145"/>
        <v>476.27146843245453</v>
      </c>
      <c r="P221" s="54">
        <f t="shared" ca="1" si="145"/>
        <v>523.72953436959392</v>
      </c>
      <c r="Q221" s="54">
        <f t="shared" ca="1" si="145"/>
        <v>631.08401980858571</v>
      </c>
      <c r="R221" s="54">
        <f t="shared" ca="1" si="145"/>
        <v>645.0356497639907</v>
      </c>
      <c r="S221" s="54">
        <f t="shared" ca="1" si="145"/>
        <v>773.76530438601367</v>
      </c>
      <c r="T221" s="54">
        <f t="shared" ca="1" si="145"/>
        <v>910.89964514382768</v>
      </c>
    </row>
    <row r="222" spans="1:20" s="35" customFormat="1" ht="13.5" customHeight="1" outlineLevel="1">
      <c r="B222" s="84" t="s">
        <v>123</v>
      </c>
      <c r="C222" s="38"/>
      <c r="D222" s="107"/>
      <c r="E222" s="411">
        <v>131.44300000000001</v>
      </c>
      <c r="F222" s="57">
        <f t="shared" ref="F222:H225" si="146">F333</f>
        <v>133.54337783505156</v>
      </c>
      <c r="G222" s="57">
        <f t="shared" si="146"/>
        <v>136.37057263355203</v>
      </c>
      <c r="H222" s="57">
        <f t="shared" si="146"/>
        <v>138.21841237113401</v>
      </c>
      <c r="I222" s="206">
        <f>J222-H222</f>
        <v>0</v>
      </c>
      <c r="J222" s="109">
        <f>O912</f>
        <v>138.21841237113401</v>
      </c>
      <c r="K222" s="57">
        <f t="shared" ref="K222:T222" si="147">K333</f>
        <v>146.51615589757543</v>
      </c>
      <c r="L222" s="57">
        <f t="shared" si="147"/>
        <v>155.31204251833714</v>
      </c>
      <c r="M222" s="57">
        <f t="shared" si="147"/>
        <v>164.63597753738867</v>
      </c>
      <c r="N222" s="57">
        <f t="shared" si="147"/>
        <v>174.51966158059739</v>
      </c>
      <c r="O222" s="57">
        <f t="shared" si="147"/>
        <v>184.99669837529561</v>
      </c>
      <c r="P222" s="57">
        <f t="shared" si="147"/>
        <v>196.10270900023914</v>
      </c>
      <c r="Q222" s="57">
        <f t="shared" si="147"/>
        <v>207.87545299439739</v>
      </c>
      <c r="R222" s="57">
        <f t="shared" si="147"/>
        <v>220.35495673633565</v>
      </c>
      <c r="S222" s="57">
        <f t="shared" si="147"/>
        <v>233.58364953066891</v>
      </c>
      <c r="T222" s="57">
        <f t="shared" si="147"/>
        <v>247.60650786426996</v>
      </c>
    </row>
    <row r="223" spans="1:20" s="35" customFormat="1" ht="13.5" customHeight="1" outlineLevel="1">
      <c r="B223" s="84" t="s">
        <v>62</v>
      </c>
      <c r="C223" s="38"/>
      <c r="D223" s="107"/>
      <c r="E223" s="411">
        <v>0</v>
      </c>
      <c r="F223" s="57">
        <f t="shared" si="146"/>
        <v>0</v>
      </c>
      <c r="G223" s="57">
        <f t="shared" si="146"/>
        <v>0</v>
      </c>
      <c r="H223" s="57">
        <f t="shared" si="146"/>
        <v>0</v>
      </c>
      <c r="I223" s="206">
        <f>J223-H223</f>
        <v>0</v>
      </c>
      <c r="J223" s="109">
        <f>O913</f>
        <v>0</v>
      </c>
      <c r="K223" s="57">
        <f t="shared" ref="K223:T223" si="148">K334</f>
        <v>0</v>
      </c>
      <c r="L223" s="57">
        <f t="shared" si="148"/>
        <v>0</v>
      </c>
      <c r="M223" s="57">
        <f t="shared" si="148"/>
        <v>0</v>
      </c>
      <c r="N223" s="57">
        <f t="shared" si="148"/>
        <v>0</v>
      </c>
      <c r="O223" s="57">
        <f t="shared" si="148"/>
        <v>0</v>
      </c>
      <c r="P223" s="57">
        <f t="shared" si="148"/>
        <v>0</v>
      </c>
      <c r="Q223" s="57">
        <f t="shared" si="148"/>
        <v>0</v>
      </c>
      <c r="R223" s="57">
        <f t="shared" si="148"/>
        <v>0</v>
      </c>
      <c r="S223" s="57">
        <f t="shared" si="148"/>
        <v>0</v>
      </c>
      <c r="T223" s="57">
        <f t="shared" si="148"/>
        <v>0</v>
      </c>
    </row>
    <row r="224" spans="1:20" s="35" customFormat="1" ht="14.4" outlineLevel="1">
      <c r="B224" s="84" t="s">
        <v>206</v>
      </c>
      <c r="E224" s="411">
        <v>0</v>
      </c>
      <c r="F224" s="57">
        <f t="shared" si="146"/>
        <v>0</v>
      </c>
      <c r="G224" s="57">
        <f t="shared" si="146"/>
        <v>0</v>
      </c>
      <c r="H224" s="57">
        <f t="shared" si="146"/>
        <v>0</v>
      </c>
      <c r="I224" s="206">
        <f>J224-H224</f>
        <v>0</v>
      </c>
      <c r="J224" s="109">
        <f>O914</f>
        <v>0</v>
      </c>
      <c r="K224" s="57">
        <f t="shared" ref="K224:T224" si="149">K335</f>
        <v>0</v>
      </c>
      <c r="L224" s="57">
        <f t="shared" si="149"/>
        <v>0</v>
      </c>
      <c r="M224" s="57">
        <f t="shared" si="149"/>
        <v>0</v>
      </c>
      <c r="N224" s="57">
        <f t="shared" si="149"/>
        <v>0</v>
      </c>
      <c r="O224" s="57">
        <f t="shared" si="149"/>
        <v>0</v>
      </c>
      <c r="P224" s="57">
        <f t="shared" si="149"/>
        <v>0</v>
      </c>
      <c r="Q224" s="57">
        <f t="shared" si="149"/>
        <v>0</v>
      </c>
      <c r="R224" s="57">
        <f t="shared" si="149"/>
        <v>0</v>
      </c>
      <c r="S224" s="57">
        <f t="shared" si="149"/>
        <v>0</v>
      </c>
      <c r="T224" s="57">
        <f t="shared" si="149"/>
        <v>0</v>
      </c>
    </row>
    <row r="225" spans="2:20" s="35" customFormat="1" ht="13.5" customHeight="1" outlineLevel="1">
      <c r="B225" s="84" t="s">
        <v>124</v>
      </c>
      <c r="C225" s="38"/>
      <c r="D225" s="107"/>
      <c r="E225" s="411">
        <v>8.2230000000000008</v>
      </c>
      <c r="F225" s="57">
        <f t="shared" si="146"/>
        <v>8.4334606946983559</v>
      </c>
      <c r="G225" s="57">
        <f t="shared" si="146"/>
        <v>8.5386910420475317</v>
      </c>
      <c r="H225" s="57">
        <f t="shared" si="146"/>
        <v>8.6439213893967093</v>
      </c>
      <c r="I225" s="206">
        <f>J225-H225</f>
        <v>0</v>
      </c>
      <c r="J225" s="109">
        <f>O915</f>
        <v>8.6439213893967093</v>
      </c>
      <c r="K225" s="57">
        <f t="shared" ref="K225:T225" si="150">K336</f>
        <v>9.1354460174921233</v>
      </c>
      <c r="L225" s="57">
        <f t="shared" si="150"/>
        <v>9.6838793756272032</v>
      </c>
      <c r="M225" s="57">
        <f t="shared" si="150"/>
        <v>10.265237141365303</v>
      </c>
      <c r="N225" s="57">
        <f t="shared" si="150"/>
        <v>10.881495884147235</v>
      </c>
      <c r="O225" s="57">
        <f t="shared" si="150"/>
        <v>11.534750833916416</v>
      </c>
      <c r="P225" s="57">
        <f t="shared" si="150"/>
        <v>12.227223004731435</v>
      </c>
      <c r="Q225" s="57">
        <f t="shared" si="150"/>
        <v>12.961266746034418</v>
      </c>
      <c r="R225" s="57">
        <f t="shared" si="150"/>
        <v>13.739377747248957</v>
      </c>
      <c r="S225" s="57">
        <f t="shared" si="150"/>
        <v>14.564201522922549</v>
      </c>
      <c r="T225" s="57">
        <f t="shared" si="150"/>
        <v>15.438542407262332</v>
      </c>
    </row>
    <row r="226" spans="2:20" s="35" customFormat="1" ht="13.5" customHeight="1" outlineLevel="1">
      <c r="B226" s="130" t="s">
        <v>125</v>
      </c>
      <c r="C226" s="52"/>
      <c r="D226" s="153"/>
      <c r="E226" s="153">
        <f>SUM(E221:E225)</f>
        <v>286.27199999999999</v>
      </c>
      <c r="F226" s="153">
        <f t="shared" ref="F226:H226" ca="1" si="151">SUM(F221:F225)</f>
        <v>300.48408763544506</v>
      </c>
      <c r="G226" s="153">
        <f t="shared" ca="1" si="151"/>
        <v>314.57252830091545</v>
      </c>
      <c r="H226" s="153">
        <f t="shared" ca="1" si="151"/>
        <v>329.05067723217769</v>
      </c>
      <c r="I226" s="207">
        <f t="shared" ref="I226:T226" ca="1" si="152">SUM(I221:I225)</f>
        <v>-82.188343471646988</v>
      </c>
      <c r="J226" s="153">
        <f t="shared" ca="1" si="152"/>
        <v>246.8623337605307</v>
      </c>
      <c r="K226" s="153">
        <f t="shared" ca="1" si="152"/>
        <v>271.75261230529435</v>
      </c>
      <c r="L226" s="153">
        <f t="shared" ca="1" si="152"/>
        <v>362.91203217640714</v>
      </c>
      <c r="M226" s="153">
        <f t="shared" ca="1" si="152"/>
        <v>459.85551016665784</v>
      </c>
      <c r="N226" s="153">
        <f t="shared" ca="1" si="152"/>
        <v>563.02003704677486</v>
      </c>
      <c r="O226" s="153">
        <f t="shared" ca="1" si="152"/>
        <v>672.80291764166657</v>
      </c>
      <c r="P226" s="153">
        <f t="shared" ca="1" si="152"/>
        <v>732.05946637456452</v>
      </c>
      <c r="Q226" s="153">
        <f t="shared" ca="1" si="152"/>
        <v>851.92073954901753</v>
      </c>
      <c r="R226" s="153">
        <f t="shared" ca="1" si="152"/>
        <v>879.12998424757529</v>
      </c>
      <c r="S226" s="153">
        <f t="shared" ca="1" si="152"/>
        <v>1021.9131554396051</v>
      </c>
      <c r="T226" s="153">
        <f t="shared" ca="1" si="152"/>
        <v>1173.94469541536</v>
      </c>
    </row>
    <row r="227" spans="2:20" s="35" customFormat="1" ht="13.5" customHeight="1" outlineLevel="1">
      <c r="B227" s="84" t="s">
        <v>63</v>
      </c>
      <c r="C227" s="38"/>
      <c r="D227" s="208"/>
      <c r="E227" s="109">
        <f>E229-E228</f>
        <v>175.41400000000002</v>
      </c>
      <c r="F227" s="80">
        <f>E227+F184</f>
        <v>180.5407572633552</v>
      </c>
      <c r="G227" s="80">
        <f>F227+G184</f>
        <v>185.72819868791004</v>
      </c>
      <c r="H227" s="80">
        <f>G227+H184</f>
        <v>190.98593064667293</v>
      </c>
      <c r="I227" s="209">
        <f>J227-H227</f>
        <v>15</v>
      </c>
      <c r="J227" s="109">
        <f>O917</f>
        <v>205.98593064667293</v>
      </c>
      <c r="K227" s="57">
        <f t="shared" ref="K227:T227" si="153">J227-K299</f>
        <v>227.78593064667294</v>
      </c>
      <c r="L227" s="57">
        <f t="shared" si="153"/>
        <v>250.89466228215656</v>
      </c>
      <c r="M227" s="57">
        <f t="shared" si="153"/>
        <v>275.39069337393641</v>
      </c>
      <c r="N227" s="57">
        <f t="shared" si="153"/>
        <v>301.35730844890907</v>
      </c>
      <c r="O227" s="57">
        <f t="shared" si="153"/>
        <v>328.88279190071853</v>
      </c>
      <c r="P227" s="57">
        <f t="shared" si="153"/>
        <v>358.06072814956303</v>
      </c>
      <c r="Q227" s="57">
        <f t="shared" si="153"/>
        <v>388.99031982166377</v>
      </c>
      <c r="R227" s="57">
        <f t="shared" si="153"/>
        <v>421.7767250301805</v>
      </c>
      <c r="S227" s="57">
        <f t="shared" si="153"/>
        <v>456.53141490430141</v>
      </c>
      <c r="T227" s="57">
        <f t="shared" si="153"/>
        <v>493.37255258207756</v>
      </c>
    </row>
    <row r="228" spans="2:20" s="35" customFormat="1" ht="13.5" customHeight="1" outlineLevel="1">
      <c r="B228" s="84" t="s">
        <v>126</v>
      </c>
      <c r="C228" s="38"/>
      <c r="D228" s="107"/>
      <c r="E228" s="411">
        <f>-72.879-69.565</f>
        <v>-142.44400000000002</v>
      </c>
      <c r="F228" s="57">
        <f>E228-F149</f>
        <v>-145.74400000000003</v>
      </c>
      <c r="G228" s="57">
        <f>F228-G149</f>
        <v>-149.04400000000004</v>
      </c>
      <c r="H228" s="57">
        <f>G228-H149</f>
        <v>-152.34400000000005</v>
      </c>
      <c r="I228" s="209">
        <f>J228-H228</f>
        <v>0</v>
      </c>
      <c r="J228" s="109">
        <f>O918</f>
        <v>-152.34400000000005</v>
      </c>
      <c r="K228" s="57">
        <f t="shared" ref="K228:T228" si="154">J228-K283</f>
        <v>-168.14400000000006</v>
      </c>
      <c r="L228" s="57">
        <f t="shared" si="154"/>
        <v>-187.03538741077654</v>
      </c>
      <c r="M228" s="57">
        <f t="shared" si="154"/>
        <v>-206.93224873941909</v>
      </c>
      <c r="N228" s="57">
        <f t="shared" si="154"/>
        <v>-227.89494616597199</v>
      </c>
      <c r="O228" s="57">
        <f t="shared" si="154"/>
        <v>-249.98746562711304</v>
      </c>
      <c r="P228" s="57">
        <f t="shared" si="154"/>
        <v>-273.2776343631694</v>
      </c>
      <c r="Q228" s="57">
        <f t="shared" si="154"/>
        <v>-297.83735152525554</v>
      </c>
      <c r="R228" s="57">
        <f t="shared" si="154"/>
        <v>-321.59997548372183</v>
      </c>
      <c r="S228" s="57">
        <f t="shared" si="154"/>
        <v>-346.78915438331404</v>
      </c>
      <c r="T228" s="57">
        <f t="shared" si="154"/>
        <v>-373.49052939748208</v>
      </c>
    </row>
    <row r="229" spans="2:20" s="35" customFormat="1" ht="13.5" customHeight="1" outlineLevel="1">
      <c r="B229" s="130" t="s">
        <v>64</v>
      </c>
      <c r="C229" s="52"/>
      <c r="D229" s="210"/>
      <c r="E229" s="419">
        <v>32.97</v>
      </c>
      <c r="F229" s="83">
        <f t="shared" ref="F229:H229" si="155">SUM(F227:F228)</f>
        <v>34.796757263355175</v>
      </c>
      <c r="G229" s="83">
        <f t="shared" si="155"/>
        <v>36.684198687909998</v>
      </c>
      <c r="H229" s="83">
        <f t="shared" si="155"/>
        <v>38.641930646672876</v>
      </c>
      <c r="I229" s="211">
        <f t="shared" ref="I229:T229" si="156">SUM(I227:I228)</f>
        <v>15</v>
      </c>
      <c r="J229" s="83">
        <f t="shared" si="156"/>
        <v>53.641930646672876</v>
      </c>
      <c r="K229" s="83">
        <f t="shared" si="156"/>
        <v>59.641930646672876</v>
      </c>
      <c r="L229" s="83">
        <f t="shared" si="156"/>
        <v>63.859274871380023</v>
      </c>
      <c r="M229" s="83">
        <f t="shared" si="156"/>
        <v>68.458444634517321</v>
      </c>
      <c r="N229" s="83">
        <f t="shared" si="156"/>
        <v>73.462362282937079</v>
      </c>
      <c r="O229" s="83">
        <f t="shared" si="156"/>
        <v>78.895326273605491</v>
      </c>
      <c r="P229" s="83">
        <f t="shared" si="156"/>
        <v>84.783093786393636</v>
      </c>
      <c r="Q229" s="83">
        <f t="shared" si="156"/>
        <v>91.152968296408233</v>
      </c>
      <c r="R229" s="83">
        <f t="shared" si="156"/>
        <v>100.17674954645867</v>
      </c>
      <c r="S229" s="83">
        <f t="shared" si="156"/>
        <v>109.74226052098737</v>
      </c>
      <c r="T229" s="83">
        <f t="shared" si="156"/>
        <v>119.88202318459548</v>
      </c>
    </row>
    <row r="230" spans="2:20" s="35" customFormat="1" ht="13.5" customHeight="1" outlineLevel="1">
      <c r="B230" s="38" t="s">
        <v>169</v>
      </c>
      <c r="C230" s="38"/>
      <c r="D230" s="107"/>
      <c r="E230" s="411">
        <v>0</v>
      </c>
      <c r="F230" s="57">
        <f>E230+F377</f>
        <v>0</v>
      </c>
      <c r="G230" s="57">
        <f>F230+G377</f>
        <v>0</v>
      </c>
      <c r="H230" s="57">
        <f>G230+H377</f>
        <v>0</v>
      </c>
      <c r="I230" s="209">
        <f t="shared" ref="I230:I235" si="157">J230-H230</f>
        <v>0</v>
      </c>
      <c r="J230" s="109">
        <f t="shared" ref="J230:J235" si="158">O920</f>
        <v>0</v>
      </c>
      <c r="K230" s="57">
        <f t="shared" ref="K230:T230" si="159">J230+K377</f>
        <v>0</v>
      </c>
      <c r="L230" s="57">
        <f t="shared" si="159"/>
        <v>0</v>
      </c>
      <c r="M230" s="57">
        <f t="shared" si="159"/>
        <v>0</v>
      </c>
      <c r="N230" s="57">
        <f t="shared" si="159"/>
        <v>0</v>
      </c>
      <c r="O230" s="57">
        <f t="shared" si="159"/>
        <v>0</v>
      </c>
      <c r="P230" s="57">
        <f t="shared" si="159"/>
        <v>0</v>
      </c>
      <c r="Q230" s="57">
        <f t="shared" si="159"/>
        <v>0</v>
      </c>
      <c r="R230" s="57">
        <f t="shared" si="159"/>
        <v>0</v>
      </c>
      <c r="S230" s="57">
        <f t="shared" si="159"/>
        <v>0</v>
      </c>
      <c r="T230" s="57">
        <f t="shared" si="159"/>
        <v>0</v>
      </c>
    </row>
    <row r="231" spans="2:20" s="35" customFormat="1" ht="13.5" customHeight="1" outlineLevel="1">
      <c r="B231" s="38" t="s">
        <v>170</v>
      </c>
      <c r="C231" s="38"/>
      <c r="D231" s="107"/>
      <c r="E231" s="411">
        <v>0</v>
      </c>
      <c r="F231" s="57">
        <f>E231</f>
        <v>0</v>
      </c>
      <c r="G231" s="57">
        <f t="shared" ref="G231:H231" si="160">F231</f>
        <v>0</v>
      </c>
      <c r="H231" s="57">
        <f t="shared" si="160"/>
        <v>0</v>
      </c>
      <c r="I231" s="209">
        <f t="shared" si="157"/>
        <v>6.5</v>
      </c>
      <c r="J231" s="109">
        <f t="shared" si="158"/>
        <v>6.5</v>
      </c>
      <c r="K231" s="57">
        <f t="shared" ref="K231:T231" ca="1" si="161">J231-K285</f>
        <v>5.4142857142857146</v>
      </c>
      <c r="L231" s="57">
        <f t="shared" ca="1" si="161"/>
        <v>4.3285714285714292</v>
      </c>
      <c r="M231" s="57">
        <f t="shared" ca="1" si="161"/>
        <v>3.2428571428571438</v>
      </c>
      <c r="N231" s="57">
        <f t="shared" ca="1" si="161"/>
        <v>2.1571428571428584</v>
      </c>
      <c r="O231" s="57">
        <f t="shared" ca="1" si="161"/>
        <v>1.0714285714285727</v>
      </c>
      <c r="P231" s="57">
        <f t="shared" ca="1" si="161"/>
        <v>0.53571428571428703</v>
      </c>
      <c r="Q231" s="57">
        <f t="shared" ca="1" si="161"/>
        <v>1.3322676295501878E-15</v>
      </c>
      <c r="R231" s="57">
        <f t="shared" ca="1" si="161"/>
        <v>1.1102230246251565E-15</v>
      </c>
      <c r="S231" s="57">
        <f t="shared" ca="1" si="161"/>
        <v>1.1102230246251565E-15</v>
      </c>
      <c r="T231" s="57">
        <f t="shared" ca="1" si="161"/>
        <v>1.1102230246251565E-15</v>
      </c>
    </row>
    <row r="232" spans="2:20" s="35" customFormat="1" ht="13.5" customHeight="1" outlineLevel="1">
      <c r="B232" s="38" t="s">
        <v>65</v>
      </c>
      <c r="C232" s="38"/>
      <c r="D232" s="107"/>
      <c r="E232" s="411">
        <v>61.094000000000001</v>
      </c>
      <c r="F232" s="57">
        <f>E232</f>
        <v>61.094000000000001</v>
      </c>
      <c r="G232" s="57">
        <f t="shared" ref="G232:H232" si="162">F232</f>
        <v>61.094000000000001</v>
      </c>
      <c r="H232" s="57">
        <f t="shared" si="162"/>
        <v>61.094000000000001</v>
      </c>
      <c r="I232" s="209">
        <f t="shared" ca="1" si="157"/>
        <v>356.92542547835933</v>
      </c>
      <c r="J232" s="109">
        <f t="shared" ca="1" si="158"/>
        <v>418.01942547835932</v>
      </c>
      <c r="K232" s="57">
        <f t="shared" ref="K232:T232" ca="1" si="163">J232</f>
        <v>418.01942547835932</v>
      </c>
      <c r="L232" s="57">
        <f t="shared" ca="1" si="163"/>
        <v>418.01942547835932</v>
      </c>
      <c r="M232" s="57">
        <f t="shared" ca="1" si="163"/>
        <v>418.01942547835932</v>
      </c>
      <c r="N232" s="57">
        <f t="shared" ca="1" si="163"/>
        <v>418.01942547835932</v>
      </c>
      <c r="O232" s="57">
        <f t="shared" ca="1" si="163"/>
        <v>418.01942547835932</v>
      </c>
      <c r="P232" s="57">
        <f t="shared" ca="1" si="163"/>
        <v>418.01942547835932</v>
      </c>
      <c r="Q232" s="57">
        <f t="shared" ca="1" si="163"/>
        <v>418.01942547835932</v>
      </c>
      <c r="R232" s="57">
        <f t="shared" ca="1" si="163"/>
        <v>418.01942547835932</v>
      </c>
      <c r="S232" s="57">
        <f t="shared" ca="1" si="163"/>
        <v>418.01942547835932</v>
      </c>
      <c r="T232" s="57">
        <f t="shared" ca="1" si="163"/>
        <v>418.01942547835932</v>
      </c>
    </row>
    <row r="233" spans="2:20" s="35" customFormat="1" ht="13.5" customHeight="1" outlineLevel="1">
      <c r="B233" s="38" t="s">
        <v>171</v>
      </c>
      <c r="C233" s="38"/>
      <c r="D233" s="107"/>
      <c r="E233" s="411">
        <v>37.491</v>
      </c>
      <c r="F233" s="57">
        <f>E233-F151</f>
        <v>32.991</v>
      </c>
      <c r="G233" s="57">
        <f>F233-G151</f>
        <v>28.491</v>
      </c>
      <c r="H233" s="57">
        <f>G233-H151</f>
        <v>23.991</v>
      </c>
      <c r="I233" s="209">
        <f t="shared" ca="1" si="157"/>
        <v>109.4553508890625</v>
      </c>
      <c r="J233" s="109">
        <f t="shared" ca="1" si="158"/>
        <v>133.4463508890625</v>
      </c>
      <c r="K233" s="57">
        <f t="shared" ref="K233:T233" ca="1" si="164">J233-K284</f>
        <v>118.5463508890625</v>
      </c>
      <c r="L233" s="57">
        <f t="shared" ca="1" si="164"/>
        <v>80.860780648465322</v>
      </c>
      <c r="M233" s="57">
        <f t="shared" ca="1" si="164"/>
        <v>42.227010320766581</v>
      </c>
      <c r="N233" s="57">
        <f t="shared" ca="1" si="164"/>
        <v>2.5881160779498487</v>
      </c>
      <c r="O233" s="57">
        <f t="shared" ca="1" si="164"/>
        <v>-38.116243248117719</v>
      </c>
      <c r="P233" s="57">
        <f t="shared" ca="1" si="164"/>
        <v>-58.058961142970134</v>
      </c>
      <c r="Q233" s="57">
        <f t="shared" ca="1" si="164"/>
        <v>-79.198911414268352</v>
      </c>
      <c r="R233" s="57">
        <f t="shared" ca="1" si="164"/>
        <v>-101.60796818522704</v>
      </c>
      <c r="S233" s="57">
        <f t="shared" ca="1" si="164"/>
        <v>-125.36232043863994</v>
      </c>
      <c r="T233" s="57">
        <f t="shared" ca="1" si="164"/>
        <v>-150.54273105326675</v>
      </c>
    </row>
    <row r="234" spans="2:20" s="35" customFormat="1" ht="13.5" customHeight="1" outlineLevel="1">
      <c r="B234" s="38" t="s">
        <v>172</v>
      </c>
      <c r="C234" s="38"/>
      <c r="D234" s="107"/>
      <c r="E234" s="411">
        <v>0</v>
      </c>
      <c r="F234" s="57">
        <f>E234</f>
        <v>0</v>
      </c>
      <c r="G234" s="57">
        <f t="shared" ref="G234:H234" si="165">F234</f>
        <v>0</v>
      </c>
      <c r="H234" s="57">
        <f t="shared" si="165"/>
        <v>0</v>
      </c>
      <c r="I234" s="209">
        <f t="shared" si="157"/>
        <v>0</v>
      </c>
      <c r="J234" s="109">
        <f t="shared" si="158"/>
        <v>0</v>
      </c>
      <c r="K234" s="57">
        <f t="shared" ref="K234:T234" si="166">J234</f>
        <v>0</v>
      </c>
      <c r="L234" s="57">
        <f t="shared" si="166"/>
        <v>0</v>
      </c>
      <c r="M234" s="57">
        <f t="shared" si="166"/>
        <v>0</v>
      </c>
      <c r="N234" s="57">
        <f t="shared" si="166"/>
        <v>0</v>
      </c>
      <c r="O234" s="57">
        <f t="shared" si="166"/>
        <v>0</v>
      </c>
      <c r="P234" s="57">
        <f t="shared" si="166"/>
        <v>0</v>
      </c>
      <c r="Q234" s="57">
        <f t="shared" si="166"/>
        <v>0</v>
      </c>
      <c r="R234" s="57">
        <f t="shared" si="166"/>
        <v>0</v>
      </c>
      <c r="S234" s="57">
        <f t="shared" si="166"/>
        <v>0</v>
      </c>
      <c r="T234" s="57">
        <f t="shared" si="166"/>
        <v>0</v>
      </c>
    </row>
    <row r="235" spans="2:20" s="35" customFormat="1" ht="13.5" customHeight="1" outlineLevel="1">
      <c r="B235" s="38" t="s">
        <v>173</v>
      </c>
      <c r="C235" s="38"/>
      <c r="D235" s="107"/>
      <c r="E235" s="411">
        <v>14.29</v>
      </c>
      <c r="F235" s="57">
        <f>E235</f>
        <v>14.29</v>
      </c>
      <c r="G235" s="57">
        <f t="shared" ref="G235:H235" si="167">F235</f>
        <v>14.29</v>
      </c>
      <c r="H235" s="57">
        <f t="shared" si="167"/>
        <v>14.29</v>
      </c>
      <c r="I235" s="209">
        <f t="shared" si="157"/>
        <v>0</v>
      </c>
      <c r="J235" s="109">
        <f t="shared" si="158"/>
        <v>14.29</v>
      </c>
      <c r="K235" s="57">
        <f t="shared" ref="K235:T235" si="168">J235</f>
        <v>14.29</v>
      </c>
      <c r="L235" s="57">
        <f t="shared" si="168"/>
        <v>14.29</v>
      </c>
      <c r="M235" s="57">
        <f t="shared" si="168"/>
        <v>14.29</v>
      </c>
      <c r="N235" s="57">
        <f t="shared" si="168"/>
        <v>14.29</v>
      </c>
      <c r="O235" s="57">
        <f t="shared" si="168"/>
        <v>14.29</v>
      </c>
      <c r="P235" s="57">
        <f t="shared" si="168"/>
        <v>14.29</v>
      </c>
      <c r="Q235" s="57">
        <f t="shared" si="168"/>
        <v>14.29</v>
      </c>
      <c r="R235" s="57">
        <f t="shared" si="168"/>
        <v>14.29</v>
      </c>
      <c r="S235" s="57">
        <f t="shared" si="168"/>
        <v>14.29</v>
      </c>
      <c r="T235" s="57">
        <f t="shared" si="168"/>
        <v>14.29</v>
      </c>
    </row>
    <row r="236" spans="2:20" s="35" customFormat="1" ht="13.5" customHeight="1" outlineLevel="1">
      <c r="B236" s="212" t="s">
        <v>174</v>
      </c>
      <c r="C236" s="133"/>
      <c r="D236" s="213"/>
      <c r="E236" s="213">
        <f t="shared" ref="E236:T236" si="169">SUM(E229:E235)+E226</f>
        <v>432.11699999999996</v>
      </c>
      <c r="F236" s="213">
        <f t="shared" ca="1" si="169"/>
        <v>443.65584489880018</v>
      </c>
      <c r="G236" s="213">
        <f t="shared" ca="1" si="169"/>
        <v>455.13172698882545</v>
      </c>
      <c r="H236" s="213">
        <f t="shared" ca="1" si="169"/>
        <v>467.06760787885059</v>
      </c>
      <c r="I236" s="96">
        <f t="shared" ca="1" si="169"/>
        <v>405.69243289577486</v>
      </c>
      <c r="J236" s="213">
        <f t="shared" ca="1" si="169"/>
        <v>872.76004077462539</v>
      </c>
      <c r="K236" s="213">
        <f t="shared" ca="1" si="169"/>
        <v>887.66460503367466</v>
      </c>
      <c r="L236" s="213">
        <f t="shared" ca="1" si="169"/>
        <v>944.27008460318325</v>
      </c>
      <c r="M236" s="213">
        <f t="shared" ca="1" si="169"/>
        <v>1006.0932477431581</v>
      </c>
      <c r="N236" s="213">
        <f t="shared" ca="1" si="169"/>
        <v>1073.537083743164</v>
      </c>
      <c r="O236" s="213">
        <f t="shared" ca="1" si="169"/>
        <v>1146.9628547169423</v>
      </c>
      <c r="P236" s="213">
        <f t="shared" ca="1" si="169"/>
        <v>1191.6287387820616</v>
      </c>
      <c r="Q236" s="213">
        <f t="shared" ca="1" si="169"/>
        <v>1296.1842219095167</v>
      </c>
      <c r="R236" s="213">
        <f t="shared" ca="1" si="169"/>
        <v>1310.0081910871663</v>
      </c>
      <c r="S236" s="213">
        <f t="shared" ca="1" si="169"/>
        <v>1438.602521000312</v>
      </c>
      <c r="T236" s="213">
        <f t="shared" ca="1" si="169"/>
        <v>1575.5934130250482</v>
      </c>
    </row>
    <row r="237" spans="2:20" s="35" customFormat="1" ht="13.5" customHeight="1" outlineLevel="1">
      <c r="I237" s="203"/>
    </row>
    <row r="238" spans="2:20" s="35" customFormat="1" ht="13.5" customHeight="1" outlineLevel="1">
      <c r="B238" s="46" t="s">
        <v>66</v>
      </c>
      <c r="C238" s="47"/>
      <c r="D238" s="47"/>
      <c r="E238" s="47"/>
      <c r="F238" s="47"/>
      <c r="G238" s="47"/>
      <c r="H238" s="47"/>
      <c r="I238" s="47"/>
      <c r="J238" s="47"/>
      <c r="K238" s="47"/>
      <c r="L238" s="47"/>
      <c r="M238" s="47"/>
      <c r="N238" s="47"/>
      <c r="O238" s="47"/>
      <c r="P238" s="47"/>
      <c r="Q238" s="47"/>
      <c r="R238" s="47"/>
      <c r="S238" s="47"/>
      <c r="T238" s="48"/>
    </row>
    <row r="239" spans="2:20" s="35" customFormat="1" ht="5.0999999999999996" customHeight="1" outlineLevel="1">
      <c r="B239" s="38"/>
      <c r="C239" s="38"/>
      <c r="D239" s="38"/>
      <c r="E239" s="38"/>
      <c r="F239" s="38"/>
      <c r="G239" s="38"/>
      <c r="H239" s="38"/>
      <c r="I239" s="214"/>
      <c r="J239" s="38"/>
      <c r="K239" s="38"/>
      <c r="L239" s="38"/>
      <c r="M239" s="38"/>
      <c r="N239" s="38"/>
      <c r="O239" s="38"/>
      <c r="P239" s="38"/>
      <c r="Q239" s="38"/>
      <c r="R239" s="38"/>
      <c r="S239" s="38"/>
      <c r="T239" s="38"/>
    </row>
    <row r="240" spans="2:20" s="35" customFormat="1" ht="13.5" customHeight="1" outlineLevel="1">
      <c r="B240" s="84" t="s">
        <v>127</v>
      </c>
      <c r="C240" s="38"/>
      <c r="D240" s="79"/>
      <c r="E240" s="407">
        <v>0</v>
      </c>
      <c r="F240" s="407">
        <v>0</v>
      </c>
      <c r="G240" s="407">
        <v>0</v>
      </c>
      <c r="H240" s="407">
        <v>0</v>
      </c>
      <c r="I240" s="204">
        <f>J240-H240</f>
        <v>0</v>
      </c>
      <c r="J240" s="205">
        <f>O930</f>
        <v>0</v>
      </c>
      <c r="K240" s="54">
        <f t="shared" ref="K240:T240" si="170">J240</f>
        <v>0</v>
      </c>
      <c r="L240" s="54">
        <f t="shared" si="170"/>
        <v>0</v>
      </c>
      <c r="M240" s="54">
        <f t="shared" si="170"/>
        <v>0</v>
      </c>
      <c r="N240" s="54">
        <f t="shared" si="170"/>
        <v>0</v>
      </c>
      <c r="O240" s="54">
        <f t="shared" si="170"/>
        <v>0</v>
      </c>
      <c r="P240" s="54">
        <f t="shared" si="170"/>
        <v>0</v>
      </c>
      <c r="Q240" s="54">
        <f t="shared" si="170"/>
        <v>0</v>
      </c>
      <c r="R240" s="54">
        <f t="shared" si="170"/>
        <v>0</v>
      </c>
      <c r="S240" s="54">
        <f t="shared" si="170"/>
        <v>0</v>
      </c>
      <c r="T240" s="54">
        <f t="shared" si="170"/>
        <v>0</v>
      </c>
    </row>
    <row r="241" spans="2:20" s="35" customFormat="1" ht="13.5" customHeight="1" outlineLevel="1">
      <c r="B241" s="84" t="s">
        <v>128</v>
      </c>
      <c r="C241" s="38"/>
      <c r="D241" s="107"/>
      <c r="E241" s="411">
        <v>20.661999999999999</v>
      </c>
      <c r="F241" s="57">
        <f t="shared" ref="F241:H244" si="171">F338</f>
        <v>21.190826325411333</v>
      </c>
      <c r="G241" s="57">
        <f t="shared" si="171"/>
        <v>21.455239488116998</v>
      </c>
      <c r="H241" s="57">
        <f t="shared" si="171"/>
        <v>21.719652650822667</v>
      </c>
      <c r="I241" s="215">
        <f>J241-H241</f>
        <v>0</v>
      </c>
      <c r="J241" s="109">
        <f>O931</f>
        <v>21.719652650822667</v>
      </c>
      <c r="K241" s="57">
        <f t="shared" ref="K241:T241" si="172">K338</f>
        <v>22.9547106425176</v>
      </c>
      <c r="L241" s="57">
        <f t="shared" si="172"/>
        <v>24.332763670097197</v>
      </c>
      <c r="M241" s="57">
        <f t="shared" si="172"/>
        <v>25.793546128528501</v>
      </c>
      <c r="N241" s="57">
        <f t="shared" si="172"/>
        <v>27.342024560166621</v>
      </c>
      <c r="O241" s="57">
        <f t="shared" si="172"/>
        <v>28.983463666591387</v>
      </c>
      <c r="P241" s="57">
        <f t="shared" si="172"/>
        <v>30.723444208167447</v>
      </c>
      <c r="Q241" s="57">
        <f t="shared" si="172"/>
        <v>32.567881978178661</v>
      </c>
      <c r="R241" s="57">
        <f t="shared" si="172"/>
        <v>34.523047916047418</v>
      </c>
      <c r="S241" s="57">
        <f t="shared" si="172"/>
        <v>36.595589428022095</v>
      </c>
      <c r="T241" s="57">
        <f t="shared" si="172"/>
        <v>38.792552987821267</v>
      </c>
    </row>
    <row r="242" spans="2:20" s="35" customFormat="1" ht="13.5" customHeight="1" outlineLevel="1">
      <c r="B242" s="84" t="s">
        <v>129</v>
      </c>
      <c r="C242" s="38"/>
      <c r="D242" s="107"/>
      <c r="E242" s="411">
        <v>15.38</v>
      </c>
      <c r="F242" s="57">
        <f t="shared" si="171"/>
        <v>15.773638025594151</v>
      </c>
      <c r="G242" s="57">
        <f t="shared" si="171"/>
        <v>15.970457038391224</v>
      </c>
      <c r="H242" s="57">
        <f t="shared" si="171"/>
        <v>16.167276051188299</v>
      </c>
      <c r="I242" s="215">
        <f>J242-H242</f>
        <v>0</v>
      </c>
      <c r="J242" s="109">
        <f>O932</f>
        <v>16.167276051188299</v>
      </c>
      <c r="K242" s="57">
        <f t="shared" ref="K242:T242" si="173">K339</f>
        <v>17.086605831087056</v>
      </c>
      <c r="L242" s="57">
        <f t="shared" si="173"/>
        <v>18.11237562898533</v>
      </c>
      <c r="M242" s="57">
        <f t="shared" si="173"/>
        <v>19.199726040885121</v>
      </c>
      <c r="N242" s="57">
        <f t="shared" si="173"/>
        <v>20.352353970349565</v>
      </c>
      <c r="O242" s="57">
        <f t="shared" si="173"/>
        <v>21.574178259228322</v>
      </c>
      <c r="P242" s="57">
        <f t="shared" si="173"/>
        <v>22.869353011403316</v>
      </c>
      <c r="Q242" s="57">
        <f t="shared" si="173"/>
        <v>24.242281716406342</v>
      </c>
      <c r="R242" s="57">
        <f t="shared" si="173"/>
        <v>25.697632220927758</v>
      </c>
      <c r="S242" s="57">
        <f t="shared" si="173"/>
        <v>27.240352599118179</v>
      </c>
      <c r="T242" s="57">
        <f t="shared" si="173"/>
        <v>28.875687975640844</v>
      </c>
    </row>
    <row r="243" spans="2:20" s="35" customFormat="1" ht="13.5" customHeight="1" outlineLevel="1">
      <c r="B243" s="84" t="s">
        <v>130</v>
      </c>
      <c r="C243" s="38"/>
      <c r="D243" s="107"/>
      <c r="E243" s="411">
        <v>0</v>
      </c>
      <c r="F243" s="57">
        <f t="shared" si="171"/>
        <v>0</v>
      </c>
      <c r="G243" s="57">
        <f t="shared" si="171"/>
        <v>0</v>
      </c>
      <c r="H243" s="57">
        <f t="shared" si="171"/>
        <v>0</v>
      </c>
      <c r="I243" s="215">
        <f>J243-H243</f>
        <v>0</v>
      </c>
      <c r="J243" s="109">
        <f>O933</f>
        <v>0</v>
      </c>
      <c r="K243" s="57">
        <f t="shared" ref="K243:T243" si="174">K340</f>
        <v>0</v>
      </c>
      <c r="L243" s="57">
        <f t="shared" si="174"/>
        <v>0</v>
      </c>
      <c r="M243" s="57">
        <f t="shared" si="174"/>
        <v>0</v>
      </c>
      <c r="N243" s="57">
        <f t="shared" si="174"/>
        <v>0</v>
      </c>
      <c r="O243" s="57">
        <f t="shared" si="174"/>
        <v>0</v>
      </c>
      <c r="P243" s="57">
        <f t="shared" si="174"/>
        <v>0</v>
      </c>
      <c r="Q243" s="57">
        <f t="shared" si="174"/>
        <v>0</v>
      </c>
      <c r="R243" s="57">
        <f t="shared" si="174"/>
        <v>0</v>
      </c>
      <c r="S243" s="57">
        <f t="shared" si="174"/>
        <v>0</v>
      </c>
      <c r="T243" s="57">
        <f t="shared" si="174"/>
        <v>0</v>
      </c>
    </row>
    <row r="244" spans="2:20" s="35" customFormat="1" ht="13.5" customHeight="1" outlineLevel="1">
      <c r="B244" s="84" t="s">
        <v>131</v>
      </c>
      <c r="C244" s="38"/>
      <c r="D244" s="107"/>
      <c r="E244" s="411">
        <v>59.132999999999996</v>
      </c>
      <c r="F244" s="57">
        <f t="shared" si="171"/>
        <v>60.646458866544791</v>
      </c>
      <c r="G244" s="57">
        <f t="shared" si="171"/>
        <v>61.403188299817181</v>
      </c>
      <c r="H244" s="57">
        <f t="shared" si="171"/>
        <v>62.159917733089578</v>
      </c>
      <c r="I244" s="215">
        <f>J244-H244</f>
        <v>0</v>
      </c>
      <c r="J244" s="109">
        <f>O934</f>
        <v>62.159917733089578</v>
      </c>
      <c r="K244" s="57">
        <f t="shared" ref="K244:T244" si="175">K341</f>
        <v>65.694555436259492</v>
      </c>
      <c r="L244" s="57">
        <f t="shared" si="175"/>
        <v>69.638433554537684</v>
      </c>
      <c r="M244" s="57">
        <f t="shared" si="175"/>
        <v>73.819076721434328</v>
      </c>
      <c r="N244" s="57">
        <f t="shared" si="175"/>
        <v>78.250698786000058</v>
      </c>
      <c r="O244" s="57">
        <f t="shared" si="175"/>
        <v>82.948366905263228</v>
      </c>
      <c r="P244" s="57">
        <f t="shared" si="175"/>
        <v>87.928052771346714</v>
      </c>
      <c r="Q244" s="57">
        <f t="shared" si="175"/>
        <v>93.206686913930838</v>
      </c>
      <c r="R244" s="57">
        <f t="shared" si="175"/>
        <v>98.802216262686684</v>
      </c>
      <c r="S244" s="57">
        <f t="shared" si="175"/>
        <v>104.73366516538721</v>
      </c>
      <c r="T244" s="57">
        <f t="shared" si="175"/>
        <v>111.0212000691528</v>
      </c>
    </row>
    <row r="245" spans="2:20" s="35" customFormat="1" ht="13.5" customHeight="1" outlineLevel="1">
      <c r="B245" s="130" t="s">
        <v>132</v>
      </c>
      <c r="C245" s="52"/>
      <c r="D245" s="153"/>
      <c r="E245" s="153">
        <f>SUM(E240:E244)</f>
        <v>95.174999999999997</v>
      </c>
      <c r="F245" s="153">
        <f t="shared" ref="F245:H245" si="176">SUM(F240:F244)</f>
        <v>97.610923217550265</v>
      </c>
      <c r="G245" s="153">
        <f t="shared" si="176"/>
        <v>98.828884826325407</v>
      </c>
      <c r="H245" s="153">
        <f t="shared" si="176"/>
        <v>100.04684643510055</v>
      </c>
      <c r="I245" s="207">
        <f t="shared" ref="I245:J245" si="177">SUM(I240:I244)</f>
        <v>0</v>
      </c>
      <c r="J245" s="153">
        <f t="shared" si="177"/>
        <v>100.04684643510055</v>
      </c>
      <c r="K245" s="153">
        <f t="shared" ref="K245:T245" si="178">SUM(K240:K244)</f>
        <v>105.73587190986414</v>
      </c>
      <c r="L245" s="153">
        <f t="shared" si="178"/>
        <v>112.08357285362021</v>
      </c>
      <c r="M245" s="153">
        <f t="shared" si="178"/>
        <v>118.81234889084794</v>
      </c>
      <c r="N245" s="153">
        <f t="shared" si="178"/>
        <v>125.94507731651625</v>
      </c>
      <c r="O245" s="153">
        <f t="shared" si="178"/>
        <v>133.50600883108294</v>
      </c>
      <c r="P245" s="153">
        <f t="shared" si="178"/>
        <v>141.52084999091747</v>
      </c>
      <c r="Q245" s="153">
        <f t="shared" si="178"/>
        <v>150.01685060851582</v>
      </c>
      <c r="R245" s="153">
        <f t="shared" si="178"/>
        <v>159.02289639966187</v>
      </c>
      <c r="S245" s="153">
        <f t="shared" si="178"/>
        <v>168.56960719252749</v>
      </c>
      <c r="T245" s="153">
        <f t="shared" si="178"/>
        <v>178.68944103261492</v>
      </c>
    </row>
    <row r="246" spans="2:20" ht="13.5" customHeight="1" outlineLevel="1">
      <c r="B246" s="38" t="s">
        <v>140</v>
      </c>
      <c r="D246" s="107"/>
      <c r="E246" s="411">
        <v>0</v>
      </c>
      <c r="F246" s="57">
        <f>E246</f>
        <v>0</v>
      </c>
      <c r="G246" s="57">
        <f t="shared" ref="G246:H246" si="179">F246</f>
        <v>0</v>
      </c>
      <c r="H246" s="57">
        <f t="shared" si="179"/>
        <v>0</v>
      </c>
      <c r="I246" s="215">
        <f t="shared" ref="I246:I256" si="180">J246-H246</f>
        <v>0</v>
      </c>
      <c r="J246" s="109">
        <f t="shared" ref="J246:J256" si="181">O936</f>
        <v>0</v>
      </c>
      <c r="K246" s="57">
        <f t="shared" ref="K246:T246" si="182">J246</f>
        <v>0</v>
      </c>
      <c r="L246" s="57">
        <f t="shared" si="182"/>
        <v>0</v>
      </c>
      <c r="M246" s="57">
        <f t="shared" si="182"/>
        <v>0</v>
      </c>
      <c r="N246" s="57">
        <f t="shared" si="182"/>
        <v>0</v>
      </c>
      <c r="O246" s="57">
        <f t="shared" si="182"/>
        <v>0</v>
      </c>
      <c r="P246" s="57">
        <f t="shared" si="182"/>
        <v>0</v>
      </c>
      <c r="Q246" s="57">
        <f t="shared" si="182"/>
        <v>0</v>
      </c>
      <c r="R246" s="57">
        <f t="shared" si="182"/>
        <v>0</v>
      </c>
      <c r="S246" s="57">
        <f t="shared" si="182"/>
        <v>0</v>
      </c>
      <c r="T246" s="57">
        <f t="shared" si="182"/>
        <v>0</v>
      </c>
    </row>
    <row r="247" spans="2:20" ht="13.5" customHeight="1" outlineLevel="1">
      <c r="B247" s="84" t="s">
        <v>138</v>
      </c>
      <c r="D247" s="107"/>
      <c r="E247" s="411">
        <v>230</v>
      </c>
      <c r="F247" s="57">
        <f t="shared" ref="F247:H247" si="183">E247</f>
        <v>230</v>
      </c>
      <c r="G247" s="57">
        <f t="shared" si="183"/>
        <v>230</v>
      </c>
      <c r="H247" s="57">
        <f t="shared" si="183"/>
        <v>230</v>
      </c>
      <c r="I247" s="215">
        <f t="shared" si="180"/>
        <v>-230</v>
      </c>
      <c r="J247" s="109">
        <f t="shared" si="181"/>
        <v>0</v>
      </c>
      <c r="K247" s="208">
        <f t="shared" ref="K247:T247" ca="1" si="184">J247+K306</f>
        <v>0</v>
      </c>
      <c r="L247" s="208">
        <f t="shared" ca="1" si="184"/>
        <v>0</v>
      </c>
      <c r="M247" s="208">
        <f t="shared" ca="1" si="184"/>
        <v>0</v>
      </c>
      <c r="N247" s="208">
        <f t="shared" ca="1" si="184"/>
        <v>0</v>
      </c>
      <c r="O247" s="208">
        <f t="shared" ca="1" si="184"/>
        <v>0</v>
      </c>
      <c r="P247" s="208">
        <f t="shared" ca="1" si="184"/>
        <v>0</v>
      </c>
      <c r="Q247" s="208">
        <f t="shared" ca="1" si="184"/>
        <v>0</v>
      </c>
      <c r="R247" s="208">
        <f t="shared" ca="1" si="184"/>
        <v>0</v>
      </c>
      <c r="S247" s="208">
        <f t="shared" ca="1" si="184"/>
        <v>0</v>
      </c>
      <c r="T247" s="208">
        <f t="shared" ca="1" si="184"/>
        <v>0</v>
      </c>
    </row>
    <row r="248" spans="2:20" ht="13.5" customHeight="1" outlineLevel="1">
      <c r="B248" s="84" t="str">
        <f>B15</f>
        <v>Revolver</v>
      </c>
      <c r="D248" s="107"/>
      <c r="E248" s="411">
        <v>0</v>
      </c>
      <c r="F248" s="57">
        <f t="shared" ref="F248:H248" si="185">E248</f>
        <v>0</v>
      </c>
      <c r="G248" s="57">
        <f t="shared" si="185"/>
        <v>0</v>
      </c>
      <c r="H248" s="57">
        <f t="shared" si="185"/>
        <v>0</v>
      </c>
      <c r="I248" s="215">
        <f t="shared" si="180"/>
        <v>0</v>
      </c>
      <c r="J248" s="109">
        <f t="shared" si="181"/>
        <v>0</v>
      </c>
      <c r="K248" s="208">
        <f t="shared" ref="K248:T248" ca="1" si="186">J248+K305</f>
        <v>0</v>
      </c>
      <c r="L248" s="208">
        <f t="shared" ca="1" si="186"/>
        <v>0</v>
      </c>
      <c r="M248" s="208">
        <f t="shared" ca="1" si="186"/>
        <v>0</v>
      </c>
      <c r="N248" s="208">
        <f t="shared" ca="1" si="186"/>
        <v>0</v>
      </c>
      <c r="O248" s="208">
        <f t="shared" ca="1" si="186"/>
        <v>0</v>
      </c>
      <c r="P248" s="208">
        <f t="shared" ca="1" si="186"/>
        <v>0</v>
      </c>
      <c r="Q248" s="208">
        <f t="shared" ca="1" si="186"/>
        <v>0</v>
      </c>
      <c r="R248" s="208">
        <f t="shared" ca="1" si="186"/>
        <v>0</v>
      </c>
      <c r="S248" s="208">
        <f t="shared" ca="1" si="186"/>
        <v>0</v>
      </c>
      <c r="T248" s="208">
        <f t="shared" ca="1" si="186"/>
        <v>0</v>
      </c>
    </row>
    <row r="249" spans="2:20" ht="13.5" customHeight="1" outlineLevel="1">
      <c r="B249" s="84" t="str">
        <f t="shared" ref="B249:B256" si="187">B881</f>
        <v>Term loan - A</v>
      </c>
      <c r="D249" s="107"/>
      <c r="E249" s="411">
        <v>0</v>
      </c>
      <c r="F249" s="57">
        <f t="shared" ref="F249:H249" si="188">E249</f>
        <v>0</v>
      </c>
      <c r="G249" s="57">
        <f t="shared" si="188"/>
        <v>0</v>
      </c>
      <c r="H249" s="57">
        <f t="shared" si="188"/>
        <v>0</v>
      </c>
      <c r="I249" s="215">
        <f t="shared" si="180"/>
        <v>50</v>
      </c>
      <c r="J249" s="109">
        <f t="shared" si="181"/>
        <v>50</v>
      </c>
      <c r="K249" s="208">
        <f ca="1">K475</f>
        <v>0</v>
      </c>
      <c r="L249" s="208">
        <f t="shared" ref="L249:T249" ca="1" si="189">L475</f>
        <v>0</v>
      </c>
      <c r="M249" s="208">
        <f t="shared" ca="1" si="189"/>
        <v>0</v>
      </c>
      <c r="N249" s="208">
        <f t="shared" ca="1" si="189"/>
        <v>0</v>
      </c>
      <c r="O249" s="208">
        <f t="shared" ca="1" si="189"/>
        <v>0</v>
      </c>
      <c r="P249" s="208">
        <f t="shared" ca="1" si="189"/>
        <v>0</v>
      </c>
      <c r="Q249" s="208">
        <f t="shared" ca="1" si="189"/>
        <v>0</v>
      </c>
      <c r="R249" s="208">
        <f t="shared" ca="1" si="189"/>
        <v>0</v>
      </c>
      <c r="S249" s="208">
        <f t="shared" ca="1" si="189"/>
        <v>0</v>
      </c>
      <c r="T249" s="208">
        <f t="shared" ca="1" si="189"/>
        <v>0</v>
      </c>
    </row>
    <row r="250" spans="2:20" ht="13.5" customHeight="1" outlineLevel="1">
      <c r="B250" s="84" t="str">
        <f t="shared" si="187"/>
        <v>Term loan - B</v>
      </c>
      <c r="D250" s="107"/>
      <c r="E250" s="411">
        <v>0</v>
      </c>
      <c r="F250" s="57">
        <f t="shared" ref="F250:H250" si="190">E250</f>
        <v>0</v>
      </c>
      <c r="G250" s="57">
        <f t="shared" si="190"/>
        <v>0</v>
      </c>
      <c r="H250" s="57">
        <f t="shared" si="190"/>
        <v>0</v>
      </c>
      <c r="I250" s="215">
        <f t="shared" si="180"/>
        <v>0</v>
      </c>
      <c r="J250" s="109">
        <f t="shared" si="181"/>
        <v>0</v>
      </c>
      <c r="K250" s="208">
        <f ca="1">K484</f>
        <v>0</v>
      </c>
      <c r="L250" s="208">
        <f t="shared" ref="L250:T250" ca="1" si="191">L484</f>
        <v>0</v>
      </c>
      <c r="M250" s="208">
        <f t="shared" ca="1" si="191"/>
        <v>0</v>
      </c>
      <c r="N250" s="208">
        <f t="shared" ca="1" si="191"/>
        <v>0</v>
      </c>
      <c r="O250" s="208">
        <f t="shared" ca="1" si="191"/>
        <v>0</v>
      </c>
      <c r="P250" s="208">
        <f t="shared" ca="1" si="191"/>
        <v>0</v>
      </c>
      <c r="Q250" s="208">
        <f t="shared" ca="1" si="191"/>
        <v>0</v>
      </c>
      <c r="R250" s="208">
        <f t="shared" ca="1" si="191"/>
        <v>0</v>
      </c>
      <c r="S250" s="208">
        <f t="shared" ca="1" si="191"/>
        <v>0</v>
      </c>
      <c r="T250" s="208">
        <f t="shared" ca="1" si="191"/>
        <v>0</v>
      </c>
    </row>
    <row r="251" spans="2:20" ht="13.5" customHeight="1" outlineLevel="1">
      <c r="B251" s="84" t="str">
        <f t="shared" si="187"/>
        <v>Senior note</v>
      </c>
      <c r="D251" s="107"/>
      <c r="E251" s="411">
        <v>0</v>
      </c>
      <c r="F251" s="57">
        <f t="shared" ref="F251:H251" si="192">E251</f>
        <v>0</v>
      </c>
      <c r="G251" s="57">
        <f t="shared" si="192"/>
        <v>0</v>
      </c>
      <c r="H251" s="57">
        <f t="shared" si="192"/>
        <v>0</v>
      </c>
      <c r="I251" s="215">
        <f t="shared" si="180"/>
        <v>100</v>
      </c>
      <c r="J251" s="109">
        <f t="shared" si="181"/>
        <v>100</v>
      </c>
      <c r="K251" s="208">
        <f ca="1">K493</f>
        <v>100</v>
      </c>
      <c r="L251" s="208">
        <f t="shared" ref="L251:T251" ca="1" si="193">L493</f>
        <v>100</v>
      </c>
      <c r="M251" s="208">
        <f t="shared" ca="1" si="193"/>
        <v>100</v>
      </c>
      <c r="N251" s="208">
        <f t="shared" ca="1" si="193"/>
        <v>100</v>
      </c>
      <c r="O251" s="208">
        <f t="shared" ca="1" si="193"/>
        <v>100</v>
      </c>
      <c r="P251" s="208">
        <f t="shared" ca="1" si="193"/>
        <v>100</v>
      </c>
      <c r="Q251" s="208">
        <f t="shared" ca="1" si="193"/>
        <v>100</v>
      </c>
      <c r="R251" s="208">
        <f t="shared" ca="1" si="193"/>
        <v>0</v>
      </c>
      <c r="S251" s="208">
        <f t="shared" ca="1" si="193"/>
        <v>0</v>
      </c>
      <c r="T251" s="208">
        <f t="shared" ca="1" si="193"/>
        <v>0</v>
      </c>
    </row>
    <row r="252" spans="2:20" ht="13.5" customHeight="1" outlineLevel="1">
      <c r="B252" s="84" t="str">
        <f t="shared" si="187"/>
        <v>Subordinated note</v>
      </c>
      <c r="D252" s="107"/>
      <c r="E252" s="411">
        <v>0</v>
      </c>
      <c r="F252" s="57">
        <f t="shared" ref="F252:H252" si="194">E252</f>
        <v>0</v>
      </c>
      <c r="G252" s="57">
        <f t="shared" si="194"/>
        <v>0</v>
      </c>
      <c r="H252" s="57">
        <f t="shared" si="194"/>
        <v>0</v>
      </c>
      <c r="I252" s="215">
        <f t="shared" si="180"/>
        <v>50</v>
      </c>
      <c r="J252" s="109">
        <f t="shared" si="181"/>
        <v>50</v>
      </c>
      <c r="K252" s="208">
        <f ca="1">K502</f>
        <v>50</v>
      </c>
      <c r="L252" s="208">
        <f t="shared" ref="L252:T252" ca="1" si="195">L502</f>
        <v>50</v>
      </c>
      <c r="M252" s="208">
        <f t="shared" ca="1" si="195"/>
        <v>50</v>
      </c>
      <c r="N252" s="208">
        <f t="shared" ca="1" si="195"/>
        <v>50</v>
      </c>
      <c r="O252" s="208">
        <f t="shared" ca="1" si="195"/>
        <v>50</v>
      </c>
      <c r="P252" s="208">
        <f t="shared" ca="1" si="195"/>
        <v>0</v>
      </c>
      <c r="Q252" s="208">
        <f t="shared" ca="1" si="195"/>
        <v>0</v>
      </c>
      <c r="R252" s="208">
        <f t="shared" ca="1" si="195"/>
        <v>0</v>
      </c>
      <c r="S252" s="208">
        <f t="shared" ca="1" si="195"/>
        <v>0</v>
      </c>
      <c r="T252" s="208">
        <f t="shared" ca="1" si="195"/>
        <v>0</v>
      </c>
    </row>
    <row r="253" spans="2:20" ht="13.5" customHeight="1" outlineLevel="1">
      <c r="B253" s="84" t="str">
        <f t="shared" si="187"/>
        <v>Mezzanine</v>
      </c>
      <c r="D253" s="107"/>
      <c r="E253" s="411">
        <v>0</v>
      </c>
      <c r="F253" s="57">
        <f t="shared" ref="F253:H253" si="196">E253</f>
        <v>0</v>
      </c>
      <c r="G253" s="57">
        <f t="shared" si="196"/>
        <v>0</v>
      </c>
      <c r="H253" s="57">
        <f t="shared" si="196"/>
        <v>0</v>
      </c>
      <c r="I253" s="215">
        <f t="shared" si="180"/>
        <v>0</v>
      </c>
      <c r="J253" s="109">
        <f t="shared" si="181"/>
        <v>0</v>
      </c>
      <c r="K253" s="208">
        <f ca="1">K511</f>
        <v>0</v>
      </c>
      <c r="L253" s="208">
        <f t="shared" ref="L253:T253" ca="1" si="197">L511</f>
        <v>0</v>
      </c>
      <c r="M253" s="208">
        <f t="shared" ca="1" si="197"/>
        <v>0</v>
      </c>
      <c r="N253" s="208">
        <f t="shared" ca="1" si="197"/>
        <v>0</v>
      </c>
      <c r="O253" s="208">
        <f t="shared" ca="1" si="197"/>
        <v>0</v>
      </c>
      <c r="P253" s="208">
        <f t="shared" ca="1" si="197"/>
        <v>0</v>
      </c>
      <c r="Q253" s="208">
        <f t="shared" ca="1" si="197"/>
        <v>0</v>
      </c>
      <c r="R253" s="208">
        <f t="shared" ca="1" si="197"/>
        <v>0</v>
      </c>
      <c r="S253" s="208">
        <f t="shared" ca="1" si="197"/>
        <v>0</v>
      </c>
      <c r="T253" s="208">
        <f t="shared" ca="1" si="197"/>
        <v>0</v>
      </c>
    </row>
    <row r="254" spans="2:20" ht="13.5" customHeight="1" outlineLevel="1">
      <c r="B254" s="84" t="str">
        <f t="shared" si="187"/>
        <v>Seller note</v>
      </c>
      <c r="D254" s="107"/>
      <c r="E254" s="411">
        <v>0</v>
      </c>
      <c r="F254" s="57">
        <f t="shared" ref="F254:H254" si="198">E254</f>
        <v>0</v>
      </c>
      <c r="G254" s="57">
        <f t="shared" si="198"/>
        <v>0</v>
      </c>
      <c r="H254" s="57">
        <f t="shared" si="198"/>
        <v>0</v>
      </c>
      <c r="I254" s="215">
        <f t="shared" si="180"/>
        <v>0</v>
      </c>
      <c r="J254" s="109">
        <f t="shared" si="181"/>
        <v>0</v>
      </c>
      <c r="K254" s="208">
        <f ca="1">K520</f>
        <v>0</v>
      </c>
      <c r="L254" s="208">
        <f t="shared" ref="L254:T254" ca="1" si="199">L520</f>
        <v>0</v>
      </c>
      <c r="M254" s="208">
        <f t="shared" ca="1" si="199"/>
        <v>0</v>
      </c>
      <c r="N254" s="208">
        <f t="shared" ca="1" si="199"/>
        <v>0</v>
      </c>
      <c r="O254" s="208">
        <f t="shared" ca="1" si="199"/>
        <v>0</v>
      </c>
      <c r="P254" s="208">
        <f t="shared" ca="1" si="199"/>
        <v>0</v>
      </c>
      <c r="Q254" s="208">
        <f t="shared" ca="1" si="199"/>
        <v>0</v>
      </c>
      <c r="R254" s="208">
        <f t="shared" ca="1" si="199"/>
        <v>0</v>
      </c>
      <c r="S254" s="208">
        <f t="shared" ca="1" si="199"/>
        <v>0</v>
      </c>
      <c r="T254" s="208">
        <f t="shared" ca="1" si="199"/>
        <v>0</v>
      </c>
    </row>
    <row r="255" spans="2:20" ht="13.5" customHeight="1" outlineLevel="1">
      <c r="B255" s="84" t="str">
        <f t="shared" si="187"/>
        <v>Convertible bond</v>
      </c>
      <c r="D255" s="107"/>
      <c r="E255" s="411">
        <v>0</v>
      </c>
      <c r="F255" s="57">
        <f t="shared" ref="F255:F256" si="200">E255</f>
        <v>0</v>
      </c>
      <c r="G255" s="57">
        <f t="shared" ref="G255:G256" si="201">F255</f>
        <v>0</v>
      </c>
      <c r="H255" s="57">
        <f t="shared" ref="H255:H256" si="202">G255</f>
        <v>0</v>
      </c>
      <c r="I255" s="215">
        <f t="shared" si="180"/>
        <v>0</v>
      </c>
      <c r="J255" s="109">
        <f t="shared" si="181"/>
        <v>0</v>
      </c>
      <c r="K255" s="208">
        <f ca="1">K529</f>
        <v>0</v>
      </c>
      <c r="L255" s="208">
        <f t="shared" ref="L255:T255" ca="1" si="203">L529</f>
        <v>0</v>
      </c>
      <c r="M255" s="208">
        <f t="shared" ca="1" si="203"/>
        <v>0</v>
      </c>
      <c r="N255" s="208">
        <f t="shared" ca="1" si="203"/>
        <v>0</v>
      </c>
      <c r="O255" s="208">
        <f t="shared" ca="1" si="203"/>
        <v>0</v>
      </c>
      <c r="P255" s="208">
        <f t="shared" ca="1" si="203"/>
        <v>0</v>
      </c>
      <c r="Q255" s="208">
        <f t="shared" ca="1" si="203"/>
        <v>0</v>
      </c>
      <c r="R255" s="208">
        <f t="shared" ca="1" si="203"/>
        <v>0</v>
      </c>
      <c r="S255" s="208">
        <f t="shared" ca="1" si="203"/>
        <v>0</v>
      </c>
      <c r="T255" s="208">
        <f t="shared" ca="1" si="203"/>
        <v>0</v>
      </c>
    </row>
    <row r="256" spans="2:20" ht="13.5" customHeight="1" outlineLevel="1">
      <c r="B256" s="84" t="str">
        <f t="shared" si="187"/>
        <v>[Debt 8]</v>
      </c>
      <c r="D256" s="107"/>
      <c r="E256" s="411">
        <v>0</v>
      </c>
      <c r="F256" s="57">
        <f t="shared" si="200"/>
        <v>0</v>
      </c>
      <c r="G256" s="57">
        <f t="shared" si="201"/>
        <v>0</v>
      </c>
      <c r="H256" s="57">
        <f t="shared" si="202"/>
        <v>0</v>
      </c>
      <c r="I256" s="215">
        <f t="shared" si="180"/>
        <v>0</v>
      </c>
      <c r="J256" s="109">
        <f t="shared" si="181"/>
        <v>0</v>
      </c>
      <c r="K256" s="208">
        <f ca="1">K538</f>
        <v>0</v>
      </c>
      <c r="L256" s="208">
        <f t="shared" ref="L256:T256" ca="1" si="204">L538</f>
        <v>0</v>
      </c>
      <c r="M256" s="208">
        <f t="shared" ca="1" si="204"/>
        <v>0</v>
      </c>
      <c r="N256" s="208">
        <f t="shared" ca="1" si="204"/>
        <v>0</v>
      </c>
      <c r="O256" s="208">
        <f t="shared" ca="1" si="204"/>
        <v>0</v>
      </c>
      <c r="P256" s="208">
        <f t="shared" ca="1" si="204"/>
        <v>0</v>
      </c>
      <c r="Q256" s="208">
        <f t="shared" ca="1" si="204"/>
        <v>0</v>
      </c>
      <c r="R256" s="208">
        <f t="shared" ca="1" si="204"/>
        <v>0</v>
      </c>
      <c r="S256" s="208">
        <f t="shared" ca="1" si="204"/>
        <v>0</v>
      </c>
      <c r="T256" s="208">
        <f t="shared" ca="1" si="204"/>
        <v>0</v>
      </c>
    </row>
    <row r="257" spans="2:20" ht="13.5" customHeight="1" outlineLevel="1">
      <c r="B257" s="97" t="s">
        <v>137</v>
      </c>
      <c r="C257" s="97"/>
      <c r="D257" s="216"/>
      <c r="E257" s="216">
        <f ca="1">SUM(E247:OFFSET(E257,-1,0))</f>
        <v>230</v>
      </c>
      <c r="F257" s="216">
        <f ca="1">SUM(F247:OFFSET(F257,-1,0))</f>
        <v>230</v>
      </c>
      <c r="G257" s="216">
        <f ca="1">SUM(G247:OFFSET(G257,-1,0))</f>
        <v>230</v>
      </c>
      <c r="H257" s="216">
        <f ca="1">SUM(H247:OFFSET(H257,-1,0))</f>
        <v>230</v>
      </c>
      <c r="I257" s="217">
        <f ca="1">SUM(I247:OFFSET(I257,-1,0))</f>
        <v>-30</v>
      </c>
      <c r="J257" s="216">
        <f ca="1">SUM(J247:OFFSET(J257,-1,0))</f>
        <v>200</v>
      </c>
      <c r="K257" s="216">
        <f ca="1">SUM(K247:OFFSET(K257,-1,0))</f>
        <v>150</v>
      </c>
      <c r="L257" s="216">
        <f ca="1">SUM(L247:OFFSET(L257,-1,0))</f>
        <v>150</v>
      </c>
      <c r="M257" s="216">
        <f ca="1">SUM(M247:OFFSET(M257,-1,0))</f>
        <v>150</v>
      </c>
      <c r="N257" s="216">
        <f ca="1">SUM(N247:OFFSET(N257,-1,0))</f>
        <v>150</v>
      </c>
      <c r="O257" s="216">
        <f ca="1">SUM(O247:OFFSET(O257,-1,0))</f>
        <v>150</v>
      </c>
      <c r="P257" s="216">
        <f ca="1">SUM(P247:OFFSET(P257,-1,0))</f>
        <v>100</v>
      </c>
      <c r="Q257" s="216">
        <f ca="1">SUM(Q247:OFFSET(Q257,-1,0))</f>
        <v>100</v>
      </c>
      <c r="R257" s="216">
        <f ca="1">SUM(R247:OFFSET(R257,-1,0))</f>
        <v>0</v>
      </c>
      <c r="S257" s="216">
        <f ca="1">SUM(S247:OFFSET(S257,-1,0))</f>
        <v>0</v>
      </c>
      <c r="T257" s="216">
        <f ca="1">SUM(T247:OFFSET(T257,-1,0))</f>
        <v>0</v>
      </c>
    </row>
    <row r="258" spans="2:20" ht="13.5" customHeight="1" outlineLevel="1">
      <c r="B258" s="38" t="s">
        <v>339</v>
      </c>
      <c r="D258" s="107"/>
      <c r="E258" s="411">
        <v>-8.8279999999999994</v>
      </c>
      <c r="F258" s="57">
        <f ca="1">F725</f>
        <v>-8.8279999999999994</v>
      </c>
      <c r="G258" s="57">
        <f t="shared" ref="G258:H258" ca="1" si="205">G725</f>
        <v>-8.8279999999999994</v>
      </c>
      <c r="H258" s="57">
        <f t="shared" ca="1" si="205"/>
        <v>-8.8279999999999994</v>
      </c>
      <c r="I258" s="209">
        <f ca="1">J258-H258</f>
        <v>45.83437281117186</v>
      </c>
      <c r="J258" s="109">
        <f ca="1">O948</f>
        <v>37.006372811171865</v>
      </c>
      <c r="K258" s="57">
        <f t="shared" ref="K258:T258" ca="1" si="206">K725</f>
        <v>36.626369554029012</v>
      </c>
      <c r="L258" s="57">
        <f t="shared" ca="1" si="206"/>
        <v>36.246366296886151</v>
      </c>
      <c r="M258" s="57">
        <f t="shared" ca="1" si="206"/>
        <v>35.866363039743291</v>
      </c>
      <c r="N258" s="57">
        <f t="shared" ca="1" si="206"/>
        <v>35.486359782600431</v>
      </c>
      <c r="O258" s="57">
        <f t="shared" ca="1" si="206"/>
        <v>35.106356525457571</v>
      </c>
      <c r="P258" s="57">
        <f t="shared" ca="1" si="206"/>
        <v>34.918854918314722</v>
      </c>
      <c r="Q258" s="57">
        <f t="shared" ca="1" si="206"/>
        <v>34.731353311171873</v>
      </c>
      <c r="R258" s="57">
        <f t="shared" ca="1" si="206"/>
        <v>34.731353311171873</v>
      </c>
      <c r="S258" s="57">
        <f t="shared" ca="1" si="206"/>
        <v>34.731353311171873</v>
      </c>
      <c r="T258" s="57">
        <f t="shared" ca="1" si="206"/>
        <v>34.731353311171873</v>
      </c>
    </row>
    <row r="259" spans="2:20" ht="13.5" customHeight="1" outlineLevel="1">
      <c r="B259" s="38" t="s">
        <v>139</v>
      </c>
      <c r="D259" s="107"/>
      <c r="E259" s="411">
        <v>17.917000000000002</v>
      </c>
      <c r="F259" s="57">
        <f>E259</f>
        <v>17.917000000000002</v>
      </c>
      <c r="G259" s="57">
        <f>F259</f>
        <v>17.917000000000002</v>
      </c>
      <c r="H259" s="57">
        <f>G259</f>
        <v>17.917000000000002</v>
      </c>
      <c r="I259" s="209">
        <f>J259-H259</f>
        <v>0</v>
      </c>
      <c r="J259" s="109">
        <f>O949</f>
        <v>17.917000000000002</v>
      </c>
      <c r="K259" s="57">
        <f t="shared" ref="K259:T259" si="207">J259</f>
        <v>17.917000000000002</v>
      </c>
      <c r="L259" s="57">
        <f t="shared" si="207"/>
        <v>17.917000000000002</v>
      </c>
      <c r="M259" s="57">
        <f t="shared" si="207"/>
        <v>17.917000000000002</v>
      </c>
      <c r="N259" s="57">
        <f t="shared" si="207"/>
        <v>17.917000000000002</v>
      </c>
      <c r="O259" s="57">
        <f t="shared" si="207"/>
        <v>17.917000000000002</v>
      </c>
      <c r="P259" s="57">
        <f t="shared" si="207"/>
        <v>17.917000000000002</v>
      </c>
      <c r="Q259" s="57">
        <f t="shared" si="207"/>
        <v>17.917000000000002</v>
      </c>
      <c r="R259" s="57">
        <f t="shared" si="207"/>
        <v>17.917000000000002</v>
      </c>
      <c r="S259" s="57">
        <f t="shared" si="207"/>
        <v>17.917000000000002</v>
      </c>
      <c r="T259" s="57">
        <f t="shared" si="207"/>
        <v>17.917000000000002</v>
      </c>
    </row>
    <row r="260" spans="2:20" ht="13.5" customHeight="1" outlineLevel="1">
      <c r="B260" s="212" t="s">
        <v>175</v>
      </c>
      <c r="C260" s="212"/>
      <c r="D260" s="218"/>
      <c r="E260" s="218">
        <f ca="1">SUM(E245:E246,E257:E259)</f>
        <v>334.26400000000001</v>
      </c>
      <c r="F260" s="218">
        <f t="shared" ref="F260:T260" ca="1" si="208">SUM(F245:F246,F257:F259)</f>
        <v>336.69992321755035</v>
      </c>
      <c r="G260" s="218">
        <f t="shared" ca="1" si="208"/>
        <v>337.91788482632546</v>
      </c>
      <c r="H260" s="218">
        <f t="shared" ca="1" si="208"/>
        <v>339.13584643510058</v>
      </c>
      <c r="I260" s="167">
        <f t="shared" ca="1" si="208"/>
        <v>15.83437281117186</v>
      </c>
      <c r="J260" s="218">
        <f t="shared" ca="1" si="208"/>
        <v>354.97021924627234</v>
      </c>
      <c r="K260" s="218">
        <f t="shared" ca="1" si="208"/>
        <v>310.27924146389319</v>
      </c>
      <c r="L260" s="218">
        <f t="shared" ca="1" si="208"/>
        <v>316.24693915050636</v>
      </c>
      <c r="M260" s="218">
        <f t="shared" ca="1" si="208"/>
        <v>322.59571193059128</v>
      </c>
      <c r="N260" s="218">
        <f t="shared" ca="1" si="208"/>
        <v>329.34843709911672</v>
      </c>
      <c r="O260" s="218">
        <f t="shared" ca="1" si="208"/>
        <v>336.52936535654044</v>
      </c>
      <c r="P260" s="218">
        <f t="shared" ca="1" si="208"/>
        <v>294.35670490923223</v>
      </c>
      <c r="Q260" s="218">
        <f t="shared" ca="1" si="208"/>
        <v>302.66520391968766</v>
      </c>
      <c r="R260" s="218">
        <f t="shared" ca="1" si="208"/>
        <v>211.67124971083373</v>
      </c>
      <c r="S260" s="218">
        <f t="shared" ca="1" si="208"/>
        <v>221.21796050369935</v>
      </c>
      <c r="T260" s="218">
        <f t="shared" ca="1" si="208"/>
        <v>231.33779434378678</v>
      </c>
    </row>
    <row r="261" spans="2:20" ht="13.5" customHeight="1" outlineLevel="1">
      <c r="B261" s="84" t="s">
        <v>133</v>
      </c>
      <c r="D261" s="107"/>
      <c r="E261" s="411">
        <v>0</v>
      </c>
      <c r="F261" s="57">
        <f t="shared" ref="F261:H261" si="209">E261</f>
        <v>0</v>
      </c>
      <c r="G261" s="57">
        <f t="shared" si="209"/>
        <v>0</v>
      </c>
      <c r="H261" s="57">
        <f t="shared" si="209"/>
        <v>0</v>
      </c>
      <c r="I261" s="209">
        <f t="shared" ref="I261:I266" si="210">J261-H261</f>
        <v>0</v>
      </c>
      <c r="J261" s="109">
        <f t="shared" ref="J261:J266" si="211">O951</f>
        <v>0</v>
      </c>
      <c r="K261" s="57">
        <f t="shared" ref="K261:T261" si="212">J261+K175</f>
        <v>0</v>
      </c>
      <c r="L261" s="57">
        <f t="shared" si="212"/>
        <v>0</v>
      </c>
      <c r="M261" s="57">
        <f t="shared" si="212"/>
        <v>0</v>
      </c>
      <c r="N261" s="57">
        <f t="shared" si="212"/>
        <v>0</v>
      </c>
      <c r="O261" s="57">
        <f t="shared" si="212"/>
        <v>0</v>
      </c>
      <c r="P261" s="57">
        <f t="shared" si="212"/>
        <v>0</v>
      </c>
      <c r="Q261" s="57">
        <f t="shared" si="212"/>
        <v>0</v>
      </c>
      <c r="R261" s="57">
        <f t="shared" si="212"/>
        <v>0</v>
      </c>
      <c r="S261" s="57">
        <f t="shared" si="212"/>
        <v>0</v>
      </c>
      <c r="T261" s="57">
        <f t="shared" si="212"/>
        <v>0</v>
      </c>
    </row>
    <row r="262" spans="2:20" ht="13.5" customHeight="1" outlineLevel="1">
      <c r="B262" s="84" t="s">
        <v>39</v>
      </c>
      <c r="D262" s="107"/>
      <c r="E262" s="411">
        <v>0</v>
      </c>
      <c r="F262" s="57">
        <f t="shared" ref="F262:H262" si="213">E262</f>
        <v>0</v>
      </c>
      <c r="G262" s="57">
        <f t="shared" si="213"/>
        <v>0</v>
      </c>
      <c r="H262" s="57">
        <f t="shared" si="213"/>
        <v>0</v>
      </c>
      <c r="I262" s="209">
        <f t="shared" si="210"/>
        <v>10</v>
      </c>
      <c r="J262" s="109">
        <f t="shared" si="211"/>
        <v>10</v>
      </c>
      <c r="K262" s="208">
        <f ca="1">K547</f>
        <v>10</v>
      </c>
      <c r="L262" s="208">
        <f t="shared" ref="L262:T262" ca="1" si="214">L547</f>
        <v>10</v>
      </c>
      <c r="M262" s="208">
        <f t="shared" ca="1" si="214"/>
        <v>10</v>
      </c>
      <c r="N262" s="208">
        <f t="shared" ca="1" si="214"/>
        <v>10</v>
      </c>
      <c r="O262" s="208">
        <f t="shared" ca="1" si="214"/>
        <v>10</v>
      </c>
      <c r="P262" s="208">
        <f t="shared" ca="1" si="214"/>
        <v>10</v>
      </c>
      <c r="Q262" s="208">
        <f t="shared" ca="1" si="214"/>
        <v>10</v>
      </c>
      <c r="R262" s="208">
        <f t="shared" ca="1" si="214"/>
        <v>10</v>
      </c>
      <c r="S262" s="208">
        <f t="shared" ca="1" si="214"/>
        <v>10</v>
      </c>
      <c r="T262" s="208">
        <f t="shared" ca="1" si="214"/>
        <v>10</v>
      </c>
    </row>
    <row r="263" spans="2:20" ht="13.5" customHeight="1" outlineLevel="1">
      <c r="B263" s="84" t="s">
        <v>40</v>
      </c>
      <c r="D263" s="107"/>
      <c r="E263" s="411">
        <v>0</v>
      </c>
      <c r="F263" s="57">
        <f t="shared" ref="F263:H263" si="215">E263</f>
        <v>0</v>
      </c>
      <c r="G263" s="57">
        <f t="shared" si="215"/>
        <v>0</v>
      </c>
      <c r="H263" s="57">
        <f t="shared" si="215"/>
        <v>0</v>
      </c>
      <c r="I263" s="209">
        <f t="shared" si="210"/>
        <v>0</v>
      </c>
      <c r="J263" s="109">
        <f t="shared" si="211"/>
        <v>0</v>
      </c>
      <c r="K263" s="208">
        <f ca="1">K556</f>
        <v>0</v>
      </c>
      <c r="L263" s="208">
        <f t="shared" ref="L263:T263" ca="1" si="216">L556</f>
        <v>0</v>
      </c>
      <c r="M263" s="208">
        <f t="shared" ca="1" si="216"/>
        <v>0</v>
      </c>
      <c r="N263" s="208">
        <f t="shared" ca="1" si="216"/>
        <v>0</v>
      </c>
      <c r="O263" s="208">
        <f t="shared" ca="1" si="216"/>
        <v>0</v>
      </c>
      <c r="P263" s="208">
        <f t="shared" ca="1" si="216"/>
        <v>0</v>
      </c>
      <c r="Q263" s="208">
        <f t="shared" ca="1" si="216"/>
        <v>0</v>
      </c>
      <c r="R263" s="208">
        <f t="shared" ca="1" si="216"/>
        <v>0</v>
      </c>
      <c r="S263" s="208">
        <f t="shared" ca="1" si="216"/>
        <v>0</v>
      </c>
      <c r="T263" s="208">
        <f t="shared" ca="1" si="216"/>
        <v>0</v>
      </c>
    </row>
    <row r="264" spans="2:20" ht="13.5" customHeight="1" outlineLevel="1">
      <c r="B264" s="84" t="s">
        <v>436</v>
      </c>
      <c r="D264" s="107"/>
      <c r="E264" s="411">
        <v>12.609</v>
      </c>
      <c r="F264" s="57">
        <f>E264</f>
        <v>12.609</v>
      </c>
      <c r="G264" s="57">
        <f>F264</f>
        <v>12.609</v>
      </c>
      <c r="H264" s="57">
        <f>G264</f>
        <v>12.609</v>
      </c>
      <c r="I264" s="215">
        <f t="shared" si="210"/>
        <v>-12.609</v>
      </c>
      <c r="J264" s="109">
        <f t="shared" si="211"/>
        <v>0</v>
      </c>
      <c r="K264" s="208">
        <f t="shared" ref="K264:T264" si="217">J264</f>
        <v>0</v>
      </c>
      <c r="L264" s="208">
        <f t="shared" si="217"/>
        <v>0</v>
      </c>
      <c r="M264" s="208">
        <f t="shared" si="217"/>
        <v>0</v>
      </c>
      <c r="N264" s="208">
        <f t="shared" si="217"/>
        <v>0</v>
      </c>
      <c r="O264" s="208">
        <f t="shared" si="217"/>
        <v>0</v>
      </c>
      <c r="P264" s="208">
        <f t="shared" si="217"/>
        <v>0</v>
      </c>
      <c r="Q264" s="208">
        <f t="shared" si="217"/>
        <v>0</v>
      </c>
      <c r="R264" s="208">
        <f t="shared" si="217"/>
        <v>0</v>
      </c>
      <c r="S264" s="208">
        <f t="shared" si="217"/>
        <v>0</v>
      </c>
      <c r="T264" s="208">
        <f t="shared" si="217"/>
        <v>0</v>
      </c>
    </row>
    <row r="265" spans="2:20" ht="13.5" customHeight="1" outlineLevel="1">
      <c r="B265" s="84" t="s">
        <v>515</v>
      </c>
      <c r="D265" s="107"/>
      <c r="E265" s="411">
        <v>20.154</v>
      </c>
      <c r="F265" s="57">
        <f>E265+F152</f>
        <v>22.158999999999999</v>
      </c>
      <c r="G265" s="57">
        <f>F265+G152</f>
        <v>25.059000000000005</v>
      </c>
      <c r="H265" s="57">
        <f>G265+H152</f>
        <v>28.159000000000002</v>
      </c>
      <c r="I265" s="209">
        <f t="shared" ca="1" si="210"/>
        <v>491.37431193147791</v>
      </c>
      <c r="J265" s="109">
        <f t="shared" ca="1" si="211"/>
        <v>519.5333119314779</v>
      </c>
      <c r="K265" s="208">
        <f t="shared" ref="K265:T265" ca="1" si="218">J265+K152</f>
        <v>527.5333119314779</v>
      </c>
      <c r="L265" s="208">
        <f t="shared" ca="1" si="218"/>
        <v>536.01358042156357</v>
      </c>
      <c r="M265" s="208">
        <f t="shared" ca="1" si="218"/>
        <v>545.00294962955616</v>
      </c>
      <c r="N265" s="208">
        <f t="shared" ca="1" si="218"/>
        <v>554.53198268459198</v>
      </c>
      <c r="O265" s="208">
        <f t="shared" ca="1" si="218"/>
        <v>564.63307752929268</v>
      </c>
      <c r="P265" s="208">
        <f t="shared" ca="1" si="218"/>
        <v>575.34057707015302</v>
      </c>
      <c r="Q265" s="208">
        <f t="shared" ca="1" si="218"/>
        <v>586.69088594064874</v>
      </c>
      <c r="R265" s="208">
        <f t="shared" ca="1" si="218"/>
        <v>598.72259427404936</v>
      </c>
      <c r="S265" s="208">
        <f t="shared" ca="1" si="218"/>
        <v>611.47660890675422</v>
      </c>
      <c r="T265" s="208">
        <f t="shared" ca="1" si="218"/>
        <v>624.99629245823166</v>
      </c>
    </row>
    <row r="266" spans="2:20" ht="13.5" customHeight="1" outlineLevel="1">
      <c r="B266" s="84" t="s">
        <v>134</v>
      </c>
      <c r="D266" s="107"/>
      <c r="E266" s="411">
        <v>65.09</v>
      </c>
      <c r="F266" s="57">
        <f ca="1">E266+F176-F185*F814</f>
        <v>72.187921681250003</v>
      </c>
      <c r="G266" s="57">
        <f ca="1">F266+G176-G185*G814</f>
        <v>79.545842162500008</v>
      </c>
      <c r="H266" s="57">
        <f ca="1">G266+H176-H185*H814</f>
        <v>87.163761443750005</v>
      </c>
      <c r="I266" s="209">
        <f t="shared" ca="1" si="210"/>
        <v>-98.907251846874999</v>
      </c>
      <c r="J266" s="109">
        <f t="shared" ca="1" si="211"/>
        <v>-11.743490403124998</v>
      </c>
      <c r="K266" s="57">
        <f t="shared" ref="K266:T266" ca="1" si="219">J266+K176-K185*K814</f>
        <v>39.852051638303564</v>
      </c>
      <c r="L266" s="57">
        <f t="shared" ca="1" si="219"/>
        <v>82.009565031113155</v>
      </c>
      <c r="M266" s="57">
        <f t="shared" ca="1" si="219"/>
        <v>128.49458618301065</v>
      </c>
      <c r="N266" s="57">
        <f t="shared" ca="1" si="219"/>
        <v>179.65666395945499</v>
      </c>
      <c r="O266" s="57">
        <f t="shared" ca="1" si="219"/>
        <v>235.8004118311087</v>
      </c>
      <c r="P266" s="57">
        <f t="shared" ca="1" si="219"/>
        <v>311.93145680267605</v>
      </c>
      <c r="Q266" s="57">
        <f t="shared" ca="1" si="219"/>
        <v>396.82813204918006</v>
      </c>
      <c r="R266" s="57">
        <f t="shared" ca="1" si="219"/>
        <v>489.61434710228292</v>
      </c>
      <c r="S266" s="57">
        <f t="shared" ca="1" si="219"/>
        <v>595.90795158985804</v>
      </c>
      <c r="T266" s="57">
        <f t="shared" ca="1" si="219"/>
        <v>709.25932622302935</v>
      </c>
    </row>
    <row r="267" spans="2:20" s="35" customFormat="1" ht="13.5" customHeight="1" outlineLevel="1">
      <c r="B267" s="130" t="s">
        <v>135</v>
      </c>
      <c r="C267" s="52"/>
      <c r="D267" s="153"/>
      <c r="E267" s="153">
        <f t="shared" ref="E267:T267" si="220">SUM(E261:E266)</f>
        <v>97.853000000000009</v>
      </c>
      <c r="F267" s="153">
        <f t="shared" ca="1" si="220"/>
        <v>106.95592168125</v>
      </c>
      <c r="G267" s="153">
        <f t="shared" ca="1" si="220"/>
        <v>117.21384216250001</v>
      </c>
      <c r="H267" s="153">
        <f t="shared" ca="1" si="220"/>
        <v>127.93176144375001</v>
      </c>
      <c r="I267" s="207">
        <f t="shared" ca="1" si="220"/>
        <v>389.85806008460293</v>
      </c>
      <c r="J267" s="153">
        <f t="shared" ca="1" si="220"/>
        <v>517.78982152835295</v>
      </c>
      <c r="K267" s="153">
        <f t="shared" ca="1" si="220"/>
        <v>577.38536356978148</v>
      </c>
      <c r="L267" s="153">
        <f t="shared" ca="1" si="220"/>
        <v>628.02314545267677</v>
      </c>
      <c r="M267" s="153">
        <f t="shared" ca="1" si="220"/>
        <v>683.49753581256687</v>
      </c>
      <c r="N267" s="153">
        <f t="shared" ca="1" si="220"/>
        <v>744.18864664404691</v>
      </c>
      <c r="O267" s="153">
        <f t="shared" ca="1" si="220"/>
        <v>810.43348936040138</v>
      </c>
      <c r="P267" s="153">
        <f t="shared" ca="1" si="220"/>
        <v>897.27203387282907</v>
      </c>
      <c r="Q267" s="153">
        <f t="shared" ca="1" si="220"/>
        <v>993.51901798982885</v>
      </c>
      <c r="R267" s="153">
        <f t="shared" ca="1" si="220"/>
        <v>1098.3369413763323</v>
      </c>
      <c r="S267" s="153">
        <f t="shared" ca="1" si="220"/>
        <v>1217.3845604966123</v>
      </c>
      <c r="T267" s="153">
        <f t="shared" ca="1" si="220"/>
        <v>1344.255618681261</v>
      </c>
    </row>
    <row r="268" spans="2:20" s="35" customFormat="1" ht="13.5" customHeight="1" outlineLevel="1">
      <c r="B268" s="219" t="s">
        <v>136</v>
      </c>
      <c r="C268" s="212"/>
      <c r="D268" s="213"/>
      <c r="E268" s="213">
        <f t="shared" ref="E268:T268" ca="1" si="221">E267+E260</f>
        <v>432.11700000000002</v>
      </c>
      <c r="F268" s="213">
        <f t="shared" ca="1" si="221"/>
        <v>443.65584489880035</v>
      </c>
      <c r="G268" s="213">
        <f t="shared" ca="1" si="221"/>
        <v>455.13172698882545</v>
      </c>
      <c r="H268" s="213">
        <f t="shared" ca="1" si="221"/>
        <v>467.06760787885059</v>
      </c>
      <c r="I268" s="96">
        <f t="shared" ca="1" si="221"/>
        <v>405.6924328957748</v>
      </c>
      <c r="J268" s="213">
        <f t="shared" ca="1" si="221"/>
        <v>872.76004077462528</v>
      </c>
      <c r="K268" s="213">
        <f t="shared" ca="1" si="221"/>
        <v>887.66460503367466</v>
      </c>
      <c r="L268" s="213">
        <f t="shared" ca="1" si="221"/>
        <v>944.27008460318314</v>
      </c>
      <c r="M268" s="213">
        <f t="shared" ca="1" si="221"/>
        <v>1006.0932477431581</v>
      </c>
      <c r="N268" s="213">
        <f t="shared" ca="1" si="221"/>
        <v>1073.5370837431637</v>
      </c>
      <c r="O268" s="213">
        <f t="shared" ca="1" si="221"/>
        <v>1146.9628547169418</v>
      </c>
      <c r="P268" s="213">
        <f t="shared" ca="1" si="221"/>
        <v>1191.6287387820612</v>
      </c>
      <c r="Q268" s="213">
        <f t="shared" ca="1" si="221"/>
        <v>1296.1842219095165</v>
      </c>
      <c r="R268" s="213">
        <f t="shared" ca="1" si="221"/>
        <v>1310.0081910871661</v>
      </c>
      <c r="S268" s="213">
        <f t="shared" ca="1" si="221"/>
        <v>1438.6025210003115</v>
      </c>
      <c r="T268" s="213">
        <f t="shared" ca="1" si="221"/>
        <v>1575.5934130250478</v>
      </c>
    </row>
    <row r="269" spans="2:20" s="35" customFormat="1" ht="13.5" customHeight="1" outlineLevel="1">
      <c r="I269" s="203"/>
    </row>
    <row r="270" spans="2:20" s="220" customFormat="1" ht="14.4" outlineLevel="1">
      <c r="B270" s="221" t="s">
        <v>158</v>
      </c>
      <c r="D270" s="222"/>
      <c r="E270" s="222">
        <f t="shared" ref="E270:T270" ca="1" si="222">E268-E236</f>
        <v>0</v>
      </c>
      <c r="F270" s="222">
        <f t="shared" ca="1" si="222"/>
        <v>0</v>
      </c>
      <c r="G270" s="222">
        <f t="shared" ca="1" si="222"/>
        <v>0</v>
      </c>
      <c r="H270" s="222">
        <f t="shared" ca="1" si="222"/>
        <v>0</v>
      </c>
      <c r="I270" s="223">
        <f t="shared" ca="1" si="222"/>
        <v>0</v>
      </c>
      <c r="J270" s="222">
        <f t="shared" ca="1" si="222"/>
        <v>0</v>
      </c>
      <c r="K270" s="222">
        <f t="shared" ca="1" si="222"/>
        <v>0</v>
      </c>
      <c r="L270" s="222">
        <f t="shared" ca="1" si="222"/>
        <v>0</v>
      </c>
      <c r="M270" s="222">
        <f t="shared" ca="1" si="222"/>
        <v>0</v>
      </c>
      <c r="N270" s="222">
        <f t="shared" ca="1" si="222"/>
        <v>0</v>
      </c>
      <c r="O270" s="222">
        <f t="shared" ca="1" si="222"/>
        <v>0</v>
      </c>
      <c r="P270" s="222">
        <f t="shared" ca="1" si="222"/>
        <v>0</v>
      </c>
      <c r="Q270" s="222">
        <f t="shared" ca="1" si="222"/>
        <v>0</v>
      </c>
      <c r="R270" s="222">
        <f t="shared" ca="1" si="222"/>
        <v>0</v>
      </c>
      <c r="S270" s="222">
        <f t="shared" ca="1" si="222"/>
        <v>0</v>
      </c>
      <c r="T270" s="222">
        <f t="shared" ca="1" si="222"/>
        <v>0</v>
      </c>
    </row>
    <row r="271" spans="2:20" ht="5.0999999999999996" customHeight="1" outlineLevel="1" thickBot="1">
      <c r="B271" s="144"/>
      <c r="C271" s="144"/>
      <c r="D271" s="224"/>
      <c r="E271" s="224"/>
      <c r="F271" s="225"/>
      <c r="G271" s="225"/>
      <c r="H271" s="225"/>
      <c r="I271" s="225"/>
      <c r="J271" s="224"/>
      <c r="K271" s="225"/>
      <c r="L271" s="225"/>
      <c r="M271" s="225"/>
      <c r="N271" s="225"/>
      <c r="O271" s="225"/>
      <c r="P271" s="225"/>
      <c r="Q271" s="225"/>
      <c r="R271" s="225"/>
      <c r="S271" s="225"/>
      <c r="T271" s="225"/>
    </row>
    <row r="272" spans="2:20" s="35" customFormat="1" ht="14.4" outlineLevel="1"/>
    <row r="273" spans="1:20" s="35" customFormat="1" ht="14.7" outlineLevel="1" thickBot="1">
      <c r="F273" s="226"/>
      <c r="G273" s="226"/>
      <c r="H273" s="226"/>
      <c r="K273" s="227"/>
      <c r="L273" s="227"/>
      <c r="M273" s="227"/>
      <c r="N273" s="227"/>
      <c r="O273" s="227"/>
      <c r="P273" s="227"/>
      <c r="Q273" s="227"/>
      <c r="R273" s="227"/>
      <c r="S273" s="227"/>
      <c r="T273" s="227"/>
    </row>
    <row r="274" spans="1:20" s="35" customFormat="1" ht="20.100000000000001" customHeight="1" thickTop="1">
      <c r="A274" s="41" t="s">
        <v>313</v>
      </c>
      <c r="B274" s="42" t="s">
        <v>67</v>
      </c>
      <c r="C274" s="43"/>
      <c r="D274" s="44"/>
      <c r="E274" s="44"/>
      <c r="F274" s="44"/>
      <c r="G274" s="44"/>
      <c r="H274" s="44"/>
      <c r="I274" s="44"/>
      <c r="J274" s="44"/>
      <c r="K274" s="44"/>
      <c r="L274" s="44"/>
      <c r="M274" s="44"/>
      <c r="N274" s="44"/>
      <c r="O274" s="44"/>
      <c r="P274" s="44"/>
      <c r="Q274" s="44"/>
      <c r="R274" s="44"/>
      <c r="S274" s="44"/>
      <c r="T274" s="44"/>
    </row>
    <row r="275" spans="1:20" s="35" customFormat="1" ht="14.4" outlineLevel="1">
      <c r="B275" s="45"/>
      <c r="T275" s="147" t="str">
        <f ca="1">err_msg</f>
        <v/>
      </c>
    </row>
    <row r="276" spans="1:20" s="193" customFormat="1" ht="13.5" customHeight="1" outlineLevel="1">
      <c r="E276" s="101"/>
      <c r="F276" s="195" t="s">
        <v>167</v>
      </c>
      <c r="G276" s="195"/>
      <c r="H276" s="195"/>
      <c r="I276" s="101"/>
      <c r="J276" s="101"/>
      <c r="K276" s="120" t="str">
        <f>K$140</f>
        <v>Fiscal Years Ending December 31,</v>
      </c>
      <c r="L276" s="120"/>
      <c r="M276" s="120"/>
      <c r="N276" s="120"/>
      <c r="O276" s="120"/>
      <c r="P276" s="120"/>
      <c r="Q276" s="120"/>
      <c r="R276" s="120"/>
      <c r="S276" s="120"/>
      <c r="T276" s="120"/>
    </row>
    <row r="277" spans="1:20" s="193" customFormat="1" ht="14.4" outlineLevel="1">
      <c r="E277" s="101"/>
      <c r="F277" s="102" t="str">
        <f>F$141</f>
        <v>MRQ+1</v>
      </c>
      <c r="G277" s="102" t="str">
        <f t="shared" ref="G277:H277" si="223">G$141</f>
        <v>MRQ+2</v>
      </c>
      <c r="H277" s="102" t="str">
        <f t="shared" si="223"/>
        <v>MRQ+3</v>
      </c>
      <c r="I277" s="101"/>
      <c r="J277" s="101"/>
      <c r="K277" s="102">
        <f t="shared" ref="K277" si="224">K$141</f>
        <v>1</v>
      </c>
      <c r="L277" s="102">
        <f>L$141</f>
        <v>2</v>
      </c>
      <c r="M277" s="102">
        <f t="shared" ref="M277:T277" si="225">M$141</f>
        <v>3</v>
      </c>
      <c r="N277" s="102">
        <f t="shared" si="225"/>
        <v>4</v>
      </c>
      <c r="O277" s="102">
        <f t="shared" si="225"/>
        <v>5</v>
      </c>
      <c r="P277" s="102">
        <f t="shared" si="225"/>
        <v>6</v>
      </c>
      <c r="Q277" s="102">
        <f t="shared" si="225"/>
        <v>7</v>
      </c>
      <c r="R277" s="102">
        <f t="shared" si="225"/>
        <v>8</v>
      </c>
      <c r="S277" s="102">
        <f t="shared" si="225"/>
        <v>9</v>
      </c>
      <c r="T277" s="102">
        <f t="shared" si="225"/>
        <v>10</v>
      </c>
    </row>
    <row r="278" spans="1:20" s="193" customFormat="1" ht="13.5" customHeight="1" outlineLevel="1" thickBot="1">
      <c r="B278" s="122" t="s">
        <v>201</v>
      </c>
      <c r="C278" s="199"/>
      <c r="D278" s="199"/>
      <c r="E278" s="201"/>
      <c r="F278" s="200">
        <f>F$142</f>
        <v>45107</v>
      </c>
      <c r="G278" s="200">
        <f t="shared" ref="G278:H278" si="226">G$142</f>
        <v>45199</v>
      </c>
      <c r="H278" s="200">
        <f t="shared" si="226"/>
        <v>45291</v>
      </c>
      <c r="I278" s="201"/>
      <c r="J278" s="201"/>
      <c r="K278" s="202">
        <f t="shared" ref="K278" si="227">K$142</f>
        <v>45657</v>
      </c>
      <c r="L278" s="202">
        <f>L$142</f>
        <v>46022</v>
      </c>
      <c r="M278" s="126">
        <f t="shared" ref="M278:T278" si="228">M$142</f>
        <v>46387</v>
      </c>
      <c r="N278" s="126">
        <f t="shared" si="228"/>
        <v>46752</v>
      </c>
      <c r="O278" s="126">
        <f t="shared" si="228"/>
        <v>47118</v>
      </c>
      <c r="P278" s="126">
        <f t="shared" si="228"/>
        <v>47483</v>
      </c>
      <c r="Q278" s="126">
        <f t="shared" si="228"/>
        <v>47848</v>
      </c>
      <c r="R278" s="126">
        <f t="shared" si="228"/>
        <v>48213</v>
      </c>
      <c r="S278" s="126">
        <f t="shared" si="228"/>
        <v>48579</v>
      </c>
      <c r="T278" s="126">
        <f t="shared" si="228"/>
        <v>48944</v>
      </c>
    </row>
    <row r="279" spans="1:20" s="35" customFormat="1" ht="5.0999999999999996" customHeight="1" outlineLevel="1">
      <c r="B279" s="38"/>
      <c r="C279" s="38"/>
      <c r="D279" s="38"/>
      <c r="E279" s="38"/>
      <c r="F279" s="38"/>
      <c r="G279" s="38"/>
      <c r="H279" s="38"/>
      <c r="I279" s="38"/>
      <c r="J279" s="38"/>
      <c r="K279" s="38"/>
      <c r="L279" s="38"/>
      <c r="M279" s="38"/>
      <c r="N279" s="38"/>
      <c r="O279" s="38"/>
      <c r="P279" s="38"/>
      <c r="Q279" s="38"/>
      <c r="R279" s="38"/>
      <c r="S279" s="38"/>
      <c r="T279" s="38"/>
    </row>
    <row r="280" spans="1:20" s="35" customFormat="1" ht="13.5" customHeight="1" outlineLevel="1">
      <c r="B280" s="46" t="s">
        <v>68</v>
      </c>
      <c r="C280" s="47"/>
      <c r="D280" s="47"/>
      <c r="E280" s="47"/>
      <c r="F280" s="47"/>
      <c r="G280" s="47"/>
      <c r="H280" s="47"/>
      <c r="I280" s="47"/>
      <c r="J280" s="47"/>
      <c r="K280" s="47"/>
      <c r="L280" s="47"/>
      <c r="M280" s="47"/>
      <c r="N280" s="47"/>
      <c r="O280" s="47"/>
      <c r="P280" s="47"/>
      <c r="Q280" s="47"/>
      <c r="R280" s="47"/>
      <c r="S280" s="47"/>
      <c r="T280" s="48"/>
    </row>
    <row r="281" spans="1:20" s="35" customFormat="1" ht="5.0999999999999996" customHeight="1" outlineLevel="1">
      <c r="B281" s="38"/>
      <c r="C281" s="38"/>
      <c r="D281" s="38"/>
      <c r="E281" s="38"/>
      <c r="F281" s="38"/>
      <c r="G281" s="38"/>
      <c r="H281" s="38"/>
      <c r="I281" s="38"/>
      <c r="J281" s="38"/>
      <c r="K281" s="38"/>
      <c r="L281" s="38"/>
      <c r="M281" s="38"/>
      <c r="N281" s="38"/>
      <c r="O281" s="38"/>
      <c r="P281" s="38"/>
      <c r="Q281" s="38"/>
      <c r="R281" s="38"/>
      <c r="S281" s="38"/>
      <c r="T281" s="38"/>
    </row>
    <row r="282" spans="1:20" s="35" customFormat="1" ht="13.5" customHeight="1" outlineLevel="1">
      <c r="B282" s="38" t="s">
        <v>449</v>
      </c>
      <c r="C282" s="38"/>
      <c r="D282" s="38"/>
      <c r="E282" s="54"/>
      <c r="F282" s="54">
        <f ca="1">F176</f>
        <v>8.8440216812500001</v>
      </c>
      <c r="G282" s="54">
        <f ca="1">G176</f>
        <v>9.1040204812500001</v>
      </c>
      <c r="H282" s="54">
        <f ca="1">H176</f>
        <v>9.36401928125</v>
      </c>
      <c r="I282" s="38"/>
      <c r="J282" s="38"/>
      <c r="K282" s="54">
        <f t="shared" ref="K282:T282" ca="1" si="229">K176</f>
        <v>51.595542041428558</v>
      </c>
      <c r="L282" s="54">
        <f t="shared" ca="1" si="229"/>
        <v>42.157513392809591</v>
      </c>
      <c r="M282" s="54">
        <f t="shared" ca="1" si="229"/>
        <v>46.485021151897499</v>
      </c>
      <c r="N282" s="54">
        <f t="shared" ca="1" si="229"/>
        <v>51.162077776444335</v>
      </c>
      <c r="O282" s="54">
        <f t="shared" ca="1" si="229"/>
        <v>56.143747871653702</v>
      </c>
      <c r="P282" s="54">
        <f t="shared" ca="1" si="229"/>
        <v>76.131044971567334</v>
      </c>
      <c r="Q282" s="54">
        <f t="shared" ca="1" si="229"/>
        <v>84.896675246503989</v>
      </c>
      <c r="R282" s="54">
        <f t="shared" ca="1" si="229"/>
        <v>92.786215053102879</v>
      </c>
      <c r="S282" s="54">
        <f t="shared" ca="1" si="229"/>
        <v>106.29360448757511</v>
      </c>
      <c r="T282" s="54">
        <f t="shared" ca="1" si="229"/>
        <v>113.35137463317126</v>
      </c>
    </row>
    <row r="283" spans="1:20" s="35" customFormat="1" ht="13.5" customHeight="1" outlineLevel="1">
      <c r="B283" s="84" t="s">
        <v>29</v>
      </c>
      <c r="C283" s="38"/>
      <c r="D283" s="38"/>
      <c r="E283" s="57"/>
      <c r="F283" s="57">
        <f>F149</f>
        <v>3.3</v>
      </c>
      <c r="G283" s="57">
        <f>G149</f>
        <v>3.3</v>
      </c>
      <c r="H283" s="57">
        <f>H149</f>
        <v>3.3</v>
      </c>
      <c r="I283" s="38"/>
      <c r="J283" s="38"/>
      <c r="K283" s="57">
        <f t="shared" ref="K283:T283" si="230">K149</f>
        <v>15.8</v>
      </c>
      <c r="L283" s="57">
        <f t="shared" si="230"/>
        <v>18.89138741077646</v>
      </c>
      <c r="M283" s="57">
        <f t="shared" si="230"/>
        <v>19.896861328642551</v>
      </c>
      <c r="N283" s="57">
        <f t="shared" si="230"/>
        <v>20.962697426552907</v>
      </c>
      <c r="O283" s="57">
        <f t="shared" si="230"/>
        <v>22.092519461141052</v>
      </c>
      <c r="P283" s="57">
        <f t="shared" si="230"/>
        <v>23.290168736056348</v>
      </c>
      <c r="Q283" s="57">
        <f t="shared" si="230"/>
        <v>24.559717162086127</v>
      </c>
      <c r="R283" s="57">
        <f t="shared" si="230"/>
        <v>23.762623958466268</v>
      </c>
      <c r="S283" s="57">
        <f t="shared" si="230"/>
        <v>25.189178899592207</v>
      </c>
      <c r="T283" s="57">
        <f t="shared" si="230"/>
        <v>26.701375014168015</v>
      </c>
    </row>
    <row r="284" spans="1:20" s="35" customFormat="1" ht="13.5" customHeight="1" outlineLevel="1">
      <c r="B284" s="84" t="s">
        <v>142</v>
      </c>
      <c r="C284" s="38"/>
      <c r="D284" s="38"/>
      <c r="E284" s="57"/>
      <c r="F284" s="57">
        <f>F151</f>
        <v>4.5</v>
      </c>
      <c r="G284" s="57">
        <f>G151</f>
        <v>4.5</v>
      </c>
      <c r="H284" s="57">
        <f>H151</f>
        <v>4.5</v>
      </c>
      <c r="I284" s="38"/>
      <c r="J284" s="38"/>
      <c r="K284" s="57">
        <f t="shared" ref="K284:T284" si="231">K151</f>
        <v>14.9</v>
      </c>
      <c r="L284" s="57">
        <f t="shared" ca="1" si="231"/>
        <v>37.685570240597173</v>
      </c>
      <c r="M284" s="57">
        <f t="shared" ca="1" si="231"/>
        <v>38.633770327698741</v>
      </c>
      <c r="N284" s="57">
        <f t="shared" ca="1" si="231"/>
        <v>39.638894242816733</v>
      </c>
      <c r="O284" s="57">
        <f t="shared" ca="1" si="231"/>
        <v>40.704359326067568</v>
      </c>
      <c r="P284" s="57">
        <f t="shared" ca="1" si="231"/>
        <v>19.942717894852414</v>
      </c>
      <c r="Q284" s="57">
        <f t="shared" ca="1" si="231"/>
        <v>21.139950271298218</v>
      </c>
      <c r="R284" s="57">
        <f t="shared" ca="1" si="231"/>
        <v>22.409056770958692</v>
      </c>
      <c r="S284" s="57">
        <f t="shared" ca="1" si="231"/>
        <v>23.754352253412904</v>
      </c>
      <c r="T284" s="57">
        <f t="shared" ca="1" si="231"/>
        <v>25.180410614626798</v>
      </c>
    </row>
    <row r="285" spans="1:20" s="35" customFormat="1" ht="13.5" customHeight="1" outlineLevel="1">
      <c r="B285" s="84" t="s">
        <v>119</v>
      </c>
      <c r="C285" s="38"/>
      <c r="D285" s="38"/>
      <c r="E285" s="108"/>
      <c r="F285" s="411">
        <v>0</v>
      </c>
      <c r="G285" s="57">
        <f>F285</f>
        <v>0</v>
      </c>
      <c r="H285" s="57">
        <f t="shared" ref="H285" si="232">G285</f>
        <v>0</v>
      </c>
      <c r="I285" s="38"/>
      <c r="J285" s="38"/>
      <c r="K285" s="57">
        <f t="shared" ref="K285:T285" ca="1" si="233">K167</f>
        <v>1.0857142857142856</v>
      </c>
      <c r="L285" s="57">
        <f t="shared" ca="1" si="233"/>
        <v>1.0857142857142856</v>
      </c>
      <c r="M285" s="57">
        <f t="shared" ca="1" si="233"/>
        <v>1.0857142857142856</v>
      </c>
      <c r="N285" s="57">
        <f t="shared" ca="1" si="233"/>
        <v>1.0857142857142856</v>
      </c>
      <c r="O285" s="57">
        <f t="shared" ca="1" si="233"/>
        <v>1.0857142857142856</v>
      </c>
      <c r="P285" s="57">
        <f t="shared" ca="1" si="233"/>
        <v>0.5357142857142857</v>
      </c>
      <c r="Q285" s="57">
        <f t="shared" ca="1" si="233"/>
        <v>0.5357142857142857</v>
      </c>
      <c r="R285" s="57">
        <f t="shared" ca="1" si="233"/>
        <v>2.2204460492503131E-16</v>
      </c>
      <c r="S285" s="57">
        <f t="shared" ca="1" si="233"/>
        <v>0</v>
      </c>
      <c r="T285" s="57">
        <f t="shared" ca="1" si="233"/>
        <v>0</v>
      </c>
    </row>
    <row r="286" spans="1:20" s="35" customFormat="1" ht="13.5" customHeight="1" outlineLevel="1">
      <c r="B286" s="84" t="s">
        <v>121</v>
      </c>
      <c r="C286" s="38"/>
      <c r="D286" s="38"/>
      <c r="E286" s="57"/>
      <c r="F286" s="57">
        <f>F152</f>
        <v>2.004999999999999</v>
      </c>
      <c r="G286" s="57">
        <f>G152</f>
        <v>2.9000000000000057</v>
      </c>
      <c r="H286" s="57">
        <f>H152</f>
        <v>3.0999999999999979</v>
      </c>
      <c r="I286" s="38"/>
      <c r="J286" s="38"/>
      <c r="K286" s="57">
        <f t="shared" ref="K286:T286" si="234">K152</f>
        <v>8</v>
      </c>
      <c r="L286" s="57">
        <f t="shared" si="234"/>
        <v>8.480268490085729</v>
      </c>
      <c r="M286" s="57">
        <f t="shared" si="234"/>
        <v>8.9893692079926115</v>
      </c>
      <c r="N286" s="57">
        <f t="shared" si="234"/>
        <v>9.5290330550358302</v>
      </c>
      <c r="O286" s="57">
        <f t="shared" si="234"/>
        <v>10.101094844700713</v>
      </c>
      <c r="P286" s="57">
        <f t="shared" si="234"/>
        <v>10.707499540860356</v>
      </c>
      <c r="Q286" s="57">
        <f t="shared" si="234"/>
        <v>11.350308870495686</v>
      </c>
      <c r="R286" s="57">
        <f t="shared" si="234"/>
        <v>12.031708333400639</v>
      </c>
      <c r="S286" s="57">
        <f t="shared" si="234"/>
        <v>12.754014632704914</v>
      </c>
      <c r="T286" s="57">
        <f t="shared" si="234"/>
        <v>13.519683551477474</v>
      </c>
    </row>
    <row r="287" spans="1:20" s="35" customFormat="1" ht="13.5" customHeight="1" outlineLevel="1">
      <c r="B287" s="84" t="s">
        <v>315</v>
      </c>
      <c r="C287" s="38"/>
      <c r="D287" s="38"/>
      <c r="E287" s="57"/>
      <c r="F287" s="57">
        <f>-F375</f>
        <v>0</v>
      </c>
      <c r="G287" s="57">
        <f t="shared" ref="G287:H287" si="235">-G375</f>
        <v>0</v>
      </c>
      <c r="H287" s="57">
        <f t="shared" si="235"/>
        <v>0</v>
      </c>
      <c r="I287" s="38"/>
      <c r="J287" s="38"/>
      <c r="K287" s="57">
        <f t="shared" ref="K287:T287" si="236">-K375</f>
        <v>0</v>
      </c>
      <c r="L287" s="57">
        <f>-L375</f>
        <v>0</v>
      </c>
      <c r="M287" s="57">
        <f t="shared" si="236"/>
        <v>0</v>
      </c>
      <c r="N287" s="57">
        <f t="shared" si="236"/>
        <v>0</v>
      </c>
      <c r="O287" s="57">
        <f t="shared" si="236"/>
        <v>0</v>
      </c>
      <c r="P287" s="57">
        <f t="shared" si="236"/>
        <v>0</v>
      </c>
      <c r="Q287" s="57">
        <f t="shared" si="236"/>
        <v>0</v>
      </c>
      <c r="R287" s="57">
        <f t="shared" si="236"/>
        <v>0</v>
      </c>
      <c r="S287" s="57">
        <f t="shared" si="236"/>
        <v>0</v>
      </c>
      <c r="T287" s="57">
        <f t="shared" si="236"/>
        <v>0</v>
      </c>
    </row>
    <row r="288" spans="1:20" s="35" customFormat="1" ht="13.5" customHeight="1" outlineLevel="1">
      <c r="B288" s="84" t="s">
        <v>323</v>
      </c>
      <c r="C288" s="38"/>
      <c r="D288" s="38"/>
      <c r="E288" s="57"/>
      <c r="F288" s="57">
        <f>-F376</f>
        <v>0</v>
      </c>
      <c r="G288" s="57">
        <f t="shared" ref="G288:H288" si="237">-G376</f>
        <v>0</v>
      </c>
      <c r="H288" s="57">
        <f t="shared" si="237"/>
        <v>0</v>
      </c>
      <c r="I288" s="38"/>
      <c r="J288" s="38"/>
      <c r="K288" s="57">
        <f t="shared" ref="K288:T288" si="238">-K376</f>
        <v>0</v>
      </c>
      <c r="L288" s="57">
        <f t="shared" si="238"/>
        <v>0</v>
      </c>
      <c r="M288" s="57">
        <f t="shared" si="238"/>
        <v>0</v>
      </c>
      <c r="N288" s="57">
        <f t="shared" si="238"/>
        <v>0</v>
      </c>
      <c r="O288" s="57">
        <f t="shared" si="238"/>
        <v>0</v>
      </c>
      <c r="P288" s="57">
        <f t="shared" si="238"/>
        <v>0</v>
      </c>
      <c r="Q288" s="57">
        <f t="shared" si="238"/>
        <v>0</v>
      </c>
      <c r="R288" s="57">
        <f t="shared" si="238"/>
        <v>0</v>
      </c>
      <c r="S288" s="57">
        <f t="shared" si="238"/>
        <v>0</v>
      </c>
      <c r="T288" s="57">
        <f t="shared" si="238"/>
        <v>0</v>
      </c>
    </row>
    <row r="289" spans="2:20" s="35" customFormat="1" ht="13.5" customHeight="1" outlineLevel="1">
      <c r="B289" s="52" t="s">
        <v>143</v>
      </c>
      <c r="C289" s="52"/>
      <c r="D289" s="52"/>
      <c r="E289" s="83"/>
      <c r="F289" s="83">
        <f ca="1">SUM(F283:OFFSET(F289,-1,0))</f>
        <v>9.8049999999999997</v>
      </c>
      <c r="G289" s="83">
        <f ca="1">SUM(G283:OFFSET(G289,-1,0))</f>
        <v>10.700000000000006</v>
      </c>
      <c r="H289" s="83">
        <f ca="1">SUM(H283:OFFSET(H289,-1,0))</f>
        <v>10.899999999999999</v>
      </c>
      <c r="I289" s="52"/>
      <c r="J289" s="52"/>
      <c r="K289" s="83">
        <f ca="1">SUM(K283:OFFSET(K289,-1,0))</f>
        <v>39.785714285714292</v>
      </c>
      <c r="L289" s="83">
        <f ca="1">SUM(L283:OFFSET(L289,-1,0))</f>
        <v>66.142940427173656</v>
      </c>
      <c r="M289" s="83">
        <f ca="1">SUM(M283:OFFSET(M289,-1,0))</f>
        <v>68.605715150048198</v>
      </c>
      <c r="N289" s="83">
        <f ca="1">SUM(N283:OFFSET(N289,-1,0))</f>
        <v>71.216339010119754</v>
      </c>
      <c r="O289" s="83">
        <f ca="1">SUM(O283:OFFSET(O289,-1,0))</f>
        <v>73.983687917623627</v>
      </c>
      <c r="P289" s="83">
        <f ca="1">SUM(P283:OFFSET(P289,-1,0))</f>
        <v>54.476100457483405</v>
      </c>
      <c r="Q289" s="83">
        <f ca="1">SUM(Q283:OFFSET(Q289,-1,0))</f>
        <v>57.585690589594321</v>
      </c>
      <c r="R289" s="83">
        <f ca="1">SUM(R283:OFFSET(R289,-1,0))</f>
        <v>58.2033890628256</v>
      </c>
      <c r="S289" s="83">
        <f ca="1">SUM(S283:OFFSET(S289,-1,0))</f>
        <v>61.697545785710027</v>
      </c>
      <c r="T289" s="83">
        <f ca="1">SUM(T283:OFFSET(T289,-1,0))</f>
        <v>65.401469180272287</v>
      </c>
    </row>
    <row r="290" spans="2:20" s="35" customFormat="1" ht="13.5" customHeight="1" outlineLevel="1">
      <c r="B290" s="84" t="s">
        <v>144</v>
      </c>
      <c r="C290" s="38"/>
      <c r="D290" s="38"/>
      <c r="E290" s="57"/>
      <c r="F290" s="57">
        <f>E343-F343</f>
        <v>0.12508468780036708</v>
      </c>
      <c r="G290" s="57">
        <f>F343-G343</f>
        <v>-1.7144635370744936</v>
      </c>
      <c r="H290" s="57">
        <f>G343-H343</f>
        <v>-0.73510847615600028</v>
      </c>
      <c r="I290" s="38"/>
      <c r="J290" s="38"/>
      <c r="K290" s="57">
        <f t="shared" ref="K290:T290" si="239">J343-K343</f>
        <v>-3.1002426797732454</v>
      </c>
      <c r="L290" s="57">
        <f t="shared" si="239"/>
        <v>-2.9966190351407391</v>
      </c>
      <c r="M290" s="57">
        <f t="shared" si="239"/>
        <v>-3.176516747561891</v>
      </c>
      <c r="N290" s="57">
        <f t="shared" si="239"/>
        <v>-3.3672143603223361</v>
      </c>
      <c r="O290" s="57">
        <f t="shared" si="239"/>
        <v>-3.5693602299007097</v>
      </c>
      <c r="P290" s="57">
        <f t="shared" si="239"/>
        <v>-3.7836416359240275</v>
      </c>
      <c r="Q290" s="57">
        <f t="shared" si="239"/>
        <v>-4.0107871178628898</v>
      </c>
      <c r="R290" s="57">
        <f t="shared" si="239"/>
        <v>-4.2515689520067497</v>
      </c>
      <c r="S290" s="57">
        <f t="shared" si="239"/>
        <v>-4.5068057771412384</v>
      </c>
      <c r="T290" s="57">
        <f t="shared" si="239"/>
        <v>-4.777365377853414</v>
      </c>
    </row>
    <row r="291" spans="2:20" s="35" customFormat="1" ht="13.5" customHeight="1" outlineLevel="1">
      <c r="B291" s="84" t="s">
        <v>337</v>
      </c>
      <c r="C291" s="38"/>
      <c r="D291" s="38"/>
      <c r="E291" s="38"/>
      <c r="F291" s="80">
        <f ca="1">F258-E258</f>
        <v>0</v>
      </c>
      <c r="G291" s="80">
        <f ca="1">G258-F258</f>
        <v>0</v>
      </c>
      <c r="H291" s="80">
        <f ca="1">H258-G258</f>
        <v>0</v>
      </c>
      <c r="I291" s="38"/>
      <c r="J291" s="38"/>
      <c r="K291" s="80">
        <f t="shared" ref="K291:T291" ca="1" si="240">K258-J258</f>
        <v>-0.3800032571428531</v>
      </c>
      <c r="L291" s="80">
        <f t="shared" ca="1" si="240"/>
        <v>-0.38000325714286021</v>
      </c>
      <c r="M291" s="80">
        <f t="shared" ca="1" si="240"/>
        <v>-0.38000325714286021</v>
      </c>
      <c r="N291" s="80">
        <f t="shared" ca="1" si="240"/>
        <v>-0.38000325714286021</v>
      </c>
      <c r="O291" s="80">
        <f t="shared" ca="1" si="240"/>
        <v>-0.38000325714286021</v>
      </c>
      <c r="P291" s="80">
        <f t="shared" ca="1" si="240"/>
        <v>-0.18750160714284902</v>
      </c>
      <c r="Q291" s="80">
        <f t="shared" ca="1" si="240"/>
        <v>-0.18750160714284902</v>
      </c>
      <c r="R291" s="80">
        <f t="shared" ca="1" si="240"/>
        <v>0</v>
      </c>
      <c r="S291" s="80">
        <f t="shared" ca="1" si="240"/>
        <v>0</v>
      </c>
      <c r="T291" s="80">
        <f t="shared" ca="1" si="240"/>
        <v>0</v>
      </c>
    </row>
    <row r="292" spans="2:20" s="35" customFormat="1" ht="13.5" customHeight="1" outlineLevel="1">
      <c r="B292" s="84" t="s">
        <v>340</v>
      </c>
      <c r="C292" s="38"/>
      <c r="D292" s="38"/>
      <c r="E292" s="38"/>
      <c r="F292" s="80">
        <f>E235-F235</f>
        <v>0</v>
      </c>
      <c r="G292" s="80">
        <f>F235-G235</f>
        <v>0</v>
      </c>
      <c r="H292" s="80">
        <f>G235-H235</f>
        <v>0</v>
      </c>
      <c r="I292" s="38"/>
      <c r="J292" s="38"/>
      <c r="K292" s="80">
        <f t="shared" ref="K292:T292" si="241">J235-K235</f>
        <v>0</v>
      </c>
      <c r="L292" s="80">
        <f t="shared" si="241"/>
        <v>0</v>
      </c>
      <c r="M292" s="80">
        <f t="shared" si="241"/>
        <v>0</v>
      </c>
      <c r="N292" s="80">
        <f t="shared" si="241"/>
        <v>0</v>
      </c>
      <c r="O292" s="80">
        <f t="shared" si="241"/>
        <v>0</v>
      </c>
      <c r="P292" s="80">
        <f t="shared" si="241"/>
        <v>0</v>
      </c>
      <c r="Q292" s="80">
        <f t="shared" si="241"/>
        <v>0</v>
      </c>
      <c r="R292" s="80">
        <f t="shared" si="241"/>
        <v>0</v>
      </c>
      <c r="S292" s="80">
        <f t="shared" si="241"/>
        <v>0</v>
      </c>
      <c r="T292" s="80">
        <f t="shared" si="241"/>
        <v>0</v>
      </c>
    </row>
    <row r="293" spans="2:20" s="35" customFormat="1" ht="13.5" customHeight="1" outlineLevel="1">
      <c r="B293" s="84" t="s">
        <v>341</v>
      </c>
      <c r="C293" s="38"/>
      <c r="D293" s="38"/>
      <c r="E293" s="57"/>
      <c r="F293" s="57">
        <f>F259-E259</f>
        <v>0</v>
      </c>
      <c r="G293" s="57">
        <f>G259-F259</f>
        <v>0</v>
      </c>
      <c r="H293" s="57">
        <f>H259-G259</f>
        <v>0</v>
      </c>
      <c r="I293" s="38"/>
      <c r="J293" s="38"/>
      <c r="K293" s="57">
        <f t="shared" ref="K293:T293" si="242">K259-J259</f>
        <v>0</v>
      </c>
      <c r="L293" s="57">
        <f t="shared" si="242"/>
        <v>0</v>
      </c>
      <c r="M293" s="57">
        <f t="shared" si="242"/>
        <v>0</v>
      </c>
      <c r="N293" s="57">
        <f t="shared" si="242"/>
        <v>0</v>
      </c>
      <c r="O293" s="57">
        <f t="shared" si="242"/>
        <v>0</v>
      </c>
      <c r="P293" s="57">
        <f t="shared" si="242"/>
        <v>0</v>
      </c>
      <c r="Q293" s="57">
        <f t="shared" si="242"/>
        <v>0</v>
      </c>
      <c r="R293" s="57">
        <f t="shared" si="242"/>
        <v>0</v>
      </c>
      <c r="S293" s="57">
        <f t="shared" si="242"/>
        <v>0</v>
      </c>
      <c r="T293" s="57">
        <f t="shared" si="242"/>
        <v>0</v>
      </c>
    </row>
    <row r="294" spans="2:20" s="35" customFormat="1" ht="13.5" customHeight="1" outlineLevel="1">
      <c r="B294" s="228" t="s">
        <v>145</v>
      </c>
      <c r="C294" s="228"/>
      <c r="D294" s="228"/>
      <c r="E294" s="229"/>
      <c r="F294" s="229">
        <f ca="1">SUM(F290:OFFSET(F294,-1,0))</f>
        <v>0.12508468780036708</v>
      </c>
      <c r="G294" s="229">
        <f ca="1">SUM(G290:OFFSET(G294,-1,0))</f>
        <v>-1.7144635370744936</v>
      </c>
      <c r="H294" s="229">
        <f ca="1">SUM(H290:OFFSET(H294,-1,0))</f>
        <v>-0.73510847615600028</v>
      </c>
      <c r="I294" s="228"/>
      <c r="J294" s="228"/>
      <c r="K294" s="229">
        <f ca="1">SUM(K290:OFFSET(K294,-1,0))</f>
        <v>-3.4802459369160985</v>
      </c>
      <c r="L294" s="229">
        <f ca="1">SUM(L290:OFFSET(L294,-1,0))</f>
        <v>-3.3766222922835993</v>
      </c>
      <c r="M294" s="229">
        <f ca="1">SUM(M290:OFFSET(M294,-1,0))</f>
        <v>-3.5565200047047512</v>
      </c>
      <c r="N294" s="229">
        <f ca="1">SUM(N290:OFFSET(N294,-1,0))</f>
        <v>-3.7472176174651963</v>
      </c>
      <c r="O294" s="229">
        <f ca="1">SUM(O290:OFFSET(O294,-1,0))</f>
        <v>-3.9493634870435699</v>
      </c>
      <c r="P294" s="229">
        <f ca="1">SUM(P290:OFFSET(P294,-1,0))</f>
        <v>-3.9711432430668765</v>
      </c>
      <c r="Q294" s="229">
        <f ca="1">SUM(Q290:OFFSET(Q294,-1,0))</f>
        <v>-4.1982887250057388</v>
      </c>
      <c r="R294" s="229">
        <f ca="1">SUM(R290:OFFSET(R294,-1,0))</f>
        <v>-4.2515689520067497</v>
      </c>
      <c r="S294" s="229">
        <f ca="1">SUM(S290:OFFSET(S294,-1,0))</f>
        <v>-4.5068057771412384</v>
      </c>
      <c r="T294" s="229">
        <f ca="1">SUM(T290:OFFSET(T294,-1,0))</f>
        <v>-4.777365377853414</v>
      </c>
    </row>
    <row r="295" spans="2:20" s="35" customFormat="1" ht="13.5" customHeight="1" outlineLevel="1">
      <c r="B295" s="95" t="s">
        <v>146</v>
      </c>
      <c r="C295" s="95"/>
      <c r="D295" s="95"/>
      <c r="E295" s="96"/>
      <c r="F295" s="96">
        <f ca="1">F282+F289+F294</f>
        <v>18.774106369050365</v>
      </c>
      <c r="G295" s="96">
        <f ca="1">G282+G289+G294</f>
        <v>18.089556944175513</v>
      </c>
      <c r="H295" s="96">
        <f ca="1">H282+H289+H294</f>
        <v>19.528910805094</v>
      </c>
      <c r="I295" s="230"/>
      <c r="J295" s="96"/>
      <c r="K295" s="96">
        <f t="shared" ref="K295:T295" ca="1" si="243">K282+K289+K294</f>
        <v>87.901010390226759</v>
      </c>
      <c r="L295" s="96">
        <f t="shared" ca="1" si="243"/>
        <v>104.92383152769965</v>
      </c>
      <c r="M295" s="96">
        <f t="shared" ca="1" si="243"/>
        <v>111.53421629724095</v>
      </c>
      <c r="N295" s="96">
        <f t="shared" ca="1" si="243"/>
        <v>118.63119916909889</v>
      </c>
      <c r="O295" s="96">
        <f t="shared" ca="1" si="243"/>
        <v>126.17807230223377</v>
      </c>
      <c r="P295" s="96">
        <f t="shared" ca="1" si="243"/>
        <v>126.63600218598387</v>
      </c>
      <c r="Q295" s="96">
        <f t="shared" ca="1" si="243"/>
        <v>138.28407711109259</v>
      </c>
      <c r="R295" s="96">
        <f t="shared" ca="1" si="243"/>
        <v>146.73803516392172</v>
      </c>
      <c r="S295" s="96">
        <f t="shared" ca="1" si="243"/>
        <v>163.4843444961439</v>
      </c>
      <c r="T295" s="96">
        <f t="shared" ca="1" si="243"/>
        <v>173.97547843559013</v>
      </c>
    </row>
    <row r="296" spans="2:20" s="35" customFormat="1" ht="13.5" customHeight="1" outlineLevel="1">
      <c r="B296" s="38"/>
      <c r="C296" s="38"/>
      <c r="D296" s="38"/>
      <c r="E296" s="38"/>
      <c r="F296" s="231"/>
      <c r="G296" s="38"/>
      <c r="H296" s="38"/>
      <c r="I296" s="38"/>
      <c r="J296" s="38"/>
      <c r="K296" s="38"/>
      <c r="L296" s="38"/>
      <c r="M296" s="38"/>
      <c r="N296" s="38"/>
      <c r="O296" s="38"/>
      <c r="P296" s="38"/>
      <c r="Q296" s="38"/>
      <c r="R296" s="38"/>
      <c r="S296" s="38"/>
      <c r="T296" s="38"/>
    </row>
    <row r="297" spans="2:20" s="35" customFormat="1" ht="13.5" customHeight="1" outlineLevel="1">
      <c r="B297" s="46" t="s">
        <v>69</v>
      </c>
      <c r="C297" s="47"/>
      <c r="D297" s="47"/>
      <c r="E297" s="47"/>
      <c r="F297" s="47"/>
      <c r="G297" s="47"/>
      <c r="H297" s="47"/>
      <c r="I297" s="47"/>
      <c r="J297" s="47"/>
      <c r="K297" s="47"/>
      <c r="L297" s="47"/>
      <c r="M297" s="47"/>
      <c r="N297" s="47"/>
      <c r="O297" s="47"/>
      <c r="P297" s="47"/>
      <c r="Q297" s="47"/>
      <c r="R297" s="47"/>
      <c r="S297" s="47"/>
      <c r="T297" s="48"/>
    </row>
    <row r="298" spans="2:20" s="35" customFormat="1" ht="5.0999999999999996" customHeight="1" outlineLevel="1">
      <c r="B298" s="38"/>
      <c r="C298" s="38"/>
      <c r="D298" s="38"/>
      <c r="E298" s="38"/>
      <c r="F298" s="38"/>
      <c r="G298" s="38"/>
      <c r="H298" s="38"/>
      <c r="I298" s="38"/>
      <c r="J298" s="38"/>
      <c r="K298" s="38"/>
      <c r="L298" s="38"/>
      <c r="M298" s="38"/>
      <c r="N298" s="38"/>
      <c r="O298" s="38"/>
      <c r="P298" s="38"/>
      <c r="Q298" s="38"/>
      <c r="R298" s="38"/>
      <c r="S298" s="38"/>
      <c r="T298" s="38"/>
    </row>
    <row r="299" spans="2:20" s="35" customFormat="1" ht="13.5" customHeight="1" outlineLevel="1">
      <c r="B299" s="38" t="s">
        <v>147</v>
      </c>
      <c r="C299" s="38"/>
      <c r="D299" s="38"/>
      <c r="E299" s="105"/>
      <c r="F299" s="105">
        <f>-F184</f>
        <v>-5.1267572633552021</v>
      </c>
      <c r="G299" s="105">
        <f>-G184</f>
        <v>-5.1874414245548266</v>
      </c>
      <c r="H299" s="105">
        <f>-H184</f>
        <v>-5.2577319587628866</v>
      </c>
      <c r="I299" s="38"/>
      <c r="J299" s="38"/>
      <c r="K299" s="105">
        <f t="shared" ref="K299:T299" si="244">-K184</f>
        <v>-21.8</v>
      </c>
      <c r="L299" s="105">
        <f t="shared" si="244"/>
        <v>-23.108731635483615</v>
      </c>
      <c r="M299" s="105">
        <f t="shared" si="244"/>
        <v>-24.496031091779866</v>
      </c>
      <c r="N299" s="105">
        <f t="shared" si="244"/>
        <v>-25.966615074972641</v>
      </c>
      <c r="O299" s="105">
        <f t="shared" si="244"/>
        <v>-27.525483451809443</v>
      </c>
      <c r="P299" s="105">
        <f t="shared" si="244"/>
        <v>-29.177936248844475</v>
      </c>
      <c r="Q299" s="105">
        <f t="shared" si="244"/>
        <v>-30.929591672100749</v>
      </c>
      <c r="R299" s="105">
        <f t="shared" si="244"/>
        <v>-32.786405208516747</v>
      </c>
      <c r="S299" s="105">
        <f t="shared" si="244"/>
        <v>-34.754689874120892</v>
      </c>
      <c r="T299" s="105">
        <f t="shared" si="244"/>
        <v>-36.841137677776118</v>
      </c>
    </row>
    <row r="300" spans="2:20" s="35" customFormat="1" ht="13.5" customHeight="1" outlineLevel="1">
      <c r="B300" s="38" t="s">
        <v>148</v>
      </c>
      <c r="C300" s="38"/>
      <c r="D300" s="38"/>
      <c r="E300" s="108"/>
      <c r="F300" s="411">
        <v>0</v>
      </c>
      <c r="G300" s="57">
        <f t="shared" ref="G300:H300" si="245">F300</f>
        <v>0</v>
      </c>
      <c r="H300" s="57">
        <f t="shared" si="245"/>
        <v>0</v>
      </c>
      <c r="I300" s="38"/>
      <c r="J300" s="38"/>
      <c r="K300" s="411">
        <v>0</v>
      </c>
      <c r="L300" s="411">
        <v>0</v>
      </c>
      <c r="M300" s="411">
        <v>0</v>
      </c>
      <c r="N300" s="411">
        <v>0</v>
      </c>
      <c r="O300" s="411">
        <v>0</v>
      </c>
      <c r="P300" s="411">
        <v>0</v>
      </c>
      <c r="Q300" s="411">
        <v>0</v>
      </c>
      <c r="R300" s="411">
        <v>0</v>
      </c>
      <c r="S300" s="411">
        <v>0</v>
      </c>
      <c r="T300" s="411">
        <v>0</v>
      </c>
    </row>
    <row r="301" spans="2:20" s="35" customFormat="1" ht="13.5" customHeight="1" outlineLevel="1">
      <c r="B301" s="95" t="s">
        <v>149</v>
      </c>
      <c r="C301" s="95"/>
      <c r="D301" s="95"/>
      <c r="E301" s="96"/>
      <c r="F301" s="96">
        <f ca="1">SUM(F299:OFFSET(F301,-1,0))</f>
        <v>-5.1267572633552021</v>
      </c>
      <c r="G301" s="96">
        <f ca="1">SUM(G299:OFFSET(G301,-1,0))</f>
        <v>-5.1874414245548266</v>
      </c>
      <c r="H301" s="96">
        <f ca="1">SUM(H299:OFFSET(H301,-1,0))</f>
        <v>-5.2577319587628866</v>
      </c>
      <c r="I301" s="230"/>
      <c r="J301" s="96"/>
      <c r="K301" s="96">
        <f ca="1">SUM(K299:OFFSET(K301,-1,0))</f>
        <v>-21.8</v>
      </c>
      <c r="L301" s="96">
        <f ca="1">SUM(L299:OFFSET(L301,-1,0))</f>
        <v>-23.108731635483615</v>
      </c>
      <c r="M301" s="96">
        <f ca="1">SUM(M299:OFFSET(M301,-1,0))</f>
        <v>-24.496031091779866</v>
      </c>
      <c r="N301" s="96">
        <f ca="1">SUM(N299:OFFSET(N301,-1,0))</f>
        <v>-25.966615074972641</v>
      </c>
      <c r="O301" s="96">
        <f ca="1">SUM(O299:OFFSET(O301,-1,0))</f>
        <v>-27.525483451809443</v>
      </c>
      <c r="P301" s="96">
        <f ca="1">SUM(P299:OFFSET(P301,-1,0))</f>
        <v>-29.177936248844475</v>
      </c>
      <c r="Q301" s="96">
        <f ca="1">SUM(Q299:OFFSET(Q301,-1,0))</f>
        <v>-30.929591672100749</v>
      </c>
      <c r="R301" s="96">
        <f ca="1">SUM(R299:OFFSET(R301,-1,0))</f>
        <v>-32.786405208516747</v>
      </c>
      <c r="S301" s="96">
        <f ca="1">SUM(S299:OFFSET(S301,-1,0))</f>
        <v>-34.754689874120892</v>
      </c>
      <c r="T301" s="96">
        <f ca="1">SUM(T299:OFFSET(T301,-1,0))</f>
        <v>-36.841137677776118</v>
      </c>
    </row>
    <row r="302" spans="2:20" s="35" customFormat="1" ht="13.5" customHeight="1" outlineLevel="1">
      <c r="B302" s="38"/>
      <c r="C302" s="38"/>
      <c r="D302" s="38"/>
      <c r="E302" s="38"/>
      <c r="F302" s="38"/>
      <c r="G302" s="38"/>
      <c r="H302" s="38"/>
      <c r="I302" s="38"/>
      <c r="J302" s="38"/>
      <c r="K302" s="38"/>
      <c r="L302" s="38"/>
      <c r="M302" s="38"/>
      <c r="N302" s="38"/>
      <c r="O302" s="38"/>
      <c r="P302" s="38"/>
      <c r="Q302" s="38"/>
      <c r="R302" s="38"/>
      <c r="S302" s="38"/>
      <c r="T302" s="38"/>
    </row>
    <row r="303" spans="2:20" s="35" customFormat="1" ht="13.5" customHeight="1" outlineLevel="1">
      <c r="B303" s="46" t="s">
        <v>70</v>
      </c>
      <c r="C303" s="47"/>
      <c r="D303" s="47"/>
      <c r="E303" s="47"/>
      <c r="F303" s="47"/>
      <c r="G303" s="47"/>
      <c r="H303" s="47"/>
      <c r="I303" s="47"/>
      <c r="J303" s="47"/>
      <c r="K303" s="47"/>
      <c r="L303" s="47"/>
      <c r="M303" s="47"/>
      <c r="N303" s="47"/>
      <c r="O303" s="47"/>
      <c r="P303" s="47"/>
      <c r="Q303" s="47"/>
      <c r="R303" s="47"/>
      <c r="S303" s="47"/>
      <c r="T303" s="48"/>
    </row>
    <row r="304" spans="2:20" s="35" customFormat="1" ht="5.0999999999999996" customHeight="1" outlineLevel="1">
      <c r="B304" s="38"/>
      <c r="C304" s="38"/>
      <c r="D304" s="38"/>
      <c r="E304" s="38"/>
      <c r="F304" s="38"/>
      <c r="G304" s="38"/>
      <c r="H304" s="38"/>
      <c r="I304" s="38"/>
      <c r="J304" s="38"/>
      <c r="K304" s="38"/>
      <c r="L304" s="38"/>
      <c r="M304" s="38"/>
      <c r="N304" s="38"/>
      <c r="O304" s="38"/>
      <c r="P304" s="38"/>
      <c r="Q304" s="38"/>
      <c r="R304" s="38"/>
      <c r="S304" s="38"/>
      <c r="T304" s="38"/>
    </row>
    <row r="305" spans="2:20" s="35" customFormat="1" ht="13.5" customHeight="1" outlineLevel="1">
      <c r="B305" s="38" t="str">
        <f>B15</f>
        <v>Revolver</v>
      </c>
      <c r="C305" s="38"/>
      <c r="D305" s="38"/>
      <c r="E305" s="106"/>
      <c r="F305" s="407">
        <v>0</v>
      </c>
      <c r="G305" s="54">
        <f t="shared" ref="G305:H305" si="246">F305</f>
        <v>0</v>
      </c>
      <c r="H305" s="54">
        <f t="shared" si="246"/>
        <v>0</v>
      </c>
      <c r="I305" s="38"/>
      <c r="J305" s="38"/>
      <c r="K305" s="54">
        <f ca="1">SUM(K449:K450)</f>
        <v>0</v>
      </c>
      <c r="L305" s="54">
        <f t="shared" ref="L305:T305" ca="1" si="247">SUM(L449:L450)</f>
        <v>0</v>
      </c>
      <c r="M305" s="54">
        <f t="shared" ca="1" si="247"/>
        <v>0</v>
      </c>
      <c r="N305" s="54">
        <f t="shared" ca="1" si="247"/>
        <v>0</v>
      </c>
      <c r="O305" s="54">
        <f t="shared" ca="1" si="247"/>
        <v>0</v>
      </c>
      <c r="P305" s="54">
        <f t="shared" ca="1" si="247"/>
        <v>0</v>
      </c>
      <c r="Q305" s="54">
        <f t="shared" ca="1" si="247"/>
        <v>0</v>
      </c>
      <c r="R305" s="54">
        <f t="shared" ca="1" si="247"/>
        <v>0</v>
      </c>
      <c r="S305" s="54">
        <f t="shared" ca="1" si="247"/>
        <v>0</v>
      </c>
      <c r="T305" s="54">
        <f t="shared" ca="1" si="247"/>
        <v>0</v>
      </c>
    </row>
    <row r="306" spans="2:20" s="35" customFormat="1" ht="13.5" customHeight="1" outlineLevel="1">
      <c r="B306" s="38" t="s">
        <v>115</v>
      </c>
      <c r="C306" s="38"/>
      <c r="D306" s="38"/>
      <c r="E306" s="108"/>
      <c r="F306" s="411">
        <v>0</v>
      </c>
      <c r="G306" s="57">
        <f t="shared" ref="G306:H306" si="248">F306</f>
        <v>0</v>
      </c>
      <c r="H306" s="57">
        <f t="shared" si="248"/>
        <v>0</v>
      </c>
      <c r="I306" s="38"/>
      <c r="J306" s="38"/>
      <c r="K306" s="57">
        <f ca="1">SUM(K464:K465)</f>
        <v>0</v>
      </c>
      <c r="L306" s="57">
        <f t="shared" ref="L306:T306" ca="1" si="249">SUM(L464:L465)</f>
        <v>0</v>
      </c>
      <c r="M306" s="57">
        <f t="shared" ca="1" si="249"/>
        <v>0</v>
      </c>
      <c r="N306" s="57">
        <f t="shared" ca="1" si="249"/>
        <v>0</v>
      </c>
      <c r="O306" s="57">
        <f t="shared" ca="1" si="249"/>
        <v>0</v>
      </c>
      <c r="P306" s="57">
        <f t="shared" ca="1" si="249"/>
        <v>0</v>
      </c>
      <c r="Q306" s="57">
        <f t="shared" ca="1" si="249"/>
        <v>0</v>
      </c>
      <c r="R306" s="57">
        <f t="shared" ca="1" si="249"/>
        <v>0</v>
      </c>
      <c r="S306" s="57">
        <f t="shared" ca="1" si="249"/>
        <v>0</v>
      </c>
      <c r="T306" s="57">
        <f t="shared" ca="1" si="249"/>
        <v>0</v>
      </c>
    </row>
    <row r="307" spans="2:20" s="35" customFormat="1" ht="13.5" customHeight="1" outlineLevel="1">
      <c r="B307" s="38" t="str">
        <f t="shared" ref="B307:B316" si="250">B881</f>
        <v>Term loan - A</v>
      </c>
      <c r="C307" s="38"/>
      <c r="D307" s="38"/>
      <c r="E307" s="108"/>
      <c r="F307" s="411">
        <v>0</v>
      </c>
      <c r="G307" s="57">
        <f t="shared" ref="G307:H307" si="251">F307</f>
        <v>0</v>
      </c>
      <c r="H307" s="57">
        <f t="shared" si="251"/>
        <v>0</v>
      </c>
      <c r="I307" s="38"/>
      <c r="J307" s="38"/>
      <c r="K307" s="57">
        <f ca="1">SUM(K473:K474)</f>
        <v>-50</v>
      </c>
      <c r="L307" s="57">
        <f t="shared" ref="L307:T307" ca="1" si="252">SUM(L473:L474)</f>
        <v>0</v>
      </c>
      <c r="M307" s="57">
        <f t="shared" ca="1" si="252"/>
        <v>0</v>
      </c>
      <c r="N307" s="57">
        <f t="shared" ca="1" si="252"/>
        <v>0</v>
      </c>
      <c r="O307" s="57">
        <f t="shared" ca="1" si="252"/>
        <v>0</v>
      </c>
      <c r="P307" s="57">
        <f t="shared" ca="1" si="252"/>
        <v>0</v>
      </c>
      <c r="Q307" s="57">
        <f t="shared" ca="1" si="252"/>
        <v>0</v>
      </c>
      <c r="R307" s="57">
        <f t="shared" ca="1" si="252"/>
        <v>0</v>
      </c>
      <c r="S307" s="57">
        <f t="shared" ca="1" si="252"/>
        <v>0</v>
      </c>
      <c r="T307" s="57">
        <f t="shared" ca="1" si="252"/>
        <v>0</v>
      </c>
    </row>
    <row r="308" spans="2:20" s="35" customFormat="1" ht="13.5" customHeight="1" outlineLevel="1">
      <c r="B308" s="38" t="str">
        <f t="shared" si="250"/>
        <v>Term loan - B</v>
      </c>
      <c r="C308" s="38"/>
      <c r="D308" s="38"/>
      <c r="E308" s="108"/>
      <c r="F308" s="411">
        <v>0</v>
      </c>
      <c r="G308" s="57">
        <f t="shared" ref="G308:H308" si="253">F308</f>
        <v>0</v>
      </c>
      <c r="H308" s="57">
        <f t="shared" si="253"/>
        <v>0</v>
      </c>
      <c r="I308" s="38"/>
      <c r="J308" s="38"/>
      <c r="K308" s="57">
        <f ca="1">SUM(K482:K483)</f>
        <v>0</v>
      </c>
      <c r="L308" s="57">
        <f t="shared" ref="L308:T308" ca="1" si="254">SUM(L482:L483)</f>
        <v>0</v>
      </c>
      <c r="M308" s="57">
        <f t="shared" ca="1" si="254"/>
        <v>0</v>
      </c>
      <c r="N308" s="57">
        <f t="shared" ca="1" si="254"/>
        <v>0</v>
      </c>
      <c r="O308" s="57">
        <f t="shared" ca="1" si="254"/>
        <v>0</v>
      </c>
      <c r="P308" s="57">
        <f t="shared" ca="1" si="254"/>
        <v>0</v>
      </c>
      <c r="Q308" s="57">
        <f t="shared" ca="1" si="254"/>
        <v>0</v>
      </c>
      <c r="R308" s="57">
        <f t="shared" ca="1" si="254"/>
        <v>0</v>
      </c>
      <c r="S308" s="57">
        <f t="shared" ca="1" si="254"/>
        <v>0</v>
      </c>
      <c r="T308" s="57">
        <f t="shared" ca="1" si="254"/>
        <v>0</v>
      </c>
    </row>
    <row r="309" spans="2:20" s="35" customFormat="1" ht="13.5" customHeight="1" outlineLevel="1">
      <c r="B309" s="38" t="str">
        <f t="shared" si="250"/>
        <v>Senior note</v>
      </c>
      <c r="C309" s="38"/>
      <c r="D309" s="38"/>
      <c r="E309" s="108"/>
      <c r="F309" s="411">
        <v>0</v>
      </c>
      <c r="G309" s="57">
        <f t="shared" ref="G309:H309" si="255">F309</f>
        <v>0</v>
      </c>
      <c r="H309" s="57">
        <f t="shared" si="255"/>
        <v>0</v>
      </c>
      <c r="I309" s="38"/>
      <c r="J309" s="38"/>
      <c r="K309" s="57">
        <f ca="1">SUM(K491:K492)</f>
        <v>0</v>
      </c>
      <c r="L309" s="57">
        <f t="shared" ref="L309:T309" ca="1" si="256">SUM(L491:L492)</f>
        <v>0</v>
      </c>
      <c r="M309" s="57">
        <f t="shared" ca="1" si="256"/>
        <v>0</v>
      </c>
      <c r="N309" s="57">
        <f t="shared" ca="1" si="256"/>
        <v>0</v>
      </c>
      <c r="O309" s="57">
        <f t="shared" ca="1" si="256"/>
        <v>0</v>
      </c>
      <c r="P309" s="57">
        <f t="shared" ca="1" si="256"/>
        <v>0</v>
      </c>
      <c r="Q309" s="57">
        <f t="shared" ca="1" si="256"/>
        <v>0</v>
      </c>
      <c r="R309" s="57">
        <f t="shared" ca="1" si="256"/>
        <v>-100</v>
      </c>
      <c r="S309" s="57">
        <f t="shared" ca="1" si="256"/>
        <v>0</v>
      </c>
      <c r="T309" s="57">
        <f t="shared" ca="1" si="256"/>
        <v>0</v>
      </c>
    </row>
    <row r="310" spans="2:20" s="35" customFormat="1" ht="13.5" customHeight="1" outlineLevel="1">
      <c r="B310" s="38" t="str">
        <f t="shared" si="250"/>
        <v>Subordinated note</v>
      </c>
      <c r="C310" s="38"/>
      <c r="D310" s="38"/>
      <c r="E310" s="108"/>
      <c r="F310" s="411">
        <v>0</v>
      </c>
      <c r="G310" s="57">
        <f t="shared" ref="G310:H310" si="257">F310</f>
        <v>0</v>
      </c>
      <c r="H310" s="57">
        <f t="shared" si="257"/>
        <v>0</v>
      </c>
      <c r="I310" s="38"/>
      <c r="J310" s="38"/>
      <c r="K310" s="57">
        <f ca="1">SUM(K500:K501)</f>
        <v>0</v>
      </c>
      <c r="L310" s="57">
        <f t="shared" ref="L310:T310" ca="1" si="258">SUM(L500:L501)</f>
        <v>0</v>
      </c>
      <c r="M310" s="57">
        <f t="shared" ca="1" si="258"/>
        <v>0</v>
      </c>
      <c r="N310" s="57">
        <f t="shared" ca="1" si="258"/>
        <v>0</v>
      </c>
      <c r="O310" s="57">
        <f t="shared" ca="1" si="258"/>
        <v>0</v>
      </c>
      <c r="P310" s="57">
        <f t="shared" ca="1" si="258"/>
        <v>-50</v>
      </c>
      <c r="Q310" s="57">
        <f t="shared" ca="1" si="258"/>
        <v>0</v>
      </c>
      <c r="R310" s="57">
        <f t="shared" ca="1" si="258"/>
        <v>0</v>
      </c>
      <c r="S310" s="57">
        <f t="shared" ca="1" si="258"/>
        <v>0</v>
      </c>
      <c r="T310" s="57">
        <f t="shared" ca="1" si="258"/>
        <v>0</v>
      </c>
    </row>
    <row r="311" spans="2:20" s="35" customFormat="1" ht="13.5" customHeight="1" outlineLevel="1">
      <c r="B311" s="38" t="str">
        <f t="shared" si="250"/>
        <v>Mezzanine</v>
      </c>
      <c r="C311" s="38"/>
      <c r="D311" s="38"/>
      <c r="E311" s="108"/>
      <c r="F311" s="411">
        <v>0</v>
      </c>
      <c r="G311" s="57">
        <f t="shared" ref="G311:H311" si="259">F311</f>
        <v>0</v>
      </c>
      <c r="H311" s="57">
        <f t="shared" si="259"/>
        <v>0</v>
      </c>
      <c r="I311" s="38"/>
      <c r="J311" s="38"/>
      <c r="K311" s="57">
        <f ca="1">SUM(K509:K510)</f>
        <v>0</v>
      </c>
      <c r="L311" s="57">
        <f t="shared" ref="L311:T311" ca="1" si="260">SUM(L509:L510)</f>
        <v>0</v>
      </c>
      <c r="M311" s="57">
        <f t="shared" ca="1" si="260"/>
        <v>0</v>
      </c>
      <c r="N311" s="57">
        <f t="shared" ca="1" si="260"/>
        <v>0</v>
      </c>
      <c r="O311" s="57">
        <f t="shared" ca="1" si="260"/>
        <v>0</v>
      </c>
      <c r="P311" s="57">
        <f t="shared" ca="1" si="260"/>
        <v>0</v>
      </c>
      <c r="Q311" s="57">
        <f t="shared" ca="1" si="260"/>
        <v>0</v>
      </c>
      <c r="R311" s="57">
        <f t="shared" ca="1" si="260"/>
        <v>0</v>
      </c>
      <c r="S311" s="57">
        <f t="shared" ca="1" si="260"/>
        <v>0</v>
      </c>
      <c r="T311" s="57">
        <f t="shared" ca="1" si="260"/>
        <v>0</v>
      </c>
    </row>
    <row r="312" spans="2:20" s="35" customFormat="1" ht="13.5" customHeight="1" outlineLevel="1">
      <c r="B312" s="38" t="str">
        <f t="shared" si="250"/>
        <v>Seller note</v>
      </c>
      <c r="C312" s="38"/>
      <c r="D312" s="38"/>
      <c r="E312" s="108"/>
      <c r="F312" s="411">
        <v>0</v>
      </c>
      <c r="G312" s="57">
        <f t="shared" ref="G312:H312" si="261">F312</f>
        <v>0</v>
      </c>
      <c r="H312" s="57">
        <f t="shared" si="261"/>
        <v>0</v>
      </c>
      <c r="I312" s="38"/>
      <c r="J312" s="38"/>
      <c r="K312" s="57">
        <f ca="1">SUM(K518:K519)</f>
        <v>0</v>
      </c>
      <c r="L312" s="57">
        <f t="shared" ref="L312:T312" ca="1" si="262">SUM(L518:L519)</f>
        <v>0</v>
      </c>
      <c r="M312" s="57">
        <f t="shared" ca="1" si="262"/>
        <v>0</v>
      </c>
      <c r="N312" s="57">
        <f t="shared" ca="1" si="262"/>
        <v>0</v>
      </c>
      <c r="O312" s="57">
        <f t="shared" ca="1" si="262"/>
        <v>0</v>
      </c>
      <c r="P312" s="57">
        <f t="shared" ca="1" si="262"/>
        <v>0</v>
      </c>
      <c r="Q312" s="57">
        <f t="shared" ca="1" si="262"/>
        <v>0</v>
      </c>
      <c r="R312" s="57">
        <f t="shared" ca="1" si="262"/>
        <v>0</v>
      </c>
      <c r="S312" s="57">
        <f t="shared" ca="1" si="262"/>
        <v>0</v>
      </c>
      <c r="T312" s="57">
        <f t="shared" ca="1" si="262"/>
        <v>0</v>
      </c>
    </row>
    <row r="313" spans="2:20" s="35" customFormat="1" ht="13.5" customHeight="1" outlineLevel="1">
      <c r="B313" s="38" t="str">
        <f t="shared" si="250"/>
        <v>Convertible bond</v>
      </c>
      <c r="C313" s="38"/>
      <c r="D313" s="38"/>
      <c r="E313" s="108"/>
      <c r="F313" s="411">
        <v>0</v>
      </c>
      <c r="G313" s="57">
        <f t="shared" ref="G313:G314" si="263">F313</f>
        <v>0</v>
      </c>
      <c r="H313" s="57">
        <f t="shared" ref="H313:H314" si="264">G313</f>
        <v>0</v>
      </c>
      <c r="I313" s="38"/>
      <c r="J313" s="38"/>
      <c r="K313" s="57">
        <f ca="1">SUM(K527:K528)</f>
        <v>0</v>
      </c>
      <c r="L313" s="57">
        <f t="shared" ref="L313:T313" ca="1" si="265">SUM(L527:L528)</f>
        <v>0</v>
      </c>
      <c r="M313" s="57">
        <f t="shared" ca="1" si="265"/>
        <v>0</v>
      </c>
      <c r="N313" s="57">
        <f t="shared" ca="1" si="265"/>
        <v>0</v>
      </c>
      <c r="O313" s="57">
        <f t="shared" ca="1" si="265"/>
        <v>0</v>
      </c>
      <c r="P313" s="57">
        <f t="shared" ca="1" si="265"/>
        <v>0</v>
      </c>
      <c r="Q313" s="57">
        <f t="shared" ca="1" si="265"/>
        <v>0</v>
      </c>
      <c r="R313" s="57">
        <f t="shared" ca="1" si="265"/>
        <v>0</v>
      </c>
      <c r="S313" s="57">
        <f t="shared" ca="1" si="265"/>
        <v>0</v>
      </c>
      <c r="T313" s="57">
        <f t="shared" ca="1" si="265"/>
        <v>0</v>
      </c>
    </row>
    <row r="314" spans="2:20" s="35" customFormat="1" ht="13.5" customHeight="1" outlineLevel="1">
      <c r="B314" s="38" t="str">
        <f t="shared" si="250"/>
        <v>[Debt 8]</v>
      </c>
      <c r="C314" s="38"/>
      <c r="D314" s="38"/>
      <c r="E314" s="108"/>
      <c r="F314" s="411">
        <v>0</v>
      </c>
      <c r="G314" s="57">
        <f t="shared" si="263"/>
        <v>0</v>
      </c>
      <c r="H314" s="57">
        <f t="shared" si="264"/>
        <v>0</v>
      </c>
      <c r="I314" s="38"/>
      <c r="J314" s="38"/>
      <c r="K314" s="57">
        <f ca="1">SUM(K536:K537)</f>
        <v>0</v>
      </c>
      <c r="L314" s="57">
        <f t="shared" ref="L314:T314" ca="1" si="266">SUM(L536:L537)</f>
        <v>0</v>
      </c>
      <c r="M314" s="57">
        <f t="shared" ca="1" si="266"/>
        <v>0</v>
      </c>
      <c r="N314" s="57">
        <f t="shared" ca="1" si="266"/>
        <v>0</v>
      </c>
      <c r="O314" s="57">
        <f t="shared" ca="1" si="266"/>
        <v>0</v>
      </c>
      <c r="P314" s="57">
        <f t="shared" ca="1" si="266"/>
        <v>0</v>
      </c>
      <c r="Q314" s="57">
        <f t="shared" ca="1" si="266"/>
        <v>0</v>
      </c>
      <c r="R314" s="57">
        <f t="shared" ca="1" si="266"/>
        <v>0</v>
      </c>
      <c r="S314" s="57">
        <f t="shared" ca="1" si="266"/>
        <v>0</v>
      </c>
      <c r="T314" s="57">
        <f t="shared" ca="1" si="266"/>
        <v>0</v>
      </c>
    </row>
    <row r="315" spans="2:20" s="35" customFormat="1" ht="13.5" customHeight="1" outlineLevel="1">
      <c r="B315" s="38" t="str">
        <f t="shared" si="250"/>
        <v>Preferred stock - A</v>
      </c>
      <c r="C315" s="38"/>
      <c r="D315" s="38"/>
      <c r="E315" s="108"/>
      <c r="F315" s="411">
        <v>0</v>
      </c>
      <c r="G315" s="57">
        <f t="shared" ref="G315:H315" si="267">F315</f>
        <v>0</v>
      </c>
      <c r="H315" s="57">
        <f t="shared" si="267"/>
        <v>0</v>
      </c>
      <c r="I315" s="38"/>
      <c r="J315" s="38"/>
      <c r="K315" s="57">
        <f ca="1">SUM(K545:K546)</f>
        <v>0</v>
      </c>
      <c r="L315" s="57">
        <f t="shared" ref="L315:T315" ca="1" si="268">SUM(L545:L546)</f>
        <v>0</v>
      </c>
      <c r="M315" s="57">
        <f t="shared" ca="1" si="268"/>
        <v>0</v>
      </c>
      <c r="N315" s="57">
        <f t="shared" ca="1" si="268"/>
        <v>0</v>
      </c>
      <c r="O315" s="57">
        <f t="shared" ca="1" si="268"/>
        <v>0</v>
      </c>
      <c r="P315" s="57">
        <f t="shared" ca="1" si="268"/>
        <v>0</v>
      </c>
      <c r="Q315" s="57">
        <f t="shared" ca="1" si="268"/>
        <v>0</v>
      </c>
      <c r="R315" s="57">
        <f t="shared" ca="1" si="268"/>
        <v>0</v>
      </c>
      <c r="S315" s="57">
        <f t="shared" ca="1" si="268"/>
        <v>0</v>
      </c>
      <c r="T315" s="57">
        <f t="shared" ca="1" si="268"/>
        <v>0</v>
      </c>
    </row>
    <row r="316" spans="2:20" s="35" customFormat="1" ht="13.5" customHeight="1" outlineLevel="1">
      <c r="B316" s="38" t="str">
        <f t="shared" si="250"/>
        <v>Preferred stock - B</v>
      </c>
      <c r="C316" s="38"/>
      <c r="D316" s="38"/>
      <c r="E316" s="108"/>
      <c r="F316" s="411">
        <v>0</v>
      </c>
      <c r="G316" s="57">
        <f t="shared" ref="G316:H316" si="269">F316</f>
        <v>0</v>
      </c>
      <c r="H316" s="57">
        <f t="shared" si="269"/>
        <v>0</v>
      </c>
      <c r="I316" s="38"/>
      <c r="J316" s="38"/>
      <c r="K316" s="57">
        <f ca="1">SUM(K554:K555)</f>
        <v>0</v>
      </c>
      <c r="L316" s="57">
        <f t="shared" ref="L316:T316" ca="1" si="270">SUM(L554:L555)</f>
        <v>0</v>
      </c>
      <c r="M316" s="57">
        <f t="shared" ca="1" si="270"/>
        <v>0</v>
      </c>
      <c r="N316" s="57">
        <f t="shared" ca="1" si="270"/>
        <v>0</v>
      </c>
      <c r="O316" s="57">
        <f t="shared" ca="1" si="270"/>
        <v>0</v>
      </c>
      <c r="P316" s="57">
        <f t="shared" ca="1" si="270"/>
        <v>0</v>
      </c>
      <c r="Q316" s="57">
        <f t="shared" ca="1" si="270"/>
        <v>0</v>
      </c>
      <c r="R316" s="57">
        <f t="shared" ca="1" si="270"/>
        <v>0</v>
      </c>
      <c r="S316" s="57">
        <f t="shared" ca="1" si="270"/>
        <v>0</v>
      </c>
      <c r="T316" s="57">
        <f t="shared" ca="1" si="270"/>
        <v>0</v>
      </c>
    </row>
    <row r="317" spans="2:20" s="35" customFormat="1" ht="13.5" customHeight="1" outlineLevel="1">
      <c r="B317" s="38" t="s">
        <v>344</v>
      </c>
      <c r="C317" s="38"/>
      <c r="D317" s="38"/>
      <c r="E317" s="108"/>
      <c r="F317" s="57">
        <f>-F185*F814</f>
        <v>-1.7461</v>
      </c>
      <c r="G317" s="57">
        <f>-G185*G814</f>
        <v>-1.7461</v>
      </c>
      <c r="H317" s="57">
        <f>-H185*H814</f>
        <v>-1.7461</v>
      </c>
      <c r="I317" s="57"/>
      <c r="J317" s="57"/>
      <c r="K317" s="57">
        <f t="shared" ref="K317:T317" ca="1" si="271">-K185*K814</f>
        <v>0</v>
      </c>
      <c r="L317" s="57">
        <f t="shared" ca="1" si="271"/>
        <v>0</v>
      </c>
      <c r="M317" s="57">
        <f t="shared" ca="1" si="271"/>
        <v>0</v>
      </c>
      <c r="N317" s="57">
        <f t="shared" ca="1" si="271"/>
        <v>0</v>
      </c>
      <c r="O317" s="57">
        <f t="shared" ca="1" si="271"/>
        <v>0</v>
      </c>
      <c r="P317" s="57">
        <f t="shared" ca="1" si="271"/>
        <v>0</v>
      </c>
      <c r="Q317" s="57">
        <f t="shared" ca="1" si="271"/>
        <v>0</v>
      </c>
      <c r="R317" s="57">
        <f t="shared" ca="1" si="271"/>
        <v>0</v>
      </c>
      <c r="S317" s="57">
        <f t="shared" ca="1" si="271"/>
        <v>0</v>
      </c>
      <c r="T317" s="57">
        <f t="shared" ca="1" si="271"/>
        <v>0</v>
      </c>
    </row>
    <row r="318" spans="2:20" s="35" customFormat="1" ht="13.5" customHeight="1" outlineLevel="1">
      <c r="B318" s="95" t="s">
        <v>150</v>
      </c>
      <c r="C318" s="95"/>
      <c r="D318" s="95"/>
      <c r="E318" s="96"/>
      <c r="F318" s="96">
        <f ca="1">SUM(F305:OFFSET(F318,-1,0))</f>
        <v>-1.7461</v>
      </c>
      <c r="G318" s="96">
        <f ca="1">SUM(G305:OFFSET(G318,-1,0))</f>
        <v>-1.7461</v>
      </c>
      <c r="H318" s="96">
        <f ca="1">SUM(H305:OFFSET(H318,-1,0))</f>
        <v>-1.7461</v>
      </c>
      <c r="I318" s="230"/>
      <c r="J318" s="96"/>
      <c r="K318" s="96">
        <f ca="1">SUM(K305:OFFSET(K318,-1,0))</f>
        <v>-50</v>
      </c>
      <c r="L318" s="96">
        <f ca="1">SUM(L305:OFFSET(L318,-1,0))</f>
        <v>0</v>
      </c>
      <c r="M318" s="96">
        <f ca="1">SUM(M305:OFFSET(M318,-1,0))</f>
        <v>0</v>
      </c>
      <c r="N318" s="96">
        <f ca="1">SUM(N305:OFFSET(N318,-1,0))</f>
        <v>0</v>
      </c>
      <c r="O318" s="96">
        <f ca="1">SUM(O305:OFFSET(O318,-1,0))</f>
        <v>0</v>
      </c>
      <c r="P318" s="96">
        <f ca="1">SUM(P305:OFFSET(P318,-1,0))</f>
        <v>-50</v>
      </c>
      <c r="Q318" s="96">
        <f ca="1">SUM(Q305:OFFSET(Q318,-1,0))</f>
        <v>0</v>
      </c>
      <c r="R318" s="96">
        <f ca="1">SUM(R305:OFFSET(R318,-1,0))</f>
        <v>-100</v>
      </c>
      <c r="S318" s="96">
        <f ca="1">SUM(S305:OFFSET(S318,-1,0))</f>
        <v>0</v>
      </c>
      <c r="T318" s="96">
        <f ca="1">SUM(T305:OFFSET(T318,-1,0))</f>
        <v>0</v>
      </c>
    </row>
    <row r="319" spans="2:20" s="35" customFormat="1" ht="13.5" customHeight="1" outlineLevel="1">
      <c r="B319" s="38"/>
      <c r="C319" s="38"/>
      <c r="D319" s="38"/>
      <c r="E319" s="38"/>
      <c r="F319" s="38"/>
      <c r="G319" s="38"/>
      <c r="H319" s="38"/>
      <c r="I319" s="38"/>
      <c r="J319" s="38"/>
      <c r="K319" s="232"/>
      <c r="L319" s="232"/>
      <c r="M319" s="232"/>
      <c r="N319" s="232"/>
      <c r="O319" s="232"/>
      <c r="P319" s="232"/>
      <c r="Q319" s="232"/>
      <c r="R319" s="232"/>
      <c r="S319" s="232"/>
      <c r="T319" s="232"/>
    </row>
    <row r="320" spans="2:20" s="35" customFormat="1" ht="13.5" customHeight="1" outlineLevel="1">
      <c r="B320" s="78" t="s">
        <v>152</v>
      </c>
      <c r="C320" s="38"/>
      <c r="D320" s="38"/>
      <c r="E320" s="233"/>
      <c r="F320" s="233">
        <f ca="1">F301+F295</f>
        <v>13.647349105695163</v>
      </c>
      <c r="G320" s="233">
        <f ca="1">G301+G295</f>
        <v>12.902115519620686</v>
      </c>
      <c r="H320" s="233">
        <f ca="1">H301+H295</f>
        <v>14.271178846331114</v>
      </c>
      <c r="I320" s="38"/>
      <c r="J320" s="38"/>
      <c r="K320" s="233">
        <f t="shared" ref="K320:T320" ca="1" si="272">K301+K295</f>
        <v>66.101010390226762</v>
      </c>
      <c r="L320" s="233">
        <f t="shared" ca="1" si="272"/>
        <v>81.81509989221604</v>
      </c>
      <c r="M320" s="233">
        <f t="shared" ca="1" si="272"/>
        <v>87.038185205461076</v>
      </c>
      <c r="N320" s="233">
        <f t="shared" ca="1" si="272"/>
        <v>92.664584094126255</v>
      </c>
      <c r="O320" s="233">
        <f t="shared" ca="1" si="272"/>
        <v>98.652588850424337</v>
      </c>
      <c r="P320" s="233">
        <f t="shared" ca="1" si="272"/>
        <v>97.458065937139395</v>
      </c>
      <c r="Q320" s="233">
        <f t="shared" ca="1" si="272"/>
        <v>107.35448543899184</v>
      </c>
      <c r="R320" s="233">
        <f t="shared" ca="1" si="272"/>
        <v>113.95162995540497</v>
      </c>
      <c r="S320" s="233">
        <f t="shared" ca="1" si="272"/>
        <v>128.72965462202302</v>
      </c>
      <c r="T320" s="233">
        <f t="shared" ca="1" si="272"/>
        <v>137.13434075781402</v>
      </c>
    </row>
    <row r="321" spans="1:20" s="35" customFormat="1" ht="13.5" customHeight="1" outlineLevel="1">
      <c r="B321" s="78" t="s">
        <v>151</v>
      </c>
      <c r="C321" s="38"/>
      <c r="D321" s="38"/>
      <c r="E321" s="234"/>
      <c r="F321" s="234">
        <f ca="1">F318+F301+F295</f>
        <v>11.901249105695163</v>
      </c>
      <c r="G321" s="234">
        <f ca="1">G318+G301+G295</f>
        <v>11.156015519620686</v>
      </c>
      <c r="H321" s="234">
        <f ca="1">H318+H301+H295</f>
        <v>12.525078846331112</v>
      </c>
      <c r="I321" s="38"/>
      <c r="J321" s="38"/>
      <c r="K321" s="234">
        <f t="shared" ref="K321:T321" ca="1" si="273">K318+K301+K295</f>
        <v>16.101010390226762</v>
      </c>
      <c r="L321" s="234">
        <f t="shared" ca="1" si="273"/>
        <v>81.81509989221604</v>
      </c>
      <c r="M321" s="234">
        <f t="shared" ca="1" si="273"/>
        <v>87.038185205461076</v>
      </c>
      <c r="N321" s="234">
        <f t="shared" ca="1" si="273"/>
        <v>92.664584094126255</v>
      </c>
      <c r="O321" s="234">
        <f t="shared" ca="1" si="273"/>
        <v>98.652588850424337</v>
      </c>
      <c r="P321" s="234">
        <f t="shared" ca="1" si="273"/>
        <v>47.458065937139395</v>
      </c>
      <c r="Q321" s="234">
        <f t="shared" ca="1" si="273"/>
        <v>107.35448543899184</v>
      </c>
      <c r="R321" s="234">
        <f t="shared" ca="1" si="273"/>
        <v>13.951629955404968</v>
      </c>
      <c r="S321" s="234">
        <f t="shared" ca="1" si="273"/>
        <v>128.72965462202302</v>
      </c>
      <c r="T321" s="234">
        <f t="shared" ca="1" si="273"/>
        <v>137.13434075781402</v>
      </c>
    </row>
    <row r="322" spans="1:20" s="35" customFormat="1" ht="5.0999999999999996" customHeight="1" outlineLevel="1" thickBot="1">
      <c r="B322" s="114"/>
      <c r="C322" s="114"/>
      <c r="D322" s="224"/>
      <c r="E322" s="224"/>
      <c r="F322" s="225"/>
      <c r="G322" s="225"/>
      <c r="H322" s="225"/>
      <c r="I322" s="225"/>
      <c r="J322" s="224"/>
      <c r="K322" s="225"/>
      <c r="L322" s="225"/>
      <c r="M322" s="225"/>
      <c r="N322" s="225"/>
      <c r="O322" s="225"/>
      <c r="P322" s="225"/>
      <c r="Q322" s="225"/>
      <c r="R322" s="225"/>
      <c r="S322" s="225"/>
      <c r="T322" s="225"/>
    </row>
    <row r="323" spans="1:20" s="35" customFormat="1" ht="13.5" customHeight="1" outlineLevel="1">
      <c r="F323" s="110"/>
    </row>
    <row r="324" spans="1:20" s="35" customFormat="1" ht="13.5" customHeight="1" outlineLevel="1" thickBot="1">
      <c r="F324" s="110"/>
    </row>
    <row r="325" spans="1:20" s="35" customFormat="1" ht="20.100000000000001" customHeight="1" thickTop="1">
      <c r="A325" s="41" t="s">
        <v>313</v>
      </c>
      <c r="B325" s="42" t="s">
        <v>52</v>
      </c>
      <c r="C325" s="43"/>
      <c r="D325" s="44"/>
      <c r="E325" s="44"/>
      <c r="F325" s="44"/>
      <c r="G325" s="44"/>
      <c r="H325" s="44"/>
      <c r="I325" s="44"/>
      <c r="J325" s="44"/>
      <c r="K325" s="44"/>
      <c r="L325" s="44"/>
      <c r="M325" s="44"/>
      <c r="N325" s="44"/>
      <c r="O325" s="44"/>
      <c r="P325" s="44"/>
      <c r="Q325" s="44"/>
      <c r="R325" s="44"/>
      <c r="S325" s="44"/>
      <c r="T325" s="44"/>
    </row>
    <row r="326" spans="1:20" s="35" customFormat="1" ht="13.5" customHeight="1" outlineLevel="1">
      <c r="B326" s="45"/>
      <c r="T326" s="147" t="str">
        <f ca="1">err_msg</f>
        <v/>
      </c>
    </row>
    <row r="327" spans="1:20" s="35" customFormat="1" ht="13.5" customHeight="1" outlineLevel="1">
      <c r="D327" s="235"/>
      <c r="E327" s="195" t="s">
        <v>59</v>
      </c>
      <c r="F327" s="195" t="s">
        <v>167</v>
      </c>
      <c r="G327" s="195"/>
      <c r="H327" s="195"/>
      <c r="I327" s="196"/>
      <c r="J327" s="119" t="s">
        <v>20</v>
      </c>
      <c r="K327" s="120" t="str">
        <f>K$140</f>
        <v>Fiscal Years Ending December 31,</v>
      </c>
      <c r="L327" s="120"/>
      <c r="M327" s="120"/>
      <c r="N327" s="120"/>
      <c r="O327" s="120"/>
      <c r="P327" s="120"/>
      <c r="Q327" s="120"/>
      <c r="R327" s="120"/>
      <c r="S327" s="120"/>
      <c r="T327" s="120"/>
    </row>
    <row r="328" spans="1:20" s="35" customFormat="1" ht="13.5" customHeight="1" outlineLevel="1">
      <c r="D328" s="236"/>
      <c r="E328" s="102" t="str">
        <f>E$141</f>
        <v>MRQ</v>
      </c>
      <c r="F328" s="102" t="str">
        <f>F$141</f>
        <v>MRQ+1</v>
      </c>
      <c r="G328" s="102" t="str">
        <f t="shared" ref="G328:H328" si="274">G$141</f>
        <v>MRQ+2</v>
      </c>
      <c r="H328" s="102" t="str">
        <f t="shared" si="274"/>
        <v>MRQ+3</v>
      </c>
      <c r="I328" s="197" t="s">
        <v>441</v>
      </c>
      <c r="J328" s="102" t="s">
        <v>166</v>
      </c>
      <c r="K328" s="102">
        <f t="shared" ref="K328" si="275">K$141</f>
        <v>1</v>
      </c>
      <c r="L328" s="102">
        <f>L$141</f>
        <v>2</v>
      </c>
      <c r="M328" s="102">
        <f t="shared" ref="M328:T328" si="276">M$141</f>
        <v>3</v>
      </c>
      <c r="N328" s="102">
        <f t="shared" si="276"/>
        <v>4</v>
      </c>
      <c r="O328" s="102">
        <f t="shared" si="276"/>
        <v>5</v>
      </c>
      <c r="P328" s="102">
        <f t="shared" si="276"/>
        <v>6</v>
      </c>
      <c r="Q328" s="102">
        <f t="shared" si="276"/>
        <v>7</v>
      </c>
      <c r="R328" s="102">
        <f t="shared" si="276"/>
        <v>8</v>
      </c>
      <c r="S328" s="102">
        <f t="shared" si="276"/>
        <v>9</v>
      </c>
      <c r="T328" s="102">
        <f t="shared" si="276"/>
        <v>10</v>
      </c>
    </row>
    <row r="329" spans="1:20" s="35" customFormat="1" ht="13.5" customHeight="1" outlineLevel="1" thickBot="1">
      <c r="B329" s="122" t="s">
        <v>201</v>
      </c>
      <c r="C329" s="199"/>
      <c r="D329" s="123"/>
      <c r="E329" s="125">
        <f>E$142</f>
        <v>45016</v>
      </c>
      <c r="F329" s="125">
        <f>F$142</f>
        <v>45107</v>
      </c>
      <c r="G329" s="125">
        <f t="shared" ref="G329:H329" si="277">G$142</f>
        <v>45199</v>
      </c>
      <c r="H329" s="125">
        <f t="shared" si="277"/>
        <v>45291</v>
      </c>
      <c r="I329" s="201" t="s">
        <v>433</v>
      </c>
      <c r="J329" s="200">
        <f>J$217</f>
        <v>45291</v>
      </c>
      <c r="K329" s="202">
        <f t="shared" ref="K329" si="278">K$142</f>
        <v>45657</v>
      </c>
      <c r="L329" s="202">
        <f>L$142</f>
        <v>46022</v>
      </c>
      <c r="M329" s="126">
        <f t="shared" ref="M329:T329" si="279">M$142</f>
        <v>46387</v>
      </c>
      <c r="N329" s="126">
        <f t="shared" si="279"/>
        <v>46752</v>
      </c>
      <c r="O329" s="126">
        <f t="shared" si="279"/>
        <v>47118</v>
      </c>
      <c r="P329" s="126">
        <f t="shared" si="279"/>
        <v>47483</v>
      </c>
      <c r="Q329" s="126">
        <f t="shared" si="279"/>
        <v>47848</v>
      </c>
      <c r="R329" s="126">
        <f t="shared" si="279"/>
        <v>48213</v>
      </c>
      <c r="S329" s="126">
        <f t="shared" si="279"/>
        <v>48579</v>
      </c>
      <c r="T329" s="126">
        <f t="shared" si="279"/>
        <v>48944</v>
      </c>
    </row>
    <row r="330" spans="1:20" s="35" customFormat="1" ht="5.0999999999999996" customHeight="1" outlineLevel="1">
      <c r="D330" s="38"/>
      <c r="E330" s="38"/>
    </row>
    <row r="331" spans="1:20" s="35" customFormat="1" ht="13.5" customHeight="1" outlineLevel="1">
      <c r="B331" s="46" t="s">
        <v>207</v>
      </c>
      <c r="C331" s="47"/>
      <c r="D331" s="47"/>
      <c r="E331" s="47"/>
      <c r="F331" s="47"/>
      <c r="G331" s="47"/>
      <c r="H331" s="47"/>
      <c r="I331" s="47"/>
      <c r="J331" s="47"/>
      <c r="K331" s="47"/>
      <c r="L331" s="47"/>
      <c r="M331" s="47"/>
      <c r="N331" s="47"/>
      <c r="O331" s="47"/>
      <c r="P331" s="47"/>
      <c r="Q331" s="47"/>
      <c r="R331" s="47"/>
      <c r="S331" s="47"/>
      <c r="T331" s="48"/>
    </row>
    <row r="332" spans="1:20" s="35" customFormat="1" ht="5.0999999999999996" customHeight="1" outlineLevel="1">
      <c r="B332" s="38"/>
      <c r="C332" s="38"/>
      <c r="D332" s="38"/>
      <c r="E332" s="38"/>
      <c r="F332" s="38"/>
      <c r="G332" s="38"/>
      <c r="H332" s="38"/>
      <c r="I332" s="214"/>
      <c r="J332" s="38"/>
      <c r="K332" s="38"/>
      <c r="L332" s="38"/>
      <c r="M332" s="38"/>
      <c r="N332" s="38"/>
      <c r="O332" s="38"/>
      <c r="P332" s="38"/>
      <c r="Q332" s="38"/>
      <c r="R332" s="38"/>
      <c r="S332" s="38"/>
      <c r="T332" s="38"/>
    </row>
    <row r="333" spans="1:20" s="35" customFormat="1" ht="13.5" customHeight="1" outlineLevel="1">
      <c r="B333" s="84" t="str">
        <f>B222</f>
        <v>Accounts receivable</v>
      </c>
      <c r="D333" s="54"/>
      <c r="E333" s="205">
        <f>E222</f>
        <v>131.44300000000001</v>
      </c>
      <c r="F333" s="237">
        <f>CHOOSE($D351,F$347,F$348)*F351*4</f>
        <v>133.54337783505156</v>
      </c>
      <c r="G333" s="237">
        <f t="shared" ref="G333:H333" si="280">CHOOSE($D351,G$347,G$348)*G351*4</f>
        <v>136.37057263355203</v>
      </c>
      <c r="H333" s="237">
        <f t="shared" si="280"/>
        <v>138.21841237113401</v>
      </c>
      <c r="I333" s="204">
        <f>J333-H333</f>
        <v>0</v>
      </c>
      <c r="J333" s="205">
        <f>O912</f>
        <v>138.21841237113401</v>
      </c>
      <c r="K333" s="237">
        <f>CHOOSE($D351,K$347,K$348)*K351</f>
        <v>146.51615589757543</v>
      </c>
      <c r="L333" s="237">
        <f t="shared" ref="L333:T333" si="281">CHOOSE($D351,L$347,L$348)*L351</f>
        <v>155.31204251833714</v>
      </c>
      <c r="M333" s="237">
        <f t="shared" si="281"/>
        <v>164.63597753738867</v>
      </c>
      <c r="N333" s="237">
        <f t="shared" si="281"/>
        <v>174.51966158059739</v>
      </c>
      <c r="O333" s="237">
        <f t="shared" si="281"/>
        <v>184.99669837529561</v>
      </c>
      <c r="P333" s="237">
        <f t="shared" si="281"/>
        <v>196.10270900023914</v>
      </c>
      <c r="Q333" s="237">
        <f t="shared" si="281"/>
        <v>207.87545299439739</v>
      </c>
      <c r="R333" s="237">
        <f t="shared" si="281"/>
        <v>220.35495673633565</v>
      </c>
      <c r="S333" s="237">
        <f t="shared" si="281"/>
        <v>233.58364953066891</v>
      </c>
      <c r="T333" s="237">
        <f t="shared" si="281"/>
        <v>247.60650786426996</v>
      </c>
    </row>
    <row r="334" spans="1:20" s="35" customFormat="1" ht="13.5" customHeight="1" outlineLevel="1">
      <c r="B334" s="84" t="str">
        <f>B223</f>
        <v>Inventories</v>
      </c>
      <c r="D334" s="57"/>
      <c r="E334" s="109">
        <f>E223</f>
        <v>0</v>
      </c>
      <c r="F334" s="57">
        <f>CHOOSE($D352,F$347,F$348)*F352*4</f>
        <v>0</v>
      </c>
      <c r="G334" s="57">
        <f t="shared" ref="G334:H334" si="282">CHOOSE($D352,G$347,G$348)*G352*4</f>
        <v>0</v>
      </c>
      <c r="H334" s="57">
        <f t="shared" si="282"/>
        <v>0</v>
      </c>
      <c r="I334" s="215">
        <f>J334-H334</f>
        <v>0</v>
      </c>
      <c r="J334" s="109">
        <f>O913</f>
        <v>0</v>
      </c>
      <c r="K334" s="57">
        <f>CHOOSE($D352,K$347,K$348)*K352</f>
        <v>0</v>
      </c>
      <c r="L334" s="57">
        <f t="shared" ref="L334:T334" si="283">CHOOSE($D352,L$347,L$348)*L352</f>
        <v>0</v>
      </c>
      <c r="M334" s="57">
        <f t="shared" si="283"/>
        <v>0</v>
      </c>
      <c r="N334" s="57">
        <f t="shared" si="283"/>
        <v>0</v>
      </c>
      <c r="O334" s="57">
        <f t="shared" si="283"/>
        <v>0</v>
      </c>
      <c r="P334" s="57">
        <f t="shared" si="283"/>
        <v>0</v>
      </c>
      <c r="Q334" s="57">
        <f t="shared" si="283"/>
        <v>0</v>
      </c>
      <c r="R334" s="57">
        <f t="shared" si="283"/>
        <v>0</v>
      </c>
      <c r="S334" s="57">
        <f t="shared" si="283"/>
        <v>0</v>
      </c>
      <c r="T334" s="57">
        <f t="shared" si="283"/>
        <v>0</v>
      </c>
    </row>
    <row r="335" spans="1:20" s="35" customFormat="1" ht="13.5" customHeight="1" outlineLevel="1">
      <c r="B335" s="84" t="str">
        <f>B224</f>
        <v>Deferred tax asset, current</v>
      </c>
      <c r="D335" s="57"/>
      <c r="E335" s="109">
        <f>E224</f>
        <v>0</v>
      </c>
      <c r="F335" s="57">
        <f>CHOOSE($D353,F$347,F$348)*F353*4</f>
        <v>0</v>
      </c>
      <c r="G335" s="57">
        <f t="shared" ref="G335:H335" si="284">CHOOSE($D353,G$347,G$348)*G353*4</f>
        <v>0</v>
      </c>
      <c r="H335" s="57">
        <f t="shared" si="284"/>
        <v>0</v>
      </c>
      <c r="I335" s="215">
        <f>J335-H335</f>
        <v>0</v>
      </c>
      <c r="J335" s="109">
        <f>O914</f>
        <v>0</v>
      </c>
      <c r="K335" s="57">
        <f>CHOOSE($D353,K$347,K$348)*K353</f>
        <v>0</v>
      </c>
      <c r="L335" s="57">
        <f t="shared" ref="L335:T335" si="285">CHOOSE($D353,L$347,L$348)*L353</f>
        <v>0</v>
      </c>
      <c r="M335" s="57">
        <f t="shared" si="285"/>
        <v>0</v>
      </c>
      <c r="N335" s="57">
        <f t="shared" si="285"/>
        <v>0</v>
      </c>
      <c r="O335" s="57">
        <f t="shared" si="285"/>
        <v>0</v>
      </c>
      <c r="P335" s="57">
        <f t="shared" si="285"/>
        <v>0</v>
      </c>
      <c r="Q335" s="57">
        <f t="shared" si="285"/>
        <v>0</v>
      </c>
      <c r="R335" s="57">
        <f t="shared" si="285"/>
        <v>0</v>
      </c>
      <c r="S335" s="57">
        <f t="shared" si="285"/>
        <v>0</v>
      </c>
      <c r="T335" s="57">
        <f t="shared" si="285"/>
        <v>0</v>
      </c>
    </row>
    <row r="336" spans="1:20" s="35" customFormat="1" ht="13.5" customHeight="1" outlineLevel="1">
      <c r="B336" s="84" t="str">
        <f>B225</f>
        <v>Prepaid expenses &amp; other</v>
      </c>
      <c r="D336" s="57"/>
      <c r="E336" s="109">
        <f>E225</f>
        <v>8.2230000000000008</v>
      </c>
      <c r="F336" s="57">
        <f>CHOOSE($D354,F$347,F$348)*F354*4</f>
        <v>8.4334606946983559</v>
      </c>
      <c r="G336" s="57">
        <f t="shared" ref="G336:H336" si="286">CHOOSE($D354,G$347,G$348)*G354*4</f>
        <v>8.5386910420475317</v>
      </c>
      <c r="H336" s="57">
        <f t="shared" si="286"/>
        <v>8.6439213893967093</v>
      </c>
      <c r="I336" s="215">
        <f>J336-H336</f>
        <v>0</v>
      </c>
      <c r="J336" s="109">
        <f>O915</f>
        <v>8.6439213893967093</v>
      </c>
      <c r="K336" s="57">
        <f>CHOOSE($D354,K$347,K$348)*K354</f>
        <v>9.1354460174921233</v>
      </c>
      <c r="L336" s="57">
        <f t="shared" ref="L336:T336" si="287">CHOOSE($D354,L$347,L$348)*L354</f>
        <v>9.6838793756272032</v>
      </c>
      <c r="M336" s="57">
        <f t="shared" si="287"/>
        <v>10.265237141365303</v>
      </c>
      <c r="N336" s="57">
        <f t="shared" si="287"/>
        <v>10.881495884147235</v>
      </c>
      <c r="O336" s="57">
        <f t="shared" si="287"/>
        <v>11.534750833916416</v>
      </c>
      <c r="P336" s="57">
        <f t="shared" si="287"/>
        <v>12.227223004731435</v>
      </c>
      <c r="Q336" s="57">
        <f t="shared" si="287"/>
        <v>12.961266746034418</v>
      </c>
      <c r="R336" s="57">
        <f t="shared" si="287"/>
        <v>13.739377747248957</v>
      </c>
      <c r="S336" s="57">
        <f t="shared" si="287"/>
        <v>14.564201522922549</v>
      </c>
      <c r="T336" s="57">
        <f t="shared" si="287"/>
        <v>15.438542407262332</v>
      </c>
    </row>
    <row r="337" spans="2:20" ht="13.5" customHeight="1" outlineLevel="1">
      <c r="B337" s="52" t="s">
        <v>209</v>
      </c>
      <c r="C337" s="52"/>
      <c r="D337" s="52"/>
      <c r="E337" s="83">
        <f>SUM(E333:E336)</f>
        <v>139.66600000000003</v>
      </c>
      <c r="F337" s="83">
        <f t="shared" ref="F337:H337" si="288">SUM(F333:F336)</f>
        <v>141.97683852974993</v>
      </c>
      <c r="G337" s="83">
        <f t="shared" si="288"/>
        <v>144.90926367559956</v>
      </c>
      <c r="H337" s="83">
        <f t="shared" si="288"/>
        <v>146.8623337605307</v>
      </c>
      <c r="I337" s="211">
        <f t="shared" ref="I337" si="289">SUM(I333:I336)</f>
        <v>0</v>
      </c>
      <c r="J337" s="83">
        <f t="shared" ref="J337:K337" si="290">SUM(J333:J336)</f>
        <v>146.8623337605307</v>
      </c>
      <c r="K337" s="83">
        <f t="shared" si="290"/>
        <v>155.65160191506754</v>
      </c>
      <c r="L337" s="83">
        <f t="shared" ref="L337:T337" si="291">SUM(L333:L336)</f>
        <v>164.99592189396435</v>
      </c>
      <c r="M337" s="83">
        <f t="shared" si="291"/>
        <v>174.90121467875397</v>
      </c>
      <c r="N337" s="83">
        <f t="shared" si="291"/>
        <v>185.40115746474461</v>
      </c>
      <c r="O337" s="83">
        <f t="shared" si="291"/>
        <v>196.53144920921201</v>
      </c>
      <c r="P337" s="83">
        <f t="shared" si="291"/>
        <v>208.32993200497057</v>
      </c>
      <c r="Q337" s="83">
        <f t="shared" si="291"/>
        <v>220.83671974043182</v>
      </c>
      <c r="R337" s="83">
        <f t="shared" si="291"/>
        <v>234.09433448358462</v>
      </c>
      <c r="S337" s="83">
        <f t="shared" si="291"/>
        <v>248.14785105359147</v>
      </c>
      <c r="T337" s="83">
        <f t="shared" si="291"/>
        <v>263.04505027153232</v>
      </c>
    </row>
    <row r="338" spans="2:20" s="35" customFormat="1" ht="13.5" customHeight="1" outlineLevel="1">
      <c r="B338" s="84" t="str">
        <f>B241</f>
        <v>Accounts payable</v>
      </c>
      <c r="D338" s="54"/>
      <c r="E338" s="109">
        <f>E241</f>
        <v>20.661999999999999</v>
      </c>
      <c r="F338" s="57">
        <f>CHOOSE($D356,F$347,F$348)*F356*4</f>
        <v>21.190826325411333</v>
      </c>
      <c r="G338" s="57">
        <f t="shared" ref="G338:H338" si="292">CHOOSE($D356,G$347,G$348)*G356*4</f>
        <v>21.455239488116998</v>
      </c>
      <c r="H338" s="57">
        <f t="shared" si="292"/>
        <v>21.719652650822667</v>
      </c>
      <c r="I338" s="215">
        <f>J338-H338</f>
        <v>0</v>
      </c>
      <c r="J338" s="109">
        <f>O931</f>
        <v>21.719652650822667</v>
      </c>
      <c r="K338" s="57">
        <f>CHOOSE($D356,K$347,K$348)*K356</f>
        <v>22.9547106425176</v>
      </c>
      <c r="L338" s="57">
        <f t="shared" ref="L338:T338" si="293">CHOOSE($D356,L$347,L$348)*L356</f>
        <v>24.332763670097197</v>
      </c>
      <c r="M338" s="57">
        <f t="shared" si="293"/>
        <v>25.793546128528501</v>
      </c>
      <c r="N338" s="57">
        <f t="shared" si="293"/>
        <v>27.342024560166621</v>
      </c>
      <c r="O338" s="57">
        <f t="shared" si="293"/>
        <v>28.983463666591387</v>
      </c>
      <c r="P338" s="57">
        <f t="shared" si="293"/>
        <v>30.723444208167447</v>
      </c>
      <c r="Q338" s="57">
        <f t="shared" si="293"/>
        <v>32.567881978178661</v>
      </c>
      <c r="R338" s="57">
        <f t="shared" si="293"/>
        <v>34.523047916047418</v>
      </c>
      <c r="S338" s="57">
        <f t="shared" si="293"/>
        <v>36.595589428022095</v>
      </c>
      <c r="T338" s="57">
        <f t="shared" si="293"/>
        <v>38.792552987821267</v>
      </c>
    </row>
    <row r="339" spans="2:20" s="35" customFormat="1" ht="13.5" customHeight="1" outlineLevel="1">
      <c r="B339" s="84" t="str">
        <f>B242</f>
        <v>Accrued liabilities</v>
      </c>
      <c r="D339" s="57"/>
      <c r="E339" s="109">
        <f>E242</f>
        <v>15.38</v>
      </c>
      <c r="F339" s="57">
        <f>CHOOSE($D357,F$347,F$348)*F357*4</f>
        <v>15.773638025594151</v>
      </c>
      <c r="G339" s="57">
        <f t="shared" ref="G339:H339" si="294">CHOOSE($D357,G$347,G$348)*G357*4</f>
        <v>15.970457038391224</v>
      </c>
      <c r="H339" s="57">
        <f t="shared" si="294"/>
        <v>16.167276051188299</v>
      </c>
      <c r="I339" s="215">
        <f>J339-H339</f>
        <v>0</v>
      </c>
      <c r="J339" s="109">
        <f>O932</f>
        <v>16.167276051188299</v>
      </c>
      <c r="K339" s="57">
        <f>CHOOSE($D357,K$347,K$348)*K357</f>
        <v>17.086605831087056</v>
      </c>
      <c r="L339" s="57">
        <f t="shared" ref="L339:T339" si="295">CHOOSE($D357,L$347,L$348)*L357</f>
        <v>18.11237562898533</v>
      </c>
      <c r="M339" s="57">
        <f t="shared" si="295"/>
        <v>19.199726040885121</v>
      </c>
      <c r="N339" s="57">
        <f t="shared" si="295"/>
        <v>20.352353970349565</v>
      </c>
      <c r="O339" s="57">
        <f t="shared" si="295"/>
        <v>21.574178259228322</v>
      </c>
      <c r="P339" s="57">
        <f t="shared" si="295"/>
        <v>22.869353011403316</v>
      </c>
      <c r="Q339" s="57">
        <f t="shared" si="295"/>
        <v>24.242281716406342</v>
      </c>
      <c r="R339" s="57">
        <f t="shared" si="295"/>
        <v>25.697632220927758</v>
      </c>
      <c r="S339" s="57">
        <f t="shared" si="295"/>
        <v>27.240352599118179</v>
      </c>
      <c r="T339" s="57">
        <f t="shared" si="295"/>
        <v>28.875687975640844</v>
      </c>
    </row>
    <row r="340" spans="2:20" s="35" customFormat="1" ht="13.5" customHeight="1" outlineLevel="1">
      <c r="B340" s="84" t="str">
        <f>B243</f>
        <v>Client deposits</v>
      </c>
      <c r="D340" s="57"/>
      <c r="E340" s="109">
        <f>E243</f>
        <v>0</v>
      </c>
      <c r="F340" s="57">
        <f>CHOOSE($D358,F$347,F$348)*F358*4</f>
        <v>0</v>
      </c>
      <c r="G340" s="57">
        <f t="shared" ref="G340:H340" si="296">CHOOSE($D358,G$347,G$348)*G358*4</f>
        <v>0</v>
      </c>
      <c r="H340" s="57">
        <f t="shared" si="296"/>
        <v>0</v>
      </c>
      <c r="I340" s="215">
        <f>J340-H340</f>
        <v>0</v>
      </c>
      <c r="J340" s="109">
        <f>O933</f>
        <v>0</v>
      </c>
      <c r="K340" s="57">
        <f>CHOOSE($D358,K$347,K$348)*K358</f>
        <v>0</v>
      </c>
      <c r="L340" s="57">
        <f t="shared" ref="L340:T340" si="297">CHOOSE($D358,L$347,L$348)*L358</f>
        <v>0</v>
      </c>
      <c r="M340" s="57">
        <f t="shared" si="297"/>
        <v>0</v>
      </c>
      <c r="N340" s="57">
        <f t="shared" si="297"/>
        <v>0</v>
      </c>
      <c r="O340" s="57">
        <f t="shared" si="297"/>
        <v>0</v>
      </c>
      <c r="P340" s="57">
        <f t="shared" si="297"/>
        <v>0</v>
      </c>
      <c r="Q340" s="57">
        <f t="shared" si="297"/>
        <v>0</v>
      </c>
      <c r="R340" s="57">
        <f t="shared" si="297"/>
        <v>0</v>
      </c>
      <c r="S340" s="57">
        <f t="shared" si="297"/>
        <v>0</v>
      </c>
      <c r="T340" s="57">
        <f t="shared" si="297"/>
        <v>0</v>
      </c>
    </row>
    <row r="341" spans="2:20" s="35" customFormat="1" ht="13.5" customHeight="1" outlineLevel="1">
      <c r="B341" s="84" t="str">
        <f>B244</f>
        <v>Other current liabilities</v>
      </c>
      <c r="D341" s="57"/>
      <c r="E341" s="109">
        <f>E244</f>
        <v>59.132999999999996</v>
      </c>
      <c r="F341" s="57">
        <f>CHOOSE($D359,F$347,F$348)*F359*4</f>
        <v>60.646458866544791</v>
      </c>
      <c r="G341" s="57">
        <f t="shared" ref="G341:H341" si="298">CHOOSE($D359,G$347,G$348)*G359*4</f>
        <v>61.403188299817181</v>
      </c>
      <c r="H341" s="57">
        <f t="shared" si="298"/>
        <v>62.159917733089578</v>
      </c>
      <c r="I341" s="215">
        <f>J341-H341</f>
        <v>0</v>
      </c>
      <c r="J341" s="109">
        <f>O934</f>
        <v>62.159917733089578</v>
      </c>
      <c r="K341" s="57">
        <f>CHOOSE($D359,K$347,K$348)*K359</f>
        <v>65.694555436259492</v>
      </c>
      <c r="L341" s="57">
        <f t="shared" ref="L341:T341" si="299">CHOOSE($D359,L$347,L$348)*L359</f>
        <v>69.638433554537684</v>
      </c>
      <c r="M341" s="57">
        <f t="shared" si="299"/>
        <v>73.819076721434328</v>
      </c>
      <c r="N341" s="57">
        <f t="shared" si="299"/>
        <v>78.250698786000058</v>
      </c>
      <c r="O341" s="57">
        <f t="shared" si="299"/>
        <v>82.948366905263228</v>
      </c>
      <c r="P341" s="57">
        <f t="shared" si="299"/>
        <v>87.928052771346714</v>
      </c>
      <c r="Q341" s="57">
        <f t="shared" si="299"/>
        <v>93.206686913930838</v>
      </c>
      <c r="R341" s="57">
        <f t="shared" si="299"/>
        <v>98.802216262686684</v>
      </c>
      <c r="S341" s="57">
        <f t="shared" si="299"/>
        <v>104.73366516538721</v>
      </c>
      <c r="T341" s="57">
        <f t="shared" si="299"/>
        <v>111.0212000691528</v>
      </c>
    </row>
    <row r="342" spans="2:20" ht="13.5" customHeight="1" outlineLevel="1">
      <c r="B342" s="52" t="s">
        <v>208</v>
      </c>
      <c r="C342" s="52"/>
      <c r="D342" s="52"/>
      <c r="E342" s="83">
        <f>SUM(E338:E341)</f>
        <v>95.174999999999997</v>
      </c>
      <c r="F342" s="83">
        <f t="shared" ref="F342:H342" si="300">SUM(F338:F341)</f>
        <v>97.610923217550265</v>
      </c>
      <c r="G342" s="83">
        <f t="shared" si="300"/>
        <v>98.828884826325407</v>
      </c>
      <c r="H342" s="83">
        <f t="shared" si="300"/>
        <v>100.04684643510055</v>
      </c>
      <c r="I342" s="211">
        <f t="shared" ref="I342" si="301">SUM(I338:I341)</f>
        <v>0</v>
      </c>
      <c r="J342" s="83">
        <f t="shared" ref="J342:K342" si="302">SUM(J338:J341)</f>
        <v>100.04684643510055</v>
      </c>
      <c r="K342" s="83">
        <f t="shared" si="302"/>
        <v>105.73587190986414</v>
      </c>
      <c r="L342" s="83">
        <f t="shared" ref="L342:T342" si="303">SUM(L338:L341)</f>
        <v>112.08357285362021</v>
      </c>
      <c r="M342" s="83">
        <f t="shared" si="303"/>
        <v>118.81234889084794</v>
      </c>
      <c r="N342" s="83">
        <f t="shared" si="303"/>
        <v>125.94507731651625</v>
      </c>
      <c r="O342" s="83">
        <f t="shared" si="303"/>
        <v>133.50600883108294</v>
      </c>
      <c r="P342" s="83">
        <f t="shared" si="303"/>
        <v>141.52084999091747</v>
      </c>
      <c r="Q342" s="83">
        <f t="shared" si="303"/>
        <v>150.01685060851582</v>
      </c>
      <c r="R342" s="83">
        <f t="shared" si="303"/>
        <v>159.02289639966187</v>
      </c>
      <c r="S342" s="83">
        <f t="shared" si="303"/>
        <v>168.56960719252749</v>
      </c>
      <c r="T342" s="83">
        <f t="shared" si="303"/>
        <v>178.68944103261492</v>
      </c>
    </row>
    <row r="343" spans="2:20" s="78" customFormat="1" ht="13.5" customHeight="1" outlineLevel="1">
      <c r="B343" s="212" t="s">
        <v>141</v>
      </c>
      <c r="C343" s="212"/>
      <c r="D343" s="213"/>
      <c r="E343" s="213">
        <f t="shared" ref="E343:I343" si="304">E337-E342</f>
        <v>44.491000000000028</v>
      </c>
      <c r="F343" s="213">
        <f t="shared" si="304"/>
        <v>44.365915312199661</v>
      </c>
      <c r="G343" s="213">
        <f t="shared" si="304"/>
        <v>46.080378849274155</v>
      </c>
      <c r="H343" s="213">
        <f t="shared" si="304"/>
        <v>46.815487325430155</v>
      </c>
      <c r="I343" s="96">
        <f t="shared" si="304"/>
        <v>0</v>
      </c>
      <c r="J343" s="213">
        <f t="shared" ref="J343:T343" si="305">J337-J342</f>
        <v>46.815487325430155</v>
      </c>
      <c r="K343" s="213">
        <f t="shared" si="305"/>
        <v>49.9157300052034</v>
      </c>
      <c r="L343" s="213">
        <f t="shared" si="305"/>
        <v>52.912349040344139</v>
      </c>
      <c r="M343" s="213">
        <f t="shared" si="305"/>
        <v>56.08886578790603</v>
      </c>
      <c r="N343" s="213">
        <f t="shared" si="305"/>
        <v>59.456080148228367</v>
      </c>
      <c r="O343" s="213">
        <f t="shared" si="305"/>
        <v>63.025440378129076</v>
      </c>
      <c r="P343" s="213">
        <f t="shared" si="305"/>
        <v>66.809082014053104</v>
      </c>
      <c r="Q343" s="213">
        <f t="shared" si="305"/>
        <v>70.819869131915993</v>
      </c>
      <c r="R343" s="213">
        <f t="shared" si="305"/>
        <v>75.071438083922743</v>
      </c>
      <c r="S343" s="213">
        <f t="shared" si="305"/>
        <v>79.578243861063982</v>
      </c>
      <c r="T343" s="213">
        <f t="shared" si="305"/>
        <v>84.355609238917395</v>
      </c>
    </row>
    <row r="344" spans="2:20" s="35" customFormat="1" ht="13.5" customHeight="1" outlineLevel="1">
      <c r="I344" s="203"/>
    </row>
    <row r="345" spans="2:20" s="35" customFormat="1" ht="13.5" customHeight="1" outlineLevel="1">
      <c r="B345" s="46" t="s">
        <v>168</v>
      </c>
      <c r="C345" s="47"/>
      <c r="D345" s="47"/>
      <c r="E345" s="47"/>
      <c r="F345" s="47"/>
      <c r="G345" s="47"/>
      <c r="H345" s="47"/>
      <c r="I345" s="47"/>
      <c r="J345" s="47"/>
      <c r="K345" s="47"/>
      <c r="L345" s="47"/>
      <c r="M345" s="47"/>
      <c r="N345" s="47"/>
      <c r="O345" s="47"/>
      <c r="P345" s="47"/>
      <c r="Q345" s="47"/>
      <c r="R345" s="47"/>
      <c r="S345" s="47"/>
      <c r="T345" s="48"/>
    </row>
    <row r="346" spans="2:20" s="35" customFormat="1" ht="5.0999999999999996" customHeight="1" outlineLevel="1">
      <c r="B346" s="38"/>
      <c r="C346" s="38"/>
      <c r="D346" s="38"/>
      <c r="E346" s="38"/>
      <c r="F346" s="38"/>
      <c r="G346" s="38"/>
      <c r="H346" s="38"/>
      <c r="I346" s="214"/>
      <c r="J346" s="38"/>
      <c r="K346" s="38"/>
      <c r="L346" s="38"/>
      <c r="M346" s="38"/>
      <c r="N346" s="38"/>
      <c r="O346" s="38"/>
      <c r="P346" s="38"/>
      <c r="Q346" s="38"/>
      <c r="R346" s="38"/>
      <c r="S346" s="38"/>
      <c r="T346" s="38"/>
    </row>
    <row r="347" spans="2:20" ht="13.5" customHeight="1" outlineLevel="1">
      <c r="B347" s="38" t="s">
        <v>60</v>
      </c>
      <c r="D347" s="54"/>
      <c r="E347" s="54">
        <f t="shared" ref="E347:H348" si="306">E144</f>
        <v>106.7</v>
      </c>
      <c r="F347" s="54">
        <f t="shared" si="306"/>
        <v>108.405</v>
      </c>
      <c r="G347" s="54">
        <f t="shared" si="306"/>
        <v>110.7</v>
      </c>
      <c r="H347" s="54">
        <f t="shared" si="306"/>
        <v>112.2</v>
      </c>
      <c r="I347" s="214"/>
      <c r="J347" s="205">
        <f>SUM(E347:H347)</f>
        <v>438.005</v>
      </c>
      <c r="K347" s="54">
        <f t="shared" ref="K347:T347" si="307">K144</f>
        <v>464.3</v>
      </c>
      <c r="L347" s="54">
        <f t="shared" si="307"/>
        <v>492.17358249335052</v>
      </c>
      <c r="M347" s="54">
        <f t="shared" si="307"/>
        <v>521.72051540887117</v>
      </c>
      <c r="N347" s="54">
        <f t="shared" si="307"/>
        <v>553.04125593164201</v>
      </c>
      <c r="O347" s="54">
        <f t="shared" si="307"/>
        <v>586.2422920493176</v>
      </c>
      <c r="P347" s="54">
        <f t="shared" si="307"/>
        <v>621.43650460268293</v>
      </c>
      <c r="Q347" s="54">
        <f t="shared" si="307"/>
        <v>658.74355107139343</v>
      </c>
      <c r="R347" s="54">
        <f t="shared" si="307"/>
        <v>698.29027239973959</v>
      </c>
      <c r="S347" s="54">
        <f t="shared" si="307"/>
        <v>740.21112424561147</v>
      </c>
      <c r="T347" s="54">
        <f t="shared" si="307"/>
        <v>784.64863411887393</v>
      </c>
    </row>
    <row r="348" spans="2:20" ht="13.5" customHeight="1" outlineLevel="1">
      <c r="B348" s="38" t="s">
        <v>24</v>
      </c>
      <c r="D348" s="57"/>
      <c r="E348" s="57">
        <f t="shared" si="306"/>
        <v>54.7</v>
      </c>
      <c r="F348" s="57">
        <f t="shared" si="306"/>
        <v>56.1</v>
      </c>
      <c r="G348" s="57">
        <f t="shared" si="306"/>
        <v>56.8</v>
      </c>
      <c r="H348" s="57">
        <f t="shared" si="306"/>
        <v>57.5</v>
      </c>
      <c r="I348" s="238"/>
      <c r="J348" s="109">
        <f>SUM(E348:H348)</f>
        <v>225.10000000000002</v>
      </c>
      <c r="K348" s="57">
        <f t="shared" ref="K348:T348" si="308">K145</f>
        <v>237.9</v>
      </c>
      <c r="L348" s="57">
        <f t="shared" si="308"/>
        <v>252.18198422392439</v>
      </c>
      <c r="M348" s="57">
        <f t="shared" si="308"/>
        <v>267.32136682268026</v>
      </c>
      <c r="N348" s="57">
        <f t="shared" si="308"/>
        <v>283.369620474128</v>
      </c>
      <c r="O348" s="57">
        <f t="shared" si="308"/>
        <v>300.38130794428741</v>
      </c>
      <c r="P348" s="57">
        <f t="shared" si="308"/>
        <v>318.41426759633487</v>
      </c>
      <c r="Q348" s="57">
        <f t="shared" si="308"/>
        <v>337.52981003636552</v>
      </c>
      <c r="R348" s="57">
        <f t="shared" si="308"/>
        <v>357.7929265645015</v>
      </c>
      <c r="S348" s="57">
        <f t="shared" si="308"/>
        <v>379.27251014006242</v>
      </c>
      <c r="T348" s="57">
        <f t="shared" si="308"/>
        <v>402.04158961206139</v>
      </c>
    </row>
    <row r="349" spans="2:20" ht="13.5" customHeight="1" outlineLevel="1">
      <c r="B349" s="38" t="s">
        <v>361</v>
      </c>
      <c r="D349" s="57"/>
      <c r="E349" s="57"/>
      <c r="F349" s="57">
        <f>F334-E334+F348</f>
        <v>56.1</v>
      </c>
      <c r="G349" s="57">
        <f t="shared" ref="G349:H349" si="309">G334-F334+G348</f>
        <v>56.8</v>
      </c>
      <c r="H349" s="57">
        <f t="shared" si="309"/>
        <v>57.5</v>
      </c>
      <c r="I349" s="238"/>
      <c r="J349" s="109">
        <f>SUM(E349:H349)</f>
        <v>170.4</v>
      </c>
      <c r="K349" s="57">
        <f t="shared" ref="K349" si="310">K334-J334+K348</f>
        <v>237.9</v>
      </c>
      <c r="L349" s="57">
        <f t="shared" ref="L349" si="311">L334-K334+L348</f>
        <v>252.18198422392439</v>
      </c>
      <c r="M349" s="57">
        <f t="shared" ref="M349" si="312">M334-L334+M348</f>
        <v>267.32136682268026</v>
      </c>
      <c r="N349" s="57">
        <f t="shared" ref="N349" si="313">N334-M334+N348</f>
        <v>283.369620474128</v>
      </c>
      <c r="O349" s="57">
        <f t="shared" ref="O349" si="314">O334-N334+O348</f>
        <v>300.38130794428741</v>
      </c>
      <c r="P349" s="57">
        <f t="shared" ref="P349" si="315">P334-O334+P348</f>
        <v>318.41426759633487</v>
      </c>
      <c r="Q349" s="57">
        <f t="shared" ref="Q349" si="316">Q334-P334+Q348</f>
        <v>337.52981003636552</v>
      </c>
      <c r="R349" s="57">
        <f t="shared" ref="R349" si="317">R334-Q334+R348</f>
        <v>357.7929265645015</v>
      </c>
      <c r="S349" s="57">
        <f t="shared" ref="S349" si="318">S334-R334+S348</f>
        <v>379.27251014006242</v>
      </c>
      <c r="T349" s="57">
        <f t="shared" ref="T349" si="319">T334-S334+T348</f>
        <v>402.04158961206139</v>
      </c>
    </row>
    <row r="350" spans="2:20" s="35" customFormat="1" ht="13.5" customHeight="1" outlineLevel="1">
      <c r="B350" s="38"/>
      <c r="C350" s="38"/>
      <c r="D350" s="239" t="s">
        <v>360</v>
      </c>
      <c r="E350" s="38"/>
      <c r="F350" s="38"/>
      <c r="G350" s="38"/>
      <c r="H350" s="38"/>
      <c r="I350" s="214"/>
      <c r="J350" s="240"/>
      <c r="K350" s="38"/>
      <c r="L350" s="38"/>
      <c r="M350" s="38"/>
      <c r="N350" s="38"/>
      <c r="O350" s="38"/>
      <c r="P350" s="38"/>
      <c r="Q350" s="38"/>
      <c r="R350" s="38"/>
      <c r="S350" s="38"/>
      <c r="T350" s="38"/>
    </row>
    <row r="351" spans="2:20" s="35" customFormat="1" ht="13.5" customHeight="1" outlineLevel="1">
      <c r="B351" s="62" t="str">
        <f>B333&amp;" / "&amp;CHOOSE(D351,"sales","COGS")</f>
        <v>Accounts receivable / sales</v>
      </c>
      <c r="D351" s="420">
        <v>1</v>
      </c>
      <c r="E351" s="183">
        <f>E333/(CHOOSE($D351,E$347,E$348)*4)</f>
        <v>0.30797328959700093</v>
      </c>
      <c r="F351" s="58">
        <f t="shared" ref="F351:T354" si="320">E351</f>
        <v>0.30797328959700093</v>
      </c>
      <c r="G351" s="58">
        <f t="shared" si="320"/>
        <v>0.30797328959700093</v>
      </c>
      <c r="H351" s="58">
        <f t="shared" si="320"/>
        <v>0.30797328959700093</v>
      </c>
      <c r="I351" s="241"/>
      <c r="J351" s="187">
        <f>J333/J$347</f>
        <v>0.31556354920864832</v>
      </c>
      <c r="K351" s="58">
        <f t="shared" si="320"/>
        <v>0.31556354920864832</v>
      </c>
      <c r="L351" s="58">
        <f t="shared" si="320"/>
        <v>0.31556354920864832</v>
      </c>
      <c r="M351" s="58">
        <f t="shared" si="320"/>
        <v>0.31556354920864832</v>
      </c>
      <c r="N351" s="58">
        <f t="shared" si="320"/>
        <v>0.31556354920864832</v>
      </c>
      <c r="O351" s="58">
        <f t="shared" si="320"/>
        <v>0.31556354920864832</v>
      </c>
      <c r="P351" s="58">
        <f t="shared" si="320"/>
        <v>0.31556354920864832</v>
      </c>
      <c r="Q351" s="58">
        <f t="shared" si="320"/>
        <v>0.31556354920864832</v>
      </c>
      <c r="R351" s="58">
        <f t="shared" si="320"/>
        <v>0.31556354920864832</v>
      </c>
      <c r="S351" s="58">
        <f t="shared" si="320"/>
        <v>0.31556354920864832</v>
      </c>
      <c r="T351" s="58">
        <f t="shared" si="320"/>
        <v>0.31556354920864832</v>
      </c>
    </row>
    <row r="352" spans="2:20" s="35" customFormat="1" ht="13.5" customHeight="1" outlineLevel="1">
      <c r="B352" s="62" t="str">
        <f>B334&amp;" / "&amp;CHOOSE(D352,"sales","COGS")</f>
        <v>Inventories / COGS</v>
      </c>
      <c r="D352" s="420">
        <v>2</v>
      </c>
      <c r="E352" s="183">
        <f>E334/(CHOOSE($D352,E$347,E$348)*4)</f>
        <v>0</v>
      </c>
      <c r="F352" s="58">
        <f t="shared" ref="F352:Q352" si="321">E352</f>
        <v>0</v>
      </c>
      <c r="G352" s="58">
        <f t="shared" si="321"/>
        <v>0</v>
      </c>
      <c r="H352" s="58">
        <f t="shared" si="321"/>
        <v>0</v>
      </c>
      <c r="I352" s="241"/>
      <c r="J352" s="187">
        <f>J334/J$348</f>
        <v>0</v>
      </c>
      <c r="K352" s="58">
        <f t="shared" si="321"/>
        <v>0</v>
      </c>
      <c r="L352" s="58">
        <f t="shared" si="321"/>
        <v>0</v>
      </c>
      <c r="M352" s="58">
        <f t="shared" si="321"/>
        <v>0</v>
      </c>
      <c r="N352" s="58">
        <f t="shared" si="321"/>
        <v>0</v>
      </c>
      <c r="O352" s="58">
        <f t="shared" si="321"/>
        <v>0</v>
      </c>
      <c r="P352" s="58">
        <f t="shared" si="321"/>
        <v>0</v>
      </c>
      <c r="Q352" s="58">
        <f t="shared" si="321"/>
        <v>0</v>
      </c>
      <c r="R352" s="58">
        <f t="shared" si="320"/>
        <v>0</v>
      </c>
      <c r="S352" s="58">
        <f t="shared" si="320"/>
        <v>0</v>
      </c>
      <c r="T352" s="58">
        <f t="shared" si="320"/>
        <v>0</v>
      </c>
    </row>
    <row r="353" spans="1:20" s="35" customFormat="1" ht="13.5" customHeight="1" outlineLevel="1">
      <c r="B353" s="62" t="str">
        <f>B335&amp;" / "&amp;CHOOSE(D353,"sales","COGS")</f>
        <v>Deferred tax asset, current / sales</v>
      </c>
      <c r="D353" s="420">
        <v>1</v>
      </c>
      <c r="E353" s="183">
        <f>E335/(CHOOSE($D353,E$347,E$348)*4)</f>
        <v>0</v>
      </c>
      <c r="F353" s="58">
        <f t="shared" si="320"/>
        <v>0</v>
      </c>
      <c r="G353" s="58">
        <f t="shared" si="320"/>
        <v>0</v>
      </c>
      <c r="H353" s="58">
        <f t="shared" si="320"/>
        <v>0</v>
      </c>
      <c r="I353" s="241"/>
      <c r="J353" s="187">
        <f>J335/J$347</f>
        <v>0</v>
      </c>
      <c r="K353" s="58">
        <f t="shared" si="320"/>
        <v>0</v>
      </c>
      <c r="L353" s="58">
        <f t="shared" si="320"/>
        <v>0</v>
      </c>
      <c r="M353" s="58">
        <f t="shared" si="320"/>
        <v>0</v>
      </c>
      <c r="N353" s="58">
        <f t="shared" si="320"/>
        <v>0</v>
      </c>
      <c r="O353" s="58">
        <f t="shared" si="320"/>
        <v>0</v>
      </c>
      <c r="P353" s="58">
        <f t="shared" si="320"/>
        <v>0</v>
      </c>
      <c r="Q353" s="58">
        <f t="shared" si="320"/>
        <v>0</v>
      </c>
      <c r="R353" s="58">
        <f t="shared" si="320"/>
        <v>0</v>
      </c>
      <c r="S353" s="58">
        <f t="shared" si="320"/>
        <v>0</v>
      </c>
      <c r="T353" s="58">
        <f t="shared" si="320"/>
        <v>0</v>
      </c>
    </row>
    <row r="354" spans="1:20" s="35" customFormat="1" ht="13.5" customHeight="1" outlineLevel="1">
      <c r="B354" s="62" t="str">
        <f>B336&amp;" / "&amp;CHOOSE(D354,"sales","COGS")</f>
        <v>Prepaid expenses &amp; other / COGS</v>
      </c>
      <c r="D354" s="420">
        <v>2</v>
      </c>
      <c r="E354" s="183">
        <f>E336/(CHOOSE($D354,E$347,E$348)*4)</f>
        <v>3.7582266910420478E-2</v>
      </c>
      <c r="F354" s="58">
        <f t="shared" si="320"/>
        <v>3.7582266910420478E-2</v>
      </c>
      <c r="G354" s="58">
        <f t="shared" si="320"/>
        <v>3.7582266910420478E-2</v>
      </c>
      <c r="H354" s="58">
        <f t="shared" si="320"/>
        <v>3.7582266910420478E-2</v>
      </c>
      <c r="I354" s="241"/>
      <c r="J354" s="187">
        <f>J336/J$348</f>
        <v>3.8400361569954279E-2</v>
      </c>
      <c r="K354" s="58">
        <f t="shared" si="320"/>
        <v>3.8400361569954279E-2</v>
      </c>
      <c r="L354" s="58">
        <f t="shared" si="320"/>
        <v>3.8400361569954279E-2</v>
      </c>
      <c r="M354" s="58">
        <f t="shared" si="320"/>
        <v>3.8400361569954279E-2</v>
      </c>
      <c r="N354" s="58">
        <f t="shared" si="320"/>
        <v>3.8400361569954279E-2</v>
      </c>
      <c r="O354" s="58">
        <f t="shared" si="320"/>
        <v>3.8400361569954279E-2</v>
      </c>
      <c r="P354" s="58">
        <f t="shared" si="320"/>
        <v>3.8400361569954279E-2</v>
      </c>
      <c r="Q354" s="58">
        <f t="shared" si="320"/>
        <v>3.8400361569954279E-2</v>
      </c>
      <c r="R354" s="58">
        <f t="shared" si="320"/>
        <v>3.8400361569954279E-2</v>
      </c>
      <c r="S354" s="58">
        <f t="shared" si="320"/>
        <v>3.8400361569954279E-2</v>
      </c>
      <c r="T354" s="58">
        <f t="shared" si="320"/>
        <v>3.8400361569954279E-2</v>
      </c>
    </row>
    <row r="355" spans="1:20" s="35" customFormat="1" ht="13.5" customHeight="1" outlineLevel="1">
      <c r="D355" s="242"/>
      <c r="E355" s="220"/>
      <c r="I355" s="203"/>
      <c r="J355" s="220"/>
    </row>
    <row r="356" spans="1:20" s="35" customFormat="1" ht="13.5" customHeight="1" outlineLevel="1">
      <c r="B356" s="35" t="str">
        <f>B338&amp;" / "&amp;CHOOSE(D356,"sales","COGS")</f>
        <v>Accounts payable / COGS</v>
      </c>
      <c r="D356" s="420">
        <v>2</v>
      </c>
      <c r="E356" s="183">
        <f>E338/(CHOOSE($D356,E$347,E$348)*4)</f>
        <v>9.4433272394881154E-2</v>
      </c>
      <c r="F356" s="58">
        <f t="shared" ref="F356:T356" si="322">E356</f>
        <v>9.4433272394881154E-2</v>
      </c>
      <c r="G356" s="58">
        <f t="shared" si="322"/>
        <v>9.4433272394881154E-2</v>
      </c>
      <c r="H356" s="58">
        <f t="shared" si="322"/>
        <v>9.4433272394881154E-2</v>
      </c>
      <c r="I356" s="241"/>
      <c r="J356" s="187">
        <f>J338/J$348</f>
        <v>9.648890560116688E-2</v>
      </c>
      <c r="K356" s="58">
        <f t="shared" si="322"/>
        <v>9.648890560116688E-2</v>
      </c>
      <c r="L356" s="58">
        <f t="shared" si="322"/>
        <v>9.648890560116688E-2</v>
      </c>
      <c r="M356" s="58">
        <f t="shared" si="322"/>
        <v>9.648890560116688E-2</v>
      </c>
      <c r="N356" s="58">
        <f t="shared" si="322"/>
        <v>9.648890560116688E-2</v>
      </c>
      <c r="O356" s="58">
        <f t="shared" si="322"/>
        <v>9.648890560116688E-2</v>
      </c>
      <c r="P356" s="58">
        <f t="shared" si="322"/>
        <v>9.648890560116688E-2</v>
      </c>
      <c r="Q356" s="58">
        <f t="shared" si="322"/>
        <v>9.648890560116688E-2</v>
      </c>
      <c r="R356" s="58">
        <f t="shared" si="322"/>
        <v>9.648890560116688E-2</v>
      </c>
      <c r="S356" s="58">
        <f t="shared" si="322"/>
        <v>9.648890560116688E-2</v>
      </c>
      <c r="T356" s="58">
        <f t="shared" si="322"/>
        <v>9.648890560116688E-2</v>
      </c>
    </row>
    <row r="357" spans="1:20" s="35" customFormat="1" ht="13.5" customHeight="1" outlineLevel="1">
      <c r="B357" s="35" t="str">
        <f>B339&amp;" / "&amp;CHOOSE(D357,"sales","COGS")</f>
        <v>Accrued liabilities / COGS</v>
      </c>
      <c r="D357" s="420">
        <v>2</v>
      </c>
      <c r="E357" s="183">
        <f>E339/(CHOOSE($D357,E$347,E$348)*4)</f>
        <v>7.0292504570383912E-2</v>
      </c>
      <c r="F357" s="58">
        <f t="shared" ref="F357:T357" si="323">E357</f>
        <v>7.0292504570383912E-2</v>
      </c>
      <c r="G357" s="58">
        <f t="shared" si="323"/>
        <v>7.0292504570383912E-2</v>
      </c>
      <c r="H357" s="58">
        <f t="shared" si="323"/>
        <v>7.0292504570383912E-2</v>
      </c>
      <c r="I357" s="241"/>
      <c r="J357" s="187">
        <f>J339/J$348</f>
        <v>7.1822639054590395E-2</v>
      </c>
      <c r="K357" s="58">
        <f t="shared" si="323"/>
        <v>7.1822639054590395E-2</v>
      </c>
      <c r="L357" s="58">
        <f t="shared" si="323"/>
        <v>7.1822639054590395E-2</v>
      </c>
      <c r="M357" s="58">
        <f t="shared" si="323"/>
        <v>7.1822639054590395E-2</v>
      </c>
      <c r="N357" s="58">
        <f t="shared" si="323"/>
        <v>7.1822639054590395E-2</v>
      </c>
      <c r="O357" s="58">
        <f t="shared" si="323"/>
        <v>7.1822639054590395E-2</v>
      </c>
      <c r="P357" s="58">
        <f t="shared" si="323"/>
        <v>7.1822639054590395E-2</v>
      </c>
      <c r="Q357" s="58">
        <f t="shared" si="323"/>
        <v>7.1822639054590395E-2</v>
      </c>
      <c r="R357" s="58">
        <f t="shared" si="323"/>
        <v>7.1822639054590395E-2</v>
      </c>
      <c r="S357" s="58">
        <f t="shared" si="323"/>
        <v>7.1822639054590395E-2</v>
      </c>
      <c r="T357" s="58">
        <f t="shared" si="323"/>
        <v>7.1822639054590395E-2</v>
      </c>
    </row>
    <row r="358" spans="1:20" s="35" customFormat="1" ht="13.5" customHeight="1" outlineLevel="1">
      <c r="B358" s="35" t="str">
        <f>B340&amp;" / "&amp;CHOOSE(D358,"sales","COGS")</f>
        <v>Client deposits / sales</v>
      </c>
      <c r="D358" s="420">
        <v>1</v>
      </c>
      <c r="E358" s="183">
        <f>E340/(CHOOSE($D358,E$347,E$348)*4)</f>
        <v>0</v>
      </c>
      <c r="F358" s="58">
        <f t="shared" ref="F358:T358" si="324">E358</f>
        <v>0</v>
      </c>
      <c r="G358" s="58">
        <f t="shared" si="324"/>
        <v>0</v>
      </c>
      <c r="H358" s="58">
        <f t="shared" si="324"/>
        <v>0</v>
      </c>
      <c r="I358" s="241"/>
      <c r="J358" s="187">
        <f>J340/J$347</f>
        <v>0</v>
      </c>
      <c r="K358" s="58">
        <f t="shared" si="324"/>
        <v>0</v>
      </c>
      <c r="L358" s="58">
        <f t="shared" si="324"/>
        <v>0</v>
      </c>
      <c r="M358" s="58">
        <f t="shared" si="324"/>
        <v>0</v>
      </c>
      <c r="N358" s="58">
        <f t="shared" si="324"/>
        <v>0</v>
      </c>
      <c r="O358" s="58">
        <f t="shared" si="324"/>
        <v>0</v>
      </c>
      <c r="P358" s="58">
        <f t="shared" si="324"/>
        <v>0</v>
      </c>
      <c r="Q358" s="58">
        <f t="shared" si="324"/>
        <v>0</v>
      </c>
      <c r="R358" s="58">
        <f t="shared" si="324"/>
        <v>0</v>
      </c>
      <c r="S358" s="58">
        <f t="shared" si="324"/>
        <v>0</v>
      </c>
      <c r="T358" s="58">
        <f t="shared" si="324"/>
        <v>0</v>
      </c>
    </row>
    <row r="359" spans="1:20" s="35" customFormat="1" ht="13.5" customHeight="1" outlineLevel="1">
      <c r="B359" s="35" t="str">
        <f>B341&amp;" / "&amp;CHOOSE(D359,"sales","COGS")</f>
        <v>Other current liabilities / COGS</v>
      </c>
      <c r="D359" s="420">
        <v>2</v>
      </c>
      <c r="E359" s="183">
        <f>E341/(CHOOSE($D359,E$347,E$348)*4)</f>
        <v>0.27026051188299816</v>
      </c>
      <c r="F359" s="58">
        <f t="shared" ref="F359:T359" si="325">E359</f>
        <v>0.27026051188299816</v>
      </c>
      <c r="G359" s="58">
        <f t="shared" si="325"/>
        <v>0.27026051188299816</v>
      </c>
      <c r="H359" s="58">
        <f t="shared" si="325"/>
        <v>0.27026051188299816</v>
      </c>
      <c r="I359" s="241"/>
      <c r="J359" s="187">
        <f>J341/J$348</f>
        <v>0.27614357056014915</v>
      </c>
      <c r="K359" s="58">
        <f t="shared" si="325"/>
        <v>0.27614357056014915</v>
      </c>
      <c r="L359" s="58">
        <f t="shared" si="325"/>
        <v>0.27614357056014915</v>
      </c>
      <c r="M359" s="58">
        <f t="shared" si="325"/>
        <v>0.27614357056014915</v>
      </c>
      <c r="N359" s="58">
        <f t="shared" si="325"/>
        <v>0.27614357056014915</v>
      </c>
      <c r="O359" s="58">
        <f t="shared" si="325"/>
        <v>0.27614357056014915</v>
      </c>
      <c r="P359" s="58">
        <f t="shared" si="325"/>
        <v>0.27614357056014915</v>
      </c>
      <c r="Q359" s="58">
        <f t="shared" si="325"/>
        <v>0.27614357056014915</v>
      </c>
      <c r="R359" s="58">
        <f t="shared" si="325"/>
        <v>0.27614357056014915</v>
      </c>
      <c r="S359" s="58">
        <f t="shared" si="325"/>
        <v>0.27614357056014915</v>
      </c>
      <c r="T359" s="58">
        <f t="shared" si="325"/>
        <v>0.27614357056014915</v>
      </c>
    </row>
    <row r="360" spans="1:20" s="35" customFormat="1" ht="13.5" customHeight="1" outlineLevel="1">
      <c r="E360" s="243"/>
      <c r="F360" s="58"/>
      <c r="G360" s="58"/>
      <c r="H360" s="58"/>
      <c r="I360" s="241"/>
      <c r="J360" s="187"/>
      <c r="K360" s="58"/>
      <c r="L360" s="58"/>
      <c r="M360" s="58"/>
      <c r="N360" s="58"/>
      <c r="O360" s="58"/>
      <c r="P360" s="58"/>
      <c r="Q360" s="58"/>
      <c r="R360" s="58"/>
      <c r="S360" s="58"/>
      <c r="T360" s="58"/>
    </row>
    <row r="361" spans="1:20" s="35" customFormat="1" ht="13.5" customHeight="1" outlineLevel="1">
      <c r="B361" s="62" t="s">
        <v>362</v>
      </c>
      <c r="E361" s="243"/>
      <c r="F361" s="129">
        <f>AVERAGE(E333:F333)*365/(F347*4)</f>
        <v>111.52625329758064</v>
      </c>
      <c r="G361" s="129">
        <f t="shared" ref="G361:H361" si="326">AVERAGE(F333:G333)*365/(G347*4)</f>
        <v>111.24502249439963</v>
      </c>
      <c r="H361" s="129">
        <f t="shared" si="326"/>
        <v>111.65884528376827</v>
      </c>
      <c r="I361" s="241"/>
      <c r="J361" s="187"/>
      <c r="K361" s="129">
        <f>AVERAGE(J333:K333)*365/K347</f>
        <v>111.91914432272124</v>
      </c>
      <c r="L361" s="129">
        <f t="shared" ref="L361:T361" si="327">AVERAGE(K333:L333)*365/L347</f>
        <v>111.91914432272122</v>
      </c>
      <c r="M361" s="129">
        <f t="shared" si="327"/>
        <v>111.91914432272122</v>
      </c>
      <c r="N361" s="129">
        <f t="shared" si="327"/>
        <v>111.91914432272125</v>
      </c>
      <c r="O361" s="129">
        <f t="shared" si="327"/>
        <v>111.91914432272124</v>
      </c>
      <c r="P361" s="129">
        <f t="shared" si="327"/>
        <v>111.91914432272122</v>
      </c>
      <c r="Q361" s="129">
        <f t="shared" si="327"/>
        <v>111.91914432272124</v>
      </c>
      <c r="R361" s="129">
        <f t="shared" si="327"/>
        <v>111.91914432272125</v>
      </c>
      <c r="S361" s="129">
        <f t="shared" si="327"/>
        <v>111.91914432272124</v>
      </c>
      <c r="T361" s="129">
        <f t="shared" si="327"/>
        <v>111.91914432272125</v>
      </c>
    </row>
    <row r="362" spans="1:20" s="35" customFormat="1" ht="13.5" customHeight="1" outlineLevel="1">
      <c r="B362" s="62" t="s">
        <v>363</v>
      </c>
      <c r="E362" s="243"/>
      <c r="F362" s="129">
        <f>AVERAGE(E338:F338)*365/(F349*4)</f>
        <v>34.038060625613042</v>
      </c>
      <c r="G362" s="129">
        <f t="shared" ref="G362:H362" si="328">AVERAGE(F338:G338)*365/(G349*4)</f>
        <v>34.255752689123767</v>
      </c>
      <c r="H362" s="129">
        <f t="shared" si="328"/>
        <v>34.258338327636913</v>
      </c>
      <c r="I362" s="241"/>
      <c r="J362" s="187"/>
      <c r="K362" s="129">
        <f>AVERAGE(J338:K338)*365/K349</f>
        <v>34.271001685727605</v>
      </c>
      <c r="L362" s="129">
        <f t="shared" ref="L362:T362" si="329">AVERAGE(K338:L338)*365/L349</f>
        <v>34.221175983726276</v>
      </c>
      <c r="M362" s="129">
        <f t="shared" si="329"/>
        <v>34.221175983726283</v>
      </c>
      <c r="N362" s="129">
        <f t="shared" si="329"/>
        <v>34.221175983726283</v>
      </c>
      <c r="O362" s="129">
        <f t="shared" si="329"/>
        <v>34.221175983726283</v>
      </c>
      <c r="P362" s="129">
        <f t="shared" si="329"/>
        <v>34.221175983726276</v>
      </c>
      <c r="Q362" s="129">
        <f t="shared" si="329"/>
        <v>34.221175983726283</v>
      </c>
      <c r="R362" s="129">
        <f t="shared" si="329"/>
        <v>34.221175983726283</v>
      </c>
      <c r="S362" s="129">
        <f t="shared" si="329"/>
        <v>34.221175983726276</v>
      </c>
      <c r="T362" s="129">
        <f t="shared" si="329"/>
        <v>34.221175983726283</v>
      </c>
    </row>
    <row r="363" spans="1:20" s="35" customFormat="1" ht="13.5" customHeight="1" outlineLevel="1">
      <c r="B363" s="62" t="s">
        <v>364</v>
      </c>
      <c r="E363" s="243"/>
      <c r="F363" s="129">
        <f>AVERAGE(E334:F334)*365/(F348*4)</f>
        <v>0</v>
      </c>
      <c r="G363" s="129">
        <f t="shared" ref="G363:H363" si="330">AVERAGE(F334:G334)*365/(G348*4)</f>
        <v>0</v>
      </c>
      <c r="H363" s="129">
        <f t="shared" si="330"/>
        <v>0</v>
      </c>
      <c r="I363" s="241"/>
      <c r="J363" s="187"/>
      <c r="K363" s="129">
        <f>AVERAGE(J334:K334)*365/K348</f>
        <v>0</v>
      </c>
      <c r="L363" s="129">
        <f t="shared" ref="L363:T363" si="331">AVERAGE(K334:L334)*365/L348</f>
        <v>0</v>
      </c>
      <c r="M363" s="129">
        <f t="shared" si="331"/>
        <v>0</v>
      </c>
      <c r="N363" s="129">
        <f t="shared" si="331"/>
        <v>0</v>
      </c>
      <c r="O363" s="129">
        <f t="shared" si="331"/>
        <v>0</v>
      </c>
      <c r="P363" s="129">
        <f t="shared" si="331"/>
        <v>0</v>
      </c>
      <c r="Q363" s="129">
        <f t="shared" si="331"/>
        <v>0</v>
      </c>
      <c r="R363" s="129">
        <f t="shared" si="331"/>
        <v>0</v>
      </c>
      <c r="S363" s="129">
        <f t="shared" si="331"/>
        <v>0</v>
      </c>
      <c r="T363" s="129">
        <f t="shared" si="331"/>
        <v>0</v>
      </c>
    </row>
    <row r="364" spans="1:20" s="35" customFormat="1" ht="13.5" customHeight="1" outlineLevel="1">
      <c r="B364" s="62" t="s">
        <v>297</v>
      </c>
      <c r="E364" s="243"/>
      <c r="F364" s="129" t="str">
        <f>IFERROR(F348*4/AVERAGE(E334:F334),"NA")</f>
        <v>NA</v>
      </c>
      <c r="G364" s="129" t="str">
        <f t="shared" ref="G364:H364" si="332">IFERROR(G348*4/AVERAGE(F334:G334),"NA")</f>
        <v>NA</v>
      </c>
      <c r="H364" s="129" t="str">
        <f t="shared" si="332"/>
        <v>NA</v>
      </c>
      <c r="I364" s="241"/>
      <c r="J364" s="187"/>
      <c r="K364" s="129" t="str">
        <f>IFERROR(K348/AVERAGE(J334:K334),"NA")</f>
        <v>NA</v>
      </c>
      <c r="L364" s="129" t="str">
        <f t="shared" ref="L364:T364" si="333">IFERROR(L348/AVERAGE(K334:L334),"NA")</f>
        <v>NA</v>
      </c>
      <c r="M364" s="129" t="str">
        <f t="shared" si="333"/>
        <v>NA</v>
      </c>
      <c r="N364" s="129" t="str">
        <f t="shared" si="333"/>
        <v>NA</v>
      </c>
      <c r="O364" s="129" t="str">
        <f t="shared" si="333"/>
        <v>NA</v>
      </c>
      <c r="P364" s="129" t="str">
        <f t="shared" si="333"/>
        <v>NA</v>
      </c>
      <c r="Q364" s="129" t="str">
        <f t="shared" si="333"/>
        <v>NA</v>
      </c>
      <c r="R364" s="129" t="str">
        <f t="shared" si="333"/>
        <v>NA</v>
      </c>
      <c r="S364" s="129" t="str">
        <f t="shared" si="333"/>
        <v>NA</v>
      </c>
      <c r="T364" s="129" t="str">
        <f t="shared" si="333"/>
        <v>NA</v>
      </c>
    </row>
    <row r="365" spans="1:20" s="35" customFormat="1" ht="5.0999999999999996" customHeight="1" outlineLevel="1" thickBot="1">
      <c r="B365" s="114"/>
      <c r="C365" s="114"/>
      <c r="D365" s="224"/>
      <c r="E365" s="224"/>
      <c r="F365" s="225"/>
      <c r="G365" s="225"/>
      <c r="H365" s="225"/>
      <c r="I365" s="225"/>
      <c r="J365" s="224"/>
      <c r="K365" s="225"/>
      <c r="L365" s="225"/>
      <c r="M365" s="225"/>
      <c r="N365" s="225"/>
      <c r="O365" s="225"/>
      <c r="P365" s="225"/>
      <c r="Q365" s="225"/>
      <c r="R365" s="225"/>
      <c r="S365" s="225"/>
      <c r="T365" s="225"/>
    </row>
    <row r="366" spans="1:20" s="35" customFormat="1" ht="13.5" customHeight="1" outlineLevel="1"/>
    <row r="367" spans="1:20" s="35" customFormat="1" ht="13.5" customHeight="1" outlineLevel="1" thickBot="1"/>
    <row r="368" spans="1:20" s="35" customFormat="1" ht="20.100000000000001" customHeight="1" thickTop="1">
      <c r="A368" s="41" t="s">
        <v>313</v>
      </c>
      <c r="B368" s="42" t="s">
        <v>314</v>
      </c>
      <c r="C368" s="43"/>
      <c r="D368" s="44"/>
      <c r="E368" s="44"/>
      <c r="F368" s="44"/>
      <c r="G368" s="44"/>
      <c r="H368" s="44"/>
      <c r="I368" s="44"/>
      <c r="J368" s="44"/>
      <c r="K368" s="44"/>
      <c r="L368" s="44"/>
      <c r="M368" s="44"/>
      <c r="N368" s="44"/>
      <c r="O368" s="44"/>
      <c r="P368" s="44"/>
      <c r="Q368" s="44"/>
      <c r="R368" s="44"/>
      <c r="S368" s="44"/>
      <c r="T368" s="44"/>
    </row>
    <row r="369" spans="2:20" s="35" customFormat="1" ht="13.5" customHeight="1" outlineLevel="1">
      <c r="B369" s="45"/>
      <c r="T369" s="147" t="str">
        <f ca="1">err_msg</f>
        <v/>
      </c>
    </row>
    <row r="370" spans="2:20" s="193" customFormat="1" ht="13.5" customHeight="1" outlineLevel="1">
      <c r="F370" s="195" t="s">
        <v>167</v>
      </c>
      <c r="G370" s="195"/>
      <c r="H370" s="195"/>
      <c r="I370" s="244"/>
      <c r="J370" s="244"/>
      <c r="K370" s="120" t="str">
        <f>K$140</f>
        <v>Fiscal Years Ending December 31,</v>
      </c>
      <c r="L370" s="120"/>
      <c r="M370" s="120"/>
      <c r="N370" s="120"/>
      <c r="O370" s="120"/>
      <c r="P370" s="120"/>
      <c r="Q370" s="120"/>
      <c r="R370" s="120"/>
      <c r="S370" s="120"/>
      <c r="T370" s="120"/>
    </row>
    <row r="371" spans="2:20" s="193" customFormat="1" ht="14.4" outlineLevel="1">
      <c r="F371" s="102" t="str">
        <f>F$141</f>
        <v>MRQ+1</v>
      </c>
      <c r="G371" s="102" t="str">
        <f t="shared" ref="G371:H371" si="334">G$141</f>
        <v>MRQ+2</v>
      </c>
      <c r="H371" s="102" t="str">
        <f t="shared" si="334"/>
        <v>MRQ+3</v>
      </c>
      <c r="I371" s="244"/>
      <c r="J371" s="102"/>
      <c r="K371" s="102">
        <f t="shared" ref="K371" si="335">K$141</f>
        <v>1</v>
      </c>
      <c r="L371" s="102">
        <f>L$141</f>
        <v>2</v>
      </c>
      <c r="M371" s="102">
        <f t="shared" ref="M371:T371" si="336">M$141</f>
        <v>3</v>
      </c>
      <c r="N371" s="102">
        <f t="shared" si="336"/>
        <v>4</v>
      </c>
      <c r="O371" s="102">
        <f t="shared" si="336"/>
        <v>5</v>
      </c>
      <c r="P371" s="102">
        <f t="shared" si="336"/>
        <v>6</v>
      </c>
      <c r="Q371" s="102">
        <f t="shared" si="336"/>
        <v>7</v>
      </c>
      <c r="R371" s="102">
        <f t="shared" si="336"/>
        <v>8</v>
      </c>
      <c r="S371" s="102">
        <f t="shared" si="336"/>
        <v>9</v>
      </c>
      <c r="T371" s="102">
        <f t="shared" si="336"/>
        <v>10</v>
      </c>
    </row>
    <row r="372" spans="2:20" s="193" customFormat="1" ht="13.5" customHeight="1" outlineLevel="1" thickBot="1">
      <c r="B372" s="122" t="s">
        <v>201</v>
      </c>
      <c r="C372" s="199"/>
      <c r="D372" s="199"/>
      <c r="E372" s="199"/>
      <c r="F372" s="200">
        <f>F$142</f>
        <v>45107</v>
      </c>
      <c r="G372" s="200">
        <f t="shared" ref="G372:H372" si="337">G$142</f>
        <v>45199</v>
      </c>
      <c r="H372" s="200">
        <f t="shared" si="337"/>
        <v>45291</v>
      </c>
      <c r="I372" s="201"/>
      <c r="J372" s="200"/>
      <c r="K372" s="126">
        <f t="shared" ref="K372" si="338">K$142</f>
        <v>45657</v>
      </c>
      <c r="L372" s="126">
        <f>L$142</f>
        <v>46022</v>
      </c>
      <c r="M372" s="126">
        <f t="shared" ref="M372:T372" si="339">M$142</f>
        <v>46387</v>
      </c>
      <c r="N372" s="126">
        <f t="shared" si="339"/>
        <v>46752</v>
      </c>
      <c r="O372" s="126">
        <f t="shared" si="339"/>
        <v>47118</v>
      </c>
      <c r="P372" s="126">
        <f t="shared" si="339"/>
        <v>47483</v>
      </c>
      <c r="Q372" s="126">
        <f t="shared" si="339"/>
        <v>47848</v>
      </c>
      <c r="R372" s="126">
        <f t="shared" si="339"/>
        <v>48213</v>
      </c>
      <c r="S372" s="126">
        <f t="shared" si="339"/>
        <v>48579</v>
      </c>
      <c r="T372" s="126">
        <f t="shared" si="339"/>
        <v>48944</v>
      </c>
    </row>
    <row r="373" spans="2:20" s="35" customFormat="1" ht="5.0999999999999996" customHeight="1" outlineLevel="1"/>
    <row r="374" spans="2:20" s="35" customFormat="1" ht="13.5" customHeight="1" outlineLevel="1"/>
    <row r="375" spans="2:20" s="35" customFormat="1" ht="13.5" customHeight="1" outlineLevel="1">
      <c r="B375" s="62" t="s">
        <v>315</v>
      </c>
      <c r="C375" s="245"/>
      <c r="D375" s="246"/>
      <c r="E375" s="246"/>
      <c r="F375" s="421">
        <v>0</v>
      </c>
      <c r="G375" s="421">
        <v>0</v>
      </c>
      <c r="H375" s="421">
        <v>0</v>
      </c>
      <c r="I375" s="246"/>
      <c r="J375" s="246"/>
      <c r="K375" s="421">
        <v>0</v>
      </c>
      <c r="L375" s="421">
        <v>0</v>
      </c>
      <c r="M375" s="421">
        <v>0</v>
      </c>
      <c r="N375" s="421">
        <v>0</v>
      </c>
      <c r="O375" s="421">
        <v>0</v>
      </c>
      <c r="P375" s="421">
        <v>0</v>
      </c>
      <c r="Q375" s="421">
        <v>0</v>
      </c>
      <c r="R375" s="421">
        <v>0</v>
      </c>
      <c r="S375" s="421">
        <v>0</v>
      </c>
      <c r="T375" s="421">
        <v>0</v>
      </c>
    </row>
    <row r="376" spans="2:20" s="35" customFormat="1" ht="13.5" customHeight="1" outlineLevel="1">
      <c r="B376" s="62" t="s">
        <v>316</v>
      </c>
      <c r="C376" s="245"/>
      <c r="D376" s="246"/>
      <c r="E376" s="246"/>
      <c r="F376" s="422">
        <v>0</v>
      </c>
      <c r="G376" s="422">
        <v>0</v>
      </c>
      <c r="H376" s="422">
        <v>0</v>
      </c>
      <c r="I376" s="246"/>
      <c r="J376" s="246"/>
      <c r="K376" s="422">
        <v>0</v>
      </c>
      <c r="L376" s="422">
        <v>0</v>
      </c>
      <c r="M376" s="422">
        <v>0</v>
      </c>
      <c r="N376" s="422">
        <v>0</v>
      </c>
      <c r="O376" s="422">
        <v>0</v>
      </c>
      <c r="P376" s="422">
        <v>0</v>
      </c>
      <c r="Q376" s="422">
        <v>0</v>
      </c>
      <c r="R376" s="422">
        <v>0</v>
      </c>
      <c r="S376" s="422">
        <v>0</v>
      </c>
      <c r="T376" s="422">
        <v>0</v>
      </c>
    </row>
    <row r="377" spans="2:20" s="35" customFormat="1" ht="13.5" customHeight="1" outlineLevel="1">
      <c r="B377" s="52" t="s">
        <v>317</v>
      </c>
      <c r="C377" s="52"/>
      <c r="D377" s="52"/>
      <c r="E377" s="83"/>
      <c r="F377" s="113">
        <f t="shared" ref="F377:T377" si="340">SUM(F375:F376)</f>
        <v>0</v>
      </c>
      <c r="G377" s="113">
        <f t="shared" si="340"/>
        <v>0</v>
      </c>
      <c r="H377" s="113">
        <f t="shared" si="340"/>
        <v>0</v>
      </c>
      <c r="I377" s="83"/>
      <c r="J377" s="83"/>
      <c r="K377" s="113">
        <f t="shared" si="340"/>
        <v>0</v>
      </c>
      <c r="L377" s="113">
        <f t="shared" si="340"/>
        <v>0</v>
      </c>
      <c r="M377" s="113">
        <f t="shared" si="340"/>
        <v>0</v>
      </c>
      <c r="N377" s="113">
        <f t="shared" si="340"/>
        <v>0</v>
      </c>
      <c r="O377" s="113">
        <f t="shared" si="340"/>
        <v>0</v>
      </c>
      <c r="P377" s="113">
        <f t="shared" si="340"/>
        <v>0</v>
      </c>
      <c r="Q377" s="113">
        <f t="shared" si="340"/>
        <v>0</v>
      </c>
      <c r="R377" s="113">
        <f t="shared" si="340"/>
        <v>0</v>
      </c>
      <c r="S377" s="113">
        <f t="shared" si="340"/>
        <v>0</v>
      </c>
      <c r="T377" s="113">
        <f t="shared" si="340"/>
        <v>0</v>
      </c>
    </row>
    <row r="378" spans="2:20" s="35" customFormat="1" ht="13.5" customHeight="1" outlineLevel="1">
      <c r="B378" s="62"/>
      <c r="C378" s="245"/>
      <c r="D378" s="246"/>
      <c r="E378" s="246"/>
      <c r="F378" s="247"/>
      <c r="G378" s="247"/>
      <c r="H378" s="247"/>
      <c r="I378" s="247"/>
      <c r="J378" s="247"/>
      <c r="K378" s="247"/>
      <c r="L378" s="247"/>
      <c r="M378" s="247"/>
      <c r="N378" s="247"/>
      <c r="O378" s="247"/>
      <c r="P378" s="247"/>
      <c r="Q378" s="247"/>
      <c r="R378" s="247"/>
      <c r="S378" s="247"/>
      <c r="T378" s="247"/>
    </row>
    <row r="379" spans="2:20" s="35" customFormat="1" ht="13.5" customHeight="1" outlineLevel="1">
      <c r="B379" s="62" t="s">
        <v>318</v>
      </c>
      <c r="C379" s="245"/>
      <c r="D379" s="246"/>
      <c r="E379" s="423">
        <v>0.8</v>
      </c>
      <c r="F379" s="247"/>
      <c r="G379" s="247"/>
      <c r="H379" s="247"/>
      <c r="I379" s="247"/>
      <c r="J379" s="247"/>
      <c r="K379" s="247"/>
      <c r="L379" s="247"/>
      <c r="M379" s="247"/>
      <c r="N379" s="247"/>
      <c r="O379" s="247"/>
      <c r="P379" s="247"/>
      <c r="Q379" s="247"/>
      <c r="R379" s="247"/>
      <c r="S379" s="247"/>
      <c r="T379" s="247"/>
    </row>
    <row r="380" spans="2:20" s="35" customFormat="1" ht="13.5" customHeight="1" outlineLevel="1">
      <c r="B380" s="62"/>
      <c r="C380" s="245"/>
      <c r="D380" s="246"/>
      <c r="E380" s="246"/>
      <c r="F380" s="247"/>
      <c r="G380" s="247"/>
      <c r="H380" s="247"/>
      <c r="I380" s="247"/>
      <c r="J380" s="247"/>
      <c r="K380" s="247"/>
      <c r="L380" s="247"/>
      <c r="M380" s="247"/>
      <c r="N380" s="247"/>
      <c r="O380" s="247"/>
      <c r="P380" s="247"/>
      <c r="Q380" s="247"/>
      <c r="R380" s="247"/>
      <c r="S380" s="247"/>
      <c r="T380" s="247"/>
    </row>
    <row r="381" spans="2:20" s="35" customFormat="1" ht="13.5" customHeight="1" outlineLevel="1">
      <c r="B381" s="62" t="s">
        <v>319</v>
      </c>
      <c r="C381" s="245"/>
      <c r="D381" s="246"/>
      <c r="E381" s="246"/>
      <c r="F381" s="105">
        <f>-F376*(1-$E379)*F209</f>
        <v>0</v>
      </c>
      <c r="G381" s="105">
        <f>-G376*(1-$E379)*G209</f>
        <v>0</v>
      </c>
      <c r="H381" s="105">
        <f>-H376*(1-$E379)*H209</f>
        <v>0</v>
      </c>
      <c r="I381" s="105"/>
      <c r="J381" s="105"/>
      <c r="K381" s="105">
        <f t="shared" ref="K381:T381" si="341">-K376*(1-$E379)*K209</f>
        <v>0</v>
      </c>
      <c r="L381" s="105">
        <f t="shared" si="341"/>
        <v>0</v>
      </c>
      <c r="M381" s="105">
        <f t="shared" si="341"/>
        <v>0</v>
      </c>
      <c r="N381" s="105">
        <f t="shared" si="341"/>
        <v>0</v>
      </c>
      <c r="O381" s="105">
        <f t="shared" si="341"/>
        <v>0</v>
      </c>
      <c r="P381" s="105">
        <f t="shared" si="341"/>
        <v>0</v>
      </c>
      <c r="Q381" s="105">
        <f t="shared" si="341"/>
        <v>0</v>
      </c>
      <c r="R381" s="105">
        <f t="shared" si="341"/>
        <v>0</v>
      </c>
      <c r="S381" s="105">
        <f t="shared" si="341"/>
        <v>0</v>
      </c>
      <c r="T381" s="105">
        <f t="shared" si="341"/>
        <v>0</v>
      </c>
    </row>
    <row r="382" spans="2:20" s="35" customFormat="1" ht="13.5" customHeight="1" outlineLevel="1">
      <c r="B382" s="62" t="s">
        <v>320</v>
      </c>
      <c r="C382" s="245"/>
      <c r="D382" s="246"/>
      <c r="E382" s="424">
        <v>0</v>
      </c>
      <c r="F382" s="80">
        <f>F377*(1-$E379*$E382)*F209</f>
        <v>0</v>
      </c>
      <c r="G382" s="80">
        <f>G377*(1-$E379*$E382)*G209</f>
        <v>0</v>
      </c>
      <c r="H382" s="80">
        <f>H377*(1-$E379*$E382)*H209</f>
        <v>0</v>
      </c>
      <c r="I382" s="80"/>
      <c r="J382" s="80"/>
      <c r="K382" s="80">
        <f t="shared" ref="K382:T382" si="342">K377*(1-$E379*$E382)*K209</f>
        <v>0</v>
      </c>
      <c r="L382" s="80">
        <f t="shared" si="342"/>
        <v>0</v>
      </c>
      <c r="M382" s="80">
        <f t="shared" si="342"/>
        <v>0</v>
      </c>
      <c r="N382" s="80">
        <f t="shared" si="342"/>
        <v>0</v>
      </c>
      <c r="O382" s="80">
        <f t="shared" si="342"/>
        <v>0</v>
      </c>
      <c r="P382" s="80">
        <f t="shared" si="342"/>
        <v>0</v>
      </c>
      <c r="Q382" s="80">
        <f t="shared" si="342"/>
        <v>0</v>
      </c>
      <c r="R382" s="80">
        <f t="shared" si="342"/>
        <v>0</v>
      </c>
      <c r="S382" s="80">
        <f t="shared" si="342"/>
        <v>0</v>
      </c>
      <c r="T382" s="80">
        <f t="shared" si="342"/>
        <v>0</v>
      </c>
    </row>
    <row r="383" spans="2:20" s="35" customFormat="1" ht="13.5" customHeight="1" outlineLevel="1">
      <c r="B383" s="52" t="s">
        <v>321</v>
      </c>
      <c r="C383" s="52"/>
      <c r="D383" s="52"/>
      <c r="E383" s="52"/>
      <c r="F383" s="113">
        <f t="shared" ref="F383:T383" si="343">SUM(F381:F382)</f>
        <v>0</v>
      </c>
      <c r="G383" s="113">
        <f t="shared" si="343"/>
        <v>0</v>
      </c>
      <c r="H383" s="113">
        <f t="shared" si="343"/>
        <v>0</v>
      </c>
      <c r="I383" s="113"/>
      <c r="J383" s="113"/>
      <c r="K383" s="113">
        <f t="shared" si="343"/>
        <v>0</v>
      </c>
      <c r="L383" s="113">
        <f t="shared" si="343"/>
        <v>0</v>
      </c>
      <c r="M383" s="113">
        <f t="shared" si="343"/>
        <v>0</v>
      </c>
      <c r="N383" s="113">
        <f t="shared" si="343"/>
        <v>0</v>
      </c>
      <c r="O383" s="113">
        <f t="shared" si="343"/>
        <v>0</v>
      </c>
      <c r="P383" s="113">
        <f t="shared" si="343"/>
        <v>0</v>
      </c>
      <c r="Q383" s="113">
        <f t="shared" si="343"/>
        <v>0</v>
      </c>
      <c r="R383" s="113">
        <f t="shared" si="343"/>
        <v>0</v>
      </c>
      <c r="S383" s="113">
        <f t="shared" si="343"/>
        <v>0</v>
      </c>
      <c r="T383" s="113">
        <f t="shared" si="343"/>
        <v>0</v>
      </c>
    </row>
    <row r="384" spans="2:20" s="35" customFormat="1" ht="13.5" customHeight="1" outlineLevel="1">
      <c r="B384" s="38"/>
      <c r="C384" s="38"/>
      <c r="D384" s="38"/>
      <c r="E384" s="57"/>
      <c r="F384" s="54"/>
      <c r="G384" s="54"/>
      <c r="H384" s="54"/>
      <c r="I384" s="54"/>
      <c r="J384" s="54"/>
      <c r="K384" s="54"/>
      <c r="L384" s="54"/>
      <c r="M384" s="54"/>
      <c r="N384" s="54"/>
      <c r="O384" s="54"/>
      <c r="P384" s="54"/>
      <c r="Q384" s="54"/>
      <c r="R384" s="54"/>
      <c r="S384" s="54"/>
      <c r="T384" s="54"/>
    </row>
    <row r="385" spans="1:20" s="35" customFormat="1" ht="13.5" customHeight="1" outlineLevel="1">
      <c r="B385" s="38" t="s">
        <v>322</v>
      </c>
      <c r="C385" s="38"/>
      <c r="D385" s="38"/>
      <c r="E385" s="57"/>
      <c r="F385" s="105">
        <f>F375*F209-F383</f>
        <v>0</v>
      </c>
      <c r="G385" s="105">
        <f>G375*G209-G383</f>
        <v>0</v>
      </c>
      <c r="H385" s="105">
        <f>H375*H209-H383</f>
        <v>0</v>
      </c>
      <c r="I385" s="105"/>
      <c r="J385" s="105"/>
      <c r="K385" s="105">
        <f t="shared" ref="K385:T385" si="344">K375*K209-K383</f>
        <v>0</v>
      </c>
      <c r="L385" s="105">
        <f t="shared" si="344"/>
        <v>0</v>
      </c>
      <c r="M385" s="105">
        <f t="shared" si="344"/>
        <v>0</v>
      </c>
      <c r="N385" s="105">
        <f t="shared" si="344"/>
        <v>0</v>
      </c>
      <c r="O385" s="105">
        <f t="shared" si="344"/>
        <v>0</v>
      </c>
      <c r="P385" s="105">
        <f t="shared" si="344"/>
        <v>0</v>
      </c>
      <c r="Q385" s="105">
        <f t="shared" si="344"/>
        <v>0</v>
      </c>
      <c r="R385" s="105">
        <f t="shared" si="344"/>
        <v>0</v>
      </c>
      <c r="S385" s="105">
        <f t="shared" si="344"/>
        <v>0</v>
      </c>
      <c r="T385" s="105">
        <f t="shared" si="344"/>
        <v>0</v>
      </c>
    </row>
    <row r="386" spans="1:20" s="35" customFormat="1" ht="5.0999999999999996" customHeight="1" outlineLevel="1" thickBot="1">
      <c r="B386" s="114"/>
      <c r="C386" s="114"/>
      <c r="D386" s="224"/>
      <c r="E386" s="224"/>
      <c r="F386" s="225"/>
      <c r="G386" s="225"/>
      <c r="H386" s="225"/>
      <c r="I386" s="225"/>
      <c r="J386" s="224"/>
      <c r="K386" s="225"/>
      <c r="L386" s="225"/>
      <c r="M386" s="225"/>
      <c r="N386" s="225"/>
      <c r="O386" s="225"/>
      <c r="P386" s="225"/>
      <c r="Q386" s="225"/>
      <c r="R386" s="225"/>
      <c r="S386" s="225"/>
      <c r="T386" s="225"/>
    </row>
    <row r="387" spans="1:20" s="35" customFormat="1" ht="13.5" customHeight="1" outlineLevel="1"/>
    <row r="388" spans="1:20" s="35" customFormat="1" ht="13.5" customHeight="1" outlineLevel="1" thickBot="1"/>
    <row r="389" spans="1:20" s="35" customFormat="1" ht="20.100000000000001" customHeight="1" thickTop="1">
      <c r="A389" s="41" t="s">
        <v>313</v>
      </c>
      <c r="B389" s="42" t="s">
        <v>71</v>
      </c>
      <c r="C389" s="43"/>
      <c r="D389" s="44"/>
      <c r="E389" s="44"/>
      <c r="F389" s="44"/>
      <c r="G389" s="44"/>
      <c r="H389" s="44"/>
      <c r="I389" s="44"/>
      <c r="J389" s="44"/>
      <c r="K389" s="44"/>
      <c r="L389" s="44"/>
      <c r="M389" s="44"/>
      <c r="N389" s="44"/>
      <c r="O389" s="44"/>
      <c r="P389" s="44"/>
      <c r="Q389" s="44"/>
      <c r="R389" s="44"/>
      <c r="S389" s="44"/>
      <c r="T389" s="44"/>
    </row>
    <row r="390" spans="1:20" s="35" customFormat="1" ht="14.4" outlineLevel="1">
      <c r="B390" s="45"/>
      <c r="J390" s="244"/>
      <c r="K390" s="244"/>
      <c r="L390" s="244"/>
      <c r="M390" s="244"/>
      <c r="N390" s="244"/>
      <c r="O390" s="244"/>
      <c r="P390" s="244"/>
      <c r="Q390" s="244"/>
      <c r="R390" s="244"/>
      <c r="S390" s="244"/>
      <c r="T390" s="147" t="str">
        <f ca="1">err_msg</f>
        <v/>
      </c>
    </row>
    <row r="391" spans="1:20" s="193" customFormat="1" ht="13.5" customHeight="1" outlineLevel="1">
      <c r="F391" s="194"/>
      <c r="G391" s="194"/>
      <c r="H391" s="194"/>
      <c r="J391" s="244"/>
      <c r="K391" s="120" t="str">
        <f>K$140</f>
        <v>Fiscal Years Ending December 31,</v>
      </c>
      <c r="L391" s="120"/>
      <c r="M391" s="120"/>
      <c r="N391" s="120"/>
      <c r="O391" s="120"/>
      <c r="P391" s="120"/>
      <c r="Q391" s="120"/>
      <c r="R391" s="120"/>
      <c r="S391" s="120"/>
      <c r="T391" s="120"/>
    </row>
    <row r="392" spans="1:20" s="193" customFormat="1" ht="14.4" outlineLevel="1">
      <c r="F392" s="248"/>
      <c r="G392" s="248"/>
      <c r="H392" s="248"/>
      <c r="J392" s="102" t="s">
        <v>196</v>
      </c>
      <c r="K392" s="102">
        <f t="shared" ref="K392" si="345">K$141</f>
        <v>1</v>
      </c>
      <c r="L392" s="102">
        <f>L$141</f>
        <v>2</v>
      </c>
      <c r="M392" s="102">
        <f t="shared" ref="M392:T392" si="346">M$141</f>
        <v>3</v>
      </c>
      <c r="N392" s="102">
        <f t="shared" si="346"/>
        <v>4</v>
      </c>
      <c r="O392" s="102">
        <f t="shared" si="346"/>
        <v>5</v>
      </c>
      <c r="P392" s="102">
        <f t="shared" si="346"/>
        <v>6</v>
      </c>
      <c r="Q392" s="102">
        <f t="shared" si="346"/>
        <v>7</v>
      </c>
      <c r="R392" s="102">
        <f t="shared" si="346"/>
        <v>8</v>
      </c>
      <c r="S392" s="102">
        <f t="shared" si="346"/>
        <v>9</v>
      </c>
      <c r="T392" s="102">
        <f t="shared" si="346"/>
        <v>10</v>
      </c>
    </row>
    <row r="393" spans="1:20" s="193" customFormat="1" ht="13.5" customHeight="1" outlineLevel="1" thickBot="1">
      <c r="B393" s="122" t="s">
        <v>201</v>
      </c>
      <c r="C393" s="199"/>
      <c r="D393" s="199"/>
      <c r="E393" s="199"/>
      <c r="F393" s="249"/>
      <c r="G393" s="249"/>
      <c r="H393" s="249"/>
      <c r="I393" s="199"/>
      <c r="J393" s="200">
        <f>J$217</f>
        <v>45291</v>
      </c>
      <c r="K393" s="126">
        <f t="shared" ref="K393" si="347">K$142</f>
        <v>45657</v>
      </c>
      <c r="L393" s="126">
        <f>L$142</f>
        <v>46022</v>
      </c>
      <c r="M393" s="126">
        <f t="shared" ref="M393:T393" si="348">M$142</f>
        <v>46387</v>
      </c>
      <c r="N393" s="126">
        <f t="shared" si="348"/>
        <v>46752</v>
      </c>
      <c r="O393" s="126">
        <f t="shared" si="348"/>
        <v>47118</v>
      </c>
      <c r="P393" s="126">
        <f t="shared" si="348"/>
        <v>47483</v>
      </c>
      <c r="Q393" s="126">
        <f t="shared" si="348"/>
        <v>47848</v>
      </c>
      <c r="R393" s="126">
        <f t="shared" si="348"/>
        <v>48213</v>
      </c>
      <c r="S393" s="126">
        <f t="shared" si="348"/>
        <v>48579</v>
      </c>
      <c r="T393" s="126">
        <f t="shared" si="348"/>
        <v>48944</v>
      </c>
    </row>
    <row r="394" spans="1:20" s="35" customFormat="1" ht="5.0999999999999996" customHeight="1" outlineLevel="1"/>
    <row r="395" spans="1:20" s="35" customFormat="1" ht="13.5" customHeight="1" outlineLevel="1">
      <c r="B395" s="46" t="s">
        <v>229</v>
      </c>
      <c r="C395" s="47"/>
      <c r="D395" s="47"/>
      <c r="E395" s="47"/>
      <c r="F395" s="47"/>
      <c r="G395" s="47"/>
      <c r="H395" s="47"/>
      <c r="I395" s="47"/>
      <c r="J395" s="47"/>
      <c r="K395" s="47"/>
      <c r="L395" s="47"/>
      <c r="M395" s="47"/>
      <c r="N395" s="47"/>
      <c r="O395" s="47"/>
      <c r="P395" s="47"/>
      <c r="Q395" s="47"/>
      <c r="R395" s="47"/>
      <c r="S395" s="47"/>
      <c r="T395" s="48"/>
    </row>
    <row r="396" spans="1:20" s="35" customFormat="1" ht="5.0999999999999996" customHeight="1" outlineLevel="1">
      <c r="B396" s="250"/>
      <c r="J396" s="251"/>
    </row>
    <row r="397" spans="1:20" s="35" customFormat="1" ht="13.5" customHeight="1" outlineLevel="1">
      <c r="B397" s="38" t="str">
        <f>B880</f>
        <v>Revolver</v>
      </c>
      <c r="C397" s="38"/>
      <c r="D397" s="38"/>
      <c r="E397" s="38"/>
      <c r="F397" s="38"/>
      <c r="G397" s="38"/>
      <c r="H397" s="38"/>
      <c r="K397" s="187">
        <f>Q880</f>
        <v>0</v>
      </c>
      <c r="L397" s="58">
        <f>IF(L$392=$R880,1-SUM($K397:K397),MIN($Q880,1-SUM($K397:K397)))</f>
        <v>0</v>
      </c>
      <c r="M397" s="58">
        <f>IF(M$392=$R880,1-SUM($K397:L397),MIN($Q880,1-SUM($K397:L397)))</f>
        <v>0</v>
      </c>
      <c r="N397" s="58">
        <f>IF(N$392=$R880,1-SUM($K397:M397),MIN($Q880,1-SUM($K397:M397)))</f>
        <v>0</v>
      </c>
      <c r="O397" s="58">
        <f>IF(O$392=$R880,1-SUM($K397:N397),MIN($Q880,1-SUM($K397:N397)))</f>
        <v>0</v>
      </c>
      <c r="P397" s="58">
        <f>IF(P$392=$R880,1-SUM($K397:O397),MIN($Q880,1-SUM($K397:O397)))</f>
        <v>0</v>
      </c>
      <c r="Q397" s="58">
        <f>IF(Q$392=$R880,1-SUM($K397:P397),MIN($Q880,1-SUM($K397:P397)))</f>
        <v>0</v>
      </c>
      <c r="R397" s="58">
        <f>IF(R$392=$R880,1-SUM($K397:Q397),MIN($Q880,1-SUM($K397:Q397)))</f>
        <v>0</v>
      </c>
      <c r="S397" s="58">
        <f>IF(S$392=$R880,1-SUM($K397:R397),MIN($Q880,1-SUM($K397:R397)))</f>
        <v>0</v>
      </c>
      <c r="T397" s="58">
        <f>IF(T$392=$R880,1-SUM($K397:S397),MIN($Q880,1-SUM($K397:S397)))</f>
        <v>0</v>
      </c>
    </row>
    <row r="398" spans="1:20" s="35" customFormat="1" ht="13.5" customHeight="1" outlineLevel="1">
      <c r="B398" s="38" t="s">
        <v>153</v>
      </c>
      <c r="C398" s="38"/>
      <c r="D398" s="38"/>
      <c r="E398" s="38"/>
      <c r="F398" s="38"/>
      <c r="G398" s="38"/>
      <c r="H398" s="38"/>
      <c r="K398" s="187">
        <f>Q879</f>
        <v>0</v>
      </c>
      <c r="L398" s="58">
        <f>IF(L$392=$R879,1-SUM($K398:K398),MIN($Q879,1-SUM($K398:K398)))</f>
        <v>0</v>
      </c>
      <c r="M398" s="58">
        <f>IF(M$392=$R879,1-SUM($K398:L398),MIN($Q879,1-SUM($K398:L398)))</f>
        <v>0</v>
      </c>
      <c r="N398" s="58">
        <f>IF(N$392=$R879,1-SUM($K398:M398),MIN($Q879,1-SUM($K398:M398)))</f>
        <v>0</v>
      </c>
      <c r="O398" s="58">
        <f>IF(O$392=$R879,1-SUM($K398:N398),MIN($Q879,1-SUM($K398:N398)))</f>
        <v>1</v>
      </c>
      <c r="P398" s="58">
        <f>IF(P$392=$R879,1-SUM($K398:O398),MIN($Q879,1-SUM($K398:O398)))</f>
        <v>0</v>
      </c>
      <c r="Q398" s="58">
        <f>IF(Q$392=$R879,1-SUM($K398:P398),MIN($Q879,1-SUM($K398:P398)))</f>
        <v>0</v>
      </c>
      <c r="R398" s="58">
        <f>IF(R$392=$R879,1-SUM($K398:Q398),MIN($Q879,1-SUM($K398:Q398)))</f>
        <v>0</v>
      </c>
      <c r="S398" s="58">
        <f>IF(S$392=$R879,1-SUM($K398:R398),MIN($Q879,1-SUM($K398:R398)))</f>
        <v>0</v>
      </c>
      <c r="T398" s="58">
        <f>IF(T$392=$R879,1-SUM($K398:S398),MIN($Q879,1-SUM($K398:S398)))</f>
        <v>0</v>
      </c>
    </row>
    <row r="399" spans="1:20" s="35" customFormat="1" ht="13.5" customHeight="1" outlineLevel="1">
      <c r="B399" s="38" t="str">
        <f t="shared" ref="B399:B408" si="349">B835</f>
        <v>Term loan - A</v>
      </c>
      <c r="C399" s="38"/>
      <c r="D399" s="38"/>
      <c r="E399" s="38"/>
      <c r="F399" s="38"/>
      <c r="G399" s="38"/>
      <c r="H399" s="38"/>
      <c r="K399" s="187">
        <f t="shared" ref="K399:K408" si="350">Q881</f>
        <v>0.2</v>
      </c>
      <c r="L399" s="58">
        <f>IF(L$392=$R881,1-SUM($K399:K399),MIN($Q881,1-SUM($K399:K399)))</f>
        <v>0.2</v>
      </c>
      <c r="M399" s="58">
        <f>IF(M$392=$R881,1-SUM($K399:L399),MIN($Q881,1-SUM($K399:L399)))</f>
        <v>0.2</v>
      </c>
      <c r="N399" s="58">
        <f>IF(N$392=$R881,1-SUM($K399:M399),MIN($Q881,1-SUM($K399:M399)))</f>
        <v>0.2</v>
      </c>
      <c r="O399" s="58">
        <f>IF(O$392=$R881,1-SUM($K399:N399),MIN($Q881,1-SUM($K399:N399)))</f>
        <v>0.19999999999999996</v>
      </c>
      <c r="P399" s="58">
        <f>IF(P$392=$R881,1-SUM($K399:O399),MIN($Q881,1-SUM($K399:O399)))</f>
        <v>0</v>
      </c>
      <c r="Q399" s="58">
        <f>IF(Q$392=$R881,1-SUM($K399:P399),MIN($Q881,1-SUM($K399:P399)))</f>
        <v>0</v>
      </c>
      <c r="R399" s="58">
        <f>IF(R$392=$R881,1-SUM($K399:Q399),MIN($Q881,1-SUM($K399:Q399)))</f>
        <v>0</v>
      </c>
      <c r="S399" s="58">
        <f>IF(S$392=$R881,1-SUM($K399:R399),MIN($Q881,1-SUM($K399:R399)))</f>
        <v>0</v>
      </c>
      <c r="T399" s="58">
        <f>IF(T$392=$R881,1-SUM($K399:S399),MIN($Q881,1-SUM($K399:S399)))</f>
        <v>0</v>
      </c>
    </row>
    <row r="400" spans="1:20" s="35" customFormat="1" ht="13.5" customHeight="1" outlineLevel="1">
      <c r="B400" s="38" t="str">
        <f t="shared" si="349"/>
        <v>Term loan - B</v>
      </c>
      <c r="C400" s="38"/>
      <c r="D400" s="38"/>
      <c r="E400" s="38"/>
      <c r="F400" s="38"/>
      <c r="G400" s="38"/>
      <c r="H400" s="38"/>
      <c r="K400" s="187">
        <f t="shared" si="350"/>
        <v>0.05</v>
      </c>
      <c r="L400" s="58">
        <f>IF(L$392=$R882,1-SUM($K400:K400),MIN($Q882,1-SUM($K400:K400)))</f>
        <v>0.05</v>
      </c>
      <c r="M400" s="58">
        <f>IF(M$392=$R882,1-SUM($K400:L400),MIN($Q882,1-SUM($K400:L400)))</f>
        <v>0.05</v>
      </c>
      <c r="N400" s="58">
        <f>IF(N$392=$R882,1-SUM($K400:M400),MIN($Q882,1-SUM($K400:M400)))</f>
        <v>0.05</v>
      </c>
      <c r="O400" s="58">
        <f>IF(O$392=$R882,1-SUM($K400:N400),MIN($Q882,1-SUM($K400:N400)))</f>
        <v>0.05</v>
      </c>
      <c r="P400" s="58">
        <f>IF(P$392=$R882,1-SUM($K400:O400),MIN($Q882,1-SUM($K400:O400)))</f>
        <v>0.75</v>
      </c>
      <c r="Q400" s="58">
        <f>IF(Q$392=$R882,1-SUM($K400:P400),MIN($Q882,1-SUM($K400:P400)))</f>
        <v>0</v>
      </c>
      <c r="R400" s="58">
        <f>IF(R$392=$R882,1-SUM($K400:Q400),MIN($Q882,1-SUM($K400:Q400)))</f>
        <v>0</v>
      </c>
      <c r="S400" s="58">
        <f>IF(S$392=$R882,1-SUM($K400:R400),MIN($Q882,1-SUM($K400:R400)))</f>
        <v>0</v>
      </c>
      <c r="T400" s="58">
        <f>IF(T$392=$R882,1-SUM($K400:S400),MIN($Q882,1-SUM($K400:S400)))</f>
        <v>0</v>
      </c>
    </row>
    <row r="401" spans="2:20" s="35" customFormat="1" ht="13.5" customHeight="1" outlineLevel="1">
      <c r="B401" s="38" t="str">
        <f t="shared" si="349"/>
        <v>Senior note</v>
      </c>
      <c r="C401" s="38"/>
      <c r="D401" s="38"/>
      <c r="E401" s="38"/>
      <c r="F401" s="38"/>
      <c r="G401" s="38"/>
      <c r="H401" s="38"/>
      <c r="K401" s="187">
        <f t="shared" si="350"/>
        <v>0</v>
      </c>
      <c r="L401" s="58">
        <f>IF(L$392=$R883,1-SUM($K401:K401),MIN($Q883,1-SUM($K401:K401)))</f>
        <v>0</v>
      </c>
      <c r="M401" s="58">
        <f>IF(M$392=$R883,1-SUM($K401:L401),MIN($Q883,1-SUM($K401:L401)))</f>
        <v>0</v>
      </c>
      <c r="N401" s="58">
        <f>IF(N$392=$R883,1-SUM($K401:M401),MIN($Q883,1-SUM($K401:M401)))</f>
        <v>0</v>
      </c>
      <c r="O401" s="58">
        <f>IF(O$392=$R883,1-SUM($K401:N401),MIN($Q883,1-SUM($K401:N401)))</f>
        <v>0</v>
      </c>
      <c r="P401" s="58">
        <f>IF(P$392=$R883,1-SUM($K401:O401),MIN($Q883,1-SUM($K401:O401)))</f>
        <v>0</v>
      </c>
      <c r="Q401" s="58">
        <f>IF(Q$392=$R883,1-SUM($K401:P401),MIN($Q883,1-SUM($K401:P401)))</f>
        <v>0</v>
      </c>
      <c r="R401" s="58">
        <f>IF(R$392=$R883,1-SUM($K401:Q401),MIN($Q883,1-SUM($K401:Q401)))</f>
        <v>1</v>
      </c>
      <c r="S401" s="58">
        <f>IF(S$392=$R883,1-SUM($K401:R401),MIN($Q883,1-SUM($K401:R401)))</f>
        <v>0</v>
      </c>
      <c r="T401" s="58">
        <f>IF(T$392=$R883,1-SUM($K401:S401),MIN($Q883,1-SUM($K401:S401)))</f>
        <v>0</v>
      </c>
    </row>
    <row r="402" spans="2:20" s="35" customFormat="1" ht="13.5" customHeight="1" outlineLevel="1">
      <c r="B402" s="38" t="str">
        <f t="shared" si="349"/>
        <v>Subordinated note</v>
      </c>
      <c r="C402" s="38"/>
      <c r="D402" s="38"/>
      <c r="E402" s="38"/>
      <c r="F402" s="38"/>
      <c r="G402" s="38"/>
      <c r="H402" s="38"/>
      <c r="K402" s="187">
        <f t="shared" si="350"/>
        <v>0</v>
      </c>
      <c r="L402" s="58">
        <f>IF(L$392=$R884,1-SUM($K402:K402),MIN($Q884,1-SUM($K402:K402)))</f>
        <v>0</v>
      </c>
      <c r="M402" s="58">
        <f>IF(M$392=$R884,1-SUM($K402:L402),MIN($Q884,1-SUM($K402:L402)))</f>
        <v>0</v>
      </c>
      <c r="N402" s="58">
        <f>IF(N$392=$R884,1-SUM($K402:M402),MIN($Q884,1-SUM($K402:M402)))</f>
        <v>0</v>
      </c>
      <c r="O402" s="58">
        <f>IF(O$392=$R884,1-SUM($K402:N402),MIN($Q884,1-SUM($K402:N402)))</f>
        <v>0</v>
      </c>
      <c r="P402" s="58">
        <f>IF(P$392=$R884,1-SUM($K402:O402),MIN($Q884,1-SUM($K402:O402)))</f>
        <v>1</v>
      </c>
      <c r="Q402" s="58">
        <f>IF(Q$392=$R884,1-SUM($K402:P402),MIN($Q884,1-SUM($K402:P402)))</f>
        <v>0</v>
      </c>
      <c r="R402" s="58">
        <f>IF(R$392=$R884,1-SUM($K402:Q402),MIN($Q884,1-SUM($K402:Q402)))</f>
        <v>0</v>
      </c>
      <c r="S402" s="58">
        <f>IF(S$392=$R884,1-SUM($K402:R402),MIN($Q884,1-SUM($K402:R402)))</f>
        <v>0</v>
      </c>
      <c r="T402" s="58">
        <f>IF(T$392=$R884,1-SUM($K402:S402),MIN($Q884,1-SUM($K402:S402)))</f>
        <v>0</v>
      </c>
    </row>
    <row r="403" spans="2:20" s="35" customFormat="1" ht="13.5" customHeight="1" outlineLevel="1">
      <c r="B403" s="38" t="str">
        <f t="shared" si="349"/>
        <v>Mezzanine</v>
      </c>
      <c r="C403" s="38"/>
      <c r="D403" s="38"/>
      <c r="E403" s="38"/>
      <c r="F403" s="38"/>
      <c r="G403" s="38"/>
      <c r="H403" s="38"/>
      <c r="K403" s="187">
        <f t="shared" si="350"/>
        <v>0</v>
      </c>
      <c r="L403" s="58">
        <f>IF(L$392=$R885,1-SUM($K403:K403),MIN($Q885,1-SUM($K403:K403)))</f>
        <v>0</v>
      </c>
      <c r="M403" s="58">
        <f>IF(M$392=$R885,1-SUM($K403:L403),MIN($Q885,1-SUM($K403:L403)))</f>
        <v>0</v>
      </c>
      <c r="N403" s="58">
        <f>IF(N$392=$R885,1-SUM($K403:M403),MIN($Q885,1-SUM($K403:M403)))</f>
        <v>0</v>
      </c>
      <c r="O403" s="58">
        <f>IF(O$392=$R885,1-SUM($K403:N403),MIN($Q885,1-SUM($K403:N403)))</f>
        <v>0</v>
      </c>
      <c r="P403" s="58">
        <f>IF(P$392=$R885,1-SUM($K403:O403),MIN($Q885,1-SUM($K403:O403)))</f>
        <v>0</v>
      </c>
      <c r="Q403" s="58">
        <f>IF(Q$392=$R885,1-SUM($K403:P403),MIN($Q885,1-SUM($K403:P403)))</f>
        <v>0</v>
      </c>
      <c r="R403" s="58">
        <f>IF(R$392=$R885,1-SUM($K403:Q403),MIN($Q885,1-SUM($K403:Q403)))</f>
        <v>0</v>
      </c>
      <c r="S403" s="58">
        <f>IF(S$392=$R885,1-SUM($K403:R403),MIN($Q885,1-SUM($K403:R403)))</f>
        <v>0</v>
      </c>
      <c r="T403" s="58">
        <f>IF(T$392=$R885,1-SUM($K403:S403),MIN($Q885,1-SUM($K403:S403)))</f>
        <v>0</v>
      </c>
    </row>
    <row r="404" spans="2:20" s="35" customFormat="1" ht="13.5" customHeight="1" outlineLevel="1">
      <c r="B404" s="38" t="str">
        <f t="shared" si="349"/>
        <v>Seller note</v>
      </c>
      <c r="C404" s="38"/>
      <c r="D404" s="38"/>
      <c r="E404" s="38"/>
      <c r="F404" s="38"/>
      <c r="G404" s="38"/>
      <c r="H404" s="38"/>
      <c r="K404" s="187">
        <f t="shared" si="350"/>
        <v>0</v>
      </c>
      <c r="L404" s="58">
        <f>IF(L$392=$R886,1-SUM($K404:K404),MIN($Q886,1-SUM($K404:K404)))</f>
        <v>0</v>
      </c>
      <c r="M404" s="58">
        <f>IF(M$392=$R886,1-SUM($K404:L404),MIN($Q886,1-SUM($K404:L404)))</f>
        <v>1</v>
      </c>
      <c r="N404" s="58">
        <f>IF(N$392=$R886,1-SUM($K404:M404),MIN($Q886,1-SUM($K404:M404)))</f>
        <v>0</v>
      </c>
      <c r="O404" s="58">
        <f>IF(O$392=$R886,1-SUM($K404:N404),MIN($Q886,1-SUM($K404:N404)))</f>
        <v>0</v>
      </c>
      <c r="P404" s="58">
        <f>IF(P$392=$R886,1-SUM($K404:O404),MIN($Q886,1-SUM($K404:O404)))</f>
        <v>0</v>
      </c>
      <c r="Q404" s="58">
        <f>IF(Q$392=$R886,1-SUM($K404:P404),MIN($Q886,1-SUM($K404:P404)))</f>
        <v>0</v>
      </c>
      <c r="R404" s="58">
        <f>IF(R$392=$R886,1-SUM($K404:Q404),MIN($Q886,1-SUM($K404:Q404)))</f>
        <v>0</v>
      </c>
      <c r="S404" s="58">
        <f>IF(S$392=$R886,1-SUM($K404:R404),MIN($Q886,1-SUM($K404:R404)))</f>
        <v>0</v>
      </c>
      <c r="T404" s="58">
        <f>IF(T$392=$R886,1-SUM($K404:S404),MIN($Q886,1-SUM($K404:S404)))</f>
        <v>0</v>
      </c>
    </row>
    <row r="405" spans="2:20" s="35" customFormat="1" ht="13.5" customHeight="1" outlineLevel="1">
      <c r="B405" s="38" t="str">
        <f t="shared" si="349"/>
        <v>Convertible bond</v>
      </c>
      <c r="C405" s="38"/>
      <c r="D405" s="38"/>
      <c r="E405" s="38"/>
      <c r="F405" s="38"/>
      <c r="G405" s="38"/>
      <c r="H405" s="38"/>
      <c r="K405" s="187">
        <f t="shared" si="350"/>
        <v>0</v>
      </c>
      <c r="L405" s="58">
        <f>IF(L$392=$R887,1-SUM($K405:K405),MIN($Q887,1-SUM($K405:K405)))</f>
        <v>0</v>
      </c>
      <c r="M405" s="58">
        <f>IF(M$392=$R887,1-SUM($K405:L405),MIN($Q887,1-SUM($K405:L405)))</f>
        <v>1</v>
      </c>
      <c r="N405" s="58">
        <f>IF(N$392=$R887,1-SUM($K405:M405),MIN($Q887,1-SUM($K405:M405)))</f>
        <v>0</v>
      </c>
      <c r="O405" s="58">
        <f>IF(O$392=$R887,1-SUM($K405:N405),MIN($Q887,1-SUM($K405:N405)))</f>
        <v>0</v>
      </c>
      <c r="P405" s="58">
        <f>IF(P$392=$R887,1-SUM($K405:O405),MIN($Q887,1-SUM($K405:O405)))</f>
        <v>0</v>
      </c>
      <c r="Q405" s="58">
        <f>IF(Q$392=$R887,1-SUM($K405:P405),MIN($Q887,1-SUM($K405:P405)))</f>
        <v>0</v>
      </c>
      <c r="R405" s="58">
        <f>IF(R$392=$R887,1-SUM($K405:Q405),MIN($Q887,1-SUM($K405:Q405)))</f>
        <v>0</v>
      </c>
      <c r="S405" s="58">
        <f>IF(S$392=$R887,1-SUM($K405:R405),MIN($Q887,1-SUM($K405:R405)))</f>
        <v>0</v>
      </c>
      <c r="T405" s="58">
        <f>IF(T$392=$R887,1-SUM($K405:S405),MIN($Q887,1-SUM($K405:S405)))</f>
        <v>0</v>
      </c>
    </row>
    <row r="406" spans="2:20" s="35" customFormat="1" ht="13.5" customHeight="1" outlineLevel="1">
      <c r="B406" s="38" t="str">
        <f t="shared" si="349"/>
        <v>[Debt 8]</v>
      </c>
      <c r="C406" s="38"/>
      <c r="D406" s="38"/>
      <c r="E406" s="38"/>
      <c r="F406" s="38"/>
      <c r="G406" s="38"/>
      <c r="H406" s="38"/>
      <c r="K406" s="187">
        <f t="shared" si="350"/>
        <v>0</v>
      </c>
      <c r="L406" s="58">
        <f>IF(L$392=$R888,1-SUM($K406:K406),MIN($Q888,1-SUM($K406:K406)))</f>
        <v>0</v>
      </c>
      <c r="M406" s="58">
        <f>IF(M$392=$R888,1-SUM($K406:L406),MIN($Q888,1-SUM($K406:L406)))</f>
        <v>1</v>
      </c>
      <c r="N406" s="58">
        <f>IF(N$392=$R888,1-SUM($K406:M406),MIN($Q888,1-SUM($K406:M406)))</f>
        <v>0</v>
      </c>
      <c r="O406" s="58">
        <f>IF(O$392=$R888,1-SUM($K406:N406),MIN($Q888,1-SUM($K406:N406)))</f>
        <v>0</v>
      </c>
      <c r="P406" s="58">
        <f>IF(P$392=$R888,1-SUM($K406:O406),MIN($Q888,1-SUM($K406:O406)))</f>
        <v>0</v>
      </c>
      <c r="Q406" s="58">
        <f>IF(Q$392=$R888,1-SUM($K406:P406),MIN($Q888,1-SUM($K406:P406)))</f>
        <v>0</v>
      </c>
      <c r="R406" s="58">
        <f>IF(R$392=$R888,1-SUM($K406:Q406),MIN($Q888,1-SUM($K406:Q406)))</f>
        <v>0</v>
      </c>
      <c r="S406" s="58">
        <f>IF(S$392=$R888,1-SUM($K406:R406),MIN($Q888,1-SUM($K406:R406)))</f>
        <v>0</v>
      </c>
      <c r="T406" s="58">
        <f>IF(T$392=$R888,1-SUM($K406:S406),MIN($Q888,1-SUM($K406:S406)))</f>
        <v>0</v>
      </c>
    </row>
    <row r="407" spans="2:20" s="35" customFormat="1" ht="13.5" customHeight="1" outlineLevel="1">
      <c r="B407" s="38" t="str">
        <f t="shared" si="349"/>
        <v>Preferred stock - A</v>
      </c>
      <c r="C407" s="38"/>
      <c r="D407" s="38"/>
      <c r="E407" s="38"/>
      <c r="F407" s="38"/>
      <c r="G407" s="38"/>
      <c r="H407" s="38"/>
      <c r="K407" s="187">
        <f t="shared" si="350"/>
        <v>0</v>
      </c>
      <c r="L407" s="58">
        <f>IF(L$392=$R889,1-SUM($K407:K407),MIN($Q889,1-SUM($K407:K407)))</f>
        <v>0</v>
      </c>
      <c r="M407" s="58">
        <f>IF(M$392=$R889,1-SUM($K407:L407),MIN($Q889,1-SUM($K407:L407)))</f>
        <v>0</v>
      </c>
      <c r="N407" s="58">
        <f>IF(N$392=$R889,1-SUM($K407:M407),MIN($Q889,1-SUM($K407:M407)))</f>
        <v>0</v>
      </c>
      <c r="O407" s="58">
        <f>IF(O$392=$R889,1-SUM($K407:N407),MIN($Q889,1-SUM($K407:N407)))</f>
        <v>0</v>
      </c>
      <c r="P407" s="58">
        <f>IF(P$392=$R889,1-SUM($K407:O407),MIN($Q889,1-SUM($K407:O407)))</f>
        <v>0</v>
      </c>
      <c r="Q407" s="58">
        <f>IF(Q$392=$R889,1-SUM($K407:P407),MIN($Q889,1-SUM($K407:P407)))</f>
        <v>0</v>
      </c>
      <c r="R407" s="58">
        <f>IF(R$392=$R889,1-SUM($K407:Q407),MIN($Q889,1-SUM($K407:Q407)))</f>
        <v>0</v>
      </c>
      <c r="S407" s="58">
        <f>IF(S$392=$R889,1-SUM($K407:R407),MIN($Q889,1-SUM($K407:R407)))</f>
        <v>0</v>
      </c>
      <c r="T407" s="58">
        <f>IF(T$392=$R889,1-SUM($K407:S407),MIN($Q889,1-SUM($K407:S407)))</f>
        <v>0</v>
      </c>
    </row>
    <row r="408" spans="2:20" s="35" customFormat="1" ht="13.5" customHeight="1" outlineLevel="1">
      <c r="B408" s="38" t="str">
        <f t="shared" si="349"/>
        <v>Preferred stock - B</v>
      </c>
      <c r="C408" s="38"/>
      <c r="D408" s="38"/>
      <c r="E408" s="38"/>
      <c r="F408" s="38"/>
      <c r="G408" s="38"/>
      <c r="H408" s="38"/>
      <c r="K408" s="187">
        <f t="shared" si="350"/>
        <v>0</v>
      </c>
      <c r="L408" s="58">
        <f>IF(L$392=$R890,1-SUM($K408:K408),MIN($Q890,1-SUM($K408:K408)))</f>
        <v>0</v>
      </c>
      <c r="M408" s="58">
        <f>IF(M$392=$R890,1-SUM($K408:L408),MIN($Q890,1-SUM($K408:L408)))</f>
        <v>0</v>
      </c>
      <c r="N408" s="58">
        <f>IF(N$392=$R890,1-SUM($K408:M408),MIN($Q890,1-SUM($K408:M408)))</f>
        <v>0</v>
      </c>
      <c r="O408" s="58">
        <f>IF(O$392=$R890,1-SUM($K408:N408),MIN($Q890,1-SUM($K408:N408)))</f>
        <v>0</v>
      </c>
      <c r="P408" s="58">
        <f>IF(P$392=$R890,1-SUM($K408:O408),MIN($Q890,1-SUM($K408:O408)))</f>
        <v>0</v>
      </c>
      <c r="Q408" s="58">
        <f>IF(Q$392=$R890,1-SUM($K408:P408),MIN($Q890,1-SUM($K408:P408)))</f>
        <v>0</v>
      </c>
      <c r="R408" s="58">
        <f>IF(R$392=$R890,1-SUM($K408:Q408),MIN($Q890,1-SUM($K408:Q408)))</f>
        <v>0</v>
      </c>
      <c r="S408" s="58">
        <f>IF(S$392=$R890,1-SUM($K408:R408),MIN($Q890,1-SUM($K408:R408)))</f>
        <v>0</v>
      </c>
      <c r="T408" s="58">
        <f>IF(T$392=$R890,1-SUM($K408:S408),MIN($Q890,1-SUM($K408:S408)))</f>
        <v>0</v>
      </c>
    </row>
    <row r="409" spans="2:20" s="35" customFormat="1" ht="13.5" customHeight="1" outlineLevel="1">
      <c r="C409" s="38"/>
      <c r="D409" s="38"/>
      <c r="E409" s="38"/>
      <c r="F409" s="38"/>
      <c r="G409" s="38"/>
      <c r="H409" s="38"/>
      <c r="I409" s="38"/>
      <c r="J409" s="38"/>
      <c r="K409" s="252"/>
      <c r="L409" s="252"/>
      <c r="M409" s="252"/>
      <c r="N409" s="252"/>
      <c r="O409" s="252"/>
      <c r="P409" s="252"/>
      <c r="Q409" s="252"/>
      <c r="R409" s="252"/>
      <c r="S409" s="252"/>
      <c r="T409" s="252"/>
    </row>
    <row r="410" spans="2:20" s="35" customFormat="1" ht="13.5" customHeight="1" outlineLevel="1">
      <c r="B410" s="46" t="s">
        <v>528</v>
      </c>
      <c r="C410" s="47"/>
      <c r="D410" s="47"/>
      <c r="E410" s="47"/>
      <c r="F410" s="47"/>
      <c r="G410" s="47"/>
      <c r="H410" s="47"/>
      <c r="I410" s="47"/>
      <c r="J410" s="47"/>
      <c r="K410" s="47"/>
      <c r="L410" s="47"/>
      <c r="M410" s="47"/>
      <c r="N410" s="47"/>
      <c r="O410" s="47"/>
      <c r="P410" s="47"/>
      <c r="Q410" s="47"/>
      <c r="R410" s="47"/>
      <c r="S410" s="47"/>
      <c r="T410" s="48"/>
    </row>
    <row r="411" spans="2:20" ht="5.0999999999999996" customHeight="1" outlineLevel="1"/>
    <row r="412" spans="2:20" ht="13.5" customHeight="1" outlineLevel="1">
      <c r="B412" s="38" t="s">
        <v>155</v>
      </c>
      <c r="K412" s="54">
        <f t="shared" ref="K412:T412" ca="1" si="351">J221</f>
        <v>100</v>
      </c>
      <c r="L412" s="54">
        <f t="shared" ca="1" si="351"/>
        <v>116.10101039022676</v>
      </c>
      <c r="M412" s="54">
        <f t="shared" ca="1" si="351"/>
        <v>197.91611028244279</v>
      </c>
      <c r="N412" s="54">
        <f t="shared" ca="1" si="351"/>
        <v>284.95429548790389</v>
      </c>
      <c r="O412" s="54">
        <f t="shared" ca="1" si="351"/>
        <v>377.61887958203016</v>
      </c>
      <c r="P412" s="54">
        <f t="shared" ca="1" si="351"/>
        <v>476.27146843245453</v>
      </c>
      <c r="Q412" s="54">
        <f t="shared" ca="1" si="351"/>
        <v>523.72953436959392</v>
      </c>
      <c r="R412" s="54">
        <f t="shared" ca="1" si="351"/>
        <v>631.08401980858571</v>
      </c>
      <c r="S412" s="54">
        <f t="shared" ca="1" si="351"/>
        <v>645.0356497639907</v>
      </c>
      <c r="T412" s="54">
        <f t="shared" ca="1" si="351"/>
        <v>773.76530438601367</v>
      </c>
    </row>
    <row r="413" spans="2:20" ht="13.5" customHeight="1" outlineLevel="1">
      <c r="B413" s="38" t="s">
        <v>154</v>
      </c>
      <c r="K413" s="208">
        <f t="shared" ref="K413:T413" si="352">-$K$23</f>
        <v>-100</v>
      </c>
      <c r="L413" s="208">
        <f t="shared" si="352"/>
        <v>-100</v>
      </c>
      <c r="M413" s="208">
        <f t="shared" si="352"/>
        <v>-100</v>
      </c>
      <c r="N413" s="208">
        <f t="shared" si="352"/>
        <v>-100</v>
      </c>
      <c r="O413" s="208">
        <f t="shared" si="352"/>
        <v>-100</v>
      </c>
      <c r="P413" s="208">
        <f t="shared" si="352"/>
        <v>-100</v>
      </c>
      <c r="Q413" s="208">
        <f t="shared" si="352"/>
        <v>-100</v>
      </c>
      <c r="R413" s="208">
        <f t="shared" si="352"/>
        <v>-100</v>
      </c>
      <c r="S413" s="208">
        <f t="shared" si="352"/>
        <v>-100</v>
      </c>
      <c r="T413" s="208">
        <f t="shared" si="352"/>
        <v>-100</v>
      </c>
    </row>
    <row r="414" spans="2:20" ht="13.5" customHeight="1" outlineLevel="1">
      <c r="B414" s="52" t="s">
        <v>156</v>
      </c>
      <c r="C414" s="52"/>
      <c r="D414" s="52"/>
      <c r="E414" s="52"/>
      <c r="F414" s="52"/>
      <c r="G414" s="52"/>
      <c r="H414" s="52"/>
      <c r="I414" s="52"/>
      <c r="J414" s="52"/>
      <c r="K414" s="153">
        <f t="shared" ref="K414:T414" ca="1" si="353">SUM(K412:K413)</f>
        <v>0</v>
      </c>
      <c r="L414" s="153">
        <f t="shared" ca="1" si="353"/>
        <v>16.101010390226762</v>
      </c>
      <c r="M414" s="153">
        <f t="shared" ca="1" si="353"/>
        <v>97.916110282442787</v>
      </c>
      <c r="N414" s="153">
        <f t="shared" ca="1" si="353"/>
        <v>184.95429548790389</v>
      </c>
      <c r="O414" s="153">
        <f t="shared" ca="1" si="353"/>
        <v>277.61887958203016</v>
      </c>
      <c r="P414" s="153">
        <f t="shared" ca="1" si="353"/>
        <v>376.27146843245453</v>
      </c>
      <c r="Q414" s="153">
        <f t="shared" ca="1" si="353"/>
        <v>423.72953436959392</v>
      </c>
      <c r="R414" s="153">
        <f t="shared" ca="1" si="353"/>
        <v>531.08401980858571</v>
      </c>
      <c r="S414" s="153">
        <f t="shared" ca="1" si="353"/>
        <v>545.0356497639907</v>
      </c>
      <c r="T414" s="153">
        <f t="shared" ca="1" si="353"/>
        <v>673.76530438601367</v>
      </c>
    </row>
    <row r="415" spans="2:20" ht="13.5" customHeight="1" outlineLevel="1">
      <c r="B415" s="38" t="s">
        <v>520</v>
      </c>
      <c r="K415" s="208">
        <f t="shared" ref="K415:T415" ca="1" si="354">K320</f>
        <v>66.101010390226762</v>
      </c>
      <c r="L415" s="208">
        <f t="shared" ca="1" si="354"/>
        <v>81.81509989221604</v>
      </c>
      <c r="M415" s="208">
        <f t="shared" ca="1" si="354"/>
        <v>87.038185205461076</v>
      </c>
      <c r="N415" s="208">
        <f t="shared" ca="1" si="354"/>
        <v>92.664584094126255</v>
      </c>
      <c r="O415" s="208">
        <f t="shared" ca="1" si="354"/>
        <v>98.652588850424337</v>
      </c>
      <c r="P415" s="208">
        <f t="shared" ca="1" si="354"/>
        <v>97.458065937139395</v>
      </c>
      <c r="Q415" s="208">
        <f t="shared" ca="1" si="354"/>
        <v>107.35448543899184</v>
      </c>
      <c r="R415" s="208">
        <f t="shared" ca="1" si="354"/>
        <v>113.95162995540497</v>
      </c>
      <c r="S415" s="208">
        <f t="shared" ca="1" si="354"/>
        <v>128.72965462202302</v>
      </c>
      <c r="T415" s="208">
        <f t="shared" ca="1" si="354"/>
        <v>137.13434075781402</v>
      </c>
    </row>
    <row r="416" spans="2:20" ht="13.5" customHeight="1" outlineLevel="1">
      <c r="B416" s="52" t="s">
        <v>521</v>
      </c>
      <c r="C416" s="52"/>
      <c r="D416" s="52"/>
      <c r="E416" s="52"/>
      <c r="F416" s="52"/>
      <c r="G416" s="52"/>
      <c r="H416" s="52"/>
      <c r="I416" s="52"/>
      <c r="J416" s="52"/>
      <c r="K416" s="153">
        <f t="shared" ref="K416:T416" ca="1" si="355">SUM(K414:K415)</f>
        <v>66.101010390226762</v>
      </c>
      <c r="L416" s="153">
        <f t="shared" ca="1" si="355"/>
        <v>97.916110282442801</v>
      </c>
      <c r="M416" s="153">
        <f t="shared" ca="1" si="355"/>
        <v>184.95429548790386</v>
      </c>
      <c r="N416" s="153">
        <f t="shared" ca="1" si="355"/>
        <v>277.61887958203016</v>
      </c>
      <c r="O416" s="153">
        <f t="shared" ca="1" si="355"/>
        <v>376.27146843245453</v>
      </c>
      <c r="P416" s="153">
        <f t="shared" ca="1" si="355"/>
        <v>473.72953436959392</v>
      </c>
      <c r="Q416" s="153">
        <f t="shared" ca="1" si="355"/>
        <v>531.08401980858571</v>
      </c>
      <c r="R416" s="153">
        <f t="shared" ca="1" si="355"/>
        <v>645.0356497639907</v>
      </c>
      <c r="S416" s="153">
        <f t="shared" ca="1" si="355"/>
        <v>673.76530438601367</v>
      </c>
      <c r="T416" s="153">
        <f t="shared" ca="1" si="355"/>
        <v>810.89964514382768</v>
      </c>
    </row>
    <row r="417" spans="2:20" ht="13.5" customHeight="1" outlineLevel="1">
      <c r="B417" s="84" t="str">
        <f>B835</f>
        <v>Term loan - A</v>
      </c>
      <c r="K417" s="57">
        <f>K473</f>
        <v>-10</v>
      </c>
      <c r="L417" s="57">
        <f ca="1">L473</f>
        <v>0</v>
      </c>
      <c r="M417" s="57">
        <f t="shared" ref="M417:T417" ca="1" si="356">M473</f>
        <v>0</v>
      </c>
      <c r="N417" s="57">
        <f t="shared" ca="1" si="356"/>
        <v>0</v>
      </c>
      <c r="O417" s="57">
        <f t="shared" ca="1" si="356"/>
        <v>0</v>
      </c>
      <c r="P417" s="57">
        <f t="shared" ca="1" si="356"/>
        <v>0</v>
      </c>
      <c r="Q417" s="57">
        <f t="shared" ca="1" si="356"/>
        <v>0</v>
      </c>
      <c r="R417" s="57">
        <f t="shared" ca="1" si="356"/>
        <v>0</v>
      </c>
      <c r="S417" s="57">
        <f t="shared" ca="1" si="356"/>
        <v>0</v>
      </c>
      <c r="T417" s="57">
        <f t="shared" ca="1" si="356"/>
        <v>0</v>
      </c>
    </row>
    <row r="418" spans="2:20" ht="13.5" customHeight="1" outlineLevel="1">
      <c r="B418" s="84" t="str">
        <f t="shared" ref="B418:B426" si="357">B836</f>
        <v>Term loan - B</v>
      </c>
      <c r="K418" s="57">
        <f>K482</f>
        <v>0</v>
      </c>
      <c r="L418" s="57">
        <f t="shared" ref="L418:T418" ca="1" si="358">L482</f>
        <v>0</v>
      </c>
      <c r="M418" s="57">
        <f t="shared" ca="1" si="358"/>
        <v>0</v>
      </c>
      <c r="N418" s="57">
        <f t="shared" ca="1" si="358"/>
        <v>0</v>
      </c>
      <c r="O418" s="57">
        <f t="shared" ca="1" si="358"/>
        <v>0</v>
      </c>
      <c r="P418" s="57">
        <f t="shared" ca="1" si="358"/>
        <v>0</v>
      </c>
      <c r="Q418" s="57">
        <f t="shared" ca="1" si="358"/>
        <v>0</v>
      </c>
      <c r="R418" s="57">
        <f t="shared" ca="1" si="358"/>
        <v>0</v>
      </c>
      <c r="S418" s="57">
        <f t="shared" ca="1" si="358"/>
        <v>0</v>
      </c>
      <c r="T418" s="57">
        <f t="shared" ca="1" si="358"/>
        <v>0</v>
      </c>
    </row>
    <row r="419" spans="2:20" ht="13.5" customHeight="1" outlineLevel="1">
      <c r="B419" s="84" t="str">
        <f t="shared" si="357"/>
        <v>Senior note</v>
      </c>
      <c r="K419" s="57">
        <f>K491</f>
        <v>0</v>
      </c>
      <c r="L419" s="57">
        <f t="shared" ref="L419:T419" ca="1" si="359">L491</f>
        <v>0</v>
      </c>
      <c r="M419" s="57">
        <f t="shared" ca="1" si="359"/>
        <v>0</v>
      </c>
      <c r="N419" s="57">
        <f t="shared" ca="1" si="359"/>
        <v>0</v>
      </c>
      <c r="O419" s="57">
        <f t="shared" ca="1" si="359"/>
        <v>0</v>
      </c>
      <c r="P419" s="57">
        <f t="shared" ca="1" si="359"/>
        <v>0</v>
      </c>
      <c r="Q419" s="57">
        <f t="shared" ca="1" si="359"/>
        <v>0</v>
      </c>
      <c r="R419" s="57">
        <f t="shared" ca="1" si="359"/>
        <v>-100</v>
      </c>
      <c r="S419" s="57">
        <f t="shared" ca="1" si="359"/>
        <v>0</v>
      </c>
      <c r="T419" s="57">
        <f t="shared" ca="1" si="359"/>
        <v>0</v>
      </c>
    </row>
    <row r="420" spans="2:20" ht="13.5" customHeight="1" outlineLevel="1">
      <c r="B420" s="84" t="str">
        <f t="shared" si="357"/>
        <v>Subordinated note</v>
      </c>
      <c r="K420" s="57">
        <f>K500</f>
        <v>0</v>
      </c>
      <c r="L420" s="57">
        <f t="shared" ref="L420:T420" ca="1" si="360">L500</f>
        <v>0</v>
      </c>
      <c r="M420" s="57">
        <f t="shared" ca="1" si="360"/>
        <v>0</v>
      </c>
      <c r="N420" s="57">
        <f t="shared" ca="1" si="360"/>
        <v>0</v>
      </c>
      <c r="O420" s="57">
        <f t="shared" ca="1" si="360"/>
        <v>0</v>
      </c>
      <c r="P420" s="57">
        <f t="shared" ca="1" si="360"/>
        <v>-50</v>
      </c>
      <c r="Q420" s="57">
        <f t="shared" ca="1" si="360"/>
        <v>0</v>
      </c>
      <c r="R420" s="57">
        <f t="shared" ca="1" si="360"/>
        <v>0</v>
      </c>
      <c r="S420" s="57">
        <f t="shared" ca="1" si="360"/>
        <v>0</v>
      </c>
      <c r="T420" s="57">
        <f t="shared" ca="1" si="360"/>
        <v>0</v>
      </c>
    </row>
    <row r="421" spans="2:20" ht="13.5" customHeight="1" outlineLevel="1">
      <c r="B421" s="84" t="str">
        <f t="shared" si="357"/>
        <v>Mezzanine</v>
      </c>
      <c r="K421" s="57">
        <f>K509</f>
        <v>0</v>
      </c>
      <c r="L421" s="57">
        <f t="shared" ref="L421:T421" ca="1" si="361">L509</f>
        <v>0</v>
      </c>
      <c r="M421" s="57">
        <f t="shared" ca="1" si="361"/>
        <v>0</v>
      </c>
      <c r="N421" s="57">
        <f t="shared" ca="1" si="361"/>
        <v>0</v>
      </c>
      <c r="O421" s="57">
        <f t="shared" ca="1" si="361"/>
        <v>0</v>
      </c>
      <c r="P421" s="57">
        <f t="shared" ca="1" si="361"/>
        <v>0</v>
      </c>
      <c r="Q421" s="57">
        <f t="shared" ca="1" si="361"/>
        <v>0</v>
      </c>
      <c r="R421" s="57">
        <f t="shared" ca="1" si="361"/>
        <v>0</v>
      </c>
      <c r="S421" s="57">
        <f t="shared" ca="1" si="361"/>
        <v>0</v>
      </c>
      <c r="T421" s="57">
        <f t="shared" ca="1" si="361"/>
        <v>0</v>
      </c>
    </row>
    <row r="422" spans="2:20" ht="13.5" customHeight="1" outlineLevel="1">
      <c r="B422" s="84" t="str">
        <f t="shared" si="357"/>
        <v>Seller note</v>
      </c>
      <c r="K422" s="57">
        <f>K518</f>
        <v>0</v>
      </c>
      <c r="L422" s="57">
        <f t="shared" ref="L422:T422" ca="1" si="362">L518</f>
        <v>0</v>
      </c>
      <c r="M422" s="57">
        <f t="shared" ca="1" si="362"/>
        <v>0</v>
      </c>
      <c r="N422" s="57">
        <f t="shared" ca="1" si="362"/>
        <v>0</v>
      </c>
      <c r="O422" s="57">
        <f t="shared" ca="1" si="362"/>
        <v>0</v>
      </c>
      <c r="P422" s="57">
        <f t="shared" ca="1" si="362"/>
        <v>0</v>
      </c>
      <c r="Q422" s="57">
        <f t="shared" ca="1" si="362"/>
        <v>0</v>
      </c>
      <c r="R422" s="57">
        <f t="shared" ca="1" si="362"/>
        <v>0</v>
      </c>
      <c r="S422" s="57">
        <f t="shared" ca="1" si="362"/>
        <v>0</v>
      </c>
      <c r="T422" s="57">
        <f t="shared" ca="1" si="362"/>
        <v>0</v>
      </c>
    </row>
    <row r="423" spans="2:20" ht="13.5" customHeight="1" outlineLevel="1">
      <c r="B423" s="84" t="str">
        <f t="shared" si="357"/>
        <v>Convertible bond</v>
      </c>
      <c r="K423" s="57">
        <f>K527</f>
        <v>0</v>
      </c>
      <c r="L423" s="57">
        <f t="shared" ref="L423:T423" ca="1" si="363">L527</f>
        <v>0</v>
      </c>
      <c r="M423" s="57">
        <f t="shared" ca="1" si="363"/>
        <v>0</v>
      </c>
      <c r="N423" s="57">
        <f t="shared" ca="1" si="363"/>
        <v>0</v>
      </c>
      <c r="O423" s="57">
        <f t="shared" ca="1" si="363"/>
        <v>0</v>
      </c>
      <c r="P423" s="57">
        <f t="shared" ca="1" si="363"/>
        <v>0</v>
      </c>
      <c r="Q423" s="57">
        <f t="shared" ca="1" si="363"/>
        <v>0</v>
      </c>
      <c r="R423" s="57">
        <f t="shared" ca="1" si="363"/>
        <v>0</v>
      </c>
      <c r="S423" s="57">
        <f t="shared" ca="1" si="363"/>
        <v>0</v>
      </c>
      <c r="T423" s="57">
        <f t="shared" ca="1" si="363"/>
        <v>0</v>
      </c>
    </row>
    <row r="424" spans="2:20" ht="13.5" customHeight="1" outlineLevel="1">
      <c r="B424" s="84" t="str">
        <f t="shared" si="357"/>
        <v>[Debt 8]</v>
      </c>
      <c r="K424" s="57">
        <f>K536</f>
        <v>0</v>
      </c>
      <c r="L424" s="57">
        <f t="shared" ref="L424:T424" ca="1" si="364">L536</f>
        <v>0</v>
      </c>
      <c r="M424" s="57">
        <f t="shared" ca="1" si="364"/>
        <v>0</v>
      </c>
      <c r="N424" s="57">
        <f t="shared" ca="1" si="364"/>
        <v>0</v>
      </c>
      <c r="O424" s="57">
        <f t="shared" ca="1" si="364"/>
        <v>0</v>
      </c>
      <c r="P424" s="57">
        <f t="shared" ca="1" si="364"/>
        <v>0</v>
      </c>
      <c r="Q424" s="57">
        <f t="shared" ca="1" si="364"/>
        <v>0</v>
      </c>
      <c r="R424" s="57">
        <f t="shared" ca="1" si="364"/>
        <v>0</v>
      </c>
      <c r="S424" s="57">
        <f t="shared" ca="1" si="364"/>
        <v>0</v>
      </c>
      <c r="T424" s="57">
        <f t="shared" ca="1" si="364"/>
        <v>0</v>
      </c>
    </row>
    <row r="425" spans="2:20" ht="13.5" customHeight="1" outlineLevel="1">
      <c r="B425" s="84" t="str">
        <f t="shared" si="357"/>
        <v>Preferred stock - A</v>
      </c>
      <c r="K425" s="57">
        <f>K545</f>
        <v>0</v>
      </c>
      <c r="L425" s="57">
        <f t="shared" ref="L425:T425" ca="1" si="365">L545</f>
        <v>0</v>
      </c>
      <c r="M425" s="57">
        <f t="shared" ca="1" si="365"/>
        <v>0</v>
      </c>
      <c r="N425" s="57">
        <f t="shared" ca="1" si="365"/>
        <v>0</v>
      </c>
      <c r="O425" s="57">
        <f t="shared" ca="1" si="365"/>
        <v>0</v>
      </c>
      <c r="P425" s="57">
        <f t="shared" ca="1" si="365"/>
        <v>0</v>
      </c>
      <c r="Q425" s="57">
        <f t="shared" ca="1" si="365"/>
        <v>0</v>
      </c>
      <c r="R425" s="57">
        <f t="shared" ca="1" si="365"/>
        <v>0</v>
      </c>
      <c r="S425" s="57">
        <f t="shared" ca="1" si="365"/>
        <v>0</v>
      </c>
      <c r="T425" s="57">
        <f t="shared" ca="1" si="365"/>
        <v>0</v>
      </c>
    </row>
    <row r="426" spans="2:20" ht="13.5" customHeight="1" outlineLevel="1">
      <c r="B426" s="84" t="str">
        <f t="shared" si="357"/>
        <v>Preferred stock - B</v>
      </c>
      <c r="K426" s="57">
        <f>K554</f>
        <v>0</v>
      </c>
      <c r="L426" s="57">
        <f t="shared" ref="L426:T426" ca="1" si="366">L554</f>
        <v>0</v>
      </c>
      <c r="M426" s="57">
        <f t="shared" ca="1" si="366"/>
        <v>0</v>
      </c>
      <c r="N426" s="57">
        <f t="shared" ca="1" si="366"/>
        <v>0</v>
      </c>
      <c r="O426" s="57">
        <f t="shared" ca="1" si="366"/>
        <v>0</v>
      </c>
      <c r="P426" s="57">
        <f t="shared" ca="1" si="366"/>
        <v>0</v>
      </c>
      <c r="Q426" s="57">
        <f t="shared" ca="1" si="366"/>
        <v>0</v>
      </c>
      <c r="R426" s="57">
        <f t="shared" ca="1" si="366"/>
        <v>0</v>
      </c>
      <c r="S426" s="57">
        <f t="shared" ca="1" si="366"/>
        <v>0</v>
      </c>
      <c r="T426" s="57">
        <f t="shared" ca="1" si="366"/>
        <v>0</v>
      </c>
    </row>
    <row r="427" spans="2:20" ht="13.5" customHeight="1" outlineLevel="1">
      <c r="B427" s="52" t="s">
        <v>522</v>
      </c>
      <c r="C427" s="52"/>
      <c r="D427" s="52"/>
      <c r="E427" s="52"/>
      <c r="F427" s="52"/>
      <c r="G427" s="113"/>
      <c r="H427" s="83"/>
      <c r="I427" s="83"/>
      <c r="J427" s="83"/>
      <c r="K427" s="83">
        <f ca="1">SUM(K417:OFFSET(K427,-1,0))</f>
        <v>-10</v>
      </c>
      <c r="L427" s="83">
        <f ca="1">SUM(L417:OFFSET(L427,-1,0))</f>
        <v>0</v>
      </c>
      <c r="M427" s="83">
        <f ca="1">SUM(M417:OFFSET(M427,-1,0))</f>
        <v>0</v>
      </c>
      <c r="N427" s="83">
        <f ca="1">SUM(N417:OFFSET(N427,-1,0))</f>
        <v>0</v>
      </c>
      <c r="O427" s="83">
        <f ca="1">SUM(O417:OFFSET(O427,-1,0))</f>
        <v>0</v>
      </c>
      <c r="P427" s="83">
        <f ca="1">SUM(P417:OFFSET(P427,-1,0))</f>
        <v>-50</v>
      </c>
      <c r="Q427" s="83">
        <f ca="1">SUM(Q417:OFFSET(Q427,-1,0))</f>
        <v>0</v>
      </c>
      <c r="R427" s="83">
        <f ca="1">SUM(R417:OFFSET(R427,-1,0))</f>
        <v>-100</v>
      </c>
      <c r="S427" s="83">
        <f ca="1">SUM(S417:OFFSET(S427,-1,0))</f>
        <v>0</v>
      </c>
      <c r="T427" s="83">
        <f ca="1">SUM(T417:OFFSET(T427,-1,0))</f>
        <v>0</v>
      </c>
    </row>
    <row r="428" spans="2:20" ht="13.5" customHeight="1" outlineLevel="1">
      <c r="B428" s="95" t="s">
        <v>523</v>
      </c>
      <c r="C428" s="95"/>
      <c r="D428" s="95"/>
      <c r="E428" s="95"/>
      <c r="F428" s="96"/>
      <c r="G428" s="253"/>
      <c r="H428" s="253"/>
      <c r="I428" s="253"/>
      <c r="J428" s="253"/>
      <c r="K428" s="253">
        <f ca="1">K416+K427</f>
        <v>56.101010390226762</v>
      </c>
      <c r="L428" s="253">
        <f t="shared" ref="L428:T428" ca="1" si="367">L416+L427</f>
        <v>97.916110282442801</v>
      </c>
      <c r="M428" s="253">
        <f t="shared" ca="1" si="367"/>
        <v>184.95429548790386</v>
      </c>
      <c r="N428" s="253">
        <f t="shared" ca="1" si="367"/>
        <v>277.61887958203016</v>
      </c>
      <c r="O428" s="253">
        <f t="shared" ca="1" si="367"/>
        <v>376.27146843245453</v>
      </c>
      <c r="P428" s="253">
        <f t="shared" ca="1" si="367"/>
        <v>423.72953436959392</v>
      </c>
      <c r="Q428" s="253">
        <f t="shared" ca="1" si="367"/>
        <v>531.08401980858571</v>
      </c>
      <c r="R428" s="253">
        <f t="shared" ca="1" si="367"/>
        <v>545.0356497639907</v>
      </c>
      <c r="S428" s="253">
        <f t="shared" ca="1" si="367"/>
        <v>673.76530438601367</v>
      </c>
      <c r="T428" s="253">
        <f t="shared" ca="1" si="367"/>
        <v>810.89964514382768</v>
      </c>
    </row>
    <row r="429" spans="2:20" ht="13.5" customHeight="1" outlineLevel="1">
      <c r="K429" s="252"/>
      <c r="L429" s="252"/>
      <c r="M429" s="252"/>
      <c r="N429" s="252"/>
      <c r="O429" s="252"/>
      <c r="P429" s="252"/>
      <c r="Q429" s="252"/>
      <c r="R429" s="252"/>
      <c r="S429" s="252"/>
      <c r="T429" s="252"/>
    </row>
    <row r="430" spans="2:20" ht="13.5" customHeight="1" outlineLevel="1">
      <c r="B430" s="142" t="s">
        <v>157</v>
      </c>
      <c r="I430" s="239" t="s">
        <v>359</v>
      </c>
      <c r="K430" s="252"/>
      <c r="L430" s="252"/>
      <c r="M430" s="252"/>
      <c r="N430" s="252"/>
      <c r="O430" s="252"/>
      <c r="P430" s="252"/>
      <c r="Q430" s="252"/>
      <c r="R430" s="252"/>
      <c r="S430" s="252"/>
      <c r="T430" s="252"/>
    </row>
    <row r="431" spans="2:20" ht="13.5" customHeight="1" outlineLevel="1">
      <c r="B431" s="38" t="s">
        <v>23</v>
      </c>
      <c r="I431" s="192">
        <f>S880</f>
        <v>1</v>
      </c>
      <c r="K431" s="105">
        <f ca="1">-MAX(0,MIN(K448,SUM(K$428:K430),$J451*$I431))</f>
        <v>0</v>
      </c>
      <c r="L431" s="105">
        <f ca="1">-MAX(0,MIN(L448,SUM(L$428:L430),$J451*$I431))</f>
        <v>0</v>
      </c>
      <c r="M431" s="105">
        <f ca="1">-MAX(0,MIN(M448,SUM(M$428:M430),$J451*$I431))</f>
        <v>0</v>
      </c>
      <c r="N431" s="105">
        <f ca="1">-MAX(0,MIN(N448,SUM(N$428:N430),$J451*$I431))</f>
        <v>0</v>
      </c>
      <c r="O431" s="105">
        <f ca="1">-MAX(0,MIN(O448,SUM(O$428:O430),$J451*$I431))</f>
        <v>0</v>
      </c>
      <c r="P431" s="105">
        <f ca="1">-MAX(0,MIN(P448,SUM(P$428:P430),$J451*$I431))</f>
        <v>0</v>
      </c>
      <c r="Q431" s="105">
        <f ca="1">-MAX(0,MIN(Q448,SUM(Q$428:Q430),$J451*$I431))</f>
        <v>0</v>
      </c>
      <c r="R431" s="105">
        <f ca="1">-MAX(0,MIN(R448,SUM(R$428:R430),$J451*$I431))</f>
        <v>0</v>
      </c>
      <c r="S431" s="105">
        <f ca="1">-MAX(0,MIN(S448,SUM(S$428:S430),$J451*$I431))</f>
        <v>0</v>
      </c>
      <c r="T431" s="105">
        <f ca="1">-MAX(0,MIN(T448,SUM(T$428:T430),$J451*$I431))</f>
        <v>0</v>
      </c>
    </row>
    <row r="432" spans="2:20" ht="13.5" customHeight="1" outlineLevel="1">
      <c r="B432" s="38" t="str">
        <f>B870</f>
        <v>Legacy debt</v>
      </c>
      <c r="I432" s="192">
        <f>S879</f>
        <v>0</v>
      </c>
      <c r="K432" s="57">
        <f ca="1">-MAX(0,MIN(SUM(K463:K464),SUM(K$428:K431),$J466*$I432))</f>
        <v>0</v>
      </c>
      <c r="L432" s="57">
        <f ca="1">-MAX(0,MIN(SUM(L463:L464),SUM(L$428:L431),$J466*$I432))</f>
        <v>0</v>
      </c>
      <c r="M432" s="57">
        <f ca="1">-MAX(0,MIN(SUM(M463:M464),SUM(M$428:M431),$J466*$I432))</f>
        <v>0</v>
      </c>
      <c r="N432" s="57">
        <f ca="1">-MAX(0,MIN(SUM(N463:N464),SUM(N$428:N431),$J466*$I432))</f>
        <v>0</v>
      </c>
      <c r="O432" s="57">
        <f ca="1">-MAX(0,MIN(SUM(O463:O464),SUM(O$428:O431),$J466*$I432))</f>
        <v>0</v>
      </c>
      <c r="P432" s="57">
        <f ca="1">-MAX(0,MIN(SUM(P463:P464),SUM(P$428:P431),$J466*$I432))</f>
        <v>0</v>
      </c>
      <c r="Q432" s="57">
        <f ca="1">-MAX(0,MIN(SUM(Q463:Q464),SUM(Q$428:Q431),$J466*$I432))</f>
        <v>0</v>
      </c>
      <c r="R432" s="57">
        <f ca="1">-MAX(0,MIN(SUM(R463:R464),SUM(R$428:R431),$J466*$I432))</f>
        <v>0</v>
      </c>
      <c r="S432" s="57">
        <f ca="1">-MAX(0,MIN(SUM(S463:S464),SUM(S$428:S431),$J466*$I432))</f>
        <v>0</v>
      </c>
      <c r="T432" s="57">
        <f ca="1">-MAX(0,MIN(SUM(T463:T464),SUM(T$428:T431),$J466*$I432))</f>
        <v>0</v>
      </c>
    </row>
    <row r="433" spans="2:20" ht="13.5" customHeight="1" outlineLevel="1">
      <c r="B433" s="38" t="str">
        <f>B835</f>
        <v>Term loan - A</v>
      </c>
      <c r="I433" s="192">
        <f t="shared" ref="I433:I442" si="368">S881</f>
        <v>1</v>
      </c>
      <c r="K433" s="57">
        <f ca="1">-MAX(0,MIN(SUM(K472:K473),SUM(K$428:K432),$J475*$I433))</f>
        <v>-40</v>
      </c>
      <c r="L433" s="57">
        <f ca="1">-MAX(0,MIN(SUM(L472:L473),SUM(L$428:L432),$J475*$I433))</f>
        <v>0</v>
      </c>
      <c r="M433" s="57">
        <f ca="1">-MAX(0,MIN(SUM(M472:M473),SUM(M$428:M432),$J475*$I433))</f>
        <v>0</v>
      </c>
      <c r="N433" s="57">
        <f ca="1">-MAX(0,MIN(SUM(N472:N473),SUM(N$428:N432),$J475*$I433))</f>
        <v>0</v>
      </c>
      <c r="O433" s="57">
        <f ca="1">-MAX(0,MIN(SUM(O472:O473),SUM(O$428:O432),$J475*$I433))</f>
        <v>0</v>
      </c>
      <c r="P433" s="57">
        <f ca="1">-MAX(0,MIN(SUM(P472:P473),SUM(P$428:P432),$J475*$I433))</f>
        <v>0</v>
      </c>
      <c r="Q433" s="57">
        <f ca="1">-MAX(0,MIN(SUM(Q472:Q473),SUM(Q$428:Q432),$J475*$I433))</f>
        <v>0</v>
      </c>
      <c r="R433" s="57">
        <f ca="1">-MAX(0,MIN(SUM(R472:R473),SUM(R$428:R432),$J475*$I433))</f>
        <v>0</v>
      </c>
      <c r="S433" s="57">
        <f ca="1">-MAX(0,MIN(SUM(S472:S473),SUM(S$428:S432),$J475*$I433))</f>
        <v>0</v>
      </c>
      <c r="T433" s="57">
        <f ca="1">-MAX(0,MIN(SUM(T472:T473),SUM(T$428:T432),$J475*$I433))</f>
        <v>0</v>
      </c>
    </row>
    <row r="434" spans="2:20" ht="13.5" customHeight="1" outlineLevel="1">
      <c r="B434" s="38" t="str">
        <f t="shared" ref="B434:B441" si="369">B836</f>
        <v>Term loan - B</v>
      </c>
      <c r="I434" s="192">
        <f t="shared" si="368"/>
        <v>1</v>
      </c>
      <c r="K434" s="57">
        <f ca="1">-MAX(0,MIN(SUM(K481:K482),SUM(K$428:K433),$J484*$I434))</f>
        <v>0</v>
      </c>
      <c r="L434" s="57">
        <f ca="1">-MAX(0,MIN(SUM(L481:L482),SUM(L$428:L433),$J484*$I434))</f>
        <v>0</v>
      </c>
      <c r="M434" s="57">
        <f ca="1">-MAX(0,MIN(SUM(M481:M482),SUM(M$428:M433),$J484*$I434))</f>
        <v>0</v>
      </c>
      <c r="N434" s="57">
        <f ca="1">-MAX(0,MIN(SUM(N481:N482),SUM(N$428:N433),$J484*$I434))</f>
        <v>0</v>
      </c>
      <c r="O434" s="57">
        <f ca="1">-MAX(0,MIN(SUM(O481:O482),SUM(O$428:O433),$J484*$I434))</f>
        <v>0</v>
      </c>
      <c r="P434" s="57">
        <f ca="1">-MAX(0,MIN(SUM(P481:P482),SUM(P$428:P433),$J484*$I434))</f>
        <v>0</v>
      </c>
      <c r="Q434" s="57">
        <f ca="1">-MAX(0,MIN(SUM(Q481:Q482),SUM(Q$428:Q433),$J484*$I434))</f>
        <v>0</v>
      </c>
      <c r="R434" s="57">
        <f ca="1">-MAX(0,MIN(SUM(R481:R482),SUM(R$428:R433),$J484*$I434))</f>
        <v>0</v>
      </c>
      <c r="S434" s="57">
        <f ca="1">-MAX(0,MIN(SUM(S481:S482),SUM(S$428:S433),$J484*$I434))</f>
        <v>0</v>
      </c>
      <c r="T434" s="57">
        <f ca="1">-MAX(0,MIN(SUM(T481:T482),SUM(T$428:T433),$J484*$I434))</f>
        <v>0</v>
      </c>
    </row>
    <row r="435" spans="2:20" ht="13.5" customHeight="1" outlineLevel="1">
      <c r="B435" s="38" t="str">
        <f t="shared" si="369"/>
        <v>Senior note</v>
      </c>
      <c r="I435" s="192">
        <f t="shared" si="368"/>
        <v>0</v>
      </c>
      <c r="K435" s="57">
        <f ca="1">-MAX(0,MIN(SUM(K490:K491),SUM(K$428:K434),$J493*$I435))</f>
        <v>0</v>
      </c>
      <c r="L435" s="57">
        <f ca="1">-MAX(0,MIN(SUM(L490:L491),SUM(L$428:L434),$J493*$I435))</f>
        <v>0</v>
      </c>
      <c r="M435" s="57">
        <f ca="1">-MAX(0,MIN(SUM(M490:M491),SUM(M$428:M434),$J493*$I435))</f>
        <v>0</v>
      </c>
      <c r="N435" s="57">
        <f ca="1">-MAX(0,MIN(SUM(N490:N491),SUM(N$428:N434),$J493*$I435))</f>
        <v>0</v>
      </c>
      <c r="O435" s="57">
        <f ca="1">-MAX(0,MIN(SUM(O490:O491),SUM(O$428:O434),$J493*$I435))</f>
        <v>0</v>
      </c>
      <c r="P435" s="57">
        <f ca="1">-MAX(0,MIN(SUM(P490:P491),SUM(P$428:P434),$J493*$I435))</f>
        <v>0</v>
      </c>
      <c r="Q435" s="57">
        <f ca="1">-MAX(0,MIN(SUM(Q490:Q491),SUM(Q$428:Q434),$J493*$I435))</f>
        <v>0</v>
      </c>
      <c r="R435" s="57">
        <f ca="1">-MAX(0,MIN(SUM(R490:R491),SUM(R$428:R434),$J493*$I435))</f>
        <v>0</v>
      </c>
      <c r="S435" s="57">
        <f ca="1">-MAX(0,MIN(SUM(S490:S491),SUM(S$428:S434),$J493*$I435))</f>
        <v>0</v>
      </c>
      <c r="T435" s="57">
        <f ca="1">-MAX(0,MIN(SUM(T490:T491),SUM(T$428:T434),$J493*$I435))</f>
        <v>0</v>
      </c>
    </row>
    <row r="436" spans="2:20" ht="13.5" customHeight="1" outlineLevel="1">
      <c r="B436" s="38" t="str">
        <f t="shared" si="369"/>
        <v>Subordinated note</v>
      </c>
      <c r="I436" s="192">
        <f t="shared" si="368"/>
        <v>0</v>
      </c>
      <c r="K436" s="57">
        <f ca="1">-MAX(0,MIN(SUM(K499:K500),SUM(K$428:K435),$J502*$I436))</f>
        <v>0</v>
      </c>
      <c r="L436" s="57">
        <f ca="1">-MAX(0,MIN(SUM(L499:L500),SUM(L$428:L435),$J502*$I436))</f>
        <v>0</v>
      </c>
      <c r="M436" s="57">
        <f ca="1">-MAX(0,MIN(SUM(M499:M500),SUM(M$428:M435),$J502*$I436))</f>
        <v>0</v>
      </c>
      <c r="N436" s="57">
        <f ca="1">-MAX(0,MIN(SUM(N499:N500),SUM(N$428:N435),$J502*$I436))</f>
        <v>0</v>
      </c>
      <c r="O436" s="57">
        <f ca="1">-MAX(0,MIN(SUM(O499:O500),SUM(O$428:O435),$J502*$I436))</f>
        <v>0</v>
      </c>
      <c r="P436" s="57">
        <f ca="1">-MAX(0,MIN(SUM(P499:P500),SUM(P$428:P435),$J502*$I436))</f>
        <v>0</v>
      </c>
      <c r="Q436" s="57">
        <f ca="1">-MAX(0,MIN(SUM(Q499:Q500),SUM(Q$428:Q435),$J502*$I436))</f>
        <v>0</v>
      </c>
      <c r="R436" s="57">
        <f ca="1">-MAX(0,MIN(SUM(R499:R500),SUM(R$428:R435),$J502*$I436))</f>
        <v>0</v>
      </c>
      <c r="S436" s="57">
        <f ca="1">-MAX(0,MIN(SUM(S499:S500),SUM(S$428:S435),$J502*$I436))</f>
        <v>0</v>
      </c>
      <c r="T436" s="57">
        <f ca="1">-MAX(0,MIN(SUM(T499:T500),SUM(T$428:T435),$J502*$I436))</f>
        <v>0</v>
      </c>
    </row>
    <row r="437" spans="2:20" ht="13.5" customHeight="1" outlineLevel="1">
      <c r="B437" s="38" t="str">
        <f t="shared" si="369"/>
        <v>Mezzanine</v>
      </c>
      <c r="I437" s="192">
        <f t="shared" si="368"/>
        <v>0</v>
      </c>
      <c r="K437" s="57">
        <f ca="1">-MAX(0,MIN(SUM(K508:K509),SUM(K$428:K436),$J511*$I437))</f>
        <v>0</v>
      </c>
      <c r="L437" s="57">
        <f ca="1">-MAX(0,MIN(SUM(L508:L509),SUM(L$428:L436),$J511*$I437))</f>
        <v>0</v>
      </c>
      <c r="M437" s="57">
        <f ca="1">-MAX(0,MIN(SUM(M508:M509),SUM(M$428:M436),$J511*$I437))</f>
        <v>0</v>
      </c>
      <c r="N437" s="57">
        <f ca="1">-MAX(0,MIN(SUM(N508:N509),SUM(N$428:N436),$J511*$I437))</f>
        <v>0</v>
      </c>
      <c r="O437" s="57">
        <f ca="1">-MAX(0,MIN(SUM(O508:O509),SUM(O$428:O436),$J511*$I437))</f>
        <v>0</v>
      </c>
      <c r="P437" s="57">
        <f ca="1">-MAX(0,MIN(SUM(P508:P509),SUM(P$428:P436),$J511*$I437))</f>
        <v>0</v>
      </c>
      <c r="Q437" s="57">
        <f ca="1">-MAX(0,MIN(SUM(Q508:Q509),SUM(Q$428:Q436),$J511*$I437))</f>
        <v>0</v>
      </c>
      <c r="R437" s="57">
        <f ca="1">-MAX(0,MIN(SUM(R508:R509),SUM(R$428:R436),$J511*$I437))</f>
        <v>0</v>
      </c>
      <c r="S437" s="57">
        <f ca="1">-MAX(0,MIN(SUM(S508:S509),SUM(S$428:S436),$J511*$I437))</f>
        <v>0</v>
      </c>
      <c r="T437" s="57">
        <f ca="1">-MAX(0,MIN(SUM(T508:T509),SUM(T$428:T436),$J511*$I437))</f>
        <v>0</v>
      </c>
    </row>
    <row r="438" spans="2:20" ht="13.5" customHeight="1" outlineLevel="1">
      <c r="B438" s="38" t="str">
        <f t="shared" si="369"/>
        <v>Seller note</v>
      </c>
      <c r="I438" s="192">
        <f t="shared" si="368"/>
        <v>0</v>
      </c>
      <c r="K438" s="57">
        <f ca="1">-MAX(0,MIN(SUM(K517:K518),SUM(K$428:K437),$J520*$I438))</f>
        <v>0</v>
      </c>
      <c r="L438" s="57">
        <f ca="1">-MAX(0,MIN(SUM(L517:L518),SUM(L$428:L437),$J520*$I438))</f>
        <v>0</v>
      </c>
      <c r="M438" s="57">
        <f ca="1">-MAX(0,MIN(SUM(M517:M518),SUM(M$428:M437),$J520*$I438))</f>
        <v>0</v>
      </c>
      <c r="N438" s="57">
        <f ca="1">-MAX(0,MIN(SUM(N517:N518),SUM(N$428:N437),$J520*$I438))</f>
        <v>0</v>
      </c>
      <c r="O438" s="57">
        <f ca="1">-MAX(0,MIN(SUM(O517:O518),SUM(O$428:O437),$J520*$I438))</f>
        <v>0</v>
      </c>
      <c r="P438" s="57">
        <f ca="1">-MAX(0,MIN(SUM(P517:P518),SUM(P$428:P437),$J520*$I438))</f>
        <v>0</v>
      </c>
      <c r="Q438" s="57">
        <f ca="1">-MAX(0,MIN(SUM(Q517:Q518),SUM(Q$428:Q437),$J520*$I438))</f>
        <v>0</v>
      </c>
      <c r="R438" s="57">
        <f ca="1">-MAX(0,MIN(SUM(R517:R518),SUM(R$428:R437),$J520*$I438))</f>
        <v>0</v>
      </c>
      <c r="S438" s="57">
        <f ca="1">-MAX(0,MIN(SUM(S517:S518),SUM(S$428:S437),$J520*$I438))</f>
        <v>0</v>
      </c>
      <c r="T438" s="57">
        <f ca="1">-MAX(0,MIN(SUM(T517:T518),SUM(T$428:T437),$J520*$I438))</f>
        <v>0</v>
      </c>
    </row>
    <row r="439" spans="2:20" ht="13.5" customHeight="1" outlineLevel="1">
      <c r="B439" s="38" t="str">
        <f t="shared" si="369"/>
        <v>Convertible bond</v>
      </c>
      <c r="I439" s="192">
        <f t="shared" si="368"/>
        <v>0</v>
      </c>
      <c r="K439" s="57">
        <f ca="1">-MAX(0,MIN(SUM(K526:K527),SUM(K$428:K438),$J529*$I439))</f>
        <v>0</v>
      </c>
      <c r="L439" s="57">
        <f ca="1">-MAX(0,MIN(SUM(L526:L527),SUM(L$428:L438),$J529*$I439))</f>
        <v>0</v>
      </c>
      <c r="M439" s="57">
        <f ca="1">-MAX(0,MIN(SUM(M526:M527),SUM(M$428:M438),$J529*$I439))</f>
        <v>0</v>
      </c>
      <c r="N439" s="57">
        <f ca="1">-MAX(0,MIN(SUM(N526:N527),SUM(N$428:N438),$J529*$I439))</f>
        <v>0</v>
      </c>
      <c r="O439" s="57">
        <f ca="1">-MAX(0,MIN(SUM(O526:O527),SUM(O$428:O438),$J529*$I439))</f>
        <v>0</v>
      </c>
      <c r="P439" s="57">
        <f ca="1">-MAX(0,MIN(SUM(P526:P527),SUM(P$428:P438),$J529*$I439))</f>
        <v>0</v>
      </c>
      <c r="Q439" s="57">
        <f ca="1">-MAX(0,MIN(SUM(Q526:Q527),SUM(Q$428:Q438),$J529*$I439))</f>
        <v>0</v>
      </c>
      <c r="R439" s="57">
        <f ca="1">-MAX(0,MIN(SUM(R526:R527),SUM(R$428:R438),$J529*$I439))</f>
        <v>0</v>
      </c>
      <c r="S439" s="57">
        <f ca="1">-MAX(0,MIN(SUM(S526:S527),SUM(S$428:S438),$J529*$I439))</f>
        <v>0</v>
      </c>
      <c r="T439" s="57">
        <f ca="1">-MAX(0,MIN(SUM(T526:T527),SUM(T$428:T438),$J529*$I439))</f>
        <v>0</v>
      </c>
    </row>
    <row r="440" spans="2:20" ht="13.5" customHeight="1" outlineLevel="1">
      <c r="B440" s="38" t="str">
        <f t="shared" si="369"/>
        <v>[Debt 8]</v>
      </c>
      <c r="I440" s="192">
        <f t="shared" si="368"/>
        <v>0</v>
      </c>
      <c r="K440" s="57">
        <f ca="1">-MAX(0,MIN(SUM(K535:K536),SUM(K$428:K439),$J538*$I440))</f>
        <v>0</v>
      </c>
      <c r="L440" s="57">
        <f ca="1">-MAX(0,MIN(SUM(L535:L536),SUM(L$428:L439),$J538*$I440))</f>
        <v>0</v>
      </c>
      <c r="M440" s="57">
        <f ca="1">-MAX(0,MIN(SUM(M535:M536),SUM(M$428:M439),$J538*$I440))</f>
        <v>0</v>
      </c>
      <c r="N440" s="57">
        <f ca="1">-MAX(0,MIN(SUM(N535:N536),SUM(N$428:N439),$J538*$I440))</f>
        <v>0</v>
      </c>
      <c r="O440" s="57">
        <f ca="1">-MAX(0,MIN(SUM(O535:O536),SUM(O$428:O439),$J538*$I440))</f>
        <v>0</v>
      </c>
      <c r="P440" s="57">
        <f ca="1">-MAX(0,MIN(SUM(P535:P536),SUM(P$428:P439),$J538*$I440))</f>
        <v>0</v>
      </c>
      <c r="Q440" s="57">
        <f ca="1">-MAX(0,MIN(SUM(Q535:Q536),SUM(Q$428:Q439),$J538*$I440))</f>
        <v>0</v>
      </c>
      <c r="R440" s="57">
        <f ca="1">-MAX(0,MIN(SUM(R535:R536),SUM(R$428:R439),$J538*$I440))</f>
        <v>0</v>
      </c>
      <c r="S440" s="57">
        <f ca="1">-MAX(0,MIN(SUM(S535:S536),SUM(S$428:S439),$J538*$I440))</f>
        <v>0</v>
      </c>
      <c r="T440" s="57">
        <f ca="1">-MAX(0,MIN(SUM(T535:T536),SUM(T$428:T439),$J538*$I440))</f>
        <v>0</v>
      </c>
    </row>
    <row r="441" spans="2:20" ht="13.5" customHeight="1" outlineLevel="1">
      <c r="B441" s="38" t="str">
        <f t="shared" si="369"/>
        <v>Preferred stock - A</v>
      </c>
      <c r="I441" s="192">
        <f t="shared" si="368"/>
        <v>0</v>
      </c>
      <c r="K441" s="57">
        <f ca="1">-MAX(0,MIN(SUM(K544:K545),SUM(K$428:K440),$J547*$I441))</f>
        <v>0</v>
      </c>
      <c r="L441" s="57">
        <f ca="1">-MAX(0,MIN(SUM(L544:L545),SUM(L$428:L440),$J547*$I441))</f>
        <v>0</v>
      </c>
      <c r="M441" s="57">
        <f ca="1">-MAX(0,MIN(SUM(M544:M545),SUM(M$428:M440),$J547*$I441))</f>
        <v>0</v>
      </c>
      <c r="N441" s="57">
        <f ca="1">-MAX(0,MIN(SUM(N544:N545),SUM(N$428:N440),$J547*$I441))</f>
        <v>0</v>
      </c>
      <c r="O441" s="57">
        <f ca="1">-MAX(0,MIN(SUM(O544:O545),SUM(O$428:O440),$J547*$I441))</f>
        <v>0</v>
      </c>
      <c r="P441" s="57">
        <f ca="1">-MAX(0,MIN(SUM(P544:P545),SUM(P$428:P440),$J547*$I441))</f>
        <v>0</v>
      </c>
      <c r="Q441" s="57">
        <f ca="1">-MAX(0,MIN(SUM(Q544:Q545),SUM(Q$428:Q440),$J547*$I441))</f>
        <v>0</v>
      </c>
      <c r="R441" s="57">
        <f ca="1">-MAX(0,MIN(SUM(R544:R545),SUM(R$428:R440),$J547*$I441))</f>
        <v>0</v>
      </c>
      <c r="S441" s="57">
        <f ca="1">-MAX(0,MIN(SUM(S544:S545),SUM(S$428:S440),$J547*$I441))</f>
        <v>0</v>
      </c>
      <c r="T441" s="57">
        <f ca="1">-MAX(0,MIN(SUM(T544:T545),SUM(T$428:T440),$J547*$I441))</f>
        <v>0</v>
      </c>
    </row>
    <row r="442" spans="2:20" ht="13.5" customHeight="1" outlineLevel="1">
      <c r="B442" s="38" t="str">
        <f>B844</f>
        <v>Preferred stock - B</v>
      </c>
      <c r="I442" s="192">
        <f t="shared" si="368"/>
        <v>0</v>
      </c>
      <c r="K442" s="57">
        <f ca="1">-MAX(0,MIN(SUM(K553:K554),SUM(K$428:K441),$J556*$I442))</f>
        <v>0</v>
      </c>
      <c r="L442" s="57">
        <f ca="1">-MAX(0,MIN(SUM(L553:L554),SUM(L$428:L441),$J556*$I442))</f>
        <v>0</v>
      </c>
      <c r="M442" s="57">
        <f ca="1">-MAX(0,MIN(SUM(M553:M554),SUM(M$428:M441),$J556*$I442))</f>
        <v>0</v>
      </c>
      <c r="N442" s="57">
        <f ca="1">-MAX(0,MIN(SUM(N553:N554),SUM(N$428:N441),$J556*$I442))</f>
        <v>0</v>
      </c>
      <c r="O442" s="57">
        <f ca="1">-MAX(0,MIN(SUM(O553:O554),SUM(O$428:O441),$J556*$I442))</f>
        <v>0</v>
      </c>
      <c r="P442" s="57">
        <f ca="1">-MAX(0,MIN(SUM(P553:P554),SUM(P$428:P441),$J556*$I442))</f>
        <v>0</v>
      </c>
      <c r="Q442" s="57">
        <f ca="1">-MAX(0,MIN(SUM(Q553:Q554),SUM(Q$428:Q441),$J556*$I442))</f>
        <v>0</v>
      </c>
      <c r="R442" s="57">
        <f ca="1">-MAX(0,MIN(SUM(R553:R554),SUM(R$428:R441),$J556*$I442))</f>
        <v>0</v>
      </c>
      <c r="S442" s="57">
        <f ca="1">-MAX(0,MIN(SUM(S553:S554),SUM(S$428:S441),$J556*$I442))</f>
        <v>0</v>
      </c>
      <c r="T442" s="57">
        <f ca="1">-MAX(0,MIN(SUM(T553:T554),SUM(T$428:T441),$J556*$I442))</f>
        <v>0</v>
      </c>
    </row>
    <row r="443" spans="2:20" ht="13.5" customHeight="1" outlineLevel="1">
      <c r="B443" s="52" t="s">
        <v>191</v>
      </c>
      <c r="C443" s="52"/>
      <c r="D443" s="52"/>
      <c r="E443" s="52"/>
      <c r="F443" s="52"/>
      <c r="G443" s="254"/>
      <c r="H443" s="113"/>
      <c r="I443" s="113"/>
      <c r="J443" s="113"/>
      <c r="K443" s="113">
        <f ca="1">SUM(K431:OFFSET(K443,-1,0))</f>
        <v>-40</v>
      </c>
      <c r="L443" s="113">
        <f ca="1">SUM(L431:OFFSET(L443,-1,0))</f>
        <v>0</v>
      </c>
      <c r="M443" s="113">
        <f ca="1">SUM(M431:OFFSET(M443,-1,0))</f>
        <v>0</v>
      </c>
      <c r="N443" s="113">
        <f ca="1">SUM(N431:OFFSET(N443,-1,0))</f>
        <v>0</v>
      </c>
      <c r="O443" s="113">
        <f ca="1">SUM(O431:OFFSET(O443,-1,0))</f>
        <v>0</v>
      </c>
      <c r="P443" s="113">
        <f ca="1">SUM(P431:OFFSET(P443,-1,0))</f>
        <v>0</v>
      </c>
      <c r="Q443" s="113">
        <f ca="1">SUM(Q431:OFFSET(Q443,-1,0))</f>
        <v>0</v>
      </c>
      <c r="R443" s="113">
        <f ca="1">SUM(R431:OFFSET(R443,-1,0))</f>
        <v>0</v>
      </c>
      <c r="S443" s="113">
        <f ca="1">SUM(S431:OFFSET(S443,-1,0))</f>
        <v>0</v>
      </c>
      <c r="T443" s="113">
        <f ca="1">SUM(T431:OFFSET(T443,-1,0))</f>
        <v>0</v>
      </c>
    </row>
    <row r="444" spans="2:20" ht="13.5" customHeight="1" outlineLevel="1">
      <c r="K444" s="252"/>
      <c r="L444" s="252"/>
      <c r="M444" s="252"/>
      <c r="N444" s="252"/>
      <c r="O444" s="252"/>
      <c r="P444" s="252"/>
      <c r="Q444" s="252"/>
      <c r="R444" s="252"/>
      <c r="S444" s="252"/>
      <c r="T444" s="252"/>
    </row>
    <row r="445" spans="2:20" s="35" customFormat="1" ht="13.5" customHeight="1" outlineLevel="1">
      <c r="B445" s="46" t="s">
        <v>527</v>
      </c>
      <c r="C445" s="47"/>
      <c r="D445" s="47"/>
      <c r="E445" s="47"/>
      <c r="F445" s="47"/>
      <c r="G445" s="47"/>
      <c r="H445" s="47"/>
      <c r="I445" s="47"/>
      <c r="J445" s="47"/>
      <c r="K445" s="47"/>
      <c r="L445" s="47"/>
      <c r="M445" s="47"/>
      <c r="N445" s="47"/>
      <c r="O445" s="47"/>
      <c r="P445" s="47"/>
      <c r="Q445" s="47"/>
      <c r="R445" s="47"/>
      <c r="S445" s="47"/>
      <c r="T445" s="48"/>
    </row>
    <row r="446" spans="2:20" s="35" customFormat="1" ht="5.0999999999999996" customHeight="1" outlineLevel="1"/>
    <row r="447" spans="2:20" ht="13.5" customHeight="1" outlineLevel="1">
      <c r="B447" s="255" t="s">
        <v>23</v>
      </c>
      <c r="C447" s="256"/>
      <c r="D447" s="256"/>
      <c r="E447" s="256"/>
      <c r="F447" s="256"/>
      <c r="G447" s="256"/>
      <c r="H447" s="256"/>
      <c r="I447" s="256"/>
      <c r="J447" s="256"/>
      <c r="K447" s="257"/>
      <c r="L447" s="257"/>
      <c r="M447" s="257"/>
      <c r="N447" s="257"/>
      <c r="O447" s="257"/>
      <c r="P447" s="257"/>
      <c r="Q447" s="257"/>
      <c r="R447" s="257"/>
      <c r="S447" s="257"/>
      <c r="T447" s="257"/>
    </row>
    <row r="448" spans="2:20" ht="13.5" customHeight="1" outlineLevel="1">
      <c r="B448" s="214" t="s">
        <v>342</v>
      </c>
      <c r="C448" s="214"/>
      <c r="D448" s="214"/>
      <c r="E448" s="214"/>
      <c r="F448" s="214"/>
      <c r="G448" s="214"/>
      <c r="H448" s="214"/>
      <c r="I448" s="214"/>
      <c r="J448" s="214"/>
      <c r="K448" s="204">
        <f>J451</f>
        <v>0</v>
      </c>
      <c r="L448" s="204">
        <f t="shared" ref="L448:T448" ca="1" si="370">K451</f>
        <v>0</v>
      </c>
      <c r="M448" s="204">
        <f t="shared" ca="1" si="370"/>
        <v>0</v>
      </c>
      <c r="N448" s="204">
        <f t="shared" ca="1" si="370"/>
        <v>0</v>
      </c>
      <c r="O448" s="204">
        <f t="shared" ca="1" si="370"/>
        <v>0</v>
      </c>
      <c r="P448" s="204">
        <f t="shared" ca="1" si="370"/>
        <v>0</v>
      </c>
      <c r="Q448" s="204">
        <f t="shared" ca="1" si="370"/>
        <v>0</v>
      </c>
      <c r="R448" s="204">
        <f t="shared" ca="1" si="370"/>
        <v>0</v>
      </c>
      <c r="S448" s="204">
        <f t="shared" ca="1" si="370"/>
        <v>0</v>
      </c>
      <c r="T448" s="204">
        <f t="shared" ca="1" si="370"/>
        <v>0</v>
      </c>
    </row>
    <row r="449" spans="2:20" ht="13.5" customHeight="1" outlineLevel="1">
      <c r="B449" s="258" t="s">
        <v>524</v>
      </c>
      <c r="C449" s="259"/>
      <c r="D449" s="259"/>
      <c r="E449" s="260"/>
      <c r="F449" s="214"/>
      <c r="G449" s="214"/>
      <c r="H449" s="214"/>
      <c r="I449" s="214"/>
      <c r="J449" s="214"/>
      <c r="K449" s="209">
        <f ca="1">MIN(MAX(0,-K428),K453-K448)</f>
        <v>0</v>
      </c>
      <c r="L449" s="209">
        <f t="shared" ref="L449:T449" ca="1" si="371">MIN(MAX(0,-L428),L453-L448)</f>
        <v>0</v>
      </c>
      <c r="M449" s="209">
        <f t="shared" ca="1" si="371"/>
        <v>0</v>
      </c>
      <c r="N449" s="209">
        <f t="shared" ca="1" si="371"/>
        <v>0</v>
      </c>
      <c r="O449" s="209">
        <f t="shared" ca="1" si="371"/>
        <v>0</v>
      </c>
      <c r="P449" s="209">
        <f t="shared" ca="1" si="371"/>
        <v>0</v>
      </c>
      <c r="Q449" s="209">
        <f t="shared" ca="1" si="371"/>
        <v>0</v>
      </c>
      <c r="R449" s="209">
        <f t="shared" ca="1" si="371"/>
        <v>0</v>
      </c>
      <c r="S449" s="209">
        <f t="shared" ca="1" si="371"/>
        <v>0</v>
      </c>
      <c r="T449" s="209">
        <f t="shared" ca="1" si="371"/>
        <v>0</v>
      </c>
    </row>
    <row r="450" spans="2:20" ht="13.5" customHeight="1" outlineLevel="1">
      <c r="B450" s="258" t="s">
        <v>525</v>
      </c>
      <c r="C450" s="259"/>
      <c r="D450" s="259"/>
      <c r="E450" s="260"/>
      <c r="F450" s="214"/>
      <c r="G450" s="214"/>
      <c r="H450" s="214"/>
      <c r="I450" s="214"/>
      <c r="J450" s="214"/>
      <c r="K450" s="209">
        <f ca="1">K431</f>
        <v>0</v>
      </c>
      <c r="L450" s="209">
        <f t="shared" ref="L450:T450" ca="1" si="372">L431</f>
        <v>0</v>
      </c>
      <c r="M450" s="209">
        <f t="shared" ca="1" si="372"/>
        <v>0</v>
      </c>
      <c r="N450" s="209">
        <f t="shared" ca="1" si="372"/>
        <v>0</v>
      </c>
      <c r="O450" s="209">
        <f t="shared" ca="1" si="372"/>
        <v>0</v>
      </c>
      <c r="P450" s="209">
        <f t="shared" ca="1" si="372"/>
        <v>0</v>
      </c>
      <c r="Q450" s="209">
        <f t="shared" ca="1" si="372"/>
        <v>0</v>
      </c>
      <c r="R450" s="209">
        <f t="shared" ca="1" si="372"/>
        <v>0</v>
      </c>
      <c r="S450" s="209">
        <f t="shared" ca="1" si="372"/>
        <v>0</v>
      </c>
      <c r="T450" s="209">
        <f t="shared" ca="1" si="372"/>
        <v>0</v>
      </c>
    </row>
    <row r="451" spans="2:20" ht="13.5" customHeight="1" outlineLevel="1">
      <c r="B451" s="261" t="s">
        <v>343</v>
      </c>
      <c r="C451" s="261"/>
      <c r="D451" s="261"/>
      <c r="E451" s="261"/>
      <c r="F451" s="261"/>
      <c r="G451" s="261"/>
      <c r="H451" s="261"/>
      <c r="I451" s="261"/>
      <c r="J451" s="262">
        <f>O834</f>
        <v>0</v>
      </c>
      <c r="K451" s="263">
        <f ca="1">SUM(K448:K450)</f>
        <v>0</v>
      </c>
      <c r="L451" s="263">
        <f t="shared" ref="L451:T451" ca="1" si="373">SUM(L448:L450)</f>
        <v>0</v>
      </c>
      <c r="M451" s="263">
        <f t="shared" ca="1" si="373"/>
        <v>0</v>
      </c>
      <c r="N451" s="263">
        <f t="shared" ca="1" si="373"/>
        <v>0</v>
      </c>
      <c r="O451" s="263">
        <f t="shared" ca="1" si="373"/>
        <v>0</v>
      </c>
      <c r="P451" s="263">
        <f t="shared" ca="1" si="373"/>
        <v>0</v>
      </c>
      <c r="Q451" s="263">
        <f t="shared" ca="1" si="373"/>
        <v>0</v>
      </c>
      <c r="R451" s="263">
        <f t="shared" ca="1" si="373"/>
        <v>0</v>
      </c>
      <c r="S451" s="263">
        <f t="shared" ca="1" si="373"/>
        <v>0</v>
      </c>
      <c r="T451" s="263">
        <f t="shared" ca="1" si="373"/>
        <v>0</v>
      </c>
    </row>
    <row r="452" spans="2:20" ht="13.5" customHeight="1" outlineLevel="1">
      <c r="B452" s="214"/>
      <c r="C452" s="214"/>
      <c r="D452" s="214"/>
      <c r="E452" s="214"/>
      <c r="F452" s="214"/>
      <c r="G452" s="214"/>
      <c r="H452" s="214"/>
      <c r="I452" s="214"/>
      <c r="J452" s="214"/>
      <c r="K452" s="264"/>
      <c r="L452" s="264"/>
      <c r="M452" s="264"/>
      <c r="N452" s="264"/>
      <c r="O452" s="264"/>
      <c r="P452" s="264"/>
      <c r="Q452" s="264"/>
      <c r="R452" s="264"/>
      <c r="S452" s="264"/>
      <c r="T452" s="264"/>
    </row>
    <row r="453" spans="2:20" ht="13.5" customHeight="1" outlineLevel="1">
      <c r="B453" s="214" t="s">
        <v>526</v>
      </c>
      <c r="C453" s="214"/>
      <c r="D453" s="214"/>
      <c r="E453" s="214"/>
      <c r="F453" s="214"/>
      <c r="G453" s="214"/>
      <c r="H453" s="214"/>
      <c r="I453" s="214"/>
      <c r="J453" s="265">
        <f>revolver</f>
        <v>100</v>
      </c>
      <c r="K453" s="204">
        <f>J453</f>
        <v>100</v>
      </c>
      <c r="L453" s="204">
        <f t="shared" ref="L453:T453" si="374">K453</f>
        <v>100</v>
      </c>
      <c r="M453" s="204">
        <f t="shared" si="374"/>
        <v>100</v>
      </c>
      <c r="N453" s="204">
        <f t="shared" si="374"/>
        <v>100</v>
      </c>
      <c r="O453" s="204">
        <f t="shared" si="374"/>
        <v>100</v>
      </c>
      <c r="P453" s="204">
        <f t="shared" si="374"/>
        <v>100</v>
      </c>
      <c r="Q453" s="204">
        <f t="shared" si="374"/>
        <v>100</v>
      </c>
      <c r="R453" s="204">
        <f t="shared" si="374"/>
        <v>100</v>
      </c>
      <c r="S453" s="204">
        <f t="shared" si="374"/>
        <v>100</v>
      </c>
      <c r="T453" s="204">
        <f t="shared" si="374"/>
        <v>100</v>
      </c>
    </row>
    <row r="454" spans="2:20" ht="13.5" customHeight="1" outlineLevel="1">
      <c r="B454" s="258" t="s">
        <v>203</v>
      </c>
      <c r="C454" s="214"/>
      <c r="D454" s="214"/>
      <c r="E454" s="214"/>
      <c r="F454" s="214"/>
      <c r="G454" s="214"/>
      <c r="H454" s="214"/>
      <c r="I454" s="214"/>
      <c r="J454" s="209">
        <f>J453-J451</f>
        <v>100</v>
      </c>
      <c r="K454" s="209">
        <f t="shared" ref="K454:T454" ca="1" si="375">K453-K451</f>
        <v>100</v>
      </c>
      <c r="L454" s="209">
        <f t="shared" ca="1" si="375"/>
        <v>100</v>
      </c>
      <c r="M454" s="209">
        <f t="shared" ca="1" si="375"/>
        <v>100</v>
      </c>
      <c r="N454" s="209">
        <f t="shared" ca="1" si="375"/>
        <v>100</v>
      </c>
      <c r="O454" s="209">
        <f t="shared" ca="1" si="375"/>
        <v>100</v>
      </c>
      <c r="P454" s="209">
        <f t="shared" ca="1" si="375"/>
        <v>100</v>
      </c>
      <c r="Q454" s="209">
        <f t="shared" ca="1" si="375"/>
        <v>100</v>
      </c>
      <c r="R454" s="209">
        <f t="shared" ca="1" si="375"/>
        <v>100</v>
      </c>
      <c r="S454" s="209">
        <f t="shared" ca="1" si="375"/>
        <v>100</v>
      </c>
      <c r="T454" s="209">
        <f t="shared" ca="1" si="375"/>
        <v>100</v>
      </c>
    </row>
    <row r="455" spans="2:20" ht="13.5" customHeight="1" outlineLevel="1">
      <c r="B455" s="258"/>
      <c r="C455" s="214"/>
      <c r="D455" s="214"/>
      <c r="E455" s="214"/>
      <c r="F455" s="214"/>
      <c r="G455" s="214"/>
      <c r="H455" s="214"/>
      <c r="I455" s="214"/>
      <c r="J455" s="209"/>
      <c r="K455" s="209"/>
      <c r="L455" s="209"/>
      <c r="M455" s="209"/>
      <c r="N455" s="209"/>
      <c r="O455" s="209"/>
      <c r="P455" s="209"/>
      <c r="Q455" s="209"/>
      <c r="R455" s="209"/>
      <c r="S455" s="209"/>
      <c r="T455" s="209"/>
    </row>
    <row r="456" spans="2:20" ht="13.5" customHeight="1" outlineLevel="1">
      <c r="B456" s="266" t="s">
        <v>120</v>
      </c>
      <c r="C456" s="214"/>
      <c r="D456" s="214"/>
      <c r="E456" s="214"/>
      <c r="F456" s="214"/>
      <c r="G456" s="214"/>
      <c r="H456" s="214"/>
      <c r="I456" s="214"/>
      <c r="J456" s="209"/>
      <c r="K456" s="209"/>
      <c r="L456" s="209"/>
      <c r="M456" s="209"/>
      <c r="N456" s="209"/>
      <c r="O456" s="209"/>
      <c r="P456" s="209"/>
      <c r="Q456" s="209"/>
      <c r="R456" s="209"/>
      <c r="S456" s="209"/>
      <c r="T456" s="209"/>
    </row>
    <row r="457" spans="2:20" ht="13.5" customHeight="1" outlineLevel="1">
      <c r="B457" s="258" t="s">
        <v>529</v>
      </c>
      <c r="C457" s="214"/>
      <c r="D457" s="214"/>
      <c r="E457" s="214"/>
      <c r="F457" s="214"/>
      <c r="G457" s="214"/>
      <c r="H457" s="214"/>
      <c r="I457" s="214"/>
      <c r="J457" s="209"/>
      <c r="K457" s="267">
        <f t="shared" ref="K457:T457" si="376">K575*IF(avg_int,AVERAGE(K448,K451),K448)</f>
        <v>0</v>
      </c>
      <c r="L457" s="267">
        <f t="shared" ca="1" si="376"/>
        <v>0</v>
      </c>
      <c r="M457" s="267">
        <f t="shared" ca="1" si="376"/>
        <v>0</v>
      </c>
      <c r="N457" s="267">
        <f t="shared" ca="1" si="376"/>
        <v>0</v>
      </c>
      <c r="O457" s="267">
        <f t="shared" ca="1" si="376"/>
        <v>0</v>
      </c>
      <c r="P457" s="267">
        <f t="shared" ca="1" si="376"/>
        <v>0</v>
      </c>
      <c r="Q457" s="267">
        <f t="shared" ca="1" si="376"/>
        <v>0</v>
      </c>
      <c r="R457" s="267">
        <f t="shared" ca="1" si="376"/>
        <v>0</v>
      </c>
      <c r="S457" s="267">
        <f t="shared" ca="1" si="376"/>
        <v>0</v>
      </c>
      <c r="T457" s="267">
        <f t="shared" ca="1" si="376"/>
        <v>0</v>
      </c>
    </row>
    <row r="458" spans="2:20" ht="13.5" customHeight="1" outlineLevel="1">
      <c r="B458" s="258" t="s">
        <v>204</v>
      </c>
      <c r="C458" s="214"/>
      <c r="D458" s="214"/>
      <c r="E458" s="214"/>
      <c r="F458" s="214"/>
      <c r="G458" s="214"/>
      <c r="H458" s="214"/>
      <c r="I458" s="214"/>
      <c r="J458" s="209"/>
      <c r="K458" s="209">
        <f t="shared" ref="K458:T458" si="377">K572*IF(avg_int,IFERROR(AVERAGE(J454,K454),0),J454)</f>
        <v>0.5</v>
      </c>
      <c r="L458" s="209">
        <f t="shared" ca="1" si="377"/>
        <v>0.5</v>
      </c>
      <c r="M458" s="209">
        <f t="shared" ca="1" si="377"/>
        <v>0.5</v>
      </c>
      <c r="N458" s="209">
        <f t="shared" ca="1" si="377"/>
        <v>0.5</v>
      </c>
      <c r="O458" s="209">
        <f t="shared" ca="1" si="377"/>
        <v>0.5</v>
      </c>
      <c r="P458" s="209">
        <f t="shared" ca="1" si="377"/>
        <v>0.5</v>
      </c>
      <c r="Q458" s="209">
        <f t="shared" ca="1" si="377"/>
        <v>0.5</v>
      </c>
      <c r="R458" s="209">
        <f t="shared" ca="1" si="377"/>
        <v>0.5</v>
      </c>
      <c r="S458" s="209">
        <f t="shared" ca="1" si="377"/>
        <v>0.5</v>
      </c>
      <c r="T458" s="209">
        <f t="shared" ca="1" si="377"/>
        <v>0.5</v>
      </c>
    </row>
    <row r="459" spans="2:20" ht="13.5" customHeight="1" outlineLevel="1">
      <c r="B459" s="261" t="s">
        <v>389</v>
      </c>
      <c r="C459" s="261"/>
      <c r="D459" s="261"/>
      <c r="E459" s="261"/>
      <c r="F459" s="261"/>
      <c r="G459" s="261"/>
      <c r="H459" s="261"/>
      <c r="I459" s="261"/>
      <c r="J459" s="261"/>
      <c r="K459" s="268">
        <f>SUM(K457:K458)</f>
        <v>0.5</v>
      </c>
      <c r="L459" s="268">
        <f t="shared" ref="L459:T459" ca="1" si="378">SUM(L457:L458)</f>
        <v>0.5</v>
      </c>
      <c r="M459" s="268">
        <f t="shared" ca="1" si="378"/>
        <v>0.5</v>
      </c>
      <c r="N459" s="268">
        <f t="shared" ca="1" si="378"/>
        <v>0.5</v>
      </c>
      <c r="O459" s="268">
        <f t="shared" ca="1" si="378"/>
        <v>0.5</v>
      </c>
      <c r="P459" s="268">
        <f t="shared" ca="1" si="378"/>
        <v>0.5</v>
      </c>
      <c r="Q459" s="268">
        <f t="shared" ca="1" si="378"/>
        <v>0.5</v>
      </c>
      <c r="R459" s="268">
        <f t="shared" ca="1" si="378"/>
        <v>0.5</v>
      </c>
      <c r="S459" s="268">
        <f t="shared" ca="1" si="378"/>
        <v>0.5</v>
      </c>
      <c r="T459" s="268">
        <f t="shared" ca="1" si="378"/>
        <v>0.5</v>
      </c>
    </row>
    <row r="460" spans="2:20" ht="5.0999999999999996" customHeight="1" outlineLevel="1" thickBot="1">
      <c r="B460" s="144"/>
      <c r="C460" s="144"/>
      <c r="D460" s="144"/>
      <c r="E460" s="144"/>
      <c r="F460" s="144"/>
      <c r="G460" s="144"/>
      <c r="H460" s="144"/>
      <c r="I460" s="144"/>
      <c r="J460" s="144"/>
      <c r="K460" s="269"/>
      <c r="L460" s="269"/>
      <c r="M460" s="269"/>
      <c r="N460" s="269"/>
      <c r="O460" s="269"/>
      <c r="P460" s="269"/>
      <c r="Q460" s="269"/>
      <c r="R460" s="269"/>
      <c r="S460" s="269"/>
      <c r="T460" s="269"/>
    </row>
    <row r="461" spans="2:20" ht="13.5" customHeight="1" outlineLevel="1">
      <c r="K461" s="252"/>
      <c r="L461" s="252"/>
      <c r="M461" s="252"/>
      <c r="N461" s="252"/>
      <c r="O461" s="252"/>
      <c r="P461" s="252"/>
      <c r="Q461" s="252"/>
      <c r="R461" s="252"/>
      <c r="S461" s="252"/>
      <c r="T461" s="252"/>
    </row>
    <row r="462" spans="2:20" ht="13.5" customHeight="1" outlineLevel="1">
      <c r="B462" s="255" t="str">
        <f>B870</f>
        <v>Legacy debt</v>
      </c>
      <c r="C462" s="256"/>
      <c r="D462" s="256"/>
      <c r="E462" s="256"/>
      <c r="F462" s="256"/>
      <c r="G462" s="256"/>
      <c r="H462" s="256"/>
      <c r="I462" s="256"/>
      <c r="J462" s="256"/>
      <c r="K462" s="257"/>
      <c r="L462" s="257"/>
      <c r="M462" s="257"/>
      <c r="N462" s="257"/>
      <c r="O462" s="257"/>
      <c r="P462" s="257"/>
      <c r="Q462" s="257"/>
      <c r="R462" s="257"/>
      <c r="S462" s="257"/>
      <c r="T462" s="257"/>
    </row>
    <row r="463" spans="2:20" ht="13.5" customHeight="1" outlineLevel="1">
      <c r="B463" s="214" t="s">
        <v>342</v>
      </c>
      <c r="C463" s="214"/>
      <c r="D463" s="214"/>
      <c r="E463" s="214"/>
      <c r="F463" s="204">
        <f>E466</f>
        <v>230</v>
      </c>
      <c r="G463" s="204">
        <f t="shared" ref="G463:H463" si="379">F466</f>
        <v>230</v>
      </c>
      <c r="H463" s="204">
        <f t="shared" si="379"/>
        <v>230</v>
      </c>
      <c r="I463" s="214"/>
      <c r="J463" s="214"/>
      <c r="K463" s="204">
        <f>J466</f>
        <v>0</v>
      </c>
      <c r="L463" s="204">
        <f ca="1">K466</f>
        <v>0</v>
      </c>
      <c r="M463" s="204">
        <f t="shared" ref="M463:T463" ca="1" si="380">L466</f>
        <v>0</v>
      </c>
      <c r="N463" s="204">
        <f t="shared" ca="1" si="380"/>
        <v>0</v>
      </c>
      <c r="O463" s="204">
        <f t="shared" ca="1" si="380"/>
        <v>0</v>
      </c>
      <c r="P463" s="204">
        <f t="shared" ca="1" si="380"/>
        <v>0</v>
      </c>
      <c r="Q463" s="204">
        <f t="shared" ca="1" si="380"/>
        <v>0</v>
      </c>
      <c r="R463" s="204">
        <f t="shared" ca="1" si="380"/>
        <v>0</v>
      </c>
      <c r="S463" s="204">
        <f t="shared" ca="1" si="380"/>
        <v>0</v>
      </c>
      <c r="T463" s="204">
        <f t="shared" ca="1" si="380"/>
        <v>0</v>
      </c>
    </row>
    <row r="464" spans="2:20" ht="13.5" customHeight="1" outlineLevel="1">
      <c r="B464" s="214" t="s">
        <v>518</v>
      </c>
      <c r="C464" s="214"/>
      <c r="D464" s="214"/>
      <c r="E464" s="214"/>
      <c r="F464" s="425">
        <v>0</v>
      </c>
      <c r="G464" s="425">
        <v>0</v>
      </c>
      <c r="H464" s="425">
        <v>0</v>
      </c>
      <c r="I464" s="214"/>
      <c r="J464" s="214"/>
      <c r="K464" s="209">
        <f t="shared" ref="K464:T464" si="381">-MIN(K463,K398*$J466)</f>
        <v>0</v>
      </c>
      <c r="L464" s="209">
        <f t="shared" ca="1" si="381"/>
        <v>0</v>
      </c>
      <c r="M464" s="209">
        <f t="shared" ca="1" si="381"/>
        <v>0</v>
      </c>
      <c r="N464" s="209">
        <f t="shared" ca="1" si="381"/>
        <v>0</v>
      </c>
      <c r="O464" s="209">
        <f t="shared" ca="1" si="381"/>
        <v>0</v>
      </c>
      <c r="P464" s="209">
        <f t="shared" ca="1" si="381"/>
        <v>0</v>
      </c>
      <c r="Q464" s="209">
        <f t="shared" ca="1" si="381"/>
        <v>0</v>
      </c>
      <c r="R464" s="209">
        <f t="shared" ca="1" si="381"/>
        <v>0</v>
      </c>
      <c r="S464" s="209">
        <f t="shared" ca="1" si="381"/>
        <v>0</v>
      </c>
      <c r="T464" s="209">
        <f t="shared" ca="1" si="381"/>
        <v>0</v>
      </c>
    </row>
    <row r="465" spans="2:20" ht="13.5" customHeight="1" outlineLevel="1">
      <c r="B465" s="214" t="s">
        <v>519</v>
      </c>
      <c r="C465" s="214"/>
      <c r="D465" s="214"/>
      <c r="E465" s="214"/>
      <c r="F465" s="425">
        <v>0</v>
      </c>
      <c r="G465" s="425">
        <v>0</v>
      </c>
      <c r="H465" s="425">
        <v>0</v>
      </c>
      <c r="I465" s="214"/>
      <c r="J465" s="214"/>
      <c r="K465" s="209">
        <f t="shared" ref="K465:T465" ca="1" si="382">K432</f>
        <v>0</v>
      </c>
      <c r="L465" s="209">
        <f t="shared" ca="1" si="382"/>
        <v>0</v>
      </c>
      <c r="M465" s="209">
        <f t="shared" ca="1" si="382"/>
        <v>0</v>
      </c>
      <c r="N465" s="209">
        <f t="shared" ca="1" si="382"/>
        <v>0</v>
      </c>
      <c r="O465" s="209">
        <f t="shared" ca="1" si="382"/>
        <v>0</v>
      </c>
      <c r="P465" s="209">
        <f t="shared" ca="1" si="382"/>
        <v>0</v>
      </c>
      <c r="Q465" s="209">
        <f t="shared" ca="1" si="382"/>
        <v>0</v>
      </c>
      <c r="R465" s="209">
        <f t="shared" ca="1" si="382"/>
        <v>0</v>
      </c>
      <c r="S465" s="209">
        <f t="shared" ca="1" si="382"/>
        <v>0</v>
      </c>
      <c r="T465" s="209">
        <f t="shared" ca="1" si="382"/>
        <v>0</v>
      </c>
    </row>
    <row r="466" spans="2:20" ht="13.5" customHeight="1" outlineLevel="1">
      <c r="B466" s="261" t="s">
        <v>343</v>
      </c>
      <c r="C466" s="261"/>
      <c r="D466" s="261"/>
      <c r="E466" s="262">
        <f>E247</f>
        <v>230</v>
      </c>
      <c r="F466" s="268">
        <f>SUM(F463:F465)</f>
        <v>230</v>
      </c>
      <c r="G466" s="268">
        <f>SUM(G463:G465)</f>
        <v>230</v>
      </c>
      <c r="H466" s="268">
        <f>SUM(H463:H465)</f>
        <v>230</v>
      </c>
      <c r="I466" s="261"/>
      <c r="J466" s="262">
        <f>J247</f>
        <v>0</v>
      </c>
      <c r="K466" s="268">
        <f t="shared" ref="K466:T466" ca="1" si="383">SUM(K463:K465)</f>
        <v>0</v>
      </c>
      <c r="L466" s="268">
        <f t="shared" ca="1" si="383"/>
        <v>0</v>
      </c>
      <c r="M466" s="268">
        <f t="shared" ca="1" si="383"/>
        <v>0</v>
      </c>
      <c r="N466" s="268">
        <f t="shared" ca="1" si="383"/>
        <v>0</v>
      </c>
      <c r="O466" s="268">
        <f t="shared" ca="1" si="383"/>
        <v>0</v>
      </c>
      <c r="P466" s="268">
        <f t="shared" ca="1" si="383"/>
        <v>0</v>
      </c>
      <c r="Q466" s="268">
        <f t="shared" ca="1" si="383"/>
        <v>0</v>
      </c>
      <c r="R466" s="268">
        <f t="shared" ca="1" si="383"/>
        <v>0</v>
      </c>
      <c r="S466" s="268">
        <f t="shared" ca="1" si="383"/>
        <v>0</v>
      </c>
      <c r="T466" s="268">
        <f t="shared" ca="1" si="383"/>
        <v>0</v>
      </c>
    </row>
    <row r="467" spans="2:20" ht="13.5" customHeight="1" outlineLevel="1">
      <c r="B467" s="214"/>
      <c r="C467" s="214"/>
      <c r="D467" s="214"/>
      <c r="E467" s="214"/>
      <c r="F467" s="214"/>
      <c r="G467" s="214"/>
      <c r="H467" s="214"/>
      <c r="I467" s="214"/>
      <c r="J467" s="214"/>
      <c r="K467" s="264"/>
      <c r="L467" s="264"/>
      <c r="M467" s="264"/>
      <c r="N467" s="264"/>
      <c r="O467" s="264"/>
      <c r="P467" s="264"/>
      <c r="Q467" s="264"/>
      <c r="R467" s="264"/>
      <c r="S467" s="264"/>
      <c r="T467" s="264"/>
    </row>
    <row r="468" spans="2:20" ht="13.5" customHeight="1" outlineLevel="1">
      <c r="B468" s="214" t="s">
        <v>533</v>
      </c>
      <c r="C468" s="214"/>
      <c r="D468" s="214"/>
      <c r="E468" s="214"/>
      <c r="F468" s="265">
        <f>F574*IF(avg_int,AVERAGE(F463,F466),F463)/4</f>
        <v>8.1937499999999996</v>
      </c>
      <c r="G468" s="265">
        <f>G574*IF(avg_int,AVERAGE(G463,G466),G463)/4</f>
        <v>8.1937499999999996</v>
      </c>
      <c r="H468" s="265">
        <f>H574*IF(avg_int,AVERAGE(H463,H466),H463)/4</f>
        <v>8.1937499999999996</v>
      </c>
      <c r="I468" s="214"/>
      <c r="J468" s="265"/>
      <c r="K468" s="267">
        <f t="shared" ref="K468:T468" si="384">K574*IF(avg_int,AVERAGE(K463,K466),K463)</f>
        <v>0</v>
      </c>
      <c r="L468" s="267">
        <f t="shared" ca="1" si="384"/>
        <v>0</v>
      </c>
      <c r="M468" s="267">
        <f t="shared" ca="1" si="384"/>
        <v>0</v>
      </c>
      <c r="N468" s="267">
        <f t="shared" ca="1" si="384"/>
        <v>0</v>
      </c>
      <c r="O468" s="267">
        <f t="shared" ca="1" si="384"/>
        <v>0</v>
      </c>
      <c r="P468" s="267">
        <f t="shared" ca="1" si="384"/>
        <v>0</v>
      </c>
      <c r="Q468" s="267">
        <f t="shared" ca="1" si="384"/>
        <v>0</v>
      </c>
      <c r="R468" s="267">
        <f t="shared" ca="1" si="384"/>
        <v>0</v>
      </c>
      <c r="S468" s="267">
        <f t="shared" ca="1" si="384"/>
        <v>0</v>
      </c>
      <c r="T468" s="267">
        <f t="shared" ca="1" si="384"/>
        <v>0</v>
      </c>
    </row>
    <row r="469" spans="2:20" ht="5.0999999999999996" customHeight="1" outlineLevel="1" thickBot="1">
      <c r="B469" s="144"/>
      <c r="C469" s="144"/>
      <c r="D469" s="144"/>
      <c r="E469" s="144"/>
      <c r="F469" s="144"/>
      <c r="G469" s="144"/>
      <c r="H469" s="144"/>
      <c r="I469" s="144"/>
      <c r="J469" s="144"/>
      <c r="K469" s="269"/>
      <c r="L469" s="269"/>
      <c r="M469" s="269"/>
      <c r="N469" s="269"/>
      <c r="O469" s="269"/>
      <c r="P469" s="269"/>
      <c r="Q469" s="269"/>
      <c r="R469" s="269"/>
      <c r="S469" s="269"/>
      <c r="T469" s="269"/>
    </row>
    <row r="470" spans="2:20" ht="13.5" customHeight="1" outlineLevel="1">
      <c r="K470" s="252"/>
      <c r="L470" s="252"/>
      <c r="M470" s="252"/>
      <c r="N470" s="252"/>
      <c r="O470" s="252"/>
      <c r="P470" s="252"/>
      <c r="Q470" s="252"/>
      <c r="R470" s="252"/>
      <c r="S470" s="252"/>
      <c r="T470" s="252"/>
    </row>
    <row r="471" spans="2:20" ht="13.5" customHeight="1" outlineLevel="1">
      <c r="B471" s="255" t="str">
        <f>B835</f>
        <v>Term loan - A</v>
      </c>
      <c r="C471" s="256"/>
      <c r="D471" s="256"/>
      <c r="E471" s="256"/>
      <c r="F471" s="256"/>
      <c r="G471" s="256"/>
      <c r="H471" s="256"/>
      <c r="I471" s="256"/>
      <c r="J471" s="256"/>
      <c r="K471" s="257"/>
      <c r="L471" s="257"/>
      <c r="M471" s="257"/>
      <c r="N471" s="257"/>
      <c r="O471" s="257"/>
      <c r="P471" s="257"/>
      <c r="Q471" s="257"/>
      <c r="R471" s="257"/>
      <c r="S471" s="257"/>
      <c r="T471" s="257"/>
    </row>
    <row r="472" spans="2:20" ht="13.5" customHeight="1" outlineLevel="1">
      <c r="B472" s="214" t="s">
        <v>342</v>
      </c>
      <c r="C472" s="214"/>
      <c r="D472" s="214"/>
      <c r="E472" s="214"/>
      <c r="F472" s="214"/>
      <c r="G472" s="214"/>
      <c r="H472" s="214"/>
      <c r="I472" s="214"/>
      <c r="J472" s="214"/>
      <c r="K472" s="204">
        <f>J475</f>
        <v>50</v>
      </c>
      <c r="L472" s="204">
        <f ca="1">K475</f>
        <v>0</v>
      </c>
      <c r="M472" s="204">
        <f t="shared" ref="M472:T472" ca="1" si="385">L475</f>
        <v>0</v>
      </c>
      <c r="N472" s="204">
        <f t="shared" ca="1" si="385"/>
        <v>0</v>
      </c>
      <c r="O472" s="204">
        <f t="shared" ca="1" si="385"/>
        <v>0</v>
      </c>
      <c r="P472" s="204">
        <f t="shared" ca="1" si="385"/>
        <v>0</v>
      </c>
      <c r="Q472" s="204">
        <f t="shared" ca="1" si="385"/>
        <v>0</v>
      </c>
      <c r="R472" s="204">
        <f t="shared" ca="1" si="385"/>
        <v>0</v>
      </c>
      <c r="S472" s="204">
        <f t="shared" ca="1" si="385"/>
        <v>0</v>
      </c>
      <c r="T472" s="204">
        <f t="shared" ca="1" si="385"/>
        <v>0</v>
      </c>
    </row>
    <row r="473" spans="2:20" ht="13.5" customHeight="1" outlineLevel="1">
      <c r="B473" s="214" t="s">
        <v>518</v>
      </c>
      <c r="C473" s="214"/>
      <c r="D473" s="214"/>
      <c r="E473" s="214"/>
      <c r="F473" s="214"/>
      <c r="G473" s="214"/>
      <c r="H473" s="214"/>
      <c r="I473" s="214"/>
      <c r="J473" s="214"/>
      <c r="K473" s="209">
        <f t="shared" ref="K473:T473" si="386">-MIN(K472,K399*$J475)</f>
        <v>-10</v>
      </c>
      <c r="L473" s="209">
        <f t="shared" ca="1" si="386"/>
        <v>0</v>
      </c>
      <c r="M473" s="209">
        <f t="shared" ca="1" si="386"/>
        <v>0</v>
      </c>
      <c r="N473" s="209">
        <f t="shared" ca="1" si="386"/>
        <v>0</v>
      </c>
      <c r="O473" s="209">
        <f t="shared" ca="1" si="386"/>
        <v>0</v>
      </c>
      <c r="P473" s="209">
        <f t="shared" ca="1" si="386"/>
        <v>0</v>
      </c>
      <c r="Q473" s="209">
        <f t="shared" ca="1" si="386"/>
        <v>0</v>
      </c>
      <c r="R473" s="209">
        <f t="shared" ca="1" si="386"/>
        <v>0</v>
      </c>
      <c r="S473" s="209">
        <f t="shared" ca="1" si="386"/>
        <v>0</v>
      </c>
      <c r="T473" s="209">
        <f t="shared" ca="1" si="386"/>
        <v>0</v>
      </c>
    </row>
    <row r="474" spans="2:20" ht="13.5" customHeight="1" outlineLevel="1">
      <c r="B474" s="214" t="s">
        <v>519</v>
      </c>
      <c r="C474" s="214"/>
      <c r="D474" s="214"/>
      <c r="E474" s="214"/>
      <c r="F474" s="214"/>
      <c r="G474" s="214"/>
      <c r="H474" s="214"/>
      <c r="I474" s="214"/>
      <c r="J474" s="214"/>
      <c r="K474" s="209">
        <f t="shared" ref="K474:T474" ca="1" si="387">K433</f>
        <v>-40</v>
      </c>
      <c r="L474" s="209">
        <f t="shared" ca="1" si="387"/>
        <v>0</v>
      </c>
      <c r="M474" s="209">
        <f t="shared" ca="1" si="387"/>
        <v>0</v>
      </c>
      <c r="N474" s="209">
        <f t="shared" ca="1" si="387"/>
        <v>0</v>
      </c>
      <c r="O474" s="209">
        <f t="shared" ca="1" si="387"/>
        <v>0</v>
      </c>
      <c r="P474" s="209">
        <f t="shared" ca="1" si="387"/>
        <v>0</v>
      </c>
      <c r="Q474" s="209">
        <f t="shared" ca="1" si="387"/>
        <v>0</v>
      </c>
      <c r="R474" s="209">
        <f t="shared" ca="1" si="387"/>
        <v>0</v>
      </c>
      <c r="S474" s="209">
        <f t="shared" ca="1" si="387"/>
        <v>0</v>
      </c>
      <c r="T474" s="209">
        <f t="shared" ca="1" si="387"/>
        <v>0</v>
      </c>
    </row>
    <row r="475" spans="2:20" ht="13.5" customHeight="1" outlineLevel="1">
      <c r="B475" s="261" t="s">
        <v>343</v>
      </c>
      <c r="C475" s="261"/>
      <c r="D475" s="261"/>
      <c r="E475" s="261"/>
      <c r="F475" s="261"/>
      <c r="G475" s="261"/>
      <c r="H475" s="261"/>
      <c r="I475" s="261"/>
      <c r="J475" s="262">
        <f>O835</f>
        <v>50</v>
      </c>
      <c r="K475" s="268">
        <f t="shared" ref="K475:T475" ca="1" si="388">SUM(K472:K474)</f>
        <v>0</v>
      </c>
      <c r="L475" s="268">
        <f t="shared" ca="1" si="388"/>
        <v>0</v>
      </c>
      <c r="M475" s="268">
        <f t="shared" ca="1" si="388"/>
        <v>0</v>
      </c>
      <c r="N475" s="268">
        <f t="shared" ca="1" si="388"/>
        <v>0</v>
      </c>
      <c r="O475" s="268">
        <f t="shared" ca="1" si="388"/>
        <v>0</v>
      </c>
      <c r="P475" s="268">
        <f t="shared" ca="1" si="388"/>
        <v>0</v>
      </c>
      <c r="Q475" s="268">
        <f t="shared" ca="1" si="388"/>
        <v>0</v>
      </c>
      <c r="R475" s="268">
        <f t="shared" ca="1" si="388"/>
        <v>0</v>
      </c>
      <c r="S475" s="268">
        <f t="shared" ca="1" si="388"/>
        <v>0</v>
      </c>
      <c r="T475" s="268">
        <f t="shared" ca="1" si="388"/>
        <v>0</v>
      </c>
    </row>
    <row r="476" spans="2:20" ht="13.5" customHeight="1" outlineLevel="1">
      <c r="B476" s="214"/>
      <c r="C476" s="214"/>
      <c r="D476" s="214"/>
      <c r="E476" s="214"/>
      <c r="F476" s="214"/>
      <c r="G476" s="214"/>
      <c r="H476" s="214"/>
      <c r="I476" s="214"/>
      <c r="J476" s="214"/>
      <c r="K476" s="264"/>
      <c r="L476" s="264"/>
      <c r="M476" s="264"/>
      <c r="N476" s="264"/>
      <c r="O476" s="264"/>
      <c r="P476" s="264"/>
      <c r="Q476" s="264"/>
      <c r="R476" s="264"/>
      <c r="S476" s="264"/>
      <c r="T476" s="264"/>
    </row>
    <row r="477" spans="2:20" ht="13.5" customHeight="1" outlineLevel="1">
      <c r="B477" s="214" t="s">
        <v>533</v>
      </c>
      <c r="C477" s="214"/>
      <c r="D477" s="214"/>
      <c r="E477" s="214"/>
      <c r="F477" s="214"/>
      <c r="G477" s="214"/>
      <c r="H477" s="214"/>
      <c r="I477" s="214"/>
      <c r="J477" s="265"/>
      <c r="K477" s="267">
        <f t="shared" ref="K477:T477" si="389">K576*IF(avg_int,AVERAGE(K472,K475),K472)</f>
        <v>3.7849999999999993</v>
      </c>
      <c r="L477" s="267">
        <f t="shared" ca="1" si="389"/>
        <v>0</v>
      </c>
      <c r="M477" s="267">
        <f t="shared" ca="1" si="389"/>
        <v>0</v>
      </c>
      <c r="N477" s="267">
        <f t="shared" ca="1" si="389"/>
        <v>0</v>
      </c>
      <c r="O477" s="267">
        <f t="shared" ca="1" si="389"/>
        <v>0</v>
      </c>
      <c r="P477" s="267">
        <f t="shared" ca="1" si="389"/>
        <v>0</v>
      </c>
      <c r="Q477" s="267">
        <f t="shared" ca="1" si="389"/>
        <v>0</v>
      </c>
      <c r="R477" s="267">
        <f t="shared" ca="1" si="389"/>
        <v>0</v>
      </c>
      <c r="S477" s="267">
        <f t="shared" ca="1" si="389"/>
        <v>0</v>
      </c>
      <c r="T477" s="267">
        <f t="shared" ca="1" si="389"/>
        <v>0</v>
      </c>
    </row>
    <row r="478" spans="2:20" ht="5.0999999999999996" customHeight="1" outlineLevel="1" thickBot="1">
      <c r="B478" s="144"/>
      <c r="C478" s="144"/>
      <c r="D478" s="144"/>
      <c r="E478" s="144"/>
      <c r="F478" s="144"/>
      <c r="G478" s="144"/>
      <c r="H478" s="144"/>
      <c r="I478" s="144"/>
      <c r="J478" s="144"/>
      <c r="K478" s="269"/>
      <c r="L478" s="269"/>
      <c r="M478" s="269"/>
      <c r="N478" s="269"/>
      <c r="O478" s="269"/>
      <c r="P478" s="269"/>
      <c r="Q478" s="269"/>
      <c r="R478" s="269"/>
      <c r="S478" s="269"/>
      <c r="T478" s="269"/>
    </row>
    <row r="479" spans="2:20" ht="13.5" customHeight="1" outlineLevel="1">
      <c r="K479" s="252"/>
      <c r="L479" s="252"/>
      <c r="M479" s="252"/>
      <c r="N479" s="252"/>
      <c r="O479" s="252"/>
      <c r="P479" s="252"/>
      <c r="Q479" s="252"/>
      <c r="R479" s="252"/>
      <c r="S479" s="252"/>
      <c r="T479" s="252"/>
    </row>
    <row r="480" spans="2:20" ht="13.5" customHeight="1" outlineLevel="1">
      <c r="B480" s="255" t="str">
        <f>B836</f>
        <v>Term loan - B</v>
      </c>
      <c r="C480" s="256"/>
      <c r="D480" s="256"/>
      <c r="E480" s="256"/>
      <c r="F480" s="256"/>
      <c r="G480" s="256"/>
      <c r="H480" s="256"/>
      <c r="I480" s="256"/>
      <c r="J480" s="256"/>
      <c r="K480" s="257"/>
      <c r="L480" s="257"/>
      <c r="M480" s="257"/>
      <c r="N480" s="257"/>
      <c r="O480" s="257"/>
      <c r="P480" s="257"/>
      <c r="Q480" s="257"/>
      <c r="R480" s="257"/>
      <c r="S480" s="257"/>
      <c r="T480" s="257"/>
    </row>
    <row r="481" spans="2:20" ht="13.5" customHeight="1" outlineLevel="1">
      <c r="B481" s="214" t="s">
        <v>342</v>
      </c>
      <c r="C481" s="214"/>
      <c r="D481" s="214"/>
      <c r="E481" s="214"/>
      <c r="F481" s="214"/>
      <c r="G481" s="214"/>
      <c r="H481" s="214"/>
      <c r="I481" s="214"/>
      <c r="J481" s="214"/>
      <c r="K481" s="204">
        <f>J484</f>
        <v>0</v>
      </c>
      <c r="L481" s="204">
        <f ca="1">K484</f>
        <v>0</v>
      </c>
      <c r="M481" s="204">
        <f t="shared" ref="M481:T481" ca="1" si="390">L484</f>
        <v>0</v>
      </c>
      <c r="N481" s="204">
        <f t="shared" ca="1" si="390"/>
        <v>0</v>
      </c>
      <c r="O481" s="204">
        <f t="shared" ca="1" si="390"/>
        <v>0</v>
      </c>
      <c r="P481" s="204">
        <f t="shared" ca="1" si="390"/>
        <v>0</v>
      </c>
      <c r="Q481" s="204">
        <f t="shared" ca="1" si="390"/>
        <v>0</v>
      </c>
      <c r="R481" s="204">
        <f t="shared" ca="1" si="390"/>
        <v>0</v>
      </c>
      <c r="S481" s="204">
        <f t="shared" ca="1" si="390"/>
        <v>0</v>
      </c>
      <c r="T481" s="204">
        <f t="shared" ca="1" si="390"/>
        <v>0</v>
      </c>
    </row>
    <row r="482" spans="2:20" ht="13.5" customHeight="1" outlineLevel="1">
      <c r="B482" s="214" t="s">
        <v>518</v>
      </c>
      <c r="C482" s="214"/>
      <c r="D482" s="214"/>
      <c r="E482" s="214"/>
      <c r="F482" s="214"/>
      <c r="G482" s="214"/>
      <c r="H482" s="214"/>
      <c r="I482" s="214"/>
      <c r="J482" s="214"/>
      <c r="K482" s="209">
        <f t="shared" ref="K482:T482" si="391">-MIN(K481,K400*$J484)</f>
        <v>0</v>
      </c>
      <c r="L482" s="209">
        <f t="shared" ca="1" si="391"/>
        <v>0</v>
      </c>
      <c r="M482" s="209">
        <f t="shared" ca="1" si="391"/>
        <v>0</v>
      </c>
      <c r="N482" s="209">
        <f t="shared" ca="1" si="391"/>
        <v>0</v>
      </c>
      <c r="O482" s="209">
        <f t="shared" ca="1" si="391"/>
        <v>0</v>
      </c>
      <c r="P482" s="209">
        <f t="shared" ca="1" si="391"/>
        <v>0</v>
      </c>
      <c r="Q482" s="209">
        <f t="shared" ca="1" si="391"/>
        <v>0</v>
      </c>
      <c r="R482" s="209">
        <f t="shared" ca="1" si="391"/>
        <v>0</v>
      </c>
      <c r="S482" s="209">
        <f t="shared" ca="1" si="391"/>
        <v>0</v>
      </c>
      <c r="T482" s="209">
        <f t="shared" ca="1" si="391"/>
        <v>0</v>
      </c>
    </row>
    <row r="483" spans="2:20" ht="13.5" customHeight="1" outlineLevel="1">
      <c r="B483" s="214" t="s">
        <v>519</v>
      </c>
      <c r="C483" s="214"/>
      <c r="D483" s="214"/>
      <c r="E483" s="214"/>
      <c r="F483" s="214"/>
      <c r="G483" s="214"/>
      <c r="H483" s="214"/>
      <c r="I483" s="214"/>
      <c r="J483" s="214"/>
      <c r="K483" s="209">
        <f t="shared" ref="K483:T483" ca="1" si="392">K434</f>
        <v>0</v>
      </c>
      <c r="L483" s="209">
        <f t="shared" ca="1" si="392"/>
        <v>0</v>
      </c>
      <c r="M483" s="209">
        <f t="shared" ca="1" si="392"/>
        <v>0</v>
      </c>
      <c r="N483" s="209">
        <f t="shared" ca="1" si="392"/>
        <v>0</v>
      </c>
      <c r="O483" s="209">
        <f t="shared" ca="1" si="392"/>
        <v>0</v>
      </c>
      <c r="P483" s="209">
        <f t="shared" ca="1" si="392"/>
        <v>0</v>
      </c>
      <c r="Q483" s="209">
        <f t="shared" ca="1" si="392"/>
        <v>0</v>
      </c>
      <c r="R483" s="209">
        <f t="shared" ca="1" si="392"/>
        <v>0</v>
      </c>
      <c r="S483" s="209">
        <f t="shared" ca="1" si="392"/>
        <v>0</v>
      </c>
      <c r="T483" s="209">
        <f t="shared" ca="1" si="392"/>
        <v>0</v>
      </c>
    </row>
    <row r="484" spans="2:20" ht="13.5" customHeight="1" outlineLevel="1">
      <c r="B484" s="261" t="s">
        <v>343</v>
      </c>
      <c r="C484" s="261"/>
      <c r="D484" s="261"/>
      <c r="E484" s="261"/>
      <c r="F484" s="261"/>
      <c r="G484" s="261"/>
      <c r="H484" s="261"/>
      <c r="I484" s="261"/>
      <c r="J484" s="262">
        <f>O836</f>
        <v>0</v>
      </c>
      <c r="K484" s="268">
        <f t="shared" ref="K484:T484" ca="1" si="393">SUM(K481:K483)</f>
        <v>0</v>
      </c>
      <c r="L484" s="268">
        <f t="shared" ca="1" si="393"/>
        <v>0</v>
      </c>
      <c r="M484" s="268">
        <f t="shared" ca="1" si="393"/>
        <v>0</v>
      </c>
      <c r="N484" s="268">
        <f t="shared" ca="1" si="393"/>
        <v>0</v>
      </c>
      <c r="O484" s="268">
        <f t="shared" ca="1" si="393"/>
        <v>0</v>
      </c>
      <c r="P484" s="268">
        <f t="shared" ca="1" si="393"/>
        <v>0</v>
      </c>
      <c r="Q484" s="268">
        <f t="shared" ca="1" si="393"/>
        <v>0</v>
      </c>
      <c r="R484" s="268">
        <f t="shared" ca="1" si="393"/>
        <v>0</v>
      </c>
      <c r="S484" s="268">
        <f t="shared" ca="1" si="393"/>
        <v>0</v>
      </c>
      <c r="T484" s="268">
        <f t="shared" ca="1" si="393"/>
        <v>0</v>
      </c>
    </row>
    <row r="485" spans="2:20" ht="13.5" customHeight="1" outlineLevel="1">
      <c r="B485" s="214"/>
      <c r="C485" s="214"/>
      <c r="D485" s="214"/>
      <c r="E485" s="214"/>
      <c r="F485" s="214"/>
      <c r="G485" s="214"/>
      <c r="H485" s="214"/>
      <c r="I485" s="214"/>
      <c r="J485" s="214"/>
      <c r="K485" s="264"/>
      <c r="L485" s="264"/>
      <c r="M485" s="264"/>
      <c r="N485" s="264"/>
      <c r="O485" s="264"/>
      <c r="P485" s="264"/>
      <c r="Q485" s="264"/>
      <c r="R485" s="264"/>
      <c r="S485" s="264"/>
      <c r="T485" s="264"/>
    </row>
    <row r="486" spans="2:20" ht="13.5" customHeight="1" outlineLevel="1">
      <c r="B486" s="214" t="s">
        <v>533</v>
      </c>
      <c r="C486" s="214"/>
      <c r="D486" s="214"/>
      <c r="E486" s="214"/>
      <c r="F486" s="214"/>
      <c r="G486" s="214"/>
      <c r="H486" s="214"/>
      <c r="I486" s="214"/>
      <c r="J486" s="265"/>
      <c r="K486" s="267">
        <f t="shared" ref="K486:T486" si="394">K577*IF(avg_int,AVERAGE(K481,K484),K481)</f>
        <v>0</v>
      </c>
      <c r="L486" s="267">
        <f t="shared" ca="1" si="394"/>
        <v>0</v>
      </c>
      <c r="M486" s="267">
        <f t="shared" ca="1" si="394"/>
        <v>0</v>
      </c>
      <c r="N486" s="267">
        <f t="shared" ca="1" si="394"/>
        <v>0</v>
      </c>
      <c r="O486" s="267">
        <f t="shared" ca="1" si="394"/>
        <v>0</v>
      </c>
      <c r="P486" s="267">
        <f t="shared" ca="1" si="394"/>
        <v>0</v>
      </c>
      <c r="Q486" s="267">
        <f t="shared" ca="1" si="394"/>
        <v>0</v>
      </c>
      <c r="R486" s="267">
        <f t="shared" ca="1" si="394"/>
        <v>0</v>
      </c>
      <c r="S486" s="267">
        <f t="shared" ca="1" si="394"/>
        <v>0</v>
      </c>
      <c r="T486" s="267">
        <f t="shared" ca="1" si="394"/>
        <v>0</v>
      </c>
    </row>
    <row r="487" spans="2:20" ht="5.0999999999999996" customHeight="1" outlineLevel="1" thickBot="1">
      <c r="B487" s="144"/>
      <c r="C487" s="144"/>
      <c r="D487" s="144"/>
      <c r="E487" s="144"/>
      <c r="F487" s="144"/>
      <c r="G487" s="144"/>
      <c r="H487" s="144"/>
      <c r="I487" s="144"/>
      <c r="J487" s="144"/>
      <c r="K487" s="269"/>
      <c r="L487" s="269"/>
      <c r="M487" s="269"/>
      <c r="N487" s="269"/>
      <c r="O487" s="269"/>
      <c r="P487" s="269"/>
      <c r="Q487" s="269"/>
      <c r="R487" s="269"/>
      <c r="S487" s="269"/>
      <c r="T487" s="269"/>
    </row>
    <row r="488" spans="2:20" ht="13.5" customHeight="1" outlineLevel="1">
      <c r="K488" s="252"/>
      <c r="L488" s="252"/>
      <c r="M488" s="252"/>
      <c r="N488" s="252"/>
      <c r="O488" s="252"/>
      <c r="P488" s="252"/>
      <c r="Q488" s="252"/>
      <c r="R488" s="252"/>
      <c r="S488" s="252"/>
      <c r="T488" s="252"/>
    </row>
    <row r="489" spans="2:20" ht="13.5" customHeight="1" outlineLevel="1">
      <c r="B489" s="255" t="str">
        <f>B837</f>
        <v>Senior note</v>
      </c>
      <c r="C489" s="256"/>
      <c r="D489" s="256"/>
      <c r="E489" s="256"/>
      <c r="F489" s="256"/>
      <c r="G489" s="256"/>
      <c r="H489" s="256"/>
      <c r="I489" s="256"/>
      <c r="J489" s="256"/>
      <c r="K489" s="257"/>
      <c r="L489" s="257"/>
      <c r="M489" s="257"/>
      <c r="N489" s="257"/>
      <c r="O489" s="257"/>
      <c r="P489" s="257"/>
      <c r="Q489" s="257"/>
      <c r="R489" s="257"/>
      <c r="S489" s="257"/>
      <c r="T489" s="257"/>
    </row>
    <row r="490" spans="2:20" ht="13.5" customHeight="1" outlineLevel="1">
      <c r="B490" s="214" t="s">
        <v>342</v>
      </c>
      <c r="C490" s="214"/>
      <c r="D490" s="214"/>
      <c r="E490" s="214"/>
      <c r="F490" s="214"/>
      <c r="G490" s="214"/>
      <c r="H490" s="214"/>
      <c r="I490" s="214"/>
      <c r="J490" s="214"/>
      <c r="K490" s="204">
        <f>J493</f>
        <v>100</v>
      </c>
      <c r="L490" s="204">
        <f ca="1">K493</f>
        <v>100</v>
      </c>
      <c r="M490" s="204">
        <f t="shared" ref="M490:T490" ca="1" si="395">L493</f>
        <v>100</v>
      </c>
      <c r="N490" s="204">
        <f t="shared" ca="1" si="395"/>
        <v>100</v>
      </c>
      <c r="O490" s="204">
        <f t="shared" ca="1" si="395"/>
        <v>100</v>
      </c>
      <c r="P490" s="204">
        <f t="shared" ca="1" si="395"/>
        <v>100</v>
      </c>
      <c r="Q490" s="204">
        <f t="shared" ca="1" si="395"/>
        <v>100</v>
      </c>
      <c r="R490" s="204">
        <f t="shared" ca="1" si="395"/>
        <v>100</v>
      </c>
      <c r="S490" s="204">
        <f t="shared" ca="1" si="395"/>
        <v>0</v>
      </c>
      <c r="T490" s="204">
        <f t="shared" ca="1" si="395"/>
        <v>0</v>
      </c>
    </row>
    <row r="491" spans="2:20" ht="13.5" customHeight="1" outlineLevel="1">
      <c r="B491" s="214" t="s">
        <v>518</v>
      </c>
      <c r="C491" s="214"/>
      <c r="D491" s="214"/>
      <c r="E491" s="214"/>
      <c r="F491" s="214"/>
      <c r="G491" s="214"/>
      <c r="H491" s="214"/>
      <c r="I491" s="214"/>
      <c r="J491" s="214"/>
      <c r="K491" s="209">
        <f t="shared" ref="K491:T491" si="396">-MIN(K490,K401*$J493)</f>
        <v>0</v>
      </c>
      <c r="L491" s="209">
        <f t="shared" ca="1" si="396"/>
        <v>0</v>
      </c>
      <c r="M491" s="209">
        <f t="shared" ca="1" si="396"/>
        <v>0</v>
      </c>
      <c r="N491" s="209">
        <f t="shared" ca="1" si="396"/>
        <v>0</v>
      </c>
      <c r="O491" s="209">
        <f t="shared" ca="1" si="396"/>
        <v>0</v>
      </c>
      <c r="P491" s="209">
        <f t="shared" ca="1" si="396"/>
        <v>0</v>
      </c>
      <c r="Q491" s="209">
        <f t="shared" ca="1" si="396"/>
        <v>0</v>
      </c>
      <c r="R491" s="209">
        <f t="shared" ca="1" si="396"/>
        <v>-100</v>
      </c>
      <c r="S491" s="209">
        <f t="shared" ca="1" si="396"/>
        <v>0</v>
      </c>
      <c r="T491" s="209">
        <f t="shared" ca="1" si="396"/>
        <v>0</v>
      </c>
    </row>
    <row r="492" spans="2:20" ht="13.5" customHeight="1" outlineLevel="1">
      <c r="B492" s="214" t="s">
        <v>519</v>
      </c>
      <c r="C492" s="214"/>
      <c r="D492" s="214"/>
      <c r="E492" s="214"/>
      <c r="F492" s="214"/>
      <c r="G492" s="214"/>
      <c r="H492" s="214"/>
      <c r="I492" s="214"/>
      <c r="J492" s="214"/>
      <c r="K492" s="209">
        <f t="shared" ref="K492:T492" ca="1" si="397">K435</f>
        <v>0</v>
      </c>
      <c r="L492" s="209">
        <f t="shared" ca="1" si="397"/>
        <v>0</v>
      </c>
      <c r="M492" s="209">
        <f t="shared" ca="1" si="397"/>
        <v>0</v>
      </c>
      <c r="N492" s="209">
        <f t="shared" ca="1" si="397"/>
        <v>0</v>
      </c>
      <c r="O492" s="209">
        <f t="shared" ca="1" si="397"/>
        <v>0</v>
      </c>
      <c r="P492" s="209">
        <f t="shared" ca="1" si="397"/>
        <v>0</v>
      </c>
      <c r="Q492" s="209">
        <f t="shared" ca="1" si="397"/>
        <v>0</v>
      </c>
      <c r="R492" s="209">
        <f t="shared" ca="1" si="397"/>
        <v>0</v>
      </c>
      <c r="S492" s="209">
        <f t="shared" ca="1" si="397"/>
        <v>0</v>
      </c>
      <c r="T492" s="209">
        <f t="shared" ca="1" si="397"/>
        <v>0</v>
      </c>
    </row>
    <row r="493" spans="2:20" ht="13.5" customHeight="1" outlineLevel="1">
      <c r="B493" s="261" t="s">
        <v>343</v>
      </c>
      <c r="C493" s="261"/>
      <c r="D493" s="261"/>
      <c r="E493" s="261"/>
      <c r="F493" s="261"/>
      <c r="G493" s="261"/>
      <c r="H493" s="261"/>
      <c r="I493" s="261"/>
      <c r="J493" s="262">
        <f>O837</f>
        <v>100</v>
      </c>
      <c r="K493" s="268">
        <f t="shared" ref="K493:T493" ca="1" si="398">SUM(K490:K492)</f>
        <v>100</v>
      </c>
      <c r="L493" s="268">
        <f t="shared" ca="1" si="398"/>
        <v>100</v>
      </c>
      <c r="M493" s="268">
        <f t="shared" ca="1" si="398"/>
        <v>100</v>
      </c>
      <c r="N493" s="268">
        <f t="shared" ca="1" si="398"/>
        <v>100</v>
      </c>
      <c r="O493" s="268">
        <f t="shared" ca="1" si="398"/>
        <v>100</v>
      </c>
      <c r="P493" s="268">
        <f t="shared" ca="1" si="398"/>
        <v>100</v>
      </c>
      <c r="Q493" s="268">
        <f t="shared" ca="1" si="398"/>
        <v>100</v>
      </c>
      <c r="R493" s="268">
        <f t="shared" ca="1" si="398"/>
        <v>0</v>
      </c>
      <c r="S493" s="268">
        <f t="shared" ca="1" si="398"/>
        <v>0</v>
      </c>
      <c r="T493" s="268">
        <f t="shared" ca="1" si="398"/>
        <v>0</v>
      </c>
    </row>
    <row r="494" spans="2:20" ht="13.5" customHeight="1" outlineLevel="1">
      <c r="B494" s="214"/>
      <c r="C494" s="214"/>
      <c r="D494" s="214"/>
      <c r="E494" s="214"/>
      <c r="F494" s="214"/>
      <c r="G494" s="214"/>
      <c r="H494" s="214"/>
      <c r="I494" s="214"/>
      <c r="J494" s="214"/>
      <c r="K494" s="264"/>
      <c r="L494" s="264"/>
      <c r="M494" s="264"/>
      <c r="N494" s="264"/>
      <c r="O494" s="264"/>
      <c r="P494" s="264"/>
      <c r="Q494" s="264"/>
      <c r="R494" s="264"/>
      <c r="S494" s="264"/>
      <c r="T494" s="264"/>
    </row>
    <row r="495" spans="2:20" ht="13.5" customHeight="1" outlineLevel="1">
      <c r="B495" s="214" t="s">
        <v>533</v>
      </c>
      <c r="C495" s="214"/>
      <c r="D495" s="214"/>
      <c r="E495" s="214"/>
      <c r="F495" s="214"/>
      <c r="G495" s="214"/>
      <c r="H495" s="214"/>
      <c r="I495" s="214"/>
      <c r="J495" s="265"/>
      <c r="K495" s="267">
        <f t="shared" ref="K495:T495" si="399">K578*IF(avg_int,AVERAGE(K490,K493),K490)</f>
        <v>9.2799999999999994</v>
      </c>
      <c r="L495" s="267">
        <f t="shared" ca="1" si="399"/>
        <v>9.7155500000000004</v>
      </c>
      <c r="M495" s="267">
        <f t="shared" ca="1" si="399"/>
        <v>10.239725</v>
      </c>
      <c r="N495" s="267">
        <f t="shared" ca="1" si="399"/>
        <v>10.660400000000001</v>
      </c>
      <c r="O495" s="267">
        <f t="shared" ca="1" si="399"/>
        <v>11.073675000000001</v>
      </c>
      <c r="P495" s="267">
        <f t="shared" ca="1" si="399"/>
        <v>11.3315</v>
      </c>
      <c r="Q495" s="267">
        <f t="shared" ca="1" si="399"/>
        <v>11.480550000000001</v>
      </c>
      <c r="R495" s="267">
        <f t="shared" ca="1" si="399"/>
        <v>11.612350000000001</v>
      </c>
      <c r="S495" s="267">
        <f t="shared" ca="1" si="399"/>
        <v>0</v>
      </c>
      <c r="T495" s="267">
        <f t="shared" ca="1" si="399"/>
        <v>0</v>
      </c>
    </row>
    <row r="496" spans="2:20" ht="5.0999999999999996" customHeight="1" outlineLevel="1" thickBot="1">
      <c r="B496" s="144"/>
      <c r="C496" s="144"/>
      <c r="D496" s="144"/>
      <c r="E496" s="144"/>
      <c r="F496" s="144"/>
      <c r="G496" s="144"/>
      <c r="H496" s="144"/>
      <c r="I496" s="144"/>
      <c r="J496" s="144"/>
      <c r="K496" s="269"/>
      <c r="L496" s="269"/>
      <c r="M496" s="269"/>
      <c r="N496" s="269"/>
      <c r="O496" s="269"/>
      <c r="P496" s="269"/>
      <c r="Q496" s="269"/>
      <c r="R496" s="269"/>
      <c r="S496" s="269"/>
      <c r="T496" s="269"/>
    </row>
    <row r="497" spans="2:20" ht="13.5" customHeight="1" outlineLevel="1">
      <c r="K497" s="252"/>
      <c r="L497" s="252"/>
      <c r="M497" s="252"/>
      <c r="N497" s="252"/>
      <c r="O497" s="252"/>
      <c r="P497" s="252"/>
      <c r="Q497" s="252"/>
      <c r="R497" s="252"/>
      <c r="S497" s="252"/>
      <c r="T497" s="252"/>
    </row>
    <row r="498" spans="2:20" ht="13.5" customHeight="1" outlineLevel="1">
      <c r="B498" s="255" t="str">
        <f>B838</f>
        <v>Subordinated note</v>
      </c>
      <c r="C498" s="256"/>
      <c r="D498" s="256"/>
      <c r="E498" s="256"/>
      <c r="F498" s="256"/>
      <c r="G498" s="256"/>
      <c r="H498" s="256"/>
      <c r="I498" s="256"/>
      <c r="J498" s="256"/>
      <c r="K498" s="257"/>
      <c r="L498" s="257"/>
      <c r="M498" s="257"/>
      <c r="N498" s="257"/>
      <c r="O498" s="257"/>
      <c r="P498" s="257"/>
      <c r="Q498" s="257"/>
      <c r="R498" s="257"/>
      <c r="S498" s="257"/>
      <c r="T498" s="257"/>
    </row>
    <row r="499" spans="2:20" ht="13.5" customHeight="1" outlineLevel="1">
      <c r="B499" s="214" t="s">
        <v>342</v>
      </c>
      <c r="C499" s="214"/>
      <c r="D499" s="214"/>
      <c r="E499" s="214"/>
      <c r="F499" s="214"/>
      <c r="G499" s="214"/>
      <c r="H499" s="214"/>
      <c r="I499" s="214"/>
      <c r="J499" s="214"/>
      <c r="K499" s="204">
        <f>J502</f>
        <v>50</v>
      </c>
      <c r="L499" s="204">
        <f ca="1">K502</f>
        <v>50</v>
      </c>
      <c r="M499" s="204">
        <f t="shared" ref="M499:T499" ca="1" si="400">L502</f>
        <v>50</v>
      </c>
      <c r="N499" s="204">
        <f t="shared" ca="1" si="400"/>
        <v>50</v>
      </c>
      <c r="O499" s="204">
        <f t="shared" ca="1" si="400"/>
        <v>50</v>
      </c>
      <c r="P499" s="204">
        <f t="shared" ca="1" si="400"/>
        <v>50</v>
      </c>
      <c r="Q499" s="204">
        <f t="shared" ca="1" si="400"/>
        <v>0</v>
      </c>
      <c r="R499" s="204">
        <f t="shared" ca="1" si="400"/>
        <v>0</v>
      </c>
      <c r="S499" s="204">
        <f t="shared" ca="1" si="400"/>
        <v>0</v>
      </c>
      <c r="T499" s="204">
        <f t="shared" ca="1" si="400"/>
        <v>0</v>
      </c>
    </row>
    <row r="500" spans="2:20" ht="13.5" customHeight="1" outlineLevel="1">
      <c r="B500" s="214" t="s">
        <v>518</v>
      </c>
      <c r="C500" s="214"/>
      <c r="D500" s="214"/>
      <c r="E500" s="214"/>
      <c r="F500" s="214"/>
      <c r="G500" s="214"/>
      <c r="H500" s="214"/>
      <c r="I500" s="214"/>
      <c r="J500" s="214"/>
      <c r="K500" s="209">
        <f t="shared" ref="K500:T500" si="401">-MIN(K499,K402*$J502)</f>
        <v>0</v>
      </c>
      <c r="L500" s="209">
        <f t="shared" ca="1" si="401"/>
        <v>0</v>
      </c>
      <c r="M500" s="209">
        <f t="shared" ca="1" si="401"/>
        <v>0</v>
      </c>
      <c r="N500" s="209">
        <f t="shared" ca="1" si="401"/>
        <v>0</v>
      </c>
      <c r="O500" s="209">
        <f t="shared" ca="1" si="401"/>
        <v>0</v>
      </c>
      <c r="P500" s="209">
        <f t="shared" ca="1" si="401"/>
        <v>-50</v>
      </c>
      <c r="Q500" s="209">
        <f t="shared" ca="1" si="401"/>
        <v>0</v>
      </c>
      <c r="R500" s="209">
        <f t="shared" ca="1" si="401"/>
        <v>0</v>
      </c>
      <c r="S500" s="209">
        <f t="shared" ca="1" si="401"/>
        <v>0</v>
      </c>
      <c r="T500" s="209">
        <f t="shared" ca="1" si="401"/>
        <v>0</v>
      </c>
    </row>
    <row r="501" spans="2:20" ht="13.5" customHeight="1" outlineLevel="1">
      <c r="B501" s="214" t="s">
        <v>519</v>
      </c>
      <c r="C501" s="214"/>
      <c r="D501" s="214"/>
      <c r="E501" s="214"/>
      <c r="F501" s="214"/>
      <c r="G501" s="214"/>
      <c r="H501" s="214"/>
      <c r="I501" s="214"/>
      <c r="J501" s="214"/>
      <c r="K501" s="209">
        <f t="shared" ref="K501:T501" ca="1" si="402">K436</f>
        <v>0</v>
      </c>
      <c r="L501" s="209">
        <f t="shared" ca="1" si="402"/>
        <v>0</v>
      </c>
      <c r="M501" s="209">
        <f t="shared" ca="1" si="402"/>
        <v>0</v>
      </c>
      <c r="N501" s="209">
        <f t="shared" ca="1" si="402"/>
        <v>0</v>
      </c>
      <c r="O501" s="209">
        <f t="shared" ca="1" si="402"/>
        <v>0</v>
      </c>
      <c r="P501" s="209">
        <f t="shared" ca="1" si="402"/>
        <v>0</v>
      </c>
      <c r="Q501" s="209">
        <f t="shared" ca="1" si="402"/>
        <v>0</v>
      </c>
      <c r="R501" s="209">
        <f t="shared" ca="1" si="402"/>
        <v>0</v>
      </c>
      <c r="S501" s="209">
        <f t="shared" ca="1" si="402"/>
        <v>0</v>
      </c>
      <c r="T501" s="209">
        <f t="shared" ca="1" si="402"/>
        <v>0</v>
      </c>
    </row>
    <row r="502" spans="2:20" ht="13.5" customHeight="1" outlineLevel="1">
      <c r="B502" s="261" t="s">
        <v>343</v>
      </c>
      <c r="C502" s="261"/>
      <c r="D502" s="261"/>
      <c r="E502" s="261"/>
      <c r="F502" s="261"/>
      <c r="G502" s="261"/>
      <c r="H502" s="261"/>
      <c r="I502" s="261"/>
      <c r="J502" s="262">
        <f>O838</f>
        <v>50</v>
      </c>
      <c r="K502" s="268">
        <f t="shared" ref="K502:T502" ca="1" si="403">SUM(K499:K501)</f>
        <v>50</v>
      </c>
      <c r="L502" s="268">
        <f t="shared" ca="1" si="403"/>
        <v>50</v>
      </c>
      <c r="M502" s="268">
        <f t="shared" ca="1" si="403"/>
        <v>50</v>
      </c>
      <c r="N502" s="268">
        <f t="shared" ca="1" si="403"/>
        <v>50</v>
      </c>
      <c r="O502" s="268">
        <f t="shared" ca="1" si="403"/>
        <v>50</v>
      </c>
      <c r="P502" s="268">
        <f t="shared" ca="1" si="403"/>
        <v>0</v>
      </c>
      <c r="Q502" s="268">
        <f t="shared" ca="1" si="403"/>
        <v>0</v>
      </c>
      <c r="R502" s="268">
        <f t="shared" ca="1" si="403"/>
        <v>0</v>
      </c>
      <c r="S502" s="268">
        <f t="shared" ca="1" si="403"/>
        <v>0</v>
      </c>
      <c r="T502" s="268">
        <f t="shared" ca="1" si="403"/>
        <v>0</v>
      </c>
    </row>
    <row r="503" spans="2:20" ht="13.5" customHeight="1" outlineLevel="1">
      <c r="B503" s="214"/>
      <c r="C503" s="214"/>
      <c r="D503" s="214"/>
      <c r="E503" s="214"/>
      <c r="F503" s="214"/>
      <c r="G503" s="214"/>
      <c r="H503" s="214"/>
      <c r="I503" s="214"/>
      <c r="J503" s="214"/>
      <c r="K503" s="264"/>
      <c r="L503" s="264"/>
      <c r="M503" s="264"/>
      <c r="N503" s="264"/>
      <c r="O503" s="264"/>
      <c r="P503" s="264"/>
      <c r="Q503" s="264"/>
      <c r="R503" s="264"/>
      <c r="S503" s="264"/>
      <c r="T503" s="264"/>
    </row>
    <row r="504" spans="2:20" ht="13.5" customHeight="1" outlineLevel="1">
      <c r="B504" s="214" t="s">
        <v>533</v>
      </c>
      <c r="C504" s="214"/>
      <c r="D504" s="214"/>
      <c r="E504" s="214"/>
      <c r="F504" s="214"/>
      <c r="G504" s="214"/>
      <c r="H504" s="214"/>
      <c r="I504" s="214"/>
      <c r="J504" s="265"/>
      <c r="K504" s="267">
        <f t="shared" ref="K504:T504" si="404">K579*IF(avg_int,AVERAGE(K499,K502),K499)</f>
        <v>5.125</v>
      </c>
      <c r="L504" s="267">
        <f t="shared" ca="1" si="404"/>
        <v>5.125</v>
      </c>
      <c r="M504" s="267">
        <f t="shared" ca="1" si="404"/>
        <v>5.125</v>
      </c>
      <c r="N504" s="267">
        <f t="shared" ca="1" si="404"/>
        <v>5.125</v>
      </c>
      <c r="O504" s="267">
        <f t="shared" ca="1" si="404"/>
        <v>5.125</v>
      </c>
      <c r="P504" s="267">
        <f t="shared" ca="1" si="404"/>
        <v>5.125</v>
      </c>
      <c r="Q504" s="267">
        <f t="shared" ca="1" si="404"/>
        <v>0</v>
      </c>
      <c r="R504" s="267">
        <f t="shared" ca="1" si="404"/>
        <v>0</v>
      </c>
      <c r="S504" s="267">
        <f t="shared" ca="1" si="404"/>
        <v>0</v>
      </c>
      <c r="T504" s="267">
        <f t="shared" ca="1" si="404"/>
        <v>0</v>
      </c>
    </row>
    <row r="505" spans="2:20" ht="5.0999999999999996" customHeight="1" outlineLevel="1" thickBot="1">
      <c r="B505" s="144"/>
      <c r="C505" s="144"/>
      <c r="D505" s="144"/>
      <c r="E505" s="144"/>
      <c r="F505" s="144"/>
      <c r="G505" s="144"/>
      <c r="H505" s="144"/>
      <c r="I505" s="144"/>
      <c r="J505" s="144"/>
      <c r="K505" s="269"/>
      <c r="L505" s="269"/>
      <c r="M505" s="269"/>
      <c r="N505" s="269"/>
      <c r="O505" s="269"/>
      <c r="P505" s="269"/>
      <c r="Q505" s="269"/>
      <c r="R505" s="269"/>
      <c r="S505" s="269"/>
      <c r="T505" s="269"/>
    </row>
    <row r="506" spans="2:20" ht="13.5" customHeight="1" outlineLevel="1">
      <c r="K506" s="252"/>
      <c r="L506" s="252"/>
      <c r="M506" s="252"/>
      <c r="N506" s="252"/>
      <c r="O506" s="252"/>
      <c r="P506" s="252"/>
      <c r="Q506" s="252"/>
      <c r="R506" s="252"/>
      <c r="S506" s="252"/>
      <c r="T506" s="252"/>
    </row>
    <row r="507" spans="2:20" ht="13.5" customHeight="1" outlineLevel="1">
      <c r="B507" s="255" t="str">
        <f>B839</f>
        <v>Mezzanine</v>
      </c>
      <c r="C507" s="256"/>
      <c r="D507" s="256"/>
      <c r="E507" s="256"/>
      <c r="F507" s="256"/>
      <c r="G507" s="256"/>
      <c r="H507" s="256"/>
      <c r="I507" s="256"/>
      <c r="J507" s="256"/>
      <c r="K507" s="257"/>
      <c r="L507" s="257"/>
      <c r="M507" s="257"/>
      <c r="N507" s="257"/>
      <c r="O507" s="257"/>
      <c r="P507" s="257"/>
      <c r="Q507" s="257"/>
      <c r="R507" s="257"/>
      <c r="S507" s="257"/>
      <c r="T507" s="257"/>
    </row>
    <row r="508" spans="2:20" ht="13.5" customHeight="1" outlineLevel="1">
      <c r="B508" s="214" t="s">
        <v>342</v>
      </c>
      <c r="C508" s="214"/>
      <c r="D508" s="214"/>
      <c r="E508" s="214"/>
      <c r="F508" s="214"/>
      <c r="G508" s="214"/>
      <c r="H508" s="214"/>
      <c r="I508" s="214"/>
      <c r="J508" s="214"/>
      <c r="K508" s="204">
        <f>J511</f>
        <v>0</v>
      </c>
      <c r="L508" s="204">
        <f ca="1">K511</f>
        <v>0</v>
      </c>
      <c r="M508" s="204">
        <f t="shared" ref="M508:T508" ca="1" si="405">L511</f>
        <v>0</v>
      </c>
      <c r="N508" s="204">
        <f t="shared" ca="1" si="405"/>
        <v>0</v>
      </c>
      <c r="O508" s="204">
        <f t="shared" ca="1" si="405"/>
        <v>0</v>
      </c>
      <c r="P508" s="204">
        <f t="shared" ca="1" si="405"/>
        <v>0</v>
      </c>
      <c r="Q508" s="204">
        <f t="shared" ca="1" si="405"/>
        <v>0</v>
      </c>
      <c r="R508" s="204">
        <f t="shared" ca="1" si="405"/>
        <v>0</v>
      </c>
      <c r="S508" s="204">
        <f t="shared" ca="1" si="405"/>
        <v>0</v>
      </c>
      <c r="T508" s="204">
        <f t="shared" ca="1" si="405"/>
        <v>0</v>
      </c>
    </row>
    <row r="509" spans="2:20" ht="13.5" customHeight="1" outlineLevel="1">
      <c r="B509" s="214" t="s">
        <v>518</v>
      </c>
      <c r="C509" s="214"/>
      <c r="D509" s="214"/>
      <c r="E509" s="214"/>
      <c r="F509" s="214"/>
      <c r="G509" s="214"/>
      <c r="H509" s="214"/>
      <c r="I509" s="214"/>
      <c r="J509" s="214"/>
      <c r="K509" s="209">
        <f t="shared" ref="K509:T509" si="406">-MIN(K508,K403*$J511)</f>
        <v>0</v>
      </c>
      <c r="L509" s="209">
        <f t="shared" ca="1" si="406"/>
        <v>0</v>
      </c>
      <c r="M509" s="209">
        <f t="shared" ca="1" si="406"/>
        <v>0</v>
      </c>
      <c r="N509" s="209">
        <f t="shared" ca="1" si="406"/>
        <v>0</v>
      </c>
      <c r="O509" s="209">
        <f t="shared" ca="1" si="406"/>
        <v>0</v>
      </c>
      <c r="P509" s="209">
        <f t="shared" ca="1" si="406"/>
        <v>0</v>
      </c>
      <c r="Q509" s="209">
        <f t="shared" ca="1" si="406"/>
        <v>0</v>
      </c>
      <c r="R509" s="209">
        <f t="shared" ca="1" si="406"/>
        <v>0</v>
      </c>
      <c r="S509" s="209">
        <f t="shared" ca="1" si="406"/>
        <v>0</v>
      </c>
      <c r="T509" s="209">
        <f t="shared" ca="1" si="406"/>
        <v>0</v>
      </c>
    </row>
    <row r="510" spans="2:20" ht="13.5" customHeight="1" outlineLevel="1">
      <c r="B510" s="214" t="s">
        <v>519</v>
      </c>
      <c r="C510" s="214"/>
      <c r="D510" s="214"/>
      <c r="E510" s="214"/>
      <c r="F510" s="214"/>
      <c r="G510" s="214"/>
      <c r="H510" s="214"/>
      <c r="I510" s="214"/>
      <c r="J510" s="214"/>
      <c r="K510" s="209">
        <f t="shared" ref="K510:T510" ca="1" si="407">K437</f>
        <v>0</v>
      </c>
      <c r="L510" s="209">
        <f t="shared" ca="1" si="407"/>
        <v>0</v>
      </c>
      <c r="M510" s="209">
        <f t="shared" ca="1" si="407"/>
        <v>0</v>
      </c>
      <c r="N510" s="209">
        <f t="shared" ca="1" si="407"/>
        <v>0</v>
      </c>
      <c r="O510" s="209">
        <f t="shared" ca="1" si="407"/>
        <v>0</v>
      </c>
      <c r="P510" s="209">
        <f t="shared" ca="1" si="407"/>
        <v>0</v>
      </c>
      <c r="Q510" s="209">
        <f t="shared" ca="1" si="407"/>
        <v>0</v>
      </c>
      <c r="R510" s="209">
        <f t="shared" ca="1" si="407"/>
        <v>0</v>
      </c>
      <c r="S510" s="209">
        <f t="shared" ca="1" si="407"/>
        <v>0</v>
      </c>
      <c r="T510" s="209">
        <f t="shared" ca="1" si="407"/>
        <v>0</v>
      </c>
    </row>
    <row r="511" spans="2:20" ht="13.5" customHeight="1" outlineLevel="1">
      <c r="B511" s="261" t="s">
        <v>343</v>
      </c>
      <c r="C511" s="261"/>
      <c r="D511" s="261"/>
      <c r="E511" s="261"/>
      <c r="F511" s="261"/>
      <c r="G511" s="261"/>
      <c r="H511" s="261"/>
      <c r="I511" s="261"/>
      <c r="J511" s="262">
        <f>O839</f>
        <v>0</v>
      </c>
      <c r="K511" s="268">
        <f t="shared" ref="K511:T511" ca="1" si="408">SUM(K508:K510)</f>
        <v>0</v>
      </c>
      <c r="L511" s="268">
        <f t="shared" ca="1" si="408"/>
        <v>0</v>
      </c>
      <c r="M511" s="268">
        <f t="shared" ca="1" si="408"/>
        <v>0</v>
      </c>
      <c r="N511" s="268">
        <f t="shared" ca="1" si="408"/>
        <v>0</v>
      </c>
      <c r="O511" s="268">
        <f t="shared" ca="1" si="408"/>
        <v>0</v>
      </c>
      <c r="P511" s="268">
        <f t="shared" ca="1" si="408"/>
        <v>0</v>
      </c>
      <c r="Q511" s="268">
        <f t="shared" ca="1" si="408"/>
        <v>0</v>
      </c>
      <c r="R511" s="268">
        <f t="shared" ca="1" si="408"/>
        <v>0</v>
      </c>
      <c r="S511" s="268">
        <f t="shared" ca="1" si="408"/>
        <v>0</v>
      </c>
      <c r="T511" s="268">
        <f t="shared" ca="1" si="408"/>
        <v>0</v>
      </c>
    </row>
    <row r="512" spans="2:20" ht="13.5" customHeight="1" outlineLevel="1">
      <c r="B512" s="214"/>
      <c r="C512" s="214"/>
      <c r="D512" s="214"/>
      <c r="E512" s="214"/>
      <c r="F512" s="214"/>
      <c r="G512" s="214"/>
      <c r="H512" s="214"/>
      <c r="I512" s="214"/>
      <c r="J512" s="214"/>
      <c r="K512" s="264"/>
      <c r="L512" s="264"/>
      <c r="M512" s="264"/>
      <c r="N512" s="264"/>
      <c r="O512" s="264"/>
      <c r="P512" s="264"/>
      <c r="Q512" s="264"/>
      <c r="R512" s="264"/>
      <c r="S512" s="264"/>
      <c r="T512" s="264"/>
    </row>
    <row r="513" spans="2:20" ht="13.5" customHeight="1" outlineLevel="1">
      <c r="B513" s="214" t="s">
        <v>533</v>
      </c>
      <c r="C513" s="214"/>
      <c r="D513" s="214"/>
      <c r="E513" s="214"/>
      <c r="F513" s="214"/>
      <c r="G513" s="214"/>
      <c r="H513" s="214"/>
      <c r="I513" s="214"/>
      <c r="J513" s="265"/>
      <c r="K513" s="267">
        <f t="shared" ref="K513:T513" si="409">K580*IF(avg_int,AVERAGE(K508,K511),K508)</f>
        <v>0</v>
      </c>
      <c r="L513" s="267">
        <f t="shared" ca="1" si="409"/>
        <v>0</v>
      </c>
      <c r="M513" s="267">
        <f t="shared" ca="1" si="409"/>
        <v>0</v>
      </c>
      <c r="N513" s="267">
        <f t="shared" ca="1" si="409"/>
        <v>0</v>
      </c>
      <c r="O513" s="267">
        <f t="shared" ca="1" si="409"/>
        <v>0</v>
      </c>
      <c r="P513" s="267">
        <f t="shared" ca="1" si="409"/>
        <v>0</v>
      </c>
      <c r="Q513" s="267">
        <f t="shared" ca="1" si="409"/>
        <v>0</v>
      </c>
      <c r="R513" s="267">
        <f t="shared" ca="1" si="409"/>
        <v>0</v>
      </c>
      <c r="S513" s="267">
        <f t="shared" ca="1" si="409"/>
        <v>0</v>
      </c>
      <c r="T513" s="267">
        <f t="shared" ca="1" si="409"/>
        <v>0</v>
      </c>
    </row>
    <row r="514" spans="2:20" ht="5.0999999999999996" customHeight="1" outlineLevel="1" thickBot="1">
      <c r="B514" s="144"/>
      <c r="C514" s="144"/>
      <c r="D514" s="144"/>
      <c r="E514" s="144"/>
      <c r="F514" s="144"/>
      <c r="G514" s="144"/>
      <c r="H514" s="144"/>
      <c r="I514" s="144"/>
      <c r="J514" s="144"/>
      <c r="K514" s="269"/>
      <c r="L514" s="269"/>
      <c r="M514" s="269"/>
      <c r="N514" s="269"/>
      <c r="O514" s="269"/>
      <c r="P514" s="269"/>
      <c r="Q514" s="269"/>
      <c r="R514" s="269"/>
      <c r="S514" s="269"/>
      <c r="T514" s="269"/>
    </row>
    <row r="515" spans="2:20" ht="13.5" customHeight="1" outlineLevel="1">
      <c r="K515" s="252"/>
      <c r="L515" s="252"/>
      <c r="M515" s="252"/>
      <c r="N515" s="252"/>
      <c r="O515" s="252"/>
      <c r="P515" s="252"/>
      <c r="Q515" s="252"/>
      <c r="R515" s="252"/>
      <c r="S515" s="252"/>
      <c r="T515" s="252"/>
    </row>
    <row r="516" spans="2:20" ht="13.5" customHeight="1" outlineLevel="1">
      <c r="B516" s="255" t="str">
        <f>B840</f>
        <v>Seller note</v>
      </c>
      <c r="C516" s="256"/>
      <c r="D516" s="256"/>
      <c r="E516" s="256"/>
      <c r="F516" s="256"/>
      <c r="G516" s="256"/>
      <c r="H516" s="256"/>
      <c r="I516" s="256"/>
      <c r="J516" s="256"/>
      <c r="K516" s="257"/>
      <c r="L516" s="257"/>
      <c r="M516" s="257"/>
      <c r="N516" s="257"/>
      <c r="O516" s="257"/>
      <c r="P516" s="257"/>
      <c r="Q516" s="257"/>
      <c r="R516" s="257"/>
      <c r="S516" s="257"/>
      <c r="T516" s="257"/>
    </row>
    <row r="517" spans="2:20" ht="13.5" customHeight="1" outlineLevel="1">
      <c r="B517" s="214" t="s">
        <v>342</v>
      </c>
      <c r="C517" s="214"/>
      <c r="D517" s="214"/>
      <c r="E517" s="214"/>
      <c r="F517" s="214"/>
      <c r="G517" s="214"/>
      <c r="H517" s="214"/>
      <c r="I517" s="214"/>
      <c r="J517" s="214"/>
      <c r="K517" s="204">
        <f>J520</f>
        <v>0</v>
      </c>
      <c r="L517" s="204">
        <f ca="1">K520</f>
        <v>0</v>
      </c>
      <c r="M517" s="204">
        <f t="shared" ref="M517:T517" ca="1" si="410">L520</f>
        <v>0</v>
      </c>
      <c r="N517" s="204">
        <f t="shared" ca="1" si="410"/>
        <v>0</v>
      </c>
      <c r="O517" s="204">
        <f t="shared" ca="1" si="410"/>
        <v>0</v>
      </c>
      <c r="P517" s="204">
        <f t="shared" ca="1" si="410"/>
        <v>0</v>
      </c>
      <c r="Q517" s="204">
        <f t="shared" ca="1" si="410"/>
        <v>0</v>
      </c>
      <c r="R517" s="204">
        <f t="shared" ca="1" si="410"/>
        <v>0</v>
      </c>
      <c r="S517" s="204">
        <f t="shared" ca="1" si="410"/>
        <v>0</v>
      </c>
      <c r="T517" s="204">
        <f t="shared" ca="1" si="410"/>
        <v>0</v>
      </c>
    </row>
    <row r="518" spans="2:20" ht="13.5" customHeight="1" outlineLevel="1">
      <c r="B518" s="214" t="s">
        <v>518</v>
      </c>
      <c r="C518" s="214"/>
      <c r="D518" s="214"/>
      <c r="E518" s="214"/>
      <c r="F518" s="214"/>
      <c r="G518" s="214"/>
      <c r="H518" s="214"/>
      <c r="I518" s="214"/>
      <c r="J518" s="214"/>
      <c r="K518" s="209">
        <f t="shared" ref="K518:T518" si="411">-MIN(K517,K404*$J520)</f>
        <v>0</v>
      </c>
      <c r="L518" s="209">
        <f t="shared" ca="1" si="411"/>
        <v>0</v>
      </c>
      <c r="M518" s="209">
        <f t="shared" ca="1" si="411"/>
        <v>0</v>
      </c>
      <c r="N518" s="209">
        <f t="shared" ca="1" si="411"/>
        <v>0</v>
      </c>
      <c r="O518" s="209">
        <f t="shared" ca="1" si="411"/>
        <v>0</v>
      </c>
      <c r="P518" s="209">
        <f t="shared" ca="1" si="411"/>
        <v>0</v>
      </c>
      <c r="Q518" s="209">
        <f t="shared" ca="1" si="411"/>
        <v>0</v>
      </c>
      <c r="R518" s="209">
        <f t="shared" ca="1" si="411"/>
        <v>0</v>
      </c>
      <c r="S518" s="209">
        <f t="shared" ca="1" si="411"/>
        <v>0</v>
      </c>
      <c r="T518" s="209">
        <f t="shared" ca="1" si="411"/>
        <v>0</v>
      </c>
    </row>
    <row r="519" spans="2:20" ht="13.5" customHeight="1" outlineLevel="1">
      <c r="B519" s="214" t="s">
        <v>519</v>
      </c>
      <c r="C519" s="214"/>
      <c r="D519" s="214"/>
      <c r="E519" s="214"/>
      <c r="F519" s="214"/>
      <c r="G519" s="214"/>
      <c r="H519" s="214"/>
      <c r="I519" s="214"/>
      <c r="J519" s="214"/>
      <c r="K519" s="209">
        <f t="shared" ref="K519:T519" ca="1" si="412">K438</f>
        <v>0</v>
      </c>
      <c r="L519" s="209">
        <f t="shared" ca="1" si="412"/>
        <v>0</v>
      </c>
      <c r="M519" s="209">
        <f t="shared" ca="1" si="412"/>
        <v>0</v>
      </c>
      <c r="N519" s="209">
        <f t="shared" ca="1" si="412"/>
        <v>0</v>
      </c>
      <c r="O519" s="209">
        <f t="shared" ca="1" si="412"/>
        <v>0</v>
      </c>
      <c r="P519" s="209">
        <f t="shared" ca="1" si="412"/>
        <v>0</v>
      </c>
      <c r="Q519" s="209">
        <f t="shared" ca="1" si="412"/>
        <v>0</v>
      </c>
      <c r="R519" s="209">
        <f t="shared" ca="1" si="412"/>
        <v>0</v>
      </c>
      <c r="S519" s="209">
        <f t="shared" ca="1" si="412"/>
        <v>0</v>
      </c>
      <c r="T519" s="209">
        <f t="shared" ca="1" si="412"/>
        <v>0</v>
      </c>
    </row>
    <row r="520" spans="2:20" ht="13.5" customHeight="1" outlineLevel="1">
      <c r="B520" s="261" t="s">
        <v>343</v>
      </c>
      <c r="C520" s="261"/>
      <c r="D520" s="261"/>
      <c r="E520" s="261"/>
      <c r="F520" s="261"/>
      <c r="G520" s="261"/>
      <c r="H520" s="261"/>
      <c r="I520" s="261"/>
      <c r="J520" s="262">
        <f>O840</f>
        <v>0</v>
      </c>
      <c r="K520" s="268">
        <f t="shared" ref="K520:T520" ca="1" si="413">SUM(K517:K519)</f>
        <v>0</v>
      </c>
      <c r="L520" s="268">
        <f t="shared" ca="1" si="413"/>
        <v>0</v>
      </c>
      <c r="M520" s="268">
        <f t="shared" ca="1" si="413"/>
        <v>0</v>
      </c>
      <c r="N520" s="268">
        <f t="shared" ca="1" si="413"/>
        <v>0</v>
      </c>
      <c r="O520" s="268">
        <f t="shared" ca="1" si="413"/>
        <v>0</v>
      </c>
      <c r="P520" s="268">
        <f t="shared" ca="1" si="413"/>
        <v>0</v>
      </c>
      <c r="Q520" s="268">
        <f t="shared" ca="1" si="413"/>
        <v>0</v>
      </c>
      <c r="R520" s="268">
        <f t="shared" ca="1" si="413"/>
        <v>0</v>
      </c>
      <c r="S520" s="268">
        <f t="shared" ca="1" si="413"/>
        <v>0</v>
      </c>
      <c r="T520" s="268">
        <f t="shared" ca="1" si="413"/>
        <v>0</v>
      </c>
    </row>
    <row r="521" spans="2:20" ht="13.5" customHeight="1" outlineLevel="1">
      <c r="B521" s="214"/>
      <c r="C521" s="214"/>
      <c r="D521" s="214"/>
      <c r="E521" s="214"/>
      <c r="F521" s="214"/>
      <c r="G521" s="214"/>
      <c r="H521" s="214"/>
      <c r="I521" s="214"/>
      <c r="J521" s="214"/>
      <c r="K521" s="264"/>
      <c r="L521" s="264"/>
      <c r="M521" s="264"/>
      <c r="N521" s="264"/>
      <c r="O521" s="264"/>
      <c r="P521" s="264"/>
      <c r="Q521" s="264"/>
      <c r="R521" s="264"/>
      <c r="S521" s="264"/>
      <c r="T521" s="264"/>
    </row>
    <row r="522" spans="2:20" ht="13.5" customHeight="1" outlineLevel="1">
      <c r="B522" s="214" t="s">
        <v>533</v>
      </c>
      <c r="C522" s="214"/>
      <c r="D522" s="214"/>
      <c r="E522" s="214"/>
      <c r="F522" s="214"/>
      <c r="G522" s="214"/>
      <c r="H522" s="214"/>
      <c r="I522" s="214"/>
      <c r="J522" s="265"/>
      <c r="K522" s="267">
        <f t="shared" ref="K522:T522" si="414">K581*IF(avg_int,AVERAGE(K517,K520),K517)</f>
        <v>0</v>
      </c>
      <c r="L522" s="267">
        <f t="shared" ca="1" si="414"/>
        <v>0</v>
      </c>
      <c r="M522" s="267">
        <f t="shared" ca="1" si="414"/>
        <v>0</v>
      </c>
      <c r="N522" s="267">
        <f t="shared" ca="1" si="414"/>
        <v>0</v>
      </c>
      <c r="O522" s="267">
        <f t="shared" ca="1" si="414"/>
        <v>0</v>
      </c>
      <c r="P522" s="267">
        <f t="shared" ca="1" si="414"/>
        <v>0</v>
      </c>
      <c r="Q522" s="267">
        <f t="shared" ca="1" si="414"/>
        <v>0</v>
      </c>
      <c r="R522" s="267">
        <f t="shared" ca="1" si="414"/>
        <v>0</v>
      </c>
      <c r="S522" s="267">
        <f t="shared" ca="1" si="414"/>
        <v>0</v>
      </c>
      <c r="T522" s="267">
        <f t="shared" ca="1" si="414"/>
        <v>0</v>
      </c>
    </row>
    <row r="523" spans="2:20" ht="5.0999999999999996" customHeight="1" outlineLevel="1" thickBot="1">
      <c r="B523" s="144"/>
      <c r="C523" s="144"/>
      <c r="D523" s="144"/>
      <c r="E523" s="144"/>
      <c r="F523" s="144"/>
      <c r="G523" s="144"/>
      <c r="H523" s="144"/>
      <c r="I523" s="144"/>
      <c r="J523" s="144"/>
      <c r="K523" s="269"/>
      <c r="L523" s="269"/>
      <c r="M523" s="269"/>
      <c r="N523" s="269"/>
      <c r="O523" s="269"/>
      <c r="P523" s="269"/>
      <c r="Q523" s="269"/>
      <c r="R523" s="269"/>
      <c r="S523" s="269"/>
      <c r="T523" s="269"/>
    </row>
    <row r="524" spans="2:20" ht="13.5" customHeight="1" outlineLevel="1">
      <c r="K524" s="252"/>
      <c r="L524" s="252"/>
      <c r="M524" s="252"/>
      <c r="N524" s="252"/>
      <c r="O524" s="252"/>
      <c r="P524" s="252"/>
      <c r="Q524" s="252"/>
      <c r="R524" s="252"/>
      <c r="S524" s="252"/>
      <c r="T524" s="252"/>
    </row>
    <row r="525" spans="2:20" ht="13.5" customHeight="1" outlineLevel="1">
      <c r="B525" s="255" t="str">
        <f>B841</f>
        <v>Convertible bond</v>
      </c>
      <c r="C525" s="256"/>
      <c r="D525" s="256"/>
      <c r="E525" s="256"/>
      <c r="F525" s="256"/>
      <c r="G525" s="256"/>
      <c r="H525" s="256"/>
      <c r="I525" s="256"/>
      <c r="J525" s="256"/>
      <c r="K525" s="257"/>
      <c r="L525" s="257"/>
      <c r="M525" s="257"/>
      <c r="N525" s="257"/>
      <c r="O525" s="257"/>
      <c r="P525" s="257"/>
      <c r="Q525" s="257"/>
      <c r="R525" s="257"/>
      <c r="S525" s="257"/>
      <c r="T525" s="257"/>
    </row>
    <row r="526" spans="2:20" ht="13.5" customHeight="1" outlineLevel="1">
      <c r="B526" s="214" t="s">
        <v>342</v>
      </c>
      <c r="C526" s="214"/>
      <c r="D526" s="214"/>
      <c r="E526" s="214"/>
      <c r="F526" s="214"/>
      <c r="G526" s="214"/>
      <c r="H526" s="214"/>
      <c r="I526" s="214"/>
      <c r="J526" s="214"/>
      <c r="K526" s="204">
        <f>J529</f>
        <v>0</v>
      </c>
      <c r="L526" s="204">
        <f ca="1">K529</f>
        <v>0</v>
      </c>
      <c r="M526" s="204">
        <f t="shared" ref="M526:T526" ca="1" si="415">L529</f>
        <v>0</v>
      </c>
      <c r="N526" s="204">
        <f t="shared" ca="1" si="415"/>
        <v>0</v>
      </c>
      <c r="O526" s="204">
        <f t="shared" ca="1" si="415"/>
        <v>0</v>
      </c>
      <c r="P526" s="204">
        <f t="shared" ca="1" si="415"/>
        <v>0</v>
      </c>
      <c r="Q526" s="204">
        <f t="shared" ca="1" si="415"/>
        <v>0</v>
      </c>
      <c r="R526" s="204">
        <f t="shared" ca="1" si="415"/>
        <v>0</v>
      </c>
      <c r="S526" s="204">
        <f t="shared" ca="1" si="415"/>
        <v>0</v>
      </c>
      <c r="T526" s="204">
        <f t="shared" ca="1" si="415"/>
        <v>0</v>
      </c>
    </row>
    <row r="527" spans="2:20" ht="13.5" customHeight="1" outlineLevel="1">
      <c r="B527" s="214" t="s">
        <v>518</v>
      </c>
      <c r="C527" s="214"/>
      <c r="D527" s="214"/>
      <c r="E527" s="214"/>
      <c r="F527" s="214"/>
      <c r="G527" s="214"/>
      <c r="H527" s="214"/>
      <c r="I527" s="214"/>
      <c r="J527" s="214"/>
      <c r="K527" s="209">
        <f t="shared" ref="K527:T527" si="416">-MIN(K526,K405*$J529)</f>
        <v>0</v>
      </c>
      <c r="L527" s="209">
        <f t="shared" ca="1" si="416"/>
        <v>0</v>
      </c>
      <c r="M527" s="209">
        <f t="shared" ca="1" si="416"/>
        <v>0</v>
      </c>
      <c r="N527" s="209">
        <f t="shared" ca="1" si="416"/>
        <v>0</v>
      </c>
      <c r="O527" s="209">
        <f t="shared" ca="1" si="416"/>
        <v>0</v>
      </c>
      <c r="P527" s="209">
        <f t="shared" ca="1" si="416"/>
        <v>0</v>
      </c>
      <c r="Q527" s="209">
        <f t="shared" ca="1" si="416"/>
        <v>0</v>
      </c>
      <c r="R527" s="209">
        <f t="shared" ca="1" si="416"/>
        <v>0</v>
      </c>
      <c r="S527" s="209">
        <f t="shared" ca="1" si="416"/>
        <v>0</v>
      </c>
      <c r="T527" s="209">
        <f t="shared" ca="1" si="416"/>
        <v>0</v>
      </c>
    </row>
    <row r="528" spans="2:20" ht="13.5" customHeight="1" outlineLevel="1">
      <c r="B528" s="214" t="s">
        <v>519</v>
      </c>
      <c r="C528" s="214"/>
      <c r="D528" s="214"/>
      <c r="E528" s="214"/>
      <c r="F528" s="214"/>
      <c r="G528" s="214"/>
      <c r="H528" s="214"/>
      <c r="I528" s="214"/>
      <c r="J528" s="214"/>
      <c r="K528" s="209">
        <f t="shared" ref="K528:T528" ca="1" si="417">K439</f>
        <v>0</v>
      </c>
      <c r="L528" s="209">
        <f t="shared" ca="1" si="417"/>
        <v>0</v>
      </c>
      <c r="M528" s="209">
        <f t="shared" ca="1" si="417"/>
        <v>0</v>
      </c>
      <c r="N528" s="209">
        <f t="shared" ca="1" si="417"/>
        <v>0</v>
      </c>
      <c r="O528" s="209">
        <f t="shared" ca="1" si="417"/>
        <v>0</v>
      </c>
      <c r="P528" s="209">
        <f t="shared" ca="1" si="417"/>
        <v>0</v>
      </c>
      <c r="Q528" s="209">
        <f t="shared" ca="1" si="417"/>
        <v>0</v>
      </c>
      <c r="R528" s="209">
        <f t="shared" ca="1" si="417"/>
        <v>0</v>
      </c>
      <c r="S528" s="209">
        <f t="shared" ca="1" si="417"/>
        <v>0</v>
      </c>
      <c r="T528" s="209">
        <f t="shared" ca="1" si="417"/>
        <v>0</v>
      </c>
    </row>
    <row r="529" spans="2:20" ht="13.5" customHeight="1" outlineLevel="1">
      <c r="B529" s="261" t="s">
        <v>343</v>
      </c>
      <c r="C529" s="261"/>
      <c r="D529" s="261"/>
      <c r="E529" s="261"/>
      <c r="F529" s="261"/>
      <c r="G529" s="261"/>
      <c r="H529" s="261"/>
      <c r="I529" s="261"/>
      <c r="J529" s="262">
        <f>O841</f>
        <v>0</v>
      </c>
      <c r="K529" s="268">
        <f t="shared" ref="K529:T529" ca="1" si="418">SUM(K526:K528)</f>
        <v>0</v>
      </c>
      <c r="L529" s="268">
        <f t="shared" ca="1" si="418"/>
        <v>0</v>
      </c>
      <c r="M529" s="268">
        <f t="shared" ca="1" si="418"/>
        <v>0</v>
      </c>
      <c r="N529" s="268">
        <f t="shared" ca="1" si="418"/>
        <v>0</v>
      </c>
      <c r="O529" s="268">
        <f t="shared" ca="1" si="418"/>
        <v>0</v>
      </c>
      <c r="P529" s="268">
        <f t="shared" ca="1" si="418"/>
        <v>0</v>
      </c>
      <c r="Q529" s="268">
        <f t="shared" ca="1" si="418"/>
        <v>0</v>
      </c>
      <c r="R529" s="268">
        <f t="shared" ca="1" si="418"/>
        <v>0</v>
      </c>
      <c r="S529" s="268">
        <f t="shared" ca="1" si="418"/>
        <v>0</v>
      </c>
      <c r="T529" s="268">
        <f t="shared" ca="1" si="418"/>
        <v>0</v>
      </c>
    </row>
    <row r="530" spans="2:20" ht="13.5" customHeight="1" outlineLevel="1">
      <c r="B530" s="214"/>
      <c r="C530" s="214"/>
      <c r="D530" s="214"/>
      <c r="E530" s="214"/>
      <c r="F530" s="214"/>
      <c r="G530" s="214"/>
      <c r="H530" s="214"/>
      <c r="I530" s="214"/>
      <c r="J530" s="214"/>
      <c r="K530" s="264"/>
      <c r="L530" s="264"/>
      <c r="M530" s="264"/>
      <c r="N530" s="264"/>
      <c r="O530" s="264"/>
      <c r="P530" s="264"/>
      <c r="Q530" s="264"/>
      <c r="R530" s="264"/>
      <c r="S530" s="264"/>
      <c r="T530" s="264"/>
    </row>
    <row r="531" spans="2:20" ht="13.5" customHeight="1" outlineLevel="1">
      <c r="B531" s="214" t="s">
        <v>533</v>
      </c>
      <c r="C531" s="214"/>
      <c r="D531" s="214"/>
      <c r="E531" s="214"/>
      <c r="F531" s="214"/>
      <c r="G531" s="214"/>
      <c r="H531" s="214"/>
      <c r="I531" s="214"/>
      <c r="J531" s="265"/>
      <c r="K531" s="267">
        <f t="shared" ref="K531:T531" si="419">K582*IF(avg_int,AVERAGE(K526,K529),K526)</f>
        <v>0</v>
      </c>
      <c r="L531" s="267">
        <f t="shared" ca="1" si="419"/>
        <v>0</v>
      </c>
      <c r="M531" s="267">
        <f t="shared" ca="1" si="419"/>
        <v>0</v>
      </c>
      <c r="N531" s="267">
        <f t="shared" ca="1" si="419"/>
        <v>0</v>
      </c>
      <c r="O531" s="267">
        <f t="shared" ca="1" si="419"/>
        <v>0</v>
      </c>
      <c r="P531" s="267">
        <f t="shared" ca="1" si="419"/>
        <v>0</v>
      </c>
      <c r="Q531" s="267">
        <f t="shared" ca="1" si="419"/>
        <v>0</v>
      </c>
      <c r="R531" s="267">
        <f t="shared" ca="1" si="419"/>
        <v>0</v>
      </c>
      <c r="S531" s="267">
        <f t="shared" ca="1" si="419"/>
        <v>0</v>
      </c>
      <c r="T531" s="267">
        <f t="shared" ca="1" si="419"/>
        <v>0</v>
      </c>
    </row>
    <row r="532" spans="2:20" ht="5.0999999999999996" customHeight="1" outlineLevel="1" thickBot="1">
      <c r="B532" s="144"/>
      <c r="C532" s="144"/>
      <c r="D532" s="144"/>
      <c r="E532" s="144"/>
      <c r="F532" s="144"/>
      <c r="G532" s="144"/>
      <c r="H532" s="144"/>
      <c r="I532" s="144"/>
      <c r="J532" s="144"/>
      <c r="K532" s="269"/>
      <c r="L532" s="269"/>
      <c r="M532" s="269"/>
      <c r="N532" s="269"/>
      <c r="O532" s="269"/>
      <c r="P532" s="269"/>
      <c r="Q532" s="269"/>
      <c r="R532" s="269"/>
      <c r="S532" s="269"/>
      <c r="T532" s="269"/>
    </row>
    <row r="533" spans="2:20" ht="13.5" customHeight="1" outlineLevel="1">
      <c r="K533" s="252"/>
      <c r="L533" s="252"/>
      <c r="M533" s="252"/>
      <c r="N533" s="252"/>
      <c r="O533" s="252"/>
      <c r="P533" s="252"/>
      <c r="Q533" s="252"/>
      <c r="R533" s="252"/>
      <c r="S533" s="252"/>
      <c r="T533" s="252"/>
    </row>
    <row r="534" spans="2:20" ht="13.5" customHeight="1" outlineLevel="1">
      <c r="B534" s="255" t="str">
        <f>B842</f>
        <v>[Debt 8]</v>
      </c>
      <c r="C534" s="256"/>
      <c r="D534" s="256"/>
      <c r="E534" s="256"/>
      <c r="F534" s="256"/>
      <c r="G534" s="256"/>
      <c r="H534" s="256"/>
      <c r="I534" s="256"/>
      <c r="J534" s="256"/>
      <c r="K534" s="257"/>
      <c r="L534" s="257"/>
      <c r="M534" s="257"/>
      <c r="N534" s="257"/>
      <c r="O534" s="257"/>
      <c r="P534" s="257"/>
      <c r="Q534" s="257"/>
      <c r="R534" s="257"/>
      <c r="S534" s="257"/>
      <c r="T534" s="257"/>
    </row>
    <row r="535" spans="2:20" ht="13.5" customHeight="1" outlineLevel="1">
      <c r="B535" s="214" t="s">
        <v>342</v>
      </c>
      <c r="C535" s="214"/>
      <c r="D535" s="214"/>
      <c r="E535" s="214"/>
      <c r="F535" s="214"/>
      <c r="G535" s="214"/>
      <c r="H535" s="214"/>
      <c r="I535" s="214"/>
      <c r="J535" s="214"/>
      <c r="K535" s="204">
        <f>J538</f>
        <v>0</v>
      </c>
      <c r="L535" s="204">
        <f ca="1">K538</f>
        <v>0</v>
      </c>
      <c r="M535" s="204">
        <f t="shared" ref="M535:T535" ca="1" si="420">L538</f>
        <v>0</v>
      </c>
      <c r="N535" s="204">
        <f t="shared" ca="1" si="420"/>
        <v>0</v>
      </c>
      <c r="O535" s="204">
        <f t="shared" ca="1" si="420"/>
        <v>0</v>
      </c>
      <c r="P535" s="204">
        <f t="shared" ca="1" si="420"/>
        <v>0</v>
      </c>
      <c r="Q535" s="204">
        <f t="shared" ca="1" si="420"/>
        <v>0</v>
      </c>
      <c r="R535" s="204">
        <f t="shared" ca="1" si="420"/>
        <v>0</v>
      </c>
      <c r="S535" s="204">
        <f t="shared" ca="1" si="420"/>
        <v>0</v>
      </c>
      <c r="T535" s="204">
        <f t="shared" ca="1" si="420"/>
        <v>0</v>
      </c>
    </row>
    <row r="536" spans="2:20" ht="13.5" customHeight="1" outlineLevel="1">
      <c r="B536" s="214" t="s">
        <v>518</v>
      </c>
      <c r="C536" s="214"/>
      <c r="D536" s="214"/>
      <c r="E536" s="214"/>
      <c r="F536" s="214"/>
      <c r="G536" s="214"/>
      <c r="H536" s="214"/>
      <c r="I536" s="214"/>
      <c r="J536" s="214"/>
      <c r="K536" s="209">
        <f t="shared" ref="K536:T536" si="421">-MIN(K535,K406*$J538)</f>
        <v>0</v>
      </c>
      <c r="L536" s="209">
        <f t="shared" ca="1" si="421"/>
        <v>0</v>
      </c>
      <c r="M536" s="209">
        <f t="shared" ca="1" si="421"/>
        <v>0</v>
      </c>
      <c r="N536" s="209">
        <f t="shared" ca="1" si="421"/>
        <v>0</v>
      </c>
      <c r="O536" s="209">
        <f t="shared" ca="1" si="421"/>
        <v>0</v>
      </c>
      <c r="P536" s="209">
        <f t="shared" ca="1" si="421"/>
        <v>0</v>
      </c>
      <c r="Q536" s="209">
        <f t="shared" ca="1" si="421"/>
        <v>0</v>
      </c>
      <c r="R536" s="209">
        <f t="shared" ca="1" si="421"/>
        <v>0</v>
      </c>
      <c r="S536" s="209">
        <f t="shared" ca="1" si="421"/>
        <v>0</v>
      </c>
      <c r="T536" s="209">
        <f t="shared" ca="1" si="421"/>
        <v>0</v>
      </c>
    </row>
    <row r="537" spans="2:20" ht="13.5" customHeight="1" outlineLevel="1">
      <c r="B537" s="214" t="s">
        <v>519</v>
      </c>
      <c r="C537" s="214"/>
      <c r="D537" s="214"/>
      <c r="E537" s="214"/>
      <c r="F537" s="214"/>
      <c r="G537" s="214"/>
      <c r="H537" s="214"/>
      <c r="I537" s="214"/>
      <c r="J537" s="214"/>
      <c r="K537" s="209">
        <f t="shared" ref="K537:T537" ca="1" si="422">K440</f>
        <v>0</v>
      </c>
      <c r="L537" s="209">
        <f t="shared" ca="1" si="422"/>
        <v>0</v>
      </c>
      <c r="M537" s="209">
        <f t="shared" ca="1" si="422"/>
        <v>0</v>
      </c>
      <c r="N537" s="209">
        <f t="shared" ca="1" si="422"/>
        <v>0</v>
      </c>
      <c r="O537" s="209">
        <f t="shared" ca="1" si="422"/>
        <v>0</v>
      </c>
      <c r="P537" s="209">
        <f t="shared" ca="1" si="422"/>
        <v>0</v>
      </c>
      <c r="Q537" s="209">
        <f t="shared" ca="1" si="422"/>
        <v>0</v>
      </c>
      <c r="R537" s="209">
        <f t="shared" ca="1" si="422"/>
        <v>0</v>
      </c>
      <c r="S537" s="209">
        <f t="shared" ca="1" si="422"/>
        <v>0</v>
      </c>
      <c r="T537" s="209">
        <f t="shared" ca="1" si="422"/>
        <v>0</v>
      </c>
    </row>
    <row r="538" spans="2:20" ht="13.5" customHeight="1" outlineLevel="1">
      <c r="B538" s="261" t="s">
        <v>343</v>
      </c>
      <c r="C538" s="261"/>
      <c r="D538" s="261"/>
      <c r="E538" s="261"/>
      <c r="F538" s="261"/>
      <c r="G538" s="261"/>
      <c r="H538" s="261"/>
      <c r="I538" s="261"/>
      <c r="J538" s="262">
        <f>O842</f>
        <v>0</v>
      </c>
      <c r="K538" s="268">
        <f t="shared" ref="K538:T538" ca="1" si="423">SUM(K535:K537)</f>
        <v>0</v>
      </c>
      <c r="L538" s="268">
        <f t="shared" ca="1" si="423"/>
        <v>0</v>
      </c>
      <c r="M538" s="268">
        <f t="shared" ca="1" si="423"/>
        <v>0</v>
      </c>
      <c r="N538" s="268">
        <f t="shared" ca="1" si="423"/>
        <v>0</v>
      </c>
      <c r="O538" s="268">
        <f t="shared" ca="1" si="423"/>
        <v>0</v>
      </c>
      <c r="P538" s="268">
        <f t="shared" ca="1" si="423"/>
        <v>0</v>
      </c>
      <c r="Q538" s="268">
        <f t="shared" ca="1" si="423"/>
        <v>0</v>
      </c>
      <c r="R538" s="268">
        <f t="shared" ca="1" si="423"/>
        <v>0</v>
      </c>
      <c r="S538" s="268">
        <f t="shared" ca="1" si="423"/>
        <v>0</v>
      </c>
      <c r="T538" s="268">
        <f t="shared" ca="1" si="423"/>
        <v>0</v>
      </c>
    </row>
    <row r="539" spans="2:20" ht="13.5" customHeight="1" outlineLevel="1">
      <c r="B539" s="214"/>
      <c r="C539" s="214"/>
      <c r="D539" s="214"/>
      <c r="E539" s="214"/>
      <c r="F539" s="214"/>
      <c r="G539" s="214"/>
      <c r="H539" s="214"/>
      <c r="I539" s="214"/>
      <c r="J539" s="214"/>
      <c r="K539" s="264"/>
      <c r="L539" s="264"/>
      <c r="M539" s="264"/>
      <c r="N539" s="264"/>
      <c r="O539" s="264"/>
      <c r="P539" s="264"/>
      <c r="Q539" s="264"/>
      <c r="R539" s="264"/>
      <c r="S539" s="264"/>
      <c r="T539" s="264"/>
    </row>
    <row r="540" spans="2:20" ht="13.5" customHeight="1" outlineLevel="1">
      <c r="B540" s="214" t="s">
        <v>533</v>
      </c>
      <c r="C540" s="214"/>
      <c r="D540" s="214"/>
      <c r="E540" s="214"/>
      <c r="F540" s="214"/>
      <c r="G540" s="214"/>
      <c r="H540" s="214"/>
      <c r="I540" s="214"/>
      <c r="J540" s="265"/>
      <c r="K540" s="267">
        <f t="shared" ref="K540:T540" si="424">K583*IF(avg_int,AVERAGE(K535,K538),K535)</f>
        <v>0</v>
      </c>
      <c r="L540" s="267">
        <f t="shared" ca="1" si="424"/>
        <v>0</v>
      </c>
      <c r="M540" s="267">
        <f t="shared" ca="1" si="424"/>
        <v>0</v>
      </c>
      <c r="N540" s="267">
        <f t="shared" ca="1" si="424"/>
        <v>0</v>
      </c>
      <c r="O540" s="267">
        <f t="shared" ca="1" si="424"/>
        <v>0</v>
      </c>
      <c r="P540" s="267">
        <f t="shared" ca="1" si="424"/>
        <v>0</v>
      </c>
      <c r="Q540" s="267">
        <f t="shared" ca="1" si="424"/>
        <v>0</v>
      </c>
      <c r="R540" s="267">
        <f t="shared" ca="1" si="424"/>
        <v>0</v>
      </c>
      <c r="S540" s="267">
        <f t="shared" ca="1" si="424"/>
        <v>0</v>
      </c>
      <c r="T540" s="267">
        <f t="shared" ca="1" si="424"/>
        <v>0</v>
      </c>
    </row>
    <row r="541" spans="2:20" ht="5.0999999999999996" customHeight="1" outlineLevel="1" thickBot="1">
      <c r="B541" s="144"/>
      <c r="C541" s="144"/>
      <c r="D541" s="144"/>
      <c r="E541" s="144"/>
      <c r="F541" s="144"/>
      <c r="G541" s="144"/>
      <c r="H541" s="144"/>
      <c r="I541" s="144"/>
      <c r="J541" s="144"/>
      <c r="K541" s="269"/>
      <c r="L541" s="269"/>
      <c r="M541" s="269"/>
      <c r="N541" s="269"/>
      <c r="O541" s="269"/>
      <c r="P541" s="269"/>
      <c r="Q541" s="269"/>
      <c r="R541" s="269"/>
      <c r="S541" s="269"/>
      <c r="T541" s="269"/>
    </row>
    <row r="542" spans="2:20" ht="13.5" customHeight="1" outlineLevel="1">
      <c r="K542" s="252"/>
      <c r="L542" s="252"/>
      <c r="M542" s="252"/>
      <c r="N542" s="252"/>
      <c r="O542" s="252"/>
      <c r="P542" s="252"/>
      <c r="Q542" s="252"/>
      <c r="R542" s="252"/>
      <c r="S542" s="252"/>
      <c r="T542" s="252"/>
    </row>
    <row r="543" spans="2:20" ht="13.5" customHeight="1" outlineLevel="1">
      <c r="B543" s="255" t="str">
        <f>B843</f>
        <v>Preferred stock - A</v>
      </c>
      <c r="C543" s="256"/>
      <c r="D543" s="256"/>
      <c r="E543" s="256"/>
      <c r="F543" s="256"/>
      <c r="G543" s="256"/>
      <c r="H543" s="256"/>
      <c r="I543" s="256"/>
      <c r="J543" s="256"/>
      <c r="K543" s="257"/>
      <c r="L543" s="257"/>
      <c r="M543" s="257"/>
      <c r="N543" s="257"/>
      <c r="O543" s="257"/>
      <c r="P543" s="257"/>
      <c r="Q543" s="257"/>
      <c r="R543" s="257"/>
      <c r="S543" s="257"/>
      <c r="T543" s="257"/>
    </row>
    <row r="544" spans="2:20" ht="13.5" customHeight="1" outlineLevel="1">
      <c r="B544" s="214" t="s">
        <v>342</v>
      </c>
      <c r="C544" s="214"/>
      <c r="D544" s="214"/>
      <c r="E544" s="214"/>
      <c r="F544" s="214"/>
      <c r="G544" s="214"/>
      <c r="H544" s="214"/>
      <c r="I544" s="214"/>
      <c r="J544" s="214"/>
      <c r="K544" s="204">
        <f>J547</f>
        <v>10</v>
      </c>
      <c r="L544" s="204">
        <f ca="1">K547</f>
        <v>10</v>
      </c>
      <c r="M544" s="204">
        <f t="shared" ref="M544:T544" ca="1" si="425">L547</f>
        <v>10</v>
      </c>
      <c r="N544" s="204">
        <f t="shared" ca="1" si="425"/>
        <v>10</v>
      </c>
      <c r="O544" s="204">
        <f t="shared" ca="1" si="425"/>
        <v>10</v>
      </c>
      <c r="P544" s="204">
        <f t="shared" ca="1" si="425"/>
        <v>10</v>
      </c>
      <c r="Q544" s="204">
        <f t="shared" ca="1" si="425"/>
        <v>10</v>
      </c>
      <c r="R544" s="204">
        <f t="shared" ca="1" si="425"/>
        <v>10</v>
      </c>
      <c r="S544" s="204">
        <f t="shared" ca="1" si="425"/>
        <v>10</v>
      </c>
      <c r="T544" s="204">
        <f t="shared" ca="1" si="425"/>
        <v>10</v>
      </c>
    </row>
    <row r="545" spans="2:20" ht="13.5" customHeight="1" outlineLevel="1">
      <c r="B545" s="214" t="s">
        <v>518</v>
      </c>
      <c r="C545" s="214"/>
      <c r="D545" s="214"/>
      <c r="E545" s="214"/>
      <c r="F545" s="214"/>
      <c r="G545" s="214"/>
      <c r="H545" s="214"/>
      <c r="I545" s="214"/>
      <c r="J545" s="214"/>
      <c r="K545" s="209">
        <f t="shared" ref="K545:T545" si="426">-MIN(K544,K407*$J547)</f>
        <v>0</v>
      </c>
      <c r="L545" s="209">
        <f t="shared" ca="1" si="426"/>
        <v>0</v>
      </c>
      <c r="M545" s="209">
        <f t="shared" ca="1" si="426"/>
        <v>0</v>
      </c>
      <c r="N545" s="209">
        <f t="shared" ca="1" si="426"/>
        <v>0</v>
      </c>
      <c r="O545" s="209">
        <f t="shared" ca="1" si="426"/>
        <v>0</v>
      </c>
      <c r="P545" s="209">
        <f t="shared" ca="1" si="426"/>
        <v>0</v>
      </c>
      <c r="Q545" s="209">
        <f t="shared" ca="1" si="426"/>
        <v>0</v>
      </c>
      <c r="R545" s="209">
        <f t="shared" ca="1" si="426"/>
        <v>0</v>
      </c>
      <c r="S545" s="209">
        <f t="shared" ca="1" si="426"/>
        <v>0</v>
      </c>
      <c r="T545" s="209">
        <f t="shared" ca="1" si="426"/>
        <v>0</v>
      </c>
    </row>
    <row r="546" spans="2:20" ht="13.5" customHeight="1" outlineLevel="1">
      <c r="B546" s="214" t="s">
        <v>519</v>
      </c>
      <c r="C546" s="214"/>
      <c r="D546" s="214"/>
      <c r="E546" s="214"/>
      <c r="F546" s="214"/>
      <c r="G546" s="214"/>
      <c r="H546" s="214"/>
      <c r="I546" s="214"/>
      <c r="J546" s="214"/>
      <c r="K546" s="209">
        <f t="shared" ref="K546:T546" ca="1" si="427">K441</f>
        <v>0</v>
      </c>
      <c r="L546" s="209">
        <f t="shared" ca="1" si="427"/>
        <v>0</v>
      </c>
      <c r="M546" s="209">
        <f t="shared" ca="1" si="427"/>
        <v>0</v>
      </c>
      <c r="N546" s="209">
        <f t="shared" ca="1" si="427"/>
        <v>0</v>
      </c>
      <c r="O546" s="209">
        <f t="shared" ca="1" si="427"/>
        <v>0</v>
      </c>
      <c r="P546" s="209">
        <f t="shared" ca="1" si="427"/>
        <v>0</v>
      </c>
      <c r="Q546" s="209">
        <f t="shared" ca="1" si="427"/>
        <v>0</v>
      </c>
      <c r="R546" s="209">
        <f t="shared" ca="1" si="427"/>
        <v>0</v>
      </c>
      <c r="S546" s="209">
        <f t="shared" ca="1" si="427"/>
        <v>0</v>
      </c>
      <c r="T546" s="209">
        <f t="shared" ca="1" si="427"/>
        <v>0</v>
      </c>
    </row>
    <row r="547" spans="2:20" ht="13.5" customHeight="1" outlineLevel="1">
      <c r="B547" s="261" t="s">
        <v>343</v>
      </c>
      <c r="C547" s="261"/>
      <c r="D547" s="261"/>
      <c r="E547" s="261"/>
      <c r="F547" s="261"/>
      <c r="G547" s="261"/>
      <c r="H547" s="261"/>
      <c r="I547" s="261"/>
      <c r="J547" s="262">
        <f>O843</f>
        <v>10</v>
      </c>
      <c r="K547" s="268">
        <f t="shared" ref="K547:T547" ca="1" si="428">SUM(K544:K546)</f>
        <v>10</v>
      </c>
      <c r="L547" s="268">
        <f t="shared" ca="1" si="428"/>
        <v>10</v>
      </c>
      <c r="M547" s="268">
        <f t="shared" ca="1" si="428"/>
        <v>10</v>
      </c>
      <c r="N547" s="268">
        <f t="shared" ca="1" si="428"/>
        <v>10</v>
      </c>
      <c r="O547" s="268">
        <f t="shared" ca="1" si="428"/>
        <v>10</v>
      </c>
      <c r="P547" s="268">
        <f t="shared" ca="1" si="428"/>
        <v>10</v>
      </c>
      <c r="Q547" s="268">
        <f t="shared" ca="1" si="428"/>
        <v>10</v>
      </c>
      <c r="R547" s="268">
        <f t="shared" ca="1" si="428"/>
        <v>10</v>
      </c>
      <c r="S547" s="268">
        <f t="shared" ca="1" si="428"/>
        <v>10</v>
      </c>
      <c r="T547" s="268">
        <f t="shared" ca="1" si="428"/>
        <v>10</v>
      </c>
    </row>
    <row r="548" spans="2:20" ht="13.5" customHeight="1" outlineLevel="1">
      <c r="B548" s="214"/>
      <c r="C548" s="214"/>
      <c r="D548" s="214"/>
      <c r="E548" s="214"/>
      <c r="F548" s="214"/>
      <c r="G548" s="214"/>
      <c r="H548" s="214"/>
      <c r="I548" s="214"/>
      <c r="J548" s="214"/>
      <c r="K548" s="264"/>
      <c r="L548" s="264"/>
      <c r="M548" s="264"/>
      <c r="N548" s="264"/>
      <c r="O548" s="264"/>
      <c r="P548" s="264"/>
      <c r="Q548" s="264"/>
      <c r="R548" s="264"/>
      <c r="S548" s="264"/>
      <c r="T548" s="264"/>
    </row>
    <row r="549" spans="2:20" ht="13.5" customHeight="1" outlineLevel="1">
      <c r="B549" s="214" t="s">
        <v>533</v>
      </c>
      <c r="C549" s="214"/>
      <c r="D549" s="214"/>
      <c r="E549" s="214"/>
      <c r="F549" s="214"/>
      <c r="G549" s="214"/>
      <c r="H549" s="214"/>
      <c r="I549" s="214"/>
      <c r="J549" s="265"/>
      <c r="K549" s="267">
        <f t="shared" ref="K549:T549" si="429">K584*IF(avg_int,AVERAGE(K544,K547),K544)</f>
        <v>1.2</v>
      </c>
      <c r="L549" s="267">
        <f t="shared" ca="1" si="429"/>
        <v>1.2</v>
      </c>
      <c r="M549" s="267">
        <f t="shared" ca="1" si="429"/>
        <v>1.2</v>
      </c>
      <c r="N549" s="267">
        <f t="shared" ca="1" si="429"/>
        <v>1.2</v>
      </c>
      <c r="O549" s="267">
        <f t="shared" ca="1" si="429"/>
        <v>1.2</v>
      </c>
      <c r="P549" s="267">
        <f t="shared" ca="1" si="429"/>
        <v>1.2</v>
      </c>
      <c r="Q549" s="267">
        <f t="shared" ca="1" si="429"/>
        <v>1.2</v>
      </c>
      <c r="R549" s="267">
        <f t="shared" ca="1" si="429"/>
        <v>1.2</v>
      </c>
      <c r="S549" s="267">
        <f t="shared" ca="1" si="429"/>
        <v>1.2</v>
      </c>
      <c r="T549" s="267">
        <f t="shared" ca="1" si="429"/>
        <v>1.2</v>
      </c>
    </row>
    <row r="550" spans="2:20" ht="5.0999999999999996" customHeight="1" outlineLevel="1" thickBot="1">
      <c r="B550" s="144"/>
      <c r="C550" s="144"/>
      <c r="D550" s="144"/>
      <c r="E550" s="144"/>
      <c r="F550" s="144"/>
      <c r="G550" s="144"/>
      <c r="H550" s="144"/>
      <c r="I550" s="144"/>
      <c r="J550" s="144"/>
      <c r="K550" s="269"/>
      <c r="L550" s="269"/>
      <c r="M550" s="269"/>
      <c r="N550" s="269"/>
      <c r="O550" s="269"/>
      <c r="P550" s="269"/>
      <c r="Q550" s="269"/>
      <c r="R550" s="269"/>
      <c r="S550" s="269"/>
      <c r="T550" s="269"/>
    </row>
    <row r="551" spans="2:20" ht="13.5" customHeight="1" outlineLevel="1">
      <c r="K551" s="252"/>
      <c r="L551" s="252"/>
      <c r="M551" s="252"/>
      <c r="N551" s="252"/>
      <c r="O551" s="252"/>
      <c r="P551" s="252"/>
      <c r="Q551" s="252"/>
      <c r="R551" s="252"/>
      <c r="S551" s="252"/>
      <c r="T551" s="252"/>
    </row>
    <row r="552" spans="2:20" ht="13.5" customHeight="1" outlineLevel="1">
      <c r="B552" s="255" t="str">
        <f>B844</f>
        <v>Preferred stock - B</v>
      </c>
      <c r="C552" s="256"/>
      <c r="D552" s="256"/>
      <c r="E552" s="256"/>
      <c r="F552" s="256"/>
      <c r="G552" s="256"/>
      <c r="H552" s="256"/>
      <c r="I552" s="256"/>
      <c r="J552" s="256"/>
      <c r="K552" s="257"/>
      <c r="L552" s="257"/>
      <c r="M552" s="257"/>
      <c r="N552" s="257"/>
      <c r="O552" s="257"/>
      <c r="P552" s="257"/>
      <c r="Q552" s="257"/>
      <c r="R552" s="257"/>
      <c r="S552" s="257"/>
      <c r="T552" s="257"/>
    </row>
    <row r="553" spans="2:20" ht="13.5" customHeight="1" outlineLevel="1">
      <c r="B553" s="214" t="s">
        <v>342</v>
      </c>
      <c r="C553" s="214"/>
      <c r="D553" s="214"/>
      <c r="E553" s="214"/>
      <c r="F553" s="214"/>
      <c r="G553" s="214"/>
      <c r="H553" s="214"/>
      <c r="I553" s="214"/>
      <c r="J553" s="214"/>
      <c r="K553" s="204">
        <f>J556</f>
        <v>0</v>
      </c>
      <c r="L553" s="204">
        <f ca="1">K556</f>
        <v>0</v>
      </c>
      <c r="M553" s="204">
        <f t="shared" ref="M553:T553" ca="1" si="430">L556</f>
        <v>0</v>
      </c>
      <c r="N553" s="204">
        <f t="shared" ca="1" si="430"/>
        <v>0</v>
      </c>
      <c r="O553" s="204">
        <f t="shared" ca="1" si="430"/>
        <v>0</v>
      </c>
      <c r="P553" s="204">
        <f t="shared" ca="1" si="430"/>
        <v>0</v>
      </c>
      <c r="Q553" s="204">
        <f t="shared" ca="1" si="430"/>
        <v>0</v>
      </c>
      <c r="R553" s="204">
        <f t="shared" ca="1" si="430"/>
        <v>0</v>
      </c>
      <c r="S553" s="204">
        <f t="shared" ca="1" si="430"/>
        <v>0</v>
      </c>
      <c r="T553" s="204">
        <f t="shared" ca="1" si="430"/>
        <v>0</v>
      </c>
    </row>
    <row r="554" spans="2:20" ht="13.5" customHeight="1" outlineLevel="1">
      <c r="B554" s="214" t="s">
        <v>518</v>
      </c>
      <c r="C554" s="214"/>
      <c r="D554" s="214"/>
      <c r="E554" s="214"/>
      <c r="F554" s="214"/>
      <c r="G554" s="214"/>
      <c r="H554" s="214"/>
      <c r="I554" s="214"/>
      <c r="J554" s="214"/>
      <c r="K554" s="209">
        <f t="shared" ref="K554:T554" si="431">-MIN(K553,K408*$J556)</f>
        <v>0</v>
      </c>
      <c r="L554" s="209">
        <f t="shared" ca="1" si="431"/>
        <v>0</v>
      </c>
      <c r="M554" s="209">
        <f t="shared" ca="1" si="431"/>
        <v>0</v>
      </c>
      <c r="N554" s="209">
        <f t="shared" ca="1" si="431"/>
        <v>0</v>
      </c>
      <c r="O554" s="209">
        <f t="shared" ca="1" si="431"/>
        <v>0</v>
      </c>
      <c r="P554" s="209">
        <f t="shared" ca="1" si="431"/>
        <v>0</v>
      </c>
      <c r="Q554" s="209">
        <f t="shared" ca="1" si="431"/>
        <v>0</v>
      </c>
      <c r="R554" s="209">
        <f t="shared" ca="1" si="431"/>
        <v>0</v>
      </c>
      <c r="S554" s="209">
        <f t="shared" ca="1" si="431"/>
        <v>0</v>
      </c>
      <c r="T554" s="209">
        <f t="shared" ca="1" si="431"/>
        <v>0</v>
      </c>
    </row>
    <row r="555" spans="2:20" ht="13.5" customHeight="1" outlineLevel="1">
      <c r="B555" s="214" t="s">
        <v>519</v>
      </c>
      <c r="C555" s="214"/>
      <c r="D555" s="214"/>
      <c r="E555" s="214"/>
      <c r="F555" s="214"/>
      <c r="G555" s="214"/>
      <c r="H555" s="214"/>
      <c r="I555" s="214"/>
      <c r="J555" s="214"/>
      <c r="K555" s="209">
        <f t="shared" ref="K555:T555" ca="1" si="432">K442</f>
        <v>0</v>
      </c>
      <c r="L555" s="209">
        <f t="shared" ca="1" si="432"/>
        <v>0</v>
      </c>
      <c r="M555" s="209">
        <f t="shared" ca="1" si="432"/>
        <v>0</v>
      </c>
      <c r="N555" s="209">
        <f t="shared" ca="1" si="432"/>
        <v>0</v>
      </c>
      <c r="O555" s="209">
        <f t="shared" ca="1" si="432"/>
        <v>0</v>
      </c>
      <c r="P555" s="209">
        <f t="shared" ca="1" si="432"/>
        <v>0</v>
      </c>
      <c r="Q555" s="209">
        <f t="shared" ca="1" si="432"/>
        <v>0</v>
      </c>
      <c r="R555" s="209">
        <f t="shared" ca="1" si="432"/>
        <v>0</v>
      </c>
      <c r="S555" s="209">
        <f t="shared" ca="1" si="432"/>
        <v>0</v>
      </c>
      <c r="T555" s="209">
        <f t="shared" ca="1" si="432"/>
        <v>0</v>
      </c>
    </row>
    <row r="556" spans="2:20" ht="13.5" customHeight="1" outlineLevel="1">
      <c r="B556" s="261" t="s">
        <v>343</v>
      </c>
      <c r="C556" s="261"/>
      <c r="D556" s="261"/>
      <c r="E556" s="261"/>
      <c r="F556" s="261"/>
      <c r="G556" s="261"/>
      <c r="H556" s="261"/>
      <c r="I556" s="261"/>
      <c r="J556" s="262">
        <f>O844</f>
        <v>0</v>
      </c>
      <c r="K556" s="268">
        <f t="shared" ref="K556:T556" ca="1" si="433">SUM(K553:K555)</f>
        <v>0</v>
      </c>
      <c r="L556" s="268">
        <f t="shared" ca="1" si="433"/>
        <v>0</v>
      </c>
      <c r="M556" s="268">
        <f t="shared" ca="1" si="433"/>
        <v>0</v>
      </c>
      <c r="N556" s="268">
        <f t="shared" ca="1" si="433"/>
        <v>0</v>
      </c>
      <c r="O556" s="268">
        <f t="shared" ca="1" si="433"/>
        <v>0</v>
      </c>
      <c r="P556" s="268">
        <f t="shared" ca="1" si="433"/>
        <v>0</v>
      </c>
      <c r="Q556" s="268">
        <f t="shared" ca="1" si="433"/>
        <v>0</v>
      </c>
      <c r="R556" s="268">
        <f t="shared" ca="1" si="433"/>
        <v>0</v>
      </c>
      <c r="S556" s="268">
        <f t="shared" ca="1" si="433"/>
        <v>0</v>
      </c>
      <c r="T556" s="268">
        <f t="shared" ca="1" si="433"/>
        <v>0</v>
      </c>
    </row>
    <row r="557" spans="2:20" ht="13.5" customHeight="1" outlineLevel="1">
      <c r="B557" s="214"/>
      <c r="C557" s="214"/>
      <c r="D557" s="214"/>
      <c r="E557" s="214"/>
      <c r="F557" s="214"/>
      <c r="G557" s="214"/>
      <c r="H557" s="214"/>
      <c r="I557" s="214"/>
      <c r="J557" s="214"/>
      <c r="K557" s="264"/>
      <c r="L557" s="264"/>
      <c r="M557" s="264"/>
      <c r="N557" s="264"/>
      <c r="O557" s="264"/>
      <c r="P557" s="264"/>
      <c r="Q557" s="264"/>
      <c r="R557" s="264"/>
      <c r="S557" s="264"/>
      <c r="T557" s="264"/>
    </row>
    <row r="558" spans="2:20" ht="13.5" customHeight="1" outlineLevel="1">
      <c r="B558" s="214" t="s">
        <v>533</v>
      </c>
      <c r="C558" s="214"/>
      <c r="D558" s="214"/>
      <c r="E558" s="214"/>
      <c r="F558" s="214"/>
      <c r="G558" s="214"/>
      <c r="H558" s="214"/>
      <c r="I558" s="214"/>
      <c r="J558" s="265"/>
      <c r="K558" s="267">
        <f t="shared" ref="K558:T558" si="434">K585*IF(avg_int,AVERAGE(K553,K556),K553)</f>
        <v>0</v>
      </c>
      <c r="L558" s="267">
        <f t="shared" ca="1" si="434"/>
        <v>0</v>
      </c>
      <c r="M558" s="267">
        <f t="shared" ca="1" si="434"/>
        <v>0</v>
      </c>
      <c r="N558" s="267">
        <f t="shared" ca="1" si="434"/>
        <v>0</v>
      </c>
      <c r="O558" s="267">
        <f t="shared" ca="1" si="434"/>
        <v>0</v>
      </c>
      <c r="P558" s="267">
        <f t="shared" ca="1" si="434"/>
        <v>0</v>
      </c>
      <c r="Q558" s="267">
        <f t="shared" ca="1" si="434"/>
        <v>0</v>
      </c>
      <c r="R558" s="267">
        <f t="shared" ca="1" si="434"/>
        <v>0</v>
      </c>
      <c r="S558" s="267">
        <f t="shared" ca="1" si="434"/>
        <v>0</v>
      </c>
      <c r="T558" s="267">
        <f t="shared" ca="1" si="434"/>
        <v>0</v>
      </c>
    </row>
    <row r="559" spans="2:20" ht="5.0999999999999996" customHeight="1" outlineLevel="1" thickBot="1">
      <c r="B559" s="144"/>
      <c r="C559" s="144"/>
      <c r="D559" s="144"/>
      <c r="E559" s="144"/>
      <c r="F559" s="144"/>
      <c r="G559" s="144"/>
      <c r="H559" s="144"/>
      <c r="I559" s="144"/>
      <c r="J559" s="144"/>
      <c r="K559" s="269"/>
      <c r="L559" s="269"/>
      <c r="M559" s="269"/>
      <c r="N559" s="269"/>
      <c r="O559" s="269"/>
      <c r="P559" s="269"/>
      <c r="Q559" s="269"/>
      <c r="R559" s="269"/>
      <c r="S559" s="269"/>
      <c r="T559" s="269"/>
    </row>
    <row r="560" spans="2:20" ht="13.5" customHeight="1" outlineLevel="1">
      <c r="K560" s="208"/>
      <c r="L560" s="208"/>
      <c r="M560" s="208"/>
      <c r="N560" s="208"/>
      <c r="O560" s="208"/>
      <c r="P560" s="208"/>
      <c r="Q560" s="208"/>
      <c r="R560" s="208"/>
      <c r="S560" s="208"/>
      <c r="T560" s="208"/>
    </row>
    <row r="561" spans="1:20" ht="13.5" customHeight="1" outlineLevel="1" thickBot="1">
      <c r="K561" s="208"/>
      <c r="L561" s="208"/>
      <c r="M561" s="208"/>
      <c r="N561" s="208"/>
      <c r="O561" s="208"/>
      <c r="P561" s="208"/>
      <c r="Q561" s="208"/>
      <c r="R561" s="208"/>
      <c r="S561" s="208"/>
      <c r="T561" s="208"/>
    </row>
    <row r="562" spans="1:20" s="35" customFormat="1" ht="20.100000000000001" customHeight="1" thickTop="1">
      <c r="A562" s="41" t="s">
        <v>313</v>
      </c>
      <c r="B562" s="42" t="s">
        <v>531</v>
      </c>
      <c r="C562" s="43"/>
      <c r="D562" s="44"/>
      <c r="E562" s="44"/>
      <c r="F562" s="44"/>
      <c r="G562" s="44"/>
      <c r="H562" s="44"/>
      <c r="I562" s="44"/>
      <c r="J562" s="44"/>
      <c r="K562" s="44"/>
      <c r="L562" s="44"/>
      <c r="M562" s="44"/>
      <c r="N562" s="44"/>
      <c r="O562" s="44"/>
      <c r="P562" s="44"/>
      <c r="Q562" s="44"/>
      <c r="R562" s="44"/>
      <c r="S562" s="44"/>
      <c r="T562" s="44"/>
    </row>
    <row r="563" spans="1:20" s="35" customFormat="1" ht="13.5" customHeight="1" outlineLevel="1">
      <c r="B563" s="45"/>
      <c r="T563" s="147" t="str">
        <f ca="1">err_msg</f>
        <v/>
      </c>
    </row>
    <row r="564" spans="1:20" s="193" customFormat="1" ht="13.5" customHeight="1" outlineLevel="1">
      <c r="F564" s="194"/>
      <c r="G564" s="194"/>
      <c r="H564" s="194"/>
      <c r="J564" s="244"/>
      <c r="K564" s="195" t="str">
        <f>K$140</f>
        <v>Fiscal Years Ending December 31,</v>
      </c>
      <c r="L564" s="195"/>
      <c r="M564" s="195"/>
      <c r="N564" s="195"/>
      <c r="O564" s="195"/>
      <c r="P564" s="195"/>
      <c r="Q564" s="195"/>
      <c r="R564" s="195"/>
      <c r="S564" s="195"/>
      <c r="T564" s="195"/>
    </row>
    <row r="565" spans="1:20" s="193" customFormat="1" ht="14.4" outlineLevel="1">
      <c r="F565" s="248"/>
      <c r="G565" s="248"/>
      <c r="H565" s="248"/>
      <c r="J565" s="102"/>
      <c r="K565" s="102">
        <f>K$141</f>
        <v>1</v>
      </c>
      <c r="L565" s="102">
        <f>L$141</f>
        <v>2</v>
      </c>
      <c r="M565" s="102">
        <f t="shared" ref="M565:T565" si="435">M$141</f>
        <v>3</v>
      </c>
      <c r="N565" s="102">
        <f t="shared" si="435"/>
        <v>4</v>
      </c>
      <c r="O565" s="102">
        <f t="shared" si="435"/>
        <v>5</v>
      </c>
      <c r="P565" s="102">
        <f t="shared" si="435"/>
        <v>6</v>
      </c>
      <c r="Q565" s="102">
        <f t="shared" si="435"/>
        <v>7</v>
      </c>
      <c r="R565" s="102">
        <f t="shared" si="435"/>
        <v>8</v>
      </c>
      <c r="S565" s="102">
        <f t="shared" si="435"/>
        <v>9</v>
      </c>
      <c r="T565" s="102">
        <f t="shared" si="435"/>
        <v>10</v>
      </c>
    </row>
    <row r="566" spans="1:20" s="193" customFormat="1" ht="13.5" customHeight="1" outlineLevel="1" thickBot="1">
      <c r="B566" s="122" t="s">
        <v>201</v>
      </c>
      <c r="C566" s="199"/>
      <c r="D566" s="199"/>
      <c r="E566" s="199"/>
      <c r="F566" s="249"/>
      <c r="G566" s="249"/>
      <c r="H566" s="249"/>
      <c r="I566" s="199"/>
      <c r="J566" s="200"/>
      <c r="K566" s="202">
        <f>K$142</f>
        <v>45657</v>
      </c>
      <c r="L566" s="202">
        <f>L$142</f>
        <v>46022</v>
      </c>
      <c r="M566" s="202">
        <f t="shared" ref="M566:T566" si="436">M$142</f>
        <v>46387</v>
      </c>
      <c r="N566" s="202">
        <f t="shared" si="436"/>
        <v>46752</v>
      </c>
      <c r="O566" s="202">
        <f t="shared" si="436"/>
        <v>47118</v>
      </c>
      <c r="P566" s="202">
        <f t="shared" si="436"/>
        <v>47483</v>
      </c>
      <c r="Q566" s="202">
        <f t="shared" si="436"/>
        <v>47848</v>
      </c>
      <c r="R566" s="202">
        <f t="shared" si="436"/>
        <v>48213</v>
      </c>
      <c r="S566" s="202">
        <f t="shared" si="436"/>
        <v>48579</v>
      </c>
      <c r="T566" s="202">
        <f t="shared" si="436"/>
        <v>48944</v>
      </c>
    </row>
    <row r="567" spans="1:20" s="35" customFormat="1" ht="5.0999999999999996" customHeight="1" outlineLevel="1">
      <c r="B567" s="270"/>
      <c r="C567" s="270"/>
      <c r="D567" s="270"/>
      <c r="E567" s="270"/>
      <c r="F567" s="270"/>
      <c r="G567" s="270"/>
      <c r="H567" s="270"/>
      <c r="I567" s="270"/>
      <c r="J567" s="271"/>
      <c r="K567" s="271"/>
      <c r="L567" s="272"/>
      <c r="M567" s="272"/>
      <c r="N567" s="272"/>
      <c r="O567" s="272"/>
      <c r="P567" s="272"/>
      <c r="Q567" s="272"/>
      <c r="R567" s="272"/>
      <c r="S567" s="272"/>
      <c r="T567" s="272"/>
    </row>
    <row r="568" spans="1:20" s="35" customFormat="1" ht="13.5" customHeight="1" outlineLevel="1">
      <c r="B568" s="46" t="s">
        <v>407</v>
      </c>
      <c r="C568" s="47"/>
      <c r="D568" s="47"/>
      <c r="E568" s="47"/>
      <c r="F568" s="47"/>
      <c r="G568" s="47"/>
      <c r="H568" s="47"/>
      <c r="I568" s="47"/>
      <c r="J568" s="47"/>
      <c r="K568" s="47"/>
      <c r="L568" s="47"/>
      <c r="M568" s="47"/>
      <c r="N568" s="47"/>
      <c r="O568" s="47"/>
      <c r="P568" s="47"/>
      <c r="Q568" s="47"/>
      <c r="R568" s="47"/>
      <c r="S568" s="47"/>
      <c r="T568" s="48"/>
    </row>
    <row r="569" spans="1:20" ht="5.0999999999999996" customHeight="1" outlineLevel="1"/>
    <row r="570" spans="1:20" s="35" customFormat="1" ht="13.5" customHeight="1" outlineLevel="1">
      <c r="B570" s="38" t="s">
        <v>267</v>
      </c>
      <c r="C570" s="38"/>
      <c r="D570" s="38"/>
      <c r="E570" s="38"/>
      <c r="F570" s="426">
        <v>2.5499999999999998E-2</v>
      </c>
      <c r="G570" s="426">
        <v>2.5499999999999998E-2</v>
      </c>
      <c r="H570" s="426">
        <v>2.5499999999999998E-2</v>
      </c>
      <c r="I570" s="38"/>
      <c r="J570" s="38"/>
      <c r="K570" s="426">
        <v>2.7799999999999998E-2</v>
      </c>
      <c r="L570" s="426">
        <v>3.2155499999999997E-2</v>
      </c>
      <c r="M570" s="426">
        <v>3.739725E-2</v>
      </c>
      <c r="N570" s="426">
        <v>4.1604000000000002E-2</v>
      </c>
      <c r="O570" s="426">
        <v>4.5736750000000007E-2</v>
      </c>
      <c r="P570" s="426">
        <v>4.8315000000000004E-2</v>
      </c>
      <c r="Q570" s="426">
        <v>4.9805500000000003E-2</v>
      </c>
      <c r="R570" s="426">
        <v>5.1123500000000002E-2</v>
      </c>
      <c r="S570" s="426">
        <v>5.2225250000000001E-2</v>
      </c>
      <c r="T570" s="426">
        <v>5.3100000000000001E-2</v>
      </c>
    </row>
    <row r="571" spans="1:20" s="35" customFormat="1" ht="13.5" customHeight="1" outlineLevel="1">
      <c r="B571" s="38" t="s">
        <v>270</v>
      </c>
      <c r="F571" s="273">
        <f>$K571</f>
        <v>0.01</v>
      </c>
      <c r="G571" s="273">
        <f>$K571</f>
        <v>0.01</v>
      </c>
      <c r="H571" s="273">
        <f>$K571</f>
        <v>0.01</v>
      </c>
      <c r="J571" s="251"/>
      <c r="K571" s="426">
        <v>0.01</v>
      </c>
      <c r="L571" s="273">
        <f>K571</f>
        <v>0.01</v>
      </c>
      <c r="M571" s="273">
        <f t="shared" ref="M571:T571" si="437">L571</f>
        <v>0.01</v>
      </c>
      <c r="N571" s="273">
        <f t="shared" si="437"/>
        <v>0.01</v>
      </c>
      <c r="O571" s="273">
        <f t="shared" si="437"/>
        <v>0.01</v>
      </c>
      <c r="P571" s="273">
        <f t="shared" si="437"/>
        <v>0.01</v>
      </c>
      <c r="Q571" s="273">
        <f t="shared" si="437"/>
        <v>0.01</v>
      </c>
      <c r="R571" s="273">
        <f t="shared" si="437"/>
        <v>0.01</v>
      </c>
      <c r="S571" s="273">
        <f t="shared" si="437"/>
        <v>0.01</v>
      </c>
      <c r="T571" s="273">
        <f t="shared" si="437"/>
        <v>0.01</v>
      </c>
    </row>
    <row r="572" spans="1:20" s="35" customFormat="1" ht="13.5" customHeight="1" outlineLevel="1">
      <c r="B572" s="62" t="s">
        <v>204</v>
      </c>
      <c r="C572" s="38"/>
      <c r="D572" s="38"/>
      <c r="E572" s="38"/>
      <c r="F572" s="38"/>
      <c r="G572" s="38"/>
      <c r="H572" s="38"/>
      <c r="J572" s="274"/>
      <c r="K572" s="426">
        <v>5.0000000000000001E-3</v>
      </c>
      <c r="L572" s="273">
        <f>K572</f>
        <v>5.0000000000000001E-3</v>
      </c>
      <c r="M572" s="273">
        <f t="shared" ref="M572:T572" si="438">L572</f>
        <v>5.0000000000000001E-3</v>
      </c>
      <c r="N572" s="273">
        <f t="shared" si="438"/>
        <v>5.0000000000000001E-3</v>
      </c>
      <c r="O572" s="273">
        <f t="shared" si="438"/>
        <v>5.0000000000000001E-3</v>
      </c>
      <c r="P572" s="273">
        <f t="shared" si="438"/>
        <v>5.0000000000000001E-3</v>
      </c>
      <c r="Q572" s="273">
        <f t="shared" si="438"/>
        <v>5.0000000000000001E-3</v>
      </c>
      <c r="R572" s="273">
        <f t="shared" si="438"/>
        <v>5.0000000000000001E-3</v>
      </c>
      <c r="S572" s="273">
        <f t="shared" si="438"/>
        <v>5.0000000000000001E-3</v>
      </c>
      <c r="T572" s="273">
        <f t="shared" si="438"/>
        <v>5.0000000000000001E-3</v>
      </c>
    </row>
    <row r="573" spans="1:20" s="35" customFormat="1" ht="13.5" customHeight="1" outlineLevel="1">
      <c r="B573" s="38"/>
      <c r="J573" s="251"/>
      <c r="K573" s="243"/>
      <c r="L573" s="273"/>
      <c r="M573" s="273"/>
      <c r="N573" s="273"/>
      <c r="O573" s="273"/>
      <c r="P573" s="273"/>
      <c r="Q573" s="273"/>
      <c r="R573" s="273"/>
      <c r="S573" s="273"/>
      <c r="T573" s="273"/>
    </row>
    <row r="574" spans="1:20" s="35" customFormat="1" ht="13.5" customHeight="1" outlineLevel="1">
      <c r="B574" s="38" t="str">
        <f>B$870</f>
        <v>Legacy debt</v>
      </c>
      <c r="C574" s="38"/>
      <c r="D574" s="38"/>
      <c r="E574" s="38"/>
      <c r="F574" s="273">
        <f>$O879+(F$570+$P879)*($O879=0)</f>
        <v>0.14249999999999999</v>
      </c>
      <c r="G574" s="273">
        <f>$O879+(G$570+$P879)*($O879=0)</f>
        <v>0.14249999999999999</v>
      </c>
      <c r="H574" s="273">
        <f>$O879+(H$570+$P879)*($O879=0)</f>
        <v>0.14249999999999999</v>
      </c>
      <c r="J574" s="275"/>
      <c r="K574" s="273">
        <f t="shared" ref="K574:T574" si="439">$O879+(K$570+$P879)*($O879=0)</f>
        <v>0.14249999999999999</v>
      </c>
      <c r="L574" s="273">
        <f t="shared" si="439"/>
        <v>0.14249999999999999</v>
      </c>
      <c r="M574" s="273">
        <f t="shared" si="439"/>
        <v>0.14249999999999999</v>
      </c>
      <c r="N574" s="273">
        <f t="shared" si="439"/>
        <v>0.14249999999999999</v>
      </c>
      <c r="O574" s="273">
        <f t="shared" si="439"/>
        <v>0.14249999999999999</v>
      </c>
      <c r="P574" s="273">
        <f t="shared" si="439"/>
        <v>0.14249999999999999</v>
      </c>
      <c r="Q574" s="273">
        <f t="shared" si="439"/>
        <v>0.14249999999999999</v>
      </c>
      <c r="R574" s="273">
        <f t="shared" si="439"/>
        <v>0.14249999999999999</v>
      </c>
      <c r="S574" s="273">
        <f t="shared" si="439"/>
        <v>0.14249999999999999</v>
      </c>
      <c r="T574" s="273">
        <f t="shared" si="439"/>
        <v>0.14249999999999999</v>
      </c>
    </row>
    <row r="575" spans="1:20" s="35" customFormat="1" ht="13.5" customHeight="1" outlineLevel="1">
      <c r="B575" s="38" t="str">
        <f>B880</f>
        <v>Revolver</v>
      </c>
      <c r="C575" s="38"/>
      <c r="D575" s="38"/>
      <c r="E575" s="38"/>
      <c r="F575" s="38"/>
      <c r="G575" s="38"/>
      <c r="H575" s="38"/>
      <c r="J575" s="274"/>
      <c r="K575" s="273">
        <f t="shared" ref="K575:T575" si="440">$O880+(K$570+$P880)*($O880=0)</f>
        <v>7.0300000000000001E-2</v>
      </c>
      <c r="L575" s="273">
        <f t="shared" si="440"/>
        <v>7.46555E-2</v>
      </c>
      <c r="M575" s="273">
        <f t="shared" si="440"/>
        <v>7.9897250000000003E-2</v>
      </c>
      <c r="N575" s="273">
        <f t="shared" si="440"/>
        <v>8.4104000000000012E-2</v>
      </c>
      <c r="O575" s="273">
        <f t="shared" si="440"/>
        <v>8.8236750000000003E-2</v>
      </c>
      <c r="P575" s="273">
        <f t="shared" si="440"/>
        <v>9.0815000000000007E-2</v>
      </c>
      <c r="Q575" s="273">
        <f t="shared" si="440"/>
        <v>9.2305500000000013E-2</v>
      </c>
      <c r="R575" s="273">
        <f t="shared" si="440"/>
        <v>9.3623499999999998E-2</v>
      </c>
      <c r="S575" s="273">
        <f t="shared" si="440"/>
        <v>9.4725250000000011E-2</v>
      </c>
      <c r="T575" s="273">
        <f t="shared" si="440"/>
        <v>9.5600000000000004E-2</v>
      </c>
    </row>
    <row r="576" spans="1:20" s="35" customFormat="1" ht="13.5" customHeight="1" outlineLevel="1">
      <c r="B576" s="38" t="str">
        <f t="shared" ref="B576:B585" si="441">B835</f>
        <v>Term loan - A</v>
      </c>
      <c r="C576" s="38"/>
      <c r="D576" s="38"/>
      <c r="E576" s="38"/>
      <c r="F576" s="38"/>
      <c r="G576" s="38"/>
      <c r="H576" s="38"/>
      <c r="J576" s="274"/>
      <c r="K576" s="273">
        <f t="shared" ref="K576:T576" si="442">$O881+(K$570+$P881)*($O881=0)</f>
        <v>7.569999999999999E-2</v>
      </c>
      <c r="L576" s="273">
        <f t="shared" si="442"/>
        <v>8.0055500000000002E-2</v>
      </c>
      <c r="M576" s="273">
        <f t="shared" si="442"/>
        <v>8.5297249999999991E-2</v>
      </c>
      <c r="N576" s="273">
        <f t="shared" si="442"/>
        <v>8.9504E-2</v>
      </c>
      <c r="O576" s="273">
        <f t="shared" si="442"/>
        <v>9.3636750000000005E-2</v>
      </c>
      <c r="P576" s="273">
        <f t="shared" si="442"/>
        <v>9.6214999999999995E-2</v>
      </c>
      <c r="Q576" s="273">
        <f t="shared" si="442"/>
        <v>9.7705500000000001E-2</v>
      </c>
      <c r="R576" s="273">
        <f t="shared" si="442"/>
        <v>9.90235E-2</v>
      </c>
      <c r="S576" s="273">
        <f t="shared" si="442"/>
        <v>0.10012525</v>
      </c>
      <c r="T576" s="273">
        <f t="shared" si="442"/>
        <v>0.10100000000000001</v>
      </c>
    </row>
    <row r="577" spans="2:20" s="35" customFormat="1" ht="13.5" customHeight="1" outlineLevel="1">
      <c r="B577" s="38" t="str">
        <f t="shared" si="441"/>
        <v>Term loan - B</v>
      </c>
      <c r="C577" s="38"/>
      <c r="D577" s="38"/>
      <c r="E577" s="38"/>
      <c r="F577" s="38"/>
      <c r="G577" s="38"/>
      <c r="H577" s="38"/>
      <c r="J577" s="274"/>
      <c r="K577" s="273">
        <f t="shared" ref="K577:T577" si="443">$O882+(K$570+$P882)*($O882=0)</f>
        <v>8.7799999999999989E-2</v>
      </c>
      <c r="L577" s="273">
        <f t="shared" si="443"/>
        <v>9.2155500000000001E-2</v>
      </c>
      <c r="M577" s="273">
        <f t="shared" si="443"/>
        <v>9.7397249999999991E-2</v>
      </c>
      <c r="N577" s="273">
        <f t="shared" si="443"/>
        <v>0.101604</v>
      </c>
      <c r="O577" s="273">
        <f t="shared" si="443"/>
        <v>0.10573675</v>
      </c>
      <c r="P577" s="273">
        <f t="shared" si="443"/>
        <v>0.10831499999999999</v>
      </c>
      <c r="Q577" s="273">
        <f t="shared" si="443"/>
        <v>0.1098055</v>
      </c>
      <c r="R577" s="273">
        <f t="shared" si="443"/>
        <v>0.1111235</v>
      </c>
      <c r="S577" s="273">
        <f t="shared" si="443"/>
        <v>0.11222525</v>
      </c>
      <c r="T577" s="273">
        <f t="shared" si="443"/>
        <v>0.11310000000000001</v>
      </c>
    </row>
    <row r="578" spans="2:20" s="35" customFormat="1" ht="13.5" customHeight="1" outlineLevel="1">
      <c r="B578" s="38" t="str">
        <f t="shared" si="441"/>
        <v>Senior note</v>
      </c>
      <c r="C578" s="38"/>
      <c r="D578" s="38"/>
      <c r="E578" s="38"/>
      <c r="F578" s="38"/>
      <c r="G578" s="38"/>
      <c r="H578" s="38"/>
      <c r="J578" s="274"/>
      <c r="K578" s="273">
        <f t="shared" ref="K578:T578" si="444">$O883+(K$570+$P883)*($O883=0)</f>
        <v>9.2799999999999994E-2</v>
      </c>
      <c r="L578" s="273">
        <f t="shared" si="444"/>
        <v>9.7155500000000006E-2</v>
      </c>
      <c r="M578" s="273">
        <f t="shared" si="444"/>
        <v>0.10239725</v>
      </c>
      <c r="N578" s="273">
        <f t="shared" si="444"/>
        <v>0.106604</v>
      </c>
      <c r="O578" s="273">
        <f t="shared" si="444"/>
        <v>0.11073675000000001</v>
      </c>
      <c r="P578" s="273">
        <f t="shared" si="444"/>
        <v>0.113315</v>
      </c>
      <c r="Q578" s="273">
        <f t="shared" si="444"/>
        <v>0.1148055</v>
      </c>
      <c r="R578" s="273">
        <f t="shared" si="444"/>
        <v>0.1161235</v>
      </c>
      <c r="S578" s="273">
        <f t="shared" si="444"/>
        <v>0.11722525</v>
      </c>
      <c r="T578" s="273">
        <f t="shared" si="444"/>
        <v>0.11810000000000001</v>
      </c>
    </row>
    <row r="579" spans="2:20" s="35" customFormat="1" ht="13.5" customHeight="1" outlineLevel="1">
      <c r="B579" s="38" t="str">
        <f t="shared" si="441"/>
        <v>Subordinated note</v>
      </c>
      <c r="C579" s="38"/>
      <c r="D579" s="38"/>
      <c r="E579" s="38"/>
      <c r="F579" s="38"/>
      <c r="G579" s="38"/>
      <c r="H579" s="38"/>
      <c r="I579" s="38"/>
      <c r="J579" s="38"/>
      <c r="K579" s="273">
        <f t="shared" ref="K579:T579" si="445">$O884+(K$570+$P884)*($O884=0)</f>
        <v>0.10249999999999999</v>
      </c>
      <c r="L579" s="273">
        <f t="shared" si="445"/>
        <v>0.10249999999999999</v>
      </c>
      <c r="M579" s="273">
        <f t="shared" si="445"/>
        <v>0.10249999999999999</v>
      </c>
      <c r="N579" s="273">
        <f t="shared" si="445"/>
        <v>0.10249999999999999</v>
      </c>
      <c r="O579" s="273">
        <f t="shared" si="445"/>
        <v>0.10249999999999999</v>
      </c>
      <c r="P579" s="273">
        <f t="shared" si="445"/>
        <v>0.10249999999999999</v>
      </c>
      <c r="Q579" s="273">
        <f t="shared" si="445"/>
        <v>0.10249999999999999</v>
      </c>
      <c r="R579" s="273">
        <f t="shared" si="445"/>
        <v>0.10249999999999999</v>
      </c>
      <c r="S579" s="273">
        <f t="shared" si="445"/>
        <v>0.10249999999999999</v>
      </c>
      <c r="T579" s="273">
        <f t="shared" si="445"/>
        <v>0.10249999999999999</v>
      </c>
    </row>
    <row r="580" spans="2:20" s="35" customFormat="1" ht="13.5" customHeight="1" outlineLevel="1">
      <c r="B580" s="38" t="str">
        <f t="shared" si="441"/>
        <v>Mezzanine</v>
      </c>
      <c r="C580" s="38"/>
      <c r="D580" s="38"/>
      <c r="E580" s="38"/>
      <c r="F580" s="38"/>
      <c r="G580" s="38"/>
      <c r="H580" s="38"/>
      <c r="I580" s="38"/>
      <c r="J580" s="38"/>
      <c r="K580" s="273">
        <f t="shared" ref="K580:T580" si="446">$O885+(K$570+$P885)*($O885=0)</f>
        <v>0.105</v>
      </c>
      <c r="L580" s="273">
        <f t="shared" si="446"/>
        <v>0.105</v>
      </c>
      <c r="M580" s="273">
        <f t="shared" si="446"/>
        <v>0.105</v>
      </c>
      <c r="N580" s="273">
        <f t="shared" si="446"/>
        <v>0.105</v>
      </c>
      <c r="O580" s="273">
        <f t="shared" si="446"/>
        <v>0.105</v>
      </c>
      <c r="P580" s="273">
        <f t="shared" si="446"/>
        <v>0.105</v>
      </c>
      <c r="Q580" s="273">
        <f t="shared" si="446"/>
        <v>0.105</v>
      </c>
      <c r="R580" s="273">
        <f t="shared" si="446"/>
        <v>0.105</v>
      </c>
      <c r="S580" s="273">
        <f t="shared" si="446"/>
        <v>0.105</v>
      </c>
      <c r="T580" s="273">
        <f t="shared" si="446"/>
        <v>0.105</v>
      </c>
    </row>
    <row r="581" spans="2:20" s="35" customFormat="1" ht="13.5" customHeight="1" outlineLevel="1">
      <c r="B581" s="38" t="str">
        <f t="shared" si="441"/>
        <v>Seller note</v>
      </c>
      <c r="C581" s="38"/>
      <c r="D581" s="38"/>
      <c r="E581" s="38"/>
      <c r="F581" s="38"/>
      <c r="G581" s="38"/>
      <c r="H581" s="38"/>
      <c r="I581" s="38"/>
      <c r="J581" s="38"/>
      <c r="K581" s="273">
        <f t="shared" ref="K581:T581" si="447">$O886+(K$570+$P886)*($O886=0)</f>
        <v>0.105</v>
      </c>
      <c r="L581" s="273">
        <f t="shared" si="447"/>
        <v>0.105</v>
      </c>
      <c r="M581" s="273">
        <f t="shared" si="447"/>
        <v>0.105</v>
      </c>
      <c r="N581" s="273">
        <f t="shared" si="447"/>
        <v>0.105</v>
      </c>
      <c r="O581" s="273">
        <f t="shared" si="447"/>
        <v>0.105</v>
      </c>
      <c r="P581" s="273">
        <f t="shared" si="447"/>
        <v>0.105</v>
      </c>
      <c r="Q581" s="273">
        <f t="shared" si="447"/>
        <v>0.105</v>
      </c>
      <c r="R581" s="273">
        <f t="shared" si="447"/>
        <v>0.105</v>
      </c>
      <c r="S581" s="273">
        <f t="shared" si="447"/>
        <v>0.105</v>
      </c>
      <c r="T581" s="273">
        <f t="shared" si="447"/>
        <v>0.105</v>
      </c>
    </row>
    <row r="582" spans="2:20" s="35" customFormat="1" ht="13.5" customHeight="1" outlineLevel="1">
      <c r="B582" s="38" t="str">
        <f t="shared" si="441"/>
        <v>Convertible bond</v>
      </c>
      <c r="C582" s="38"/>
      <c r="D582" s="38"/>
      <c r="E582" s="38"/>
      <c r="F582" s="38"/>
      <c r="G582" s="38"/>
      <c r="H582" s="38"/>
      <c r="I582" s="38"/>
      <c r="J582" s="38"/>
      <c r="K582" s="273">
        <f t="shared" ref="K582:T582" si="448">$O887+(K$570+$P887)*($O887=0)</f>
        <v>0.11</v>
      </c>
      <c r="L582" s="273">
        <f t="shared" si="448"/>
        <v>0.11</v>
      </c>
      <c r="M582" s="273">
        <f t="shared" si="448"/>
        <v>0.11</v>
      </c>
      <c r="N582" s="273">
        <f t="shared" si="448"/>
        <v>0.11</v>
      </c>
      <c r="O582" s="273">
        <f t="shared" si="448"/>
        <v>0.11</v>
      </c>
      <c r="P582" s="273">
        <f t="shared" si="448"/>
        <v>0.11</v>
      </c>
      <c r="Q582" s="273">
        <f t="shared" si="448"/>
        <v>0.11</v>
      </c>
      <c r="R582" s="273">
        <f t="shared" si="448"/>
        <v>0.11</v>
      </c>
      <c r="S582" s="273">
        <f t="shared" si="448"/>
        <v>0.11</v>
      </c>
      <c r="T582" s="273">
        <f t="shared" si="448"/>
        <v>0.11</v>
      </c>
    </row>
    <row r="583" spans="2:20" s="35" customFormat="1" ht="13.5" customHeight="1" outlineLevel="1">
      <c r="B583" s="38" t="str">
        <f t="shared" si="441"/>
        <v>[Debt 8]</v>
      </c>
      <c r="C583" s="38"/>
      <c r="D583" s="38"/>
      <c r="E583" s="38"/>
      <c r="F583" s="38"/>
      <c r="G583" s="38"/>
      <c r="H583" s="38"/>
      <c r="I583" s="38"/>
      <c r="J583" s="38"/>
      <c r="K583" s="273">
        <f t="shared" ref="K583:T583" si="449">$O888+(K$570+$P888)*($O888=0)</f>
        <v>2.7799999999999998E-2</v>
      </c>
      <c r="L583" s="273">
        <f t="shared" si="449"/>
        <v>3.2155499999999997E-2</v>
      </c>
      <c r="M583" s="273">
        <f t="shared" si="449"/>
        <v>3.739725E-2</v>
      </c>
      <c r="N583" s="273">
        <f t="shared" si="449"/>
        <v>4.1604000000000002E-2</v>
      </c>
      <c r="O583" s="273">
        <f t="shared" si="449"/>
        <v>4.5736750000000007E-2</v>
      </c>
      <c r="P583" s="273">
        <f t="shared" si="449"/>
        <v>4.8315000000000004E-2</v>
      </c>
      <c r="Q583" s="273">
        <f t="shared" si="449"/>
        <v>4.9805500000000003E-2</v>
      </c>
      <c r="R583" s="273">
        <f t="shared" si="449"/>
        <v>5.1123500000000002E-2</v>
      </c>
      <c r="S583" s="273">
        <f t="shared" si="449"/>
        <v>5.2225250000000001E-2</v>
      </c>
      <c r="T583" s="273">
        <f t="shared" si="449"/>
        <v>5.3100000000000001E-2</v>
      </c>
    </row>
    <row r="584" spans="2:20" s="35" customFormat="1" ht="13.5" customHeight="1" outlineLevel="1">
      <c r="B584" s="38" t="str">
        <f t="shared" si="441"/>
        <v>Preferred stock - A</v>
      </c>
      <c r="C584" s="38"/>
      <c r="D584" s="38"/>
      <c r="E584" s="38"/>
      <c r="F584" s="38"/>
      <c r="G584" s="38"/>
      <c r="H584" s="38"/>
      <c r="I584" s="38"/>
      <c r="J584" s="38"/>
      <c r="K584" s="273">
        <f t="shared" ref="K584:T584" si="450">$O889+(K$570+$P889)*($O889=0)</f>
        <v>0.12</v>
      </c>
      <c r="L584" s="273">
        <f t="shared" si="450"/>
        <v>0.12</v>
      </c>
      <c r="M584" s="273">
        <f t="shared" si="450"/>
        <v>0.12</v>
      </c>
      <c r="N584" s="273">
        <f t="shared" si="450"/>
        <v>0.12</v>
      </c>
      <c r="O584" s="273">
        <f t="shared" si="450"/>
        <v>0.12</v>
      </c>
      <c r="P584" s="273">
        <f t="shared" si="450"/>
        <v>0.12</v>
      </c>
      <c r="Q584" s="273">
        <f t="shared" si="450"/>
        <v>0.12</v>
      </c>
      <c r="R584" s="273">
        <f t="shared" si="450"/>
        <v>0.12</v>
      </c>
      <c r="S584" s="273">
        <f t="shared" si="450"/>
        <v>0.12</v>
      </c>
      <c r="T584" s="273">
        <f t="shared" si="450"/>
        <v>0.12</v>
      </c>
    </row>
    <row r="585" spans="2:20" s="35" customFormat="1" ht="13.5" customHeight="1" outlineLevel="1">
      <c r="B585" s="38" t="str">
        <f t="shared" si="441"/>
        <v>Preferred stock - B</v>
      </c>
      <c r="C585" s="38"/>
      <c r="D585" s="38"/>
      <c r="E585" s="38"/>
      <c r="F585" s="38"/>
      <c r="G585" s="38"/>
      <c r="H585" s="38"/>
      <c r="I585" s="38"/>
      <c r="J585" s="38"/>
      <c r="K585" s="273">
        <f t="shared" ref="K585:T585" si="451">$O890+(K$570+$P890)*($O890=0)</f>
        <v>0.125</v>
      </c>
      <c r="L585" s="273">
        <f t="shared" si="451"/>
        <v>0.125</v>
      </c>
      <c r="M585" s="273">
        <f t="shared" si="451"/>
        <v>0.125</v>
      </c>
      <c r="N585" s="273">
        <f t="shared" si="451"/>
        <v>0.125</v>
      </c>
      <c r="O585" s="273">
        <f t="shared" si="451"/>
        <v>0.125</v>
      </c>
      <c r="P585" s="273">
        <f t="shared" si="451"/>
        <v>0.125</v>
      </c>
      <c r="Q585" s="273">
        <f t="shared" si="451"/>
        <v>0.125</v>
      </c>
      <c r="R585" s="273">
        <f t="shared" si="451"/>
        <v>0.125</v>
      </c>
      <c r="S585" s="273">
        <f t="shared" si="451"/>
        <v>0.125</v>
      </c>
      <c r="T585" s="273">
        <f t="shared" si="451"/>
        <v>0.125</v>
      </c>
    </row>
    <row r="586" spans="2:20" s="35" customFormat="1" ht="13.5" customHeight="1" outlineLevel="1">
      <c r="B586" s="270"/>
      <c r="C586" s="270"/>
      <c r="D586" s="270"/>
      <c r="E586" s="270"/>
      <c r="F586" s="270"/>
      <c r="G586" s="270"/>
      <c r="H586" s="270"/>
      <c r="I586" s="270"/>
      <c r="J586" s="271"/>
      <c r="K586" s="271"/>
      <c r="L586" s="272"/>
      <c r="M586" s="272"/>
      <c r="N586" s="272"/>
      <c r="O586" s="272"/>
      <c r="P586" s="272"/>
      <c r="Q586" s="272"/>
      <c r="R586" s="272"/>
      <c r="S586" s="272"/>
      <c r="T586" s="272"/>
    </row>
    <row r="587" spans="2:20" s="35" customFormat="1" ht="13.5" customHeight="1" outlineLevel="1">
      <c r="B587" s="46" t="s">
        <v>530</v>
      </c>
      <c r="C587" s="47"/>
      <c r="D587" s="47"/>
      <c r="E587" s="47"/>
      <c r="F587" s="47"/>
      <c r="G587" s="47"/>
      <c r="H587" s="47"/>
      <c r="I587" s="47"/>
      <c r="J587" s="47"/>
      <c r="K587" s="47"/>
      <c r="L587" s="47"/>
      <c r="M587" s="47"/>
      <c r="N587" s="47"/>
      <c r="O587" s="47"/>
      <c r="P587" s="47"/>
      <c r="Q587" s="47"/>
      <c r="R587" s="47"/>
      <c r="S587" s="47"/>
      <c r="T587" s="48"/>
    </row>
    <row r="588" spans="2:20" ht="5.0999999999999996" customHeight="1" outlineLevel="1">
      <c r="K588" s="140"/>
      <c r="L588" s="140"/>
      <c r="M588" s="140"/>
      <c r="N588" s="140"/>
      <c r="O588" s="140"/>
      <c r="P588" s="140"/>
      <c r="Q588" s="140"/>
      <c r="R588" s="140"/>
      <c r="S588" s="140"/>
      <c r="T588" s="140"/>
    </row>
    <row r="589" spans="2:20" s="35" customFormat="1" ht="13.5" customHeight="1" outlineLevel="1">
      <c r="B589" s="38" t="s">
        <v>391</v>
      </c>
      <c r="C589" s="38"/>
      <c r="D589" s="38"/>
      <c r="E589" s="38"/>
      <c r="F589" s="178">
        <f>F571*IF(avg_int,AVERAGE(E221:F221),E221)/4</f>
        <v>0.36651499999999998</v>
      </c>
      <c r="G589" s="178">
        <f ca="1">G571*IF(avg_int,AVERAGE(F221:G221),F221)/4</f>
        <v>0.39626812276423795</v>
      </c>
      <c r="H589" s="178">
        <f ca="1">H571*IF(avg_int,AVERAGE(G221:H221),G221)/4</f>
        <v>0.42415816156328967</v>
      </c>
      <c r="I589" s="38"/>
      <c r="J589" s="38"/>
      <c r="K589" s="178">
        <f t="shared" ref="K589:T589" ca="1" si="452">K571*IF(avg_int,AVERAGE(J221:K221),J221)</f>
        <v>1</v>
      </c>
      <c r="L589" s="178">
        <f t="shared" ca="1" si="452"/>
        <v>1.1610101039022676</v>
      </c>
      <c r="M589" s="178">
        <f t="shared" ca="1" si="452"/>
        <v>1.9791611028244278</v>
      </c>
      <c r="N589" s="178">
        <f t="shared" ca="1" si="452"/>
        <v>2.849542954879039</v>
      </c>
      <c r="O589" s="178">
        <f t="shared" ca="1" si="452"/>
        <v>3.7761887958203015</v>
      </c>
      <c r="P589" s="178">
        <f t="shared" ca="1" si="452"/>
        <v>4.7627146843245454</v>
      </c>
      <c r="Q589" s="178">
        <f t="shared" ca="1" si="452"/>
        <v>5.2372953436959397</v>
      </c>
      <c r="R589" s="178">
        <f t="shared" ca="1" si="452"/>
        <v>6.3108401980858568</v>
      </c>
      <c r="S589" s="178">
        <f t="shared" ca="1" si="452"/>
        <v>6.4503564976399073</v>
      </c>
      <c r="T589" s="178">
        <f t="shared" ca="1" si="452"/>
        <v>7.7376530438601367</v>
      </c>
    </row>
    <row r="590" spans="2:20" ht="13.5" customHeight="1" outlineLevel="1">
      <c r="K590" s="140"/>
      <c r="L590" s="140"/>
      <c r="M590" s="140"/>
      <c r="N590" s="140"/>
      <c r="O590" s="140"/>
      <c r="P590" s="140"/>
      <c r="Q590" s="140"/>
      <c r="R590" s="140"/>
      <c r="S590" s="140"/>
      <c r="T590" s="140"/>
    </row>
    <row r="591" spans="2:20" s="35" customFormat="1" ht="13.5" customHeight="1" outlineLevel="1">
      <c r="B591" s="38" t="str">
        <f>B$870</f>
        <v>Legacy debt</v>
      </c>
      <c r="C591" s="38"/>
      <c r="D591" s="38"/>
      <c r="E591" s="276">
        <f>E156</f>
        <v>8.1999999999999993</v>
      </c>
      <c r="F591" s="128">
        <f>F468</f>
        <v>8.1937499999999996</v>
      </c>
      <c r="G591" s="128">
        <f>G468</f>
        <v>8.1937499999999996</v>
      </c>
      <c r="H591" s="128">
        <f>H468</f>
        <v>8.1937499999999996</v>
      </c>
      <c r="I591" s="38"/>
      <c r="J591" s="38"/>
      <c r="K591" s="128">
        <f t="shared" ref="K591:T591" si="453">K468</f>
        <v>0</v>
      </c>
      <c r="L591" s="128">
        <f t="shared" ca="1" si="453"/>
        <v>0</v>
      </c>
      <c r="M591" s="128">
        <f t="shared" ca="1" si="453"/>
        <v>0</v>
      </c>
      <c r="N591" s="128">
        <f t="shared" ca="1" si="453"/>
        <v>0</v>
      </c>
      <c r="O591" s="128">
        <f t="shared" ca="1" si="453"/>
        <v>0</v>
      </c>
      <c r="P591" s="128">
        <f t="shared" ca="1" si="453"/>
        <v>0</v>
      </c>
      <c r="Q591" s="128">
        <f t="shared" ca="1" si="453"/>
        <v>0</v>
      </c>
      <c r="R591" s="128">
        <f t="shared" ca="1" si="453"/>
        <v>0</v>
      </c>
      <c r="S591" s="128">
        <f t="shared" ca="1" si="453"/>
        <v>0</v>
      </c>
      <c r="T591" s="128">
        <f t="shared" ca="1" si="453"/>
        <v>0</v>
      </c>
    </row>
    <row r="592" spans="2:20" s="35" customFormat="1" ht="13.5" customHeight="1" outlineLevel="1">
      <c r="B592" s="62" t="s">
        <v>23</v>
      </c>
      <c r="C592" s="38"/>
      <c r="D592" s="38"/>
      <c r="E592" s="38"/>
      <c r="F592" s="414">
        <v>0</v>
      </c>
      <c r="G592" s="414">
        <v>0</v>
      </c>
      <c r="H592" s="414">
        <v>0</v>
      </c>
      <c r="I592" s="38"/>
      <c r="J592" s="38"/>
      <c r="K592" s="129">
        <f t="shared" ref="K592:T592" si="454">K459</f>
        <v>0.5</v>
      </c>
      <c r="L592" s="129">
        <f t="shared" ca="1" si="454"/>
        <v>0.5</v>
      </c>
      <c r="M592" s="129">
        <f t="shared" ca="1" si="454"/>
        <v>0.5</v>
      </c>
      <c r="N592" s="129">
        <f t="shared" ca="1" si="454"/>
        <v>0.5</v>
      </c>
      <c r="O592" s="129">
        <f t="shared" ca="1" si="454"/>
        <v>0.5</v>
      </c>
      <c r="P592" s="129">
        <f t="shared" ca="1" si="454"/>
        <v>0.5</v>
      </c>
      <c r="Q592" s="129">
        <f t="shared" ca="1" si="454"/>
        <v>0.5</v>
      </c>
      <c r="R592" s="129">
        <f t="shared" ca="1" si="454"/>
        <v>0.5</v>
      </c>
      <c r="S592" s="129">
        <f t="shared" ca="1" si="454"/>
        <v>0.5</v>
      </c>
      <c r="T592" s="129">
        <f t="shared" ca="1" si="454"/>
        <v>0.5</v>
      </c>
    </row>
    <row r="593" spans="2:20" s="35" customFormat="1" ht="13.5" customHeight="1" outlineLevel="1">
      <c r="B593" s="38" t="str">
        <f t="shared" ref="B593:B602" si="455">B881</f>
        <v>Term loan - A</v>
      </c>
      <c r="C593" s="38"/>
      <c r="D593" s="38"/>
      <c r="E593" s="38"/>
      <c r="F593" s="414">
        <v>0</v>
      </c>
      <c r="G593" s="414">
        <v>0</v>
      </c>
      <c r="H593" s="414">
        <v>0</v>
      </c>
      <c r="I593" s="38"/>
      <c r="J593" s="38"/>
      <c r="K593" s="129">
        <f t="shared" ref="K593:T593" si="456">K477</f>
        <v>3.7849999999999993</v>
      </c>
      <c r="L593" s="129">
        <f t="shared" ca="1" si="456"/>
        <v>0</v>
      </c>
      <c r="M593" s="129">
        <f t="shared" ca="1" si="456"/>
        <v>0</v>
      </c>
      <c r="N593" s="129">
        <f t="shared" ca="1" si="456"/>
        <v>0</v>
      </c>
      <c r="O593" s="129">
        <f t="shared" ca="1" si="456"/>
        <v>0</v>
      </c>
      <c r="P593" s="129">
        <f t="shared" ca="1" si="456"/>
        <v>0</v>
      </c>
      <c r="Q593" s="129">
        <f t="shared" ca="1" si="456"/>
        <v>0</v>
      </c>
      <c r="R593" s="129">
        <f t="shared" ca="1" si="456"/>
        <v>0</v>
      </c>
      <c r="S593" s="129">
        <f t="shared" ca="1" si="456"/>
        <v>0</v>
      </c>
      <c r="T593" s="129">
        <f t="shared" ca="1" si="456"/>
        <v>0</v>
      </c>
    </row>
    <row r="594" spans="2:20" s="35" customFormat="1" ht="13.5" customHeight="1" outlineLevel="1">
      <c r="B594" s="38" t="str">
        <f t="shared" si="455"/>
        <v>Term loan - B</v>
      </c>
      <c r="C594" s="38"/>
      <c r="D594" s="38"/>
      <c r="E594" s="38"/>
      <c r="F594" s="414">
        <v>0</v>
      </c>
      <c r="G594" s="414">
        <v>0</v>
      </c>
      <c r="H594" s="414">
        <v>0</v>
      </c>
      <c r="I594" s="38"/>
      <c r="J594" s="38"/>
      <c r="K594" s="129">
        <f t="shared" ref="K594:T594" si="457">K486</f>
        <v>0</v>
      </c>
      <c r="L594" s="129">
        <f t="shared" ca="1" si="457"/>
        <v>0</v>
      </c>
      <c r="M594" s="129">
        <f t="shared" ca="1" si="457"/>
        <v>0</v>
      </c>
      <c r="N594" s="129">
        <f t="shared" ca="1" si="457"/>
        <v>0</v>
      </c>
      <c r="O594" s="129">
        <f t="shared" ca="1" si="457"/>
        <v>0</v>
      </c>
      <c r="P594" s="129">
        <f t="shared" ca="1" si="457"/>
        <v>0</v>
      </c>
      <c r="Q594" s="129">
        <f t="shared" ca="1" si="457"/>
        <v>0</v>
      </c>
      <c r="R594" s="129">
        <f t="shared" ca="1" si="457"/>
        <v>0</v>
      </c>
      <c r="S594" s="129">
        <f t="shared" ca="1" si="457"/>
        <v>0</v>
      </c>
      <c r="T594" s="129">
        <f t="shared" ca="1" si="457"/>
        <v>0</v>
      </c>
    </row>
    <row r="595" spans="2:20" s="35" customFormat="1" ht="13.5" customHeight="1" outlineLevel="1">
      <c r="B595" s="38" t="str">
        <f t="shared" si="455"/>
        <v>Senior note</v>
      </c>
      <c r="C595" s="38"/>
      <c r="D595" s="38"/>
      <c r="E595" s="38"/>
      <c r="F595" s="414">
        <v>0</v>
      </c>
      <c r="G595" s="414">
        <v>0</v>
      </c>
      <c r="H595" s="414">
        <v>0</v>
      </c>
      <c r="I595" s="38"/>
      <c r="J595" s="38"/>
      <c r="K595" s="129">
        <f t="shared" ref="K595:T595" si="458">K495</f>
        <v>9.2799999999999994</v>
      </c>
      <c r="L595" s="129">
        <f t="shared" ca="1" si="458"/>
        <v>9.7155500000000004</v>
      </c>
      <c r="M595" s="129">
        <f t="shared" ca="1" si="458"/>
        <v>10.239725</v>
      </c>
      <c r="N595" s="129">
        <f t="shared" ca="1" si="458"/>
        <v>10.660400000000001</v>
      </c>
      <c r="O595" s="129">
        <f t="shared" ca="1" si="458"/>
        <v>11.073675000000001</v>
      </c>
      <c r="P595" s="129">
        <f t="shared" ca="1" si="458"/>
        <v>11.3315</v>
      </c>
      <c r="Q595" s="129">
        <f t="shared" ca="1" si="458"/>
        <v>11.480550000000001</v>
      </c>
      <c r="R595" s="129">
        <f t="shared" ca="1" si="458"/>
        <v>11.612350000000001</v>
      </c>
      <c r="S595" s="129">
        <f t="shared" ca="1" si="458"/>
        <v>0</v>
      </c>
      <c r="T595" s="129">
        <f t="shared" ca="1" si="458"/>
        <v>0</v>
      </c>
    </row>
    <row r="596" spans="2:20" s="35" customFormat="1" ht="13.5" customHeight="1" outlineLevel="1">
      <c r="B596" s="38" t="str">
        <f t="shared" si="455"/>
        <v>Subordinated note</v>
      </c>
      <c r="C596" s="38"/>
      <c r="D596" s="38"/>
      <c r="E596" s="38"/>
      <c r="F596" s="414">
        <v>0</v>
      </c>
      <c r="G596" s="414">
        <v>0</v>
      </c>
      <c r="H596" s="414">
        <v>0</v>
      </c>
      <c r="I596" s="38"/>
      <c r="J596" s="38"/>
      <c r="K596" s="129">
        <f t="shared" ref="K596:T596" si="459">K504</f>
        <v>5.125</v>
      </c>
      <c r="L596" s="129">
        <f t="shared" ca="1" si="459"/>
        <v>5.125</v>
      </c>
      <c r="M596" s="129">
        <f t="shared" ca="1" si="459"/>
        <v>5.125</v>
      </c>
      <c r="N596" s="129">
        <f t="shared" ca="1" si="459"/>
        <v>5.125</v>
      </c>
      <c r="O596" s="129">
        <f t="shared" ca="1" si="459"/>
        <v>5.125</v>
      </c>
      <c r="P596" s="129">
        <f t="shared" ca="1" si="459"/>
        <v>5.125</v>
      </c>
      <c r="Q596" s="129">
        <f t="shared" ca="1" si="459"/>
        <v>0</v>
      </c>
      <c r="R596" s="129">
        <f t="shared" ca="1" si="459"/>
        <v>0</v>
      </c>
      <c r="S596" s="129">
        <f t="shared" ca="1" si="459"/>
        <v>0</v>
      </c>
      <c r="T596" s="129">
        <f t="shared" ca="1" si="459"/>
        <v>0</v>
      </c>
    </row>
    <row r="597" spans="2:20" s="35" customFormat="1" ht="13.5" customHeight="1" outlineLevel="1">
      <c r="B597" s="38" t="str">
        <f t="shared" si="455"/>
        <v>Mezzanine</v>
      </c>
      <c r="C597" s="38"/>
      <c r="D597" s="38"/>
      <c r="E597" s="38"/>
      <c r="F597" s="414">
        <v>0</v>
      </c>
      <c r="G597" s="414">
        <v>0</v>
      </c>
      <c r="H597" s="414">
        <v>0</v>
      </c>
      <c r="I597" s="38"/>
      <c r="J597" s="38"/>
      <c r="K597" s="129">
        <f t="shared" ref="K597:T597" si="460">K513</f>
        <v>0</v>
      </c>
      <c r="L597" s="129">
        <f t="shared" ca="1" si="460"/>
        <v>0</v>
      </c>
      <c r="M597" s="129">
        <f t="shared" ca="1" si="460"/>
        <v>0</v>
      </c>
      <c r="N597" s="129">
        <f t="shared" ca="1" si="460"/>
        <v>0</v>
      </c>
      <c r="O597" s="129">
        <f t="shared" ca="1" si="460"/>
        <v>0</v>
      </c>
      <c r="P597" s="129">
        <f t="shared" ca="1" si="460"/>
        <v>0</v>
      </c>
      <c r="Q597" s="129">
        <f t="shared" ca="1" si="460"/>
        <v>0</v>
      </c>
      <c r="R597" s="129">
        <f t="shared" ca="1" si="460"/>
        <v>0</v>
      </c>
      <c r="S597" s="129">
        <f t="shared" ca="1" si="460"/>
        <v>0</v>
      </c>
      <c r="T597" s="129">
        <f t="shared" ca="1" si="460"/>
        <v>0</v>
      </c>
    </row>
    <row r="598" spans="2:20" s="35" customFormat="1" ht="13.5" customHeight="1" outlineLevel="1">
      <c r="B598" s="38" t="str">
        <f t="shared" si="455"/>
        <v>Seller note</v>
      </c>
      <c r="C598" s="38"/>
      <c r="D598" s="38"/>
      <c r="E598" s="38"/>
      <c r="F598" s="414">
        <v>0</v>
      </c>
      <c r="G598" s="414">
        <v>0</v>
      </c>
      <c r="H598" s="414">
        <v>0</v>
      </c>
      <c r="I598" s="38"/>
      <c r="J598" s="38"/>
      <c r="K598" s="129">
        <f t="shared" ref="K598:T598" si="461">K522</f>
        <v>0</v>
      </c>
      <c r="L598" s="129">
        <f t="shared" ca="1" si="461"/>
        <v>0</v>
      </c>
      <c r="M598" s="129">
        <f t="shared" ca="1" si="461"/>
        <v>0</v>
      </c>
      <c r="N598" s="129">
        <f t="shared" ca="1" si="461"/>
        <v>0</v>
      </c>
      <c r="O598" s="129">
        <f t="shared" ca="1" si="461"/>
        <v>0</v>
      </c>
      <c r="P598" s="129">
        <f t="shared" ca="1" si="461"/>
        <v>0</v>
      </c>
      <c r="Q598" s="129">
        <f t="shared" ca="1" si="461"/>
        <v>0</v>
      </c>
      <c r="R598" s="129">
        <f t="shared" ca="1" si="461"/>
        <v>0</v>
      </c>
      <c r="S598" s="129">
        <f t="shared" ca="1" si="461"/>
        <v>0</v>
      </c>
      <c r="T598" s="129">
        <f t="shared" ca="1" si="461"/>
        <v>0</v>
      </c>
    </row>
    <row r="599" spans="2:20" s="35" customFormat="1" ht="13.5" customHeight="1" outlineLevel="1">
      <c r="B599" s="38" t="str">
        <f t="shared" si="455"/>
        <v>Convertible bond</v>
      </c>
      <c r="C599" s="38"/>
      <c r="D599" s="38"/>
      <c r="E599" s="38"/>
      <c r="F599" s="414">
        <v>0</v>
      </c>
      <c r="G599" s="414">
        <v>0</v>
      </c>
      <c r="H599" s="414">
        <v>0</v>
      </c>
      <c r="I599" s="38"/>
      <c r="J599" s="38"/>
      <c r="K599" s="129">
        <f t="shared" ref="K599:T599" si="462">K531</f>
        <v>0</v>
      </c>
      <c r="L599" s="129">
        <f t="shared" ca="1" si="462"/>
        <v>0</v>
      </c>
      <c r="M599" s="129">
        <f t="shared" ca="1" si="462"/>
        <v>0</v>
      </c>
      <c r="N599" s="129">
        <f t="shared" ca="1" si="462"/>
        <v>0</v>
      </c>
      <c r="O599" s="129">
        <f t="shared" ca="1" si="462"/>
        <v>0</v>
      </c>
      <c r="P599" s="129">
        <f t="shared" ca="1" si="462"/>
        <v>0</v>
      </c>
      <c r="Q599" s="129">
        <f t="shared" ca="1" si="462"/>
        <v>0</v>
      </c>
      <c r="R599" s="129">
        <f t="shared" ca="1" si="462"/>
        <v>0</v>
      </c>
      <c r="S599" s="129">
        <f t="shared" ca="1" si="462"/>
        <v>0</v>
      </c>
      <c r="T599" s="129">
        <f t="shared" ca="1" si="462"/>
        <v>0</v>
      </c>
    </row>
    <row r="600" spans="2:20" s="35" customFormat="1" ht="13.5" customHeight="1" outlineLevel="1">
      <c r="B600" s="38" t="str">
        <f t="shared" si="455"/>
        <v>[Debt 8]</v>
      </c>
      <c r="C600" s="38"/>
      <c r="D600" s="38"/>
      <c r="E600" s="38"/>
      <c r="F600" s="414">
        <v>0</v>
      </c>
      <c r="G600" s="414">
        <v>0</v>
      </c>
      <c r="H600" s="414">
        <v>0</v>
      </c>
      <c r="I600" s="38"/>
      <c r="J600" s="38"/>
      <c r="K600" s="129">
        <f t="shared" ref="K600:T600" si="463">K540</f>
        <v>0</v>
      </c>
      <c r="L600" s="129">
        <f t="shared" ca="1" si="463"/>
        <v>0</v>
      </c>
      <c r="M600" s="129">
        <f t="shared" ca="1" si="463"/>
        <v>0</v>
      </c>
      <c r="N600" s="129">
        <f t="shared" ca="1" si="463"/>
        <v>0</v>
      </c>
      <c r="O600" s="129">
        <f t="shared" ca="1" si="463"/>
        <v>0</v>
      </c>
      <c r="P600" s="129">
        <f t="shared" ca="1" si="463"/>
        <v>0</v>
      </c>
      <c r="Q600" s="129">
        <f t="shared" ca="1" si="463"/>
        <v>0</v>
      </c>
      <c r="R600" s="129">
        <f t="shared" ca="1" si="463"/>
        <v>0</v>
      </c>
      <c r="S600" s="129">
        <f t="shared" ca="1" si="463"/>
        <v>0</v>
      </c>
      <c r="T600" s="129">
        <f t="shared" ca="1" si="463"/>
        <v>0</v>
      </c>
    </row>
    <row r="601" spans="2:20" s="35" customFormat="1" ht="13.5" customHeight="1" outlineLevel="1">
      <c r="B601" s="38" t="str">
        <f t="shared" si="455"/>
        <v>Preferred stock - A</v>
      </c>
      <c r="C601" s="38"/>
      <c r="D601" s="38"/>
      <c r="E601" s="38"/>
      <c r="F601" s="414">
        <v>0</v>
      </c>
      <c r="G601" s="414">
        <v>0</v>
      </c>
      <c r="H601" s="414">
        <v>0</v>
      </c>
      <c r="I601" s="38"/>
      <c r="J601" s="38"/>
      <c r="K601" s="129">
        <f t="shared" ref="K601:T601" si="464">K549</f>
        <v>1.2</v>
      </c>
      <c r="L601" s="129">
        <f t="shared" ca="1" si="464"/>
        <v>1.2</v>
      </c>
      <c r="M601" s="129">
        <f t="shared" ca="1" si="464"/>
        <v>1.2</v>
      </c>
      <c r="N601" s="129">
        <f t="shared" ca="1" si="464"/>
        <v>1.2</v>
      </c>
      <c r="O601" s="129">
        <f t="shared" ca="1" si="464"/>
        <v>1.2</v>
      </c>
      <c r="P601" s="129">
        <f t="shared" ca="1" si="464"/>
        <v>1.2</v>
      </c>
      <c r="Q601" s="129">
        <f t="shared" ca="1" si="464"/>
        <v>1.2</v>
      </c>
      <c r="R601" s="129">
        <f t="shared" ca="1" si="464"/>
        <v>1.2</v>
      </c>
      <c r="S601" s="129">
        <f t="shared" ca="1" si="464"/>
        <v>1.2</v>
      </c>
      <c r="T601" s="129">
        <f t="shared" ca="1" si="464"/>
        <v>1.2</v>
      </c>
    </row>
    <row r="602" spans="2:20" s="35" customFormat="1" ht="13.5" customHeight="1" outlineLevel="1">
      <c r="B602" s="38" t="str">
        <f t="shared" si="455"/>
        <v>Preferred stock - B</v>
      </c>
      <c r="C602" s="38"/>
      <c r="D602" s="38"/>
      <c r="E602" s="38"/>
      <c r="F602" s="414">
        <v>0</v>
      </c>
      <c r="G602" s="414">
        <v>0</v>
      </c>
      <c r="H602" s="414">
        <v>0</v>
      </c>
      <c r="I602" s="38"/>
      <c r="J602" s="38"/>
      <c r="K602" s="129">
        <f t="shared" ref="K602:T602" si="465">K558</f>
        <v>0</v>
      </c>
      <c r="L602" s="129">
        <f t="shared" ca="1" si="465"/>
        <v>0</v>
      </c>
      <c r="M602" s="129">
        <f t="shared" ca="1" si="465"/>
        <v>0</v>
      </c>
      <c r="N602" s="129">
        <f t="shared" ca="1" si="465"/>
        <v>0</v>
      </c>
      <c r="O602" s="129">
        <f t="shared" ca="1" si="465"/>
        <v>0</v>
      </c>
      <c r="P602" s="129">
        <f t="shared" ca="1" si="465"/>
        <v>0</v>
      </c>
      <c r="Q602" s="129">
        <f t="shared" ca="1" si="465"/>
        <v>0</v>
      </c>
      <c r="R602" s="129">
        <f t="shared" ca="1" si="465"/>
        <v>0</v>
      </c>
      <c r="S602" s="129">
        <f t="shared" ca="1" si="465"/>
        <v>0</v>
      </c>
      <c r="T602" s="129">
        <f t="shared" ca="1" si="465"/>
        <v>0</v>
      </c>
    </row>
    <row r="603" spans="2:20" s="35" customFormat="1" ht="13.5" customHeight="1" outlineLevel="1">
      <c r="B603" s="38"/>
      <c r="C603" s="38"/>
      <c r="D603" s="38"/>
      <c r="E603" s="38"/>
      <c r="F603" s="38"/>
      <c r="G603" s="38"/>
      <c r="H603" s="38"/>
      <c r="I603" s="38"/>
      <c r="J603" s="38"/>
      <c r="K603" s="158"/>
      <c r="L603" s="158"/>
      <c r="M603" s="158"/>
      <c r="N603" s="158"/>
      <c r="O603" s="158"/>
      <c r="P603" s="158"/>
      <c r="Q603" s="158"/>
      <c r="R603" s="158"/>
      <c r="S603" s="158"/>
      <c r="T603" s="158"/>
    </row>
    <row r="604" spans="2:20" s="35" customFormat="1" ht="13.5" customHeight="1" outlineLevel="1">
      <c r="B604" s="277" t="s">
        <v>388</v>
      </c>
      <c r="C604" s="78"/>
      <c r="D604" s="78"/>
      <c r="E604" s="78"/>
      <c r="F604" s="78"/>
      <c r="G604" s="78"/>
      <c r="H604" s="78"/>
      <c r="I604" s="78"/>
      <c r="J604" s="78"/>
      <c r="K604" s="278">
        <f t="shared" ref="K604:T604" si="466">SUM(K591:K592)+SUMPRODUCT(K593:K602,$I881:$I890)</f>
        <v>13.564999999999998</v>
      </c>
      <c r="L604" s="278">
        <f t="shared" ca="1" si="466"/>
        <v>10.21555</v>
      </c>
      <c r="M604" s="278">
        <f t="shared" ca="1" si="466"/>
        <v>10.739725</v>
      </c>
      <c r="N604" s="278">
        <f t="shared" ca="1" si="466"/>
        <v>11.160400000000001</v>
      </c>
      <c r="O604" s="278">
        <f t="shared" ca="1" si="466"/>
        <v>11.573675000000001</v>
      </c>
      <c r="P604" s="278">
        <f t="shared" ca="1" si="466"/>
        <v>11.8315</v>
      </c>
      <c r="Q604" s="278">
        <f t="shared" ca="1" si="466"/>
        <v>11.980550000000001</v>
      </c>
      <c r="R604" s="278">
        <f t="shared" ca="1" si="466"/>
        <v>12.112350000000001</v>
      </c>
      <c r="S604" s="278">
        <f t="shared" ca="1" si="466"/>
        <v>0.5</v>
      </c>
      <c r="T604" s="278">
        <f t="shared" ca="1" si="466"/>
        <v>0.5</v>
      </c>
    </row>
    <row r="605" spans="2:20" s="35" customFormat="1" ht="13.5" customHeight="1" outlineLevel="1">
      <c r="B605" s="277" t="s">
        <v>389</v>
      </c>
      <c r="C605" s="78"/>
      <c r="D605" s="78"/>
      <c r="E605" s="78"/>
      <c r="F605" s="78"/>
      <c r="G605" s="78"/>
      <c r="H605" s="78"/>
      <c r="I605" s="78"/>
      <c r="J605" s="78"/>
      <c r="K605" s="279">
        <f t="shared" ref="K605:T605" si="467">SUM(K591:K602)-SUMPRODUCT(K593:K602,$J881:$J890)</f>
        <v>18.689999999999998</v>
      </c>
      <c r="L605" s="279">
        <f t="shared" ca="1" si="467"/>
        <v>15.34055</v>
      </c>
      <c r="M605" s="279">
        <f t="shared" ca="1" si="467"/>
        <v>15.864725</v>
      </c>
      <c r="N605" s="279">
        <f t="shared" ca="1" si="467"/>
        <v>16.285400000000003</v>
      </c>
      <c r="O605" s="279">
        <f t="shared" ca="1" si="467"/>
        <v>16.698675000000001</v>
      </c>
      <c r="P605" s="279">
        <f t="shared" ca="1" si="467"/>
        <v>16.956499999999998</v>
      </c>
      <c r="Q605" s="279">
        <f t="shared" ca="1" si="467"/>
        <v>11.980550000000001</v>
      </c>
      <c r="R605" s="279">
        <f t="shared" ca="1" si="467"/>
        <v>12.112350000000001</v>
      </c>
      <c r="S605" s="279">
        <f t="shared" ca="1" si="467"/>
        <v>0.5</v>
      </c>
      <c r="T605" s="279">
        <f t="shared" ca="1" si="467"/>
        <v>0.5</v>
      </c>
    </row>
    <row r="606" spans="2:20" s="35" customFormat="1" ht="13.5" customHeight="1" outlineLevel="1">
      <c r="B606" s="277" t="s">
        <v>390</v>
      </c>
      <c r="C606" s="78"/>
      <c r="D606" s="78"/>
      <c r="E606" s="78"/>
      <c r="F606" s="78"/>
      <c r="G606" s="78"/>
      <c r="H606" s="78"/>
      <c r="I606" s="78"/>
      <c r="J606" s="78"/>
      <c r="K606" s="279">
        <f t="shared" ref="K606:T606" si="468">SUMPRODUCT(K593:K602,$J881:$J890)</f>
        <v>1.2</v>
      </c>
      <c r="L606" s="279">
        <f t="shared" ca="1" si="468"/>
        <v>1.2</v>
      </c>
      <c r="M606" s="279">
        <f t="shared" ca="1" si="468"/>
        <v>1.2</v>
      </c>
      <c r="N606" s="279">
        <f t="shared" ca="1" si="468"/>
        <v>1.2</v>
      </c>
      <c r="O606" s="279">
        <f t="shared" ca="1" si="468"/>
        <v>1.2</v>
      </c>
      <c r="P606" s="279">
        <f t="shared" ca="1" si="468"/>
        <v>1.2</v>
      </c>
      <c r="Q606" s="279">
        <f t="shared" ca="1" si="468"/>
        <v>1.2</v>
      </c>
      <c r="R606" s="279">
        <f t="shared" ca="1" si="468"/>
        <v>1.2</v>
      </c>
      <c r="S606" s="279">
        <f t="shared" ca="1" si="468"/>
        <v>1.2</v>
      </c>
      <c r="T606" s="279">
        <f t="shared" ca="1" si="468"/>
        <v>1.2</v>
      </c>
    </row>
    <row r="607" spans="2:20" s="35" customFormat="1" ht="5.0999999999999996" customHeight="1" outlineLevel="1" thickBot="1">
      <c r="B607" s="114"/>
      <c r="C607" s="114"/>
      <c r="D607" s="114"/>
      <c r="E607" s="114"/>
      <c r="F607" s="114"/>
      <c r="G607" s="114"/>
      <c r="H607" s="114"/>
      <c r="I607" s="114"/>
      <c r="J607" s="114"/>
      <c r="K607" s="114"/>
      <c r="L607" s="114"/>
      <c r="M607" s="114"/>
      <c r="N607" s="114"/>
      <c r="O607" s="114"/>
      <c r="P607" s="114"/>
      <c r="Q607" s="114"/>
      <c r="R607" s="114"/>
      <c r="S607" s="114"/>
      <c r="T607" s="114"/>
    </row>
    <row r="608" spans="2:20" ht="13.5" customHeight="1" outlineLevel="1"/>
    <row r="609" spans="1:20" ht="13.5" customHeight="1" outlineLevel="1" thickBot="1"/>
    <row r="610" spans="1:20" s="35" customFormat="1" ht="20.100000000000001" customHeight="1" thickTop="1">
      <c r="A610" s="41" t="s">
        <v>313</v>
      </c>
      <c r="B610" s="42" t="s">
        <v>58</v>
      </c>
      <c r="C610" s="43"/>
      <c r="D610" s="44"/>
      <c r="E610" s="44"/>
      <c r="F610" s="44"/>
      <c r="G610" s="44"/>
      <c r="H610" s="44"/>
      <c r="I610" s="44"/>
      <c r="J610" s="44"/>
      <c r="K610" s="44"/>
      <c r="L610" s="44"/>
      <c r="M610" s="44"/>
      <c r="N610" s="44"/>
      <c r="O610" s="44"/>
      <c r="P610" s="44"/>
      <c r="Q610" s="44"/>
      <c r="R610" s="44"/>
      <c r="S610" s="44"/>
      <c r="T610" s="44"/>
    </row>
    <row r="611" spans="1:20" s="35" customFormat="1" ht="14.4" outlineLevel="1">
      <c r="B611" s="146"/>
      <c r="T611" s="147" t="str">
        <f ca="1">err_msg</f>
        <v/>
      </c>
    </row>
    <row r="612" spans="1:20" s="35" customFormat="1" ht="13.5" customHeight="1" outlineLevel="1">
      <c r="B612" s="250"/>
      <c r="I612" s="244"/>
      <c r="J612" s="244"/>
      <c r="K612" s="195" t="str">
        <f>K$140</f>
        <v>Fiscal Years Ending December 31,</v>
      </c>
      <c r="L612" s="195"/>
      <c r="M612" s="195"/>
      <c r="N612" s="195"/>
      <c r="O612" s="195"/>
      <c r="P612" s="195"/>
      <c r="Q612" s="195"/>
      <c r="R612" s="195"/>
      <c r="S612" s="195"/>
      <c r="T612" s="195"/>
    </row>
    <row r="613" spans="1:20" s="35" customFormat="1" ht="13.5" customHeight="1" outlineLevel="1">
      <c r="K613" s="102">
        <f>K$141</f>
        <v>1</v>
      </c>
      <c r="L613" s="102">
        <f>L$141</f>
        <v>2</v>
      </c>
      <c r="M613" s="102">
        <f t="shared" ref="M613:T613" si="469">M$141</f>
        <v>3</v>
      </c>
      <c r="N613" s="102">
        <f t="shared" si="469"/>
        <v>4</v>
      </c>
      <c r="O613" s="102">
        <f t="shared" si="469"/>
        <v>5</v>
      </c>
      <c r="P613" s="102">
        <f t="shared" si="469"/>
        <v>6</v>
      </c>
      <c r="Q613" s="102">
        <f t="shared" si="469"/>
        <v>7</v>
      </c>
      <c r="R613" s="102">
        <f t="shared" si="469"/>
        <v>8</v>
      </c>
      <c r="S613" s="102">
        <f t="shared" si="469"/>
        <v>9</v>
      </c>
      <c r="T613" s="102">
        <f t="shared" si="469"/>
        <v>10</v>
      </c>
    </row>
    <row r="614" spans="1:20" s="35" customFormat="1" ht="13.5" customHeight="1" outlineLevel="1" thickBot="1">
      <c r="B614" s="122" t="s">
        <v>201</v>
      </c>
      <c r="C614" s="280"/>
      <c r="D614" s="280"/>
      <c r="E614" s="280"/>
      <c r="F614" s="280"/>
      <c r="G614" s="280"/>
      <c r="H614" s="280"/>
      <c r="I614" s="280"/>
      <c r="J614" s="280"/>
      <c r="K614" s="202">
        <f>K$142</f>
        <v>45657</v>
      </c>
      <c r="L614" s="202">
        <f>L$142</f>
        <v>46022</v>
      </c>
      <c r="M614" s="202">
        <f t="shared" ref="M614:T614" si="470">M$142</f>
        <v>46387</v>
      </c>
      <c r="N614" s="202">
        <f t="shared" si="470"/>
        <v>46752</v>
      </c>
      <c r="O614" s="202">
        <f t="shared" si="470"/>
        <v>47118</v>
      </c>
      <c r="P614" s="202">
        <f t="shared" si="470"/>
        <v>47483</v>
      </c>
      <c r="Q614" s="202">
        <f t="shared" si="470"/>
        <v>47848</v>
      </c>
      <c r="R614" s="202">
        <f t="shared" si="470"/>
        <v>48213</v>
      </c>
      <c r="S614" s="202">
        <f t="shared" si="470"/>
        <v>48579</v>
      </c>
      <c r="T614" s="202">
        <f t="shared" si="470"/>
        <v>48944</v>
      </c>
    </row>
    <row r="615" spans="1:20" s="35" customFormat="1" ht="5.0999999999999996" customHeight="1" outlineLevel="1">
      <c r="K615" s="281"/>
      <c r="L615" s="281"/>
      <c r="M615" s="281"/>
      <c r="N615" s="281"/>
      <c r="O615" s="281"/>
      <c r="P615" s="281"/>
      <c r="Q615" s="281"/>
      <c r="R615" s="281"/>
      <c r="S615" s="281"/>
      <c r="T615" s="281"/>
    </row>
    <row r="616" spans="1:20" s="35" customFormat="1" ht="13.5" customHeight="1" outlineLevel="1">
      <c r="B616" s="38" t="str">
        <f t="shared" ref="B616:B626" si="471">B880</f>
        <v>Revolver</v>
      </c>
      <c r="C616" s="38"/>
      <c r="D616" s="38"/>
      <c r="E616" s="38"/>
      <c r="F616" s="38"/>
      <c r="G616" s="38"/>
      <c r="H616" s="38"/>
      <c r="I616" s="38"/>
      <c r="J616" s="38"/>
      <c r="K616" s="205">
        <f>IFERROR(M880/L880,0)</f>
        <v>0.35000000000000003</v>
      </c>
      <c r="L616" s="54">
        <f>MAX(0,MIN($K616,$M880-SUM($K616:K616)))</f>
        <v>0.35000000000000003</v>
      </c>
      <c r="M616" s="54">
        <f>MAX(0,MIN($K616,$M880-SUM($K616:L616)))</f>
        <v>0.35000000000000003</v>
      </c>
      <c r="N616" s="54">
        <f>MAX(0,MIN($K616,$M880-SUM($K616:M616)))</f>
        <v>0.35000000000000003</v>
      </c>
      <c r="O616" s="54">
        <f>MAX(0,MIN($K616,$M880-SUM($K616:N616)))</f>
        <v>0.35000000000000003</v>
      </c>
      <c r="P616" s="54">
        <f>MAX(0,MIN($K616,$M880-SUM($K616:O616)))</f>
        <v>0</v>
      </c>
      <c r="Q616" s="54">
        <f>MAX(0,MIN($K616,$M880-SUM($K616:P616)))</f>
        <v>0</v>
      </c>
      <c r="R616" s="54">
        <f>MAX(0,MIN($K616,$M880-SUM($K616:Q616)))</f>
        <v>0</v>
      </c>
      <c r="S616" s="54">
        <f>MAX(0,MIN($K616,$M880-SUM($K616:R616)))</f>
        <v>0</v>
      </c>
      <c r="T616" s="54">
        <f>MAX(0,MIN($K616,$M880-SUM($K616:S616)))</f>
        <v>0</v>
      </c>
    </row>
    <row r="617" spans="1:20" s="35" customFormat="1" ht="13.5" customHeight="1" outlineLevel="1">
      <c r="B617" s="38" t="str">
        <f t="shared" si="471"/>
        <v>Term loan - A</v>
      </c>
      <c r="C617" s="38"/>
      <c r="D617" s="38"/>
      <c r="E617" s="38"/>
      <c r="F617" s="38"/>
      <c r="G617" s="38"/>
      <c r="H617" s="38"/>
      <c r="I617" s="38"/>
      <c r="J617" s="38"/>
      <c r="K617" s="109">
        <f>IFERROR(M881/L881,0)</f>
        <v>0.2</v>
      </c>
      <c r="L617" s="57">
        <f>MAX(0,MIN($K617,$M881-SUM($K617:K617)))</f>
        <v>0.2</v>
      </c>
      <c r="M617" s="57">
        <f>MAX(0,MIN($K617,$M881-SUM($K617:L617)))</f>
        <v>0.2</v>
      </c>
      <c r="N617" s="57">
        <f>MAX(0,MIN($K617,$M881-SUM($K617:M617)))</f>
        <v>0.2</v>
      </c>
      <c r="O617" s="57">
        <f>MAX(0,MIN($K617,$M881-SUM($K617:N617)))</f>
        <v>0.19999999999999996</v>
      </c>
      <c r="P617" s="57">
        <f>MAX(0,MIN($K617,$M881-SUM($K617:O617)))</f>
        <v>0</v>
      </c>
      <c r="Q617" s="57">
        <f>MAX(0,MIN($K617,$M881-SUM($K617:P617)))</f>
        <v>0</v>
      </c>
      <c r="R617" s="57">
        <f>MAX(0,MIN($K617,$M881-SUM($K617:Q617)))</f>
        <v>0</v>
      </c>
      <c r="S617" s="57">
        <f>MAX(0,MIN($K617,$M881-SUM($K617:R617)))</f>
        <v>0</v>
      </c>
      <c r="T617" s="57">
        <f>MAX(0,MIN($K617,$M881-SUM($K617:S617)))</f>
        <v>0</v>
      </c>
    </row>
    <row r="618" spans="1:20" s="35" customFormat="1" ht="13.5" customHeight="1" outlineLevel="1">
      <c r="B618" s="38" t="str">
        <f t="shared" si="471"/>
        <v>Term loan - B</v>
      </c>
      <c r="C618" s="38"/>
      <c r="D618" s="38"/>
      <c r="E618" s="38"/>
      <c r="F618" s="38"/>
      <c r="G618" s="38"/>
      <c r="H618" s="38"/>
      <c r="I618" s="38"/>
      <c r="J618" s="38"/>
      <c r="K618" s="109">
        <f>IFERROR(M882/L882,0)</f>
        <v>0</v>
      </c>
      <c r="L618" s="57">
        <f>MAX(0,MIN($K618,$M882-SUM($K618:K618)))</f>
        <v>0</v>
      </c>
      <c r="M618" s="57">
        <f>MAX(0,MIN($K618,$M882-SUM($K618:L618)))</f>
        <v>0</v>
      </c>
      <c r="N618" s="57">
        <f>MAX(0,MIN($K618,$M882-SUM($K618:M618)))</f>
        <v>0</v>
      </c>
      <c r="O618" s="57">
        <f>MAX(0,MIN($K618,$M882-SUM($K618:N618)))</f>
        <v>0</v>
      </c>
      <c r="P618" s="57">
        <f>MAX(0,MIN($K618,$M882-SUM($K618:O618)))</f>
        <v>0</v>
      </c>
      <c r="Q618" s="57">
        <f>MAX(0,MIN($K618,$M882-SUM($K618:P618)))</f>
        <v>0</v>
      </c>
      <c r="R618" s="57">
        <f>MAX(0,MIN($K618,$M882-SUM($K618:Q618)))</f>
        <v>0</v>
      </c>
      <c r="S618" s="57">
        <f>MAX(0,MIN($K618,$M882-SUM($K618:R618)))</f>
        <v>0</v>
      </c>
      <c r="T618" s="57">
        <f>MAX(0,MIN($K618,$M882-SUM($K618:S618)))</f>
        <v>0</v>
      </c>
    </row>
    <row r="619" spans="1:20" s="35" customFormat="1" ht="13.5" customHeight="1" outlineLevel="1">
      <c r="B619" s="38" t="str">
        <f t="shared" si="471"/>
        <v>Senior note</v>
      </c>
      <c r="C619" s="38"/>
      <c r="D619" s="38"/>
      <c r="E619" s="38"/>
      <c r="F619" s="38"/>
      <c r="G619" s="38"/>
      <c r="H619" s="38"/>
      <c r="I619" s="38"/>
      <c r="J619" s="38"/>
      <c r="K619" s="109">
        <f t="shared" ref="K619:K626" si="472">IFERROR(M883/L883,0)</f>
        <v>0.32142857142857145</v>
      </c>
      <c r="L619" s="57">
        <f>MAX(0,MIN($K619,$M883-SUM($K619:K619)))</f>
        <v>0.32142857142857145</v>
      </c>
      <c r="M619" s="57">
        <f>MAX(0,MIN($K619,$M883-SUM($K619:L619)))</f>
        <v>0.32142857142857145</v>
      </c>
      <c r="N619" s="57">
        <f>MAX(0,MIN($K619,$M883-SUM($K619:M619)))</f>
        <v>0.32142857142857145</v>
      </c>
      <c r="O619" s="57">
        <f>MAX(0,MIN($K619,$M883-SUM($K619:N619)))</f>
        <v>0.32142857142857145</v>
      </c>
      <c r="P619" s="57">
        <f>MAX(0,MIN($K619,$M883-SUM($K619:O619)))</f>
        <v>0.32142857142857145</v>
      </c>
      <c r="Q619" s="57">
        <f>MAX(0,MIN($K619,$M883-SUM($K619:P619)))</f>
        <v>0.3214285714285714</v>
      </c>
      <c r="R619" s="57">
        <f>MAX(0,MIN($K619,$M883-SUM($K619:Q619)))</f>
        <v>0</v>
      </c>
      <c r="S619" s="57">
        <f>MAX(0,MIN($K619,$M883-SUM($K619:R619)))</f>
        <v>0</v>
      </c>
      <c r="T619" s="57">
        <f>MAX(0,MIN($K619,$M883-SUM($K619:S619)))</f>
        <v>0</v>
      </c>
    </row>
    <row r="620" spans="1:20" s="35" customFormat="1" ht="13.5" customHeight="1" outlineLevel="1">
      <c r="B620" s="38" t="str">
        <f t="shared" si="471"/>
        <v>Subordinated note</v>
      </c>
      <c r="C620" s="38"/>
      <c r="D620" s="38"/>
      <c r="E620" s="38"/>
      <c r="F620" s="38"/>
      <c r="G620" s="38"/>
      <c r="H620" s="38"/>
      <c r="I620" s="38"/>
      <c r="J620" s="38"/>
      <c r="K620" s="109">
        <f t="shared" si="472"/>
        <v>0.21428571428571427</v>
      </c>
      <c r="L620" s="57">
        <f>MAX(0,MIN($K620,$M884-SUM($K620:K620)))</f>
        <v>0.21428571428571427</v>
      </c>
      <c r="M620" s="57">
        <f>MAX(0,MIN($K620,$M884-SUM($K620:L620)))</f>
        <v>0.21428571428571427</v>
      </c>
      <c r="N620" s="57">
        <f>MAX(0,MIN($K620,$M884-SUM($K620:M620)))</f>
        <v>0.21428571428571427</v>
      </c>
      <c r="O620" s="57">
        <f>MAX(0,MIN($K620,$M884-SUM($K620:N620)))</f>
        <v>0.21428571428571427</v>
      </c>
      <c r="P620" s="57">
        <f>MAX(0,MIN($K620,$M884-SUM($K620:O620)))</f>
        <v>0.21428571428571427</v>
      </c>
      <c r="Q620" s="57">
        <f>MAX(0,MIN($K620,$M884-SUM($K620:P620)))</f>
        <v>0.21428571428571427</v>
      </c>
      <c r="R620" s="57">
        <f>MAX(0,MIN($K620,$M884-SUM($K620:Q620)))</f>
        <v>2.2204460492503131E-16</v>
      </c>
      <c r="S620" s="57">
        <f>MAX(0,MIN($K620,$M884-SUM($K620:R620)))</f>
        <v>0</v>
      </c>
      <c r="T620" s="57">
        <f>MAX(0,MIN($K620,$M884-SUM($K620:S620)))</f>
        <v>0</v>
      </c>
    </row>
    <row r="621" spans="1:20" s="35" customFormat="1" ht="13.5" customHeight="1" outlineLevel="1">
      <c r="B621" s="38" t="str">
        <f t="shared" si="471"/>
        <v>Mezzanine</v>
      </c>
      <c r="C621" s="38"/>
      <c r="D621" s="38"/>
      <c r="E621" s="38"/>
      <c r="F621" s="38"/>
      <c r="G621" s="38"/>
      <c r="H621" s="38"/>
      <c r="I621" s="38"/>
      <c r="J621" s="38"/>
      <c r="K621" s="109">
        <f t="shared" si="472"/>
        <v>0</v>
      </c>
      <c r="L621" s="57">
        <f>MAX(0,MIN($K621,$M885-SUM($K621:K621)))</f>
        <v>0</v>
      </c>
      <c r="M621" s="57">
        <f>MAX(0,MIN($K621,$M885-SUM($K621:L621)))</f>
        <v>0</v>
      </c>
      <c r="N621" s="57">
        <f>MAX(0,MIN($K621,$M885-SUM($K621:M621)))</f>
        <v>0</v>
      </c>
      <c r="O621" s="57">
        <f>MAX(0,MIN($K621,$M885-SUM($K621:N621)))</f>
        <v>0</v>
      </c>
      <c r="P621" s="57">
        <f>MAX(0,MIN($K621,$M885-SUM($K621:O621)))</f>
        <v>0</v>
      </c>
      <c r="Q621" s="57">
        <f>MAX(0,MIN($K621,$M885-SUM($K621:P621)))</f>
        <v>0</v>
      </c>
      <c r="R621" s="57">
        <f>MAX(0,MIN($K621,$M885-SUM($K621:Q621)))</f>
        <v>0</v>
      </c>
      <c r="S621" s="57">
        <f>MAX(0,MIN($K621,$M885-SUM($K621:R621)))</f>
        <v>0</v>
      </c>
      <c r="T621" s="57">
        <f>MAX(0,MIN($K621,$M885-SUM($K621:S621)))</f>
        <v>0</v>
      </c>
    </row>
    <row r="622" spans="1:20" s="35" customFormat="1" ht="13.5" customHeight="1" outlineLevel="1">
      <c r="B622" s="38" t="str">
        <f t="shared" si="471"/>
        <v>Seller note</v>
      </c>
      <c r="C622" s="38"/>
      <c r="D622" s="38"/>
      <c r="E622" s="38"/>
      <c r="F622" s="38"/>
      <c r="G622" s="38"/>
      <c r="H622" s="38"/>
      <c r="I622" s="38"/>
      <c r="J622" s="38"/>
      <c r="K622" s="109">
        <f t="shared" si="472"/>
        <v>0</v>
      </c>
      <c r="L622" s="57">
        <f>MAX(0,MIN($K622,$M886-SUM($K622:K622)))</f>
        <v>0</v>
      </c>
      <c r="M622" s="57">
        <f>MAX(0,MIN($K622,$M886-SUM($K622:L622)))</f>
        <v>0</v>
      </c>
      <c r="N622" s="57">
        <f>MAX(0,MIN($K622,$M886-SUM($K622:M622)))</f>
        <v>0</v>
      </c>
      <c r="O622" s="57">
        <f>MAX(0,MIN($K622,$M886-SUM($K622:N622)))</f>
        <v>0</v>
      </c>
      <c r="P622" s="57">
        <f>MAX(0,MIN($K622,$M886-SUM($K622:O622)))</f>
        <v>0</v>
      </c>
      <c r="Q622" s="57">
        <f>MAX(0,MIN($K622,$M886-SUM($K622:P622)))</f>
        <v>0</v>
      </c>
      <c r="R622" s="57">
        <f>MAX(0,MIN($K622,$M886-SUM($K622:Q622)))</f>
        <v>0</v>
      </c>
      <c r="S622" s="57">
        <f>MAX(0,MIN($K622,$M886-SUM($K622:R622)))</f>
        <v>0</v>
      </c>
      <c r="T622" s="57">
        <f>MAX(0,MIN($K622,$M886-SUM($K622:S622)))</f>
        <v>0</v>
      </c>
    </row>
    <row r="623" spans="1:20" s="35" customFormat="1" ht="13.5" customHeight="1" outlineLevel="1">
      <c r="B623" s="38" t="str">
        <f t="shared" si="471"/>
        <v>Convertible bond</v>
      </c>
      <c r="C623" s="38"/>
      <c r="D623" s="38"/>
      <c r="E623" s="38"/>
      <c r="F623" s="38"/>
      <c r="G623" s="38"/>
      <c r="H623" s="38"/>
      <c r="I623" s="38"/>
      <c r="J623" s="38"/>
      <c r="K623" s="109">
        <f t="shared" si="472"/>
        <v>0</v>
      </c>
      <c r="L623" s="57">
        <f>MAX(0,MIN($K623,$M887-SUM($K623:K623)))</f>
        <v>0</v>
      </c>
      <c r="M623" s="57">
        <f>MAX(0,MIN($K623,$M887-SUM($K623:L623)))</f>
        <v>0</v>
      </c>
      <c r="N623" s="57">
        <f>MAX(0,MIN($K623,$M887-SUM($K623:M623)))</f>
        <v>0</v>
      </c>
      <c r="O623" s="57">
        <f>MAX(0,MIN($K623,$M887-SUM($K623:N623)))</f>
        <v>0</v>
      </c>
      <c r="P623" s="57">
        <f>MAX(0,MIN($K623,$M887-SUM($K623:O623)))</f>
        <v>0</v>
      </c>
      <c r="Q623" s="57">
        <f>MAX(0,MIN($K623,$M887-SUM($K623:P623)))</f>
        <v>0</v>
      </c>
      <c r="R623" s="57">
        <f>MAX(0,MIN($K623,$M887-SUM($K623:Q623)))</f>
        <v>0</v>
      </c>
      <c r="S623" s="57">
        <f>MAX(0,MIN($K623,$M887-SUM($K623:R623)))</f>
        <v>0</v>
      </c>
      <c r="T623" s="57">
        <f>MAX(0,MIN($K623,$M887-SUM($K623:S623)))</f>
        <v>0</v>
      </c>
    </row>
    <row r="624" spans="1:20" s="35" customFormat="1" ht="13.5" customHeight="1" outlineLevel="1">
      <c r="B624" s="38" t="str">
        <f t="shared" si="471"/>
        <v>[Debt 8]</v>
      </c>
      <c r="C624" s="38"/>
      <c r="D624" s="38"/>
      <c r="E624" s="38"/>
      <c r="F624" s="38"/>
      <c r="G624" s="38"/>
      <c r="H624" s="38"/>
      <c r="I624" s="38"/>
      <c r="J624" s="38"/>
      <c r="K624" s="109">
        <f t="shared" si="472"/>
        <v>0</v>
      </c>
      <c r="L624" s="57">
        <f>MAX(0,MIN($K624,$M888-SUM($K624:K624)))</f>
        <v>0</v>
      </c>
      <c r="M624" s="57">
        <f>MAX(0,MIN($K624,$M888-SUM($K624:L624)))</f>
        <v>0</v>
      </c>
      <c r="N624" s="57">
        <f>MAX(0,MIN($K624,$M888-SUM($K624:M624)))</f>
        <v>0</v>
      </c>
      <c r="O624" s="57">
        <f>MAX(0,MIN($K624,$M888-SUM($K624:N624)))</f>
        <v>0</v>
      </c>
      <c r="P624" s="57">
        <f>MAX(0,MIN($K624,$M888-SUM($K624:O624)))</f>
        <v>0</v>
      </c>
      <c r="Q624" s="57">
        <f>MAX(0,MIN($K624,$M888-SUM($K624:P624)))</f>
        <v>0</v>
      </c>
      <c r="R624" s="57">
        <f>MAX(0,MIN($K624,$M888-SUM($K624:Q624)))</f>
        <v>0</v>
      </c>
      <c r="S624" s="57">
        <f>MAX(0,MIN($K624,$M888-SUM($K624:R624)))</f>
        <v>0</v>
      </c>
      <c r="T624" s="57">
        <f>MAX(0,MIN($K624,$M888-SUM($K624:S624)))</f>
        <v>0</v>
      </c>
    </row>
    <row r="625" spans="1:20" s="35" customFormat="1" ht="13.5" customHeight="1" outlineLevel="1">
      <c r="B625" s="38" t="str">
        <f t="shared" si="471"/>
        <v>Preferred stock - A</v>
      </c>
      <c r="C625" s="38"/>
      <c r="D625" s="38"/>
      <c r="E625" s="38"/>
      <c r="F625" s="38"/>
      <c r="G625" s="38"/>
      <c r="H625" s="38"/>
      <c r="I625" s="38"/>
      <c r="J625" s="38"/>
      <c r="K625" s="109">
        <f t="shared" si="472"/>
        <v>0</v>
      </c>
      <c r="L625" s="57">
        <f>MAX(0,MIN($K625,$M889-SUM($K625:K625)))</f>
        <v>0</v>
      </c>
      <c r="M625" s="57">
        <f>MAX(0,MIN($K625,$M889-SUM($K625:L625)))</f>
        <v>0</v>
      </c>
      <c r="N625" s="57">
        <f>MAX(0,MIN($K625,$M889-SUM($K625:M625)))</f>
        <v>0</v>
      </c>
      <c r="O625" s="57">
        <f>MAX(0,MIN($K625,$M889-SUM($K625:N625)))</f>
        <v>0</v>
      </c>
      <c r="P625" s="57">
        <f>MAX(0,MIN($K625,$M889-SUM($K625:O625)))</f>
        <v>0</v>
      </c>
      <c r="Q625" s="57">
        <f>MAX(0,MIN($K625,$M889-SUM($K625:P625)))</f>
        <v>0</v>
      </c>
      <c r="R625" s="57">
        <f>MAX(0,MIN($K625,$M889-SUM($K625:Q625)))</f>
        <v>0</v>
      </c>
      <c r="S625" s="57">
        <f>MAX(0,MIN($K625,$M889-SUM($K625:R625)))</f>
        <v>0</v>
      </c>
      <c r="T625" s="57">
        <f>MAX(0,MIN($K625,$M889-SUM($K625:S625)))</f>
        <v>0</v>
      </c>
    </row>
    <row r="626" spans="1:20" s="35" customFormat="1" ht="13.5" customHeight="1" outlineLevel="1">
      <c r="B626" s="38" t="str">
        <f t="shared" si="471"/>
        <v>Preferred stock - B</v>
      </c>
      <c r="C626" s="38"/>
      <c r="D626" s="38"/>
      <c r="E626" s="38"/>
      <c r="F626" s="38"/>
      <c r="G626" s="38"/>
      <c r="H626" s="38"/>
      <c r="I626" s="38"/>
      <c r="J626" s="38"/>
      <c r="K626" s="109">
        <f t="shared" si="472"/>
        <v>0</v>
      </c>
      <c r="L626" s="57">
        <f>MAX(0,MIN($K626,$M890-SUM($K626:K626)))</f>
        <v>0</v>
      </c>
      <c r="M626" s="57">
        <f>MAX(0,MIN($K626,$M890-SUM($K626:L626)))</f>
        <v>0</v>
      </c>
      <c r="N626" s="57">
        <f>MAX(0,MIN($K626,$M890-SUM($K626:M626)))</f>
        <v>0</v>
      </c>
      <c r="O626" s="57">
        <f>MAX(0,MIN($K626,$M890-SUM($K626:N626)))</f>
        <v>0</v>
      </c>
      <c r="P626" s="57">
        <f>MAX(0,MIN($K626,$M890-SUM($K626:O626)))</f>
        <v>0</v>
      </c>
      <c r="Q626" s="57">
        <f>MAX(0,MIN($K626,$M890-SUM($K626:P626)))</f>
        <v>0</v>
      </c>
      <c r="R626" s="57">
        <f>MAX(0,MIN($K626,$M890-SUM($K626:Q626)))</f>
        <v>0</v>
      </c>
      <c r="S626" s="57">
        <f>MAX(0,MIN($K626,$M890-SUM($K626:R626)))</f>
        <v>0</v>
      </c>
      <c r="T626" s="57">
        <f>MAX(0,MIN($K626,$M890-SUM($K626:S626)))</f>
        <v>0</v>
      </c>
    </row>
    <row r="627" spans="1:20" s="35" customFormat="1" ht="13.5" customHeight="1" outlineLevel="1">
      <c r="B627" s="97" t="s">
        <v>192</v>
      </c>
      <c r="C627" s="97"/>
      <c r="D627" s="97"/>
      <c r="E627" s="97"/>
      <c r="F627" s="97"/>
      <c r="G627" s="97"/>
      <c r="H627" s="97"/>
      <c r="I627" s="97"/>
      <c r="J627" s="97"/>
      <c r="K627" s="282">
        <f ca="1">SUM(K616:OFFSET(K627,-1,0))</f>
        <v>1.0857142857142856</v>
      </c>
      <c r="L627" s="282">
        <f ca="1">SUM(L616:OFFSET(L627,-1,0))</f>
        <v>1.0857142857142856</v>
      </c>
      <c r="M627" s="282">
        <f ca="1">SUM(M616:OFFSET(M627,-1,0))</f>
        <v>1.0857142857142856</v>
      </c>
      <c r="N627" s="282">
        <f ca="1">SUM(N616:OFFSET(N627,-1,0))</f>
        <v>1.0857142857142856</v>
      </c>
      <c r="O627" s="282">
        <f ca="1">SUM(O616:OFFSET(O627,-1,0))</f>
        <v>1.0857142857142856</v>
      </c>
      <c r="P627" s="282">
        <f ca="1">SUM(P616:OFFSET(P627,-1,0))</f>
        <v>0.5357142857142857</v>
      </c>
      <c r="Q627" s="282">
        <f ca="1">SUM(Q616:OFFSET(Q627,-1,0))</f>
        <v>0.5357142857142857</v>
      </c>
      <c r="R627" s="282">
        <f ca="1">SUM(R616:OFFSET(R627,-1,0))</f>
        <v>2.2204460492503131E-16</v>
      </c>
      <c r="S627" s="282">
        <f ca="1">SUM(S616:OFFSET(S627,-1,0))</f>
        <v>0</v>
      </c>
      <c r="T627" s="282">
        <f ca="1">SUM(T616:OFFSET(T627,-1,0))</f>
        <v>0</v>
      </c>
    </row>
    <row r="628" spans="1:20" s="35" customFormat="1" ht="5.0999999999999996" customHeight="1" outlineLevel="1" thickBot="1">
      <c r="B628" s="114"/>
      <c r="C628" s="114"/>
      <c r="D628" s="114"/>
      <c r="E628" s="114"/>
      <c r="F628" s="114"/>
      <c r="G628" s="114"/>
      <c r="H628" s="114"/>
      <c r="I628" s="114"/>
      <c r="J628" s="114"/>
      <c r="K628" s="114"/>
      <c r="L628" s="114"/>
      <c r="M628" s="114"/>
      <c r="N628" s="114"/>
      <c r="O628" s="114"/>
      <c r="P628" s="114"/>
      <c r="Q628" s="114"/>
      <c r="R628" s="114"/>
      <c r="S628" s="114"/>
      <c r="T628" s="114"/>
    </row>
    <row r="629" spans="1:20" ht="13.5" customHeight="1" outlineLevel="1"/>
    <row r="630" spans="1:20" ht="13.5" customHeight="1" outlineLevel="1" thickBot="1"/>
    <row r="631" spans="1:20" s="35" customFormat="1" ht="20.100000000000001" customHeight="1" thickTop="1">
      <c r="A631" s="41" t="s">
        <v>313</v>
      </c>
      <c r="B631" s="42" t="s">
        <v>412</v>
      </c>
      <c r="C631" s="43"/>
      <c r="D631" s="44"/>
      <c r="E631" s="44"/>
      <c r="F631" s="44"/>
      <c r="G631" s="44"/>
      <c r="H631" s="44"/>
      <c r="I631" s="44"/>
      <c r="J631" s="44"/>
      <c r="K631" s="44"/>
      <c r="L631" s="44"/>
      <c r="M631" s="44"/>
      <c r="N631" s="44"/>
      <c r="O631" s="44"/>
      <c r="P631" s="44"/>
      <c r="Q631" s="44"/>
      <c r="R631" s="44"/>
      <c r="S631" s="44"/>
      <c r="T631" s="44"/>
    </row>
    <row r="632" spans="1:20" s="35" customFormat="1" ht="14.4" outlineLevel="1">
      <c r="B632" s="146"/>
      <c r="T632" s="147" t="str">
        <f ca="1">err_msg</f>
        <v/>
      </c>
    </row>
    <row r="633" spans="1:20" s="193" customFormat="1" ht="13.5" customHeight="1" outlineLevel="1">
      <c r="F633" s="194"/>
      <c r="G633" s="194"/>
      <c r="H633" s="194"/>
      <c r="J633" s="244"/>
      <c r="K633" s="195" t="str">
        <f>K$140</f>
        <v>Fiscal Years Ending December 31,</v>
      </c>
      <c r="L633" s="195"/>
      <c r="M633" s="195"/>
      <c r="N633" s="195"/>
      <c r="O633" s="195"/>
      <c r="P633" s="195"/>
      <c r="Q633" s="195"/>
      <c r="R633" s="195"/>
      <c r="S633" s="195"/>
      <c r="T633" s="195"/>
    </row>
    <row r="634" spans="1:20" s="193" customFormat="1" ht="14.4" outlineLevel="1">
      <c r="F634" s="248"/>
      <c r="G634" s="248"/>
      <c r="H634" s="248"/>
      <c r="J634" s="102" t="s">
        <v>196</v>
      </c>
      <c r="K634" s="102">
        <f>K$141</f>
        <v>1</v>
      </c>
      <c r="L634" s="102">
        <f>L$141</f>
        <v>2</v>
      </c>
      <c r="M634" s="102">
        <f t="shared" ref="M634:T634" si="473">M$141</f>
        <v>3</v>
      </c>
      <c r="N634" s="102">
        <f t="shared" si="473"/>
        <v>4</v>
      </c>
      <c r="O634" s="102">
        <f t="shared" si="473"/>
        <v>5</v>
      </c>
      <c r="P634" s="102">
        <f t="shared" si="473"/>
        <v>6</v>
      </c>
      <c r="Q634" s="102">
        <f t="shared" si="473"/>
        <v>7</v>
      </c>
      <c r="R634" s="102">
        <f t="shared" si="473"/>
        <v>8</v>
      </c>
      <c r="S634" s="102">
        <f t="shared" si="473"/>
        <v>9</v>
      </c>
      <c r="T634" s="102">
        <f t="shared" si="473"/>
        <v>10</v>
      </c>
    </row>
    <row r="635" spans="1:20" s="193" customFormat="1" ht="13.5" customHeight="1" outlineLevel="1" thickBot="1">
      <c r="B635" s="122" t="s">
        <v>201</v>
      </c>
      <c r="C635" s="199"/>
      <c r="D635" s="199"/>
      <c r="E635" s="199"/>
      <c r="F635" s="249"/>
      <c r="G635" s="249"/>
      <c r="H635" s="249"/>
      <c r="I635" s="199"/>
      <c r="J635" s="200">
        <f>J$217</f>
        <v>45291</v>
      </c>
      <c r="K635" s="202">
        <f>K$142</f>
        <v>45657</v>
      </c>
      <c r="L635" s="202">
        <f>L$142</f>
        <v>46022</v>
      </c>
      <c r="M635" s="202">
        <f t="shared" ref="M635:T635" si="474">M$142</f>
        <v>46387</v>
      </c>
      <c r="N635" s="202">
        <f t="shared" si="474"/>
        <v>46752</v>
      </c>
      <c r="O635" s="202">
        <f t="shared" si="474"/>
        <v>47118</v>
      </c>
      <c r="P635" s="202">
        <f t="shared" si="474"/>
        <v>47483</v>
      </c>
      <c r="Q635" s="202">
        <f t="shared" si="474"/>
        <v>47848</v>
      </c>
      <c r="R635" s="202">
        <f t="shared" si="474"/>
        <v>48213</v>
      </c>
      <c r="S635" s="202">
        <f t="shared" si="474"/>
        <v>48579</v>
      </c>
      <c r="T635" s="202">
        <f t="shared" si="474"/>
        <v>48944</v>
      </c>
    </row>
    <row r="636" spans="1:20" ht="5.0999999999999996" customHeight="1" outlineLevel="1">
      <c r="K636" s="271"/>
      <c r="L636" s="283"/>
      <c r="M636" s="283"/>
      <c r="N636" s="283"/>
      <c r="O636" s="283"/>
      <c r="P636" s="283"/>
      <c r="Q636" s="283"/>
      <c r="R636" s="283"/>
      <c r="S636" s="283"/>
      <c r="T636" s="283"/>
    </row>
    <row r="637" spans="1:20" s="35" customFormat="1" ht="13.5" customHeight="1" outlineLevel="1">
      <c r="B637" s="46" t="s">
        <v>74</v>
      </c>
      <c r="C637" s="47"/>
      <c r="D637" s="47"/>
      <c r="E637" s="47"/>
      <c r="F637" s="47"/>
      <c r="G637" s="47"/>
      <c r="H637" s="47"/>
      <c r="I637" s="47"/>
      <c r="J637" s="47"/>
      <c r="K637" s="47"/>
      <c r="L637" s="47"/>
      <c r="M637" s="47"/>
      <c r="N637" s="47"/>
      <c r="O637" s="47"/>
      <c r="P637" s="47"/>
      <c r="Q637" s="47"/>
      <c r="R637" s="47"/>
      <c r="S637" s="47"/>
      <c r="T637" s="48"/>
    </row>
    <row r="638" spans="1:20" s="35" customFormat="1" ht="5.0999999999999996" customHeight="1" outlineLevel="1"/>
    <row r="639" spans="1:20" ht="13.5" customHeight="1" outlineLevel="1">
      <c r="B639" s="38" t="s">
        <v>147</v>
      </c>
      <c r="K639" s="54">
        <f t="shared" ref="K639:T639" si="475">K184</f>
        <v>21.8</v>
      </c>
      <c r="L639" s="54">
        <f t="shared" si="475"/>
        <v>23.108731635483615</v>
      </c>
      <c r="M639" s="54">
        <f t="shared" si="475"/>
        <v>24.496031091779866</v>
      </c>
      <c r="N639" s="54">
        <f t="shared" si="475"/>
        <v>25.966615074972641</v>
      </c>
      <c r="O639" s="54">
        <f t="shared" si="475"/>
        <v>27.525483451809443</v>
      </c>
      <c r="P639" s="54">
        <f t="shared" si="475"/>
        <v>29.177936248844475</v>
      </c>
      <c r="Q639" s="54">
        <f t="shared" si="475"/>
        <v>30.929591672100749</v>
      </c>
      <c r="R639" s="54">
        <f t="shared" si="475"/>
        <v>32.786405208516747</v>
      </c>
      <c r="S639" s="54">
        <f t="shared" si="475"/>
        <v>34.754689874120892</v>
      </c>
      <c r="T639" s="54">
        <f t="shared" si="475"/>
        <v>36.841137677776118</v>
      </c>
    </row>
    <row r="640" spans="1:20" ht="13.5" customHeight="1" outlineLevel="1">
      <c r="B640" s="38" t="s">
        <v>193</v>
      </c>
      <c r="K640" s="411">
        <v>7</v>
      </c>
      <c r="L640" s="80">
        <f>K640</f>
        <v>7</v>
      </c>
      <c r="M640" s="80">
        <f t="shared" ref="M640:T640" si="476">L640</f>
        <v>7</v>
      </c>
      <c r="N640" s="80">
        <f t="shared" si="476"/>
        <v>7</v>
      </c>
      <c r="O640" s="80">
        <f t="shared" si="476"/>
        <v>7</v>
      </c>
      <c r="P640" s="80">
        <f t="shared" si="476"/>
        <v>7</v>
      </c>
      <c r="Q640" s="80">
        <f t="shared" si="476"/>
        <v>7</v>
      </c>
      <c r="R640" s="80">
        <f t="shared" si="476"/>
        <v>7</v>
      </c>
      <c r="S640" s="80">
        <f t="shared" si="476"/>
        <v>7</v>
      </c>
      <c r="T640" s="80">
        <f t="shared" si="476"/>
        <v>7</v>
      </c>
    </row>
    <row r="641" spans="2:20" ht="13.5" customHeight="1" outlineLevel="1">
      <c r="B641" s="38" t="s">
        <v>194</v>
      </c>
      <c r="K641" s="407">
        <v>0</v>
      </c>
      <c r="L641" s="105">
        <f>K641</f>
        <v>0</v>
      </c>
      <c r="M641" s="105">
        <f t="shared" ref="M641:T641" si="477">L641</f>
        <v>0</v>
      </c>
      <c r="N641" s="105">
        <f t="shared" si="477"/>
        <v>0</v>
      </c>
      <c r="O641" s="105">
        <f t="shared" si="477"/>
        <v>0</v>
      </c>
      <c r="P641" s="105">
        <f t="shared" si="477"/>
        <v>0</v>
      </c>
      <c r="Q641" s="105">
        <f t="shared" si="477"/>
        <v>0</v>
      </c>
      <c r="R641" s="105">
        <f t="shared" si="477"/>
        <v>0</v>
      </c>
      <c r="S641" s="105">
        <f t="shared" si="477"/>
        <v>0</v>
      </c>
      <c r="T641" s="105">
        <f t="shared" si="477"/>
        <v>0</v>
      </c>
    </row>
    <row r="642" spans="2:20" ht="13.5" customHeight="1" outlineLevel="1"/>
    <row r="643" spans="2:20" ht="13.5" customHeight="1" outlineLevel="1">
      <c r="B643" s="135" t="s">
        <v>197</v>
      </c>
      <c r="I643" s="284"/>
    </row>
    <row r="644" spans="2:20" ht="13.5" customHeight="1" outlineLevel="1">
      <c r="B644" s="285" t="str">
        <f t="array" ref="B644:B653">TRANSPOSE(TEXT(K635:T635,"yyyy"))</f>
        <v>2024</v>
      </c>
      <c r="I644" s="286"/>
      <c r="K644" s="128">
        <f>IFERROR(MIN(SLN($K639,$K641,$K640),$K639-SUM($J644:J644)),0)</f>
        <v>3.1142857142857143</v>
      </c>
      <c r="L644" s="128">
        <f>IFERROR(MIN(SLN($K639,$K641,$K640),$K639-SUM($J644:K644)),0)</f>
        <v>3.1142857142857143</v>
      </c>
      <c r="M644" s="128">
        <f>IFERROR(MIN(SLN($K639,$K641,$K640),$K639-SUM($J644:L644)),0)</f>
        <v>3.1142857142857143</v>
      </c>
      <c r="N644" s="128">
        <f>IFERROR(MIN(SLN($K639,$K641,$K640),$K639-SUM($J644:M644)),0)</f>
        <v>3.1142857142857143</v>
      </c>
      <c r="O644" s="128">
        <f>IFERROR(MIN(SLN($K639,$K641,$K640),$K639-SUM($J644:N644)),0)</f>
        <v>3.1142857142857143</v>
      </c>
      <c r="P644" s="128">
        <f>IFERROR(MIN(SLN($K639,$K641,$K640),$K639-SUM($J644:O644)),0)</f>
        <v>3.1142857142857143</v>
      </c>
      <c r="Q644" s="128">
        <f>IFERROR(MIN(SLN($K639,$K641,$K640),$K639-SUM($J644:P644)),0)</f>
        <v>3.1142857142857139</v>
      </c>
      <c r="R644" s="128">
        <f>IFERROR(MIN(SLN($K639,$K641,$K640),$K639-SUM($J644:Q644)),0)</f>
        <v>0</v>
      </c>
      <c r="S644" s="128">
        <f>IFERROR(MIN(SLN($K639,$K641,$K640),$K639-SUM($J644:R644)),0)</f>
        <v>0</v>
      </c>
      <c r="T644" s="128">
        <f>IFERROR(MIN(SLN($K639,$K641,$K640),$K639-SUM($J644:S644)),0)</f>
        <v>0</v>
      </c>
    </row>
    <row r="645" spans="2:20" ht="13.5" customHeight="1" outlineLevel="1">
      <c r="B645" s="285" t="str">
        <v>2025</v>
      </c>
      <c r="I645" s="287"/>
      <c r="K645" s="288"/>
      <c r="L645" s="289">
        <f>IFERROR(MIN(SLN($L639,$L641,$L640),$L639-SUM($J645:K645)),0)</f>
        <v>3.3012473764976593</v>
      </c>
      <c r="M645" s="289">
        <f>IFERROR(MIN(SLN($L639,$L641,$L640),$L639-SUM($J645:L645)),0)</f>
        <v>3.3012473764976593</v>
      </c>
      <c r="N645" s="289">
        <f>IFERROR(MIN(SLN($L639,$L641,$L640),$L639-SUM($J645:M645)),0)</f>
        <v>3.3012473764976593</v>
      </c>
      <c r="O645" s="289">
        <f>IFERROR(MIN(SLN($L639,$L641,$L640),$L639-SUM($J645:N645)),0)</f>
        <v>3.3012473764976593</v>
      </c>
      <c r="P645" s="289">
        <f>IFERROR(MIN(SLN($L639,$L641,$L640),$L639-SUM($J645:O645)),0)</f>
        <v>3.3012473764976593</v>
      </c>
      <c r="Q645" s="289">
        <f>IFERROR(MIN(SLN($L639,$L641,$L640),$L639-SUM($J645:P645)),0)</f>
        <v>3.3012473764976593</v>
      </c>
      <c r="R645" s="289">
        <f>IFERROR(MIN(SLN($L639,$L641,$L640),$L639-SUM($J645:Q645)),0)</f>
        <v>3.3012473764976593</v>
      </c>
      <c r="S645" s="289">
        <f>IFERROR(MIN(SLN($L639,$L641,$L640),$L639-SUM($J645:R645)),0)</f>
        <v>0</v>
      </c>
      <c r="T645" s="289">
        <f>IFERROR(MIN(SLN($L639,$L641,$L640),$L639-SUM($J645:S645)),0)</f>
        <v>0</v>
      </c>
    </row>
    <row r="646" spans="2:20" ht="13.5" customHeight="1" outlineLevel="1">
      <c r="B646" s="285" t="str">
        <v>2026</v>
      </c>
      <c r="I646" s="287"/>
      <c r="K646" s="288"/>
      <c r="L646" s="288"/>
      <c r="M646" s="289">
        <f>IFERROR(MIN(SLN($M639,$M641,$M640),$M639-SUM($J646:L646)),0)</f>
        <v>3.4994330131114095</v>
      </c>
      <c r="N646" s="289">
        <f>IFERROR(MIN(SLN($M639,$M641,$M640),$M639-SUM($J646:M646)),0)</f>
        <v>3.4994330131114095</v>
      </c>
      <c r="O646" s="289">
        <f>IFERROR(MIN(SLN($M639,$M641,$M640),$M639-SUM($J646:N646)),0)</f>
        <v>3.4994330131114095</v>
      </c>
      <c r="P646" s="289">
        <f>IFERROR(MIN(SLN($M639,$M641,$M640),$M639-SUM($J646:O646)),0)</f>
        <v>3.4994330131114095</v>
      </c>
      <c r="Q646" s="289">
        <f>IFERROR(MIN(SLN($M639,$M641,$M640),$M639-SUM($J646:P646)),0)</f>
        <v>3.4994330131114095</v>
      </c>
      <c r="R646" s="289">
        <f>IFERROR(MIN(SLN($M639,$M641,$M640),$M639-SUM($J646:Q646)),0)</f>
        <v>3.4994330131114095</v>
      </c>
      <c r="S646" s="289">
        <f>IFERROR(MIN(SLN($M639,$M641,$M640),$M639-SUM($J646:R646)),0)</f>
        <v>3.4994330131114069</v>
      </c>
      <c r="T646" s="289">
        <f>IFERROR(MIN(SLN($M639,$M641,$M640),$M639-SUM($J646:S646)),0)</f>
        <v>0</v>
      </c>
    </row>
    <row r="647" spans="2:20" ht="13.5" customHeight="1" outlineLevel="1">
      <c r="B647" s="285" t="str">
        <v>2027</v>
      </c>
      <c r="I647" s="287"/>
      <c r="K647" s="288"/>
      <c r="L647" s="288"/>
      <c r="M647" s="288"/>
      <c r="N647" s="289">
        <f>IFERROR(MIN(SLN($N639,$N641,$N640),$N639-SUM($J647:M647)),0)</f>
        <v>3.7095164392818059</v>
      </c>
      <c r="O647" s="289">
        <f>IFERROR(MIN(SLN($N639,$N641,$N640),$N639-SUM($J647:N647)),0)</f>
        <v>3.7095164392818059</v>
      </c>
      <c r="P647" s="289">
        <f>IFERROR(MIN(SLN($N639,$N641,$N640),$N639-SUM($J647:O647)),0)</f>
        <v>3.7095164392818059</v>
      </c>
      <c r="Q647" s="289">
        <f>IFERROR(MIN(SLN($N639,$N641,$N640),$N639-SUM($J647:P647)),0)</f>
        <v>3.7095164392818059</v>
      </c>
      <c r="R647" s="289">
        <f>IFERROR(MIN(SLN($N639,$N641,$N640),$N639-SUM($J647:Q647)),0)</f>
        <v>3.7095164392818059</v>
      </c>
      <c r="S647" s="289">
        <f>IFERROR(MIN(SLN($N639,$N641,$N640),$N639-SUM($J647:R647)),0)</f>
        <v>3.7095164392818059</v>
      </c>
      <c r="T647" s="289">
        <f>IFERROR(MIN(SLN($N639,$N641,$N640),$N639-SUM($J647:S647)),0)</f>
        <v>3.7095164392818059</v>
      </c>
    </row>
    <row r="648" spans="2:20" ht="13.5" customHeight="1" outlineLevel="1">
      <c r="B648" s="285" t="str">
        <v>2028</v>
      </c>
      <c r="I648" s="287"/>
      <c r="K648" s="288"/>
      <c r="L648" s="288"/>
      <c r="M648" s="288"/>
      <c r="N648" s="288"/>
      <c r="O648" s="289">
        <f>IFERROR(MIN(SLN($O639,$O641,$O640),$O639-SUM($J648:N648)),0)</f>
        <v>3.9322119216870632</v>
      </c>
      <c r="P648" s="289">
        <f>IFERROR(MIN(SLN($O639,$O641,$O640),$O639-SUM($J648:O648)),0)</f>
        <v>3.9322119216870632</v>
      </c>
      <c r="Q648" s="289">
        <f>IFERROR(MIN(SLN($O639,$O641,$O640),$O639-SUM($J648:P648)),0)</f>
        <v>3.9322119216870632</v>
      </c>
      <c r="R648" s="289">
        <f>IFERROR(MIN(SLN($O639,$O641,$O640),$O639-SUM($J648:Q648)),0)</f>
        <v>3.9322119216870632</v>
      </c>
      <c r="S648" s="289">
        <f>IFERROR(MIN(SLN($O639,$O641,$O640),$O639-SUM($J648:R648)),0)</f>
        <v>3.9322119216870632</v>
      </c>
      <c r="T648" s="289">
        <f>IFERROR(MIN(SLN($O639,$O641,$O640),$O639-SUM($J648:S648)),0)</f>
        <v>3.9322119216870632</v>
      </c>
    </row>
    <row r="649" spans="2:20" ht="13.5" customHeight="1" outlineLevel="1">
      <c r="B649" s="285" t="str">
        <v>2029</v>
      </c>
      <c r="I649" s="287"/>
      <c r="K649" s="288"/>
      <c r="L649" s="288"/>
      <c r="M649" s="288"/>
      <c r="N649" s="288"/>
      <c r="O649" s="288"/>
      <c r="P649" s="289">
        <f>IFERROR(MIN(SLN($P639,$P641,$P640),$P639-SUM($J649:O649)),0)</f>
        <v>4.1682766069777824</v>
      </c>
      <c r="Q649" s="289">
        <f>IFERROR(MIN(SLN($P639,$P641,$P640),$P639-SUM($J649:P649)),0)</f>
        <v>4.1682766069777824</v>
      </c>
      <c r="R649" s="289">
        <f>IFERROR(MIN(SLN($P639,$P641,$P640),$P639-SUM($J649:Q649)),0)</f>
        <v>4.1682766069777824</v>
      </c>
      <c r="S649" s="289">
        <f>IFERROR(MIN(SLN($P639,$P641,$P640),$P639-SUM($J649:R649)),0)</f>
        <v>4.1682766069777824</v>
      </c>
      <c r="T649" s="289">
        <f>IFERROR(MIN(SLN($P639,$P641,$P640),$P639-SUM($J649:S649)),0)</f>
        <v>4.1682766069777824</v>
      </c>
    </row>
    <row r="650" spans="2:20" ht="13.5" customHeight="1" outlineLevel="1">
      <c r="B650" s="285" t="str">
        <v>2030</v>
      </c>
      <c r="I650" s="287"/>
      <c r="K650" s="288"/>
      <c r="L650" s="288"/>
      <c r="M650" s="288"/>
      <c r="N650" s="288"/>
      <c r="O650" s="288"/>
      <c r="P650" s="288"/>
      <c r="Q650" s="289">
        <f>IFERROR(MIN(SLN($Q639,$Q641,$Q640),$Q639-SUM($J650:P650)),0)</f>
        <v>4.4185130960143928</v>
      </c>
      <c r="R650" s="289">
        <f>IFERROR(MIN(SLN($Q639,$Q641,$Q640),$Q639-SUM($J650:Q650)),0)</f>
        <v>4.4185130960143928</v>
      </c>
      <c r="S650" s="289">
        <f>IFERROR(MIN(SLN($Q639,$Q641,$Q640),$Q639-SUM($J650:R650)),0)</f>
        <v>4.4185130960143928</v>
      </c>
      <c r="T650" s="289">
        <f>IFERROR(MIN(SLN($Q639,$Q641,$Q640),$Q639-SUM($J650:S650)),0)</f>
        <v>4.4185130960143928</v>
      </c>
    </row>
    <row r="651" spans="2:20" ht="13.5" customHeight="1" outlineLevel="1">
      <c r="B651" s="285" t="str">
        <v>2031</v>
      </c>
      <c r="I651" s="287"/>
      <c r="K651" s="288"/>
      <c r="L651" s="288"/>
      <c r="M651" s="288"/>
      <c r="N651" s="288"/>
      <c r="O651" s="288"/>
      <c r="P651" s="288"/>
      <c r="Q651" s="288"/>
      <c r="R651" s="289">
        <f>IFERROR(MIN(SLN($R639,$R641,$R640),$R639-SUM($J651:Q651)),0)</f>
        <v>4.6837721726452495</v>
      </c>
      <c r="S651" s="289">
        <f>IFERROR(MIN(SLN($R639,$R641,$R640),$R639-SUM($J651:R651)),0)</f>
        <v>4.6837721726452495</v>
      </c>
      <c r="T651" s="289">
        <f>IFERROR(MIN(SLN($R639,$R641,$R640),$R639-SUM($J651:S651)),0)</f>
        <v>4.6837721726452495</v>
      </c>
    </row>
    <row r="652" spans="2:20" ht="13.5" customHeight="1" outlineLevel="1">
      <c r="B652" s="285" t="str">
        <v>2032</v>
      </c>
      <c r="I652" s="287"/>
      <c r="K652" s="288"/>
      <c r="L652" s="288"/>
      <c r="M652" s="288"/>
      <c r="N652" s="288"/>
      <c r="O652" s="288"/>
      <c r="P652" s="288"/>
      <c r="Q652" s="288"/>
      <c r="R652" s="288"/>
      <c r="S652" s="289">
        <f>IFERROR(MIN(SLN($S639,$S641,$S640),$S639-SUM($J652:R652)),0)</f>
        <v>4.9649556963029848</v>
      </c>
      <c r="T652" s="289">
        <f>IFERROR(MIN(SLN($S639,$S641,$S640),$S639-SUM($J652:S652)),0)</f>
        <v>4.9649556963029848</v>
      </c>
    </row>
    <row r="653" spans="2:20" ht="13.5" customHeight="1" outlineLevel="1">
      <c r="B653" s="285" t="str">
        <v>2033</v>
      </c>
      <c r="I653" s="287"/>
      <c r="K653" s="288"/>
      <c r="L653" s="288"/>
      <c r="M653" s="288"/>
      <c r="N653" s="288"/>
      <c r="O653" s="288"/>
      <c r="P653" s="288"/>
      <c r="Q653" s="288"/>
      <c r="R653" s="288"/>
      <c r="S653" s="288"/>
      <c r="T653" s="289">
        <f>IFERROR(MIN(SLN($T639,$T641,$T640),$T639-SUM($J653:S653)),0)</f>
        <v>5.2630196682537314</v>
      </c>
    </row>
    <row r="654" spans="2:20" ht="13.5" customHeight="1" outlineLevel="1">
      <c r="B654" s="52" t="s">
        <v>199</v>
      </c>
      <c r="C654" s="52"/>
      <c r="D654" s="52"/>
      <c r="E654" s="52"/>
      <c r="F654" s="52"/>
      <c r="G654" s="52"/>
      <c r="H654" s="52"/>
      <c r="I654" s="52"/>
      <c r="J654" s="52"/>
      <c r="K654" s="290">
        <f t="shared" ref="K654:T654" si="478">SUM(K644:K653)</f>
        <v>3.1142857142857143</v>
      </c>
      <c r="L654" s="290">
        <f t="shared" si="478"/>
        <v>6.4155330907833736</v>
      </c>
      <c r="M654" s="290">
        <f t="shared" si="478"/>
        <v>9.9149661038947841</v>
      </c>
      <c r="N654" s="290">
        <f t="shared" si="478"/>
        <v>13.62448254317659</v>
      </c>
      <c r="O654" s="290">
        <f t="shared" si="478"/>
        <v>17.556694464863654</v>
      </c>
      <c r="P654" s="290">
        <f t="shared" si="478"/>
        <v>21.724971071841438</v>
      </c>
      <c r="Q654" s="290">
        <f t="shared" si="478"/>
        <v>26.143484167855831</v>
      </c>
      <c r="R654" s="290">
        <f t="shared" si="478"/>
        <v>27.712970626215363</v>
      </c>
      <c r="S654" s="290">
        <f t="shared" si="478"/>
        <v>29.376678946020682</v>
      </c>
      <c r="T654" s="290">
        <f t="shared" si="478"/>
        <v>31.140265601163009</v>
      </c>
    </row>
    <row r="655" spans="2:20" ht="13.5" customHeight="1" outlineLevel="1"/>
    <row r="656" spans="2:20" s="35" customFormat="1" ht="13.5" customHeight="1" outlineLevel="1">
      <c r="B656" s="46" t="s">
        <v>281</v>
      </c>
      <c r="C656" s="47"/>
      <c r="D656" s="47"/>
      <c r="E656" s="47"/>
      <c r="F656" s="47"/>
      <c r="G656" s="47"/>
      <c r="H656" s="47"/>
      <c r="I656" s="47"/>
      <c r="J656" s="47"/>
      <c r="K656" s="47"/>
      <c r="L656" s="47"/>
      <c r="M656" s="47"/>
      <c r="N656" s="47"/>
      <c r="O656" s="47"/>
      <c r="P656" s="47"/>
      <c r="Q656" s="47"/>
      <c r="R656" s="47"/>
      <c r="S656" s="47"/>
      <c r="T656" s="48"/>
    </row>
    <row r="657" spans="2:20" ht="5.0999999999999996" customHeight="1" outlineLevel="1"/>
    <row r="658" spans="2:20" ht="13.5" customHeight="1" outlineLevel="1">
      <c r="B658" s="38" t="str">
        <f>B46&amp;" depreciation period (yrs)"</f>
        <v>PP&amp;E depreciation period (yrs)</v>
      </c>
      <c r="J658" s="80">
        <f>K46</f>
        <v>7</v>
      </c>
    </row>
    <row r="659" spans="2:20" ht="13.5" customHeight="1" outlineLevel="1">
      <c r="B659" s="38" t="str">
        <f>B46&amp;" depreciation / accretion schedule"</f>
        <v>PP&amp;E depreciation / accretion schedule</v>
      </c>
      <c r="K659" s="58">
        <f>MIN(1/$J658,1-SUM($J659:J659))</f>
        <v>0.14285714285714285</v>
      </c>
      <c r="L659" s="58">
        <f>MIN(1/$J658,1-SUM($J659:K659))</f>
        <v>0.14285714285714285</v>
      </c>
      <c r="M659" s="58">
        <f>MIN(1/$J658,1-SUM($J659:L659))</f>
        <v>0.14285714285714285</v>
      </c>
      <c r="N659" s="58">
        <f>MIN(1/$J658,1-SUM($J659:M659))</f>
        <v>0.14285714285714285</v>
      </c>
      <c r="O659" s="58">
        <f>MIN(1/$J658,1-SUM($J659:N659))</f>
        <v>0.14285714285714285</v>
      </c>
      <c r="P659" s="58">
        <f>MIN(1/$J658,1-SUM($J659:O659))</f>
        <v>0.14285714285714285</v>
      </c>
      <c r="Q659" s="58">
        <f>MIN(1/$J658,1-SUM($J659:P659))</f>
        <v>0.14285714285714285</v>
      </c>
      <c r="R659" s="58">
        <f>MIN(1/$J658,1-SUM($J659:Q659))</f>
        <v>2.2204460492503131E-16</v>
      </c>
      <c r="S659" s="58">
        <f>MIN(1/$J658,1-SUM($J659:R659))</f>
        <v>0</v>
      </c>
      <c r="T659" s="58">
        <f>MIN(1/$J658,1-SUM($J659:S659))</f>
        <v>0</v>
      </c>
    </row>
    <row r="660" spans="2:20" s="78" customFormat="1" ht="13.5" customHeight="1" outlineLevel="1">
      <c r="K660" s="233"/>
      <c r="L660" s="233"/>
      <c r="M660" s="233"/>
      <c r="N660" s="233"/>
      <c r="O660" s="233"/>
      <c r="P660" s="233"/>
      <c r="Q660" s="233"/>
      <c r="R660" s="233"/>
      <c r="S660" s="233"/>
      <c r="T660" s="233"/>
    </row>
    <row r="661" spans="2:20" s="78" customFormat="1" ht="13.5" customHeight="1" outlineLevel="1">
      <c r="B661" s="38" t="str">
        <f>B46&amp;" write-up / (down) – beginning"</f>
        <v>PP&amp;E write-up / (down) – beginning</v>
      </c>
      <c r="K661" s="54">
        <f>J663</f>
        <v>15</v>
      </c>
      <c r="L661" s="54">
        <f t="shared" ref="L661:T661" si="479">K663</f>
        <v>12.857142857142858</v>
      </c>
      <c r="M661" s="54">
        <f t="shared" si="479"/>
        <v>10.714285714285715</v>
      </c>
      <c r="N661" s="54">
        <f t="shared" si="479"/>
        <v>8.571428571428573</v>
      </c>
      <c r="O661" s="54">
        <f t="shared" si="479"/>
        <v>6.4285714285714306</v>
      </c>
      <c r="P661" s="54">
        <f t="shared" si="479"/>
        <v>4.2857142857142883</v>
      </c>
      <c r="Q661" s="54">
        <f t="shared" si="479"/>
        <v>2.1428571428571455</v>
      </c>
      <c r="R661" s="54">
        <f t="shared" si="479"/>
        <v>0</v>
      </c>
      <c r="S661" s="54">
        <f t="shared" si="479"/>
        <v>-3.3306690738754696E-15</v>
      </c>
      <c r="T661" s="54">
        <f t="shared" si="479"/>
        <v>-3.3306690738754696E-15</v>
      </c>
    </row>
    <row r="662" spans="2:20" s="78" customFormat="1" ht="13.5" customHeight="1" outlineLevel="1">
      <c r="B662" s="38" t="str">
        <f>"(Depreciation) / accretion of "&amp;B46&amp;" write-up / (down) – straight-line"</f>
        <v>(Depreciation) / accretion of PP&amp;E write-up / (down) – straight-line</v>
      </c>
      <c r="K662" s="57">
        <f>-$J663*K659</f>
        <v>-2.1428571428571428</v>
      </c>
      <c r="L662" s="57">
        <f t="shared" ref="L662:T662" si="480">-$J663*L659</f>
        <v>-2.1428571428571428</v>
      </c>
      <c r="M662" s="57">
        <f t="shared" si="480"/>
        <v>-2.1428571428571428</v>
      </c>
      <c r="N662" s="57">
        <f t="shared" si="480"/>
        <v>-2.1428571428571428</v>
      </c>
      <c r="O662" s="57">
        <f t="shared" si="480"/>
        <v>-2.1428571428571428</v>
      </c>
      <c r="P662" s="57">
        <f t="shared" si="480"/>
        <v>-2.1428571428571428</v>
      </c>
      <c r="Q662" s="57">
        <f t="shared" si="480"/>
        <v>-2.1428571428571428</v>
      </c>
      <c r="R662" s="57">
        <f t="shared" si="480"/>
        <v>-3.3306690738754696E-15</v>
      </c>
      <c r="S662" s="57">
        <f t="shared" si="480"/>
        <v>0</v>
      </c>
      <c r="T662" s="57">
        <f t="shared" si="480"/>
        <v>0</v>
      </c>
    </row>
    <row r="663" spans="2:20" s="78" customFormat="1" ht="13.5" customHeight="1" outlineLevel="1">
      <c r="B663" s="52" t="str">
        <f>B46&amp;" write-up / (down) – ending"</f>
        <v>PP&amp;E write-up / (down) – ending</v>
      </c>
      <c r="C663" s="155"/>
      <c r="D663" s="155"/>
      <c r="E663" s="155"/>
      <c r="F663" s="155"/>
      <c r="G663" s="155"/>
      <c r="H663" s="155"/>
      <c r="I663" s="155"/>
      <c r="J663" s="291">
        <f>H46</f>
        <v>15</v>
      </c>
      <c r="K663" s="113">
        <f>SUM(K661:K662)</f>
        <v>12.857142857142858</v>
      </c>
      <c r="L663" s="113">
        <f t="shared" ref="L663:T663" si="481">SUM(L661:L662)</f>
        <v>10.714285714285715</v>
      </c>
      <c r="M663" s="113">
        <f t="shared" si="481"/>
        <v>8.571428571428573</v>
      </c>
      <c r="N663" s="113">
        <f t="shared" si="481"/>
        <v>6.4285714285714306</v>
      </c>
      <c r="O663" s="113">
        <f t="shared" si="481"/>
        <v>4.2857142857142883</v>
      </c>
      <c r="P663" s="113">
        <f t="shared" si="481"/>
        <v>2.1428571428571455</v>
      </c>
      <c r="Q663" s="113">
        <f t="shared" si="481"/>
        <v>0</v>
      </c>
      <c r="R663" s="113">
        <f t="shared" si="481"/>
        <v>-3.3306690738754696E-15</v>
      </c>
      <c r="S663" s="113">
        <f t="shared" si="481"/>
        <v>-3.3306690738754696E-15</v>
      </c>
      <c r="T663" s="113">
        <f t="shared" si="481"/>
        <v>-3.3306690738754696E-15</v>
      </c>
    </row>
    <row r="664" spans="2:20" ht="13.5" customHeight="1" outlineLevel="1"/>
    <row r="665" spans="2:20" s="35" customFormat="1" ht="13.5" customHeight="1" outlineLevel="1">
      <c r="B665" s="46" t="s">
        <v>280</v>
      </c>
      <c r="C665" s="47"/>
      <c r="D665" s="47"/>
      <c r="E665" s="47"/>
      <c r="F665" s="47"/>
      <c r="G665" s="47"/>
      <c r="H665" s="47"/>
      <c r="I665" s="47"/>
      <c r="J665" s="47"/>
      <c r="K665" s="47"/>
      <c r="L665" s="47"/>
      <c r="M665" s="47"/>
      <c r="N665" s="47"/>
      <c r="O665" s="47"/>
      <c r="P665" s="47"/>
      <c r="Q665" s="47"/>
      <c r="R665" s="47"/>
      <c r="S665" s="47"/>
      <c r="T665" s="48"/>
    </row>
    <row r="666" spans="2:20" ht="5.0999999999999996" customHeight="1" outlineLevel="1"/>
    <row r="667" spans="2:20" ht="13.5" customHeight="1" outlineLevel="1">
      <c r="B667" s="38" t="s">
        <v>198</v>
      </c>
      <c r="I667" s="78"/>
      <c r="K667" s="54">
        <f>K669-K668</f>
        <v>12.685714285714287</v>
      </c>
      <c r="L667" s="54">
        <f t="shared" ref="L667:T667" si="482">L669-L668</f>
        <v>10.332997177135944</v>
      </c>
      <c r="M667" s="54">
        <f t="shared" si="482"/>
        <v>7.8390380818906245</v>
      </c>
      <c r="N667" s="54">
        <f t="shared" si="482"/>
        <v>5.1953577405191744</v>
      </c>
      <c r="O667" s="54">
        <f t="shared" si="482"/>
        <v>2.3929678534202559</v>
      </c>
      <c r="P667" s="54">
        <f t="shared" si="482"/>
        <v>-0.57765947864223222</v>
      </c>
      <c r="Q667" s="54">
        <f t="shared" si="482"/>
        <v>-3.726624148626847</v>
      </c>
      <c r="R667" s="54">
        <f t="shared" si="482"/>
        <v>-3.9503466677490984</v>
      </c>
      <c r="S667" s="54">
        <f t="shared" si="482"/>
        <v>-4.1875000464284753</v>
      </c>
      <c r="T667" s="54">
        <f t="shared" si="482"/>
        <v>-4.4388905869949937</v>
      </c>
    </row>
    <row r="668" spans="2:20" ht="13.5" customHeight="1" outlineLevel="1">
      <c r="B668" s="38" t="s">
        <v>272</v>
      </c>
      <c r="I668" s="78"/>
      <c r="K668" s="208">
        <f>K654</f>
        <v>3.1142857142857143</v>
      </c>
      <c r="L668" s="208">
        <f t="shared" ref="L668:T668" si="483">L654</f>
        <v>6.4155330907833736</v>
      </c>
      <c r="M668" s="208">
        <f t="shared" si="483"/>
        <v>9.9149661038947841</v>
      </c>
      <c r="N668" s="208">
        <f t="shared" si="483"/>
        <v>13.62448254317659</v>
      </c>
      <c r="O668" s="208">
        <f t="shared" si="483"/>
        <v>17.556694464863654</v>
      </c>
      <c r="P668" s="208">
        <f t="shared" si="483"/>
        <v>21.724971071841438</v>
      </c>
      <c r="Q668" s="208">
        <f t="shared" si="483"/>
        <v>26.143484167855831</v>
      </c>
      <c r="R668" s="208">
        <f t="shared" si="483"/>
        <v>27.712970626215363</v>
      </c>
      <c r="S668" s="208">
        <f t="shared" si="483"/>
        <v>29.376678946020682</v>
      </c>
      <c r="T668" s="208">
        <f t="shared" si="483"/>
        <v>31.140265601163009</v>
      </c>
    </row>
    <row r="669" spans="2:20" ht="13.5" customHeight="1" outlineLevel="1">
      <c r="B669" s="52" t="s">
        <v>273</v>
      </c>
      <c r="C669" s="52"/>
      <c r="D669" s="52"/>
      <c r="E669" s="52"/>
      <c r="F669" s="52"/>
      <c r="G669" s="52"/>
      <c r="H669" s="52"/>
      <c r="I669" s="155"/>
      <c r="J669" s="52"/>
      <c r="K669" s="153">
        <f t="shared" ref="K669:T669" si="484">K144*K194</f>
        <v>15.8</v>
      </c>
      <c r="L669" s="153">
        <f t="shared" si="484"/>
        <v>16.748530267919318</v>
      </c>
      <c r="M669" s="153">
        <f t="shared" si="484"/>
        <v>17.754004185785409</v>
      </c>
      <c r="N669" s="153">
        <f t="shared" si="484"/>
        <v>18.819840283695765</v>
      </c>
      <c r="O669" s="153">
        <f t="shared" si="484"/>
        <v>19.949662318283909</v>
      </c>
      <c r="P669" s="153">
        <f t="shared" si="484"/>
        <v>21.147311593199206</v>
      </c>
      <c r="Q669" s="153">
        <f t="shared" si="484"/>
        <v>22.416860019228984</v>
      </c>
      <c r="R669" s="153">
        <f t="shared" si="484"/>
        <v>23.762623958466264</v>
      </c>
      <c r="S669" s="153">
        <f t="shared" si="484"/>
        <v>25.189178899592207</v>
      </c>
      <c r="T669" s="153">
        <f t="shared" si="484"/>
        <v>26.701375014168015</v>
      </c>
    </row>
    <row r="670" spans="2:20" ht="13.5" customHeight="1" outlineLevel="1">
      <c r="B670" s="38" t="s">
        <v>283</v>
      </c>
      <c r="I670" s="78"/>
      <c r="K670" s="208">
        <f t="shared" ref="K670:T670" si="485">-K662</f>
        <v>2.1428571428571428</v>
      </c>
      <c r="L670" s="208">
        <f t="shared" si="485"/>
        <v>2.1428571428571428</v>
      </c>
      <c r="M670" s="208">
        <f t="shared" si="485"/>
        <v>2.1428571428571428</v>
      </c>
      <c r="N670" s="208">
        <f t="shared" si="485"/>
        <v>2.1428571428571428</v>
      </c>
      <c r="O670" s="208">
        <f t="shared" si="485"/>
        <v>2.1428571428571428</v>
      </c>
      <c r="P670" s="208">
        <f t="shared" si="485"/>
        <v>2.1428571428571428</v>
      </c>
      <c r="Q670" s="208">
        <f t="shared" si="485"/>
        <v>2.1428571428571428</v>
      </c>
      <c r="R670" s="208">
        <f t="shared" si="485"/>
        <v>3.3306690738754696E-15</v>
      </c>
      <c r="S670" s="208">
        <f t="shared" si="485"/>
        <v>0</v>
      </c>
      <c r="T670" s="208">
        <f t="shared" si="485"/>
        <v>0</v>
      </c>
    </row>
    <row r="671" spans="2:20" s="78" customFormat="1" ht="13.5" customHeight="1" outlineLevel="1">
      <c r="B671" s="95" t="s">
        <v>274</v>
      </c>
      <c r="C671" s="95"/>
      <c r="D671" s="95"/>
      <c r="E671" s="95"/>
      <c r="F671" s="95"/>
      <c r="G671" s="95"/>
      <c r="H671" s="95"/>
      <c r="I671" s="95"/>
      <c r="J671" s="96"/>
      <c r="K671" s="96">
        <f>SUM(K669:K670)</f>
        <v>17.942857142857143</v>
      </c>
      <c r="L671" s="96">
        <f t="shared" ref="L671:T671" si="486">SUM(L669:L670)</f>
        <v>18.89138741077646</v>
      </c>
      <c r="M671" s="96">
        <f t="shared" si="486"/>
        <v>19.896861328642551</v>
      </c>
      <c r="N671" s="96">
        <f t="shared" si="486"/>
        <v>20.962697426552907</v>
      </c>
      <c r="O671" s="96">
        <f t="shared" si="486"/>
        <v>22.092519461141052</v>
      </c>
      <c r="P671" s="96">
        <f t="shared" si="486"/>
        <v>23.290168736056348</v>
      </c>
      <c r="Q671" s="96">
        <f t="shared" si="486"/>
        <v>24.559717162086127</v>
      </c>
      <c r="R671" s="96">
        <f t="shared" si="486"/>
        <v>23.762623958466268</v>
      </c>
      <c r="S671" s="96">
        <f t="shared" si="486"/>
        <v>25.189178899592207</v>
      </c>
      <c r="T671" s="96">
        <f t="shared" si="486"/>
        <v>26.701375014168015</v>
      </c>
    </row>
    <row r="672" spans="2:20" ht="5.0999999999999996" customHeight="1" outlineLevel="1" thickBot="1">
      <c r="B672" s="144"/>
      <c r="C672" s="144"/>
      <c r="D672" s="224"/>
      <c r="E672" s="224"/>
      <c r="F672" s="225"/>
      <c r="G672" s="225"/>
      <c r="H672" s="225"/>
      <c r="I672" s="225"/>
      <c r="J672" s="224"/>
      <c r="K672" s="225"/>
      <c r="L672" s="225"/>
      <c r="M672" s="225"/>
      <c r="N672" s="225"/>
      <c r="O672" s="225"/>
      <c r="P672" s="225"/>
      <c r="Q672" s="225"/>
      <c r="R672" s="225"/>
      <c r="S672" s="225"/>
      <c r="T672" s="225"/>
    </row>
    <row r="673" spans="1:20" ht="13.5" customHeight="1" outlineLevel="1"/>
    <row r="674" spans="1:20" ht="13.5" customHeight="1" outlineLevel="1" thickBot="1">
      <c r="J674" s="292"/>
      <c r="K674" s="292"/>
      <c r="L674" s="292"/>
      <c r="M674" s="292"/>
      <c r="N674" s="292"/>
      <c r="O674" s="292"/>
      <c r="P674" s="292"/>
      <c r="Q674" s="292"/>
      <c r="R674" s="292"/>
      <c r="S674" s="292"/>
    </row>
    <row r="675" spans="1:20" s="35" customFormat="1" ht="20.100000000000001" customHeight="1" thickTop="1">
      <c r="A675" s="41" t="s">
        <v>313</v>
      </c>
      <c r="B675" s="42" t="s">
        <v>413</v>
      </c>
      <c r="C675" s="43"/>
      <c r="D675" s="44"/>
      <c r="E675" s="44"/>
      <c r="F675" s="44"/>
      <c r="G675" s="44"/>
      <c r="H675" s="44"/>
      <c r="I675" s="44"/>
      <c r="J675" s="44"/>
      <c r="K675" s="44"/>
      <c r="L675" s="44"/>
      <c r="M675" s="44"/>
      <c r="N675" s="44"/>
      <c r="O675" s="44"/>
      <c r="P675" s="44"/>
      <c r="Q675" s="44"/>
      <c r="R675" s="44"/>
      <c r="S675" s="44"/>
      <c r="T675" s="44"/>
    </row>
    <row r="676" spans="1:20" ht="14.4" outlineLevel="1">
      <c r="B676" s="45"/>
      <c r="T676" s="115" t="str">
        <f ca="1">err_msg</f>
        <v/>
      </c>
    </row>
    <row r="677" spans="1:20" s="193" customFormat="1" ht="13.5" customHeight="1" outlineLevel="1">
      <c r="F677" s="194"/>
      <c r="G677" s="194"/>
      <c r="H677" s="194"/>
      <c r="J677" s="244"/>
      <c r="K677" s="195" t="str">
        <f>K$140</f>
        <v>Fiscal Years Ending December 31,</v>
      </c>
      <c r="L677" s="195"/>
      <c r="M677" s="195"/>
      <c r="N677" s="195"/>
      <c r="O677" s="195"/>
      <c r="P677" s="195"/>
      <c r="Q677" s="195"/>
      <c r="R677" s="195"/>
      <c r="S677" s="195"/>
      <c r="T677" s="195"/>
    </row>
    <row r="678" spans="1:20" s="193" customFormat="1" ht="14.4" outlineLevel="1">
      <c r="F678" s="248"/>
      <c r="G678" s="248"/>
      <c r="H678" s="248"/>
      <c r="J678" s="102" t="s">
        <v>196</v>
      </c>
      <c r="K678" s="102">
        <f>K$141</f>
        <v>1</v>
      </c>
      <c r="L678" s="102">
        <f>L$141</f>
        <v>2</v>
      </c>
      <c r="M678" s="102">
        <f t="shared" ref="M678:T678" si="487">M$141</f>
        <v>3</v>
      </c>
      <c r="N678" s="102">
        <f t="shared" si="487"/>
        <v>4</v>
      </c>
      <c r="O678" s="102">
        <f t="shared" si="487"/>
        <v>5</v>
      </c>
      <c r="P678" s="102">
        <f t="shared" si="487"/>
        <v>6</v>
      </c>
      <c r="Q678" s="102">
        <f t="shared" si="487"/>
        <v>7</v>
      </c>
      <c r="R678" s="102">
        <f t="shared" si="487"/>
        <v>8</v>
      </c>
      <c r="S678" s="102">
        <f t="shared" si="487"/>
        <v>9</v>
      </c>
      <c r="T678" s="102">
        <f t="shared" si="487"/>
        <v>10</v>
      </c>
    </row>
    <row r="679" spans="1:20" s="193" customFormat="1" ht="13.5" customHeight="1" outlineLevel="1" thickBot="1">
      <c r="B679" s="122" t="s">
        <v>201</v>
      </c>
      <c r="C679" s="199"/>
      <c r="D679" s="199"/>
      <c r="E679" s="199"/>
      <c r="F679" s="249"/>
      <c r="G679" s="249"/>
      <c r="H679" s="249"/>
      <c r="I679" s="199"/>
      <c r="J679" s="200">
        <f>J$217</f>
        <v>45291</v>
      </c>
      <c r="K679" s="202">
        <f>K$142</f>
        <v>45657</v>
      </c>
      <c r="L679" s="202">
        <f>L$142</f>
        <v>46022</v>
      </c>
      <c r="M679" s="202">
        <f t="shared" ref="M679:T679" si="488">M$142</f>
        <v>46387</v>
      </c>
      <c r="N679" s="202">
        <f t="shared" si="488"/>
        <v>46752</v>
      </c>
      <c r="O679" s="202">
        <f t="shared" si="488"/>
        <v>47118</v>
      </c>
      <c r="P679" s="202">
        <f t="shared" si="488"/>
        <v>47483</v>
      </c>
      <c r="Q679" s="202">
        <f t="shared" si="488"/>
        <v>47848</v>
      </c>
      <c r="R679" s="202">
        <f t="shared" si="488"/>
        <v>48213</v>
      </c>
      <c r="S679" s="202">
        <f t="shared" si="488"/>
        <v>48579</v>
      </c>
      <c r="T679" s="202">
        <f t="shared" si="488"/>
        <v>48944</v>
      </c>
    </row>
    <row r="680" spans="1:20" ht="5.0999999999999996" customHeight="1" outlineLevel="1">
      <c r="K680" s="271"/>
      <c r="L680" s="283"/>
      <c r="M680" s="283"/>
      <c r="N680" s="283"/>
      <c r="O680" s="283"/>
      <c r="P680" s="283"/>
      <c r="Q680" s="283"/>
      <c r="R680" s="283"/>
      <c r="S680" s="283"/>
      <c r="T680" s="283"/>
    </row>
    <row r="681" spans="1:20" s="35" customFormat="1" ht="13.5" customHeight="1" outlineLevel="1">
      <c r="B681" s="46" t="s">
        <v>282</v>
      </c>
      <c r="C681" s="47"/>
      <c r="D681" s="47"/>
      <c r="E681" s="47"/>
      <c r="F681" s="47"/>
      <c r="G681" s="47"/>
      <c r="H681" s="47"/>
      <c r="I681" s="47"/>
      <c r="J681" s="47"/>
      <c r="K681" s="47"/>
      <c r="L681" s="47"/>
      <c r="M681" s="47"/>
      <c r="N681" s="47"/>
      <c r="O681" s="47"/>
      <c r="P681" s="47"/>
      <c r="Q681" s="47"/>
      <c r="R681" s="47"/>
      <c r="S681" s="47"/>
      <c r="T681" s="48"/>
    </row>
    <row r="682" spans="1:20" ht="5.0999999999999996" customHeight="1" outlineLevel="1"/>
    <row r="683" spans="1:20" ht="13.5" customHeight="1" outlineLevel="1">
      <c r="B683" s="38" t="s">
        <v>240</v>
      </c>
      <c r="J683" s="80">
        <f>K47</f>
        <v>5</v>
      </c>
    </row>
    <row r="684" spans="1:20" ht="13.5" customHeight="1" outlineLevel="1">
      <c r="B684" s="38" t="s">
        <v>239</v>
      </c>
      <c r="K684" s="58">
        <f>MIN(1/$J683,1-SUM($J684:J684))</f>
        <v>0.2</v>
      </c>
      <c r="L684" s="58">
        <f>MIN(1/$J683,1-SUM($J684:K684))</f>
        <v>0.2</v>
      </c>
      <c r="M684" s="58">
        <f>MIN(1/$J683,1-SUM($J684:L684))</f>
        <v>0.2</v>
      </c>
      <c r="N684" s="58">
        <f>MIN(1/$J683,1-SUM($J684:M684))</f>
        <v>0.2</v>
      </c>
      <c r="O684" s="58">
        <f>MIN(1/$J683,1-SUM($J684:N684))</f>
        <v>0.19999999999999996</v>
      </c>
      <c r="P684" s="58">
        <f>MIN(1/$J683,1-SUM($J684:O684))</f>
        <v>0</v>
      </c>
      <c r="Q684" s="58">
        <f>MIN(1/$J683,1-SUM($J684:P684))</f>
        <v>0</v>
      </c>
      <c r="R684" s="58">
        <f>MIN(1/$J683,1-SUM($J684:Q684))</f>
        <v>0</v>
      </c>
      <c r="S684" s="58">
        <f>MIN(1/$J683,1-SUM($J684:R684))</f>
        <v>0</v>
      </c>
      <c r="T684" s="58">
        <f>MIN(1/$J683,1-SUM($J684:S684))</f>
        <v>0</v>
      </c>
    </row>
    <row r="685" spans="1:20" ht="13.5" customHeight="1" outlineLevel="1">
      <c r="K685" s="58"/>
      <c r="L685" s="58"/>
      <c r="M685" s="58"/>
      <c r="N685" s="58"/>
      <c r="O685" s="58"/>
      <c r="P685" s="58"/>
      <c r="Q685" s="58"/>
      <c r="R685" s="58"/>
      <c r="S685" s="58"/>
      <c r="T685" s="58"/>
    </row>
    <row r="686" spans="1:20" s="78" customFormat="1" ht="13.5" customHeight="1" outlineLevel="1">
      <c r="B686" s="38" t="s">
        <v>278</v>
      </c>
      <c r="K686" s="128">
        <f ca="1">J688</f>
        <v>109.45535088906249</v>
      </c>
      <c r="L686" s="128">
        <f t="shared" ref="L686:T686" ca="1" si="489">K688</f>
        <v>87.564280711249992</v>
      </c>
      <c r="M686" s="128">
        <f t="shared" ca="1" si="489"/>
        <v>65.673210533437498</v>
      </c>
      <c r="N686" s="128">
        <f t="shared" ca="1" si="489"/>
        <v>43.782140355625003</v>
      </c>
      <c r="O686" s="128">
        <f t="shared" ca="1" si="489"/>
        <v>21.891070177812505</v>
      </c>
      <c r="P686" s="128">
        <f t="shared" ca="1" si="489"/>
        <v>0</v>
      </c>
      <c r="Q686" s="128">
        <f t="shared" ca="1" si="489"/>
        <v>0</v>
      </c>
      <c r="R686" s="128">
        <f t="shared" ca="1" si="489"/>
        <v>0</v>
      </c>
      <c r="S686" s="128">
        <f t="shared" ca="1" si="489"/>
        <v>0</v>
      </c>
      <c r="T686" s="128">
        <f t="shared" ca="1" si="489"/>
        <v>0</v>
      </c>
    </row>
    <row r="687" spans="1:20" s="78" customFormat="1" ht="13.5" customHeight="1" outlineLevel="1">
      <c r="B687" s="38" t="s">
        <v>310</v>
      </c>
      <c r="K687" s="129">
        <f t="shared" ref="K687:T687" ca="1" si="490">-$J688*K684</f>
        <v>-21.891070177812498</v>
      </c>
      <c r="L687" s="129">
        <f t="shared" ca="1" si="490"/>
        <v>-21.891070177812498</v>
      </c>
      <c r="M687" s="129">
        <f t="shared" ca="1" si="490"/>
        <v>-21.891070177812498</v>
      </c>
      <c r="N687" s="129">
        <f t="shared" ca="1" si="490"/>
        <v>-21.891070177812498</v>
      </c>
      <c r="O687" s="129">
        <f t="shared" ca="1" si="490"/>
        <v>-21.891070177812491</v>
      </c>
      <c r="P687" s="129">
        <f t="shared" ca="1" si="490"/>
        <v>0</v>
      </c>
      <c r="Q687" s="129">
        <f t="shared" ca="1" si="490"/>
        <v>0</v>
      </c>
      <c r="R687" s="129">
        <f t="shared" ca="1" si="490"/>
        <v>0</v>
      </c>
      <c r="S687" s="129">
        <f t="shared" ca="1" si="490"/>
        <v>0</v>
      </c>
      <c r="T687" s="129">
        <f t="shared" ca="1" si="490"/>
        <v>0</v>
      </c>
    </row>
    <row r="688" spans="1:20" s="78" customFormat="1" ht="13.5" customHeight="1" outlineLevel="1">
      <c r="B688" s="52" t="s">
        <v>279</v>
      </c>
      <c r="C688" s="155"/>
      <c r="D688" s="155"/>
      <c r="E688" s="155"/>
      <c r="F688" s="155"/>
      <c r="G688" s="155"/>
      <c r="H688" s="155"/>
      <c r="I688" s="155"/>
      <c r="J688" s="291">
        <f ca="1">H47</f>
        <v>109.45535088906249</v>
      </c>
      <c r="K688" s="293">
        <f ca="1">SUM(K686:K687)</f>
        <v>87.564280711249992</v>
      </c>
      <c r="L688" s="293">
        <f t="shared" ref="L688" ca="1" si="491">SUM(L686:L687)</f>
        <v>65.673210533437498</v>
      </c>
      <c r="M688" s="293">
        <f t="shared" ref="M688" ca="1" si="492">SUM(M686:M687)</f>
        <v>43.782140355625003</v>
      </c>
      <c r="N688" s="293">
        <f t="shared" ref="N688" ca="1" si="493">SUM(N686:N687)</f>
        <v>21.891070177812505</v>
      </c>
      <c r="O688" s="293">
        <f t="shared" ref="O688" ca="1" si="494">SUM(O686:O687)</f>
        <v>0</v>
      </c>
      <c r="P688" s="293">
        <f t="shared" ref="P688" ca="1" si="495">SUM(P686:P687)</f>
        <v>0</v>
      </c>
      <c r="Q688" s="293">
        <f t="shared" ref="Q688" ca="1" si="496">SUM(Q686:Q687)</f>
        <v>0</v>
      </c>
      <c r="R688" s="293">
        <f t="shared" ref="R688" ca="1" si="497">SUM(R686:R687)</f>
        <v>0</v>
      </c>
      <c r="S688" s="293">
        <f t="shared" ref="S688" ca="1" si="498">SUM(S686:S687)</f>
        <v>0</v>
      </c>
      <c r="T688" s="293">
        <f t="shared" ref="T688" ca="1" si="499">SUM(T686:T687)</f>
        <v>0</v>
      </c>
    </row>
    <row r="689" spans="1:20" s="35" customFormat="1" ht="13.5" customHeight="1" outlineLevel="1"/>
    <row r="690" spans="1:20" s="35" customFormat="1" ht="13.5" customHeight="1" outlineLevel="1">
      <c r="B690" s="46" t="s">
        <v>277</v>
      </c>
      <c r="C690" s="47"/>
      <c r="D690" s="47"/>
      <c r="E690" s="47"/>
      <c r="F690" s="47"/>
      <c r="G690" s="47"/>
      <c r="H690" s="47"/>
      <c r="I690" s="47"/>
      <c r="J690" s="47"/>
      <c r="K690" s="47"/>
      <c r="L690" s="47"/>
      <c r="M690" s="47"/>
      <c r="N690" s="47"/>
      <c r="O690" s="47"/>
      <c r="P690" s="47"/>
      <c r="Q690" s="47"/>
      <c r="R690" s="47"/>
      <c r="S690" s="47"/>
      <c r="T690" s="48"/>
    </row>
    <row r="691" spans="1:20" ht="5.0999999999999996" customHeight="1" outlineLevel="1"/>
    <row r="692" spans="1:20" ht="13.5" customHeight="1" outlineLevel="1">
      <c r="B692" s="38" t="s">
        <v>275</v>
      </c>
      <c r="I692" s="78"/>
      <c r="K692" s="54">
        <f t="shared" ref="K692:T692" si="500">K144*K195</f>
        <v>14.9</v>
      </c>
      <c r="L692" s="54">
        <f t="shared" si="500"/>
        <v>15.794500062784671</v>
      </c>
      <c r="M692" s="54">
        <f t="shared" si="500"/>
        <v>16.74270014988624</v>
      </c>
      <c r="N692" s="54">
        <f t="shared" si="500"/>
        <v>17.747824065004234</v>
      </c>
      <c r="O692" s="54">
        <f t="shared" si="500"/>
        <v>18.813289148255077</v>
      </c>
      <c r="P692" s="54">
        <f t="shared" si="500"/>
        <v>19.942717894852414</v>
      </c>
      <c r="Q692" s="54">
        <f t="shared" si="500"/>
        <v>21.139950271298218</v>
      </c>
      <c r="R692" s="54">
        <f t="shared" si="500"/>
        <v>22.409056770958692</v>
      </c>
      <c r="S692" s="54">
        <f t="shared" si="500"/>
        <v>23.754352253412904</v>
      </c>
      <c r="T692" s="54">
        <f t="shared" si="500"/>
        <v>25.180410614626798</v>
      </c>
    </row>
    <row r="693" spans="1:20" ht="13.5" customHeight="1" outlineLevel="1">
      <c r="B693" s="38" t="s">
        <v>284</v>
      </c>
      <c r="I693" s="78"/>
      <c r="K693" s="208">
        <f t="shared" ref="K693:T693" ca="1" si="501">-K687</f>
        <v>21.891070177812498</v>
      </c>
      <c r="L693" s="208">
        <f t="shared" ca="1" si="501"/>
        <v>21.891070177812498</v>
      </c>
      <c r="M693" s="208">
        <f t="shared" ca="1" si="501"/>
        <v>21.891070177812498</v>
      </c>
      <c r="N693" s="208">
        <f t="shared" ca="1" si="501"/>
        <v>21.891070177812498</v>
      </c>
      <c r="O693" s="208">
        <f t="shared" ca="1" si="501"/>
        <v>21.891070177812491</v>
      </c>
      <c r="P693" s="208">
        <f t="shared" ca="1" si="501"/>
        <v>0</v>
      </c>
      <c r="Q693" s="208">
        <f t="shared" ca="1" si="501"/>
        <v>0</v>
      </c>
      <c r="R693" s="208">
        <f t="shared" ca="1" si="501"/>
        <v>0</v>
      </c>
      <c r="S693" s="208">
        <f t="shared" ca="1" si="501"/>
        <v>0</v>
      </c>
      <c r="T693" s="208">
        <f t="shared" ca="1" si="501"/>
        <v>0</v>
      </c>
    </row>
    <row r="694" spans="1:20" s="78" customFormat="1" ht="13.5" customHeight="1" outlineLevel="1">
      <c r="B694" s="95" t="s">
        <v>276</v>
      </c>
      <c r="C694" s="95"/>
      <c r="D694" s="95"/>
      <c r="E694" s="95"/>
      <c r="F694" s="95"/>
      <c r="G694" s="95"/>
      <c r="H694" s="95"/>
      <c r="I694" s="95"/>
      <c r="J694" s="96"/>
      <c r="K694" s="96">
        <f ca="1">SUM(K692:K693)</f>
        <v>36.7910701778125</v>
      </c>
      <c r="L694" s="96">
        <f t="shared" ref="L694:T694" ca="1" si="502">SUM(L692:L693)</f>
        <v>37.685570240597173</v>
      </c>
      <c r="M694" s="96">
        <f t="shared" ca="1" si="502"/>
        <v>38.633770327698741</v>
      </c>
      <c r="N694" s="96">
        <f t="shared" ca="1" si="502"/>
        <v>39.638894242816733</v>
      </c>
      <c r="O694" s="96">
        <f t="shared" ca="1" si="502"/>
        <v>40.704359326067568</v>
      </c>
      <c r="P694" s="96">
        <f t="shared" ca="1" si="502"/>
        <v>19.942717894852414</v>
      </c>
      <c r="Q694" s="96">
        <f t="shared" ca="1" si="502"/>
        <v>21.139950271298218</v>
      </c>
      <c r="R694" s="96">
        <f t="shared" ca="1" si="502"/>
        <v>22.409056770958692</v>
      </c>
      <c r="S694" s="96">
        <f t="shared" ca="1" si="502"/>
        <v>23.754352253412904</v>
      </c>
      <c r="T694" s="96">
        <f t="shared" ca="1" si="502"/>
        <v>25.180410614626798</v>
      </c>
    </row>
    <row r="695" spans="1:20" s="35" customFormat="1" ht="5.0999999999999996" customHeight="1" outlineLevel="1" thickBot="1">
      <c r="B695" s="114"/>
      <c r="C695" s="114"/>
      <c r="D695" s="224"/>
      <c r="E695" s="224"/>
      <c r="F695" s="225"/>
      <c r="G695" s="225"/>
      <c r="H695" s="225"/>
      <c r="I695" s="225"/>
      <c r="J695" s="224"/>
      <c r="K695" s="225"/>
      <c r="L695" s="225"/>
      <c r="M695" s="225"/>
      <c r="N695" s="225"/>
      <c r="O695" s="225"/>
      <c r="P695" s="225"/>
      <c r="Q695" s="225"/>
      <c r="R695" s="225"/>
      <c r="S695" s="225"/>
      <c r="T695" s="225"/>
    </row>
    <row r="696" spans="1:20" s="35" customFormat="1" ht="13.5" customHeight="1" outlineLevel="1"/>
    <row r="697" spans="1:20" s="35" customFormat="1" ht="13.5" customHeight="1" outlineLevel="1" thickBot="1"/>
    <row r="698" spans="1:20" s="35" customFormat="1" ht="20.100000000000001" customHeight="1" thickTop="1">
      <c r="A698" s="41" t="s">
        <v>313</v>
      </c>
      <c r="B698" s="42" t="s">
        <v>245</v>
      </c>
      <c r="C698" s="43"/>
      <c r="D698" s="44"/>
      <c r="E698" s="44"/>
      <c r="F698" s="44"/>
      <c r="G698" s="44"/>
      <c r="H698" s="44"/>
      <c r="I698" s="44"/>
      <c r="J698" s="44"/>
      <c r="K698" s="44"/>
      <c r="L698" s="44"/>
      <c r="M698" s="44"/>
      <c r="N698" s="44"/>
      <c r="O698" s="44"/>
      <c r="P698" s="44"/>
      <c r="Q698" s="44"/>
      <c r="R698" s="44"/>
      <c r="S698" s="44"/>
      <c r="T698" s="44"/>
    </row>
    <row r="699" spans="1:20" s="35" customFormat="1" ht="13.5" customHeight="1" outlineLevel="1">
      <c r="B699" s="45"/>
      <c r="T699" s="147" t="str">
        <f ca="1">err_msg</f>
        <v/>
      </c>
    </row>
    <row r="700" spans="1:20" s="193" customFormat="1" ht="13.5" customHeight="1" outlineLevel="1">
      <c r="E700" s="195" t="s">
        <v>59</v>
      </c>
      <c r="F700" s="195" t="s">
        <v>167</v>
      </c>
      <c r="G700" s="195"/>
      <c r="H700" s="195"/>
      <c r="I700" s="294"/>
      <c r="J700" s="119" t="s">
        <v>20</v>
      </c>
      <c r="K700" s="195" t="str">
        <f>K$140</f>
        <v>Fiscal Years Ending December 31,</v>
      </c>
      <c r="L700" s="195"/>
      <c r="M700" s="195"/>
      <c r="N700" s="195"/>
      <c r="O700" s="195"/>
      <c r="P700" s="195"/>
      <c r="Q700" s="195"/>
      <c r="R700" s="195"/>
      <c r="S700" s="195"/>
      <c r="T700" s="195"/>
    </row>
    <row r="701" spans="1:20" s="193" customFormat="1" ht="14.4" outlineLevel="1">
      <c r="E701" s="102" t="str">
        <f>E$141</f>
        <v>MRQ</v>
      </c>
      <c r="F701" s="102" t="str">
        <f>F$141</f>
        <v>MRQ+1</v>
      </c>
      <c r="G701" s="102" t="str">
        <f t="shared" ref="G701:H701" si="503">G$141</f>
        <v>MRQ+2</v>
      </c>
      <c r="H701" s="102" t="str">
        <f t="shared" si="503"/>
        <v>MRQ+3</v>
      </c>
      <c r="I701" s="197"/>
      <c r="J701" s="119" t="s">
        <v>166</v>
      </c>
      <c r="K701" s="102">
        <f>K$141</f>
        <v>1</v>
      </c>
      <c r="L701" s="102">
        <f>L$141</f>
        <v>2</v>
      </c>
      <c r="M701" s="102">
        <f t="shared" ref="M701:T701" si="504">M$141</f>
        <v>3</v>
      </c>
      <c r="N701" s="102">
        <f t="shared" si="504"/>
        <v>4</v>
      </c>
      <c r="O701" s="102">
        <f t="shared" si="504"/>
        <v>5</v>
      </c>
      <c r="P701" s="102">
        <f t="shared" si="504"/>
        <v>6</v>
      </c>
      <c r="Q701" s="102">
        <f t="shared" si="504"/>
        <v>7</v>
      </c>
      <c r="R701" s="102">
        <f t="shared" si="504"/>
        <v>8</v>
      </c>
      <c r="S701" s="102">
        <f t="shared" si="504"/>
        <v>9</v>
      </c>
      <c r="T701" s="102">
        <f t="shared" si="504"/>
        <v>10</v>
      </c>
    </row>
    <row r="702" spans="1:20" s="193" customFormat="1" ht="13.5" customHeight="1" outlineLevel="1" thickBot="1">
      <c r="B702" s="122" t="s">
        <v>201</v>
      </c>
      <c r="C702" s="199"/>
      <c r="D702" s="199"/>
      <c r="E702" s="200">
        <f>E$142</f>
        <v>45016</v>
      </c>
      <c r="F702" s="200">
        <f>F$142</f>
        <v>45107</v>
      </c>
      <c r="G702" s="200">
        <f t="shared" ref="G702:H702" si="505">G$142</f>
        <v>45199</v>
      </c>
      <c r="H702" s="200">
        <f t="shared" si="505"/>
        <v>45291</v>
      </c>
      <c r="I702" s="201"/>
      <c r="J702" s="200">
        <f>J$217</f>
        <v>45291</v>
      </c>
      <c r="K702" s="202">
        <f>K$142</f>
        <v>45657</v>
      </c>
      <c r="L702" s="202">
        <f>L$142</f>
        <v>46022</v>
      </c>
      <c r="M702" s="202">
        <f t="shared" ref="M702:T702" si="506">M$142</f>
        <v>46387</v>
      </c>
      <c r="N702" s="202">
        <f t="shared" si="506"/>
        <v>46752</v>
      </c>
      <c r="O702" s="202">
        <f t="shared" si="506"/>
        <v>47118</v>
      </c>
      <c r="P702" s="202">
        <f t="shared" si="506"/>
        <v>47483</v>
      </c>
      <c r="Q702" s="202">
        <f t="shared" si="506"/>
        <v>47848</v>
      </c>
      <c r="R702" s="202">
        <f t="shared" si="506"/>
        <v>48213</v>
      </c>
      <c r="S702" s="202">
        <f t="shared" si="506"/>
        <v>48579</v>
      </c>
      <c r="T702" s="202">
        <f t="shared" si="506"/>
        <v>48944</v>
      </c>
    </row>
    <row r="703" spans="1:20" s="35" customFormat="1" ht="5.0999999999999996" customHeight="1" outlineLevel="1">
      <c r="J703" s="281"/>
      <c r="K703" s="281"/>
      <c r="L703" s="281"/>
      <c r="M703" s="281"/>
      <c r="N703" s="281"/>
      <c r="O703" s="281"/>
      <c r="P703" s="281"/>
      <c r="Q703" s="281"/>
      <c r="R703" s="281"/>
      <c r="S703" s="281"/>
      <c r="T703" s="281"/>
    </row>
    <row r="704" spans="1:20" s="35" customFormat="1" ht="13.5" customHeight="1" outlineLevel="1">
      <c r="B704" s="38" t="s">
        <v>324</v>
      </c>
      <c r="F704" s="402">
        <v>0.32990000000000003</v>
      </c>
      <c r="G704" s="295">
        <f>$F704</f>
        <v>0.32990000000000003</v>
      </c>
      <c r="H704" s="295">
        <f t="shared" ref="H704:H705" si="507">$F704</f>
        <v>0.32990000000000003</v>
      </c>
      <c r="J704" s="281"/>
      <c r="K704" s="295">
        <f t="shared" ref="K704:T705" si="508">$F704</f>
        <v>0.32990000000000003</v>
      </c>
      <c r="L704" s="295">
        <f t="shared" si="508"/>
        <v>0.32990000000000003</v>
      </c>
      <c r="M704" s="295">
        <f t="shared" si="508"/>
        <v>0.32990000000000003</v>
      </c>
      <c r="N704" s="295">
        <f t="shared" si="508"/>
        <v>0.32990000000000003</v>
      </c>
      <c r="O704" s="295">
        <f t="shared" si="508"/>
        <v>0.32990000000000003</v>
      </c>
      <c r="P704" s="295">
        <f t="shared" si="508"/>
        <v>0.32990000000000003</v>
      </c>
      <c r="Q704" s="295">
        <f t="shared" si="508"/>
        <v>0.32990000000000003</v>
      </c>
      <c r="R704" s="295">
        <f t="shared" si="508"/>
        <v>0.32990000000000003</v>
      </c>
      <c r="S704" s="295">
        <f t="shared" si="508"/>
        <v>0.32990000000000003</v>
      </c>
      <c r="T704" s="295">
        <f t="shared" si="508"/>
        <v>0.32990000000000003</v>
      </c>
    </row>
    <row r="705" spans="2:20" s="35" customFormat="1" ht="13.5" customHeight="1" outlineLevel="1">
      <c r="B705" s="38" t="s">
        <v>325</v>
      </c>
      <c r="F705" s="402">
        <v>0.03</v>
      </c>
      <c r="G705" s="295">
        <f>$F705</f>
        <v>0.03</v>
      </c>
      <c r="H705" s="295">
        <f t="shared" si="507"/>
        <v>0.03</v>
      </c>
      <c r="J705" s="281"/>
      <c r="K705" s="295">
        <f t="shared" si="508"/>
        <v>0.03</v>
      </c>
      <c r="L705" s="295">
        <f t="shared" si="508"/>
        <v>0.03</v>
      </c>
      <c r="M705" s="295">
        <f t="shared" si="508"/>
        <v>0.03</v>
      </c>
      <c r="N705" s="295">
        <f t="shared" si="508"/>
        <v>0.03</v>
      </c>
      <c r="O705" s="295">
        <f t="shared" si="508"/>
        <v>0.03</v>
      </c>
      <c r="P705" s="295">
        <f t="shared" si="508"/>
        <v>0.03</v>
      </c>
      <c r="Q705" s="295">
        <f t="shared" si="508"/>
        <v>0.03</v>
      </c>
      <c r="R705" s="295">
        <f t="shared" si="508"/>
        <v>0.03</v>
      </c>
      <c r="S705" s="295">
        <f t="shared" si="508"/>
        <v>0.03</v>
      </c>
      <c r="T705" s="295">
        <f t="shared" si="508"/>
        <v>0.03</v>
      </c>
    </row>
    <row r="706" spans="2:20" s="35" customFormat="1" ht="13.5" customHeight="1" outlineLevel="1">
      <c r="B706" s="38" t="s">
        <v>326</v>
      </c>
      <c r="E706" s="183">
        <f ca="1">E209</f>
        <v>0.34999999999999992</v>
      </c>
      <c r="F706" s="295">
        <f t="shared" ref="F706:H706" si="509">F704*(1-F705)+F705</f>
        <v>0.35000300000000006</v>
      </c>
      <c r="G706" s="295">
        <f t="shared" si="509"/>
        <v>0.35000300000000006</v>
      </c>
      <c r="H706" s="295">
        <f t="shared" si="509"/>
        <v>0.35000300000000006</v>
      </c>
      <c r="J706" s="281"/>
      <c r="K706" s="295">
        <f t="shared" ref="K706:T706" si="510">K704*(1-K705)+K705</f>
        <v>0.35000300000000006</v>
      </c>
      <c r="L706" s="295">
        <f t="shared" si="510"/>
        <v>0.35000300000000006</v>
      </c>
      <c r="M706" s="295">
        <f t="shared" si="510"/>
        <v>0.35000300000000006</v>
      </c>
      <c r="N706" s="295">
        <f t="shared" si="510"/>
        <v>0.35000300000000006</v>
      </c>
      <c r="O706" s="295">
        <f t="shared" si="510"/>
        <v>0.35000300000000006</v>
      </c>
      <c r="P706" s="295">
        <f t="shared" si="510"/>
        <v>0.35000300000000006</v>
      </c>
      <c r="Q706" s="295">
        <f t="shared" si="510"/>
        <v>0.35000300000000006</v>
      </c>
      <c r="R706" s="295">
        <f t="shared" si="510"/>
        <v>0.35000300000000006</v>
      </c>
      <c r="S706" s="295">
        <f t="shared" si="510"/>
        <v>0.35000300000000006</v>
      </c>
      <c r="T706" s="295">
        <f t="shared" si="510"/>
        <v>0.35000300000000006</v>
      </c>
    </row>
    <row r="707" spans="2:20" s="35" customFormat="1" ht="13.5" customHeight="1" outlineLevel="1">
      <c r="J707" s="281"/>
      <c r="K707" s="281"/>
      <c r="L707" s="281"/>
      <c r="M707" s="281"/>
      <c r="N707" s="281"/>
      <c r="O707" s="281"/>
      <c r="P707" s="281"/>
      <c r="Q707" s="281"/>
      <c r="R707" s="281"/>
      <c r="S707" s="281"/>
      <c r="T707" s="281"/>
    </row>
    <row r="708" spans="2:20" s="35" customFormat="1" ht="13.5" customHeight="1" outlineLevel="1">
      <c r="B708" s="46" t="s">
        <v>327</v>
      </c>
      <c r="C708" s="47"/>
      <c r="D708" s="47"/>
      <c r="E708" s="47"/>
      <c r="F708" s="47"/>
      <c r="G708" s="47"/>
      <c r="H708" s="47"/>
      <c r="I708" s="47"/>
      <c r="J708" s="47"/>
      <c r="K708" s="47"/>
      <c r="L708" s="47"/>
      <c r="M708" s="47"/>
      <c r="N708" s="47"/>
      <c r="O708" s="47"/>
      <c r="P708" s="47"/>
      <c r="Q708" s="47"/>
      <c r="R708" s="47"/>
      <c r="S708" s="47"/>
      <c r="T708" s="48"/>
    </row>
    <row r="709" spans="2:20" s="35" customFormat="1" ht="13.5" customHeight="1" outlineLevel="1">
      <c r="J709" s="281"/>
      <c r="K709" s="281"/>
      <c r="L709" s="281"/>
      <c r="M709" s="281"/>
      <c r="N709" s="281"/>
      <c r="O709" s="281"/>
      <c r="P709" s="281"/>
      <c r="Q709" s="281"/>
      <c r="R709" s="281"/>
      <c r="S709" s="281"/>
      <c r="T709" s="281"/>
    </row>
    <row r="710" spans="2:20" s="35" customFormat="1" ht="13.5" customHeight="1" outlineLevel="1">
      <c r="B710" s="38" t="s">
        <v>18</v>
      </c>
      <c r="C710" s="246"/>
      <c r="D710" s="246"/>
      <c r="E710" s="246"/>
      <c r="F710" s="128">
        <f>F148</f>
        <v>31.605</v>
      </c>
      <c r="G710" s="128">
        <f>G148</f>
        <v>32.900000000000006</v>
      </c>
      <c r="H710" s="128">
        <f>H148</f>
        <v>33.5</v>
      </c>
      <c r="J710" s="281"/>
      <c r="K710" s="128">
        <f t="shared" ref="K710:T710" si="511">K148</f>
        <v>138.69999999999999</v>
      </c>
      <c r="L710" s="128">
        <f t="shared" si="511"/>
        <v>147.02665494686133</v>
      </c>
      <c r="M710" s="128">
        <f t="shared" si="511"/>
        <v>155.85318864357191</v>
      </c>
      <c r="N710" s="128">
        <f t="shared" si="511"/>
        <v>165.20961059168371</v>
      </c>
      <c r="O710" s="128">
        <f t="shared" si="511"/>
        <v>175.12773186999863</v>
      </c>
      <c r="P710" s="128">
        <f t="shared" si="511"/>
        <v>185.6412732896664</v>
      </c>
      <c r="Q710" s="128">
        <f t="shared" si="511"/>
        <v>196.78598004221894</v>
      </c>
      <c r="R710" s="128">
        <f t="shared" si="511"/>
        <v>208.59974323033359</v>
      </c>
      <c r="S710" s="128">
        <f t="shared" si="511"/>
        <v>221.12272869452141</v>
      </c>
      <c r="T710" s="128">
        <f t="shared" si="511"/>
        <v>234.39751357374072</v>
      </c>
    </row>
    <row r="711" spans="2:20" s="35" customFormat="1" ht="13.5" customHeight="1" outlineLevel="1">
      <c r="B711" s="38" t="s">
        <v>328</v>
      </c>
      <c r="C711" s="38"/>
      <c r="D711" s="38"/>
      <c r="E711" s="38"/>
      <c r="F711" s="57">
        <f>-F149</f>
        <v>-3.3</v>
      </c>
      <c r="G711" s="57">
        <f>-G149</f>
        <v>-3.3</v>
      </c>
      <c r="H711" s="57">
        <f>-H149</f>
        <v>-3.3</v>
      </c>
      <c r="J711" s="281"/>
      <c r="K711" s="57">
        <f t="shared" ref="K711:T711" si="512">-K149</f>
        <v>-15.8</v>
      </c>
      <c r="L711" s="57">
        <f t="shared" si="512"/>
        <v>-18.89138741077646</v>
      </c>
      <c r="M711" s="57">
        <f t="shared" si="512"/>
        <v>-19.896861328642551</v>
      </c>
      <c r="N711" s="57">
        <f t="shared" si="512"/>
        <v>-20.962697426552907</v>
      </c>
      <c r="O711" s="57">
        <f t="shared" si="512"/>
        <v>-22.092519461141052</v>
      </c>
      <c r="P711" s="57">
        <f t="shared" si="512"/>
        <v>-23.290168736056348</v>
      </c>
      <c r="Q711" s="57">
        <f t="shared" si="512"/>
        <v>-24.559717162086127</v>
      </c>
      <c r="R711" s="57">
        <f t="shared" si="512"/>
        <v>-23.762623958466268</v>
      </c>
      <c r="S711" s="57">
        <f t="shared" si="512"/>
        <v>-25.189178899592207</v>
      </c>
      <c r="T711" s="57">
        <f t="shared" si="512"/>
        <v>-26.701375014168015</v>
      </c>
    </row>
    <row r="712" spans="2:20" s="35" customFormat="1" ht="13.5" customHeight="1" outlineLevel="1">
      <c r="B712" s="38" t="s">
        <v>329</v>
      </c>
      <c r="C712" s="38"/>
      <c r="D712" s="38"/>
      <c r="E712" s="38"/>
      <c r="F712" s="57">
        <f t="shared" ref="F712:H713" si="513">-F151</f>
        <v>-4.5</v>
      </c>
      <c r="G712" s="57">
        <f t="shared" si="513"/>
        <v>-4.5</v>
      </c>
      <c r="H712" s="57">
        <f t="shared" si="513"/>
        <v>-4.5</v>
      </c>
      <c r="J712" s="281"/>
      <c r="K712" s="57">
        <f t="shared" ref="K712:T712" si="514">-K151</f>
        <v>-14.9</v>
      </c>
      <c r="L712" s="57">
        <f t="shared" ca="1" si="514"/>
        <v>-37.685570240597173</v>
      </c>
      <c r="M712" s="57">
        <f t="shared" ca="1" si="514"/>
        <v>-38.633770327698741</v>
      </c>
      <c r="N712" s="57">
        <f t="shared" ca="1" si="514"/>
        <v>-39.638894242816733</v>
      </c>
      <c r="O712" s="57">
        <f t="shared" ca="1" si="514"/>
        <v>-40.704359326067568</v>
      </c>
      <c r="P712" s="57">
        <f t="shared" ca="1" si="514"/>
        <v>-19.942717894852414</v>
      </c>
      <c r="Q712" s="57">
        <f t="shared" ca="1" si="514"/>
        <v>-21.139950271298218</v>
      </c>
      <c r="R712" s="57">
        <f t="shared" ca="1" si="514"/>
        <v>-22.409056770958692</v>
      </c>
      <c r="S712" s="57">
        <f t="shared" ca="1" si="514"/>
        <v>-23.754352253412904</v>
      </c>
      <c r="T712" s="57">
        <f t="shared" ca="1" si="514"/>
        <v>-25.180410614626798</v>
      </c>
    </row>
    <row r="713" spans="2:20" s="35" customFormat="1" ht="13.5" customHeight="1" outlineLevel="1">
      <c r="B713" s="38" t="s">
        <v>330</v>
      </c>
      <c r="C713" s="38"/>
      <c r="D713" s="38"/>
      <c r="E713" s="38"/>
      <c r="F713" s="57">
        <f t="shared" si="513"/>
        <v>-2.004999999999999</v>
      </c>
      <c r="G713" s="57">
        <f t="shared" si="513"/>
        <v>-2.9000000000000057</v>
      </c>
      <c r="H713" s="57">
        <f t="shared" si="513"/>
        <v>-3.0999999999999979</v>
      </c>
      <c r="J713" s="281"/>
      <c r="K713" s="57">
        <f t="shared" ref="K713:T713" si="515">-K152</f>
        <v>-8</v>
      </c>
      <c r="L713" s="57">
        <f t="shared" si="515"/>
        <v>-8.480268490085729</v>
      </c>
      <c r="M713" s="57">
        <f t="shared" si="515"/>
        <v>-8.9893692079926115</v>
      </c>
      <c r="N713" s="57">
        <f t="shared" si="515"/>
        <v>-9.5290330550358302</v>
      </c>
      <c r="O713" s="57">
        <f t="shared" si="515"/>
        <v>-10.101094844700713</v>
      </c>
      <c r="P713" s="57">
        <f t="shared" si="515"/>
        <v>-10.707499540860356</v>
      </c>
      <c r="Q713" s="57">
        <f t="shared" si="515"/>
        <v>-11.350308870495686</v>
      </c>
      <c r="R713" s="57">
        <f t="shared" si="515"/>
        <v>-12.031708333400639</v>
      </c>
      <c r="S713" s="57">
        <f t="shared" si="515"/>
        <v>-12.754014632704914</v>
      </c>
      <c r="T713" s="57">
        <f t="shared" si="515"/>
        <v>-13.519683551477474</v>
      </c>
    </row>
    <row r="714" spans="2:20" s="35" customFormat="1" ht="13.5" customHeight="1" outlineLevel="1">
      <c r="B714" s="62" t="s">
        <v>331</v>
      </c>
      <c r="C714" s="38"/>
      <c r="D714" s="38"/>
      <c r="E714" s="38"/>
      <c r="F714" s="57">
        <f ca="1">-F166</f>
        <v>-8.1937499999999996</v>
      </c>
      <c r="G714" s="57">
        <f ca="1">-G166</f>
        <v>-8.1937499999999996</v>
      </c>
      <c r="H714" s="57">
        <f ca="1">-H166</f>
        <v>-8.1937499999999996</v>
      </c>
      <c r="J714" s="281"/>
      <c r="K714" s="57">
        <f t="shared" ref="K714:T714" ca="1" si="516">-K166</f>
        <v>-17.689999999999998</v>
      </c>
      <c r="L714" s="57">
        <f t="shared" ca="1" si="516"/>
        <v>-14.179539896097733</v>
      </c>
      <c r="M714" s="57">
        <f t="shared" ca="1" si="516"/>
        <v>-13.885563897175572</v>
      </c>
      <c r="N714" s="57">
        <f t="shared" ca="1" si="516"/>
        <v>-13.435857045120962</v>
      </c>
      <c r="O714" s="57">
        <f t="shared" ca="1" si="516"/>
        <v>-12.9224862041797</v>
      </c>
      <c r="P714" s="57">
        <f t="shared" ca="1" si="516"/>
        <v>-12.193785315675456</v>
      </c>
      <c r="Q714" s="57">
        <f t="shared" ca="1" si="516"/>
        <v>-6.7432546563040612</v>
      </c>
      <c r="R714" s="57">
        <f t="shared" ca="1" si="516"/>
        <v>-5.8015098019141442</v>
      </c>
      <c r="S714" s="57">
        <f t="shared" ca="1" si="516"/>
        <v>5.9503564976399073</v>
      </c>
      <c r="T714" s="57">
        <f t="shared" ca="1" si="516"/>
        <v>7.2376530438601367</v>
      </c>
    </row>
    <row r="715" spans="2:20" s="35" customFormat="1" ht="13.5" customHeight="1" outlineLevel="1">
      <c r="B715" s="38" t="s">
        <v>332</v>
      </c>
      <c r="C715" s="38"/>
      <c r="D715" s="38"/>
      <c r="E715" s="38"/>
      <c r="F715" s="57">
        <f>-F376*(1-$E379)</f>
        <v>0</v>
      </c>
      <c r="G715" s="57">
        <f>-G376*(1-$E379)</f>
        <v>0</v>
      </c>
      <c r="H715" s="57">
        <f>-H376*(1-$E379)</f>
        <v>0</v>
      </c>
      <c r="J715" s="281"/>
      <c r="K715" s="57">
        <f t="shared" ref="K715:T715" si="517">-K376*(1-$E379)</f>
        <v>0</v>
      </c>
      <c r="L715" s="57">
        <f t="shared" si="517"/>
        <v>0</v>
      </c>
      <c r="M715" s="57">
        <f t="shared" si="517"/>
        <v>0</v>
      </c>
      <c r="N715" s="57">
        <f t="shared" si="517"/>
        <v>0</v>
      </c>
      <c r="O715" s="57">
        <f t="shared" si="517"/>
        <v>0</v>
      </c>
      <c r="P715" s="57">
        <f t="shared" si="517"/>
        <v>0</v>
      </c>
      <c r="Q715" s="57">
        <f t="shared" si="517"/>
        <v>0</v>
      </c>
      <c r="R715" s="57">
        <f t="shared" si="517"/>
        <v>0</v>
      </c>
      <c r="S715" s="57">
        <f t="shared" si="517"/>
        <v>0</v>
      </c>
      <c r="T715" s="57">
        <f t="shared" si="517"/>
        <v>0</v>
      </c>
    </row>
    <row r="716" spans="2:20" s="35" customFormat="1" ht="13.5" customHeight="1" outlineLevel="1">
      <c r="B716" s="296" t="s">
        <v>333</v>
      </c>
      <c r="C716" s="38"/>
      <c r="D716" s="38"/>
      <c r="E716" s="38"/>
      <c r="F716" s="57">
        <f>-F169</f>
        <v>0</v>
      </c>
      <c r="G716" s="57">
        <f>-G169</f>
        <v>0</v>
      </c>
      <c r="H716" s="57">
        <f>-H169</f>
        <v>0</v>
      </c>
      <c r="J716" s="281"/>
      <c r="K716" s="57">
        <f t="shared" ref="K716:T716" si="518">-K169</f>
        <v>0</v>
      </c>
      <c r="L716" s="57">
        <f t="shared" si="518"/>
        <v>0</v>
      </c>
      <c r="M716" s="57">
        <f t="shared" si="518"/>
        <v>0</v>
      </c>
      <c r="N716" s="57">
        <f t="shared" si="518"/>
        <v>0</v>
      </c>
      <c r="O716" s="57">
        <f t="shared" si="518"/>
        <v>0</v>
      </c>
      <c r="P716" s="57">
        <f t="shared" si="518"/>
        <v>0</v>
      </c>
      <c r="Q716" s="57">
        <f t="shared" si="518"/>
        <v>0</v>
      </c>
      <c r="R716" s="57">
        <f t="shared" si="518"/>
        <v>0</v>
      </c>
      <c r="S716" s="57">
        <f t="shared" si="518"/>
        <v>0</v>
      </c>
      <c r="T716" s="57">
        <f t="shared" si="518"/>
        <v>0</v>
      </c>
    </row>
    <row r="717" spans="2:20" s="35" customFormat="1" ht="13.5" customHeight="1" outlineLevel="1">
      <c r="B717" s="52" t="s">
        <v>534</v>
      </c>
      <c r="C717" s="52"/>
      <c r="D717" s="52"/>
      <c r="E717" s="52"/>
      <c r="F717" s="297">
        <f ca="1">SUM(F710:F716)</f>
        <v>13.606250000000001</v>
      </c>
      <c r="G717" s="297">
        <f t="shared" ref="G717:H717" ca="1" si="519">SUM(G710:G716)</f>
        <v>14.00625</v>
      </c>
      <c r="H717" s="297">
        <f t="shared" ca="1" si="519"/>
        <v>14.406250000000002</v>
      </c>
      <c r="I717" s="297"/>
      <c r="J717" s="297"/>
      <c r="K717" s="297">
        <f t="shared" ref="K717:T717" ca="1" si="520">SUM(K710:K716)</f>
        <v>82.309999999999988</v>
      </c>
      <c r="L717" s="297">
        <f t="shared" ca="1" si="520"/>
        <v>67.789888909304238</v>
      </c>
      <c r="M717" s="297">
        <f t="shared" ca="1" si="520"/>
        <v>74.44762388206243</v>
      </c>
      <c r="N717" s="297">
        <f t="shared" ca="1" si="520"/>
        <v>81.643128822157308</v>
      </c>
      <c r="O717" s="297">
        <f t="shared" ca="1" si="520"/>
        <v>89.307272033909598</v>
      </c>
      <c r="P717" s="297">
        <f t="shared" ca="1" si="520"/>
        <v>119.5071018022218</v>
      </c>
      <c r="Q717" s="297">
        <f t="shared" ca="1" si="520"/>
        <v>132.99274908203483</v>
      </c>
      <c r="R717" s="297">
        <f t="shared" ca="1" si="520"/>
        <v>144.59484436559384</v>
      </c>
      <c r="S717" s="297">
        <f t="shared" ca="1" si="520"/>
        <v>165.37553940645131</v>
      </c>
      <c r="T717" s="297">
        <f t="shared" ca="1" si="520"/>
        <v>176.2336974373286</v>
      </c>
    </row>
    <row r="718" spans="2:20" s="35" customFormat="1" ht="13.5" customHeight="1" outlineLevel="1">
      <c r="J718" s="281"/>
      <c r="K718" s="281"/>
      <c r="L718" s="281"/>
      <c r="M718" s="281"/>
      <c r="N718" s="281"/>
      <c r="O718" s="281"/>
      <c r="P718" s="281"/>
      <c r="Q718" s="281"/>
      <c r="R718" s="281"/>
      <c r="S718" s="281"/>
      <c r="T718" s="281"/>
    </row>
    <row r="719" spans="2:20" s="35" customFormat="1" ht="13.5" customHeight="1" outlineLevel="1">
      <c r="B719" s="38" t="s">
        <v>535</v>
      </c>
      <c r="C719" s="78"/>
      <c r="D719" s="78"/>
      <c r="E719" s="78"/>
      <c r="F719" s="128">
        <f ca="1">MAX(0,F717*F706)</f>
        <v>4.762228318750001</v>
      </c>
      <c r="G719" s="128">
        <f ca="1">MAX(0,G717*G706)</f>
        <v>4.9022295187500005</v>
      </c>
      <c r="H719" s="128">
        <f ca="1">MAX(0,H717*H706)</f>
        <v>5.0422307187500017</v>
      </c>
      <c r="J719" s="281"/>
      <c r="K719" s="128">
        <f t="shared" ref="K719:T719" ca="1" si="521">MAX(0,K717*K706)</f>
        <v>28.808746930000002</v>
      </c>
      <c r="L719" s="128">
        <f t="shared" ca="1" si="521"/>
        <v>23.726664487923216</v>
      </c>
      <c r="M719" s="128">
        <f t="shared" ca="1" si="521"/>
        <v>26.0568917015935</v>
      </c>
      <c r="N719" s="128">
        <f t="shared" ca="1" si="521"/>
        <v>28.575340017141528</v>
      </c>
      <c r="O719" s="128">
        <f t="shared" ca="1" si="521"/>
        <v>31.257813133684468</v>
      </c>
      <c r="P719" s="128">
        <f t="shared" ca="1" si="521"/>
        <v>41.827844152083046</v>
      </c>
      <c r="Q719" s="128">
        <f t="shared" ca="1" si="521"/>
        <v>46.547861156959449</v>
      </c>
      <c r="R719" s="128">
        <f t="shared" ca="1" si="521"/>
        <v>50.608629312490955</v>
      </c>
      <c r="S719" s="128">
        <f t="shared" ca="1" si="521"/>
        <v>57.88193491887619</v>
      </c>
      <c r="T719" s="128">
        <f t="shared" ca="1" si="521"/>
        <v>61.68232280415733</v>
      </c>
    </row>
    <row r="720" spans="2:20" s="35" customFormat="1" ht="13.5" customHeight="1" outlineLevel="1">
      <c r="B720" s="38" t="s">
        <v>334</v>
      </c>
      <c r="C720" s="38"/>
      <c r="D720" s="38"/>
      <c r="E720" s="38"/>
      <c r="F720" s="57">
        <f t="shared" ref="F720:H720" ca="1" si="522">F721-F719</f>
        <v>0</v>
      </c>
      <c r="G720" s="57">
        <f t="shared" ca="1" si="522"/>
        <v>0</v>
      </c>
      <c r="H720" s="57">
        <f t="shared" ca="1" si="522"/>
        <v>0</v>
      </c>
      <c r="I720" s="57"/>
      <c r="J720" s="57"/>
      <c r="K720" s="57">
        <f t="shared" ref="K720:T720" ca="1" si="523">K721-K719</f>
        <v>-0.3800032571428531</v>
      </c>
      <c r="L720" s="57">
        <f t="shared" ca="1" si="523"/>
        <v>-0.38000325714286021</v>
      </c>
      <c r="M720" s="57">
        <f t="shared" ca="1" si="523"/>
        <v>-0.38000325714285665</v>
      </c>
      <c r="N720" s="57">
        <f t="shared" ca="1" si="523"/>
        <v>-0.38000325714286021</v>
      </c>
      <c r="O720" s="57">
        <f t="shared" ca="1" si="523"/>
        <v>-0.38000325714286021</v>
      </c>
      <c r="P720" s="57">
        <f t="shared" ca="1" si="523"/>
        <v>-0.18750160714284902</v>
      </c>
      <c r="Q720" s="57">
        <f t="shared" ca="1" si="523"/>
        <v>-0.18750160714284902</v>
      </c>
      <c r="R720" s="57">
        <f t="shared" ca="1" si="523"/>
        <v>0</v>
      </c>
      <c r="S720" s="57">
        <f t="shared" ca="1" si="523"/>
        <v>0</v>
      </c>
      <c r="T720" s="57">
        <f t="shared" ca="1" si="523"/>
        <v>0</v>
      </c>
    </row>
    <row r="721" spans="1:20" s="35" customFormat="1" ht="13.5" customHeight="1" outlineLevel="1">
      <c r="B721" s="52" t="s">
        <v>335</v>
      </c>
      <c r="C721" s="52"/>
      <c r="D721" s="52"/>
      <c r="E721" s="52"/>
      <c r="F721" s="113">
        <f ca="1">F171</f>
        <v>4.762228318750001</v>
      </c>
      <c r="G721" s="113">
        <f ca="1">G171</f>
        <v>4.9022295187500005</v>
      </c>
      <c r="H721" s="113">
        <f ca="1">H171</f>
        <v>5.0422307187500017</v>
      </c>
      <c r="I721" s="113"/>
      <c r="J721" s="113"/>
      <c r="K721" s="113">
        <f t="shared" ref="K721:T721" ca="1" si="524">K171</f>
        <v>28.428743672857149</v>
      </c>
      <c r="L721" s="113">
        <f t="shared" ca="1" si="524"/>
        <v>23.346661230780356</v>
      </c>
      <c r="M721" s="113">
        <f t="shared" ca="1" si="524"/>
        <v>25.676888444450643</v>
      </c>
      <c r="N721" s="113">
        <f t="shared" ca="1" si="524"/>
        <v>28.195336759998668</v>
      </c>
      <c r="O721" s="113">
        <f t="shared" ca="1" si="524"/>
        <v>30.877809876541608</v>
      </c>
      <c r="P721" s="113">
        <f t="shared" ca="1" si="524"/>
        <v>41.640342544940196</v>
      </c>
      <c r="Q721" s="113">
        <f t="shared" ca="1" si="524"/>
        <v>46.3603595498166</v>
      </c>
      <c r="R721" s="113">
        <f t="shared" ca="1" si="524"/>
        <v>50.608629312490955</v>
      </c>
      <c r="S721" s="113">
        <f t="shared" ca="1" si="524"/>
        <v>57.88193491887619</v>
      </c>
      <c r="T721" s="113">
        <f t="shared" ca="1" si="524"/>
        <v>61.68232280415733</v>
      </c>
    </row>
    <row r="722" spans="1:20" s="35" customFormat="1" ht="13.5" customHeight="1" outlineLevel="1">
      <c r="B722" s="38"/>
      <c r="C722" s="38"/>
      <c r="D722" s="38"/>
      <c r="E722" s="38"/>
      <c r="J722" s="281"/>
      <c r="K722" s="281"/>
      <c r="L722" s="281"/>
      <c r="M722" s="281"/>
      <c r="N722" s="281"/>
      <c r="O722" s="281"/>
      <c r="P722" s="281"/>
      <c r="Q722" s="281"/>
      <c r="R722" s="281"/>
      <c r="S722" s="281"/>
      <c r="T722" s="281"/>
    </row>
    <row r="723" spans="1:20" s="35" customFormat="1" ht="13.5" customHeight="1" outlineLevel="1">
      <c r="B723" s="38" t="s">
        <v>336</v>
      </c>
      <c r="C723" s="38"/>
      <c r="D723" s="246"/>
      <c r="E723" s="38"/>
      <c r="F723" s="128">
        <f t="shared" ref="F723" si="525">E725</f>
        <v>-8.8279999999999994</v>
      </c>
      <c r="G723" s="128">
        <f t="shared" ref="G723" ca="1" si="526">F725</f>
        <v>-8.8279999999999994</v>
      </c>
      <c r="H723" s="128">
        <f t="shared" ref="H723" ca="1" si="527">G725</f>
        <v>-8.8279999999999994</v>
      </c>
      <c r="I723" s="128"/>
      <c r="J723" s="128"/>
      <c r="K723" s="128">
        <f t="shared" ref="K723" ca="1" si="528">J725</f>
        <v>37.006372811171865</v>
      </c>
      <c r="L723" s="128">
        <f t="shared" ref="L723" ca="1" si="529">K725</f>
        <v>36.626369554029012</v>
      </c>
      <c r="M723" s="128">
        <f t="shared" ref="M723" ca="1" si="530">L725</f>
        <v>36.246366296886151</v>
      </c>
      <c r="N723" s="128">
        <f t="shared" ref="N723" ca="1" si="531">M725</f>
        <v>35.866363039743291</v>
      </c>
      <c r="O723" s="128">
        <f t="shared" ref="O723" ca="1" si="532">N725</f>
        <v>35.486359782600431</v>
      </c>
      <c r="P723" s="128">
        <f t="shared" ref="P723" ca="1" si="533">O725</f>
        <v>35.106356525457571</v>
      </c>
      <c r="Q723" s="128">
        <f t="shared" ref="Q723" ca="1" si="534">P725</f>
        <v>34.918854918314722</v>
      </c>
      <c r="R723" s="128">
        <f t="shared" ref="R723" ca="1" si="535">Q725</f>
        <v>34.731353311171873</v>
      </c>
      <c r="S723" s="128">
        <f t="shared" ref="S723" ca="1" si="536">R725</f>
        <v>34.731353311171873</v>
      </c>
      <c r="T723" s="128">
        <f t="shared" ref="T723" ca="1" si="537">S725</f>
        <v>34.731353311171873</v>
      </c>
    </row>
    <row r="724" spans="1:20" s="35" customFormat="1" ht="13.5" customHeight="1" outlineLevel="1">
      <c r="B724" s="38" t="s">
        <v>337</v>
      </c>
      <c r="C724" s="38"/>
      <c r="D724" s="246"/>
      <c r="E724" s="38"/>
      <c r="F724" s="57">
        <f t="shared" ref="F724:H724" ca="1" si="538">F720</f>
        <v>0</v>
      </c>
      <c r="G724" s="57">
        <f t="shared" ca="1" si="538"/>
        <v>0</v>
      </c>
      <c r="H724" s="57">
        <f t="shared" ca="1" si="538"/>
        <v>0</v>
      </c>
      <c r="I724" s="57"/>
      <c r="J724" s="57"/>
      <c r="K724" s="57">
        <f t="shared" ref="K724:T724" ca="1" si="539">K720</f>
        <v>-0.3800032571428531</v>
      </c>
      <c r="L724" s="57">
        <f t="shared" ca="1" si="539"/>
        <v>-0.38000325714286021</v>
      </c>
      <c r="M724" s="57">
        <f t="shared" ca="1" si="539"/>
        <v>-0.38000325714285665</v>
      </c>
      <c r="N724" s="57">
        <f t="shared" ca="1" si="539"/>
        <v>-0.38000325714286021</v>
      </c>
      <c r="O724" s="57">
        <f t="shared" ca="1" si="539"/>
        <v>-0.38000325714286021</v>
      </c>
      <c r="P724" s="57">
        <f t="shared" ca="1" si="539"/>
        <v>-0.18750160714284902</v>
      </c>
      <c r="Q724" s="57">
        <f t="shared" ca="1" si="539"/>
        <v>-0.18750160714284902</v>
      </c>
      <c r="R724" s="57">
        <f t="shared" ca="1" si="539"/>
        <v>0</v>
      </c>
      <c r="S724" s="57">
        <f t="shared" ca="1" si="539"/>
        <v>0</v>
      </c>
      <c r="T724" s="57">
        <f t="shared" ca="1" si="539"/>
        <v>0</v>
      </c>
    </row>
    <row r="725" spans="1:20" s="35" customFormat="1" ht="13.5" customHeight="1" outlineLevel="1">
      <c r="B725" s="298" t="s">
        <v>338</v>
      </c>
      <c r="C725" s="298"/>
      <c r="D725" s="298"/>
      <c r="E725" s="299">
        <f>E258</f>
        <v>-8.8279999999999994</v>
      </c>
      <c r="F725" s="300">
        <f t="shared" ref="F725:H725" ca="1" si="540">SUM(F723:F724)</f>
        <v>-8.8279999999999994</v>
      </c>
      <c r="G725" s="300">
        <f t="shared" ca="1" si="540"/>
        <v>-8.8279999999999994</v>
      </c>
      <c r="H725" s="300">
        <f t="shared" ca="1" si="540"/>
        <v>-8.8279999999999994</v>
      </c>
      <c r="I725" s="300"/>
      <c r="J725" s="299">
        <f ca="1">J258</f>
        <v>37.006372811171865</v>
      </c>
      <c r="K725" s="300">
        <f t="shared" ref="K725:T725" ca="1" si="541">SUM(K723:K724)</f>
        <v>36.626369554029012</v>
      </c>
      <c r="L725" s="300">
        <f t="shared" ca="1" si="541"/>
        <v>36.246366296886151</v>
      </c>
      <c r="M725" s="300">
        <f t="shared" ca="1" si="541"/>
        <v>35.866363039743291</v>
      </c>
      <c r="N725" s="300">
        <f t="shared" ca="1" si="541"/>
        <v>35.486359782600431</v>
      </c>
      <c r="O725" s="300">
        <f t="shared" ca="1" si="541"/>
        <v>35.106356525457571</v>
      </c>
      <c r="P725" s="300">
        <f t="shared" ca="1" si="541"/>
        <v>34.918854918314722</v>
      </c>
      <c r="Q725" s="300">
        <f t="shared" ca="1" si="541"/>
        <v>34.731353311171873</v>
      </c>
      <c r="R725" s="300">
        <f t="shared" ca="1" si="541"/>
        <v>34.731353311171873</v>
      </c>
      <c r="S725" s="300">
        <f t="shared" ca="1" si="541"/>
        <v>34.731353311171873</v>
      </c>
      <c r="T725" s="300">
        <f t="shared" ca="1" si="541"/>
        <v>34.731353311171873</v>
      </c>
    </row>
    <row r="726" spans="1:20" s="35" customFormat="1" ht="5.0999999999999996" customHeight="1" outlineLevel="1" thickBot="1">
      <c r="B726" s="114"/>
      <c r="C726" s="114"/>
      <c r="D726" s="224"/>
      <c r="E726" s="224"/>
      <c r="F726" s="225"/>
      <c r="G726" s="225"/>
      <c r="H726" s="225"/>
      <c r="I726" s="225"/>
      <c r="J726" s="224"/>
      <c r="K726" s="225"/>
      <c r="L726" s="225"/>
      <c r="M726" s="225"/>
      <c r="N726" s="225"/>
      <c r="O726" s="225"/>
      <c r="P726" s="225"/>
      <c r="Q726" s="225"/>
      <c r="R726" s="225"/>
      <c r="S726" s="225"/>
      <c r="T726" s="225"/>
    </row>
    <row r="727" spans="1:20" ht="13.5" customHeight="1" outlineLevel="1"/>
    <row r="728" spans="1:20" ht="13.5" customHeight="1" outlineLevel="1" thickBot="1"/>
    <row r="729" spans="1:20" s="35" customFormat="1" ht="20.100000000000001" customHeight="1" thickTop="1">
      <c r="A729" s="41" t="s">
        <v>313</v>
      </c>
      <c r="B729" s="42" t="s">
        <v>346</v>
      </c>
      <c r="C729" s="43"/>
      <c r="D729" s="44"/>
      <c r="E729" s="44"/>
      <c r="F729" s="44"/>
      <c r="G729" s="44"/>
      <c r="H729" s="44"/>
      <c r="I729" s="44"/>
      <c r="J729" s="44"/>
      <c r="K729" s="44"/>
      <c r="L729" s="44"/>
      <c r="M729" s="44"/>
      <c r="N729" s="44"/>
      <c r="O729" s="44"/>
      <c r="P729" s="44"/>
      <c r="Q729" s="44"/>
      <c r="R729" s="44"/>
      <c r="S729" s="44"/>
      <c r="T729" s="44"/>
    </row>
    <row r="730" spans="1:20" s="35" customFormat="1" ht="5.0999999999999996" customHeight="1" outlineLevel="1">
      <c r="J730" s="281"/>
      <c r="K730" s="281"/>
      <c r="L730" s="281"/>
      <c r="M730" s="281"/>
      <c r="N730" s="281"/>
      <c r="O730" s="281"/>
      <c r="P730" s="281"/>
      <c r="Q730" s="281"/>
      <c r="R730" s="281"/>
      <c r="S730" s="281"/>
      <c r="T730" s="281"/>
    </row>
    <row r="731" spans="1:20" s="35" customFormat="1" ht="13.5" customHeight="1" outlineLevel="1">
      <c r="B731" s="46" t="s">
        <v>347</v>
      </c>
      <c r="C731" s="47"/>
      <c r="D731" s="47"/>
      <c r="E731" s="47"/>
      <c r="F731" s="47"/>
      <c r="G731" s="47"/>
      <c r="H731" s="47"/>
      <c r="I731" s="47"/>
      <c r="J731" s="47"/>
      <c r="K731" s="47"/>
      <c r="L731" s="47"/>
      <c r="M731" s="47"/>
      <c r="N731" s="47"/>
      <c r="O731" s="47"/>
      <c r="P731" s="47"/>
      <c r="Q731" s="47"/>
      <c r="R731" s="47"/>
      <c r="S731" s="47"/>
      <c r="T731" s="48"/>
    </row>
    <row r="732" spans="1:20" ht="5.0999999999999996" customHeight="1" outlineLevel="1"/>
    <row r="733" spans="1:20" ht="13.5" customHeight="1" outlineLevel="1">
      <c r="B733" s="38" t="s">
        <v>348</v>
      </c>
      <c r="C733" s="301"/>
      <c r="E733" s="302">
        <f>P10</f>
        <v>12.81</v>
      </c>
    </row>
    <row r="734" spans="1:20" ht="13.5" customHeight="1" outlineLevel="1">
      <c r="B734" s="38" t="s">
        <v>107</v>
      </c>
      <c r="C734" s="301"/>
      <c r="E734" s="302">
        <f>P12</f>
        <v>16.012499999999999</v>
      </c>
    </row>
    <row r="735" spans="1:20" ht="13.5" customHeight="1" outlineLevel="1"/>
    <row r="736" spans="1:20" ht="13.5" customHeight="1" outlineLevel="1">
      <c r="B736" s="246"/>
      <c r="C736" s="246"/>
      <c r="E736" s="303" t="s">
        <v>349</v>
      </c>
      <c r="F736" s="303"/>
      <c r="G736" s="303"/>
      <c r="H736" s="303"/>
      <c r="I736" s="303" t="s">
        <v>350</v>
      </c>
      <c r="J736" s="303"/>
      <c r="K736" s="303"/>
    </row>
    <row r="737" spans="2:20" ht="13.5" customHeight="1" outlineLevel="1">
      <c r="B737" s="304"/>
      <c r="C737" s="246"/>
      <c r="E737" s="49" t="s">
        <v>2</v>
      </c>
      <c r="F737" s="49" t="s">
        <v>3</v>
      </c>
      <c r="G737" s="49" t="s">
        <v>366</v>
      </c>
      <c r="H737" s="49" t="s">
        <v>367</v>
      </c>
      <c r="I737" s="49" t="s">
        <v>2</v>
      </c>
      <c r="J737" s="49" t="s">
        <v>3</v>
      </c>
      <c r="K737" s="49" t="s">
        <v>4</v>
      </c>
    </row>
    <row r="738" spans="2:20" ht="13.5" customHeight="1" outlineLevel="1" thickBot="1">
      <c r="B738" s="122" t="s">
        <v>380</v>
      </c>
      <c r="C738" s="305"/>
      <c r="D738" s="305"/>
      <c r="E738" s="104" t="s">
        <v>19</v>
      </c>
      <c r="F738" s="104" t="s">
        <v>5</v>
      </c>
      <c r="G738" s="104" t="s">
        <v>19</v>
      </c>
      <c r="H738" s="104" t="s">
        <v>365</v>
      </c>
      <c r="I738" s="104" t="s">
        <v>19</v>
      </c>
      <c r="J738" s="104" t="s">
        <v>5</v>
      </c>
      <c r="K738" s="104" t="s">
        <v>351</v>
      </c>
    </row>
    <row r="739" spans="2:20" ht="5.0999999999999996" customHeight="1" outlineLevel="1">
      <c r="B739" s="246"/>
      <c r="C739" s="246"/>
      <c r="E739" s="246"/>
      <c r="F739" s="246"/>
      <c r="I739" s="246"/>
      <c r="J739" s="246"/>
      <c r="K739" s="306"/>
    </row>
    <row r="740" spans="2:20" ht="13.5" customHeight="1" outlineLevel="1">
      <c r="B740" s="307" t="s">
        <v>7</v>
      </c>
      <c r="C740" s="246"/>
      <c r="E740" s="427">
        <v>0.40200000000000002</v>
      </c>
      <c r="F740" s="428">
        <v>9.1300000000000008</v>
      </c>
      <c r="G740" s="60">
        <f>IF(F740&gt;$E$734,0,E740)</f>
        <v>0.40200000000000002</v>
      </c>
      <c r="H740" s="105">
        <f t="shared" ref="H740:H749" si="542">F740*G740</f>
        <v>3.6702600000000007</v>
      </c>
      <c r="I740" s="427">
        <v>0.20899999999999999</v>
      </c>
      <c r="J740" s="428">
        <v>9.0399999999999991</v>
      </c>
      <c r="K740" s="60">
        <f t="shared" ref="K740:K749" si="543">IF($J740&gt;$E$733,0,$I740-$I740*$J740/$E$733)</f>
        <v>6.1508977361436401E-2</v>
      </c>
    </row>
    <row r="741" spans="2:20" ht="13.5" customHeight="1" outlineLevel="1">
      <c r="B741" s="307" t="s">
        <v>8</v>
      </c>
      <c r="C741" s="246"/>
      <c r="E741" s="427">
        <v>0.12</v>
      </c>
      <c r="F741" s="429">
        <v>9.93</v>
      </c>
      <c r="G741" s="60">
        <f t="shared" ref="G741:G749" si="544">IF(F741&gt;$E$734,0,E741)</f>
        <v>0.12</v>
      </c>
      <c r="H741" s="80">
        <f t="shared" si="542"/>
        <v>1.1916</v>
      </c>
      <c r="I741" s="427">
        <v>5.8999999999999997E-2</v>
      </c>
      <c r="J741" s="429">
        <v>10.029999999999999</v>
      </c>
      <c r="K741" s="60">
        <f t="shared" si="543"/>
        <v>1.2804059328649496E-2</v>
      </c>
    </row>
    <row r="742" spans="2:20" ht="13.5" customHeight="1" outlineLevel="1">
      <c r="B742" s="307" t="s">
        <v>9</v>
      </c>
      <c r="C742" s="246"/>
      <c r="E742" s="427">
        <v>0.46600000000000003</v>
      </c>
      <c r="F742" s="429">
        <v>11.6</v>
      </c>
      <c r="G742" s="60">
        <f t="shared" si="544"/>
        <v>0.46600000000000003</v>
      </c>
      <c r="H742" s="80">
        <f t="shared" si="542"/>
        <v>5.4055999999999997</v>
      </c>
      <c r="I742" s="427">
        <v>0.221</v>
      </c>
      <c r="J742" s="429">
        <v>11.53</v>
      </c>
      <c r="K742" s="60">
        <f t="shared" si="543"/>
        <v>2.2082747853239659E-2</v>
      </c>
    </row>
    <row r="743" spans="2:20" ht="13.5" customHeight="1" outlineLevel="1">
      <c r="B743" s="307" t="s">
        <v>10</v>
      </c>
      <c r="C743" s="246"/>
      <c r="E743" s="427">
        <v>0.3</v>
      </c>
      <c r="F743" s="429">
        <v>12.64</v>
      </c>
      <c r="G743" s="60">
        <f t="shared" si="544"/>
        <v>0.3</v>
      </c>
      <c r="H743" s="80">
        <f t="shared" si="542"/>
        <v>3.7919999999999998</v>
      </c>
      <c r="I743" s="427">
        <v>0.3</v>
      </c>
      <c r="J743" s="429">
        <v>12.69</v>
      </c>
      <c r="K743" s="60">
        <f t="shared" si="543"/>
        <v>2.8103044496487484E-3</v>
      </c>
    </row>
    <row r="744" spans="2:20" ht="13.5" customHeight="1" outlineLevel="1">
      <c r="B744" s="307" t="s">
        <v>11</v>
      </c>
      <c r="C744" s="246"/>
      <c r="E744" s="427">
        <v>0.52</v>
      </c>
      <c r="F744" s="429">
        <v>19.48</v>
      </c>
      <c r="G744" s="60">
        <f t="shared" si="544"/>
        <v>0</v>
      </c>
      <c r="H744" s="80">
        <f t="shared" si="542"/>
        <v>0</v>
      </c>
      <c r="I744" s="427">
        <v>0.26900000000000002</v>
      </c>
      <c r="J744" s="429">
        <v>19.54</v>
      </c>
      <c r="K744" s="60">
        <f t="shared" si="543"/>
        <v>0</v>
      </c>
    </row>
    <row r="745" spans="2:20" ht="13.5" customHeight="1" outlineLevel="1">
      <c r="B745" s="307" t="s">
        <v>12</v>
      </c>
      <c r="C745" s="246"/>
      <c r="E745" s="427">
        <v>0.42199999999999999</v>
      </c>
      <c r="F745" s="429">
        <v>27.03</v>
      </c>
      <c r="G745" s="60">
        <f t="shared" si="544"/>
        <v>0</v>
      </c>
      <c r="H745" s="80">
        <f t="shared" si="542"/>
        <v>0</v>
      </c>
      <c r="I745" s="427">
        <v>0.21099999999999999</v>
      </c>
      <c r="J745" s="429">
        <v>27.06</v>
      </c>
      <c r="K745" s="60">
        <f t="shared" si="543"/>
        <v>0</v>
      </c>
    </row>
    <row r="746" spans="2:20" ht="13.5" customHeight="1" outlineLevel="1">
      <c r="B746" s="307" t="s">
        <v>13</v>
      </c>
      <c r="C746" s="246"/>
      <c r="E746" s="427">
        <v>0.375</v>
      </c>
      <c r="F746" s="429">
        <v>45.78</v>
      </c>
      <c r="G746" s="60">
        <f t="shared" si="544"/>
        <v>0</v>
      </c>
      <c r="H746" s="80">
        <f t="shared" si="542"/>
        <v>0</v>
      </c>
      <c r="I746" s="427">
        <v>0.187</v>
      </c>
      <c r="J746" s="429">
        <v>45.75</v>
      </c>
      <c r="K746" s="60">
        <f t="shared" si="543"/>
        <v>0</v>
      </c>
    </row>
    <row r="747" spans="2:20" ht="13.5" customHeight="1" outlineLevel="1">
      <c r="B747" s="307" t="s">
        <v>14</v>
      </c>
      <c r="C747" s="246"/>
      <c r="E747" s="427">
        <v>0</v>
      </c>
      <c r="F747" s="429">
        <v>0</v>
      </c>
      <c r="G747" s="60">
        <f t="shared" si="544"/>
        <v>0</v>
      </c>
      <c r="H747" s="80">
        <f t="shared" si="542"/>
        <v>0</v>
      </c>
      <c r="I747" s="427">
        <v>0</v>
      </c>
      <c r="J747" s="429">
        <v>0</v>
      </c>
      <c r="K747" s="60">
        <f t="shared" si="543"/>
        <v>0</v>
      </c>
    </row>
    <row r="748" spans="2:20" ht="13.5" customHeight="1" outlineLevel="1">
      <c r="B748" s="307" t="s">
        <v>15</v>
      </c>
      <c r="C748" s="246"/>
      <c r="E748" s="427">
        <v>0</v>
      </c>
      <c r="F748" s="429">
        <v>0</v>
      </c>
      <c r="G748" s="60">
        <f t="shared" si="544"/>
        <v>0</v>
      </c>
      <c r="H748" s="80">
        <f t="shared" si="542"/>
        <v>0</v>
      </c>
      <c r="I748" s="427">
        <v>0</v>
      </c>
      <c r="J748" s="429">
        <v>0</v>
      </c>
      <c r="K748" s="60">
        <f t="shared" si="543"/>
        <v>0</v>
      </c>
    </row>
    <row r="749" spans="2:20" ht="13.5" customHeight="1" outlineLevel="1">
      <c r="B749" s="307" t="s">
        <v>16</v>
      </c>
      <c r="C749" s="246"/>
      <c r="E749" s="427">
        <v>0</v>
      </c>
      <c r="F749" s="429">
        <v>0</v>
      </c>
      <c r="G749" s="60">
        <f t="shared" si="544"/>
        <v>0</v>
      </c>
      <c r="H749" s="80">
        <f t="shared" si="542"/>
        <v>0</v>
      </c>
      <c r="I749" s="427">
        <v>0</v>
      </c>
      <c r="J749" s="429">
        <v>0</v>
      </c>
      <c r="K749" s="60">
        <f t="shared" si="543"/>
        <v>0</v>
      </c>
    </row>
    <row r="750" spans="2:20" ht="13.5" customHeight="1" outlineLevel="1">
      <c r="B750" s="52" t="s">
        <v>17</v>
      </c>
      <c r="C750" s="52"/>
      <c r="D750" s="52"/>
      <c r="E750" s="52"/>
      <c r="F750" s="70"/>
      <c r="G750" s="70">
        <f>SUM(G740:G749)</f>
        <v>1.288</v>
      </c>
      <c r="H750" s="113">
        <f>SUM(H740:H749)</f>
        <v>14.05946</v>
      </c>
      <c r="I750" s="70"/>
      <c r="J750" s="70"/>
      <c r="K750" s="70">
        <f>SUM(K740:K749)</f>
        <v>9.9206088992974312E-2</v>
      </c>
    </row>
    <row r="751" spans="2:20" ht="13.5" customHeight="1" outlineLevel="1"/>
    <row r="752" spans="2:20" s="35" customFormat="1" ht="13.5" customHeight="1" outlineLevel="1">
      <c r="B752" s="46" t="s">
        <v>352</v>
      </c>
      <c r="C752" s="47"/>
      <c r="D752" s="47"/>
      <c r="E752" s="47"/>
      <c r="F752" s="47"/>
      <c r="G752" s="47"/>
      <c r="H752" s="47"/>
      <c r="I752" s="47"/>
      <c r="J752" s="47"/>
      <c r="K752" s="47"/>
      <c r="L752" s="47"/>
      <c r="M752" s="47"/>
      <c r="N752" s="47"/>
      <c r="O752" s="47"/>
      <c r="P752" s="47"/>
      <c r="Q752" s="47"/>
      <c r="R752" s="47"/>
      <c r="S752" s="47"/>
      <c r="T752" s="48"/>
    </row>
    <row r="753" spans="2:20" ht="5.0999999999999996" customHeight="1" outlineLevel="1"/>
    <row r="754" spans="2:20" s="193" customFormat="1" ht="13.5" customHeight="1" outlineLevel="1">
      <c r="E754" s="195" t="s">
        <v>59</v>
      </c>
      <c r="F754" s="195" t="s">
        <v>167</v>
      </c>
      <c r="G754" s="195"/>
      <c r="H754" s="195"/>
      <c r="I754" s="195"/>
      <c r="J754" s="119" t="s">
        <v>20</v>
      </c>
      <c r="K754" s="195" t="str">
        <f>K$140</f>
        <v>Fiscal Years Ending December 31,</v>
      </c>
      <c r="L754" s="195"/>
      <c r="M754" s="195"/>
      <c r="N754" s="195"/>
      <c r="O754" s="195"/>
      <c r="P754" s="195"/>
      <c r="Q754" s="195"/>
      <c r="R754" s="195"/>
      <c r="S754" s="195"/>
      <c r="T754" s="195"/>
    </row>
    <row r="755" spans="2:20" s="193" customFormat="1" ht="14.4" outlineLevel="1">
      <c r="E755" s="102" t="str">
        <f>E$141</f>
        <v>MRQ</v>
      </c>
      <c r="F755" s="102" t="str">
        <f>F$141</f>
        <v>MRQ+1</v>
      </c>
      <c r="G755" s="102" t="str">
        <f t="shared" ref="G755:H755" si="545">G$141</f>
        <v>MRQ+2</v>
      </c>
      <c r="H755" s="102" t="str">
        <f t="shared" si="545"/>
        <v>MRQ+3</v>
      </c>
      <c r="I755" s="197" t="s">
        <v>441</v>
      </c>
      <c r="J755" s="119" t="s">
        <v>166</v>
      </c>
      <c r="K755" s="102">
        <f>K$141</f>
        <v>1</v>
      </c>
      <c r="L755" s="102">
        <f>L$141</f>
        <v>2</v>
      </c>
      <c r="M755" s="102">
        <f t="shared" ref="M755:T755" si="546">M$141</f>
        <v>3</v>
      </c>
      <c r="N755" s="102">
        <f t="shared" si="546"/>
        <v>4</v>
      </c>
      <c r="O755" s="102">
        <f t="shared" si="546"/>
        <v>5</v>
      </c>
      <c r="P755" s="102">
        <f t="shared" si="546"/>
        <v>6</v>
      </c>
      <c r="Q755" s="102">
        <f t="shared" si="546"/>
        <v>7</v>
      </c>
      <c r="R755" s="102">
        <f t="shared" si="546"/>
        <v>8</v>
      </c>
      <c r="S755" s="102">
        <f t="shared" si="546"/>
        <v>9</v>
      </c>
      <c r="T755" s="102">
        <f t="shared" si="546"/>
        <v>10</v>
      </c>
    </row>
    <row r="756" spans="2:20" s="193" customFormat="1" ht="13.5" customHeight="1" outlineLevel="1" thickBot="1">
      <c r="B756" s="122" t="s">
        <v>201</v>
      </c>
      <c r="C756" s="199"/>
      <c r="D756" s="199"/>
      <c r="E756" s="200">
        <f>E$142</f>
        <v>45016</v>
      </c>
      <c r="F756" s="200">
        <f>F$142</f>
        <v>45107</v>
      </c>
      <c r="G756" s="200">
        <f t="shared" ref="G756:H756" si="547">G$142</f>
        <v>45199</v>
      </c>
      <c r="H756" s="200">
        <f t="shared" si="547"/>
        <v>45291</v>
      </c>
      <c r="I756" s="201" t="s">
        <v>433</v>
      </c>
      <c r="J756" s="200">
        <f>J$217</f>
        <v>45291</v>
      </c>
      <c r="K756" s="202">
        <f>K$142</f>
        <v>45657</v>
      </c>
      <c r="L756" s="202">
        <f>L$142</f>
        <v>46022</v>
      </c>
      <c r="M756" s="202">
        <f t="shared" ref="M756:T756" si="548">M$142</f>
        <v>46387</v>
      </c>
      <c r="N756" s="202">
        <f t="shared" si="548"/>
        <v>46752</v>
      </c>
      <c r="O756" s="202">
        <f t="shared" si="548"/>
        <v>47118</v>
      </c>
      <c r="P756" s="202">
        <f t="shared" si="548"/>
        <v>47483</v>
      </c>
      <c r="Q756" s="202">
        <f t="shared" si="548"/>
        <v>47848</v>
      </c>
      <c r="R756" s="202">
        <f t="shared" si="548"/>
        <v>48213</v>
      </c>
      <c r="S756" s="202">
        <f t="shared" si="548"/>
        <v>48579</v>
      </c>
      <c r="T756" s="202">
        <f t="shared" si="548"/>
        <v>48944</v>
      </c>
    </row>
    <row r="757" spans="2:20" ht="5.0999999999999996" customHeight="1" outlineLevel="1"/>
    <row r="758" spans="2:20" ht="13.5" customHeight="1" outlineLevel="1">
      <c r="B758" s="308" t="s">
        <v>98</v>
      </c>
    </row>
    <row r="759" spans="2:20" ht="13.5" customHeight="1" outlineLevel="1">
      <c r="B759" s="38" t="str">
        <f>B879</f>
        <v>Legacy debt</v>
      </c>
      <c r="E759" s="205">
        <f>E247</f>
        <v>230</v>
      </c>
      <c r="F759" s="54">
        <f>E759</f>
        <v>230</v>
      </c>
      <c r="G759" s="54">
        <f t="shared" ref="G759:H759" si="549">F759</f>
        <v>230</v>
      </c>
      <c r="H759" s="54">
        <f t="shared" si="549"/>
        <v>230</v>
      </c>
      <c r="J759" s="54">
        <f t="shared" ref="J759:T759" si="550">J466</f>
        <v>0</v>
      </c>
      <c r="K759" s="54">
        <f t="shared" ca="1" si="550"/>
        <v>0</v>
      </c>
      <c r="L759" s="54">
        <f t="shared" ca="1" si="550"/>
        <v>0</v>
      </c>
      <c r="M759" s="54">
        <f t="shared" ca="1" si="550"/>
        <v>0</v>
      </c>
      <c r="N759" s="54">
        <f t="shared" ca="1" si="550"/>
        <v>0</v>
      </c>
      <c r="O759" s="54">
        <f t="shared" ca="1" si="550"/>
        <v>0</v>
      </c>
      <c r="P759" s="54">
        <f t="shared" ca="1" si="550"/>
        <v>0</v>
      </c>
      <c r="Q759" s="54">
        <f t="shared" ca="1" si="550"/>
        <v>0</v>
      </c>
      <c r="R759" s="54">
        <f t="shared" ca="1" si="550"/>
        <v>0</v>
      </c>
      <c r="S759" s="54">
        <f t="shared" ca="1" si="550"/>
        <v>0</v>
      </c>
      <c r="T759" s="54">
        <f t="shared" ca="1" si="550"/>
        <v>0</v>
      </c>
    </row>
    <row r="760" spans="2:20" ht="13.5" customHeight="1" outlineLevel="1">
      <c r="B760" s="38" t="str">
        <f t="shared" ref="B760:B769" si="551">B881</f>
        <v>Term loan - A</v>
      </c>
      <c r="E760" s="407">
        <v>0</v>
      </c>
      <c r="F760" s="54">
        <f>E760</f>
        <v>0</v>
      </c>
      <c r="G760" s="54">
        <f t="shared" ref="G760:H760" si="552">F760</f>
        <v>0</v>
      </c>
      <c r="H760" s="54">
        <f t="shared" si="552"/>
        <v>0</v>
      </c>
      <c r="J760" s="54">
        <f t="shared" ref="J760:T760" si="553">J475</f>
        <v>50</v>
      </c>
      <c r="K760" s="54">
        <f t="shared" ca="1" si="553"/>
        <v>0</v>
      </c>
      <c r="L760" s="54">
        <f t="shared" ca="1" si="553"/>
        <v>0</v>
      </c>
      <c r="M760" s="54">
        <f t="shared" ca="1" si="553"/>
        <v>0</v>
      </c>
      <c r="N760" s="54">
        <f t="shared" ca="1" si="553"/>
        <v>0</v>
      </c>
      <c r="O760" s="54">
        <f t="shared" ca="1" si="553"/>
        <v>0</v>
      </c>
      <c r="P760" s="54">
        <f t="shared" ca="1" si="553"/>
        <v>0</v>
      </c>
      <c r="Q760" s="54">
        <f t="shared" ca="1" si="553"/>
        <v>0</v>
      </c>
      <c r="R760" s="54">
        <f t="shared" ca="1" si="553"/>
        <v>0</v>
      </c>
      <c r="S760" s="54">
        <f t="shared" ca="1" si="553"/>
        <v>0</v>
      </c>
      <c r="T760" s="54">
        <f t="shared" ca="1" si="553"/>
        <v>0</v>
      </c>
    </row>
    <row r="761" spans="2:20" ht="13.5" customHeight="1" outlineLevel="1">
      <c r="B761" s="38" t="str">
        <f t="shared" si="551"/>
        <v>Term loan - B</v>
      </c>
      <c r="E761" s="407">
        <v>0</v>
      </c>
      <c r="F761" s="54">
        <f t="shared" ref="F761:H761" si="554">E761</f>
        <v>0</v>
      </c>
      <c r="G761" s="54">
        <f t="shared" si="554"/>
        <v>0</v>
      </c>
      <c r="H761" s="54">
        <f t="shared" si="554"/>
        <v>0</v>
      </c>
      <c r="J761" s="54">
        <f t="shared" ref="J761:T761" si="555">J484</f>
        <v>0</v>
      </c>
      <c r="K761" s="54">
        <f t="shared" ca="1" si="555"/>
        <v>0</v>
      </c>
      <c r="L761" s="54">
        <f t="shared" ca="1" si="555"/>
        <v>0</v>
      </c>
      <c r="M761" s="54">
        <f t="shared" ca="1" si="555"/>
        <v>0</v>
      </c>
      <c r="N761" s="54">
        <f t="shared" ca="1" si="555"/>
        <v>0</v>
      </c>
      <c r="O761" s="54">
        <f t="shared" ca="1" si="555"/>
        <v>0</v>
      </c>
      <c r="P761" s="54">
        <f t="shared" ca="1" si="555"/>
        <v>0</v>
      </c>
      <c r="Q761" s="54">
        <f t="shared" ca="1" si="555"/>
        <v>0</v>
      </c>
      <c r="R761" s="54">
        <f t="shared" ca="1" si="555"/>
        <v>0</v>
      </c>
      <c r="S761" s="54">
        <f t="shared" ca="1" si="555"/>
        <v>0</v>
      </c>
      <c r="T761" s="54">
        <f t="shared" ca="1" si="555"/>
        <v>0</v>
      </c>
    </row>
    <row r="762" spans="2:20" ht="13.5" customHeight="1" outlineLevel="1">
      <c r="B762" s="38" t="str">
        <f t="shared" si="551"/>
        <v>Senior note</v>
      </c>
      <c r="E762" s="407">
        <v>0</v>
      </c>
      <c r="F762" s="54">
        <f t="shared" ref="F762:H762" si="556">E762</f>
        <v>0</v>
      </c>
      <c r="G762" s="54">
        <f t="shared" si="556"/>
        <v>0</v>
      </c>
      <c r="H762" s="54">
        <f t="shared" si="556"/>
        <v>0</v>
      </c>
      <c r="J762" s="54">
        <f t="shared" ref="J762:T762" si="557">J493</f>
        <v>100</v>
      </c>
      <c r="K762" s="54">
        <f t="shared" ca="1" si="557"/>
        <v>100</v>
      </c>
      <c r="L762" s="54">
        <f t="shared" ca="1" si="557"/>
        <v>100</v>
      </c>
      <c r="M762" s="54">
        <f t="shared" ca="1" si="557"/>
        <v>100</v>
      </c>
      <c r="N762" s="54">
        <f t="shared" ca="1" si="557"/>
        <v>100</v>
      </c>
      <c r="O762" s="54">
        <f t="shared" ca="1" si="557"/>
        <v>100</v>
      </c>
      <c r="P762" s="54">
        <f t="shared" ca="1" si="557"/>
        <v>100</v>
      </c>
      <c r="Q762" s="54">
        <f t="shared" ca="1" si="557"/>
        <v>100</v>
      </c>
      <c r="R762" s="54">
        <f t="shared" ca="1" si="557"/>
        <v>0</v>
      </c>
      <c r="S762" s="54">
        <f t="shared" ca="1" si="557"/>
        <v>0</v>
      </c>
      <c r="T762" s="54">
        <f t="shared" ca="1" si="557"/>
        <v>0</v>
      </c>
    </row>
    <row r="763" spans="2:20" ht="13.5" customHeight="1" outlineLevel="1">
      <c r="B763" s="38" t="str">
        <f t="shared" si="551"/>
        <v>Subordinated note</v>
      </c>
      <c r="E763" s="407">
        <v>0</v>
      </c>
      <c r="F763" s="54">
        <f t="shared" ref="F763:H763" si="558">E763</f>
        <v>0</v>
      </c>
      <c r="G763" s="54">
        <f t="shared" si="558"/>
        <v>0</v>
      </c>
      <c r="H763" s="54">
        <f t="shared" si="558"/>
        <v>0</v>
      </c>
      <c r="J763" s="54">
        <f t="shared" ref="J763:T763" si="559">J502</f>
        <v>50</v>
      </c>
      <c r="K763" s="54">
        <f t="shared" ca="1" si="559"/>
        <v>50</v>
      </c>
      <c r="L763" s="54">
        <f t="shared" ca="1" si="559"/>
        <v>50</v>
      </c>
      <c r="M763" s="54">
        <f t="shared" ca="1" si="559"/>
        <v>50</v>
      </c>
      <c r="N763" s="54">
        <f t="shared" ca="1" si="559"/>
        <v>50</v>
      </c>
      <c r="O763" s="54">
        <f t="shared" ca="1" si="559"/>
        <v>50</v>
      </c>
      <c r="P763" s="54">
        <f t="shared" ca="1" si="559"/>
        <v>0</v>
      </c>
      <c r="Q763" s="54">
        <f t="shared" ca="1" si="559"/>
        <v>0</v>
      </c>
      <c r="R763" s="54">
        <f t="shared" ca="1" si="559"/>
        <v>0</v>
      </c>
      <c r="S763" s="54">
        <f t="shared" ca="1" si="559"/>
        <v>0</v>
      </c>
      <c r="T763" s="54">
        <f t="shared" ca="1" si="559"/>
        <v>0</v>
      </c>
    </row>
    <row r="764" spans="2:20" ht="13.5" customHeight="1" outlineLevel="1">
      <c r="B764" s="38" t="str">
        <f t="shared" si="551"/>
        <v>Mezzanine</v>
      </c>
      <c r="E764" s="407">
        <v>0</v>
      </c>
      <c r="F764" s="54">
        <f t="shared" ref="F764:H764" si="560">E764</f>
        <v>0</v>
      </c>
      <c r="G764" s="54">
        <f t="shared" si="560"/>
        <v>0</v>
      </c>
      <c r="H764" s="54">
        <f t="shared" si="560"/>
        <v>0</v>
      </c>
      <c r="J764" s="54">
        <f t="shared" ref="J764:T764" si="561">J511</f>
        <v>0</v>
      </c>
      <c r="K764" s="54">
        <f t="shared" ca="1" si="561"/>
        <v>0</v>
      </c>
      <c r="L764" s="54">
        <f t="shared" ca="1" si="561"/>
        <v>0</v>
      </c>
      <c r="M764" s="54">
        <f t="shared" ca="1" si="561"/>
        <v>0</v>
      </c>
      <c r="N764" s="54">
        <f t="shared" ca="1" si="561"/>
        <v>0</v>
      </c>
      <c r="O764" s="54">
        <f t="shared" ca="1" si="561"/>
        <v>0</v>
      </c>
      <c r="P764" s="54">
        <f t="shared" ca="1" si="561"/>
        <v>0</v>
      </c>
      <c r="Q764" s="54">
        <f t="shared" ca="1" si="561"/>
        <v>0</v>
      </c>
      <c r="R764" s="54">
        <f t="shared" ca="1" si="561"/>
        <v>0</v>
      </c>
      <c r="S764" s="54">
        <f t="shared" ca="1" si="561"/>
        <v>0</v>
      </c>
      <c r="T764" s="54">
        <f t="shared" ca="1" si="561"/>
        <v>0</v>
      </c>
    </row>
    <row r="765" spans="2:20" ht="13.5" customHeight="1" outlineLevel="1">
      <c r="B765" s="38" t="str">
        <f t="shared" si="551"/>
        <v>Seller note</v>
      </c>
      <c r="E765" s="407">
        <v>0</v>
      </c>
      <c r="F765" s="54">
        <f t="shared" ref="F765:H765" si="562">E765</f>
        <v>0</v>
      </c>
      <c r="G765" s="54">
        <f t="shared" si="562"/>
        <v>0</v>
      </c>
      <c r="H765" s="54">
        <f t="shared" si="562"/>
        <v>0</v>
      </c>
      <c r="J765" s="54">
        <f t="shared" ref="J765:T765" si="563">J520</f>
        <v>0</v>
      </c>
      <c r="K765" s="54">
        <f t="shared" ca="1" si="563"/>
        <v>0</v>
      </c>
      <c r="L765" s="54">
        <f t="shared" ca="1" si="563"/>
        <v>0</v>
      </c>
      <c r="M765" s="54">
        <f t="shared" ca="1" si="563"/>
        <v>0</v>
      </c>
      <c r="N765" s="54">
        <f t="shared" ca="1" si="563"/>
        <v>0</v>
      </c>
      <c r="O765" s="54">
        <f t="shared" ca="1" si="563"/>
        <v>0</v>
      </c>
      <c r="P765" s="54">
        <f t="shared" ca="1" si="563"/>
        <v>0</v>
      </c>
      <c r="Q765" s="54">
        <f t="shared" ca="1" si="563"/>
        <v>0</v>
      </c>
      <c r="R765" s="54">
        <f t="shared" ca="1" si="563"/>
        <v>0</v>
      </c>
      <c r="S765" s="54">
        <f t="shared" ca="1" si="563"/>
        <v>0</v>
      </c>
      <c r="T765" s="54">
        <f t="shared" ca="1" si="563"/>
        <v>0</v>
      </c>
    </row>
    <row r="766" spans="2:20" ht="13.5" customHeight="1" outlineLevel="1">
      <c r="B766" s="38" t="str">
        <f t="shared" si="551"/>
        <v>Convertible bond</v>
      </c>
      <c r="E766" s="407">
        <v>0</v>
      </c>
      <c r="F766" s="54">
        <f t="shared" ref="F766:H766" si="564">E766</f>
        <v>0</v>
      </c>
      <c r="G766" s="54">
        <f t="shared" si="564"/>
        <v>0</v>
      </c>
      <c r="H766" s="54">
        <f t="shared" si="564"/>
        <v>0</v>
      </c>
      <c r="J766" s="54">
        <f t="shared" ref="J766:T766" si="565">J529</f>
        <v>0</v>
      </c>
      <c r="K766" s="54">
        <f t="shared" ca="1" si="565"/>
        <v>0</v>
      </c>
      <c r="L766" s="54">
        <f t="shared" ca="1" si="565"/>
        <v>0</v>
      </c>
      <c r="M766" s="54">
        <f t="shared" ca="1" si="565"/>
        <v>0</v>
      </c>
      <c r="N766" s="54">
        <f t="shared" ca="1" si="565"/>
        <v>0</v>
      </c>
      <c r="O766" s="54">
        <f t="shared" ca="1" si="565"/>
        <v>0</v>
      </c>
      <c r="P766" s="54">
        <f t="shared" ca="1" si="565"/>
        <v>0</v>
      </c>
      <c r="Q766" s="54">
        <f t="shared" ca="1" si="565"/>
        <v>0</v>
      </c>
      <c r="R766" s="54">
        <f t="shared" ca="1" si="565"/>
        <v>0</v>
      </c>
      <c r="S766" s="54">
        <f t="shared" ca="1" si="565"/>
        <v>0</v>
      </c>
      <c r="T766" s="54">
        <f t="shared" ca="1" si="565"/>
        <v>0</v>
      </c>
    </row>
    <row r="767" spans="2:20" ht="13.5" customHeight="1" outlineLevel="1">
      <c r="B767" s="38" t="str">
        <f t="shared" si="551"/>
        <v>[Debt 8]</v>
      </c>
      <c r="E767" s="407">
        <v>0</v>
      </c>
      <c r="F767" s="54">
        <f t="shared" ref="F767:H767" si="566">E767</f>
        <v>0</v>
      </c>
      <c r="G767" s="54">
        <f t="shared" si="566"/>
        <v>0</v>
      </c>
      <c r="H767" s="54">
        <f t="shared" si="566"/>
        <v>0</v>
      </c>
      <c r="J767" s="54">
        <f t="shared" ref="J767:T767" si="567">J538</f>
        <v>0</v>
      </c>
      <c r="K767" s="54">
        <f t="shared" ca="1" si="567"/>
        <v>0</v>
      </c>
      <c r="L767" s="54">
        <f t="shared" ca="1" si="567"/>
        <v>0</v>
      </c>
      <c r="M767" s="54">
        <f t="shared" ca="1" si="567"/>
        <v>0</v>
      </c>
      <c r="N767" s="54">
        <f t="shared" ca="1" si="567"/>
        <v>0</v>
      </c>
      <c r="O767" s="54">
        <f t="shared" ca="1" si="567"/>
        <v>0</v>
      </c>
      <c r="P767" s="54">
        <f t="shared" ca="1" si="567"/>
        <v>0</v>
      </c>
      <c r="Q767" s="54">
        <f t="shared" ca="1" si="567"/>
        <v>0</v>
      </c>
      <c r="R767" s="54">
        <f t="shared" ca="1" si="567"/>
        <v>0</v>
      </c>
      <c r="S767" s="54">
        <f t="shared" ca="1" si="567"/>
        <v>0</v>
      </c>
      <c r="T767" s="54">
        <f t="shared" ca="1" si="567"/>
        <v>0</v>
      </c>
    </row>
    <row r="768" spans="2:20" ht="13.5" customHeight="1" outlineLevel="1">
      <c r="B768" s="38" t="str">
        <f t="shared" si="551"/>
        <v>Preferred stock - A</v>
      </c>
      <c r="E768" s="407">
        <v>0</v>
      </c>
      <c r="F768" s="54">
        <f t="shared" ref="F768:H768" si="568">E768</f>
        <v>0</v>
      </c>
      <c r="G768" s="54">
        <f t="shared" si="568"/>
        <v>0</v>
      </c>
      <c r="H768" s="54">
        <f t="shared" si="568"/>
        <v>0</v>
      </c>
      <c r="J768" s="54">
        <f t="shared" ref="J768:T768" si="569">J547</f>
        <v>10</v>
      </c>
      <c r="K768" s="54">
        <f t="shared" ca="1" si="569"/>
        <v>10</v>
      </c>
      <c r="L768" s="54">
        <f t="shared" ca="1" si="569"/>
        <v>10</v>
      </c>
      <c r="M768" s="54">
        <f t="shared" ca="1" si="569"/>
        <v>10</v>
      </c>
      <c r="N768" s="54">
        <f t="shared" ca="1" si="569"/>
        <v>10</v>
      </c>
      <c r="O768" s="54">
        <f t="shared" ca="1" si="569"/>
        <v>10</v>
      </c>
      <c r="P768" s="54">
        <f t="shared" ca="1" si="569"/>
        <v>10</v>
      </c>
      <c r="Q768" s="54">
        <f t="shared" ca="1" si="569"/>
        <v>10</v>
      </c>
      <c r="R768" s="54">
        <f t="shared" ca="1" si="569"/>
        <v>10</v>
      </c>
      <c r="S768" s="54">
        <f t="shared" ca="1" si="569"/>
        <v>10</v>
      </c>
      <c r="T768" s="54">
        <f t="shared" ca="1" si="569"/>
        <v>10</v>
      </c>
    </row>
    <row r="769" spans="2:20" ht="13.5" customHeight="1" outlineLevel="1">
      <c r="B769" s="38" t="str">
        <f t="shared" si="551"/>
        <v>Preferred stock - B</v>
      </c>
      <c r="E769" s="407">
        <v>0</v>
      </c>
      <c r="F769" s="54">
        <f t="shared" ref="F769:H769" si="570">E769</f>
        <v>0</v>
      </c>
      <c r="G769" s="54">
        <f t="shared" si="570"/>
        <v>0</v>
      </c>
      <c r="H769" s="54">
        <f t="shared" si="570"/>
        <v>0</v>
      </c>
      <c r="J769" s="54">
        <f t="shared" ref="J769:T769" si="571">J556</f>
        <v>0</v>
      </c>
      <c r="K769" s="54">
        <f t="shared" ca="1" si="571"/>
        <v>0</v>
      </c>
      <c r="L769" s="54">
        <f t="shared" ca="1" si="571"/>
        <v>0</v>
      </c>
      <c r="M769" s="54">
        <f t="shared" ca="1" si="571"/>
        <v>0</v>
      </c>
      <c r="N769" s="54">
        <f t="shared" ca="1" si="571"/>
        <v>0</v>
      </c>
      <c r="O769" s="54">
        <f t="shared" ca="1" si="571"/>
        <v>0</v>
      </c>
      <c r="P769" s="54">
        <f t="shared" ca="1" si="571"/>
        <v>0</v>
      </c>
      <c r="Q769" s="54">
        <f t="shared" ca="1" si="571"/>
        <v>0</v>
      </c>
      <c r="R769" s="54">
        <f t="shared" ca="1" si="571"/>
        <v>0</v>
      </c>
      <c r="S769" s="54">
        <f t="shared" ca="1" si="571"/>
        <v>0</v>
      </c>
      <c r="T769" s="54">
        <f t="shared" ca="1" si="571"/>
        <v>0</v>
      </c>
    </row>
    <row r="770" spans="2:20" ht="13.5" customHeight="1" outlineLevel="1"/>
    <row r="771" spans="2:20" ht="13.5" customHeight="1" outlineLevel="1">
      <c r="B771" s="308" t="s">
        <v>99</v>
      </c>
    </row>
    <row r="772" spans="2:20" ht="13.5" customHeight="1" outlineLevel="1">
      <c r="B772" s="38" t="str">
        <f>B879</f>
        <v>Legacy debt</v>
      </c>
      <c r="E772" s="309">
        <f>IFERROR(E759/$T879,0)</f>
        <v>8.591707134852447</v>
      </c>
      <c r="F772" s="309">
        <f>IFERROR(F759/$T879,0)</f>
        <v>8.591707134852447</v>
      </c>
      <c r="G772" s="309">
        <f>IFERROR(G759/$T879,0)</f>
        <v>8.591707134852447</v>
      </c>
      <c r="H772" s="309">
        <f>IFERROR(H759/$T879,0)</f>
        <v>8.591707134852447</v>
      </c>
      <c r="J772" s="309">
        <f t="shared" ref="J772:T772" si="572">IFERROR(J759/$T879,0)</f>
        <v>0</v>
      </c>
      <c r="K772" s="309">
        <f t="shared" ca="1" si="572"/>
        <v>0</v>
      </c>
      <c r="L772" s="309">
        <f t="shared" ca="1" si="572"/>
        <v>0</v>
      </c>
      <c r="M772" s="309">
        <f t="shared" ca="1" si="572"/>
        <v>0</v>
      </c>
      <c r="N772" s="309">
        <f t="shared" ca="1" si="572"/>
        <v>0</v>
      </c>
      <c r="O772" s="309">
        <f t="shared" ca="1" si="572"/>
        <v>0</v>
      </c>
      <c r="P772" s="309">
        <f t="shared" ca="1" si="572"/>
        <v>0</v>
      </c>
      <c r="Q772" s="309">
        <f t="shared" ca="1" si="572"/>
        <v>0</v>
      </c>
      <c r="R772" s="309">
        <f t="shared" ca="1" si="572"/>
        <v>0</v>
      </c>
      <c r="S772" s="309">
        <f t="shared" ca="1" si="572"/>
        <v>0</v>
      </c>
      <c r="T772" s="309">
        <f t="shared" ca="1" si="572"/>
        <v>0</v>
      </c>
    </row>
    <row r="773" spans="2:20" ht="13.5" customHeight="1" outlineLevel="1">
      <c r="B773" s="38" t="str">
        <f t="shared" ref="B773:B782" si="573">B881</f>
        <v>Term loan - A</v>
      </c>
      <c r="E773" s="309">
        <f t="shared" ref="E773:H782" si="574">IFERROR(E760/$T881,0)</f>
        <v>0</v>
      </c>
      <c r="F773" s="309">
        <f t="shared" si="574"/>
        <v>0</v>
      </c>
      <c r="G773" s="309">
        <f t="shared" si="574"/>
        <v>0</v>
      </c>
      <c r="H773" s="309">
        <f t="shared" si="574"/>
        <v>0</v>
      </c>
      <c r="J773" s="309">
        <f t="shared" ref="J773:T773" si="575">IFERROR(J760/$T881,0)</f>
        <v>0</v>
      </c>
      <c r="K773" s="309">
        <f t="shared" ca="1" si="575"/>
        <v>0</v>
      </c>
      <c r="L773" s="309">
        <f t="shared" ca="1" si="575"/>
        <v>0</v>
      </c>
      <c r="M773" s="309">
        <f t="shared" ca="1" si="575"/>
        <v>0</v>
      </c>
      <c r="N773" s="309">
        <f t="shared" ca="1" si="575"/>
        <v>0</v>
      </c>
      <c r="O773" s="309">
        <f t="shared" ca="1" si="575"/>
        <v>0</v>
      </c>
      <c r="P773" s="309">
        <f t="shared" ca="1" si="575"/>
        <v>0</v>
      </c>
      <c r="Q773" s="309">
        <f t="shared" ca="1" si="575"/>
        <v>0</v>
      </c>
      <c r="R773" s="309">
        <f t="shared" ca="1" si="575"/>
        <v>0</v>
      </c>
      <c r="S773" s="309">
        <f t="shared" ca="1" si="575"/>
        <v>0</v>
      </c>
      <c r="T773" s="309">
        <f t="shared" ca="1" si="575"/>
        <v>0</v>
      </c>
    </row>
    <row r="774" spans="2:20" ht="13.5" customHeight="1" outlineLevel="1">
      <c r="B774" s="38" t="str">
        <f t="shared" si="573"/>
        <v>Term loan - B</v>
      </c>
      <c r="E774" s="309">
        <f t="shared" si="574"/>
        <v>0</v>
      </c>
      <c r="F774" s="309">
        <f t="shared" si="574"/>
        <v>0</v>
      </c>
      <c r="G774" s="309">
        <f t="shared" si="574"/>
        <v>0</v>
      </c>
      <c r="H774" s="309">
        <f t="shared" si="574"/>
        <v>0</v>
      </c>
      <c r="J774" s="309">
        <f t="shared" ref="J774:T774" si="576">IFERROR(J761/$T882,0)</f>
        <v>0</v>
      </c>
      <c r="K774" s="309">
        <f t="shared" ca="1" si="576"/>
        <v>0</v>
      </c>
      <c r="L774" s="309">
        <f t="shared" ca="1" si="576"/>
        <v>0</v>
      </c>
      <c r="M774" s="309">
        <f t="shared" ca="1" si="576"/>
        <v>0</v>
      </c>
      <c r="N774" s="309">
        <f t="shared" ca="1" si="576"/>
        <v>0</v>
      </c>
      <c r="O774" s="309">
        <f t="shared" ca="1" si="576"/>
        <v>0</v>
      </c>
      <c r="P774" s="309">
        <f t="shared" ca="1" si="576"/>
        <v>0</v>
      </c>
      <c r="Q774" s="309">
        <f t="shared" ca="1" si="576"/>
        <v>0</v>
      </c>
      <c r="R774" s="309">
        <f t="shared" ca="1" si="576"/>
        <v>0</v>
      </c>
      <c r="S774" s="309">
        <f t="shared" ca="1" si="576"/>
        <v>0</v>
      </c>
      <c r="T774" s="309">
        <f t="shared" ca="1" si="576"/>
        <v>0</v>
      </c>
    </row>
    <row r="775" spans="2:20" ht="13.5" customHeight="1" outlineLevel="1">
      <c r="B775" s="38" t="str">
        <f t="shared" si="573"/>
        <v>Senior note</v>
      </c>
      <c r="E775" s="309">
        <f t="shared" si="574"/>
        <v>0</v>
      </c>
      <c r="F775" s="309">
        <f t="shared" si="574"/>
        <v>0</v>
      </c>
      <c r="G775" s="309">
        <f t="shared" si="574"/>
        <v>0</v>
      </c>
      <c r="H775" s="309">
        <f t="shared" si="574"/>
        <v>0</v>
      </c>
      <c r="J775" s="309">
        <f t="shared" ref="J775:T775" si="577">IFERROR(J762/$T883,0)</f>
        <v>0</v>
      </c>
      <c r="K775" s="309">
        <f t="shared" ca="1" si="577"/>
        <v>0</v>
      </c>
      <c r="L775" s="309">
        <f t="shared" ca="1" si="577"/>
        <v>0</v>
      </c>
      <c r="M775" s="309">
        <f t="shared" ca="1" si="577"/>
        <v>0</v>
      </c>
      <c r="N775" s="309">
        <f t="shared" ca="1" si="577"/>
        <v>0</v>
      </c>
      <c r="O775" s="309">
        <f t="shared" ca="1" si="577"/>
        <v>0</v>
      </c>
      <c r="P775" s="309">
        <f t="shared" ca="1" si="577"/>
        <v>0</v>
      </c>
      <c r="Q775" s="309">
        <f t="shared" ca="1" si="577"/>
        <v>0</v>
      </c>
      <c r="R775" s="309">
        <f t="shared" ca="1" si="577"/>
        <v>0</v>
      </c>
      <c r="S775" s="309">
        <f t="shared" ca="1" si="577"/>
        <v>0</v>
      </c>
      <c r="T775" s="309">
        <f t="shared" ca="1" si="577"/>
        <v>0</v>
      </c>
    </row>
    <row r="776" spans="2:20" ht="13.5" customHeight="1" outlineLevel="1">
      <c r="B776" s="38" t="str">
        <f t="shared" si="573"/>
        <v>Subordinated note</v>
      </c>
      <c r="E776" s="309">
        <f t="shared" si="574"/>
        <v>0</v>
      </c>
      <c r="F776" s="309">
        <f t="shared" si="574"/>
        <v>0</v>
      </c>
      <c r="G776" s="309">
        <f t="shared" si="574"/>
        <v>0</v>
      </c>
      <c r="H776" s="309">
        <f t="shared" si="574"/>
        <v>0</v>
      </c>
      <c r="J776" s="309">
        <f t="shared" ref="J776:T776" si="578">IFERROR(J763/$T884,0)</f>
        <v>0</v>
      </c>
      <c r="K776" s="309">
        <f t="shared" ca="1" si="578"/>
        <v>0</v>
      </c>
      <c r="L776" s="309">
        <f t="shared" ca="1" si="578"/>
        <v>0</v>
      </c>
      <c r="M776" s="309">
        <f t="shared" ca="1" si="578"/>
        <v>0</v>
      </c>
      <c r="N776" s="309">
        <f t="shared" ca="1" si="578"/>
        <v>0</v>
      </c>
      <c r="O776" s="309">
        <f t="shared" ca="1" si="578"/>
        <v>0</v>
      </c>
      <c r="P776" s="309">
        <f t="shared" ca="1" si="578"/>
        <v>0</v>
      </c>
      <c r="Q776" s="309">
        <f t="shared" ca="1" si="578"/>
        <v>0</v>
      </c>
      <c r="R776" s="309">
        <f t="shared" ca="1" si="578"/>
        <v>0</v>
      </c>
      <c r="S776" s="309">
        <f t="shared" ca="1" si="578"/>
        <v>0</v>
      </c>
      <c r="T776" s="309">
        <f t="shared" ca="1" si="578"/>
        <v>0</v>
      </c>
    </row>
    <row r="777" spans="2:20" ht="13.5" customHeight="1" outlineLevel="1">
      <c r="B777" s="38" t="str">
        <f t="shared" si="573"/>
        <v>Mezzanine</v>
      </c>
      <c r="E777" s="309">
        <f t="shared" si="574"/>
        <v>0</v>
      </c>
      <c r="F777" s="309">
        <f t="shared" si="574"/>
        <v>0</v>
      </c>
      <c r="G777" s="309">
        <f t="shared" si="574"/>
        <v>0</v>
      </c>
      <c r="H777" s="309">
        <f t="shared" si="574"/>
        <v>0</v>
      </c>
      <c r="J777" s="309">
        <f t="shared" ref="J777:T777" si="579">IFERROR(J764/$T885,0)</f>
        <v>0</v>
      </c>
      <c r="K777" s="309">
        <f t="shared" ca="1" si="579"/>
        <v>0</v>
      </c>
      <c r="L777" s="309">
        <f t="shared" ca="1" si="579"/>
        <v>0</v>
      </c>
      <c r="M777" s="309">
        <f t="shared" ca="1" si="579"/>
        <v>0</v>
      </c>
      <c r="N777" s="309">
        <f t="shared" ca="1" si="579"/>
        <v>0</v>
      </c>
      <c r="O777" s="309">
        <f t="shared" ca="1" si="579"/>
        <v>0</v>
      </c>
      <c r="P777" s="309">
        <f t="shared" ca="1" si="579"/>
        <v>0</v>
      </c>
      <c r="Q777" s="309">
        <f t="shared" ca="1" si="579"/>
        <v>0</v>
      </c>
      <c r="R777" s="309">
        <f t="shared" ca="1" si="579"/>
        <v>0</v>
      </c>
      <c r="S777" s="309">
        <f t="shared" ca="1" si="579"/>
        <v>0</v>
      </c>
      <c r="T777" s="309">
        <f t="shared" ca="1" si="579"/>
        <v>0</v>
      </c>
    </row>
    <row r="778" spans="2:20" ht="13.5" customHeight="1" outlineLevel="1">
      <c r="B778" s="38" t="str">
        <f t="shared" si="573"/>
        <v>Seller note</v>
      </c>
      <c r="E778" s="309">
        <f t="shared" si="574"/>
        <v>0</v>
      </c>
      <c r="F778" s="309">
        <f t="shared" si="574"/>
        <v>0</v>
      </c>
      <c r="G778" s="309">
        <f t="shared" si="574"/>
        <v>0</v>
      </c>
      <c r="H778" s="309">
        <f t="shared" si="574"/>
        <v>0</v>
      </c>
      <c r="J778" s="309">
        <f t="shared" ref="J778:T778" si="580">IFERROR(J765/$T886,0)</f>
        <v>0</v>
      </c>
      <c r="K778" s="309">
        <f t="shared" ca="1" si="580"/>
        <v>0</v>
      </c>
      <c r="L778" s="309">
        <f t="shared" ca="1" si="580"/>
        <v>0</v>
      </c>
      <c r="M778" s="309">
        <f t="shared" ca="1" si="580"/>
        <v>0</v>
      </c>
      <c r="N778" s="309">
        <f t="shared" ca="1" si="580"/>
        <v>0</v>
      </c>
      <c r="O778" s="309">
        <f t="shared" ca="1" si="580"/>
        <v>0</v>
      </c>
      <c r="P778" s="309">
        <f t="shared" ca="1" si="580"/>
        <v>0</v>
      </c>
      <c r="Q778" s="309">
        <f t="shared" ca="1" si="580"/>
        <v>0</v>
      </c>
      <c r="R778" s="309">
        <f t="shared" ca="1" si="580"/>
        <v>0</v>
      </c>
      <c r="S778" s="309">
        <f t="shared" ca="1" si="580"/>
        <v>0</v>
      </c>
      <c r="T778" s="309">
        <f t="shared" ca="1" si="580"/>
        <v>0</v>
      </c>
    </row>
    <row r="779" spans="2:20" ht="13.5" customHeight="1" outlineLevel="1">
      <c r="B779" s="38" t="str">
        <f t="shared" si="573"/>
        <v>Convertible bond</v>
      </c>
      <c r="E779" s="309">
        <f t="shared" si="574"/>
        <v>0</v>
      </c>
      <c r="F779" s="309">
        <f t="shared" si="574"/>
        <v>0</v>
      </c>
      <c r="G779" s="309">
        <f t="shared" si="574"/>
        <v>0</v>
      </c>
      <c r="H779" s="309">
        <f t="shared" si="574"/>
        <v>0</v>
      </c>
      <c r="J779" s="309">
        <f t="shared" ref="J779:T779" si="581">IFERROR(J766/$T887,0)</f>
        <v>0</v>
      </c>
      <c r="K779" s="309">
        <f t="shared" ca="1" si="581"/>
        <v>0</v>
      </c>
      <c r="L779" s="309">
        <f t="shared" ca="1" si="581"/>
        <v>0</v>
      </c>
      <c r="M779" s="309">
        <f t="shared" ca="1" si="581"/>
        <v>0</v>
      </c>
      <c r="N779" s="309">
        <f t="shared" ca="1" si="581"/>
        <v>0</v>
      </c>
      <c r="O779" s="309">
        <f t="shared" ca="1" si="581"/>
        <v>0</v>
      </c>
      <c r="P779" s="309">
        <f t="shared" ca="1" si="581"/>
        <v>0</v>
      </c>
      <c r="Q779" s="309">
        <f t="shared" ca="1" si="581"/>
        <v>0</v>
      </c>
      <c r="R779" s="309">
        <f t="shared" ca="1" si="581"/>
        <v>0</v>
      </c>
      <c r="S779" s="309">
        <f t="shared" ca="1" si="581"/>
        <v>0</v>
      </c>
      <c r="T779" s="309">
        <f t="shared" ca="1" si="581"/>
        <v>0</v>
      </c>
    </row>
    <row r="780" spans="2:20" ht="13.5" customHeight="1" outlineLevel="1">
      <c r="B780" s="38" t="str">
        <f t="shared" si="573"/>
        <v>[Debt 8]</v>
      </c>
      <c r="E780" s="309">
        <f t="shared" si="574"/>
        <v>0</v>
      </c>
      <c r="F780" s="309">
        <f t="shared" si="574"/>
        <v>0</v>
      </c>
      <c r="G780" s="309">
        <f t="shared" si="574"/>
        <v>0</v>
      </c>
      <c r="H780" s="309">
        <f t="shared" si="574"/>
        <v>0</v>
      </c>
      <c r="J780" s="309">
        <f t="shared" ref="J780:T780" si="582">IFERROR(J767/$T888,0)</f>
        <v>0</v>
      </c>
      <c r="K780" s="309">
        <f t="shared" ca="1" si="582"/>
        <v>0</v>
      </c>
      <c r="L780" s="309">
        <f t="shared" ca="1" si="582"/>
        <v>0</v>
      </c>
      <c r="M780" s="309">
        <f t="shared" ca="1" si="582"/>
        <v>0</v>
      </c>
      <c r="N780" s="309">
        <f t="shared" ca="1" si="582"/>
        <v>0</v>
      </c>
      <c r="O780" s="309">
        <f t="shared" ca="1" si="582"/>
        <v>0</v>
      </c>
      <c r="P780" s="309">
        <f t="shared" ca="1" si="582"/>
        <v>0</v>
      </c>
      <c r="Q780" s="309">
        <f t="shared" ca="1" si="582"/>
        <v>0</v>
      </c>
      <c r="R780" s="309">
        <f t="shared" ca="1" si="582"/>
        <v>0</v>
      </c>
      <c r="S780" s="309">
        <f t="shared" ca="1" si="582"/>
        <v>0</v>
      </c>
      <c r="T780" s="309">
        <f t="shared" ca="1" si="582"/>
        <v>0</v>
      </c>
    </row>
    <row r="781" spans="2:20" ht="13.5" customHeight="1" outlineLevel="1">
      <c r="B781" s="38" t="str">
        <f t="shared" si="573"/>
        <v>Preferred stock - A</v>
      </c>
      <c r="E781" s="309">
        <f t="shared" si="574"/>
        <v>0</v>
      </c>
      <c r="F781" s="309">
        <f t="shared" si="574"/>
        <v>0</v>
      </c>
      <c r="G781" s="309">
        <f t="shared" si="574"/>
        <v>0</v>
      </c>
      <c r="H781" s="309">
        <f t="shared" si="574"/>
        <v>0</v>
      </c>
      <c r="J781" s="309">
        <f t="shared" ref="J781:T781" si="583">IFERROR(J768/$T889,0)</f>
        <v>0</v>
      </c>
      <c r="K781" s="309">
        <f t="shared" ca="1" si="583"/>
        <v>0</v>
      </c>
      <c r="L781" s="309">
        <f t="shared" ca="1" si="583"/>
        <v>0</v>
      </c>
      <c r="M781" s="309">
        <f t="shared" ca="1" si="583"/>
        <v>0</v>
      </c>
      <c r="N781" s="309">
        <f t="shared" ca="1" si="583"/>
        <v>0</v>
      </c>
      <c r="O781" s="309">
        <f t="shared" ca="1" si="583"/>
        <v>0</v>
      </c>
      <c r="P781" s="309">
        <f t="shared" ca="1" si="583"/>
        <v>0</v>
      </c>
      <c r="Q781" s="309">
        <f t="shared" ca="1" si="583"/>
        <v>0</v>
      </c>
      <c r="R781" s="309">
        <f t="shared" ca="1" si="583"/>
        <v>0</v>
      </c>
      <c r="S781" s="309">
        <f t="shared" ca="1" si="583"/>
        <v>0</v>
      </c>
      <c r="T781" s="309">
        <f t="shared" ca="1" si="583"/>
        <v>0</v>
      </c>
    </row>
    <row r="782" spans="2:20" ht="13.5" customHeight="1" outlineLevel="1">
      <c r="B782" s="38" t="str">
        <f t="shared" si="573"/>
        <v>Preferred stock - B</v>
      </c>
      <c r="E782" s="309">
        <f t="shared" si="574"/>
        <v>0</v>
      </c>
      <c r="F782" s="309">
        <f t="shared" si="574"/>
        <v>0</v>
      </c>
      <c r="G782" s="309">
        <f t="shared" si="574"/>
        <v>0</v>
      </c>
      <c r="H782" s="309">
        <f t="shared" si="574"/>
        <v>0</v>
      </c>
      <c r="J782" s="309">
        <f t="shared" ref="J782:T782" si="584">IFERROR(J769/$T890,0)</f>
        <v>0</v>
      </c>
      <c r="K782" s="309">
        <f t="shared" ca="1" si="584"/>
        <v>0</v>
      </c>
      <c r="L782" s="309">
        <f t="shared" ca="1" si="584"/>
        <v>0</v>
      </c>
      <c r="M782" s="309">
        <f t="shared" ca="1" si="584"/>
        <v>0</v>
      </c>
      <c r="N782" s="309">
        <f t="shared" ca="1" si="584"/>
        <v>0</v>
      </c>
      <c r="O782" s="309">
        <f t="shared" ca="1" si="584"/>
        <v>0</v>
      </c>
      <c r="P782" s="309">
        <f t="shared" ca="1" si="584"/>
        <v>0</v>
      </c>
      <c r="Q782" s="309">
        <f t="shared" ca="1" si="584"/>
        <v>0</v>
      </c>
      <c r="R782" s="309">
        <f t="shared" ca="1" si="584"/>
        <v>0</v>
      </c>
      <c r="S782" s="309">
        <f t="shared" ca="1" si="584"/>
        <v>0</v>
      </c>
      <c r="T782" s="309">
        <f t="shared" ca="1" si="584"/>
        <v>0</v>
      </c>
    </row>
    <row r="783" spans="2:20" ht="13.5" customHeight="1" outlineLevel="1"/>
    <row r="784" spans="2:20" ht="13.5" customHeight="1" outlineLevel="1">
      <c r="B784" s="308" t="s">
        <v>383</v>
      </c>
    </row>
    <row r="785" spans="2:20" ht="13.5" customHeight="1" outlineLevel="1">
      <c r="B785" s="38" t="str">
        <f>B879</f>
        <v>Legacy debt</v>
      </c>
      <c r="E785" s="302">
        <f ca="1">(E$176+E591*(1-E$209*(1-$J879)))/(E$814+E772)</f>
        <v>0.31518803850694965</v>
      </c>
      <c r="F785" s="302">
        <f ca="1">(F$176+F591*(1-F$209*(1-$J879)))/(F$814+F772)</f>
        <v>0.32564301074340191</v>
      </c>
      <c r="G785" s="302">
        <f ca="1">(G$176+G591*(1-G$209*(1-$J879)))/(G$814+G772)</f>
        <v>0.33161811185795975</v>
      </c>
      <c r="H785" s="302">
        <f ca="1">(H$176+H591*(1-H$209*(1-$J879)))/(H$814+H772)</f>
        <v>0.3375932129725176</v>
      </c>
      <c r="J785" s="310">
        <f ca="1">H785</f>
        <v>0.3375932129725176</v>
      </c>
      <c r="K785" s="302">
        <f t="shared" ref="K785:T785" ca="1" si="585">(K$176+K591*(1-K$209*(1-$J879)))/(K$814+K772)</f>
        <v>1.6208117100810289</v>
      </c>
      <c r="L785" s="302">
        <f t="shared" ca="1" si="585"/>
        <v>1.324327425809358</v>
      </c>
      <c r="M785" s="302">
        <f t="shared" ca="1" si="585"/>
        <v>1.4602708614992912</v>
      </c>
      <c r="N785" s="302">
        <f t="shared" ca="1" si="585"/>
        <v>1.6071949531134604</v>
      </c>
      <c r="O785" s="302">
        <f t="shared" ca="1" si="585"/>
        <v>1.763688109432906</v>
      </c>
      <c r="P785" s="302">
        <f t="shared" ca="1" si="585"/>
        <v>2.3915649358144679</v>
      </c>
      <c r="Q785" s="302">
        <f t="shared" ca="1" si="585"/>
        <v>2.6669266363360027</v>
      </c>
      <c r="R785" s="302">
        <f t="shared" ca="1" si="585"/>
        <v>2.914767011681187</v>
      </c>
      <c r="S785" s="302">
        <f t="shared" ca="1" si="585"/>
        <v>3.3390853558985705</v>
      </c>
      <c r="T785" s="302">
        <f t="shared" ca="1" si="585"/>
        <v>3.5607966907626825</v>
      </c>
    </row>
    <row r="786" spans="2:20" ht="13.5" customHeight="1" outlineLevel="1">
      <c r="B786" s="38" t="str">
        <f t="shared" ref="B786:B795" si="586">B881</f>
        <v>Term loan - A</v>
      </c>
      <c r="E786" s="302">
        <f t="shared" ref="E786:H795" ca="1" si="587">(E$176+E593*(1-E$209*(1-$J881)))/(E$814+E773)</f>
        <v>0.24010652310864219</v>
      </c>
      <c r="F786" s="302">
        <f t="shared" ca="1" si="587"/>
        <v>0.25325072107124452</v>
      </c>
      <c r="G786" s="302">
        <f t="shared" ca="1" si="587"/>
        <v>0.26069585021619612</v>
      </c>
      <c r="H786" s="302">
        <f t="shared" ca="1" si="587"/>
        <v>0.26814097936114772</v>
      </c>
      <c r="J786" s="310">
        <f t="shared" ref="J786:J795" ca="1" si="588">H786</f>
        <v>0.26814097936114772</v>
      </c>
      <c r="K786" s="302">
        <f t="shared" ref="K786:T786" ca="1" si="589">(K$176+K593*(1-K$209*(1-$J881)))/(K$814+K773)</f>
        <v>1.6980971391634108</v>
      </c>
      <c r="L786" s="302">
        <f t="shared" ca="1" si="589"/>
        <v>1.324327425809358</v>
      </c>
      <c r="M786" s="302">
        <f t="shared" ca="1" si="589"/>
        <v>1.4602708614992912</v>
      </c>
      <c r="N786" s="302">
        <f t="shared" ca="1" si="589"/>
        <v>1.6071949531134604</v>
      </c>
      <c r="O786" s="302">
        <f t="shared" ca="1" si="589"/>
        <v>1.763688109432906</v>
      </c>
      <c r="P786" s="302">
        <f t="shared" ca="1" si="589"/>
        <v>2.3915649358144679</v>
      </c>
      <c r="Q786" s="302">
        <f t="shared" ca="1" si="589"/>
        <v>2.6669266363360027</v>
      </c>
      <c r="R786" s="302">
        <f t="shared" ca="1" si="589"/>
        <v>2.914767011681187</v>
      </c>
      <c r="S786" s="302">
        <f t="shared" ca="1" si="589"/>
        <v>3.3390853558985705</v>
      </c>
      <c r="T786" s="302">
        <f t="shared" ca="1" si="589"/>
        <v>3.5607966907626825</v>
      </c>
    </row>
    <row r="787" spans="2:20" ht="13.5" customHeight="1" outlineLevel="1">
      <c r="B787" s="38" t="str">
        <f t="shared" si="586"/>
        <v>Term loan - B</v>
      </c>
      <c r="E787" s="302">
        <f t="shared" ca="1" si="587"/>
        <v>0.24010652310864219</v>
      </c>
      <c r="F787" s="302">
        <f t="shared" ca="1" si="587"/>
        <v>0.25325072107124452</v>
      </c>
      <c r="G787" s="302">
        <f t="shared" ca="1" si="587"/>
        <v>0.26069585021619612</v>
      </c>
      <c r="H787" s="302">
        <f t="shared" ca="1" si="587"/>
        <v>0.26814097936114772</v>
      </c>
      <c r="J787" s="310">
        <f t="shared" ca="1" si="588"/>
        <v>0.26814097936114772</v>
      </c>
      <c r="K787" s="302">
        <f t="shared" ref="K787:T787" ca="1" si="590">(K$176+K594*(1-K$209*(1-$J882)))/(K$814+K774)</f>
        <v>1.6208117100810289</v>
      </c>
      <c r="L787" s="302">
        <f t="shared" ca="1" si="590"/>
        <v>1.324327425809358</v>
      </c>
      <c r="M787" s="302">
        <f t="shared" ca="1" si="590"/>
        <v>1.4602708614992912</v>
      </c>
      <c r="N787" s="302">
        <f t="shared" ca="1" si="590"/>
        <v>1.6071949531134604</v>
      </c>
      <c r="O787" s="302">
        <f t="shared" ca="1" si="590"/>
        <v>1.763688109432906</v>
      </c>
      <c r="P787" s="302">
        <f t="shared" ca="1" si="590"/>
        <v>2.3915649358144679</v>
      </c>
      <c r="Q787" s="302">
        <f t="shared" ca="1" si="590"/>
        <v>2.6669266363360027</v>
      </c>
      <c r="R787" s="302">
        <f t="shared" ca="1" si="590"/>
        <v>2.914767011681187</v>
      </c>
      <c r="S787" s="302">
        <f t="shared" ca="1" si="590"/>
        <v>3.3390853558985705</v>
      </c>
      <c r="T787" s="302">
        <f t="shared" ca="1" si="590"/>
        <v>3.5607966907626825</v>
      </c>
    </row>
    <row r="788" spans="2:20" ht="13.5" customHeight="1" outlineLevel="1">
      <c r="B788" s="38" t="str">
        <f t="shared" si="586"/>
        <v>Senior note</v>
      </c>
      <c r="E788" s="302">
        <f t="shared" ca="1" si="587"/>
        <v>0.24010652310864219</v>
      </c>
      <c r="F788" s="302">
        <f t="shared" ca="1" si="587"/>
        <v>0.25325072107124452</v>
      </c>
      <c r="G788" s="302">
        <f t="shared" ca="1" si="587"/>
        <v>0.26069585021619612</v>
      </c>
      <c r="H788" s="302">
        <f t="shared" ca="1" si="587"/>
        <v>0.26814097936114772</v>
      </c>
      <c r="J788" s="310">
        <f t="shared" ca="1" si="588"/>
        <v>0.26814097936114772</v>
      </c>
      <c r="K788" s="302">
        <f t="shared" ref="K788:T788" ca="1" si="591">(K$176+K595*(1-K$209*(1-$J883)))/(K$814+K775)</f>
        <v>1.8102988387163006</v>
      </c>
      <c r="L788" s="302">
        <f t="shared" ca="1" si="591"/>
        <v>1.5227079939787995</v>
      </c>
      <c r="M788" s="302">
        <f t="shared" ca="1" si="591"/>
        <v>1.6693544917002408</v>
      </c>
      <c r="N788" s="302">
        <f t="shared" ca="1" si="591"/>
        <v>1.8248682921332291</v>
      </c>
      <c r="O788" s="302">
        <f t="shared" ca="1" si="591"/>
        <v>1.9898000576215047</v>
      </c>
      <c r="P788" s="302">
        <f t="shared" ca="1" si="591"/>
        <v>2.6229413795785392</v>
      </c>
      <c r="Q788" s="302">
        <f t="shared" ca="1" si="591"/>
        <v>2.9013465129150622</v>
      </c>
      <c r="R788" s="302">
        <f t="shared" ca="1" si="591"/>
        <v>3.1518780955397863</v>
      </c>
      <c r="S788" s="302">
        <f t="shared" ca="1" si="591"/>
        <v>3.3390853558985705</v>
      </c>
      <c r="T788" s="302">
        <f t="shared" ca="1" si="591"/>
        <v>3.5607966907626825</v>
      </c>
    </row>
    <row r="789" spans="2:20" ht="13.5" customHeight="1" outlineLevel="1">
      <c r="B789" s="38" t="str">
        <f t="shared" si="586"/>
        <v>Subordinated note</v>
      </c>
      <c r="E789" s="302">
        <f t="shared" ca="1" si="587"/>
        <v>0.24010652310864219</v>
      </c>
      <c r="F789" s="302">
        <f t="shared" ca="1" si="587"/>
        <v>0.25325072107124452</v>
      </c>
      <c r="G789" s="302">
        <f t="shared" ca="1" si="587"/>
        <v>0.26069585021619612</v>
      </c>
      <c r="H789" s="302">
        <f t="shared" ca="1" si="587"/>
        <v>0.26814097936114772</v>
      </c>
      <c r="J789" s="310">
        <f t="shared" ca="1" si="588"/>
        <v>0.26814097936114772</v>
      </c>
      <c r="K789" s="302">
        <f t="shared" ref="K789:T789" ca="1" si="592">(K$176+K596*(1-K$209*(1-$J884)))/(K$814+K776)</f>
        <v>1.7254584271344522</v>
      </c>
      <c r="L789" s="302">
        <f t="shared" ca="1" si="592"/>
        <v>1.4289741428627813</v>
      </c>
      <c r="M789" s="302">
        <f t="shared" ca="1" si="592"/>
        <v>1.5649175785527147</v>
      </c>
      <c r="N789" s="302">
        <f t="shared" ca="1" si="592"/>
        <v>1.7118416701668837</v>
      </c>
      <c r="O789" s="302">
        <f t="shared" ca="1" si="592"/>
        <v>1.8683348264863295</v>
      </c>
      <c r="P789" s="302">
        <f t="shared" ca="1" si="592"/>
        <v>2.496211652867891</v>
      </c>
      <c r="Q789" s="302">
        <f t="shared" ca="1" si="592"/>
        <v>2.6669266363360027</v>
      </c>
      <c r="R789" s="302">
        <f t="shared" ca="1" si="592"/>
        <v>2.914767011681187</v>
      </c>
      <c r="S789" s="302">
        <f t="shared" ca="1" si="592"/>
        <v>3.3390853558985705</v>
      </c>
      <c r="T789" s="302">
        <f t="shared" ca="1" si="592"/>
        <v>3.5607966907626825</v>
      </c>
    </row>
    <row r="790" spans="2:20" ht="13.5" customHeight="1" outlineLevel="1">
      <c r="B790" s="38" t="str">
        <f t="shared" si="586"/>
        <v>Mezzanine</v>
      </c>
      <c r="E790" s="302">
        <f t="shared" ca="1" si="587"/>
        <v>0.24010652310864219</v>
      </c>
      <c r="F790" s="302">
        <f t="shared" ca="1" si="587"/>
        <v>0.25325072107124452</v>
      </c>
      <c r="G790" s="302">
        <f t="shared" ca="1" si="587"/>
        <v>0.26069585021619612</v>
      </c>
      <c r="H790" s="302">
        <f t="shared" ca="1" si="587"/>
        <v>0.26814097936114772</v>
      </c>
      <c r="J790" s="310">
        <f t="shared" ca="1" si="588"/>
        <v>0.26814097936114772</v>
      </c>
      <c r="K790" s="302">
        <f t="shared" ref="K790:T790" ca="1" si="593">(K$176+K597*(1-K$209*(1-$J885)))/(K$814+K777)</f>
        <v>1.6208117100810289</v>
      </c>
      <c r="L790" s="302">
        <f t="shared" ca="1" si="593"/>
        <v>1.324327425809358</v>
      </c>
      <c r="M790" s="302">
        <f t="shared" ca="1" si="593"/>
        <v>1.4602708614992912</v>
      </c>
      <c r="N790" s="302">
        <f t="shared" ca="1" si="593"/>
        <v>1.6071949531134604</v>
      </c>
      <c r="O790" s="302">
        <f t="shared" ca="1" si="593"/>
        <v>1.763688109432906</v>
      </c>
      <c r="P790" s="302">
        <f t="shared" ca="1" si="593"/>
        <v>2.3915649358144679</v>
      </c>
      <c r="Q790" s="302">
        <f t="shared" ca="1" si="593"/>
        <v>2.6669266363360027</v>
      </c>
      <c r="R790" s="302">
        <f t="shared" ca="1" si="593"/>
        <v>2.914767011681187</v>
      </c>
      <c r="S790" s="302">
        <f t="shared" ca="1" si="593"/>
        <v>3.3390853558985705</v>
      </c>
      <c r="T790" s="302">
        <f t="shared" ca="1" si="593"/>
        <v>3.5607966907626825</v>
      </c>
    </row>
    <row r="791" spans="2:20" ht="13.5" customHeight="1" outlineLevel="1">
      <c r="B791" s="38" t="str">
        <f t="shared" si="586"/>
        <v>Seller note</v>
      </c>
      <c r="E791" s="302">
        <f t="shared" ca="1" si="587"/>
        <v>0.24010652310864219</v>
      </c>
      <c r="F791" s="302">
        <f t="shared" ca="1" si="587"/>
        <v>0.25325072107124452</v>
      </c>
      <c r="G791" s="302">
        <f t="shared" ca="1" si="587"/>
        <v>0.26069585021619612</v>
      </c>
      <c r="H791" s="302">
        <f t="shared" ca="1" si="587"/>
        <v>0.26814097936114772</v>
      </c>
      <c r="J791" s="310">
        <f t="shared" ca="1" si="588"/>
        <v>0.26814097936114772</v>
      </c>
      <c r="K791" s="302">
        <f t="shared" ref="K791:T791" ca="1" si="594">(K$176+K598*(1-K$209*(1-$J886)))/(K$814+K778)</f>
        <v>1.6208117100810289</v>
      </c>
      <c r="L791" s="302">
        <f t="shared" ca="1" si="594"/>
        <v>1.324327425809358</v>
      </c>
      <c r="M791" s="302">
        <f t="shared" ca="1" si="594"/>
        <v>1.4602708614992912</v>
      </c>
      <c r="N791" s="302">
        <f t="shared" ca="1" si="594"/>
        <v>1.6071949531134604</v>
      </c>
      <c r="O791" s="302">
        <f t="shared" ca="1" si="594"/>
        <v>1.763688109432906</v>
      </c>
      <c r="P791" s="302">
        <f t="shared" ca="1" si="594"/>
        <v>2.3915649358144679</v>
      </c>
      <c r="Q791" s="302">
        <f t="shared" ca="1" si="594"/>
        <v>2.6669266363360027</v>
      </c>
      <c r="R791" s="302">
        <f t="shared" ca="1" si="594"/>
        <v>2.914767011681187</v>
      </c>
      <c r="S791" s="302">
        <f t="shared" ca="1" si="594"/>
        <v>3.3390853558985705</v>
      </c>
      <c r="T791" s="302">
        <f t="shared" ca="1" si="594"/>
        <v>3.5607966907626825</v>
      </c>
    </row>
    <row r="792" spans="2:20" ht="13.5" customHeight="1" outlineLevel="1">
      <c r="B792" s="38" t="str">
        <f t="shared" si="586"/>
        <v>Convertible bond</v>
      </c>
      <c r="E792" s="302">
        <f t="shared" ca="1" si="587"/>
        <v>0.24010652310864219</v>
      </c>
      <c r="F792" s="302">
        <f t="shared" ca="1" si="587"/>
        <v>0.25325072107124452</v>
      </c>
      <c r="G792" s="302">
        <f t="shared" ca="1" si="587"/>
        <v>0.26069585021619612</v>
      </c>
      <c r="H792" s="302">
        <f t="shared" ca="1" si="587"/>
        <v>0.26814097936114772</v>
      </c>
      <c r="J792" s="310">
        <f t="shared" ca="1" si="588"/>
        <v>0.26814097936114772</v>
      </c>
      <c r="K792" s="302">
        <f t="shared" ref="K792:T792" ca="1" si="595">(K$176+K599*(1-K$209*(1-$J887)))/(K$814+K779)</f>
        <v>1.6208117100810289</v>
      </c>
      <c r="L792" s="302">
        <f t="shared" ca="1" si="595"/>
        <v>1.324327425809358</v>
      </c>
      <c r="M792" s="302">
        <f t="shared" ca="1" si="595"/>
        <v>1.4602708614992912</v>
      </c>
      <c r="N792" s="302">
        <f t="shared" ca="1" si="595"/>
        <v>1.6071949531134604</v>
      </c>
      <c r="O792" s="302">
        <f t="shared" ca="1" si="595"/>
        <v>1.763688109432906</v>
      </c>
      <c r="P792" s="302">
        <f t="shared" ca="1" si="595"/>
        <v>2.3915649358144679</v>
      </c>
      <c r="Q792" s="302">
        <f t="shared" ca="1" si="595"/>
        <v>2.6669266363360027</v>
      </c>
      <c r="R792" s="302">
        <f t="shared" ca="1" si="595"/>
        <v>2.914767011681187</v>
      </c>
      <c r="S792" s="302">
        <f t="shared" ca="1" si="595"/>
        <v>3.3390853558985705</v>
      </c>
      <c r="T792" s="302">
        <f t="shared" ca="1" si="595"/>
        <v>3.5607966907626825</v>
      </c>
    </row>
    <row r="793" spans="2:20" ht="13.5" customHeight="1" outlineLevel="1">
      <c r="B793" s="38" t="str">
        <f t="shared" si="586"/>
        <v>[Debt 8]</v>
      </c>
      <c r="E793" s="302">
        <f t="shared" ca="1" si="587"/>
        <v>0.24010652310864219</v>
      </c>
      <c r="F793" s="302">
        <f t="shared" ca="1" si="587"/>
        <v>0.25325072107124452</v>
      </c>
      <c r="G793" s="302">
        <f t="shared" ca="1" si="587"/>
        <v>0.26069585021619612</v>
      </c>
      <c r="H793" s="302">
        <f t="shared" ca="1" si="587"/>
        <v>0.26814097936114772</v>
      </c>
      <c r="J793" s="310">
        <f t="shared" ca="1" si="588"/>
        <v>0.26814097936114772</v>
      </c>
      <c r="K793" s="302">
        <f t="shared" ref="K793:T793" ca="1" si="596">(K$176+K600*(1-K$209*(1-$J888)))/(K$814+K780)</f>
        <v>1.6208117100810289</v>
      </c>
      <c r="L793" s="302">
        <f t="shared" ca="1" si="596"/>
        <v>1.324327425809358</v>
      </c>
      <c r="M793" s="302">
        <f t="shared" ca="1" si="596"/>
        <v>1.4602708614992912</v>
      </c>
      <c r="N793" s="302">
        <f t="shared" ca="1" si="596"/>
        <v>1.6071949531134604</v>
      </c>
      <c r="O793" s="302">
        <f t="shared" ca="1" si="596"/>
        <v>1.763688109432906</v>
      </c>
      <c r="P793" s="302">
        <f t="shared" ca="1" si="596"/>
        <v>2.3915649358144679</v>
      </c>
      <c r="Q793" s="302">
        <f t="shared" ca="1" si="596"/>
        <v>2.6669266363360027</v>
      </c>
      <c r="R793" s="302">
        <f t="shared" ca="1" si="596"/>
        <v>2.914767011681187</v>
      </c>
      <c r="S793" s="302">
        <f t="shared" ca="1" si="596"/>
        <v>3.3390853558985705</v>
      </c>
      <c r="T793" s="302">
        <f t="shared" ca="1" si="596"/>
        <v>3.5607966907626825</v>
      </c>
    </row>
    <row r="794" spans="2:20" ht="13.5" customHeight="1" outlineLevel="1">
      <c r="B794" s="38" t="str">
        <f t="shared" si="586"/>
        <v>Preferred stock - A</v>
      </c>
      <c r="E794" s="302">
        <f t="shared" ca="1" si="587"/>
        <v>0.24010652310864219</v>
      </c>
      <c r="F794" s="302">
        <f t="shared" ca="1" si="587"/>
        <v>0.25325072107124452</v>
      </c>
      <c r="G794" s="302">
        <f t="shared" ca="1" si="587"/>
        <v>0.26069585021619612</v>
      </c>
      <c r="H794" s="302">
        <f t="shared" ca="1" si="587"/>
        <v>0.26814097936114772</v>
      </c>
      <c r="J794" s="310">
        <f t="shared" ca="1" si="588"/>
        <v>0.26814097936114772</v>
      </c>
      <c r="K794" s="302">
        <f t="shared" ref="K794:T794" ca="1" si="597">(K$176+K601*(1-K$209*(1-$J889)))/(K$814+K781)</f>
        <v>1.658508262440834</v>
      </c>
      <c r="L794" s="302">
        <f t="shared" ca="1" si="597"/>
        <v>1.3620239781691632</v>
      </c>
      <c r="M794" s="302">
        <f t="shared" ca="1" si="597"/>
        <v>1.4979674138590964</v>
      </c>
      <c r="N794" s="302">
        <f t="shared" ca="1" si="597"/>
        <v>1.6448915054732656</v>
      </c>
      <c r="O794" s="302">
        <f t="shared" ca="1" si="597"/>
        <v>1.8013846617927112</v>
      </c>
      <c r="P794" s="302">
        <f t="shared" ca="1" si="597"/>
        <v>2.4292614881742729</v>
      </c>
      <c r="Q794" s="302">
        <f t="shared" ca="1" si="597"/>
        <v>2.7046231886958076</v>
      </c>
      <c r="R794" s="302">
        <f t="shared" ca="1" si="597"/>
        <v>2.9524635640409924</v>
      </c>
      <c r="S794" s="302">
        <f t="shared" ca="1" si="597"/>
        <v>3.3767819082583754</v>
      </c>
      <c r="T794" s="302">
        <f t="shared" ca="1" si="597"/>
        <v>3.5984932431224874</v>
      </c>
    </row>
    <row r="795" spans="2:20" ht="13.5" customHeight="1" outlineLevel="1">
      <c r="B795" s="38" t="str">
        <f t="shared" si="586"/>
        <v>Preferred stock - B</v>
      </c>
      <c r="E795" s="302">
        <f t="shared" ca="1" si="587"/>
        <v>0.24010652310864219</v>
      </c>
      <c r="F795" s="302">
        <f t="shared" ca="1" si="587"/>
        <v>0.25325072107124452</v>
      </c>
      <c r="G795" s="302">
        <f t="shared" ca="1" si="587"/>
        <v>0.26069585021619612</v>
      </c>
      <c r="H795" s="302">
        <f t="shared" ca="1" si="587"/>
        <v>0.26814097936114772</v>
      </c>
      <c r="J795" s="310">
        <f t="shared" ca="1" si="588"/>
        <v>0.26814097936114772</v>
      </c>
      <c r="K795" s="302">
        <f t="shared" ref="K795:T795" ca="1" si="598">(K$176+K602*(1-K$209*(1-$J890)))/(K$814+K782)</f>
        <v>1.6208117100810289</v>
      </c>
      <c r="L795" s="302">
        <f t="shared" ca="1" si="598"/>
        <v>1.324327425809358</v>
      </c>
      <c r="M795" s="302">
        <f t="shared" ca="1" si="598"/>
        <v>1.4602708614992912</v>
      </c>
      <c r="N795" s="302">
        <f t="shared" ca="1" si="598"/>
        <v>1.6071949531134604</v>
      </c>
      <c r="O795" s="302">
        <f t="shared" ca="1" si="598"/>
        <v>1.763688109432906</v>
      </c>
      <c r="P795" s="302">
        <f t="shared" ca="1" si="598"/>
        <v>2.3915649358144679</v>
      </c>
      <c r="Q795" s="302">
        <f t="shared" ca="1" si="598"/>
        <v>2.6669266363360027</v>
      </c>
      <c r="R795" s="302">
        <f t="shared" ca="1" si="598"/>
        <v>2.914767011681187</v>
      </c>
      <c r="S795" s="302">
        <f t="shared" ca="1" si="598"/>
        <v>3.3390853558985705</v>
      </c>
      <c r="T795" s="302">
        <f t="shared" ca="1" si="598"/>
        <v>3.5607966907626825</v>
      </c>
    </row>
    <row r="796" spans="2:20" ht="13.5" customHeight="1" outlineLevel="1">
      <c r="J796" s="240"/>
    </row>
    <row r="797" spans="2:20" ht="13.5" customHeight="1" outlineLevel="1">
      <c r="B797" s="307" t="s">
        <v>384</v>
      </c>
      <c r="E797" s="302">
        <f ca="1">E176/E814</f>
        <v>0.24010652310864219</v>
      </c>
      <c r="F797" s="302">
        <f ca="1">F176/F814</f>
        <v>0.25325072107124452</v>
      </c>
      <c r="G797" s="302">
        <f ca="1">G176/G814</f>
        <v>0.26069585021619612</v>
      </c>
      <c r="H797" s="302">
        <f ca="1">H176/H814</f>
        <v>0.26814097936114772</v>
      </c>
      <c r="J797" s="310">
        <f ca="1">H797</f>
        <v>0.26814097936114772</v>
      </c>
      <c r="K797" s="302">
        <f t="shared" ref="K797:T797" ca="1" si="599">K176/K814</f>
        <v>1.6208117100810289</v>
      </c>
      <c r="L797" s="302">
        <f t="shared" ca="1" si="599"/>
        <v>1.324327425809358</v>
      </c>
      <c r="M797" s="302">
        <f t="shared" ca="1" si="599"/>
        <v>1.4602708614992912</v>
      </c>
      <c r="N797" s="302">
        <f t="shared" ca="1" si="599"/>
        <v>1.6071949531134604</v>
      </c>
      <c r="O797" s="302">
        <f t="shared" ca="1" si="599"/>
        <v>1.763688109432906</v>
      </c>
      <c r="P797" s="302">
        <f t="shared" ca="1" si="599"/>
        <v>2.3915649358144679</v>
      </c>
      <c r="Q797" s="302">
        <f t="shared" ca="1" si="599"/>
        <v>2.6669266363360027</v>
      </c>
      <c r="R797" s="302">
        <f t="shared" ca="1" si="599"/>
        <v>2.914767011681187</v>
      </c>
      <c r="S797" s="302">
        <f t="shared" ca="1" si="599"/>
        <v>3.3390853558985705</v>
      </c>
      <c r="T797" s="302">
        <f t="shared" ca="1" si="599"/>
        <v>3.5607966907626825</v>
      </c>
    </row>
    <row r="798" spans="2:20" ht="13.5" customHeight="1" outlineLevel="1"/>
    <row r="799" spans="2:20" ht="13.5" customHeight="1" outlineLevel="1">
      <c r="B799" s="308" t="s">
        <v>385</v>
      </c>
    </row>
    <row r="800" spans="2:20" ht="13.5" customHeight="1" outlineLevel="1">
      <c r="B800" s="38" t="str">
        <f>B879</f>
        <v>Legacy debt</v>
      </c>
      <c r="E800" s="311">
        <f ca="1">(E785&lt;E$797)*1</f>
        <v>0</v>
      </c>
      <c r="F800" s="311">
        <f t="shared" ref="F800:H800" ca="1" si="600">(F785&lt;F$797)*1</f>
        <v>0</v>
      </c>
      <c r="G800" s="311">
        <f t="shared" ca="1" si="600"/>
        <v>0</v>
      </c>
      <c r="H800" s="311">
        <f t="shared" ca="1" si="600"/>
        <v>0</v>
      </c>
      <c r="J800" s="311">
        <f t="shared" ref="J800" ca="1" si="601">(J785&lt;J$797)*1</f>
        <v>0</v>
      </c>
      <c r="K800" s="311">
        <f t="shared" ref="K800:T800" ca="1" si="602">(K785&lt;K$797)*1</f>
        <v>0</v>
      </c>
      <c r="L800" s="311">
        <f t="shared" ca="1" si="602"/>
        <v>0</v>
      </c>
      <c r="M800" s="311">
        <f t="shared" ca="1" si="602"/>
        <v>0</v>
      </c>
      <c r="N800" s="311">
        <f t="shared" ca="1" si="602"/>
        <v>0</v>
      </c>
      <c r="O800" s="311">
        <f t="shared" ca="1" si="602"/>
        <v>0</v>
      </c>
      <c r="P800" s="311">
        <f t="shared" ca="1" si="602"/>
        <v>0</v>
      </c>
      <c r="Q800" s="311">
        <f t="shared" ca="1" si="602"/>
        <v>0</v>
      </c>
      <c r="R800" s="311">
        <f t="shared" ca="1" si="602"/>
        <v>0</v>
      </c>
      <c r="S800" s="311">
        <f t="shared" ca="1" si="602"/>
        <v>0</v>
      </c>
      <c r="T800" s="311">
        <f t="shared" ca="1" si="602"/>
        <v>0</v>
      </c>
    </row>
    <row r="801" spans="2:20" ht="13.5" customHeight="1" outlineLevel="1">
      <c r="B801" s="38" t="str">
        <f t="shared" ref="B801:B810" si="603">B881</f>
        <v>Term loan - A</v>
      </c>
      <c r="E801" s="311">
        <f t="shared" ref="E801:H810" ca="1" si="604">(E786&lt;E$797)*1</f>
        <v>0</v>
      </c>
      <c r="F801" s="311">
        <f t="shared" ca="1" si="604"/>
        <v>0</v>
      </c>
      <c r="G801" s="311">
        <f t="shared" ca="1" si="604"/>
        <v>0</v>
      </c>
      <c r="H801" s="311">
        <f t="shared" ca="1" si="604"/>
        <v>0</v>
      </c>
      <c r="J801" s="311">
        <f t="shared" ref="J801" ca="1" si="605">(J786&lt;J$797)*1</f>
        <v>0</v>
      </c>
      <c r="K801" s="311">
        <f t="shared" ref="K801:T801" ca="1" si="606">(K786&lt;K$797)*1</f>
        <v>0</v>
      </c>
      <c r="L801" s="311">
        <f t="shared" ca="1" si="606"/>
        <v>0</v>
      </c>
      <c r="M801" s="311">
        <f t="shared" ca="1" si="606"/>
        <v>0</v>
      </c>
      <c r="N801" s="311">
        <f t="shared" ca="1" si="606"/>
        <v>0</v>
      </c>
      <c r="O801" s="311">
        <f t="shared" ca="1" si="606"/>
        <v>0</v>
      </c>
      <c r="P801" s="311">
        <f t="shared" ca="1" si="606"/>
        <v>0</v>
      </c>
      <c r="Q801" s="311">
        <f t="shared" ca="1" si="606"/>
        <v>0</v>
      </c>
      <c r="R801" s="311">
        <f t="shared" ca="1" si="606"/>
        <v>0</v>
      </c>
      <c r="S801" s="311">
        <f t="shared" ca="1" si="606"/>
        <v>0</v>
      </c>
      <c r="T801" s="311">
        <f t="shared" ca="1" si="606"/>
        <v>0</v>
      </c>
    </row>
    <row r="802" spans="2:20" ht="13.5" customHeight="1" outlineLevel="1">
      <c r="B802" s="38" t="str">
        <f t="shared" si="603"/>
        <v>Term loan - B</v>
      </c>
      <c r="E802" s="311">
        <f t="shared" ca="1" si="604"/>
        <v>0</v>
      </c>
      <c r="F802" s="311">
        <f t="shared" ca="1" si="604"/>
        <v>0</v>
      </c>
      <c r="G802" s="311">
        <f t="shared" ca="1" si="604"/>
        <v>0</v>
      </c>
      <c r="H802" s="311">
        <f t="shared" ca="1" si="604"/>
        <v>0</v>
      </c>
      <c r="J802" s="311">
        <f t="shared" ref="J802" ca="1" si="607">(J787&lt;J$797)*1</f>
        <v>0</v>
      </c>
      <c r="K802" s="311">
        <f t="shared" ref="K802:T802" ca="1" si="608">(K787&lt;K$797)*1</f>
        <v>0</v>
      </c>
      <c r="L802" s="311">
        <f t="shared" ca="1" si="608"/>
        <v>0</v>
      </c>
      <c r="M802" s="311">
        <f t="shared" ca="1" si="608"/>
        <v>0</v>
      </c>
      <c r="N802" s="311">
        <f t="shared" ca="1" si="608"/>
        <v>0</v>
      </c>
      <c r="O802" s="311">
        <f t="shared" ca="1" si="608"/>
        <v>0</v>
      </c>
      <c r="P802" s="311">
        <f t="shared" ca="1" si="608"/>
        <v>0</v>
      </c>
      <c r="Q802" s="311">
        <f t="shared" ca="1" si="608"/>
        <v>0</v>
      </c>
      <c r="R802" s="311">
        <f t="shared" ca="1" si="608"/>
        <v>0</v>
      </c>
      <c r="S802" s="311">
        <f t="shared" ca="1" si="608"/>
        <v>0</v>
      </c>
      <c r="T802" s="311">
        <f t="shared" ca="1" si="608"/>
        <v>0</v>
      </c>
    </row>
    <row r="803" spans="2:20" ht="13.5" customHeight="1" outlineLevel="1">
      <c r="B803" s="38" t="str">
        <f t="shared" si="603"/>
        <v>Senior note</v>
      </c>
      <c r="E803" s="311">
        <f t="shared" ca="1" si="604"/>
        <v>0</v>
      </c>
      <c r="F803" s="311">
        <f t="shared" ca="1" si="604"/>
        <v>0</v>
      </c>
      <c r="G803" s="311">
        <f t="shared" ca="1" si="604"/>
        <v>0</v>
      </c>
      <c r="H803" s="311">
        <f t="shared" ca="1" si="604"/>
        <v>0</v>
      </c>
      <c r="J803" s="311">
        <f t="shared" ref="J803" ca="1" si="609">(J788&lt;J$797)*1</f>
        <v>0</v>
      </c>
      <c r="K803" s="311">
        <f t="shared" ref="K803:T803" ca="1" si="610">(K788&lt;K$797)*1</f>
        <v>0</v>
      </c>
      <c r="L803" s="311">
        <f t="shared" ca="1" si="610"/>
        <v>0</v>
      </c>
      <c r="M803" s="311">
        <f t="shared" ca="1" si="610"/>
        <v>0</v>
      </c>
      <c r="N803" s="311">
        <f t="shared" ca="1" si="610"/>
        <v>0</v>
      </c>
      <c r="O803" s="311">
        <f t="shared" ca="1" si="610"/>
        <v>0</v>
      </c>
      <c r="P803" s="311">
        <f t="shared" ca="1" si="610"/>
        <v>0</v>
      </c>
      <c r="Q803" s="311">
        <f t="shared" ca="1" si="610"/>
        <v>0</v>
      </c>
      <c r="R803" s="311">
        <f t="shared" ca="1" si="610"/>
        <v>0</v>
      </c>
      <c r="S803" s="311">
        <f t="shared" ca="1" si="610"/>
        <v>0</v>
      </c>
      <c r="T803" s="311">
        <f t="shared" ca="1" si="610"/>
        <v>0</v>
      </c>
    </row>
    <row r="804" spans="2:20" ht="13.5" customHeight="1" outlineLevel="1">
      <c r="B804" s="38" t="str">
        <f t="shared" si="603"/>
        <v>Subordinated note</v>
      </c>
      <c r="E804" s="311">
        <f t="shared" ca="1" si="604"/>
        <v>0</v>
      </c>
      <c r="F804" s="311">
        <f t="shared" ca="1" si="604"/>
        <v>0</v>
      </c>
      <c r="G804" s="311">
        <f t="shared" ca="1" si="604"/>
        <v>0</v>
      </c>
      <c r="H804" s="311">
        <f t="shared" ca="1" si="604"/>
        <v>0</v>
      </c>
      <c r="J804" s="311">
        <f t="shared" ref="J804" ca="1" si="611">(J789&lt;J$797)*1</f>
        <v>0</v>
      </c>
      <c r="K804" s="311">
        <f t="shared" ref="K804:T804" ca="1" si="612">(K789&lt;K$797)*1</f>
        <v>0</v>
      </c>
      <c r="L804" s="311">
        <f t="shared" ca="1" si="612"/>
        <v>0</v>
      </c>
      <c r="M804" s="311">
        <f t="shared" ca="1" si="612"/>
        <v>0</v>
      </c>
      <c r="N804" s="311">
        <f t="shared" ca="1" si="612"/>
        <v>0</v>
      </c>
      <c r="O804" s="311">
        <f t="shared" ca="1" si="612"/>
        <v>0</v>
      </c>
      <c r="P804" s="311">
        <f t="shared" ca="1" si="612"/>
        <v>0</v>
      </c>
      <c r="Q804" s="311">
        <f t="shared" ca="1" si="612"/>
        <v>0</v>
      </c>
      <c r="R804" s="311">
        <f t="shared" ca="1" si="612"/>
        <v>0</v>
      </c>
      <c r="S804" s="311">
        <f t="shared" ca="1" si="612"/>
        <v>0</v>
      </c>
      <c r="T804" s="311">
        <f t="shared" ca="1" si="612"/>
        <v>0</v>
      </c>
    </row>
    <row r="805" spans="2:20" ht="13.5" customHeight="1" outlineLevel="1">
      <c r="B805" s="38" t="str">
        <f t="shared" si="603"/>
        <v>Mezzanine</v>
      </c>
      <c r="E805" s="311">
        <f t="shared" ca="1" si="604"/>
        <v>0</v>
      </c>
      <c r="F805" s="311">
        <f t="shared" ca="1" si="604"/>
        <v>0</v>
      </c>
      <c r="G805" s="311">
        <f t="shared" ca="1" si="604"/>
        <v>0</v>
      </c>
      <c r="H805" s="311">
        <f t="shared" ca="1" si="604"/>
        <v>0</v>
      </c>
      <c r="J805" s="311">
        <f t="shared" ref="J805" ca="1" si="613">(J790&lt;J$797)*1</f>
        <v>0</v>
      </c>
      <c r="K805" s="311">
        <f t="shared" ref="K805:T805" ca="1" si="614">(K790&lt;K$797)*1</f>
        <v>0</v>
      </c>
      <c r="L805" s="311">
        <f t="shared" ca="1" si="614"/>
        <v>0</v>
      </c>
      <c r="M805" s="311">
        <f t="shared" ca="1" si="614"/>
        <v>0</v>
      </c>
      <c r="N805" s="311">
        <f t="shared" ca="1" si="614"/>
        <v>0</v>
      </c>
      <c r="O805" s="311">
        <f t="shared" ca="1" si="614"/>
        <v>0</v>
      </c>
      <c r="P805" s="311">
        <f t="shared" ca="1" si="614"/>
        <v>0</v>
      </c>
      <c r="Q805" s="311">
        <f t="shared" ca="1" si="614"/>
        <v>0</v>
      </c>
      <c r="R805" s="311">
        <f t="shared" ca="1" si="614"/>
        <v>0</v>
      </c>
      <c r="S805" s="311">
        <f t="shared" ca="1" si="614"/>
        <v>0</v>
      </c>
      <c r="T805" s="311">
        <f t="shared" ca="1" si="614"/>
        <v>0</v>
      </c>
    </row>
    <row r="806" spans="2:20" ht="13.5" customHeight="1" outlineLevel="1">
      <c r="B806" s="38" t="str">
        <f t="shared" si="603"/>
        <v>Seller note</v>
      </c>
      <c r="E806" s="311">
        <f t="shared" ca="1" si="604"/>
        <v>0</v>
      </c>
      <c r="F806" s="311">
        <f t="shared" ca="1" si="604"/>
        <v>0</v>
      </c>
      <c r="G806" s="311">
        <f t="shared" ca="1" si="604"/>
        <v>0</v>
      </c>
      <c r="H806" s="311">
        <f t="shared" ca="1" si="604"/>
        <v>0</v>
      </c>
      <c r="J806" s="311">
        <f t="shared" ref="J806" ca="1" si="615">(J791&lt;J$797)*1</f>
        <v>0</v>
      </c>
      <c r="K806" s="311">
        <f t="shared" ref="K806:T806" ca="1" si="616">(K791&lt;K$797)*1</f>
        <v>0</v>
      </c>
      <c r="L806" s="311">
        <f t="shared" ca="1" si="616"/>
        <v>0</v>
      </c>
      <c r="M806" s="311">
        <f t="shared" ca="1" si="616"/>
        <v>0</v>
      </c>
      <c r="N806" s="311">
        <f t="shared" ca="1" si="616"/>
        <v>0</v>
      </c>
      <c r="O806" s="311">
        <f t="shared" ca="1" si="616"/>
        <v>0</v>
      </c>
      <c r="P806" s="311">
        <f t="shared" ca="1" si="616"/>
        <v>0</v>
      </c>
      <c r="Q806" s="311">
        <f t="shared" ca="1" si="616"/>
        <v>0</v>
      </c>
      <c r="R806" s="311">
        <f t="shared" ca="1" si="616"/>
        <v>0</v>
      </c>
      <c r="S806" s="311">
        <f t="shared" ca="1" si="616"/>
        <v>0</v>
      </c>
      <c r="T806" s="311">
        <f t="shared" ca="1" si="616"/>
        <v>0</v>
      </c>
    </row>
    <row r="807" spans="2:20" ht="13.5" customHeight="1" outlineLevel="1">
      <c r="B807" s="38" t="str">
        <f t="shared" si="603"/>
        <v>Convertible bond</v>
      </c>
      <c r="E807" s="311">
        <f t="shared" ca="1" si="604"/>
        <v>0</v>
      </c>
      <c r="F807" s="311">
        <f t="shared" ca="1" si="604"/>
        <v>0</v>
      </c>
      <c r="G807" s="311">
        <f t="shared" ca="1" si="604"/>
        <v>0</v>
      </c>
      <c r="H807" s="311">
        <f t="shared" ca="1" si="604"/>
        <v>0</v>
      </c>
      <c r="J807" s="311">
        <f t="shared" ref="J807" ca="1" si="617">(J792&lt;J$797)*1</f>
        <v>0</v>
      </c>
      <c r="K807" s="311">
        <f t="shared" ref="K807:T807" ca="1" si="618">(K792&lt;K$797)*1</f>
        <v>0</v>
      </c>
      <c r="L807" s="311">
        <f t="shared" ca="1" si="618"/>
        <v>0</v>
      </c>
      <c r="M807" s="311">
        <f t="shared" ca="1" si="618"/>
        <v>0</v>
      </c>
      <c r="N807" s="311">
        <f t="shared" ca="1" si="618"/>
        <v>0</v>
      </c>
      <c r="O807" s="311">
        <f t="shared" ca="1" si="618"/>
        <v>0</v>
      </c>
      <c r="P807" s="311">
        <f t="shared" ca="1" si="618"/>
        <v>0</v>
      </c>
      <c r="Q807" s="311">
        <f t="shared" ca="1" si="618"/>
        <v>0</v>
      </c>
      <c r="R807" s="311">
        <f t="shared" ca="1" si="618"/>
        <v>0</v>
      </c>
      <c r="S807" s="311">
        <f t="shared" ca="1" si="618"/>
        <v>0</v>
      </c>
      <c r="T807" s="311">
        <f t="shared" ca="1" si="618"/>
        <v>0</v>
      </c>
    </row>
    <row r="808" spans="2:20" ht="13.5" customHeight="1" outlineLevel="1">
      <c r="B808" s="38" t="str">
        <f t="shared" si="603"/>
        <v>[Debt 8]</v>
      </c>
      <c r="E808" s="311">
        <f t="shared" ca="1" si="604"/>
        <v>0</v>
      </c>
      <c r="F808" s="311">
        <f t="shared" ca="1" si="604"/>
        <v>0</v>
      </c>
      <c r="G808" s="311">
        <f t="shared" ca="1" si="604"/>
        <v>0</v>
      </c>
      <c r="H808" s="311">
        <f t="shared" ca="1" si="604"/>
        <v>0</v>
      </c>
      <c r="J808" s="311">
        <f t="shared" ref="J808" ca="1" si="619">(J793&lt;J$797)*1</f>
        <v>0</v>
      </c>
      <c r="K808" s="311">
        <f t="shared" ref="K808:T808" ca="1" si="620">(K793&lt;K$797)*1</f>
        <v>0</v>
      </c>
      <c r="L808" s="311">
        <f t="shared" ca="1" si="620"/>
        <v>0</v>
      </c>
      <c r="M808" s="311">
        <f t="shared" ca="1" si="620"/>
        <v>0</v>
      </c>
      <c r="N808" s="311">
        <f t="shared" ca="1" si="620"/>
        <v>0</v>
      </c>
      <c r="O808" s="311">
        <f t="shared" ca="1" si="620"/>
        <v>0</v>
      </c>
      <c r="P808" s="311">
        <f t="shared" ca="1" si="620"/>
        <v>0</v>
      </c>
      <c r="Q808" s="311">
        <f t="shared" ca="1" si="620"/>
        <v>0</v>
      </c>
      <c r="R808" s="311">
        <f t="shared" ca="1" si="620"/>
        <v>0</v>
      </c>
      <c r="S808" s="311">
        <f t="shared" ca="1" si="620"/>
        <v>0</v>
      </c>
      <c r="T808" s="311">
        <f t="shared" ca="1" si="620"/>
        <v>0</v>
      </c>
    </row>
    <row r="809" spans="2:20" ht="13.5" customHeight="1" outlineLevel="1">
      <c r="B809" s="38" t="str">
        <f t="shared" si="603"/>
        <v>Preferred stock - A</v>
      </c>
      <c r="E809" s="311">
        <f t="shared" ca="1" si="604"/>
        <v>0</v>
      </c>
      <c r="F809" s="311">
        <f t="shared" ca="1" si="604"/>
        <v>0</v>
      </c>
      <c r="G809" s="311">
        <f t="shared" ca="1" si="604"/>
        <v>0</v>
      </c>
      <c r="H809" s="311">
        <f t="shared" ca="1" si="604"/>
        <v>0</v>
      </c>
      <c r="J809" s="311">
        <f t="shared" ref="J809" ca="1" si="621">(J794&lt;J$797)*1</f>
        <v>0</v>
      </c>
      <c r="K809" s="311">
        <f t="shared" ref="K809:T809" ca="1" si="622">(K794&lt;K$797)*1</f>
        <v>0</v>
      </c>
      <c r="L809" s="311">
        <f t="shared" ca="1" si="622"/>
        <v>0</v>
      </c>
      <c r="M809" s="311">
        <f t="shared" ca="1" si="622"/>
        <v>0</v>
      </c>
      <c r="N809" s="311">
        <f t="shared" ca="1" si="622"/>
        <v>0</v>
      </c>
      <c r="O809" s="311">
        <f t="shared" ca="1" si="622"/>
        <v>0</v>
      </c>
      <c r="P809" s="311">
        <f t="shared" ca="1" si="622"/>
        <v>0</v>
      </c>
      <c r="Q809" s="311">
        <f t="shared" ca="1" si="622"/>
        <v>0</v>
      </c>
      <c r="R809" s="311">
        <f t="shared" ca="1" si="622"/>
        <v>0</v>
      </c>
      <c r="S809" s="311">
        <f t="shared" ca="1" si="622"/>
        <v>0</v>
      </c>
      <c r="T809" s="311">
        <f t="shared" ca="1" si="622"/>
        <v>0</v>
      </c>
    </row>
    <row r="810" spans="2:20" ht="13.5" customHeight="1" outlineLevel="1">
      <c r="B810" s="38" t="str">
        <f t="shared" si="603"/>
        <v>Preferred stock - B</v>
      </c>
      <c r="E810" s="311">
        <f t="shared" ca="1" si="604"/>
        <v>0</v>
      </c>
      <c r="F810" s="311">
        <f t="shared" ca="1" si="604"/>
        <v>0</v>
      </c>
      <c r="G810" s="311">
        <f t="shared" ca="1" si="604"/>
        <v>0</v>
      </c>
      <c r="H810" s="311">
        <f t="shared" ca="1" si="604"/>
        <v>0</v>
      </c>
      <c r="J810" s="311">
        <f t="shared" ref="J810" ca="1" si="623">(J795&lt;J$797)*1</f>
        <v>0</v>
      </c>
      <c r="K810" s="311">
        <f t="shared" ref="K810:T810" ca="1" si="624">(K795&lt;K$797)*1</f>
        <v>0</v>
      </c>
      <c r="L810" s="311">
        <f t="shared" ca="1" si="624"/>
        <v>0</v>
      </c>
      <c r="M810" s="311">
        <f t="shared" ca="1" si="624"/>
        <v>0</v>
      </c>
      <c r="N810" s="311">
        <f t="shared" ca="1" si="624"/>
        <v>0</v>
      </c>
      <c r="O810" s="311">
        <f t="shared" ca="1" si="624"/>
        <v>0</v>
      </c>
      <c r="P810" s="311">
        <f t="shared" ca="1" si="624"/>
        <v>0</v>
      </c>
      <c r="Q810" s="311">
        <f t="shared" ca="1" si="624"/>
        <v>0</v>
      </c>
      <c r="R810" s="311">
        <f t="shared" ca="1" si="624"/>
        <v>0</v>
      </c>
      <c r="S810" s="311">
        <f t="shared" ca="1" si="624"/>
        <v>0</v>
      </c>
      <c r="T810" s="311">
        <f t="shared" ca="1" si="624"/>
        <v>0</v>
      </c>
    </row>
    <row r="811" spans="2:20" ht="13.5" customHeight="1" outlineLevel="1"/>
    <row r="812" spans="2:20" s="35" customFormat="1" ht="13.5" customHeight="1" outlineLevel="1">
      <c r="B812" s="46" t="s">
        <v>195</v>
      </c>
      <c r="C812" s="47"/>
      <c r="D812" s="47"/>
      <c r="E812" s="47"/>
      <c r="F812" s="47"/>
      <c r="G812" s="47"/>
      <c r="H812" s="47"/>
      <c r="I812" s="47"/>
      <c r="J812" s="47"/>
      <c r="K812" s="47"/>
      <c r="L812" s="47"/>
      <c r="M812" s="47"/>
      <c r="N812" s="47"/>
      <c r="O812" s="47"/>
      <c r="P812" s="47"/>
      <c r="Q812" s="47"/>
      <c r="R812" s="47"/>
      <c r="S812" s="47"/>
      <c r="T812" s="48"/>
    </row>
    <row r="813" spans="2:20" ht="5.0999999999999996" customHeight="1" outlineLevel="1">
      <c r="I813" s="214"/>
    </row>
    <row r="814" spans="2:20" ht="13.5" customHeight="1" outlineLevel="1">
      <c r="B814" s="38" t="s">
        <v>105</v>
      </c>
      <c r="C814" s="246"/>
      <c r="E814" s="427">
        <v>34.921999999999997</v>
      </c>
      <c r="F814" s="65">
        <f>E814</f>
        <v>34.921999999999997</v>
      </c>
      <c r="G814" s="65">
        <f t="shared" ref="G814:H814" si="625">F814</f>
        <v>34.921999999999997</v>
      </c>
      <c r="H814" s="65">
        <f t="shared" si="625"/>
        <v>34.921999999999997</v>
      </c>
      <c r="I814" s="312">
        <f ca="1">IF(LBO,-H814+D26/$P$12,0)</f>
        <v>-3.0888501526009087</v>
      </c>
      <c r="J814" s="313">
        <f ca="1">SUM(H814:I814)</f>
        <v>31.833149847399088</v>
      </c>
      <c r="K814" s="65">
        <f ca="1">J814</f>
        <v>31.833149847399088</v>
      </c>
      <c r="L814" s="65">
        <f t="shared" ref="L814:T814" ca="1" si="626">K814</f>
        <v>31.833149847399088</v>
      </c>
      <c r="M814" s="65">
        <f t="shared" ca="1" si="626"/>
        <v>31.833149847399088</v>
      </c>
      <c r="N814" s="65">
        <f t="shared" ca="1" si="626"/>
        <v>31.833149847399088</v>
      </c>
      <c r="O814" s="65">
        <f t="shared" ca="1" si="626"/>
        <v>31.833149847399088</v>
      </c>
      <c r="P814" s="65">
        <f t="shared" ca="1" si="626"/>
        <v>31.833149847399088</v>
      </c>
      <c r="Q814" s="65">
        <f t="shared" ca="1" si="626"/>
        <v>31.833149847399088</v>
      </c>
      <c r="R814" s="65">
        <f t="shared" ca="1" si="626"/>
        <v>31.833149847399088</v>
      </c>
      <c r="S814" s="65">
        <f t="shared" ca="1" si="626"/>
        <v>31.833149847399088</v>
      </c>
      <c r="T814" s="65">
        <f t="shared" ca="1" si="626"/>
        <v>31.833149847399088</v>
      </c>
    </row>
    <row r="815" spans="2:20" ht="13.5" customHeight="1" outlineLevel="1">
      <c r="B815" s="38" t="s">
        <v>492</v>
      </c>
      <c r="C815" s="301"/>
      <c r="E815" s="65">
        <f>$K750</f>
        <v>9.9206088992974312E-2</v>
      </c>
      <c r="F815" s="65">
        <f>$K750</f>
        <v>9.9206088992974312E-2</v>
      </c>
      <c r="G815" s="65">
        <f>$K750</f>
        <v>9.9206088992974312E-2</v>
      </c>
      <c r="H815" s="65">
        <f>$K750</f>
        <v>9.9206088992974312E-2</v>
      </c>
      <c r="I815" s="312">
        <f>IF(LBO,-H815,0)</f>
        <v>-9.9206088992974312E-2</v>
      </c>
      <c r="J815" s="313">
        <f>SUM(H815:I815)</f>
        <v>0</v>
      </c>
      <c r="K815" s="65">
        <f>J815</f>
        <v>0</v>
      </c>
      <c r="L815" s="65">
        <f t="shared" ref="L815:T815" si="627">K815</f>
        <v>0</v>
      </c>
      <c r="M815" s="65">
        <f t="shared" si="627"/>
        <v>0</v>
      </c>
      <c r="N815" s="65">
        <f t="shared" si="627"/>
        <v>0</v>
      </c>
      <c r="O815" s="65">
        <f t="shared" si="627"/>
        <v>0</v>
      </c>
      <c r="P815" s="65">
        <f t="shared" si="627"/>
        <v>0</v>
      </c>
      <c r="Q815" s="65">
        <f t="shared" si="627"/>
        <v>0</v>
      </c>
      <c r="R815" s="65">
        <f t="shared" si="627"/>
        <v>0</v>
      </c>
      <c r="S815" s="65">
        <f t="shared" si="627"/>
        <v>0</v>
      </c>
      <c r="T815" s="65">
        <f t="shared" si="627"/>
        <v>0</v>
      </c>
    </row>
    <row r="816" spans="2:20" ht="13.5" customHeight="1" outlineLevel="1">
      <c r="B816" s="38" t="s">
        <v>387</v>
      </c>
      <c r="C816" s="301"/>
      <c r="E816" s="65">
        <f ca="1">SUMPRODUCT(E772:E782,E800:E810)</f>
        <v>0</v>
      </c>
      <c r="F816" s="65">
        <f t="shared" ref="F816:H816" ca="1" si="628">SUMPRODUCT(F772:F782,F800:F810)</f>
        <v>0</v>
      </c>
      <c r="G816" s="65">
        <f t="shared" ca="1" si="628"/>
        <v>0</v>
      </c>
      <c r="H816" s="65">
        <f t="shared" ca="1" si="628"/>
        <v>0</v>
      </c>
      <c r="I816" s="312"/>
      <c r="J816" s="65">
        <f t="shared" ref="J816:T816" ca="1" si="629">SUMPRODUCT(J772:J782,J800:J810)</f>
        <v>0</v>
      </c>
      <c r="K816" s="65">
        <f t="shared" ca="1" si="629"/>
        <v>0</v>
      </c>
      <c r="L816" s="65">
        <f t="shared" ca="1" si="629"/>
        <v>0</v>
      </c>
      <c r="M816" s="65">
        <f t="shared" ca="1" si="629"/>
        <v>0</v>
      </c>
      <c r="N816" s="65">
        <f t="shared" ca="1" si="629"/>
        <v>0</v>
      </c>
      <c r="O816" s="65">
        <f t="shared" ca="1" si="629"/>
        <v>0</v>
      </c>
      <c r="P816" s="65">
        <f t="shared" ca="1" si="629"/>
        <v>0</v>
      </c>
      <c r="Q816" s="65">
        <f t="shared" ca="1" si="629"/>
        <v>0</v>
      </c>
      <c r="R816" s="65">
        <f t="shared" ca="1" si="629"/>
        <v>0</v>
      </c>
      <c r="S816" s="65">
        <f t="shared" ca="1" si="629"/>
        <v>0</v>
      </c>
      <c r="T816" s="65">
        <f t="shared" ca="1" si="629"/>
        <v>0</v>
      </c>
    </row>
    <row r="817" spans="1:20" ht="13.5" customHeight="1" outlineLevel="1">
      <c r="B817" s="87" t="s">
        <v>106</v>
      </c>
      <c r="C817" s="314"/>
      <c r="D817" s="314"/>
      <c r="E817" s="315">
        <f t="shared" ref="E817:T817" ca="1" si="630">SUM(E814:E816)</f>
        <v>35.021206088992969</v>
      </c>
      <c r="F817" s="315">
        <f t="shared" ca="1" si="630"/>
        <v>35.021206088992969</v>
      </c>
      <c r="G817" s="315">
        <f t="shared" ca="1" si="630"/>
        <v>35.021206088992969</v>
      </c>
      <c r="H817" s="315">
        <f t="shared" ca="1" si="630"/>
        <v>35.021206088992969</v>
      </c>
      <c r="I817" s="316">
        <f t="shared" ca="1" si="630"/>
        <v>-3.1880562415938831</v>
      </c>
      <c r="J817" s="315">
        <f t="shared" ca="1" si="630"/>
        <v>31.833149847399088</v>
      </c>
      <c r="K817" s="315">
        <f t="shared" ca="1" si="630"/>
        <v>31.833149847399088</v>
      </c>
      <c r="L817" s="315">
        <f t="shared" ca="1" si="630"/>
        <v>31.833149847399088</v>
      </c>
      <c r="M817" s="315">
        <f t="shared" ca="1" si="630"/>
        <v>31.833149847399088</v>
      </c>
      <c r="N817" s="315">
        <f t="shared" ca="1" si="630"/>
        <v>31.833149847399088</v>
      </c>
      <c r="O817" s="315">
        <f t="shared" ca="1" si="630"/>
        <v>31.833149847399088</v>
      </c>
      <c r="P817" s="315">
        <f t="shared" ca="1" si="630"/>
        <v>31.833149847399088</v>
      </c>
      <c r="Q817" s="315">
        <f t="shared" ca="1" si="630"/>
        <v>31.833149847399088</v>
      </c>
      <c r="R817" s="315">
        <f t="shared" ca="1" si="630"/>
        <v>31.833149847399088</v>
      </c>
      <c r="S817" s="315">
        <f t="shared" ca="1" si="630"/>
        <v>31.833149847399088</v>
      </c>
      <c r="T817" s="315">
        <f t="shared" ca="1" si="630"/>
        <v>31.833149847399088</v>
      </c>
    </row>
    <row r="818" spans="1:20" ht="5.0999999999999996" customHeight="1" outlineLevel="1" thickBot="1">
      <c r="B818" s="144"/>
      <c r="C818" s="144"/>
      <c r="D818" s="144"/>
      <c r="E818" s="144"/>
      <c r="F818" s="144"/>
      <c r="G818" s="144"/>
      <c r="H818" s="144"/>
      <c r="I818" s="144"/>
      <c r="J818" s="144"/>
      <c r="K818" s="144"/>
      <c r="L818" s="144"/>
      <c r="M818" s="144"/>
      <c r="N818" s="144"/>
      <c r="O818" s="144"/>
      <c r="P818" s="144"/>
      <c r="Q818" s="144"/>
      <c r="R818" s="144"/>
      <c r="S818" s="144"/>
      <c r="T818" s="144"/>
    </row>
    <row r="819" spans="1:20" ht="13.5" customHeight="1" outlineLevel="1"/>
    <row r="820" spans="1:20" ht="13.5" customHeight="1" outlineLevel="1" thickBot="1"/>
    <row r="821" spans="1:20" s="35" customFormat="1" ht="20.100000000000001" customHeight="1" thickTop="1">
      <c r="A821" s="41" t="s">
        <v>313</v>
      </c>
      <c r="B821" s="42" t="s">
        <v>473</v>
      </c>
      <c r="C821" s="43"/>
      <c r="D821" s="44"/>
      <c r="E821" s="44"/>
      <c r="F821" s="44"/>
      <c r="G821" s="44"/>
      <c r="H821" s="44"/>
      <c r="I821" s="44"/>
      <c r="J821" s="44"/>
      <c r="K821" s="44"/>
      <c r="L821" s="44"/>
      <c r="M821" s="44"/>
      <c r="N821" s="44"/>
      <c r="O821" s="44"/>
      <c r="P821" s="44"/>
      <c r="Q821" s="44"/>
      <c r="R821" s="44"/>
      <c r="S821" s="44"/>
      <c r="T821" s="44"/>
    </row>
    <row r="822" spans="1:20" s="35" customFormat="1" ht="13.5" customHeight="1" outlineLevel="1">
      <c r="B822" s="146"/>
      <c r="T822" s="147" t="str">
        <f ca="1">err_msg</f>
        <v/>
      </c>
    </row>
    <row r="823" spans="1:20" ht="13.5" customHeight="1" outlineLevel="1" thickBot="1">
      <c r="B823" s="122" t="s">
        <v>201</v>
      </c>
      <c r="C823" s="199"/>
      <c r="D823" s="199"/>
      <c r="E823" s="199"/>
      <c r="F823" s="201"/>
      <c r="G823" s="201"/>
      <c r="H823" s="201"/>
      <c r="I823" s="317" t="s">
        <v>75</v>
      </c>
      <c r="J823" s="317"/>
      <c r="K823" s="317"/>
      <c r="L823" s="317"/>
      <c r="M823" s="317"/>
      <c r="N823" s="317"/>
      <c r="O823" s="201" t="s">
        <v>474</v>
      </c>
    </row>
    <row r="824" spans="1:20" ht="5.0999999999999996" customHeight="1" outlineLevel="1">
      <c r="I824" s="318"/>
      <c r="J824" s="318"/>
      <c r="K824" s="318"/>
      <c r="L824" s="318"/>
      <c r="M824" s="318"/>
      <c r="N824" s="318"/>
      <c r="O824" s="319"/>
    </row>
    <row r="825" spans="1:20" ht="13.5" customHeight="1" outlineLevel="1">
      <c r="B825" s="38" t="s">
        <v>76</v>
      </c>
      <c r="I825" s="404">
        <v>1</v>
      </c>
      <c r="J825" s="320">
        <f>I825+1</f>
        <v>2</v>
      </c>
      <c r="K825" s="320">
        <f>J825+1</f>
        <v>3</v>
      </c>
      <c r="L825" s="320">
        <f>K825+1</f>
        <v>4</v>
      </c>
      <c r="M825" s="320">
        <f>L825+1</f>
        <v>5</v>
      </c>
      <c r="N825" s="320">
        <f>M825+1</f>
        <v>6</v>
      </c>
      <c r="O825" s="321">
        <f>scenario</f>
        <v>6</v>
      </c>
    </row>
    <row r="826" spans="1:20" ht="13.5" customHeight="1" outlineLevel="1">
      <c r="B826" s="38" t="s">
        <v>77</v>
      </c>
      <c r="C826" s="322"/>
      <c r="D826" s="322"/>
      <c r="E826" s="322"/>
      <c r="F826" s="322"/>
      <c r="G826" s="322"/>
      <c r="H826" s="322"/>
      <c r="I826" s="431" t="s">
        <v>78</v>
      </c>
      <c r="J826" s="431" t="s">
        <v>79</v>
      </c>
      <c r="K826" s="431" t="s">
        <v>80</v>
      </c>
      <c r="L826" s="431" t="s">
        <v>81</v>
      </c>
      <c r="M826" s="431" t="s">
        <v>82</v>
      </c>
      <c r="N826" s="431" t="s">
        <v>83</v>
      </c>
      <c r="O826" s="323" t="str">
        <f>CHOOSE(O$825,I826,J826,K826,L826,M826,N826)</f>
        <v>LBO C</v>
      </c>
      <c r="P826" s="322"/>
      <c r="Q826" s="322"/>
      <c r="R826" s="322"/>
      <c r="S826" s="322"/>
      <c r="T826" s="322"/>
    </row>
    <row r="827" spans="1:20" ht="13.5" customHeight="1" outlineLevel="1">
      <c r="B827" s="38" t="s">
        <v>84</v>
      </c>
      <c r="I827" s="430">
        <v>0</v>
      </c>
      <c r="J827" s="430">
        <v>0</v>
      </c>
      <c r="K827" s="430">
        <v>0</v>
      </c>
      <c r="L827" s="430">
        <v>1</v>
      </c>
      <c r="M827" s="430">
        <v>1</v>
      </c>
      <c r="N827" s="430">
        <v>1</v>
      </c>
      <c r="O827" s="324">
        <f>CHOOSE(O$825,I827,J827,K827,L827,M827,N827)</f>
        <v>1</v>
      </c>
    </row>
    <row r="828" spans="1:20" ht="13.5" customHeight="1" outlineLevel="1">
      <c r="B828" s="38" t="s">
        <v>459</v>
      </c>
      <c r="I828" s="431">
        <v>0</v>
      </c>
      <c r="J828" s="431">
        <v>100</v>
      </c>
      <c r="K828" s="431">
        <v>100</v>
      </c>
      <c r="L828" s="431">
        <v>100</v>
      </c>
      <c r="M828" s="431">
        <v>100</v>
      </c>
      <c r="N828" s="431">
        <v>100</v>
      </c>
      <c r="O828" s="323">
        <f>CHOOSE(O$825,I828,J828,K828,L828,M828,N828)</f>
        <v>100</v>
      </c>
    </row>
    <row r="829" spans="1:20" ht="13.5" customHeight="1" outlineLevel="1">
      <c r="O829" s="214"/>
    </row>
    <row r="830" spans="1:20" ht="13.5" customHeight="1" outlineLevel="1">
      <c r="B830" s="46" t="s">
        <v>33</v>
      </c>
      <c r="C830" s="47"/>
      <c r="D830" s="47"/>
      <c r="E830" s="47"/>
      <c r="F830" s="47"/>
      <c r="G830" s="47"/>
      <c r="H830" s="47"/>
      <c r="I830" s="47"/>
      <c r="J830" s="47"/>
      <c r="K830" s="47"/>
      <c r="L830" s="47"/>
      <c r="M830" s="47"/>
      <c r="N830" s="47"/>
      <c r="O830" s="48"/>
    </row>
    <row r="831" spans="1:20" s="240" customFormat="1" ht="5.0999999999999996" customHeight="1" outlineLevel="1">
      <c r="A831" s="35"/>
      <c r="B831" s="35"/>
      <c r="C831" s="38"/>
      <c r="D831" s="38"/>
      <c r="E831" s="38"/>
      <c r="F831" s="38"/>
      <c r="G831" s="38"/>
      <c r="H831" s="38"/>
      <c r="I831" s="38"/>
      <c r="J831" s="325"/>
      <c r="K831" s="325"/>
      <c r="L831" s="325"/>
      <c r="M831" s="325"/>
      <c r="N831" s="325"/>
      <c r="O831" s="326"/>
      <c r="P831" s="327"/>
      <c r="Q831" s="327"/>
      <c r="R831" s="327"/>
      <c r="S831" s="327"/>
      <c r="T831" s="327"/>
    </row>
    <row r="832" spans="1:20" s="240" customFormat="1" ht="13.5" customHeight="1" outlineLevel="1">
      <c r="A832" s="35"/>
      <c r="B832" s="38" t="s">
        <v>230</v>
      </c>
      <c r="C832" s="38"/>
      <c r="D832" s="38"/>
      <c r="E832" s="38"/>
      <c r="F832" s="38"/>
      <c r="G832" s="38"/>
      <c r="H832" s="38"/>
      <c r="I832" s="431">
        <v>0</v>
      </c>
      <c r="J832" s="178">
        <f ca="1">$H$221-$K$23</f>
        <v>82.188343471646988</v>
      </c>
      <c r="K832" s="178">
        <f ca="1">$H$221-$K$23</f>
        <v>82.188343471646988</v>
      </c>
      <c r="L832" s="178">
        <f ca="1">$H$221-$K$23</f>
        <v>82.188343471646988</v>
      </c>
      <c r="M832" s="178">
        <f ca="1">$H$221-$K$23</f>
        <v>82.188343471646988</v>
      </c>
      <c r="N832" s="178">
        <f ca="1">$H$221-$K$23</f>
        <v>82.188343471646988</v>
      </c>
      <c r="O832" s="323">
        <f t="shared" ref="O832:O846" ca="1" si="631">CHOOSE(O$825,I832,J832,K832,L832,M832,N832)</f>
        <v>82.188343471646988</v>
      </c>
      <c r="P832" s="327"/>
      <c r="Q832" s="327"/>
      <c r="R832" s="327"/>
      <c r="S832" s="327"/>
      <c r="T832" s="327"/>
    </row>
    <row r="833" spans="1:20" s="240" customFormat="1" ht="13.5" customHeight="1" outlineLevel="1">
      <c r="A833" s="35"/>
      <c r="B833" s="38" t="s">
        <v>368</v>
      </c>
      <c r="C833" s="38"/>
      <c r="D833" s="38"/>
      <c r="E833" s="38"/>
      <c r="F833" s="38"/>
      <c r="G833" s="38"/>
      <c r="H833" s="38"/>
      <c r="I833" s="432">
        <v>0</v>
      </c>
      <c r="J833" s="158">
        <f>IF(J827,$H$750,0)</f>
        <v>0</v>
      </c>
      <c r="K833" s="158">
        <f>IF(K827,$H$750,0)</f>
        <v>0</v>
      </c>
      <c r="L833" s="158">
        <f>IF(L827,$H$750,0)</f>
        <v>14.05946</v>
      </c>
      <c r="M833" s="158">
        <f>IF(M827,$H$750,0)</f>
        <v>14.05946</v>
      </c>
      <c r="N833" s="158">
        <f>IF(N827,$H$750,0)</f>
        <v>14.05946</v>
      </c>
      <c r="O833" s="288">
        <f t="shared" si="631"/>
        <v>14.05946</v>
      </c>
      <c r="P833" s="327"/>
      <c r="Q833" s="327"/>
      <c r="R833" s="327"/>
      <c r="S833" s="327"/>
      <c r="T833" s="327"/>
    </row>
    <row r="834" spans="1:20" s="240" customFormat="1" ht="13.5" customHeight="1" outlineLevel="1">
      <c r="A834" s="35"/>
      <c r="B834" s="84" t="s">
        <v>453</v>
      </c>
      <c r="C834" s="38"/>
      <c r="D834" s="38"/>
      <c r="E834" s="38"/>
      <c r="F834" s="38"/>
      <c r="G834" s="38"/>
      <c r="H834" s="38"/>
      <c r="I834" s="432">
        <v>0</v>
      </c>
      <c r="J834" s="432">
        <v>0</v>
      </c>
      <c r="K834" s="432">
        <v>0</v>
      </c>
      <c r="L834" s="432">
        <v>0</v>
      </c>
      <c r="M834" s="432">
        <v>0</v>
      </c>
      <c r="N834" s="432">
        <v>0</v>
      </c>
      <c r="O834" s="288">
        <f t="shared" si="631"/>
        <v>0</v>
      </c>
      <c r="P834" s="327"/>
      <c r="Q834" s="327"/>
      <c r="R834" s="327"/>
      <c r="S834" s="327"/>
      <c r="T834" s="327"/>
    </row>
    <row r="835" spans="1:20" s="240" customFormat="1" ht="13.5" customHeight="1" outlineLevel="1">
      <c r="A835" s="35"/>
      <c r="B835" s="440" t="s">
        <v>233</v>
      </c>
      <c r="C835" s="38"/>
      <c r="D835" s="38"/>
      <c r="E835" s="38"/>
      <c r="F835" s="38"/>
      <c r="G835" s="38"/>
      <c r="H835" s="38"/>
      <c r="I835" s="432">
        <v>0</v>
      </c>
      <c r="J835" s="432">
        <v>125</v>
      </c>
      <c r="K835" s="432">
        <v>75</v>
      </c>
      <c r="L835" s="432">
        <v>150</v>
      </c>
      <c r="M835" s="432">
        <v>0</v>
      </c>
      <c r="N835" s="432">
        <v>50</v>
      </c>
      <c r="O835" s="288">
        <f t="shared" si="631"/>
        <v>50</v>
      </c>
      <c r="P835" s="327"/>
      <c r="Q835" s="327"/>
      <c r="R835" s="327"/>
      <c r="S835" s="327"/>
      <c r="T835" s="327"/>
    </row>
    <row r="836" spans="1:20" s="240" customFormat="1" ht="13.5" customHeight="1" outlineLevel="1">
      <c r="A836" s="35"/>
      <c r="B836" s="440" t="s">
        <v>234</v>
      </c>
      <c r="C836" s="38"/>
      <c r="D836" s="38"/>
      <c r="E836" s="38"/>
      <c r="F836" s="38"/>
      <c r="G836" s="38"/>
      <c r="H836" s="38"/>
      <c r="I836" s="432">
        <v>0</v>
      </c>
      <c r="J836" s="432">
        <v>0</v>
      </c>
      <c r="K836" s="432">
        <v>0</v>
      </c>
      <c r="L836" s="432">
        <v>0</v>
      </c>
      <c r="M836" s="432">
        <v>75</v>
      </c>
      <c r="N836" s="432">
        <v>0</v>
      </c>
      <c r="O836" s="288">
        <f t="shared" si="631"/>
        <v>0</v>
      </c>
      <c r="P836" s="327"/>
      <c r="Q836" s="327"/>
      <c r="R836" s="327"/>
      <c r="S836" s="327"/>
      <c r="T836" s="327"/>
    </row>
    <row r="837" spans="1:20" s="240" customFormat="1" ht="13.5" customHeight="1" outlineLevel="1">
      <c r="A837" s="35"/>
      <c r="B837" s="440" t="s">
        <v>237</v>
      </c>
      <c r="C837" s="38"/>
      <c r="D837" s="38"/>
      <c r="E837" s="38"/>
      <c r="F837" s="38"/>
      <c r="G837" s="38"/>
      <c r="H837" s="38"/>
      <c r="I837" s="432">
        <v>0</v>
      </c>
      <c r="J837" s="432">
        <v>50</v>
      </c>
      <c r="K837" s="432">
        <v>100</v>
      </c>
      <c r="L837" s="432">
        <v>75</v>
      </c>
      <c r="M837" s="432">
        <v>100</v>
      </c>
      <c r="N837" s="432">
        <v>100</v>
      </c>
      <c r="O837" s="288">
        <f t="shared" si="631"/>
        <v>100</v>
      </c>
      <c r="P837" s="327"/>
      <c r="Q837" s="327"/>
      <c r="R837" s="327"/>
      <c r="S837" s="327"/>
      <c r="T837" s="327"/>
    </row>
    <row r="838" spans="1:20" s="240" customFormat="1" ht="13.5" customHeight="1" outlineLevel="1">
      <c r="A838" s="35"/>
      <c r="B838" s="440" t="s">
        <v>232</v>
      </c>
      <c r="C838" s="38"/>
      <c r="D838" s="38"/>
      <c r="E838" s="38"/>
      <c r="F838" s="38"/>
      <c r="G838" s="38"/>
      <c r="H838" s="38"/>
      <c r="I838" s="432">
        <v>0</v>
      </c>
      <c r="J838" s="432">
        <v>0</v>
      </c>
      <c r="K838" s="432">
        <v>0</v>
      </c>
      <c r="L838" s="432">
        <v>0</v>
      </c>
      <c r="M838" s="432">
        <v>0</v>
      </c>
      <c r="N838" s="432">
        <v>50</v>
      </c>
      <c r="O838" s="288">
        <f t="shared" si="631"/>
        <v>50</v>
      </c>
      <c r="P838" s="327"/>
      <c r="Q838" s="327"/>
      <c r="R838" s="327"/>
      <c r="S838" s="327"/>
      <c r="T838" s="327"/>
    </row>
    <row r="839" spans="1:20" s="240" customFormat="1" ht="13.5" customHeight="1" outlineLevel="1">
      <c r="A839" s="35"/>
      <c r="B839" s="440" t="s">
        <v>34</v>
      </c>
      <c r="C839" s="38"/>
      <c r="D839" s="38"/>
      <c r="E839" s="38"/>
      <c r="F839" s="38"/>
      <c r="G839" s="38"/>
      <c r="H839" s="38"/>
      <c r="I839" s="432">
        <v>0</v>
      </c>
      <c r="J839" s="432">
        <v>0</v>
      </c>
      <c r="K839" s="432">
        <v>0</v>
      </c>
      <c r="L839" s="432">
        <v>0</v>
      </c>
      <c r="M839" s="432">
        <v>0</v>
      </c>
      <c r="N839" s="432">
        <v>0</v>
      </c>
      <c r="O839" s="288">
        <f t="shared" si="631"/>
        <v>0</v>
      </c>
      <c r="P839" s="327"/>
      <c r="Q839" s="327"/>
      <c r="R839" s="327"/>
      <c r="S839" s="327"/>
      <c r="T839" s="327"/>
    </row>
    <row r="840" spans="1:20" s="240" customFormat="1" ht="13.5" customHeight="1" outlineLevel="1">
      <c r="A840" s="35"/>
      <c r="B840" s="440" t="s">
        <v>231</v>
      </c>
      <c r="C840" s="38"/>
      <c r="D840" s="38"/>
      <c r="E840" s="38"/>
      <c r="F840" s="38"/>
      <c r="G840" s="38"/>
      <c r="H840" s="38"/>
      <c r="I840" s="432">
        <v>0</v>
      </c>
      <c r="J840" s="432">
        <v>0</v>
      </c>
      <c r="K840" s="432">
        <v>0</v>
      </c>
      <c r="L840" s="432">
        <v>0</v>
      </c>
      <c r="M840" s="432">
        <v>0</v>
      </c>
      <c r="N840" s="432">
        <v>0</v>
      </c>
      <c r="O840" s="288">
        <f t="shared" si="631"/>
        <v>0</v>
      </c>
      <c r="P840" s="327"/>
      <c r="Q840" s="327"/>
      <c r="R840" s="327"/>
      <c r="S840" s="327"/>
      <c r="T840" s="327"/>
    </row>
    <row r="841" spans="1:20" s="240" customFormat="1" ht="13.5" customHeight="1" outlineLevel="1">
      <c r="A841" s="35"/>
      <c r="B841" s="440" t="s">
        <v>373</v>
      </c>
      <c r="C841" s="38"/>
      <c r="D841" s="38"/>
      <c r="E841" s="38"/>
      <c r="F841" s="38"/>
      <c r="G841" s="38"/>
      <c r="H841" s="38"/>
      <c r="I841" s="432">
        <v>0</v>
      </c>
      <c r="J841" s="432">
        <v>0</v>
      </c>
      <c r="K841" s="432">
        <v>0</v>
      </c>
      <c r="L841" s="432">
        <v>0</v>
      </c>
      <c r="M841" s="432">
        <v>0</v>
      </c>
      <c r="N841" s="432">
        <v>0</v>
      </c>
      <c r="O841" s="288">
        <f t="shared" si="631"/>
        <v>0</v>
      </c>
      <c r="P841" s="327"/>
      <c r="Q841" s="327"/>
      <c r="R841" s="327"/>
      <c r="S841" s="327"/>
      <c r="T841" s="327"/>
    </row>
    <row r="842" spans="1:20" s="240" customFormat="1" ht="13.5" customHeight="1" outlineLevel="1">
      <c r="A842" s="35"/>
      <c r="B842" s="440" t="s">
        <v>266</v>
      </c>
      <c r="C842" s="38"/>
      <c r="D842" s="38"/>
      <c r="E842" s="38"/>
      <c r="F842" s="38"/>
      <c r="G842" s="38"/>
      <c r="H842" s="38"/>
      <c r="I842" s="432">
        <v>0</v>
      </c>
      <c r="J842" s="432">
        <v>0</v>
      </c>
      <c r="K842" s="432">
        <v>0</v>
      </c>
      <c r="L842" s="432">
        <v>0</v>
      </c>
      <c r="M842" s="432">
        <v>0</v>
      </c>
      <c r="N842" s="432">
        <v>0</v>
      </c>
      <c r="O842" s="288">
        <f t="shared" si="631"/>
        <v>0</v>
      </c>
      <c r="P842" s="327"/>
      <c r="Q842" s="327"/>
      <c r="R842" s="327"/>
      <c r="S842" s="327"/>
      <c r="T842" s="327"/>
    </row>
    <row r="843" spans="1:20" s="240" customFormat="1" ht="13.5" customHeight="1" outlineLevel="1">
      <c r="A843" s="35"/>
      <c r="B843" s="440" t="s">
        <v>235</v>
      </c>
      <c r="C843" s="38"/>
      <c r="D843" s="38"/>
      <c r="E843" s="38"/>
      <c r="F843" s="38"/>
      <c r="G843" s="38"/>
      <c r="H843" s="38"/>
      <c r="I843" s="432">
        <v>0</v>
      </c>
      <c r="J843" s="432">
        <v>0</v>
      </c>
      <c r="K843" s="432">
        <v>0</v>
      </c>
      <c r="L843" s="432">
        <v>10</v>
      </c>
      <c r="M843" s="432">
        <v>75</v>
      </c>
      <c r="N843" s="432">
        <v>10</v>
      </c>
      <c r="O843" s="288">
        <f t="shared" si="631"/>
        <v>10</v>
      </c>
      <c r="P843" s="327"/>
      <c r="Q843" s="327"/>
      <c r="R843" s="327"/>
      <c r="S843" s="327"/>
      <c r="T843" s="327"/>
    </row>
    <row r="844" spans="1:20" s="240" customFormat="1" ht="13.5" customHeight="1" outlineLevel="1">
      <c r="A844" s="35"/>
      <c r="B844" s="440" t="s">
        <v>236</v>
      </c>
      <c r="C844" s="38"/>
      <c r="D844" s="38"/>
      <c r="E844" s="38"/>
      <c r="F844" s="38"/>
      <c r="G844" s="38"/>
      <c r="H844" s="38"/>
      <c r="I844" s="432">
        <v>0</v>
      </c>
      <c r="J844" s="432">
        <v>0</v>
      </c>
      <c r="K844" s="432">
        <v>0</v>
      </c>
      <c r="L844" s="432">
        <v>0</v>
      </c>
      <c r="M844" s="432">
        <v>0</v>
      </c>
      <c r="N844" s="432">
        <v>0</v>
      </c>
      <c r="O844" s="288">
        <f t="shared" si="631"/>
        <v>0</v>
      </c>
      <c r="P844" s="327"/>
      <c r="Q844" s="327"/>
      <c r="R844" s="327"/>
      <c r="S844" s="327"/>
      <c r="T844" s="327"/>
    </row>
    <row r="845" spans="1:20" s="240" customFormat="1" ht="13.5" customHeight="1" outlineLevel="1">
      <c r="A845" s="35"/>
      <c r="B845" s="84" t="s">
        <v>259</v>
      </c>
      <c r="C845" s="38"/>
      <c r="D845" s="38"/>
      <c r="E845" s="38"/>
      <c r="F845" s="38"/>
      <c r="G845" s="38"/>
      <c r="H845" s="38"/>
      <c r="I845" s="432">
        <v>0</v>
      </c>
      <c r="J845" s="432">
        <v>0</v>
      </c>
      <c r="K845" s="432">
        <v>0</v>
      </c>
      <c r="L845" s="328">
        <f ca="1">L864-SUM(L832:L844)-L846-L848</f>
        <v>484.68768693147786</v>
      </c>
      <c r="M845" s="328">
        <f ca="1">M864-SUM(M832:M844)-M846-M848</f>
        <v>470.34581193147795</v>
      </c>
      <c r="N845" s="328">
        <f ca="1">N864-SUM(N832:N844)-N846-N848</f>
        <v>509.72831193147789</v>
      </c>
      <c r="O845" s="288">
        <f t="shared" ca="1" si="631"/>
        <v>509.72831193147789</v>
      </c>
      <c r="P845" s="327"/>
      <c r="Q845" s="327"/>
      <c r="R845" s="327"/>
      <c r="S845" s="327"/>
      <c r="T845" s="327"/>
    </row>
    <row r="846" spans="1:20" s="240" customFormat="1" ht="13.5" customHeight="1" outlineLevel="1">
      <c r="A846" s="35"/>
      <c r="B846" s="84" t="s">
        <v>305</v>
      </c>
      <c r="C846" s="38"/>
      <c r="D846" s="38"/>
      <c r="E846" s="38"/>
      <c r="F846" s="38"/>
      <c r="G846" s="38"/>
      <c r="H846" s="38"/>
      <c r="I846" s="432">
        <v>0</v>
      </c>
      <c r="J846" s="432">
        <v>0</v>
      </c>
      <c r="K846" s="432">
        <v>0</v>
      </c>
      <c r="L846" s="432">
        <v>10</v>
      </c>
      <c r="M846" s="432">
        <v>10</v>
      </c>
      <c r="N846" s="432">
        <v>10</v>
      </c>
      <c r="O846" s="288">
        <f t="shared" si="631"/>
        <v>10</v>
      </c>
      <c r="P846" s="327"/>
      <c r="Q846" s="327"/>
      <c r="R846" s="327"/>
      <c r="S846" s="327"/>
      <c r="T846" s="327"/>
    </row>
    <row r="847" spans="1:20" s="240" customFormat="1" ht="13.5" customHeight="1" outlineLevel="1">
      <c r="A847" s="35"/>
      <c r="B847" s="130" t="s">
        <v>463</v>
      </c>
      <c r="C847" s="52"/>
      <c r="D847" s="52"/>
      <c r="E847" s="52"/>
      <c r="F847" s="52"/>
      <c r="G847" s="52"/>
      <c r="H847" s="52"/>
      <c r="I847" s="329">
        <f>SUM(I834:I846)</f>
        <v>0</v>
      </c>
      <c r="J847" s="329">
        <f t="shared" ref="J847:O847" si="632">SUM(J834:J846)</f>
        <v>175</v>
      </c>
      <c r="K847" s="329">
        <f t="shared" si="632"/>
        <v>175</v>
      </c>
      <c r="L847" s="329">
        <f t="shared" ca="1" si="632"/>
        <v>729.68768693147786</v>
      </c>
      <c r="M847" s="329">
        <f t="shared" ca="1" si="632"/>
        <v>730.34581193147801</v>
      </c>
      <c r="N847" s="329">
        <f t="shared" ca="1" si="632"/>
        <v>729.72831193147795</v>
      </c>
      <c r="O847" s="330">
        <f t="shared" ca="1" si="632"/>
        <v>729.72831193147795</v>
      </c>
      <c r="P847" s="327"/>
      <c r="Q847" s="327"/>
      <c r="R847" s="327"/>
      <c r="S847" s="327"/>
      <c r="T847" s="327"/>
    </row>
    <row r="848" spans="1:20" s="240" customFormat="1" ht="13.5" customHeight="1" outlineLevel="1">
      <c r="A848" s="35"/>
      <c r="B848" s="62" t="s">
        <v>454</v>
      </c>
      <c r="C848" s="38"/>
      <c r="D848" s="38"/>
      <c r="E848" s="38"/>
      <c r="F848" s="38"/>
      <c r="G848" s="38"/>
      <c r="H848" s="38"/>
      <c r="I848" s="158">
        <f t="shared" ref="I848:N848" si="633">SUM(I856,I863)*tax</f>
        <v>0</v>
      </c>
      <c r="J848" s="158">
        <f t="shared" si="633"/>
        <v>4.15625</v>
      </c>
      <c r="K848" s="158">
        <f t="shared" si="633"/>
        <v>4.1999999999999993</v>
      </c>
      <c r="L848" s="158">
        <f t="shared" si="633"/>
        <v>8.6815429093749987</v>
      </c>
      <c r="M848" s="158">
        <f t="shared" si="633"/>
        <v>9.0359179093749979</v>
      </c>
      <c r="N848" s="158">
        <f t="shared" si="633"/>
        <v>8.7034179093749984</v>
      </c>
      <c r="O848" s="331">
        <f>CHOOSE(O$825,I848,J848,K848,L848,M848,N848)</f>
        <v>8.7034179093749984</v>
      </c>
      <c r="P848" s="327"/>
      <c r="Q848" s="327"/>
      <c r="R848" s="327"/>
      <c r="S848" s="327"/>
      <c r="T848" s="327"/>
    </row>
    <row r="849" spans="1:20" s="240" customFormat="1" ht="13.5" customHeight="1" outlineLevel="1">
      <c r="A849" s="35"/>
      <c r="B849" s="212" t="s">
        <v>261</v>
      </c>
      <c r="C849" s="133"/>
      <c r="D849" s="133"/>
      <c r="E849" s="133"/>
      <c r="F849" s="133"/>
      <c r="G849" s="133"/>
      <c r="H849" s="133"/>
      <c r="I849" s="332">
        <f t="shared" ref="I849:O849" si="634">SUM(I832:I833,I847:I848)</f>
        <v>0</v>
      </c>
      <c r="J849" s="332">
        <f t="shared" ca="1" si="634"/>
        <v>261.34459347164699</v>
      </c>
      <c r="K849" s="332">
        <f t="shared" ca="1" si="634"/>
        <v>261.38834347164698</v>
      </c>
      <c r="L849" s="332">
        <f t="shared" ca="1" si="634"/>
        <v>834.61703331249987</v>
      </c>
      <c r="M849" s="332">
        <f t="shared" ca="1" si="634"/>
        <v>835.62953331250003</v>
      </c>
      <c r="N849" s="332">
        <f t="shared" ca="1" si="634"/>
        <v>834.67953331249998</v>
      </c>
      <c r="O849" s="333">
        <f t="shared" ca="1" si="634"/>
        <v>834.67953331249998</v>
      </c>
      <c r="P849" s="327"/>
      <c r="Q849" s="327"/>
      <c r="R849" s="327"/>
      <c r="S849" s="327"/>
      <c r="T849" s="327"/>
    </row>
    <row r="850" spans="1:20" s="240" customFormat="1" ht="13.5" customHeight="1" outlineLevel="1">
      <c r="A850" s="35"/>
      <c r="B850" s="38"/>
      <c r="C850" s="38"/>
      <c r="D850" s="38"/>
      <c r="E850" s="38"/>
      <c r="F850" s="246"/>
      <c r="G850" s="246"/>
      <c r="H850" s="246"/>
      <c r="I850" s="334"/>
      <c r="J850" s="325"/>
      <c r="K850" s="325"/>
      <c r="L850" s="325"/>
      <c r="M850" s="325"/>
      <c r="N850" s="334"/>
      <c r="O850" s="335"/>
      <c r="P850" s="327"/>
      <c r="Q850" s="327"/>
      <c r="R850" s="327"/>
      <c r="S850" s="327"/>
      <c r="T850" s="327"/>
    </row>
    <row r="851" spans="1:20" ht="13.5" customHeight="1" outlineLevel="1">
      <c r="B851" s="46" t="s">
        <v>42</v>
      </c>
      <c r="C851" s="47"/>
      <c r="D851" s="47"/>
      <c r="E851" s="47"/>
      <c r="F851" s="47"/>
      <c r="G851" s="47"/>
      <c r="H851" s="47"/>
      <c r="I851" s="47"/>
      <c r="J851" s="47"/>
      <c r="K851" s="47"/>
      <c r="L851" s="47"/>
      <c r="M851" s="47"/>
      <c r="N851" s="47"/>
      <c r="O851" s="48"/>
    </row>
    <row r="852" spans="1:20" s="240" customFormat="1" ht="5.0999999999999996" customHeight="1" outlineLevel="1">
      <c r="A852" s="35"/>
      <c r="B852" s="35"/>
      <c r="C852" s="38"/>
      <c r="D852" s="38"/>
      <c r="E852" s="38"/>
      <c r="F852" s="38"/>
      <c r="G852" s="38"/>
      <c r="H852" s="38"/>
      <c r="I852" s="38"/>
      <c r="J852" s="325"/>
      <c r="K852" s="325"/>
      <c r="L852" s="325"/>
      <c r="M852" s="325"/>
      <c r="N852" s="38"/>
      <c r="O852" s="214"/>
      <c r="P852" s="327"/>
      <c r="Q852" s="327"/>
      <c r="R852" s="327"/>
      <c r="S852" s="327"/>
      <c r="T852" s="327"/>
    </row>
    <row r="853" spans="1:20" s="240" customFormat="1" ht="13.5" customHeight="1" outlineLevel="1">
      <c r="A853" s="35"/>
      <c r="B853" s="62" t="s">
        <v>88</v>
      </c>
      <c r="C853" s="38"/>
      <c r="D853" s="38"/>
      <c r="E853" s="38"/>
      <c r="F853" s="38"/>
      <c r="G853" s="38"/>
      <c r="H853" s="38"/>
      <c r="I853" s="431">
        <v>0</v>
      </c>
      <c r="J853" s="178">
        <f>IF(J827,$P$19,0)</f>
        <v>0</v>
      </c>
      <c r="K853" s="178">
        <f>IF(K827,$P$19,0)</f>
        <v>0</v>
      </c>
      <c r="L853" s="178">
        <f>IF(L827,$P$19,0)</f>
        <v>579.81262499999991</v>
      </c>
      <c r="M853" s="178">
        <f>IF(M827,$P$19,0)</f>
        <v>579.81262499999991</v>
      </c>
      <c r="N853" s="178">
        <f>IF(N827,$P$19,0)</f>
        <v>579.81262499999991</v>
      </c>
      <c r="O853" s="323">
        <f t="shared" ref="O853:O862" si="635">CHOOSE(O$825,I853,J853,K853,L853,M853,N853)</f>
        <v>579.81262499999991</v>
      </c>
      <c r="P853" s="327"/>
      <c r="Q853" s="327"/>
      <c r="R853" s="327"/>
      <c r="S853" s="327"/>
      <c r="T853" s="327"/>
    </row>
    <row r="854" spans="1:20" s="240" customFormat="1" ht="13.5" customHeight="1" outlineLevel="1">
      <c r="A854" s="35"/>
      <c r="B854" s="62" t="str">
        <f>B870&amp;" refinanced"</f>
        <v>Legacy debt refinanced</v>
      </c>
      <c r="C854" s="38"/>
      <c r="D854" s="38"/>
      <c r="E854" s="38"/>
      <c r="F854" s="38"/>
      <c r="G854" s="38"/>
      <c r="H854" s="38"/>
      <c r="I854" s="432">
        <v>0</v>
      </c>
      <c r="J854" s="158">
        <f ca="1">IF($O$825=J$825,$R899-$T899,J854)</f>
        <v>230</v>
      </c>
      <c r="K854" s="158">
        <f ca="1">IF($O$825=K$825,$R899-$T899,K854)</f>
        <v>230</v>
      </c>
      <c r="L854" s="158">
        <f ca="1">IF($O$825=L$825,$R899-$T899,L854)</f>
        <v>230</v>
      </c>
      <c r="M854" s="158">
        <f ca="1">IF($O$825=M$825,$R899-$T899,M854)</f>
        <v>230</v>
      </c>
      <c r="N854" s="158">
        <f>IF($O$825=N$825,$R899-$T899,N854)</f>
        <v>230</v>
      </c>
      <c r="O854" s="288">
        <f t="shared" si="635"/>
        <v>230</v>
      </c>
      <c r="P854" s="327"/>
      <c r="Q854" s="327"/>
      <c r="R854" s="327"/>
      <c r="S854" s="327"/>
      <c r="T854" s="327"/>
    </row>
    <row r="855" spans="1:20" s="240" customFormat="1" ht="13.5" customHeight="1" outlineLevel="1">
      <c r="A855" s="35"/>
      <c r="B855" s="62" t="s">
        <v>264</v>
      </c>
      <c r="C855" s="38"/>
      <c r="D855" s="38"/>
      <c r="E855" s="38"/>
      <c r="F855" s="38"/>
      <c r="G855" s="38"/>
      <c r="H855" s="38"/>
      <c r="I855" s="432">
        <v>0</v>
      </c>
      <c r="J855" s="328">
        <f ca="1">J849-J854-J856-J863</f>
        <v>19.469593471646988</v>
      </c>
      <c r="K855" s="328">
        <f ca="1">K849-K854-K856-K863</f>
        <v>19.388343471646976</v>
      </c>
      <c r="L855" s="432">
        <v>0</v>
      </c>
      <c r="M855" s="432">
        <v>0</v>
      </c>
      <c r="N855" s="432">
        <v>0</v>
      </c>
      <c r="O855" s="288">
        <f t="shared" si="635"/>
        <v>0</v>
      </c>
      <c r="P855" s="327"/>
      <c r="Q855" s="327"/>
      <c r="R855" s="327"/>
      <c r="S855" s="327"/>
      <c r="T855" s="327"/>
    </row>
    <row r="856" spans="1:20" s="240" customFormat="1" ht="13.5" customHeight="1" outlineLevel="1">
      <c r="A856" s="35"/>
      <c r="B856" s="38" t="s">
        <v>451</v>
      </c>
      <c r="C856" s="38"/>
      <c r="D856" s="38"/>
      <c r="E856" s="38"/>
      <c r="F856" s="38"/>
      <c r="G856" s="38"/>
      <c r="H856" s="38"/>
      <c r="I856" s="432">
        <v>0</v>
      </c>
      <c r="J856" s="158">
        <f>SUMPRODUCT(J835:J844,$K$881:$K$890)+J828*$K$880</f>
        <v>5.375</v>
      </c>
      <c r="K856" s="158">
        <f>SUMPRODUCT(K835:K844,$K$881:$K$890)+K828*$K$880</f>
        <v>5.5</v>
      </c>
      <c r="L856" s="158">
        <f>SUMPRODUCT(L835:L844,$K$881:$K$890)+L828*$K$880</f>
        <v>6.7374999999999998</v>
      </c>
      <c r="M856" s="158">
        <f>SUMPRODUCT(M835:M844,$K$881:$K$890)+M828*$K$880</f>
        <v>7.75</v>
      </c>
      <c r="N856" s="158">
        <f>SUMPRODUCT(N835:N844,$K$881:$K$890)+N828*$K$880</f>
        <v>6.8</v>
      </c>
      <c r="O856" s="288">
        <f t="shared" si="635"/>
        <v>6.8</v>
      </c>
      <c r="P856" s="327"/>
      <c r="Q856" s="327"/>
      <c r="R856" s="327"/>
      <c r="S856" s="327"/>
      <c r="T856" s="327"/>
    </row>
    <row r="857" spans="1:20" s="240" customFormat="1" ht="13.5" customHeight="1" outlineLevel="1">
      <c r="A857" s="35"/>
      <c r="B857" s="84" t="s">
        <v>466</v>
      </c>
      <c r="C857" s="38"/>
      <c r="D857" s="433">
        <v>0.01</v>
      </c>
      <c r="E857" s="38"/>
      <c r="I857" s="432">
        <v>0</v>
      </c>
      <c r="J857" s="158">
        <f t="shared" ref="J857:N858" si="636">J$853*$D857</f>
        <v>0</v>
      </c>
      <c r="K857" s="158">
        <f t="shared" si="636"/>
        <v>0</v>
      </c>
      <c r="L857" s="158">
        <f t="shared" si="636"/>
        <v>5.7981262499999993</v>
      </c>
      <c r="M857" s="158">
        <f t="shared" si="636"/>
        <v>5.7981262499999993</v>
      </c>
      <c r="N857" s="158">
        <f t="shared" si="636"/>
        <v>5.7981262499999993</v>
      </c>
      <c r="O857" s="288">
        <f t="shared" si="635"/>
        <v>5.7981262499999993</v>
      </c>
      <c r="P857" s="327"/>
      <c r="Q857" s="327"/>
      <c r="R857" s="327"/>
      <c r="S857" s="327"/>
      <c r="T857" s="327"/>
    </row>
    <row r="858" spans="1:20" s="240" customFormat="1" ht="13.5" customHeight="1" outlineLevel="1">
      <c r="A858" s="35"/>
      <c r="B858" s="84" t="s">
        <v>260</v>
      </c>
      <c r="C858" s="38"/>
      <c r="D858" s="433">
        <v>6.4999999999999997E-3</v>
      </c>
      <c r="E858" s="38"/>
      <c r="I858" s="432">
        <v>0</v>
      </c>
      <c r="J858" s="158">
        <f t="shared" si="636"/>
        <v>0</v>
      </c>
      <c r="K858" s="158">
        <f t="shared" si="636"/>
        <v>0</v>
      </c>
      <c r="L858" s="158">
        <f t="shared" si="636"/>
        <v>3.7687820624999993</v>
      </c>
      <c r="M858" s="158">
        <f t="shared" si="636"/>
        <v>3.7687820624999993</v>
      </c>
      <c r="N858" s="158">
        <f t="shared" si="636"/>
        <v>3.7687820624999993</v>
      </c>
      <c r="O858" s="288">
        <f t="shared" si="635"/>
        <v>3.7687820624999993</v>
      </c>
      <c r="P858" s="327"/>
      <c r="Q858" s="327"/>
      <c r="R858" s="327"/>
      <c r="S858" s="327"/>
      <c r="T858" s="327"/>
    </row>
    <row r="859" spans="1:20" s="240" customFormat="1" ht="13.5" customHeight="1" outlineLevel="1">
      <c r="A859" s="35"/>
      <c r="B859" s="84" t="s">
        <v>467</v>
      </c>
      <c r="C859" s="35"/>
      <c r="D859" s="35"/>
      <c r="E859" s="35"/>
      <c r="F859" s="35"/>
      <c r="G859" s="35"/>
      <c r="H859" s="35"/>
      <c r="I859" s="432">
        <v>0</v>
      </c>
      <c r="J859" s="432">
        <v>2.5</v>
      </c>
      <c r="K859" s="432">
        <v>2.5</v>
      </c>
      <c r="L859" s="432">
        <v>3</v>
      </c>
      <c r="M859" s="432">
        <v>3</v>
      </c>
      <c r="N859" s="432">
        <v>3</v>
      </c>
      <c r="O859" s="288">
        <f t="shared" si="635"/>
        <v>3</v>
      </c>
      <c r="P859" s="327"/>
      <c r="Q859" s="327"/>
      <c r="R859" s="327"/>
      <c r="S859" s="327"/>
      <c r="T859" s="327"/>
    </row>
    <row r="860" spans="1:20" s="240" customFormat="1" ht="13.5" customHeight="1" outlineLevel="1">
      <c r="A860" s="35"/>
      <c r="B860" s="84" t="s">
        <v>468</v>
      </c>
      <c r="C860" s="35"/>
      <c r="D860" s="35"/>
      <c r="E860" s="35"/>
      <c r="F860" s="35"/>
      <c r="G860" s="35"/>
      <c r="H860" s="35"/>
      <c r="I860" s="432">
        <v>0</v>
      </c>
      <c r="J860" s="432">
        <v>2</v>
      </c>
      <c r="K860" s="432">
        <v>2</v>
      </c>
      <c r="L860" s="432">
        <v>2.5</v>
      </c>
      <c r="M860" s="432">
        <v>2.5</v>
      </c>
      <c r="N860" s="432">
        <v>2.5</v>
      </c>
      <c r="O860" s="288">
        <f t="shared" si="635"/>
        <v>2.5</v>
      </c>
      <c r="P860" s="327"/>
      <c r="Q860" s="327"/>
      <c r="R860" s="327"/>
      <c r="S860" s="327"/>
      <c r="T860" s="327"/>
    </row>
    <row r="861" spans="1:20" s="240" customFormat="1" ht="13.5" customHeight="1" outlineLevel="1">
      <c r="A861" s="35"/>
      <c r="B861" s="84" t="s">
        <v>469</v>
      </c>
      <c r="C861" s="35"/>
      <c r="D861" s="35"/>
      <c r="E861" s="35"/>
      <c r="F861" s="35"/>
      <c r="G861" s="35"/>
      <c r="H861" s="35"/>
      <c r="I861" s="432">
        <v>0</v>
      </c>
      <c r="J861" s="432">
        <v>1</v>
      </c>
      <c r="K861" s="432">
        <v>1</v>
      </c>
      <c r="L861" s="432">
        <v>1</v>
      </c>
      <c r="M861" s="432">
        <v>1</v>
      </c>
      <c r="N861" s="432">
        <v>1</v>
      </c>
      <c r="O861" s="288">
        <f t="shared" si="635"/>
        <v>1</v>
      </c>
      <c r="P861" s="327"/>
      <c r="Q861" s="327"/>
      <c r="R861" s="327"/>
      <c r="S861" s="327"/>
      <c r="T861" s="327"/>
    </row>
    <row r="862" spans="1:20" s="240" customFormat="1" ht="13.5" customHeight="1" outlineLevel="1">
      <c r="A862" s="35"/>
      <c r="B862" s="84" t="s">
        <v>470</v>
      </c>
      <c r="C862" s="35"/>
      <c r="D862" s="35"/>
      <c r="E862" s="35"/>
      <c r="F862" s="35"/>
      <c r="G862" s="35"/>
      <c r="H862" s="35"/>
      <c r="I862" s="432">
        <v>0</v>
      </c>
      <c r="J862" s="432">
        <v>1</v>
      </c>
      <c r="K862" s="432">
        <v>1</v>
      </c>
      <c r="L862" s="432">
        <v>2</v>
      </c>
      <c r="M862" s="432">
        <v>2</v>
      </c>
      <c r="N862" s="432">
        <v>2</v>
      </c>
      <c r="O862" s="288">
        <f t="shared" si="635"/>
        <v>2</v>
      </c>
      <c r="P862" s="327"/>
      <c r="Q862" s="327"/>
      <c r="R862" s="327"/>
      <c r="S862" s="327"/>
      <c r="T862" s="327"/>
    </row>
    <row r="863" spans="1:20" s="240" customFormat="1" ht="13.5" customHeight="1" outlineLevel="1">
      <c r="A863" s="35"/>
      <c r="B863" s="228" t="s">
        <v>452</v>
      </c>
      <c r="C863" s="228"/>
      <c r="D863" s="228"/>
      <c r="E863" s="228"/>
      <c r="F863" s="228"/>
      <c r="G863" s="228"/>
      <c r="H863" s="228"/>
      <c r="I863" s="336">
        <f>SUM(I857:I862)</f>
        <v>0</v>
      </c>
      <c r="J863" s="336">
        <f t="shared" ref="J863:O863" si="637">SUM(J857:J862)</f>
        <v>6.5</v>
      </c>
      <c r="K863" s="336">
        <f t="shared" si="637"/>
        <v>6.5</v>
      </c>
      <c r="L863" s="336">
        <f t="shared" si="637"/>
        <v>18.066908312499997</v>
      </c>
      <c r="M863" s="336">
        <f t="shared" si="637"/>
        <v>18.066908312499997</v>
      </c>
      <c r="N863" s="336">
        <f t="shared" si="637"/>
        <v>18.066908312499997</v>
      </c>
      <c r="O863" s="337">
        <f t="shared" si="637"/>
        <v>18.066908312499997</v>
      </c>
      <c r="P863" s="327"/>
      <c r="Q863" s="327"/>
      <c r="R863" s="327"/>
      <c r="S863" s="327"/>
      <c r="T863" s="327"/>
    </row>
    <row r="864" spans="1:20" s="240" customFormat="1" ht="13.5" customHeight="1" outlineLevel="1">
      <c r="A864" s="35"/>
      <c r="B864" s="212" t="s">
        <v>262</v>
      </c>
      <c r="C864" s="212"/>
      <c r="D864" s="212"/>
      <c r="E864" s="212"/>
      <c r="F864" s="133"/>
      <c r="G864" s="133"/>
      <c r="H864" s="133"/>
      <c r="I864" s="332">
        <f t="shared" ref="I864:O864" si="638">SUM(I853:I856,I863)</f>
        <v>0</v>
      </c>
      <c r="J864" s="332">
        <f t="shared" ca="1" si="638"/>
        <v>261.34459347164699</v>
      </c>
      <c r="K864" s="332">
        <f t="shared" ca="1" si="638"/>
        <v>261.38834347164698</v>
      </c>
      <c r="L864" s="332">
        <f t="shared" ca="1" si="638"/>
        <v>834.61703331249987</v>
      </c>
      <c r="M864" s="332">
        <f t="shared" ca="1" si="638"/>
        <v>835.62953331249992</v>
      </c>
      <c r="N864" s="332">
        <f t="shared" si="638"/>
        <v>834.67953331249987</v>
      </c>
      <c r="O864" s="333">
        <f t="shared" si="638"/>
        <v>834.67953331249987</v>
      </c>
      <c r="P864" s="327"/>
      <c r="Q864" s="327"/>
      <c r="R864" s="327"/>
      <c r="S864" s="327"/>
      <c r="T864" s="327"/>
    </row>
    <row r="865" spans="1:20" s="240" customFormat="1" ht="13.5" customHeight="1" outlineLevel="1">
      <c r="A865" s="35"/>
      <c r="B865" s="38"/>
      <c r="C865" s="38"/>
      <c r="D865" s="38"/>
      <c r="E865" s="38"/>
      <c r="F865" s="246"/>
      <c r="G865" s="246"/>
      <c r="H865" s="246"/>
      <c r="I865" s="338"/>
      <c r="J865" s="339"/>
      <c r="K865" s="339"/>
      <c r="L865" s="339"/>
      <c r="M865" s="339"/>
      <c r="N865" s="338"/>
      <c r="O865" s="340"/>
      <c r="P865" s="327"/>
      <c r="Q865" s="327"/>
      <c r="R865" s="327"/>
      <c r="S865" s="327"/>
      <c r="T865" s="327"/>
    </row>
    <row r="866" spans="1:20" s="240" customFormat="1" ht="13.5" customHeight="1" outlineLevel="1">
      <c r="B866" s="327" t="s">
        <v>176</v>
      </c>
      <c r="C866" s="327"/>
      <c r="D866" s="327"/>
      <c r="E866" s="327"/>
      <c r="F866" s="327"/>
      <c r="G866" s="327"/>
      <c r="H866" s="327"/>
      <c r="I866" s="339">
        <f t="shared" ref="I866:O866" si="639">I864-I849</f>
        <v>0</v>
      </c>
      <c r="J866" s="339">
        <f t="shared" ca="1" si="639"/>
        <v>0</v>
      </c>
      <c r="K866" s="339">
        <f t="shared" ca="1" si="639"/>
        <v>0</v>
      </c>
      <c r="L866" s="339">
        <f t="shared" ca="1" si="639"/>
        <v>0</v>
      </c>
      <c r="M866" s="339">
        <f t="shared" ca="1" si="639"/>
        <v>0</v>
      </c>
      <c r="N866" s="339">
        <f t="shared" ca="1" si="639"/>
        <v>0</v>
      </c>
      <c r="O866" s="340">
        <f t="shared" ca="1" si="639"/>
        <v>0</v>
      </c>
      <c r="P866" s="327"/>
      <c r="Q866" s="327"/>
      <c r="R866" s="327"/>
      <c r="S866" s="327"/>
      <c r="T866" s="327"/>
    </row>
    <row r="867" spans="1:20" s="240" customFormat="1" ht="13.5" customHeight="1" outlineLevel="1">
      <c r="A867" s="35"/>
      <c r="B867" s="38"/>
      <c r="C867" s="38"/>
      <c r="D867" s="38"/>
      <c r="E867" s="38"/>
      <c r="F867" s="246"/>
      <c r="G867" s="246"/>
      <c r="H867" s="246"/>
      <c r="I867" s="338"/>
      <c r="J867" s="339"/>
      <c r="K867" s="339"/>
      <c r="L867" s="339"/>
      <c r="M867" s="339"/>
      <c r="N867" s="338"/>
      <c r="O867" s="341"/>
      <c r="P867" s="327"/>
      <c r="Q867" s="327"/>
      <c r="R867" s="327"/>
      <c r="S867" s="327"/>
      <c r="T867" s="327"/>
    </row>
    <row r="868" spans="1:20" ht="13.5" customHeight="1" outlineLevel="1">
      <c r="B868" s="46" t="s">
        <v>458</v>
      </c>
      <c r="C868" s="47"/>
      <c r="D868" s="47"/>
      <c r="E868" s="47"/>
      <c r="F868" s="47"/>
      <c r="G868" s="47"/>
      <c r="H868" s="47"/>
      <c r="I868" s="342"/>
      <c r="J868" s="342"/>
      <c r="K868" s="342"/>
      <c r="L868" s="342"/>
      <c r="M868" s="342"/>
      <c r="N868" s="342"/>
      <c r="O868" s="343"/>
    </row>
    <row r="869" spans="1:20" s="240" customFormat="1" ht="5.0999999999999996" customHeight="1" outlineLevel="1">
      <c r="A869" s="35"/>
      <c r="B869" s="35"/>
      <c r="C869" s="38"/>
      <c r="D869" s="38"/>
      <c r="E869" s="38"/>
      <c r="F869" s="38"/>
      <c r="G869" s="38"/>
      <c r="H869" s="38"/>
      <c r="I869" s="140"/>
      <c r="J869" s="339"/>
      <c r="K869" s="339"/>
      <c r="L869" s="339"/>
      <c r="M869" s="339"/>
      <c r="N869" s="140"/>
      <c r="O869" s="344"/>
      <c r="P869" s="327"/>
      <c r="Q869" s="327"/>
      <c r="R869" s="327"/>
      <c r="S869" s="327"/>
      <c r="T869" s="327"/>
    </row>
    <row r="870" spans="1:20" s="240" customFormat="1" ht="13.5" customHeight="1" outlineLevel="1">
      <c r="A870" s="35"/>
      <c r="B870" s="437" t="s">
        <v>514</v>
      </c>
      <c r="C870" s="38"/>
      <c r="D870" s="38"/>
      <c r="E870" s="38"/>
      <c r="F870" s="246"/>
      <c r="G870" s="246"/>
      <c r="H870" s="246"/>
      <c r="I870" s="430">
        <v>0</v>
      </c>
      <c r="J870" s="430">
        <v>1</v>
      </c>
      <c r="K870" s="430">
        <v>1</v>
      </c>
      <c r="L870" s="430">
        <v>1</v>
      </c>
      <c r="M870" s="430">
        <v>1</v>
      </c>
      <c r="N870" s="430">
        <v>1</v>
      </c>
      <c r="O870" s="324">
        <f>CHOOSE(O$825,I870,J870,K870,L870,M870,N870)</f>
        <v>1</v>
      </c>
      <c r="P870" s="327"/>
      <c r="Q870" s="327"/>
      <c r="R870" s="327"/>
      <c r="S870" s="327"/>
      <c r="T870" s="327"/>
    </row>
    <row r="871" spans="1:20" s="240" customFormat="1" ht="13.5" customHeight="1" outlineLevel="1">
      <c r="A871" s="35"/>
      <c r="P871" s="327"/>
      <c r="Q871" s="327"/>
      <c r="R871" s="327"/>
      <c r="S871" s="327"/>
      <c r="T871" s="327"/>
    </row>
    <row r="872" spans="1:20" s="35" customFormat="1" ht="13.5" customHeight="1" outlineLevel="1">
      <c r="B872" s="46" t="s">
        <v>406</v>
      </c>
      <c r="C872" s="47"/>
      <c r="D872" s="47"/>
      <c r="E872" s="47"/>
      <c r="F872" s="47"/>
      <c r="G872" s="47"/>
      <c r="H872" s="47"/>
      <c r="I872" s="47"/>
      <c r="J872" s="47"/>
      <c r="K872" s="47"/>
      <c r="L872" s="47"/>
      <c r="M872" s="47"/>
      <c r="N872" s="47"/>
      <c r="O872" s="47"/>
      <c r="P872" s="47"/>
      <c r="Q872" s="47"/>
      <c r="R872" s="47"/>
      <c r="S872" s="47"/>
      <c r="T872" s="48"/>
    </row>
    <row r="873" spans="1:20" s="240" customFormat="1" ht="5.0999999999999996" customHeight="1" outlineLevel="1">
      <c r="A873" s="35"/>
      <c r="Q873" s="327"/>
      <c r="R873" s="327"/>
      <c r="S873" s="327"/>
      <c r="T873" s="327"/>
    </row>
    <row r="874" spans="1:20" ht="13.5" customHeight="1" outlineLevel="1">
      <c r="I874" s="345"/>
      <c r="J874" s="345"/>
      <c r="K874" s="195" t="s">
        <v>377</v>
      </c>
      <c r="L874" s="195"/>
      <c r="M874" s="195"/>
      <c r="N874" s="195"/>
      <c r="O874" s="345"/>
      <c r="P874" s="345"/>
      <c r="Q874" s="345"/>
      <c r="R874" s="345"/>
      <c r="S874" s="345"/>
      <c r="T874" s="345"/>
    </row>
    <row r="875" spans="1:20" ht="13.5" customHeight="1" outlineLevel="1">
      <c r="B875" s="45"/>
      <c r="I875" s="195" t="s">
        <v>77</v>
      </c>
      <c r="J875" s="195"/>
      <c r="K875" s="294"/>
      <c r="L875" s="49" t="s">
        <v>369</v>
      </c>
      <c r="M875" s="49" t="s">
        <v>369</v>
      </c>
      <c r="N875" s="49" t="s">
        <v>408</v>
      </c>
      <c r="O875" s="195" t="s">
        <v>268</v>
      </c>
      <c r="P875" s="195"/>
      <c r="Q875" s="195" t="s">
        <v>465</v>
      </c>
      <c r="R875" s="195"/>
      <c r="S875" s="195" t="s">
        <v>378</v>
      </c>
      <c r="T875" s="195"/>
    </row>
    <row r="876" spans="1:20" ht="13.5" customHeight="1" outlineLevel="1">
      <c r="B876" s="197"/>
      <c r="C876" s="197"/>
      <c r="I876" s="197" t="s">
        <v>308</v>
      </c>
      <c r="J876" s="49" t="s">
        <v>37</v>
      </c>
      <c r="K876" s="49" t="s">
        <v>21</v>
      </c>
      <c r="L876" s="49" t="s">
        <v>374</v>
      </c>
      <c r="M876" s="49" t="s">
        <v>376</v>
      </c>
      <c r="N876" s="49" t="s">
        <v>409</v>
      </c>
      <c r="O876" s="197" t="s">
        <v>353</v>
      </c>
      <c r="P876" s="197" t="s">
        <v>269</v>
      </c>
      <c r="Q876" s="197" t="s">
        <v>464</v>
      </c>
      <c r="R876" s="197" t="s">
        <v>462</v>
      </c>
      <c r="S876" s="197" t="s">
        <v>270</v>
      </c>
      <c r="T876" s="49" t="s">
        <v>357</v>
      </c>
    </row>
    <row r="877" spans="1:20" ht="13.5" customHeight="1" outlineLevel="1" thickBot="1">
      <c r="B877" s="122" t="s">
        <v>380</v>
      </c>
      <c r="C877" s="201"/>
      <c r="D877" s="201"/>
      <c r="E877" s="201"/>
      <c r="F877" s="201"/>
      <c r="G877" s="201"/>
      <c r="H877" s="201"/>
      <c r="I877" s="201" t="s">
        <v>309</v>
      </c>
      <c r="J877" s="104" t="s">
        <v>356</v>
      </c>
      <c r="K877" s="104" t="s">
        <v>370</v>
      </c>
      <c r="L877" s="104" t="s">
        <v>375</v>
      </c>
      <c r="M877" s="104" t="s">
        <v>372</v>
      </c>
      <c r="N877" s="104" t="s">
        <v>371</v>
      </c>
      <c r="O877" s="201" t="s">
        <v>354</v>
      </c>
      <c r="P877" s="201" t="s">
        <v>267</v>
      </c>
      <c r="Q877" s="201" t="s">
        <v>30</v>
      </c>
      <c r="R877" s="201" t="s">
        <v>461</v>
      </c>
      <c r="S877" s="201" t="s">
        <v>359</v>
      </c>
      <c r="T877" s="104" t="s">
        <v>358</v>
      </c>
    </row>
    <row r="878" spans="1:20" ht="5.0999999999999996" customHeight="1" outlineLevel="1"/>
    <row r="879" spans="1:20" ht="13.5" customHeight="1" outlineLevel="1">
      <c r="B879" s="38" t="str">
        <f>B870</f>
        <v>Legacy debt</v>
      </c>
      <c r="I879" s="430">
        <v>0</v>
      </c>
      <c r="J879" s="430">
        <v>0</v>
      </c>
      <c r="K879" s="426" t="s">
        <v>1</v>
      </c>
      <c r="L879" s="432" t="s">
        <v>1</v>
      </c>
      <c r="M879" s="417" t="s">
        <v>1</v>
      </c>
      <c r="N879" s="417" t="s">
        <v>1</v>
      </c>
      <c r="O879" s="426">
        <v>0.14249999999999999</v>
      </c>
      <c r="P879" s="426">
        <v>0</v>
      </c>
      <c r="Q879" s="423">
        <v>0</v>
      </c>
      <c r="R879" s="432">
        <v>5</v>
      </c>
      <c r="S879" s="423">
        <v>0</v>
      </c>
      <c r="T879" s="434">
        <v>26.77</v>
      </c>
    </row>
    <row r="880" spans="1:20" ht="13.5" customHeight="1" outlineLevel="1">
      <c r="B880" s="38" t="s">
        <v>23</v>
      </c>
      <c r="I880" s="409">
        <v>1</v>
      </c>
      <c r="J880" s="409">
        <v>0</v>
      </c>
      <c r="K880" s="426">
        <v>1.7500000000000002E-2</v>
      </c>
      <c r="L880" s="432">
        <v>5</v>
      </c>
      <c r="M880" s="276">
        <f>revolver*K880</f>
        <v>1.7500000000000002</v>
      </c>
      <c r="N880" s="417" t="s">
        <v>1</v>
      </c>
      <c r="O880" s="426">
        <v>0</v>
      </c>
      <c r="P880" s="426">
        <v>4.2500000000000003E-2</v>
      </c>
      <c r="Q880" s="402">
        <v>0</v>
      </c>
      <c r="R880" s="414" t="s">
        <v>1</v>
      </c>
      <c r="S880" s="402">
        <v>1</v>
      </c>
      <c r="T880" s="418">
        <v>0</v>
      </c>
    </row>
    <row r="881" spans="1:20" ht="13.5" customHeight="1" outlineLevel="1">
      <c r="B881" s="346" t="str">
        <f t="shared" ref="B881:B890" si="640">B835</f>
        <v>Term loan - A</v>
      </c>
      <c r="I881" s="430">
        <v>1</v>
      </c>
      <c r="J881" s="430">
        <v>0</v>
      </c>
      <c r="K881" s="426">
        <v>0.02</v>
      </c>
      <c r="L881" s="432">
        <v>5</v>
      </c>
      <c r="M881" s="178">
        <f t="shared" ref="M881:M890" si="641">(1-J881)*O835*K881</f>
        <v>1</v>
      </c>
      <c r="N881" s="178">
        <f t="shared" ref="N881:N890" si="642">J881*O835*K881</f>
        <v>0</v>
      </c>
      <c r="O881" s="426">
        <v>0</v>
      </c>
      <c r="P881" s="426">
        <v>4.7899999999999998E-2</v>
      </c>
      <c r="Q881" s="423">
        <f>1/5</f>
        <v>0.2</v>
      </c>
      <c r="R881" s="432">
        <v>5</v>
      </c>
      <c r="S881" s="423">
        <v>1</v>
      </c>
      <c r="T881" s="434">
        <v>0</v>
      </c>
    </row>
    <row r="882" spans="1:20" ht="13.5" customHeight="1" outlineLevel="1">
      <c r="B882" s="346" t="str">
        <f t="shared" si="640"/>
        <v>Term loan - B</v>
      </c>
      <c r="I882" s="430">
        <v>1</v>
      </c>
      <c r="J882" s="430">
        <v>0</v>
      </c>
      <c r="K882" s="426">
        <v>0.02</v>
      </c>
      <c r="L882" s="432">
        <v>5</v>
      </c>
      <c r="M882" s="178">
        <f t="shared" si="641"/>
        <v>0</v>
      </c>
      <c r="N882" s="178">
        <f t="shared" si="642"/>
        <v>0</v>
      </c>
      <c r="O882" s="426">
        <v>0</v>
      </c>
      <c r="P882" s="426">
        <v>0.06</v>
      </c>
      <c r="Q882" s="423">
        <v>0.05</v>
      </c>
      <c r="R882" s="432">
        <v>6</v>
      </c>
      <c r="S882" s="423">
        <v>1</v>
      </c>
      <c r="T882" s="434">
        <v>0</v>
      </c>
    </row>
    <row r="883" spans="1:20" ht="13.5" customHeight="1" outlineLevel="1">
      <c r="B883" s="346" t="str">
        <f t="shared" si="640"/>
        <v>Senior note</v>
      </c>
      <c r="I883" s="430">
        <v>1</v>
      </c>
      <c r="J883" s="430">
        <v>0</v>
      </c>
      <c r="K883" s="426">
        <v>2.2499999999999999E-2</v>
      </c>
      <c r="L883" s="432">
        <v>7</v>
      </c>
      <c r="M883" s="178">
        <f t="shared" si="641"/>
        <v>2.25</v>
      </c>
      <c r="N883" s="178">
        <f t="shared" si="642"/>
        <v>0</v>
      </c>
      <c r="O883" s="426">
        <v>0</v>
      </c>
      <c r="P883" s="426">
        <v>6.5000000000000002E-2</v>
      </c>
      <c r="Q883" s="423">
        <v>0</v>
      </c>
      <c r="R883" s="432">
        <v>8</v>
      </c>
      <c r="S883" s="423">
        <v>0</v>
      </c>
      <c r="T883" s="434">
        <v>0</v>
      </c>
    </row>
    <row r="884" spans="1:20" ht="13.5" customHeight="1" outlineLevel="1">
      <c r="B884" s="346" t="str">
        <f t="shared" si="640"/>
        <v>Subordinated note</v>
      </c>
      <c r="I884" s="430">
        <v>0</v>
      </c>
      <c r="J884" s="430">
        <v>0</v>
      </c>
      <c r="K884" s="426">
        <v>0.03</v>
      </c>
      <c r="L884" s="432">
        <v>7</v>
      </c>
      <c r="M884" s="178">
        <f t="shared" si="641"/>
        <v>1.5</v>
      </c>
      <c r="N884" s="178">
        <f t="shared" si="642"/>
        <v>0</v>
      </c>
      <c r="O884" s="426">
        <v>0.10249999999999999</v>
      </c>
      <c r="P884" s="426">
        <v>0</v>
      </c>
      <c r="Q884" s="423">
        <v>0</v>
      </c>
      <c r="R884" s="432">
        <v>6</v>
      </c>
      <c r="S884" s="423">
        <v>0</v>
      </c>
      <c r="T884" s="434">
        <v>0</v>
      </c>
    </row>
    <row r="885" spans="1:20" ht="13.5" customHeight="1" outlineLevel="1">
      <c r="B885" s="346" t="str">
        <f t="shared" si="640"/>
        <v>Mezzanine</v>
      </c>
      <c r="I885" s="430">
        <v>0</v>
      </c>
      <c r="J885" s="430">
        <v>0</v>
      </c>
      <c r="K885" s="426">
        <v>0.03</v>
      </c>
      <c r="L885" s="432">
        <v>7</v>
      </c>
      <c r="M885" s="178">
        <f t="shared" si="641"/>
        <v>0</v>
      </c>
      <c r="N885" s="178">
        <f t="shared" si="642"/>
        <v>0</v>
      </c>
      <c r="O885" s="426">
        <v>0.105</v>
      </c>
      <c r="P885" s="426">
        <v>0</v>
      </c>
      <c r="Q885" s="423">
        <v>0</v>
      </c>
      <c r="R885" s="432">
        <v>1</v>
      </c>
      <c r="S885" s="423">
        <v>0</v>
      </c>
      <c r="T885" s="434">
        <v>0</v>
      </c>
    </row>
    <row r="886" spans="1:20" ht="13.5" customHeight="1" outlineLevel="1">
      <c r="B886" s="346" t="str">
        <f t="shared" si="640"/>
        <v>Seller note</v>
      </c>
      <c r="I886" s="430">
        <v>0</v>
      </c>
      <c r="J886" s="430">
        <v>0</v>
      </c>
      <c r="K886" s="426">
        <v>0.03</v>
      </c>
      <c r="L886" s="432">
        <v>7</v>
      </c>
      <c r="M886" s="178">
        <f t="shared" si="641"/>
        <v>0</v>
      </c>
      <c r="N886" s="178">
        <f t="shared" si="642"/>
        <v>0</v>
      </c>
      <c r="O886" s="426">
        <v>0.105</v>
      </c>
      <c r="P886" s="426">
        <v>0</v>
      </c>
      <c r="Q886" s="423">
        <v>0</v>
      </c>
      <c r="R886" s="432">
        <v>3</v>
      </c>
      <c r="S886" s="423">
        <v>0</v>
      </c>
      <c r="T886" s="434">
        <v>0</v>
      </c>
    </row>
    <row r="887" spans="1:20" ht="13.5" customHeight="1" outlineLevel="1">
      <c r="B887" s="346" t="str">
        <f t="shared" si="640"/>
        <v>Convertible bond</v>
      </c>
      <c r="I887" s="430">
        <v>0</v>
      </c>
      <c r="J887" s="430">
        <v>0</v>
      </c>
      <c r="K887" s="426">
        <v>0.03</v>
      </c>
      <c r="L887" s="432">
        <v>7</v>
      </c>
      <c r="M887" s="178">
        <f t="shared" si="641"/>
        <v>0</v>
      </c>
      <c r="N887" s="178">
        <f t="shared" si="642"/>
        <v>0</v>
      </c>
      <c r="O887" s="426">
        <v>0.11</v>
      </c>
      <c r="P887" s="426">
        <v>0</v>
      </c>
      <c r="Q887" s="423">
        <v>0</v>
      </c>
      <c r="R887" s="432">
        <v>3</v>
      </c>
      <c r="S887" s="423">
        <v>0</v>
      </c>
      <c r="T887" s="434">
        <v>0</v>
      </c>
    </row>
    <row r="888" spans="1:20" ht="13.5" customHeight="1" outlineLevel="1">
      <c r="B888" s="346" t="str">
        <f t="shared" si="640"/>
        <v>[Debt 8]</v>
      </c>
      <c r="I888" s="430">
        <v>0</v>
      </c>
      <c r="J888" s="430">
        <v>0</v>
      </c>
      <c r="K888" s="426">
        <v>0.03</v>
      </c>
      <c r="L888" s="432">
        <v>7</v>
      </c>
      <c r="M888" s="178">
        <f t="shared" si="641"/>
        <v>0</v>
      </c>
      <c r="N888" s="178">
        <f t="shared" si="642"/>
        <v>0</v>
      </c>
      <c r="O888" s="426">
        <v>0</v>
      </c>
      <c r="P888" s="426">
        <v>0</v>
      </c>
      <c r="Q888" s="423">
        <v>0</v>
      </c>
      <c r="R888" s="432">
        <v>3</v>
      </c>
      <c r="S888" s="423">
        <v>0</v>
      </c>
      <c r="T888" s="434">
        <v>0</v>
      </c>
    </row>
    <row r="889" spans="1:20" ht="13.5" customHeight="1" outlineLevel="1">
      <c r="B889" s="346" t="str">
        <f t="shared" si="640"/>
        <v>Preferred stock - A</v>
      </c>
      <c r="I889" s="430">
        <v>0</v>
      </c>
      <c r="J889" s="430">
        <v>1</v>
      </c>
      <c r="K889" s="426">
        <v>0.03</v>
      </c>
      <c r="L889" s="432" t="s">
        <v>1</v>
      </c>
      <c r="M889" s="178">
        <f t="shared" si="641"/>
        <v>0</v>
      </c>
      <c r="N889" s="178">
        <f t="shared" si="642"/>
        <v>0.3</v>
      </c>
      <c r="O889" s="426">
        <v>0.12</v>
      </c>
      <c r="P889" s="426">
        <v>0</v>
      </c>
      <c r="Q889" s="423">
        <v>0</v>
      </c>
      <c r="R889" s="432" t="s">
        <v>1</v>
      </c>
      <c r="S889" s="423">
        <v>0</v>
      </c>
      <c r="T889" s="434">
        <v>0</v>
      </c>
    </row>
    <row r="890" spans="1:20" ht="13.5" customHeight="1" outlineLevel="1">
      <c r="B890" s="346" t="str">
        <f t="shared" si="640"/>
        <v>Preferred stock - B</v>
      </c>
      <c r="I890" s="430">
        <v>0</v>
      </c>
      <c r="J890" s="430">
        <v>1</v>
      </c>
      <c r="K890" s="426">
        <v>0.03</v>
      </c>
      <c r="L890" s="432" t="s">
        <v>1</v>
      </c>
      <c r="M890" s="178">
        <f t="shared" si="641"/>
        <v>0</v>
      </c>
      <c r="N890" s="178">
        <f t="shared" si="642"/>
        <v>0</v>
      </c>
      <c r="O890" s="426">
        <v>0.125</v>
      </c>
      <c r="P890" s="426">
        <v>0</v>
      </c>
      <c r="Q890" s="423">
        <v>0</v>
      </c>
      <c r="R890" s="432" t="s">
        <v>1</v>
      </c>
      <c r="S890" s="423">
        <v>0</v>
      </c>
      <c r="T890" s="434">
        <v>0</v>
      </c>
    </row>
    <row r="891" spans="1:20" ht="13.5" customHeight="1" outlineLevel="1">
      <c r="B891" s="52" t="s">
        <v>17</v>
      </c>
      <c r="C891" s="52"/>
      <c r="D891" s="52"/>
      <c r="E891" s="52"/>
      <c r="F891" s="52"/>
      <c r="G891" s="52"/>
      <c r="H891" s="52"/>
      <c r="I891" s="163"/>
      <c r="J891" s="293"/>
      <c r="K891" s="163"/>
      <c r="L891" s="163"/>
      <c r="M891" s="293">
        <f>SUM(M879:M890)</f>
        <v>6.5</v>
      </c>
      <c r="N891" s="293">
        <f>SUM(N879:N890)</f>
        <v>0.3</v>
      </c>
      <c r="O891" s="293"/>
      <c r="P891" s="293"/>
      <c r="Q891" s="293"/>
      <c r="R891" s="293"/>
      <c r="S891" s="293"/>
      <c r="T891" s="293"/>
    </row>
    <row r="892" spans="1:20" s="240" customFormat="1" ht="13.5" customHeight="1" outlineLevel="1">
      <c r="A892" s="35"/>
    </row>
    <row r="893" spans="1:20" s="35" customFormat="1" ht="13.5" customHeight="1" outlineLevel="1">
      <c r="B893" s="46" t="s">
        <v>447</v>
      </c>
      <c r="C893" s="47"/>
      <c r="D893" s="47"/>
      <c r="E893" s="47"/>
      <c r="F893" s="47"/>
      <c r="G893" s="47"/>
      <c r="H893" s="47"/>
      <c r="I893" s="47"/>
      <c r="J893" s="47"/>
      <c r="K893" s="47"/>
      <c r="L893" s="47"/>
      <c r="M893" s="47"/>
      <c r="N893" s="47"/>
      <c r="O893" s="47"/>
      <c r="P893" s="47"/>
      <c r="Q893" s="47"/>
      <c r="R893" s="47"/>
      <c r="S893" s="47"/>
      <c r="T893" s="48"/>
    </row>
    <row r="894" spans="1:20" ht="5.0999999999999996" customHeight="1" outlineLevel="1">
      <c r="I894" s="140"/>
      <c r="J894" s="140"/>
      <c r="K894" s="128"/>
      <c r="L894" s="128"/>
      <c r="M894" s="128"/>
      <c r="N894" s="128"/>
      <c r="O894" s="128"/>
      <c r="P894" s="128"/>
      <c r="Q894" s="128"/>
      <c r="R894" s="128"/>
      <c r="S894" s="128"/>
      <c r="T894" s="128"/>
    </row>
    <row r="895" spans="1:20" ht="13.5" customHeight="1" outlineLevel="1">
      <c r="B895" s="45"/>
      <c r="I895" s="347" t="s">
        <v>426</v>
      </c>
      <c r="J895" s="348" t="s">
        <v>357</v>
      </c>
      <c r="K895" s="347"/>
      <c r="L895" s="349"/>
      <c r="M895" s="349"/>
      <c r="N895" s="349"/>
      <c r="O895" s="349"/>
      <c r="P895" s="348"/>
      <c r="Q895" s="347"/>
      <c r="R895" s="350" t="s">
        <v>425</v>
      </c>
      <c r="S895" s="348"/>
      <c r="T895" s="347" t="s">
        <v>425</v>
      </c>
    </row>
    <row r="896" spans="1:20" ht="13.5" customHeight="1" outlineLevel="1">
      <c r="B896" s="197"/>
      <c r="C896" s="197"/>
      <c r="I896" s="49" t="s">
        <v>357</v>
      </c>
      <c r="J896" s="49"/>
      <c r="K896" s="49" t="s">
        <v>357</v>
      </c>
      <c r="L896" s="49" t="s">
        <v>355</v>
      </c>
      <c r="M896" s="49" t="s">
        <v>415</v>
      </c>
      <c r="N896" s="49" t="s">
        <v>416</v>
      </c>
      <c r="O896" s="49"/>
      <c r="P896" s="49" t="s">
        <v>417</v>
      </c>
      <c r="Q896" s="49" t="s">
        <v>418</v>
      </c>
      <c r="R896" s="49" t="s">
        <v>357</v>
      </c>
      <c r="S896" s="49"/>
      <c r="T896" s="49" t="s">
        <v>460</v>
      </c>
    </row>
    <row r="897" spans="1:21" ht="13.5" customHeight="1" outlineLevel="1" thickBot="1">
      <c r="B897" s="122" t="s">
        <v>380</v>
      </c>
      <c r="C897" s="201"/>
      <c r="D897" s="201"/>
      <c r="E897" s="201"/>
      <c r="F897" s="201"/>
      <c r="G897" s="201"/>
      <c r="H897" s="201"/>
      <c r="I897" s="104" t="s">
        <v>424</v>
      </c>
      <c r="J897" s="104" t="s">
        <v>419</v>
      </c>
      <c r="K897" s="104" t="s">
        <v>358</v>
      </c>
      <c r="L897" s="104" t="s">
        <v>6</v>
      </c>
      <c r="M897" s="104" t="s">
        <v>420</v>
      </c>
      <c r="N897" s="104" t="s">
        <v>421</v>
      </c>
      <c r="O897" s="104" t="s">
        <v>422</v>
      </c>
      <c r="P897" s="104" t="s">
        <v>6</v>
      </c>
      <c r="Q897" s="104" t="s">
        <v>423</v>
      </c>
      <c r="R897" s="104" t="s">
        <v>424</v>
      </c>
      <c r="S897" s="104" t="s">
        <v>445</v>
      </c>
      <c r="T897" s="104" t="s">
        <v>424</v>
      </c>
    </row>
    <row r="898" spans="1:21" ht="5.0999999999999996" customHeight="1" outlineLevel="1">
      <c r="L898" s="140"/>
      <c r="M898" s="140"/>
      <c r="N898" s="128"/>
      <c r="O898" s="128"/>
      <c r="P898" s="128"/>
      <c r="Q898" s="128"/>
      <c r="R898" s="128"/>
      <c r="S898" s="128"/>
      <c r="T898" s="128"/>
    </row>
    <row r="899" spans="1:21" ht="13.5" customHeight="1" outlineLevel="1">
      <c r="B899" s="307" t="str">
        <f>B870</f>
        <v>Legacy debt</v>
      </c>
      <c r="I899" s="431">
        <v>230</v>
      </c>
      <c r="J899" s="430">
        <v>1</v>
      </c>
      <c r="K899" s="71">
        <f>T879</f>
        <v>26.77</v>
      </c>
      <c r="L899" s="351">
        <f t="shared" ref="L899" si="643">IFERROR(I899/K899,0)</f>
        <v>8.591707134852447</v>
      </c>
      <c r="M899" s="311">
        <f>IF(K899&lt;=$P$18,1,0)*J899</f>
        <v>0</v>
      </c>
      <c r="N899" s="430">
        <v>1</v>
      </c>
      <c r="O899" s="311">
        <f>J899*M899*N899</f>
        <v>0</v>
      </c>
      <c r="P899" s="65">
        <f>L899*O899</f>
        <v>0</v>
      </c>
      <c r="Q899" s="54">
        <f>K899*P899</f>
        <v>0</v>
      </c>
      <c r="R899" s="178">
        <f>I899*(1-O899)</f>
        <v>230</v>
      </c>
      <c r="S899" s="311">
        <f>O870</f>
        <v>1</v>
      </c>
      <c r="T899" s="128">
        <f>R899*(1-S899)</f>
        <v>0</v>
      </c>
    </row>
    <row r="900" spans="1:21" s="35" customFormat="1" ht="5.0999999999999996" customHeight="1" outlineLevel="1" thickBot="1">
      <c r="B900" s="114"/>
      <c r="C900" s="114"/>
      <c r="D900" s="114"/>
      <c r="E900" s="114"/>
      <c r="F900" s="114"/>
      <c r="G900" s="114"/>
      <c r="H900" s="114"/>
      <c r="I900" s="114"/>
      <c r="J900" s="114"/>
      <c r="K900" s="114"/>
      <c r="L900" s="114"/>
      <c r="M900" s="114"/>
      <c r="N900" s="114"/>
      <c r="O900" s="114"/>
      <c r="P900" s="114"/>
      <c r="Q900" s="114"/>
      <c r="R900" s="114"/>
      <c r="S900" s="114"/>
      <c r="T900" s="114"/>
    </row>
    <row r="901" spans="1:21" s="35" customFormat="1" ht="13.5" customHeight="1" outlineLevel="1"/>
    <row r="902" spans="1:21" s="35" customFormat="1" ht="13.5" customHeight="1" outlineLevel="1" thickBot="1"/>
    <row r="903" spans="1:21" s="35" customFormat="1" ht="20.100000000000001" customHeight="1" thickTop="1">
      <c r="A903" s="41" t="s">
        <v>313</v>
      </c>
      <c r="B903" s="42" t="s">
        <v>444</v>
      </c>
      <c r="C903" s="43"/>
      <c r="D903" s="44"/>
      <c r="E903" s="44"/>
      <c r="F903" s="44"/>
      <c r="G903" s="44"/>
      <c r="H903" s="44"/>
      <c r="I903" s="44"/>
      <c r="J903" s="44"/>
      <c r="K903" s="44"/>
      <c r="L903" s="44"/>
      <c r="M903" s="44"/>
      <c r="N903" s="44"/>
      <c r="O903" s="44"/>
      <c r="P903" s="44"/>
      <c r="Q903" s="44"/>
      <c r="R903" s="44"/>
      <c r="S903" s="44"/>
      <c r="T903" s="44"/>
    </row>
    <row r="904" spans="1:21" ht="13.5" customHeight="1" outlineLevel="1"/>
    <row r="905" spans="1:21" ht="13.5" customHeight="1" outlineLevel="1">
      <c r="B905" s="45"/>
      <c r="E905" s="352" t="s">
        <v>53</v>
      </c>
      <c r="F905" s="195" t="s">
        <v>392</v>
      </c>
      <c r="G905" s="195"/>
      <c r="H905" s="195"/>
      <c r="I905" s="49" t="s">
        <v>404</v>
      </c>
      <c r="J905" s="49" t="s">
        <v>431</v>
      </c>
      <c r="K905" s="49" t="s">
        <v>434</v>
      </c>
      <c r="L905" s="49" t="s">
        <v>437</v>
      </c>
      <c r="M905" s="49" t="s">
        <v>439</v>
      </c>
      <c r="N905" s="49" t="s">
        <v>456</v>
      </c>
      <c r="O905" s="49" t="s">
        <v>20</v>
      </c>
    </row>
    <row r="906" spans="1:21" ht="13.5" customHeight="1" outlineLevel="1">
      <c r="B906" s="197"/>
      <c r="C906" s="197"/>
      <c r="E906" s="49" t="s">
        <v>166</v>
      </c>
      <c r="F906" s="197" t="s">
        <v>427</v>
      </c>
      <c r="G906" s="197" t="s">
        <v>442</v>
      </c>
      <c r="H906" s="197" t="s">
        <v>428</v>
      </c>
      <c r="I906" s="49" t="s">
        <v>432</v>
      </c>
      <c r="J906" s="49" t="s">
        <v>85</v>
      </c>
      <c r="K906" s="49" t="s">
        <v>72</v>
      </c>
      <c r="L906" s="49" t="s">
        <v>438</v>
      </c>
      <c r="M906" s="49" t="s">
        <v>414</v>
      </c>
      <c r="N906" s="49" t="s">
        <v>457</v>
      </c>
      <c r="O906" s="49" t="s">
        <v>72</v>
      </c>
    </row>
    <row r="907" spans="1:21" ht="13.5" customHeight="1" outlineLevel="1" thickBot="1">
      <c r="B907" s="122" t="s">
        <v>201</v>
      </c>
      <c r="C907" s="201"/>
      <c r="D907" s="201"/>
      <c r="E907" s="353">
        <f>H217</f>
        <v>45291</v>
      </c>
      <c r="F907" s="201" t="s">
        <v>429</v>
      </c>
      <c r="G907" s="201" t="s">
        <v>443</v>
      </c>
      <c r="H907" s="201" t="s">
        <v>430</v>
      </c>
      <c r="I907" s="104" t="s">
        <v>61</v>
      </c>
      <c r="J907" s="104" t="s">
        <v>433</v>
      </c>
      <c r="K907" s="104" t="s">
        <v>435</v>
      </c>
      <c r="L907" s="104" t="s">
        <v>166</v>
      </c>
      <c r="M907" s="104" t="s">
        <v>440</v>
      </c>
      <c r="N907" s="104" t="s">
        <v>450</v>
      </c>
      <c r="O907" s="104" t="s">
        <v>435</v>
      </c>
    </row>
    <row r="908" spans="1:21" s="35" customFormat="1" ht="5.0999999999999996" customHeight="1" outlineLevel="1">
      <c r="P908" s="38"/>
      <c r="Q908" s="38"/>
      <c r="R908" s="38"/>
      <c r="S908" s="38"/>
      <c r="T908" s="38"/>
      <c r="U908" s="38"/>
    </row>
    <row r="909" spans="1:21" ht="13.5" customHeight="1" outlineLevel="1">
      <c r="B909" s="46" t="s">
        <v>22</v>
      </c>
      <c r="C909" s="47"/>
      <c r="D909" s="47"/>
      <c r="E909" s="47"/>
      <c r="F909" s="47"/>
      <c r="G909" s="47"/>
      <c r="H909" s="47"/>
      <c r="I909" s="47"/>
      <c r="J909" s="47"/>
      <c r="K909" s="47"/>
      <c r="L909" s="47"/>
      <c r="M909" s="47"/>
      <c r="N909" s="47"/>
      <c r="O909" s="48"/>
    </row>
    <row r="910" spans="1:21" s="35" customFormat="1" ht="5.0999999999999996" customHeight="1" outlineLevel="1">
      <c r="F910" s="203"/>
      <c r="G910" s="203"/>
      <c r="H910" s="203"/>
      <c r="J910" s="203"/>
      <c r="L910" s="203"/>
      <c r="M910" s="203"/>
      <c r="N910" s="203"/>
      <c r="P910" s="38"/>
      <c r="Q910" s="38"/>
      <c r="R910" s="38"/>
      <c r="S910" s="38"/>
      <c r="T910" s="38"/>
      <c r="U910" s="38"/>
    </row>
    <row r="911" spans="1:21" s="35" customFormat="1" ht="13.5" customHeight="1" outlineLevel="1">
      <c r="B911" s="84" t="str">
        <f t="shared" ref="B911:B926" si="644">B221</f>
        <v>Cash &amp; equivalents</v>
      </c>
      <c r="C911" s="38"/>
      <c r="D911" s="79"/>
      <c r="E911" s="105">
        <f ca="1">H221</f>
        <v>182.18834347164699</v>
      </c>
      <c r="F911" s="265"/>
      <c r="G911" s="265"/>
      <c r="H911" s="265"/>
      <c r="I911" s="105">
        <f ca="1">SUM(E911:H911)</f>
        <v>182.18834347164699</v>
      </c>
      <c r="J911" s="265">
        <f>IF(LBO,-O853+H750,0)</f>
        <v>-565.75316499999997</v>
      </c>
      <c r="K911" s="105">
        <f ca="1">SUM(I911:J911)</f>
        <v>-383.56482152835298</v>
      </c>
      <c r="L911" s="265">
        <f>-O863+O863*tax</f>
        <v>-11.743490403124998</v>
      </c>
      <c r="M911" s="265">
        <f>M937</f>
        <v>-230</v>
      </c>
      <c r="N911" s="265">
        <f ca="1">O847-O856*(1-tax)</f>
        <v>725.30831193147799</v>
      </c>
      <c r="O911" s="105">
        <f ca="1">SUM(K911:N911)</f>
        <v>100</v>
      </c>
      <c r="P911" s="38"/>
      <c r="Q911" s="38"/>
      <c r="R911" s="38"/>
      <c r="S911" s="38"/>
      <c r="T911" s="38"/>
      <c r="U911" s="38"/>
    </row>
    <row r="912" spans="1:21" s="35" customFormat="1" ht="13.5" customHeight="1" outlineLevel="1">
      <c r="B912" s="84" t="str">
        <f t="shared" si="644"/>
        <v>Accounts receivable</v>
      </c>
      <c r="C912" s="38"/>
      <c r="D912" s="107"/>
      <c r="E912" s="80">
        <f>H222</f>
        <v>138.21841237113401</v>
      </c>
      <c r="F912" s="354"/>
      <c r="G912" s="354"/>
      <c r="H912" s="354"/>
      <c r="I912" s="80">
        <f>SUM(E912:H912)</f>
        <v>138.21841237113401</v>
      </c>
      <c r="J912" s="354"/>
      <c r="K912" s="80">
        <f>SUM(I912:J912)</f>
        <v>138.21841237113401</v>
      </c>
      <c r="L912" s="354"/>
      <c r="M912" s="354"/>
      <c r="N912" s="354"/>
      <c r="O912" s="80">
        <f>SUM(K912:N912)</f>
        <v>138.21841237113401</v>
      </c>
      <c r="P912" s="38"/>
      <c r="Q912" s="38"/>
      <c r="R912" s="38"/>
      <c r="S912" s="38"/>
      <c r="T912" s="38"/>
      <c r="U912" s="38"/>
    </row>
    <row r="913" spans="2:21" s="35" customFormat="1" ht="13.5" customHeight="1" outlineLevel="1">
      <c r="B913" s="84" t="str">
        <f t="shared" si="644"/>
        <v>Inventories</v>
      </c>
      <c r="C913" s="38"/>
      <c r="D913" s="107"/>
      <c r="E913" s="80">
        <f>H223</f>
        <v>0</v>
      </c>
      <c r="F913" s="354"/>
      <c r="G913" s="354"/>
      <c r="H913" s="354"/>
      <c r="I913" s="80">
        <f>SUM(E913:H913)</f>
        <v>0</v>
      </c>
      <c r="J913" s="354"/>
      <c r="K913" s="80">
        <f>SUM(I913:J913)</f>
        <v>0</v>
      </c>
      <c r="L913" s="354"/>
      <c r="M913" s="354"/>
      <c r="N913" s="354"/>
      <c r="O913" s="80">
        <f>SUM(K913:N913)</f>
        <v>0</v>
      </c>
      <c r="P913" s="38"/>
      <c r="Q913" s="38"/>
      <c r="R913" s="38"/>
      <c r="S913" s="38"/>
      <c r="T913" s="38"/>
      <c r="U913" s="38"/>
    </row>
    <row r="914" spans="2:21" s="35" customFormat="1" ht="13.5" customHeight="1" outlineLevel="1">
      <c r="B914" s="84" t="str">
        <f t="shared" si="644"/>
        <v>Deferred tax asset, current</v>
      </c>
      <c r="E914" s="80">
        <f>H224</f>
        <v>0</v>
      </c>
      <c r="F914" s="354"/>
      <c r="G914" s="354"/>
      <c r="H914" s="354"/>
      <c r="I914" s="80">
        <f>SUM(E914:H914)</f>
        <v>0</v>
      </c>
      <c r="J914" s="354"/>
      <c r="K914" s="80">
        <f>SUM(I914:J914)</f>
        <v>0</v>
      </c>
      <c r="L914" s="354"/>
      <c r="M914" s="354"/>
      <c r="N914" s="354"/>
      <c r="O914" s="80">
        <f>SUM(K914:N914)</f>
        <v>0</v>
      </c>
      <c r="P914" s="38"/>
      <c r="Q914" s="38"/>
      <c r="R914" s="38"/>
      <c r="S914" s="38"/>
      <c r="T914" s="38"/>
      <c r="U914" s="38"/>
    </row>
    <row r="915" spans="2:21" s="35" customFormat="1" ht="13.5" customHeight="1" outlineLevel="1">
      <c r="B915" s="84" t="str">
        <f t="shared" si="644"/>
        <v>Prepaid expenses &amp; other</v>
      </c>
      <c r="C915" s="38"/>
      <c r="D915" s="107"/>
      <c r="E915" s="80">
        <f>H225</f>
        <v>8.6439213893967093</v>
      </c>
      <c r="F915" s="354"/>
      <c r="G915" s="354"/>
      <c r="H915" s="354"/>
      <c r="I915" s="80">
        <f>SUM(E915:H915)</f>
        <v>8.6439213893967093</v>
      </c>
      <c r="J915" s="354"/>
      <c r="K915" s="80">
        <f>SUM(I915:J915)</f>
        <v>8.6439213893967093</v>
      </c>
      <c r="L915" s="354"/>
      <c r="M915" s="354"/>
      <c r="N915" s="354"/>
      <c r="O915" s="80">
        <f>SUM(K915:N915)</f>
        <v>8.6439213893967093</v>
      </c>
      <c r="P915" s="38"/>
      <c r="Q915" s="38"/>
      <c r="R915" s="38"/>
      <c r="S915" s="38"/>
      <c r="T915" s="38"/>
      <c r="U915" s="38"/>
    </row>
    <row r="916" spans="2:21" s="35" customFormat="1" ht="13.5" customHeight="1" outlineLevel="1">
      <c r="B916" s="130" t="str">
        <f t="shared" si="644"/>
        <v>Total current assets</v>
      </c>
      <c r="C916" s="52"/>
      <c r="D916" s="153"/>
      <c r="E916" s="153">
        <f t="shared" ref="E916:H916" ca="1" si="645">SUM(E911:E915)</f>
        <v>329.05067723217769</v>
      </c>
      <c r="F916" s="207">
        <f t="shared" si="645"/>
        <v>0</v>
      </c>
      <c r="G916" s="207">
        <f t="shared" si="645"/>
        <v>0</v>
      </c>
      <c r="H916" s="207">
        <f t="shared" si="645"/>
        <v>0</v>
      </c>
      <c r="I916" s="153">
        <f ca="1">SUM(I911:I915)</f>
        <v>329.05067723217769</v>
      </c>
      <c r="J916" s="207">
        <f>SUM(J911:J915)</f>
        <v>-565.75316499999997</v>
      </c>
      <c r="K916" s="153">
        <f t="shared" ref="K916:L916" ca="1" si="646">SUM(K911:K915)</f>
        <v>-236.70248776782228</v>
      </c>
      <c r="L916" s="207">
        <f t="shared" si="646"/>
        <v>-11.743490403124998</v>
      </c>
      <c r="M916" s="207">
        <f t="shared" ref="M916:N916" si="647">SUM(M911:M915)</f>
        <v>-230</v>
      </c>
      <c r="N916" s="207">
        <f t="shared" ca="1" si="647"/>
        <v>725.30831193147799</v>
      </c>
      <c r="O916" s="153">
        <f ca="1">SUM(O911:O915)</f>
        <v>246.8623337605307</v>
      </c>
      <c r="P916" s="38"/>
      <c r="Q916" s="38"/>
      <c r="R916" s="38"/>
      <c r="S916" s="38"/>
      <c r="T916" s="38"/>
      <c r="U916" s="38"/>
    </row>
    <row r="917" spans="2:21" s="35" customFormat="1" ht="13.5" customHeight="1" outlineLevel="1">
      <c r="B917" s="84" t="str">
        <f t="shared" si="644"/>
        <v>PP&amp;E, gross</v>
      </c>
      <c r="C917" s="38"/>
      <c r="D917" s="208"/>
      <c r="E917" s="80">
        <f>H227</f>
        <v>190.98593064667293</v>
      </c>
      <c r="F917" s="354"/>
      <c r="G917" s="354">
        <f>H46</f>
        <v>15</v>
      </c>
      <c r="H917" s="354"/>
      <c r="I917" s="80">
        <f>SUM(E917:H917)</f>
        <v>205.98593064667293</v>
      </c>
      <c r="J917" s="354"/>
      <c r="K917" s="80">
        <f>SUM(I917:J917)</f>
        <v>205.98593064667293</v>
      </c>
      <c r="L917" s="354"/>
      <c r="M917" s="354"/>
      <c r="N917" s="354"/>
      <c r="O917" s="80">
        <f>SUM(K917:N917)</f>
        <v>205.98593064667293</v>
      </c>
      <c r="P917" s="38"/>
      <c r="Q917" s="38"/>
      <c r="R917" s="38"/>
      <c r="S917" s="38"/>
      <c r="T917" s="38"/>
      <c r="U917" s="38"/>
    </row>
    <row r="918" spans="2:21" s="35" customFormat="1" ht="13.5" customHeight="1" outlineLevel="1">
      <c r="B918" s="84" t="str">
        <f t="shared" si="644"/>
        <v>( – ) Accumluated depreciation</v>
      </c>
      <c r="C918" s="38"/>
      <c r="D918" s="107"/>
      <c r="E918" s="80">
        <f>H228</f>
        <v>-152.34400000000005</v>
      </c>
      <c r="F918" s="354"/>
      <c r="G918" s="354"/>
      <c r="H918" s="354"/>
      <c r="I918" s="80">
        <f>SUM(E918:H918)</f>
        <v>-152.34400000000005</v>
      </c>
      <c r="J918" s="354"/>
      <c r="K918" s="80">
        <f>SUM(I918:J918)</f>
        <v>-152.34400000000005</v>
      </c>
      <c r="L918" s="354"/>
      <c r="M918" s="354"/>
      <c r="N918" s="354"/>
      <c r="O918" s="80">
        <f>SUM(K918:N918)</f>
        <v>-152.34400000000005</v>
      </c>
      <c r="P918" s="38"/>
      <c r="Q918" s="38"/>
      <c r="R918" s="38"/>
      <c r="S918" s="38"/>
      <c r="T918" s="38"/>
      <c r="U918" s="38"/>
    </row>
    <row r="919" spans="2:21" s="35" customFormat="1" ht="13.5" customHeight="1" outlineLevel="1">
      <c r="B919" s="130" t="str">
        <f t="shared" si="644"/>
        <v>PP&amp;E, net</v>
      </c>
      <c r="C919" s="52"/>
      <c r="D919" s="210"/>
      <c r="E919" s="83">
        <f t="shared" ref="E919:H919" si="648">SUM(E917:E918)</f>
        <v>38.641930646672876</v>
      </c>
      <c r="F919" s="211">
        <f t="shared" si="648"/>
        <v>0</v>
      </c>
      <c r="G919" s="211">
        <f t="shared" si="648"/>
        <v>15</v>
      </c>
      <c r="H919" s="211">
        <f t="shared" si="648"/>
        <v>0</v>
      </c>
      <c r="I919" s="83">
        <f>SUM(I917:I918)</f>
        <v>53.641930646672876</v>
      </c>
      <c r="J919" s="211">
        <f>SUM(J917:J918)</f>
        <v>0</v>
      </c>
      <c r="K919" s="83">
        <f t="shared" ref="K919:L919" si="649">SUM(K917:K918)</f>
        <v>53.641930646672876</v>
      </c>
      <c r="L919" s="211">
        <f t="shared" si="649"/>
        <v>0</v>
      </c>
      <c r="M919" s="211">
        <f t="shared" ref="M919:N919" si="650">SUM(M917:M918)</f>
        <v>0</v>
      </c>
      <c r="N919" s="211">
        <f t="shared" si="650"/>
        <v>0</v>
      </c>
      <c r="O919" s="83">
        <f>SUM(O917:O918)</f>
        <v>53.641930646672876</v>
      </c>
      <c r="P919" s="38"/>
      <c r="Q919" s="38"/>
      <c r="R919" s="38"/>
      <c r="S919" s="38"/>
      <c r="T919" s="38"/>
      <c r="U919" s="38"/>
    </row>
    <row r="920" spans="2:21" s="35" customFormat="1" ht="13.5" customHeight="1" outlineLevel="1">
      <c r="B920" s="38" t="str">
        <f t="shared" si="644"/>
        <v>Equity investments</v>
      </c>
      <c r="C920" s="38"/>
      <c r="D920" s="107"/>
      <c r="E920" s="80">
        <f t="shared" ref="E920:E925" si="651">H230</f>
        <v>0</v>
      </c>
      <c r="F920" s="354"/>
      <c r="G920" s="354"/>
      <c r="H920" s="354"/>
      <c r="I920" s="80">
        <f t="shared" ref="I920:I925" si="652">SUM(E920:H920)</f>
        <v>0</v>
      </c>
      <c r="J920" s="354"/>
      <c r="K920" s="80">
        <f t="shared" ref="K920:K925" si="653">SUM(I920:J920)</f>
        <v>0</v>
      </c>
      <c r="L920" s="354"/>
      <c r="M920" s="354"/>
      <c r="N920" s="354"/>
      <c r="O920" s="80">
        <f t="shared" ref="O920:O925" si="654">SUM(K920:N920)</f>
        <v>0</v>
      </c>
      <c r="P920" s="38"/>
      <c r="Q920" s="38"/>
      <c r="R920" s="38"/>
      <c r="S920" s="38"/>
      <c r="T920" s="38"/>
      <c r="U920" s="38"/>
    </row>
    <row r="921" spans="2:21" s="35" customFormat="1" ht="13.5" customHeight="1" outlineLevel="1">
      <c r="B921" s="38" t="str">
        <f t="shared" si="644"/>
        <v>Capitalized financing costs</v>
      </c>
      <c r="C921" s="38"/>
      <c r="D921" s="107"/>
      <c r="E921" s="80">
        <f t="shared" si="651"/>
        <v>0</v>
      </c>
      <c r="F921" s="354"/>
      <c r="G921" s="354"/>
      <c r="H921" s="354"/>
      <c r="I921" s="80">
        <f t="shared" si="652"/>
        <v>0</v>
      </c>
      <c r="J921" s="354"/>
      <c r="K921" s="80">
        <f t="shared" si="653"/>
        <v>0</v>
      </c>
      <c r="L921" s="354"/>
      <c r="M921" s="354"/>
      <c r="N921" s="354">
        <f>M891</f>
        <v>6.5</v>
      </c>
      <c r="O921" s="80">
        <f t="shared" si="654"/>
        <v>6.5</v>
      </c>
      <c r="P921" s="38"/>
      <c r="Q921" s="38"/>
      <c r="R921" s="38"/>
      <c r="S921" s="38"/>
      <c r="T921" s="38"/>
      <c r="U921" s="38"/>
    </row>
    <row r="922" spans="2:21" s="35" customFormat="1" ht="13.5" customHeight="1" outlineLevel="1">
      <c r="B922" s="38" t="str">
        <f t="shared" si="644"/>
        <v>Goodwill, net</v>
      </c>
      <c r="C922" s="38"/>
      <c r="D922" s="107"/>
      <c r="E922" s="80">
        <f t="shared" si="651"/>
        <v>61.094000000000001</v>
      </c>
      <c r="F922" s="354">
        <f>-E922*LBO</f>
        <v>-61.094000000000001</v>
      </c>
      <c r="G922" s="354"/>
      <c r="H922" s="354"/>
      <c r="I922" s="80">
        <f t="shared" si="652"/>
        <v>0</v>
      </c>
      <c r="J922" s="354">
        <f ca="1">goodwill*LBO</f>
        <v>418.01942547835932</v>
      </c>
      <c r="K922" s="80">
        <f t="shared" ca="1" si="653"/>
        <v>418.01942547835932</v>
      </c>
      <c r="L922" s="354"/>
      <c r="M922" s="354"/>
      <c r="N922" s="354"/>
      <c r="O922" s="80">
        <f t="shared" ca="1" si="654"/>
        <v>418.01942547835932</v>
      </c>
      <c r="P922" s="38"/>
      <c r="Q922" s="38"/>
      <c r="R922" s="38"/>
      <c r="S922" s="38"/>
      <c r="T922" s="38"/>
      <c r="U922" s="38"/>
    </row>
    <row r="923" spans="2:21" s="35" customFormat="1" ht="13.5" customHeight="1" outlineLevel="1">
      <c r="B923" s="38" t="str">
        <f t="shared" si="644"/>
        <v>Intangible assets, net</v>
      </c>
      <c r="C923" s="38"/>
      <c r="D923" s="107"/>
      <c r="E923" s="80">
        <f t="shared" si="651"/>
        <v>23.991</v>
      </c>
      <c r="F923" s="354"/>
      <c r="G923" s="354">
        <f ca="1">H47</f>
        <v>109.45535088906249</v>
      </c>
      <c r="H923" s="354"/>
      <c r="I923" s="80">
        <f t="shared" ca="1" si="652"/>
        <v>133.4463508890625</v>
      </c>
      <c r="J923" s="354"/>
      <c r="K923" s="80">
        <f t="shared" ca="1" si="653"/>
        <v>133.4463508890625</v>
      </c>
      <c r="L923" s="354"/>
      <c r="M923" s="354"/>
      <c r="N923" s="354"/>
      <c r="O923" s="80">
        <f t="shared" ca="1" si="654"/>
        <v>133.4463508890625</v>
      </c>
      <c r="P923" s="38"/>
      <c r="Q923" s="38"/>
      <c r="R923" s="38"/>
      <c r="S923" s="38"/>
      <c r="T923" s="38"/>
      <c r="U923" s="38"/>
    </row>
    <row r="924" spans="2:21" s="35" customFormat="1" ht="13.5" customHeight="1" outlineLevel="1">
      <c r="B924" s="38" t="str">
        <f t="shared" si="644"/>
        <v>Operating rights, net</v>
      </c>
      <c r="C924" s="38"/>
      <c r="D924" s="107"/>
      <c r="E924" s="80">
        <f t="shared" si="651"/>
        <v>0</v>
      </c>
      <c r="F924" s="354"/>
      <c r="G924" s="354"/>
      <c r="H924" s="354"/>
      <c r="I924" s="80">
        <f t="shared" si="652"/>
        <v>0</v>
      </c>
      <c r="J924" s="354"/>
      <c r="K924" s="80">
        <f t="shared" si="653"/>
        <v>0</v>
      </c>
      <c r="L924" s="354"/>
      <c r="M924" s="354"/>
      <c r="N924" s="354"/>
      <c r="O924" s="80">
        <f t="shared" si="654"/>
        <v>0</v>
      </c>
      <c r="P924" s="38"/>
      <c r="Q924" s="38"/>
      <c r="R924" s="38"/>
      <c r="S924" s="38"/>
      <c r="T924" s="38"/>
      <c r="U924" s="38"/>
    </row>
    <row r="925" spans="2:21" s="35" customFormat="1" ht="13.5" customHeight="1" outlineLevel="1">
      <c r="B925" s="38" t="str">
        <f t="shared" si="644"/>
        <v>Other long-term assets</v>
      </c>
      <c r="C925" s="38"/>
      <c r="D925" s="107"/>
      <c r="E925" s="80">
        <f t="shared" si="651"/>
        <v>14.29</v>
      </c>
      <c r="F925" s="354"/>
      <c r="G925" s="354"/>
      <c r="H925" s="354"/>
      <c r="I925" s="80">
        <f t="shared" si="652"/>
        <v>14.29</v>
      </c>
      <c r="J925" s="354"/>
      <c r="K925" s="80">
        <f t="shared" si="653"/>
        <v>14.29</v>
      </c>
      <c r="L925" s="354"/>
      <c r="M925" s="354"/>
      <c r="N925" s="354"/>
      <c r="O925" s="80">
        <f t="shared" si="654"/>
        <v>14.29</v>
      </c>
      <c r="P925" s="38"/>
      <c r="Q925" s="38"/>
      <c r="R925" s="38"/>
      <c r="S925" s="38"/>
      <c r="T925" s="38"/>
      <c r="U925" s="38"/>
    </row>
    <row r="926" spans="2:21" s="35" customFormat="1" ht="13.5" customHeight="1" outlineLevel="1">
      <c r="B926" s="212" t="str">
        <f t="shared" si="644"/>
        <v>Total assets</v>
      </c>
      <c r="C926" s="133"/>
      <c r="D926" s="213"/>
      <c r="E926" s="213">
        <f t="shared" ref="E926" ca="1" si="655">SUM(E919:E925)+E916</f>
        <v>467.06760787885059</v>
      </c>
      <c r="F926" s="96">
        <f t="shared" ref="F926" si="656">SUM(F919:F925)+F916</f>
        <v>-61.094000000000001</v>
      </c>
      <c r="G926" s="96">
        <f t="shared" ref="G926" ca="1" si="657">SUM(G919:G925)+G916</f>
        <v>124.45535088906249</v>
      </c>
      <c r="H926" s="96">
        <f>SUM(H919:H925)+H916</f>
        <v>0</v>
      </c>
      <c r="I926" s="213">
        <f ca="1">SUM(I919:I925)+I916</f>
        <v>530.42895876791306</v>
      </c>
      <c r="J926" s="96">
        <f ca="1">SUM(J919:J925)+J916</f>
        <v>-147.73373952164064</v>
      </c>
      <c r="K926" s="213">
        <f t="shared" ref="K926" ca="1" si="658">SUM(K919:K925)+K916</f>
        <v>382.69521924627236</v>
      </c>
      <c r="L926" s="96">
        <f t="shared" ref="L926" si="659">SUM(L919:L925)+L916</f>
        <v>-11.743490403124998</v>
      </c>
      <c r="M926" s="96">
        <f t="shared" ref="M926" si="660">SUM(M919:M925)+M916</f>
        <v>-230</v>
      </c>
      <c r="N926" s="96">
        <f t="shared" ref="N926" ca="1" si="661">SUM(N919:N925)+N916</f>
        <v>731.80831193147799</v>
      </c>
      <c r="O926" s="213">
        <f ca="1">SUM(O919:O925)+O916</f>
        <v>872.76004077462539</v>
      </c>
      <c r="P926" s="38"/>
      <c r="Q926" s="38"/>
      <c r="R926" s="38"/>
      <c r="S926" s="38"/>
      <c r="T926" s="38"/>
      <c r="U926" s="38"/>
    </row>
    <row r="927" spans="2:21" s="35" customFormat="1" ht="13.5" customHeight="1" outlineLevel="1">
      <c r="F927" s="203"/>
      <c r="G927" s="203"/>
      <c r="H927" s="203"/>
      <c r="J927" s="203"/>
      <c r="L927" s="203"/>
      <c r="M927" s="203"/>
      <c r="N927" s="203"/>
      <c r="P927" s="38"/>
      <c r="Q927" s="38"/>
      <c r="R927" s="38"/>
      <c r="S927" s="38"/>
      <c r="T927" s="38"/>
      <c r="U927" s="38"/>
    </row>
    <row r="928" spans="2:21" ht="13.5" customHeight="1" outlineLevel="1">
      <c r="B928" s="46" t="s">
        <v>66</v>
      </c>
      <c r="C928" s="47"/>
      <c r="D928" s="47"/>
      <c r="E928" s="47"/>
      <c r="F928" s="47"/>
      <c r="G928" s="47"/>
      <c r="H928" s="47"/>
      <c r="I928" s="47"/>
      <c r="J928" s="47"/>
      <c r="K928" s="47"/>
      <c r="L928" s="47"/>
      <c r="M928" s="47"/>
      <c r="N928" s="47"/>
      <c r="O928" s="48"/>
    </row>
    <row r="929" spans="2:21" s="35" customFormat="1" ht="5.0999999999999996" customHeight="1" outlineLevel="1">
      <c r="F929" s="203"/>
      <c r="G929" s="203"/>
      <c r="H929" s="203"/>
      <c r="J929" s="203"/>
      <c r="L929" s="203"/>
      <c r="M929" s="203"/>
      <c r="N929" s="203"/>
      <c r="P929" s="38"/>
      <c r="Q929" s="38"/>
      <c r="R929" s="38"/>
      <c r="S929" s="38"/>
      <c r="T929" s="38"/>
      <c r="U929" s="38"/>
    </row>
    <row r="930" spans="2:21" s="35" customFormat="1" ht="13.5" customHeight="1" outlineLevel="1">
      <c r="B930" s="84" t="str">
        <f t="shared" ref="B930:B958" si="662">B240</f>
        <v>Short-term debt</v>
      </c>
      <c r="C930" s="38"/>
      <c r="D930" s="79"/>
      <c r="E930" s="105">
        <f>H240</f>
        <v>0</v>
      </c>
      <c r="F930" s="265"/>
      <c r="G930" s="265"/>
      <c r="H930" s="265"/>
      <c r="I930" s="105">
        <f>SUM(E930:H930)</f>
        <v>0</v>
      </c>
      <c r="J930" s="265"/>
      <c r="K930" s="105">
        <f>SUM(I930:J930)</f>
        <v>0</v>
      </c>
      <c r="L930" s="265"/>
      <c r="M930" s="265"/>
      <c r="N930" s="265"/>
      <c r="O930" s="105">
        <f>SUM(K930:N930)</f>
        <v>0</v>
      </c>
      <c r="P930" s="38"/>
      <c r="Q930" s="38"/>
      <c r="R930" s="38"/>
      <c r="S930" s="38"/>
      <c r="T930" s="38"/>
      <c r="U930" s="38"/>
    </row>
    <row r="931" spans="2:21" s="35" customFormat="1" ht="13.5" customHeight="1" outlineLevel="1">
      <c r="B931" s="84" t="str">
        <f t="shared" si="662"/>
        <v>Accounts payable</v>
      </c>
      <c r="C931" s="38"/>
      <c r="D931" s="107"/>
      <c r="E931" s="80">
        <f>H241</f>
        <v>21.719652650822667</v>
      </c>
      <c r="F931" s="354"/>
      <c r="G931" s="354"/>
      <c r="H931" s="354"/>
      <c r="I931" s="80">
        <f>SUM(E931:H931)</f>
        <v>21.719652650822667</v>
      </c>
      <c r="J931" s="354"/>
      <c r="K931" s="80">
        <f>SUM(I931:J931)</f>
        <v>21.719652650822667</v>
      </c>
      <c r="L931" s="354"/>
      <c r="M931" s="354"/>
      <c r="N931" s="354"/>
      <c r="O931" s="80">
        <f>SUM(K931:N931)</f>
        <v>21.719652650822667</v>
      </c>
      <c r="P931" s="38"/>
      <c r="Q931" s="38"/>
      <c r="R931" s="38"/>
      <c r="S931" s="38"/>
      <c r="T931" s="38"/>
      <c r="U931" s="38"/>
    </row>
    <row r="932" spans="2:21" s="35" customFormat="1" ht="13.5" customHeight="1" outlineLevel="1">
      <c r="B932" s="84" t="str">
        <f t="shared" si="662"/>
        <v>Accrued liabilities</v>
      </c>
      <c r="C932" s="38"/>
      <c r="D932" s="107"/>
      <c r="E932" s="80">
        <f>H242</f>
        <v>16.167276051188299</v>
      </c>
      <c r="F932" s="354"/>
      <c r="G932" s="354"/>
      <c r="H932" s="354"/>
      <c r="I932" s="80">
        <f>SUM(E932:H932)</f>
        <v>16.167276051188299</v>
      </c>
      <c r="J932" s="354"/>
      <c r="K932" s="80">
        <f>SUM(I932:J932)</f>
        <v>16.167276051188299</v>
      </c>
      <c r="L932" s="354"/>
      <c r="M932" s="354"/>
      <c r="N932" s="354"/>
      <c r="O932" s="80">
        <f>SUM(K932:N932)</f>
        <v>16.167276051188299</v>
      </c>
      <c r="P932" s="38"/>
      <c r="Q932" s="38"/>
      <c r="R932" s="38"/>
      <c r="S932" s="38"/>
      <c r="T932" s="38"/>
      <c r="U932" s="38"/>
    </row>
    <row r="933" spans="2:21" s="35" customFormat="1" ht="13.5" customHeight="1" outlineLevel="1">
      <c r="B933" s="84" t="str">
        <f t="shared" si="662"/>
        <v>Client deposits</v>
      </c>
      <c r="C933" s="38"/>
      <c r="D933" s="107"/>
      <c r="E933" s="80">
        <f>H243</f>
        <v>0</v>
      </c>
      <c r="F933" s="354"/>
      <c r="G933" s="354"/>
      <c r="H933" s="354"/>
      <c r="I933" s="80">
        <f>SUM(E933:H933)</f>
        <v>0</v>
      </c>
      <c r="J933" s="354"/>
      <c r="K933" s="80">
        <f>SUM(I933:J933)</f>
        <v>0</v>
      </c>
      <c r="L933" s="354"/>
      <c r="M933" s="354"/>
      <c r="N933" s="354"/>
      <c r="O933" s="80">
        <f>SUM(K933:N933)</f>
        <v>0</v>
      </c>
    </row>
    <row r="934" spans="2:21" s="35" customFormat="1" ht="13.5" customHeight="1" outlineLevel="1">
      <c r="B934" s="84" t="str">
        <f t="shared" si="662"/>
        <v>Other current liabilities</v>
      </c>
      <c r="C934" s="38"/>
      <c r="D934" s="107"/>
      <c r="E934" s="80">
        <f>H244</f>
        <v>62.159917733089578</v>
      </c>
      <c r="F934" s="354"/>
      <c r="G934" s="354"/>
      <c r="H934" s="354"/>
      <c r="I934" s="80">
        <f>SUM(E934:H934)</f>
        <v>62.159917733089578</v>
      </c>
      <c r="J934" s="354"/>
      <c r="K934" s="80">
        <f>SUM(I934:J934)</f>
        <v>62.159917733089578</v>
      </c>
      <c r="L934" s="354"/>
      <c r="M934" s="354"/>
      <c r="N934" s="354"/>
      <c r="O934" s="80">
        <f>SUM(K934:N934)</f>
        <v>62.159917733089578</v>
      </c>
    </row>
    <row r="935" spans="2:21" s="35" customFormat="1" ht="13.5" customHeight="1" outlineLevel="1">
      <c r="B935" s="130" t="str">
        <f t="shared" si="662"/>
        <v>Total current liabilities</v>
      </c>
      <c r="C935" s="52"/>
      <c r="D935" s="153"/>
      <c r="E935" s="153">
        <f t="shared" ref="E935:H935" si="663">SUM(E930:E934)</f>
        <v>100.04684643510055</v>
      </c>
      <c r="F935" s="207">
        <f t="shared" si="663"/>
        <v>0</v>
      </c>
      <c r="G935" s="207">
        <f t="shared" si="663"/>
        <v>0</v>
      </c>
      <c r="H935" s="207">
        <f t="shared" si="663"/>
        <v>0</v>
      </c>
      <c r="I935" s="153">
        <f>SUM(I930:I934)</f>
        <v>100.04684643510055</v>
      </c>
      <c r="J935" s="207">
        <f>SUM(J930:J934)</f>
        <v>0</v>
      </c>
      <c r="K935" s="153">
        <f t="shared" ref="K935:L935" si="664">SUM(K930:K934)</f>
        <v>100.04684643510055</v>
      </c>
      <c r="L935" s="207">
        <f t="shared" si="664"/>
        <v>0</v>
      </c>
      <c r="M935" s="207">
        <f t="shared" ref="M935:N935" si="665">SUM(M930:M934)</f>
        <v>0</v>
      </c>
      <c r="N935" s="207">
        <f t="shared" si="665"/>
        <v>0</v>
      </c>
      <c r="O935" s="153">
        <f>SUM(O930:O934)</f>
        <v>100.04684643510055</v>
      </c>
    </row>
    <row r="936" spans="2:21" s="35" customFormat="1" ht="13.5" customHeight="1" outlineLevel="1">
      <c r="B936" s="38" t="str">
        <f t="shared" si="662"/>
        <v>Capital leases</v>
      </c>
      <c r="C936" s="38"/>
      <c r="D936" s="107"/>
      <c r="E936" s="80">
        <f t="shared" ref="E936:E946" si="666">H246</f>
        <v>0</v>
      </c>
      <c r="F936" s="354"/>
      <c r="G936" s="354"/>
      <c r="H936" s="354"/>
      <c r="I936" s="80">
        <f t="shared" ref="I936:I946" si="667">SUM(E936:H936)</f>
        <v>0</v>
      </c>
      <c r="J936" s="354"/>
      <c r="K936" s="80">
        <f t="shared" ref="K936:K946" si="668">SUM(I936:J936)</f>
        <v>0</v>
      </c>
      <c r="L936" s="354"/>
      <c r="M936" s="354"/>
      <c r="N936" s="354"/>
      <c r="O936" s="80">
        <f t="shared" ref="O936:O946" si="669">SUM(K936:N936)</f>
        <v>0</v>
      </c>
    </row>
    <row r="937" spans="2:21" s="35" customFormat="1" ht="13.5" customHeight="1" outlineLevel="1">
      <c r="B937" s="84" t="str">
        <f t="shared" si="662"/>
        <v>Existing LT debt (excl. current portion)</v>
      </c>
      <c r="C937" s="38"/>
      <c r="D937" s="107"/>
      <c r="E937" s="80">
        <f t="shared" si="666"/>
        <v>230</v>
      </c>
      <c r="F937" s="354"/>
      <c r="G937" s="354"/>
      <c r="H937" s="354"/>
      <c r="I937" s="80">
        <f t="shared" si="667"/>
        <v>230</v>
      </c>
      <c r="J937" s="354">
        <f>R899-I899</f>
        <v>0</v>
      </c>
      <c r="K937" s="80">
        <f t="shared" si="668"/>
        <v>230</v>
      </c>
      <c r="L937" s="354"/>
      <c r="M937" s="354">
        <f>T899-R899</f>
        <v>-230</v>
      </c>
      <c r="N937" s="354"/>
      <c r="O937" s="80">
        <f t="shared" si="669"/>
        <v>0</v>
      </c>
    </row>
    <row r="938" spans="2:21" s="35" customFormat="1" ht="13.5" customHeight="1" outlineLevel="1">
      <c r="B938" s="84" t="str">
        <f t="shared" si="662"/>
        <v>Revolver</v>
      </c>
      <c r="C938" s="38"/>
      <c r="D938" s="107"/>
      <c r="E938" s="80">
        <f t="shared" si="666"/>
        <v>0</v>
      </c>
      <c r="F938" s="354"/>
      <c r="G938" s="354"/>
      <c r="H938" s="354"/>
      <c r="I938" s="80">
        <f t="shared" si="667"/>
        <v>0</v>
      </c>
      <c r="J938" s="354"/>
      <c r="K938" s="80">
        <f t="shared" si="668"/>
        <v>0</v>
      </c>
      <c r="L938" s="354"/>
      <c r="M938" s="354"/>
      <c r="N938" s="354">
        <f>J451</f>
        <v>0</v>
      </c>
      <c r="O938" s="80">
        <f t="shared" si="669"/>
        <v>0</v>
      </c>
    </row>
    <row r="939" spans="2:21" s="35" customFormat="1" ht="13.5" customHeight="1" outlineLevel="1">
      <c r="B939" s="84" t="str">
        <f t="shared" si="662"/>
        <v>Term loan - A</v>
      </c>
      <c r="C939" s="38"/>
      <c r="D939" s="107"/>
      <c r="E939" s="80">
        <f t="shared" si="666"/>
        <v>0</v>
      </c>
      <c r="F939" s="354"/>
      <c r="G939" s="354"/>
      <c r="H939" s="354"/>
      <c r="I939" s="80">
        <f t="shared" si="667"/>
        <v>0</v>
      </c>
      <c r="J939" s="354"/>
      <c r="K939" s="80">
        <f t="shared" si="668"/>
        <v>0</v>
      </c>
      <c r="L939" s="354"/>
      <c r="M939" s="354"/>
      <c r="N939" s="354">
        <f>J475</f>
        <v>50</v>
      </c>
      <c r="O939" s="80">
        <f t="shared" si="669"/>
        <v>50</v>
      </c>
    </row>
    <row r="940" spans="2:21" s="35" customFormat="1" ht="13.5" customHeight="1" outlineLevel="1">
      <c r="B940" s="84" t="str">
        <f t="shared" si="662"/>
        <v>Term loan - B</v>
      </c>
      <c r="C940" s="38"/>
      <c r="D940" s="107"/>
      <c r="E940" s="80">
        <f t="shared" si="666"/>
        <v>0</v>
      </c>
      <c r="F940" s="354"/>
      <c r="G940" s="354"/>
      <c r="H940" s="354"/>
      <c r="I940" s="80">
        <f t="shared" si="667"/>
        <v>0</v>
      </c>
      <c r="J940" s="354"/>
      <c r="K940" s="80">
        <f t="shared" si="668"/>
        <v>0</v>
      </c>
      <c r="L940" s="354"/>
      <c r="M940" s="354"/>
      <c r="N940" s="354">
        <f>J484</f>
        <v>0</v>
      </c>
      <c r="O940" s="80">
        <f t="shared" si="669"/>
        <v>0</v>
      </c>
    </row>
    <row r="941" spans="2:21" s="35" customFormat="1" ht="13.5" customHeight="1" outlineLevel="1">
      <c r="B941" s="84" t="str">
        <f t="shared" si="662"/>
        <v>Senior note</v>
      </c>
      <c r="C941" s="38"/>
      <c r="D941" s="107"/>
      <c r="E941" s="80">
        <f t="shared" si="666"/>
        <v>0</v>
      </c>
      <c r="F941" s="354"/>
      <c r="G941" s="354"/>
      <c r="H941" s="354"/>
      <c r="I941" s="80">
        <f t="shared" si="667"/>
        <v>0</v>
      </c>
      <c r="J941" s="354"/>
      <c r="K941" s="80">
        <f t="shared" si="668"/>
        <v>0</v>
      </c>
      <c r="L941" s="354"/>
      <c r="M941" s="354"/>
      <c r="N941" s="354">
        <f>J493</f>
        <v>100</v>
      </c>
      <c r="O941" s="80">
        <f t="shared" si="669"/>
        <v>100</v>
      </c>
    </row>
    <row r="942" spans="2:21" s="35" customFormat="1" ht="13.5" customHeight="1" outlineLevel="1">
      <c r="B942" s="84" t="str">
        <f t="shared" si="662"/>
        <v>Subordinated note</v>
      </c>
      <c r="C942" s="38"/>
      <c r="D942" s="107"/>
      <c r="E942" s="80">
        <f t="shared" si="666"/>
        <v>0</v>
      </c>
      <c r="F942" s="354"/>
      <c r="G942" s="354"/>
      <c r="H942" s="354"/>
      <c r="I942" s="80">
        <f t="shared" si="667"/>
        <v>0</v>
      </c>
      <c r="J942" s="354"/>
      <c r="K942" s="80">
        <f t="shared" si="668"/>
        <v>0</v>
      </c>
      <c r="L942" s="354"/>
      <c r="M942" s="354"/>
      <c r="N942" s="354">
        <f>J502</f>
        <v>50</v>
      </c>
      <c r="O942" s="80">
        <f t="shared" si="669"/>
        <v>50</v>
      </c>
    </row>
    <row r="943" spans="2:21" s="35" customFormat="1" ht="13.5" customHeight="1" outlineLevel="1">
      <c r="B943" s="84" t="str">
        <f t="shared" si="662"/>
        <v>Mezzanine</v>
      </c>
      <c r="C943" s="38"/>
      <c r="D943" s="107"/>
      <c r="E943" s="80">
        <f t="shared" si="666"/>
        <v>0</v>
      </c>
      <c r="F943" s="354"/>
      <c r="G943" s="354"/>
      <c r="H943" s="354"/>
      <c r="I943" s="80">
        <f t="shared" si="667"/>
        <v>0</v>
      </c>
      <c r="J943" s="354"/>
      <c r="K943" s="80">
        <f t="shared" si="668"/>
        <v>0</v>
      </c>
      <c r="L943" s="354"/>
      <c r="M943" s="354"/>
      <c r="N943" s="354">
        <f>J511</f>
        <v>0</v>
      </c>
      <c r="O943" s="80">
        <f t="shared" si="669"/>
        <v>0</v>
      </c>
    </row>
    <row r="944" spans="2:21" s="35" customFormat="1" ht="13.5" customHeight="1" outlineLevel="1">
      <c r="B944" s="84" t="str">
        <f t="shared" si="662"/>
        <v>Seller note</v>
      </c>
      <c r="C944" s="38"/>
      <c r="D944" s="107"/>
      <c r="E944" s="80">
        <f t="shared" si="666"/>
        <v>0</v>
      </c>
      <c r="F944" s="354"/>
      <c r="G944" s="354"/>
      <c r="H944" s="354"/>
      <c r="I944" s="80">
        <f t="shared" si="667"/>
        <v>0</v>
      </c>
      <c r="J944" s="354"/>
      <c r="K944" s="80">
        <f t="shared" si="668"/>
        <v>0</v>
      </c>
      <c r="L944" s="354"/>
      <c r="M944" s="354"/>
      <c r="N944" s="354">
        <f>J520</f>
        <v>0</v>
      </c>
      <c r="O944" s="80">
        <f t="shared" si="669"/>
        <v>0</v>
      </c>
    </row>
    <row r="945" spans="2:15" s="35" customFormat="1" ht="13.5" customHeight="1" outlineLevel="1">
      <c r="B945" s="84" t="str">
        <f t="shared" si="662"/>
        <v>Convertible bond</v>
      </c>
      <c r="C945" s="38"/>
      <c r="D945" s="107"/>
      <c r="E945" s="80">
        <f t="shared" si="666"/>
        <v>0</v>
      </c>
      <c r="F945" s="354"/>
      <c r="G945" s="354"/>
      <c r="H945" s="354"/>
      <c r="I945" s="80">
        <f t="shared" si="667"/>
        <v>0</v>
      </c>
      <c r="J945" s="354"/>
      <c r="K945" s="80">
        <f t="shared" si="668"/>
        <v>0</v>
      </c>
      <c r="L945" s="354"/>
      <c r="M945" s="354"/>
      <c r="N945" s="354">
        <f>J529</f>
        <v>0</v>
      </c>
      <c r="O945" s="80">
        <f t="shared" si="669"/>
        <v>0</v>
      </c>
    </row>
    <row r="946" spans="2:15" s="35" customFormat="1" ht="13.5" customHeight="1" outlineLevel="1">
      <c r="B946" s="84" t="str">
        <f t="shared" si="662"/>
        <v>[Debt 8]</v>
      </c>
      <c r="C946" s="38"/>
      <c r="D946" s="107"/>
      <c r="E946" s="80">
        <f t="shared" si="666"/>
        <v>0</v>
      </c>
      <c r="F946" s="354"/>
      <c r="G946" s="354"/>
      <c r="H946" s="354"/>
      <c r="I946" s="80">
        <f t="shared" si="667"/>
        <v>0</v>
      </c>
      <c r="J946" s="354"/>
      <c r="K946" s="80">
        <f t="shared" si="668"/>
        <v>0</v>
      </c>
      <c r="L946" s="354"/>
      <c r="M946" s="354"/>
      <c r="N946" s="354">
        <f>J538</f>
        <v>0</v>
      </c>
      <c r="O946" s="80">
        <f t="shared" si="669"/>
        <v>0</v>
      </c>
    </row>
    <row r="947" spans="2:15" s="35" customFormat="1" ht="13.5" customHeight="1" outlineLevel="1">
      <c r="B947" s="97" t="str">
        <f t="shared" si="662"/>
        <v>Total debt</v>
      </c>
      <c r="C947" s="97"/>
      <c r="D947" s="216"/>
      <c r="E947" s="216">
        <f ca="1">SUM(E937:OFFSET(E947,-1,0))</f>
        <v>230</v>
      </c>
      <c r="F947" s="217">
        <f ca="1">SUM(F937:OFFSET(F947,-1,0))</f>
        <v>0</v>
      </c>
      <c r="G947" s="217">
        <f ca="1">SUM(G937:OFFSET(G947,-1,0))</f>
        <v>0</v>
      </c>
      <c r="H947" s="217">
        <f ca="1">SUM(H937:OFFSET(H947,-1,0))</f>
        <v>0</v>
      </c>
      <c r="I947" s="216">
        <f ca="1">SUM(I937:OFFSET(I947,-1,0))</f>
        <v>230</v>
      </c>
      <c r="J947" s="217">
        <f ca="1">SUM(J937:OFFSET(J947,-1,0))</f>
        <v>0</v>
      </c>
      <c r="K947" s="216">
        <f ca="1">SUM(K937:OFFSET(K947,-1,0))</f>
        <v>230</v>
      </c>
      <c r="L947" s="217">
        <f ca="1">SUM(L937:OFFSET(L947,-1,0))</f>
        <v>0</v>
      </c>
      <c r="M947" s="217">
        <f ca="1">SUM(M937:OFFSET(M947,-1,0))</f>
        <v>-230</v>
      </c>
      <c r="N947" s="217">
        <f ca="1">SUM(N937:OFFSET(N947,-1,0))</f>
        <v>200</v>
      </c>
      <c r="O947" s="216">
        <f ca="1">SUM(O937:OFFSET(O947,-1,0))</f>
        <v>200</v>
      </c>
    </row>
    <row r="948" spans="2:15" s="35" customFormat="1" ht="13.5" customHeight="1" outlineLevel="1">
      <c r="B948" s="38" t="str">
        <f t="shared" si="662"/>
        <v>Net deferred tax liability / (asset)</v>
      </c>
      <c r="C948" s="38"/>
      <c r="D948" s="107"/>
      <c r="E948" s="80">
        <f ca="1">H258</f>
        <v>-8.8279999999999994</v>
      </c>
      <c r="F948" s="354"/>
      <c r="G948" s="354"/>
      <c r="H948" s="354">
        <f ca="1">J52-I52</f>
        <v>43.559372811171869</v>
      </c>
      <c r="I948" s="80">
        <f ca="1">SUM(E948:H948)</f>
        <v>34.731372811171866</v>
      </c>
      <c r="J948" s="354"/>
      <c r="K948" s="80">
        <f ca="1">SUM(I948:J948)</f>
        <v>34.731372811171866</v>
      </c>
      <c r="L948" s="354"/>
      <c r="M948" s="425">
        <v>0</v>
      </c>
      <c r="N948" s="354">
        <f>M891*tax</f>
        <v>2.2749999999999999</v>
      </c>
      <c r="O948" s="80">
        <f ca="1">SUM(K948:N948)</f>
        <v>37.006372811171865</v>
      </c>
    </row>
    <row r="949" spans="2:15" s="35" customFormat="1" ht="13.5" customHeight="1" outlineLevel="1">
      <c r="B949" s="38" t="str">
        <f t="shared" si="662"/>
        <v>Other long-term liabilities</v>
      </c>
      <c r="C949" s="38"/>
      <c r="D949" s="107"/>
      <c r="E949" s="80">
        <f>H259</f>
        <v>17.917000000000002</v>
      </c>
      <c r="F949" s="354"/>
      <c r="G949" s="354"/>
      <c r="H949" s="354"/>
      <c r="I949" s="80">
        <f>SUM(E949:H949)</f>
        <v>17.917000000000002</v>
      </c>
      <c r="J949" s="354"/>
      <c r="K949" s="80">
        <f>SUM(I949:J949)</f>
        <v>17.917000000000002</v>
      </c>
      <c r="L949" s="354"/>
      <c r="M949" s="354"/>
      <c r="N949" s="354"/>
      <c r="O949" s="80">
        <f>SUM(K949:N949)</f>
        <v>17.917000000000002</v>
      </c>
    </row>
    <row r="950" spans="2:15" s="35" customFormat="1" ht="13.5" customHeight="1" outlineLevel="1">
      <c r="B950" s="212" t="str">
        <f t="shared" si="662"/>
        <v>Total liabilities</v>
      </c>
      <c r="C950" s="212"/>
      <c r="D950" s="218"/>
      <c r="E950" s="218">
        <f t="shared" ref="E950:H950" ca="1" si="670">SUM(E935:E936,E947:E949)</f>
        <v>339.13584643510058</v>
      </c>
      <c r="F950" s="167">
        <f t="shared" ca="1" si="670"/>
        <v>0</v>
      </c>
      <c r="G950" s="167">
        <f t="shared" ca="1" si="670"/>
        <v>0</v>
      </c>
      <c r="H950" s="167">
        <f t="shared" ca="1" si="670"/>
        <v>43.559372811171869</v>
      </c>
      <c r="I950" s="218">
        <f ca="1">SUM(I935:I936,I947:I949)</f>
        <v>382.69521924627236</v>
      </c>
      <c r="J950" s="167">
        <f ca="1">SUM(J935:J936,J947:J949)</f>
        <v>0</v>
      </c>
      <c r="K950" s="218">
        <f t="shared" ref="K950:L950" ca="1" si="671">SUM(K935:K936,K947:K949)</f>
        <v>382.69521924627236</v>
      </c>
      <c r="L950" s="167">
        <f t="shared" ca="1" si="671"/>
        <v>0</v>
      </c>
      <c r="M950" s="167">
        <f t="shared" ref="M950" ca="1" si="672">SUM(M935:M936,M947:M949)</f>
        <v>-230</v>
      </c>
      <c r="N950" s="167">
        <f t="shared" ref="N950" ca="1" si="673">SUM(N935:N936,N947:N949)</f>
        <v>202.27500000000001</v>
      </c>
      <c r="O950" s="218">
        <f ca="1">SUM(O935:O936,O947:O949)</f>
        <v>354.97021924627234</v>
      </c>
    </row>
    <row r="951" spans="2:15" s="35" customFormat="1" ht="13.5" customHeight="1" outlineLevel="1">
      <c r="B951" s="84" t="str">
        <f t="shared" si="662"/>
        <v>Noncontrolling (minority) interest</v>
      </c>
      <c r="C951" s="38"/>
      <c r="D951" s="107"/>
      <c r="E951" s="80">
        <f t="shared" ref="E951:E956" si="674">H261</f>
        <v>0</v>
      </c>
      <c r="F951" s="354"/>
      <c r="G951" s="354"/>
      <c r="H951" s="354"/>
      <c r="I951" s="80">
        <f t="shared" ref="I951:I956" si="675">SUM(E951:H951)</f>
        <v>0</v>
      </c>
      <c r="J951" s="354"/>
      <c r="K951" s="80">
        <f t="shared" ref="K951:K956" si="676">SUM(I951:J951)</f>
        <v>0</v>
      </c>
      <c r="L951" s="354"/>
      <c r="M951" s="354"/>
      <c r="N951" s="354"/>
      <c r="O951" s="80">
        <f t="shared" ref="O951:O956" si="677">SUM(K951:N951)</f>
        <v>0</v>
      </c>
    </row>
    <row r="952" spans="2:15" s="35" customFormat="1" ht="13.5" customHeight="1" outlineLevel="1">
      <c r="B952" s="84" t="str">
        <f t="shared" si="662"/>
        <v>Preferred Stock - A</v>
      </c>
      <c r="C952" s="38"/>
      <c r="D952" s="107"/>
      <c r="E952" s="80">
        <f t="shared" si="674"/>
        <v>0</v>
      </c>
      <c r="F952" s="354"/>
      <c r="G952" s="354"/>
      <c r="H952" s="354"/>
      <c r="I952" s="80">
        <f t="shared" si="675"/>
        <v>0</v>
      </c>
      <c r="J952" s="354"/>
      <c r="K952" s="80">
        <f t="shared" si="676"/>
        <v>0</v>
      </c>
      <c r="L952" s="354"/>
      <c r="M952" s="354"/>
      <c r="N952" s="354">
        <f>O843</f>
        <v>10</v>
      </c>
      <c r="O952" s="80">
        <f t="shared" si="677"/>
        <v>10</v>
      </c>
    </row>
    <row r="953" spans="2:15" s="35" customFormat="1" ht="13.5" customHeight="1" outlineLevel="1">
      <c r="B953" s="84" t="str">
        <f t="shared" si="662"/>
        <v>Preferred Stock - B</v>
      </c>
      <c r="C953" s="38"/>
      <c r="D953" s="107"/>
      <c r="E953" s="80">
        <f t="shared" si="674"/>
        <v>0</v>
      </c>
      <c r="F953" s="354"/>
      <c r="G953" s="354"/>
      <c r="H953" s="354"/>
      <c r="I953" s="80">
        <f t="shared" si="675"/>
        <v>0</v>
      </c>
      <c r="J953" s="354"/>
      <c r="K953" s="80">
        <f t="shared" si="676"/>
        <v>0</v>
      </c>
      <c r="L953" s="354"/>
      <c r="M953" s="354"/>
      <c r="N953" s="354">
        <f>O844</f>
        <v>0</v>
      </c>
      <c r="O953" s="80">
        <f t="shared" si="677"/>
        <v>0</v>
      </c>
    </row>
    <row r="954" spans="2:15" s="35" customFormat="1" ht="13.5" customHeight="1" outlineLevel="1">
      <c r="B954" s="84" t="str">
        <f t="shared" si="662"/>
        <v>Common stock, par value</v>
      </c>
      <c r="C954" s="38"/>
      <c r="D954" s="107"/>
      <c r="E954" s="80">
        <f t="shared" si="674"/>
        <v>12.609</v>
      </c>
      <c r="F954" s="354"/>
      <c r="G954" s="354"/>
      <c r="H954" s="354"/>
      <c r="I954" s="80">
        <f t="shared" si="675"/>
        <v>12.609</v>
      </c>
      <c r="J954" s="354">
        <f>IF(LBO,-I954,0)</f>
        <v>-12.609</v>
      </c>
      <c r="K954" s="80">
        <f t="shared" si="676"/>
        <v>0</v>
      </c>
      <c r="L954" s="354"/>
      <c r="M954" s="354"/>
      <c r="N954" s="354"/>
      <c r="O954" s="80">
        <f t="shared" si="677"/>
        <v>0</v>
      </c>
    </row>
    <row r="955" spans="2:15" s="35" customFormat="1" ht="13.5" customHeight="1" outlineLevel="1">
      <c r="B955" s="84" t="str">
        <f t="shared" si="662"/>
        <v>Additional paid-in capital (APIC)</v>
      </c>
      <c r="C955" s="38"/>
      <c r="D955" s="107"/>
      <c r="E955" s="80">
        <f t="shared" si="674"/>
        <v>28.159000000000002</v>
      </c>
      <c r="F955" s="354"/>
      <c r="G955" s="354"/>
      <c r="H955" s="354"/>
      <c r="I955" s="80">
        <f t="shared" si="675"/>
        <v>28.159000000000002</v>
      </c>
      <c r="J955" s="354">
        <f>IF(LBO,-I955+Q899,0)</f>
        <v>-28.159000000000002</v>
      </c>
      <c r="K955" s="80">
        <f t="shared" si="676"/>
        <v>0</v>
      </c>
      <c r="L955" s="354"/>
      <c r="M955" s="354"/>
      <c r="N955" s="354">
        <f ca="1">O845+O846-N891*(1-tax)</f>
        <v>519.5333119314779</v>
      </c>
      <c r="O955" s="80">
        <f t="shared" ca="1" si="677"/>
        <v>519.5333119314779</v>
      </c>
    </row>
    <row r="956" spans="2:15" s="35" customFormat="1" ht="13.5" customHeight="1" outlineLevel="1">
      <c r="B956" s="84" t="str">
        <f t="shared" si="662"/>
        <v>Retained earnings</v>
      </c>
      <c r="C956" s="38"/>
      <c r="D956" s="107"/>
      <c r="E956" s="80">
        <f t="shared" ca="1" si="674"/>
        <v>87.163761443750005</v>
      </c>
      <c r="F956" s="354"/>
      <c r="G956" s="354"/>
      <c r="H956" s="354"/>
      <c r="I956" s="80">
        <f t="shared" ca="1" si="675"/>
        <v>87.163761443750005</v>
      </c>
      <c r="J956" s="354">
        <f ca="1">IF(LBO,-I956+P41,0)</f>
        <v>-87.163761443750005</v>
      </c>
      <c r="K956" s="80">
        <f t="shared" ca="1" si="676"/>
        <v>0</v>
      </c>
      <c r="L956" s="354">
        <f>-O863*(1-tax)</f>
        <v>-11.743490403124998</v>
      </c>
      <c r="M956" s="354">
        <f>-M948</f>
        <v>0</v>
      </c>
      <c r="N956" s="354"/>
      <c r="O956" s="80">
        <f t="shared" ca="1" si="677"/>
        <v>-11.743490403124998</v>
      </c>
    </row>
    <row r="957" spans="2:15" s="35" customFormat="1" ht="13.5" customHeight="1" outlineLevel="1">
      <c r="B957" s="130" t="str">
        <f t="shared" si="662"/>
        <v>Total shareholders' equity</v>
      </c>
      <c r="C957" s="52"/>
      <c r="D957" s="153"/>
      <c r="E957" s="153">
        <f t="shared" ref="E957:H957" ca="1" si="678">SUM(E951:E956)</f>
        <v>127.93176144375001</v>
      </c>
      <c r="F957" s="207">
        <f t="shared" si="678"/>
        <v>0</v>
      </c>
      <c r="G957" s="207">
        <f t="shared" si="678"/>
        <v>0</v>
      </c>
      <c r="H957" s="207">
        <f t="shared" si="678"/>
        <v>0</v>
      </c>
      <c r="I957" s="153">
        <f t="shared" ref="I957:O957" ca="1" si="679">SUM(I951:I956)</f>
        <v>127.93176144375001</v>
      </c>
      <c r="J957" s="207">
        <f t="shared" ca="1" si="679"/>
        <v>-127.93176144375001</v>
      </c>
      <c r="K957" s="153">
        <f t="shared" ca="1" si="679"/>
        <v>0</v>
      </c>
      <c r="L957" s="207">
        <f t="shared" si="679"/>
        <v>-11.743490403124998</v>
      </c>
      <c r="M957" s="207">
        <f t="shared" si="679"/>
        <v>0</v>
      </c>
      <c r="N957" s="207">
        <f t="shared" ca="1" si="679"/>
        <v>529.5333119314779</v>
      </c>
      <c r="O957" s="153">
        <f t="shared" ca="1" si="679"/>
        <v>517.78982152835295</v>
      </c>
    </row>
    <row r="958" spans="2:15" s="35" customFormat="1" ht="13.5" customHeight="1" outlineLevel="1">
      <c r="B958" s="219" t="str">
        <f t="shared" si="662"/>
        <v>Liabilities &amp; shareholders' equity</v>
      </c>
      <c r="C958" s="212"/>
      <c r="D958" s="213"/>
      <c r="E958" s="213">
        <f t="shared" ref="E958:H958" ca="1" si="680">E957+E950</f>
        <v>467.06760787885059</v>
      </c>
      <c r="F958" s="96">
        <f t="shared" ca="1" si="680"/>
        <v>0</v>
      </c>
      <c r="G958" s="96">
        <f t="shared" ca="1" si="680"/>
        <v>0</v>
      </c>
      <c r="H958" s="96">
        <f t="shared" ca="1" si="680"/>
        <v>43.559372811171869</v>
      </c>
      <c r="I958" s="213">
        <f t="shared" ref="I958:O958" ca="1" si="681">I957+I950</f>
        <v>510.62698069002238</v>
      </c>
      <c r="J958" s="96">
        <f t="shared" ca="1" si="681"/>
        <v>-127.93176144375001</v>
      </c>
      <c r="K958" s="213">
        <f t="shared" ca="1" si="681"/>
        <v>382.69521924627236</v>
      </c>
      <c r="L958" s="96">
        <f t="shared" ca="1" si="681"/>
        <v>-11.743490403124998</v>
      </c>
      <c r="M958" s="96">
        <f t="shared" ca="1" si="681"/>
        <v>-230</v>
      </c>
      <c r="N958" s="96">
        <f t="shared" ca="1" si="681"/>
        <v>731.80831193147787</v>
      </c>
      <c r="O958" s="213">
        <f t="shared" ca="1" si="681"/>
        <v>872.76004077462528</v>
      </c>
    </row>
    <row r="959" spans="2:15" s="35" customFormat="1" ht="13.5" customHeight="1" outlineLevel="1"/>
    <row r="960" spans="2:15" s="35" customFormat="1" ht="13.5" customHeight="1" outlineLevel="1">
      <c r="B960" s="221" t="s">
        <v>158</v>
      </c>
      <c r="C960" s="220"/>
      <c r="D960" s="222"/>
      <c r="E960" s="222">
        <f ca="1">E958-E926</f>
        <v>0</v>
      </c>
      <c r="F960" s="222"/>
      <c r="G960" s="222"/>
      <c r="H960" s="222"/>
      <c r="I960" s="222"/>
      <c r="J960" s="222"/>
      <c r="K960" s="222">
        <f t="shared" ref="K960:N960" ca="1" si="682">K958-K926</f>
        <v>0</v>
      </c>
      <c r="L960" s="222">
        <f t="shared" ca="1" si="682"/>
        <v>0</v>
      </c>
      <c r="M960" s="222">
        <f t="shared" ca="1" si="682"/>
        <v>0</v>
      </c>
      <c r="N960" s="222">
        <f t="shared" ca="1" si="682"/>
        <v>0</v>
      </c>
      <c r="O960" s="222">
        <f ca="1">O958-O926</f>
        <v>0</v>
      </c>
    </row>
    <row r="961" spans="1:20" s="35" customFormat="1" ht="5.0999999999999996" customHeight="1" outlineLevel="1" thickBot="1">
      <c r="B961" s="114"/>
      <c r="C961" s="114"/>
      <c r="D961" s="114"/>
      <c r="E961" s="114"/>
      <c r="F961" s="114"/>
      <c r="G961" s="114"/>
      <c r="H961" s="114"/>
      <c r="I961" s="114"/>
      <c r="J961" s="114"/>
      <c r="K961" s="114"/>
      <c r="L961" s="114"/>
      <c r="M961" s="114"/>
      <c r="N961" s="114"/>
      <c r="O961" s="114"/>
      <c r="P961" s="114"/>
      <c r="Q961" s="114"/>
      <c r="R961" s="114"/>
      <c r="S961" s="114"/>
      <c r="T961" s="114"/>
    </row>
    <row r="962" spans="1:20" s="35" customFormat="1" ht="13.5" customHeight="1" outlineLevel="1"/>
    <row r="963" spans="1:20" s="35" customFormat="1" ht="13.5" customHeight="1" outlineLevel="1" thickBot="1"/>
    <row r="964" spans="1:20" s="35" customFormat="1" ht="20.100000000000001" customHeight="1" thickTop="1">
      <c r="A964" s="41" t="s">
        <v>313</v>
      </c>
      <c r="B964" s="42" t="s">
        <v>484</v>
      </c>
      <c r="C964" s="43"/>
      <c r="D964" s="44"/>
      <c r="E964" s="44"/>
      <c r="F964" s="44"/>
      <c r="G964" s="44"/>
      <c r="H964" s="44"/>
      <c r="I964" s="44"/>
      <c r="J964" s="44"/>
      <c r="K964" s="44"/>
      <c r="L964" s="44"/>
      <c r="M964" s="44"/>
      <c r="N964" s="44"/>
      <c r="O964" s="44"/>
      <c r="P964" s="44"/>
      <c r="Q964" s="44"/>
      <c r="R964" s="44"/>
      <c r="S964" s="44"/>
      <c r="T964" s="44"/>
    </row>
    <row r="965" spans="1:20" ht="13.5" customHeight="1" outlineLevel="1">
      <c r="B965" s="146"/>
      <c r="T965" s="115" t="str">
        <f ca="1">err_msg</f>
        <v/>
      </c>
    </row>
    <row r="966" spans="1:20" ht="13.5" customHeight="1" outlineLevel="1">
      <c r="B966" s="46" t="s">
        <v>483</v>
      </c>
      <c r="C966" s="47"/>
      <c r="D966" s="47"/>
      <c r="E966" s="47"/>
      <c r="F966" s="47"/>
      <c r="G966" s="47"/>
      <c r="H966" s="48"/>
      <c r="T966" s="115"/>
    </row>
    <row r="967" spans="1:20" ht="5.0999999999999996" customHeight="1" outlineLevel="1">
      <c r="T967" s="115"/>
    </row>
    <row r="968" spans="1:20" ht="13.5" customHeight="1" outlineLevel="1">
      <c r="E968" s="197" t="s">
        <v>482</v>
      </c>
      <c r="F968" s="195" t="s">
        <v>481</v>
      </c>
      <c r="G968" s="195"/>
      <c r="H968" s="195"/>
      <c r="T968" s="115"/>
    </row>
    <row r="969" spans="1:20" ht="13.5" customHeight="1" outlineLevel="1" thickBot="1">
      <c r="B969" s="122" t="s">
        <v>201</v>
      </c>
      <c r="C969" s="199"/>
      <c r="D969" s="199"/>
      <c r="E969" s="201" t="s">
        <v>477</v>
      </c>
      <c r="F969" s="201" t="s">
        <v>478</v>
      </c>
      <c r="G969" s="201" t="s">
        <v>479</v>
      </c>
      <c r="H969" s="201" t="s">
        <v>480</v>
      </c>
      <c r="T969" s="115"/>
    </row>
    <row r="970" spans="1:20" ht="5.0999999999999996" customHeight="1" outlineLevel="1">
      <c r="G970" s="355"/>
      <c r="T970" s="115"/>
    </row>
    <row r="971" spans="1:20" ht="13.5" customHeight="1" outlineLevel="1">
      <c r="B971" s="214" t="s">
        <v>259</v>
      </c>
      <c r="C971" s="214"/>
      <c r="D971" s="214"/>
      <c r="E971" s="356">
        <f ca="1">O845</f>
        <v>509.72831193147789</v>
      </c>
      <c r="F971" s="357">
        <f ca="1">IFERROR(E971/E$985,0)</f>
        <v>0.98075917788115707</v>
      </c>
      <c r="G971" s="357">
        <f ca="1">F971*(1-SUM($G$974:$G$984))</f>
        <v>0.95869209637883113</v>
      </c>
      <c r="H971" s="357">
        <f ca="1">G971*(1-H$984)</f>
        <v>0.95389863589693702</v>
      </c>
      <c r="T971" s="115"/>
    </row>
    <row r="972" spans="1:20" ht="13.5" customHeight="1" outlineLevel="1">
      <c r="B972" s="214" t="s">
        <v>305</v>
      </c>
      <c r="C972" s="214"/>
      <c r="D972" s="214"/>
      <c r="E972" s="209">
        <f>O846</f>
        <v>10</v>
      </c>
      <c r="F972" s="357">
        <f ca="1">IFERROR(E972/E$985,0)</f>
        <v>1.9240822118842777E-2</v>
      </c>
      <c r="G972" s="357">
        <f ca="1">F972*(1-SUM($G$974:$G$984))</f>
        <v>1.8807903621168815E-2</v>
      </c>
      <c r="H972" s="357">
        <f ca="1">G972*(1-H$984)</f>
        <v>1.8713864103062972E-2</v>
      </c>
      <c r="T972" s="115"/>
    </row>
    <row r="973" spans="1:20" ht="13.5" customHeight="1" outlineLevel="1">
      <c r="B973" s="142" t="s">
        <v>488</v>
      </c>
      <c r="E973" s="108"/>
      <c r="F973" s="358"/>
      <c r="G973" s="76"/>
      <c r="H973" s="63"/>
      <c r="T973" s="115"/>
    </row>
    <row r="974" spans="1:20" ht="13.5" customHeight="1" outlineLevel="1">
      <c r="B974" s="84" t="str">
        <f t="shared" ref="B974:B983" si="683">B835</f>
        <v>Term loan - A</v>
      </c>
      <c r="E974" s="411">
        <v>0</v>
      </c>
      <c r="F974" s="358">
        <f t="shared" ref="F974:F984" ca="1" si="684">IFERROR(E974/E$985,0)</f>
        <v>0</v>
      </c>
      <c r="G974" s="426">
        <v>0</v>
      </c>
      <c r="H974" s="63">
        <f t="shared" ref="H974:H983" si="685">G974*(1-H$984)</f>
        <v>0</v>
      </c>
      <c r="T974" s="115"/>
    </row>
    <row r="975" spans="1:20" ht="13.5" customHeight="1" outlineLevel="1">
      <c r="B975" s="84" t="str">
        <f t="shared" si="683"/>
        <v>Term loan - B</v>
      </c>
      <c r="E975" s="411">
        <v>0</v>
      </c>
      <c r="F975" s="358">
        <f t="shared" ca="1" si="684"/>
        <v>0</v>
      </c>
      <c r="G975" s="426">
        <v>0</v>
      </c>
      <c r="H975" s="63">
        <f t="shared" si="685"/>
        <v>0</v>
      </c>
      <c r="T975" s="115"/>
    </row>
    <row r="976" spans="1:20" ht="13.5" customHeight="1" outlineLevel="1">
      <c r="B976" s="84" t="str">
        <f t="shared" si="683"/>
        <v>Senior note</v>
      </c>
      <c r="E976" s="411">
        <v>0</v>
      </c>
      <c r="F976" s="358">
        <f t="shared" ca="1" si="684"/>
        <v>0</v>
      </c>
      <c r="G976" s="426">
        <v>0</v>
      </c>
      <c r="H976" s="63">
        <f t="shared" si="685"/>
        <v>0</v>
      </c>
      <c r="T976" s="115"/>
    </row>
    <row r="977" spans="2:20" ht="13.5" customHeight="1" outlineLevel="1">
      <c r="B977" s="84" t="str">
        <f t="shared" si="683"/>
        <v>Subordinated note</v>
      </c>
      <c r="E977" s="411">
        <v>0</v>
      </c>
      <c r="F977" s="358">
        <f t="shared" ca="1" si="684"/>
        <v>0</v>
      </c>
      <c r="G977" s="426">
        <v>0.02</v>
      </c>
      <c r="H977" s="63">
        <f t="shared" si="685"/>
        <v>1.9900000000000001E-2</v>
      </c>
      <c r="T977" s="115"/>
    </row>
    <row r="978" spans="2:20" ht="13.5" customHeight="1" outlineLevel="1">
      <c r="B978" s="84" t="str">
        <f t="shared" si="683"/>
        <v>Mezzanine</v>
      </c>
      <c r="E978" s="411">
        <v>0</v>
      </c>
      <c r="F978" s="358">
        <f t="shared" ca="1" si="684"/>
        <v>0</v>
      </c>
      <c r="G978" s="426">
        <v>0</v>
      </c>
      <c r="H978" s="63">
        <f t="shared" si="685"/>
        <v>0</v>
      </c>
      <c r="T978" s="115"/>
    </row>
    <row r="979" spans="2:20" ht="13.5" customHeight="1" outlineLevel="1">
      <c r="B979" s="84" t="str">
        <f t="shared" si="683"/>
        <v>Seller note</v>
      </c>
      <c r="E979" s="411">
        <v>0</v>
      </c>
      <c r="F979" s="358">
        <f t="shared" ca="1" si="684"/>
        <v>0</v>
      </c>
      <c r="G979" s="426">
        <v>0</v>
      </c>
      <c r="H979" s="63">
        <f t="shared" si="685"/>
        <v>0</v>
      </c>
      <c r="T979" s="115"/>
    </row>
    <row r="980" spans="2:20" ht="13.5" customHeight="1" outlineLevel="1">
      <c r="B980" s="84" t="str">
        <f t="shared" si="683"/>
        <v>Convertible bond</v>
      </c>
      <c r="E980" s="411">
        <v>0</v>
      </c>
      <c r="F980" s="358">
        <f t="shared" ca="1" si="684"/>
        <v>0</v>
      </c>
      <c r="G980" s="426">
        <v>0</v>
      </c>
      <c r="H980" s="63">
        <f t="shared" si="685"/>
        <v>0</v>
      </c>
      <c r="T980" s="115"/>
    </row>
    <row r="981" spans="2:20" ht="13.5" customHeight="1" outlineLevel="1">
      <c r="B981" s="84" t="str">
        <f t="shared" si="683"/>
        <v>[Debt 8]</v>
      </c>
      <c r="E981" s="411">
        <v>0</v>
      </c>
      <c r="F981" s="358">
        <f t="shared" ca="1" si="684"/>
        <v>0</v>
      </c>
      <c r="G981" s="426">
        <v>0</v>
      </c>
      <c r="H981" s="63">
        <f t="shared" si="685"/>
        <v>0</v>
      </c>
      <c r="T981" s="115"/>
    </row>
    <row r="982" spans="2:20" ht="13.5" customHeight="1" outlineLevel="1">
      <c r="B982" s="84" t="str">
        <f t="shared" si="683"/>
        <v>Preferred stock - A</v>
      </c>
      <c r="E982" s="411">
        <v>0</v>
      </c>
      <c r="F982" s="358">
        <f t="shared" ca="1" si="684"/>
        <v>0</v>
      </c>
      <c r="G982" s="426">
        <v>2.5000000000000001E-3</v>
      </c>
      <c r="H982" s="63">
        <f t="shared" si="685"/>
        <v>2.4875000000000001E-3</v>
      </c>
      <c r="T982" s="115"/>
    </row>
    <row r="983" spans="2:20" ht="13.5" customHeight="1" outlineLevel="1">
      <c r="B983" s="84" t="str">
        <f t="shared" si="683"/>
        <v>Preferred stock - B</v>
      </c>
      <c r="E983" s="411">
        <v>0</v>
      </c>
      <c r="F983" s="358">
        <f t="shared" ca="1" si="684"/>
        <v>0</v>
      </c>
      <c r="G983" s="426">
        <v>0</v>
      </c>
      <c r="H983" s="63">
        <f t="shared" si="685"/>
        <v>0</v>
      </c>
      <c r="T983" s="115"/>
    </row>
    <row r="984" spans="2:20" ht="13.5" customHeight="1" outlineLevel="1">
      <c r="B984" s="84" t="s">
        <v>258</v>
      </c>
      <c r="E984" s="411">
        <v>0</v>
      </c>
      <c r="F984" s="358">
        <f t="shared" ca="1" si="684"/>
        <v>0</v>
      </c>
      <c r="G984" s="426">
        <v>0</v>
      </c>
      <c r="H984" s="426">
        <v>5.0000000000000001E-3</v>
      </c>
      <c r="T984" s="115"/>
    </row>
    <row r="985" spans="2:20" ht="13.5" customHeight="1" outlineLevel="1">
      <c r="B985" s="52" t="s">
        <v>17</v>
      </c>
      <c r="C985" s="52"/>
      <c r="D985" s="52"/>
      <c r="E985" s="113">
        <f ca="1">SUM(E971:E984)</f>
        <v>519.72831193147795</v>
      </c>
      <c r="F985" s="359">
        <f ca="1">SUM(F971:F984)</f>
        <v>0.99999999999999989</v>
      </c>
      <c r="G985" s="359">
        <f ca="1">SUM(G971:G984)</f>
        <v>0.99999999999999989</v>
      </c>
      <c r="H985" s="359">
        <f ca="1">SUM(H971:H984)</f>
        <v>1</v>
      </c>
      <c r="T985" s="115"/>
    </row>
    <row r="986" spans="2:20" ht="5.0999999999999996" customHeight="1" outlineLevel="1" thickBot="1">
      <c r="B986" s="144"/>
      <c r="C986" s="144"/>
      <c r="D986" s="144"/>
      <c r="E986" s="360"/>
      <c r="F986" s="361"/>
      <c r="G986" s="361"/>
      <c r="H986" s="361"/>
      <c r="T986" s="115"/>
    </row>
    <row r="987" spans="2:20" s="193" customFormat="1" ht="13.5" customHeight="1" outlineLevel="1">
      <c r="F987" s="194"/>
      <c r="G987" s="194"/>
      <c r="H987" s="194"/>
      <c r="J987" s="244"/>
      <c r="K987" s="195" t="str">
        <f>K$140</f>
        <v>Fiscal Years Ending December 31,</v>
      </c>
      <c r="L987" s="195"/>
      <c r="M987" s="195"/>
      <c r="N987" s="195"/>
      <c r="O987" s="195"/>
      <c r="P987" s="195"/>
      <c r="Q987" s="195"/>
      <c r="R987" s="195"/>
      <c r="S987" s="195"/>
      <c r="T987" s="195"/>
    </row>
    <row r="988" spans="2:20" s="193" customFormat="1" ht="13.5" customHeight="1" outlineLevel="1">
      <c r="F988" s="248"/>
      <c r="G988" s="248"/>
      <c r="H988" s="248"/>
      <c r="J988" s="102" t="s">
        <v>49</v>
      </c>
      <c r="K988" s="102">
        <f>K$141</f>
        <v>1</v>
      </c>
      <c r="L988" s="102">
        <f>L$141</f>
        <v>2</v>
      </c>
      <c r="M988" s="102">
        <f t="shared" ref="M988:T988" si="686">M$141</f>
        <v>3</v>
      </c>
      <c r="N988" s="102">
        <f t="shared" si="686"/>
        <v>4</v>
      </c>
      <c r="O988" s="102">
        <f t="shared" si="686"/>
        <v>5</v>
      </c>
      <c r="P988" s="102">
        <f t="shared" si="686"/>
        <v>6</v>
      </c>
      <c r="Q988" s="102">
        <f t="shared" si="686"/>
        <v>7</v>
      </c>
      <c r="R988" s="102">
        <f t="shared" si="686"/>
        <v>8</v>
      </c>
      <c r="S988" s="102">
        <f t="shared" si="686"/>
        <v>9</v>
      </c>
      <c r="T988" s="102">
        <f t="shared" si="686"/>
        <v>10</v>
      </c>
    </row>
    <row r="989" spans="2:20" s="193" customFormat="1" ht="13.5" customHeight="1" outlineLevel="1" thickBot="1">
      <c r="B989" s="122" t="s">
        <v>201</v>
      </c>
      <c r="C989" s="199"/>
      <c r="D989" s="199"/>
      <c r="E989" s="199"/>
      <c r="F989" s="249"/>
      <c r="G989" s="249"/>
      <c r="H989" s="249"/>
      <c r="I989" s="199"/>
      <c r="J989" s="200">
        <f>J$217</f>
        <v>45291</v>
      </c>
      <c r="K989" s="202">
        <f>K$142</f>
        <v>45657</v>
      </c>
      <c r="L989" s="202">
        <f>L$142</f>
        <v>46022</v>
      </c>
      <c r="M989" s="202">
        <f t="shared" ref="M989:T989" si="687">M$142</f>
        <v>46387</v>
      </c>
      <c r="N989" s="202">
        <f t="shared" si="687"/>
        <v>46752</v>
      </c>
      <c r="O989" s="202">
        <f t="shared" si="687"/>
        <v>47118</v>
      </c>
      <c r="P989" s="202">
        <f t="shared" si="687"/>
        <v>47483</v>
      </c>
      <c r="Q989" s="202">
        <f t="shared" si="687"/>
        <v>47848</v>
      </c>
      <c r="R989" s="202">
        <f t="shared" si="687"/>
        <v>48213</v>
      </c>
      <c r="S989" s="202">
        <f t="shared" si="687"/>
        <v>48579</v>
      </c>
      <c r="T989" s="202">
        <f t="shared" si="687"/>
        <v>48944</v>
      </c>
    </row>
    <row r="990" spans="2:20" s="35" customFormat="1" ht="5.0999999999999996" customHeight="1" outlineLevel="1">
      <c r="C990" s="362"/>
      <c r="D990" s="362"/>
      <c r="E990" s="362"/>
      <c r="F990" s="363"/>
      <c r="G990" s="363"/>
      <c r="H990" s="363"/>
      <c r="I990" s="363"/>
      <c r="J990" s="364"/>
      <c r="K990" s="365"/>
      <c r="L990" s="365"/>
      <c r="M990" s="365"/>
      <c r="N990" s="365"/>
      <c r="O990" s="365"/>
      <c r="P990" s="365"/>
      <c r="Q990" s="365"/>
      <c r="R990" s="365"/>
      <c r="S990" s="365"/>
      <c r="T990" s="365"/>
    </row>
    <row r="991" spans="2:20" ht="13.5" customHeight="1" outlineLevel="1">
      <c r="B991" s="38" t="s">
        <v>486</v>
      </c>
      <c r="C991" s="284"/>
      <c r="D991" s="284"/>
      <c r="E991" s="284"/>
      <c r="F991" s="355"/>
      <c r="G991" s="355"/>
      <c r="H991" s="355"/>
      <c r="I991" s="355"/>
      <c r="J991" s="366"/>
      <c r="K991" s="367" t="b">
        <f t="shared" ref="K991:T991" si="688">K988=exit_year</f>
        <v>0</v>
      </c>
      <c r="L991" s="367" t="b">
        <f t="shared" si="688"/>
        <v>0</v>
      </c>
      <c r="M991" s="367" t="b">
        <f t="shared" si="688"/>
        <v>0</v>
      </c>
      <c r="N991" s="367" t="b">
        <f t="shared" si="688"/>
        <v>1</v>
      </c>
      <c r="O991" s="367" t="b">
        <f t="shared" si="688"/>
        <v>0</v>
      </c>
      <c r="P991" s="367" t="b">
        <f t="shared" si="688"/>
        <v>0</v>
      </c>
      <c r="Q991" s="367" t="b">
        <f t="shared" si="688"/>
        <v>0</v>
      </c>
      <c r="R991" s="367" t="b">
        <f t="shared" si="688"/>
        <v>0</v>
      </c>
      <c r="S991" s="367" t="b">
        <f t="shared" si="688"/>
        <v>0</v>
      </c>
      <c r="T991" s="367" t="b">
        <f t="shared" si="688"/>
        <v>0</v>
      </c>
    </row>
    <row r="992" spans="2:20" ht="13.5" customHeight="1" outlineLevel="1">
      <c r="C992" s="284"/>
      <c r="D992" s="284"/>
      <c r="E992" s="284"/>
      <c r="F992" s="355"/>
      <c r="G992" s="355"/>
      <c r="H992" s="355"/>
      <c r="I992" s="355"/>
      <c r="J992" s="366"/>
      <c r="K992" s="368"/>
      <c r="L992" s="368"/>
      <c r="M992" s="368"/>
      <c r="N992" s="368"/>
      <c r="O992" s="368"/>
      <c r="P992" s="368"/>
      <c r="Q992" s="368"/>
      <c r="R992" s="368"/>
      <c r="S992" s="368"/>
      <c r="T992" s="368"/>
    </row>
    <row r="993" spans="2:20" s="35" customFormat="1" ht="13.5" customHeight="1" outlineLevel="1">
      <c r="B993" s="46" t="s">
        <v>54</v>
      </c>
      <c r="C993" s="47"/>
      <c r="D993" s="47"/>
      <c r="E993" s="47"/>
      <c r="F993" s="47"/>
      <c r="G993" s="47"/>
      <c r="H993" s="47"/>
      <c r="I993" s="47"/>
      <c r="J993" s="47"/>
      <c r="K993" s="47"/>
      <c r="L993" s="47"/>
      <c r="M993" s="47"/>
      <c r="N993" s="47"/>
      <c r="O993" s="47"/>
      <c r="P993" s="47"/>
      <c r="Q993" s="47"/>
      <c r="R993" s="47"/>
      <c r="S993" s="47"/>
      <c r="T993" s="48"/>
    </row>
    <row r="994" spans="2:20" ht="5.0999999999999996" customHeight="1" outlineLevel="1">
      <c r="B994" s="135"/>
      <c r="F994" s="369"/>
      <c r="G994" s="369"/>
      <c r="H994" s="369"/>
    </row>
    <row r="995" spans="2:20" ht="13.5" customHeight="1" outlineLevel="1">
      <c r="B995" s="142" t="s">
        <v>241</v>
      </c>
      <c r="C995" s="284"/>
      <c r="D995" s="284"/>
      <c r="E995" s="284"/>
      <c r="F995" s="355"/>
      <c r="G995" s="355"/>
      <c r="H995" s="355"/>
      <c r="J995" s="370"/>
    </row>
    <row r="996" spans="2:20" ht="13.5" customHeight="1" outlineLevel="1">
      <c r="B996" s="38" t="s">
        <v>489</v>
      </c>
      <c r="C996" s="284"/>
      <c r="D996" s="284"/>
      <c r="E996" s="284"/>
      <c r="F996" s="355"/>
      <c r="G996" s="355"/>
      <c r="H996" s="355"/>
      <c r="J996" s="370"/>
      <c r="K996" s="371">
        <f t="shared" ref="K996:T996" si="689">K148</f>
        <v>138.69999999999999</v>
      </c>
      <c r="L996" s="371">
        <f t="shared" si="689"/>
        <v>147.02665494686133</v>
      </c>
      <c r="M996" s="371">
        <f t="shared" si="689"/>
        <v>155.85318864357191</v>
      </c>
      <c r="N996" s="371">
        <f t="shared" si="689"/>
        <v>165.20961059168371</v>
      </c>
      <c r="O996" s="371">
        <f t="shared" si="689"/>
        <v>175.12773186999863</v>
      </c>
      <c r="P996" s="371">
        <f t="shared" si="689"/>
        <v>185.6412732896664</v>
      </c>
      <c r="Q996" s="371">
        <f t="shared" si="689"/>
        <v>196.78598004221894</v>
      </c>
      <c r="R996" s="371">
        <f t="shared" si="689"/>
        <v>208.59974323033359</v>
      </c>
      <c r="S996" s="371">
        <f t="shared" si="689"/>
        <v>221.12272869452141</v>
      </c>
      <c r="T996" s="371">
        <f t="shared" si="689"/>
        <v>234.39751357374072</v>
      </c>
    </row>
    <row r="997" spans="2:20" ht="13.5" customHeight="1" outlineLevel="1">
      <c r="B997" s="38" t="s">
        <v>242</v>
      </c>
      <c r="C997" s="284"/>
      <c r="D997" s="284"/>
      <c r="E997" s="284"/>
      <c r="F997" s="355"/>
      <c r="G997" s="355"/>
      <c r="H997" s="355"/>
      <c r="J997" s="370"/>
      <c r="K997" s="372">
        <f t="shared" ref="K997:T997" si="690">$K$19</f>
        <v>5</v>
      </c>
      <c r="L997" s="372">
        <f t="shared" si="690"/>
        <v>5</v>
      </c>
      <c r="M997" s="372">
        <f t="shared" si="690"/>
        <v>5</v>
      </c>
      <c r="N997" s="372">
        <f t="shared" si="690"/>
        <v>5</v>
      </c>
      <c r="O997" s="372">
        <f t="shared" si="690"/>
        <v>5</v>
      </c>
      <c r="P997" s="372">
        <f t="shared" si="690"/>
        <v>5</v>
      </c>
      <c r="Q997" s="372">
        <f t="shared" si="690"/>
        <v>5</v>
      </c>
      <c r="R997" s="372">
        <f t="shared" si="690"/>
        <v>5</v>
      </c>
      <c r="S997" s="372">
        <f t="shared" si="690"/>
        <v>5</v>
      </c>
      <c r="T997" s="372">
        <f t="shared" si="690"/>
        <v>5</v>
      </c>
    </row>
    <row r="998" spans="2:20" ht="13.5" customHeight="1" outlineLevel="1">
      <c r="B998" s="52" t="s">
        <v>251</v>
      </c>
      <c r="C998" s="373"/>
      <c r="D998" s="373"/>
      <c r="E998" s="373"/>
      <c r="F998" s="374"/>
      <c r="G998" s="374"/>
      <c r="H998" s="374"/>
      <c r="I998" s="52"/>
      <c r="J998" s="375"/>
      <c r="K998" s="113">
        <f t="shared" ref="K998:T998" si="691">K997*K996</f>
        <v>693.5</v>
      </c>
      <c r="L998" s="113">
        <f t="shared" si="691"/>
        <v>735.13327473430661</v>
      </c>
      <c r="M998" s="113">
        <f t="shared" si="691"/>
        <v>779.26594321785956</v>
      </c>
      <c r="N998" s="113">
        <f t="shared" si="691"/>
        <v>826.04805295841857</v>
      </c>
      <c r="O998" s="113">
        <f t="shared" si="691"/>
        <v>875.63865934999308</v>
      </c>
      <c r="P998" s="113">
        <f t="shared" si="691"/>
        <v>928.20636644833201</v>
      </c>
      <c r="Q998" s="113">
        <f t="shared" si="691"/>
        <v>983.92990021109472</v>
      </c>
      <c r="R998" s="113">
        <f t="shared" si="691"/>
        <v>1042.9987161516678</v>
      </c>
      <c r="S998" s="113">
        <f t="shared" si="691"/>
        <v>1105.613643472607</v>
      </c>
      <c r="T998" s="113">
        <f t="shared" si="691"/>
        <v>1171.9875678687035</v>
      </c>
    </row>
    <row r="999" spans="2:20" ht="13.5" customHeight="1" outlineLevel="1">
      <c r="B999" s="38" t="s">
        <v>243</v>
      </c>
      <c r="C999" s="284"/>
      <c r="D999" s="284"/>
      <c r="E999" s="284"/>
      <c r="F999" s="355"/>
      <c r="G999" s="355"/>
      <c r="H999" s="355"/>
      <c r="J999" s="370"/>
      <c r="K999" s="57">
        <f t="shared" ref="K999:T999" ca="1" si="692">-K77</f>
        <v>-43.898989609773238</v>
      </c>
      <c r="L999" s="57">
        <f t="shared" ca="1" si="692"/>
        <v>37.916110282442787</v>
      </c>
      <c r="M999" s="57">
        <f t="shared" ca="1" si="692"/>
        <v>124.95429548790389</v>
      </c>
      <c r="N999" s="57">
        <f t="shared" ca="1" si="692"/>
        <v>217.61887958203016</v>
      </c>
      <c r="O999" s="57">
        <f t="shared" ca="1" si="692"/>
        <v>316.27146843245453</v>
      </c>
      <c r="P999" s="57">
        <f t="shared" ca="1" si="692"/>
        <v>413.72953436959392</v>
      </c>
      <c r="Q999" s="57">
        <f t="shared" ca="1" si="692"/>
        <v>521.08401980858571</v>
      </c>
      <c r="R999" s="57">
        <f t="shared" ca="1" si="692"/>
        <v>635.0356497639907</v>
      </c>
      <c r="S999" s="57">
        <f t="shared" ca="1" si="692"/>
        <v>763.76530438601367</v>
      </c>
      <c r="T999" s="57">
        <f t="shared" ca="1" si="692"/>
        <v>900.89964514382768</v>
      </c>
    </row>
    <row r="1000" spans="2:20" s="78" customFormat="1" ht="13.5" customHeight="1" outlineLevel="1">
      <c r="B1000" s="212" t="s">
        <v>250</v>
      </c>
      <c r="C1000" s="376"/>
      <c r="D1000" s="376"/>
      <c r="E1000" s="376"/>
      <c r="F1000" s="377"/>
      <c r="G1000" s="377"/>
      <c r="H1000" s="377"/>
      <c r="I1000" s="212"/>
      <c r="J1000" s="378"/>
      <c r="K1000" s="379">
        <f t="shared" ref="K1000:T1000" ca="1" si="693">SUM(K998:K999)</f>
        <v>649.60101039022675</v>
      </c>
      <c r="L1000" s="379">
        <f t="shared" ca="1" si="693"/>
        <v>773.0493850167494</v>
      </c>
      <c r="M1000" s="379">
        <f t="shared" ca="1" si="693"/>
        <v>904.22023870576345</v>
      </c>
      <c r="N1000" s="379">
        <f t="shared" ca="1" si="693"/>
        <v>1043.6669325404487</v>
      </c>
      <c r="O1000" s="379">
        <f t="shared" ca="1" si="693"/>
        <v>1191.9101277824475</v>
      </c>
      <c r="P1000" s="379">
        <f t="shared" ca="1" si="693"/>
        <v>1341.9359008179258</v>
      </c>
      <c r="Q1000" s="379">
        <f t="shared" ca="1" si="693"/>
        <v>1505.0139200196804</v>
      </c>
      <c r="R1000" s="379">
        <f t="shared" ca="1" si="693"/>
        <v>1678.0343659156586</v>
      </c>
      <c r="S1000" s="379">
        <f t="shared" ca="1" si="693"/>
        <v>1869.3789478586207</v>
      </c>
      <c r="T1000" s="379">
        <f t="shared" ca="1" si="693"/>
        <v>2072.887213012531</v>
      </c>
    </row>
    <row r="1001" spans="2:20" ht="13.5" customHeight="1" outlineLevel="1">
      <c r="C1001" s="284"/>
      <c r="D1001" s="284"/>
      <c r="E1001" s="284"/>
      <c r="F1001" s="355"/>
      <c r="G1001" s="355"/>
      <c r="H1001" s="355"/>
      <c r="J1001" s="370"/>
      <c r="K1001" s="136"/>
      <c r="L1001" s="136"/>
      <c r="M1001" s="136"/>
      <c r="N1001" s="136"/>
      <c r="O1001" s="136"/>
      <c r="P1001" s="136"/>
      <c r="Q1001" s="136"/>
      <c r="R1001" s="136"/>
      <c r="S1001" s="136"/>
      <c r="T1001" s="136"/>
    </row>
    <row r="1002" spans="2:20" ht="13.5" customHeight="1" outlineLevel="1">
      <c r="B1002" s="142" t="s">
        <v>247</v>
      </c>
      <c r="C1002" s="284"/>
      <c r="D1002" s="284"/>
      <c r="E1002" s="284"/>
      <c r="F1002" s="355"/>
      <c r="G1002" s="355"/>
      <c r="H1002" s="355"/>
      <c r="J1002" s="370"/>
      <c r="K1002" s="136"/>
      <c r="L1002" s="136"/>
      <c r="M1002" s="136"/>
      <c r="N1002" s="136"/>
      <c r="O1002" s="136"/>
      <c r="P1002" s="136"/>
      <c r="Q1002" s="136"/>
      <c r="R1002" s="136"/>
      <c r="S1002" s="136"/>
      <c r="T1002" s="136"/>
    </row>
    <row r="1003" spans="2:20" ht="13.5" customHeight="1" outlineLevel="1">
      <c r="B1003" s="38" t="s">
        <v>490</v>
      </c>
      <c r="C1003" s="284"/>
      <c r="D1003" s="284"/>
      <c r="E1003" s="284"/>
      <c r="F1003" s="355"/>
      <c r="G1003" s="355"/>
      <c r="H1003" s="355"/>
      <c r="I1003" s="355"/>
      <c r="J1003" s="370"/>
      <c r="K1003" s="371">
        <f t="shared" ref="K1003:T1003" ca="1" si="694">K176</f>
        <v>51.595542041428558</v>
      </c>
      <c r="L1003" s="371">
        <f t="shared" ca="1" si="694"/>
        <v>42.157513392809591</v>
      </c>
      <c r="M1003" s="371">
        <f t="shared" ca="1" si="694"/>
        <v>46.485021151897499</v>
      </c>
      <c r="N1003" s="371">
        <f t="shared" ca="1" si="694"/>
        <v>51.162077776444335</v>
      </c>
      <c r="O1003" s="371">
        <f t="shared" ca="1" si="694"/>
        <v>56.143747871653702</v>
      </c>
      <c r="P1003" s="371">
        <f t="shared" ca="1" si="694"/>
        <v>76.131044971567334</v>
      </c>
      <c r="Q1003" s="371">
        <f t="shared" ca="1" si="694"/>
        <v>84.896675246503989</v>
      </c>
      <c r="R1003" s="371">
        <f t="shared" ca="1" si="694"/>
        <v>92.786215053102879</v>
      </c>
      <c r="S1003" s="371">
        <f t="shared" ca="1" si="694"/>
        <v>106.29360448757511</v>
      </c>
      <c r="T1003" s="371">
        <f t="shared" ca="1" si="694"/>
        <v>113.35137463317126</v>
      </c>
    </row>
    <row r="1004" spans="2:20" ht="13.5" customHeight="1" outlineLevel="1">
      <c r="B1004" s="38" t="s">
        <v>246</v>
      </c>
      <c r="C1004" s="284"/>
      <c r="D1004" s="284"/>
      <c r="E1004" s="284"/>
      <c r="F1004" s="355"/>
      <c r="G1004" s="355"/>
      <c r="H1004" s="355"/>
      <c r="I1004" s="355"/>
      <c r="J1004" s="370"/>
      <c r="K1004" s="372">
        <f t="shared" ref="K1004:T1004" si="695">$K$20</f>
        <v>14</v>
      </c>
      <c r="L1004" s="372">
        <f t="shared" si="695"/>
        <v>14</v>
      </c>
      <c r="M1004" s="372">
        <f t="shared" si="695"/>
        <v>14</v>
      </c>
      <c r="N1004" s="372">
        <f t="shared" si="695"/>
        <v>14</v>
      </c>
      <c r="O1004" s="372">
        <f t="shared" si="695"/>
        <v>14</v>
      </c>
      <c r="P1004" s="372">
        <f t="shared" si="695"/>
        <v>14</v>
      </c>
      <c r="Q1004" s="372">
        <f t="shared" si="695"/>
        <v>14</v>
      </c>
      <c r="R1004" s="372">
        <f t="shared" si="695"/>
        <v>14</v>
      </c>
      <c r="S1004" s="372">
        <f t="shared" si="695"/>
        <v>14</v>
      </c>
      <c r="T1004" s="372">
        <f t="shared" si="695"/>
        <v>14</v>
      </c>
    </row>
    <row r="1005" spans="2:20" s="78" customFormat="1" ht="13.5" customHeight="1" outlineLevel="1">
      <c r="B1005" s="212" t="s">
        <v>250</v>
      </c>
      <c r="C1005" s="376"/>
      <c r="D1005" s="376"/>
      <c r="E1005" s="376"/>
      <c r="F1005" s="377"/>
      <c r="G1005" s="377"/>
      <c r="H1005" s="377"/>
      <c r="I1005" s="212"/>
      <c r="J1005" s="378"/>
      <c r="K1005" s="379">
        <f ca="1">K1004*K1003</f>
        <v>722.33758857999987</v>
      </c>
      <c r="L1005" s="379">
        <f t="shared" ref="L1005:T1005" ca="1" si="696">L1004*L1003</f>
        <v>590.20518749933422</v>
      </c>
      <c r="M1005" s="379">
        <f t="shared" ca="1" si="696"/>
        <v>650.79029612656495</v>
      </c>
      <c r="N1005" s="379">
        <f t="shared" ca="1" si="696"/>
        <v>716.26908887022068</v>
      </c>
      <c r="O1005" s="379">
        <f t="shared" ca="1" si="696"/>
        <v>786.01247020315179</v>
      </c>
      <c r="P1005" s="379">
        <f t="shared" ca="1" si="696"/>
        <v>1065.8346296019427</v>
      </c>
      <c r="Q1005" s="379">
        <f t="shared" ca="1" si="696"/>
        <v>1188.5534534510559</v>
      </c>
      <c r="R1005" s="379">
        <f t="shared" ca="1" si="696"/>
        <v>1299.0070107434403</v>
      </c>
      <c r="S1005" s="379">
        <f t="shared" ca="1" si="696"/>
        <v>1488.1104628260516</v>
      </c>
      <c r="T1005" s="379">
        <f t="shared" ca="1" si="696"/>
        <v>1586.9192448643976</v>
      </c>
    </row>
    <row r="1006" spans="2:20" ht="13.5" customHeight="1" outlineLevel="1">
      <c r="C1006" s="284"/>
      <c r="D1006" s="284"/>
      <c r="E1006" s="284"/>
      <c r="F1006" s="355"/>
      <c r="G1006" s="355"/>
      <c r="H1006" s="355"/>
      <c r="I1006" s="355"/>
      <c r="J1006" s="370"/>
      <c r="K1006" s="136"/>
      <c r="L1006" s="136"/>
      <c r="M1006" s="136"/>
      <c r="N1006" s="136"/>
      <c r="O1006" s="136"/>
      <c r="P1006" s="136"/>
      <c r="Q1006" s="136"/>
      <c r="R1006" s="136"/>
      <c r="S1006" s="136"/>
      <c r="T1006" s="136"/>
    </row>
    <row r="1007" spans="2:20" s="78" customFormat="1" ht="13.5" customHeight="1" outlineLevel="1">
      <c r="B1007" s="78" t="s">
        <v>244</v>
      </c>
      <c r="C1007" s="284"/>
      <c r="D1007" s="284"/>
      <c r="E1007" s="284"/>
      <c r="F1007" s="355"/>
      <c r="G1007" s="355"/>
      <c r="H1007" s="355"/>
      <c r="I1007" s="355"/>
      <c r="J1007" s="370"/>
      <c r="K1007" s="233">
        <f t="shared" ref="K1007:T1007" ca="1" si="697">CHOOSE($K$17,K1000,K1005)</f>
        <v>649.60101039022675</v>
      </c>
      <c r="L1007" s="233">
        <f t="shared" ca="1" si="697"/>
        <v>773.0493850167494</v>
      </c>
      <c r="M1007" s="233">
        <f t="shared" ca="1" si="697"/>
        <v>904.22023870576345</v>
      </c>
      <c r="N1007" s="233">
        <f t="shared" ca="1" si="697"/>
        <v>1043.6669325404487</v>
      </c>
      <c r="O1007" s="233">
        <f t="shared" ca="1" si="697"/>
        <v>1191.9101277824475</v>
      </c>
      <c r="P1007" s="233">
        <f t="shared" ca="1" si="697"/>
        <v>1341.9359008179258</v>
      </c>
      <c r="Q1007" s="233">
        <f t="shared" ca="1" si="697"/>
        <v>1505.0139200196804</v>
      </c>
      <c r="R1007" s="233">
        <f t="shared" ca="1" si="697"/>
        <v>1678.0343659156586</v>
      </c>
      <c r="S1007" s="233">
        <f t="shared" ca="1" si="697"/>
        <v>1869.3789478586207</v>
      </c>
      <c r="T1007" s="233">
        <f t="shared" ca="1" si="697"/>
        <v>2072.887213012531</v>
      </c>
    </row>
    <row r="1008" spans="2:20" ht="13.5" customHeight="1" outlineLevel="1">
      <c r="C1008" s="284"/>
      <c r="D1008" s="284"/>
      <c r="E1008" s="284"/>
      <c r="F1008" s="355"/>
      <c r="G1008" s="355"/>
      <c r="H1008" s="355"/>
      <c r="I1008" s="355"/>
      <c r="J1008" s="370"/>
      <c r="K1008" s="136"/>
      <c r="L1008" s="136"/>
      <c r="M1008" s="136"/>
      <c r="N1008" s="136"/>
      <c r="O1008" s="136"/>
      <c r="P1008" s="136"/>
      <c r="Q1008" s="136"/>
      <c r="R1008" s="136"/>
      <c r="S1008" s="136"/>
      <c r="T1008" s="136"/>
    </row>
    <row r="1009" spans="2:20" s="35" customFormat="1" ht="13.5" customHeight="1" outlineLevel="1">
      <c r="B1009" s="46" t="s">
        <v>55</v>
      </c>
      <c r="C1009" s="47"/>
      <c r="D1009" s="47"/>
      <c r="E1009" s="47"/>
      <c r="F1009" s="47"/>
      <c r="G1009" s="47"/>
      <c r="H1009" s="47"/>
      <c r="I1009" s="47"/>
      <c r="J1009" s="47"/>
      <c r="K1009" s="47"/>
      <c r="L1009" s="47"/>
      <c r="M1009" s="47"/>
      <c r="N1009" s="47"/>
      <c r="O1009" s="47"/>
      <c r="P1009" s="47"/>
      <c r="Q1009" s="47"/>
      <c r="R1009" s="47"/>
      <c r="S1009" s="47"/>
      <c r="T1009" s="48"/>
    </row>
    <row r="1010" spans="2:20" ht="5.0999999999999996" customHeight="1" outlineLevel="1">
      <c r="B1010" s="135"/>
      <c r="F1010" s="369"/>
      <c r="G1010" s="369"/>
      <c r="H1010" s="369"/>
    </row>
    <row r="1011" spans="2:20" ht="13.5" customHeight="1" outlineLevel="1">
      <c r="B1011" s="255" t="str">
        <f>B838</f>
        <v>Subordinated note</v>
      </c>
      <c r="C1011" s="256"/>
      <c r="D1011" s="256"/>
      <c r="E1011" s="256"/>
      <c r="F1011" s="256"/>
      <c r="G1011" s="256"/>
      <c r="H1011" s="256"/>
      <c r="I1011" s="256"/>
      <c r="J1011" s="256"/>
      <c r="K1011" s="380"/>
      <c r="L1011" s="380"/>
      <c r="M1011" s="380"/>
      <c r="N1011" s="380"/>
      <c r="O1011" s="380"/>
      <c r="P1011" s="380"/>
      <c r="Q1011" s="380"/>
      <c r="R1011" s="380"/>
      <c r="S1011" s="380"/>
      <c r="T1011" s="380"/>
    </row>
    <row r="1012" spans="2:20" ht="13.5" customHeight="1" outlineLevel="1">
      <c r="B1012" s="214" t="s">
        <v>253</v>
      </c>
      <c r="C1012" s="214"/>
      <c r="D1012" s="214"/>
      <c r="E1012" s="214"/>
      <c r="F1012" s="214"/>
      <c r="G1012" s="214"/>
      <c r="H1012" s="214"/>
      <c r="I1012" s="214"/>
      <c r="J1012" s="267">
        <f>-O838</f>
        <v>-50</v>
      </c>
      <c r="K1012" s="214"/>
      <c r="L1012" s="381"/>
      <c r="M1012" s="381"/>
      <c r="N1012" s="381"/>
      <c r="O1012" s="381"/>
      <c r="P1012" s="381"/>
      <c r="Q1012" s="381"/>
      <c r="R1012" s="381"/>
      <c r="S1012" s="381"/>
      <c r="T1012" s="381"/>
    </row>
    <row r="1013" spans="2:20" ht="13.5" customHeight="1" outlineLevel="1">
      <c r="B1013" s="214" t="s">
        <v>254</v>
      </c>
      <c r="C1013" s="214"/>
      <c r="D1013" s="214"/>
      <c r="E1013" s="214"/>
      <c r="F1013" s="214"/>
      <c r="G1013" s="214"/>
      <c r="H1013" s="214"/>
      <c r="I1013" s="214"/>
      <c r="J1013" s="214"/>
      <c r="K1013" s="267">
        <f t="shared" ref="K1013:T1013" si="698">K504*(K$988&lt;=exit_year)</f>
        <v>5.125</v>
      </c>
      <c r="L1013" s="267">
        <f t="shared" ca="1" si="698"/>
        <v>5.125</v>
      </c>
      <c r="M1013" s="267">
        <f t="shared" ca="1" si="698"/>
        <v>5.125</v>
      </c>
      <c r="N1013" s="267">
        <f t="shared" ca="1" si="698"/>
        <v>5.125</v>
      </c>
      <c r="O1013" s="267">
        <f t="shared" ca="1" si="698"/>
        <v>0</v>
      </c>
      <c r="P1013" s="267">
        <f t="shared" ca="1" si="698"/>
        <v>0</v>
      </c>
      <c r="Q1013" s="267">
        <f t="shared" ca="1" si="698"/>
        <v>0</v>
      </c>
      <c r="R1013" s="267">
        <f t="shared" ca="1" si="698"/>
        <v>0</v>
      </c>
      <c r="S1013" s="267">
        <f t="shared" ca="1" si="698"/>
        <v>0</v>
      </c>
      <c r="T1013" s="267">
        <f t="shared" ca="1" si="698"/>
        <v>0</v>
      </c>
    </row>
    <row r="1014" spans="2:20" ht="13.5" customHeight="1" outlineLevel="1">
      <c r="B1014" s="214" t="s">
        <v>491</v>
      </c>
      <c r="C1014" s="214"/>
      <c r="D1014" s="214"/>
      <c r="E1014" s="214"/>
      <c r="F1014" s="214"/>
      <c r="G1014" s="214"/>
      <c r="H1014" s="214"/>
      <c r="I1014" s="214"/>
      <c r="J1014" s="214"/>
      <c r="K1014" s="209">
        <f t="shared" ref="K1014:T1014" ca="1" si="699">-SUM(K500:K501)*(K$988&lt;=exit_year)</f>
        <v>0</v>
      </c>
      <c r="L1014" s="209">
        <f t="shared" ca="1" si="699"/>
        <v>0</v>
      </c>
      <c r="M1014" s="209">
        <f t="shared" ca="1" si="699"/>
        <v>0</v>
      </c>
      <c r="N1014" s="209">
        <f t="shared" ca="1" si="699"/>
        <v>0</v>
      </c>
      <c r="O1014" s="209">
        <f t="shared" ca="1" si="699"/>
        <v>0</v>
      </c>
      <c r="P1014" s="209">
        <f t="shared" ca="1" si="699"/>
        <v>0</v>
      </c>
      <c r="Q1014" s="209">
        <f t="shared" ca="1" si="699"/>
        <v>0</v>
      </c>
      <c r="R1014" s="209">
        <f t="shared" ca="1" si="699"/>
        <v>0</v>
      </c>
      <c r="S1014" s="209">
        <f t="shared" ca="1" si="699"/>
        <v>0</v>
      </c>
      <c r="T1014" s="209">
        <f t="shared" ca="1" si="699"/>
        <v>0</v>
      </c>
    </row>
    <row r="1015" spans="2:20" ht="13.5" customHeight="1" outlineLevel="1">
      <c r="B1015" s="214" t="s">
        <v>485</v>
      </c>
      <c r="C1015" s="214"/>
      <c r="D1015" s="214"/>
      <c r="E1015" s="214"/>
      <c r="F1015" s="214"/>
      <c r="G1015" s="214"/>
      <c r="H1015" s="214"/>
      <c r="I1015" s="214"/>
      <c r="J1015" s="214"/>
      <c r="K1015" s="209">
        <f t="shared" ref="K1015:T1015" ca="1" si="700">K502*K$991</f>
        <v>0</v>
      </c>
      <c r="L1015" s="209">
        <f t="shared" ca="1" si="700"/>
        <v>0</v>
      </c>
      <c r="M1015" s="209">
        <f t="shared" ca="1" si="700"/>
        <v>0</v>
      </c>
      <c r="N1015" s="209">
        <f t="shared" ca="1" si="700"/>
        <v>50</v>
      </c>
      <c r="O1015" s="209">
        <f t="shared" ca="1" si="700"/>
        <v>0</v>
      </c>
      <c r="P1015" s="209">
        <f t="shared" ca="1" si="700"/>
        <v>0</v>
      </c>
      <c r="Q1015" s="209">
        <f t="shared" ca="1" si="700"/>
        <v>0</v>
      </c>
      <c r="R1015" s="209">
        <f t="shared" ca="1" si="700"/>
        <v>0</v>
      </c>
      <c r="S1015" s="209">
        <f t="shared" ca="1" si="700"/>
        <v>0</v>
      </c>
      <c r="T1015" s="209">
        <f t="shared" ca="1" si="700"/>
        <v>0</v>
      </c>
    </row>
    <row r="1016" spans="2:20" ht="13.5" customHeight="1" outlineLevel="1">
      <c r="B1016" s="214" t="s">
        <v>255</v>
      </c>
      <c r="C1016" s="214"/>
      <c r="D1016" s="214"/>
      <c r="E1016" s="214"/>
      <c r="F1016" s="214"/>
      <c r="G1016" s="214"/>
      <c r="H1016" s="214"/>
      <c r="I1016" s="214"/>
      <c r="J1016" s="214"/>
      <c r="K1016" s="209">
        <f t="shared" ref="K1016:T1016" ca="1" si="701">K$1007*$H977*K$991</f>
        <v>0</v>
      </c>
      <c r="L1016" s="209">
        <f t="shared" ca="1" si="701"/>
        <v>0</v>
      </c>
      <c r="M1016" s="209">
        <f t="shared" ca="1" si="701"/>
        <v>0</v>
      </c>
      <c r="N1016" s="209">
        <f t="shared" ca="1" si="701"/>
        <v>20.768971957554928</v>
      </c>
      <c r="O1016" s="209">
        <f t="shared" ca="1" si="701"/>
        <v>0</v>
      </c>
      <c r="P1016" s="209">
        <f t="shared" ca="1" si="701"/>
        <v>0</v>
      </c>
      <c r="Q1016" s="209">
        <f t="shared" ca="1" si="701"/>
        <v>0</v>
      </c>
      <c r="R1016" s="209">
        <f t="shared" ca="1" si="701"/>
        <v>0</v>
      </c>
      <c r="S1016" s="209">
        <f t="shared" ca="1" si="701"/>
        <v>0</v>
      </c>
      <c r="T1016" s="209">
        <f t="shared" ca="1" si="701"/>
        <v>0</v>
      </c>
    </row>
    <row r="1017" spans="2:20" ht="13.5" customHeight="1" outlineLevel="1">
      <c r="B1017" s="261" t="s">
        <v>256</v>
      </c>
      <c r="C1017" s="382"/>
      <c r="D1017" s="382"/>
      <c r="E1017" s="382"/>
      <c r="F1017" s="383"/>
      <c r="G1017" s="383"/>
      <c r="H1017" s="383"/>
      <c r="I1017" s="261"/>
      <c r="J1017" s="263">
        <f t="shared" ref="J1017:T1017" si="702">SUM(J1012:J1016)</f>
        <v>-50</v>
      </c>
      <c r="K1017" s="263">
        <f t="shared" ca="1" si="702"/>
        <v>5.125</v>
      </c>
      <c r="L1017" s="263">
        <f t="shared" ca="1" si="702"/>
        <v>5.125</v>
      </c>
      <c r="M1017" s="263">
        <f t="shared" ca="1" si="702"/>
        <v>5.125</v>
      </c>
      <c r="N1017" s="263">
        <f t="shared" ca="1" si="702"/>
        <v>75.893971957554925</v>
      </c>
      <c r="O1017" s="263">
        <f t="shared" ca="1" si="702"/>
        <v>0</v>
      </c>
      <c r="P1017" s="263">
        <f t="shared" ca="1" si="702"/>
        <v>0</v>
      </c>
      <c r="Q1017" s="263">
        <f t="shared" ca="1" si="702"/>
        <v>0</v>
      </c>
      <c r="R1017" s="263">
        <f t="shared" ca="1" si="702"/>
        <v>0</v>
      </c>
      <c r="S1017" s="263">
        <f t="shared" ca="1" si="702"/>
        <v>0</v>
      </c>
      <c r="T1017" s="263">
        <f t="shared" ca="1" si="702"/>
        <v>0</v>
      </c>
    </row>
    <row r="1018" spans="2:20" ht="5.0999999999999996" customHeight="1" outlineLevel="1">
      <c r="B1018" s="214"/>
      <c r="C1018" s="384"/>
      <c r="D1018" s="384"/>
      <c r="E1018" s="384"/>
      <c r="F1018" s="385"/>
      <c r="G1018" s="385"/>
      <c r="H1018" s="385"/>
      <c r="I1018" s="214"/>
      <c r="J1018" s="204"/>
      <c r="K1018" s="204"/>
      <c r="L1018" s="204"/>
      <c r="M1018" s="204"/>
      <c r="N1018" s="204"/>
      <c r="O1018" s="204"/>
      <c r="P1018" s="204"/>
      <c r="Q1018" s="204"/>
      <c r="R1018" s="204"/>
      <c r="S1018" s="204"/>
      <c r="T1018" s="204"/>
    </row>
    <row r="1019" spans="2:20" ht="13.5" customHeight="1" outlineLevel="1">
      <c r="B1019" s="386" t="s">
        <v>307</v>
      </c>
      <c r="C1019" s="387">
        <f ca="1">IFERROR(XIRR(J1017:T1017,J$989:T$989),0)</f>
        <v>0.1817701399326325</v>
      </c>
      <c r="D1019" s="174"/>
      <c r="E1019" s="174"/>
      <c r="F1019" s="174"/>
      <c r="G1019" s="174"/>
      <c r="H1019" s="174"/>
      <c r="I1019" s="388"/>
      <c r="J1019" s="388"/>
      <c r="K1019" s="389"/>
      <c r="L1019" s="389"/>
      <c r="M1019" s="389"/>
      <c r="N1019" s="389"/>
      <c r="O1019" s="389"/>
      <c r="P1019" s="389"/>
      <c r="Q1019" s="389"/>
      <c r="R1019" s="389"/>
      <c r="S1019" s="389"/>
      <c r="T1019" s="389"/>
    </row>
    <row r="1020" spans="2:20" ht="13.5" customHeight="1" outlineLevel="1">
      <c r="B1020" s="390" t="s">
        <v>306</v>
      </c>
      <c r="C1020" s="391">
        <f ca="1">IFERROR(-SUM(K1017:T1017)/J1017,"NA")</f>
        <v>1.8253794391510985</v>
      </c>
      <c r="D1020" s="174"/>
      <c r="E1020" s="174"/>
      <c r="F1020" s="174"/>
      <c r="G1020" s="174"/>
      <c r="H1020" s="174"/>
      <c r="I1020" s="388"/>
      <c r="J1020" s="388"/>
      <c r="K1020" s="389"/>
      <c r="L1020" s="389"/>
      <c r="M1020" s="389"/>
      <c r="N1020" s="389"/>
      <c r="O1020" s="389"/>
      <c r="P1020" s="389"/>
      <c r="Q1020" s="389"/>
      <c r="R1020" s="389"/>
      <c r="S1020" s="389"/>
      <c r="T1020" s="389"/>
    </row>
    <row r="1021" spans="2:20" ht="5.0999999999999996" customHeight="1" outlineLevel="1" thickBot="1">
      <c r="B1021" s="392"/>
      <c r="C1021" s="144"/>
      <c r="D1021" s="144"/>
      <c r="E1021" s="144"/>
      <c r="F1021" s="393"/>
      <c r="G1021" s="393"/>
      <c r="H1021" s="393"/>
      <c r="I1021" s="144"/>
      <c r="J1021" s="144"/>
      <c r="K1021" s="144"/>
      <c r="L1021" s="144"/>
      <c r="M1021" s="144"/>
      <c r="N1021" s="144"/>
      <c r="O1021" s="144"/>
      <c r="P1021" s="144"/>
      <c r="Q1021" s="144"/>
      <c r="R1021" s="144"/>
      <c r="S1021" s="144"/>
      <c r="T1021" s="144"/>
    </row>
    <row r="1022" spans="2:20" ht="13.5" customHeight="1" outlineLevel="1">
      <c r="B1022" s="135"/>
      <c r="F1022" s="369"/>
      <c r="G1022" s="369"/>
      <c r="H1022" s="369"/>
    </row>
    <row r="1023" spans="2:20" ht="13.5" customHeight="1" outlineLevel="1">
      <c r="B1023" s="255" t="str">
        <f>B839</f>
        <v>Mezzanine</v>
      </c>
      <c r="C1023" s="256"/>
      <c r="D1023" s="256"/>
      <c r="E1023" s="256"/>
      <c r="F1023" s="256"/>
      <c r="G1023" s="256"/>
      <c r="H1023" s="256"/>
      <c r="I1023" s="256"/>
      <c r="J1023" s="256"/>
      <c r="K1023" s="380"/>
      <c r="L1023" s="380"/>
      <c r="M1023" s="380"/>
      <c r="N1023" s="380"/>
      <c r="O1023" s="380"/>
      <c r="P1023" s="380"/>
      <c r="Q1023" s="380"/>
      <c r="R1023" s="380"/>
      <c r="S1023" s="380"/>
      <c r="T1023" s="380"/>
    </row>
    <row r="1024" spans="2:20" ht="13.5" customHeight="1" outlineLevel="1">
      <c r="B1024" s="214" t="s">
        <v>253</v>
      </c>
      <c r="C1024" s="214"/>
      <c r="D1024" s="214"/>
      <c r="E1024" s="214"/>
      <c r="F1024" s="214"/>
      <c r="G1024" s="214"/>
      <c r="H1024" s="214"/>
      <c r="I1024" s="214"/>
      <c r="J1024" s="267">
        <f>-O839</f>
        <v>0</v>
      </c>
      <c r="K1024" s="214"/>
      <c r="L1024" s="381"/>
      <c r="M1024" s="381"/>
      <c r="N1024" s="381"/>
      <c r="O1024" s="381"/>
      <c r="P1024" s="381"/>
      <c r="Q1024" s="381"/>
      <c r="R1024" s="381"/>
      <c r="S1024" s="381"/>
      <c r="T1024" s="381"/>
    </row>
    <row r="1025" spans="2:20" ht="13.5" customHeight="1" outlineLevel="1">
      <c r="B1025" s="214" t="s">
        <v>254</v>
      </c>
      <c r="C1025" s="214"/>
      <c r="D1025" s="214"/>
      <c r="E1025" s="214"/>
      <c r="F1025" s="214"/>
      <c r="G1025" s="214"/>
      <c r="H1025" s="214"/>
      <c r="I1025" s="214"/>
      <c r="J1025" s="214"/>
      <c r="K1025" s="267">
        <f t="shared" ref="K1025:T1025" si="703">K513*(K$988&lt;=exit_year)</f>
        <v>0</v>
      </c>
      <c r="L1025" s="267">
        <f t="shared" ca="1" si="703"/>
        <v>0</v>
      </c>
      <c r="M1025" s="267">
        <f t="shared" ca="1" si="703"/>
        <v>0</v>
      </c>
      <c r="N1025" s="267">
        <f t="shared" ca="1" si="703"/>
        <v>0</v>
      </c>
      <c r="O1025" s="267">
        <f t="shared" ca="1" si="703"/>
        <v>0</v>
      </c>
      <c r="P1025" s="267">
        <f t="shared" ca="1" si="703"/>
        <v>0</v>
      </c>
      <c r="Q1025" s="267">
        <f t="shared" ca="1" si="703"/>
        <v>0</v>
      </c>
      <c r="R1025" s="267">
        <f t="shared" ca="1" si="703"/>
        <v>0</v>
      </c>
      <c r="S1025" s="267">
        <f t="shared" ca="1" si="703"/>
        <v>0</v>
      </c>
      <c r="T1025" s="267">
        <f t="shared" ca="1" si="703"/>
        <v>0</v>
      </c>
    </row>
    <row r="1026" spans="2:20" ht="13.5" customHeight="1" outlineLevel="1">
      <c r="B1026" s="214" t="s">
        <v>491</v>
      </c>
      <c r="C1026" s="214"/>
      <c r="D1026" s="214"/>
      <c r="E1026" s="214"/>
      <c r="F1026" s="214"/>
      <c r="G1026" s="214"/>
      <c r="H1026" s="214"/>
      <c r="I1026" s="214"/>
      <c r="J1026" s="214"/>
      <c r="K1026" s="209">
        <f t="shared" ref="K1026:T1026" ca="1" si="704">-SUM(K509:K510)*(K$988&lt;=exit_year)</f>
        <v>0</v>
      </c>
      <c r="L1026" s="209">
        <f t="shared" ca="1" si="704"/>
        <v>0</v>
      </c>
      <c r="M1026" s="209">
        <f t="shared" ca="1" si="704"/>
        <v>0</v>
      </c>
      <c r="N1026" s="209">
        <f t="shared" ca="1" si="704"/>
        <v>0</v>
      </c>
      <c r="O1026" s="209">
        <f t="shared" ca="1" si="704"/>
        <v>0</v>
      </c>
      <c r="P1026" s="209">
        <f t="shared" ca="1" si="704"/>
        <v>0</v>
      </c>
      <c r="Q1026" s="209">
        <f t="shared" ca="1" si="704"/>
        <v>0</v>
      </c>
      <c r="R1026" s="209">
        <f t="shared" ca="1" si="704"/>
        <v>0</v>
      </c>
      <c r="S1026" s="209">
        <f t="shared" ca="1" si="704"/>
        <v>0</v>
      </c>
      <c r="T1026" s="209">
        <f t="shared" ca="1" si="704"/>
        <v>0</v>
      </c>
    </row>
    <row r="1027" spans="2:20" ht="13.5" customHeight="1" outlineLevel="1">
      <c r="B1027" s="214" t="s">
        <v>485</v>
      </c>
      <c r="C1027" s="214"/>
      <c r="D1027" s="214"/>
      <c r="E1027" s="214"/>
      <c r="F1027" s="214"/>
      <c r="G1027" s="214"/>
      <c r="H1027" s="214"/>
      <c r="I1027" s="214"/>
      <c r="J1027" s="214"/>
      <c r="K1027" s="209">
        <f t="shared" ref="K1027:T1027" ca="1" si="705">K511*K$991</f>
        <v>0</v>
      </c>
      <c r="L1027" s="209">
        <f t="shared" ca="1" si="705"/>
        <v>0</v>
      </c>
      <c r="M1027" s="209">
        <f t="shared" ca="1" si="705"/>
        <v>0</v>
      </c>
      <c r="N1027" s="209">
        <f t="shared" ca="1" si="705"/>
        <v>0</v>
      </c>
      <c r="O1027" s="209">
        <f t="shared" ca="1" si="705"/>
        <v>0</v>
      </c>
      <c r="P1027" s="209">
        <f t="shared" ca="1" si="705"/>
        <v>0</v>
      </c>
      <c r="Q1027" s="209">
        <f t="shared" ca="1" si="705"/>
        <v>0</v>
      </c>
      <c r="R1027" s="209">
        <f t="shared" ca="1" si="705"/>
        <v>0</v>
      </c>
      <c r="S1027" s="209">
        <f t="shared" ca="1" si="705"/>
        <v>0</v>
      </c>
      <c r="T1027" s="209">
        <f t="shared" ca="1" si="705"/>
        <v>0</v>
      </c>
    </row>
    <row r="1028" spans="2:20" ht="13.5" customHeight="1" outlineLevel="1">
      <c r="B1028" s="214" t="s">
        <v>255</v>
      </c>
      <c r="C1028" s="214"/>
      <c r="D1028" s="214"/>
      <c r="E1028" s="214"/>
      <c r="F1028" s="214"/>
      <c r="G1028" s="214"/>
      <c r="H1028" s="214"/>
      <c r="I1028" s="214"/>
      <c r="J1028" s="214"/>
      <c r="K1028" s="209">
        <f t="shared" ref="K1028:T1028" ca="1" si="706">K$1007*$H978*K$991</f>
        <v>0</v>
      </c>
      <c r="L1028" s="209">
        <f t="shared" ca="1" si="706"/>
        <v>0</v>
      </c>
      <c r="M1028" s="209">
        <f t="shared" ca="1" si="706"/>
        <v>0</v>
      </c>
      <c r="N1028" s="209">
        <f t="shared" ca="1" si="706"/>
        <v>0</v>
      </c>
      <c r="O1028" s="209">
        <f t="shared" ca="1" si="706"/>
        <v>0</v>
      </c>
      <c r="P1028" s="209">
        <f t="shared" ca="1" si="706"/>
        <v>0</v>
      </c>
      <c r="Q1028" s="209">
        <f t="shared" ca="1" si="706"/>
        <v>0</v>
      </c>
      <c r="R1028" s="209">
        <f t="shared" ca="1" si="706"/>
        <v>0</v>
      </c>
      <c r="S1028" s="209">
        <f t="shared" ca="1" si="706"/>
        <v>0</v>
      </c>
      <c r="T1028" s="209">
        <f t="shared" ca="1" si="706"/>
        <v>0</v>
      </c>
    </row>
    <row r="1029" spans="2:20" ht="13.5" customHeight="1" outlineLevel="1">
      <c r="B1029" s="261" t="s">
        <v>256</v>
      </c>
      <c r="C1029" s="382"/>
      <c r="D1029" s="382"/>
      <c r="E1029" s="382"/>
      <c r="F1029" s="383"/>
      <c r="G1029" s="383"/>
      <c r="H1029" s="383"/>
      <c r="I1029" s="261"/>
      <c r="J1029" s="263">
        <f t="shared" ref="J1029:T1029" si="707">SUM(J1024:J1028)</f>
        <v>0</v>
      </c>
      <c r="K1029" s="263">
        <f t="shared" ca="1" si="707"/>
        <v>0</v>
      </c>
      <c r="L1029" s="263">
        <f t="shared" ca="1" si="707"/>
        <v>0</v>
      </c>
      <c r="M1029" s="263">
        <f t="shared" ca="1" si="707"/>
        <v>0</v>
      </c>
      <c r="N1029" s="263">
        <f t="shared" ca="1" si="707"/>
        <v>0</v>
      </c>
      <c r="O1029" s="263">
        <f t="shared" ca="1" si="707"/>
        <v>0</v>
      </c>
      <c r="P1029" s="263">
        <f t="shared" ca="1" si="707"/>
        <v>0</v>
      </c>
      <c r="Q1029" s="263">
        <f t="shared" ca="1" si="707"/>
        <v>0</v>
      </c>
      <c r="R1029" s="263">
        <f t="shared" ca="1" si="707"/>
        <v>0</v>
      </c>
      <c r="S1029" s="263">
        <f t="shared" ca="1" si="707"/>
        <v>0</v>
      </c>
      <c r="T1029" s="263">
        <f t="shared" ca="1" si="707"/>
        <v>0</v>
      </c>
    </row>
    <row r="1030" spans="2:20" ht="5.0999999999999996" customHeight="1" outlineLevel="1">
      <c r="B1030" s="214"/>
      <c r="C1030" s="384"/>
      <c r="D1030" s="384"/>
      <c r="E1030" s="384"/>
      <c r="F1030" s="385"/>
      <c r="G1030" s="385"/>
      <c r="H1030" s="385"/>
      <c r="I1030" s="214"/>
      <c r="J1030" s="204"/>
      <c r="K1030" s="204"/>
      <c r="L1030" s="204"/>
      <c r="M1030" s="204"/>
      <c r="N1030" s="204"/>
      <c r="O1030" s="204"/>
      <c r="P1030" s="204"/>
      <c r="Q1030" s="204"/>
      <c r="R1030" s="204"/>
      <c r="S1030" s="204"/>
      <c r="T1030" s="204"/>
    </row>
    <row r="1031" spans="2:20" ht="13.5" customHeight="1" outlineLevel="1">
      <c r="B1031" s="386" t="s">
        <v>307</v>
      </c>
      <c r="C1031" s="387">
        <f ca="1">IFERROR(XIRR(J1029:T1029,J$989:T$989),0)</f>
        <v>0</v>
      </c>
      <c r="D1031" s="174"/>
      <c r="E1031" s="174"/>
      <c r="F1031" s="174"/>
      <c r="G1031" s="174"/>
      <c r="H1031" s="174"/>
      <c r="I1031" s="388"/>
      <c r="J1031" s="388"/>
      <c r="K1031" s="389"/>
      <c r="L1031" s="389"/>
      <c r="M1031" s="389"/>
      <c r="N1031" s="389"/>
      <c r="O1031" s="389"/>
      <c r="P1031" s="389"/>
      <c r="Q1031" s="389"/>
      <c r="R1031" s="389"/>
      <c r="S1031" s="389"/>
      <c r="T1031" s="389"/>
    </row>
    <row r="1032" spans="2:20" ht="13.5" customHeight="1" outlineLevel="1">
      <c r="B1032" s="390" t="s">
        <v>306</v>
      </c>
      <c r="C1032" s="391" t="str">
        <f ca="1">IFERROR(-SUM(K1029:T1029)/J1029,"NA")</f>
        <v>NA</v>
      </c>
      <c r="D1032" s="174"/>
      <c r="E1032" s="174"/>
      <c r="F1032" s="174"/>
      <c r="G1032" s="174"/>
      <c r="H1032" s="174"/>
      <c r="I1032" s="388"/>
      <c r="J1032" s="388"/>
      <c r="K1032" s="389"/>
      <c r="L1032" s="389"/>
      <c r="M1032" s="389"/>
      <c r="N1032" s="389"/>
      <c r="O1032" s="389"/>
      <c r="P1032" s="389"/>
      <c r="Q1032" s="389"/>
      <c r="R1032" s="389"/>
      <c r="S1032" s="389"/>
      <c r="T1032" s="389"/>
    </row>
    <row r="1033" spans="2:20" ht="5.0999999999999996" customHeight="1" outlineLevel="1" thickBot="1">
      <c r="B1033" s="392"/>
      <c r="C1033" s="144"/>
      <c r="D1033" s="144"/>
      <c r="E1033" s="144"/>
      <c r="F1033" s="393"/>
      <c r="G1033" s="393"/>
      <c r="H1033" s="393"/>
      <c r="I1033" s="144"/>
      <c r="J1033" s="144"/>
      <c r="K1033" s="144"/>
      <c r="L1033" s="144"/>
      <c r="M1033" s="144"/>
      <c r="N1033" s="144"/>
      <c r="O1033" s="144"/>
      <c r="P1033" s="144"/>
      <c r="Q1033" s="144"/>
      <c r="R1033" s="144"/>
      <c r="S1033" s="144"/>
      <c r="T1033" s="144"/>
    </row>
    <row r="1034" spans="2:20" ht="13.5" customHeight="1" outlineLevel="1"/>
    <row r="1035" spans="2:20" ht="13.5" customHeight="1" outlineLevel="1">
      <c r="B1035" s="255" t="str">
        <f>B843</f>
        <v>Preferred stock - A</v>
      </c>
      <c r="C1035" s="256"/>
      <c r="D1035" s="256"/>
      <c r="E1035" s="256"/>
      <c r="F1035" s="256"/>
      <c r="G1035" s="256"/>
      <c r="H1035" s="256"/>
      <c r="I1035" s="256"/>
      <c r="J1035" s="256"/>
      <c r="K1035" s="380"/>
      <c r="L1035" s="380"/>
      <c r="M1035" s="380"/>
      <c r="N1035" s="380"/>
      <c r="O1035" s="380"/>
      <c r="P1035" s="380"/>
      <c r="Q1035" s="380"/>
      <c r="R1035" s="380"/>
      <c r="S1035" s="380"/>
      <c r="T1035" s="380"/>
    </row>
    <row r="1036" spans="2:20" ht="13.5" customHeight="1" outlineLevel="1">
      <c r="B1036" s="214" t="s">
        <v>253</v>
      </c>
      <c r="C1036" s="214"/>
      <c r="D1036" s="214"/>
      <c r="E1036" s="214"/>
      <c r="F1036" s="214"/>
      <c r="G1036" s="214"/>
      <c r="H1036" s="214"/>
      <c r="I1036" s="214"/>
      <c r="J1036" s="267">
        <f>-O843</f>
        <v>-10</v>
      </c>
      <c r="K1036" s="214"/>
      <c r="L1036" s="381"/>
      <c r="M1036" s="381"/>
      <c r="N1036" s="381"/>
      <c r="O1036" s="381"/>
      <c r="P1036" s="381"/>
      <c r="Q1036" s="381"/>
      <c r="R1036" s="381"/>
      <c r="S1036" s="381"/>
      <c r="T1036" s="381"/>
    </row>
    <row r="1037" spans="2:20" ht="13.5" customHeight="1" outlineLevel="1">
      <c r="B1037" s="214" t="s">
        <v>257</v>
      </c>
      <c r="C1037" s="214"/>
      <c r="D1037" s="214"/>
      <c r="E1037" s="214"/>
      <c r="F1037" s="214"/>
      <c r="G1037" s="214"/>
      <c r="H1037" s="214"/>
      <c r="I1037" s="214"/>
      <c r="J1037" s="214"/>
      <c r="K1037" s="267">
        <f t="shared" ref="K1037:T1037" si="708">K549*(K$988&lt;=exit_year)</f>
        <v>1.2</v>
      </c>
      <c r="L1037" s="267">
        <f t="shared" ca="1" si="708"/>
        <v>1.2</v>
      </c>
      <c r="M1037" s="267">
        <f t="shared" ca="1" si="708"/>
        <v>1.2</v>
      </c>
      <c r="N1037" s="267">
        <f t="shared" ca="1" si="708"/>
        <v>1.2</v>
      </c>
      <c r="O1037" s="267">
        <f t="shared" ca="1" si="708"/>
        <v>0</v>
      </c>
      <c r="P1037" s="267">
        <f t="shared" ca="1" si="708"/>
        <v>0</v>
      </c>
      <c r="Q1037" s="267">
        <f t="shared" ca="1" si="708"/>
        <v>0</v>
      </c>
      <c r="R1037" s="267">
        <f t="shared" ca="1" si="708"/>
        <v>0</v>
      </c>
      <c r="S1037" s="267">
        <f t="shared" ca="1" si="708"/>
        <v>0</v>
      </c>
      <c r="T1037" s="267">
        <f t="shared" ca="1" si="708"/>
        <v>0</v>
      </c>
    </row>
    <row r="1038" spans="2:20" ht="13.5" customHeight="1" outlineLevel="1">
      <c r="B1038" s="214" t="s">
        <v>485</v>
      </c>
      <c r="C1038" s="214"/>
      <c r="D1038" s="214"/>
      <c r="E1038" s="214"/>
      <c r="F1038" s="214"/>
      <c r="G1038" s="214"/>
      <c r="H1038" s="214"/>
      <c r="I1038" s="214"/>
      <c r="J1038" s="214"/>
      <c r="K1038" s="209">
        <f t="shared" ref="K1038:T1038" ca="1" si="709">K547*K$991</f>
        <v>0</v>
      </c>
      <c r="L1038" s="209">
        <f t="shared" ca="1" si="709"/>
        <v>0</v>
      </c>
      <c r="M1038" s="209">
        <f t="shared" ca="1" si="709"/>
        <v>0</v>
      </c>
      <c r="N1038" s="209">
        <f t="shared" ca="1" si="709"/>
        <v>10</v>
      </c>
      <c r="O1038" s="209">
        <f t="shared" ca="1" si="709"/>
        <v>0</v>
      </c>
      <c r="P1038" s="209">
        <f t="shared" ca="1" si="709"/>
        <v>0</v>
      </c>
      <c r="Q1038" s="209">
        <f t="shared" ca="1" si="709"/>
        <v>0</v>
      </c>
      <c r="R1038" s="209">
        <f t="shared" ca="1" si="709"/>
        <v>0</v>
      </c>
      <c r="S1038" s="209">
        <f t="shared" ca="1" si="709"/>
        <v>0</v>
      </c>
      <c r="T1038" s="209">
        <f t="shared" ca="1" si="709"/>
        <v>0</v>
      </c>
    </row>
    <row r="1039" spans="2:20" ht="13.5" customHeight="1" outlineLevel="1">
      <c r="B1039" s="214" t="s">
        <v>255</v>
      </c>
      <c r="C1039" s="214"/>
      <c r="D1039" s="214"/>
      <c r="E1039" s="214"/>
      <c r="F1039" s="214"/>
      <c r="G1039" s="214"/>
      <c r="H1039" s="214"/>
      <c r="I1039" s="214"/>
      <c r="J1039" s="214"/>
      <c r="K1039" s="209">
        <f t="shared" ref="K1039:T1039" ca="1" si="710">K$1007*$H982*K$991</f>
        <v>0</v>
      </c>
      <c r="L1039" s="209">
        <f t="shared" ca="1" si="710"/>
        <v>0</v>
      </c>
      <c r="M1039" s="209">
        <f t="shared" ca="1" si="710"/>
        <v>0</v>
      </c>
      <c r="N1039" s="209">
        <f t="shared" ca="1" si="710"/>
        <v>2.596121494694366</v>
      </c>
      <c r="O1039" s="209">
        <f t="shared" ca="1" si="710"/>
        <v>0</v>
      </c>
      <c r="P1039" s="209">
        <f t="shared" ca="1" si="710"/>
        <v>0</v>
      </c>
      <c r="Q1039" s="209">
        <f t="shared" ca="1" si="710"/>
        <v>0</v>
      </c>
      <c r="R1039" s="209">
        <f t="shared" ca="1" si="710"/>
        <v>0</v>
      </c>
      <c r="S1039" s="209">
        <f t="shared" ca="1" si="710"/>
        <v>0</v>
      </c>
      <c r="T1039" s="209">
        <f t="shared" ca="1" si="710"/>
        <v>0</v>
      </c>
    </row>
    <row r="1040" spans="2:20" ht="13.5" customHeight="1" outlineLevel="1">
      <c r="B1040" s="261" t="s">
        <v>256</v>
      </c>
      <c r="C1040" s="382"/>
      <c r="D1040" s="382"/>
      <c r="E1040" s="382"/>
      <c r="F1040" s="383"/>
      <c r="G1040" s="383"/>
      <c r="H1040" s="383"/>
      <c r="I1040" s="261"/>
      <c r="J1040" s="263">
        <f t="shared" ref="J1040:T1040" si="711">SUM(J1036:J1039)</f>
        <v>-10</v>
      </c>
      <c r="K1040" s="263">
        <f t="shared" ca="1" si="711"/>
        <v>1.2</v>
      </c>
      <c r="L1040" s="263">
        <f t="shared" ca="1" si="711"/>
        <v>1.2</v>
      </c>
      <c r="M1040" s="263">
        <f t="shared" ca="1" si="711"/>
        <v>1.2</v>
      </c>
      <c r="N1040" s="263">
        <f t="shared" ca="1" si="711"/>
        <v>13.796121494694365</v>
      </c>
      <c r="O1040" s="263">
        <f t="shared" ca="1" si="711"/>
        <v>0</v>
      </c>
      <c r="P1040" s="263">
        <f t="shared" ca="1" si="711"/>
        <v>0</v>
      </c>
      <c r="Q1040" s="263">
        <f t="shared" ca="1" si="711"/>
        <v>0</v>
      </c>
      <c r="R1040" s="263">
        <f t="shared" ca="1" si="711"/>
        <v>0</v>
      </c>
      <c r="S1040" s="263">
        <f t="shared" ca="1" si="711"/>
        <v>0</v>
      </c>
      <c r="T1040" s="263">
        <f t="shared" ca="1" si="711"/>
        <v>0</v>
      </c>
    </row>
    <row r="1041" spans="2:20" ht="5.0999999999999996" customHeight="1" outlineLevel="1">
      <c r="B1041" s="214"/>
      <c r="C1041" s="384"/>
      <c r="D1041" s="384"/>
      <c r="E1041" s="384"/>
      <c r="F1041" s="385"/>
      <c r="G1041" s="385"/>
      <c r="H1041" s="385"/>
      <c r="I1041" s="214"/>
      <c r="J1041" s="204"/>
      <c r="K1041" s="204"/>
      <c r="L1041" s="204"/>
      <c r="M1041" s="204"/>
      <c r="N1041" s="204"/>
      <c r="O1041" s="204"/>
      <c r="P1041" s="204"/>
      <c r="Q1041" s="204"/>
      <c r="R1041" s="204"/>
      <c r="S1041" s="204"/>
      <c r="T1041" s="204"/>
    </row>
    <row r="1042" spans="2:20" ht="13.5" customHeight="1" outlineLevel="1">
      <c r="B1042" s="386" t="s">
        <v>307</v>
      </c>
      <c r="C1042" s="394">
        <f ca="1">IFERROR(XIRR(J1040:T1040,J$989:T$989),0)</f>
        <v>0.17032236456871033</v>
      </c>
      <c r="D1042" s="214"/>
      <c r="E1042" s="214"/>
      <c r="F1042" s="214"/>
      <c r="G1042" s="214"/>
      <c r="H1042" s="214"/>
      <c r="I1042" s="395"/>
      <c r="J1042" s="395"/>
      <c r="K1042" s="389"/>
      <c r="L1042" s="389"/>
      <c r="M1042" s="389"/>
      <c r="N1042" s="389"/>
      <c r="O1042" s="389"/>
      <c r="P1042" s="389"/>
      <c r="Q1042" s="389"/>
      <c r="R1042" s="389"/>
      <c r="S1042" s="389"/>
      <c r="T1042" s="389"/>
    </row>
    <row r="1043" spans="2:20" ht="13.5" customHeight="1" outlineLevel="1">
      <c r="B1043" s="390" t="s">
        <v>306</v>
      </c>
      <c r="C1043" s="391">
        <f ca="1">IFERROR(-SUM(K1040:T1040)/J1040,"NA")</f>
        <v>1.7396121494694363</v>
      </c>
      <c r="D1043" s="174"/>
      <c r="E1043" s="174"/>
      <c r="F1043" s="174"/>
      <c r="G1043" s="174"/>
      <c r="H1043" s="174"/>
      <c r="I1043" s="388"/>
      <c r="J1043" s="388"/>
      <c r="K1043" s="389"/>
      <c r="L1043" s="389"/>
      <c r="M1043" s="389"/>
      <c r="N1043" s="389"/>
      <c r="O1043" s="389"/>
      <c r="P1043" s="389"/>
      <c r="Q1043" s="389"/>
      <c r="R1043" s="389"/>
      <c r="S1043" s="389"/>
      <c r="T1043" s="389"/>
    </row>
    <row r="1044" spans="2:20" ht="5.0999999999999996" customHeight="1" outlineLevel="1" thickBot="1">
      <c r="B1044" s="392"/>
      <c r="C1044" s="144"/>
      <c r="D1044" s="144"/>
      <c r="E1044" s="144"/>
      <c r="F1044" s="393"/>
      <c r="G1044" s="393"/>
      <c r="H1044" s="393"/>
      <c r="I1044" s="144"/>
      <c r="J1044" s="144"/>
      <c r="K1044" s="144"/>
      <c r="L1044" s="144"/>
      <c r="M1044" s="144"/>
      <c r="N1044" s="144"/>
      <c r="O1044" s="144"/>
      <c r="P1044" s="144"/>
      <c r="Q1044" s="144"/>
      <c r="R1044" s="144"/>
      <c r="S1044" s="144"/>
      <c r="T1044" s="144"/>
    </row>
    <row r="1045" spans="2:20" ht="13.5" customHeight="1" outlineLevel="1">
      <c r="K1045" s="137"/>
      <c r="L1045" s="137"/>
      <c r="M1045" s="137"/>
      <c r="N1045" s="137"/>
      <c r="O1045" s="137"/>
      <c r="P1045" s="137"/>
      <c r="Q1045" s="137"/>
      <c r="R1045" s="137"/>
      <c r="S1045" s="137"/>
      <c r="T1045" s="137"/>
    </row>
    <row r="1046" spans="2:20" ht="13.5" customHeight="1" outlineLevel="1">
      <c r="B1046" s="255" t="str">
        <f>B844</f>
        <v>Preferred stock - B</v>
      </c>
      <c r="C1046" s="256"/>
      <c r="D1046" s="256"/>
      <c r="E1046" s="256"/>
      <c r="F1046" s="256"/>
      <c r="G1046" s="256"/>
      <c r="H1046" s="256"/>
      <c r="I1046" s="256"/>
      <c r="J1046" s="256"/>
      <c r="K1046" s="380"/>
      <c r="L1046" s="380"/>
      <c r="M1046" s="380"/>
      <c r="N1046" s="380"/>
      <c r="O1046" s="380"/>
      <c r="P1046" s="380"/>
      <c r="Q1046" s="380"/>
      <c r="R1046" s="380"/>
      <c r="S1046" s="380"/>
      <c r="T1046" s="380"/>
    </row>
    <row r="1047" spans="2:20" ht="13.5" customHeight="1" outlineLevel="1">
      <c r="B1047" s="214" t="s">
        <v>253</v>
      </c>
      <c r="C1047" s="214"/>
      <c r="D1047" s="214"/>
      <c r="E1047" s="214"/>
      <c r="F1047" s="214"/>
      <c r="G1047" s="214"/>
      <c r="H1047" s="214"/>
      <c r="I1047" s="214"/>
      <c r="J1047" s="267">
        <f>-O844</f>
        <v>0</v>
      </c>
      <c r="K1047" s="214"/>
      <c r="L1047" s="214"/>
      <c r="M1047" s="214"/>
      <c r="N1047" s="214"/>
      <c r="O1047" s="214"/>
      <c r="P1047" s="214"/>
      <c r="Q1047" s="214"/>
      <c r="R1047" s="214"/>
      <c r="S1047" s="214"/>
      <c r="T1047" s="214"/>
    </row>
    <row r="1048" spans="2:20" ht="13.5" customHeight="1" outlineLevel="1">
      <c r="B1048" s="214" t="s">
        <v>257</v>
      </c>
      <c r="C1048" s="214"/>
      <c r="D1048" s="214"/>
      <c r="E1048" s="214"/>
      <c r="F1048" s="214"/>
      <c r="G1048" s="214"/>
      <c r="H1048" s="214"/>
      <c r="I1048" s="214"/>
      <c r="J1048" s="214"/>
      <c r="K1048" s="267">
        <f t="shared" ref="K1048:T1048" si="712">K558*(K$988&lt;=exit_year)</f>
        <v>0</v>
      </c>
      <c r="L1048" s="267">
        <f t="shared" ca="1" si="712"/>
        <v>0</v>
      </c>
      <c r="M1048" s="267">
        <f t="shared" ca="1" si="712"/>
        <v>0</v>
      </c>
      <c r="N1048" s="267">
        <f t="shared" ca="1" si="712"/>
        <v>0</v>
      </c>
      <c r="O1048" s="267">
        <f t="shared" ca="1" si="712"/>
        <v>0</v>
      </c>
      <c r="P1048" s="267">
        <f t="shared" ca="1" si="712"/>
        <v>0</v>
      </c>
      <c r="Q1048" s="267">
        <f t="shared" ca="1" si="712"/>
        <v>0</v>
      </c>
      <c r="R1048" s="267">
        <f t="shared" ca="1" si="712"/>
        <v>0</v>
      </c>
      <c r="S1048" s="267">
        <f t="shared" ca="1" si="712"/>
        <v>0</v>
      </c>
      <c r="T1048" s="267">
        <f t="shared" ca="1" si="712"/>
        <v>0</v>
      </c>
    </row>
    <row r="1049" spans="2:20" ht="13.5" customHeight="1" outlineLevel="1">
      <c r="B1049" s="214" t="s">
        <v>485</v>
      </c>
      <c r="C1049" s="214"/>
      <c r="D1049" s="214"/>
      <c r="E1049" s="214"/>
      <c r="F1049" s="214"/>
      <c r="G1049" s="214"/>
      <c r="H1049" s="214"/>
      <c r="I1049" s="214"/>
      <c r="J1049" s="214"/>
      <c r="K1049" s="209">
        <f t="shared" ref="K1049:T1049" ca="1" si="713">K556*K$991</f>
        <v>0</v>
      </c>
      <c r="L1049" s="209">
        <f t="shared" ca="1" si="713"/>
        <v>0</v>
      </c>
      <c r="M1049" s="209">
        <f t="shared" ca="1" si="713"/>
        <v>0</v>
      </c>
      <c r="N1049" s="209">
        <f t="shared" ca="1" si="713"/>
        <v>0</v>
      </c>
      <c r="O1049" s="209">
        <f t="shared" ca="1" si="713"/>
        <v>0</v>
      </c>
      <c r="P1049" s="209">
        <f t="shared" ca="1" si="713"/>
        <v>0</v>
      </c>
      <c r="Q1049" s="209">
        <f t="shared" ca="1" si="713"/>
        <v>0</v>
      </c>
      <c r="R1049" s="209">
        <f t="shared" ca="1" si="713"/>
        <v>0</v>
      </c>
      <c r="S1049" s="209">
        <f t="shared" ca="1" si="713"/>
        <v>0</v>
      </c>
      <c r="T1049" s="209">
        <f t="shared" ca="1" si="713"/>
        <v>0</v>
      </c>
    </row>
    <row r="1050" spans="2:20" ht="13.5" customHeight="1" outlineLevel="1">
      <c r="B1050" s="214" t="s">
        <v>255</v>
      </c>
      <c r="C1050" s="214"/>
      <c r="D1050" s="214"/>
      <c r="E1050" s="214"/>
      <c r="F1050" s="214"/>
      <c r="G1050" s="214"/>
      <c r="H1050" s="214"/>
      <c r="I1050" s="214"/>
      <c r="J1050" s="214"/>
      <c r="K1050" s="209">
        <f t="shared" ref="K1050:T1050" ca="1" si="714">K$1007*$H983*K$991</f>
        <v>0</v>
      </c>
      <c r="L1050" s="209">
        <f t="shared" ca="1" si="714"/>
        <v>0</v>
      </c>
      <c r="M1050" s="209">
        <f t="shared" ca="1" si="714"/>
        <v>0</v>
      </c>
      <c r="N1050" s="209">
        <f t="shared" ca="1" si="714"/>
        <v>0</v>
      </c>
      <c r="O1050" s="209">
        <f t="shared" ca="1" si="714"/>
        <v>0</v>
      </c>
      <c r="P1050" s="209">
        <f t="shared" ca="1" si="714"/>
        <v>0</v>
      </c>
      <c r="Q1050" s="209">
        <f t="shared" ca="1" si="714"/>
        <v>0</v>
      </c>
      <c r="R1050" s="209">
        <f t="shared" ca="1" si="714"/>
        <v>0</v>
      </c>
      <c r="S1050" s="209">
        <f t="shared" ca="1" si="714"/>
        <v>0</v>
      </c>
      <c r="T1050" s="209">
        <f t="shared" ca="1" si="714"/>
        <v>0</v>
      </c>
    </row>
    <row r="1051" spans="2:20" ht="13.5" customHeight="1" outlineLevel="1">
      <c r="B1051" s="261" t="s">
        <v>256</v>
      </c>
      <c r="C1051" s="382"/>
      <c r="D1051" s="382"/>
      <c r="E1051" s="382"/>
      <c r="F1051" s="383"/>
      <c r="G1051" s="383"/>
      <c r="H1051" s="383"/>
      <c r="I1051" s="261"/>
      <c r="J1051" s="263">
        <f t="shared" ref="J1051:T1051" si="715">SUM(J1047:J1050)</f>
        <v>0</v>
      </c>
      <c r="K1051" s="263">
        <f t="shared" ca="1" si="715"/>
        <v>0</v>
      </c>
      <c r="L1051" s="263">
        <f t="shared" ca="1" si="715"/>
        <v>0</v>
      </c>
      <c r="M1051" s="263">
        <f t="shared" ca="1" si="715"/>
        <v>0</v>
      </c>
      <c r="N1051" s="263">
        <f t="shared" ca="1" si="715"/>
        <v>0</v>
      </c>
      <c r="O1051" s="263">
        <f t="shared" ca="1" si="715"/>
        <v>0</v>
      </c>
      <c r="P1051" s="263">
        <f t="shared" ca="1" si="715"/>
        <v>0</v>
      </c>
      <c r="Q1051" s="263">
        <f t="shared" ca="1" si="715"/>
        <v>0</v>
      </c>
      <c r="R1051" s="263">
        <f t="shared" ca="1" si="715"/>
        <v>0</v>
      </c>
      <c r="S1051" s="263">
        <f t="shared" ca="1" si="715"/>
        <v>0</v>
      </c>
      <c r="T1051" s="263">
        <f t="shared" ca="1" si="715"/>
        <v>0</v>
      </c>
    </row>
    <row r="1052" spans="2:20" ht="5.0999999999999996" customHeight="1" outlineLevel="1">
      <c r="B1052" s="214"/>
      <c r="C1052" s="384"/>
      <c r="D1052" s="384"/>
      <c r="E1052" s="384"/>
      <c r="F1052" s="385"/>
      <c r="G1052" s="385"/>
      <c r="H1052" s="385"/>
      <c r="I1052" s="214"/>
      <c r="J1052" s="204"/>
      <c r="K1052" s="204"/>
      <c r="L1052" s="204"/>
      <c r="M1052" s="204"/>
      <c r="N1052" s="204"/>
      <c r="O1052" s="204"/>
      <c r="P1052" s="204"/>
      <c r="Q1052" s="204"/>
      <c r="R1052" s="204"/>
      <c r="S1052" s="204"/>
      <c r="T1052" s="204"/>
    </row>
    <row r="1053" spans="2:20" ht="13.5" customHeight="1" outlineLevel="1">
      <c r="B1053" s="386" t="s">
        <v>307</v>
      </c>
      <c r="C1053" s="394">
        <f ca="1">IFERROR(XIRR(J1051:T1051,J$989:T$989),0)</f>
        <v>0</v>
      </c>
      <c r="D1053" s="214"/>
      <c r="E1053" s="214"/>
      <c r="F1053" s="214"/>
      <c r="G1053" s="214"/>
      <c r="H1053" s="214"/>
      <c r="I1053" s="396"/>
      <c r="J1053" s="396"/>
      <c r="K1053" s="389"/>
      <c r="L1053" s="389"/>
      <c r="M1053" s="389"/>
      <c r="N1053" s="389"/>
      <c r="O1053" s="389"/>
      <c r="P1053" s="389"/>
      <c r="Q1053" s="389"/>
      <c r="R1053" s="389"/>
      <c r="S1053" s="389"/>
      <c r="T1053" s="389"/>
    </row>
    <row r="1054" spans="2:20" ht="13.5" customHeight="1" outlineLevel="1">
      <c r="B1054" s="390" t="s">
        <v>306</v>
      </c>
      <c r="C1054" s="391" t="str">
        <f ca="1">IFERROR(-SUM(K1051:T1051)/J1051,"NA")</f>
        <v>NA</v>
      </c>
      <c r="D1054" s="174"/>
      <c r="E1054" s="174"/>
      <c r="F1054" s="174"/>
      <c r="G1054" s="174"/>
      <c r="H1054" s="174"/>
      <c r="I1054" s="388"/>
      <c r="J1054" s="388"/>
      <c r="K1054" s="389"/>
      <c r="L1054" s="389"/>
      <c r="M1054" s="389"/>
      <c r="N1054" s="389"/>
      <c r="O1054" s="389"/>
      <c r="P1054" s="389"/>
      <c r="Q1054" s="389"/>
      <c r="R1054" s="389"/>
      <c r="S1054" s="389"/>
      <c r="T1054" s="389"/>
    </row>
    <row r="1055" spans="2:20" ht="5.0999999999999996" customHeight="1" outlineLevel="1" thickBot="1">
      <c r="B1055" s="392"/>
      <c r="C1055" s="144"/>
      <c r="D1055" s="144"/>
      <c r="E1055" s="144"/>
      <c r="F1055" s="393"/>
      <c r="G1055" s="393"/>
      <c r="H1055" s="393"/>
      <c r="I1055" s="144"/>
      <c r="J1055" s="144"/>
      <c r="K1055" s="144"/>
      <c r="L1055" s="144"/>
      <c r="M1055" s="144"/>
      <c r="N1055" s="144"/>
      <c r="O1055" s="144"/>
      <c r="P1055" s="144"/>
      <c r="Q1055" s="144"/>
      <c r="R1055" s="144"/>
      <c r="S1055" s="144"/>
      <c r="T1055" s="144"/>
    </row>
    <row r="1056" spans="2:20" ht="13.5" customHeight="1" outlineLevel="1">
      <c r="M1056" s="397"/>
    </row>
    <row r="1057" spans="2:20" ht="13.5" customHeight="1" outlineLevel="1">
      <c r="B1057" s="255" t="s">
        <v>259</v>
      </c>
      <c r="C1057" s="256"/>
      <c r="D1057" s="256"/>
      <c r="E1057" s="256"/>
      <c r="F1057" s="256"/>
      <c r="G1057" s="256"/>
      <c r="H1057" s="256"/>
      <c r="I1057" s="256"/>
      <c r="J1057" s="256"/>
      <c r="K1057" s="380"/>
      <c r="L1057" s="380"/>
      <c r="M1057" s="380"/>
      <c r="N1057" s="380"/>
      <c r="O1057" s="380"/>
      <c r="P1057" s="380"/>
      <c r="Q1057" s="380"/>
      <c r="R1057" s="380"/>
      <c r="S1057" s="380"/>
      <c r="T1057" s="380"/>
    </row>
    <row r="1058" spans="2:20" ht="13.5" customHeight="1" outlineLevel="1">
      <c r="B1058" s="214" t="s">
        <v>253</v>
      </c>
      <c r="C1058" s="214"/>
      <c r="D1058" s="214"/>
      <c r="E1058" s="214"/>
      <c r="F1058" s="214"/>
      <c r="G1058" s="214"/>
      <c r="H1058" s="214"/>
      <c r="I1058" s="214"/>
      <c r="J1058" s="267">
        <f ca="1">-O845</f>
        <v>-509.72831193147789</v>
      </c>
      <c r="K1058" s="214"/>
      <c r="L1058" s="214"/>
      <c r="M1058" s="398"/>
      <c r="N1058" s="214"/>
      <c r="O1058" s="214"/>
      <c r="P1058" s="214"/>
      <c r="Q1058" s="214"/>
      <c r="R1058" s="214"/>
      <c r="S1058" s="214"/>
      <c r="T1058" s="214"/>
    </row>
    <row r="1059" spans="2:20" ht="13.5" customHeight="1" outlineLevel="1">
      <c r="B1059" s="214" t="s">
        <v>255</v>
      </c>
      <c r="C1059" s="214"/>
      <c r="D1059" s="214"/>
      <c r="E1059" s="214"/>
      <c r="F1059" s="214"/>
      <c r="G1059" s="214"/>
      <c r="H1059" s="214"/>
      <c r="I1059" s="214"/>
      <c r="J1059" s="214"/>
      <c r="K1059" s="267">
        <f t="shared" ref="K1059:T1059" ca="1" si="716">K$1007*$H971*K$991</f>
        <v>0</v>
      </c>
      <c r="L1059" s="267">
        <f t="shared" ca="1" si="716"/>
        <v>0</v>
      </c>
      <c r="M1059" s="267">
        <f t="shared" ca="1" si="716"/>
        <v>0</v>
      </c>
      <c r="N1059" s="267">
        <f t="shared" ca="1" si="716"/>
        <v>995.55246328107455</v>
      </c>
      <c r="O1059" s="267">
        <f t="shared" ca="1" si="716"/>
        <v>0</v>
      </c>
      <c r="P1059" s="267">
        <f t="shared" ca="1" si="716"/>
        <v>0</v>
      </c>
      <c r="Q1059" s="267">
        <f t="shared" ca="1" si="716"/>
        <v>0</v>
      </c>
      <c r="R1059" s="267">
        <f t="shared" ca="1" si="716"/>
        <v>0</v>
      </c>
      <c r="S1059" s="267">
        <f t="shared" ca="1" si="716"/>
        <v>0</v>
      </c>
      <c r="T1059" s="267">
        <f t="shared" ca="1" si="716"/>
        <v>0</v>
      </c>
    </row>
    <row r="1060" spans="2:20" ht="13.5" customHeight="1" outlineLevel="1">
      <c r="B1060" s="261" t="s">
        <v>256</v>
      </c>
      <c r="C1060" s="382"/>
      <c r="D1060" s="382"/>
      <c r="E1060" s="382"/>
      <c r="F1060" s="383"/>
      <c r="G1060" s="383"/>
      <c r="H1060" s="383"/>
      <c r="I1060" s="261"/>
      <c r="J1060" s="263">
        <f t="shared" ref="J1060:T1060" ca="1" si="717">SUM(J1058:J1059)</f>
        <v>-509.72831193147789</v>
      </c>
      <c r="K1060" s="263">
        <f t="shared" ca="1" si="717"/>
        <v>0</v>
      </c>
      <c r="L1060" s="263">
        <f t="shared" ca="1" si="717"/>
        <v>0</v>
      </c>
      <c r="M1060" s="263">
        <f t="shared" ca="1" si="717"/>
        <v>0</v>
      </c>
      <c r="N1060" s="263">
        <f t="shared" ca="1" si="717"/>
        <v>995.55246328107455</v>
      </c>
      <c r="O1060" s="263">
        <f t="shared" ca="1" si="717"/>
        <v>0</v>
      </c>
      <c r="P1060" s="263">
        <f t="shared" ca="1" si="717"/>
        <v>0</v>
      </c>
      <c r="Q1060" s="263">
        <f t="shared" ca="1" si="717"/>
        <v>0</v>
      </c>
      <c r="R1060" s="263">
        <f t="shared" ca="1" si="717"/>
        <v>0</v>
      </c>
      <c r="S1060" s="263">
        <f t="shared" ca="1" si="717"/>
        <v>0</v>
      </c>
      <c r="T1060" s="263">
        <f t="shared" ca="1" si="717"/>
        <v>0</v>
      </c>
    </row>
    <row r="1061" spans="2:20" ht="5.0999999999999996" customHeight="1" outlineLevel="1">
      <c r="B1061" s="214"/>
      <c r="C1061" s="384"/>
      <c r="D1061" s="384"/>
      <c r="E1061" s="384"/>
      <c r="F1061" s="385"/>
      <c r="G1061" s="385"/>
      <c r="H1061" s="385"/>
      <c r="I1061" s="214"/>
      <c r="J1061" s="204"/>
      <c r="K1061" s="204"/>
      <c r="L1061" s="204"/>
      <c r="M1061" s="204"/>
      <c r="N1061" s="204"/>
      <c r="O1061" s="204"/>
      <c r="P1061" s="204"/>
      <c r="Q1061" s="204"/>
      <c r="R1061" s="204"/>
      <c r="S1061" s="204"/>
      <c r="T1061" s="204"/>
    </row>
    <row r="1062" spans="2:20" ht="13.5" customHeight="1" outlineLevel="1">
      <c r="B1062" s="386" t="s">
        <v>307</v>
      </c>
      <c r="C1062" s="394">
        <f ca="1">IFERROR(XIRR(J1060:T1060,J$989:T$989),0)</f>
        <v>0.18203844428062441</v>
      </c>
      <c r="D1062" s="214"/>
      <c r="E1062" s="214"/>
      <c r="F1062" s="214"/>
      <c r="G1062" s="214"/>
      <c r="H1062" s="214"/>
      <c r="I1062" s="399"/>
      <c r="J1062" s="399"/>
      <c r="K1062" s="389"/>
      <c r="L1062" s="389"/>
      <c r="M1062" s="389"/>
      <c r="N1062" s="389"/>
      <c r="O1062" s="389"/>
      <c r="P1062" s="389"/>
      <c r="Q1062" s="389"/>
      <c r="R1062" s="389"/>
      <c r="S1062" s="389"/>
      <c r="T1062" s="389"/>
    </row>
    <row r="1063" spans="2:20" ht="13.5" customHeight="1" outlineLevel="1">
      <c r="B1063" s="390" t="s">
        <v>306</v>
      </c>
      <c r="C1063" s="391">
        <f ca="1">IFERROR(-SUM(K1060:T1060)/J1060,"NA")</f>
        <v>1.9531041144422547</v>
      </c>
      <c r="D1063" s="174"/>
      <c r="E1063" s="174"/>
      <c r="F1063" s="174"/>
      <c r="G1063" s="174"/>
      <c r="H1063" s="174"/>
      <c r="I1063" s="388"/>
      <c r="J1063" s="388"/>
      <c r="K1063" s="389"/>
      <c r="L1063" s="389"/>
      <c r="M1063" s="389"/>
      <c r="N1063" s="389"/>
      <c r="O1063" s="389"/>
      <c r="P1063" s="389"/>
      <c r="Q1063" s="389"/>
      <c r="R1063" s="389"/>
      <c r="S1063" s="389"/>
      <c r="T1063" s="389"/>
    </row>
    <row r="1064" spans="2:20" ht="5.0999999999999996" customHeight="1" outlineLevel="1" thickBot="1">
      <c r="B1064" s="392"/>
      <c r="C1064" s="144"/>
      <c r="D1064" s="144"/>
      <c r="E1064" s="144"/>
      <c r="F1064" s="393"/>
      <c r="G1064" s="393"/>
      <c r="H1064" s="393"/>
      <c r="I1064" s="144"/>
      <c r="J1064" s="144"/>
      <c r="K1064" s="144"/>
      <c r="L1064" s="144"/>
      <c r="M1064" s="144"/>
      <c r="N1064" s="144"/>
      <c r="O1064" s="144"/>
      <c r="P1064" s="144"/>
      <c r="Q1064" s="144"/>
      <c r="R1064" s="144"/>
      <c r="S1064" s="144"/>
      <c r="T1064" s="144"/>
    </row>
    <row r="1065" spans="2:20" ht="13.5" customHeight="1" outlineLevel="1">
      <c r="M1065" s="397"/>
    </row>
    <row r="1066" spans="2:20" ht="13.5" customHeight="1" outlineLevel="1">
      <c r="B1066" s="255" t="s">
        <v>305</v>
      </c>
      <c r="C1066" s="256"/>
      <c r="D1066" s="256"/>
      <c r="E1066" s="256"/>
      <c r="F1066" s="256"/>
      <c r="G1066" s="256"/>
      <c r="H1066" s="256"/>
      <c r="I1066" s="256"/>
      <c r="J1066" s="256"/>
      <c r="K1066" s="380"/>
      <c r="L1066" s="380"/>
      <c r="M1066" s="380"/>
      <c r="N1066" s="380"/>
      <c r="O1066" s="380"/>
      <c r="P1066" s="380"/>
      <c r="Q1066" s="380"/>
      <c r="R1066" s="380"/>
      <c r="S1066" s="380"/>
      <c r="T1066" s="380"/>
    </row>
    <row r="1067" spans="2:20" ht="13.5" customHeight="1" outlineLevel="1">
      <c r="B1067" s="214" t="s">
        <v>253</v>
      </c>
      <c r="C1067" s="214"/>
      <c r="D1067" s="214"/>
      <c r="E1067" s="214"/>
      <c r="F1067" s="214"/>
      <c r="G1067" s="214"/>
      <c r="H1067" s="214"/>
      <c r="I1067" s="214"/>
      <c r="J1067" s="267">
        <f>-O846</f>
        <v>-10</v>
      </c>
      <c r="K1067" s="214"/>
      <c r="L1067" s="214"/>
      <c r="M1067" s="398"/>
      <c r="N1067" s="214"/>
      <c r="O1067" s="214"/>
      <c r="P1067" s="214"/>
      <c r="Q1067" s="214"/>
      <c r="R1067" s="214"/>
      <c r="S1067" s="214"/>
      <c r="T1067" s="214"/>
    </row>
    <row r="1068" spans="2:20" ht="13.5" customHeight="1" outlineLevel="1">
      <c r="B1068" s="214" t="s">
        <v>255</v>
      </c>
      <c r="C1068" s="214"/>
      <c r="D1068" s="214"/>
      <c r="E1068" s="214"/>
      <c r="F1068" s="214"/>
      <c r="G1068" s="214"/>
      <c r="H1068" s="214"/>
      <c r="I1068" s="214"/>
      <c r="J1068" s="214"/>
      <c r="K1068" s="267">
        <f t="shared" ref="K1068:T1068" ca="1" si="718">K$1007*($H972+$H984)*K$991</f>
        <v>0</v>
      </c>
      <c r="L1068" s="267">
        <f t="shared" ca="1" si="718"/>
        <v>0</v>
      </c>
      <c r="M1068" s="267">
        <f t="shared" ca="1" si="718"/>
        <v>0</v>
      </c>
      <c r="N1068" s="267">
        <f t="shared" ca="1" si="718"/>
        <v>24.749375807124789</v>
      </c>
      <c r="O1068" s="267">
        <f t="shared" ca="1" si="718"/>
        <v>0</v>
      </c>
      <c r="P1068" s="267">
        <f t="shared" ca="1" si="718"/>
        <v>0</v>
      </c>
      <c r="Q1068" s="267">
        <f t="shared" ca="1" si="718"/>
        <v>0</v>
      </c>
      <c r="R1068" s="267">
        <f t="shared" ca="1" si="718"/>
        <v>0</v>
      </c>
      <c r="S1068" s="267">
        <f t="shared" ca="1" si="718"/>
        <v>0</v>
      </c>
      <c r="T1068" s="267">
        <f t="shared" ca="1" si="718"/>
        <v>0</v>
      </c>
    </row>
    <row r="1069" spans="2:20" ht="13.5" customHeight="1" outlineLevel="1">
      <c r="B1069" s="261" t="s">
        <v>256</v>
      </c>
      <c r="C1069" s="382"/>
      <c r="D1069" s="382"/>
      <c r="E1069" s="382"/>
      <c r="F1069" s="383"/>
      <c r="G1069" s="383"/>
      <c r="H1069" s="383"/>
      <c r="I1069" s="261"/>
      <c r="J1069" s="263">
        <f t="shared" ref="J1069:T1069" si="719">SUM(J1067:J1068)</f>
        <v>-10</v>
      </c>
      <c r="K1069" s="263">
        <f t="shared" ca="1" si="719"/>
        <v>0</v>
      </c>
      <c r="L1069" s="263">
        <f t="shared" ca="1" si="719"/>
        <v>0</v>
      </c>
      <c r="M1069" s="263">
        <f t="shared" ca="1" si="719"/>
        <v>0</v>
      </c>
      <c r="N1069" s="263">
        <f t="shared" ca="1" si="719"/>
        <v>24.749375807124789</v>
      </c>
      <c r="O1069" s="263">
        <f t="shared" ca="1" si="719"/>
        <v>0</v>
      </c>
      <c r="P1069" s="263">
        <f t="shared" ca="1" si="719"/>
        <v>0</v>
      </c>
      <c r="Q1069" s="263">
        <f t="shared" ca="1" si="719"/>
        <v>0</v>
      </c>
      <c r="R1069" s="263">
        <f t="shared" ca="1" si="719"/>
        <v>0</v>
      </c>
      <c r="S1069" s="263">
        <f t="shared" ca="1" si="719"/>
        <v>0</v>
      </c>
      <c r="T1069" s="263">
        <f t="shared" ca="1" si="719"/>
        <v>0</v>
      </c>
    </row>
    <row r="1070" spans="2:20" ht="5.0999999999999996" customHeight="1" outlineLevel="1">
      <c r="B1070" s="214"/>
      <c r="C1070" s="384"/>
      <c r="D1070" s="384"/>
      <c r="E1070" s="384"/>
      <c r="F1070" s="385"/>
      <c r="G1070" s="385"/>
      <c r="H1070" s="385"/>
      <c r="I1070" s="214"/>
      <c r="J1070" s="204"/>
      <c r="K1070" s="204"/>
      <c r="L1070" s="204"/>
      <c r="M1070" s="204"/>
      <c r="N1070" s="204"/>
      <c r="O1070" s="204"/>
      <c r="P1070" s="204"/>
      <c r="Q1070" s="204"/>
      <c r="R1070" s="204"/>
      <c r="S1070" s="204"/>
      <c r="T1070" s="204"/>
    </row>
    <row r="1071" spans="2:20" ht="13.5" customHeight="1" outlineLevel="1">
      <c r="B1071" s="386" t="s">
        <v>307</v>
      </c>
      <c r="C1071" s="394">
        <f ca="1">IFERROR(XIRR(J1069:T1069,J$989:T$989),0)</f>
        <v>0.25407559275627134</v>
      </c>
      <c r="D1071" s="214"/>
      <c r="E1071" s="214"/>
      <c r="F1071" s="214"/>
      <c r="G1071" s="214"/>
      <c r="H1071" s="214"/>
      <c r="I1071" s="399"/>
      <c r="J1071" s="399"/>
      <c r="K1071" s="389"/>
      <c r="L1071" s="389"/>
      <c r="M1071" s="389"/>
      <c r="N1071" s="389"/>
      <c r="O1071" s="389"/>
      <c r="P1071" s="389"/>
      <c r="Q1071" s="389"/>
      <c r="R1071" s="389"/>
      <c r="S1071" s="389"/>
      <c r="T1071" s="389"/>
    </row>
    <row r="1072" spans="2:20" ht="13.5" customHeight="1" outlineLevel="1">
      <c r="B1072" s="390" t="s">
        <v>306</v>
      </c>
      <c r="C1072" s="391">
        <f ca="1">IFERROR(-SUM(K1069:T1069)/J1069,"NA")</f>
        <v>2.4749375807124787</v>
      </c>
      <c r="D1072" s="174"/>
      <c r="E1072" s="174"/>
      <c r="F1072" s="174"/>
      <c r="G1072" s="174"/>
      <c r="H1072" s="174"/>
      <c r="I1072" s="388"/>
      <c r="J1072" s="388"/>
      <c r="K1072" s="389"/>
      <c r="L1072" s="389"/>
      <c r="M1072" s="389"/>
      <c r="N1072" s="389"/>
      <c r="O1072" s="389"/>
      <c r="P1072" s="389"/>
      <c r="Q1072" s="389"/>
      <c r="R1072" s="389"/>
      <c r="S1072" s="389"/>
      <c r="T1072" s="389"/>
    </row>
    <row r="1073" spans="2:20" ht="5.0999999999999996" customHeight="1" outlineLevel="1" thickBot="1">
      <c r="B1073" s="144"/>
      <c r="C1073" s="144"/>
      <c r="D1073" s="144"/>
      <c r="E1073" s="144"/>
      <c r="F1073" s="144"/>
      <c r="G1073" s="144"/>
      <c r="H1073" s="144"/>
      <c r="I1073" s="144"/>
      <c r="J1073" s="144"/>
      <c r="K1073" s="144"/>
      <c r="L1073" s="144"/>
      <c r="M1073" s="144"/>
      <c r="N1073" s="144"/>
      <c r="O1073" s="144"/>
      <c r="P1073" s="144"/>
      <c r="Q1073" s="144"/>
      <c r="R1073" s="144"/>
      <c r="S1073" s="144"/>
      <c r="T1073" s="144"/>
    </row>
    <row r="1074" spans="2:20" ht="13.5" customHeight="1" collapsed="1"/>
    <row r="1075" spans="2:20" ht="13.5" customHeight="1">
      <c r="B1075" s="400" t="s">
        <v>536</v>
      </c>
      <c r="C1075" s="35"/>
      <c r="D1075" s="35"/>
      <c r="E1075" s="35"/>
    </row>
    <row r="1076" spans="2:20" ht="13.5" customHeight="1">
      <c r="B1076" s="38" t="s">
        <v>537</v>
      </c>
      <c r="C1076" s="35"/>
      <c r="D1076" s="35"/>
      <c r="E1076" s="35"/>
    </row>
    <row r="1077" spans="2:20" ht="13.5" customHeight="1">
      <c r="B1077" s="38" t="s">
        <v>538</v>
      </c>
      <c r="C1077" s="35"/>
      <c r="D1077" s="35"/>
      <c r="E1077" s="35"/>
    </row>
    <row r="1078" spans="2:20" ht="13.5" customHeight="1">
      <c r="B1078" s="38" t="s">
        <v>539</v>
      </c>
      <c r="C1078" s="35"/>
      <c r="D1078" s="35"/>
      <c r="E1078" s="35"/>
    </row>
    <row r="1079" spans="2:20" ht="13.5" customHeight="1">
      <c r="B1079" s="38" t="s">
        <v>540</v>
      </c>
      <c r="C1079" s="35"/>
      <c r="D1079" s="35"/>
      <c r="E1079" s="35"/>
    </row>
    <row r="1080" spans="2:20" ht="13.5" customHeight="1">
      <c r="B1080" s="38" t="s">
        <v>545</v>
      </c>
      <c r="C1080" s="35"/>
      <c r="D1080" s="35"/>
      <c r="E1080" s="35"/>
    </row>
    <row r="1081" spans="2:20" ht="13.5" customHeight="1">
      <c r="B1081" s="38" t="s">
        <v>542</v>
      </c>
      <c r="C1081" s="35"/>
      <c r="D1081" s="35"/>
      <c r="E1081" s="35"/>
    </row>
    <row r="1082" spans="2:20" ht="13.5" customHeight="1">
      <c r="B1082" s="38" t="s">
        <v>549</v>
      </c>
      <c r="C1082" s="35"/>
      <c r="D1082" s="35"/>
      <c r="E1082" s="35"/>
    </row>
    <row r="1083" spans="2:20" ht="13.5" customHeight="1">
      <c r="B1083" s="38" t="s">
        <v>541</v>
      </c>
      <c r="C1083" s="35"/>
      <c r="D1083" s="35"/>
      <c r="E1083" s="35"/>
    </row>
    <row r="1084" spans="2:20" ht="13.5" customHeight="1">
      <c r="B1084" s="38" t="s">
        <v>548</v>
      </c>
      <c r="C1084" s="35"/>
      <c r="D1084" s="35"/>
      <c r="E1084" s="35"/>
    </row>
    <row r="1085" spans="2:20" ht="13.5" customHeight="1">
      <c r="B1085" s="38" t="s">
        <v>546</v>
      </c>
      <c r="C1085" s="35"/>
      <c r="D1085" s="35"/>
      <c r="E1085" s="35"/>
    </row>
    <row r="1086" spans="2:20" ht="13.5" customHeight="1">
      <c r="B1086" s="38" t="s">
        <v>543</v>
      </c>
      <c r="C1086" s="35"/>
      <c r="D1086" s="35"/>
      <c r="E1086" s="35"/>
    </row>
    <row r="1087" spans="2:20" ht="13.5" customHeight="1">
      <c r="B1087" s="38" t="s">
        <v>550</v>
      </c>
      <c r="C1087" s="35"/>
      <c r="D1087" s="35"/>
      <c r="E1087" s="35"/>
    </row>
    <row r="1088" spans="2:20" ht="13.5" customHeight="1">
      <c r="B1088" s="38" t="s">
        <v>544</v>
      </c>
      <c r="C1088" s="35"/>
      <c r="D1088" s="35"/>
      <c r="E1088" s="35"/>
    </row>
  </sheetData>
  <phoneticPr fontId="4" type="noConversion"/>
  <dataValidations disablePrompts="1" count="6">
    <dataValidation type="whole" operator="greaterThanOrEqual" showInputMessage="1" showErrorMessage="1" sqref="F40" xr:uid="{00000000-0002-0000-0100-000000000000}">
      <formula1>1</formula1>
    </dataValidation>
    <dataValidation type="whole" allowBlank="1" showInputMessage="1" showErrorMessage="1" errorTitle="Validation Error" error="You must input either a 0 or 1." sqref="K17" xr:uid="{00000000-0002-0000-0100-000001000000}">
      <formula1>1</formula1>
      <formula2>2</formula2>
    </dataValidation>
    <dataValidation type="whole" showInputMessage="1" showErrorMessage="1" errorTitle="Validation Error" error="Enter either 0 or 1." sqref="P894 J899 J891 I879:J890" xr:uid="{00000000-0002-0000-0100-000002000000}">
      <formula1>0</formula1>
      <formula2>1</formula2>
    </dataValidation>
    <dataValidation type="whole" allowBlank="1" showInputMessage="1" showErrorMessage="1" sqref="E382 E46:E51" xr:uid="{00000000-0002-0000-0100-000003000000}">
      <formula1>0</formula1>
      <formula2>1</formula2>
    </dataValidation>
    <dataValidation operator="equal" allowBlank="1" sqref="Q879:Q890" xr:uid="{00000000-0002-0000-0100-000004000000}"/>
    <dataValidation errorTitle="Validation Error" error="Enter either 0 or 1." sqref="O891:T891" xr:uid="{00000000-0002-0000-0100-000005000000}"/>
  </dataValidations>
  <hyperlinks>
    <hyperlink ref="K36" r:id="rId1" xr:uid="{00000000-0004-0000-0100-000000000000}"/>
    <hyperlink ref="K35" r:id="rId2" xr:uid="{00000000-0004-0000-0100-000001000000}"/>
  </hyperlinks>
  <pageMargins left="0.75" right="0.75" top="1" bottom="1" header="0.5" footer="0.5"/>
  <pageSetup orientation="portrait" r:id="rId3"/>
  <headerFooter alignWithMargins="0"/>
  <drawing r:id="rId4"/>
  <legacy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11</vt:i4>
      </vt:variant>
    </vt:vector>
  </HeadingPairs>
  <TitlesOfParts>
    <vt:vector size="13" baseType="lpstr">
      <vt:lpstr>Cover Page</vt:lpstr>
      <vt:lpstr>LBO</vt:lpstr>
      <vt:lpstr>avg_int</vt:lpstr>
      <vt:lpstr>close</vt:lpstr>
      <vt:lpstr>err_msg</vt:lpstr>
      <vt:lpstr>exit_year</vt:lpstr>
      <vt:lpstr>goodwill</vt:lpstr>
      <vt:lpstr>LBO</vt:lpstr>
      <vt:lpstr>op_case</vt:lpstr>
      <vt:lpstr>'Cover Page'!Print_Area</vt:lpstr>
      <vt:lpstr>revolver</vt:lpstr>
      <vt:lpstr>scenario</vt:lpstr>
      <vt:lpstr>tax</vt:lpstr>
    </vt:vector>
  </TitlesOfParts>
  <Company>Macabacus,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 MacGregor</dc:creator>
  <cp:lastModifiedBy>Corporate Finance Institute</cp:lastModifiedBy>
  <cp:lastPrinted>2023-01-31T16:49:42Z</cp:lastPrinted>
  <dcterms:created xsi:type="dcterms:W3CDTF">2008-10-06T18:34:59Z</dcterms:created>
  <dcterms:modified xsi:type="dcterms:W3CDTF">2023-01-31T16:49:44Z</dcterms:modified>
</cp:coreProperties>
</file>