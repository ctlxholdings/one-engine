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4.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6.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trlProps/ctrlProp62.xml" ContentType="application/vnd.ms-excel.controlproperties+xml"/>
  <Override PartName="/xl/ctrlProps/ctrlProp63.xml" ContentType="application/vnd.ms-excel.controlproperties+xml"/>
  <Override PartName="/xl/drawings/drawing8.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edwar\Documents\Courses\Chapter 1. Models and Analysis\B. Project Finance Models and Exercises\B. Project Finance Model Exercises\A1. Solar and NGCC Exercise\"/>
    </mc:Choice>
  </mc:AlternateContent>
  <xr:revisionPtr revIDLastSave="0" documentId="13_ncr:1_{BBF9C452-840A-4C3B-A7FB-A071BEEAA0DA}" xr6:coauthVersionLast="45" xr6:coauthVersionMax="45" xr10:uidLastSave="{00000000-0000-0000-0000-000000000000}"/>
  <bookViews>
    <workbookView xWindow="-110" yWindow="-110" windowWidth="19420" windowHeight="10420" firstSheet="1" activeTab="2" xr2:uid="{9C7F0CAA-11D5-490F-B9D1-5BBA0F84A722}"/>
  </bookViews>
  <sheets>
    <sheet name="Things to Check" sheetId="14" r:id="rId1"/>
    <sheet name="Contents" sheetId="18" r:id="rId2"/>
    <sheet name="Summary" sheetId="17" r:id="rId3"/>
    <sheet name="Assumptions" sheetId="12" r:id="rId4"/>
    <sheet name="Scenario" sheetId="15" r:id="rId5"/>
    <sheet name="Operating Model" sheetId="13" r:id="rId6"/>
    <sheet name="Financing Model" sheetId="16" r:id="rId7"/>
    <sheet name="Operating Data" sheetId="1" r:id="rId8"/>
    <sheet name="Chart1" sheetId="19" r:id="rId9"/>
  </sheets>
  <functionGroups builtInGroupCount="19"/>
  <definedNames>
    <definedName name="Applied">Scenario!$E$16:$N$16</definedName>
    <definedName name="difference">'Financing Model'!$J$58</definedName>
    <definedName name="financing_comp">'Financing Model'!$H$55:$H$57</definedName>
    <definedName name="financing_fixed">'Financing Model'!$I$55:$I$57</definedName>
    <definedName name="fixed_debt">'Financing Model'!$G$110</definedName>
    <definedName name="fixper">'Financing Model'!$K$106:$DQ$106</definedName>
    <definedName name="Index">Scenario!$E$14:$N$14</definedName>
    <definedName name="repaycomp">'Financing Model'!$K$104:$DQ$104</definedName>
    <definedName name="repayfix">'Financing Model'!$K$107:$DQ$107</definedName>
    <definedName name="repayper">'Financing Model'!$K$101:$DQ$101</definedName>
    <definedName name="Thousand">1000</definedName>
  </definedNames>
  <calcPr calcId="191029" calcMode="autoNoTable"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8" i="18" l="1"/>
  <c r="I7" i="18"/>
  <c r="M7" i="18"/>
  <c r="M5" i="18"/>
  <c r="M3" i="18"/>
  <c r="K33" i="16" l="1"/>
  <c r="K99" i="12"/>
  <c r="L99" i="12"/>
  <c r="M99" i="12"/>
  <c r="N99" i="12"/>
  <c r="O99" i="12"/>
  <c r="P99" i="12"/>
  <c r="Q99" i="12"/>
  <c r="R99" i="12"/>
  <c r="S99" i="12"/>
  <c r="T99" i="12"/>
  <c r="U99" i="12"/>
  <c r="V99" i="12"/>
  <c r="W99" i="12"/>
  <c r="X99" i="12"/>
  <c r="Y99" i="12"/>
  <c r="Z99" i="12"/>
  <c r="AA99" i="12"/>
  <c r="AB99" i="12"/>
  <c r="AC99" i="12"/>
  <c r="AD99" i="12"/>
  <c r="AE99" i="12"/>
  <c r="AF99" i="12"/>
  <c r="AG99" i="12"/>
  <c r="AH99" i="12"/>
  <c r="AI99" i="12"/>
  <c r="AJ99" i="12"/>
  <c r="AK99" i="12"/>
  <c r="AL99" i="12"/>
  <c r="AM99" i="12"/>
  <c r="AN99" i="12"/>
  <c r="AO99" i="12"/>
  <c r="AP99" i="12"/>
  <c r="AQ99" i="12"/>
  <c r="AR99" i="12"/>
  <c r="AS99" i="12"/>
  <c r="AT99" i="12"/>
  <c r="I99" i="12"/>
  <c r="J99" i="12"/>
  <c r="G99" i="12"/>
  <c r="H99" i="12"/>
  <c r="F157" i="12"/>
  <c r="F13" i="17" s="1"/>
  <c r="G116" i="16" s="1"/>
  <c r="G170" i="13" l="1"/>
  <c r="G169" i="13"/>
  <c r="G173" i="13" s="1"/>
  <c r="F10" i="12"/>
  <c r="F14" i="17" s="1"/>
  <c r="F140" i="12"/>
  <c r="F97" i="12"/>
  <c r="F20" i="15"/>
  <c r="F15" i="17" s="1"/>
  <c r="F132" i="12"/>
  <c r="F72" i="12"/>
  <c r="F56" i="12"/>
  <c r="F54" i="12"/>
  <c r="F23" i="12"/>
  <c r="F22" i="12"/>
  <c r="F15" i="12"/>
  <c r="L14" i="15" a="1"/>
  <c r="L14" i="15" s="1"/>
  <c r="G171" i="13" l="1"/>
  <c r="G174" i="13" s="1"/>
  <c r="F12" i="17"/>
  <c r="F20" i="17"/>
  <c r="F11" i="17"/>
  <c r="G30" i="15" a="1"/>
  <c r="G30" i="15" s="1"/>
  <c r="G100" i="12" s="1"/>
  <c r="H30" i="15" a="1"/>
  <c r="H30" i="15" s="1"/>
  <c r="H100" i="12" s="1"/>
  <c r="I30" i="15" a="1"/>
  <c r="I30" i="15" s="1"/>
  <c r="I100" i="12" s="1"/>
  <c r="J30" i="15" a="1"/>
  <c r="J30" i="15" s="1"/>
  <c r="J100" i="12" s="1"/>
  <c r="K30" i="15" a="1"/>
  <c r="K30" i="15" s="1"/>
  <c r="K100" i="12" s="1"/>
  <c r="L30" i="15" a="1"/>
  <c r="L30" i="15" s="1"/>
  <c r="L100" i="12" s="1"/>
  <c r="M30" i="15" a="1"/>
  <c r="M30" i="15" s="1"/>
  <c r="M100" i="12" s="1"/>
  <c r="N30" i="15" a="1"/>
  <c r="N30" i="15" s="1"/>
  <c r="N100" i="12" s="1"/>
  <c r="O30" i="15" a="1"/>
  <c r="O30" i="15" s="1"/>
  <c r="O100" i="12" s="1"/>
  <c r="P30" i="15" a="1"/>
  <c r="P30" i="15" s="1"/>
  <c r="P100" i="12" s="1"/>
  <c r="Q30" i="15" a="1"/>
  <c r="Q30" i="15" s="1"/>
  <c r="Q100" i="12" s="1"/>
  <c r="R30" i="15" a="1"/>
  <c r="R30" i="15" s="1"/>
  <c r="R100" i="12" s="1"/>
  <c r="S30" i="15" a="1"/>
  <c r="S30" i="15" s="1"/>
  <c r="S100" i="12" s="1"/>
  <c r="T30" i="15" a="1"/>
  <c r="T30" i="15" s="1"/>
  <c r="T100" i="12" s="1"/>
  <c r="U30" i="15" a="1"/>
  <c r="U30" i="15" s="1"/>
  <c r="U100" i="12" s="1"/>
  <c r="V30" i="15" a="1"/>
  <c r="V30" i="15" s="1"/>
  <c r="V100" i="12" s="1"/>
  <c r="W30" i="15" a="1"/>
  <c r="W30" i="15" s="1"/>
  <c r="W100" i="12" s="1"/>
  <c r="X30" i="15" a="1"/>
  <c r="X30" i="15" s="1"/>
  <c r="X100" i="12" s="1"/>
  <c r="Y30" i="15" a="1"/>
  <c r="Y30" i="15" s="1"/>
  <c r="Y100" i="12" s="1"/>
  <c r="Z30" i="15" a="1"/>
  <c r="Z30" i="15" s="1"/>
  <c r="Z100" i="12" s="1"/>
  <c r="AA30" i="15" a="1"/>
  <c r="AA30" i="15" s="1"/>
  <c r="AA100" i="12" s="1"/>
  <c r="AB30" i="15" a="1"/>
  <c r="AB30" i="15" s="1"/>
  <c r="AB100" i="12" s="1"/>
  <c r="AC30" i="15" a="1"/>
  <c r="AC30" i="15" s="1"/>
  <c r="AC100" i="12" s="1"/>
  <c r="AD30" i="15" a="1"/>
  <c r="AD30" i="15" s="1"/>
  <c r="AD100" i="12" s="1"/>
  <c r="AE30" i="15" a="1"/>
  <c r="AE30" i="15" s="1"/>
  <c r="AE100" i="12" s="1"/>
  <c r="AF30" i="15" a="1"/>
  <c r="AF30" i="15" s="1"/>
  <c r="AF100" i="12" s="1"/>
  <c r="AG30" i="15" a="1"/>
  <c r="AG30" i="15" s="1"/>
  <c r="AG100" i="12" s="1"/>
  <c r="AH30" i="15" a="1"/>
  <c r="AH30" i="15" s="1"/>
  <c r="AH100" i="12" s="1"/>
  <c r="AI30" i="15" a="1"/>
  <c r="AI30" i="15" s="1"/>
  <c r="AI100" i="12" s="1"/>
  <c r="AJ30" i="15" a="1"/>
  <c r="AJ30" i="15" s="1"/>
  <c r="AJ100" i="12" s="1"/>
  <c r="AK30" i="15" a="1"/>
  <c r="AK30" i="15" s="1"/>
  <c r="AK100" i="12" s="1"/>
  <c r="AL30" i="15" a="1"/>
  <c r="AL30" i="15" s="1"/>
  <c r="AL100" i="12" s="1"/>
  <c r="AM30" i="15" a="1"/>
  <c r="AM30" i="15" s="1"/>
  <c r="AM100" i="12" s="1"/>
  <c r="AN30" i="15" a="1"/>
  <c r="AN30" i="15" s="1"/>
  <c r="AN100" i="12" s="1"/>
  <c r="AO30" i="15" a="1"/>
  <c r="AO30" i="15" s="1"/>
  <c r="AO100" i="12" s="1"/>
  <c r="AP30" i="15" a="1"/>
  <c r="AP30" i="15" s="1"/>
  <c r="AP100" i="12" s="1"/>
  <c r="AQ30" i="15" a="1"/>
  <c r="AQ30" i="15" s="1"/>
  <c r="AQ100" i="12" s="1"/>
  <c r="AR30" i="15" a="1"/>
  <c r="AR30" i="15" s="1"/>
  <c r="AR100" i="12" s="1"/>
  <c r="AS30" i="15" a="1"/>
  <c r="AS30" i="15" s="1"/>
  <c r="AS100" i="12" s="1"/>
  <c r="AT30" i="15" a="1"/>
  <c r="AT30" i="15" s="1"/>
  <c r="AT100" i="12" s="1"/>
  <c r="F30" i="15" a="1"/>
  <c r="F30" i="15" s="1"/>
  <c r="F100" i="12" s="1"/>
  <c r="G14" i="15" a="1"/>
  <c r="G14" i="15" s="1"/>
  <c r="K134" i="16" l="1"/>
  <c r="G176" i="16"/>
  <c r="K154" i="16"/>
  <c r="G160" i="16"/>
  <c r="G56" i="16"/>
  <c r="G57" i="16"/>
  <c r="G55" i="16"/>
  <c r="G130" i="16"/>
  <c r="F96" i="15"/>
  <c r="G124" i="16"/>
  <c r="J14" i="15" a="1"/>
  <c r="J14" i="15" s="1"/>
  <c r="F14" i="15" a="1"/>
  <c r="F14" i="15" s="1"/>
  <c r="H14" i="15" a="1"/>
  <c r="H14" i="15" s="1"/>
  <c r="I14" i="15" a="1"/>
  <c r="I14" i="15" s="1"/>
  <c r="K14" i="15" a="1"/>
  <c r="K14" i="15" s="1"/>
  <c r="M14" i="15" a="1"/>
  <c r="M14" i="15" s="1"/>
  <c r="N14" i="15" a="1"/>
  <c r="N14" i="15" s="1"/>
  <c r="E14" i="15" a="1"/>
  <c r="E14" i="15" s="1"/>
  <c r="C14" i="15" a="1"/>
  <c r="C14" i="15" s="1"/>
  <c r="I107" i="16"/>
  <c r="K108" i="16"/>
  <c r="K113" i="16"/>
  <c r="G110" i="16"/>
  <c r="F61" i="16" s="1"/>
  <c r="K87" i="16"/>
  <c r="K82" i="16" s="1"/>
  <c r="H65" i="16"/>
  <c r="J61" i="16"/>
  <c r="G24" i="16"/>
  <c r="N24" i="16" s="1"/>
  <c r="G22" i="16"/>
  <c r="K157" i="13"/>
  <c r="G163" i="13"/>
  <c r="K150" i="13"/>
  <c r="G149" i="13"/>
  <c r="H149" i="13" s="1"/>
  <c r="F176" i="12"/>
  <c r="F177" i="12"/>
  <c r="F178" i="12"/>
  <c r="F179" i="12"/>
  <c r="F180" i="12"/>
  <c r="F181" i="12"/>
  <c r="F182" i="12"/>
  <c r="F183" i="12"/>
  <c r="F184" i="12"/>
  <c r="F185" i="12"/>
  <c r="F186" i="12"/>
  <c r="F187" i="12"/>
  <c r="F175" i="12"/>
  <c r="D90" i="15"/>
  <c r="D91" i="15"/>
  <c r="D89" i="15"/>
  <c r="G85" i="15"/>
  <c r="E114" i="12"/>
  <c r="F114" i="12"/>
  <c r="G114" i="12"/>
  <c r="H114" i="12"/>
  <c r="I114" i="12"/>
  <c r="J114" i="12"/>
  <c r="E115" i="12"/>
  <c r="F115" i="12"/>
  <c r="G115" i="12"/>
  <c r="H115" i="12"/>
  <c r="I115" i="12"/>
  <c r="J115" i="12"/>
  <c r="E116" i="12"/>
  <c r="F116" i="12"/>
  <c r="G116" i="12"/>
  <c r="H116" i="12"/>
  <c r="I116" i="12"/>
  <c r="J116" i="12"/>
  <c r="E117" i="12"/>
  <c r="F117" i="12"/>
  <c r="G117" i="12"/>
  <c r="H117" i="12"/>
  <c r="I117" i="12"/>
  <c r="J117" i="12"/>
  <c r="E118" i="12"/>
  <c r="F118" i="12"/>
  <c r="G118" i="12"/>
  <c r="H118" i="12"/>
  <c r="I118" i="12"/>
  <c r="J118" i="12"/>
  <c r="E119" i="12"/>
  <c r="F119" i="12"/>
  <c r="G119" i="12"/>
  <c r="H119" i="12"/>
  <c r="I119" i="12"/>
  <c r="J119" i="12"/>
  <c r="E120" i="12"/>
  <c r="F120" i="12"/>
  <c r="G120" i="12"/>
  <c r="H120" i="12"/>
  <c r="I120" i="12"/>
  <c r="J120" i="12"/>
  <c r="E121" i="12"/>
  <c r="F121" i="12"/>
  <c r="G121" i="12"/>
  <c r="H121" i="12"/>
  <c r="I121" i="12"/>
  <c r="J121" i="12"/>
  <c r="E122" i="12"/>
  <c r="F122" i="12"/>
  <c r="G122" i="12"/>
  <c r="H122" i="12"/>
  <c r="I122" i="12"/>
  <c r="J122" i="12"/>
  <c r="E123" i="12"/>
  <c r="F123" i="12"/>
  <c r="G123" i="12"/>
  <c r="H123" i="12"/>
  <c r="I123" i="12"/>
  <c r="J123" i="12"/>
  <c r="E124" i="12"/>
  <c r="F124" i="12"/>
  <c r="G124" i="12"/>
  <c r="H124" i="12"/>
  <c r="I124" i="12"/>
  <c r="J124" i="12"/>
  <c r="F113" i="12"/>
  <c r="G113" i="12"/>
  <c r="H113" i="12"/>
  <c r="I113" i="12"/>
  <c r="J113" i="12"/>
  <c r="E113" i="12"/>
  <c r="K128" i="16" l="1"/>
  <c r="K198" i="16"/>
  <c r="F27" i="17"/>
  <c r="G27" i="17" s="1"/>
  <c r="F97" i="15"/>
  <c r="F98" i="15" s="1"/>
  <c r="F99" i="15" s="1"/>
  <c r="F100" i="15" s="1"/>
  <c r="F101" i="15" s="1"/>
  <c r="F102" i="15" s="1"/>
  <c r="F103" i="15" s="1"/>
  <c r="F104" i="15" s="1"/>
  <c r="F105" i="15" s="1"/>
  <c r="F106" i="15" s="1"/>
  <c r="F16" i="17"/>
  <c r="E30" i="15"/>
  <c r="O24" i="16"/>
  <c r="DK24" i="16"/>
  <c r="DH24" i="16"/>
  <c r="CJ24" i="16"/>
  <c r="CH24" i="16"/>
  <c r="BL24" i="16"/>
  <c r="BK24" i="16"/>
  <c r="AL24" i="16"/>
  <c r="AI24" i="16"/>
  <c r="DP24" i="16"/>
  <c r="CR24" i="16"/>
  <c r="BR24" i="16"/>
  <c r="AU24" i="16"/>
  <c r="S24" i="16"/>
  <c r="DN24" i="16"/>
  <c r="CQ24" i="16"/>
  <c r="BO24" i="16"/>
  <c r="AN24" i="16"/>
  <c r="P24" i="16"/>
  <c r="DG24" i="16"/>
  <c r="CE24" i="16"/>
  <c r="BD24" i="16"/>
  <c r="AF24" i="16"/>
  <c r="CZ24" i="16"/>
  <c r="CB24" i="16"/>
  <c r="BB24" i="16"/>
  <c r="AE24" i="16"/>
  <c r="CX24" i="16"/>
  <c r="CA24" i="16"/>
  <c r="AY24" i="16"/>
  <c r="X24" i="16"/>
  <c r="CU24" i="16"/>
  <c r="BT24" i="16"/>
  <c r="AV24" i="16"/>
  <c r="V24" i="16"/>
  <c r="DO24" i="16"/>
  <c r="CY24" i="16"/>
  <c r="CI24" i="16"/>
  <c r="BS24" i="16"/>
  <c r="BC24" i="16"/>
  <c r="AM24" i="16"/>
  <c r="W24" i="16"/>
  <c r="DF24" i="16"/>
  <c r="CP24" i="16"/>
  <c r="BZ24" i="16"/>
  <c r="BJ24" i="16"/>
  <c r="AT24" i="16"/>
  <c r="AD24" i="16"/>
  <c r="L24" i="16"/>
  <c r="T24" i="16"/>
  <c r="AB24" i="16"/>
  <c r="AJ24" i="16"/>
  <c r="AR24" i="16"/>
  <c r="AZ24" i="16"/>
  <c r="BH24" i="16"/>
  <c r="BP24" i="16"/>
  <c r="BX24" i="16"/>
  <c r="CF24" i="16"/>
  <c r="CN24" i="16"/>
  <c r="CV24" i="16"/>
  <c r="DD24" i="16"/>
  <c r="DL24" i="16"/>
  <c r="M24" i="16"/>
  <c r="U24" i="16"/>
  <c r="AC24" i="16"/>
  <c r="AK24" i="16"/>
  <c r="AS24" i="16"/>
  <c r="BA24" i="16"/>
  <c r="BI24" i="16"/>
  <c r="BQ24" i="16"/>
  <c r="BY24" i="16"/>
  <c r="CG24" i="16"/>
  <c r="CO24" i="16"/>
  <c r="CW24" i="16"/>
  <c r="DE24" i="16"/>
  <c r="DM24" i="16"/>
  <c r="Q24" i="16"/>
  <c r="Y24" i="16"/>
  <c r="AG24" i="16"/>
  <c r="AO24" i="16"/>
  <c r="AW24" i="16"/>
  <c r="BE24" i="16"/>
  <c r="BM24" i="16"/>
  <c r="BU24" i="16"/>
  <c r="CC24" i="16"/>
  <c r="CK24" i="16"/>
  <c r="CS24" i="16"/>
  <c r="DA24" i="16"/>
  <c r="DI24" i="16"/>
  <c r="DQ24" i="16"/>
  <c r="R24" i="16"/>
  <c r="AH24" i="16"/>
  <c r="AX24" i="16"/>
  <c r="BN24" i="16"/>
  <c r="CD24" i="16"/>
  <c r="CT24" i="16"/>
  <c r="DJ24" i="16"/>
  <c r="K24" i="16"/>
  <c r="Z24" i="16"/>
  <c r="AP24" i="16"/>
  <c r="BF24" i="16"/>
  <c r="BV24" i="16"/>
  <c r="CL24" i="16"/>
  <c r="DB24" i="16"/>
  <c r="DC24" i="16"/>
  <c r="CM24" i="16"/>
  <c r="BW24" i="16"/>
  <c r="BG24" i="16"/>
  <c r="AQ24" i="16"/>
  <c r="AA24" i="16"/>
  <c r="F88" i="15" a="1"/>
  <c r="M88" i="15" s="1"/>
  <c r="BB88" i="15" a="1"/>
  <c r="BC88" i="15" s="1"/>
  <c r="AD88" i="15" a="1"/>
  <c r="AI88" i="15" s="1"/>
  <c r="AP88" i="15" a="1"/>
  <c r="AQ88" i="15" s="1"/>
  <c r="R88" i="15" a="1"/>
  <c r="T88" i="15" s="1"/>
  <c r="H85" i="15"/>
  <c r="H98" i="15" l="1" a="1"/>
  <c r="H98" i="15" s="1"/>
  <c r="F6" i="12" s="1"/>
  <c r="L101" i="12"/>
  <c r="K101" i="12"/>
  <c r="S101" i="12"/>
  <c r="AA101" i="12"/>
  <c r="AQ101" i="12"/>
  <c r="AI101" i="12"/>
  <c r="I101" i="12"/>
  <c r="R101" i="12"/>
  <c r="AM101" i="12"/>
  <c r="V101" i="12"/>
  <c r="AJ101" i="12"/>
  <c r="AH101" i="12"/>
  <c r="F101" i="12"/>
  <c r="Q101" i="12"/>
  <c r="J101" i="12"/>
  <c r="AE101" i="12"/>
  <c r="N101" i="12"/>
  <c r="AB101" i="12"/>
  <c r="H101" i="12"/>
  <c r="Z101" i="12"/>
  <c r="AO101" i="12"/>
  <c r="AN101" i="12"/>
  <c r="W101" i="12"/>
  <c r="AS101" i="12"/>
  <c r="T101" i="12"/>
  <c r="AL101" i="12"/>
  <c r="AG101" i="12"/>
  <c r="AF101" i="12"/>
  <c r="O101" i="12"/>
  <c r="AK101" i="12"/>
  <c r="AD101" i="12"/>
  <c r="Y101" i="12"/>
  <c r="X101" i="12"/>
  <c r="G101" i="12"/>
  <c r="AC101" i="12"/>
  <c r="M101" i="12"/>
  <c r="AR101" i="12"/>
  <c r="AP101" i="12"/>
  <c r="P101" i="12"/>
  <c r="AT101" i="12"/>
  <c r="U101" i="12"/>
  <c r="Q88" i="15"/>
  <c r="F88" i="15"/>
  <c r="N88" i="15"/>
  <c r="K88" i="15"/>
  <c r="O88" i="15"/>
  <c r="I88" i="15"/>
  <c r="P88" i="15"/>
  <c r="H88" i="15"/>
  <c r="L88" i="15"/>
  <c r="J88" i="15"/>
  <c r="G88" i="15"/>
  <c r="BD88" i="15"/>
  <c r="BG88" i="15"/>
  <c r="BL88" i="15"/>
  <c r="BH88" i="15"/>
  <c r="BE88" i="15"/>
  <c r="BB88" i="15"/>
  <c r="BM88" i="15"/>
  <c r="BF88" i="15"/>
  <c r="BI88" i="15"/>
  <c r="BK88" i="15"/>
  <c r="BJ88" i="15"/>
  <c r="AT88" i="15"/>
  <c r="AN88" i="15"/>
  <c r="AL88" i="15"/>
  <c r="AM88" i="15"/>
  <c r="AG88" i="15"/>
  <c r="AH88" i="15"/>
  <c r="AK88" i="15"/>
  <c r="AF88" i="15"/>
  <c r="AJ88" i="15"/>
  <c r="S88" i="15"/>
  <c r="AU88" i="15"/>
  <c r="V88" i="15"/>
  <c r="AA88" i="15"/>
  <c r="W88" i="15"/>
  <c r="AV88" i="15"/>
  <c r="X88" i="15"/>
  <c r="AB88" i="15"/>
  <c r="AR88" i="15"/>
  <c r="AP88" i="15"/>
  <c r="AC88" i="15"/>
  <c r="AD88" i="15"/>
  <c r="AO88" i="15"/>
  <c r="U88" i="15"/>
  <c r="AZ88" i="15"/>
  <c r="AW88" i="15"/>
  <c r="R88" i="15"/>
  <c r="AS88" i="15"/>
  <c r="AY88" i="15"/>
  <c r="Y88" i="15"/>
  <c r="BA88" i="15"/>
  <c r="AX88" i="15"/>
  <c r="Z88" i="15"/>
  <c r="AE88" i="15"/>
  <c r="I85" i="15"/>
  <c r="F147" i="12" l="1"/>
  <c r="E112" i="12"/>
  <c r="F86" i="15"/>
  <c r="F23" i="15"/>
  <c r="F99" i="12" s="1"/>
  <c r="J85" i="15"/>
  <c r="F87" i="15" l="1"/>
  <c r="G86" i="15"/>
  <c r="K85" i="15"/>
  <c r="G87" i="15" l="1"/>
  <c r="H86" i="15"/>
  <c r="L85" i="15"/>
  <c r="H87" i="15" l="1"/>
  <c r="I86" i="15"/>
  <c r="M85" i="15"/>
  <c r="I87" i="15" l="1"/>
  <c r="J86" i="15"/>
  <c r="N85" i="15"/>
  <c r="J87" i="15" l="1"/>
  <c r="K86" i="15"/>
  <c r="O85" i="15"/>
  <c r="K87" i="15" l="1"/>
  <c r="L86" i="15"/>
  <c r="P85" i="15"/>
  <c r="L87" i="15" l="1"/>
  <c r="M86" i="15"/>
  <c r="Q85" i="15"/>
  <c r="M87" i="15" l="1"/>
  <c r="N86" i="15"/>
  <c r="R85" i="15"/>
  <c r="N87" i="15" l="1"/>
  <c r="O86" i="15"/>
  <c r="S85" i="15"/>
  <c r="G8" i="16"/>
  <c r="DJ8" i="16" s="1"/>
  <c r="J7" i="16"/>
  <c r="K6" i="16" s="1"/>
  <c r="H5" i="16"/>
  <c r="G5" i="16"/>
  <c r="G8" i="13"/>
  <c r="J7" i="13"/>
  <c r="H5" i="13"/>
  <c r="G5" i="13"/>
  <c r="G68" i="15"/>
  <c r="H68" i="15" s="1"/>
  <c r="G52" i="15"/>
  <c r="H52" i="15" s="1"/>
  <c r="G36" i="15"/>
  <c r="H36" i="15" s="1"/>
  <c r="F137" i="12"/>
  <c r="G139" i="13"/>
  <c r="G112" i="12"/>
  <c r="H112" i="12" s="1"/>
  <c r="G78" i="13"/>
  <c r="G79" i="13"/>
  <c r="G80" i="13"/>
  <c r="G81" i="13"/>
  <c r="G82" i="13"/>
  <c r="G83" i="13"/>
  <c r="G84" i="13"/>
  <c r="G100" i="13"/>
  <c r="G101" i="13"/>
  <c r="G77" i="13"/>
  <c r="G70" i="13"/>
  <c r="G69" i="13"/>
  <c r="G68" i="13"/>
  <c r="F16" i="12"/>
  <c r="G19" i="13"/>
  <c r="G20" i="13"/>
  <c r="G21" i="13"/>
  <c r="G22" i="13"/>
  <c r="G23" i="13"/>
  <c r="G24" i="13"/>
  <c r="G25" i="13"/>
  <c r="G26" i="13"/>
  <c r="G27" i="13"/>
  <c r="G28" i="13"/>
  <c r="G29" i="13"/>
  <c r="G18" i="13"/>
  <c r="O87" i="15" l="1"/>
  <c r="P86" i="15"/>
  <c r="T85" i="15"/>
  <c r="M8" i="16"/>
  <c r="S8" i="16"/>
  <c r="BO8" i="16"/>
  <c r="CE8" i="16"/>
  <c r="AA8" i="16"/>
  <c r="CU8" i="16"/>
  <c r="AC8" i="16"/>
  <c r="DK8" i="16"/>
  <c r="AI8" i="16"/>
  <c r="AQ8" i="16"/>
  <c r="AS8" i="16"/>
  <c r="K8" i="16"/>
  <c r="AY8" i="16"/>
  <c r="T8" i="16"/>
  <c r="AJ8" i="16"/>
  <c r="AZ8" i="16"/>
  <c r="BP8" i="16"/>
  <c r="CF8" i="16"/>
  <c r="CV8" i="16"/>
  <c r="DL8" i="16"/>
  <c r="U8" i="16"/>
  <c r="AK8" i="16"/>
  <c r="BA8" i="16"/>
  <c r="BQ8" i="16"/>
  <c r="CG8" i="16"/>
  <c r="CW8" i="16"/>
  <c r="DM8" i="16"/>
  <c r="V8" i="16"/>
  <c r="AL8" i="16"/>
  <c r="BB8" i="16"/>
  <c r="BR8" i="16"/>
  <c r="CH8" i="16"/>
  <c r="CX8" i="16"/>
  <c r="DN8" i="16"/>
  <c r="BG8" i="16"/>
  <c r="BW8" i="16"/>
  <c r="CM8" i="16"/>
  <c r="DC8" i="16"/>
  <c r="L8" i="16"/>
  <c r="AB8" i="16"/>
  <c r="AR8" i="16"/>
  <c r="BH8" i="16"/>
  <c r="BX8" i="16"/>
  <c r="CN8" i="16"/>
  <c r="DD8" i="16"/>
  <c r="BI8" i="16"/>
  <c r="BY8" i="16"/>
  <c r="CO8" i="16"/>
  <c r="DE8" i="16"/>
  <c r="N8" i="16"/>
  <c r="AD8" i="16"/>
  <c r="AT8" i="16"/>
  <c r="BJ8" i="16"/>
  <c r="BZ8" i="16"/>
  <c r="CP8" i="16"/>
  <c r="DF8" i="16"/>
  <c r="O8" i="16"/>
  <c r="W8" i="16"/>
  <c r="AE8" i="16"/>
  <c r="AM8" i="16"/>
  <c r="AU8" i="16"/>
  <c r="BC8" i="16"/>
  <c r="BK8" i="16"/>
  <c r="BS8" i="16"/>
  <c r="CA8" i="16"/>
  <c r="CI8" i="16"/>
  <c r="CQ8" i="16"/>
  <c r="CY8" i="16"/>
  <c r="DG8" i="16"/>
  <c r="DO8" i="16"/>
  <c r="P8" i="16"/>
  <c r="X8" i="16"/>
  <c r="AF8" i="16"/>
  <c r="AN8" i="16"/>
  <c r="AV8" i="16"/>
  <c r="BD8" i="16"/>
  <c r="BL8" i="16"/>
  <c r="BT8" i="16"/>
  <c r="CB8" i="16"/>
  <c r="CJ8" i="16"/>
  <c r="CR8" i="16"/>
  <c r="CZ8" i="16"/>
  <c r="DH8" i="16"/>
  <c r="DP8" i="16"/>
  <c r="Q8" i="16"/>
  <c r="Y8" i="16"/>
  <c r="AG8" i="16"/>
  <c r="AO8" i="16"/>
  <c r="AW8" i="16"/>
  <c r="BE8" i="16"/>
  <c r="BM8" i="16"/>
  <c r="BU8" i="16"/>
  <c r="CC8" i="16"/>
  <c r="CK8" i="16"/>
  <c r="CS8" i="16"/>
  <c r="DA8" i="16"/>
  <c r="DI8" i="16"/>
  <c r="DQ8" i="16"/>
  <c r="R8" i="16"/>
  <c r="Z8" i="16"/>
  <c r="AH8" i="16"/>
  <c r="AP8" i="16"/>
  <c r="AX8" i="16"/>
  <c r="BF8" i="16"/>
  <c r="BN8" i="16"/>
  <c r="BV8" i="16"/>
  <c r="CD8" i="16"/>
  <c r="CL8" i="16"/>
  <c r="CT8" i="16"/>
  <c r="DB8" i="16"/>
  <c r="G14" i="13"/>
  <c r="G13" i="13"/>
  <c r="F11" i="12"/>
  <c r="F8" i="12"/>
  <c r="D30" i="15" a="1"/>
  <c r="D30" i="15" s="1"/>
  <c r="P87" i="15" l="1"/>
  <c r="Q86" i="15"/>
  <c r="D100" i="12"/>
  <c r="D101" i="12"/>
  <c r="U85" i="15"/>
  <c r="I8" i="16"/>
  <c r="F61" i="12"/>
  <c r="F19" i="17" s="1"/>
  <c r="F68" i="12"/>
  <c r="G65" i="12"/>
  <c r="H65" i="12" s="1"/>
  <c r="G48" i="13" s="1"/>
  <c r="G66" i="12"/>
  <c r="H66" i="12" s="1"/>
  <c r="G49" i="13" s="1"/>
  <c r="G67" i="12"/>
  <c r="H67" i="12" s="1"/>
  <c r="G50" i="13" s="1"/>
  <c r="G68" i="12"/>
  <c r="G64" i="12"/>
  <c r="H64" i="12" s="1"/>
  <c r="G47" i="13" s="1"/>
  <c r="G55" i="12"/>
  <c r="H55" i="12" s="1"/>
  <c r="G55" i="13" s="1"/>
  <c r="G56" i="12"/>
  <c r="H56" i="12" s="1"/>
  <c r="G56" i="13" s="1"/>
  <c r="G57" i="12"/>
  <c r="H57" i="12" s="1"/>
  <c r="G57" i="13" s="1"/>
  <c r="G58" i="12"/>
  <c r="H58" i="12" s="1"/>
  <c r="G58" i="13" s="1"/>
  <c r="G59" i="12"/>
  <c r="H59" i="12" s="1"/>
  <c r="G59" i="13" s="1"/>
  <c r="G60" i="12"/>
  <c r="H60" i="12" s="1"/>
  <c r="G60" i="13" s="1"/>
  <c r="G61" i="12"/>
  <c r="G54" i="12"/>
  <c r="H54" i="12" s="1"/>
  <c r="G54" i="13" s="1"/>
  <c r="I36" i="12"/>
  <c r="H31" i="13" s="1"/>
  <c r="I37" i="12"/>
  <c r="H32" i="13" s="1"/>
  <c r="I38" i="12"/>
  <c r="H33" i="13" s="1"/>
  <c r="I39" i="12"/>
  <c r="H34" i="13" s="1"/>
  <c r="I40" i="12"/>
  <c r="H35" i="13" s="1"/>
  <c r="I41" i="12"/>
  <c r="H36" i="13" s="1"/>
  <c r="I42" i="12"/>
  <c r="H37" i="13" s="1"/>
  <c r="I43" i="12"/>
  <c r="H38" i="13" s="1"/>
  <c r="I44" i="12"/>
  <c r="H39" i="13" s="1"/>
  <c r="I45" i="12"/>
  <c r="H40" i="13" s="1"/>
  <c r="I46" i="12"/>
  <c r="H41" i="13" s="1"/>
  <c r="I47" i="12"/>
  <c r="H42" i="13" s="1"/>
  <c r="H48" i="12"/>
  <c r="Q87" i="15" l="1"/>
  <c r="R86" i="15"/>
  <c r="V85" i="15"/>
  <c r="H61" i="12"/>
  <c r="H68" i="12"/>
  <c r="F25" i="17" s="1"/>
  <c r="G25" i="17" s="1"/>
  <c r="I48" i="12"/>
  <c r="R87" i="15" l="1"/>
  <c r="S86" i="15"/>
  <c r="G61" i="13"/>
  <c r="F26" i="17"/>
  <c r="W85" i="15"/>
  <c r="S87" i="15" l="1"/>
  <c r="T86" i="15"/>
  <c r="F28" i="17"/>
  <c r="G28" i="17" s="1"/>
  <c r="G26" i="17"/>
  <c r="X85" i="15"/>
  <c r="T87" i="15" l="1"/>
  <c r="U86" i="15"/>
  <c r="Y85" i="15"/>
  <c r="U87" i="15" l="1"/>
  <c r="V86" i="15"/>
  <c r="Z85" i="15"/>
  <c r="K6" i="13"/>
  <c r="H76" i="13"/>
  <c r="V87" i="15" l="1"/>
  <c r="W86" i="15"/>
  <c r="AA85" i="15"/>
  <c r="DG8" i="13"/>
  <c r="DO8" i="13"/>
  <c r="DD8" i="13"/>
  <c r="DH8" i="13"/>
  <c r="DP8" i="13"/>
  <c r="DL8" i="13"/>
  <c r="DM8" i="13"/>
  <c r="DF8" i="13"/>
  <c r="DA8" i="13"/>
  <c r="DI8" i="13"/>
  <c r="DQ8" i="13"/>
  <c r="DN8" i="13"/>
  <c r="DB8" i="13"/>
  <c r="DJ8" i="13"/>
  <c r="DE8" i="13"/>
  <c r="DC8" i="13"/>
  <c r="DK8" i="13"/>
  <c r="H82" i="13"/>
  <c r="H78" i="13"/>
  <c r="H83" i="13"/>
  <c r="H81" i="13"/>
  <c r="H80" i="13"/>
  <c r="H77" i="13"/>
  <c r="H79" i="13"/>
  <c r="H84" i="13"/>
  <c r="N8" i="13"/>
  <c r="CM8" i="13"/>
  <c r="CU8" i="13"/>
  <c r="BY8" i="13"/>
  <c r="CG8" i="13"/>
  <c r="CN8" i="13"/>
  <c r="CV8" i="13"/>
  <c r="BZ8" i="13"/>
  <c r="CH8" i="13"/>
  <c r="CO8" i="13"/>
  <c r="CW8" i="13"/>
  <c r="BS8" i="13"/>
  <c r="CA8" i="13"/>
  <c r="CI8" i="13"/>
  <c r="CQ8" i="13"/>
  <c r="CY8" i="13"/>
  <c r="BU8" i="13"/>
  <c r="CC8" i="13"/>
  <c r="CK8" i="13"/>
  <c r="CR8" i="13"/>
  <c r="CD8" i="13"/>
  <c r="CS8" i="13"/>
  <c r="CE8" i="13"/>
  <c r="CT8" i="13"/>
  <c r="CF8" i="13"/>
  <c r="CX8" i="13"/>
  <c r="BT8" i="13"/>
  <c r="CJ8" i="13"/>
  <c r="CZ8" i="13"/>
  <c r="BV8" i="13"/>
  <c r="CL8" i="13"/>
  <c r="CB8" i="13"/>
  <c r="BW8" i="13"/>
  <c r="BX8" i="13"/>
  <c r="CP8" i="13"/>
  <c r="BQ8" i="13"/>
  <c r="BA8" i="13"/>
  <c r="AC8" i="13"/>
  <c r="BI8" i="13"/>
  <c r="AS8" i="13"/>
  <c r="AK8" i="13"/>
  <c r="U8" i="13"/>
  <c r="M8" i="13"/>
  <c r="BP8" i="13"/>
  <c r="BH8" i="13"/>
  <c r="AZ8" i="13"/>
  <c r="AR8" i="13"/>
  <c r="AJ8" i="13"/>
  <c r="AB8" i="13"/>
  <c r="T8" i="13"/>
  <c r="L8" i="13"/>
  <c r="BO8" i="13"/>
  <c r="BG8" i="13"/>
  <c r="AY8" i="13"/>
  <c r="AQ8" i="13"/>
  <c r="AI8" i="13"/>
  <c r="AA8" i="13"/>
  <c r="S8" i="13"/>
  <c r="BN8" i="13"/>
  <c r="AX8" i="13"/>
  <c r="AH8" i="13"/>
  <c r="R8" i="13"/>
  <c r="BM8" i="13"/>
  <c r="BE8" i="13"/>
  <c r="AW8" i="13"/>
  <c r="AO8" i="13"/>
  <c r="AG8" i="13"/>
  <c r="Y8" i="13"/>
  <c r="Q8" i="13"/>
  <c r="AF8" i="13"/>
  <c r="BF8" i="13"/>
  <c r="AP8" i="13"/>
  <c r="Z8" i="13"/>
  <c r="BL8" i="13"/>
  <c r="BD8" i="13"/>
  <c r="AV8" i="13"/>
  <c r="AN8" i="13"/>
  <c r="X8" i="13"/>
  <c r="P8" i="13"/>
  <c r="K8" i="13"/>
  <c r="BK8" i="13"/>
  <c r="BC8" i="13"/>
  <c r="AU8" i="13"/>
  <c r="AM8" i="13"/>
  <c r="AE8" i="13"/>
  <c r="W8" i="13"/>
  <c r="O8" i="13"/>
  <c r="BR8" i="13"/>
  <c r="BJ8" i="13"/>
  <c r="BB8" i="13"/>
  <c r="AT8" i="13"/>
  <c r="AL8" i="13"/>
  <c r="AD8" i="13"/>
  <c r="V8" i="13"/>
  <c r="W87" i="15" l="1"/>
  <c r="X86" i="15"/>
  <c r="AB85" i="15"/>
  <c r="I8" i="13"/>
  <c r="H47" i="13" s="1"/>
  <c r="X87" i="15" l="1"/>
  <c r="Y86" i="15"/>
  <c r="AC85" i="15"/>
  <c r="DK47" i="13"/>
  <c r="DM47" i="13"/>
  <c r="DB47" i="13"/>
  <c r="DA47" i="13"/>
  <c r="DJ47" i="13"/>
  <c r="DO47" i="13"/>
  <c r="DF47" i="13"/>
  <c r="DD47" i="13"/>
  <c r="DC47" i="13"/>
  <c r="DL47" i="13"/>
  <c r="DH47" i="13"/>
  <c r="DQ47" i="13"/>
  <c r="DP47" i="13"/>
  <c r="DN47" i="13"/>
  <c r="DI47" i="13"/>
  <c r="DG47" i="13"/>
  <c r="DE47" i="13"/>
  <c r="H49" i="13"/>
  <c r="BN49" i="13" s="1"/>
  <c r="H48" i="13"/>
  <c r="BT48" i="13" s="1"/>
  <c r="H50" i="13"/>
  <c r="M50" i="13" s="1"/>
  <c r="CU47" i="13"/>
  <c r="CW47" i="13"/>
  <c r="CQ47" i="13"/>
  <c r="CH47" i="13"/>
  <c r="BZ47" i="13"/>
  <c r="BW47" i="13"/>
  <c r="BY47" i="13"/>
  <c r="CB47" i="13"/>
  <c r="BT47" i="13"/>
  <c r="CE47" i="13"/>
  <c r="CG47" i="13"/>
  <c r="CC47" i="13"/>
  <c r="CZ47" i="13"/>
  <c r="CM47" i="13"/>
  <c r="CP47" i="13"/>
  <c r="CS47" i="13"/>
  <c r="CJ47" i="13"/>
  <c r="CV47" i="13"/>
  <c r="CY47" i="13"/>
  <c r="CD47" i="13"/>
  <c r="BV47" i="13"/>
  <c r="BX47" i="13"/>
  <c r="BS47" i="13"/>
  <c r="CO47" i="13"/>
  <c r="BU47" i="13"/>
  <c r="CF47" i="13"/>
  <c r="CN47" i="13"/>
  <c r="CA47" i="13"/>
  <c r="CL47" i="13"/>
  <c r="CI47" i="13"/>
  <c r="CR47" i="13"/>
  <c r="CT47" i="13"/>
  <c r="CX47" i="13"/>
  <c r="CK47" i="13"/>
  <c r="N47" i="13"/>
  <c r="AD47" i="13"/>
  <c r="AT47" i="13"/>
  <c r="BJ47" i="13"/>
  <c r="O47" i="13"/>
  <c r="AE47" i="13"/>
  <c r="AU47" i="13"/>
  <c r="BK47" i="13"/>
  <c r="Q47" i="13"/>
  <c r="Y47" i="13"/>
  <c r="AG47" i="13"/>
  <c r="AO47" i="13"/>
  <c r="AW47" i="13"/>
  <c r="BE47" i="13"/>
  <c r="BM47" i="13"/>
  <c r="AY47" i="13"/>
  <c r="BO47" i="13"/>
  <c r="R47" i="13"/>
  <c r="Z47" i="13"/>
  <c r="AH47" i="13"/>
  <c r="AP47" i="13"/>
  <c r="AX47" i="13"/>
  <c r="BF47" i="13"/>
  <c r="BN47" i="13"/>
  <c r="K47" i="13"/>
  <c r="S47" i="13"/>
  <c r="AA47" i="13"/>
  <c r="AI47" i="13"/>
  <c r="AQ47" i="13"/>
  <c r="BG47" i="13"/>
  <c r="M47" i="13"/>
  <c r="U47" i="13"/>
  <c r="AC47" i="13"/>
  <c r="AK47" i="13"/>
  <c r="AS47" i="13"/>
  <c r="BA47" i="13"/>
  <c r="BI47" i="13"/>
  <c r="BQ47" i="13"/>
  <c r="V47" i="13"/>
  <c r="AL47" i="13"/>
  <c r="BB47" i="13"/>
  <c r="BR47" i="13"/>
  <c r="W47" i="13"/>
  <c r="AM47" i="13"/>
  <c r="BC47" i="13"/>
  <c r="AJ47" i="13"/>
  <c r="BP47" i="13"/>
  <c r="AN47" i="13"/>
  <c r="L47" i="13"/>
  <c r="AR47" i="13"/>
  <c r="BD47" i="13"/>
  <c r="BH47" i="13"/>
  <c r="BL47" i="13"/>
  <c r="P47" i="13"/>
  <c r="AV47" i="13"/>
  <c r="T47" i="13"/>
  <c r="AZ47" i="13"/>
  <c r="X47" i="13"/>
  <c r="AB47" i="13"/>
  <c r="AF47" i="13"/>
  <c r="Y87" i="15" l="1"/>
  <c r="Z86" i="15"/>
  <c r="AZ49" i="13"/>
  <c r="AL50" i="13"/>
  <c r="AJ50" i="13"/>
  <c r="BD50" i="13"/>
  <c r="BR50" i="13"/>
  <c r="BO50" i="13"/>
  <c r="BN50" i="13"/>
  <c r="AH50" i="13"/>
  <c r="AW50" i="13"/>
  <c r="AO50" i="13"/>
  <c r="BJ50" i="13"/>
  <c r="AB50" i="13"/>
  <c r="BF50" i="13"/>
  <c r="AG50" i="13"/>
  <c r="AN50" i="13"/>
  <c r="V50" i="13"/>
  <c r="AY50" i="13"/>
  <c r="R50" i="13"/>
  <c r="Q50" i="13"/>
  <c r="AF50" i="13"/>
  <c r="BQ50" i="13"/>
  <c r="AI50" i="13"/>
  <c r="AV50" i="13"/>
  <c r="BM50" i="13"/>
  <c r="P50" i="13"/>
  <c r="BA50" i="13"/>
  <c r="AA50" i="13"/>
  <c r="X50" i="13"/>
  <c r="BE50" i="13"/>
  <c r="BK50" i="13"/>
  <c r="BP50" i="13"/>
  <c r="AS50" i="13"/>
  <c r="O50" i="13"/>
  <c r="Y50" i="13"/>
  <c r="AE50" i="13"/>
  <c r="AZ50" i="13"/>
  <c r="AD85" i="15"/>
  <c r="K48" i="13"/>
  <c r="BL48" i="13"/>
  <c r="BH48" i="13"/>
  <c r="AX48" i="13"/>
  <c r="CY48" i="13"/>
  <c r="BI48" i="13"/>
  <c r="AQ48" i="13"/>
  <c r="BJ48" i="13"/>
  <c r="AE49" i="13"/>
  <c r="CP48" i="13"/>
  <c r="BG48" i="13"/>
  <c r="BD48" i="13"/>
  <c r="BA48" i="13"/>
  <c r="AH48" i="13"/>
  <c r="BC48" i="13"/>
  <c r="AV48" i="13"/>
  <c r="AS48" i="13"/>
  <c r="N49" i="13"/>
  <c r="CH48" i="13"/>
  <c r="W48" i="13"/>
  <c r="AM48" i="13"/>
  <c r="Z48" i="13"/>
  <c r="AN48" i="13"/>
  <c r="AL48" i="13"/>
  <c r="AK48" i="13"/>
  <c r="AJ48" i="13"/>
  <c r="BE48" i="13"/>
  <c r="BI49" i="13"/>
  <c r="CX48" i="13"/>
  <c r="BZ49" i="13"/>
  <c r="AY48" i="13"/>
  <c r="BO48" i="13"/>
  <c r="BM48" i="13"/>
  <c r="AF48" i="13"/>
  <c r="AD48" i="13"/>
  <c r="AC48" i="13"/>
  <c r="AB48" i="13"/>
  <c r="AO48" i="13"/>
  <c r="BO49" i="13"/>
  <c r="CS48" i="13"/>
  <c r="CX49" i="13"/>
  <c r="R48" i="13"/>
  <c r="AW48" i="13"/>
  <c r="AU48" i="13"/>
  <c r="BK48" i="13"/>
  <c r="AG48" i="13"/>
  <c r="P48" i="13"/>
  <c r="N48" i="13"/>
  <c r="M48" i="13"/>
  <c r="L48" i="13"/>
  <c r="Q49" i="13"/>
  <c r="BS48" i="13"/>
  <c r="CO48" i="13"/>
  <c r="CF49" i="13"/>
  <c r="BN48" i="13"/>
  <c r="BB48" i="13"/>
  <c r="AZ48" i="13"/>
  <c r="CT48" i="13"/>
  <c r="BV48" i="13"/>
  <c r="AA48" i="13"/>
  <c r="AP48" i="13"/>
  <c r="AT48" i="13"/>
  <c r="AR48" i="13"/>
  <c r="BZ48" i="13"/>
  <c r="CR48" i="13"/>
  <c r="S48" i="13"/>
  <c r="AI48" i="13"/>
  <c r="X48" i="13"/>
  <c r="V48" i="13"/>
  <c r="U48" i="13"/>
  <c r="T48" i="13"/>
  <c r="Y48" i="13"/>
  <c r="AP49" i="13"/>
  <c r="CB48" i="13"/>
  <c r="BW48" i="13"/>
  <c r="CL49" i="13"/>
  <c r="O48" i="13"/>
  <c r="AE48" i="13"/>
  <c r="Q48" i="13"/>
  <c r="BR48" i="13"/>
  <c r="BQ48" i="13"/>
  <c r="BP48" i="13"/>
  <c r="BF48" i="13"/>
  <c r="CK48" i="13"/>
  <c r="CF48" i="13"/>
  <c r="CI48" i="13"/>
  <c r="CM48" i="13"/>
  <c r="CJ48" i="13"/>
  <c r="CN48" i="13"/>
  <c r="CG48" i="13"/>
  <c r="CE48" i="13"/>
  <c r="CA48" i="13"/>
  <c r="CV48" i="13"/>
  <c r="BX48" i="13"/>
  <c r="CU48" i="13"/>
  <c r="CD48" i="13"/>
  <c r="CQ48" i="13"/>
  <c r="CZ48" i="13"/>
  <c r="CW48" i="13"/>
  <c r="CC48" i="13"/>
  <c r="BY48" i="13"/>
  <c r="BU48" i="13"/>
  <c r="I47" i="13"/>
  <c r="G42" i="16" s="1"/>
  <c r="CL48" i="13"/>
  <c r="CX50" i="13"/>
  <c r="DA50" i="13"/>
  <c r="DO50" i="13"/>
  <c r="DB50" i="13"/>
  <c r="DK50" i="13"/>
  <c r="DC50" i="13"/>
  <c r="DM50" i="13"/>
  <c r="DI50" i="13"/>
  <c r="DQ50" i="13"/>
  <c r="DJ50" i="13"/>
  <c r="DH50" i="13"/>
  <c r="DG50" i="13"/>
  <c r="DD50" i="13"/>
  <c r="DL50" i="13"/>
  <c r="DE50" i="13"/>
  <c r="DP50" i="13"/>
  <c r="DF50" i="13"/>
  <c r="DN50" i="13"/>
  <c r="DQ48" i="13"/>
  <c r="DP48" i="13"/>
  <c r="DG48" i="13"/>
  <c r="DC48" i="13"/>
  <c r="DE48" i="13"/>
  <c r="DO48" i="13"/>
  <c r="DF48" i="13"/>
  <c r="DD48" i="13"/>
  <c r="DK48" i="13"/>
  <c r="DM48" i="13"/>
  <c r="DA48" i="13"/>
  <c r="DJ48" i="13"/>
  <c r="DI48" i="13"/>
  <c r="DB48" i="13"/>
  <c r="DL48" i="13"/>
  <c r="DN48" i="13"/>
  <c r="DH48" i="13"/>
  <c r="BW49" i="13"/>
  <c r="DI49" i="13"/>
  <c r="DH49" i="13"/>
  <c r="DJ49" i="13"/>
  <c r="DP49" i="13"/>
  <c r="DQ49" i="13"/>
  <c r="DE49" i="13"/>
  <c r="DO49" i="13"/>
  <c r="DM49" i="13"/>
  <c r="DF49" i="13"/>
  <c r="DD49" i="13"/>
  <c r="DK49" i="13"/>
  <c r="DG49" i="13"/>
  <c r="DC49" i="13"/>
  <c r="DB49" i="13"/>
  <c r="DA49" i="13"/>
  <c r="DL49" i="13"/>
  <c r="DN49" i="13"/>
  <c r="AU50" i="13"/>
  <c r="AD50" i="13"/>
  <c r="BH50" i="13"/>
  <c r="BG50" i="13"/>
  <c r="AC50" i="13"/>
  <c r="Z50" i="13"/>
  <c r="CM50" i="13"/>
  <c r="CN50" i="13"/>
  <c r="W50" i="13"/>
  <c r="N50" i="13"/>
  <c r="AR50" i="13"/>
  <c r="AQ50" i="13"/>
  <c r="K50" i="13"/>
  <c r="BL50" i="13"/>
  <c r="BX50" i="13"/>
  <c r="CU50" i="13"/>
  <c r="BB50" i="13"/>
  <c r="AK50" i="13"/>
  <c r="T50" i="13"/>
  <c r="S50" i="13"/>
  <c r="AX50" i="13"/>
  <c r="BC50" i="13"/>
  <c r="AT50" i="13"/>
  <c r="U50" i="13"/>
  <c r="L50" i="13"/>
  <c r="BI50" i="13"/>
  <c r="AP50" i="13"/>
  <c r="AM50" i="13"/>
  <c r="CJ50" i="13"/>
  <c r="BV50" i="13"/>
  <c r="CE50" i="13"/>
  <c r="CH50" i="13"/>
  <c r="CT50" i="13"/>
  <c r="CA50" i="13"/>
  <c r="CY49" i="13"/>
  <c r="BR49" i="13"/>
  <c r="AS49" i="13"/>
  <c r="BG49" i="13"/>
  <c r="Z49" i="13"/>
  <c r="BL49" i="13"/>
  <c r="AX49" i="13"/>
  <c r="W49" i="13"/>
  <c r="AJ49" i="13"/>
  <c r="CS49" i="13"/>
  <c r="CB49" i="13"/>
  <c r="CI49" i="13"/>
  <c r="CQ49" i="13"/>
  <c r="AL49" i="13"/>
  <c r="AC49" i="13"/>
  <c r="AY49" i="13"/>
  <c r="BM49" i="13"/>
  <c r="BD49" i="13"/>
  <c r="AH49" i="13"/>
  <c r="O49" i="13"/>
  <c r="O51" i="13" s="1"/>
  <c r="O73" i="16" s="1"/>
  <c r="L49" i="13"/>
  <c r="CK49" i="13"/>
  <c r="CE49" i="13"/>
  <c r="BY49" i="13"/>
  <c r="CD49" i="13"/>
  <c r="CS50" i="13"/>
  <c r="CR50" i="13"/>
  <c r="CZ50" i="13"/>
  <c r="BU50" i="13"/>
  <c r="AD49" i="13"/>
  <c r="M49" i="13"/>
  <c r="AQ49" i="13"/>
  <c r="BE49" i="13"/>
  <c r="AV49" i="13"/>
  <c r="R49" i="13"/>
  <c r="BQ49" i="13"/>
  <c r="CT49" i="13"/>
  <c r="CW49" i="13"/>
  <c r="BS49" i="13"/>
  <c r="CO49" i="13"/>
  <c r="BZ50" i="13"/>
  <c r="CP50" i="13"/>
  <c r="BW50" i="13"/>
  <c r="CG50" i="13"/>
  <c r="BJ49" i="13"/>
  <c r="BH49" i="13"/>
  <c r="AI49" i="13"/>
  <c r="AW49" i="13"/>
  <c r="AN49" i="13"/>
  <c r="BK49" i="13"/>
  <c r="BA49" i="13"/>
  <c r="CM49" i="13"/>
  <c r="CH49" i="13"/>
  <c r="CR49" i="13"/>
  <c r="CV49" i="13"/>
  <c r="CV50" i="13"/>
  <c r="CI50" i="13"/>
  <c r="CB50" i="13"/>
  <c r="CY50" i="13"/>
  <c r="K49" i="13"/>
  <c r="AR49" i="13"/>
  <c r="AA49" i="13"/>
  <c r="AO49" i="13"/>
  <c r="AF49" i="13"/>
  <c r="BC49" i="13"/>
  <c r="AK49" i="13"/>
  <c r="CP49" i="13"/>
  <c r="BV49" i="13"/>
  <c r="BV51" i="13" s="1"/>
  <c r="BV73" i="16" s="1"/>
  <c r="CU49" i="13"/>
  <c r="CZ49" i="13"/>
  <c r="CK50" i="13"/>
  <c r="CW50" i="13"/>
  <c r="BS50" i="13"/>
  <c r="CL50" i="13"/>
  <c r="BB49" i="13"/>
  <c r="AB49" i="13"/>
  <c r="AB51" i="13" s="1"/>
  <c r="AB73" i="16" s="1"/>
  <c r="S49" i="13"/>
  <c r="AG49" i="13"/>
  <c r="X49" i="13"/>
  <c r="AU49" i="13"/>
  <c r="U49" i="13"/>
  <c r="BU49" i="13"/>
  <c r="CN49" i="13"/>
  <c r="CJ49" i="13"/>
  <c r="BX49" i="13"/>
  <c r="V49" i="13"/>
  <c r="AT49" i="13"/>
  <c r="T49" i="13"/>
  <c r="BF49" i="13"/>
  <c r="Y49" i="13"/>
  <c r="P49" i="13"/>
  <c r="AM49" i="13"/>
  <c r="BP49" i="13"/>
  <c r="CC49" i="13"/>
  <c r="CA49" i="13"/>
  <c r="CG49" i="13"/>
  <c r="BT49" i="13"/>
  <c r="CO50" i="13"/>
  <c r="BY50" i="13"/>
  <c r="CQ50" i="13"/>
  <c r="BT50" i="13"/>
  <c r="CC50" i="13"/>
  <c r="CF50" i="13"/>
  <c r="CF51" i="13" s="1"/>
  <c r="CF73" i="16" s="1"/>
  <c r="CD50" i="13"/>
  <c r="Z87" i="15" l="1"/>
  <c r="AA86" i="15"/>
  <c r="CX51" i="13"/>
  <c r="CX73" i="16" s="1"/>
  <c r="AZ51" i="13"/>
  <c r="AZ73" i="16" s="1"/>
  <c r="BO51" i="13"/>
  <c r="BO73" i="16" s="1"/>
  <c r="BK51" i="13"/>
  <c r="BK73" i="16" s="1"/>
  <c r="BN51" i="13"/>
  <c r="BN73" i="16" s="1"/>
  <c r="V51" i="13"/>
  <c r="V73" i="16" s="1"/>
  <c r="AW51" i="13"/>
  <c r="AW73" i="16" s="1"/>
  <c r="AY51" i="13"/>
  <c r="AY73" i="16" s="1"/>
  <c r="Q51" i="13"/>
  <c r="Q73" i="16" s="1"/>
  <c r="BA51" i="13"/>
  <c r="BA73" i="16" s="1"/>
  <c r="R51" i="13"/>
  <c r="R73" i="16" s="1"/>
  <c r="AS51" i="13"/>
  <c r="AS73" i="16" s="1"/>
  <c r="AO51" i="13"/>
  <c r="AO73" i="16" s="1"/>
  <c r="M51" i="13"/>
  <c r="M73" i="16" s="1"/>
  <c r="AE51" i="13"/>
  <c r="AE73" i="16" s="1"/>
  <c r="AE85" i="15"/>
  <c r="BJ51" i="13"/>
  <c r="BJ73" i="16" s="1"/>
  <c r="AH51" i="13"/>
  <c r="AH73" i="16" s="1"/>
  <c r="BF51" i="13"/>
  <c r="BF73" i="16" s="1"/>
  <c r="AN51" i="13"/>
  <c r="AN73" i="16" s="1"/>
  <c r="BE51" i="13"/>
  <c r="BE73" i="16" s="1"/>
  <c r="BZ51" i="13"/>
  <c r="BZ73" i="16" s="1"/>
  <c r="BM51" i="13"/>
  <c r="BM73" i="16" s="1"/>
  <c r="AJ51" i="13"/>
  <c r="AJ73" i="16" s="1"/>
  <c r="AP51" i="13"/>
  <c r="AP73" i="16" s="1"/>
  <c r="AF51" i="13"/>
  <c r="AF73" i="16" s="1"/>
  <c r="BP51" i="13"/>
  <c r="BP73" i="16" s="1"/>
  <c r="BQ51" i="13"/>
  <c r="BQ73" i="16" s="1"/>
  <c r="P51" i="13"/>
  <c r="P73" i="16" s="1"/>
  <c r="Y51" i="13"/>
  <c r="Y73" i="16" s="1"/>
  <c r="AV51" i="13"/>
  <c r="AV73" i="16" s="1"/>
  <c r="BD51" i="13"/>
  <c r="BD73" i="16" s="1"/>
  <c r="BR51" i="13"/>
  <c r="BR73" i="16" s="1"/>
  <c r="BI51" i="13"/>
  <c r="BI73" i="16" s="1"/>
  <c r="N51" i="13"/>
  <c r="N73" i="16" s="1"/>
  <c r="X51" i="13"/>
  <c r="X73" i="16" s="1"/>
  <c r="AI51" i="13"/>
  <c r="AI73" i="16" s="1"/>
  <c r="AG51" i="13"/>
  <c r="AG73" i="16" s="1"/>
  <c r="AA51" i="13"/>
  <c r="AA73" i="16" s="1"/>
  <c r="AL51" i="13"/>
  <c r="AL73" i="16" s="1"/>
  <c r="BX51" i="13"/>
  <c r="BX73" i="16" s="1"/>
  <c r="CL51" i="13"/>
  <c r="CL73" i="16" s="1"/>
  <c r="DE51" i="13"/>
  <c r="DE73" i="16" s="1"/>
  <c r="AC51" i="13"/>
  <c r="AC73" i="16" s="1"/>
  <c r="AX51" i="13"/>
  <c r="AX73" i="16" s="1"/>
  <c r="CJ51" i="13"/>
  <c r="CJ73" i="16" s="1"/>
  <c r="DI51" i="13"/>
  <c r="DI73" i="16" s="1"/>
  <c r="BW51" i="13"/>
  <c r="BW73" i="16" s="1"/>
  <c r="DM51" i="13"/>
  <c r="DM73" i="16" s="1"/>
  <c r="DC51" i="13"/>
  <c r="DC73" i="16" s="1"/>
  <c r="AD51" i="13"/>
  <c r="AD73" i="16" s="1"/>
  <c r="BL51" i="13"/>
  <c r="BL73" i="16" s="1"/>
  <c r="I48" i="13"/>
  <c r="G43" i="16" s="1"/>
  <c r="DB51" i="13"/>
  <c r="DB73" i="16" s="1"/>
  <c r="K51" i="13"/>
  <c r="K73" i="16" s="1"/>
  <c r="I49" i="13"/>
  <c r="G44" i="16" s="1"/>
  <c r="I50" i="13"/>
  <c r="G45" i="16" s="1"/>
  <c r="S51" i="13"/>
  <c r="S73" i="16" s="1"/>
  <c r="CT51" i="13"/>
  <c r="CT73" i="16" s="1"/>
  <c r="DN51" i="13"/>
  <c r="DN73" i="16" s="1"/>
  <c r="AM51" i="13"/>
  <c r="AM73" i="16" s="1"/>
  <c r="BG51" i="13"/>
  <c r="BG73" i="16" s="1"/>
  <c r="DJ51" i="13"/>
  <c r="DJ73" i="16" s="1"/>
  <c r="L51" i="13"/>
  <c r="L73" i="16" s="1"/>
  <c r="BB51" i="13"/>
  <c r="BB73" i="16" s="1"/>
  <c r="DO51" i="13"/>
  <c r="DO73" i="16" s="1"/>
  <c r="DK51" i="13"/>
  <c r="DK73" i="16" s="1"/>
  <c r="DQ51" i="13"/>
  <c r="DQ73" i="16" s="1"/>
  <c r="DA51" i="13"/>
  <c r="DA73" i="16" s="1"/>
  <c r="DP51" i="13"/>
  <c r="DP73" i="16" s="1"/>
  <c r="DH51" i="13"/>
  <c r="DH73" i="16" s="1"/>
  <c r="AU51" i="13"/>
  <c r="AU73" i="16" s="1"/>
  <c r="AQ51" i="13"/>
  <c r="AQ73" i="16" s="1"/>
  <c r="W51" i="13"/>
  <c r="W73" i="16" s="1"/>
  <c r="DD51" i="13"/>
  <c r="DD73" i="16" s="1"/>
  <c r="AT51" i="13"/>
  <c r="AT73" i="16" s="1"/>
  <c r="DL51" i="13"/>
  <c r="DL73" i="16" s="1"/>
  <c r="DF51" i="13"/>
  <c r="DF73" i="16" s="1"/>
  <c r="T51" i="13"/>
  <c r="T73" i="16" s="1"/>
  <c r="BH51" i="13"/>
  <c r="BH73" i="16" s="1"/>
  <c r="CN51" i="13"/>
  <c r="CN73" i="16" s="1"/>
  <c r="AR51" i="13"/>
  <c r="AR73" i="16" s="1"/>
  <c r="CM51" i="13"/>
  <c r="CM73" i="16" s="1"/>
  <c r="DG51" i="13"/>
  <c r="DG73" i="16" s="1"/>
  <c r="AK51" i="13"/>
  <c r="AK73" i="16" s="1"/>
  <c r="CU51" i="13"/>
  <c r="CU73" i="16" s="1"/>
  <c r="CH51" i="13"/>
  <c r="CH73" i="16" s="1"/>
  <c r="Z51" i="13"/>
  <c r="Z73" i="16" s="1"/>
  <c r="U51" i="13"/>
  <c r="U73" i="16" s="1"/>
  <c r="BC51" i="13"/>
  <c r="BC73" i="16" s="1"/>
  <c r="CE51" i="13"/>
  <c r="CE73" i="16" s="1"/>
  <c r="CA51" i="13"/>
  <c r="CA73" i="16" s="1"/>
  <c r="CS51" i="13"/>
  <c r="CS73" i="16" s="1"/>
  <c r="CD51" i="13"/>
  <c r="CD73" i="16" s="1"/>
  <c r="CY51" i="13"/>
  <c r="CY73" i="16" s="1"/>
  <c r="CB51" i="13"/>
  <c r="CB73" i="16" s="1"/>
  <c r="CR51" i="13"/>
  <c r="CR73" i="16" s="1"/>
  <c r="CP51" i="13"/>
  <c r="CP73" i="16" s="1"/>
  <c r="BU51" i="13"/>
  <c r="BU73" i="16" s="1"/>
  <c r="CI51" i="13"/>
  <c r="CI73" i="16" s="1"/>
  <c r="CQ51" i="13"/>
  <c r="CQ73" i="16" s="1"/>
  <c r="BY51" i="13"/>
  <c r="BY73" i="16" s="1"/>
  <c r="BS51" i="13"/>
  <c r="BS73" i="16" s="1"/>
  <c r="CK51" i="13"/>
  <c r="CK73" i="16" s="1"/>
  <c r="CG51" i="13"/>
  <c r="CG73" i="16" s="1"/>
  <c r="CO51" i="13"/>
  <c r="CO73" i="16" s="1"/>
  <c r="CC51" i="13"/>
  <c r="CC73" i="16" s="1"/>
  <c r="CW51" i="13"/>
  <c r="CW73" i="16" s="1"/>
  <c r="CV51" i="13"/>
  <c r="CV73" i="16" s="1"/>
  <c r="CZ51" i="13"/>
  <c r="CZ73" i="16" s="1"/>
  <c r="BT51" i="13"/>
  <c r="BT73" i="16" s="1"/>
  <c r="AA87" i="15" l="1"/>
  <c r="AB86" i="15"/>
  <c r="AF85" i="15"/>
  <c r="I51" i="13"/>
  <c r="AB87" i="15" l="1"/>
  <c r="AC86" i="15"/>
  <c r="AG85" i="15"/>
  <c r="F12" i="12"/>
  <c r="F9" i="12"/>
  <c r="H124" i="16" s="1"/>
  <c r="AC87" i="15" l="1"/>
  <c r="AD86" i="15"/>
  <c r="AH85" i="15"/>
  <c r="G9" i="16"/>
  <c r="G9" i="13"/>
  <c r="G4" i="13"/>
  <c r="DL4" i="13" s="1"/>
  <c r="DL5" i="13" s="1"/>
  <c r="G4" i="16"/>
  <c r="F14" i="12"/>
  <c r="F156" i="12" s="1"/>
  <c r="G164" i="16" s="1"/>
  <c r="K164" i="16" s="1"/>
  <c r="J6" i="1"/>
  <c r="J7" i="1"/>
  <c r="J8" i="1"/>
  <c r="J5" i="1"/>
  <c r="F26" i="1"/>
  <c r="G26" i="1" s="1"/>
  <c r="AD87" i="15" l="1"/>
  <c r="AE86" i="15"/>
  <c r="DL171" i="13"/>
  <c r="DL170" i="13"/>
  <c r="DL169" i="13"/>
  <c r="F141" i="12"/>
  <c r="G147" i="12"/>
  <c r="H147" i="12" s="1"/>
  <c r="AN4" i="13"/>
  <c r="AN5" i="13" s="1"/>
  <c r="AI85" i="15"/>
  <c r="BP4" i="13"/>
  <c r="BP5" i="13" s="1"/>
  <c r="AP4" i="13"/>
  <c r="AP5" i="13" s="1"/>
  <c r="BY4" i="13"/>
  <c r="BY5" i="13" s="1"/>
  <c r="AI4" i="13"/>
  <c r="AI5" i="13" s="1"/>
  <c r="CZ4" i="13"/>
  <c r="CZ5" i="13" s="1"/>
  <c r="BR4" i="13"/>
  <c r="BR5" i="13" s="1"/>
  <c r="AU4" i="13"/>
  <c r="AU5" i="13" s="1"/>
  <c r="AU68" i="13" s="1"/>
  <c r="BQ4" i="13"/>
  <c r="BQ5" i="13" s="1"/>
  <c r="DM4" i="13"/>
  <c r="DM5" i="13" s="1"/>
  <c r="AF4" i="13"/>
  <c r="AF5" i="13" s="1"/>
  <c r="BA4" i="13"/>
  <c r="BA5" i="13" s="1"/>
  <c r="CY4" i="13"/>
  <c r="CY5" i="13" s="1"/>
  <c r="CJ4" i="13"/>
  <c r="CJ5" i="13" s="1"/>
  <c r="Z4" i="13"/>
  <c r="Z5" i="13" s="1"/>
  <c r="BB4" i="13"/>
  <c r="BB5" i="13" s="1"/>
  <c r="BB69" i="13" s="1"/>
  <c r="AZ4" i="13"/>
  <c r="AZ5" i="13" s="1"/>
  <c r="P4" i="13"/>
  <c r="P5" i="13" s="1"/>
  <c r="U4" i="13"/>
  <c r="U5" i="13" s="1"/>
  <c r="CA4" i="13"/>
  <c r="CA5" i="13" s="1"/>
  <c r="CX4" i="13"/>
  <c r="CX5" i="13" s="1"/>
  <c r="DJ4" i="13"/>
  <c r="DJ5" i="13" s="1"/>
  <c r="DD4" i="13"/>
  <c r="DD5" i="13" s="1"/>
  <c r="BG4" i="13"/>
  <c r="BG5" i="13" s="1"/>
  <c r="BG81" i="13" s="1"/>
  <c r="Y4" i="13"/>
  <c r="Y5" i="13" s="1"/>
  <c r="AQ4" i="13"/>
  <c r="AQ5" i="13" s="1"/>
  <c r="O4" i="13"/>
  <c r="O5" i="13" s="1"/>
  <c r="AL4" i="13"/>
  <c r="AL5" i="13" s="1"/>
  <c r="BI4" i="13"/>
  <c r="BI5" i="13" s="1"/>
  <c r="AJ4" i="13"/>
  <c r="AJ5" i="13" s="1"/>
  <c r="CR4" i="13"/>
  <c r="CR5" i="13" s="1"/>
  <c r="CI4" i="13"/>
  <c r="CI5" i="13" s="1"/>
  <c r="CI14" i="13" s="1"/>
  <c r="CF4" i="13"/>
  <c r="CF5" i="13" s="1"/>
  <c r="CM4" i="13"/>
  <c r="CM5" i="13" s="1"/>
  <c r="CS4" i="13"/>
  <c r="CS5" i="13" s="1"/>
  <c r="DA4" i="13"/>
  <c r="DA5" i="13" s="1"/>
  <c r="DI4" i="13"/>
  <c r="DI5" i="13" s="1"/>
  <c r="CL4" i="13"/>
  <c r="CL5" i="13" s="1"/>
  <c r="BN4" i="13"/>
  <c r="BN5" i="13" s="1"/>
  <c r="BH4" i="13"/>
  <c r="BH5" i="13" s="1"/>
  <c r="BH81" i="13" s="1"/>
  <c r="DO4" i="13"/>
  <c r="DO5" i="13" s="1"/>
  <c r="X4" i="13"/>
  <c r="X5" i="13" s="1"/>
  <c r="R4" i="13"/>
  <c r="R5" i="13" s="1"/>
  <c r="CN4" i="13"/>
  <c r="CN5" i="13" s="1"/>
  <c r="AY4" i="13"/>
  <c r="AY5" i="13" s="1"/>
  <c r="BL4" i="13"/>
  <c r="BL5" i="13" s="1"/>
  <c r="BE4" i="13"/>
  <c r="BE5" i="13" s="1"/>
  <c r="BF4" i="13"/>
  <c r="BF5" i="13" s="1"/>
  <c r="BF68" i="13" s="1"/>
  <c r="AD4" i="13"/>
  <c r="AD5" i="13" s="1"/>
  <c r="AS4" i="13"/>
  <c r="AS5" i="13" s="1"/>
  <c r="AB4" i="13"/>
  <c r="AB5" i="13" s="1"/>
  <c r="BZ4" i="13"/>
  <c r="BZ5" i="13" s="1"/>
  <c r="CH4" i="13"/>
  <c r="CH5" i="13" s="1"/>
  <c r="BX4" i="13"/>
  <c r="BX5" i="13" s="1"/>
  <c r="CK4" i="13"/>
  <c r="CK5" i="13" s="1"/>
  <c r="K4" i="13"/>
  <c r="K5" i="13" s="1"/>
  <c r="K69" i="13" s="1"/>
  <c r="DP4" i="13"/>
  <c r="DP5" i="13" s="1"/>
  <c r="DK4" i="13"/>
  <c r="DK5" i="13" s="1"/>
  <c r="AM4" i="13"/>
  <c r="AM5" i="13" s="1"/>
  <c r="AW4" i="13"/>
  <c r="AW5" i="13" s="1"/>
  <c r="BT4" i="13"/>
  <c r="BT5" i="13" s="1"/>
  <c r="AG4" i="13"/>
  <c r="AG5" i="13" s="1"/>
  <c r="BK4" i="13"/>
  <c r="BK5" i="13" s="1"/>
  <c r="V4" i="13"/>
  <c r="V5" i="13" s="1"/>
  <c r="V68" i="13" s="1"/>
  <c r="AC4" i="13"/>
  <c r="AC5" i="13" s="1"/>
  <c r="T4" i="13"/>
  <c r="T5" i="13" s="1"/>
  <c r="CQ4" i="13"/>
  <c r="CQ5" i="13" s="1"/>
  <c r="CE4" i="13"/>
  <c r="CE5" i="13" s="1"/>
  <c r="CW4" i="13"/>
  <c r="CW5" i="13" s="1"/>
  <c r="CC4" i="13"/>
  <c r="CC5" i="13" s="1"/>
  <c r="DB4" i="13"/>
  <c r="DB5" i="13" s="1"/>
  <c r="DN4" i="13"/>
  <c r="DN5" i="13" s="1"/>
  <c r="DN69" i="13" s="1"/>
  <c r="DC4" i="13"/>
  <c r="DC5" i="13" s="1"/>
  <c r="DH4" i="13"/>
  <c r="DH5" i="13" s="1"/>
  <c r="DE4" i="13"/>
  <c r="DE5" i="13" s="1"/>
  <c r="AE4" i="13"/>
  <c r="AE5" i="13" s="1"/>
  <c r="AK4" i="13"/>
  <c r="AK5" i="13" s="1"/>
  <c r="W4" i="13"/>
  <c r="W5" i="13" s="1"/>
  <c r="AT4" i="13"/>
  <c r="AT5" i="13" s="1"/>
  <c r="AR4" i="13"/>
  <c r="AR5" i="13" s="1"/>
  <c r="AR70" i="13" s="1"/>
  <c r="CU4" i="13"/>
  <c r="CU5" i="13" s="1"/>
  <c r="S4" i="13"/>
  <c r="S5" i="13" s="1"/>
  <c r="AA4" i="13"/>
  <c r="AA5" i="13" s="1"/>
  <c r="BD4" i="13"/>
  <c r="BD5" i="13" s="1"/>
  <c r="AO4" i="13"/>
  <c r="AO5" i="13" s="1"/>
  <c r="AX4" i="13"/>
  <c r="AX5" i="13" s="1"/>
  <c r="BO4" i="13"/>
  <c r="BO5" i="13" s="1"/>
  <c r="AV4" i="13"/>
  <c r="AV5" i="13" s="1"/>
  <c r="AV14" i="13" s="1"/>
  <c r="BC4" i="13"/>
  <c r="BC5" i="13" s="1"/>
  <c r="Q4" i="13"/>
  <c r="Q5" i="13" s="1"/>
  <c r="N4" i="13"/>
  <c r="N5" i="13" s="1"/>
  <c r="M4" i="13"/>
  <c r="M5" i="13" s="1"/>
  <c r="L4" i="13"/>
  <c r="L5" i="13" s="1"/>
  <c r="CV4" i="13"/>
  <c r="CV5" i="13" s="1"/>
  <c r="BS4" i="13"/>
  <c r="BS5" i="13" s="1"/>
  <c r="CO4" i="13"/>
  <c r="CO5" i="13" s="1"/>
  <c r="CO14" i="13" s="1"/>
  <c r="BU4" i="13"/>
  <c r="BU5" i="13" s="1"/>
  <c r="DQ4" i="13"/>
  <c r="DQ5" i="13" s="1"/>
  <c r="DF4" i="13"/>
  <c r="DF5" i="13" s="1"/>
  <c r="CT4" i="13"/>
  <c r="CT5" i="13" s="1"/>
  <c r="AH4" i="13"/>
  <c r="AH5" i="13" s="1"/>
  <c r="BJ4" i="13"/>
  <c r="BJ5" i="13" s="1"/>
  <c r="CP4" i="13"/>
  <c r="CP5" i="13" s="1"/>
  <c r="CD4" i="13"/>
  <c r="CD5" i="13" s="1"/>
  <c r="CD70" i="13" s="1"/>
  <c r="BM4" i="13"/>
  <c r="BM5" i="13" s="1"/>
  <c r="BW4" i="13"/>
  <c r="BW5" i="13" s="1"/>
  <c r="CG4" i="13"/>
  <c r="CG5" i="13" s="1"/>
  <c r="BV4" i="13"/>
  <c r="BV5" i="13" s="1"/>
  <c r="CB4" i="13"/>
  <c r="CB5" i="13" s="1"/>
  <c r="DG4" i="13"/>
  <c r="DG5" i="13" s="1"/>
  <c r="DI4" i="16"/>
  <c r="DI5" i="16" s="1"/>
  <c r="DI130" i="16" s="1"/>
  <c r="CM4" i="16"/>
  <c r="CM5" i="16" s="1"/>
  <c r="CM130" i="16" s="1"/>
  <c r="AC4" i="16"/>
  <c r="AC5" i="16" s="1"/>
  <c r="AC130" i="16" s="1"/>
  <c r="U4" i="16"/>
  <c r="U5" i="16" s="1"/>
  <c r="U130" i="16" s="1"/>
  <c r="CG4" i="16"/>
  <c r="CG5" i="16" s="1"/>
  <c r="CG130" i="16" s="1"/>
  <c r="AL4" i="16"/>
  <c r="AL5" i="16" s="1"/>
  <c r="AL130" i="16" s="1"/>
  <c r="CX4" i="16"/>
  <c r="CX5" i="16" s="1"/>
  <c r="CX130" i="16" s="1"/>
  <c r="BC4" i="16"/>
  <c r="BC5" i="16" s="1"/>
  <c r="BC130" i="16" s="1"/>
  <c r="DO4" i="16"/>
  <c r="DO5" i="16" s="1"/>
  <c r="DO130" i="16" s="1"/>
  <c r="BT4" i="16"/>
  <c r="BT5" i="16" s="1"/>
  <c r="BT130" i="16" s="1"/>
  <c r="BE4" i="16"/>
  <c r="BE5" i="16" s="1"/>
  <c r="BE130" i="16" s="1"/>
  <c r="DP4" i="16"/>
  <c r="DP5" i="16" s="1"/>
  <c r="DP130" i="16" s="1"/>
  <c r="BV4" i="16"/>
  <c r="BV5" i="16" s="1"/>
  <c r="BV130" i="16" s="1"/>
  <c r="T4" i="16"/>
  <c r="T5" i="16" s="1"/>
  <c r="T130" i="16" s="1"/>
  <c r="CF4" i="16"/>
  <c r="CF5" i="16" s="1"/>
  <c r="CF130" i="16" s="1"/>
  <c r="S4" i="16"/>
  <c r="S5" i="16" s="1"/>
  <c r="S130" i="16" s="1"/>
  <c r="AS4" i="16"/>
  <c r="AS5" i="16" s="1"/>
  <c r="AS130" i="16" s="1"/>
  <c r="CO4" i="16"/>
  <c r="CO5" i="16" s="1"/>
  <c r="CO130" i="16" s="1"/>
  <c r="AT4" i="16"/>
  <c r="AT5" i="16" s="1"/>
  <c r="AT130" i="16" s="1"/>
  <c r="DF4" i="16"/>
  <c r="DF5" i="16" s="1"/>
  <c r="DF130" i="16" s="1"/>
  <c r="BK4" i="16"/>
  <c r="BK5" i="16" s="1"/>
  <c r="BK130" i="16" s="1"/>
  <c r="P4" i="16"/>
  <c r="P5" i="16" s="1"/>
  <c r="P130" i="16" s="1"/>
  <c r="CB4" i="16"/>
  <c r="CB5" i="16" s="1"/>
  <c r="CB130" i="16" s="1"/>
  <c r="BM4" i="16"/>
  <c r="BM5" i="16" s="1"/>
  <c r="BM130" i="16" s="1"/>
  <c r="R4" i="16"/>
  <c r="R5" i="16" s="1"/>
  <c r="R130" i="16" s="1"/>
  <c r="CD4" i="16"/>
  <c r="CD5" i="16" s="1"/>
  <c r="CD130" i="16" s="1"/>
  <c r="AB4" i="16"/>
  <c r="AB5" i="16" s="1"/>
  <c r="AB130" i="16" s="1"/>
  <c r="CN4" i="16"/>
  <c r="CN5" i="16" s="1"/>
  <c r="CN130" i="16" s="1"/>
  <c r="K4" i="16"/>
  <c r="K5" i="16" s="1"/>
  <c r="K130" i="16" s="1"/>
  <c r="AQ4" i="16"/>
  <c r="AQ5" i="16" s="1"/>
  <c r="AQ130" i="16" s="1"/>
  <c r="DC4" i="16"/>
  <c r="DC5" i="16" s="1"/>
  <c r="DC130" i="16" s="1"/>
  <c r="CW4" i="16"/>
  <c r="CW5" i="16" s="1"/>
  <c r="CW130" i="16" s="1"/>
  <c r="BB4" i="16"/>
  <c r="BB5" i="16" s="1"/>
  <c r="BB130" i="16" s="1"/>
  <c r="DN4" i="16"/>
  <c r="DN5" i="16" s="1"/>
  <c r="DN130" i="16" s="1"/>
  <c r="BS4" i="16"/>
  <c r="BS5" i="16" s="1"/>
  <c r="BS130" i="16" s="1"/>
  <c r="X4" i="16"/>
  <c r="X5" i="16" s="1"/>
  <c r="X130" i="16" s="1"/>
  <c r="CJ4" i="16"/>
  <c r="CJ5" i="16" s="1"/>
  <c r="CJ130" i="16" s="1"/>
  <c r="BU4" i="16"/>
  <c r="BU5" i="16" s="1"/>
  <c r="BU130" i="16" s="1"/>
  <c r="Z4" i="16"/>
  <c r="Z5" i="16" s="1"/>
  <c r="Z130" i="16" s="1"/>
  <c r="CL4" i="16"/>
  <c r="CL5" i="16" s="1"/>
  <c r="CL130" i="16" s="1"/>
  <c r="AJ4" i="16"/>
  <c r="AJ5" i="16" s="1"/>
  <c r="AJ130" i="16" s="1"/>
  <c r="CV4" i="16"/>
  <c r="CV5" i="16" s="1"/>
  <c r="CV130" i="16" s="1"/>
  <c r="AG4" i="16"/>
  <c r="AG5" i="16" s="1"/>
  <c r="AG130" i="16" s="1"/>
  <c r="CU4" i="16"/>
  <c r="CU5" i="16" s="1"/>
  <c r="CU130" i="16" s="1"/>
  <c r="BO4" i="16"/>
  <c r="BO5" i="16" s="1"/>
  <c r="BO130" i="16" s="1"/>
  <c r="AA4" i="16"/>
  <c r="AA5" i="16" s="1"/>
  <c r="AA130" i="16" s="1"/>
  <c r="DE4" i="16"/>
  <c r="DE5" i="16" s="1"/>
  <c r="DE130" i="16" s="1"/>
  <c r="BJ4" i="16"/>
  <c r="BJ5" i="16" s="1"/>
  <c r="BJ130" i="16" s="1"/>
  <c r="O4" i="16"/>
  <c r="O5" i="16" s="1"/>
  <c r="O130" i="16" s="1"/>
  <c r="CA4" i="16"/>
  <c r="CA5" i="16" s="1"/>
  <c r="CA130" i="16" s="1"/>
  <c r="AF4" i="16"/>
  <c r="AF5" i="16" s="1"/>
  <c r="AF130" i="16" s="1"/>
  <c r="CR4" i="16"/>
  <c r="CR5" i="16" s="1"/>
  <c r="CR130" i="16" s="1"/>
  <c r="CC4" i="16"/>
  <c r="CC5" i="16" s="1"/>
  <c r="CC130" i="16" s="1"/>
  <c r="AH4" i="16"/>
  <c r="AH5" i="16" s="1"/>
  <c r="AH130" i="16" s="1"/>
  <c r="CT4" i="16"/>
  <c r="CT5" i="16" s="1"/>
  <c r="CT130" i="16" s="1"/>
  <c r="AR4" i="16"/>
  <c r="AR5" i="16" s="1"/>
  <c r="AR130" i="16" s="1"/>
  <c r="DD4" i="16"/>
  <c r="DD5" i="16" s="1"/>
  <c r="DD130" i="16" s="1"/>
  <c r="BY4" i="16"/>
  <c r="BY5" i="16" s="1"/>
  <c r="BY130" i="16" s="1"/>
  <c r="DG4" i="16"/>
  <c r="DG5" i="16" s="1"/>
  <c r="DG130" i="16" s="1"/>
  <c r="DQ4" i="16"/>
  <c r="DQ5" i="16" s="1"/>
  <c r="DQ130" i="16" s="1"/>
  <c r="L4" i="16"/>
  <c r="L5" i="16" s="1"/>
  <c r="L130" i="16" s="1"/>
  <c r="BW4" i="16"/>
  <c r="BW5" i="16" s="1"/>
  <c r="BW130" i="16" s="1"/>
  <c r="M4" i="16"/>
  <c r="M5" i="16" s="1"/>
  <c r="M130" i="16" s="1"/>
  <c r="Y4" i="16"/>
  <c r="Y5" i="16" s="1"/>
  <c r="Y130" i="16" s="1"/>
  <c r="BG4" i="16"/>
  <c r="BG5" i="16" s="1"/>
  <c r="BG130" i="16" s="1"/>
  <c r="BA4" i="16"/>
  <c r="BA5" i="16" s="1"/>
  <c r="BA130" i="16" s="1"/>
  <c r="DM4" i="16"/>
  <c r="DM5" i="16" s="1"/>
  <c r="DM130" i="16" s="1"/>
  <c r="BR4" i="16"/>
  <c r="BR5" i="16" s="1"/>
  <c r="BR130" i="16" s="1"/>
  <c r="W4" i="16"/>
  <c r="W5" i="16" s="1"/>
  <c r="W130" i="16" s="1"/>
  <c r="CI4" i="16"/>
  <c r="CI5" i="16" s="1"/>
  <c r="CI130" i="16" s="1"/>
  <c r="AN4" i="16"/>
  <c r="AN5" i="16" s="1"/>
  <c r="AN130" i="16" s="1"/>
  <c r="CZ4" i="16"/>
  <c r="CZ5" i="16" s="1"/>
  <c r="CZ130" i="16" s="1"/>
  <c r="CK4" i="16"/>
  <c r="CK5" i="16" s="1"/>
  <c r="CK130" i="16" s="1"/>
  <c r="AP4" i="16"/>
  <c r="AP5" i="16" s="1"/>
  <c r="AP130" i="16" s="1"/>
  <c r="DB4" i="16"/>
  <c r="DB5" i="16" s="1"/>
  <c r="DB130" i="16" s="1"/>
  <c r="AZ4" i="16"/>
  <c r="AZ5" i="16" s="1"/>
  <c r="AZ130" i="16" s="1"/>
  <c r="DL4" i="16"/>
  <c r="DL5" i="16" s="1"/>
  <c r="DL130" i="16" s="1"/>
  <c r="AI4" i="16"/>
  <c r="AI5" i="16" s="1"/>
  <c r="AI130" i="16" s="1"/>
  <c r="AY4" i="16"/>
  <c r="AY5" i="16" s="1"/>
  <c r="AY130" i="16" s="1"/>
  <c r="BI4" i="16"/>
  <c r="BI5" i="16" s="1"/>
  <c r="BI130" i="16" s="1"/>
  <c r="N4" i="16"/>
  <c r="N5" i="16" s="1"/>
  <c r="N130" i="16" s="1"/>
  <c r="BZ4" i="16"/>
  <c r="BZ5" i="16" s="1"/>
  <c r="BZ130" i="16" s="1"/>
  <c r="AE4" i="16"/>
  <c r="AE5" i="16" s="1"/>
  <c r="AE130" i="16" s="1"/>
  <c r="CQ4" i="16"/>
  <c r="CQ5" i="16" s="1"/>
  <c r="CQ130" i="16" s="1"/>
  <c r="AV4" i="16"/>
  <c r="AV5" i="16" s="1"/>
  <c r="AV130" i="16" s="1"/>
  <c r="DH4" i="16"/>
  <c r="DH5" i="16" s="1"/>
  <c r="DH130" i="16" s="1"/>
  <c r="CS4" i="16"/>
  <c r="CS5" i="16" s="1"/>
  <c r="CS130" i="16" s="1"/>
  <c r="AX4" i="16"/>
  <c r="AX5" i="16" s="1"/>
  <c r="AX130" i="16" s="1"/>
  <c r="DJ4" i="16"/>
  <c r="DJ5" i="16" s="1"/>
  <c r="DJ130" i="16" s="1"/>
  <c r="BH4" i="16"/>
  <c r="BH5" i="16" s="1"/>
  <c r="BH130" i="16" s="1"/>
  <c r="CE4" i="16"/>
  <c r="CE5" i="16" s="1"/>
  <c r="CE130" i="16" s="1"/>
  <c r="Q4" i="16"/>
  <c r="Q5" i="16" s="1"/>
  <c r="Q130" i="16" s="1"/>
  <c r="DK4" i="16"/>
  <c r="DK5" i="16" s="1"/>
  <c r="DK130" i="16" s="1"/>
  <c r="BQ4" i="16"/>
  <c r="BQ5" i="16" s="1"/>
  <c r="BQ130" i="16" s="1"/>
  <c r="V4" i="16"/>
  <c r="V5" i="16" s="1"/>
  <c r="V130" i="16" s="1"/>
  <c r="CH4" i="16"/>
  <c r="CH5" i="16" s="1"/>
  <c r="CH130" i="16" s="1"/>
  <c r="AM4" i="16"/>
  <c r="AM5" i="16" s="1"/>
  <c r="AM130" i="16" s="1"/>
  <c r="CY4" i="16"/>
  <c r="CY5" i="16" s="1"/>
  <c r="CY130" i="16" s="1"/>
  <c r="BD4" i="16"/>
  <c r="BD5" i="16" s="1"/>
  <c r="BD130" i="16" s="1"/>
  <c r="AO4" i="16"/>
  <c r="AO5" i="16" s="1"/>
  <c r="AO130" i="16" s="1"/>
  <c r="DA4" i="16"/>
  <c r="DA5" i="16" s="1"/>
  <c r="DA130" i="16" s="1"/>
  <c r="BF4" i="16"/>
  <c r="BF5" i="16" s="1"/>
  <c r="BF130" i="16" s="1"/>
  <c r="BP4" i="16"/>
  <c r="BP5" i="16" s="1"/>
  <c r="BP130" i="16" s="1"/>
  <c r="AK4" i="16"/>
  <c r="AK5" i="16" s="1"/>
  <c r="AK130" i="16" s="1"/>
  <c r="AD4" i="16"/>
  <c r="AD5" i="16" s="1"/>
  <c r="AD130" i="16" s="1"/>
  <c r="CP4" i="16"/>
  <c r="CP5" i="16" s="1"/>
  <c r="CP130" i="16" s="1"/>
  <c r="AU4" i="16"/>
  <c r="AU5" i="16" s="1"/>
  <c r="AU130" i="16" s="1"/>
  <c r="BL4" i="16"/>
  <c r="BL5" i="16" s="1"/>
  <c r="BL130" i="16" s="1"/>
  <c r="AW4" i="16"/>
  <c r="AW5" i="16" s="1"/>
  <c r="AW130" i="16" s="1"/>
  <c r="BN4" i="16"/>
  <c r="BN5" i="16" s="1"/>
  <c r="BN130" i="16" s="1"/>
  <c r="BX4" i="16"/>
  <c r="BX5" i="16" s="1"/>
  <c r="BX130" i="16" s="1"/>
  <c r="F142" i="12"/>
  <c r="H21" i="16" s="1"/>
  <c r="G10" i="16"/>
  <c r="G10" i="13"/>
  <c r="H9" i="16"/>
  <c r="K9" i="16" s="1"/>
  <c r="H9" i="13"/>
  <c r="F85" i="12"/>
  <c r="G99" i="13" s="1"/>
  <c r="H72" i="12"/>
  <c r="F86" i="12"/>
  <c r="H99" i="13" s="1"/>
  <c r="DL81" i="13"/>
  <c r="DL70" i="13"/>
  <c r="DL69" i="13"/>
  <c r="DL68" i="13"/>
  <c r="DL14" i="13"/>
  <c r="F17" i="12"/>
  <c r="H26" i="1"/>
  <c r="G28" i="1"/>
  <c r="F28" i="1"/>
  <c r="O10" i="1"/>
  <c r="P10" i="1"/>
  <c r="Q10" i="1"/>
  <c r="R10" i="1"/>
  <c r="J10" i="1"/>
  <c r="K10" i="1"/>
  <c r="L10" i="1"/>
  <c r="M10" i="1"/>
  <c r="N10" i="1"/>
  <c r="F10" i="1"/>
  <c r="G10" i="1"/>
  <c r="H10" i="1"/>
  <c r="I10" i="1"/>
  <c r="I11" i="1" s="1"/>
  <c r="E10" i="1"/>
  <c r="E11" i="1" s="1"/>
  <c r="D10" i="1"/>
  <c r="AE87" i="15" l="1"/>
  <c r="AF86" i="15"/>
  <c r="BG70" i="13"/>
  <c r="CI70" i="13"/>
  <c r="G21" i="16"/>
  <c r="K21" i="16" s="1"/>
  <c r="G34" i="16"/>
  <c r="AR81" i="13"/>
  <c r="V14" i="13"/>
  <c r="BH70" i="13"/>
  <c r="BM81" i="13"/>
  <c r="BM169" i="13"/>
  <c r="BM171" i="13"/>
  <c r="BM170" i="13"/>
  <c r="CU69" i="13"/>
  <c r="CU171" i="13"/>
  <c r="CU170" i="13"/>
  <c r="CU169" i="13"/>
  <c r="DP69" i="13"/>
  <c r="DP171" i="13"/>
  <c r="DP169" i="13"/>
  <c r="DP170" i="13"/>
  <c r="CF70" i="13"/>
  <c r="CF171" i="13"/>
  <c r="CF170" i="13"/>
  <c r="CF169" i="13"/>
  <c r="AZ14" i="13"/>
  <c r="AZ171" i="13"/>
  <c r="AZ170" i="13"/>
  <c r="AZ169" i="13"/>
  <c r="BQ69" i="13"/>
  <c r="BQ169" i="13"/>
  <c r="BQ171" i="13"/>
  <c r="BQ170" i="13"/>
  <c r="CD69" i="13"/>
  <c r="CD170" i="13"/>
  <c r="CD169" i="13"/>
  <c r="CD171" i="13"/>
  <c r="CO68" i="13"/>
  <c r="CO169" i="13"/>
  <c r="CO171" i="13"/>
  <c r="CO170" i="13"/>
  <c r="AV81" i="13"/>
  <c r="AV171" i="13"/>
  <c r="AV169" i="13"/>
  <c r="AV170" i="13"/>
  <c r="AR14" i="13"/>
  <c r="AR171" i="13"/>
  <c r="AR170" i="13"/>
  <c r="AR169" i="13"/>
  <c r="DN81" i="13"/>
  <c r="DN169" i="13"/>
  <c r="DN171" i="13"/>
  <c r="DN170" i="13"/>
  <c r="V70" i="13"/>
  <c r="V169" i="13"/>
  <c r="V171" i="13"/>
  <c r="V170" i="13"/>
  <c r="K81" i="13"/>
  <c r="K171" i="13"/>
  <c r="K174" i="13" s="1"/>
  <c r="K169" i="13"/>
  <c r="K173" i="13" s="1"/>
  <c r="K170" i="13"/>
  <c r="BF81" i="13"/>
  <c r="BF170" i="13"/>
  <c r="BF169" i="13"/>
  <c r="BF171" i="13"/>
  <c r="BH14" i="13"/>
  <c r="BH171" i="13"/>
  <c r="BH170" i="13"/>
  <c r="BH169" i="13"/>
  <c r="CI69" i="13"/>
  <c r="CI169" i="13"/>
  <c r="CI170" i="13"/>
  <c r="CI171" i="13"/>
  <c r="BG14" i="13"/>
  <c r="BG171" i="13"/>
  <c r="BG170" i="13"/>
  <c r="BG169" i="13"/>
  <c r="BB70" i="13"/>
  <c r="BB169" i="13"/>
  <c r="BB171" i="13"/>
  <c r="BB170" i="13"/>
  <c r="AU81" i="13"/>
  <c r="AU169" i="13"/>
  <c r="AU171" i="13"/>
  <c r="AU170" i="13"/>
  <c r="DC68" i="13"/>
  <c r="DC171" i="13"/>
  <c r="DC170" i="13"/>
  <c r="DC169" i="13"/>
  <c r="CP68" i="13"/>
  <c r="CP169" i="13"/>
  <c r="CP171" i="13"/>
  <c r="CP170" i="13"/>
  <c r="BS81" i="13"/>
  <c r="BS169" i="13"/>
  <c r="BS171" i="13"/>
  <c r="BS170" i="13"/>
  <c r="BO14" i="13"/>
  <c r="BO171" i="13"/>
  <c r="BO170" i="13"/>
  <c r="BO169" i="13"/>
  <c r="AT14" i="13"/>
  <c r="AT169" i="13"/>
  <c r="AT171" i="13"/>
  <c r="AT170" i="13"/>
  <c r="DB68" i="13"/>
  <c r="DB170" i="13"/>
  <c r="DB169" i="13"/>
  <c r="DB171" i="13"/>
  <c r="BK14" i="13"/>
  <c r="BK169" i="13"/>
  <c r="BK171" i="13"/>
  <c r="BK170" i="13"/>
  <c r="CK81" i="13"/>
  <c r="CK169" i="13"/>
  <c r="CK171" i="13"/>
  <c r="CK170" i="13"/>
  <c r="BE14" i="13"/>
  <c r="BE169" i="13"/>
  <c r="BE171" i="13"/>
  <c r="BE170" i="13"/>
  <c r="BN70" i="13"/>
  <c r="BN170" i="13"/>
  <c r="BN169" i="13"/>
  <c r="BN171" i="13"/>
  <c r="CR14" i="13"/>
  <c r="CR169" i="13"/>
  <c r="CR171" i="13"/>
  <c r="CR170" i="13"/>
  <c r="DD68" i="13"/>
  <c r="DD171" i="13"/>
  <c r="DD170" i="13"/>
  <c r="DD169" i="13"/>
  <c r="Z14" i="13"/>
  <c r="Z170" i="13"/>
  <c r="Z169" i="13"/>
  <c r="Z171" i="13"/>
  <c r="BR68" i="13"/>
  <c r="BR169" i="13"/>
  <c r="BR171" i="13"/>
  <c r="BR170" i="13"/>
  <c r="AN70" i="13"/>
  <c r="AN169" i="13"/>
  <c r="AN171" i="13"/>
  <c r="AN170" i="13"/>
  <c r="DO70" i="13"/>
  <c r="DO169" i="13"/>
  <c r="DO171" i="13"/>
  <c r="DO170" i="13"/>
  <c r="DG14" i="13"/>
  <c r="DG169" i="13"/>
  <c r="DG171" i="13"/>
  <c r="DG170" i="13"/>
  <c r="BJ70" i="13"/>
  <c r="BJ169" i="13"/>
  <c r="BJ171" i="13"/>
  <c r="BJ170" i="13"/>
  <c r="CV69" i="13"/>
  <c r="CV171" i="13"/>
  <c r="CV170" i="13"/>
  <c r="CV169" i="13"/>
  <c r="AX14" i="13"/>
  <c r="AX170" i="13"/>
  <c r="AX169" i="13"/>
  <c r="AX171" i="13"/>
  <c r="W81" i="13"/>
  <c r="W169" i="13"/>
  <c r="W171" i="13"/>
  <c r="W170" i="13"/>
  <c r="CC70" i="13"/>
  <c r="CC169" i="13"/>
  <c r="CC171" i="13"/>
  <c r="CC170" i="13"/>
  <c r="AG69" i="13"/>
  <c r="AG169" i="13"/>
  <c r="AG171" i="13"/>
  <c r="AG170" i="13"/>
  <c r="BX14" i="13"/>
  <c r="BX171" i="13"/>
  <c r="BX170" i="13"/>
  <c r="BX169" i="13"/>
  <c r="BL81" i="13"/>
  <c r="BL169" i="13"/>
  <c r="BL171" i="13"/>
  <c r="BL170" i="13"/>
  <c r="CL70" i="13"/>
  <c r="CL170" i="13"/>
  <c r="CL169" i="13"/>
  <c r="CL171" i="13"/>
  <c r="AJ14" i="13"/>
  <c r="AJ171" i="13"/>
  <c r="AJ170" i="13"/>
  <c r="AJ169" i="13"/>
  <c r="DJ69" i="13"/>
  <c r="DJ170" i="13"/>
  <c r="DJ169" i="13"/>
  <c r="DJ171" i="13"/>
  <c r="CJ70" i="13"/>
  <c r="CJ171" i="13"/>
  <c r="CJ169" i="13"/>
  <c r="CJ170" i="13"/>
  <c r="CZ81" i="13"/>
  <c r="CZ169" i="13"/>
  <c r="CZ171" i="13"/>
  <c r="CZ170" i="13"/>
  <c r="AD14" i="13"/>
  <c r="AD169" i="13"/>
  <c r="AD171" i="13"/>
  <c r="AD170" i="13"/>
  <c r="CB14" i="13"/>
  <c r="CB171" i="13"/>
  <c r="CB169" i="13"/>
  <c r="CB170" i="13"/>
  <c r="AH68" i="13"/>
  <c r="AH170" i="13"/>
  <c r="AH169" i="13"/>
  <c r="AH171" i="13"/>
  <c r="L81" i="13"/>
  <c r="L171" i="13"/>
  <c r="L170" i="13"/>
  <c r="L169" i="13"/>
  <c r="AO81" i="13"/>
  <c r="AO169" i="13"/>
  <c r="AO171" i="13"/>
  <c r="AO170" i="13"/>
  <c r="AK68" i="13"/>
  <c r="AK169" i="13"/>
  <c r="AK171" i="13"/>
  <c r="AK170" i="13"/>
  <c r="CW70" i="13"/>
  <c r="CW169" i="13"/>
  <c r="CW171" i="13"/>
  <c r="CW170" i="13"/>
  <c r="BT81" i="13"/>
  <c r="BT169" i="13"/>
  <c r="BT171" i="13"/>
  <c r="BT170" i="13"/>
  <c r="CH69" i="13"/>
  <c r="CH169" i="13"/>
  <c r="CH171" i="13"/>
  <c r="CH170" i="13"/>
  <c r="AY14" i="13"/>
  <c r="AY171" i="13"/>
  <c r="AY170" i="13"/>
  <c r="AY169" i="13"/>
  <c r="DI68" i="13"/>
  <c r="DI169" i="13"/>
  <c r="DI171" i="13"/>
  <c r="DI170" i="13"/>
  <c r="BI14" i="13"/>
  <c r="BI169" i="13"/>
  <c r="BI171" i="13"/>
  <c r="BI170" i="13"/>
  <c r="CX81" i="13"/>
  <c r="CX169" i="13"/>
  <c r="CX171" i="13"/>
  <c r="CX170" i="13"/>
  <c r="CY14" i="13"/>
  <c r="CY169" i="13"/>
  <c r="CY170" i="13"/>
  <c r="CY171" i="13"/>
  <c r="AI14" i="13"/>
  <c r="AI171" i="13"/>
  <c r="AI170" i="13"/>
  <c r="AI169" i="13"/>
  <c r="AC14" i="13"/>
  <c r="AC169" i="13"/>
  <c r="AC171" i="13"/>
  <c r="AC170" i="13"/>
  <c r="BV14" i="13"/>
  <c r="BV170" i="13"/>
  <c r="BV169" i="13"/>
  <c r="BV171" i="13"/>
  <c r="CT14" i="13"/>
  <c r="CT170" i="13"/>
  <c r="CT169" i="13"/>
  <c r="CT171" i="13"/>
  <c r="M69" i="13"/>
  <c r="M169" i="13"/>
  <c r="M171" i="13"/>
  <c r="M170" i="13"/>
  <c r="BD14" i="13"/>
  <c r="BD171" i="13"/>
  <c r="BD169" i="13"/>
  <c r="BD170" i="13"/>
  <c r="AE14" i="13"/>
  <c r="AE169" i="13"/>
  <c r="AE171" i="13"/>
  <c r="AE170" i="13"/>
  <c r="CE81" i="13"/>
  <c r="CE171" i="13"/>
  <c r="CE170" i="13"/>
  <c r="CE169" i="13"/>
  <c r="AW69" i="13"/>
  <c r="AW169" i="13"/>
  <c r="AW171" i="13"/>
  <c r="AW170" i="13"/>
  <c r="BZ14" i="13"/>
  <c r="BZ169" i="13"/>
  <c r="BZ171" i="13"/>
  <c r="BZ170" i="13"/>
  <c r="CN69" i="13"/>
  <c r="CN169" i="13"/>
  <c r="CN171" i="13"/>
  <c r="CN170" i="13"/>
  <c r="DA69" i="13"/>
  <c r="DA169" i="13"/>
  <c r="DA171" i="13"/>
  <c r="DA170" i="13"/>
  <c r="AL81" i="13"/>
  <c r="AL169" i="13"/>
  <c r="AL171" i="13"/>
  <c r="AL170" i="13"/>
  <c r="CA68" i="13"/>
  <c r="CA169" i="13"/>
  <c r="CA171" i="13"/>
  <c r="CA170" i="13"/>
  <c r="BA14" i="13"/>
  <c r="BA169" i="13"/>
  <c r="BA171" i="13"/>
  <c r="BA170" i="13"/>
  <c r="BY14" i="13"/>
  <c r="BY169" i="13"/>
  <c r="BY171" i="13"/>
  <c r="BY170" i="13"/>
  <c r="BC81" i="13"/>
  <c r="BC169" i="13"/>
  <c r="BC171" i="13"/>
  <c r="BC170" i="13"/>
  <c r="CG81" i="13"/>
  <c r="CG169" i="13"/>
  <c r="CG171" i="13"/>
  <c r="CG170" i="13"/>
  <c r="DF81" i="13"/>
  <c r="DF169" i="13"/>
  <c r="DF171" i="13"/>
  <c r="DF170" i="13"/>
  <c r="N69" i="13"/>
  <c r="N169" i="13"/>
  <c r="N171" i="13"/>
  <c r="N170" i="13"/>
  <c r="AA81" i="13"/>
  <c r="AA171" i="13"/>
  <c r="AA170" i="13"/>
  <c r="AA169" i="13"/>
  <c r="DE14" i="13"/>
  <c r="DE169" i="13"/>
  <c r="DE171" i="13"/>
  <c r="DE170" i="13"/>
  <c r="CQ81" i="13"/>
  <c r="CQ169" i="13"/>
  <c r="CQ170" i="13"/>
  <c r="CQ171" i="13"/>
  <c r="AM70" i="13"/>
  <c r="AM169" i="13"/>
  <c r="AM171" i="13"/>
  <c r="AM170" i="13"/>
  <c r="AB81" i="13"/>
  <c r="AB171" i="13"/>
  <c r="AB170" i="13"/>
  <c r="AB169" i="13"/>
  <c r="R14" i="13"/>
  <c r="R170" i="13"/>
  <c r="R169" i="13"/>
  <c r="R171" i="13"/>
  <c r="CS69" i="13"/>
  <c r="CS169" i="13"/>
  <c r="CS171" i="13"/>
  <c r="CS170" i="13"/>
  <c r="O81" i="13"/>
  <c r="O169" i="13"/>
  <c r="O171" i="13"/>
  <c r="O170" i="13"/>
  <c r="U81" i="13"/>
  <c r="U169" i="13"/>
  <c r="U171" i="13"/>
  <c r="U170" i="13"/>
  <c r="AF81" i="13"/>
  <c r="AF169" i="13"/>
  <c r="AF171" i="13"/>
  <c r="AF170" i="13"/>
  <c r="AP14" i="13"/>
  <c r="AP170" i="13"/>
  <c r="AP169" i="13"/>
  <c r="AP171" i="13"/>
  <c r="BU14" i="13"/>
  <c r="BU169" i="13"/>
  <c r="BU171" i="13"/>
  <c r="BU170" i="13"/>
  <c r="Y14" i="13"/>
  <c r="Y169" i="13"/>
  <c r="Y171" i="13"/>
  <c r="Y170" i="13"/>
  <c r="BW81" i="13"/>
  <c r="BW171" i="13"/>
  <c r="BW170" i="13"/>
  <c r="BW169" i="13"/>
  <c r="DQ69" i="13"/>
  <c r="DQ169" i="13"/>
  <c r="DQ171" i="13"/>
  <c r="DQ170" i="13"/>
  <c r="Q14" i="13"/>
  <c r="Q169" i="13"/>
  <c r="Q171" i="13"/>
  <c r="Q170" i="13"/>
  <c r="S69" i="13"/>
  <c r="S171" i="13"/>
  <c r="S170" i="13"/>
  <c r="S169" i="13"/>
  <c r="DH81" i="13"/>
  <c r="DH171" i="13"/>
  <c r="DH169" i="13"/>
  <c r="DH170" i="13"/>
  <c r="T14" i="13"/>
  <c r="T171" i="13"/>
  <c r="T170" i="13"/>
  <c r="T169" i="13"/>
  <c r="DK68" i="13"/>
  <c r="DK171" i="13"/>
  <c r="DK170" i="13"/>
  <c r="DK169" i="13"/>
  <c r="AS14" i="13"/>
  <c r="AS169" i="13"/>
  <c r="AS171" i="13"/>
  <c r="AS170" i="13"/>
  <c r="X81" i="13"/>
  <c r="X171" i="13"/>
  <c r="X169" i="13"/>
  <c r="X170" i="13"/>
  <c r="CM14" i="13"/>
  <c r="CM171" i="13"/>
  <c r="CM170" i="13"/>
  <c r="CM169" i="13"/>
  <c r="AQ14" i="13"/>
  <c r="AQ171" i="13"/>
  <c r="AQ170" i="13"/>
  <c r="AQ169" i="13"/>
  <c r="P14" i="13"/>
  <c r="P169" i="13"/>
  <c r="P171" i="13"/>
  <c r="P170" i="13"/>
  <c r="DM14" i="13"/>
  <c r="DM169" i="13"/>
  <c r="DM171" i="13"/>
  <c r="DM170" i="13"/>
  <c r="BP81" i="13"/>
  <c r="BP171" i="13"/>
  <c r="BP170" i="13"/>
  <c r="BP169" i="13"/>
  <c r="BR69" i="13"/>
  <c r="AN81" i="13"/>
  <c r="AN69" i="13"/>
  <c r="AN14" i="13"/>
  <c r="AN68" i="13"/>
  <c r="AY68" i="13"/>
  <c r="AZ70" i="13"/>
  <c r="BI81" i="13"/>
  <c r="AJ81" i="13"/>
  <c r="AC68" i="13"/>
  <c r="CU14" i="13"/>
  <c r="BQ68" i="13"/>
  <c r="CF14" i="13"/>
  <c r="BQ70" i="13"/>
  <c r="BQ81" i="13"/>
  <c r="DO69" i="13"/>
  <c r="T69" i="13"/>
  <c r="AS69" i="13"/>
  <c r="X69" i="13"/>
  <c r="BW14" i="13"/>
  <c r="BP68" i="13"/>
  <c r="CM70" i="13"/>
  <c r="Q69" i="13"/>
  <c r="AQ70" i="13"/>
  <c r="DM70" i="13"/>
  <c r="AS81" i="13"/>
  <c r="AK14" i="13"/>
  <c r="CH68" i="13"/>
  <c r="AH14" i="13"/>
  <c r="CH70" i="13"/>
  <c r="CX69" i="13"/>
  <c r="CY81" i="13"/>
  <c r="AH70" i="13"/>
  <c r="CX68" i="13"/>
  <c r="AK81" i="13"/>
  <c r="CW69" i="13"/>
  <c r="CW68" i="13"/>
  <c r="CY70" i="13"/>
  <c r="CY69" i="13"/>
  <c r="AM14" i="13"/>
  <c r="T68" i="13"/>
  <c r="AS68" i="13"/>
  <c r="S14" i="13"/>
  <c r="BW70" i="13"/>
  <c r="T81" i="13"/>
  <c r="AQ81" i="13"/>
  <c r="DM68" i="13"/>
  <c r="T70" i="13"/>
  <c r="CM68" i="13"/>
  <c r="AS70" i="13"/>
  <c r="AQ68" i="13"/>
  <c r="BW68" i="13"/>
  <c r="Q68" i="13"/>
  <c r="X70" i="13"/>
  <c r="CM81" i="13"/>
  <c r="DM69" i="13"/>
  <c r="CM69" i="13"/>
  <c r="BP70" i="13"/>
  <c r="AQ69" i="13"/>
  <c r="X68" i="13"/>
  <c r="S81" i="13"/>
  <c r="DK14" i="13"/>
  <c r="DM81" i="13"/>
  <c r="BP69" i="13"/>
  <c r="P69" i="13"/>
  <c r="X14" i="13"/>
  <c r="P81" i="13"/>
  <c r="DK69" i="13"/>
  <c r="S68" i="13"/>
  <c r="BP14" i="13"/>
  <c r="P68" i="13"/>
  <c r="Q81" i="13"/>
  <c r="DK70" i="13"/>
  <c r="DH69" i="13"/>
  <c r="S70" i="13"/>
  <c r="P70" i="13"/>
  <c r="DK81" i="13"/>
  <c r="DQ14" i="13"/>
  <c r="DH14" i="13"/>
  <c r="DQ70" i="13"/>
  <c r="AP68" i="13"/>
  <c r="AF69" i="13"/>
  <c r="AP70" i="13"/>
  <c r="U68" i="13"/>
  <c r="U14" i="13"/>
  <c r="O69" i="13"/>
  <c r="I147" i="12"/>
  <c r="J147" i="12" s="1"/>
  <c r="K25" i="16"/>
  <c r="K26" i="16" s="1"/>
  <c r="K28" i="16" s="1"/>
  <c r="K37" i="16" s="1"/>
  <c r="K103" i="16" s="1"/>
  <c r="K7" i="16"/>
  <c r="L6" i="16" s="1"/>
  <c r="N14" i="13"/>
  <c r="R81" i="13"/>
  <c r="AP81" i="13"/>
  <c r="DF70" i="13"/>
  <c r="AP69" i="13"/>
  <c r="O14" i="13"/>
  <c r="AF14" i="13"/>
  <c r="CS81" i="13"/>
  <c r="DE70" i="13"/>
  <c r="DE81" i="13"/>
  <c r="AA69" i="13"/>
  <c r="CS70" i="13"/>
  <c r="CQ68" i="13"/>
  <c r="CG68" i="13"/>
  <c r="N81" i="13"/>
  <c r="R69" i="13"/>
  <c r="CS14" i="13"/>
  <c r="AB69" i="13"/>
  <c r="CQ14" i="13"/>
  <c r="CG14" i="13"/>
  <c r="CH14" i="13"/>
  <c r="AO68" i="13"/>
  <c r="AY70" i="13"/>
  <c r="CX70" i="13"/>
  <c r="L70" i="13"/>
  <c r="CY68" i="13"/>
  <c r="CW14" i="13"/>
  <c r="AI81" i="13"/>
  <c r="DI14" i="13"/>
  <c r="AO69" i="13"/>
  <c r="AY69" i="13"/>
  <c r="BT69" i="13"/>
  <c r="CX14" i="13"/>
  <c r="CB69" i="13"/>
  <c r="L68" i="13"/>
  <c r="AI68" i="13"/>
  <c r="AY81" i="13"/>
  <c r="DI70" i="13"/>
  <c r="AO70" i="13"/>
  <c r="BT68" i="13"/>
  <c r="BI68" i="13"/>
  <c r="CB68" i="13"/>
  <c r="L69" i="13"/>
  <c r="AI70" i="13"/>
  <c r="CH81" i="13"/>
  <c r="AH81" i="13"/>
  <c r="DI81" i="13"/>
  <c r="L14" i="13"/>
  <c r="AO14" i="13"/>
  <c r="BT70" i="13"/>
  <c r="BI70" i="13"/>
  <c r="CB70" i="13"/>
  <c r="AK70" i="13"/>
  <c r="AI69" i="13"/>
  <c r="CB81" i="13"/>
  <c r="CW81" i="13"/>
  <c r="DI69" i="13"/>
  <c r="BT14" i="13"/>
  <c r="BI69" i="13"/>
  <c r="AK69" i="13"/>
  <c r="AH69" i="13"/>
  <c r="BZ68" i="13"/>
  <c r="CJ14" i="13"/>
  <c r="BA70" i="13"/>
  <c r="AG14" i="13"/>
  <c r="M14" i="13"/>
  <c r="AJ69" i="13"/>
  <c r="CT68" i="13"/>
  <c r="BD81" i="13"/>
  <c r="CZ68" i="13"/>
  <c r="CE69" i="13"/>
  <c r="CV14" i="13"/>
  <c r="CL14" i="13"/>
  <c r="BJ68" i="13"/>
  <c r="W14" i="13"/>
  <c r="BL70" i="13"/>
  <c r="CZ69" i="13"/>
  <c r="BL14" i="13"/>
  <c r="AX69" i="13"/>
  <c r="AE68" i="13"/>
  <c r="CZ70" i="13"/>
  <c r="AE81" i="13"/>
  <c r="DA70" i="13"/>
  <c r="BX69" i="13"/>
  <c r="AW14" i="13"/>
  <c r="AL68" i="13"/>
  <c r="CZ14" i="13"/>
  <c r="BZ81" i="13"/>
  <c r="DJ81" i="13"/>
  <c r="BJ14" i="13"/>
  <c r="BD68" i="13"/>
  <c r="CN14" i="13"/>
  <c r="BV70" i="13"/>
  <c r="CC68" i="13"/>
  <c r="BY68" i="13"/>
  <c r="CL81" i="13"/>
  <c r="W69" i="13"/>
  <c r="AG70" i="13"/>
  <c r="CA14" i="13"/>
  <c r="CJ69" i="13"/>
  <c r="CC14" i="13"/>
  <c r="DF69" i="13"/>
  <c r="BR70" i="13"/>
  <c r="BR14" i="13"/>
  <c r="CR70" i="13"/>
  <c r="CP14" i="13"/>
  <c r="CK70" i="13"/>
  <c r="BN14" i="13"/>
  <c r="BR81" i="13"/>
  <c r="BK69" i="13"/>
  <c r="AJ85" i="15"/>
  <c r="BQ14" i="13"/>
  <c r="CF81" i="13"/>
  <c r="DP81" i="13"/>
  <c r="AZ81" i="13"/>
  <c r="BM14" i="13"/>
  <c r="BU69" i="13"/>
  <c r="BC14" i="13"/>
  <c r="BU81" i="13"/>
  <c r="AC69" i="13"/>
  <c r="CF69" i="13"/>
  <c r="BD70" i="13"/>
  <c r="K68" i="13"/>
  <c r="M70" i="13"/>
  <c r="CI68" i="13"/>
  <c r="BF70" i="13"/>
  <c r="AW70" i="13"/>
  <c r="CA69" i="13"/>
  <c r="AL70" i="13"/>
  <c r="CD68" i="13"/>
  <c r="BB14" i="13"/>
  <c r="BH68" i="13"/>
  <c r="CD81" i="13"/>
  <c r="M81" i="13"/>
  <c r="CT81" i="13"/>
  <c r="K70" i="13"/>
  <c r="BZ69" i="13"/>
  <c r="AV69" i="13"/>
  <c r="BF69" i="13"/>
  <c r="CN68" i="13"/>
  <c r="AL14" i="13"/>
  <c r="BG68" i="13"/>
  <c r="CD14" i="13"/>
  <c r="AE70" i="13"/>
  <c r="BH69" i="13"/>
  <c r="CO70" i="13"/>
  <c r="CI81" i="13"/>
  <c r="BZ70" i="13"/>
  <c r="V69" i="13"/>
  <c r="AV68" i="13"/>
  <c r="BF14" i="13"/>
  <c r="CN70" i="13"/>
  <c r="BG69" i="13"/>
  <c r="CE68" i="13"/>
  <c r="BV68" i="13"/>
  <c r="AE69" i="13"/>
  <c r="CT70" i="13"/>
  <c r="CO69" i="13"/>
  <c r="V81" i="13"/>
  <c r="CN81" i="13"/>
  <c r="CO81" i="13"/>
  <c r="DN14" i="13"/>
  <c r="DA14" i="13"/>
  <c r="BD69" i="13"/>
  <c r="AV70" i="13"/>
  <c r="CE70" i="13"/>
  <c r="BV69" i="13"/>
  <c r="AR68" i="13"/>
  <c r="AU70" i="13"/>
  <c r="CT69" i="13"/>
  <c r="BY69" i="13"/>
  <c r="BA68" i="13"/>
  <c r="CA81" i="13"/>
  <c r="BV81" i="13"/>
  <c r="BB81" i="13"/>
  <c r="BY81" i="13"/>
  <c r="DN68" i="13"/>
  <c r="DA81" i="13"/>
  <c r="CA70" i="13"/>
  <c r="CE14" i="13"/>
  <c r="AR69" i="13"/>
  <c r="AU69" i="13"/>
  <c r="BB68" i="13"/>
  <c r="BY70" i="13"/>
  <c r="BA69" i="13"/>
  <c r="AW81" i="13"/>
  <c r="BA81" i="13"/>
  <c r="DN70" i="13"/>
  <c r="DA68" i="13"/>
  <c r="M68" i="13"/>
  <c r="AW68" i="13"/>
  <c r="AL69" i="13"/>
  <c r="AU14" i="13"/>
  <c r="AC70" i="13"/>
  <c r="BW69" i="13"/>
  <c r="AZ68" i="13"/>
  <c r="BU68" i="13"/>
  <c r="AC81" i="13"/>
  <c r="AX81" i="13"/>
  <c r="DP70" i="13"/>
  <c r="DO81" i="13"/>
  <c r="AD69" i="13"/>
  <c r="Y68" i="13"/>
  <c r="AZ69" i="13"/>
  <c r="BU70" i="13"/>
  <c r="AD70" i="13"/>
  <c r="CU68" i="13"/>
  <c r="Y69" i="13"/>
  <c r="Q70" i="13"/>
  <c r="CU81" i="13"/>
  <c r="Y81" i="13"/>
  <c r="Z81" i="13"/>
  <c r="CV81" i="13"/>
  <c r="CC81" i="13"/>
  <c r="DG69" i="13"/>
  <c r="DQ81" i="13"/>
  <c r="DH70" i="13"/>
  <c r="CF68" i="13"/>
  <c r="AD68" i="13"/>
  <c r="CU70" i="13"/>
  <c r="Y70" i="13"/>
  <c r="BM68" i="13"/>
  <c r="CV68" i="13"/>
  <c r="BC70" i="13"/>
  <c r="AG81" i="13"/>
  <c r="AD81" i="13"/>
  <c r="BJ81" i="13"/>
  <c r="DC70" i="13"/>
  <c r="DJ70" i="13"/>
  <c r="DG81" i="13"/>
  <c r="DQ68" i="13"/>
  <c r="DH68" i="13"/>
  <c r="BM69" i="13"/>
  <c r="BC68" i="13"/>
  <c r="DC81" i="13"/>
  <c r="BM70" i="13"/>
  <c r="BC69" i="13"/>
  <c r="BO69" i="13"/>
  <c r="BS14" i="13"/>
  <c r="CR81" i="13"/>
  <c r="DB69" i="13"/>
  <c r="DD70" i="13"/>
  <c r="CK68" i="13"/>
  <c r="BK70" i="13"/>
  <c r="W68" i="13"/>
  <c r="BL68" i="13"/>
  <c r="CQ70" i="13"/>
  <c r="O68" i="13"/>
  <c r="U70" i="13"/>
  <c r="CG69" i="13"/>
  <c r="CP69" i="13"/>
  <c r="CL69" i="13"/>
  <c r="AM68" i="13"/>
  <c r="BN68" i="13"/>
  <c r="N70" i="13"/>
  <c r="CJ81" i="13"/>
  <c r="BO81" i="13"/>
  <c r="DD81" i="13"/>
  <c r="DE69" i="13"/>
  <c r="BE70" i="13"/>
  <c r="AT70" i="13"/>
  <c r="AG68" i="13"/>
  <c r="CS68" i="13"/>
  <c r="CR69" i="13"/>
  <c r="CK69" i="13"/>
  <c r="BK68" i="13"/>
  <c r="W70" i="13"/>
  <c r="CR68" i="13"/>
  <c r="BL69" i="13"/>
  <c r="CQ69" i="13"/>
  <c r="O70" i="13"/>
  <c r="U69" i="13"/>
  <c r="CG70" i="13"/>
  <c r="CP70" i="13"/>
  <c r="CL68" i="13"/>
  <c r="AM69" i="13"/>
  <c r="BN69" i="13"/>
  <c r="N68" i="13"/>
  <c r="DC14" i="13"/>
  <c r="DP14" i="13"/>
  <c r="DJ14" i="13"/>
  <c r="DE68" i="13"/>
  <c r="DO14" i="13"/>
  <c r="DF14" i="13"/>
  <c r="K7" i="13"/>
  <c r="K14" i="13"/>
  <c r="CK14" i="13"/>
  <c r="Z68" i="13"/>
  <c r="BE81" i="13"/>
  <c r="CP81" i="13"/>
  <c r="DB14" i="13"/>
  <c r="BX68" i="13"/>
  <c r="AA68" i="13"/>
  <c r="R68" i="13"/>
  <c r="AB68" i="13"/>
  <c r="BE68" i="13"/>
  <c r="AT68" i="13"/>
  <c r="AX68" i="13"/>
  <c r="AJ68" i="13"/>
  <c r="BO70" i="13"/>
  <c r="CJ68" i="13"/>
  <c r="Z70" i="13"/>
  <c r="CV70" i="13"/>
  <c r="CC69" i="13"/>
  <c r="BJ69" i="13"/>
  <c r="AF70" i="13"/>
  <c r="BS68" i="13"/>
  <c r="BK81" i="13"/>
  <c r="AM81" i="13"/>
  <c r="DC69" i="13"/>
  <c r="DB81" i="13"/>
  <c r="DD14" i="13"/>
  <c r="DJ68" i="13"/>
  <c r="DG70" i="13"/>
  <c r="DF68" i="13"/>
  <c r="BS70" i="13"/>
  <c r="BX70" i="13"/>
  <c r="AA70" i="13"/>
  <c r="R70" i="13"/>
  <c r="AB70" i="13"/>
  <c r="BE69" i="13"/>
  <c r="AT69" i="13"/>
  <c r="AX70" i="13"/>
  <c r="AJ70" i="13"/>
  <c r="BO68" i="13"/>
  <c r="Z69" i="13"/>
  <c r="AF68" i="13"/>
  <c r="BS69" i="13"/>
  <c r="BX81" i="13"/>
  <c r="AT81" i="13"/>
  <c r="DB70" i="13"/>
  <c r="DP68" i="13"/>
  <c r="DD69" i="13"/>
  <c r="DG68" i="13"/>
  <c r="DO68" i="13"/>
  <c r="BN81" i="13"/>
  <c r="AA14" i="13"/>
  <c r="AB14" i="13"/>
  <c r="H10" i="13"/>
  <c r="H10" i="16"/>
  <c r="H78" i="12"/>
  <c r="H77" i="12"/>
  <c r="H75" i="12"/>
  <c r="H76" i="12"/>
  <c r="H73" i="12"/>
  <c r="H89" i="12"/>
  <c r="H88" i="12"/>
  <c r="H74" i="12"/>
  <c r="H79" i="12"/>
  <c r="G67" i="13"/>
  <c r="K67" i="13" s="1"/>
  <c r="K99" i="13"/>
  <c r="K9" i="13"/>
  <c r="G11" i="1"/>
  <c r="F11" i="1"/>
  <c r="Q11" i="1"/>
  <c r="H11" i="1"/>
  <c r="I26" i="1"/>
  <c r="H28" i="1"/>
  <c r="P11" i="1"/>
  <c r="O11" i="1"/>
  <c r="R11" i="1"/>
  <c r="K22" i="13" a="1"/>
  <c r="K27" i="13" a="1"/>
  <c r="K20" i="13" a="1"/>
  <c r="K26" i="13" a="1"/>
  <c r="K19" i="13" a="1"/>
  <c r="K29" i="13" a="1"/>
  <c r="K21" i="13" a="1"/>
  <c r="K28" i="13" a="1"/>
  <c r="K24" i="13" a="1"/>
  <c r="K23" i="13" a="1"/>
  <c r="K18" i="13" a="1"/>
  <c r="K25" i="13" a="1"/>
  <c r="AF87" i="15" l="1"/>
  <c r="AG86" i="15"/>
  <c r="L25" i="16"/>
  <c r="L26" i="16" s="1"/>
  <c r="L28" i="16" s="1"/>
  <c r="L118" i="16" s="1"/>
  <c r="L164" i="16"/>
  <c r="L173" i="13"/>
  <c r="M173" i="13" s="1"/>
  <c r="N173" i="13" s="1"/>
  <c r="O173" i="13" s="1"/>
  <c r="P173" i="13" s="1"/>
  <c r="Q173" i="13" s="1"/>
  <c r="R173" i="13" s="1"/>
  <c r="S173" i="13" s="1"/>
  <c r="T173" i="13" s="1"/>
  <c r="U173" i="13" s="1"/>
  <c r="V173" i="13" s="1"/>
  <c r="W173" i="13" s="1"/>
  <c r="X173" i="13" s="1"/>
  <c r="Y173" i="13" s="1"/>
  <c r="Z173" i="13" s="1"/>
  <c r="AA173" i="13" s="1"/>
  <c r="AB173" i="13" s="1"/>
  <c r="AC173" i="13" s="1"/>
  <c r="AD173" i="13" s="1"/>
  <c r="AE173" i="13" s="1"/>
  <c r="AF173" i="13" s="1"/>
  <c r="AG173" i="13" s="1"/>
  <c r="AH173" i="13" s="1"/>
  <c r="AI173" i="13" s="1"/>
  <c r="AJ173" i="13" s="1"/>
  <c r="AK173" i="13" s="1"/>
  <c r="AL173" i="13" s="1"/>
  <c r="AM173" i="13" s="1"/>
  <c r="AN173" i="13" s="1"/>
  <c r="AO173" i="13" s="1"/>
  <c r="AP173" i="13" s="1"/>
  <c r="AQ173" i="13" s="1"/>
  <c r="AR173" i="13" s="1"/>
  <c r="AS173" i="13" s="1"/>
  <c r="AT173" i="13" s="1"/>
  <c r="AU173" i="13" s="1"/>
  <c r="AV173" i="13" s="1"/>
  <c r="AW173" i="13" s="1"/>
  <c r="AX173" i="13" s="1"/>
  <c r="AY173" i="13" s="1"/>
  <c r="AZ173" i="13" s="1"/>
  <c r="BA173" i="13" s="1"/>
  <c r="BB173" i="13" s="1"/>
  <c r="BC173" i="13" s="1"/>
  <c r="BD173" i="13" s="1"/>
  <c r="BE173" i="13" s="1"/>
  <c r="BF173" i="13" s="1"/>
  <c r="BG173" i="13" s="1"/>
  <c r="BH173" i="13" s="1"/>
  <c r="BI173" i="13" s="1"/>
  <c r="BJ173" i="13" s="1"/>
  <c r="BK173" i="13" s="1"/>
  <c r="BL173" i="13" s="1"/>
  <c r="BM173" i="13" s="1"/>
  <c r="BN173" i="13" s="1"/>
  <c r="BO173" i="13" s="1"/>
  <c r="BP173" i="13" s="1"/>
  <c r="BQ173" i="13" s="1"/>
  <c r="BR173" i="13" s="1"/>
  <c r="BS173" i="13" s="1"/>
  <c r="BT173" i="13" s="1"/>
  <c r="BU173" i="13" s="1"/>
  <c r="BV173" i="13" s="1"/>
  <c r="BW173" i="13" s="1"/>
  <c r="BX173" i="13" s="1"/>
  <c r="BY173" i="13" s="1"/>
  <c r="BZ173" i="13" s="1"/>
  <c r="CA173" i="13" s="1"/>
  <c r="CB173" i="13" s="1"/>
  <c r="CC173" i="13" s="1"/>
  <c r="CD173" i="13" s="1"/>
  <c r="CE173" i="13" s="1"/>
  <c r="CF173" i="13" s="1"/>
  <c r="CG173" i="13" s="1"/>
  <c r="CH173" i="13" s="1"/>
  <c r="CI173" i="13" s="1"/>
  <c r="CJ173" i="13" s="1"/>
  <c r="CK173" i="13" s="1"/>
  <c r="CL173" i="13" s="1"/>
  <c r="CM173" i="13" s="1"/>
  <c r="CN173" i="13" s="1"/>
  <c r="CO173" i="13" s="1"/>
  <c r="CP173" i="13" s="1"/>
  <c r="CQ173" i="13" s="1"/>
  <c r="CR173" i="13" s="1"/>
  <c r="CS173" i="13" s="1"/>
  <c r="CT173" i="13" s="1"/>
  <c r="CU173" i="13" s="1"/>
  <c r="CV173" i="13" s="1"/>
  <c r="CW173" i="13" s="1"/>
  <c r="CX173" i="13" s="1"/>
  <c r="CY173" i="13" s="1"/>
  <c r="CZ173" i="13" s="1"/>
  <c r="DA173" i="13" s="1"/>
  <c r="DB173" i="13" s="1"/>
  <c r="DC173" i="13" s="1"/>
  <c r="DD173" i="13" s="1"/>
  <c r="DE173" i="13" s="1"/>
  <c r="DF173" i="13" s="1"/>
  <c r="DG173" i="13" s="1"/>
  <c r="DH173" i="13" s="1"/>
  <c r="DI173" i="13" s="1"/>
  <c r="DJ173" i="13" s="1"/>
  <c r="DK173" i="13" s="1"/>
  <c r="DL173" i="13" s="1"/>
  <c r="DM173" i="13" s="1"/>
  <c r="DN173" i="13" s="1"/>
  <c r="DO173" i="13" s="1"/>
  <c r="DP173" i="13" s="1"/>
  <c r="DQ173" i="13" s="1"/>
  <c r="L174" i="13"/>
  <c r="M174" i="13" s="1"/>
  <c r="N174" i="13" s="1"/>
  <c r="O174" i="13" s="1"/>
  <c r="P174" i="13" s="1"/>
  <c r="Q174" i="13" s="1"/>
  <c r="R174" i="13" s="1"/>
  <c r="S174" i="13" s="1"/>
  <c r="T174" i="13" s="1"/>
  <c r="U174" i="13" s="1"/>
  <c r="V174" i="13" s="1"/>
  <c r="W174" i="13" s="1"/>
  <c r="X174" i="13" s="1"/>
  <c r="Y174" i="13" s="1"/>
  <c r="Z174" i="13" s="1"/>
  <c r="AA174" i="13" s="1"/>
  <c r="AB174" i="13" s="1"/>
  <c r="AC174" i="13" s="1"/>
  <c r="AD174" i="13" s="1"/>
  <c r="AE174" i="13" s="1"/>
  <c r="AF174" i="13" s="1"/>
  <c r="AG174" i="13" s="1"/>
  <c r="AH174" i="13" s="1"/>
  <c r="AI174" i="13" s="1"/>
  <c r="AJ174" i="13" s="1"/>
  <c r="AK174" i="13" s="1"/>
  <c r="AL174" i="13" s="1"/>
  <c r="AM174" i="13" s="1"/>
  <c r="AN174" i="13" s="1"/>
  <c r="AO174" i="13" s="1"/>
  <c r="AP174" i="13" s="1"/>
  <c r="AQ174" i="13" s="1"/>
  <c r="AR174" i="13" s="1"/>
  <c r="AS174" i="13" s="1"/>
  <c r="AT174" i="13" s="1"/>
  <c r="AU174" i="13" s="1"/>
  <c r="AV174" i="13" s="1"/>
  <c r="AW174" i="13" s="1"/>
  <c r="AX174" i="13" s="1"/>
  <c r="AY174" i="13" s="1"/>
  <c r="AZ174" i="13" s="1"/>
  <c r="BA174" i="13" s="1"/>
  <c r="BB174" i="13" s="1"/>
  <c r="BC174" i="13" s="1"/>
  <c r="BD174" i="13" s="1"/>
  <c r="BE174" i="13" s="1"/>
  <c r="BF174" i="13" s="1"/>
  <c r="BG174" i="13" s="1"/>
  <c r="BH174" i="13" s="1"/>
  <c r="BI174" i="13" s="1"/>
  <c r="BJ174" i="13" s="1"/>
  <c r="BK174" i="13" s="1"/>
  <c r="BL174" i="13" s="1"/>
  <c r="BM174" i="13" s="1"/>
  <c r="BN174" i="13" s="1"/>
  <c r="BO174" i="13" s="1"/>
  <c r="BP174" i="13" s="1"/>
  <c r="BQ174" i="13" s="1"/>
  <c r="BR174" i="13" s="1"/>
  <c r="BS174" i="13" s="1"/>
  <c r="BT174" i="13" s="1"/>
  <c r="BU174" i="13" s="1"/>
  <c r="BV174" i="13" s="1"/>
  <c r="BW174" i="13" s="1"/>
  <c r="BX174" i="13" s="1"/>
  <c r="BY174" i="13" s="1"/>
  <c r="BZ174" i="13" s="1"/>
  <c r="CA174" i="13" s="1"/>
  <c r="CB174" i="13" s="1"/>
  <c r="CC174" i="13" s="1"/>
  <c r="CD174" i="13" s="1"/>
  <c r="CE174" i="13" s="1"/>
  <c r="CF174" i="13" s="1"/>
  <c r="CG174" i="13" s="1"/>
  <c r="CH174" i="13" s="1"/>
  <c r="CI174" i="13" s="1"/>
  <c r="CJ174" i="13" s="1"/>
  <c r="CK174" i="13" s="1"/>
  <c r="CL174" i="13" s="1"/>
  <c r="CM174" i="13" s="1"/>
  <c r="CN174" i="13" s="1"/>
  <c r="CO174" i="13" s="1"/>
  <c r="CP174" i="13" s="1"/>
  <c r="CQ174" i="13" s="1"/>
  <c r="CR174" i="13" s="1"/>
  <c r="CS174" i="13" s="1"/>
  <c r="CT174" i="13" s="1"/>
  <c r="CU174" i="13" s="1"/>
  <c r="CV174" i="13" s="1"/>
  <c r="CW174" i="13" s="1"/>
  <c r="CX174" i="13" s="1"/>
  <c r="CY174" i="13" s="1"/>
  <c r="CZ174" i="13" s="1"/>
  <c r="DA174" i="13" s="1"/>
  <c r="DB174" i="13" s="1"/>
  <c r="DC174" i="13" s="1"/>
  <c r="DD174" i="13" s="1"/>
  <c r="DE174" i="13" s="1"/>
  <c r="DF174" i="13" s="1"/>
  <c r="DG174" i="13" s="1"/>
  <c r="DH174" i="13" s="1"/>
  <c r="DI174" i="13" s="1"/>
  <c r="DJ174" i="13" s="1"/>
  <c r="DK174" i="13" s="1"/>
  <c r="DL174" i="13" s="1"/>
  <c r="DM174" i="13" s="1"/>
  <c r="DN174" i="13" s="1"/>
  <c r="DO174" i="13" s="1"/>
  <c r="DP174" i="13" s="1"/>
  <c r="DQ174" i="13" s="1"/>
  <c r="K118" i="16"/>
  <c r="K120" i="16" s="1"/>
  <c r="K121" i="16" s="1"/>
  <c r="K138" i="16"/>
  <c r="K139" i="16" s="1"/>
  <c r="K208" i="16" s="1"/>
  <c r="L21" i="16"/>
  <c r="L7" i="16"/>
  <c r="M6" i="16" s="1"/>
  <c r="L9" i="16"/>
  <c r="L10" i="16"/>
  <c r="L199" i="16" s="1"/>
  <c r="L213" i="16" s="1"/>
  <c r="K72" i="13"/>
  <c r="K84" i="13" s="1"/>
  <c r="K95" i="13" s="1"/>
  <c r="AK85" i="15"/>
  <c r="K26" i="13"/>
  <c r="K24" i="13"/>
  <c r="K20" i="13"/>
  <c r="K21" i="13"/>
  <c r="K19" i="13"/>
  <c r="K25" i="13"/>
  <c r="K18" i="13"/>
  <c r="K23" i="13"/>
  <c r="K27" i="13"/>
  <c r="K22" i="13"/>
  <c r="K28" i="13"/>
  <c r="K29" i="13"/>
  <c r="K10" i="13"/>
  <c r="K10" i="16"/>
  <c r="K199" i="16" s="1"/>
  <c r="K213" i="16" s="1"/>
  <c r="K107" i="13"/>
  <c r="L6" i="13"/>
  <c r="L67" i="13" s="1"/>
  <c r="K74" i="13"/>
  <c r="K80" i="13" s="1"/>
  <c r="K73" i="13"/>
  <c r="K79" i="13" s="1"/>
  <c r="J26" i="1"/>
  <c r="I28" i="1"/>
  <c r="AG87" i="15" l="1"/>
  <c r="AH86" i="15"/>
  <c r="K108" i="13"/>
  <c r="K111" i="13" s="1"/>
  <c r="M164" i="16"/>
  <c r="L138" i="16"/>
  <c r="K122" i="16"/>
  <c r="K75" i="16"/>
  <c r="L101" i="16"/>
  <c r="L108" i="16" s="1"/>
  <c r="L205" i="16"/>
  <c r="L212" i="16" s="1"/>
  <c r="K29" i="16"/>
  <c r="K205" i="16"/>
  <c r="K212" i="16" s="1"/>
  <c r="M25" i="16"/>
  <c r="M26" i="16" s="1"/>
  <c r="M28" i="16" s="1"/>
  <c r="M138" i="16" s="1"/>
  <c r="M21" i="16"/>
  <c r="M9" i="16"/>
  <c r="M10" i="16"/>
  <c r="M7" i="16"/>
  <c r="N6" i="16" s="1"/>
  <c r="K77" i="13"/>
  <c r="K82" i="13"/>
  <c r="K93" i="13" s="1"/>
  <c r="K78" i="13"/>
  <c r="L72" i="13"/>
  <c r="L83" i="13" s="1"/>
  <c r="L94" i="13" s="1"/>
  <c r="K83" i="13"/>
  <c r="K94" i="13" s="1"/>
  <c r="K92" i="13"/>
  <c r="K149" i="13"/>
  <c r="K15" i="13"/>
  <c r="K13" i="13"/>
  <c r="K87" i="13" s="1"/>
  <c r="K100" i="13" s="1"/>
  <c r="AL85" i="15"/>
  <c r="L7" i="13"/>
  <c r="L9" i="13"/>
  <c r="L99" i="13"/>
  <c r="L10" i="13"/>
  <c r="L73" i="13"/>
  <c r="L79" i="13" s="1"/>
  <c r="L74" i="13"/>
  <c r="L80" i="13" s="1"/>
  <c r="K26" i="1"/>
  <c r="J28" i="1"/>
  <c r="L21" i="13" a="1"/>
  <c r="L25" i="13" a="1"/>
  <c r="L27" i="13" a="1"/>
  <c r="L26" i="13" a="1"/>
  <c r="L29" i="13" a="1"/>
  <c r="L18" i="13" a="1"/>
  <c r="L24" i="13" a="1"/>
  <c r="L28" i="13" a="1"/>
  <c r="L23" i="13" a="1"/>
  <c r="L20" i="13" a="1"/>
  <c r="L22" i="13" a="1"/>
  <c r="L19" i="13" a="1"/>
  <c r="AH87" i="15" l="1"/>
  <c r="AI86" i="15"/>
  <c r="K120" i="13"/>
  <c r="K116" i="13"/>
  <c r="K122" i="13"/>
  <c r="K114" i="13"/>
  <c r="K113" i="13"/>
  <c r="K121" i="13"/>
  <c r="K118" i="13"/>
  <c r="K119" i="13"/>
  <c r="K112" i="13"/>
  <c r="K117" i="13"/>
  <c r="K115" i="13"/>
  <c r="N9" i="16"/>
  <c r="N164" i="16"/>
  <c r="M205" i="16"/>
  <c r="M212" i="16" s="1"/>
  <c r="M199" i="16"/>
  <c r="M213" i="16" s="1"/>
  <c r="L29" i="16"/>
  <c r="L187" i="16" s="1"/>
  <c r="K187" i="16"/>
  <c r="K152" i="16"/>
  <c r="K170" i="16"/>
  <c r="L78" i="13"/>
  <c r="L77" i="13"/>
  <c r="L84" i="13"/>
  <c r="L95" i="13" s="1"/>
  <c r="L82" i="13"/>
  <c r="L93" i="13" s="1"/>
  <c r="M101" i="16"/>
  <c r="M118" i="16"/>
  <c r="N10" i="16"/>
  <c r="N7" i="16"/>
  <c r="O6" i="16" s="1"/>
  <c r="N25" i="16"/>
  <c r="N26" i="16" s="1"/>
  <c r="N28" i="16" s="1"/>
  <c r="N21" i="16"/>
  <c r="L150" i="13"/>
  <c r="K151" i="13"/>
  <c r="K144" i="16" s="1"/>
  <c r="K91" i="13"/>
  <c r="K90" i="13"/>
  <c r="L15" i="13"/>
  <c r="L149" i="13"/>
  <c r="K16" i="13"/>
  <c r="K88" i="13"/>
  <c r="K101" i="13"/>
  <c r="K102" i="13" s="1"/>
  <c r="K89" i="13"/>
  <c r="AM85" i="15"/>
  <c r="L27" i="13"/>
  <c r="L21" i="13"/>
  <c r="L22" i="13"/>
  <c r="L23" i="13"/>
  <c r="L25" i="13"/>
  <c r="L26" i="13"/>
  <c r="L18" i="13"/>
  <c r="L20" i="13"/>
  <c r="L19" i="13"/>
  <c r="L29" i="13"/>
  <c r="L28" i="13"/>
  <c r="L24" i="13"/>
  <c r="L13" i="13"/>
  <c r="L92" i="13"/>
  <c r="L107" i="13"/>
  <c r="L108" i="13" s="1"/>
  <c r="L113" i="13" s="1"/>
  <c r="M6" i="13"/>
  <c r="L26" i="1"/>
  <c r="K28" i="1"/>
  <c r="AI87" i="15" l="1"/>
  <c r="AJ86" i="15"/>
  <c r="N138" i="16"/>
  <c r="O9" i="16"/>
  <c r="O164" i="16"/>
  <c r="M29" i="16"/>
  <c r="M187" i="16" s="1"/>
  <c r="N205" i="16"/>
  <c r="N212" i="16" s="1"/>
  <c r="N199" i="16"/>
  <c r="N213" i="16" s="1"/>
  <c r="N101" i="16"/>
  <c r="N108" i="16" s="1"/>
  <c r="M108" i="16"/>
  <c r="N118" i="16"/>
  <c r="O25" i="16"/>
  <c r="O26" i="16" s="1"/>
  <c r="O28" i="16" s="1"/>
  <c r="O21" i="16"/>
  <c r="O10" i="16"/>
  <c r="O7" i="16"/>
  <c r="P6" i="16" s="1"/>
  <c r="L151" i="13"/>
  <c r="L144" i="16" s="1"/>
  <c r="K96" i="13"/>
  <c r="K104" i="13" s="1"/>
  <c r="M150" i="13"/>
  <c r="L121" i="13"/>
  <c r="L122" i="13"/>
  <c r="AN85" i="15"/>
  <c r="L116" i="13"/>
  <c r="L114" i="13"/>
  <c r="L119" i="13"/>
  <c r="L120" i="13"/>
  <c r="M9" i="13"/>
  <c r="M7" i="13"/>
  <c r="M99" i="13"/>
  <c r="M67" i="13"/>
  <c r="M10" i="13"/>
  <c r="M149" i="13" s="1"/>
  <c r="L117" i="13"/>
  <c r="L118" i="13"/>
  <c r="L115" i="13"/>
  <c r="L87" i="13"/>
  <c r="L16" i="13"/>
  <c r="L111" i="13"/>
  <c r="L112" i="13"/>
  <c r="M26" i="1"/>
  <c r="L28" i="1"/>
  <c r="M23" i="13" a="1"/>
  <c r="M26" i="13" a="1"/>
  <c r="M19" i="13" a="1"/>
  <c r="M21" i="13" a="1"/>
  <c r="M28" i="13" a="1"/>
  <c r="M29" i="13" a="1"/>
  <c r="M20" i="13" a="1"/>
  <c r="M24" i="13" a="1"/>
  <c r="M22" i="13" a="1"/>
  <c r="M18" i="13" a="1"/>
  <c r="M25" i="13" a="1"/>
  <c r="M27" i="13" a="1"/>
  <c r="AJ87" i="15" l="1"/>
  <c r="AK86" i="15"/>
  <c r="P9" i="16"/>
  <c r="P164" i="16"/>
  <c r="N29" i="16"/>
  <c r="N187" i="16" s="1"/>
  <c r="O205" i="16"/>
  <c r="O212" i="16" s="1"/>
  <c r="O199" i="16"/>
  <c r="O213" i="16" s="1"/>
  <c r="O118" i="16"/>
  <c r="O138" i="16"/>
  <c r="O101" i="16"/>
  <c r="P7" i="16"/>
  <c r="Q6" i="16" s="1"/>
  <c r="P10" i="16"/>
  <c r="P25" i="16"/>
  <c r="P26" i="16" s="1"/>
  <c r="P28" i="16" s="1"/>
  <c r="P21" i="16"/>
  <c r="M151" i="13"/>
  <c r="M144" i="16" s="1"/>
  <c r="N150" i="13"/>
  <c r="AO85" i="15"/>
  <c r="M26" i="13"/>
  <c r="M22" i="13"/>
  <c r="M18" i="13"/>
  <c r="M19" i="13"/>
  <c r="M21" i="13"/>
  <c r="M20" i="13"/>
  <c r="M25" i="13"/>
  <c r="M23" i="13"/>
  <c r="M24" i="13"/>
  <c r="M28" i="13"/>
  <c r="M27" i="13"/>
  <c r="M29" i="13"/>
  <c r="L91" i="13"/>
  <c r="L101" i="13"/>
  <c r="L100" i="13"/>
  <c r="L88" i="13"/>
  <c r="L89" i="13"/>
  <c r="L90" i="13"/>
  <c r="M92" i="13"/>
  <c r="M13" i="13"/>
  <c r="M15" i="13"/>
  <c r="M72" i="13"/>
  <c r="M73" i="13"/>
  <c r="M79" i="13" s="1"/>
  <c r="M74" i="13"/>
  <c r="M80" i="13" s="1"/>
  <c r="N6" i="13"/>
  <c r="M107" i="13"/>
  <c r="M108" i="13" s="1"/>
  <c r="M120" i="13" s="1"/>
  <c r="N26" i="1"/>
  <c r="M28" i="1"/>
  <c r="AK87" i="15" l="1"/>
  <c r="AL86" i="15"/>
  <c r="O29" i="16"/>
  <c r="O187" i="16" s="1"/>
  <c r="P138" i="16"/>
  <c r="Q21" i="16"/>
  <c r="Q164" i="16"/>
  <c r="P205" i="16"/>
  <c r="P212" i="16" s="1"/>
  <c r="P199" i="16"/>
  <c r="P213" i="16" s="1"/>
  <c r="P101" i="16"/>
  <c r="O108" i="16"/>
  <c r="P118" i="16"/>
  <c r="Q25" i="16"/>
  <c r="Q26" i="16" s="1"/>
  <c r="Q28" i="16" s="1"/>
  <c r="Q10" i="16"/>
  <c r="Q7" i="16"/>
  <c r="R6" i="16" s="1"/>
  <c r="Q9" i="16"/>
  <c r="AP85" i="15"/>
  <c r="L102" i="13"/>
  <c r="M121" i="13"/>
  <c r="M114" i="13"/>
  <c r="L96" i="13"/>
  <c r="M115" i="13"/>
  <c r="M119" i="13"/>
  <c r="M113" i="13"/>
  <c r="M111" i="13"/>
  <c r="M118" i="13"/>
  <c r="M116" i="13"/>
  <c r="M122" i="13"/>
  <c r="M112" i="13"/>
  <c r="M117" i="13"/>
  <c r="M87" i="13"/>
  <c r="M16" i="13"/>
  <c r="N10" i="13"/>
  <c r="N149" i="13" s="1"/>
  <c r="N99" i="13"/>
  <c r="N7" i="13"/>
  <c r="N67" i="13"/>
  <c r="N9" i="13"/>
  <c r="M84" i="13"/>
  <c r="M95" i="13" s="1"/>
  <c r="M78" i="13"/>
  <c r="M82" i="13"/>
  <c r="M93" i="13" s="1"/>
  <c r="M77" i="13"/>
  <c r="M83" i="13"/>
  <c r="M94" i="13" s="1"/>
  <c r="O26" i="1"/>
  <c r="N28" i="1"/>
  <c r="N21" i="13" a="1"/>
  <c r="N23" i="13" a="1"/>
  <c r="N28" i="13" a="1"/>
  <c r="N20" i="13" a="1"/>
  <c r="N19" i="13" a="1"/>
  <c r="N29" i="13" a="1"/>
  <c r="N27" i="13" a="1"/>
  <c r="N26" i="13" a="1"/>
  <c r="N18" i="13" a="1"/>
  <c r="N25" i="13" a="1"/>
  <c r="N24" i="13" a="1"/>
  <c r="N22" i="13" a="1"/>
  <c r="AL87" i="15" l="1"/>
  <c r="AM86" i="15"/>
  <c r="P29" i="16"/>
  <c r="P187" i="16" s="1"/>
  <c r="R25" i="16"/>
  <c r="R26" i="16" s="1"/>
  <c r="R28" i="16" s="1"/>
  <c r="R138" i="16" s="1"/>
  <c r="R164" i="16"/>
  <c r="Q205" i="16"/>
  <c r="Q212" i="16" s="1"/>
  <c r="Q199" i="16"/>
  <c r="Q213" i="16" s="1"/>
  <c r="Q118" i="16"/>
  <c r="Q138" i="16"/>
  <c r="Q101" i="16"/>
  <c r="P108" i="16"/>
  <c r="R10" i="16"/>
  <c r="R9" i="16"/>
  <c r="R21" i="16"/>
  <c r="R7" i="16"/>
  <c r="S6" i="16" s="1"/>
  <c r="L104" i="13"/>
  <c r="N151" i="13"/>
  <c r="N144" i="16" s="1"/>
  <c r="O150" i="13"/>
  <c r="AQ85" i="15"/>
  <c r="N26" i="13"/>
  <c r="N19" i="13"/>
  <c r="N20" i="13"/>
  <c r="N18" i="13"/>
  <c r="N27" i="13"/>
  <c r="N25" i="13"/>
  <c r="N23" i="13"/>
  <c r="N21" i="13"/>
  <c r="N29" i="13"/>
  <c r="N22" i="13"/>
  <c r="N24" i="13"/>
  <c r="N28" i="13"/>
  <c r="N92" i="13"/>
  <c r="N13" i="13"/>
  <c r="M101" i="13"/>
  <c r="M91" i="13"/>
  <c r="M89" i="13"/>
  <c r="M88" i="13"/>
  <c r="M100" i="13"/>
  <c r="M90" i="13"/>
  <c r="N74" i="13"/>
  <c r="N73" i="13"/>
  <c r="N72" i="13"/>
  <c r="N15" i="13"/>
  <c r="O6" i="13"/>
  <c r="N107" i="13"/>
  <c r="P26" i="1"/>
  <c r="O28" i="1"/>
  <c r="AM87" i="15" l="1"/>
  <c r="AN86" i="15"/>
  <c r="Q29" i="16"/>
  <c r="Q187" i="16" s="1"/>
  <c r="R118" i="16"/>
  <c r="S25" i="16"/>
  <c r="S26" i="16" s="1"/>
  <c r="S28" i="16" s="1"/>
  <c r="S164" i="16"/>
  <c r="R205" i="16"/>
  <c r="R212" i="16" s="1"/>
  <c r="R199" i="16"/>
  <c r="R213" i="16" s="1"/>
  <c r="R101" i="16"/>
  <c r="Q108" i="16"/>
  <c r="S10" i="16"/>
  <c r="S199" i="16" s="1"/>
  <c r="S213" i="16" s="1"/>
  <c r="S7" i="16"/>
  <c r="T6" i="16" s="1"/>
  <c r="S9" i="16"/>
  <c r="S21" i="16"/>
  <c r="AR85" i="15"/>
  <c r="M96" i="13"/>
  <c r="M102" i="13"/>
  <c r="N77" i="13"/>
  <c r="N83" i="13"/>
  <c r="N94" i="13" s="1"/>
  <c r="N78" i="13"/>
  <c r="N84" i="13"/>
  <c r="N95" i="13" s="1"/>
  <c r="N82" i="13"/>
  <c r="N93" i="13" s="1"/>
  <c r="N79" i="13"/>
  <c r="N80" i="13"/>
  <c r="N108" i="13"/>
  <c r="N113" i="13" s="1"/>
  <c r="N87" i="13"/>
  <c r="N16" i="13"/>
  <c r="O99" i="13"/>
  <c r="O67" i="13"/>
  <c r="O72" i="13" s="1"/>
  <c r="O10" i="13"/>
  <c r="O149" i="13" s="1"/>
  <c r="O7" i="13"/>
  <c r="O9" i="13"/>
  <c r="Q26" i="1"/>
  <c r="P28" i="1"/>
  <c r="O25" i="13" a="1"/>
  <c r="O26" i="13" a="1"/>
  <c r="O28" i="13" a="1"/>
  <c r="O18" i="13" a="1"/>
  <c r="O23" i="13" a="1"/>
  <c r="O21" i="13" a="1"/>
  <c r="O24" i="13" a="1"/>
  <c r="O22" i="13" a="1"/>
  <c r="O19" i="13" a="1"/>
  <c r="O29" i="13" a="1"/>
  <c r="O20" i="13" a="1"/>
  <c r="O27" i="13" a="1"/>
  <c r="AN87" i="15" l="1"/>
  <c r="AO86" i="15"/>
  <c r="R29" i="16"/>
  <c r="R187" i="16" s="1"/>
  <c r="S118" i="16"/>
  <c r="S138" i="16"/>
  <c r="T10" i="16"/>
  <c r="T205" i="16" s="1"/>
  <c r="T212" i="16" s="1"/>
  <c r="T164" i="16"/>
  <c r="T7" i="16"/>
  <c r="U6" i="16" s="1"/>
  <c r="T9" i="16"/>
  <c r="S205" i="16"/>
  <c r="S212" i="16" s="1"/>
  <c r="S101" i="16"/>
  <c r="R108" i="16"/>
  <c r="T25" i="16"/>
  <c r="T26" i="16" s="1"/>
  <c r="T28" i="16" s="1"/>
  <c r="T21" i="16"/>
  <c r="O151" i="13"/>
  <c r="O144" i="16" s="1"/>
  <c r="P150" i="13"/>
  <c r="M104" i="13"/>
  <c r="N118" i="13"/>
  <c r="AS85" i="15"/>
  <c r="N117" i="13"/>
  <c r="N112" i="13"/>
  <c r="N120" i="13"/>
  <c r="N115" i="13"/>
  <c r="O25" i="13"/>
  <c r="O29" i="13"/>
  <c r="O27" i="13"/>
  <c r="O22" i="13"/>
  <c r="O20" i="13"/>
  <c r="O19" i="13"/>
  <c r="O18" i="13"/>
  <c r="O26" i="13"/>
  <c r="O21" i="13"/>
  <c r="O28" i="13"/>
  <c r="O23" i="13"/>
  <c r="O24" i="13"/>
  <c r="O84" i="13"/>
  <c r="O95" i="13" s="1"/>
  <c r="O83" i="13"/>
  <c r="O94" i="13" s="1"/>
  <c r="O77" i="13"/>
  <c r="O78" i="13"/>
  <c r="O82" i="13"/>
  <c r="O93" i="13" s="1"/>
  <c r="N111" i="13"/>
  <c r="N119" i="13"/>
  <c r="N116" i="13"/>
  <c r="O74" i="13"/>
  <c r="O92" i="13"/>
  <c r="O13" i="13"/>
  <c r="N121" i="13"/>
  <c r="O73" i="13"/>
  <c r="P6" i="13"/>
  <c r="O107" i="13"/>
  <c r="N122" i="13"/>
  <c r="N90" i="13"/>
  <c r="N91" i="13"/>
  <c r="N114" i="13"/>
  <c r="N89" i="13"/>
  <c r="N100" i="13"/>
  <c r="N101" i="13"/>
  <c r="O15" i="13"/>
  <c r="N88" i="13"/>
  <c r="R26" i="1"/>
  <c r="Q28" i="1"/>
  <c r="AO87" i="15" l="1"/>
  <c r="AP86" i="15"/>
  <c r="S29" i="16"/>
  <c r="S187" i="16" s="1"/>
  <c r="T101" i="16"/>
  <c r="T108" i="16" s="1"/>
  <c r="U21" i="16"/>
  <c r="U164" i="16"/>
  <c r="T118" i="16"/>
  <c r="T138" i="16"/>
  <c r="U7" i="16"/>
  <c r="V6" i="16" s="1"/>
  <c r="U9" i="16"/>
  <c r="U25" i="16"/>
  <c r="U26" i="16" s="1"/>
  <c r="U28" i="16" s="1"/>
  <c r="U10" i="16"/>
  <c r="S108" i="16"/>
  <c r="AT85" i="15"/>
  <c r="N102" i="13"/>
  <c r="N96" i="13"/>
  <c r="O80" i="13"/>
  <c r="O108" i="13"/>
  <c r="O115" i="13" s="1"/>
  <c r="P10" i="13"/>
  <c r="P67" i="13"/>
  <c r="P72" i="13" s="1"/>
  <c r="P9" i="13"/>
  <c r="P99" i="13"/>
  <c r="P7" i="13"/>
  <c r="O87" i="13"/>
  <c r="O89" i="13" s="1"/>
  <c r="O16" i="13"/>
  <c r="O79" i="13"/>
  <c r="S26" i="1"/>
  <c r="R28" i="1"/>
  <c r="P21" i="13" a="1"/>
  <c r="P29" i="13" a="1"/>
  <c r="P27" i="13" a="1"/>
  <c r="P25" i="13" a="1"/>
  <c r="P19" i="13" a="1"/>
  <c r="P18" i="13" a="1"/>
  <c r="P23" i="13" a="1"/>
  <c r="P28" i="13" a="1"/>
  <c r="P24" i="13" a="1"/>
  <c r="P22" i="13" a="1"/>
  <c r="P20" i="13" a="1"/>
  <c r="P26" i="13" a="1"/>
  <c r="AP87" i="15" l="1"/>
  <c r="AQ86" i="15"/>
  <c r="T29" i="16"/>
  <c r="T187" i="16" s="1"/>
  <c r="V21" i="16"/>
  <c r="V164" i="16"/>
  <c r="V7" i="16"/>
  <c r="W6" i="16" s="1"/>
  <c r="U205" i="16"/>
  <c r="U212" i="16" s="1"/>
  <c r="U118" i="16"/>
  <c r="U138" i="16"/>
  <c r="V9" i="16"/>
  <c r="V25" i="16"/>
  <c r="V26" i="16" s="1"/>
  <c r="V28" i="16" s="1"/>
  <c r="V10" i="16"/>
  <c r="U101" i="16"/>
  <c r="U108" i="16" s="1"/>
  <c r="P15" i="13"/>
  <c r="P149" i="13"/>
  <c r="O88" i="13"/>
  <c r="P73" i="13"/>
  <c r="P79" i="13" s="1"/>
  <c r="N104" i="13"/>
  <c r="AU85" i="15"/>
  <c r="O120" i="13"/>
  <c r="O113" i="13"/>
  <c r="O116" i="13"/>
  <c r="O119" i="13"/>
  <c r="O114" i="13"/>
  <c r="O117" i="13"/>
  <c r="O112" i="13"/>
  <c r="O121" i="13"/>
  <c r="O111" i="13"/>
  <c r="O122" i="13"/>
  <c r="P18" i="13"/>
  <c r="P19" i="13"/>
  <c r="P23" i="13"/>
  <c r="P20" i="13"/>
  <c r="P25" i="13"/>
  <c r="P28" i="13"/>
  <c r="P22" i="13"/>
  <c r="P21" i="13"/>
  <c r="P26" i="13"/>
  <c r="P24" i="13"/>
  <c r="P27" i="13"/>
  <c r="P29" i="13"/>
  <c r="Q6" i="13"/>
  <c r="P107" i="13"/>
  <c r="P82" i="13"/>
  <c r="P93" i="13" s="1"/>
  <c r="P78" i="13"/>
  <c r="P84" i="13"/>
  <c r="P95" i="13" s="1"/>
  <c r="P77" i="13"/>
  <c r="P83" i="13"/>
  <c r="P94" i="13" s="1"/>
  <c r="P13" i="13"/>
  <c r="P92" i="13"/>
  <c r="O118" i="13"/>
  <c r="O101" i="13"/>
  <c r="O91" i="13"/>
  <c r="O90" i="13"/>
  <c r="O100" i="13"/>
  <c r="P74" i="13"/>
  <c r="T26" i="1"/>
  <c r="S28" i="1"/>
  <c r="AQ87" i="15" l="1"/>
  <c r="AR86" i="15"/>
  <c r="U29" i="16"/>
  <c r="U187" i="16" s="1"/>
  <c r="W25" i="16"/>
  <c r="W26" i="16" s="1"/>
  <c r="W28" i="16" s="1"/>
  <c r="W164" i="16"/>
  <c r="W7" i="16"/>
  <c r="X6" i="16" s="1"/>
  <c r="W10" i="16"/>
  <c r="W205" i="16" s="1"/>
  <c r="W212" i="16" s="1"/>
  <c r="W9" i="16"/>
  <c r="W21" i="16"/>
  <c r="V205" i="16"/>
  <c r="V212" i="16" s="1"/>
  <c r="V118" i="16"/>
  <c r="V138" i="16"/>
  <c r="V101" i="16"/>
  <c r="V108" i="16" s="1"/>
  <c r="O96" i="13"/>
  <c r="P151" i="13"/>
  <c r="P144" i="16" s="1"/>
  <c r="Q150" i="13"/>
  <c r="AV85" i="15"/>
  <c r="O102" i="13"/>
  <c r="Q99" i="13"/>
  <c r="Q7" i="13"/>
  <c r="Q10" i="13"/>
  <c r="Q149" i="13" s="1"/>
  <c r="Q67" i="13"/>
  <c r="Q74" i="13" s="1"/>
  <c r="Q80" i="13" s="1"/>
  <c r="Q9" i="13"/>
  <c r="P87" i="13"/>
  <c r="P16" i="13"/>
  <c r="P80" i="13"/>
  <c r="P108" i="13"/>
  <c r="P116" i="13" s="1"/>
  <c r="U26" i="1"/>
  <c r="T28" i="1"/>
  <c r="Q22" i="13" a="1"/>
  <c r="Q28" i="13" a="1"/>
  <c r="Q21" i="13" a="1"/>
  <c r="Q20" i="13" a="1"/>
  <c r="Q25" i="13" a="1"/>
  <c r="Q26" i="13" a="1"/>
  <c r="Q24" i="13" a="1"/>
  <c r="Q27" i="13" a="1"/>
  <c r="Q29" i="13" a="1"/>
  <c r="Q18" i="13" a="1"/>
  <c r="Q23" i="13" a="1"/>
  <c r="Q19" i="13" a="1"/>
  <c r="AR87" i="15" l="1"/>
  <c r="AS86" i="15"/>
  <c r="V29" i="16"/>
  <c r="W29" i="16" s="1"/>
  <c r="W187" i="16" s="1"/>
  <c r="W118" i="16"/>
  <c r="X25" i="16"/>
  <c r="X26" i="16" s="1"/>
  <c r="X28" i="16" s="1"/>
  <c r="X164" i="16"/>
  <c r="W138" i="16"/>
  <c r="X7" i="16"/>
  <c r="Y6" i="16" s="1"/>
  <c r="X21" i="16"/>
  <c r="X10" i="16"/>
  <c r="X205" i="16" s="1"/>
  <c r="X212" i="16" s="1"/>
  <c r="X9" i="16"/>
  <c r="Q151" i="13"/>
  <c r="Q144" i="16" s="1"/>
  <c r="O104" i="13"/>
  <c r="W101" i="16"/>
  <c r="R150" i="13"/>
  <c r="P112" i="13"/>
  <c r="AW85" i="15"/>
  <c r="P121" i="13"/>
  <c r="P117" i="13"/>
  <c r="P122" i="13"/>
  <c r="P119" i="13"/>
  <c r="P113" i="13"/>
  <c r="P111" i="13"/>
  <c r="P120" i="13"/>
  <c r="P118" i="13"/>
  <c r="P115" i="13"/>
  <c r="Q26" i="13"/>
  <c r="Q24" i="13"/>
  <c r="Q20" i="13"/>
  <c r="Q23" i="13"/>
  <c r="Q28" i="13"/>
  <c r="Q22" i="13"/>
  <c r="Q19" i="13"/>
  <c r="Q21" i="13"/>
  <c r="Q18" i="13"/>
  <c r="Q25" i="13"/>
  <c r="Q27" i="13"/>
  <c r="Q29" i="13"/>
  <c r="P101" i="13"/>
  <c r="P89" i="13"/>
  <c r="P90" i="13"/>
  <c r="P91" i="13"/>
  <c r="P88" i="13"/>
  <c r="P100" i="13"/>
  <c r="Q72" i="13"/>
  <c r="Q73" i="13"/>
  <c r="Q92" i="13"/>
  <c r="Q15" i="13"/>
  <c r="Q13" i="13"/>
  <c r="R6" i="13"/>
  <c r="Q107" i="13"/>
  <c r="P114" i="13"/>
  <c r="V26" i="1"/>
  <c r="U28" i="1"/>
  <c r="AS87" i="15" l="1"/>
  <c r="AT86" i="15"/>
  <c r="V187" i="16"/>
  <c r="X138" i="16"/>
  <c r="X118" i="16"/>
  <c r="Y25" i="16"/>
  <c r="Y26" i="16" s="1"/>
  <c r="Y28" i="16" s="1"/>
  <c r="Y164" i="16"/>
  <c r="Y7" i="16"/>
  <c r="Z6" i="16" s="1"/>
  <c r="Y9" i="16"/>
  <c r="Y10" i="16"/>
  <c r="Y205" i="16" s="1"/>
  <c r="Y212" i="16" s="1"/>
  <c r="Y21" i="16"/>
  <c r="X101" i="16"/>
  <c r="X108" i="16" s="1"/>
  <c r="X29" i="16"/>
  <c r="X187" i="16" s="1"/>
  <c r="W108" i="16"/>
  <c r="P102" i="13"/>
  <c r="AX85" i="15"/>
  <c r="P96" i="13"/>
  <c r="Q87" i="13"/>
  <c r="Q16" i="13"/>
  <c r="Q108" i="13"/>
  <c r="Q121" i="13" s="1"/>
  <c r="R99" i="13"/>
  <c r="R67" i="13"/>
  <c r="R73" i="13" s="1"/>
  <c r="R9" i="13"/>
  <c r="R10" i="13"/>
  <c r="R7" i="13"/>
  <c r="Q79" i="13"/>
  <c r="Q84" i="13"/>
  <c r="Q95" i="13" s="1"/>
  <c r="Q83" i="13"/>
  <c r="Q94" i="13" s="1"/>
  <c r="Q77" i="13"/>
  <c r="Q78" i="13"/>
  <c r="Q82" i="13"/>
  <c r="Q93" i="13" s="1"/>
  <c r="W26" i="1"/>
  <c r="V28" i="1"/>
  <c r="R24" i="13" a="1"/>
  <c r="R21" i="13" a="1"/>
  <c r="R19" i="13" a="1"/>
  <c r="R26" i="13" a="1"/>
  <c r="R29" i="13" a="1"/>
  <c r="R20" i="13" a="1"/>
  <c r="R25" i="13" a="1"/>
  <c r="R28" i="13" a="1"/>
  <c r="R22" i="13" a="1"/>
  <c r="R27" i="13" a="1"/>
  <c r="R18" i="13" a="1"/>
  <c r="R23" i="13" a="1"/>
  <c r="AT87" i="15" l="1"/>
  <c r="AU86" i="15"/>
  <c r="Y138" i="16"/>
  <c r="Y118" i="16"/>
  <c r="Z25" i="16"/>
  <c r="Z26" i="16" s="1"/>
  <c r="Z28" i="16" s="1"/>
  <c r="Z164" i="16"/>
  <c r="Z10" i="16"/>
  <c r="Z7" i="16"/>
  <c r="AA6" i="16" s="1"/>
  <c r="Y101" i="16"/>
  <c r="Y108" i="16" s="1"/>
  <c r="Y29" i="16"/>
  <c r="Y187" i="16" s="1"/>
  <c r="Z21" i="16"/>
  <c r="Z9" i="16"/>
  <c r="P104" i="13"/>
  <c r="R15" i="13"/>
  <c r="R149" i="13"/>
  <c r="Q112" i="13"/>
  <c r="Q120" i="13"/>
  <c r="Q111" i="13"/>
  <c r="Q118" i="13"/>
  <c r="Q122" i="13"/>
  <c r="Q116" i="13"/>
  <c r="Q113" i="13"/>
  <c r="Q114" i="13"/>
  <c r="Q119" i="13"/>
  <c r="Q117" i="13"/>
  <c r="AY85" i="15"/>
  <c r="Q115" i="13"/>
  <c r="R29" i="13"/>
  <c r="R19" i="13"/>
  <c r="R24" i="13"/>
  <c r="R27" i="13"/>
  <c r="R18" i="13"/>
  <c r="R20" i="13"/>
  <c r="R23" i="13"/>
  <c r="R28" i="13"/>
  <c r="R26" i="13"/>
  <c r="R25" i="13"/>
  <c r="R21" i="13"/>
  <c r="R22" i="13"/>
  <c r="R79" i="13"/>
  <c r="S6" i="13"/>
  <c r="R107" i="13"/>
  <c r="R92" i="13"/>
  <c r="R13" i="13"/>
  <c r="R72" i="13"/>
  <c r="R74" i="13"/>
  <c r="Q101" i="13"/>
  <c r="Q91" i="13"/>
  <c r="Q89" i="13"/>
  <c r="Q90" i="13"/>
  <c r="Q88" i="13"/>
  <c r="Q100" i="13"/>
  <c r="X26" i="1"/>
  <c r="W28" i="1"/>
  <c r="AU87" i="15" l="1"/>
  <c r="AV86" i="15"/>
  <c r="Z118" i="16"/>
  <c r="AA25" i="16"/>
  <c r="AA26" i="16" s="1"/>
  <c r="AA28" i="16" s="1"/>
  <c r="AA164" i="16"/>
  <c r="Z138" i="16"/>
  <c r="AA7" i="16"/>
  <c r="AB6" i="16" s="1"/>
  <c r="AA9" i="16"/>
  <c r="Z101" i="16"/>
  <c r="Z108" i="16" s="1"/>
  <c r="AA10" i="16"/>
  <c r="AA205" i="16" s="1"/>
  <c r="AA212" i="16" s="1"/>
  <c r="Z205" i="16"/>
  <c r="Z212" i="16" s="1"/>
  <c r="AA21" i="16"/>
  <c r="Z29" i="16"/>
  <c r="Z187" i="16" s="1"/>
  <c r="R151" i="13"/>
  <c r="R144" i="16" s="1"/>
  <c r="S150" i="13"/>
  <c r="AZ85" i="15"/>
  <c r="Q96" i="13"/>
  <c r="Q102" i="13"/>
  <c r="R80" i="13"/>
  <c r="S67" i="13"/>
  <c r="S7" i="13"/>
  <c r="S99" i="13"/>
  <c r="S10" i="13"/>
  <c r="S149" i="13" s="1"/>
  <c r="S9" i="13"/>
  <c r="R108" i="13"/>
  <c r="R115" i="13" s="1"/>
  <c r="R84" i="13"/>
  <c r="R95" i="13" s="1"/>
  <c r="R78" i="13"/>
  <c r="R82" i="13"/>
  <c r="R93" i="13" s="1"/>
  <c r="R83" i="13"/>
  <c r="R94" i="13" s="1"/>
  <c r="R77" i="13"/>
  <c r="R87" i="13"/>
  <c r="R16" i="13"/>
  <c r="Y26" i="1"/>
  <c r="X28" i="1"/>
  <c r="S24" i="13" a="1"/>
  <c r="S19" i="13" a="1"/>
  <c r="S25" i="13" a="1"/>
  <c r="S29" i="13" a="1"/>
  <c r="S18" i="13" a="1"/>
  <c r="S23" i="13" a="1"/>
  <c r="S28" i="13" a="1"/>
  <c r="S27" i="13" a="1"/>
  <c r="S21" i="13" a="1"/>
  <c r="S26" i="13" a="1"/>
  <c r="S20" i="13" a="1"/>
  <c r="S22" i="13" a="1"/>
  <c r="AV87" i="15" l="1"/>
  <c r="AW86" i="15"/>
  <c r="AA118" i="16"/>
  <c r="AA138" i="16"/>
  <c r="AB25" i="16"/>
  <c r="AB26" i="16" s="1"/>
  <c r="AB28" i="16" s="1"/>
  <c r="AB164" i="16"/>
  <c r="AB7" i="16"/>
  <c r="AC6" i="16" s="1"/>
  <c r="AC7" i="16" s="1"/>
  <c r="AD6" i="16" s="1"/>
  <c r="AB9" i="16"/>
  <c r="AB10" i="16"/>
  <c r="AB205" i="16" s="1"/>
  <c r="AB212" i="16" s="1"/>
  <c r="AB21" i="16"/>
  <c r="AA101" i="16"/>
  <c r="AA108" i="16" s="1"/>
  <c r="AA29" i="16"/>
  <c r="AA187" i="16" s="1"/>
  <c r="S151" i="13"/>
  <c r="S144" i="16" s="1"/>
  <c r="R121" i="13"/>
  <c r="T150" i="13"/>
  <c r="R114" i="13"/>
  <c r="R118" i="13"/>
  <c r="Q104" i="13"/>
  <c r="R116" i="13"/>
  <c r="R122" i="13"/>
  <c r="R119" i="13"/>
  <c r="R117" i="13"/>
  <c r="R113" i="13"/>
  <c r="R120" i="13"/>
  <c r="R112" i="13"/>
  <c r="BA85" i="15"/>
  <c r="R111" i="13"/>
  <c r="S28" i="13"/>
  <c r="S18" i="13"/>
  <c r="S24" i="13"/>
  <c r="S19" i="13"/>
  <c r="S29" i="13"/>
  <c r="S26" i="13"/>
  <c r="S20" i="13"/>
  <c r="S25" i="13"/>
  <c r="S22" i="13"/>
  <c r="S23" i="13"/>
  <c r="S21" i="13"/>
  <c r="S27" i="13"/>
  <c r="S92" i="13"/>
  <c r="S13" i="13"/>
  <c r="S15" i="13"/>
  <c r="S107" i="13"/>
  <c r="T6" i="13"/>
  <c r="R100" i="13"/>
  <c r="R90" i="13"/>
  <c r="R91" i="13"/>
  <c r="R89" i="13"/>
  <c r="R88" i="13"/>
  <c r="R101" i="13"/>
  <c r="S72" i="13"/>
  <c r="S73" i="13"/>
  <c r="S74" i="13"/>
  <c r="Z26" i="1"/>
  <c r="Y28" i="1"/>
  <c r="AW87" i="15" l="1"/>
  <c r="AX86" i="15"/>
  <c r="AD164" i="16"/>
  <c r="AC9" i="16"/>
  <c r="AB138" i="16"/>
  <c r="AC21" i="16"/>
  <c r="AC10" i="16"/>
  <c r="AC205" i="16" s="1"/>
  <c r="AC212" i="16" s="1"/>
  <c r="AC164" i="16"/>
  <c r="AB118" i="16"/>
  <c r="AC25" i="16"/>
  <c r="AC26" i="16" s="1"/>
  <c r="AC28" i="16" s="1"/>
  <c r="AB29" i="16"/>
  <c r="AB187" i="16" s="1"/>
  <c r="AB101" i="16"/>
  <c r="AD25" i="16"/>
  <c r="AD26" i="16" s="1"/>
  <c r="AD28" i="16" s="1"/>
  <c r="AD21" i="16"/>
  <c r="R102" i="13"/>
  <c r="BB85" i="15"/>
  <c r="R96" i="13"/>
  <c r="S108" i="13"/>
  <c r="S121" i="13" s="1"/>
  <c r="S87" i="13"/>
  <c r="S16" i="13"/>
  <c r="S78" i="13"/>
  <c r="S84" i="13"/>
  <c r="S95" i="13" s="1"/>
  <c r="S77" i="13"/>
  <c r="S82" i="13"/>
  <c r="S93" i="13" s="1"/>
  <c r="S83" i="13"/>
  <c r="S94" i="13" s="1"/>
  <c r="S79" i="13"/>
  <c r="S80" i="13"/>
  <c r="T9" i="13"/>
  <c r="T10" i="13"/>
  <c r="T149" i="13" s="1"/>
  <c r="T151" i="13" s="1"/>
  <c r="T144" i="16" s="1"/>
  <c r="T67" i="13"/>
  <c r="T72" i="13" s="1"/>
  <c r="T99" i="13"/>
  <c r="T7" i="13"/>
  <c r="AD9" i="16"/>
  <c r="AD7" i="16"/>
  <c r="AE6" i="16" s="1"/>
  <c r="AD10" i="16"/>
  <c r="AD205" i="16" s="1"/>
  <c r="AD212" i="16" s="1"/>
  <c r="AA26" i="1"/>
  <c r="Z28" i="1"/>
  <c r="T25" i="13" a="1"/>
  <c r="T26" i="13" a="1"/>
  <c r="T21" i="13" a="1"/>
  <c r="T29" i="13" a="1"/>
  <c r="T27" i="13" a="1"/>
  <c r="T19" i="13" a="1"/>
  <c r="T23" i="13" a="1"/>
  <c r="T24" i="13" a="1"/>
  <c r="T20" i="13" a="1"/>
  <c r="T28" i="13" a="1"/>
  <c r="T22" i="13" a="1"/>
  <c r="T18" i="13" a="1"/>
  <c r="AX87" i="15" l="1"/>
  <c r="AY86" i="15"/>
  <c r="AC101" i="16"/>
  <c r="AC108" i="16" s="1"/>
  <c r="AE164" i="16"/>
  <c r="AC138" i="16"/>
  <c r="AB108" i="16"/>
  <c r="AC29" i="16"/>
  <c r="AC187" i="16" s="1"/>
  <c r="AC118" i="16"/>
  <c r="AD118" i="16"/>
  <c r="AD138" i="16"/>
  <c r="AE25" i="16"/>
  <c r="AE26" i="16" s="1"/>
  <c r="AE28" i="16" s="1"/>
  <c r="AE21" i="16"/>
  <c r="R104" i="13"/>
  <c r="U150" i="13"/>
  <c r="S122" i="13"/>
  <c r="S115" i="13"/>
  <c r="S119" i="13"/>
  <c r="S117" i="13"/>
  <c r="S120" i="13"/>
  <c r="BC85" i="15"/>
  <c r="S114" i="13"/>
  <c r="S113" i="13"/>
  <c r="S112" i="13"/>
  <c r="S116" i="13"/>
  <c r="S118" i="13"/>
  <c r="S111" i="13"/>
  <c r="T23" i="13"/>
  <c r="T21" i="13"/>
  <c r="T25" i="13"/>
  <c r="T24" i="13"/>
  <c r="T29" i="13"/>
  <c r="T27" i="13"/>
  <c r="T18" i="13"/>
  <c r="T26" i="13"/>
  <c r="T28" i="13"/>
  <c r="T22" i="13"/>
  <c r="T20" i="13"/>
  <c r="T19" i="13"/>
  <c r="T83" i="13"/>
  <c r="T94" i="13" s="1"/>
  <c r="T78" i="13"/>
  <c r="T84" i="13"/>
  <c r="T95" i="13" s="1"/>
  <c r="T77" i="13"/>
  <c r="T82" i="13"/>
  <c r="T93" i="13" s="1"/>
  <c r="T74" i="13"/>
  <c r="T92" i="13"/>
  <c r="T13" i="13"/>
  <c r="S100" i="13"/>
  <c r="S89" i="13"/>
  <c r="S91" i="13"/>
  <c r="S90" i="13"/>
  <c r="S88" i="13"/>
  <c r="S101" i="13"/>
  <c r="T73" i="13"/>
  <c r="U6" i="13"/>
  <c r="T107" i="13"/>
  <c r="T15" i="13"/>
  <c r="AE10" i="16"/>
  <c r="AE205" i="16" s="1"/>
  <c r="AE212" i="16" s="1"/>
  <c r="AE7" i="16"/>
  <c r="AF6" i="16" s="1"/>
  <c r="AE9" i="16"/>
  <c r="AB26" i="1"/>
  <c r="AA28" i="1"/>
  <c r="AD101" i="16" l="1"/>
  <c r="AE101" i="16" s="1"/>
  <c r="AY87" i="15"/>
  <c r="AZ86" i="15"/>
  <c r="AF164" i="16"/>
  <c r="AD29" i="16"/>
  <c r="AD187" i="16" s="1"/>
  <c r="AE118" i="16"/>
  <c r="AE138" i="16"/>
  <c r="AD108" i="16"/>
  <c r="AF25" i="16"/>
  <c r="AF26" i="16" s="1"/>
  <c r="AF28" i="16" s="1"/>
  <c r="AF21" i="16"/>
  <c r="BD85" i="15"/>
  <c r="S96" i="13"/>
  <c r="T108" i="13"/>
  <c r="T119" i="13" s="1"/>
  <c r="T80" i="13"/>
  <c r="U99" i="13"/>
  <c r="U9" i="13"/>
  <c r="U7" i="13"/>
  <c r="U67" i="13"/>
  <c r="U72" i="13" s="1"/>
  <c r="U10" i="13"/>
  <c r="T79" i="13"/>
  <c r="T87" i="13"/>
  <c r="T16" i="13"/>
  <c r="S102" i="13"/>
  <c r="AF10" i="16"/>
  <c r="AF205" i="16" s="1"/>
  <c r="AF212" i="16" s="1"/>
  <c r="AF9" i="16"/>
  <c r="AF7" i="16"/>
  <c r="AG6" i="16" s="1"/>
  <c r="AC26" i="1"/>
  <c r="AB28" i="1"/>
  <c r="U28" i="13" a="1"/>
  <c r="U20" i="13" a="1"/>
  <c r="U29" i="13" a="1"/>
  <c r="U23" i="13" a="1"/>
  <c r="U22" i="13" a="1"/>
  <c r="U24" i="13" a="1"/>
  <c r="U26" i="13" a="1"/>
  <c r="U25" i="13" a="1"/>
  <c r="U21" i="13" a="1"/>
  <c r="U19" i="13" a="1"/>
  <c r="U27" i="13" a="1"/>
  <c r="U18" i="13" a="1"/>
  <c r="AZ87" i="15" l="1"/>
  <c r="BA86" i="15"/>
  <c r="AG164" i="16"/>
  <c r="AE29" i="16"/>
  <c r="AE187" i="16" s="1"/>
  <c r="AF118" i="16"/>
  <c r="AF138" i="16"/>
  <c r="AF101" i="16"/>
  <c r="AF108" i="16" s="1"/>
  <c r="AE108" i="16"/>
  <c r="AG25" i="16"/>
  <c r="AG26" i="16" s="1"/>
  <c r="AG28" i="16" s="1"/>
  <c r="AG21" i="16"/>
  <c r="S104" i="13"/>
  <c r="T120" i="13"/>
  <c r="U15" i="13"/>
  <c r="U149" i="13"/>
  <c r="T118" i="13"/>
  <c r="T114" i="13"/>
  <c r="T121" i="13"/>
  <c r="T116" i="13"/>
  <c r="BE85" i="15"/>
  <c r="T113" i="13"/>
  <c r="T111" i="13"/>
  <c r="T122" i="13"/>
  <c r="T117" i="13"/>
  <c r="T112" i="13"/>
  <c r="U19" i="13"/>
  <c r="U28" i="13"/>
  <c r="U24" i="13"/>
  <c r="U25" i="13"/>
  <c r="U18" i="13"/>
  <c r="U20" i="13"/>
  <c r="U23" i="13"/>
  <c r="U27" i="13"/>
  <c r="U21" i="13"/>
  <c r="U29" i="13"/>
  <c r="U26" i="13"/>
  <c r="U22" i="13"/>
  <c r="U74" i="13"/>
  <c r="U73" i="13"/>
  <c r="U92" i="13"/>
  <c r="U13" i="13"/>
  <c r="U84" i="13"/>
  <c r="U95" i="13" s="1"/>
  <c r="U77" i="13"/>
  <c r="U83" i="13"/>
  <c r="U94" i="13" s="1"/>
  <c r="U78" i="13"/>
  <c r="U82" i="13"/>
  <c r="U93" i="13" s="1"/>
  <c r="V6" i="13"/>
  <c r="U107" i="13"/>
  <c r="T101" i="13"/>
  <c r="T90" i="13"/>
  <c r="T89" i="13"/>
  <c r="T88" i="13"/>
  <c r="T91" i="13"/>
  <c r="T100" i="13"/>
  <c r="T115" i="13"/>
  <c r="AG10" i="16"/>
  <c r="AG205" i="16" s="1"/>
  <c r="AG212" i="16" s="1"/>
  <c r="AG9" i="16"/>
  <c r="AG7" i="16"/>
  <c r="AH6" i="16" s="1"/>
  <c r="AD26" i="1"/>
  <c r="AC28" i="1"/>
  <c r="BA87" i="15" l="1"/>
  <c r="BB86" i="15"/>
  <c r="AH164" i="16"/>
  <c r="AF29" i="16"/>
  <c r="AF187" i="16" s="1"/>
  <c r="AG118" i="16"/>
  <c r="AG138" i="16"/>
  <c r="AG101" i="16"/>
  <c r="AH25" i="16"/>
  <c r="AH26" i="16" s="1"/>
  <c r="AH28" i="16" s="1"/>
  <c r="AH21" i="16"/>
  <c r="U151" i="13"/>
  <c r="U144" i="16" s="1"/>
  <c r="V150" i="13"/>
  <c r="BF85" i="15"/>
  <c r="T96" i="13"/>
  <c r="T102" i="13"/>
  <c r="U108" i="13"/>
  <c r="U122" i="13" s="1"/>
  <c r="U79" i="13"/>
  <c r="V7" i="13"/>
  <c r="V9" i="13"/>
  <c r="V67" i="13"/>
  <c r="V72" i="13" s="1"/>
  <c r="V99" i="13"/>
  <c r="V10" i="13"/>
  <c r="V149" i="13" s="1"/>
  <c r="U87" i="13"/>
  <c r="U16" i="13"/>
  <c r="U80" i="13"/>
  <c r="AH9" i="16"/>
  <c r="AH10" i="16"/>
  <c r="AH205" i="16" s="1"/>
  <c r="AH212" i="16" s="1"/>
  <c r="AH7" i="16"/>
  <c r="AI6" i="16" s="1"/>
  <c r="AE26" i="1"/>
  <c r="AD28" i="1"/>
  <c r="V28" i="13" a="1"/>
  <c r="V29" i="13" a="1"/>
  <c r="V23" i="13" a="1"/>
  <c r="V22" i="13" a="1"/>
  <c r="V25" i="13" a="1"/>
  <c r="V18" i="13" a="1"/>
  <c r="V27" i="13" a="1"/>
  <c r="V20" i="13" a="1"/>
  <c r="V19" i="13" a="1"/>
  <c r="V24" i="13" a="1"/>
  <c r="V26" i="13" a="1"/>
  <c r="V21" i="13" a="1"/>
  <c r="BB87" i="15" l="1"/>
  <c r="BC86" i="15"/>
  <c r="AG29" i="16"/>
  <c r="AG187" i="16" s="1"/>
  <c r="AI164" i="16"/>
  <c r="AH118" i="16"/>
  <c r="AH138" i="16"/>
  <c r="V151" i="13"/>
  <c r="V144" i="16" s="1"/>
  <c r="AH101" i="16"/>
  <c r="AG108" i="16"/>
  <c r="AI25" i="16"/>
  <c r="AI26" i="16" s="1"/>
  <c r="AI28" i="16" s="1"/>
  <c r="AI21" i="16"/>
  <c r="W150" i="13"/>
  <c r="U112" i="13"/>
  <c r="U111" i="13"/>
  <c r="U118" i="13"/>
  <c r="U114" i="13"/>
  <c r="U116" i="13"/>
  <c r="U117" i="13"/>
  <c r="U113" i="13"/>
  <c r="BG85" i="15"/>
  <c r="U121" i="13"/>
  <c r="U120" i="13"/>
  <c r="U119" i="13"/>
  <c r="V74" i="13"/>
  <c r="V80" i="13" s="1"/>
  <c r="U115" i="13"/>
  <c r="T104" i="13"/>
  <c r="V18" i="13"/>
  <c r="V25" i="13"/>
  <c r="V29" i="13"/>
  <c r="V20" i="13"/>
  <c r="V22" i="13"/>
  <c r="V27" i="13"/>
  <c r="V28" i="13"/>
  <c r="V24" i="13"/>
  <c r="V21" i="13"/>
  <c r="V19" i="13"/>
  <c r="V23" i="13"/>
  <c r="V26" i="13"/>
  <c r="V107" i="13"/>
  <c r="W6" i="13"/>
  <c r="U101" i="13"/>
  <c r="U90" i="13"/>
  <c r="U88" i="13"/>
  <c r="U91" i="13"/>
  <c r="U89" i="13"/>
  <c r="U100" i="13"/>
  <c r="V13" i="13"/>
  <c r="V92" i="13"/>
  <c r="V15" i="13"/>
  <c r="V82" i="13"/>
  <c r="V93" i="13" s="1"/>
  <c r="V78" i="13"/>
  <c r="V83" i="13"/>
  <c r="V94" i="13" s="1"/>
  <c r="V77" i="13"/>
  <c r="V84" i="13"/>
  <c r="V95" i="13" s="1"/>
  <c r="V73" i="13"/>
  <c r="AI7" i="16"/>
  <c r="AJ6" i="16" s="1"/>
  <c r="AI10" i="16"/>
  <c r="AI205" i="16" s="1"/>
  <c r="AI212" i="16" s="1"/>
  <c r="AI9" i="16"/>
  <c r="AF26" i="1"/>
  <c r="AE28" i="1"/>
  <c r="BC87" i="15" l="1"/>
  <c r="BD86" i="15"/>
  <c r="AH29" i="16"/>
  <c r="AH187" i="16" s="1"/>
  <c r="AJ164" i="16"/>
  <c r="AI118" i="16"/>
  <c r="AI138" i="16"/>
  <c r="AI101" i="16"/>
  <c r="AH108" i="16"/>
  <c r="AJ25" i="16"/>
  <c r="AJ26" i="16" s="1"/>
  <c r="AJ28" i="16" s="1"/>
  <c r="AJ21" i="16"/>
  <c r="BH85" i="15"/>
  <c r="U96" i="13"/>
  <c r="V87" i="13"/>
  <c r="V16" i="13"/>
  <c r="V79" i="13"/>
  <c r="U102" i="13"/>
  <c r="W99" i="13"/>
  <c r="W10" i="13"/>
  <c r="W67" i="13"/>
  <c r="W7" i="13"/>
  <c r="W9" i="13"/>
  <c r="V108" i="13"/>
  <c r="V122" i="13" s="1"/>
  <c r="AJ10" i="16"/>
  <c r="AJ205" i="16" s="1"/>
  <c r="AJ212" i="16" s="1"/>
  <c r="AJ7" i="16"/>
  <c r="AK6" i="16" s="1"/>
  <c r="AJ9" i="16"/>
  <c r="AG26" i="1"/>
  <c r="AF28" i="1"/>
  <c r="W27" i="13" a="1"/>
  <c r="W29" i="13" a="1"/>
  <c r="W20" i="13" a="1"/>
  <c r="W25" i="13" a="1"/>
  <c r="W19" i="13" a="1"/>
  <c r="W28" i="13" a="1"/>
  <c r="W18" i="13" a="1"/>
  <c r="W21" i="13" a="1"/>
  <c r="W22" i="13" a="1"/>
  <c r="W24" i="13" a="1"/>
  <c r="W23" i="13" a="1"/>
  <c r="W26" i="13" a="1"/>
  <c r="BD87" i="15" l="1"/>
  <c r="BE86" i="15"/>
  <c r="AI29" i="16"/>
  <c r="AI187" i="16" s="1"/>
  <c r="AK164" i="16"/>
  <c r="AJ118" i="16"/>
  <c r="AJ138" i="16"/>
  <c r="AJ101" i="16"/>
  <c r="AI108" i="16"/>
  <c r="AK25" i="16"/>
  <c r="AK26" i="16" s="1"/>
  <c r="AK28" i="16" s="1"/>
  <c r="AK21" i="16"/>
  <c r="V118" i="13"/>
  <c r="V111" i="13"/>
  <c r="V114" i="13"/>
  <c r="V120" i="13"/>
  <c r="W15" i="13"/>
  <c r="W149" i="13"/>
  <c r="V119" i="13"/>
  <c r="U104" i="13"/>
  <c r="BI85" i="15"/>
  <c r="V117" i="13"/>
  <c r="V113" i="13"/>
  <c r="V112" i="13"/>
  <c r="V115" i="13"/>
  <c r="W23" i="13"/>
  <c r="W19" i="13"/>
  <c r="W20" i="13"/>
  <c r="W28" i="13"/>
  <c r="W21" i="13"/>
  <c r="W27" i="13"/>
  <c r="W26" i="13"/>
  <c r="W24" i="13"/>
  <c r="W18" i="13"/>
  <c r="W22" i="13"/>
  <c r="W25" i="13"/>
  <c r="W29" i="13"/>
  <c r="V121" i="13"/>
  <c r="X6" i="13"/>
  <c r="W107" i="13"/>
  <c r="V101" i="13"/>
  <c r="V88" i="13"/>
  <c r="V89" i="13"/>
  <c r="V90" i="13"/>
  <c r="V91" i="13"/>
  <c r="V100" i="13"/>
  <c r="V116" i="13"/>
  <c r="W72" i="13"/>
  <c r="W74" i="13"/>
  <c r="W73" i="13"/>
  <c r="W13" i="13"/>
  <c r="W92" i="13"/>
  <c r="AK7" i="16"/>
  <c r="AL6" i="16" s="1"/>
  <c r="AK9" i="16"/>
  <c r="AK10" i="16"/>
  <c r="AK205" i="16" s="1"/>
  <c r="AK212" i="16" s="1"/>
  <c r="AH26" i="1"/>
  <c r="AG28" i="1"/>
  <c r="BE87" i="15" l="1"/>
  <c r="BF86" i="15"/>
  <c r="AJ29" i="16"/>
  <c r="AJ187" i="16" s="1"/>
  <c r="AL164" i="16"/>
  <c r="AK138" i="16"/>
  <c r="AK101" i="16"/>
  <c r="AJ108" i="16"/>
  <c r="AK118" i="16"/>
  <c r="AL25" i="16"/>
  <c r="AL26" i="16" s="1"/>
  <c r="AL28" i="16" s="1"/>
  <c r="AL21" i="16"/>
  <c r="W151" i="13"/>
  <c r="W144" i="16" s="1"/>
  <c r="X150" i="13"/>
  <c r="BJ85" i="15"/>
  <c r="V96" i="13"/>
  <c r="W77" i="13"/>
  <c r="W83" i="13"/>
  <c r="W94" i="13" s="1"/>
  <c r="W84" i="13"/>
  <c r="W95" i="13" s="1"/>
  <c r="W78" i="13"/>
  <c r="W82" i="13"/>
  <c r="W93" i="13" s="1"/>
  <c r="W80" i="13"/>
  <c r="V102" i="13"/>
  <c r="X99" i="13"/>
  <c r="X9" i="13"/>
  <c r="X67" i="13"/>
  <c r="X72" i="13" s="1"/>
  <c r="X10" i="13"/>
  <c r="X149" i="13" s="1"/>
  <c r="X7" i="13"/>
  <c r="W108" i="13"/>
  <c r="W122" i="13" s="1"/>
  <c r="W87" i="13"/>
  <c r="W16" i="13"/>
  <c r="W79" i="13"/>
  <c r="AL10" i="16"/>
  <c r="AL205" i="16" s="1"/>
  <c r="AL212" i="16" s="1"/>
  <c r="AL9" i="16"/>
  <c r="AL7" i="16"/>
  <c r="AM6" i="16" s="1"/>
  <c r="AI26" i="1"/>
  <c r="AH28" i="1"/>
  <c r="X21" i="13" a="1"/>
  <c r="X29" i="13" a="1"/>
  <c r="X23" i="13" a="1"/>
  <c r="X25" i="13" a="1"/>
  <c r="X27" i="13" a="1"/>
  <c r="X18" i="13" a="1"/>
  <c r="X24" i="13" a="1"/>
  <c r="X22" i="13" a="1"/>
  <c r="X28" i="13" a="1"/>
  <c r="X19" i="13" a="1"/>
  <c r="X20" i="13" a="1"/>
  <c r="X26" i="13" a="1"/>
  <c r="BF87" i="15" l="1"/>
  <c r="BG86" i="15"/>
  <c r="AK29" i="16"/>
  <c r="AK187" i="16" s="1"/>
  <c r="AM164" i="16"/>
  <c r="AL138" i="16"/>
  <c r="X151" i="13"/>
  <c r="X144" i="16" s="1"/>
  <c r="AL101" i="16"/>
  <c r="AK108" i="16"/>
  <c r="AL118" i="16"/>
  <c r="AM25" i="16"/>
  <c r="AM26" i="16" s="1"/>
  <c r="AM28" i="16" s="1"/>
  <c r="AM21" i="16"/>
  <c r="X73" i="13"/>
  <c r="X79" i="13" s="1"/>
  <c r="Y150" i="13"/>
  <c r="V104" i="13"/>
  <c r="W117" i="13"/>
  <c r="BK85" i="15"/>
  <c r="W119" i="13"/>
  <c r="W113" i="13"/>
  <c r="W115" i="13"/>
  <c r="W114" i="13"/>
  <c r="W116" i="13"/>
  <c r="W120" i="13"/>
  <c r="W112" i="13"/>
  <c r="W111" i="13"/>
  <c r="W121" i="13"/>
  <c r="W118" i="13"/>
  <c r="X74" i="13"/>
  <c r="X80" i="13" s="1"/>
  <c r="X23" i="13"/>
  <c r="X26" i="13"/>
  <c r="X29" i="13"/>
  <c r="X18" i="13"/>
  <c r="X20" i="13"/>
  <c r="X19" i="13"/>
  <c r="X25" i="13"/>
  <c r="X21" i="13"/>
  <c r="X27" i="13"/>
  <c r="X24" i="13"/>
  <c r="X28" i="13"/>
  <c r="X22" i="13"/>
  <c r="X107" i="13"/>
  <c r="Y6" i="13"/>
  <c r="W100" i="13"/>
  <c r="W91" i="13"/>
  <c r="W89" i="13"/>
  <c r="W88" i="13"/>
  <c r="W90" i="13"/>
  <c r="W101" i="13"/>
  <c r="X13" i="13"/>
  <c r="X92" i="13"/>
  <c r="X15" i="13"/>
  <c r="X82" i="13"/>
  <c r="X93" i="13" s="1"/>
  <c r="X78" i="13"/>
  <c r="X83" i="13"/>
  <c r="X94" i="13" s="1"/>
  <c r="X84" i="13"/>
  <c r="X95" i="13" s="1"/>
  <c r="X77" i="13"/>
  <c r="AM9" i="16"/>
  <c r="AM10" i="16"/>
  <c r="AM205" i="16" s="1"/>
  <c r="AM212" i="16" s="1"/>
  <c r="AM7" i="16"/>
  <c r="AN6" i="16" s="1"/>
  <c r="AJ26" i="1"/>
  <c r="AI28" i="1"/>
  <c r="BG87" i="15" l="1"/>
  <c r="BH86" i="15"/>
  <c r="AL29" i="16"/>
  <c r="AL187" i="16" s="1"/>
  <c r="AN164" i="16"/>
  <c r="AM118" i="16"/>
  <c r="AM138" i="16"/>
  <c r="AM101" i="16"/>
  <c r="AL108" i="16"/>
  <c r="AN25" i="16"/>
  <c r="AN26" i="16" s="1"/>
  <c r="AN28" i="16" s="1"/>
  <c r="AN21" i="16"/>
  <c r="BL85" i="15"/>
  <c r="W96" i="13"/>
  <c r="X87" i="13"/>
  <c r="X16" i="13"/>
  <c r="W102" i="13"/>
  <c r="Y10" i="13"/>
  <c r="Y149" i="13" s="1"/>
  <c r="Y151" i="13" s="1"/>
  <c r="Y144" i="16" s="1"/>
  <c r="Y9" i="13"/>
  <c r="Y67" i="13"/>
  <c r="Y7" i="13"/>
  <c r="Y99" i="13"/>
  <c r="X108" i="13"/>
  <c r="X116" i="13" s="1"/>
  <c r="AN10" i="16"/>
  <c r="AN205" i="16" s="1"/>
  <c r="AN212" i="16" s="1"/>
  <c r="AN9" i="16"/>
  <c r="AN7" i="16"/>
  <c r="AO6" i="16" s="1"/>
  <c r="AK26" i="1"/>
  <c r="AJ28" i="1"/>
  <c r="Y20" i="13" a="1"/>
  <c r="Y19" i="13" a="1"/>
  <c r="Y26" i="13" a="1"/>
  <c r="Y28" i="13" a="1"/>
  <c r="Y24" i="13" a="1"/>
  <c r="Y25" i="13" a="1"/>
  <c r="Y23" i="13" a="1"/>
  <c r="Y21" i="13" a="1"/>
  <c r="Y29" i="13" a="1"/>
  <c r="Y22" i="13" a="1"/>
  <c r="Y18" i="13" a="1"/>
  <c r="Y27" i="13" a="1"/>
  <c r="BH87" i="15" l="1"/>
  <c r="BI86" i="15"/>
  <c r="AM29" i="16"/>
  <c r="AM187" i="16" s="1"/>
  <c r="AO164" i="16"/>
  <c r="AN138" i="16"/>
  <c r="AN101" i="16"/>
  <c r="AM108" i="16"/>
  <c r="AN118" i="16"/>
  <c r="AO25" i="16"/>
  <c r="AO26" i="16" s="1"/>
  <c r="AO28" i="16" s="1"/>
  <c r="AO21" i="16"/>
  <c r="X119" i="13"/>
  <c r="Z150" i="13"/>
  <c r="BM85" i="15"/>
  <c r="X121" i="13"/>
  <c r="X122" i="13"/>
  <c r="X114" i="13"/>
  <c r="X113" i="13"/>
  <c r="W104" i="13"/>
  <c r="X117" i="13"/>
  <c r="X111" i="13"/>
  <c r="X120" i="13"/>
  <c r="X115" i="13"/>
  <c r="X112" i="13"/>
  <c r="X118" i="13"/>
  <c r="Y29" i="13"/>
  <c r="Y27" i="13"/>
  <c r="Y28" i="13"/>
  <c r="Y23" i="13"/>
  <c r="Y24" i="13"/>
  <c r="Y18" i="13"/>
  <c r="Y20" i="13"/>
  <c r="Y21" i="13"/>
  <c r="Y25" i="13"/>
  <c r="Y19" i="13"/>
  <c r="Y22" i="13"/>
  <c r="Y26" i="13"/>
  <c r="Y107" i="13"/>
  <c r="Z6" i="13"/>
  <c r="Y72" i="13"/>
  <c r="Y73" i="13"/>
  <c r="Y74" i="13"/>
  <c r="X101" i="13"/>
  <c r="X89" i="13"/>
  <c r="X91" i="13"/>
  <c r="X88" i="13"/>
  <c r="X90" i="13"/>
  <c r="X100" i="13"/>
  <c r="Y92" i="13"/>
  <c r="Y13" i="13"/>
  <c r="Y15" i="13"/>
  <c r="AO7" i="16"/>
  <c r="AP6" i="16" s="1"/>
  <c r="AO10" i="16"/>
  <c r="AO205" i="16" s="1"/>
  <c r="AO212" i="16" s="1"/>
  <c r="AO9" i="16"/>
  <c r="AL26" i="1"/>
  <c r="AK28" i="1"/>
  <c r="BI87" i="15" l="1"/>
  <c r="BJ86" i="15"/>
  <c r="AN29" i="16"/>
  <c r="AN187" i="16" s="1"/>
  <c r="AP164" i="16"/>
  <c r="AO138" i="16"/>
  <c r="AO101" i="16"/>
  <c r="AN108" i="16"/>
  <c r="AO118" i="16"/>
  <c r="AP25" i="16"/>
  <c r="AP26" i="16" s="1"/>
  <c r="AP28" i="16" s="1"/>
  <c r="AP21" i="16"/>
  <c r="BN85" i="15"/>
  <c r="X96" i="13"/>
  <c r="X102" i="13"/>
  <c r="Y80" i="13"/>
  <c r="Y79" i="13"/>
  <c r="Y84" i="13"/>
  <c r="Y95" i="13" s="1"/>
  <c r="Y82" i="13"/>
  <c r="Y93" i="13" s="1"/>
  <c r="Y83" i="13"/>
  <c r="Y94" i="13" s="1"/>
  <c r="Y78" i="13"/>
  <c r="Y77" i="13"/>
  <c r="Y87" i="13"/>
  <c r="Y16" i="13"/>
  <c r="Z99" i="13"/>
  <c r="Z10" i="13"/>
  <c r="Z7" i="13"/>
  <c r="Z67" i="13"/>
  <c r="Z72" i="13" s="1"/>
  <c r="Z9" i="13"/>
  <c r="Y108" i="13"/>
  <c r="Y119" i="13" s="1"/>
  <c r="AP9" i="16"/>
  <c r="AP7" i="16"/>
  <c r="AQ6" i="16" s="1"/>
  <c r="AP10" i="16"/>
  <c r="AP205" i="16" s="1"/>
  <c r="AP212" i="16" s="1"/>
  <c r="AM26" i="1"/>
  <c r="AL28" i="1"/>
  <c r="Z26" i="13" a="1"/>
  <c r="Z28" i="13" a="1"/>
  <c r="Z27" i="13" a="1"/>
  <c r="Z21" i="13" a="1"/>
  <c r="Z29" i="13" a="1"/>
  <c r="Z20" i="13" a="1"/>
  <c r="Z24" i="13" a="1"/>
  <c r="Z25" i="13" a="1"/>
  <c r="Z22" i="13" a="1"/>
  <c r="Z18" i="13" a="1"/>
  <c r="Z19" i="13" a="1"/>
  <c r="Z23" i="13" a="1"/>
  <c r="BJ87" i="15" l="1"/>
  <c r="BK86" i="15"/>
  <c r="AO29" i="16"/>
  <c r="AO187" i="16" s="1"/>
  <c r="AQ164" i="16"/>
  <c r="AP118" i="16"/>
  <c r="AP138" i="16"/>
  <c r="AP101" i="16"/>
  <c r="AO108" i="16"/>
  <c r="AQ25" i="16"/>
  <c r="AQ26" i="16" s="1"/>
  <c r="AQ28" i="16" s="1"/>
  <c r="AQ21" i="16"/>
  <c r="Z15" i="13"/>
  <c r="Z149" i="13"/>
  <c r="X104" i="13"/>
  <c r="Y114" i="13"/>
  <c r="Y118" i="13"/>
  <c r="Y111" i="13"/>
  <c r="Y112" i="13"/>
  <c r="Y120" i="13"/>
  <c r="Y113" i="13"/>
  <c r="Y121" i="13"/>
  <c r="Y122" i="13"/>
  <c r="Y116" i="13"/>
  <c r="Y117" i="13"/>
  <c r="Y115" i="13"/>
  <c r="Z26" i="13"/>
  <c r="Z25" i="13"/>
  <c r="Z21" i="13"/>
  <c r="Z28" i="13"/>
  <c r="Z27" i="13"/>
  <c r="Z20" i="13"/>
  <c r="Z19" i="13"/>
  <c r="Z29" i="13"/>
  <c r="Z22" i="13"/>
  <c r="Z24" i="13"/>
  <c r="Z18" i="13"/>
  <c r="Z23" i="13"/>
  <c r="Z82" i="13"/>
  <c r="Z93" i="13" s="1"/>
  <c r="Z84" i="13"/>
  <c r="Z95" i="13" s="1"/>
  <c r="Z77" i="13"/>
  <c r="Z78" i="13"/>
  <c r="Z83" i="13"/>
  <c r="Z94" i="13" s="1"/>
  <c r="AA6" i="13"/>
  <c r="Z107" i="13"/>
  <c r="Z73" i="13"/>
  <c r="Z13" i="13"/>
  <c r="Z92" i="13"/>
  <c r="Y101" i="13"/>
  <c r="Y90" i="13"/>
  <c r="Y91" i="13"/>
  <c r="Y88" i="13"/>
  <c r="Y89" i="13"/>
  <c r="Y100" i="13"/>
  <c r="Z74" i="13"/>
  <c r="AQ10" i="16"/>
  <c r="AQ205" i="16" s="1"/>
  <c r="AQ212" i="16" s="1"/>
  <c r="AQ9" i="16"/>
  <c r="AQ7" i="16"/>
  <c r="AR6" i="16" s="1"/>
  <c r="AN26" i="1"/>
  <c r="AM28" i="1"/>
  <c r="BK87" i="15" l="1"/>
  <c r="BL86" i="15"/>
  <c r="AP29" i="16"/>
  <c r="AP187" i="16" s="1"/>
  <c r="AR164" i="16"/>
  <c r="AQ118" i="16"/>
  <c r="AQ138" i="16"/>
  <c r="AQ101" i="16"/>
  <c r="AQ108" i="16" s="1"/>
  <c r="AP108" i="16"/>
  <c r="AR25" i="16"/>
  <c r="AR26" i="16" s="1"/>
  <c r="AR28" i="16" s="1"/>
  <c r="AR21" i="16"/>
  <c r="Z151" i="13"/>
  <c r="Z144" i="16" s="1"/>
  <c r="AA150" i="13"/>
  <c r="Y96" i="13"/>
  <c r="AA99" i="13"/>
  <c r="AA10" i="13"/>
  <c r="AA149" i="13" s="1"/>
  <c r="AA9" i="13"/>
  <c r="AA67" i="13"/>
  <c r="AA72" i="13" s="1"/>
  <c r="AA7" i="13"/>
  <c r="Y102" i="13"/>
  <c r="Z79" i="13"/>
  <c r="Z87" i="13"/>
  <c r="Z16" i="13"/>
  <c r="Z80" i="13"/>
  <c r="Z108" i="13"/>
  <c r="Z115" i="13" s="1"/>
  <c r="AR10" i="16"/>
  <c r="AR205" i="16" s="1"/>
  <c r="AR212" i="16" s="1"/>
  <c r="AR7" i="16"/>
  <c r="AS6" i="16" s="1"/>
  <c r="AR9" i="16"/>
  <c r="AO26" i="1"/>
  <c r="AN28" i="1"/>
  <c r="AA24" i="13" a="1"/>
  <c r="AA19" i="13" a="1"/>
  <c r="AA27" i="13" a="1"/>
  <c r="AA23" i="13" a="1"/>
  <c r="AA26" i="13" a="1"/>
  <c r="AA25" i="13" a="1"/>
  <c r="AA22" i="13" a="1"/>
  <c r="AA29" i="13" a="1"/>
  <c r="AA21" i="13" a="1"/>
  <c r="AA28" i="13" a="1"/>
  <c r="AA20" i="13" a="1"/>
  <c r="AA18" i="13" a="1"/>
  <c r="BL87" i="15" l="1"/>
  <c r="BM86" i="15"/>
  <c r="AQ29" i="16"/>
  <c r="AQ187" i="16" s="1"/>
  <c r="AS164" i="16"/>
  <c r="AA151" i="13"/>
  <c r="AA144" i="16" s="1"/>
  <c r="AR118" i="16"/>
  <c r="AR138" i="16"/>
  <c r="AR101" i="16"/>
  <c r="AS25" i="16"/>
  <c r="AS26" i="16" s="1"/>
  <c r="AS28" i="16" s="1"/>
  <c r="AS21" i="16"/>
  <c r="AB150" i="13"/>
  <c r="AA74" i="13"/>
  <c r="AA80" i="13" s="1"/>
  <c r="Z113" i="13"/>
  <c r="Z114" i="13"/>
  <c r="Z121" i="13"/>
  <c r="Z111" i="13"/>
  <c r="Z117" i="13"/>
  <c r="Z120" i="13"/>
  <c r="Z118" i="13"/>
  <c r="Z112" i="13"/>
  <c r="Z122" i="13"/>
  <c r="Z119" i="13"/>
  <c r="Z116" i="13"/>
  <c r="Y104" i="13"/>
  <c r="AA73" i="13"/>
  <c r="AA79" i="13" s="1"/>
  <c r="AA22" i="13"/>
  <c r="AA29" i="13"/>
  <c r="AA28" i="13"/>
  <c r="AA20" i="13"/>
  <c r="AA25" i="13"/>
  <c r="AA18" i="13"/>
  <c r="AA27" i="13"/>
  <c r="AA23" i="13"/>
  <c r="AA19" i="13"/>
  <c r="AA21" i="13"/>
  <c r="AA26" i="13"/>
  <c r="AA24" i="13"/>
  <c r="AA107" i="13"/>
  <c r="AB6" i="13"/>
  <c r="AA78" i="13"/>
  <c r="AA84" i="13"/>
  <c r="AA95" i="13" s="1"/>
  <c r="AA83" i="13"/>
  <c r="AA94" i="13" s="1"/>
  <c r="AA82" i="13"/>
  <c r="AA93" i="13" s="1"/>
  <c r="AA77" i="13"/>
  <c r="AA15" i="13"/>
  <c r="AA92" i="13"/>
  <c r="AA13" i="13"/>
  <c r="AA87" i="13" s="1"/>
  <c r="AA101" i="13" s="1"/>
  <c r="Z101" i="13"/>
  <c r="Z89" i="13"/>
  <c r="Z90" i="13"/>
  <c r="Z88" i="13"/>
  <c r="Z91" i="13"/>
  <c r="Z100" i="13"/>
  <c r="AS10" i="16"/>
  <c r="AS205" i="16" s="1"/>
  <c r="AS212" i="16" s="1"/>
  <c r="AS9" i="16"/>
  <c r="AS7" i="16"/>
  <c r="AT6" i="16" s="1"/>
  <c r="AP26" i="1"/>
  <c r="AO28" i="1"/>
  <c r="BM87" i="15" l="1"/>
  <c r="BN86" i="15"/>
  <c r="BN87" i="15" s="1"/>
  <c r="AR29" i="16"/>
  <c r="AR187" i="16" s="1"/>
  <c r="AT164" i="16"/>
  <c r="AS118" i="16"/>
  <c r="AS138" i="16"/>
  <c r="AS101" i="16"/>
  <c r="AS108" i="16" s="1"/>
  <c r="AR108" i="16"/>
  <c r="AT25" i="16"/>
  <c r="AT26" i="16" s="1"/>
  <c r="AT28" i="16" s="1"/>
  <c r="AT21" i="16"/>
  <c r="Z102" i="13"/>
  <c r="Z96" i="13"/>
  <c r="AA100" i="13"/>
  <c r="AA102" i="13" s="1"/>
  <c r="AA90" i="13"/>
  <c r="AA88" i="13"/>
  <c r="AA91" i="13"/>
  <c r="AA89" i="13"/>
  <c r="AB67" i="13"/>
  <c r="AB10" i="13"/>
  <c r="AB7" i="13"/>
  <c r="AB99" i="13"/>
  <c r="AB9" i="13"/>
  <c r="AA108" i="13"/>
  <c r="AA120" i="13" s="1"/>
  <c r="AA16" i="13"/>
  <c r="AT10" i="16"/>
  <c r="AT205" i="16" s="1"/>
  <c r="AT212" i="16" s="1"/>
  <c r="AT9" i="16"/>
  <c r="AT7" i="16"/>
  <c r="AU6" i="16" s="1"/>
  <c r="AQ26" i="1"/>
  <c r="AP28" i="1"/>
  <c r="AB18" i="13" a="1"/>
  <c r="AB27" i="13" a="1"/>
  <c r="AB23" i="13" a="1"/>
  <c r="AB22" i="13" a="1"/>
  <c r="AB21" i="13" a="1"/>
  <c r="AB25" i="13" a="1"/>
  <c r="AB26" i="13" a="1"/>
  <c r="AB20" i="13" a="1"/>
  <c r="AB19" i="13" a="1"/>
  <c r="AB28" i="13" a="1"/>
  <c r="AB24" i="13" a="1"/>
  <c r="AB29" i="13" a="1"/>
  <c r="AS29" i="16" l="1"/>
  <c r="AS187" i="16" s="1"/>
  <c r="AU164" i="16"/>
  <c r="AT138" i="16"/>
  <c r="AT101" i="16"/>
  <c r="AT108" i="16" s="1"/>
  <c r="AT118" i="16"/>
  <c r="AU25" i="16"/>
  <c r="AU26" i="16" s="1"/>
  <c r="AU28" i="16" s="1"/>
  <c r="AU21" i="16"/>
  <c r="AB15" i="13"/>
  <c r="AB149" i="13"/>
  <c r="Z104" i="13"/>
  <c r="AA96" i="13"/>
  <c r="AA104" i="13" s="1"/>
  <c r="AA122" i="13"/>
  <c r="AA115" i="13"/>
  <c r="AA116" i="13"/>
  <c r="AB22" i="13"/>
  <c r="AB25" i="13"/>
  <c r="AB29" i="13"/>
  <c r="AB21" i="13"/>
  <c r="AB19" i="13"/>
  <c r="AB20" i="13"/>
  <c r="AB27" i="13"/>
  <c r="AB26" i="13"/>
  <c r="AB18" i="13"/>
  <c r="AB23" i="13"/>
  <c r="AB28" i="13"/>
  <c r="AB24" i="13"/>
  <c r="AA113" i="13"/>
  <c r="AA118" i="13"/>
  <c r="AA111" i="13"/>
  <c r="AA114" i="13"/>
  <c r="AA121" i="13"/>
  <c r="AC6" i="13"/>
  <c r="AB107" i="13"/>
  <c r="AB72" i="13"/>
  <c r="AB73" i="13"/>
  <c r="AB74" i="13"/>
  <c r="AA112" i="13"/>
  <c r="AA117" i="13"/>
  <c r="AA119" i="13"/>
  <c r="AB13" i="13"/>
  <c r="AB92" i="13"/>
  <c r="AU9" i="16"/>
  <c r="AU7" i="16"/>
  <c r="AV6" i="16" s="1"/>
  <c r="AU10" i="16"/>
  <c r="AU205" i="16" s="1"/>
  <c r="AU212" i="16" s="1"/>
  <c r="AR26" i="1"/>
  <c r="AQ28" i="1"/>
  <c r="AT29" i="16" l="1"/>
  <c r="AT187" i="16" s="1"/>
  <c r="AV164" i="16"/>
  <c r="AU118" i="16"/>
  <c r="AU138" i="16"/>
  <c r="AU101" i="16"/>
  <c r="AV25" i="16"/>
  <c r="AV26" i="16" s="1"/>
  <c r="AV28" i="16" s="1"/>
  <c r="AV21" i="16"/>
  <c r="AB151" i="13"/>
  <c r="AB144" i="16" s="1"/>
  <c r="AC150" i="13"/>
  <c r="AB108" i="13"/>
  <c r="AB121" i="13" s="1"/>
  <c r="AC10" i="13"/>
  <c r="AC149" i="13" s="1"/>
  <c r="AC67" i="13"/>
  <c r="AC72" i="13" s="1"/>
  <c r="AC99" i="13"/>
  <c r="AC9" i="13"/>
  <c r="AC7" i="13"/>
  <c r="AB80" i="13"/>
  <c r="AB87" i="13"/>
  <c r="AB16" i="13"/>
  <c r="AB79" i="13"/>
  <c r="AB82" i="13"/>
  <c r="AB93" i="13" s="1"/>
  <c r="AB77" i="13"/>
  <c r="AB78" i="13"/>
  <c r="AB84" i="13"/>
  <c r="AB95" i="13" s="1"/>
  <c r="AB83" i="13"/>
  <c r="AB94" i="13" s="1"/>
  <c r="AV10" i="16"/>
  <c r="AV205" i="16" s="1"/>
  <c r="AV212" i="16" s="1"/>
  <c r="AV9" i="16"/>
  <c r="AV7" i="16"/>
  <c r="AW6" i="16" s="1"/>
  <c r="AS26" i="1"/>
  <c r="AR28" i="1"/>
  <c r="AC19" i="13" a="1"/>
  <c r="AC26" i="13" a="1"/>
  <c r="AC27" i="13" a="1"/>
  <c r="AC24" i="13" a="1"/>
  <c r="AC28" i="13" a="1"/>
  <c r="AC22" i="13" a="1"/>
  <c r="AC18" i="13" a="1"/>
  <c r="AC25" i="13" a="1"/>
  <c r="AC20" i="13" a="1"/>
  <c r="AC29" i="13" a="1"/>
  <c r="AC21" i="13" a="1"/>
  <c r="AC23" i="13" a="1"/>
  <c r="AU29" i="16" l="1"/>
  <c r="AU187" i="16" s="1"/>
  <c r="AW164" i="16"/>
  <c r="AV138" i="16"/>
  <c r="AC151" i="13"/>
  <c r="AC144" i="16" s="1"/>
  <c r="AV101" i="16"/>
  <c r="AU108" i="16"/>
  <c r="AV118" i="16"/>
  <c r="AW25" i="16"/>
  <c r="AW26" i="16" s="1"/>
  <c r="AW28" i="16" s="1"/>
  <c r="AW21" i="16"/>
  <c r="AD150" i="13"/>
  <c r="AC74" i="13"/>
  <c r="AC80" i="13" s="1"/>
  <c r="AC21" i="13"/>
  <c r="AC25" i="13"/>
  <c r="AC20" i="13"/>
  <c r="AC22" i="13"/>
  <c r="AC23" i="13"/>
  <c r="AC29" i="13"/>
  <c r="AC26" i="13"/>
  <c r="AC28" i="13"/>
  <c r="AC24" i="13"/>
  <c r="AC19" i="13"/>
  <c r="AC18" i="13"/>
  <c r="AC27" i="13"/>
  <c r="AB118" i="13"/>
  <c r="AC107" i="13"/>
  <c r="AD6" i="13"/>
  <c r="AB114" i="13"/>
  <c r="AB116" i="13"/>
  <c r="AB117" i="13"/>
  <c r="AB113" i="13"/>
  <c r="AB101" i="13"/>
  <c r="AB88" i="13"/>
  <c r="AB89" i="13"/>
  <c r="AB90" i="13"/>
  <c r="AB91" i="13"/>
  <c r="AB100" i="13"/>
  <c r="AB111" i="13"/>
  <c r="AC82" i="13"/>
  <c r="AC93" i="13" s="1"/>
  <c r="AC84" i="13"/>
  <c r="AC95" i="13" s="1"/>
  <c r="AC78" i="13"/>
  <c r="AC83" i="13"/>
  <c r="AC94" i="13" s="1"/>
  <c r="AC77" i="13"/>
  <c r="AB119" i="13"/>
  <c r="AB112" i="13"/>
  <c r="AB115" i="13"/>
  <c r="AB122" i="13"/>
  <c r="AC13" i="13"/>
  <c r="AC92" i="13"/>
  <c r="AC15" i="13"/>
  <c r="AC73" i="13"/>
  <c r="AB120" i="13"/>
  <c r="AW10" i="16"/>
  <c r="AW205" i="16" s="1"/>
  <c r="AW212" i="16" s="1"/>
  <c r="AW9" i="16"/>
  <c r="AW7" i="16"/>
  <c r="AX6" i="16" s="1"/>
  <c r="AS28" i="1"/>
  <c r="AV29" i="16" l="1"/>
  <c r="AV187" i="16" s="1"/>
  <c r="AX164" i="16"/>
  <c r="AW118" i="16"/>
  <c r="AW138" i="16"/>
  <c r="AW101" i="16"/>
  <c r="AV108" i="16"/>
  <c r="AW29" i="16"/>
  <c r="AW187" i="16" s="1"/>
  <c r="AX25" i="16"/>
  <c r="AX26" i="16" s="1"/>
  <c r="AX28" i="16" s="1"/>
  <c r="AX21" i="16"/>
  <c r="AB96" i="13"/>
  <c r="AB102" i="13"/>
  <c r="AC87" i="13"/>
  <c r="AC16" i="13"/>
  <c r="AC79" i="13"/>
  <c r="AD10" i="13"/>
  <c r="AD7" i="13"/>
  <c r="AD99" i="13"/>
  <c r="AD67" i="13"/>
  <c r="AD9" i="13"/>
  <c r="AC108" i="13"/>
  <c r="AC116" i="13" s="1"/>
  <c r="AX9" i="16"/>
  <c r="AX10" i="16"/>
  <c r="AX205" i="16" s="1"/>
  <c r="AX212" i="16" s="1"/>
  <c r="AX7" i="16"/>
  <c r="AY6" i="16" s="1"/>
  <c r="AD28" i="13" a="1"/>
  <c r="AD23" i="13" a="1"/>
  <c r="AD22" i="13" a="1"/>
  <c r="AD24" i="13" a="1"/>
  <c r="AD26" i="13" a="1"/>
  <c r="AD27" i="13" a="1"/>
  <c r="AD29" i="13" a="1"/>
  <c r="AD19" i="13" a="1"/>
  <c r="AD25" i="13" a="1"/>
  <c r="AD20" i="13" a="1"/>
  <c r="AD18" i="13" a="1"/>
  <c r="AD21" i="13" a="1"/>
  <c r="AY164" i="16" l="1"/>
  <c r="AX118" i="16"/>
  <c r="AX138" i="16"/>
  <c r="AX101" i="16"/>
  <c r="AW108" i="16"/>
  <c r="AX29" i="16"/>
  <c r="AX187" i="16" s="1"/>
  <c r="AY25" i="16"/>
  <c r="AY26" i="16" s="1"/>
  <c r="AY28" i="16" s="1"/>
  <c r="AY21" i="16"/>
  <c r="AC111" i="13"/>
  <c r="AC115" i="13"/>
  <c r="AC113" i="13"/>
  <c r="AC120" i="13"/>
  <c r="AD15" i="13"/>
  <c r="AD149" i="13"/>
  <c r="AC114" i="13"/>
  <c r="AC117" i="13"/>
  <c r="AB104" i="13"/>
  <c r="AC112" i="13"/>
  <c r="AC118" i="13"/>
  <c r="AC122" i="13"/>
  <c r="AC121" i="13"/>
  <c r="AC119" i="13"/>
  <c r="AD22" i="13"/>
  <c r="AD28" i="13"/>
  <c r="AD21" i="13"/>
  <c r="AD24" i="13"/>
  <c r="AD19" i="13"/>
  <c r="AD18" i="13"/>
  <c r="AD23" i="13"/>
  <c r="AD29" i="13"/>
  <c r="AD25" i="13"/>
  <c r="AD26" i="13"/>
  <c r="AD20" i="13"/>
  <c r="AD27" i="13"/>
  <c r="AD72" i="13"/>
  <c r="AD74" i="13"/>
  <c r="AD107" i="13"/>
  <c r="AE6" i="13"/>
  <c r="AD73" i="13"/>
  <c r="AD13" i="13"/>
  <c r="AD92" i="13"/>
  <c r="AC100" i="13"/>
  <c r="AC88" i="13"/>
  <c r="AC91" i="13"/>
  <c r="AC90" i="13"/>
  <c r="AC89" i="13"/>
  <c r="AC101" i="13"/>
  <c r="AY7" i="16"/>
  <c r="AZ6" i="16" s="1"/>
  <c r="AY10" i="16"/>
  <c r="AY205" i="16" s="1"/>
  <c r="AY212" i="16" s="1"/>
  <c r="AY9" i="16"/>
  <c r="AZ164" i="16" l="1"/>
  <c r="AY118" i="16"/>
  <c r="AY138" i="16"/>
  <c r="AY101" i="16"/>
  <c r="AY108" i="16" s="1"/>
  <c r="AX108" i="16"/>
  <c r="AY29" i="16"/>
  <c r="AY187" i="16" s="1"/>
  <c r="AZ25" i="16"/>
  <c r="AZ26" i="16" s="1"/>
  <c r="AZ28" i="16" s="1"/>
  <c r="AZ21" i="16"/>
  <c r="AD151" i="13"/>
  <c r="AD144" i="16" s="1"/>
  <c r="AE150" i="13"/>
  <c r="AC96" i="13"/>
  <c r="AC102" i="13"/>
  <c r="AE9" i="13"/>
  <c r="AE67" i="13"/>
  <c r="AE72" i="13" s="1"/>
  <c r="AE10" i="13"/>
  <c r="AE149" i="13" s="1"/>
  <c r="AE7" i="13"/>
  <c r="AE99" i="13"/>
  <c r="AD108" i="13"/>
  <c r="AD113" i="13" s="1"/>
  <c r="AD80" i="13"/>
  <c r="AD82" i="13"/>
  <c r="AD93" i="13" s="1"/>
  <c r="AD78" i="13"/>
  <c r="AD84" i="13"/>
  <c r="AD95" i="13" s="1"/>
  <c r="AD77" i="13"/>
  <c r="AD83" i="13"/>
  <c r="AD94" i="13" s="1"/>
  <c r="AD87" i="13"/>
  <c r="AD16" i="13"/>
  <c r="AD79" i="13"/>
  <c r="AZ10" i="16"/>
  <c r="AZ205" i="16" s="1"/>
  <c r="AZ212" i="16" s="1"/>
  <c r="AZ7" i="16"/>
  <c r="BA6" i="16" s="1"/>
  <c r="AZ9" i="16"/>
  <c r="AE28" i="13" a="1"/>
  <c r="AE21" i="13" a="1"/>
  <c r="AE24" i="13" a="1"/>
  <c r="AE20" i="13" a="1"/>
  <c r="AE26" i="13" a="1"/>
  <c r="AE29" i="13" a="1"/>
  <c r="AE25" i="13" a="1"/>
  <c r="AE18" i="13" a="1"/>
  <c r="AE22" i="13" a="1"/>
  <c r="AE27" i="13" a="1"/>
  <c r="AE19" i="13" a="1"/>
  <c r="AE23" i="13" a="1"/>
  <c r="BA164" i="16" l="1"/>
  <c r="AZ138" i="16"/>
  <c r="AZ101" i="16"/>
  <c r="AZ29" i="16"/>
  <c r="AZ187" i="16" s="1"/>
  <c r="AZ118" i="16"/>
  <c r="BA25" i="16"/>
  <c r="BA26" i="16" s="1"/>
  <c r="BA28" i="16" s="1"/>
  <c r="BA21" i="16"/>
  <c r="AE151" i="13"/>
  <c r="AE144" i="16" s="1"/>
  <c r="AE73" i="13"/>
  <c r="AE79" i="13" s="1"/>
  <c r="AE74" i="13"/>
  <c r="AE80" i="13" s="1"/>
  <c r="AF150" i="13"/>
  <c r="AD122" i="13"/>
  <c r="AD116" i="13"/>
  <c r="AD112" i="13"/>
  <c r="AD111" i="13"/>
  <c r="AD120" i="13"/>
  <c r="AD114" i="13"/>
  <c r="AD115" i="13"/>
  <c r="AD118" i="13"/>
  <c r="AC104" i="13"/>
  <c r="AE29" i="13"/>
  <c r="AE22" i="13"/>
  <c r="AE21" i="13"/>
  <c r="AE23" i="13"/>
  <c r="AE19" i="13"/>
  <c r="AE26" i="13"/>
  <c r="AE20" i="13"/>
  <c r="AE18" i="13"/>
  <c r="AE25" i="13"/>
  <c r="AE27" i="13"/>
  <c r="AE28" i="13"/>
  <c r="AE24" i="13"/>
  <c r="AD101" i="13"/>
  <c r="AD90" i="13"/>
  <c r="AD89" i="13"/>
  <c r="AD88" i="13"/>
  <c r="AD91" i="13"/>
  <c r="AD100" i="13"/>
  <c r="AE107" i="13"/>
  <c r="AF6" i="13"/>
  <c r="AD117" i="13"/>
  <c r="AE92" i="13"/>
  <c r="AE13" i="13"/>
  <c r="AE15" i="13"/>
  <c r="AD119" i="13"/>
  <c r="AE77" i="13"/>
  <c r="AE83" i="13"/>
  <c r="AE94" i="13" s="1"/>
  <c r="AE84" i="13"/>
  <c r="AE95" i="13" s="1"/>
  <c r="AE82" i="13"/>
  <c r="AE93" i="13" s="1"/>
  <c r="AE78" i="13"/>
  <c r="AD121" i="13"/>
  <c r="BA10" i="16"/>
  <c r="BA205" i="16" s="1"/>
  <c r="BA212" i="16" s="1"/>
  <c r="BA9" i="16"/>
  <c r="BA7" i="16"/>
  <c r="BB6" i="16" s="1"/>
  <c r="BB164" i="16" l="1"/>
  <c r="BA118" i="16"/>
  <c r="BA138" i="16"/>
  <c r="BA101" i="16"/>
  <c r="AZ108" i="16"/>
  <c r="BA29" i="16"/>
  <c r="BA187" i="16" s="1"/>
  <c r="BB25" i="16"/>
  <c r="BB26" i="16" s="1"/>
  <c r="BB28" i="16" s="1"/>
  <c r="BB21" i="16"/>
  <c r="AD96" i="13"/>
  <c r="AE108" i="13"/>
  <c r="AE120" i="13" s="1"/>
  <c r="AE87" i="13"/>
  <c r="AE16" i="13"/>
  <c r="AD102" i="13"/>
  <c r="AF7" i="13"/>
  <c r="AF10" i="13"/>
  <c r="AF67" i="13"/>
  <c r="AF99" i="13"/>
  <c r="AF9" i="13"/>
  <c r="BB9" i="16"/>
  <c r="BB7" i="16"/>
  <c r="BC6" i="16" s="1"/>
  <c r="BB10" i="16"/>
  <c r="BB205" i="16" s="1"/>
  <c r="BB212" i="16" s="1"/>
  <c r="AF21" i="13" a="1"/>
  <c r="AF27" i="13" a="1"/>
  <c r="AF24" i="13" a="1"/>
  <c r="AF18" i="13" a="1"/>
  <c r="AF28" i="13" a="1"/>
  <c r="AF20" i="13" a="1"/>
  <c r="AF19" i="13" a="1"/>
  <c r="AF22" i="13" a="1"/>
  <c r="AF26" i="13" a="1"/>
  <c r="AF29" i="13" a="1"/>
  <c r="AF25" i="13" a="1"/>
  <c r="AF23" i="13" a="1"/>
  <c r="BC164" i="16" l="1"/>
  <c r="BB118" i="16"/>
  <c r="BB138" i="16"/>
  <c r="BB101" i="16"/>
  <c r="BA108" i="16"/>
  <c r="AD104" i="13"/>
  <c r="BB29" i="16"/>
  <c r="BB187" i="16" s="1"/>
  <c r="BC25" i="16"/>
  <c r="BC26" i="16" s="1"/>
  <c r="BC28" i="16" s="1"/>
  <c r="BC21" i="16"/>
  <c r="AE117" i="13"/>
  <c r="AE112" i="13"/>
  <c r="AE111" i="13"/>
  <c r="AE121" i="13"/>
  <c r="AE114" i="13"/>
  <c r="AE113" i="13"/>
  <c r="AE118" i="13"/>
  <c r="AE122" i="13"/>
  <c r="AF15" i="13"/>
  <c r="AF149" i="13"/>
  <c r="AE115" i="13"/>
  <c r="AE119" i="13"/>
  <c r="AE116" i="13"/>
  <c r="AF18" i="13"/>
  <c r="AF23" i="13"/>
  <c r="AF26" i="13"/>
  <c r="AF25" i="13"/>
  <c r="AF24" i="13"/>
  <c r="AF27" i="13"/>
  <c r="AF20" i="13"/>
  <c r="AF22" i="13"/>
  <c r="AF28" i="13"/>
  <c r="AF19" i="13"/>
  <c r="AF29" i="13"/>
  <c r="AF21" i="13"/>
  <c r="AF72" i="13"/>
  <c r="AF73" i="13"/>
  <c r="AF74" i="13"/>
  <c r="AE100" i="13"/>
  <c r="AE90" i="13"/>
  <c r="AE88" i="13"/>
  <c r="AE89" i="13"/>
  <c r="AE91" i="13"/>
  <c r="AE101" i="13"/>
  <c r="AF92" i="13"/>
  <c r="AF13" i="13"/>
  <c r="AG6" i="13"/>
  <c r="AF107" i="13"/>
  <c r="BC9" i="16"/>
  <c r="BC10" i="16"/>
  <c r="BC205" i="16" s="1"/>
  <c r="BC212" i="16" s="1"/>
  <c r="BC7" i="16"/>
  <c r="BD6" i="16" s="1"/>
  <c r="BD164" i="16" l="1"/>
  <c r="BC138" i="16"/>
  <c r="BC101" i="16"/>
  <c r="BB108" i="16"/>
  <c r="BC29" i="16"/>
  <c r="BC187" i="16" s="1"/>
  <c r="BC118" i="16"/>
  <c r="BD25" i="16"/>
  <c r="BD26" i="16" s="1"/>
  <c r="BD28" i="16" s="1"/>
  <c r="BD21" i="16"/>
  <c r="AF151" i="13"/>
  <c r="AF144" i="16" s="1"/>
  <c r="AG150" i="13"/>
  <c r="AE96" i="13"/>
  <c r="AE102" i="13"/>
  <c r="AF87" i="13"/>
  <c r="AF16" i="13"/>
  <c r="AF80" i="13"/>
  <c r="AF79" i="13"/>
  <c r="AF108" i="13"/>
  <c r="AF119" i="13" s="1"/>
  <c r="AF84" i="13"/>
  <c r="AF95" i="13" s="1"/>
  <c r="AF83" i="13"/>
  <c r="AF94" i="13" s="1"/>
  <c r="AF82" i="13"/>
  <c r="AF93" i="13" s="1"/>
  <c r="AF77" i="13"/>
  <c r="AF78" i="13"/>
  <c r="AG10" i="13"/>
  <c r="AG149" i="13" s="1"/>
  <c r="AG67" i="13"/>
  <c r="AG72" i="13" s="1"/>
  <c r="AG9" i="13"/>
  <c r="AG99" i="13"/>
  <c r="AG7" i="13"/>
  <c r="BD10" i="16"/>
  <c r="BD205" i="16" s="1"/>
  <c r="BD212" i="16" s="1"/>
  <c r="BD7" i="16"/>
  <c r="BE6" i="16" s="1"/>
  <c r="BD9" i="16"/>
  <c r="AG28" i="13" a="1"/>
  <c r="AG19" i="13" a="1"/>
  <c r="AG20" i="13" a="1"/>
  <c r="AG26" i="13" a="1"/>
  <c r="AG27" i="13" a="1"/>
  <c r="AG25" i="13" a="1"/>
  <c r="AG29" i="13" a="1"/>
  <c r="AG21" i="13" a="1"/>
  <c r="AG24" i="13" a="1"/>
  <c r="AG22" i="13" a="1"/>
  <c r="AG23" i="13" a="1"/>
  <c r="AG18" i="13" a="1"/>
  <c r="BE164" i="16" l="1"/>
  <c r="BD118" i="16"/>
  <c r="BD138" i="16"/>
  <c r="BD101" i="16"/>
  <c r="BC108" i="16"/>
  <c r="AG151" i="13"/>
  <c r="AG144" i="16" s="1"/>
  <c r="BD29" i="16"/>
  <c r="BD187" i="16" s="1"/>
  <c r="BE25" i="16"/>
  <c r="BE26" i="16" s="1"/>
  <c r="BE28" i="16" s="1"/>
  <c r="BE21" i="16"/>
  <c r="AF112" i="13"/>
  <c r="AF113" i="13"/>
  <c r="AF115" i="13"/>
  <c r="AF121" i="13"/>
  <c r="AF116" i="13"/>
  <c r="AF122" i="13"/>
  <c r="AF111" i="13"/>
  <c r="AF120" i="13"/>
  <c r="AH150" i="13"/>
  <c r="AF114" i="13"/>
  <c r="AF117" i="13"/>
  <c r="AE104" i="13"/>
  <c r="AG21" i="13"/>
  <c r="AG29" i="13"/>
  <c r="AG23" i="13"/>
  <c r="AG18" i="13"/>
  <c r="AG25" i="13"/>
  <c r="AG26" i="13"/>
  <c r="AG27" i="13"/>
  <c r="AG20" i="13"/>
  <c r="AG24" i="13"/>
  <c r="AG22" i="13"/>
  <c r="AG28" i="13"/>
  <c r="AG19" i="13"/>
  <c r="AG107" i="13"/>
  <c r="AH6" i="13"/>
  <c r="AG73" i="13"/>
  <c r="AG84" i="13"/>
  <c r="AG95" i="13" s="1"/>
  <c r="AG77" i="13"/>
  <c r="AG78" i="13"/>
  <c r="AG83" i="13"/>
  <c r="AG94" i="13" s="1"/>
  <c r="AG82" i="13"/>
  <c r="AG93" i="13" s="1"/>
  <c r="AF118" i="13"/>
  <c r="AF101" i="13"/>
  <c r="AF89" i="13"/>
  <c r="AF90" i="13"/>
  <c r="AF91" i="13"/>
  <c r="AF88" i="13"/>
  <c r="AF100" i="13"/>
  <c r="AG13" i="13"/>
  <c r="AG92" i="13"/>
  <c r="AG15" i="13"/>
  <c r="AG74" i="13"/>
  <c r="BE7" i="16"/>
  <c r="BF6" i="16" s="1"/>
  <c r="BE10" i="16"/>
  <c r="BE205" i="16" s="1"/>
  <c r="BE212" i="16" s="1"/>
  <c r="BE9" i="16"/>
  <c r="BF164" i="16" l="1"/>
  <c r="BE118" i="16"/>
  <c r="BE138" i="16"/>
  <c r="BE101" i="16"/>
  <c r="BD108" i="16"/>
  <c r="BE29" i="16"/>
  <c r="BE187" i="16" s="1"/>
  <c r="BF25" i="16"/>
  <c r="BF26" i="16" s="1"/>
  <c r="BF28" i="16" s="1"/>
  <c r="BF21" i="16"/>
  <c r="AF102" i="13"/>
  <c r="AF96" i="13"/>
  <c r="AG87" i="13"/>
  <c r="AG16" i="13"/>
  <c r="AG80" i="13"/>
  <c r="AG79" i="13"/>
  <c r="AH67" i="13"/>
  <c r="AH72" i="13" s="1"/>
  <c r="AH99" i="13"/>
  <c r="AH7" i="13"/>
  <c r="AH10" i="13"/>
  <c r="AH149" i="13" s="1"/>
  <c r="AH151" i="13" s="1"/>
  <c r="AH144" i="16" s="1"/>
  <c r="AH9" i="13"/>
  <c r="AG108" i="13"/>
  <c r="AG119" i="13" s="1"/>
  <c r="BF9" i="16"/>
  <c r="BF10" i="16"/>
  <c r="BF205" i="16" s="1"/>
  <c r="BF212" i="16" s="1"/>
  <c r="BF7" i="16"/>
  <c r="BG6" i="16" s="1"/>
  <c r="AH26" i="13" a="1"/>
  <c r="AH22" i="13" a="1"/>
  <c r="AH25" i="13" a="1"/>
  <c r="AH18" i="13" a="1"/>
  <c r="AH20" i="13" a="1"/>
  <c r="AH23" i="13" a="1"/>
  <c r="AH19" i="13" a="1"/>
  <c r="AH27" i="13" a="1"/>
  <c r="AH24" i="13" a="1"/>
  <c r="AH21" i="13" a="1"/>
  <c r="AH29" i="13" a="1"/>
  <c r="AH28" i="13" a="1"/>
  <c r="BG164" i="16" l="1"/>
  <c r="BF118" i="16"/>
  <c r="BF138" i="16"/>
  <c r="BF101" i="16"/>
  <c r="BF108" i="16" s="1"/>
  <c r="BE108" i="16"/>
  <c r="BF29" i="16"/>
  <c r="BF187" i="16" s="1"/>
  <c r="BG25" i="16"/>
  <c r="BG26" i="16" s="1"/>
  <c r="BG28" i="16" s="1"/>
  <c r="BG21" i="16"/>
  <c r="AF104" i="13"/>
  <c r="AI150" i="13"/>
  <c r="AG116" i="13"/>
  <c r="AG118" i="13"/>
  <c r="AG120" i="13"/>
  <c r="AH73" i="13"/>
  <c r="AH79" i="13" s="1"/>
  <c r="AG117" i="13"/>
  <c r="AG112" i="13"/>
  <c r="AH74" i="13"/>
  <c r="AH80" i="13" s="1"/>
  <c r="AG114" i="13"/>
  <c r="AH19" i="13"/>
  <c r="AH24" i="13"/>
  <c r="AH18" i="13"/>
  <c r="AH27" i="13"/>
  <c r="AH22" i="13"/>
  <c r="AH26" i="13"/>
  <c r="AH23" i="13"/>
  <c r="AH28" i="13"/>
  <c r="AH25" i="13"/>
  <c r="AH21" i="13"/>
  <c r="AH29" i="13"/>
  <c r="AH20" i="13"/>
  <c r="AG101" i="13"/>
  <c r="AG89" i="13"/>
  <c r="AG90" i="13"/>
  <c r="AG91" i="13"/>
  <c r="AG88" i="13"/>
  <c r="AG100" i="13"/>
  <c r="AG113" i="13"/>
  <c r="AH13" i="13"/>
  <c r="AH92" i="13"/>
  <c r="AG122" i="13"/>
  <c r="AG121" i="13"/>
  <c r="AH107" i="13"/>
  <c r="AI6" i="13"/>
  <c r="AG115" i="13"/>
  <c r="AG111" i="13"/>
  <c r="AH78" i="13"/>
  <c r="AH84" i="13"/>
  <c r="AH95" i="13" s="1"/>
  <c r="AH82" i="13"/>
  <c r="AH93" i="13" s="1"/>
  <c r="AH77" i="13"/>
  <c r="AH83" i="13"/>
  <c r="AH94" i="13" s="1"/>
  <c r="AH15" i="13"/>
  <c r="BG7" i="16"/>
  <c r="BH6" i="16" s="1"/>
  <c r="BG10" i="16"/>
  <c r="BG205" i="16" s="1"/>
  <c r="BG212" i="16" s="1"/>
  <c r="BG9" i="16"/>
  <c r="BH164" i="16" l="1"/>
  <c r="BG138" i="16"/>
  <c r="BG101" i="16"/>
  <c r="BG29" i="16"/>
  <c r="BG187" i="16" s="1"/>
  <c r="BG118" i="16"/>
  <c r="BH25" i="16"/>
  <c r="BH26" i="16" s="1"/>
  <c r="BH28" i="16" s="1"/>
  <c r="BH21" i="16"/>
  <c r="AG102" i="13"/>
  <c r="AG96" i="13"/>
  <c r="AH87" i="13"/>
  <c r="AH16" i="13"/>
  <c r="AI10" i="13"/>
  <c r="AI149" i="13" s="1"/>
  <c r="AI151" i="13" s="1"/>
  <c r="AI144" i="16" s="1"/>
  <c r="AI99" i="13"/>
  <c r="AI67" i="13"/>
  <c r="AI9" i="13"/>
  <c r="AI7" i="13"/>
  <c r="AH108" i="13"/>
  <c r="AH120" i="13" s="1"/>
  <c r="BH7" i="16"/>
  <c r="BI6" i="16" s="1"/>
  <c r="BH10" i="16"/>
  <c r="BH205" i="16" s="1"/>
  <c r="BH212" i="16" s="1"/>
  <c r="BH9" i="16"/>
  <c r="AI22" i="13" a="1"/>
  <c r="AI26" i="13" a="1"/>
  <c r="AI29" i="13" a="1"/>
  <c r="AI27" i="13" a="1"/>
  <c r="AI18" i="13" a="1"/>
  <c r="AI24" i="13" a="1"/>
  <c r="AI20" i="13" a="1"/>
  <c r="AI28" i="13" a="1"/>
  <c r="AI19" i="13" a="1"/>
  <c r="AI21" i="13" a="1"/>
  <c r="AI23" i="13" a="1"/>
  <c r="AI25" i="13" a="1"/>
  <c r="BI164" i="16" l="1"/>
  <c r="BH118" i="16"/>
  <c r="BH138" i="16"/>
  <c r="BH101" i="16"/>
  <c r="BG108" i="16"/>
  <c r="BH29" i="16"/>
  <c r="BH187" i="16" s="1"/>
  <c r="BI25" i="16"/>
  <c r="BI26" i="16" s="1"/>
  <c r="BI28" i="16" s="1"/>
  <c r="BI21" i="16"/>
  <c r="AH118" i="13"/>
  <c r="AJ150" i="13"/>
  <c r="AH119" i="13"/>
  <c r="AG104" i="13"/>
  <c r="AH117" i="13"/>
  <c r="AH115" i="13"/>
  <c r="AH116" i="13"/>
  <c r="AH112" i="13"/>
  <c r="AH113" i="13"/>
  <c r="AH121" i="13"/>
  <c r="AI25" i="13"/>
  <c r="AI27" i="13"/>
  <c r="AI18" i="13"/>
  <c r="AI20" i="13"/>
  <c r="AI23" i="13"/>
  <c r="AI19" i="13"/>
  <c r="AI22" i="13"/>
  <c r="AI26" i="13"/>
  <c r="AI28" i="13"/>
  <c r="AI21" i="13"/>
  <c r="AI24" i="13"/>
  <c r="AI29" i="13"/>
  <c r="AH111" i="13"/>
  <c r="AI72" i="13"/>
  <c r="AI74" i="13"/>
  <c r="AI73" i="13"/>
  <c r="AH101" i="13"/>
  <c r="AH90" i="13"/>
  <c r="AH91" i="13"/>
  <c r="AH89" i="13"/>
  <c r="AH88" i="13"/>
  <c r="AH100" i="13"/>
  <c r="AI13" i="13"/>
  <c r="AI92" i="13"/>
  <c r="AH114" i="13"/>
  <c r="AI15" i="13"/>
  <c r="AH122" i="13"/>
  <c r="AJ6" i="13"/>
  <c r="AI107" i="13"/>
  <c r="BI10" i="16"/>
  <c r="BI205" i="16" s="1"/>
  <c r="BI212" i="16" s="1"/>
  <c r="BI9" i="16"/>
  <c r="BI7" i="16"/>
  <c r="BJ6" i="16" s="1"/>
  <c r="BJ164" i="16" l="1"/>
  <c r="BI118" i="16"/>
  <c r="BI138" i="16"/>
  <c r="BI101" i="16"/>
  <c r="BH108" i="16"/>
  <c r="BI29" i="16"/>
  <c r="BI187" i="16" s="1"/>
  <c r="BJ25" i="16"/>
  <c r="BJ26" i="16" s="1"/>
  <c r="BJ28" i="16" s="1"/>
  <c r="BJ21" i="16"/>
  <c r="AH96" i="13"/>
  <c r="AJ67" i="13"/>
  <c r="AJ72" i="13" s="1"/>
  <c r="AJ7" i="13"/>
  <c r="AJ99" i="13"/>
  <c r="AJ9" i="13"/>
  <c r="AJ10" i="13"/>
  <c r="AJ149" i="13" s="1"/>
  <c r="AJ151" i="13" s="1"/>
  <c r="AJ144" i="16" s="1"/>
  <c r="AI79" i="13"/>
  <c r="AH102" i="13"/>
  <c r="AI80" i="13"/>
  <c r="AI77" i="13"/>
  <c r="AI78" i="13"/>
  <c r="AI83" i="13"/>
  <c r="AI94" i="13" s="1"/>
  <c r="AI84" i="13"/>
  <c r="AI95" i="13" s="1"/>
  <c r="AI82" i="13"/>
  <c r="AI93" i="13" s="1"/>
  <c r="AI108" i="13"/>
  <c r="AI120" i="13" s="1"/>
  <c r="AI87" i="13"/>
  <c r="AI16" i="13"/>
  <c r="BJ10" i="16"/>
  <c r="BJ205" i="16" s="1"/>
  <c r="BJ212" i="16" s="1"/>
  <c r="BJ9" i="16"/>
  <c r="BJ7" i="16"/>
  <c r="BK6" i="16" s="1"/>
  <c r="AJ21" i="13" a="1"/>
  <c r="AJ18" i="13" a="1"/>
  <c r="AJ26" i="13" a="1"/>
  <c r="AJ19" i="13" a="1"/>
  <c r="AJ27" i="13" a="1"/>
  <c r="AJ29" i="13" a="1"/>
  <c r="AJ23" i="13" a="1"/>
  <c r="AJ25" i="13" a="1"/>
  <c r="AJ24" i="13" a="1"/>
  <c r="AJ28" i="13" a="1"/>
  <c r="AJ20" i="13" a="1"/>
  <c r="AJ22" i="13" a="1"/>
  <c r="BK164" i="16" l="1"/>
  <c r="BJ138" i="16"/>
  <c r="AH104" i="13"/>
  <c r="BJ101" i="16"/>
  <c r="BI108" i="16"/>
  <c r="BJ29" i="16"/>
  <c r="BJ187" i="16" s="1"/>
  <c r="BJ118" i="16"/>
  <c r="BK25" i="16"/>
  <c r="BK26" i="16" s="1"/>
  <c r="BK28" i="16" s="1"/>
  <c r="BK21" i="16"/>
  <c r="AJ15" i="13"/>
  <c r="AK150" i="13"/>
  <c r="AJ74" i="13"/>
  <c r="AJ80" i="13" s="1"/>
  <c r="AI112" i="13"/>
  <c r="AI118" i="13"/>
  <c r="AI114" i="13"/>
  <c r="AI122" i="13"/>
  <c r="AI119" i="13"/>
  <c r="AI116" i="13"/>
  <c r="AI113" i="13"/>
  <c r="AI121" i="13"/>
  <c r="AI117" i="13"/>
  <c r="AI115" i="13"/>
  <c r="AJ73" i="13"/>
  <c r="AJ79" i="13" s="1"/>
  <c r="AJ18" i="13"/>
  <c r="AJ25" i="13"/>
  <c r="AJ22" i="13"/>
  <c r="AJ24" i="13"/>
  <c r="AJ23" i="13"/>
  <c r="AJ27" i="13"/>
  <c r="AJ29" i="13"/>
  <c r="AJ19" i="13"/>
  <c r="AJ20" i="13"/>
  <c r="AJ21" i="13"/>
  <c r="AJ26" i="13"/>
  <c r="AJ28" i="13"/>
  <c r="AI100" i="13"/>
  <c r="AI91" i="13"/>
  <c r="AI89" i="13"/>
  <c r="AI88" i="13"/>
  <c r="AI90" i="13"/>
  <c r="AI101" i="13"/>
  <c r="AJ92" i="13"/>
  <c r="AJ13" i="13"/>
  <c r="AJ87" i="13" s="1"/>
  <c r="AJ107" i="13"/>
  <c r="AK6" i="13"/>
  <c r="AJ82" i="13"/>
  <c r="AJ93" i="13" s="1"/>
  <c r="AJ78" i="13"/>
  <c r="AJ83" i="13"/>
  <c r="AJ94" i="13" s="1"/>
  <c r="AJ77" i="13"/>
  <c r="AJ84" i="13"/>
  <c r="AJ95" i="13" s="1"/>
  <c r="AI111" i="13"/>
  <c r="BK9" i="16"/>
  <c r="BK10" i="16"/>
  <c r="BK205" i="16" s="1"/>
  <c r="BK212" i="16" s="1"/>
  <c r="BK7" i="16"/>
  <c r="BL6" i="16" s="1"/>
  <c r="BL164" i="16" l="1"/>
  <c r="BK118" i="16"/>
  <c r="BK138" i="16"/>
  <c r="BK101" i="16"/>
  <c r="BJ108" i="16"/>
  <c r="BK29" i="16"/>
  <c r="BK187" i="16" s="1"/>
  <c r="BL25" i="16"/>
  <c r="BL26" i="16" s="1"/>
  <c r="BL28" i="16" s="1"/>
  <c r="BL21" i="16"/>
  <c r="AI96" i="13"/>
  <c r="AI102" i="13"/>
  <c r="AJ100" i="13"/>
  <c r="AJ88" i="13"/>
  <c r="AJ89" i="13"/>
  <c r="AJ91" i="13"/>
  <c r="AJ90" i="13"/>
  <c r="AJ101" i="13"/>
  <c r="AK10" i="13"/>
  <c r="AK149" i="13" s="1"/>
  <c r="AK151" i="13" s="1"/>
  <c r="AK144" i="16" s="1"/>
  <c r="AK67" i="13"/>
  <c r="AK7" i="13"/>
  <c r="AK99" i="13"/>
  <c r="AK9" i="13"/>
  <c r="AJ108" i="13"/>
  <c r="AJ121" i="13" s="1"/>
  <c r="AJ16" i="13"/>
  <c r="BL10" i="16"/>
  <c r="BL205" i="16" s="1"/>
  <c r="BL212" i="16" s="1"/>
  <c r="BL9" i="16"/>
  <c r="BL7" i="16"/>
  <c r="BM6" i="16" s="1"/>
  <c r="AK25" i="13" a="1"/>
  <c r="AK29" i="13" a="1"/>
  <c r="AK20" i="13" a="1"/>
  <c r="AK19" i="13" a="1"/>
  <c r="AK26" i="13" a="1"/>
  <c r="AK18" i="13" a="1"/>
  <c r="AK28" i="13" a="1"/>
  <c r="AK27" i="13" a="1"/>
  <c r="AK24" i="13" a="1"/>
  <c r="AK22" i="13" a="1"/>
  <c r="AK21" i="13" a="1"/>
  <c r="AK23" i="13" a="1"/>
  <c r="BM164" i="16" l="1"/>
  <c r="BL138" i="16"/>
  <c r="BL101" i="16"/>
  <c r="BK108" i="16"/>
  <c r="AI104" i="13"/>
  <c r="BL29" i="16"/>
  <c r="BL187" i="16" s="1"/>
  <c r="BL118" i="16"/>
  <c r="BM25" i="16"/>
  <c r="BM26" i="16" s="1"/>
  <c r="BM28" i="16" s="1"/>
  <c r="BM21" i="16"/>
  <c r="AJ111" i="13"/>
  <c r="AL150" i="13"/>
  <c r="AJ114" i="13"/>
  <c r="AJ115" i="13"/>
  <c r="AJ116" i="13"/>
  <c r="AJ120" i="13"/>
  <c r="AJ119" i="13"/>
  <c r="AJ102" i="13"/>
  <c r="AJ96" i="13"/>
  <c r="AJ117" i="13"/>
  <c r="AK19" i="13"/>
  <c r="AK28" i="13"/>
  <c r="AK18" i="13"/>
  <c r="AK25" i="13"/>
  <c r="AK22" i="13"/>
  <c r="AK21" i="13"/>
  <c r="AK29" i="13"/>
  <c r="AK23" i="13"/>
  <c r="AK27" i="13"/>
  <c r="AK24" i="13"/>
  <c r="AK20" i="13"/>
  <c r="AK26" i="13"/>
  <c r="AJ122" i="13"/>
  <c r="AL6" i="13"/>
  <c r="AK107" i="13"/>
  <c r="AJ112" i="13"/>
  <c r="AK72" i="13"/>
  <c r="AK74" i="13"/>
  <c r="AK73" i="13"/>
  <c r="AJ118" i="13"/>
  <c r="AJ113" i="13"/>
  <c r="AK15" i="13"/>
  <c r="AK13" i="13"/>
  <c r="AK92" i="13"/>
  <c r="BM7" i="16"/>
  <c r="BN6" i="16" s="1"/>
  <c r="BM9" i="16"/>
  <c r="BM10" i="16"/>
  <c r="BM205" i="16" s="1"/>
  <c r="BM212" i="16" s="1"/>
  <c r="BN164" i="16" l="1"/>
  <c r="BM118" i="16"/>
  <c r="BM138" i="16"/>
  <c r="BM101" i="16"/>
  <c r="BL108" i="16"/>
  <c r="BM29" i="16"/>
  <c r="BM187" i="16" s="1"/>
  <c r="BN25" i="16"/>
  <c r="BN26" i="16" s="1"/>
  <c r="BN28" i="16" s="1"/>
  <c r="BN21" i="16"/>
  <c r="AJ104" i="13"/>
  <c r="AK83" i="13"/>
  <c r="AK94" i="13" s="1"/>
  <c r="AK82" i="13"/>
  <c r="AK93" i="13" s="1"/>
  <c r="AK78" i="13"/>
  <c r="AK77" i="13"/>
  <c r="AK84" i="13"/>
  <c r="AK95" i="13" s="1"/>
  <c r="AK87" i="13"/>
  <c r="AK16" i="13"/>
  <c r="AK108" i="13"/>
  <c r="AK121" i="13" s="1"/>
  <c r="AK79" i="13"/>
  <c r="AL7" i="13"/>
  <c r="AL10" i="13"/>
  <c r="AL99" i="13"/>
  <c r="AL67" i="13"/>
  <c r="AL72" i="13" s="1"/>
  <c r="AL9" i="13"/>
  <c r="AK80" i="13"/>
  <c r="BN9" i="16"/>
  <c r="BN10" i="16"/>
  <c r="BN205" i="16" s="1"/>
  <c r="BN212" i="16" s="1"/>
  <c r="BN7" i="16"/>
  <c r="BO6" i="16" s="1"/>
  <c r="AL25" i="13" a="1"/>
  <c r="AL20" i="13" a="1"/>
  <c r="AL26" i="13" a="1"/>
  <c r="AL29" i="13" a="1"/>
  <c r="AL22" i="13" a="1"/>
  <c r="AL19" i="13" a="1"/>
  <c r="AL28" i="13" a="1"/>
  <c r="AL23" i="13" a="1"/>
  <c r="AL27" i="13" a="1"/>
  <c r="AL21" i="13" a="1"/>
  <c r="AL24" i="13" a="1"/>
  <c r="AL18" i="13" a="1"/>
  <c r="BO164" i="16" l="1"/>
  <c r="BN138" i="16"/>
  <c r="BN101" i="16"/>
  <c r="BM108" i="16"/>
  <c r="BN29" i="16"/>
  <c r="BN187" i="16" s="1"/>
  <c r="BN118" i="16"/>
  <c r="BO25" i="16"/>
  <c r="BO26" i="16" s="1"/>
  <c r="BO28" i="16" s="1"/>
  <c r="BO21" i="16"/>
  <c r="AL15" i="13"/>
  <c r="AL149" i="13"/>
  <c r="AK112" i="13"/>
  <c r="AK116" i="13"/>
  <c r="AK120" i="13"/>
  <c r="AK117" i="13"/>
  <c r="AK114" i="13"/>
  <c r="AK113" i="13"/>
  <c r="AK115" i="13"/>
  <c r="AK111" i="13"/>
  <c r="AK122" i="13"/>
  <c r="AK119" i="13"/>
  <c r="AK118" i="13"/>
  <c r="AL18" i="13"/>
  <c r="AL28" i="13"/>
  <c r="AL21" i="13"/>
  <c r="AL22" i="13"/>
  <c r="AL24" i="13"/>
  <c r="AL26" i="13"/>
  <c r="AL25" i="13"/>
  <c r="AL23" i="13"/>
  <c r="AL27" i="13"/>
  <c r="AL19" i="13"/>
  <c r="AL29" i="13"/>
  <c r="AL20" i="13"/>
  <c r="AL77" i="13"/>
  <c r="AL78" i="13"/>
  <c r="AL83" i="13"/>
  <c r="AL94" i="13" s="1"/>
  <c r="AL84" i="13"/>
  <c r="AL95" i="13" s="1"/>
  <c r="AL82" i="13"/>
  <c r="AL93" i="13" s="1"/>
  <c r="AL13" i="13"/>
  <c r="AL92" i="13"/>
  <c r="AM6" i="13"/>
  <c r="AL107" i="13"/>
  <c r="AK101" i="13"/>
  <c r="AK89" i="13"/>
  <c r="AK91" i="13"/>
  <c r="AK90" i="13"/>
  <c r="AK88" i="13"/>
  <c r="AK100" i="13"/>
  <c r="AL74" i="13"/>
  <c r="AL73" i="13"/>
  <c r="BO7" i="16"/>
  <c r="BP6" i="16" s="1"/>
  <c r="BO10" i="16"/>
  <c r="BO205" i="16" s="1"/>
  <c r="BO212" i="16" s="1"/>
  <c r="BO9" i="16"/>
  <c r="BP164" i="16" l="1"/>
  <c r="BO118" i="16"/>
  <c r="BO138" i="16"/>
  <c r="BO101" i="16"/>
  <c r="BN108" i="16"/>
  <c r="BO29" i="16"/>
  <c r="BO187" i="16" s="1"/>
  <c r="BP25" i="16"/>
  <c r="BP26" i="16" s="1"/>
  <c r="BP28" i="16" s="1"/>
  <c r="BP21" i="16"/>
  <c r="AL151" i="13"/>
  <c r="AL144" i="16" s="1"/>
  <c r="AM150" i="13"/>
  <c r="AK96" i="13"/>
  <c r="AK102" i="13"/>
  <c r="AM99" i="13"/>
  <c r="AM10" i="13"/>
  <c r="AM149" i="13" s="1"/>
  <c r="AM67" i="13"/>
  <c r="AM72" i="13" s="1"/>
  <c r="AM9" i="13"/>
  <c r="AM7" i="13"/>
  <c r="AL79" i="13"/>
  <c r="AL108" i="13"/>
  <c r="AL122" i="13" s="1"/>
  <c r="AL80" i="13"/>
  <c r="AL87" i="13"/>
  <c r="AL16" i="13"/>
  <c r="BP10" i="16"/>
  <c r="BP205" i="16" s="1"/>
  <c r="BP212" i="16" s="1"/>
  <c r="BP9" i="16"/>
  <c r="BP7" i="16"/>
  <c r="BQ6" i="16" s="1"/>
  <c r="AM25" i="13" a="1"/>
  <c r="AM27" i="13" a="1"/>
  <c r="AM26" i="13" a="1"/>
  <c r="AM20" i="13" a="1"/>
  <c r="AM23" i="13" a="1"/>
  <c r="AM28" i="13" a="1"/>
  <c r="AM19" i="13" a="1"/>
  <c r="AM24" i="13" a="1"/>
  <c r="AM29" i="13" a="1"/>
  <c r="AM21" i="13" a="1"/>
  <c r="AM18" i="13" a="1"/>
  <c r="AM22" i="13" a="1"/>
  <c r="BQ164" i="16" l="1"/>
  <c r="BP138" i="16"/>
  <c r="AM151" i="13"/>
  <c r="AM144" i="16" s="1"/>
  <c r="BP101" i="16"/>
  <c r="BO108" i="16"/>
  <c r="BP29" i="16"/>
  <c r="BP187" i="16" s="1"/>
  <c r="BP118" i="16"/>
  <c r="BQ25" i="16"/>
  <c r="BQ26" i="16" s="1"/>
  <c r="BQ28" i="16" s="1"/>
  <c r="BQ21" i="16"/>
  <c r="AN150" i="13"/>
  <c r="AL117" i="13"/>
  <c r="AL119" i="13"/>
  <c r="AL114" i="13"/>
  <c r="AM74" i="13"/>
  <c r="AM80" i="13" s="1"/>
  <c r="AL116" i="13"/>
  <c r="AL118" i="13"/>
  <c r="AL120" i="13"/>
  <c r="AL111" i="13"/>
  <c r="AL113" i="13"/>
  <c r="AL112" i="13"/>
  <c r="AL121" i="13"/>
  <c r="AK104" i="13"/>
  <c r="AM26" i="13"/>
  <c r="AM29" i="13"/>
  <c r="AM19" i="13"/>
  <c r="AM25" i="13"/>
  <c r="AM28" i="13"/>
  <c r="AM21" i="13"/>
  <c r="AM24" i="13"/>
  <c r="AM23" i="13"/>
  <c r="AM18" i="13"/>
  <c r="AM22" i="13"/>
  <c r="AM20" i="13"/>
  <c r="AM27" i="13"/>
  <c r="AL101" i="13"/>
  <c r="AL90" i="13"/>
  <c r="AL88" i="13"/>
  <c r="AL91" i="13"/>
  <c r="AL89" i="13"/>
  <c r="AL100" i="13"/>
  <c r="AN6" i="13"/>
  <c r="AM107" i="13"/>
  <c r="AM82" i="13"/>
  <c r="AM93" i="13" s="1"/>
  <c r="AM78" i="13"/>
  <c r="AM84" i="13"/>
  <c r="AM95" i="13" s="1"/>
  <c r="AM77" i="13"/>
  <c r="AM83" i="13"/>
  <c r="AM94" i="13" s="1"/>
  <c r="AL115" i="13"/>
  <c r="AM73" i="13"/>
  <c r="AM92" i="13"/>
  <c r="AM13" i="13"/>
  <c r="AM15" i="13"/>
  <c r="BQ7" i="16"/>
  <c r="BR6" i="16" s="1"/>
  <c r="BQ10" i="16"/>
  <c r="BQ205" i="16" s="1"/>
  <c r="BQ212" i="16" s="1"/>
  <c r="BQ9" i="16"/>
  <c r="BR164" i="16" l="1"/>
  <c r="BQ138" i="16"/>
  <c r="BQ101" i="16"/>
  <c r="BQ108" i="16" s="1"/>
  <c r="BP108" i="16"/>
  <c r="BQ29" i="16"/>
  <c r="BQ187" i="16" s="1"/>
  <c r="BQ118" i="16"/>
  <c r="BR25" i="16"/>
  <c r="BR26" i="16" s="1"/>
  <c r="BR28" i="16" s="1"/>
  <c r="BR21" i="16"/>
  <c r="AL96" i="13"/>
  <c r="AM87" i="13"/>
  <c r="AM16" i="13"/>
  <c r="AN10" i="13"/>
  <c r="AN7" i="13"/>
  <c r="AN99" i="13"/>
  <c r="AN67" i="13"/>
  <c r="AN73" i="13" s="1"/>
  <c r="AN79" i="13" s="1"/>
  <c r="AN9" i="13"/>
  <c r="AL102" i="13"/>
  <c r="AM79" i="13"/>
  <c r="AM108" i="13"/>
  <c r="AM120" i="13" s="1"/>
  <c r="BR10" i="16"/>
  <c r="BR9" i="16"/>
  <c r="I9" i="16" s="1"/>
  <c r="BR7" i="16"/>
  <c r="BS6" i="16" s="1"/>
  <c r="AN18" i="13" a="1"/>
  <c r="AN19" i="13" a="1"/>
  <c r="AN24" i="13" a="1"/>
  <c r="AN28" i="13" a="1"/>
  <c r="AN25" i="13" a="1"/>
  <c r="AN27" i="13" a="1"/>
  <c r="AN22" i="13" a="1"/>
  <c r="AN23" i="13" a="1"/>
  <c r="AN20" i="13" a="1"/>
  <c r="AN26" i="13" a="1"/>
  <c r="AN29" i="13" a="1"/>
  <c r="AN21" i="13" a="1"/>
  <c r="BS164" i="16" l="1"/>
  <c r="BR138" i="16"/>
  <c r="BR101" i="16"/>
  <c r="BR108" i="16" s="1"/>
  <c r="I10" i="16"/>
  <c r="BR205" i="16"/>
  <c r="BR212" i="16" s="1"/>
  <c r="BR29" i="16"/>
  <c r="BR187" i="16" s="1"/>
  <c r="BR118" i="16"/>
  <c r="BS25" i="16"/>
  <c r="BS26" i="16" s="1"/>
  <c r="BS28" i="16" s="1"/>
  <c r="BS21" i="16"/>
  <c r="AM118" i="13"/>
  <c r="AN15" i="13"/>
  <c r="AN149" i="13"/>
  <c r="AL104" i="13"/>
  <c r="AM119" i="13"/>
  <c r="AM111" i="13"/>
  <c r="AM116" i="13"/>
  <c r="AM115" i="13"/>
  <c r="AM114" i="13"/>
  <c r="AN26" i="13"/>
  <c r="AN21" i="13"/>
  <c r="AN19" i="13"/>
  <c r="AN28" i="13"/>
  <c r="AN29" i="13"/>
  <c r="AN27" i="13"/>
  <c r="AN20" i="13"/>
  <c r="AN25" i="13"/>
  <c r="AN18" i="13"/>
  <c r="AN23" i="13"/>
  <c r="AN24" i="13"/>
  <c r="AN22" i="13"/>
  <c r="AM113" i="13"/>
  <c r="AM122" i="13"/>
  <c r="AM121" i="13"/>
  <c r="AN72" i="13"/>
  <c r="AN74" i="13"/>
  <c r="AM117" i="13"/>
  <c r="AO6" i="13"/>
  <c r="AN107" i="13"/>
  <c r="AM100" i="13"/>
  <c r="AM89" i="13"/>
  <c r="AM90" i="13"/>
  <c r="AM91" i="13"/>
  <c r="AM88" i="13"/>
  <c r="AM101" i="13"/>
  <c r="AM112" i="13"/>
  <c r="AN13" i="13"/>
  <c r="AN92" i="13"/>
  <c r="BS9" i="16"/>
  <c r="BS10" i="16"/>
  <c r="BS205" i="16" s="1"/>
  <c r="BS212" i="16" s="1"/>
  <c r="BS7" i="16"/>
  <c r="BT6" i="16" s="1"/>
  <c r="BT164" i="16" l="1"/>
  <c r="BS118" i="16"/>
  <c r="BS138" i="16"/>
  <c r="BS101" i="16"/>
  <c r="BS108" i="16" s="1"/>
  <c r="BS29" i="16"/>
  <c r="BS187" i="16" s="1"/>
  <c r="BT25" i="16"/>
  <c r="BT26" i="16" s="1"/>
  <c r="BT28" i="16" s="1"/>
  <c r="BT21" i="16"/>
  <c r="AN151" i="13"/>
  <c r="AN144" i="16" s="1"/>
  <c r="AO150" i="13"/>
  <c r="AM96" i="13"/>
  <c r="AM102" i="13"/>
  <c r="AN84" i="13"/>
  <c r="AN95" i="13" s="1"/>
  <c r="AN83" i="13"/>
  <c r="AN94" i="13" s="1"/>
  <c r="AN78" i="13"/>
  <c r="AN77" i="13"/>
  <c r="AN82" i="13"/>
  <c r="AN93" i="13" s="1"/>
  <c r="AN80" i="13"/>
  <c r="AN87" i="13"/>
  <c r="AN16" i="13"/>
  <c r="AN108" i="13"/>
  <c r="AN118" i="13" s="1"/>
  <c r="AO9" i="13"/>
  <c r="AO67" i="13"/>
  <c r="AO10" i="13"/>
  <c r="AO149" i="13" s="1"/>
  <c r="AO99" i="13"/>
  <c r="AO7" i="13"/>
  <c r="BT10" i="16"/>
  <c r="BT205" i="16" s="1"/>
  <c r="BT212" i="16" s="1"/>
  <c r="BT9" i="16"/>
  <c r="BT7" i="16"/>
  <c r="BU6" i="16" s="1"/>
  <c r="AO20" i="13" a="1"/>
  <c r="AO27" i="13" a="1"/>
  <c r="AO23" i="13" a="1"/>
  <c r="AO26" i="13" a="1"/>
  <c r="AO21" i="13" a="1"/>
  <c r="AO24" i="13" a="1"/>
  <c r="AO29" i="13" a="1"/>
  <c r="AO25" i="13" a="1"/>
  <c r="AO19" i="13" a="1"/>
  <c r="AO18" i="13" a="1"/>
  <c r="AO22" i="13" a="1"/>
  <c r="AO28" i="13" a="1"/>
  <c r="BU164" i="16" l="1"/>
  <c r="AO151" i="13"/>
  <c r="AO144" i="16" s="1"/>
  <c r="BT118" i="16"/>
  <c r="BT138" i="16"/>
  <c r="BT101" i="16"/>
  <c r="BT29" i="16"/>
  <c r="BT187" i="16" s="1"/>
  <c r="BU25" i="16"/>
  <c r="BU26" i="16" s="1"/>
  <c r="BU28" i="16" s="1"/>
  <c r="BU21" i="16"/>
  <c r="AM104" i="13"/>
  <c r="AP150" i="13"/>
  <c r="AN122" i="13"/>
  <c r="AN116" i="13"/>
  <c r="AN117" i="13"/>
  <c r="AN112" i="13"/>
  <c r="AO27" i="13"/>
  <c r="AO28" i="13"/>
  <c r="AO18" i="13"/>
  <c r="AO25" i="13"/>
  <c r="AO24" i="13"/>
  <c r="AO22" i="13"/>
  <c r="AO19" i="13"/>
  <c r="AO20" i="13"/>
  <c r="AO26" i="13"/>
  <c r="AO23" i="13"/>
  <c r="AO21" i="13"/>
  <c r="AO29" i="13"/>
  <c r="AO72" i="13"/>
  <c r="AO73" i="13"/>
  <c r="AN113" i="13"/>
  <c r="AO15" i="13"/>
  <c r="AO92" i="13"/>
  <c r="AO13" i="13"/>
  <c r="AN114" i="13"/>
  <c r="AN120" i="13"/>
  <c r="AN115" i="13"/>
  <c r="AN101" i="13"/>
  <c r="AN88" i="13"/>
  <c r="AN91" i="13"/>
  <c r="AN90" i="13"/>
  <c r="AN89" i="13"/>
  <c r="AN100" i="13"/>
  <c r="AN121" i="13"/>
  <c r="AO74" i="13"/>
  <c r="AP6" i="13"/>
  <c r="AO107" i="13"/>
  <c r="AN119" i="13"/>
  <c r="AN111" i="13"/>
  <c r="BU10" i="16"/>
  <c r="BU205" i="16" s="1"/>
  <c r="BU212" i="16" s="1"/>
  <c r="BU9" i="16"/>
  <c r="BU7" i="16"/>
  <c r="BV6" i="16" s="1"/>
  <c r="BV164" i="16" l="1"/>
  <c r="BU118" i="16"/>
  <c r="BU138" i="16"/>
  <c r="BU101" i="16"/>
  <c r="BT108" i="16"/>
  <c r="BU29" i="16"/>
  <c r="BU187" i="16" s="1"/>
  <c r="BV25" i="16"/>
  <c r="BV26" i="16" s="1"/>
  <c r="BV28" i="16" s="1"/>
  <c r="BV21" i="16"/>
  <c r="AN96" i="13"/>
  <c r="AN102" i="13"/>
  <c r="AO77" i="13"/>
  <c r="AO83" i="13"/>
  <c r="AO94" i="13" s="1"/>
  <c r="AO84" i="13"/>
  <c r="AO95" i="13" s="1"/>
  <c r="AO78" i="13"/>
  <c r="AO82" i="13"/>
  <c r="AO93" i="13" s="1"/>
  <c r="AP7" i="13"/>
  <c r="AP67" i="13"/>
  <c r="AP72" i="13" s="1"/>
  <c r="AP10" i="13"/>
  <c r="AP149" i="13" s="1"/>
  <c r="AP151" i="13" s="1"/>
  <c r="AP144" i="16" s="1"/>
  <c r="AP99" i="13"/>
  <c r="AP9" i="13"/>
  <c r="AO108" i="13"/>
  <c r="AO116" i="13" s="1"/>
  <c r="AO87" i="13"/>
  <c r="AO16" i="13"/>
  <c r="AO80" i="13"/>
  <c r="AO79" i="13"/>
  <c r="BV9" i="16"/>
  <c r="BV7" i="16"/>
  <c r="BW6" i="16" s="1"/>
  <c r="BV10" i="16"/>
  <c r="BV205" i="16" s="1"/>
  <c r="BV212" i="16" s="1"/>
  <c r="AP18" i="13" a="1"/>
  <c r="AP22" i="13" a="1"/>
  <c r="AP21" i="13" a="1"/>
  <c r="AP23" i="13" a="1"/>
  <c r="AP19" i="13" a="1"/>
  <c r="AP29" i="13" a="1"/>
  <c r="AP26" i="13" a="1"/>
  <c r="AP25" i="13" a="1"/>
  <c r="AP27" i="13" a="1"/>
  <c r="AP20" i="13" a="1"/>
  <c r="AP28" i="13" a="1"/>
  <c r="AP24" i="13" a="1"/>
  <c r="BW164" i="16" l="1"/>
  <c r="BV138" i="16"/>
  <c r="BV101" i="16"/>
  <c r="BU108" i="16"/>
  <c r="BV29" i="16"/>
  <c r="BV187" i="16" s="1"/>
  <c r="BV118" i="16"/>
  <c r="BW25" i="16"/>
  <c r="BW26" i="16" s="1"/>
  <c r="BW28" i="16" s="1"/>
  <c r="BW21" i="16"/>
  <c r="AO112" i="13"/>
  <c r="AQ150" i="13"/>
  <c r="AO122" i="13"/>
  <c r="AP15" i="13"/>
  <c r="AN104" i="13"/>
  <c r="AP73" i="13"/>
  <c r="AP79" i="13" s="1"/>
  <c r="AO115" i="13"/>
  <c r="AP74" i="13"/>
  <c r="AP80" i="13" s="1"/>
  <c r="AO114" i="13"/>
  <c r="AO121" i="13"/>
  <c r="AO118" i="13"/>
  <c r="AO120" i="13"/>
  <c r="AO119" i="13"/>
  <c r="AO117" i="13"/>
  <c r="AO113" i="13"/>
  <c r="AP23" i="13"/>
  <c r="AP25" i="13"/>
  <c r="AP22" i="13"/>
  <c r="AP27" i="13"/>
  <c r="AP18" i="13"/>
  <c r="AP19" i="13"/>
  <c r="AP28" i="13"/>
  <c r="AP24" i="13"/>
  <c r="AP26" i="13"/>
  <c r="AP20" i="13"/>
  <c r="AP29" i="13"/>
  <c r="AP21" i="13"/>
  <c r="AO100" i="13"/>
  <c r="AO89" i="13"/>
  <c r="AO88" i="13"/>
  <c r="AO91" i="13"/>
  <c r="AO90" i="13"/>
  <c r="AO101" i="13"/>
  <c r="AP13" i="13"/>
  <c r="AP92" i="13"/>
  <c r="AO111" i="13"/>
  <c r="AP77" i="13"/>
  <c r="AP78" i="13"/>
  <c r="AP84" i="13"/>
  <c r="AP95" i="13" s="1"/>
  <c r="AP83" i="13"/>
  <c r="AP94" i="13" s="1"/>
  <c r="AP82" i="13"/>
  <c r="AP93" i="13" s="1"/>
  <c r="AQ6" i="13"/>
  <c r="AP107" i="13"/>
  <c r="BW7" i="16"/>
  <c r="BX6" i="16" s="1"/>
  <c r="BW10" i="16"/>
  <c r="BW205" i="16" s="1"/>
  <c r="BW212" i="16" s="1"/>
  <c r="BW9" i="16"/>
  <c r="BX164" i="16" l="1"/>
  <c r="BW138" i="16"/>
  <c r="BW101" i="16"/>
  <c r="BV108" i="16"/>
  <c r="BW29" i="16"/>
  <c r="BW187" i="16" s="1"/>
  <c r="BW118" i="16"/>
  <c r="BX25" i="16"/>
  <c r="BX26" i="16" s="1"/>
  <c r="BX28" i="16" s="1"/>
  <c r="BX21" i="16"/>
  <c r="AO102" i="13"/>
  <c r="AO96" i="13"/>
  <c r="AP87" i="13"/>
  <c r="AP16" i="13"/>
  <c r="AP108" i="13"/>
  <c r="AP120" i="13" s="1"/>
  <c r="AQ10" i="13"/>
  <c r="AQ149" i="13" s="1"/>
  <c r="AQ151" i="13" s="1"/>
  <c r="AQ144" i="16" s="1"/>
  <c r="AQ99" i="13"/>
  <c r="AQ9" i="13"/>
  <c r="AQ7" i="13"/>
  <c r="AQ67" i="13"/>
  <c r="BX10" i="16"/>
  <c r="BX205" i="16" s="1"/>
  <c r="BX212" i="16" s="1"/>
  <c r="BX7" i="16"/>
  <c r="BY6" i="16" s="1"/>
  <c r="BX9" i="16"/>
  <c r="AQ29" i="13" a="1"/>
  <c r="AQ26" i="13" a="1"/>
  <c r="AQ19" i="13" a="1"/>
  <c r="AQ20" i="13" a="1"/>
  <c r="AQ22" i="13" a="1"/>
  <c r="AQ24" i="13" a="1"/>
  <c r="AQ21" i="13" a="1"/>
  <c r="AQ27" i="13" a="1"/>
  <c r="AQ23" i="13" a="1"/>
  <c r="AQ18" i="13" a="1"/>
  <c r="AQ28" i="13" a="1"/>
  <c r="AQ25" i="13" a="1"/>
  <c r="BY164" i="16" l="1"/>
  <c r="BX138" i="16"/>
  <c r="AO104" i="13"/>
  <c r="BX101" i="16"/>
  <c r="BW108" i="16"/>
  <c r="BX29" i="16"/>
  <c r="BX187" i="16" s="1"/>
  <c r="BX118" i="16"/>
  <c r="BY25" i="16"/>
  <c r="BY26" i="16" s="1"/>
  <c r="BY28" i="16" s="1"/>
  <c r="BY21" i="16"/>
  <c r="AP118" i="13"/>
  <c r="AR150" i="13"/>
  <c r="AP114" i="13"/>
  <c r="AP117" i="13"/>
  <c r="AP111" i="13"/>
  <c r="AQ24" i="13"/>
  <c r="AQ20" i="13"/>
  <c r="AQ19" i="13"/>
  <c r="AQ23" i="13"/>
  <c r="AQ21" i="13"/>
  <c r="AQ27" i="13"/>
  <c r="AQ18" i="13"/>
  <c r="AQ29" i="13"/>
  <c r="AQ28" i="13"/>
  <c r="AQ26" i="13"/>
  <c r="AQ25" i="13"/>
  <c r="AQ22" i="13"/>
  <c r="AQ107" i="13"/>
  <c r="AR6" i="13"/>
  <c r="AP112" i="13"/>
  <c r="AQ15" i="13"/>
  <c r="AQ13" i="13"/>
  <c r="AQ92" i="13"/>
  <c r="AP119" i="13"/>
  <c r="AP122" i="13"/>
  <c r="AP116" i="13"/>
  <c r="AP113" i="13"/>
  <c r="AP100" i="13"/>
  <c r="AP90" i="13"/>
  <c r="AP89" i="13"/>
  <c r="AP88" i="13"/>
  <c r="AP91" i="13"/>
  <c r="AP101" i="13"/>
  <c r="AQ72" i="13"/>
  <c r="AQ73" i="13"/>
  <c r="AQ74" i="13"/>
  <c r="AP121" i="13"/>
  <c r="AP115" i="13"/>
  <c r="BY7" i="16"/>
  <c r="BZ6" i="16" s="1"/>
  <c r="BY10" i="16"/>
  <c r="BY205" i="16" s="1"/>
  <c r="BY212" i="16" s="1"/>
  <c r="BY9" i="16"/>
  <c r="BZ164" i="16" l="1"/>
  <c r="BY118" i="16"/>
  <c r="BY138" i="16"/>
  <c r="BY101" i="16"/>
  <c r="BY108" i="16" s="1"/>
  <c r="BX108" i="16"/>
  <c r="BY29" i="16"/>
  <c r="BY187" i="16" s="1"/>
  <c r="BZ25" i="16"/>
  <c r="BZ26" i="16" s="1"/>
  <c r="BZ28" i="16" s="1"/>
  <c r="BZ21" i="16"/>
  <c r="AP96" i="13"/>
  <c r="AQ80" i="13"/>
  <c r="AQ108" i="13"/>
  <c r="AQ120" i="13" s="1"/>
  <c r="AQ79" i="13"/>
  <c r="AQ87" i="13"/>
  <c r="AQ16" i="13"/>
  <c r="AR67" i="13"/>
  <c r="AR72" i="13" s="1"/>
  <c r="AR10" i="13"/>
  <c r="AR149" i="13" s="1"/>
  <c r="AR151" i="13" s="1"/>
  <c r="AR144" i="16" s="1"/>
  <c r="AR7" i="13"/>
  <c r="AR99" i="13"/>
  <c r="AR9" i="13"/>
  <c r="AP102" i="13"/>
  <c r="AQ83" i="13"/>
  <c r="AQ94" i="13" s="1"/>
  <c r="AQ82" i="13"/>
  <c r="AQ93" i="13" s="1"/>
  <c r="AQ78" i="13"/>
  <c r="AQ77" i="13"/>
  <c r="AQ84" i="13"/>
  <c r="AQ95" i="13" s="1"/>
  <c r="BZ10" i="16"/>
  <c r="BZ205" i="16" s="1"/>
  <c r="BZ212" i="16" s="1"/>
  <c r="BZ9" i="16"/>
  <c r="BZ7" i="16"/>
  <c r="CA6" i="16" s="1"/>
  <c r="AR27" i="13" a="1"/>
  <c r="AR24" i="13" a="1"/>
  <c r="AR29" i="13" a="1"/>
  <c r="AR19" i="13" a="1"/>
  <c r="AR28" i="13" a="1"/>
  <c r="AR20" i="13" a="1"/>
  <c r="AR25" i="13" a="1"/>
  <c r="AR21" i="13" a="1"/>
  <c r="AR23" i="13" a="1"/>
  <c r="AR26" i="13" a="1"/>
  <c r="AR22" i="13" a="1"/>
  <c r="AR18" i="13" a="1"/>
  <c r="CA164" i="16" l="1"/>
  <c r="BZ138" i="16"/>
  <c r="BZ101" i="16"/>
  <c r="BZ29" i="16"/>
  <c r="BZ187" i="16" s="1"/>
  <c r="BZ118" i="16"/>
  <c r="CA25" i="16"/>
  <c r="CA26" i="16" s="1"/>
  <c r="CA28" i="16" s="1"/>
  <c r="CA21" i="16"/>
  <c r="AS150" i="13"/>
  <c r="AP104" i="13"/>
  <c r="AQ122" i="13"/>
  <c r="AQ111" i="13"/>
  <c r="AQ112" i="13"/>
  <c r="AQ113" i="13"/>
  <c r="AQ115" i="13"/>
  <c r="AQ119" i="13"/>
  <c r="AQ116" i="13"/>
  <c r="AQ121" i="13"/>
  <c r="AQ117" i="13"/>
  <c r="AR29" i="13"/>
  <c r="AR27" i="13"/>
  <c r="AR20" i="13"/>
  <c r="AR23" i="13"/>
  <c r="AR26" i="13"/>
  <c r="AR24" i="13"/>
  <c r="AR19" i="13"/>
  <c r="AR18" i="13"/>
  <c r="AR21" i="13"/>
  <c r="AR22" i="13"/>
  <c r="AR25" i="13"/>
  <c r="AR28" i="13"/>
  <c r="AR83" i="13"/>
  <c r="AR94" i="13" s="1"/>
  <c r="AR77" i="13"/>
  <c r="AR78" i="13"/>
  <c r="AR82" i="13"/>
  <c r="AR93" i="13" s="1"/>
  <c r="AR84" i="13"/>
  <c r="AR95" i="13" s="1"/>
  <c r="AR92" i="13"/>
  <c r="AR13" i="13"/>
  <c r="AR73" i="13"/>
  <c r="AQ118" i="13"/>
  <c r="AQ101" i="13"/>
  <c r="AQ88" i="13"/>
  <c r="AQ89" i="13"/>
  <c r="AQ90" i="13"/>
  <c r="AQ91" i="13"/>
  <c r="AQ100" i="13"/>
  <c r="AQ114" i="13"/>
  <c r="AR74" i="13"/>
  <c r="AR107" i="13"/>
  <c r="AS6" i="13"/>
  <c r="AR15" i="13"/>
  <c r="CA9" i="16"/>
  <c r="CA10" i="16"/>
  <c r="CA205" i="16" s="1"/>
  <c r="CA212" i="16" s="1"/>
  <c r="CA7" i="16"/>
  <c r="CB6" i="16" s="1"/>
  <c r="CB164" i="16" l="1"/>
  <c r="CA118" i="16"/>
  <c r="CA138" i="16"/>
  <c r="CA101" i="16"/>
  <c r="BZ108" i="16"/>
  <c r="CA29" i="16"/>
  <c r="CA187" i="16" s="1"/>
  <c r="CB25" i="16"/>
  <c r="CB26" i="16" s="1"/>
  <c r="CB28" i="16" s="1"/>
  <c r="CB21" i="16"/>
  <c r="AQ96" i="13"/>
  <c r="AQ102" i="13"/>
  <c r="AR79" i="13"/>
  <c r="AS9" i="13"/>
  <c r="AS10" i="13"/>
  <c r="AS149" i="13" s="1"/>
  <c r="AS151" i="13" s="1"/>
  <c r="AS144" i="16" s="1"/>
  <c r="AS99" i="13"/>
  <c r="AS7" i="13"/>
  <c r="AS67" i="13"/>
  <c r="AS72" i="13" s="1"/>
  <c r="AR108" i="13"/>
  <c r="AR119" i="13" s="1"/>
  <c r="AR80" i="13"/>
  <c r="AR87" i="13"/>
  <c r="AR16" i="13"/>
  <c r="CB10" i="16"/>
  <c r="CB205" i="16" s="1"/>
  <c r="CB212" i="16" s="1"/>
  <c r="CB9" i="16"/>
  <c r="CB7" i="16"/>
  <c r="CC6" i="16" s="1"/>
  <c r="AS27" i="13" a="1"/>
  <c r="AS18" i="13" a="1"/>
  <c r="AS22" i="13" a="1"/>
  <c r="AS23" i="13" a="1"/>
  <c r="AS28" i="13" a="1"/>
  <c r="AS21" i="13" a="1"/>
  <c r="AS19" i="13" a="1"/>
  <c r="AS25" i="13" a="1"/>
  <c r="AS20" i="13" a="1"/>
  <c r="AS29" i="13" a="1"/>
  <c r="AS26" i="13" a="1"/>
  <c r="AS24" i="13" a="1"/>
  <c r="CC164" i="16" l="1"/>
  <c r="CB138" i="16"/>
  <c r="CB101" i="16"/>
  <c r="CA108" i="16"/>
  <c r="CB29" i="16"/>
  <c r="CB187" i="16" s="1"/>
  <c r="CB118" i="16"/>
  <c r="CC25" i="16"/>
  <c r="CC26" i="16" s="1"/>
  <c r="CC28" i="16" s="1"/>
  <c r="CC21" i="16"/>
  <c r="AT150" i="13"/>
  <c r="AQ104" i="13"/>
  <c r="AR113" i="13"/>
  <c r="AR112" i="13"/>
  <c r="AR117" i="13"/>
  <c r="AR120" i="13"/>
  <c r="AR121" i="13"/>
  <c r="AR111" i="13"/>
  <c r="AR114" i="13"/>
  <c r="AR115" i="13"/>
  <c r="AR116" i="13"/>
  <c r="AS18" i="13"/>
  <c r="AS27" i="13"/>
  <c r="AS21" i="13"/>
  <c r="AS26" i="13"/>
  <c r="AS19" i="13"/>
  <c r="AS24" i="13"/>
  <c r="AS29" i="13"/>
  <c r="AS25" i="13"/>
  <c r="AS22" i="13"/>
  <c r="AS20" i="13"/>
  <c r="AS23" i="13"/>
  <c r="AS28" i="13"/>
  <c r="AR101" i="13"/>
  <c r="AR90" i="13"/>
  <c r="AR91" i="13"/>
  <c r="AR88" i="13"/>
  <c r="AR89" i="13"/>
  <c r="AR100" i="13"/>
  <c r="AS92" i="13"/>
  <c r="AS13" i="13"/>
  <c r="AS74" i="13"/>
  <c r="AR122" i="13"/>
  <c r="AR118" i="13"/>
  <c r="AS15" i="13"/>
  <c r="AS77" i="13"/>
  <c r="AS82" i="13"/>
  <c r="AS93" i="13" s="1"/>
  <c r="AS84" i="13"/>
  <c r="AS95" i="13" s="1"/>
  <c r="AS78" i="13"/>
  <c r="AS83" i="13"/>
  <c r="AS94" i="13" s="1"/>
  <c r="AS73" i="13"/>
  <c r="AS107" i="13"/>
  <c r="AT6" i="13"/>
  <c r="CC9" i="16"/>
  <c r="CC10" i="16"/>
  <c r="CC205" i="16" s="1"/>
  <c r="CC212" i="16" s="1"/>
  <c r="CC7" i="16"/>
  <c r="CD6" i="16" s="1"/>
  <c r="CD164" i="16" l="1"/>
  <c r="CC138" i="16"/>
  <c r="CC101" i="16"/>
  <c r="CB108" i="16"/>
  <c r="CC29" i="16"/>
  <c r="CC187" i="16" s="1"/>
  <c r="CC118" i="16"/>
  <c r="CD25" i="16"/>
  <c r="CD26" i="16" s="1"/>
  <c r="CD28" i="16" s="1"/>
  <c r="CD21" i="16"/>
  <c r="AR96" i="13"/>
  <c r="AS87" i="13"/>
  <c r="AS16" i="13"/>
  <c r="AR102" i="13"/>
  <c r="AT9" i="13"/>
  <c r="AT7" i="13"/>
  <c r="AT10" i="13"/>
  <c r="AT67" i="13"/>
  <c r="AT72" i="13" s="1"/>
  <c r="AT99" i="13"/>
  <c r="AS80" i="13"/>
  <c r="AS108" i="13"/>
  <c r="AS122" i="13" s="1"/>
  <c r="AS79" i="13"/>
  <c r="CD7" i="16"/>
  <c r="CE6" i="16" s="1"/>
  <c r="CD10" i="16"/>
  <c r="CD205" i="16" s="1"/>
  <c r="CD212" i="16" s="1"/>
  <c r="CD9" i="16"/>
  <c r="AT19" i="13" a="1"/>
  <c r="AT27" i="13" a="1"/>
  <c r="AT29" i="13" a="1"/>
  <c r="AT25" i="13" a="1"/>
  <c r="AT23" i="13" a="1"/>
  <c r="AT20" i="13" a="1"/>
  <c r="AT21" i="13" a="1"/>
  <c r="AT28" i="13" a="1"/>
  <c r="AT26" i="13" a="1"/>
  <c r="AT22" i="13" a="1"/>
  <c r="AT18" i="13" a="1"/>
  <c r="AT24" i="13" a="1"/>
  <c r="CE164" i="16" l="1"/>
  <c r="CD118" i="16"/>
  <c r="CD138" i="16"/>
  <c r="CD101" i="16"/>
  <c r="CC108" i="16"/>
  <c r="CD29" i="16"/>
  <c r="CD187" i="16" s="1"/>
  <c r="CE25" i="16"/>
  <c r="CE26" i="16" s="1"/>
  <c r="CE28" i="16" s="1"/>
  <c r="CE21" i="16"/>
  <c r="AT15" i="13"/>
  <c r="AT149" i="13"/>
  <c r="AT73" i="13"/>
  <c r="AT79" i="13" s="1"/>
  <c r="AR104" i="13"/>
  <c r="AS118" i="13"/>
  <c r="AS119" i="13"/>
  <c r="AS114" i="13"/>
  <c r="AS121" i="13"/>
  <c r="AS113" i="13"/>
  <c r="AS112" i="13"/>
  <c r="AS115" i="13"/>
  <c r="AS120" i="13"/>
  <c r="AS111" i="13"/>
  <c r="AS117" i="13"/>
  <c r="AT28" i="13"/>
  <c r="AT25" i="13"/>
  <c r="AT27" i="13"/>
  <c r="AT21" i="13"/>
  <c r="AT22" i="13"/>
  <c r="AT29" i="13"/>
  <c r="AT24" i="13"/>
  <c r="AT26" i="13"/>
  <c r="AT18" i="13"/>
  <c r="AT23" i="13"/>
  <c r="AT20" i="13"/>
  <c r="AT19" i="13"/>
  <c r="AT83" i="13"/>
  <c r="AT94" i="13" s="1"/>
  <c r="AT78" i="13"/>
  <c r="AT82" i="13"/>
  <c r="AT93" i="13" s="1"/>
  <c r="AT84" i="13"/>
  <c r="AT95" i="13" s="1"/>
  <c r="AT77" i="13"/>
  <c r="AS116" i="13"/>
  <c r="AT13" i="13"/>
  <c r="AT92" i="13"/>
  <c r="AS100" i="13"/>
  <c r="AS88" i="13"/>
  <c r="AS90" i="13"/>
  <c r="AS91" i="13"/>
  <c r="AS89" i="13"/>
  <c r="AS101" i="13"/>
  <c r="AU6" i="13"/>
  <c r="AT107" i="13"/>
  <c r="AT74" i="13"/>
  <c r="CE10" i="16"/>
  <c r="CE205" i="16" s="1"/>
  <c r="CE212" i="16" s="1"/>
  <c r="CE9" i="16"/>
  <c r="CE7" i="16"/>
  <c r="CF6" i="16" s="1"/>
  <c r="CF164" i="16" l="1"/>
  <c r="CE138" i="16"/>
  <c r="CE101" i="16"/>
  <c r="CD108" i="16"/>
  <c r="CE29" i="16"/>
  <c r="CE187" i="16" s="1"/>
  <c r="CE118" i="16"/>
  <c r="CF25" i="16"/>
  <c r="CF26" i="16" s="1"/>
  <c r="CF28" i="16" s="1"/>
  <c r="CF21" i="16"/>
  <c r="AT151" i="13"/>
  <c r="AT144" i="16" s="1"/>
  <c r="AU150" i="13"/>
  <c r="AS102" i="13"/>
  <c r="AS96" i="13"/>
  <c r="AT87" i="13"/>
  <c r="AT16" i="13"/>
  <c r="AT108" i="13"/>
  <c r="AT114" i="13" s="1"/>
  <c r="AU7" i="13"/>
  <c r="AU9" i="13"/>
  <c r="AU10" i="13"/>
  <c r="AU149" i="13" s="1"/>
  <c r="AU151" i="13" s="1"/>
  <c r="AU144" i="16" s="1"/>
  <c r="AU67" i="13"/>
  <c r="AU74" i="13" s="1"/>
  <c r="AU80" i="13" s="1"/>
  <c r="AU99" i="13"/>
  <c r="AT80" i="13"/>
  <c r="CF10" i="16"/>
  <c r="CF205" i="16" s="1"/>
  <c r="CF212" i="16" s="1"/>
  <c r="CF9" i="16"/>
  <c r="CF7" i="16"/>
  <c r="CG6" i="16" s="1"/>
  <c r="AU18" i="13" a="1"/>
  <c r="AU22" i="13" a="1"/>
  <c r="AU27" i="13" a="1"/>
  <c r="AU26" i="13" a="1"/>
  <c r="AU20" i="13" a="1"/>
  <c r="AU24" i="13" a="1"/>
  <c r="AU23" i="13" a="1"/>
  <c r="AU19" i="13" a="1"/>
  <c r="AU29" i="13" a="1"/>
  <c r="AU21" i="13" a="1"/>
  <c r="AU25" i="13" a="1"/>
  <c r="AU28" i="13" a="1"/>
  <c r="CG164" i="16" l="1"/>
  <c r="CF118" i="16"/>
  <c r="CF138" i="16"/>
  <c r="CF101" i="16"/>
  <c r="CE108" i="16"/>
  <c r="CF29" i="16"/>
  <c r="CF187" i="16" s="1"/>
  <c r="CG25" i="16"/>
  <c r="CG26" i="16" s="1"/>
  <c r="CG28" i="16" s="1"/>
  <c r="CG21" i="16"/>
  <c r="AV150" i="13"/>
  <c r="AS104" i="13"/>
  <c r="AT120" i="13"/>
  <c r="AU19" i="13"/>
  <c r="AU18" i="13"/>
  <c r="AU25" i="13"/>
  <c r="AU24" i="13"/>
  <c r="AU22" i="13"/>
  <c r="AU28" i="13"/>
  <c r="AU23" i="13"/>
  <c r="AU27" i="13"/>
  <c r="AU21" i="13"/>
  <c r="AU20" i="13"/>
  <c r="AU26" i="13"/>
  <c r="AU29" i="13"/>
  <c r="AT119" i="13"/>
  <c r="AT117" i="13"/>
  <c r="AT112" i="13"/>
  <c r="AT116" i="13"/>
  <c r="AV6" i="13"/>
  <c r="AU107" i="13"/>
  <c r="AT115" i="13"/>
  <c r="AT111" i="13"/>
  <c r="AT113" i="13"/>
  <c r="AT122" i="13"/>
  <c r="AT101" i="13"/>
  <c r="AT91" i="13"/>
  <c r="AT89" i="13"/>
  <c r="AT88" i="13"/>
  <c r="AT90" i="13"/>
  <c r="AT100" i="13"/>
  <c r="AU92" i="13"/>
  <c r="AU13" i="13"/>
  <c r="AU15" i="13"/>
  <c r="AU72" i="13"/>
  <c r="AU73" i="13"/>
  <c r="AT121" i="13"/>
  <c r="AT118" i="13"/>
  <c r="CG7" i="16"/>
  <c r="CH6" i="16" s="1"/>
  <c r="CG10" i="16"/>
  <c r="CG205" i="16" s="1"/>
  <c r="CG212" i="16" s="1"/>
  <c r="CG9" i="16"/>
  <c r="CH164" i="16" l="1"/>
  <c r="CG118" i="16"/>
  <c r="CG138" i="16"/>
  <c r="CG101" i="16"/>
  <c r="CF108" i="16"/>
  <c r="CG29" i="16"/>
  <c r="CG187" i="16" s="1"/>
  <c r="CH25" i="16"/>
  <c r="CH26" i="16" s="1"/>
  <c r="CH28" i="16" s="1"/>
  <c r="CH21" i="16"/>
  <c r="AT96" i="13"/>
  <c r="AT102" i="13"/>
  <c r="AU79" i="13"/>
  <c r="AU82" i="13"/>
  <c r="AU93" i="13" s="1"/>
  <c r="AU78" i="13"/>
  <c r="AU77" i="13"/>
  <c r="AU84" i="13"/>
  <c r="AU95" i="13" s="1"/>
  <c r="AU83" i="13"/>
  <c r="AU94" i="13" s="1"/>
  <c r="AU108" i="13"/>
  <c r="AU119" i="13" s="1"/>
  <c r="AU87" i="13"/>
  <c r="AU16" i="13"/>
  <c r="AV67" i="13"/>
  <c r="AV10" i="13"/>
  <c r="AV9" i="13"/>
  <c r="AV99" i="13"/>
  <c r="AV7" i="13"/>
  <c r="CH10" i="16"/>
  <c r="CH205" i="16" s="1"/>
  <c r="CH212" i="16" s="1"/>
  <c r="CH9" i="16"/>
  <c r="CH7" i="16"/>
  <c r="CI6" i="16" s="1"/>
  <c r="AV22" i="13" a="1"/>
  <c r="AV21" i="13" a="1"/>
  <c r="AV23" i="13" a="1"/>
  <c r="AV25" i="13" a="1"/>
  <c r="AV18" i="13" a="1"/>
  <c r="AV20" i="13" a="1"/>
  <c r="AV29" i="13" a="1"/>
  <c r="AV28" i="13" a="1"/>
  <c r="AV24" i="13" a="1"/>
  <c r="AV26" i="13" a="1"/>
  <c r="AV19" i="13" a="1"/>
  <c r="AV27" i="13" a="1"/>
  <c r="CI164" i="16" l="1"/>
  <c r="CH138" i="16"/>
  <c r="CH101" i="16"/>
  <c r="CG108" i="16"/>
  <c r="CH29" i="16"/>
  <c r="CH187" i="16" s="1"/>
  <c r="CH118" i="16"/>
  <c r="CI25" i="16"/>
  <c r="CI26" i="16" s="1"/>
  <c r="CI28" i="16" s="1"/>
  <c r="CI21" i="16"/>
  <c r="AV15" i="13"/>
  <c r="AV149" i="13"/>
  <c r="AU115" i="13"/>
  <c r="AU121" i="13"/>
  <c r="AU113" i="13"/>
  <c r="AU111" i="13"/>
  <c r="AU120" i="13"/>
  <c r="AU112" i="13"/>
  <c r="AU118" i="13"/>
  <c r="AU116" i="13"/>
  <c r="AU117" i="13"/>
  <c r="AU122" i="13"/>
  <c r="AT104" i="13"/>
  <c r="AV29" i="13"/>
  <c r="AV28" i="13"/>
  <c r="AV22" i="13"/>
  <c r="AV24" i="13"/>
  <c r="AV25" i="13"/>
  <c r="AV23" i="13"/>
  <c r="AV26" i="13"/>
  <c r="AV20" i="13"/>
  <c r="AV27" i="13"/>
  <c r="AV21" i="13"/>
  <c r="AV19" i="13"/>
  <c r="AV18" i="13"/>
  <c r="AV107" i="13"/>
  <c r="AW6" i="13"/>
  <c r="AV13" i="13"/>
  <c r="AV92" i="13"/>
  <c r="AV72" i="13"/>
  <c r="AV74" i="13"/>
  <c r="AU114" i="13"/>
  <c r="AV73" i="13"/>
  <c r="AU101" i="13"/>
  <c r="AU90" i="13"/>
  <c r="AU88" i="13"/>
  <c r="AU89" i="13"/>
  <c r="AU91" i="13"/>
  <c r="AU100" i="13"/>
  <c r="CI10" i="16"/>
  <c r="CI205" i="16" s="1"/>
  <c r="CI212" i="16" s="1"/>
  <c r="CI7" i="16"/>
  <c r="CJ6" i="16" s="1"/>
  <c r="CI9" i="16"/>
  <c r="CJ164" i="16" l="1"/>
  <c r="CI118" i="16"/>
  <c r="CI138" i="16"/>
  <c r="CI101" i="16"/>
  <c r="CH108" i="16"/>
  <c r="CI29" i="16"/>
  <c r="CI187" i="16" s="1"/>
  <c r="CJ25" i="16"/>
  <c r="CJ26" i="16" s="1"/>
  <c r="CJ28" i="16" s="1"/>
  <c r="CJ21" i="16"/>
  <c r="AV151" i="13"/>
  <c r="AV144" i="16" s="1"/>
  <c r="AW150" i="13"/>
  <c r="AU96" i="13"/>
  <c r="AU102" i="13"/>
  <c r="AV79" i="13"/>
  <c r="AV80" i="13"/>
  <c r="AV87" i="13"/>
  <c r="AV16" i="13"/>
  <c r="AV78" i="13"/>
  <c r="AV84" i="13"/>
  <c r="AV95" i="13" s="1"/>
  <c r="AV82" i="13"/>
  <c r="AV93" i="13" s="1"/>
  <c r="AV77" i="13"/>
  <c r="AV83" i="13"/>
  <c r="AV94" i="13" s="1"/>
  <c r="AW67" i="13"/>
  <c r="AW72" i="13" s="1"/>
  <c r="AW99" i="13"/>
  <c r="AW7" i="13"/>
  <c r="AW9" i="13"/>
  <c r="AW10" i="13"/>
  <c r="AW149" i="13" s="1"/>
  <c r="AW151" i="13" s="1"/>
  <c r="AW144" i="16" s="1"/>
  <c r="AV108" i="13"/>
  <c r="AV115" i="13" s="1"/>
  <c r="CJ10" i="16"/>
  <c r="CJ205" i="16" s="1"/>
  <c r="CJ212" i="16" s="1"/>
  <c r="CJ9" i="16"/>
  <c r="CJ7" i="16"/>
  <c r="CK6" i="16" s="1"/>
  <c r="AW24" i="13" a="1"/>
  <c r="AW29" i="13" a="1"/>
  <c r="AW21" i="13" a="1"/>
  <c r="AW26" i="13" a="1"/>
  <c r="AW28" i="13" a="1"/>
  <c r="AW20" i="13" a="1"/>
  <c r="AW23" i="13" a="1"/>
  <c r="AW19" i="13" a="1"/>
  <c r="AW27" i="13" a="1"/>
  <c r="AW25" i="13" a="1"/>
  <c r="AW22" i="13" a="1"/>
  <c r="AW18" i="13" a="1"/>
  <c r="CK164" i="16" l="1"/>
  <c r="CJ138" i="16"/>
  <c r="CJ101" i="16"/>
  <c r="CI108" i="16"/>
  <c r="CJ29" i="16"/>
  <c r="CJ187" i="16" s="1"/>
  <c r="CJ118" i="16"/>
  <c r="CK25" i="16"/>
  <c r="CK26" i="16" s="1"/>
  <c r="CK28" i="16" s="1"/>
  <c r="CK21" i="16"/>
  <c r="AV116" i="13"/>
  <c r="AX150" i="13"/>
  <c r="AU104" i="13"/>
  <c r="AV122" i="13"/>
  <c r="AV117" i="13"/>
  <c r="AV112" i="13"/>
  <c r="AV119" i="13"/>
  <c r="AV114" i="13"/>
  <c r="AV113" i="13"/>
  <c r="AV120" i="13"/>
  <c r="AV121" i="13"/>
  <c r="AW73" i="13"/>
  <c r="AW79" i="13" s="1"/>
  <c r="AV118" i="13"/>
  <c r="AW27" i="13"/>
  <c r="AW29" i="13"/>
  <c r="AW21" i="13"/>
  <c r="AW23" i="13"/>
  <c r="AW26" i="13"/>
  <c r="AW19" i="13"/>
  <c r="AW18" i="13"/>
  <c r="AW25" i="13"/>
  <c r="AW22" i="13"/>
  <c r="AW28" i="13"/>
  <c r="AW20" i="13"/>
  <c r="AW24" i="13"/>
  <c r="AW107" i="13"/>
  <c r="AX6" i="13"/>
  <c r="AW77" i="13"/>
  <c r="AW82" i="13"/>
  <c r="AW93" i="13" s="1"/>
  <c r="AW84" i="13"/>
  <c r="AW95" i="13" s="1"/>
  <c r="AW83" i="13"/>
  <c r="AW94" i="13" s="1"/>
  <c r="AW78" i="13"/>
  <c r="AW92" i="13"/>
  <c r="AW15" i="13"/>
  <c r="AW13" i="13"/>
  <c r="AV101" i="13"/>
  <c r="AV89" i="13"/>
  <c r="AV88" i="13"/>
  <c r="AV91" i="13"/>
  <c r="AV90" i="13"/>
  <c r="AV100" i="13"/>
  <c r="AV111" i="13"/>
  <c r="AW74" i="13"/>
  <c r="CK7" i="16"/>
  <c r="CL6" i="16" s="1"/>
  <c r="CK9" i="16"/>
  <c r="CK10" i="16"/>
  <c r="CK205" i="16" s="1"/>
  <c r="CK212" i="16" s="1"/>
  <c r="CL164" i="16" l="1"/>
  <c r="CK118" i="16"/>
  <c r="CK138" i="16"/>
  <c r="CK101" i="16"/>
  <c r="CJ108" i="16"/>
  <c r="CK29" i="16"/>
  <c r="CK187" i="16" s="1"/>
  <c r="CL25" i="16"/>
  <c r="CL26" i="16" s="1"/>
  <c r="CL28" i="16" s="1"/>
  <c r="CL21" i="16"/>
  <c r="AV96" i="13"/>
  <c r="AV102" i="13"/>
  <c r="AW87" i="13"/>
  <c r="AW16" i="13"/>
  <c r="AX67" i="13"/>
  <c r="AX74" i="13" s="1"/>
  <c r="AX80" i="13" s="1"/>
  <c r="AX10" i="13"/>
  <c r="AX149" i="13" s="1"/>
  <c r="AX151" i="13" s="1"/>
  <c r="AX144" i="16" s="1"/>
  <c r="AX99" i="13"/>
  <c r="AX7" i="13"/>
  <c r="AX9" i="13"/>
  <c r="AW80" i="13"/>
  <c r="AW108" i="13"/>
  <c r="AW121" i="13" s="1"/>
  <c r="CL9" i="16"/>
  <c r="CL10" i="16"/>
  <c r="CL205" i="16" s="1"/>
  <c r="CL212" i="16" s="1"/>
  <c r="CL7" i="16"/>
  <c r="CM6" i="16" s="1"/>
  <c r="AX26" i="13" a="1"/>
  <c r="AX20" i="13" a="1"/>
  <c r="AX24" i="13" a="1"/>
  <c r="AX23" i="13" a="1"/>
  <c r="AX22" i="13" a="1"/>
  <c r="AX25" i="13" a="1"/>
  <c r="AX29" i="13" a="1"/>
  <c r="AX27" i="13" a="1"/>
  <c r="AX21" i="13" a="1"/>
  <c r="AX19" i="13" a="1"/>
  <c r="AX28" i="13" a="1"/>
  <c r="AX18" i="13" a="1"/>
  <c r="CM164" i="16" l="1"/>
  <c r="CL138" i="16"/>
  <c r="AV104" i="13"/>
  <c r="CL101" i="16"/>
  <c r="CK108" i="16"/>
  <c r="CL29" i="16"/>
  <c r="CL187" i="16" s="1"/>
  <c r="CL118" i="16"/>
  <c r="CM25" i="16"/>
  <c r="CM26" i="16" s="1"/>
  <c r="CM28" i="16" s="1"/>
  <c r="CM21" i="16"/>
  <c r="AY150" i="13"/>
  <c r="AW115" i="13"/>
  <c r="AW112" i="13"/>
  <c r="AW119" i="13"/>
  <c r="AW118" i="13"/>
  <c r="AW120" i="13"/>
  <c r="AX22" i="13"/>
  <c r="AX18" i="13"/>
  <c r="AX26" i="13"/>
  <c r="AX28" i="13"/>
  <c r="AX20" i="13"/>
  <c r="AX24" i="13"/>
  <c r="AX29" i="13"/>
  <c r="AX27" i="13"/>
  <c r="AX25" i="13"/>
  <c r="AX19" i="13"/>
  <c r="AX21" i="13"/>
  <c r="AX23" i="13"/>
  <c r="AX13" i="13"/>
  <c r="AX92" i="13"/>
  <c r="AW117" i="13"/>
  <c r="AX15" i="13"/>
  <c r="AX72" i="13"/>
  <c r="AX73" i="13"/>
  <c r="AW116" i="13"/>
  <c r="AW101" i="13"/>
  <c r="AW88" i="13"/>
  <c r="AW91" i="13"/>
  <c r="AW89" i="13"/>
  <c r="AW90" i="13"/>
  <c r="AW100" i="13"/>
  <c r="AW114" i="13"/>
  <c r="AW111" i="13"/>
  <c r="AW113" i="13"/>
  <c r="AW122" i="13"/>
  <c r="AX107" i="13"/>
  <c r="AY6" i="13"/>
  <c r="CM7" i="16"/>
  <c r="CN6" i="16" s="1"/>
  <c r="CM10" i="16"/>
  <c r="CM205" i="16" s="1"/>
  <c r="CM212" i="16" s="1"/>
  <c r="CM9" i="16"/>
  <c r="CN164" i="16" l="1"/>
  <c r="CM138" i="16"/>
  <c r="CM101" i="16"/>
  <c r="CL108" i="16"/>
  <c r="CM29" i="16"/>
  <c r="CM187" i="16" s="1"/>
  <c r="CM118" i="16"/>
  <c r="CN25" i="16"/>
  <c r="CN26" i="16" s="1"/>
  <c r="CN28" i="16" s="1"/>
  <c r="CN21" i="16"/>
  <c r="AW96" i="13"/>
  <c r="AW102" i="13"/>
  <c r="AY99" i="13"/>
  <c r="AY7" i="13"/>
  <c r="AY67" i="13"/>
  <c r="AY73" i="13" s="1"/>
  <c r="AY79" i="13" s="1"/>
  <c r="AY9" i="13"/>
  <c r="AY10" i="13"/>
  <c r="AX108" i="13"/>
  <c r="AX120" i="13" s="1"/>
  <c r="AX77" i="13"/>
  <c r="AX84" i="13"/>
  <c r="AX95" i="13" s="1"/>
  <c r="AX82" i="13"/>
  <c r="AX93" i="13" s="1"/>
  <c r="AX78" i="13"/>
  <c r="AX83" i="13"/>
  <c r="AX94" i="13" s="1"/>
  <c r="AX87" i="13"/>
  <c r="AX16" i="13"/>
  <c r="AX79" i="13"/>
  <c r="CN7" i="16"/>
  <c r="CO6" i="16" s="1"/>
  <c r="CN10" i="16"/>
  <c r="CN205" i="16" s="1"/>
  <c r="CN212" i="16" s="1"/>
  <c r="CN9" i="16"/>
  <c r="AY26" i="13" a="1"/>
  <c r="AY29" i="13" a="1"/>
  <c r="AY27" i="13" a="1"/>
  <c r="AY19" i="13" a="1"/>
  <c r="AY20" i="13" a="1"/>
  <c r="AY18" i="13" a="1"/>
  <c r="AY22" i="13" a="1"/>
  <c r="AY25" i="13" a="1"/>
  <c r="AY23" i="13" a="1"/>
  <c r="AY21" i="13" a="1"/>
  <c r="AY24" i="13" a="1"/>
  <c r="AY28" i="13" a="1"/>
  <c r="CO164" i="16" l="1"/>
  <c r="CN138" i="16"/>
  <c r="CN101" i="16"/>
  <c r="CM108" i="16"/>
  <c r="CN29" i="16"/>
  <c r="CN187" i="16" s="1"/>
  <c r="CN118" i="16"/>
  <c r="CO25" i="16"/>
  <c r="CO26" i="16" s="1"/>
  <c r="CO28" i="16" s="1"/>
  <c r="CO21" i="16"/>
  <c r="AY15" i="13"/>
  <c r="AY149" i="13"/>
  <c r="AX122" i="13"/>
  <c r="AW104" i="13"/>
  <c r="AX119" i="13"/>
  <c r="AX118" i="13"/>
  <c r="AX111" i="13"/>
  <c r="AX116" i="13"/>
  <c r="AX121" i="13"/>
  <c r="AY24" i="13"/>
  <c r="AY28" i="13"/>
  <c r="AY19" i="13"/>
  <c r="AY20" i="13"/>
  <c r="AY21" i="13"/>
  <c r="AY18" i="13"/>
  <c r="AY26" i="13"/>
  <c r="AY27" i="13"/>
  <c r="AY29" i="13"/>
  <c r="AY22" i="13"/>
  <c r="AY23" i="13"/>
  <c r="AY25" i="13"/>
  <c r="AX117" i="13"/>
  <c r="AX114" i="13"/>
  <c r="AX113" i="13"/>
  <c r="AY13" i="13"/>
  <c r="AY92" i="13"/>
  <c r="AX115" i="13"/>
  <c r="AY72" i="13"/>
  <c r="AY74" i="13"/>
  <c r="AX101" i="13"/>
  <c r="AX89" i="13"/>
  <c r="AX90" i="13"/>
  <c r="AX91" i="13"/>
  <c r="AX88" i="13"/>
  <c r="AX100" i="13"/>
  <c r="AZ6" i="13"/>
  <c r="AY107" i="13"/>
  <c r="AX112" i="13"/>
  <c r="CO10" i="16"/>
  <c r="CO205" i="16" s="1"/>
  <c r="CO212" i="16" s="1"/>
  <c r="CO9" i="16"/>
  <c r="CO7" i="16"/>
  <c r="CP6" i="16" s="1"/>
  <c r="CP164" i="16" l="1"/>
  <c r="CO138" i="16"/>
  <c r="CO101" i="16"/>
  <c r="CN108" i="16"/>
  <c r="CO29" i="16"/>
  <c r="CO187" i="16" s="1"/>
  <c r="CO118" i="16"/>
  <c r="CP25" i="16"/>
  <c r="CP26" i="16" s="1"/>
  <c r="CP28" i="16" s="1"/>
  <c r="CP21" i="16"/>
  <c r="AY151" i="13"/>
  <c r="AY144" i="16" s="1"/>
  <c r="AZ150" i="13"/>
  <c r="AX96" i="13"/>
  <c r="AX102" i="13"/>
  <c r="AY77" i="13"/>
  <c r="AY84" i="13"/>
  <c r="AY95" i="13" s="1"/>
  <c r="AY82" i="13"/>
  <c r="AY93" i="13" s="1"/>
  <c r="AY78" i="13"/>
  <c r="AY83" i="13"/>
  <c r="AY94" i="13" s="1"/>
  <c r="AY108" i="13"/>
  <c r="AY118" i="13" s="1"/>
  <c r="AZ99" i="13"/>
  <c r="AZ9" i="13"/>
  <c r="AZ67" i="13"/>
  <c r="AZ7" i="13"/>
  <c r="AZ10" i="13"/>
  <c r="AZ149" i="13" s="1"/>
  <c r="AY80" i="13"/>
  <c r="AY87" i="13"/>
  <c r="AY16" i="13"/>
  <c r="CP9" i="16"/>
  <c r="CP7" i="16"/>
  <c r="CQ6" i="16" s="1"/>
  <c r="CP10" i="16"/>
  <c r="CP205" i="16" s="1"/>
  <c r="CP212" i="16" s="1"/>
  <c r="AZ18" i="13" a="1"/>
  <c r="AZ21" i="13" a="1"/>
  <c r="AZ20" i="13" a="1"/>
  <c r="AZ26" i="13" a="1"/>
  <c r="AZ28" i="13" a="1"/>
  <c r="AZ23" i="13" a="1"/>
  <c r="AZ27" i="13" a="1"/>
  <c r="AZ22" i="13" a="1"/>
  <c r="AZ29" i="13" a="1"/>
  <c r="AZ19" i="13" a="1"/>
  <c r="AZ24" i="13" a="1"/>
  <c r="AZ25" i="13" a="1"/>
  <c r="CQ164" i="16" l="1"/>
  <c r="AZ151" i="13"/>
  <c r="AZ144" i="16" s="1"/>
  <c r="CP118" i="16"/>
  <c r="CP138" i="16"/>
  <c r="CP101" i="16"/>
  <c r="CP108" i="16" s="1"/>
  <c r="CO108" i="16"/>
  <c r="CP29" i="16"/>
  <c r="CP187" i="16" s="1"/>
  <c r="CQ25" i="16"/>
  <c r="CQ26" i="16" s="1"/>
  <c r="CQ28" i="16" s="1"/>
  <c r="CQ21" i="16"/>
  <c r="BA150" i="13"/>
  <c r="AX104" i="13"/>
  <c r="AY115" i="13"/>
  <c r="AY113" i="13"/>
  <c r="AY121" i="13"/>
  <c r="AY122" i="13"/>
  <c r="AY117" i="13"/>
  <c r="AY119" i="13"/>
  <c r="AY112" i="13"/>
  <c r="AY116" i="13"/>
  <c r="AY111" i="13"/>
  <c r="AZ22" i="13"/>
  <c r="AZ19" i="13"/>
  <c r="AZ28" i="13"/>
  <c r="AZ18" i="13"/>
  <c r="AZ26" i="13"/>
  <c r="AZ24" i="13"/>
  <c r="AZ29" i="13"/>
  <c r="AZ21" i="13"/>
  <c r="AZ25" i="13"/>
  <c r="AZ23" i="13"/>
  <c r="AZ20" i="13"/>
  <c r="AZ27" i="13"/>
  <c r="AZ92" i="13"/>
  <c r="AZ13" i="13"/>
  <c r="AZ15" i="13"/>
  <c r="AZ107" i="13"/>
  <c r="BA6" i="13"/>
  <c r="AZ72" i="13"/>
  <c r="AZ73" i="13"/>
  <c r="AY101" i="13"/>
  <c r="AY89" i="13"/>
  <c r="AY88" i="13"/>
  <c r="AY91" i="13"/>
  <c r="AY90" i="13"/>
  <c r="AY100" i="13"/>
  <c r="AY114" i="13"/>
  <c r="AZ74" i="13"/>
  <c r="AZ80" i="13" s="1"/>
  <c r="AY120" i="13"/>
  <c r="CQ10" i="16"/>
  <c r="CQ205" i="16" s="1"/>
  <c r="CQ212" i="16" s="1"/>
  <c r="CQ7" i="16"/>
  <c r="CR6" i="16" s="1"/>
  <c r="CQ9" i="16"/>
  <c r="CR164" i="16" l="1"/>
  <c r="CQ118" i="16"/>
  <c r="CQ138" i="16"/>
  <c r="CQ101" i="16"/>
  <c r="CQ29" i="16"/>
  <c r="CQ187" i="16" s="1"/>
  <c r="CR25" i="16"/>
  <c r="CR26" i="16" s="1"/>
  <c r="CR28" i="16" s="1"/>
  <c r="CR21" i="16"/>
  <c r="AY96" i="13"/>
  <c r="BA67" i="13"/>
  <c r="BA74" i="13" s="1"/>
  <c r="BA80" i="13" s="1"/>
  <c r="BA99" i="13"/>
  <c r="BA10" i="13"/>
  <c r="BA9" i="13"/>
  <c r="BA7" i="13"/>
  <c r="AZ108" i="13"/>
  <c r="AZ117" i="13" s="1"/>
  <c r="AY102" i="13"/>
  <c r="AZ79" i="13"/>
  <c r="AZ83" i="13"/>
  <c r="AZ94" i="13" s="1"/>
  <c r="AZ78" i="13"/>
  <c r="AZ82" i="13"/>
  <c r="AZ93" i="13" s="1"/>
  <c r="AZ84" i="13"/>
  <c r="AZ95" i="13" s="1"/>
  <c r="AZ77" i="13"/>
  <c r="AZ87" i="13"/>
  <c r="AZ16" i="13"/>
  <c r="CR9" i="16"/>
  <c r="CR7" i="16"/>
  <c r="CS6" i="16" s="1"/>
  <c r="CR10" i="16"/>
  <c r="CR205" i="16" s="1"/>
  <c r="CR212" i="16" s="1"/>
  <c r="BA20" i="13" a="1"/>
  <c r="BA25" i="13" a="1"/>
  <c r="BA24" i="13" a="1"/>
  <c r="BA27" i="13" a="1"/>
  <c r="BA18" i="13" a="1"/>
  <c r="BA21" i="13" a="1"/>
  <c r="BA23" i="13" a="1"/>
  <c r="BA19" i="13" a="1"/>
  <c r="BA26" i="13" a="1"/>
  <c r="BA22" i="13" a="1"/>
  <c r="BA28" i="13" a="1"/>
  <c r="BA29" i="13" a="1"/>
  <c r="CS164" i="16" l="1"/>
  <c r="CR138" i="16"/>
  <c r="CR101" i="16"/>
  <c r="CQ108" i="16"/>
  <c r="CR29" i="16"/>
  <c r="CR187" i="16" s="1"/>
  <c r="CR118" i="16"/>
  <c r="CS25" i="16"/>
  <c r="CS26" i="16" s="1"/>
  <c r="CS28" i="16" s="1"/>
  <c r="CS21" i="16"/>
  <c r="BA15" i="13"/>
  <c r="BA149" i="13"/>
  <c r="AY104" i="13"/>
  <c r="BA24" i="13"/>
  <c r="BA19" i="13"/>
  <c r="BA23" i="13"/>
  <c r="BA18" i="13"/>
  <c r="BA20" i="13"/>
  <c r="BA28" i="13"/>
  <c r="BA22" i="13"/>
  <c r="BA27" i="13"/>
  <c r="BA25" i="13"/>
  <c r="BA26" i="13"/>
  <c r="BA29" i="13"/>
  <c r="BA21" i="13"/>
  <c r="AZ122" i="13"/>
  <c r="BA72" i="13"/>
  <c r="BA73" i="13"/>
  <c r="AZ116" i="13"/>
  <c r="AZ120" i="13"/>
  <c r="BB6" i="13"/>
  <c r="BA107" i="13"/>
  <c r="AZ115" i="13"/>
  <c r="AZ111" i="13"/>
  <c r="AZ121" i="13"/>
  <c r="BA13" i="13"/>
  <c r="BA92" i="13"/>
  <c r="AZ119" i="13"/>
  <c r="AZ101" i="13"/>
  <c r="AZ90" i="13"/>
  <c r="AZ91" i="13"/>
  <c r="AZ88" i="13"/>
  <c r="AZ89" i="13"/>
  <c r="AZ100" i="13"/>
  <c r="AZ113" i="13"/>
  <c r="AZ114" i="13"/>
  <c r="AZ112" i="13"/>
  <c r="AZ118" i="13"/>
  <c r="CS10" i="16"/>
  <c r="CS9" i="16"/>
  <c r="CS7" i="16"/>
  <c r="CT6" i="16" s="1"/>
  <c r="CT164" i="16" l="1"/>
  <c r="CS205" i="16"/>
  <c r="CS212" i="16" s="1"/>
  <c r="CS118" i="16"/>
  <c r="CS138" i="16"/>
  <c r="CS101" i="16"/>
  <c r="CR108" i="16"/>
  <c r="CS29" i="16"/>
  <c r="CS187" i="16" s="1"/>
  <c r="CT25" i="16"/>
  <c r="CT26" i="16" s="1"/>
  <c r="CT28" i="16" s="1"/>
  <c r="CT21" i="16"/>
  <c r="BA151" i="13"/>
  <c r="BA144" i="16" s="1"/>
  <c r="BB150" i="13"/>
  <c r="AZ96" i="13"/>
  <c r="BA78" i="13"/>
  <c r="BA84" i="13"/>
  <c r="BA95" i="13" s="1"/>
  <c r="BA82" i="13"/>
  <c r="BA93" i="13" s="1"/>
  <c r="BA77" i="13"/>
  <c r="BA83" i="13"/>
  <c r="BA94" i="13" s="1"/>
  <c r="BA87" i="13"/>
  <c r="BA16" i="13"/>
  <c r="BB99" i="13"/>
  <c r="BB9" i="13"/>
  <c r="BB7" i="13"/>
  <c r="BB10" i="13"/>
  <c r="BB149" i="13" s="1"/>
  <c r="BB67" i="13"/>
  <c r="BB74" i="13" s="1"/>
  <c r="BB80" i="13" s="1"/>
  <c r="AZ102" i="13"/>
  <c r="BA79" i="13"/>
  <c r="BA108" i="13"/>
  <c r="BA122" i="13" s="1"/>
  <c r="CT7" i="16"/>
  <c r="CU6" i="16" s="1"/>
  <c r="CT10" i="16"/>
  <c r="CT9" i="16"/>
  <c r="BB22" i="13" a="1"/>
  <c r="BB21" i="13" a="1"/>
  <c r="BB20" i="13" a="1"/>
  <c r="BB26" i="13" a="1"/>
  <c r="BB25" i="13" a="1"/>
  <c r="BB24" i="13" a="1"/>
  <c r="BB19" i="13" a="1"/>
  <c r="BB23" i="13" a="1"/>
  <c r="BB27" i="13" a="1"/>
  <c r="BB29" i="13" a="1"/>
  <c r="BB28" i="13" a="1"/>
  <c r="BB18" i="13" a="1"/>
  <c r="CU164" i="16" l="1"/>
  <c r="CT138" i="16"/>
  <c r="BB151" i="13"/>
  <c r="BB144" i="16" s="1"/>
  <c r="CT205" i="16"/>
  <c r="CT212" i="16" s="1"/>
  <c r="CT101" i="16"/>
  <c r="CS108" i="16"/>
  <c r="CT29" i="16"/>
  <c r="CT187" i="16" s="1"/>
  <c r="CT118" i="16"/>
  <c r="CU25" i="16"/>
  <c r="CU26" i="16" s="1"/>
  <c r="CU28" i="16" s="1"/>
  <c r="CU21" i="16"/>
  <c r="BC150" i="13"/>
  <c r="AZ104" i="13"/>
  <c r="BA88" i="13"/>
  <c r="BA119" i="13"/>
  <c r="BB73" i="13"/>
  <c r="BB79" i="13" s="1"/>
  <c r="BA115" i="13"/>
  <c r="BA111" i="13"/>
  <c r="BB18" i="13"/>
  <c r="BB29" i="13"/>
  <c r="BB20" i="13"/>
  <c r="BB25" i="13"/>
  <c r="BB23" i="13"/>
  <c r="BB19" i="13"/>
  <c r="BB28" i="13"/>
  <c r="BB24" i="13"/>
  <c r="BB27" i="13"/>
  <c r="BB21" i="13"/>
  <c r="BB22" i="13"/>
  <c r="BB26" i="13"/>
  <c r="BA116" i="13"/>
  <c r="BB72" i="13"/>
  <c r="BA118" i="13"/>
  <c r="BB15" i="13"/>
  <c r="BB13" i="13"/>
  <c r="BB92" i="13"/>
  <c r="BA113" i="13"/>
  <c r="BB107" i="13"/>
  <c r="BC6" i="13"/>
  <c r="BA120" i="13"/>
  <c r="BA114" i="13"/>
  <c r="BA121" i="13"/>
  <c r="BA117" i="13"/>
  <c r="BA112" i="13"/>
  <c r="BA100" i="13"/>
  <c r="BA90" i="13"/>
  <c r="BA89" i="13"/>
  <c r="BA91" i="13"/>
  <c r="BA101" i="13"/>
  <c r="CU7" i="16"/>
  <c r="CV6" i="16" s="1"/>
  <c r="CU10" i="16"/>
  <c r="CU9" i="16"/>
  <c r="CV164" i="16" l="1"/>
  <c r="CU205" i="16"/>
  <c r="CU212" i="16" s="1"/>
  <c r="CU118" i="16"/>
  <c r="CU138" i="16"/>
  <c r="CU101" i="16"/>
  <c r="CT108" i="16"/>
  <c r="CU29" i="16"/>
  <c r="CU187" i="16" s="1"/>
  <c r="CV25" i="16"/>
  <c r="CV26" i="16" s="1"/>
  <c r="CV28" i="16" s="1"/>
  <c r="CV21" i="16"/>
  <c r="BA102" i="13"/>
  <c r="BA96" i="13"/>
  <c r="BB87" i="13"/>
  <c r="BB16" i="13"/>
  <c r="BB84" i="13"/>
  <c r="BB95" i="13" s="1"/>
  <c r="BB77" i="13"/>
  <c r="BB82" i="13"/>
  <c r="BB93" i="13" s="1"/>
  <c r="BB78" i="13"/>
  <c r="BB83" i="13"/>
  <c r="BB94" i="13" s="1"/>
  <c r="BC10" i="13"/>
  <c r="BC7" i="13"/>
  <c r="BC9" i="13"/>
  <c r="BC67" i="13"/>
  <c r="BC99" i="13"/>
  <c r="BB108" i="13"/>
  <c r="BB117" i="13" s="1"/>
  <c r="CV10" i="16"/>
  <c r="CV9" i="16"/>
  <c r="CV7" i="16"/>
  <c r="CW6" i="16" s="1"/>
  <c r="BC27" i="13" a="1"/>
  <c r="BC29" i="13" a="1"/>
  <c r="BC28" i="13" a="1"/>
  <c r="BC26" i="13" a="1"/>
  <c r="BC20" i="13" a="1"/>
  <c r="BC25" i="13" a="1"/>
  <c r="BC21" i="13" a="1"/>
  <c r="BC23" i="13" a="1"/>
  <c r="BC19" i="13" a="1"/>
  <c r="BC18" i="13" a="1"/>
  <c r="BC22" i="13" a="1"/>
  <c r="BC24" i="13" a="1"/>
  <c r="CW164" i="16" l="1"/>
  <c r="CV205" i="16"/>
  <c r="CV212" i="16" s="1"/>
  <c r="CV118" i="16"/>
  <c r="CV138" i="16"/>
  <c r="CV101" i="16"/>
  <c r="CU108" i="16"/>
  <c r="CV29" i="16"/>
  <c r="CV187" i="16" s="1"/>
  <c r="CW25" i="16"/>
  <c r="CW26" i="16" s="1"/>
  <c r="CW28" i="16" s="1"/>
  <c r="CW21" i="16"/>
  <c r="BA104" i="13"/>
  <c r="BC15" i="13"/>
  <c r="BC149" i="13"/>
  <c r="BB119" i="13"/>
  <c r="BC28" i="13"/>
  <c r="BC29" i="13"/>
  <c r="BC19" i="13"/>
  <c r="BC25" i="13"/>
  <c r="BC22" i="13"/>
  <c r="BC21" i="13"/>
  <c r="BC27" i="13"/>
  <c r="BC18" i="13"/>
  <c r="BC26" i="13"/>
  <c r="BC24" i="13"/>
  <c r="BC20" i="13"/>
  <c r="BC23" i="13"/>
  <c r="BB114" i="13"/>
  <c r="BB113" i="13"/>
  <c r="BB112" i="13"/>
  <c r="BB115" i="13"/>
  <c r="BC74" i="13"/>
  <c r="BC80" i="13" s="1"/>
  <c r="BC73" i="13"/>
  <c r="BC72" i="13"/>
  <c r="BB121" i="13"/>
  <c r="BB88" i="13"/>
  <c r="BB111" i="13"/>
  <c r="BB122" i="13"/>
  <c r="BC107" i="13"/>
  <c r="BD6" i="13"/>
  <c r="BB89" i="13"/>
  <c r="BB118" i="13"/>
  <c r="BB116" i="13"/>
  <c r="BB120" i="13"/>
  <c r="BC92" i="13"/>
  <c r="BC13" i="13"/>
  <c r="BC87" i="13" s="1"/>
  <c r="BB101" i="13"/>
  <c r="BB91" i="13"/>
  <c r="BB90" i="13"/>
  <c r="BB100" i="13"/>
  <c r="CW7" i="16"/>
  <c r="CX6" i="16" s="1"/>
  <c r="CW10" i="16"/>
  <c r="CW9" i="16"/>
  <c r="CX164" i="16" l="1"/>
  <c r="CW205" i="16"/>
  <c r="CW212" i="16" s="1"/>
  <c r="CW118" i="16"/>
  <c r="CW138" i="16"/>
  <c r="CW101" i="16"/>
  <c r="CV108" i="16"/>
  <c r="CW29" i="16"/>
  <c r="CW187" i="16" s="1"/>
  <c r="CX25" i="16"/>
  <c r="CX26" i="16" s="1"/>
  <c r="CX28" i="16" s="1"/>
  <c r="CX21" i="16"/>
  <c r="BC151" i="13"/>
  <c r="BC144" i="16" s="1"/>
  <c r="BD150" i="13"/>
  <c r="BB96" i="13"/>
  <c r="BC16" i="13"/>
  <c r="BC79" i="13"/>
  <c r="BC90" i="13" s="1"/>
  <c r="BC100" i="13"/>
  <c r="BC91" i="13"/>
  <c r="BD10" i="13"/>
  <c r="BD149" i="13" s="1"/>
  <c r="BD99" i="13"/>
  <c r="BD7" i="13"/>
  <c r="BD67" i="13"/>
  <c r="BD74" i="13" s="1"/>
  <c r="BD80" i="13" s="1"/>
  <c r="BD9" i="13"/>
  <c r="BC84" i="13"/>
  <c r="BC95" i="13" s="1"/>
  <c r="BC78" i="13"/>
  <c r="BC89" i="13" s="1"/>
  <c r="BC77" i="13"/>
  <c r="BC88" i="13" s="1"/>
  <c r="BC82" i="13"/>
  <c r="BC93" i="13" s="1"/>
  <c r="BC83" i="13"/>
  <c r="BC94" i="13" s="1"/>
  <c r="BC108" i="13"/>
  <c r="BC117" i="13" s="1"/>
  <c r="BB102" i="13"/>
  <c r="BC101" i="13"/>
  <c r="CX9" i="16"/>
  <c r="CX7" i="16"/>
  <c r="CY6" i="16" s="1"/>
  <c r="CX10" i="16"/>
  <c r="BD22" i="13" a="1"/>
  <c r="BD20" i="13" a="1"/>
  <c r="BD24" i="13" a="1"/>
  <c r="BD21" i="13" a="1"/>
  <c r="BD26" i="13" a="1"/>
  <c r="BD19" i="13" a="1"/>
  <c r="BD25" i="13" a="1"/>
  <c r="BD23" i="13" a="1"/>
  <c r="BD27" i="13" a="1"/>
  <c r="BD29" i="13" a="1"/>
  <c r="BD18" i="13" a="1"/>
  <c r="BD28" i="13" a="1"/>
  <c r="CY164" i="16" l="1"/>
  <c r="CX205" i="16"/>
  <c r="CX212" i="16" s="1"/>
  <c r="CX118" i="16"/>
  <c r="CX138" i="16"/>
  <c r="CX101" i="16"/>
  <c r="CW108" i="16"/>
  <c r="CX29" i="16"/>
  <c r="CX187" i="16" s="1"/>
  <c r="CY25" i="16"/>
  <c r="CY26" i="16" s="1"/>
  <c r="CY28" i="16" s="1"/>
  <c r="CY21" i="16"/>
  <c r="BD151" i="13"/>
  <c r="BD144" i="16" s="1"/>
  <c r="BC102" i="13"/>
  <c r="BE150" i="13"/>
  <c r="BB104" i="13"/>
  <c r="BD72" i="13"/>
  <c r="BD83" i="13" s="1"/>
  <c r="BD94" i="13" s="1"/>
  <c r="BC122" i="13"/>
  <c r="BC114" i="13"/>
  <c r="BC118" i="13"/>
  <c r="BC111" i="13"/>
  <c r="BC112" i="13"/>
  <c r="BC113" i="13"/>
  <c r="BC115" i="13"/>
  <c r="BC120" i="13"/>
  <c r="BC121" i="13"/>
  <c r="BC116" i="13"/>
  <c r="BC119" i="13"/>
  <c r="BC96" i="13"/>
  <c r="BD21" i="13"/>
  <c r="BD24" i="13"/>
  <c r="BD29" i="13"/>
  <c r="BD20" i="13"/>
  <c r="BD22" i="13"/>
  <c r="BD23" i="13"/>
  <c r="BD28" i="13"/>
  <c r="BD18" i="13"/>
  <c r="BD19" i="13"/>
  <c r="BD26" i="13"/>
  <c r="BD27" i="13"/>
  <c r="BD25" i="13"/>
  <c r="BD107" i="13"/>
  <c r="BE6" i="13"/>
  <c r="BD92" i="13"/>
  <c r="BD13" i="13"/>
  <c r="BD15" i="13"/>
  <c r="BD73" i="13"/>
  <c r="CY10" i="16"/>
  <c r="CY7" i="16"/>
  <c r="CZ6" i="16" s="1"/>
  <c r="CY9" i="16"/>
  <c r="CZ164" i="16" l="1"/>
  <c r="CY205" i="16"/>
  <c r="CY212" i="16" s="1"/>
  <c r="CY118" i="16"/>
  <c r="CY138" i="16"/>
  <c r="CY101" i="16"/>
  <c r="CY108" i="16" s="1"/>
  <c r="CX108" i="16"/>
  <c r="CY29" i="16"/>
  <c r="CY187" i="16" s="1"/>
  <c r="CZ25" i="16"/>
  <c r="CZ26" i="16" s="1"/>
  <c r="CZ28" i="16" s="1"/>
  <c r="CZ21" i="16"/>
  <c r="BC104" i="13"/>
  <c r="BD78" i="13"/>
  <c r="BD77" i="13"/>
  <c r="BD82" i="13"/>
  <c r="BD93" i="13" s="1"/>
  <c r="BD84" i="13"/>
  <c r="BD95" i="13" s="1"/>
  <c r="BD79" i="13"/>
  <c r="BD87" i="13"/>
  <c r="BD16" i="13"/>
  <c r="BE67" i="13"/>
  <c r="BE73" i="13" s="1"/>
  <c r="BE99" i="13"/>
  <c r="BE7" i="13"/>
  <c r="BE9" i="13"/>
  <c r="BE10" i="13"/>
  <c r="BE149" i="13" s="1"/>
  <c r="BE151" i="13" s="1"/>
  <c r="BE144" i="16" s="1"/>
  <c r="BD108" i="13"/>
  <c r="BD117" i="13" s="1"/>
  <c r="CZ10" i="16"/>
  <c r="CZ9" i="16"/>
  <c r="CZ7" i="16"/>
  <c r="DA6" i="16" s="1"/>
  <c r="BE19" i="13" a="1"/>
  <c r="BE24" i="13" a="1"/>
  <c r="BE23" i="13" a="1"/>
  <c r="BE21" i="13" a="1"/>
  <c r="BE28" i="13" a="1"/>
  <c r="BE27" i="13" a="1"/>
  <c r="BE25" i="13" a="1"/>
  <c r="BE22" i="13" a="1"/>
  <c r="BE26" i="13" a="1"/>
  <c r="BE29" i="13" a="1"/>
  <c r="BE20" i="13" a="1"/>
  <c r="BE18" i="13" a="1"/>
  <c r="DA164" i="16" l="1"/>
  <c r="CZ138" i="16"/>
  <c r="CZ205" i="16"/>
  <c r="CZ212" i="16" s="1"/>
  <c r="BD88" i="13"/>
  <c r="CZ101" i="16"/>
  <c r="CZ29" i="16"/>
  <c r="CZ187" i="16" s="1"/>
  <c r="CZ118" i="16"/>
  <c r="DA25" i="16"/>
  <c r="DA26" i="16" s="1"/>
  <c r="DA28" i="16" s="1"/>
  <c r="DA21" i="16"/>
  <c r="BF150" i="13"/>
  <c r="BD120" i="13"/>
  <c r="BD122" i="13"/>
  <c r="BD114" i="13"/>
  <c r="BD112" i="13"/>
  <c r="BD113" i="13"/>
  <c r="BD118" i="13"/>
  <c r="BE22" i="13"/>
  <c r="BE25" i="13"/>
  <c r="BE19" i="13"/>
  <c r="BE23" i="13"/>
  <c r="BE29" i="13"/>
  <c r="BE26" i="13"/>
  <c r="BE24" i="13"/>
  <c r="BE20" i="13"/>
  <c r="BE28" i="13"/>
  <c r="BE21" i="13"/>
  <c r="BE27" i="13"/>
  <c r="BE18" i="13"/>
  <c r="BE79" i="13"/>
  <c r="BD119" i="13"/>
  <c r="BD115" i="13"/>
  <c r="BE92" i="13"/>
  <c r="BE13" i="13"/>
  <c r="BE15" i="13"/>
  <c r="BD116" i="13"/>
  <c r="BF6" i="13"/>
  <c r="BE107" i="13"/>
  <c r="BD121" i="13"/>
  <c r="BD100" i="13"/>
  <c r="BD91" i="13"/>
  <c r="BD90" i="13"/>
  <c r="BD101" i="13"/>
  <c r="BD111" i="13"/>
  <c r="BE74" i="13"/>
  <c r="BE80" i="13" s="1"/>
  <c r="BE72" i="13"/>
  <c r="BD89" i="13"/>
  <c r="DA7" i="16"/>
  <c r="DB6" i="16" s="1"/>
  <c r="DA9" i="16"/>
  <c r="DA10" i="16"/>
  <c r="DB164" i="16" l="1"/>
  <c r="DA205" i="16"/>
  <c r="DA212" i="16" s="1"/>
  <c r="DA118" i="16"/>
  <c r="DA138" i="16"/>
  <c r="DA101" i="16"/>
  <c r="CZ108" i="16"/>
  <c r="DA29" i="16"/>
  <c r="DA187" i="16" s="1"/>
  <c r="DB25" i="16"/>
  <c r="DB26" i="16" s="1"/>
  <c r="DB28" i="16" s="1"/>
  <c r="DB21" i="16"/>
  <c r="BD96" i="13"/>
  <c r="BE87" i="13"/>
  <c r="BE16" i="13"/>
  <c r="BE77" i="13"/>
  <c r="BE82" i="13"/>
  <c r="BE93" i="13" s="1"/>
  <c r="BE84" i="13"/>
  <c r="BE95" i="13" s="1"/>
  <c r="BE78" i="13"/>
  <c r="BE83" i="13"/>
  <c r="BE94" i="13" s="1"/>
  <c r="BE108" i="13"/>
  <c r="BE115" i="13" s="1"/>
  <c r="BD102" i="13"/>
  <c r="BF7" i="13"/>
  <c r="BF10" i="13"/>
  <c r="BF9" i="13"/>
  <c r="BF67" i="13"/>
  <c r="BF72" i="13" s="1"/>
  <c r="BF99" i="13"/>
  <c r="DB9" i="16"/>
  <c r="DB7" i="16"/>
  <c r="DC6" i="16" s="1"/>
  <c r="DB10" i="16"/>
  <c r="BF18" i="13" a="1"/>
  <c r="BF23" i="13" a="1"/>
  <c r="BF26" i="13" a="1"/>
  <c r="BF25" i="13" a="1"/>
  <c r="BF27" i="13" a="1"/>
  <c r="BF29" i="13" a="1"/>
  <c r="BF24" i="13" a="1"/>
  <c r="BF22" i="13" a="1"/>
  <c r="BF20" i="13" a="1"/>
  <c r="BF21" i="13" a="1"/>
  <c r="BF28" i="13" a="1"/>
  <c r="BF19" i="13" a="1"/>
  <c r="DC164" i="16" l="1"/>
  <c r="DB205" i="16"/>
  <c r="DB212" i="16" s="1"/>
  <c r="DB118" i="16"/>
  <c r="DB138" i="16"/>
  <c r="DB101" i="16"/>
  <c r="DA108" i="16"/>
  <c r="DB29" i="16"/>
  <c r="DB187" i="16" s="1"/>
  <c r="DC25" i="16"/>
  <c r="DC26" i="16" s="1"/>
  <c r="DC28" i="16" s="1"/>
  <c r="DC21" i="16"/>
  <c r="BF15" i="13"/>
  <c r="BF149" i="13"/>
  <c r="BD104" i="13"/>
  <c r="BE89" i="13"/>
  <c r="BF21" i="13"/>
  <c r="BF25" i="13"/>
  <c r="BF20" i="13"/>
  <c r="BF28" i="13"/>
  <c r="BF19" i="13"/>
  <c r="BF29" i="13"/>
  <c r="BF27" i="13"/>
  <c r="BF24" i="13"/>
  <c r="BF26" i="13"/>
  <c r="BF22" i="13"/>
  <c r="BF23" i="13"/>
  <c r="BF18" i="13"/>
  <c r="BF84" i="13"/>
  <c r="BF95" i="13" s="1"/>
  <c r="BF77" i="13"/>
  <c r="BF83" i="13"/>
  <c r="BF94" i="13" s="1"/>
  <c r="BF78" i="13"/>
  <c r="BF82" i="13"/>
  <c r="BF93" i="13" s="1"/>
  <c r="BE116" i="13"/>
  <c r="BE119" i="13"/>
  <c r="BE117" i="13"/>
  <c r="BE111" i="13"/>
  <c r="BE121" i="13"/>
  <c r="BE114" i="13"/>
  <c r="BF74" i="13"/>
  <c r="BF80" i="13" s="1"/>
  <c r="BF73" i="13"/>
  <c r="BE113" i="13"/>
  <c r="BE118" i="13"/>
  <c r="BE100" i="13"/>
  <c r="BE88" i="13"/>
  <c r="BE91" i="13"/>
  <c r="BE90" i="13"/>
  <c r="BE101" i="13"/>
  <c r="BE120" i="13"/>
  <c r="BE112" i="13"/>
  <c r="BE122" i="13"/>
  <c r="BF107" i="13"/>
  <c r="BG6" i="13"/>
  <c r="BF92" i="13"/>
  <c r="BF13" i="13"/>
  <c r="DC7" i="16"/>
  <c r="DD6" i="16" s="1"/>
  <c r="DC9" i="16"/>
  <c r="DC10" i="16"/>
  <c r="DD164" i="16" l="1"/>
  <c r="DC138" i="16"/>
  <c r="DC205" i="16"/>
  <c r="DC212" i="16" s="1"/>
  <c r="DC101" i="16"/>
  <c r="DB108" i="16"/>
  <c r="DC29" i="16"/>
  <c r="DC187" i="16" s="1"/>
  <c r="DC118" i="16"/>
  <c r="DD25" i="16"/>
  <c r="DD26" i="16" s="1"/>
  <c r="DD28" i="16" s="1"/>
  <c r="DD21" i="16"/>
  <c r="BF151" i="13"/>
  <c r="BF144" i="16" s="1"/>
  <c r="BG150" i="13"/>
  <c r="BE102" i="13"/>
  <c r="BE96" i="13"/>
  <c r="BF87" i="13"/>
  <c r="BF89" i="13" s="1"/>
  <c r="BF16" i="13"/>
  <c r="BG67" i="13"/>
  <c r="BG73" i="13" s="1"/>
  <c r="BG79" i="13" s="1"/>
  <c r="BG99" i="13"/>
  <c r="BG10" i="13"/>
  <c r="BG149" i="13" s="1"/>
  <c r="BG7" i="13"/>
  <c r="BG9" i="13"/>
  <c r="BF79" i="13"/>
  <c r="BF108" i="13"/>
  <c r="BF120" i="13" s="1"/>
  <c r="DD10" i="16"/>
  <c r="DD9" i="16"/>
  <c r="DD7" i="16"/>
  <c r="DE6" i="16" s="1"/>
  <c r="BG18" i="13" a="1"/>
  <c r="BG28" i="13" a="1"/>
  <c r="BG20" i="13" a="1"/>
  <c r="BG27" i="13" a="1"/>
  <c r="BG22" i="13" a="1"/>
  <c r="BG26" i="13" a="1"/>
  <c r="BG21" i="13" a="1"/>
  <c r="BG19" i="13" a="1"/>
  <c r="BG23" i="13" a="1"/>
  <c r="BG25" i="13" a="1"/>
  <c r="BG24" i="13" a="1"/>
  <c r="BG29" i="13" a="1"/>
  <c r="BG151" i="13" l="1"/>
  <c r="BG144" i="16" s="1"/>
  <c r="DE164" i="16"/>
  <c r="DD205" i="16"/>
  <c r="DD212" i="16" s="1"/>
  <c r="DD118" i="16"/>
  <c r="DD138" i="16"/>
  <c r="BF121" i="13"/>
  <c r="DD101" i="16"/>
  <c r="DC108" i="16"/>
  <c r="DD29" i="16"/>
  <c r="DD187" i="16" s="1"/>
  <c r="DE25" i="16"/>
  <c r="DE26" i="16" s="1"/>
  <c r="DE28" i="16" s="1"/>
  <c r="DE21" i="16"/>
  <c r="BF116" i="13"/>
  <c r="BF88" i="13"/>
  <c r="BF115" i="13"/>
  <c r="BF122" i="13"/>
  <c r="BF113" i="13"/>
  <c r="BF111" i="13"/>
  <c r="BH150" i="13"/>
  <c r="BF112" i="13"/>
  <c r="BF118" i="13"/>
  <c r="BE104" i="13"/>
  <c r="BF119" i="13"/>
  <c r="BF117" i="13"/>
  <c r="BF114" i="13"/>
  <c r="BG18" i="13"/>
  <c r="BG27" i="13"/>
  <c r="BG20" i="13"/>
  <c r="BG19" i="13"/>
  <c r="BG26" i="13"/>
  <c r="BG21" i="13"/>
  <c r="BG24" i="13"/>
  <c r="BG25" i="13"/>
  <c r="BG28" i="13"/>
  <c r="BG22" i="13"/>
  <c r="BG23" i="13"/>
  <c r="BG29" i="13"/>
  <c r="BG107" i="13"/>
  <c r="BH6" i="13"/>
  <c r="BG13" i="13"/>
  <c r="BG92" i="13"/>
  <c r="BG15" i="13"/>
  <c r="BG74" i="13"/>
  <c r="BG80" i="13" s="1"/>
  <c r="BG72" i="13"/>
  <c r="BF101" i="13"/>
  <c r="BF90" i="13"/>
  <c r="BF91" i="13"/>
  <c r="BF100" i="13"/>
  <c r="DE7" i="16"/>
  <c r="DF6" i="16" s="1"/>
  <c r="DE10" i="16"/>
  <c r="DE9" i="16"/>
  <c r="DF164" i="16" l="1"/>
  <c r="DE205" i="16"/>
  <c r="DE212" i="16" s="1"/>
  <c r="DE118" i="16"/>
  <c r="DE138" i="16"/>
  <c r="DE101" i="16"/>
  <c r="DD108" i="16"/>
  <c r="DE29" i="16"/>
  <c r="DE187" i="16" s="1"/>
  <c r="DF25" i="16"/>
  <c r="DF26" i="16" s="1"/>
  <c r="DF28" i="16" s="1"/>
  <c r="DF21" i="16"/>
  <c r="BF96" i="13"/>
  <c r="BG87" i="13"/>
  <c r="BG16" i="13"/>
  <c r="BH10" i="13"/>
  <c r="BH99" i="13"/>
  <c r="BH7" i="13"/>
  <c r="BH9" i="13"/>
  <c r="BH67" i="13"/>
  <c r="BH72" i="13" s="1"/>
  <c r="BF102" i="13"/>
  <c r="BG77" i="13"/>
  <c r="BG82" i="13"/>
  <c r="BG93" i="13" s="1"/>
  <c r="BG78" i="13"/>
  <c r="BG84" i="13"/>
  <c r="BG95" i="13" s="1"/>
  <c r="BG83" i="13"/>
  <c r="BG94" i="13" s="1"/>
  <c r="BG108" i="13"/>
  <c r="BG117" i="13" s="1"/>
  <c r="DF10" i="16"/>
  <c r="DF9" i="16"/>
  <c r="DF7" i="16"/>
  <c r="DG6" i="16" s="1"/>
  <c r="BH20" i="13" a="1"/>
  <c r="BH29" i="13" a="1"/>
  <c r="BH28" i="13" a="1"/>
  <c r="BH25" i="13" a="1"/>
  <c r="BH19" i="13" a="1"/>
  <c r="BH18" i="13" a="1"/>
  <c r="BH27" i="13" a="1"/>
  <c r="BH23" i="13" a="1"/>
  <c r="BH26" i="13" a="1"/>
  <c r="BH21" i="13" a="1"/>
  <c r="BH24" i="13" a="1"/>
  <c r="BH22" i="13" a="1"/>
  <c r="DG164" i="16" l="1"/>
  <c r="DF205" i="16"/>
  <c r="DF212" i="16" s="1"/>
  <c r="DF118" i="16"/>
  <c r="DF138" i="16"/>
  <c r="DF101" i="16"/>
  <c r="DF108" i="16" s="1"/>
  <c r="DE108" i="16"/>
  <c r="DF29" i="16"/>
  <c r="DF187" i="16" s="1"/>
  <c r="DG25" i="16"/>
  <c r="DG26" i="16" s="1"/>
  <c r="DG28" i="16" s="1"/>
  <c r="DG21" i="16"/>
  <c r="BF104" i="13"/>
  <c r="BH15" i="13"/>
  <c r="BH149" i="13"/>
  <c r="BG112" i="13"/>
  <c r="BH29" i="13"/>
  <c r="BH28" i="13"/>
  <c r="BH21" i="13"/>
  <c r="BH19" i="13"/>
  <c r="BH26" i="13"/>
  <c r="BH24" i="13"/>
  <c r="BH18" i="13"/>
  <c r="BH25" i="13"/>
  <c r="BH22" i="13"/>
  <c r="BH20" i="13"/>
  <c r="BH27" i="13"/>
  <c r="BH23" i="13"/>
  <c r="BG121" i="13"/>
  <c r="BG113" i="13"/>
  <c r="BH74" i="13"/>
  <c r="BH80" i="13" s="1"/>
  <c r="BH73" i="13"/>
  <c r="BG118" i="13"/>
  <c r="BH82" i="13"/>
  <c r="BH93" i="13" s="1"/>
  <c r="BH83" i="13"/>
  <c r="BH94" i="13" s="1"/>
  <c r="BH78" i="13"/>
  <c r="BH84" i="13"/>
  <c r="BH95" i="13" s="1"/>
  <c r="BH77" i="13"/>
  <c r="BG119" i="13"/>
  <c r="BG89" i="13"/>
  <c r="BI6" i="13"/>
  <c r="BH107" i="13"/>
  <c r="BG115" i="13"/>
  <c r="BG122" i="13"/>
  <c r="BG111" i="13"/>
  <c r="BG120" i="13"/>
  <c r="BH92" i="13"/>
  <c r="BH13" i="13"/>
  <c r="BG100" i="13"/>
  <c r="BG91" i="13"/>
  <c r="BG90" i="13"/>
  <c r="BG88" i="13"/>
  <c r="BG101" i="13"/>
  <c r="BG114" i="13"/>
  <c r="BG116" i="13"/>
  <c r="DG9" i="16"/>
  <c r="DG10" i="16"/>
  <c r="DG7" i="16"/>
  <c r="DH6" i="16" s="1"/>
  <c r="DH164" i="16" l="1"/>
  <c r="DG205" i="16"/>
  <c r="DG212" i="16" s="1"/>
  <c r="DG118" i="16"/>
  <c r="DG138" i="16"/>
  <c r="DG101" i="16"/>
  <c r="DG29" i="16"/>
  <c r="DG187" i="16" s="1"/>
  <c r="DH25" i="16"/>
  <c r="DH26" i="16" s="1"/>
  <c r="DH28" i="16" s="1"/>
  <c r="DH21" i="16"/>
  <c r="BH151" i="13"/>
  <c r="BH144" i="16" s="1"/>
  <c r="BI150" i="13"/>
  <c r="BG96" i="13"/>
  <c r="BH108" i="13"/>
  <c r="BH118" i="13" s="1"/>
  <c r="BH87" i="13"/>
  <c r="BH88" i="13" s="1"/>
  <c r="BH16" i="13"/>
  <c r="BI10" i="13"/>
  <c r="BI149" i="13" s="1"/>
  <c r="BI9" i="13"/>
  <c r="BI67" i="13"/>
  <c r="BI7" i="13"/>
  <c r="BI99" i="13"/>
  <c r="BH79" i="13"/>
  <c r="BG102" i="13"/>
  <c r="DH10" i="16"/>
  <c r="DH9" i="16"/>
  <c r="DH7" i="16"/>
  <c r="DI6" i="16" s="1"/>
  <c r="BI24" i="13" a="1"/>
  <c r="BI27" i="13" a="1"/>
  <c r="BI21" i="13" a="1"/>
  <c r="BI18" i="13" a="1"/>
  <c r="BI28" i="13" a="1"/>
  <c r="BI25" i="13" a="1"/>
  <c r="BI29" i="13" a="1"/>
  <c r="BI22" i="13" a="1"/>
  <c r="BI19" i="13" a="1"/>
  <c r="BI23" i="13" a="1"/>
  <c r="BI20" i="13" a="1"/>
  <c r="BI26" i="13" a="1"/>
  <c r="DI164" i="16" l="1"/>
  <c r="DH205" i="16"/>
  <c r="DH212" i="16" s="1"/>
  <c r="DH118" i="16"/>
  <c r="DH138" i="16"/>
  <c r="BI151" i="13"/>
  <c r="BI144" i="16" s="1"/>
  <c r="DH101" i="16"/>
  <c r="DG108" i="16"/>
  <c r="DH29" i="16"/>
  <c r="DH187" i="16" s="1"/>
  <c r="DI25" i="16"/>
  <c r="DI26" i="16" s="1"/>
  <c r="DI28" i="16" s="1"/>
  <c r="DI21" i="16"/>
  <c r="BH121" i="13"/>
  <c r="BJ150" i="13"/>
  <c r="BH112" i="13"/>
  <c r="BH117" i="13"/>
  <c r="BH115" i="13"/>
  <c r="BH116" i="13"/>
  <c r="BH120" i="13"/>
  <c r="BH114" i="13"/>
  <c r="BH111" i="13"/>
  <c r="BG104" i="13"/>
  <c r="BH119" i="13"/>
  <c r="BH113" i="13"/>
  <c r="BH122" i="13"/>
  <c r="BI23" i="13"/>
  <c r="BI22" i="13"/>
  <c r="BI19" i="13"/>
  <c r="BI28" i="13"/>
  <c r="BI18" i="13"/>
  <c r="BI25" i="13"/>
  <c r="BI29" i="13"/>
  <c r="BI21" i="13"/>
  <c r="BI20" i="13"/>
  <c r="BI27" i="13"/>
  <c r="BI26" i="13"/>
  <c r="BI24" i="13"/>
  <c r="BJ6" i="13"/>
  <c r="BI107" i="13"/>
  <c r="BI74" i="13"/>
  <c r="BI80" i="13" s="1"/>
  <c r="BI72" i="13"/>
  <c r="BI13" i="13"/>
  <c r="BI92" i="13"/>
  <c r="BI15" i="13"/>
  <c r="BI73" i="13"/>
  <c r="BH101" i="13"/>
  <c r="BH89" i="13"/>
  <c r="BH91" i="13"/>
  <c r="BH90" i="13"/>
  <c r="BH100" i="13"/>
  <c r="DI7" i="16"/>
  <c r="DJ6" i="16" s="1"/>
  <c r="DI10" i="16"/>
  <c r="DI9" i="16"/>
  <c r="DJ164" i="16" l="1"/>
  <c r="DI205" i="16"/>
  <c r="DI212" i="16" s="1"/>
  <c r="DI118" i="16"/>
  <c r="DI138" i="16"/>
  <c r="DI101" i="16"/>
  <c r="DH108" i="16"/>
  <c r="DI29" i="16"/>
  <c r="DI187" i="16" s="1"/>
  <c r="DJ25" i="16"/>
  <c r="DJ26" i="16" s="1"/>
  <c r="DJ28" i="16" s="1"/>
  <c r="DJ21" i="16"/>
  <c r="BH96" i="13"/>
  <c r="BH102" i="13"/>
  <c r="BJ67" i="13"/>
  <c r="BJ74" i="13" s="1"/>
  <c r="BJ80" i="13" s="1"/>
  <c r="BJ9" i="13"/>
  <c r="BJ99" i="13"/>
  <c r="BJ7" i="13"/>
  <c r="BJ10" i="13"/>
  <c r="BI84" i="13"/>
  <c r="BI95" i="13" s="1"/>
  <c r="BI78" i="13"/>
  <c r="BI83" i="13"/>
  <c r="BI94" i="13" s="1"/>
  <c r="BI77" i="13"/>
  <c r="BI82" i="13"/>
  <c r="BI93" i="13" s="1"/>
  <c r="BI79" i="13"/>
  <c r="BI87" i="13"/>
  <c r="BI16" i="13"/>
  <c r="BI108" i="13"/>
  <c r="BI118" i="13" s="1"/>
  <c r="DJ9" i="16"/>
  <c r="DJ7" i="16"/>
  <c r="DK6" i="16" s="1"/>
  <c r="DJ10" i="16"/>
  <c r="BJ19" i="13" a="1"/>
  <c r="BJ22" i="13" a="1"/>
  <c r="BJ23" i="13" a="1"/>
  <c r="BJ21" i="13" a="1"/>
  <c r="BJ18" i="13" a="1"/>
  <c r="BJ20" i="13" a="1"/>
  <c r="BJ29" i="13" a="1"/>
  <c r="BJ25" i="13" a="1"/>
  <c r="BJ28" i="13" a="1"/>
  <c r="BJ24" i="13" a="1"/>
  <c r="BJ27" i="13" a="1"/>
  <c r="BJ26" i="13" a="1"/>
  <c r="DK164" i="16" l="1"/>
  <c r="DJ205" i="16"/>
  <c r="DJ212" i="16" s="1"/>
  <c r="DJ118" i="16"/>
  <c r="DJ138" i="16"/>
  <c r="BI113" i="13"/>
  <c r="DJ101" i="16"/>
  <c r="DI108" i="16"/>
  <c r="DJ29" i="16"/>
  <c r="DJ187" i="16" s="1"/>
  <c r="DK25" i="16"/>
  <c r="DK26" i="16" s="1"/>
  <c r="DK28" i="16" s="1"/>
  <c r="DK21" i="16"/>
  <c r="BH104" i="13"/>
  <c r="BJ15" i="13"/>
  <c r="BJ149" i="13"/>
  <c r="BI120" i="13"/>
  <c r="BI119" i="13"/>
  <c r="BJ73" i="13"/>
  <c r="BJ79" i="13" s="1"/>
  <c r="BJ72" i="13"/>
  <c r="BJ82" i="13" s="1"/>
  <c r="BJ93" i="13" s="1"/>
  <c r="BI88" i="13"/>
  <c r="BJ24" i="13"/>
  <c r="BJ28" i="13"/>
  <c r="BJ25" i="13"/>
  <c r="BJ20" i="13"/>
  <c r="BJ29" i="13"/>
  <c r="BJ27" i="13"/>
  <c r="BJ22" i="13"/>
  <c r="BJ21" i="13"/>
  <c r="BJ23" i="13"/>
  <c r="BJ19" i="13"/>
  <c r="BJ18" i="13"/>
  <c r="BJ26" i="13"/>
  <c r="BI114" i="13"/>
  <c r="BI100" i="13"/>
  <c r="BI90" i="13"/>
  <c r="BI91" i="13"/>
  <c r="BI101" i="13"/>
  <c r="BJ92" i="13"/>
  <c r="BJ13" i="13"/>
  <c r="BI117" i="13"/>
  <c r="BI116" i="13"/>
  <c r="BJ107" i="13"/>
  <c r="BK6" i="13"/>
  <c r="BI115" i="13"/>
  <c r="BI111" i="13"/>
  <c r="BI122" i="13"/>
  <c r="BI89" i="13"/>
  <c r="BI112" i="13"/>
  <c r="BI121" i="13"/>
  <c r="DK10" i="16"/>
  <c r="DK9" i="16"/>
  <c r="DK7" i="16"/>
  <c r="DL6" i="16" s="1"/>
  <c r="DL164" i="16" l="1"/>
  <c r="DK138" i="16"/>
  <c r="DK205" i="16"/>
  <c r="DK212" i="16" s="1"/>
  <c r="DK101" i="16"/>
  <c r="DJ108" i="16"/>
  <c r="DK29" i="16"/>
  <c r="DK187" i="16" s="1"/>
  <c r="DK118" i="16"/>
  <c r="DL25" i="16"/>
  <c r="DL26" i="16" s="1"/>
  <c r="DL28" i="16" s="1"/>
  <c r="DL21" i="16"/>
  <c r="BJ151" i="13"/>
  <c r="BJ144" i="16" s="1"/>
  <c r="BK150" i="13"/>
  <c r="BI102" i="13"/>
  <c r="BJ78" i="13"/>
  <c r="BJ77" i="13"/>
  <c r="BJ84" i="13"/>
  <c r="BJ95" i="13" s="1"/>
  <c r="BJ83" i="13"/>
  <c r="BJ94" i="13" s="1"/>
  <c r="BI96" i="13"/>
  <c r="BJ108" i="13"/>
  <c r="BJ115" i="13" s="1"/>
  <c r="BJ87" i="13"/>
  <c r="BJ16" i="13"/>
  <c r="BK9" i="13"/>
  <c r="BK67" i="13"/>
  <c r="BK7" i="13"/>
  <c r="BK99" i="13"/>
  <c r="BK10" i="13"/>
  <c r="BK149" i="13" s="1"/>
  <c r="DL10" i="16"/>
  <c r="DL9" i="16"/>
  <c r="DL7" i="16"/>
  <c r="DM6" i="16" s="1"/>
  <c r="BK20" i="13" a="1"/>
  <c r="BK18" i="13" a="1"/>
  <c r="BK29" i="13" a="1"/>
  <c r="BK23" i="13" a="1"/>
  <c r="BK21" i="13" a="1"/>
  <c r="BK28" i="13" a="1"/>
  <c r="BK24" i="13" a="1"/>
  <c r="BK19" i="13" a="1"/>
  <c r="BK25" i="13" a="1"/>
  <c r="BK22" i="13" a="1"/>
  <c r="BK26" i="13" a="1"/>
  <c r="BK27" i="13" a="1"/>
  <c r="DM164" i="16" l="1"/>
  <c r="BK151" i="13"/>
  <c r="BK144" i="16" s="1"/>
  <c r="DL205" i="16"/>
  <c r="DL212" i="16" s="1"/>
  <c r="DL118" i="16"/>
  <c r="DL138" i="16"/>
  <c r="DL101" i="16"/>
  <c r="DK108" i="16"/>
  <c r="DL29" i="16"/>
  <c r="DL187" i="16" s="1"/>
  <c r="DM25" i="16"/>
  <c r="DM26" i="16" s="1"/>
  <c r="DM28" i="16" s="1"/>
  <c r="DM21" i="16"/>
  <c r="BL150" i="13"/>
  <c r="BJ89" i="13"/>
  <c r="BI104" i="13"/>
  <c r="BJ114" i="13"/>
  <c r="BJ120" i="13"/>
  <c r="BJ112" i="13"/>
  <c r="BK21" i="13"/>
  <c r="BK29" i="13"/>
  <c r="BK23" i="13"/>
  <c r="BK28" i="13"/>
  <c r="BK18" i="13"/>
  <c r="BK27" i="13"/>
  <c r="BK24" i="13"/>
  <c r="BK25" i="13"/>
  <c r="BK19" i="13"/>
  <c r="BK20" i="13"/>
  <c r="BK26" i="13"/>
  <c r="BK22" i="13"/>
  <c r="BK15" i="13"/>
  <c r="BK13" i="13"/>
  <c r="BK92" i="13"/>
  <c r="BJ88" i="13"/>
  <c r="BJ121" i="13"/>
  <c r="BJ117" i="13"/>
  <c r="BK107" i="13"/>
  <c r="BL6" i="13"/>
  <c r="BJ118" i="13"/>
  <c r="BK74" i="13"/>
  <c r="BK80" i="13" s="1"/>
  <c r="BK73" i="13"/>
  <c r="BK72" i="13"/>
  <c r="BJ111" i="13"/>
  <c r="BJ116" i="13"/>
  <c r="BJ100" i="13"/>
  <c r="BJ91" i="13"/>
  <c r="BJ90" i="13"/>
  <c r="BJ101" i="13"/>
  <c r="BJ119" i="13"/>
  <c r="BJ113" i="13"/>
  <c r="BJ122" i="13"/>
  <c r="DM7" i="16"/>
  <c r="DN6" i="16" s="1"/>
  <c r="DM10" i="16"/>
  <c r="DM9" i="16"/>
  <c r="DN164" i="16" l="1"/>
  <c r="DM205" i="16"/>
  <c r="DM212" i="16" s="1"/>
  <c r="DM118" i="16"/>
  <c r="DM138" i="16"/>
  <c r="DM101" i="16"/>
  <c r="DL108" i="16"/>
  <c r="DM29" i="16"/>
  <c r="DM187" i="16" s="1"/>
  <c r="DN25" i="16"/>
  <c r="DN26" i="16" s="1"/>
  <c r="DN28" i="16" s="1"/>
  <c r="DN21" i="16"/>
  <c r="BJ96" i="13"/>
  <c r="BL10" i="13"/>
  <c r="BL7" i="13"/>
  <c r="BL9" i="13"/>
  <c r="BL99" i="13"/>
  <c r="BL67" i="13"/>
  <c r="BL74" i="13" s="1"/>
  <c r="BL80" i="13" s="1"/>
  <c r="BJ102" i="13"/>
  <c r="BK108" i="13"/>
  <c r="BK115" i="13" s="1"/>
  <c r="BK83" i="13"/>
  <c r="BK94" i="13" s="1"/>
  <c r="BK77" i="13"/>
  <c r="BK78" i="13"/>
  <c r="BK84" i="13"/>
  <c r="BK95" i="13" s="1"/>
  <c r="BK82" i="13"/>
  <c r="BK93" i="13" s="1"/>
  <c r="BK79" i="13"/>
  <c r="BK87" i="13"/>
  <c r="BK16" i="13"/>
  <c r="DN10" i="16"/>
  <c r="DN7" i="16"/>
  <c r="DO6" i="16" s="1"/>
  <c r="DN9" i="16"/>
  <c r="BL23" i="13" a="1"/>
  <c r="BL19" i="13" a="1"/>
  <c r="BL18" i="13" a="1"/>
  <c r="BL21" i="13" a="1"/>
  <c r="BL20" i="13" a="1"/>
  <c r="BL29" i="13" a="1"/>
  <c r="BL28" i="13" a="1"/>
  <c r="BL26" i="13" a="1"/>
  <c r="BL22" i="13" a="1"/>
  <c r="BL24" i="13" a="1"/>
  <c r="BL27" i="13" a="1"/>
  <c r="BL25" i="13" a="1"/>
  <c r="DO164" i="16" l="1"/>
  <c r="DN205" i="16"/>
  <c r="DN212" i="16" s="1"/>
  <c r="DN118" i="16"/>
  <c r="DN138" i="16"/>
  <c r="DN101" i="16"/>
  <c r="DM108" i="16"/>
  <c r="DN29" i="16"/>
  <c r="DN187" i="16" s="1"/>
  <c r="DO25" i="16"/>
  <c r="DO26" i="16" s="1"/>
  <c r="DO28" i="16" s="1"/>
  <c r="DO21" i="16"/>
  <c r="BL15" i="13"/>
  <c r="BL149" i="13"/>
  <c r="BJ104" i="13"/>
  <c r="BK122" i="13"/>
  <c r="BK117" i="13"/>
  <c r="BK118" i="13"/>
  <c r="BK113" i="13"/>
  <c r="BK121" i="13"/>
  <c r="BL25" i="13"/>
  <c r="BL27" i="13"/>
  <c r="BL29" i="13"/>
  <c r="BL18" i="13"/>
  <c r="BL24" i="13"/>
  <c r="BL28" i="13"/>
  <c r="BL21" i="13"/>
  <c r="BL23" i="13"/>
  <c r="BL20" i="13"/>
  <c r="BL26" i="13"/>
  <c r="BL22" i="13"/>
  <c r="BL19" i="13"/>
  <c r="BK119" i="13"/>
  <c r="BM6" i="13"/>
  <c r="BL107" i="13"/>
  <c r="BK89" i="13"/>
  <c r="BK114" i="13"/>
  <c r="BL13" i="13"/>
  <c r="BL92" i="13"/>
  <c r="BK101" i="13"/>
  <c r="BK91" i="13"/>
  <c r="BK90" i="13"/>
  <c r="BK100" i="13"/>
  <c r="BL73" i="13"/>
  <c r="BK120" i="13"/>
  <c r="BL72" i="13"/>
  <c r="BK88" i="13"/>
  <c r="BK116" i="13"/>
  <c r="BK111" i="13"/>
  <c r="BK112" i="13"/>
  <c r="DO9" i="16"/>
  <c r="DO7" i="16"/>
  <c r="DP6" i="16" s="1"/>
  <c r="DO10" i="16"/>
  <c r="DP164" i="16" l="1"/>
  <c r="DO205" i="16"/>
  <c r="DO212" i="16" s="1"/>
  <c r="DO118" i="16"/>
  <c r="DO138" i="16"/>
  <c r="DO101" i="16"/>
  <c r="DO108" i="16" s="1"/>
  <c r="DN108" i="16"/>
  <c r="DO29" i="16"/>
  <c r="DO187" i="16" s="1"/>
  <c r="DP25" i="16"/>
  <c r="DP26" i="16" s="1"/>
  <c r="DP28" i="16" s="1"/>
  <c r="DP21" i="16"/>
  <c r="BL151" i="13"/>
  <c r="BL144" i="16" s="1"/>
  <c r="BM150" i="13"/>
  <c r="BK102" i="13"/>
  <c r="BK96" i="13"/>
  <c r="BL82" i="13"/>
  <c r="BL93" i="13" s="1"/>
  <c r="BL84" i="13"/>
  <c r="BL95" i="13" s="1"/>
  <c r="BL77" i="13"/>
  <c r="BL83" i="13"/>
  <c r="BL94" i="13" s="1"/>
  <c r="BL78" i="13"/>
  <c r="BL79" i="13"/>
  <c r="BL108" i="13"/>
  <c r="BL121" i="13" s="1"/>
  <c r="BM67" i="13"/>
  <c r="BM74" i="13" s="1"/>
  <c r="BM80" i="13" s="1"/>
  <c r="BM99" i="13"/>
  <c r="BM10" i="13"/>
  <c r="BM149" i="13" s="1"/>
  <c r="BM7" i="13"/>
  <c r="BM9" i="13"/>
  <c r="BL87" i="13"/>
  <c r="BL16" i="13"/>
  <c r="DP10" i="16"/>
  <c r="DP9" i="16"/>
  <c r="DP7" i="16"/>
  <c r="DQ6" i="16" s="1"/>
  <c r="BM18" i="13" a="1"/>
  <c r="BM22" i="13" a="1"/>
  <c r="BM29" i="13" a="1"/>
  <c r="BM19" i="13" a="1"/>
  <c r="BM21" i="13" a="1"/>
  <c r="BM20" i="13" a="1"/>
  <c r="BM28" i="13" a="1"/>
  <c r="BM27" i="13" a="1"/>
  <c r="BM25" i="13" a="1"/>
  <c r="BM26" i="13" a="1"/>
  <c r="BM24" i="13" a="1"/>
  <c r="BM23" i="13" a="1"/>
  <c r="DQ164" i="16" l="1"/>
  <c r="DP138" i="16"/>
  <c r="BM151" i="13"/>
  <c r="BM144" i="16" s="1"/>
  <c r="DP205" i="16"/>
  <c r="DP212" i="16" s="1"/>
  <c r="DP101" i="16"/>
  <c r="DP29" i="16"/>
  <c r="DP187" i="16" s="1"/>
  <c r="DP118" i="16"/>
  <c r="DQ25" i="16"/>
  <c r="DQ26" i="16" s="1"/>
  <c r="DQ28" i="16" s="1"/>
  <c r="DQ21" i="16"/>
  <c r="BK104" i="13"/>
  <c r="BN150" i="13"/>
  <c r="BL114" i="13"/>
  <c r="BL111" i="13"/>
  <c r="BL115" i="13"/>
  <c r="BL117" i="13"/>
  <c r="BL112" i="13"/>
  <c r="BL122" i="13"/>
  <c r="BL119" i="13"/>
  <c r="BL88" i="13"/>
  <c r="BL118" i="13"/>
  <c r="BL116" i="13"/>
  <c r="BL89" i="13"/>
  <c r="BL120" i="13"/>
  <c r="BL113" i="13"/>
  <c r="BM24" i="13"/>
  <c r="BM29" i="13"/>
  <c r="BM25" i="13"/>
  <c r="BM26" i="13"/>
  <c r="BM28" i="13"/>
  <c r="BM19" i="13"/>
  <c r="BM20" i="13"/>
  <c r="BM22" i="13"/>
  <c r="BM23" i="13"/>
  <c r="BM18" i="13"/>
  <c r="BM21" i="13"/>
  <c r="BM27" i="13"/>
  <c r="BL101" i="13"/>
  <c r="BL90" i="13"/>
  <c r="BL91" i="13"/>
  <c r="BL100" i="13"/>
  <c r="BM73" i="13"/>
  <c r="BM72" i="13"/>
  <c r="BM107" i="13"/>
  <c r="BN6" i="13"/>
  <c r="BM92" i="13"/>
  <c r="BM13" i="13"/>
  <c r="BM15" i="13"/>
  <c r="DQ7" i="16"/>
  <c r="DQ10" i="16"/>
  <c r="DQ9" i="16"/>
  <c r="DQ205" i="16" l="1"/>
  <c r="DQ212" i="16" s="1"/>
  <c r="DQ118" i="16"/>
  <c r="DQ138" i="16"/>
  <c r="DQ101" i="16"/>
  <c r="DQ108" i="16" s="1"/>
  <c r="DP108" i="16"/>
  <c r="DQ29" i="16"/>
  <c r="DQ187" i="16" s="1"/>
  <c r="BL102" i="13"/>
  <c r="BL96" i="13"/>
  <c r="BM87" i="13"/>
  <c r="BM16" i="13"/>
  <c r="BN9" i="13"/>
  <c r="BN67" i="13"/>
  <c r="BN74" i="13" s="1"/>
  <c r="BN80" i="13" s="1"/>
  <c r="BN99" i="13"/>
  <c r="BN10" i="13"/>
  <c r="BN7" i="13"/>
  <c r="BM108" i="13"/>
  <c r="BM115" i="13" s="1"/>
  <c r="BM82" i="13"/>
  <c r="BM93" i="13" s="1"/>
  <c r="BM78" i="13"/>
  <c r="BM83" i="13"/>
  <c r="BM94" i="13" s="1"/>
  <c r="BM84" i="13"/>
  <c r="BM95" i="13" s="1"/>
  <c r="BM77" i="13"/>
  <c r="BM79" i="13"/>
  <c r="BN18" i="13" a="1"/>
  <c r="BN27" i="13" a="1"/>
  <c r="BN21" i="13" a="1"/>
  <c r="BN19" i="13" a="1"/>
  <c r="BN28" i="13" a="1"/>
  <c r="BN26" i="13" a="1"/>
  <c r="BN20" i="13" a="1"/>
  <c r="BN25" i="13" a="1"/>
  <c r="BN23" i="13" a="1"/>
  <c r="BN29" i="13" a="1"/>
  <c r="BN22" i="13" a="1"/>
  <c r="BN24" i="13" a="1"/>
  <c r="I108" i="16" l="1"/>
  <c r="K61" i="16" s="1"/>
  <c r="BN15" i="13"/>
  <c r="BN149" i="13"/>
  <c r="BL104" i="13"/>
  <c r="BM120" i="13"/>
  <c r="BM112" i="13"/>
  <c r="BM119" i="13"/>
  <c r="BM89" i="13"/>
  <c r="BM122" i="13"/>
  <c r="BN72" i="13"/>
  <c r="BN84" i="13" s="1"/>
  <c r="BN95" i="13" s="1"/>
  <c r="BN73" i="13"/>
  <c r="BN79" i="13" s="1"/>
  <c r="BN25" i="13"/>
  <c r="BN28" i="13"/>
  <c r="BN29" i="13"/>
  <c r="BN24" i="13"/>
  <c r="BN27" i="13"/>
  <c r="BN26" i="13"/>
  <c r="BN22" i="13"/>
  <c r="BN18" i="13"/>
  <c r="BN21" i="13"/>
  <c r="BN20" i="13"/>
  <c r="BN19" i="13"/>
  <c r="BN23" i="13"/>
  <c r="BO6" i="13"/>
  <c r="BN107" i="13"/>
  <c r="BM118" i="13"/>
  <c r="BN92" i="13"/>
  <c r="BN13" i="13"/>
  <c r="BM114" i="13"/>
  <c r="BM116" i="13"/>
  <c r="BM113" i="13"/>
  <c r="BM121" i="13"/>
  <c r="BM88" i="13"/>
  <c r="BM111" i="13"/>
  <c r="BM117" i="13"/>
  <c r="BM100" i="13"/>
  <c r="BM90" i="13"/>
  <c r="BM91" i="13"/>
  <c r="BM101" i="13"/>
  <c r="BN151" i="13" l="1"/>
  <c r="BN144" i="16" s="1"/>
  <c r="BO150" i="13"/>
  <c r="BN83" i="13"/>
  <c r="BN94" i="13" s="1"/>
  <c r="BN82" i="13"/>
  <c r="BN93" i="13" s="1"/>
  <c r="BM102" i="13"/>
  <c r="BM96" i="13"/>
  <c r="BN77" i="13"/>
  <c r="BN78" i="13"/>
  <c r="BN108" i="13"/>
  <c r="BN119" i="13" s="1"/>
  <c r="BO9" i="13"/>
  <c r="BO10" i="13"/>
  <c r="BO149" i="13" s="1"/>
  <c r="BO67" i="13"/>
  <c r="BO99" i="13"/>
  <c r="BO7" i="13"/>
  <c r="BN87" i="13"/>
  <c r="BN16" i="13"/>
  <c r="BO24" i="13" a="1"/>
  <c r="BO27" i="13" a="1"/>
  <c r="BO23" i="13" a="1"/>
  <c r="BO26" i="13" a="1"/>
  <c r="BO29" i="13" a="1"/>
  <c r="BO18" i="13" a="1"/>
  <c r="BO20" i="13" a="1"/>
  <c r="BO21" i="13" a="1"/>
  <c r="BO28" i="13" a="1"/>
  <c r="BO22" i="13" a="1"/>
  <c r="BO19" i="13" a="1"/>
  <c r="BO25" i="13" a="1"/>
  <c r="BO151" i="13" l="1"/>
  <c r="BO144" i="16" s="1"/>
  <c r="BM104" i="13"/>
  <c r="BN115" i="13"/>
  <c r="BP150" i="13"/>
  <c r="BN120" i="13"/>
  <c r="BN89" i="13"/>
  <c r="BN118" i="13"/>
  <c r="BO18" i="13"/>
  <c r="BO19" i="13"/>
  <c r="BO29" i="13"/>
  <c r="BO28" i="13"/>
  <c r="BO27" i="13"/>
  <c r="BO23" i="13"/>
  <c r="BO22" i="13"/>
  <c r="BO21" i="13"/>
  <c r="BO25" i="13"/>
  <c r="BO24" i="13"/>
  <c r="BO20" i="13"/>
  <c r="BO26" i="13"/>
  <c r="BN111" i="13"/>
  <c r="BN114" i="13"/>
  <c r="BN88" i="13"/>
  <c r="BN117" i="13"/>
  <c r="BO107" i="13"/>
  <c r="BP6" i="13"/>
  <c r="BN112" i="13"/>
  <c r="BN116" i="13"/>
  <c r="BN121" i="13"/>
  <c r="BO74" i="13"/>
  <c r="BO80" i="13" s="1"/>
  <c r="BO72" i="13"/>
  <c r="BO73" i="13"/>
  <c r="BO92" i="13"/>
  <c r="BO13" i="13"/>
  <c r="BO15" i="13"/>
  <c r="BN113" i="13"/>
  <c r="BN122" i="13"/>
  <c r="BN101" i="13"/>
  <c r="BN90" i="13"/>
  <c r="BN91" i="13"/>
  <c r="BN100" i="13"/>
  <c r="BN96" i="13" l="1"/>
  <c r="BN102" i="13"/>
  <c r="BO82" i="13"/>
  <c r="BO93" i="13" s="1"/>
  <c r="BO77" i="13"/>
  <c r="BO84" i="13"/>
  <c r="BO95" i="13" s="1"/>
  <c r="BO83" i="13"/>
  <c r="BO94" i="13" s="1"/>
  <c r="BO78" i="13"/>
  <c r="BO79" i="13"/>
  <c r="BP67" i="13"/>
  <c r="BP74" i="13" s="1"/>
  <c r="BP80" i="13" s="1"/>
  <c r="BP99" i="13"/>
  <c r="BP9" i="13"/>
  <c r="BP10" i="13"/>
  <c r="BP7" i="13"/>
  <c r="BO108" i="13"/>
  <c r="BO122" i="13" s="1"/>
  <c r="BO87" i="13"/>
  <c r="BO16" i="13"/>
  <c r="BP28" i="13" a="1"/>
  <c r="BP21" i="13" a="1"/>
  <c r="BP29" i="13" a="1"/>
  <c r="BP25" i="13" a="1"/>
  <c r="BP23" i="13" a="1"/>
  <c r="BP18" i="13" a="1"/>
  <c r="BP26" i="13" a="1"/>
  <c r="BP20" i="13" a="1"/>
  <c r="BP24" i="13" a="1"/>
  <c r="BP27" i="13" a="1"/>
  <c r="BP19" i="13" a="1"/>
  <c r="BP22" i="13" a="1"/>
  <c r="BN104" i="13" l="1"/>
  <c r="BO117" i="13"/>
  <c r="BP15" i="13"/>
  <c r="BP149" i="13"/>
  <c r="BO118" i="13"/>
  <c r="BO113" i="13"/>
  <c r="BO119" i="13"/>
  <c r="BO115" i="13"/>
  <c r="BO111" i="13"/>
  <c r="BO114" i="13"/>
  <c r="BO116" i="13"/>
  <c r="BP27" i="13"/>
  <c r="BP22" i="13"/>
  <c r="BP21" i="13"/>
  <c r="BP20" i="13"/>
  <c r="BP24" i="13"/>
  <c r="BP28" i="13"/>
  <c r="BP29" i="13"/>
  <c r="BP23" i="13"/>
  <c r="BP26" i="13"/>
  <c r="BP25" i="13"/>
  <c r="BP18" i="13"/>
  <c r="BP19" i="13"/>
  <c r="BP73" i="13"/>
  <c r="BO121" i="13"/>
  <c r="BP72" i="13"/>
  <c r="BO89" i="13"/>
  <c r="BP107" i="13"/>
  <c r="BQ6" i="13"/>
  <c r="BO101" i="13"/>
  <c r="BO91" i="13"/>
  <c r="BO90" i="13"/>
  <c r="BO100" i="13"/>
  <c r="BO120" i="13"/>
  <c r="BP13" i="13"/>
  <c r="BP92" i="13"/>
  <c r="BO112" i="13"/>
  <c r="BO88" i="13"/>
  <c r="BP151" i="13" l="1"/>
  <c r="BP144" i="16" s="1"/>
  <c r="BQ150" i="13"/>
  <c r="BO96" i="13"/>
  <c r="BP77" i="13"/>
  <c r="BP83" i="13"/>
  <c r="BP94" i="13" s="1"/>
  <c r="BP82" i="13"/>
  <c r="BP93" i="13" s="1"/>
  <c r="BP78" i="13"/>
  <c r="BP84" i="13"/>
  <c r="BP95" i="13" s="1"/>
  <c r="BP87" i="13"/>
  <c r="BP16" i="13"/>
  <c r="BQ9" i="13"/>
  <c r="BQ10" i="13"/>
  <c r="BQ149" i="13" s="1"/>
  <c r="BQ7" i="13"/>
  <c r="BQ67" i="13"/>
  <c r="BQ74" i="13" s="1"/>
  <c r="BQ80" i="13" s="1"/>
  <c r="BQ99" i="13"/>
  <c r="BP108" i="13"/>
  <c r="BP118" i="13" s="1"/>
  <c r="BP79" i="13"/>
  <c r="BO102" i="13"/>
  <c r="BQ19" i="13" a="1"/>
  <c r="BQ20" i="13" a="1"/>
  <c r="BQ27" i="13" a="1"/>
  <c r="BQ18" i="13" a="1"/>
  <c r="BQ23" i="13" a="1"/>
  <c r="BQ22" i="13" a="1"/>
  <c r="BQ26" i="13" a="1"/>
  <c r="BQ21" i="13" a="1"/>
  <c r="BQ29" i="13" a="1"/>
  <c r="BQ25" i="13" a="1"/>
  <c r="BQ28" i="13" a="1"/>
  <c r="BQ24" i="13" a="1"/>
  <c r="BQ151" i="13" l="1"/>
  <c r="BQ144" i="16" s="1"/>
  <c r="BR150" i="13"/>
  <c r="BP113" i="13"/>
  <c r="BP121" i="13"/>
  <c r="BP115" i="13"/>
  <c r="BP119" i="13"/>
  <c r="BP122" i="13"/>
  <c r="BP120" i="13"/>
  <c r="BO104" i="13"/>
  <c r="BP111" i="13"/>
  <c r="BP89" i="13"/>
  <c r="BQ22" i="13"/>
  <c r="BQ27" i="13"/>
  <c r="BQ29" i="13"/>
  <c r="BQ26" i="13"/>
  <c r="BQ19" i="13"/>
  <c r="BQ21" i="13"/>
  <c r="BQ20" i="13"/>
  <c r="BQ23" i="13"/>
  <c r="BQ24" i="13"/>
  <c r="BQ18" i="13"/>
  <c r="BQ25" i="13"/>
  <c r="BQ28" i="13"/>
  <c r="BP116" i="13"/>
  <c r="BP114" i="13"/>
  <c r="BP101" i="13"/>
  <c r="BP91" i="13"/>
  <c r="BP90" i="13"/>
  <c r="BP88" i="13"/>
  <c r="BP100" i="13"/>
  <c r="BP117" i="13"/>
  <c r="BQ73" i="13"/>
  <c r="BP112" i="13"/>
  <c r="BQ72" i="13"/>
  <c r="BR6" i="13"/>
  <c r="BQ107" i="13"/>
  <c r="BQ92" i="13"/>
  <c r="BQ15" i="13"/>
  <c r="BQ13" i="13"/>
  <c r="BP102" i="13" l="1"/>
  <c r="BP96" i="13"/>
  <c r="BQ79" i="13"/>
  <c r="BQ108" i="13"/>
  <c r="BQ114" i="13" s="1"/>
  <c r="BR67" i="13"/>
  <c r="BR74" i="13" s="1"/>
  <c r="BR80" i="13" s="1"/>
  <c r="BR10" i="13"/>
  <c r="BR149" i="13" s="1"/>
  <c r="BR151" i="13" s="1"/>
  <c r="BR144" i="16" s="1"/>
  <c r="BR7" i="13"/>
  <c r="BR9" i="13"/>
  <c r="I9" i="13" s="1"/>
  <c r="BR99" i="13"/>
  <c r="BQ77" i="13"/>
  <c r="BQ83" i="13"/>
  <c r="BQ94" i="13" s="1"/>
  <c r="BQ78" i="13"/>
  <c r="BQ82" i="13"/>
  <c r="BQ93" i="13" s="1"/>
  <c r="BQ84" i="13"/>
  <c r="BQ95" i="13" s="1"/>
  <c r="BQ87" i="13"/>
  <c r="BQ16" i="13"/>
  <c r="BR27" i="13" a="1"/>
  <c r="BR24" i="13" a="1"/>
  <c r="BR18" i="13" a="1"/>
  <c r="BR25" i="13" a="1"/>
  <c r="BR23" i="13" a="1"/>
  <c r="BR28" i="13" a="1"/>
  <c r="BR29" i="13" a="1"/>
  <c r="BR21" i="13" a="1"/>
  <c r="BR26" i="13" a="1"/>
  <c r="BR19" i="13" a="1"/>
  <c r="BR22" i="13" a="1"/>
  <c r="BR20" i="13" a="1"/>
  <c r="BQ115" i="13" l="1"/>
  <c r="BQ122" i="13"/>
  <c r="BP104" i="13"/>
  <c r="BR72" i="13"/>
  <c r="BR83" i="13" s="1"/>
  <c r="BR94" i="13" s="1"/>
  <c r="BS150" i="13"/>
  <c r="BQ113" i="13"/>
  <c r="BQ116" i="13"/>
  <c r="BQ111" i="13"/>
  <c r="BQ121" i="13"/>
  <c r="BQ112" i="13"/>
  <c r="BQ89" i="13"/>
  <c r="BQ118" i="13"/>
  <c r="BQ119" i="13"/>
  <c r="BQ120" i="13"/>
  <c r="BQ117" i="13"/>
  <c r="BR21" i="13"/>
  <c r="BR19" i="13"/>
  <c r="BR27" i="13"/>
  <c r="BR20" i="13"/>
  <c r="BR22" i="13"/>
  <c r="BR23" i="13"/>
  <c r="BR18" i="13"/>
  <c r="BR26" i="13"/>
  <c r="BR29" i="13"/>
  <c r="BR28" i="13"/>
  <c r="BR24" i="13"/>
  <c r="BR25" i="13"/>
  <c r="H56" i="13"/>
  <c r="H61" i="13"/>
  <c r="H54" i="13"/>
  <c r="H59" i="13"/>
  <c r="H55" i="13"/>
  <c r="H58" i="13"/>
  <c r="H60" i="13"/>
  <c r="H57" i="13"/>
  <c r="BR92" i="13"/>
  <c r="I10" i="13"/>
  <c r="BR13" i="13"/>
  <c r="BR73" i="13"/>
  <c r="BQ101" i="13"/>
  <c r="BQ88" i="13"/>
  <c r="BQ91" i="13"/>
  <c r="BQ90" i="13"/>
  <c r="BQ100" i="13"/>
  <c r="BR107" i="13"/>
  <c r="BS6" i="13"/>
  <c r="BR15" i="13"/>
  <c r="BR77" i="13" l="1"/>
  <c r="BR84" i="13"/>
  <c r="BR95" i="13" s="1"/>
  <c r="BR82" i="13"/>
  <c r="BR93" i="13" s="1"/>
  <c r="BR78" i="13"/>
  <c r="BQ96" i="13"/>
  <c r="V61" i="13"/>
  <c r="AE61" i="13"/>
  <c r="S61" i="13"/>
  <c r="BJ61" i="13"/>
  <c r="AI61" i="13"/>
  <c r="AS61" i="13"/>
  <c r="W61" i="13"/>
  <c r="BL61" i="13"/>
  <c r="BB61" i="13"/>
  <c r="BR61" i="13"/>
  <c r="BP61" i="13"/>
  <c r="O61" i="13"/>
  <c r="BD61" i="13"/>
  <c r="Q61" i="13"/>
  <c r="X61" i="13"/>
  <c r="AU61" i="13"/>
  <c r="AJ61" i="13"/>
  <c r="AD61" i="13"/>
  <c r="AA61" i="13"/>
  <c r="AK61" i="13"/>
  <c r="AV61" i="13"/>
  <c r="AL61" i="13"/>
  <c r="BM61" i="13"/>
  <c r="U61" i="13"/>
  <c r="AG61" i="13"/>
  <c r="R61" i="13"/>
  <c r="AH61" i="13"/>
  <c r="BC61" i="13"/>
  <c r="AO61" i="13"/>
  <c r="BH61" i="13"/>
  <c r="BF61" i="13"/>
  <c r="N61" i="13"/>
  <c r="BO61" i="13"/>
  <c r="K61" i="13"/>
  <c r="AZ61" i="13"/>
  <c r="AN61" i="13"/>
  <c r="AT61" i="13"/>
  <c r="AC61" i="13"/>
  <c r="BG61" i="13"/>
  <c r="BN61" i="13"/>
  <c r="BK61" i="13"/>
  <c r="BE61" i="13"/>
  <c r="AY61" i="13"/>
  <c r="AB61" i="13"/>
  <c r="BQ61" i="13"/>
  <c r="AP61" i="13"/>
  <c r="AR61" i="13"/>
  <c r="L61" i="13"/>
  <c r="M61" i="13"/>
  <c r="Z61" i="13"/>
  <c r="AF61" i="13"/>
  <c r="AQ61" i="13"/>
  <c r="T61" i="13"/>
  <c r="BI61" i="13"/>
  <c r="AM61" i="13"/>
  <c r="Y61" i="13"/>
  <c r="P61" i="13"/>
  <c r="AW61" i="13"/>
  <c r="BA61" i="13"/>
  <c r="AX61" i="13"/>
  <c r="R56" i="13"/>
  <c r="AA56" i="13"/>
  <c r="BP56" i="13"/>
  <c r="BL56" i="13"/>
  <c r="Q56" i="13"/>
  <c r="BN56" i="13"/>
  <c r="AU56" i="13"/>
  <c r="S56" i="13"/>
  <c r="BH56" i="13"/>
  <c r="AL56" i="13"/>
  <c r="BA56" i="13"/>
  <c r="BF56" i="13"/>
  <c r="BR56" i="13"/>
  <c r="N56" i="13"/>
  <c r="AG56" i="13"/>
  <c r="AZ56" i="13"/>
  <c r="AD56" i="13"/>
  <c r="AO56" i="13"/>
  <c r="AC56" i="13"/>
  <c r="BG56" i="13"/>
  <c r="Y56" i="13"/>
  <c r="AJ56" i="13"/>
  <c r="AW56" i="13"/>
  <c r="V56" i="13"/>
  <c r="BK56" i="13"/>
  <c r="AP56" i="13"/>
  <c r="AX56" i="13"/>
  <c r="AB56" i="13"/>
  <c r="AV56" i="13"/>
  <c r="AR56" i="13"/>
  <c r="BM56" i="13"/>
  <c r="BC56" i="13"/>
  <c r="BE56" i="13"/>
  <c r="AQ56" i="13"/>
  <c r="AY56" i="13"/>
  <c r="BJ56" i="13"/>
  <c r="K56" i="13"/>
  <c r="P56" i="13"/>
  <c r="M56" i="13"/>
  <c r="AK56" i="13"/>
  <c r="U56" i="13"/>
  <c r="L56" i="13"/>
  <c r="T56" i="13"/>
  <c r="AE56" i="13"/>
  <c r="BO56" i="13"/>
  <c r="BI56" i="13"/>
  <c r="BD56" i="13"/>
  <c r="BQ56" i="13"/>
  <c r="AH56" i="13"/>
  <c r="AT56" i="13"/>
  <c r="BB56" i="13"/>
  <c r="AN56" i="13"/>
  <c r="AM56" i="13"/>
  <c r="X56" i="13"/>
  <c r="Z56" i="13"/>
  <c r="AI56" i="13"/>
  <c r="O56" i="13"/>
  <c r="W56" i="13"/>
  <c r="AF56" i="13"/>
  <c r="AS56" i="13"/>
  <c r="AY57" i="13"/>
  <c r="BG57" i="13"/>
  <c r="AJ57" i="13"/>
  <c r="BQ57" i="13"/>
  <c r="AU57" i="13"/>
  <c r="AD57" i="13"/>
  <c r="BM57" i="13"/>
  <c r="AS57" i="13"/>
  <c r="T57" i="13"/>
  <c r="AB57" i="13"/>
  <c r="AT57" i="13"/>
  <c r="BB57" i="13"/>
  <c r="P57" i="13"/>
  <c r="BC57" i="13"/>
  <c r="X57" i="13"/>
  <c r="AK57" i="13"/>
  <c r="N57" i="13"/>
  <c r="Z57" i="13"/>
  <c r="AH57" i="13"/>
  <c r="AM57" i="13"/>
  <c r="AW57" i="13"/>
  <c r="AI57" i="13"/>
  <c r="K57" i="13"/>
  <c r="BF57" i="13"/>
  <c r="M57" i="13"/>
  <c r="AE57" i="13"/>
  <c r="AO57" i="13"/>
  <c r="AA57" i="13"/>
  <c r="AX57" i="13"/>
  <c r="AF57" i="13"/>
  <c r="BA57" i="13"/>
  <c r="W57" i="13"/>
  <c r="BL57" i="13"/>
  <c r="S57" i="13"/>
  <c r="BH57" i="13"/>
  <c r="BN57" i="13"/>
  <c r="L57" i="13"/>
  <c r="R57" i="13"/>
  <c r="O57" i="13"/>
  <c r="BD57" i="13"/>
  <c r="AG57" i="13"/>
  <c r="AZ57" i="13"/>
  <c r="V57" i="13"/>
  <c r="BK57" i="13"/>
  <c r="BJ57" i="13"/>
  <c r="AV57" i="13"/>
  <c r="Y57" i="13"/>
  <c r="AR57" i="13"/>
  <c r="AP57" i="13"/>
  <c r="AC57" i="13"/>
  <c r="AQ57" i="13"/>
  <c r="BP57" i="13"/>
  <c r="AN57" i="13"/>
  <c r="Q57" i="13"/>
  <c r="BO57" i="13"/>
  <c r="U57" i="13"/>
  <c r="AL57" i="13"/>
  <c r="BI57" i="13"/>
  <c r="BR57" i="13"/>
  <c r="BE57" i="13"/>
  <c r="BQ102" i="13"/>
  <c r="BS67" i="13"/>
  <c r="BS73" i="13" s="1"/>
  <c r="BS99" i="13"/>
  <c r="BS10" i="13"/>
  <c r="BS149" i="13" s="1"/>
  <c r="BS151" i="13" s="1"/>
  <c r="BS144" i="16" s="1"/>
  <c r="BS9" i="13"/>
  <c r="BS56" i="13" s="1"/>
  <c r="BS7" i="13"/>
  <c r="X55" i="13"/>
  <c r="BL55" i="13"/>
  <c r="W55" i="13"/>
  <c r="AA55" i="13"/>
  <c r="Q55" i="13"/>
  <c r="AJ55" i="13"/>
  <c r="BJ55" i="13"/>
  <c r="BD55" i="13"/>
  <c r="N55" i="13"/>
  <c r="BE55" i="13"/>
  <c r="K55" i="13"/>
  <c r="BF55" i="13"/>
  <c r="AG55" i="13"/>
  <c r="BO55" i="13"/>
  <c r="L55" i="13"/>
  <c r="AB55" i="13"/>
  <c r="O55" i="13"/>
  <c r="AH55" i="13"/>
  <c r="AL55" i="13"/>
  <c r="AZ55" i="13"/>
  <c r="S55" i="13"/>
  <c r="BR55" i="13"/>
  <c r="AR55" i="13"/>
  <c r="BH55" i="13"/>
  <c r="AW55" i="13"/>
  <c r="AQ55" i="13"/>
  <c r="AM55" i="13"/>
  <c r="BB55" i="13"/>
  <c r="AO55" i="13"/>
  <c r="AY55" i="13"/>
  <c r="M55" i="13"/>
  <c r="AN55" i="13"/>
  <c r="Z55" i="13"/>
  <c r="AD55" i="13"/>
  <c r="AX55" i="13"/>
  <c r="BC55" i="13"/>
  <c r="BA55" i="13"/>
  <c r="BK55" i="13"/>
  <c r="P55" i="13"/>
  <c r="AC55" i="13"/>
  <c r="BG55" i="13"/>
  <c r="AE55" i="13"/>
  <c r="BP55" i="13"/>
  <c r="Y55" i="13"/>
  <c r="R55" i="13"/>
  <c r="T55" i="13"/>
  <c r="AV55" i="13"/>
  <c r="BI55" i="13"/>
  <c r="U55" i="13"/>
  <c r="BM55" i="13"/>
  <c r="AT55" i="13"/>
  <c r="BN55" i="13"/>
  <c r="AK55" i="13"/>
  <c r="AI55" i="13"/>
  <c r="AS55" i="13"/>
  <c r="AF55" i="13"/>
  <c r="V55" i="13"/>
  <c r="AP55" i="13"/>
  <c r="AU55" i="13"/>
  <c r="BQ55" i="13"/>
  <c r="BM60" i="13"/>
  <c r="AO60" i="13"/>
  <c r="AT60" i="13"/>
  <c r="BD60" i="13"/>
  <c r="BR60" i="13"/>
  <c r="P60" i="13"/>
  <c r="BC60" i="13"/>
  <c r="AF60" i="13"/>
  <c r="L60" i="13"/>
  <c r="BI60" i="13"/>
  <c r="O60" i="13"/>
  <c r="Z60" i="13"/>
  <c r="AM60" i="13"/>
  <c r="AX60" i="13"/>
  <c r="AI60" i="13"/>
  <c r="V60" i="13"/>
  <c r="AG60" i="13"/>
  <c r="K60" i="13"/>
  <c r="AV60" i="13"/>
  <c r="BO60" i="13"/>
  <c r="AP60" i="13"/>
  <c r="AA60" i="13"/>
  <c r="AS60" i="13"/>
  <c r="BP60" i="13"/>
  <c r="BA60" i="13"/>
  <c r="AL60" i="13"/>
  <c r="R60" i="13"/>
  <c r="M60" i="13"/>
  <c r="S60" i="13"/>
  <c r="AW60" i="13"/>
  <c r="BK60" i="13"/>
  <c r="Q60" i="13"/>
  <c r="BG60" i="13"/>
  <c r="BJ60" i="13"/>
  <c r="BQ60" i="13"/>
  <c r="BF60" i="13"/>
  <c r="AQ60" i="13"/>
  <c r="AK60" i="13"/>
  <c r="AN60" i="13"/>
  <c r="AJ60" i="13"/>
  <c r="AE60" i="13"/>
  <c r="AC60" i="13"/>
  <c r="AB60" i="13"/>
  <c r="AD60" i="13"/>
  <c r="U60" i="13"/>
  <c r="BH60" i="13"/>
  <c r="AY60" i="13"/>
  <c r="BB60" i="13"/>
  <c r="BL60" i="13"/>
  <c r="N60" i="13"/>
  <c r="Y60" i="13"/>
  <c r="X60" i="13"/>
  <c r="AR60" i="13"/>
  <c r="T60" i="13"/>
  <c r="BE60" i="13"/>
  <c r="W60" i="13"/>
  <c r="AH60" i="13"/>
  <c r="AU60" i="13"/>
  <c r="BN60" i="13"/>
  <c r="AZ60" i="13"/>
  <c r="BR108" i="13"/>
  <c r="BR119" i="13" s="1"/>
  <c r="AE59" i="13"/>
  <c r="AW59" i="13"/>
  <c r="BM59" i="13"/>
  <c r="Q59" i="13"/>
  <c r="AB59" i="13"/>
  <c r="BA59" i="13"/>
  <c r="BJ59" i="13"/>
  <c r="AZ59" i="13"/>
  <c r="Z59" i="13"/>
  <c r="AP59" i="13"/>
  <c r="BF59" i="13"/>
  <c r="AY59" i="13"/>
  <c r="V59" i="13"/>
  <c r="BQ59" i="13"/>
  <c r="L59" i="13"/>
  <c r="BO59" i="13"/>
  <c r="S59" i="13"/>
  <c r="AI59" i="13"/>
  <c r="AK59" i="13"/>
  <c r="BH59" i="13"/>
  <c r="AL59" i="13"/>
  <c r="O59" i="13"/>
  <c r="BC59" i="13"/>
  <c r="BK59" i="13"/>
  <c r="AR59" i="13"/>
  <c r="AV59" i="13"/>
  <c r="BR59" i="13"/>
  <c r="AC59" i="13"/>
  <c r="P59" i="13"/>
  <c r="AJ59" i="13"/>
  <c r="AF59" i="13"/>
  <c r="BE59" i="13"/>
  <c r="AX59" i="13"/>
  <c r="Y59" i="13"/>
  <c r="BG59" i="13"/>
  <c r="AO59" i="13"/>
  <c r="R59" i="13"/>
  <c r="BD59" i="13"/>
  <c r="K59" i="13"/>
  <c r="AH59" i="13"/>
  <c r="AA59" i="13"/>
  <c r="BN59" i="13"/>
  <c r="AS59" i="13"/>
  <c r="BI59" i="13"/>
  <c r="AT59" i="13"/>
  <c r="X59" i="13"/>
  <c r="AU59" i="13"/>
  <c r="BL59" i="13"/>
  <c r="AQ59" i="13"/>
  <c r="N59" i="13"/>
  <c r="AD59" i="13"/>
  <c r="U59" i="13"/>
  <c r="BP59" i="13"/>
  <c r="T59" i="13"/>
  <c r="AN59" i="13"/>
  <c r="W59" i="13"/>
  <c r="M59" i="13"/>
  <c r="AG59" i="13"/>
  <c r="AM59" i="13"/>
  <c r="BB59" i="13"/>
  <c r="BR79" i="13"/>
  <c r="L58" i="13"/>
  <c r="T58" i="13"/>
  <c r="AB58" i="13"/>
  <c r="BQ58" i="13"/>
  <c r="AT58" i="13"/>
  <c r="U58" i="13"/>
  <c r="BH58" i="13"/>
  <c r="BM58" i="13"/>
  <c r="AS58" i="13"/>
  <c r="BA58" i="13"/>
  <c r="BI58" i="13"/>
  <c r="AL58" i="13"/>
  <c r="P58" i="13"/>
  <c r="BB58" i="13"/>
  <c r="AF58" i="13"/>
  <c r="Z58" i="13"/>
  <c r="N58" i="13"/>
  <c r="V58" i="13"/>
  <c r="AD58" i="13"/>
  <c r="AO58" i="13"/>
  <c r="AW58" i="13"/>
  <c r="X58" i="13"/>
  <c r="BP58" i="13"/>
  <c r="AE58" i="13"/>
  <c r="AV58" i="13"/>
  <c r="BD58" i="13"/>
  <c r="BL58" i="13"/>
  <c r="AA58" i="13"/>
  <c r="AX58" i="13"/>
  <c r="BE58" i="13"/>
  <c r="AN58" i="13"/>
  <c r="BJ58" i="13"/>
  <c r="Q58" i="13"/>
  <c r="Y58" i="13"/>
  <c r="AG58" i="13"/>
  <c r="AH58" i="13"/>
  <c r="BC58" i="13"/>
  <c r="O58" i="13"/>
  <c r="BR58" i="13"/>
  <c r="AY58" i="13"/>
  <c r="BF58" i="13"/>
  <c r="BN58" i="13"/>
  <c r="BO58" i="13"/>
  <c r="S58" i="13"/>
  <c r="AP58" i="13"/>
  <c r="AC58" i="13"/>
  <c r="AI58" i="13"/>
  <c r="AQ58" i="13"/>
  <c r="AM58" i="13"/>
  <c r="AR58" i="13"/>
  <c r="AU58" i="13"/>
  <c r="R58" i="13"/>
  <c r="BK58" i="13"/>
  <c r="W58" i="13"/>
  <c r="K58" i="13"/>
  <c r="AJ58" i="13"/>
  <c r="M58" i="13"/>
  <c r="AZ58" i="13"/>
  <c r="BG58" i="13"/>
  <c r="AK58" i="13"/>
  <c r="BR87" i="13"/>
  <c r="BR16" i="13"/>
  <c r="BR54" i="13"/>
  <c r="X54" i="13"/>
  <c r="AZ54" i="13"/>
  <c r="O54" i="13"/>
  <c r="AV54" i="13"/>
  <c r="W54" i="13"/>
  <c r="BN54" i="13"/>
  <c r="AT54" i="13"/>
  <c r="AS54" i="13"/>
  <c r="AM54" i="13"/>
  <c r="BE54" i="13"/>
  <c r="AY54" i="13"/>
  <c r="BD54" i="13"/>
  <c r="AK54" i="13"/>
  <c r="BB54" i="13"/>
  <c r="BJ54" i="13"/>
  <c r="T54" i="13"/>
  <c r="AW54" i="13"/>
  <c r="AQ54" i="13"/>
  <c r="Q54" i="13"/>
  <c r="BP54" i="13"/>
  <c r="AE54" i="13"/>
  <c r="BI54" i="13"/>
  <c r="Y54" i="13"/>
  <c r="AF54" i="13"/>
  <c r="AP54" i="13"/>
  <c r="R54" i="13"/>
  <c r="Z54" i="13"/>
  <c r="BO54" i="13"/>
  <c r="BA54" i="13"/>
  <c r="V54" i="13"/>
  <c r="L54" i="13"/>
  <c r="AO54" i="13"/>
  <c r="BF54" i="13"/>
  <c r="AI54" i="13"/>
  <c r="U54" i="13"/>
  <c r="K54" i="13"/>
  <c r="M54" i="13"/>
  <c r="AR54" i="13"/>
  <c r="N54" i="13"/>
  <c r="S54" i="13"/>
  <c r="BK54" i="13"/>
  <c r="AH54" i="13"/>
  <c r="BH54" i="13"/>
  <c r="BL54" i="13"/>
  <c r="BQ54" i="13"/>
  <c r="AJ54" i="13"/>
  <c r="BC54" i="13"/>
  <c r="AN54" i="13"/>
  <c r="P54" i="13"/>
  <c r="BM54" i="13"/>
  <c r="AL54" i="13"/>
  <c r="AX54" i="13"/>
  <c r="AD54" i="13"/>
  <c r="AG54" i="13"/>
  <c r="AU54" i="13"/>
  <c r="AA54" i="13"/>
  <c r="BG54" i="13"/>
  <c r="AC54" i="13"/>
  <c r="AB54" i="13"/>
  <c r="BS26" i="13" a="1"/>
  <c r="BS27" i="13" a="1"/>
  <c r="BS20" i="13" a="1"/>
  <c r="BS23" i="13" a="1"/>
  <c r="BS19" i="13" a="1"/>
  <c r="BS25" i="13" a="1"/>
  <c r="BS21" i="13" a="1"/>
  <c r="BS24" i="13" a="1"/>
  <c r="BS28" i="13" a="1"/>
  <c r="BS18" i="13" a="1"/>
  <c r="BS29" i="13" a="1"/>
  <c r="BS22" i="13" a="1"/>
  <c r="BR88" i="13" l="1"/>
  <c r="BQ104" i="13"/>
  <c r="P63" i="13"/>
  <c r="P143" i="13" s="1"/>
  <c r="P74" i="16"/>
  <c r="M63" i="13"/>
  <c r="M143" i="13" s="1"/>
  <c r="M74" i="16"/>
  <c r="BK63" i="13"/>
  <c r="BK143" i="13" s="1"/>
  <c r="BK74" i="16"/>
  <c r="BO63" i="13"/>
  <c r="BO143" i="13" s="1"/>
  <c r="BO74" i="16"/>
  <c r="AG63" i="13"/>
  <c r="AG143" i="13" s="1"/>
  <c r="AG74" i="16"/>
  <c r="AJ63" i="13"/>
  <c r="AJ18" i="16" s="1"/>
  <c r="AJ74" i="16"/>
  <c r="BB63" i="13"/>
  <c r="BB143" i="13" s="1"/>
  <c r="BB74" i="16"/>
  <c r="V63" i="13"/>
  <c r="V143" i="13" s="1"/>
  <c r="V74" i="16"/>
  <c r="BR63" i="13"/>
  <c r="BR143" i="13" s="1"/>
  <c r="BR74" i="16"/>
  <c r="Y63" i="13"/>
  <c r="Y143" i="13" s="1"/>
  <c r="Y74" i="16"/>
  <c r="L63" i="13"/>
  <c r="L143" i="13" s="1"/>
  <c r="L74" i="16"/>
  <c r="BN63" i="13"/>
  <c r="BN143" i="13" s="1"/>
  <c r="BN74" i="16"/>
  <c r="N63" i="13"/>
  <c r="N143" i="13" s="1"/>
  <c r="N74" i="16"/>
  <c r="U63" i="13"/>
  <c r="U18" i="16" s="1"/>
  <c r="U74" i="16"/>
  <c r="AU63" i="13"/>
  <c r="AU143" i="13" s="1"/>
  <c r="AU74" i="16"/>
  <c r="BL63" i="13"/>
  <c r="BL143" i="13" s="1"/>
  <c r="BL74" i="16"/>
  <c r="K63" i="13"/>
  <c r="K18" i="16" s="1"/>
  <c r="K74" i="16"/>
  <c r="AM63" i="13"/>
  <c r="AM18" i="16" s="1"/>
  <c r="AM74" i="16"/>
  <c r="AR63" i="13"/>
  <c r="AR143" i="13" s="1"/>
  <c r="AR74" i="16"/>
  <c r="BG63" i="13"/>
  <c r="BG143" i="13" s="1"/>
  <c r="BG74" i="16"/>
  <c r="BF63" i="13"/>
  <c r="BF143" i="13" s="1"/>
  <c r="BF74" i="16"/>
  <c r="BM63" i="13"/>
  <c r="BM143" i="13" s="1"/>
  <c r="BM74" i="16"/>
  <c r="X63" i="13"/>
  <c r="X143" i="13" s="1"/>
  <c r="X74" i="16"/>
  <c r="W63" i="13"/>
  <c r="W143" i="13" s="1"/>
  <c r="W74" i="16"/>
  <c r="BE63" i="13"/>
  <c r="BE143" i="13" s="1"/>
  <c r="BE74" i="16"/>
  <c r="BI63" i="13"/>
  <c r="BI143" i="13" s="1"/>
  <c r="BI74" i="16"/>
  <c r="AP63" i="13"/>
  <c r="AP143" i="13" s="1"/>
  <c r="AP74" i="16"/>
  <c r="AC63" i="13"/>
  <c r="AC143" i="13" s="1"/>
  <c r="AC74" i="16"/>
  <c r="BH63" i="13"/>
  <c r="BH143" i="13" s="1"/>
  <c r="BH74" i="16"/>
  <c r="AL63" i="13"/>
  <c r="AL143" i="13" s="1"/>
  <c r="AL74" i="16"/>
  <c r="Q63" i="13"/>
  <c r="Q143" i="13" s="1"/>
  <c r="Q74" i="16"/>
  <c r="AS63" i="13"/>
  <c r="AS143" i="13" s="1"/>
  <c r="AS74" i="16"/>
  <c r="AW63" i="13"/>
  <c r="AW18" i="16" s="1"/>
  <c r="AW74" i="16"/>
  <c r="Z63" i="13"/>
  <c r="Z143" i="13" s="1"/>
  <c r="Z74" i="16"/>
  <c r="R63" i="13"/>
  <c r="R143" i="13" s="1"/>
  <c r="R74" i="16"/>
  <c r="T63" i="13"/>
  <c r="T143" i="13" s="1"/>
  <c r="T74" i="16"/>
  <c r="BQ63" i="13"/>
  <c r="BQ143" i="13" s="1"/>
  <c r="BQ74" i="16"/>
  <c r="AT63" i="13"/>
  <c r="AT143" i="13" s="1"/>
  <c r="AT74" i="16"/>
  <c r="AO63" i="13"/>
  <c r="AO143" i="13" s="1"/>
  <c r="AO74" i="16"/>
  <c r="AV63" i="13"/>
  <c r="AV18" i="16" s="1"/>
  <c r="AV74" i="16"/>
  <c r="BD63" i="13"/>
  <c r="BD143" i="13" s="1"/>
  <c r="BD74" i="16"/>
  <c r="AI63" i="13"/>
  <c r="AI143" i="13" s="1"/>
  <c r="AI74" i="16"/>
  <c r="AE63" i="13"/>
  <c r="AE143" i="13" s="1"/>
  <c r="AE74" i="16"/>
  <c r="AX63" i="13"/>
  <c r="AX18" i="16" s="1"/>
  <c r="AX74" i="16"/>
  <c r="AQ63" i="13"/>
  <c r="AQ143" i="13" s="1"/>
  <c r="AQ74" i="16"/>
  <c r="AB63" i="13"/>
  <c r="AB143" i="13" s="1"/>
  <c r="AB74" i="16"/>
  <c r="AN63" i="13"/>
  <c r="AN18" i="16" s="1"/>
  <c r="AN74" i="16"/>
  <c r="BC63" i="13"/>
  <c r="BC143" i="13" s="1"/>
  <c r="BC74" i="16"/>
  <c r="AK63" i="13"/>
  <c r="AK143" i="13" s="1"/>
  <c r="AK74" i="16"/>
  <c r="O63" i="13"/>
  <c r="O143" i="13" s="1"/>
  <c r="O74" i="16"/>
  <c r="BJ63" i="13"/>
  <c r="BJ143" i="13" s="1"/>
  <c r="BJ74" i="16"/>
  <c r="AD63" i="13"/>
  <c r="AD143" i="13" s="1"/>
  <c r="AD74" i="16"/>
  <c r="BA63" i="13"/>
  <c r="BA143" i="13" s="1"/>
  <c r="BA74" i="16"/>
  <c r="AF63" i="13"/>
  <c r="AF143" i="13" s="1"/>
  <c r="AF74" i="16"/>
  <c r="AY63" i="13"/>
  <c r="AY143" i="13" s="1"/>
  <c r="AY74" i="16"/>
  <c r="AZ63" i="13"/>
  <c r="AZ18" i="16" s="1"/>
  <c r="AZ74" i="16"/>
  <c r="AH63" i="13"/>
  <c r="AH143" i="13" s="1"/>
  <c r="AH74" i="16"/>
  <c r="AA63" i="13"/>
  <c r="AA143" i="13" s="1"/>
  <c r="AA74" i="16"/>
  <c r="BP63" i="13"/>
  <c r="BP143" i="13" s="1"/>
  <c r="BP74" i="16"/>
  <c r="S63" i="13"/>
  <c r="S143" i="13" s="1"/>
  <c r="S74" i="16"/>
  <c r="BS15" i="13"/>
  <c r="BT150" i="13"/>
  <c r="BR114" i="13"/>
  <c r="BR115" i="13"/>
  <c r="BS23" i="13"/>
  <c r="BS18" i="13"/>
  <c r="BS26" i="13"/>
  <c r="BS29" i="13"/>
  <c r="BS27" i="13"/>
  <c r="BS28" i="13"/>
  <c r="BS24" i="13"/>
  <c r="BS19" i="13"/>
  <c r="BS25" i="13"/>
  <c r="BS22" i="13"/>
  <c r="BS20" i="13"/>
  <c r="BS21" i="13"/>
  <c r="BS59" i="13"/>
  <c r="BR113" i="13"/>
  <c r="BS61" i="13"/>
  <c r="BR120" i="13"/>
  <c r="BS74" i="13"/>
  <c r="BS72" i="13"/>
  <c r="BR101" i="13"/>
  <c r="BR91" i="13"/>
  <c r="BR90" i="13"/>
  <c r="BR100" i="13"/>
  <c r="BS79" i="13"/>
  <c r="BR117" i="13"/>
  <c r="BR116" i="13"/>
  <c r="BS60" i="13"/>
  <c r="BS54" i="13"/>
  <c r="BS58" i="13"/>
  <c r="BR121" i="13"/>
  <c r="BR118" i="13"/>
  <c r="BR112" i="13"/>
  <c r="BR122" i="13"/>
  <c r="BS57" i="13"/>
  <c r="BR89" i="13"/>
  <c r="BS107" i="13"/>
  <c r="BT6" i="13"/>
  <c r="BR111" i="13"/>
  <c r="BS55" i="13"/>
  <c r="BS13" i="13"/>
  <c r="BS87" i="13" s="1"/>
  <c r="BS101" i="13" s="1"/>
  <c r="BS92" i="13"/>
  <c r="AG18" i="16" l="1"/>
  <c r="BH18" i="16"/>
  <c r="P18" i="16"/>
  <c r="BR18" i="16"/>
  <c r="Y18" i="16"/>
  <c r="BF18" i="16"/>
  <c r="N18" i="16"/>
  <c r="BE18" i="16"/>
  <c r="K143" i="13"/>
  <c r="AW143" i="13"/>
  <c r="AL18" i="16"/>
  <c r="O18" i="16"/>
  <c r="AM143" i="13"/>
  <c r="AJ143" i="13"/>
  <c r="BI18" i="16"/>
  <c r="U143" i="13"/>
  <c r="BM18" i="16"/>
  <c r="M18" i="16"/>
  <c r="Z18" i="16"/>
  <c r="AT18" i="16"/>
  <c r="BA18" i="16"/>
  <c r="AK18" i="16"/>
  <c r="BD18" i="16"/>
  <c r="BK18" i="16"/>
  <c r="AH18" i="16"/>
  <c r="AU18" i="16"/>
  <c r="BQ18" i="16"/>
  <c r="Q18" i="16"/>
  <c r="AQ18" i="16"/>
  <c r="AA18" i="16"/>
  <c r="AB18" i="16"/>
  <c r="AF18" i="16"/>
  <c r="R18" i="16"/>
  <c r="AY18" i="16"/>
  <c r="AP18" i="16"/>
  <c r="L18" i="16"/>
  <c r="AN143" i="13"/>
  <c r="BJ18" i="16"/>
  <c r="BP18" i="16"/>
  <c r="AR18" i="16"/>
  <c r="BB18" i="16"/>
  <c r="X18" i="16"/>
  <c r="AE18" i="16"/>
  <c r="AO18" i="16"/>
  <c r="BC18" i="16"/>
  <c r="AX143" i="13"/>
  <c r="S18" i="16"/>
  <c r="AI18" i="16"/>
  <c r="AS18" i="16"/>
  <c r="AC18" i="16"/>
  <c r="W18" i="16"/>
  <c r="BG18" i="16"/>
  <c r="BL18" i="16"/>
  <c r="BN18" i="16"/>
  <c r="V18" i="16"/>
  <c r="BO18" i="16"/>
  <c r="AD18" i="16"/>
  <c r="AV143" i="13"/>
  <c r="AZ143" i="13"/>
  <c r="T18" i="16"/>
  <c r="BS63" i="13"/>
  <c r="BS18" i="16" s="1"/>
  <c r="BS74" i="16"/>
  <c r="BR96" i="13"/>
  <c r="BR102" i="13"/>
  <c r="BS90" i="13"/>
  <c r="BS100" i="13"/>
  <c r="BS102" i="13" s="1"/>
  <c r="BT67" i="13"/>
  <c r="BT73" i="13" s="1"/>
  <c r="BT10" i="13"/>
  <c r="BT149" i="13" s="1"/>
  <c r="BT151" i="13" s="1"/>
  <c r="BT144" i="16" s="1"/>
  <c r="BT99" i="13"/>
  <c r="BT7" i="13"/>
  <c r="BT9" i="13"/>
  <c r="BS108" i="13"/>
  <c r="BS115" i="13" s="1"/>
  <c r="BS16" i="13"/>
  <c r="BS77" i="13"/>
  <c r="BS88" i="13" s="1"/>
  <c r="BS82" i="13"/>
  <c r="BS93" i="13" s="1"/>
  <c r="BS83" i="13"/>
  <c r="BS94" i="13" s="1"/>
  <c r="BS84" i="13"/>
  <c r="BS95" i="13" s="1"/>
  <c r="BS78" i="13"/>
  <c r="BS89" i="13" s="1"/>
  <c r="BS80" i="13"/>
  <c r="BS91" i="13" s="1"/>
  <c r="BT21" i="13" a="1"/>
  <c r="BT23" i="13" a="1"/>
  <c r="BT25" i="13" a="1"/>
  <c r="BT18" i="13" a="1"/>
  <c r="BT29" i="13" a="1"/>
  <c r="BT26" i="13" a="1"/>
  <c r="BT24" i="13" a="1"/>
  <c r="BT27" i="13" a="1"/>
  <c r="BT22" i="13" a="1"/>
  <c r="BT28" i="13" a="1"/>
  <c r="BT20" i="13" a="1"/>
  <c r="BT19" i="13" a="1"/>
  <c r="BS143" i="13" l="1"/>
  <c r="BR104" i="13"/>
  <c r="BT74" i="13"/>
  <c r="BT80" i="13" s="1"/>
  <c r="BU150" i="13"/>
  <c r="BS118" i="13"/>
  <c r="BS121" i="13"/>
  <c r="BS120" i="13"/>
  <c r="BS113" i="13"/>
  <c r="BS111" i="13"/>
  <c r="BS116" i="13"/>
  <c r="BS114" i="13"/>
  <c r="BS112" i="13"/>
  <c r="BS96" i="13"/>
  <c r="BS104" i="13" s="1"/>
  <c r="BS117" i="13"/>
  <c r="BS122" i="13"/>
  <c r="BT18" i="13"/>
  <c r="BT22" i="13"/>
  <c r="BT26" i="13"/>
  <c r="BT25" i="13"/>
  <c r="BT19" i="13"/>
  <c r="BT29" i="13"/>
  <c r="BT20" i="13"/>
  <c r="BT21" i="13"/>
  <c r="BT24" i="13"/>
  <c r="BT27" i="13"/>
  <c r="BT28" i="13"/>
  <c r="BT23" i="13"/>
  <c r="BT55" i="13"/>
  <c r="BT54" i="13"/>
  <c r="BT59" i="13"/>
  <c r="BT60" i="13"/>
  <c r="BT57" i="13"/>
  <c r="BT61" i="13"/>
  <c r="BT56" i="13"/>
  <c r="BT58" i="13"/>
  <c r="BU6" i="13"/>
  <c r="BT107" i="13"/>
  <c r="BS119" i="13"/>
  <c r="BT72" i="13"/>
  <c r="BT15" i="13"/>
  <c r="BT13" i="13"/>
  <c r="BT92" i="13"/>
  <c r="BT79" i="13"/>
  <c r="BT63" i="13" l="1"/>
  <c r="BT18" i="16" s="1"/>
  <c r="BT74" i="16"/>
  <c r="BU67" i="13"/>
  <c r="BU72" i="13" s="1"/>
  <c r="BU10" i="13"/>
  <c r="BU149" i="13" s="1"/>
  <c r="BU151" i="13" s="1"/>
  <c r="BU144" i="16" s="1"/>
  <c r="BU9" i="13"/>
  <c r="BU99" i="13"/>
  <c r="BU7" i="13"/>
  <c r="BT87" i="13"/>
  <c r="BT16" i="13"/>
  <c r="BT84" i="13"/>
  <c r="BT95" i="13" s="1"/>
  <c r="BT82" i="13"/>
  <c r="BT93" i="13" s="1"/>
  <c r="BT77" i="13"/>
  <c r="BT83" i="13"/>
  <c r="BT94" i="13" s="1"/>
  <c r="BT78" i="13"/>
  <c r="BT108" i="13"/>
  <c r="BT118" i="13" s="1"/>
  <c r="BU21" i="13" a="1"/>
  <c r="BU19" i="13" a="1"/>
  <c r="BU25" i="13" a="1"/>
  <c r="BU26" i="13" a="1"/>
  <c r="BU20" i="13" a="1"/>
  <c r="BU22" i="13" a="1"/>
  <c r="BU18" i="13" a="1"/>
  <c r="BU29" i="13" a="1"/>
  <c r="BU27" i="13" a="1"/>
  <c r="BU28" i="13" a="1"/>
  <c r="BU24" i="13" a="1"/>
  <c r="BU23" i="13" a="1"/>
  <c r="BT143" i="13" l="1"/>
  <c r="BV150" i="13"/>
  <c r="BT117" i="13"/>
  <c r="BT114" i="13"/>
  <c r="BT120" i="13"/>
  <c r="BT119" i="13"/>
  <c r="BT89" i="13"/>
  <c r="BT88" i="13"/>
  <c r="BT122" i="13"/>
  <c r="BT115" i="13"/>
  <c r="BT116" i="13"/>
  <c r="BT111" i="13"/>
  <c r="BT113" i="13"/>
  <c r="BT112" i="13"/>
  <c r="BT121" i="13"/>
  <c r="BU28" i="13"/>
  <c r="BU21" i="13"/>
  <c r="BU23" i="13"/>
  <c r="BU19" i="13"/>
  <c r="BU26" i="13"/>
  <c r="BU18" i="13"/>
  <c r="BU24" i="13"/>
  <c r="BU27" i="13"/>
  <c r="BU20" i="13"/>
  <c r="BU25" i="13"/>
  <c r="BU22" i="13"/>
  <c r="BU29" i="13"/>
  <c r="BU54" i="13"/>
  <c r="BU58" i="13"/>
  <c r="BU55" i="13"/>
  <c r="BU57" i="13"/>
  <c r="BU61" i="13"/>
  <c r="BU59" i="13"/>
  <c r="BU56" i="13"/>
  <c r="BU60" i="13"/>
  <c r="BU13" i="13"/>
  <c r="BU92" i="13"/>
  <c r="BU74" i="13"/>
  <c r="BU80" i="13" s="1"/>
  <c r="BU73" i="13"/>
  <c r="BT91" i="13"/>
  <c r="BT90" i="13"/>
  <c r="BT100" i="13"/>
  <c r="BT101" i="13"/>
  <c r="BU15" i="13"/>
  <c r="BU83" i="13"/>
  <c r="BU94" i="13" s="1"/>
  <c r="BU84" i="13"/>
  <c r="BU95" i="13" s="1"/>
  <c r="BU77" i="13"/>
  <c r="BU82" i="13"/>
  <c r="BU93" i="13" s="1"/>
  <c r="BU78" i="13"/>
  <c r="BV6" i="13"/>
  <c r="BU107" i="13"/>
  <c r="BU63" i="13" l="1"/>
  <c r="BU18" i="16" s="1"/>
  <c r="BU74" i="16"/>
  <c r="BT96" i="13"/>
  <c r="BT102" i="13"/>
  <c r="BU108" i="13"/>
  <c r="BU120" i="13" s="1"/>
  <c r="BU79" i="13"/>
  <c r="BV9" i="13"/>
  <c r="BV99" i="13"/>
  <c r="BV67" i="13"/>
  <c r="BV7" i="13"/>
  <c r="BV10" i="13"/>
  <c r="BV149" i="13" s="1"/>
  <c r="BV151" i="13" s="1"/>
  <c r="BV144" i="16" s="1"/>
  <c r="BU87" i="13"/>
  <c r="BU89" i="13" s="1"/>
  <c r="BU16" i="13"/>
  <c r="BV22" i="13" a="1"/>
  <c r="BV25" i="13" a="1"/>
  <c r="BV29" i="13" a="1"/>
  <c r="BV26" i="13" a="1"/>
  <c r="BV18" i="13" a="1"/>
  <c r="BV27" i="13" a="1"/>
  <c r="BV24" i="13" a="1"/>
  <c r="BV20" i="13" a="1"/>
  <c r="BV21" i="13" a="1"/>
  <c r="BV28" i="13" a="1"/>
  <c r="BV23" i="13" a="1"/>
  <c r="BV19" i="13" a="1"/>
  <c r="BU143" i="13" l="1"/>
  <c r="BW150" i="13"/>
  <c r="BT104" i="13"/>
  <c r="BU113" i="13"/>
  <c r="BU112" i="13"/>
  <c r="BU117" i="13"/>
  <c r="BU121" i="13"/>
  <c r="BU122" i="13"/>
  <c r="BU119" i="13"/>
  <c r="BU114" i="13"/>
  <c r="BU115" i="13"/>
  <c r="BU116" i="13"/>
  <c r="BU118" i="13"/>
  <c r="BU111" i="13"/>
  <c r="BV29" i="13"/>
  <c r="BV18" i="13"/>
  <c r="BV24" i="13"/>
  <c r="BV26" i="13"/>
  <c r="BV22" i="13"/>
  <c r="BV28" i="13"/>
  <c r="BV25" i="13"/>
  <c r="BV27" i="13"/>
  <c r="BV20" i="13"/>
  <c r="BV23" i="13"/>
  <c r="BV21" i="13"/>
  <c r="BV19" i="13"/>
  <c r="BV74" i="13"/>
  <c r="BV80" i="13" s="1"/>
  <c r="BV72" i="13"/>
  <c r="BV73" i="13"/>
  <c r="BV55" i="13"/>
  <c r="BV54" i="13"/>
  <c r="BV60" i="13"/>
  <c r="BV56" i="13"/>
  <c r="BV59" i="13"/>
  <c r="BV58" i="13"/>
  <c r="BV61" i="13"/>
  <c r="BV57" i="13"/>
  <c r="BU100" i="13"/>
  <c r="BU88" i="13"/>
  <c r="BU91" i="13"/>
  <c r="BU90" i="13"/>
  <c r="BU101" i="13"/>
  <c r="BV92" i="13"/>
  <c r="BV13" i="13"/>
  <c r="BW6" i="13"/>
  <c r="BV107" i="13"/>
  <c r="BV15" i="13"/>
  <c r="BV63" i="13" l="1"/>
  <c r="BV18" i="16" s="1"/>
  <c r="BV74" i="16"/>
  <c r="BU102" i="13"/>
  <c r="BU96" i="13"/>
  <c r="BV108" i="13"/>
  <c r="BV115" i="13" s="1"/>
  <c r="BW7" i="13"/>
  <c r="BW10" i="13"/>
  <c r="BW149" i="13" s="1"/>
  <c r="BW151" i="13" s="1"/>
  <c r="BW144" i="16" s="1"/>
  <c r="BW9" i="13"/>
  <c r="BW67" i="13"/>
  <c r="BW74" i="13" s="1"/>
  <c r="BW80" i="13" s="1"/>
  <c r="BW99" i="13"/>
  <c r="BV82" i="13"/>
  <c r="BV93" i="13" s="1"/>
  <c r="BV83" i="13"/>
  <c r="BV94" i="13" s="1"/>
  <c r="BV77" i="13"/>
  <c r="BV78" i="13"/>
  <c r="BV84" i="13"/>
  <c r="BV95" i="13" s="1"/>
  <c r="BV87" i="13"/>
  <c r="BV16" i="13"/>
  <c r="BV79" i="13"/>
  <c r="BW23" i="13" a="1"/>
  <c r="BW27" i="13" a="1"/>
  <c r="BW18" i="13" a="1"/>
  <c r="BW29" i="13" a="1"/>
  <c r="BW20" i="13" a="1"/>
  <c r="BW19" i="13" a="1"/>
  <c r="BW28" i="13" a="1"/>
  <c r="BW22" i="13" a="1"/>
  <c r="BW25" i="13" a="1"/>
  <c r="BW26" i="13" a="1"/>
  <c r="BW21" i="13" a="1"/>
  <c r="BW24" i="13" a="1"/>
  <c r="BV143" i="13" l="1"/>
  <c r="BU104" i="13"/>
  <c r="BX150" i="13"/>
  <c r="BV112" i="13"/>
  <c r="BV116" i="13"/>
  <c r="BV111" i="13"/>
  <c r="BV114" i="13"/>
  <c r="BV120" i="13"/>
  <c r="BV113" i="13"/>
  <c r="BV121" i="13"/>
  <c r="BV118" i="13"/>
  <c r="BW25" i="13"/>
  <c r="BW24" i="13"/>
  <c r="BW18" i="13"/>
  <c r="BW29" i="13"/>
  <c r="BW27" i="13"/>
  <c r="BW21" i="13"/>
  <c r="BW28" i="13"/>
  <c r="BW26" i="13"/>
  <c r="BW23" i="13"/>
  <c r="BW19" i="13"/>
  <c r="BW20" i="13"/>
  <c r="BW22" i="13"/>
  <c r="BV88" i="13"/>
  <c r="BW57" i="13"/>
  <c r="BW54" i="13"/>
  <c r="BW60" i="13"/>
  <c r="BW58" i="13"/>
  <c r="BW55" i="13"/>
  <c r="BW61" i="13"/>
  <c r="BW56" i="13"/>
  <c r="BW59" i="13"/>
  <c r="BW92" i="13"/>
  <c r="BW13" i="13"/>
  <c r="BW107" i="13"/>
  <c r="BX6" i="13"/>
  <c r="BW73" i="13"/>
  <c r="BW72" i="13"/>
  <c r="BV119" i="13"/>
  <c r="BV100" i="13"/>
  <c r="BV90" i="13"/>
  <c r="BV91" i="13"/>
  <c r="BV101" i="13"/>
  <c r="BW15" i="13"/>
  <c r="BV117" i="13"/>
  <c r="BV89" i="13"/>
  <c r="BV122" i="13"/>
  <c r="BW63" i="13" l="1"/>
  <c r="BW18" i="16" s="1"/>
  <c r="BW74" i="16"/>
  <c r="BV102" i="13"/>
  <c r="BV96" i="13"/>
  <c r="BW87" i="13"/>
  <c r="BW16" i="13"/>
  <c r="BX99" i="13"/>
  <c r="BX9" i="13"/>
  <c r="BX7" i="13"/>
  <c r="BX67" i="13"/>
  <c r="BX74" i="13" s="1"/>
  <c r="BX80" i="13" s="1"/>
  <c r="BX10" i="13"/>
  <c r="BW108" i="13"/>
  <c r="BW120" i="13" s="1"/>
  <c r="BW79" i="13"/>
  <c r="BW82" i="13"/>
  <c r="BW93" i="13" s="1"/>
  <c r="BW78" i="13"/>
  <c r="BW83" i="13"/>
  <c r="BW94" i="13" s="1"/>
  <c r="BW84" i="13"/>
  <c r="BW95" i="13" s="1"/>
  <c r="BW77" i="13"/>
  <c r="BX29" i="13" a="1"/>
  <c r="BX23" i="13" a="1"/>
  <c r="BX26" i="13" a="1"/>
  <c r="BX19" i="13" a="1"/>
  <c r="BX20" i="13" a="1"/>
  <c r="BX21" i="13" a="1"/>
  <c r="BX18" i="13" a="1"/>
  <c r="BX24" i="13" a="1"/>
  <c r="BX22" i="13" a="1"/>
  <c r="BX27" i="13" a="1"/>
  <c r="BX28" i="13" a="1"/>
  <c r="BX25" i="13" a="1"/>
  <c r="BW143" i="13" l="1"/>
  <c r="BW88" i="13"/>
  <c r="BW114" i="13"/>
  <c r="BW89" i="13"/>
  <c r="BW122" i="13"/>
  <c r="BW111" i="13"/>
  <c r="BW119" i="13"/>
  <c r="BW121" i="13"/>
  <c r="BW117" i="13"/>
  <c r="BX15" i="13"/>
  <c r="BX149" i="13"/>
  <c r="BX73" i="13"/>
  <c r="BX79" i="13" s="1"/>
  <c r="BV104" i="13"/>
  <c r="BX72" i="13"/>
  <c r="BX77" i="13" s="1"/>
  <c r="BW116" i="13"/>
  <c r="BW115" i="13"/>
  <c r="BW118" i="13"/>
  <c r="BW112" i="13"/>
  <c r="BW113" i="13"/>
  <c r="BX25" i="13"/>
  <c r="BX18" i="13"/>
  <c r="BX23" i="13"/>
  <c r="BX29" i="13"/>
  <c r="BX22" i="13"/>
  <c r="BX27" i="13"/>
  <c r="BX21" i="13"/>
  <c r="BX24" i="13"/>
  <c r="BX19" i="13"/>
  <c r="BX20" i="13"/>
  <c r="BX26" i="13"/>
  <c r="BX28" i="13"/>
  <c r="BX107" i="13"/>
  <c r="BY6" i="13"/>
  <c r="BX55" i="13"/>
  <c r="BX61" i="13"/>
  <c r="BX59" i="13"/>
  <c r="BX57" i="13"/>
  <c r="BX58" i="13"/>
  <c r="BX60" i="13"/>
  <c r="BX56" i="13"/>
  <c r="BX54" i="13"/>
  <c r="BX92" i="13"/>
  <c r="BX13" i="13"/>
  <c r="BW100" i="13"/>
  <c r="BW91" i="13"/>
  <c r="BW90" i="13"/>
  <c r="BW101" i="13"/>
  <c r="BX63" i="13" l="1"/>
  <c r="BX143" i="13" s="1"/>
  <c r="BX74" i="16"/>
  <c r="BX151" i="13"/>
  <c r="BX144" i="16" s="1"/>
  <c r="BY150" i="13"/>
  <c r="BX78" i="13"/>
  <c r="BX83" i="13"/>
  <c r="BX94" i="13" s="1"/>
  <c r="BX84" i="13"/>
  <c r="BX95" i="13" s="1"/>
  <c r="BX82" i="13"/>
  <c r="BX93" i="13" s="1"/>
  <c r="BW96" i="13"/>
  <c r="BX87" i="13"/>
  <c r="BX88" i="13" s="1"/>
  <c r="BX16" i="13"/>
  <c r="BX108" i="13"/>
  <c r="BX118" i="13" s="1"/>
  <c r="BW102" i="13"/>
  <c r="BY7" i="13"/>
  <c r="BY10" i="13"/>
  <c r="BY149" i="13" s="1"/>
  <c r="BY99" i="13"/>
  <c r="BY9" i="13"/>
  <c r="BY67" i="13"/>
  <c r="BY23" i="13" a="1"/>
  <c r="BY28" i="13" a="1"/>
  <c r="BY24" i="13" a="1"/>
  <c r="BY22" i="13" a="1"/>
  <c r="BY20" i="13" a="1"/>
  <c r="BY29" i="13" a="1"/>
  <c r="BY26" i="13" a="1"/>
  <c r="BY21" i="13" a="1"/>
  <c r="BY27" i="13" a="1"/>
  <c r="BY19" i="13" a="1"/>
  <c r="BY18" i="13" a="1"/>
  <c r="BY25" i="13" a="1"/>
  <c r="BX18" i="16" l="1"/>
  <c r="BX89" i="13"/>
  <c r="BY151" i="13"/>
  <c r="BY144" i="16" s="1"/>
  <c r="BX114" i="13"/>
  <c r="BW104" i="13"/>
  <c r="BX113" i="13"/>
  <c r="BX116" i="13"/>
  <c r="BX112" i="13"/>
  <c r="BX119" i="13"/>
  <c r="BX115" i="13"/>
  <c r="BZ150" i="13"/>
  <c r="BX122" i="13"/>
  <c r="BX121" i="13"/>
  <c r="BX117" i="13"/>
  <c r="BX120" i="13"/>
  <c r="BX111" i="13"/>
  <c r="BY22" i="13"/>
  <c r="BY26" i="13"/>
  <c r="BY19" i="13"/>
  <c r="BY28" i="13"/>
  <c r="BY20" i="13"/>
  <c r="BY27" i="13"/>
  <c r="BY24" i="13"/>
  <c r="BY23" i="13"/>
  <c r="BY18" i="13"/>
  <c r="BY29" i="13"/>
  <c r="BY21" i="13"/>
  <c r="BY25" i="13"/>
  <c r="BY74" i="13"/>
  <c r="BY80" i="13" s="1"/>
  <c r="BY72" i="13"/>
  <c r="BY73" i="13"/>
  <c r="BY58" i="13"/>
  <c r="BY57" i="13"/>
  <c r="BY59" i="13"/>
  <c r="BY55" i="13"/>
  <c r="BY54" i="13"/>
  <c r="BY56" i="13"/>
  <c r="BY61" i="13"/>
  <c r="BY60" i="13"/>
  <c r="BY13" i="13"/>
  <c r="BY92" i="13"/>
  <c r="BY15" i="13"/>
  <c r="BY107" i="13"/>
  <c r="BZ6" i="13"/>
  <c r="BX101" i="13"/>
  <c r="BX90" i="13"/>
  <c r="BX91" i="13"/>
  <c r="BX100" i="13"/>
  <c r="BY63" i="13" l="1"/>
  <c r="BY143" i="13" s="1"/>
  <c r="BY74" i="16"/>
  <c r="BX96" i="13"/>
  <c r="BX102" i="13"/>
  <c r="BY87" i="13"/>
  <c r="BY16" i="13"/>
  <c r="BY79" i="13"/>
  <c r="BY77" i="13"/>
  <c r="BY84" i="13"/>
  <c r="BY95" i="13" s="1"/>
  <c r="BY78" i="13"/>
  <c r="BY83" i="13"/>
  <c r="BY94" i="13" s="1"/>
  <c r="BY82" i="13"/>
  <c r="BY93" i="13" s="1"/>
  <c r="BZ67" i="13"/>
  <c r="BZ74" i="13" s="1"/>
  <c r="BZ80" i="13" s="1"/>
  <c r="BZ99" i="13"/>
  <c r="BZ7" i="13"/>
  <c r="BZ9" i="13"/>
  <c r="BZ10" i="13"/>
  <c r="BZ149" i="13" s="1"/>
  <c r="BZ151" i="13" s="1"/>
  <c r="BZ144" i="16" s="1"/>
  <c r="BY108" i="13"/>
  <c r="BY117" i="13" s="1"/>
  <c r="BZ28" i="13" a="1"/>
  <c r="BZ26" i="13" a="1"/>
  <c r="BZ25" i="13" a="1"/>
  <c r="BZ22" i="13" a="1"/>
  <c r="BZ20" i="13" a="1"/>
  <c r="BZ19" i="13" a="1"/>
  <c r="BZ23" i="13" a="1"/>
  <c r="BZ21" i="13" a="1"/>
  <c r="BZ18" i="13" a="1"/>
  <c r="BZ27" i="13" a="1"/>
  <c r="BZ29" i="13" a="1"/>
  <c r="BZ24" i="13" a="1"/>
  <c r="BY18" i="16" l="1"/>
  <c r="BX104" i="13"/>
  <c r="CA150" i="13"/>
  <c r="BY121" i="13"/>
  <c r="BY113" i="13"/>
  <c r="BY118" i="13"/>
  <c r="BY115" i="13"/>
  <c r="BZ72" i="13"/>
  <c r="BZ83" i="13" s="1"/>
  <c r="BZ94" i="13" s="1"/>
  <c r="BY119" i="13"/>
  <c r="BZ20" i="13"/>
  <c r="BZ26" i="13"/>
  <c r="BZ25" i="13"/>
  <c r="BZ21" i="13"/>
  <c r="BZ29" i="13"/>
  <c r="BZ27" i="13"/>
  <c r="BZ24" i="13"/>
  <c r="BZ18" i="13"/>
  <c r="BZ22" i="13"/>
  <c r="BZ23" i="13"/>
  <c r="BZ28" i="13"/>
  <c r="BZ19" i="13"/>
  <c r="BY111" i="13"/>
  <c r="BZ92" i="13"/>
  <c r="BZ13" i="13"/>
  <c r="BY112" i="13"/>
  <c r="BZ56" i="13"/>
  <c r="BZ59" i="13"/>
  <c r="BZ60" i="13"/>
  <c r="BZ57" i="13"/>
  <c r="BZ55" i="13"/>
  <c r="BZ58" i="13"/>
  <c r="BZ54" i="13"/>
  <c r="BZ61" i="13"/>
  <c r="CA6" i="13"/>
  <c r="BZ107" i="13"/>
  <c r="BY114" i="13"/>
  <c r="BY122" i="13"/>
  <c r="BY101" i="13"/>
  <c r="BY91" i="13"/>
  <c r="BY89" i="13"/>
  <c r="BY90" i="13"/>
  <c r="BY88" i="13"/>
  <c r="BY100" i="13"/>
  <c r="BY116" i="13"/>
  <c r="BY120" i="13"/>
  <c r="BZ73" i="13"/>
  <c r="BZ15" i="13"/>
  <c r="BZ63" i="13" l="1"/>
  <c r="BZ143" i="13" s="1"/>
  <c r="BZ74" i="16"/>
  <c r="BY96" i="13"/>
  <c r="BZ77" i="13"/>
  <c r="BZ84" i="13"/>
  <c r="BZ95" i="13" s="1"/>
  <c r="BY102" i="13"/>
  <c r="BZ82" i="13"/>
  <c r="BZ93" i="13" s="1"/>
  <c r="BZ78" i="13"/>
  <c r="BZ108" i="13"/>
  <c r="BZ122" i="13" s="1"/>
  <c r="BZ79" i="13"/>
  <c r="CA10" i="13"/>
  <c r="CA149" i="13" s="1"/>
  <c r="CA151" i="13" s="1"/>
  <c r="CA144" i="16" s="1"/>
  <c r="CA7" i="13"/>
  <c r="CA67" i="13"/>
  <c r="CA99" i="13"/>
  <c r="CA9" i="13"/>
  <c r="BZ87" i="13"/>
  <c r="BZ16" i="13"/>
  <c r="CA20" i="13" a="1"/>
  <c r="CA25" i="13" a="1"/>
  <c r="CA27" i="13" a="1"/>
  <c r="CA24" i="13" a="1"/>
  <c r="CA29" i="13" a="1"/>
  <c r="CA22" i="13" a="1"/>
  <c r="CA23" i="13" a="1"/>
  <c r="CA28" i="13" a="1"/>
  <c r="CA26" i="13" a="1"/>
  <c r="CA21" i="13" a="1"/>
  <c r="CA19" i="13" a="1"/>
  <c r="CA18" i="13" a="1"/>
  <c r="BZ18" i="16" l="1"/>
  <c r="CB150" i="13"/>
  <c r="BY104" i="13"/>
  <c r="BZ119" i="13"/>
  <c r="BZ120" i="13"/>
  <c r="BZ111" i="13"/>
  <c r="BZ114" i="13"/>
  <c r="BZ118" i="13"/>
  <c r="BZ116" i="13"/>
  <c r="BZ117" i="13"/>
  <c r="BZ113" i="13"/>
  <c r="BZ112" i="13"/>
  <c r="BZ121" i="13"/>
  <c r="BZ115" i="13"/>
  <c r="CA21" i="13"/>
  <c r="CA23" i="13"/>
  <c r="CA20" i="13"/>
  <c r="CA24" i="13"/>
  <c r="CA19" i="13"/>
  <c r="CA29" i="13"/>
  <c r="CA25" i="13"/>
  <c r="CA18" i="13"/>
  <c r="CA27" i="13"/>
  <c r="CA28" i="13"/>
  <c r="CA22" i="13"/>
  <c r="CA26" i="13"/>
  <c r="BZ100" i="13"/>
  <c r="BZ90" i="13"/>
  <c r="BZ88" i="13"/>
  <c r="BZ91" i="13"/>
  <c r="BZ101" i="13"/>
  <c r="CA74" i="13"/>
  <c r="CA80" i="13" s="1"/>
  <c r="CA72" i="13"/>
  <c r="CB6" i="13"/>
  <c r="CA107" i="13"/>
  <c r="BZ89" i="13"/>
  <c r="CA13" i="13"/>
  <c r="CA92" i="13"/>
  <c r="CA73" i="13"/>
  <c r="CA59" i="13"/>
  <c r="CA58" i="13"/>
  <c r="CA61" i="13"/>
  <c r="CA55" i="13"/>
  <c r="CA57" i="13"/>
  <c r="CA60" i="13"/>
  <c r="CA56" i="13"/>
  <c r="CA54" i="13"/>
  <c r="CA15" i="13"/>
  <c r="CA63" i="13" l="1"/>
  <c r="CA143" i="13" s="1"/>
  <c r="CA74" i="16"/>
  <c r="BZ96" i="13"/>
  <c r="CA108" i="13"/>
  <c r="CA117" i="13" s="1"/>
  <c r="CA84" i="13"/>
  <c r="CA95" i="13" s="1"/>
  <c r="CA77" i="13"/>
  <c r="CA78" i="13"/>
  <c r="CA82" i="13"/>
  <c r="CA93" i="13" s="1"/>
  <c r="CA83" i="13"/>
  <c r="CA94" i="13" s="1"/>
  <c r="CA79" i="13"/>
  <c r="CB9" i="13"/>
  <c r="CB10" i="13"/>
  <c r="CB99" i="13"/>
  <c r="CB67" i="13"/>
  <c r="CB74" i="13" s="1"/>
  <c r="CB80" i="13" s="1"/>
  <c r="CB7" i="13"/>
  <c r="CA87" i="13"/>
  <c r="CA16" i="13"/>
  <c r="BZ102" i="13"/>
  <c r="CB29" i="13" a="1"/>
  <c r="CB27" i="13" a="1"/>
  <c r="CB21" i="13" a="1"/>
  <c r="CB24" i="13" a="1"/>
  <c r="CB20" i="13" a="1"/>
  <c r="CB18" i="13" a="1"/>
  <c r="CB25" i="13" a="1"/>
  <c r="CB19" i="13" a="1"/>
  <c r="CB26" i="13" a="1"/>
  <c r="CB28" i="13" a="1"/>
  <c r="CB23" i="13" a="1"/>
  <c r="CB22" i="13" a="1"/>
  <c r="CA18" i="16" l="1"/>
  <c r="CB15" i="13"/>
  <c r="CB149" i="13"/>
  <c r="BZ104" i="13"/>
  <c r="CA121" i="13"/>
  <c r="CA112" i="13"/>
  <c r="CA111" i="13"/>
  <c r="CA118" i="13"/>
  <c r="CA116" i="13"/>
  <c r="CA119" i="13"/>
  <c r="CA122" i="13"/>
  <c r="CA114" i="13"/>
  <c r="CA113" i="13"/>
  <c r="CB24" i="13"/>
  <c r="CB22" i="13"/>
  <c r="CB25" i="13"/>
  <c r="CB29" i="13"/>
  <c r="CB19" i="13"/>
  <c r="CB26" i="13"/>
  <c r="CB18" i="13"/>
  <c r="CB21" i="13"/>
  <c r="CB23" i="13"/>
  <c r="CB27" i="13"/>
  <c r="CB28" i="13"/>
  <c r="CB20" i="13"/>
  <c r="CB73" i="13"/>
  <c r="CB72" i="13"/>
  <c r="CB107" i="13"/>
  <c r="CC6" i="13"/>
  <c r="CA101" i="13"/>
  <c r="CA91" i="13"/>
  <c r="CA90" i="13"/>
  <c r="CA88" i="13"/>
  <c r="CA100" i="13"/>
  <c r="CA89" i="13"/>
  <c r="CB13" i="13"/>
  <c r="CB92" i="13"/>
  <c r="CA120" i="13"/>
  <c r="CB59" i="13"/>
  <c r="CB57" i="13"/>
  <c r="CB55" i="13"/>
  <c r="CB56" i="13"/>
  <c r="CB54" i="13"/>
  <c r="CB61" i="13"/>
  <c r="CB58" i="13"/>
  <c r="CB60" i="13"/>
  <c r="CA115" i="13"/>
  <c r="CB63" i="13" l="1"/>
  <c r="CB143" i="13" s="1"/>
  <c r="CB74" i="16"/>
  <c r="CB151" i="13"/>
  <c r="CB144" i="16" s="1"/>
  <c r="CC150" i="13"/>
  <c r="CA96" i="13"/>
  <c r="CA102" i="13"/>
  <c r="CC67" i="13"/>
  <c r="CC74" i="13" s="1"/>
  <c r="CC80" i="13" s="1"/>
  <c r="CC99" i="13"/>
  <c r="CC10" i="13"/>
  <c r="CC149" i="13" s="1"/>
  <c r="CC7" i="13"/>
  <c r="CC9" i="13"/>
  <c r="CB108" i="13"/>
  <c r="CB114" i="13" s="1"/>
  <c r="CB87" i="13"/>
  <c r="CB16" i="13"/>
  <c r="CB82" i="13"/>
  <c r="CB93" i="13" s="1"/>
  <c r="CB77" i="13"/>
  <c r="CB78" i="13"/>
  <c r="CB83" i="13"/>
  <c r="CB94" i="13" s="1"/>
  <c r="CB84" i="13"/>
  <c r="CB95" i="13" s="1"/>
  <c r="CB79" i="13"/>
  <c r="CC28" i="13" a="1"/>
  <c r="CC29" i="13" a="1"/>
  <c r="CC21" i="13" a="1"/>
  <c r="CC20" i="13" a="1"/>
  <c r="CC19" i="13" a="1"/>
  <c r="CC27" i="13" a="1"/>
  <c r="CC23" i="13" a="1"/>
  <c r="CC22" i="13" a="1"/>
  <c r="CC24" i="13" a="1"/>
  <c r="CC25" i="13" a="1"/>
  <c r="CC26" i="13" a="1"/>
  <c r="CC18" i="13" a="1"/>
  <c r="CB18" i="16" l="1"/>
  <c r="CC151" i="13"/>
  <c r="CC144" i="16" s="1"/>
  <c r="CB118" i="13"/>
  <c r="CB112" i="13"/>
  <c r="CB120" i="13"/>
  <c r="CB115" i="13"/>
  <c r="CD150" i="13"/>
  <c r="CC73" i="13"/>
  <c r="CC79" i="13" s="1"/>
  <c r="CB113" i="13"/>
  <c r="CA104" i="13"/>
  <c r="CC72" i="13"/>
  <c r="CC84" i="13" s="1"/>
  <c r="CC95" i="13" s="1"/>
  <c r="CB111" i="13"/>
  <c r="CB119" i="13"/>
  <c r="CB117" i="13"/>
  <c r="CB116" i="13"/>
  <c r="CB122" i="13"/>
  <c r="CC18" i="13"/>
  <c r="CC24" i="13"/>
  <c r="CC28" i="13"/>
  <c r="CC27" i="13"/>
  <c r="CC29" i="13"/>
  <c r="CC20" i="13"/>
  <c r="CC26" i="13"/>
  <c r="CC23" i="13"/>
  <c r="CC21" i="13"/>
  <c r="CC25" i="13"/>
  <c r="CC19" i="13"/>
  <c r="CC22" i="13"/>
  <c r="CC107" i="13"/>
  <c r="CD6" i="13"/>
  <c r="CC13" i="13"/>
  <c r="CC92" i="13"/>
  <c r="CC15" i="13"/>
  <c r="CC61" i="13"/>
  <c r="CC56" i="13"/>
  <c r="CC58" i="13"/>
  <c r="CC60" i="13"/>
  <c r="CC55" i="13"/>
  <c r="CC57" i="13"/>
  <c r="CC54" i="13"/>
  <c r="CC59" i="13"/>
  <c r="CB101" i="13"/>
  <c r="CB91" i="13"/>
  <c r="CB90" i="13"/>
  <c r="CB100" i="13"/>
  <c r="CB89" i="13"/>
  <c r="CB88" i="13"/>
  <c r="CB121" i="13"/>
  <c r="CC63" i="13" l="1"/>
  <c r="CC18" i="16" s="1"/>
  <c r="CC74" i="16"/>
  <c r="CC78" i="13"/>
  <c r="CC82" i="13"/>
  <c r="CC93" i="13" s="1"/>
  <c r="CC77" i="13"/>
  <c r="CC83" i="13"/>
  <c r="CC94" i="13" s="1"/>
  <c r="CB102" i="13"/>
  <c r="CB96" i="13"/>
  <c r="CC87" i="13"/>
  <c r="CC16" i="13"/>
  <c r="CD67" i="13"/>
  <c r="CD9" i="13"/>
  <c r="CD7" i="13"/>
  <c r="CD99" i="13"/>
  <c r="CD10" i="13"/>
  <c r="CC108" i="13"/>
  <c r="CC120" i="13" s="1"/>
  <c r="CD18" i="13" a="1"/>
  <c r="CD27" i="13" a="1"/>
  <c r="CD21" i="13" a="1"/>
  <c r="CD23" i="13" a="1"/>
  <c r="CD24" i="13" a="1"/>
  <c r="CD25" i="13" a="1"/>
  <c r="CD20" i="13" a="1"/>
  <c r="CD29" i="13" a="1"/>
  <c r="CD26" i="13" a="1"/>
  <c r="CD28" i="13" a="1"/>
  <c r="CD22" i="13" a="1"/>
  <c r="CD19" i="13" a="1"/>
  <c r="CC143" i="13" l="1"/>
  <c r="CC88" i="13"/>
  <c r="CC119" i="13"/>
  <c r="CC111" i="13"/>
  <c r="CC89" i="13"/>
  <c r="CD15" i="13"/>
  <c r="CD149" i="13"/>
  <c r="CC112" i="13"/>
  <c r="CC121" i="13"/>
  <c r="CC114" i="13"/>
  <c r="CC122" i="13"/>
  <c r="CC116" i="13"/>
  <c r="CC115" i="13"/>
  <c r="CB104" i="13"/>
  <c r="CC117" i="13"/>
  <c r="CC118" i="13"/>
  <c r="CD27" i="13"/>
  <c r="CD22" i="13"/>
  <c r="CD18" i="13"/>
  <c r="CD28" i="13"/>
  <c r="CD21" i="13"/>
  <c r="CD19" i="13"/>
  <c r="CD29" i="13"/>
  <c r="CD23" i="13"/>
  <c r="CD20" i="13"/>
  <c r="CD26" i="13"/>
  <c r="CD24" i="13"/>
  <c r="CD25" i="13"/>
  <c r="CD107" i="13"/>
  <c r="CE6" i="13"/>
  <c r="CD59" i="13"/>
  <c r="CD54" i="13"/>
  <c r="CD60" i="13"/>
  <c r="CD61" i="13"/>
  <c r="CD55" i="13"/>
  <c r="CD58" i="13"/>
  <c r="CD56" i="13"/>
  <c r="CD57" i="13"/>
  <c r="CD74" i="13"/>
  <c r="CD80" i="13" s="1"/>
  <c r="CD73" i="13"/>
  <c r="CD72" i="13"/>
  <c r="CC101" i="13"/>
  <c r="CC90" i="13"/>
  <c r="CC91" i="13"/>
  <c r="CC100" i="13"/>
  <c r="CC113" i="13"/>
  <c r="CD13" i="13"/>
  <c r="CD92" i="13"/>
  <c r="CD63" i="13" l="1"/>
  <c r="CD143" i="13" s="1"/>
  <c r="CD74" i="16"/>
  <c r="CC96" i="13"/>
  <c r="CD151" i="13"/>
  <c r="CD144" i="16" s="1"/>
  <c r="CE150" i="13"/>
  <c r="CC102" i="13"/>
  <c r="CD79" i="13"/>
  <c r="CD108" i="13"/>
  <c r="CD115" i="13" s="1"/>
  <c r="CD87" i="13"/>
  <c r="CD16" i="13"/>
  <c r="CD77" i="13"/>
  <c r="CD78" i="13"/>
  <c r="CD82" i="13"/>
  <c r="CD93" i="13" s="1"/>
  <c r="CD84" i="13"/>
  <c r="CD95" i="13" s="1"/>
  <c r="CD83" i="13"/>
  <c r="CD94" i="13" s="1"/>
  <c r="CE10" i="13"/>
  <c r="CE149" i="13" s="1"/>
  <c r="CE67" i="13"/>
  <c r="CE74" i="13" s="1"/>
  <c r="CE99" i="13"/>
  <c r="CE9" i="13"/>
  <c r="CE7" i="13"/>
  <c r="CE20" i="13" a="1"/>
  <c r="CE23" i="13" a="1"/>
  <c r="CE27" i="13" a="1"/>
  <c r="CE25" i="13" a="1"/>
  <c r="CE24" i="13" a="1"/>
  <c r="CE29" i="13" a="1"/>
  <c r="CE21" i="13" a="1"/>
  <c r="CE26" i="13" a="1"/>
  <c r="CE19" i="13" a="1"/>
  <c r="CE28" i="13" a="1"/>
  <c r="CE22" i="13" a="1"/>
  <c r="CE18" i="13" a="1"/>
  <c r="CD18" i="16" l="1"/>
  <c r="CE151" i="13"/>
  <c r="CE144" i="16" s="1"/>
  <c r="CC104" i="13"/>
  <c r="CF150" i="13"/>
  <c r="CD89" i="13"/>
  <c r="CD113" i="13"/>
  <c r="CD117" i="13"/>
  <c r="CD111" i="13"/>
  <c r="CD118" i="13"/>
  <c r="CD116" i="13"/>
  <c r="CD120" i="13"/>
  <c r="CD119" i="13"/>
  <c r="CD122" i="13"/>
  <c r="CD114" i="13"/>
  <c r="CD112" i="13"/>
  <c r="CD121" i="13"/>
  <c r="CE21" i="13"/>
  <c r="CE22" i="13"/>
  <c r="CE20" i="13"/>
  <c r="CE26" i="13"/>
  <c r="CE23" i="13"/>
  <c r="CE29" i="13"/>
  <c r="CE25" i="13"/>
  <c r="CE18" i="13"/>
  <c r="CE28" i="13"/>
  <c r="CE24" i="13"/>
  <c r="CE19" i="13"/>
  <c r="CE27" i="13"/>
  <c r="CD100" i="13"/>
  <c r="CD90" i="13"/>
  <c r="CD91" i="13"/>
  <c r="CD88" i="13"/>
  <c r="CD101" i="13"/>
  <c r="CF6" i="13"/>
  <c r="CE107" i="13"/>
  <c r="CE54" i="13"/>
  <c r="CE60" i="13"/>
  <c r="CE56" i="13"/>
  <c r="CE59" i="13"/>
  <c r="CE58" i="13"/>
  <c r="CE55" i="13"/>
  <c r="CE61" i="13"/>
  <c r="CE57" i="13"/>
  <c r="CE73" i="13"/>
  <c r="CE79" i="13" s="1"/>
  <c r="CE80" i="13"/>
  <c r="CE13" i="13"/>
  <c r="CE92" i="13"/>
  <c r="CE15" i="13"/>
  <c r="CE72" i="13"/>
  <c r="CE63" i="13" l="1"/>
  <c r="CE143" i="13" s="1"/>
  <c r="CE74" i="16"/>
  <c r="CD96" i="13"/>
  <c r="CE108" i="13"/>
  <c r="CE113" i="13" s="1"/>
  <c r="CD102" i="13"/>
  <c r="CE83" i="13"/>
  <c r="CE94" i="13" s="1"/>
  <c r="CE78" i="13"/>
  <c r="CE82" i="13"/>
  <c r="CE93" i="13" s="1"/>
  <c r="CE84" i="13"/>
  <c r="CE95" i="13" s="1"/>
  <c r="CE77" i="13"/>
  <c r="CE87" i="13"/>
  <c r="CE16" i="13"/>
  <c r="CF7" i="13"/>
  <c r="CF9" i="13"/>
  <c r="CF67" i="13"/>
  <c r="CF10" i="13"/>
  <c r="CF149" i="13" s="1"/>
  <c r="CF151" i="13" s="1"/>
  <c r="CF144" i="16" s="1"/>
  <c r="CF99" i="13"/>
  <c r="CF22" i="13" a="1"/>
  <c r="CF25" i="13" a="1"/>
  <c r="CF23" i="13" a="1"/>
  <c r="CF24" i="13" a="1"/>
  <c r="CF28" i="13" a="1"/>
  <c r="CF27" i="13" a="1"/>
  <c r="CF26" i="13" a="1"/>
  <c r="CF19" i="13" a="1"/>
  <c r="CF29" i="13" a="1"/>
  <c r="CF18" i="13" a="1"/>
  <c r="CF21" i="13" a="1"/>
  <c r="CF20" i="13" a="1"/>
  <c r="CE18" i="16" l="1"/>
  <c r="CG150" i="13"/>
  <c r="CE118" i="13"/>
  <c r="CE116" i="13"/>
  <c r="CD104" i="13"/>
  <c r="CE119" i="13"/>
  <c r="CE121" i="13"/>
  <c r="CE120" i="13"/>
  <c r="CE117" i="13"/>
  <c r="CE122" i="13"/>
  <c r="CE112" i="13"/>
  <c r="CF26" i="13"/>
  <c r="CF24" i="13"/>
  <c r="CF28" i="13"/>
  <c r="CF23" i="13"/>
  <c r="CF20" i="13"/>
  <c r="CF18" i="13"/>
  <c r="CF29" i="13"/>
  <c r="CF22" i="13"/>
  <c r="CF19" i="13"/>
  <c r="CF27" i="13"/>
  <c r="CF21" i="13"/>
  <c r="CF25" i="13"/>
  <c r="CE89" i="13"/>
  <c r="CF73" i="13"/>
  <c r="CF74" i="13"/>
  <c r="CF72" i="13"/>
  <c r="CE100" i="13"/>
  <c r="CE91" i="13"/>
  <c r="CE90" i="13"/>
  <c r="CE101" i="13"/>
  <c r="CF60" i="13"/>
  <c r="CF61" i="13"/>
  <c r="CF55" i="13"/>
  <c r="CF56" i="13"/>
  <c r="CF59" i="13"/>
  <c r="CF58" i="13"/>
  <c r="CF54" i="13"/>
  <c r="CF57" i="13"/>
  <c r="CE88" i="13"/>
  <c r="CE114" i="13"/>
  <c r="CF13" i="13"/>
  <c r="CF92" i="13"/>
  <c r="CF107" i="13"/>
  <c r="CG6" i="13"/>
  <c r="CF15" i="13"/>
  <c r="CE115" i="13"/>
  <c r="CE111" i="13"/>
  <c r="CF63" i="13" l="1"/>
  <c r="CF143" i="13" s="1"/>
  <c r="CF74" i="16"/>
  <c r="CE96" i="13"/>
  <c r="CG7" i="13"/>
  <c r="CG10" i="13"/>
  <c r="CG9" i="13"/>
  <c r="CG99" i="13"/>
  <c r="CG67" i="13"/>
  <c r="CG72" i="13" s="1"/>
  <c r="CE102" i="13"/>
  <c r="CF77" i="13"/>
  <c r="CF84" i="13"/>
  <c r="CF95" i="13" s="1"/>
  <c r="CF82" i="13"/>
  <c r="CF93" i="13" s="1"/>
  <c r="CF78" i="13"/>
  <c r="CF83" i="13"/>
  <c r="CF94" i="13" s="1"/>
  <c r="CF80" i="13"/>
  <c r="CF79" i="13"/>
  <c r="CF108" i="13"/>
  <c r="CF118" i="13" s="1"/>
  <c r="CF87" i="13"/>
  <c r="CF16" i="13"/>
  <c r="CG29" i="13" a="1"/>
  <c r="CG22" i="13" a="1"/>
  <c r="CG19" i="13" a="1"/>
  <c r="CG28" i="13" a="1"/>
  <c r="CG23" i="13" a="1"/>
  <c r="CG25" i="13" a="1"/>
  <c r="CG24" i="13" a="1"/>
  <c r="CG20" i="13" a="1"/>
  <c r="CG21" i="13" a="1"/>
  <c r="CG27" i="13" a="1"/>
  <c r="CG26" i="13" a="1"/>
  <c r="CG18" i="13" a="1"/>
  <c r="CF18" i="16" l="1"/>
  <c r="CG74" i="13"/>
  <c r="CG80" i="13" s="1"/>
  <c r="CG15" i="13"/>
  <c r="CG149" i="13"/>
  <c r="CF113" i="13"/>
  <c r="CG73" i="13"/>
  <c r="CG79" i="13" s="1"/>
  <c r="CF119" i="13"/>
  <c r="CF116" i="13"/>
  <c r="CF115" i="13"/>
  <c r="CE104" i="13"/>
  <c r="CF112" i="13"/>
  <c r="CF114" i="13"/>
  <c r="CF120" i="13"/>
  <c r="CF117" i="13"/>
  <c r="CF122" i="13"/>
  <c r="CF111" i="13"/>
  <c r="CG27" i="13"/>
  <c r="CG23" i="13"/>
  <c r="CG26" i="13"/>
  <c r="CG25" i="13"/>
  <c r="CG21" i="13"/>
  <c r="CG28" i="13"/>
  <c r="CG19" i="13"/>
  <c r="CG20" i="13"/>
  <c r="CG18" i="13"/>
  <c r="CG29" i="13"/>
  <c r="CG24" i="13"/>
  <c r="CG22" i="13"/>
  <c r="CG107" i="13"/>
  <c r="CH6" i="13"/>
  <c r="CF101" i="13"/>
  <c r="CF91" i="13"/>
  <c r="CF90" i="13"/>
  <c r="CF88" i="13"/>
  <c r="CF100" i="13"/>
  <c r="CG84" i="13"/>
  <c r="CG95" i="13" s="1"/>
  <c r="CG78" i="13"/>
  <c r="CG82" i="13"/>
  <c r="CG93" i="13" s="1"/>
  <c r="CG83" i="13"/>
  <c r="CG94" i="13" s="1"/>
  <c r="CG77" i="13"/>
  <c r="CG58" i="13"/>
  <c r="CG60" i="13"/>
  <c r="CG54" i="13"/>
  <c r="CG59" i="13"/>
  <c r="CG57" i="13"/>
  <c r="CG55" i="13"/>
  <c r="CG56" i="13"/>
  <c r="CG61" i="13"/>
  <c r="CF121" i="13"/>
  <c r="CF89" i="13"/>
  <c r="CG92" i="13"/>
  <c r="CG13" i="13"/>
  <c r="CG63" i="13" l="1"/>
  <c r="CG143" i="13" s="1"/>
  <c r="CG74" i="16"/>
  <c r="CG151" i="13"/>
  <c r="CG144" i="16" s="1"/>
  <c r="CH150" i="13"/>
  <c r="CF96" i="13"/>
  <c r="CH7" i="13"/>
  <c r="CH10" i="13"/>
  <c r="CH149" i="13" s="1"/>
  <c r="CH99" i="13"/>
  <c r="CH67" i="13"/>
  <c r="CH9" i="13"/>
  <c r="CF102" i="13"/>
  <c r="CG87" i="13"/>
  <c r="CG16" i="13"/>
  <c r="CG108" i="13"/>
  <c r="CG122" i="13" s="1"/>
  <c r="CH22" i="13" a="1"/>
  <c r="CH25" i="13" a="1"/>
  <c r="CH21" i="13" a="1"/>
  <c r="CH19" i="13" a="1"/>
  <c r="CH24" i="13" a="1"/>
  <c r="CH28" i="13" a="1"/>
  <c r="CH20" i="13" a="1"/>
  <c r="CH27" i="13" a="1"/>
  <c r="CH23" i="13" a="1"/>
  <c r="CH29" i="13" a="1"/>
  <c r="CH26" i="13" a="1"/>
  <c r="CH18" i="13" a="1"/>
  <c r="CG18" i="16" l="1"/>
  <c r="CG120" i="13"/>
  <c r="CH151" i="13"/>
  <c r="CH144" i="16" s="1"/>
  <c r="CI150" i="13"/>
  <c r="CG121" i="13"/>
  <c r="CG117" i="13"/>
  <c r="CF104" i="13"/>
  <c r="CG118" i="13"/>
  <c r="CG111" i="13"/>
  <c r="CH23" i="13"/>
  <c r="CH20" i="13"/>
  <c r="CH24" i="13"/>
  <c r="CH26" i="13"/>
  <c r="CH21" i="13"/>
  <c r="CH27" i="13"/>
  <c r="CH19" i="13"/>
  <c r="CH28" i="13"/>
  <c r="CH22" i="13"/>
  <c r="CH29" i="13"/>
  <c r="CH25" i="13"/>
  <c r="CH18" i="13"/>
  <c r="CG112" i="13"/>
  <c r="CH59" i="13"/>
  <c r="CH57" i="13"/>
  <c r="CH55" i="13"/>
  <c r="CH54" i="13"/>
  <c r="CH58" i="13"/>
  <c r="CH60" i="13"/>
  <c r="CH61" i="13"/>
  <c r="CH56" i="13"/>
  <c r="CG113" i="13"/>
  <c r="CG101" i="13"/>
  <c r="CG90" i="13"/>
  <c r="CG88" i="13"/>
  <c r="CG89" i="13"/>
  <c r="CG91" i="13"/>
  <c r="CG100" i="13"/>
  <c r="CH72" i="13"/>
  <c r="CH73" i="13"/>
  <c r="CH74" i="13"/>
  <c r="CG114" i="13"/>
  <c r="CH13" i="13"/>
  <c r="CH92" i="13"/>
  <c r="CH15" i="13"/>
  <c r="CG115" i="13"/>
  <c r="CH107" i="13"/>
  <c r="CI6" i="13"/>
  <c r="CG116" i="13"/>
  <c r="CG119" i="13"/>
  <c r="CH63" i="13" l="1"/>
  <c r="CH143" i="13" s="1"/>
  <c r="CH74" i="16"/>
  <c r="CG96" i="13"/>
  <c r="CG102" i="13"/>
  <c r="CH77" i="13"/>
  <c r="CH78" i="13"/>
  <c r="CH83" i="13"/>
  <c r="CH94" i="13" s="1"/>
  <c r="CH84" i="13"/>
  <c r="CH95" i="13" s="1"/>
  <c r="CH82" i="13"/>
  <c r="CH93" i="13" s="1"/>
  <c r="CH80" i="13"/>
  <c r="CI9" i="13"/>
  <c r="CI67" i="13"/>
  <c r="CI72" i="13" s="1"/>
  <c r="CI10" i="13"/>
  <c r="CI149" i="13" s="1"/>
  <c r="CI151" i="13" s="1"/>
  <c r="CI144" i="16" s="1"/>
  <c r="CI99" i="13"/>
  <c r="CI7" i="13"/>
  <c r="CH108" i="13"/>
  <c r="CH111" i="13" s="1"/>
  <c r="CH87" i="13"/>
  <c r="CH16" i="13"/>
  <c r="CH79" i="13"/>
  <c r="CI18" i="13" a="1"/>
  <c r="CI23" i="13" a="1"/>
  <c r="CI24" i="13" a="1"/>
  <c r="CI25" i="13" a="1"/>
  <c r="CI28" i="13" a="1"/>
  <c r="CI26" i="13" a="1"/>
  <c r="CI21" i="13" a="1"/>
  <c r="CI27" i="13" a="1"/>
  <c r="CI22" i="13" a="1"/>
  <c r="CI29" i="13" a="1"/>
  <c r="CI19" i="13" a="1"/>
  <c r="CI20" i="13" a="1"/>
  <c r="CH18" i="16" l="1"/>
  <c r="CJ150" i="13"/>
  <c r="CH116" i="13"/>
  <c r="CH120" i="13"/>
  <c r="CH117" i="13"/>
  <c r="CH121" i="13"/>
  <c r="CH115" i="13"/>
  <c r="CH114" i="13"/>
  <c r="CI73" i="13"/>
  <c r="CI79" i="13" s="1"/>
  <c r="CH118" i="13"/>
  <c r="CI74" i="13"/>
  <c r="CI80" i="13" s="1"/>
  <c r="CG104" i="13"/>
  <c r="CI24" i="13"/>
  <c r="CI20" i="13"/>
  <c r="CI22" i="13"/>
  <c r="CI19" i="13"/>
  <c r="CI23" i="13"/>
  <c r="CI21" i="13"/>
  <c r="CI18" i="13"/>
  <c r="CI26" i="13"/>
  <c r="CI27" i="13"/>
  <c r="CI29" i="13"/>
  <c r="CI28" i="13"/>
  <c r="CI25" i="13"/>
  <c r="CJ6" i="13"/>
  <c r="CI107" i="13"/>
  <c r="CI92" i="13"/>
  <c r="CI13" i="13"/>
  <c r="CH101" i="13"/>
  <c r="CH90" i="13"/>
  <c r="CH88" i="13"/>
  <c r="CH89" i="13"/>
  <c r="CH91" i="13"/>
  <c r="CH100" i="13"/>
  <c r="CH112" i="13"/>
  <c r="CI77" i="13"/>
  <c r="CI82" i="13"/>
  <c r="CI93" i="13" s="1"/>
  <c r="CI84" i="13"/>
  <c r="CI95" i="13" s="1"/>
  <c r="CI78" i="13"/>
  <c r="CI83" i="13"/>
  <c r="CI94" i="13" s="1"/>
  <c r="CI15" i="13"/>
  <c r="CH113" i="13"/>
  <c r="CI59" i="13"/>
  <c r="CI61" i="13"/>
  <c r="CI58" i="13"/>
  <c r="CI55" i="13"/>
  <c r="CI54" i="13"/>
  <c r="CI57" i="13"/>
  <c r="CI60" i="13"/>
  <c r="CI56" i="13"/>
  <c r="CH119" i="13"/>
  <c r="CH122" i="13"/>
  <c r="CI63" i="13" l="1"/>
  <c r="CI143" i="13" s="1"/>
  <c r="CI74" i="16"/>
  <c r="CH102" i="13"/>
  <c r="CH96" i="13"/>
  <c r="CI87" i="13"/>
  <c r="CI16" i="13"/>
  <c r="CI108" i="13"/>
  <c r="CI120" i="13" s="1"/>
  <c r="CJ9" i="13"/>
  <c r="CJ10" i="13"/>
  <c r="CJ7" i="13"/>
  <c r="CJ67" i="13"/>
  <c r="CJ99" i="13"/>
  <c r="CJ24" i="13" a="1"/>
  <c r="CJ28" i="13" a="1"/>
  <c r="CJ25" i="13" a="1"/>
  <c r="CJ26" i="13" a="1"/>
  <c r="CJ23" i="13" a="1"/>
  <c r="CJ29" i="13" a="1"/>
  <c r="CJ21" i="13" a="1"/>
  <c r="CJ19" i="13" a="1"/>
  <c r="CJ27" i="13" a="1"/>
  <c r="CJ18" i="13" a="1"/>
  <c r="CJ20" i="13" a="1"/>
  <c r="CJ22" i="13" a="1"/>
  <c r="CI18" i="16" l="1"/>
  <c r="CH104" i="13"/>
  <c r="CJ15" i="13"/>
  <c r="CJ149" i="13"/>
  <c r="CI118" i="13"/>
  <c r="CI114" i="13"/>
  <c r="CI112" i="13"/>
  <c r="CI117" i="13"/>
  <c r="CI121" i="13"/>
  <c r="CI116" i="13"/>
  <c r="CI122" i="13"/>
  <c r="CI115" i="13"/>
  <c r="CI113" i="13"/>
  <c r="CJ25" i="13"/>
  <c r="CJ22" i="13"/>
  <c r="CJ23" i="13"/>
  <c r="CJ28" i="13"/>
  <c r="CJ18" i="13"/>
  <c r="CJ21" i="13"/>
  <c r="CJ20" i="13"/>
  <c r="CJ19" i="13"/>
  <c r="CJ27" i="13"/>
  <c r="CJ24" i="13"/>
  <c r="CJ26" i="13"/>
  <c r="CJ29" i="13"/>
  <c r="CJ72" i="13"/>
  <c r="CJ73" i="13"/>
  <c r="CJ74" i="13"/>
  <c r="CJ107" i="13"/>
  <c r="CK6" i="13"/>
  <c r="CJ13" i="13"/>
  <c r="CJ92" i="13"/>
  <c r="CI119" i="13"/>
  <c r="CJ55" i="13"/>
  <c r="CJ60" i="13"/>
  <c r="CJ57" i="13"/>
  <c r="CJ54" i="13"/>
  <c r="CJ58" i="13"/>
  <c r="CJ56" i="13"/>
  <c r="CJ59" i="13"/>
  <c r="CJ61" i="13"/>
  <c r="CI111" i="13"/>
  <c r="CI100" i="13"/>
  <c r="CI88" i="13"/>
  <c r="CI90" i="13"/>
  <c r="CI89" i="13"/>
  <c r="CI91" i="13"/>
  <c r="CI101" i="13"/>
  <c r="CJ63" i="13" l="1"/>
  <c r="CJ143" i="13" s="1"/>
  <c r="CJ74" i="16"/>
  <c r="CJ151" i="13"/>
  <c r="CJ144" i="16" s="1"/>
  <c r="CK150" i="13"/>
  <c r="CI102" i="13"/>
  <c r="CI96" i="13"/>
  <c r="CJ80" i="13"/>
  <c r="CJ87" i="13"/>
  <c r="CJ16" i="13"/>
  <c r="CJ79" i="13"/>
  <c r="CJ77" i="13"/>
  <c r="CJ84" i="13"/>
  <c r="CJ95" i="13" s="1"/>
  <c r="CJ78" i="13"/>
  <c r="CJ82" i="13"/>
  <c r="CJ93" i="13" s="1"/>
  <c r="CJ83" i="13"/>
  <c r="CJ94" i="13" s="1"/>
  <c r="CK9" i="13"/>
  <c r="CK10" i="13"/>
  <c r="CK149" i="13" s="1"/>
  <c r="CK67" i="13"/>
  <c r="CK72" i="13" s="1"/>
  <c r="CK7" i="13"/>
  <c r="CK99" i="13"/>
  <c r="CJ108" i="13"/>
  <c r="CJ121" i="13" s="1"/>
  <c r="CK28" i="13" a="1"/>
  <c r="CK25" i="13" a="1"/>
  <c r="CK23" i="13" a="1"/>
  <c r="CK24" i="13" a="1"/>
  <c r="CK19" i="13" a="1"/>
  <c r="CK21" i="13" a="1"/>
  <c r="CK26" i="13" a="1"/>
  <c r="CK22" i="13" a="1"/>
  <c r="CK18" i="13" a="1"/>
  <c r="CK29" i="13" a="1"/>
  <c r="CK20" i="13" a="1"/>
  <c r="CK27" i="13" a="1"/>
  <c r="CK151" i="13" l="1"/>
  <c r="CK144" i="16" s="1"/>
  <c r="CJ18" i="16"/>
  <c r="CI104" i="13"/>
  <c r="CJ112" i="13"/>
  <c r="CL150" i="13"/>
  <c r="CJ117" i="13"/>
  <c r="CJ114" i="13"/>
  <c r="CJ115" i="13"/>
  <c r="CJ118" i="13"/>
  <c r="CJ111" i="13"/>
  <c r="CJ119" i="13"/>
  <c r="CJ122" i="13"/>
  <c r="CJ120" i="13"/>
  <c r="CK29" i="13"/>
  <c r="CK27" i="13"/>
  <c r="CK25" i="13"/>
  <c r="CK28" i="13"/>
  <c r="CK21" i="13"/>
  <c r="CK20" i="13"/>
  <c r="CK26" i="13"/>
  <c r="CK24" i="13"/>
  <c r="CK18" i="13"/>
  <c r="CK22" i="13"/>
  <c r="CK23" i="13"/>
  <c r="CK19" i="13"/>
  <c r="CK59" i="13"/>
  <c r="CK57" i="13"/>
  <c r="CK58" i="13"/>
  <c r="CK60" i="13"/>
  <c r="CK56" i="13"/>
  <c r="CK54" i="13"/>
  <c r="CK55" i="13"/>
  <c r="CK61" i="13"/>
  <c r="CJ113" i="13"/>
  <c r="CK74" i="13"/>
  <c r="CK73" i="13"/>
  <c r="CK107" i="13"/>
  <c r="CL6" i="13"/>
  <c r="CJ101" i="13"/>
  <c r="CJ88" i="13"/>
  <c r="CJ89" i="13"/>
  <c r="CJ91" i="13"/>
  <c r="CJ90" i="13"/>
  <c r="CJ100" i="13"/>
  <c r="CJ116" i="13"/>
  <c r="CK82" i="13"/>
  <c r="CK93" i="13" s="1"/>
  <c r="CK78" i="13"/>
  <c r="CK83" i="13"/>
  <c r="CK94" i="13" s="1"/>
  <c r="CK77" i="13"/>
  <c r="CK84" i="13"/>
  <c r="CK95" i="13" s="1"/>
  <c r="CK92" i="13"/>
  <c r="CK13" i="13"/>
  <c r="CK15" i="13"/>
  <c r="CK63" i="13" l="1"/>
  <c r="CK143" i="13" s="1"/>
  <c r="CK74" i="16"/>
  <c r="CJ102" i="13"/>
  <c r="CJ96" i="13"/>
  <c r="CK79" i="13"/>
  <c r="CK87" i="13"/>
  <c r="CK16" i="13"/>
  <c r="CL7" i="13"/>
  <c r="CL99" i="13"/>
  <c r="CL10" i="13"/>
  <c r="CL67" i="13"/>
  <c r="CL72" i="13" s="1"/>
  <c r="CL9" i="13"/>
  <c r="CK108" i="13"/>
  <c r="CK120" i="13" s="1"/>
  <c r="CK80" i="13"/>
  <c r="CL26" i="13" a="1"/>
  <c r="CL27" i="13" a="1"/>
  <c r="CL18" i="13" a="1"/>
  <c r="CL25" i="13" a="1"/>
  <c r="CL23" i="13" a="1"/>
  <c r="CL28" i="13" a="1"/>
  <c r="CL24" i="13" a="1"/>
  <c r="CL19" i="13" a="1"/>
  <c r="CL22" i="13" a="1"/>
  <c r="CL21" i="13" a="1"/>
  <c r="CL29" i="13" a="1"/>
  <c r="CL20" i="13" a="1"/>
  <c r="CK18" i="16" l="1"/>
  <c r="CL15" i="13"/>
  <c r="CL149" i="13"/>
  <c r="CJ104" i="13"/>
  <c r="CK116" i="13"/>
  <c r="CK118" i="13"/>
  <c r="CL74" i="13"/>
  <c r="CL80" i="13" s="1"/>
  <c r="CL29" i="13"/>
  <c r="CL20" i="13"/>
  <c r="CL24" i="13"/>
  <c r="CL18" i="13"/>
  <c r="CL25" i="13"/>
  <c r="CL22" i="13"/>
  <c r="CL27" i="13"/>
  <c r="CL21" i="13"/>
  <c r="CL26" i="13"/>
  <c r="CL19" i="13"/>
  <c r="CL28" i="13"/>
  <c r="CL23" i="13"/>
  <c r="CK115" i="13"/>
  <c r="CK122" i="13"/>
  <c r="CK119" i="13"/>
  <c r="CL107" i="13"/>
  <c r="CM6" i="13"/>
  <c r="CK112" i="13"/>
  <c r="CK101" i="13"/>
  <c r="CK89" i="13"/>
  <c r="CK90" i="13"/>
  <c r="CK88" i="13"/>
  <c r="CK91" i="13"/>
  <c r="CK100" i="13"/>
  <c r="CK117" i="13"/>
  <c r="CL73" i="13"/>
  <c r="CK114" i="13"/>
  <c r="CL59" i="13"/>
  <c r="CL61" i="13"/>
  <c r="CL58" i="13"/>
  <c r="CL60" i="13"/>
  <c r="CL57" i="13"/>
  <c r="CL55" i="13"/>
  <c r="CL56" i="13"/>
  <c r="CL54" i="13"/>
  <c r="CK113" i="13"/>
  <c r="CL77" i="13"/>
  <c r="CL83" i="13"/>
  <c r="CL94" i="13" s="1"/>
  <c r="CL78" i="13"/>
  <c r="CL84" i="13"/>
  <c r="CL95" i="13" s="1"/>
  <c r="CL82" i="13"/>
  <c r="CL93" i="13" s="1"/>
  <c r="CK111" i="13"/>
  <c r="CK121" i="13"/>
  <c r="CL92" i="13"/>
  <c r="CL13" i="13"/>
  <c r="CL63" i="13" l="1"/>
  <c r="CL143" i="13" s="1"/>
  <c r="CL74" i="16"/>
  <c r="CL151" i="13"/>
  <c r="CL144" i="16" s="1"/>
  <c r="CM150" i="13"/>
  <c r="CK96" i="13"/>
  <c r="CM67" i="13"/>
  <c r="CM73" i="13" s="1"/>
  <c r="CM7" i="13"/>
  <c r="CM99" i="13"/>
  <c r="CM9" i="13"/>
  <c r="CM10" i="13"/>
  <c r="CM149" i="13" s="1"/>
  <c r="CL108" i="13"/>
  <c r="CL118" i="13" s="1"/>
  <c r="CK102" i="13"/>
  <c r="CL87" i="13"/>
  <c r="CL16" i="13"/>
  <c r="CL79" i="13"/>
  <c r="CM19" i="13" a="1"/>
  <c r="CM27" i="13" a="1"/>
  <c r="CM26" i="13" a="1"/>
  <c r="CM25" i="13" a="1"/>
  <c r="CM24" i="13" a="1"/>
  <c r="CM28" i="13" a="1"/>
  <c r="CM23" i="13" a="1"/>
  <c r="CM22" i="13" a="1"/>
  <c r="CM29" i="13" a="1"/>
  <c r="CM21" i="13" a="1"/>
  <c r="CM18" i="13" a="1"/>
  <c r="CM20" i="13" a="1"/>
  <c r="CM151" i="13" l="1"/>
  <c r="CM144" i="16" s="1"/>
  <c r="CL18" i="16"/>
  <c r="CL112" i="13"/>
  <c r="CL117" i="13"/>
  <c r="CL116" i="13"/>
  <c r="CL113" i="13"/>
  <c r="CL122" i="13"/>
  <c r="CL115" i="13"/>
  <c r="CN150" i="13"/>
  <c r="CK104" i="13"/>
  <c r="CL121" i="13"/>
  <c r="CL119" i="13"/>
  <c r="CL114" i="13"/>
  <c r="CM26" i="13"/>
  <c r="CM23" i="13"/>
  <c r="CM24" i="13"/>
  <c r="CM20" i="13"/>
  <c r="CM28" i="13"/>
  <c r="CM25" i="13"/>
  <c r="CM21" i="13"/>
  <c r="CM18" i="13"/>
  <c r="CM19" i="13"/>
  <c r="CM29" i="13"/>
  <c r="CM22" i="13"/>
  <c r="CM27" i="13"/>
  <c r="CM13" i="13"/>
  <c r="CM92" i="13"/>
  <c r="CM15" i="13"/>
  <c r="CM58" i="13"/>
  <c r="CM59" i="13"/>
  <c r="CM57" i="13"/>
  <c r="CM54" i="13"/>
  <c r="CM60" i="13"/>
  <c r="CM56" i="13"/>
  <c r="CM55" i="13"/>
  <c r="CM61" i="13"/>
  <c r="CN6" i="13"/>
  <c r="CM107" i="13"/>
  <c r="CM79" i="13"/>
  <c r="CM72" i="13"/>
  <c r="CM74" i="13"/>
  <c r="CL100" i="13"/>
  <c r="CL91" i="13"/>
  <c r="CL90" i="13"/>
  <c r="CL89" i="13"/>
  <c r="CL88" i="13"/>
  <c r="CL101" i="13"/>
  <c r="CL111" i="13"/>
  <c r="CL120" i="13"/>
  <c r="CM63" i="13" l="1"/>
  <c r="CM143" i="13" s="1"/>
  <c r="CM74" i="16"/>
  <c r="CL96" i="13"/>
  <c r="CL102" i="13"/>
  <c r="CM82" i="13"/>
  <c r="CM93" i="13" s="1"/>
  <c r="CM84" i="13"/>
  <c r="CM95" i="13" s="1"/>
  <c r="CM77" i="13"/>
  <c r="CM83" i="13"/>
  <c r="CM94" i="13" s="1"/>
  <c r="CM78" i="13"/>
  <c r="CM87" i="13"/>
  <c r="CM16" i="13"/>
  <c r="CM80" i="13"/>
  <c r="CM108" i="13"/>
  <c r="CM114" i="13" s="1"/>
  <c r="CN10" i="13"/>
  <c r="CN67" i="13"/>
  <c r="CN74" i="13" s="1"/>
  <c r="CN99" i="13"/>
  <c r="CN9" i="13"/>
  <c r="CN7" i="13"/>
  <c r="CN24" i="13" a="1"/>
  <c r="CN20" i="13" a="1"/>
  <c r="CN26" i="13" a="1"/>
  <c r="CN29" i="13" a="1"/>
  <c r="CN28" i="13" a="1"/>
  <c r="CN18" i="13" a="1"/>
  <c r="CN25" i="13" a="1"/>
  <c r="CN23" i="13" a="1"/>
  <c r="CN19" i="13" a="1"/>
  <c r="CN21" i="13" a="1"/>
  <c r="CN22" i="13" a="1"/>
  <c r="CN27" i="13" a="1"/>
  <c r="CM18" i="16" l="1"/>
  <c r="CL104" i="13"/>
  <c r="CN15" i="13"/>
  <c r="CN149" i="13"/>
  <c r="CM121" i="13"/>
  <c r="CM112" i="13"/>
  <c r="CM122" i="13"/>
  <c r="CM111" i="13"/>
  <c r="CM117" i="13"/>
  <c r="CM118" i="13"/>
  <c r="CM113" i="13"/>
  <c r="CM115" i="13"/>
  <c r="CM120" i="13"/>
  <c r="CN22" i="13"/>
  <c r="CN23" i="13"/>
  <c r="CN20" i="13"/>
  <c r="CN18" i="13"/>
  <c r="CN26" i="13"/>
  <c r="CN21" i="13"/>
  <c r="CN24" i="13"/>
  <c r="CN25" i="13"/>
  <c r="CN28" i="13"/>
  <c r="CN19" i="13"/>
  <c r="CN27" i="13"/>
  <c r="CN29" i="13"/>
  <c r="CN80" i="13"/>
  <c r="CO6" i="13"/>
  <c r="CN107" i="13"/>
  <c r="CM100" i="13"/>
  <c r="CM89" i="13"/>
  <c r="CM88" i="13"/>
  <c r="CM90" i="13"/>
  <c r="CM91" i="13"/>
  <c r="CM101" i="13"/>
  <c r="CN59" i="13"/>
  <c r="CN56" i="13"/>
  <c r="CN54" i="13"/>
  <c r="CN58" i="13"/>
  <c r="CN61" i="13"/>
  <c r="CN55" i="13"/>
  <c r="CN57" i="13"/>
  <c r="CN60" i="13"/>
  <c r="CN13" i="13"/>
  <c r="CN92" i="13"/>
  <c r="CM116" i="13"/>
  <c r="CN72" i="13"/>
  <c r="CN73" i="13"/>
  <c r="CM119" i="13"/>
  <c r="CN63" i="13" l="1"/>
  <c r="CN143" i="13" s="1"/>
  <c r="CN74" i="16"/>
  <c r="CN151" i="13"/>
  <c r="CN144" i="16" s="1"/>
  <c r="CO150" i="13"/>
  <c r="CM96" i="13"/>
  <c r="CN87" i="13"/>
  <c r="CN16" i="13"/>
  <c r="CN79" i="13"/>
  <c r="CN84" i="13"/>
  <c r="CN95" i="13" s="1"/>
  <c r="CN82" i="13"/>
  <c r="CN93" i="13" s="1"/>
  <c r="CN77" i="13"/>
  <c r="CN83" i="13"/>
  <c r="CN94" i="13" s="1"/>
  <c r="CN78" i="13"/>
  <c r="CM102" i="13"/>
  <c r="CN108" i="13"/>
  <c r="CN114" i="13" s="1"/>
  <c r="CO9" i="13"/>
  <c r="CO99" i="13"/>
  <c r="CO67" i="13"/>
  <c r="CO73" i="13" s="1"/>
  <c r="CO7" i="13"/>
  <c r="CO10" i="13"/>
  <c r="CO149" i="13" s="1"/>
  <c r="CO22" i="13" a="1"/>
  <c r="CO19" i="13" a="1"/>
  <c r="CO23" i="13" a="1"/>
  <c r="CO18" i="13" a="1"/>
  <c r="CO24" i="13" a="1"/>
  <c r="CO25" i="13" a="1"/>
  <c r="CO26" i="13" a="1"/>
  <c r="CO20" i="13" a="1"/>
  <c r="CO28" i="13" a="1"/>
  <c r="CO29" i="13" a="1"/>
  <c r="CO21" i="13" a="1"/>
  <c r="CO27" i="13" a="1"/>
  <c r="CN18" i="16" l="1"/>
  <c r="CO151" i="13"/>
  <c r="CO144" i="16" s="1"/>
  <c r="CP150" i="13"/>
  <c r="CM104" i="13"/>
  <c r="CN116" i="13"/>
  <c r="CN113" i="13"/>
  <c r="CN115" i="13"/>
  <c r="CN111" i="13"/>
  <c r="CN119" i="13"/>
  <c r="CN117" i="13"/>
  <c r="CO24" i="13"/>
  <c r="CO28" i="13"/>
  <c r="CO20" i="13"/>
  <c r="CO29" i="13"/>
  <c r="CO22" i="13"/>
  <c r="CO26" i="13"/>
  <c r="CO25" i="13"/>
  <c r="CO19" i="13"/>
  <c r="CO23" i="13"/>
  <c r="CO27" i="13"/>
  <c r="CO18" i="13"/>
  <c r="CO21" i="13"/>
  <c r="CO79" i="13"/>
  <c r="CO60" i="13"/>
  <c r="CO58" i="13"/>
  <c r="CO56" i="13"/>
  <c r="CO54" i="13"/>
  <c r="CO55" i="13"/>
  <c r="CO57" i="13"/>
  <c r="CO59" i="13"/>
  <c r="CO61" i="13"/>
  <c r="CO92" i="13"/>
  <c r="CO13" i="13"/>
  <c r="CO15" i="13"/>
  <c r="CN121" i="13"/>
  <c r="CO107" i="13"/>
  <c r="CP6" i="13"/>
  <c r="CN118" i="13"/>
  <c r="CN112" i="13"/>
  <c r="CN101" i="13"/>
  <c r="CN89" i="13"/>
  <c r="CN88" i="13"/>
  <c r="CN90" i="13"/>
  <c r="CN91" i="13"/>
  <c r="CN100" i="13"/>
  <c r="CO72" i="13"/>
  <c r="CO74" i="13"/>
  <c r="CN120" i="13"/>
  <c r="CN122" i="13"/>
  <c r="CO63" i="13" l="1"/>
  <c r="CO143" i="13" s="1"/>
  <c r="CO74" i="16"/>
  <c r="CN96" i="13"/>
  <c r="CO80" i="13"/>
  <c r="CO84" i="13"/>
  <c r="CO95" i="13" s="1"/>
  <c r="CO82" i="13"/>
  <c r="CO93" i="13" s="1"/>
  <c r="CO78" i="13"/>
  <c r="CO83" i="13"/>
  <c r="CO94" i="13" s="1"/>
  <c r="CO77" i="13"/>
  <c r="CN102" i="13"/>
  <c r="CO87" i="13"/>
  <c r="CO16" i="13"/>
  <c r="CP99" i="13"/>
  <c r="CP7" i="13"/>
  <c r="CP10" i="13"/>
  <c r="CP149" i="13" s="1"/>
  <c r="CP151" i="13" s="1"/>
  <c r="CP144" i="16" s="1"/>
  <c r="CP9" i="13"/>
  <c r="CP67" i="13"/>
  <c r="CO108" i="13"/>
  <c r="CO120" i="13" s="1"/>
  <c r="CP19" i="13" a="1"/>
  <c r="CP21" i="13" a="1"/>
  <c r="CP28" i="13" a="1"/>
  <c r="CP20" i="13" a="1"/>
  <c r="CP25" i="13" a="1"/>
  <c r="CP18" i="13" a="1"/>
  <c r="CP23" i="13" a="1"/>
  <c r="CP29" i="13" a="1"/>
  <c r="CP24" i="13" a="1"/>
  <c r="CP27" i="13" a="1"/>
  <c r="CP26" i="13" a="1"/>
  <c r="CP22" i="13" a="1"/>
  <c r="CO18" i="16" l="1"/>
  <c r="CN104" i="13"/>
  <c r="CQ150" i="13"/>
  <c r="CO113" i="13"/>
  <c r="CO119" i="13"/>
  <c r="CO111" i="13"/>
  <c r="CO112" i="13"/>
  <c r="CO118" i="13"/>
  <c r="CO117" i="13"/>
  <c r="CO121" i="13"/>
  <c r="CO114" i="13"/>
  <c r="CP26" i="13"/>
  <c r="CP22" i="13"/>
  <c r="CP21" i="13"/>
  <c r="CP27" i="13"/>
  <c r="CP28" i="13"/>
  <c r="CP23" i="13"/>
  <c r="CP29" i="13"/>
  <c r="CP19" i="13"/>
  <c r="CP20" i="13"/>
  <c r="CP25" i="13"/>
  <c r="CP24" i="13"/>
  <c r="CP18" i="13"/>
  <c r="CO100" i="13"/>
  <c r="CO90" i="13"/>
  <c r="CO88" i="13"/>
  <c r="CO91" i="13"/>
  <c r="CO89" i="13"/>
  <c r="CO101" i="13"/>
  <c r="CP72" i="13"/>
  <c r="CP73" i="13"/>
  <c r="CP56" i="13"/>
  <c r="CP57" i="13"/>
  <c r="CP58" i="13"/>
  <c r="CP54" i="13"/>
  <c r="CP55" i="13"/>
  <c r="CP59" i="13"/>
  <c r="CP61" i="13"/>
  <c r="CP60" i="13"/>
  <c r="CO116" i="13"/>
  <c r="CP13" i="13"/>
  <c r="CP92" i="13"/>
  <c r="CP74" i="13"/>
  <c r="CQ6" i="13"/>
  <c r="CP107" i="13"/>
  <c r="CO115" i="13"/>
  <c r="CO122" i="13"/>
  <c r="CP15" i="13"/>
  <c r="CP63" i="13" l="1"/>
  <c r="CP143" i="13" s="1"/>
  <c r="CP74" i="16"/>
  <c r="CO96" i="13"/>
  <c r="CO102" i="13"/>
  <c r="CP108" i="13"/>
  <c r="CP122" i="13" s="1"/>
  <c r="CP87" i="13"/>
  <c r="CP16" i="13"/>
  <c r="CQ67" i="13"/>
  <c r="CQ72" i="13" s="1"/>
  <c r="CQ9" i="13"/>
  <c r="CQ99" i="13"/>
  <c r="CQ7" i="13"/>
  <c r="CQ10" i="13"/>
  <c r="CP80" i="13"/>
  <c r="CP77" i="13"/>
  <c r="CP82" i="13"/>
  <c r="CP93" i="13" s="1"/>
  <c r="CP78" i="13"/>
  <c r="CP84" i="13"/>
  <c r="CP95" i="13" s="1"/>
  <c r="CP83" i="13"/>
  <c r="CP94" i="13" s="1"/>
  <c r="CP79" i="13"/>
  <c r="CQ25" i="13" a="1"/>
  <c r="CQ27" i="13" a="1"/>
  <c r="CQ23" i="13" a="1"/>
  <c r="CQ21" i="13" a="1"/>
  <c r="CQ29" i="13" a="1"/>
  <c r="CQ22" i="13" a="1"/>
  <c r="CQ18" i="13" a="1"/>
  <c r="CQ20" i="13" a="1"/>
  <c r="CQ28" i="13" a="1"/>
  <c r="CQ24" i="13" a="1"/>
  <c r="CQ19" i="13" a="1"/>
  <c r="CQ26" i="13" a="1"/>
  <c r="CP18" i="16" l="1"/>
  <c r="CO104" i="13"/>
  <c r="CQ73" i="13"/>
  <c r="CQ79" i="13" s="1"/>
  <c r="CQ15" i="13"/>
  <c r="CQ149" i="13"/>
  <c r="CQ74" i="13"/>
  <c r="CQ80" i="13" s="1"/>
  <c r="CP114" i="13"/>
  <c r="CP112" i="13"/>
  <c r="CP120" i="13"/>
  <c r="CP121" i="13"/>
  <c r="CQ21" i="13"/>
  <c r="CQ27" i="13"/>
  <c r="CQ18" i="13"/>
  <c r="CQ24" i="13"/>
  <c r="CQ20" i="13"/>
  <c r="CQ19" i="13"/>
  <c r="CQ22" i="13"/>
  <c r="CQ26" i="13"/>
  <c r="CQ28" i="13"/>
  <c r="CQ25" i="13"/>
  <c r="CQ29" i="13"/>
  <c r="CQ23" i="13"/>
  <c r="CQ56" i="13"/>
  <c r="CQ55" i="13"/>
  <c r="CQ54" i="13"/>
  <c r="CQ59" i="13"/>
  <c r="CQ61" i="13"/>
  <c r="CQ58" i="13"/>
  <c r="CQ60" i="13"/>
  <c r="CQ57" i="13"/>
  <c r="CQ78" i="13"/>
  <c r="CQ82" i="13"/>
  <c r="CQ93" i="13" s="1"/>
  <c r="CQ77" i="13"/>
  <c r="CQ84" i="13"/>
  <c r="CQ95" i="13" s="1"/>
  <c r="CQ83" i="13"/>
  <c r="CQ94" i="13" s="1"/>
  <c r="CP119" i="13"/>
  <c r="CP101" i="13"/>
  <c r="CP90" i="13"/>
  <c r="CP88" i="13"/>
  <c r="CP91" i="13"/>
  <c r="CP89" i="13"/>
  <c r="CP100" i="13"/>
  <c r="CP115" i="13"/>
  <c r="CP117" i="13"/>
  <c r="CQ13" i="13"/>
  <c r="CQ92" i="13"/>
  <c r="CP118" i="13"/>
  <c r="CP113" i="13"/>
  <c r="CQ107" i="13"/>
  <c r="CR6" i="13"/>
  <c r="CP116" i="13"/>
  <c r="CP111" i="13"/>
  <c r="CQ63" i="13" l="1"/>
  <c r="CQ143" i="13" s="1"/>
  <c r="CQ74" i="16"/>
  <c r="CQ151" i="13"/>
  <c r="CQ144" i="16" s="1"/>
  <c r="CR150" i="13"/>
  <c r="CP96" i="13"/>
  <c r="CQ87" i="13"/>
  <c r="CQ16" i="13"/>
  <c r="CR67" i="13"/>
  <c r="CR10" i="13"/>
  <c r="CR149" i="13" s="1"/>
  <c r="CR9" i="13"/>
  <c r="CR99" i="13"/>
  <c r="CR7" i="13"/>
  <c r="CP102" i="13"/>
  <c r="CQ108" i="13"/>
  <c r="CQ122" i="13" s="1"/>
  <c r="CR27" i="13" a="1"/>
  <c r="CR20" i="13" a="1"/>
  <c r="CR25" i="13" a="1"/>
  <c r="CR22" i="13" a="1"/>
  <c r="CR26" i="13" a="1"/>
  <c r="CR19" i="13" a="1"/>
  <c r="CR24" i="13" a="1"/>
  <c r="CR18" i="13" a="1"/>
  <c r="CR28" i="13" a="1"/>
  <c r="CR21" i="13" a="1"/>
  <c r="CR29" i="13" a="1"/>
  <c r="CR23" i="13" a="1"/>
  <c r="CQ18" i="16" l="1"/>
  <c r="CP104" i="13"/>
  <c r="CQ119" i="13"/>
  <c r="CR151" i="13"/>
  <c r="CR144" i="16" s="1"/>
  <c r="CS150" i="13"/>
  <c r="CQ113" i="13"/>
  <c r="CQ117" i="13"/>
  <c r="CQ116" i="13"/>
  <c r="CQ112" i="13"/>
  <c r="CQ120" i="13"/>
  <c r="CQ114" i="13"/>
  <c r="CQ115" i="13"/>
  <c r="CR26" i="13"/>
  <c r="CR29" i="13"/>
  <c r="CR18" i="13"/>
  <c r="CR24" i="13"/>
  <c r="CR25" i="13"/>
  <c r="CR28" i="13"/>
  <c r="CR20" i="13"/>
  <c r="CR21" i="13"/>
  <c r="CR27" i="13"/>
  <c r="CR19" i="13"/>
  <c r="CR22" i="13"/>
  <c r="CR23" i="13"/>
  <c r="CS6" i="13"/>
  <c r="CR107" i="13"/>
  <c r="CR61" i="13"/>
  <c r="CR55" i="13"/>
  <c r="CR60" i="13"/>
  <c r="CR56" i="13"/>
  <c r="CR58" i="13"/>
  <c r="CR54" i="13"/>
  <c r="CR57" i="13"/>
  <c r="CR59" i="13"/>
  <c r="CR13" i="13"/>
  <c r="CR92" i="13"/>
  <c r="CR15" i="13"/>
  <c r="CR72" i="13"/>
  <c r="CR73" i="13"/>
  <c r="CR74" i="13"/>
  <c r="CQ118" i="13"/>
  <c r="CQ121" i="13"/>
  <c r="CQ100" i="13"/>
  <c r="CQ91" i="13"/>
  <c r="CQ88" i="13"/>
  <c r="CQ89" i="13"/>
  <c r="CQ90" i="13"/>
  <c r="CQ101" i="13"/>
  <c r="CQ111" i="13"/>
  <c r="CR63" i="13" l="1"/>
  <c r="CR18" i="16" s="1"/>
  <c r="CR74" i="16"/>
  <c r="CQ96" i="13"/>
  <c r="CR82" i="13"/>
  <c r="CR93" i="13" s="1"/>
  <c r="CR83" i="13"/>
  <c r="CR94" i="13" s="1"/>
  <c r="CR77" i="13"/>
  <c r="CR78" i="13"/>
  <c r="CR84" i="13"/>
  <c r="CR95" i="13" s="1"/>
  <c r="CQ102" i="13"/>
  <c r="CS7" i="13"/>
  <c r="CS67" i="13"/>
  <c r="CS72" i="13" s="1"/>
  <c r="CS99" i="13"/>
  <c r="CS10" i="13"/>
  <c r="CS149" i="13" s="1"/>
  <c r="CS151" i="13" s="1"/>
  <c r="CS144" i="16" s="1"/>
  <c r="CS9" i="13"/>
  <c r="CR87" i="13"/>
  <c r="CR16" i="13"/>
  <c r="CR108" i="13"/>
  <c r="CR121" i="13" s="1"/>
  <c r="CR80" i="13"/>
  <c r="CR79" i="13"/>
  <c r="CS22" i="13" a="1"/>
  <c r="CS24" i="13" a="1"/>
  <c r="CS20" i="13" a="1"/>
  <c r="CS19" i="13" a="1"/>
  <c r="CS27" i="13" a="1"/>
  <c r="CS28" i="13" a="1"/>
  <c r="CS25" i="13" a="1"/>
  <c r="CS29" i="13" a="1"/>
  <c r="CS26" i="13" a="1"/>
  <c r="CS21" i="13" a="1"/>
  <c r="CS23" i="13" a="1"/>
  <c r="CS18" i="13" a="1"/>
  <c r="CR143" i="13" l="1"/>
  <c r="CS73" i="13"/>
  <c r="CS79" i="13" s="1"/>
  <c r="CT150" i="13"/>
  <c r="CS74" i="13"/>
  <c r="CS80" i="13" s="1"/>
  <c r="CQ104" i="13"/>
  <c r="CR116" i="13"/>
  <c r="CR111" i="13"/>
  <c r="CR117" i="13"/>
  <c r="CS21" i="13"/>
  <c r="CS24" i="13"/>
  <c r="CS29" i="13"/>
  <c r="CS27" i="13"/>
  <c r="CS20" i="13"/>
  <c r="CS23" i="13"/>
  <c r="CS25" i="13"/>
  <c r="CS28" i="13"/>
  <c r="CS22" i="13"/>
  <c r="CS19" i="13"/>
  <c r="CS26" i="13"/>
  <c r="CS18" i="13"/>
  <c r="CR118" i="13"/>
  <c r="CS92" i="13"/>
  <c r="CS13" i="13"/>
  <c r="CR122" i="13"/>
  <c r="CS82" i="13"/>
  <c r="CS93" i="13" s="1"/>
  <c r="CS84" i="13"/>
  <c r="CS95" i="13" s="1"/>
  <c r="CS77" i="13"/>
  <c r="CS83" i="13"/>
  <c r="CS94" i="13" s="1"/>
  <c r="CS78" i="13"/>
  <c r="CS107" i="13"/>
  <c r="CT6" i="13"/>
  <c r="CR119" i="13"/>
  <c r="CR101" i="13"/>
  <c r="CR89" i="13"/>
  <c r="CR88" i="13"/>
  <c r="CR90" i="13"/>
  <c r="CR91" i="13"/>
  <c r="CR100" i="13"/>
  <c r="CR113" i="13"/>
  <c r="CR120" i="13"/>
  <c r="CR114" i="13"/>
  <c r="CS15" i="13"/>
  <c r="CR112" i="13"/>
  <c r="CR115" i="13"/>
  <c r="CS54" i="13"/>
  <c r="CS60" i="13"/>
  <c r="CS58" i="13"/>
  <c r="CS55" i="13"/>
  <c r="CS57" i="13"/>
  <c r="CS56" i="13"/>
  <c r="CS61" i="13"/>
  <c r="CS59" i="13"/>
  <c r="CS63" i="13" l="1"/>
  <c r="CS143" i="13" s="1"/>
  <c r="CS74" i="16"/>
  <c r="CR102" i="13"/>
  <c r="CR96" i="13"/>
  <c r="CS108" i="13"/>
  <c r="CS114" i="13" s="1"/>
  <c r="CT99" i="13"/>
  <c r="CT67" i="13"/>
  <c r="CT7" i="13"/>
  <c r="CT10" i="13"/>
  <c r="CT9" i="13"/>
  <c r="CS87" i="13"/>
  <c r="CS16" i="13"/>
  <c r="CT23" i="13" a="1"/>
  <c r="CT28" i="13" a="1"/>
  <c r="CT24" i="13" a="1"/>
  <c r="CT20" i="13" a="1"/>
  <c r="CT26" i="13" a="1"/>
  <c r="CT22" i="13" a="1"/>
  <c r="CT29" i="13" a="1"/>
  <c r="CT19" i="13" a="1"/>
  <c r="CT25" i="13" a="1"/>
  <c r="CT18" i="13" a="1"/>
  <c r="CT21" i="13" a="1"/>
  <c r="CT27" i="13" a="1"/>
  <c r="CS18" i="16" l="1"/>
  <c r="CT15" i="13"/>
  <c r="CT149" i="13"/>
  <c r="CR104" i="13"/>
  <c r="CS112" i="13"/>
  <c r="CS121" i="13"/>
  <c r="CS119" i="13"/>
  <c r="CS120" i="13"/>
  <c r="CS117" i="13"/>
  <c r="CS115" i="13"/>
  <c r="CS116" i="13"/>
  <c r="CS113" i="13"/>
  <c r="CS122" i="13"/>
  <c r="CT18" i="13"/>
  <c r="CT22" i="13"/>
  <c r="CT26" i="13"/>
  <c r="CT20" i="13"/>
  <c r="CT25" i="13"/>
  <c r="CT24" i="13"/>
  <c r="CT28" i="13"/>
  <c r="CT21" i="13"/>
  <c r="CT23" i="13"/>
  <c r="CT29" i="13"/>
  <c r="CT19" i="13"/>
  <c r="CT27" i="13"/>
  <c r="CS101" i="13"/>
  <c r="CS88" i="13"/>
  <c r="CS89" i="13"/>
  <c r="CS91" i="13"/>
  <c r="CS90" i="13"/>
  <c r="CS100" i="13"/>
  <c r="CT59" i="13"/>
  <c r="CT56" i="13"/>
  <c r="CT57" i="13"/>
  <c r="CT61" i="13"/>
  <c r="CT58" i="13"/>
  <c r="CT55" i="13"/>
  <c r="CT60" i="13"/>
  <c r="CT54" i="13"/>
  <c r="CT13" i="13"/>
  <c r="CT92" i="13"/>
  <c r="CT107" i="13"/>
  <c r="CU6" i="13"/>
  <c r="CT72" i="13"/>
  <c r="CT73" i="13"/>
  <c r="CT74" i="13"/>
  <c r="CS118" i="13"/>
  <c r="CS111" i="13"/>
  <c r="CT63" i="13" l="1"/>
  <c r="CT143" i="13" s="1"/>
  <c r="CT74" i="16"/>
  <c r="CT151" i="13"/>
  <c r="CT144" i="16" s="1"/>
  <c r="CU150" i="13"/>
  <c r="CS96" i="13"/>
  <c r="CU67" i="13"/>
  <c r="CU72" i="13" s="1"/>
  <c r="CU99" i="13"/>
  <c r="CU9" i="13"/>
  <c r="CU10" i="13"/>
  <c r="CU149" i="13" s="1"/>
  <c r="CU7" i="13"/>
  <c r="CT108" i="13"/>
  <c r="CT115" i="13" s="1"/>
  <c r="CT80" i="13"/>
  <c r="CS102" i="13"/>
  <c r="CT79" i="13"/>
  <c r="CT84" i="13"/>
  <c r="CT95" i="13" s="1"/>
  <c r="CT78" i="13"/>
  <c r="CT77" i="13"/>
  <c r="CT83" i="13"/>
  <c r="CT94" i="13" s="1"/>
  <c r="CT82" i="13"/>
  <c r="CT93" i="13" s="1"/>
  <c r="CT87" i="13"/>
  <c r="CT16" i="13"/>
  <c r="CU25" i="13" a="1"/>
  <c r="CU20" i="13" a="1"/>
  <c r="CU19" i="13" a="1"/>
  <c r="CU23" i="13" a="1"/>
  <c r="CU26" i="13" a="1"/>
  <c r="CU21" i="13" a="1"/>
  <c r="CU27" i="13" a="1"/>
  <c r="CU18" i="13" a="1"/>
  <c r="CU24" i="13" a="1"/>
  <c r="CU22" i="13" a="1"/>
  <c r="CU28" i="13" a="1"/>
  <c r="CU29" i="13" a="1"/>
  <c r="CU151" i="13" l="1"/>
  <c r="CU144" i="16" s="1"/>
  <c r="CT18" i="16"/>
  <c r="CT112" i="13"/>
  <c r="CV150" i="13"/>
  <c r="CU74" i="13"/>
  <c r="CU80" i="13" s="1"/>
  <c r="CS104" i="13"/>
  <c r="CU73" i="13"/>
  <c r="CU79" i="13" s="1"/>
  <c r="CT122" i="13"/>
  <c r="CT113" i="13"/>
  <c r="CT121" i="13"/>
  <c r="CU25" i="13"/>
  <c r="CU29" i="13"/>
  <c r="CU21" i="13"/>
  <c r="CU20" i="13"/>
  <c r="CU24" i="13"/>
  <c r="CU22" i="13"/>
  <c r="CU27" i="13"/>
  <c r="CU18" i="13"/>
  <c r="CU23" i="13"/>
  <c r="CU28" i="13"/>
  <c r="CU26" i="13"/>
  <c r="CU19" i="13"/>
  <c r="CT120" i="13"/>
  <c r="CV6" i="13"/>
  <c r="CU107" i="13"/>
  <c r="CU92" i="13"/>
  <c r="CU13" i="13"/>
  <c r="CU15" i="13"/>
  <c r="CT118" i="13"/>
  <c r="CU60" i="13"/>
  <c r="CU54" i="13"/>
  <c r="CU56" i="13"/>
  <c r="CU61" i="13"/>
  <c r="CU58" i="13"/>
  <c r="CU57" i="13"/>
  <c r="CU59" i="13"/>
  <c r="CU55" i="13"/>
  <c r="CT117" i="13"/>
  <c r="CT100" i="13"/>
  <c r="CT91" i="13"/>
  <c r="CT90" i="13"/>
  <c r="CT89" i="13"/>
  <c r="CT88" i="13"/>
  <c r="CT101" i="13"/>
  <c r="CT119" i="13"/>
  <c r="CT111" i="13"/>
  <c r="CU82" i="13"/>
  <c r="CU93" i="13" s="1"/>
  <c r="CU83" i="13"/>
  <c r="CU94" i="13" s="1"/>
  <c r="CU77" i="13"/>
  <c r="CU84" i="13"/>
  <c r="CU95" i="13" s="1"/>
  <c r="CU78" i="13"/>
  <c r="CT114" i="13"/>
  <c r="CT116" i="13"/>
  <c r="CU63" i="13" l="1"/>
  <c r="CU143" i="13" s="1"/>
  <c r="CU74" i="16"/>
  <c r="CT96" i="13"/>
  <c r="CT102" i="13"/>
  <c r="CU87" i="13"/>
  <c r="CU16" i="13"/>
  <c r="CU108" i="13"/>
  <c r="CU122" i="13" s="1"/>
  <c r="CV7" i="13"/>
  <c r="CV67" i="13"/>
  <c r="CV9" i="13"/>
  <c r="CV99" i="13"/>
  <c r="CV10" i="13"/>
  <c r="CV149" i="13" s="1"/>
  <c r="CV151" i="13" s="1"/>
  <c r="CV144" i="16" s="1"/>
  <c r="CV27" i="13" a="1"/>
  <c r="CV19" i="13" a="1"/>
  <c r="CV26" i="13" a="1"/>
  <c r="CV20" i="13" a="1"/>
  <c r="CV23" i="13" a="1"/>
  <c r="CV28" i="13" a="1"/>
  <c r="CV24" i="13" a="1"/>
  <c r="CV29" i="13" a="1"/>
  <c r="CV25" i="13" a="1"/>
  <c r="CV21" i="13" a="1"/>
  <c r="CV22" i="13" a="1"/>
  <c r="CV18" i="13" a="1"/>
  <c r="CU18" i="16" l="1"/>
  <c r="CW150" i="13"/>
  <c r="CT104" i="13"/>
  <c r="CU118" i="13"/>
  <c r="CU111" i="13"/>
  <c r="CU116" i="13"/>
  <c r="CU117" i="13"/>
  <c r="CU120" i="13"/>
  <c r="CU119" i="13"/>
  <c r="CU113" i="13"/>
  <c r="CU114" i="13"/>
  <c r="CU115" i="13"/>
  <c r="CU121" i="13"/>
  <c r="CV22" i="13"/>
  <c r="CV21" i="13"/>
  <c r="CV19" i="13"/>
  <c r="CV24" i="13"/>
  <c r="CV23" i="13"/>
  <c r="CV25" i="13"/>
  <c r="CV29" i="13"/>
  <c r="CV18" i="13"/>
  <c r="CV28" i="13"/>
  <c r="CV26" i="13"/>
  <c r="CV20" i="13"/>
  <c r="CV27" i="13"/>
  <c r="CV72" i="13"/>
  <c r="CV73" i="13"/>
  <c r="CV74" i="13"/>
  <c r="CU100" i="13"/>
  <c r="CU88" i="13"/>
  <c r="CU91" i="13"/>
  <c r="CU89" i="13"/>
  <c r="CU90" i="13"/>
  <c r="CU101" i="13"/>
  <c r="CW6" i="13"/>
  <c r="CV107" i="13"/>
  <c r="CV13" i="13"/>
  <c r="CV92" i="13"/>
  <c r="CV15" i="13"/>
  <c r="CV55" i="13"/>
  <c r="CV54" i="13"/>
  <c r="CV61" i="13"/>
  <c r="CV60" i="13"/>
  <c r="CV59" i="13"/>
  <c r="CV56" i="13"/>
  <c r="CV58" i="13"/>
  <c r="CV57" i="13"/>
  <c r="CU112" i="13"/>
  <c r="CV63" i="13" l="1"/>
  <c r="CV143" i="13" s="1"/>
  <c r="CV74" i="16"/>
  <c r="CU102" i="13"/>
  <c r="CU96" i="13"/>
  <c r="CW67" i="13"/>
  <c r="CW72" i="13" s="1"/>
  <c r="CW7" i="13"/>
  <c r="CW99" i="13"/>
  <c r="CW10" i="13"/>
  <c r="CW149" i="13" s="1"/>
  <c r="CW151" i="13" s="1"/>
  <c r="CW144" i="16" s="1"/>
  <c r="CW9" i="13"/>
  <c r="CV84" i="13"/>
  <c r="CV95" i="13" s="1"/>
  <c r="CV77" i="13"/>
  <c r="CV78" i="13"/>
  <c r="CV83" i="13"/>
  <c r="CV94" i="13" s="1"/>
  <c r="CV82" i="13"/>
  <c r="CV93" i="13" s="1"/>
  <c r="CV87" i="13"/>
  <c r="CV16" i="13"/>
  <c r="CV80" i="13"/>
  <c r="CV79" i="13"/>
  <c r="CV108" i="13"/>
  <c r="CV121" i="13" s="1"/>
  <c r="CW22" i="13" a="1"/>
  <c r="CW21" i="13" a="1"/>
  <c r="CW18" i="13" a="1"/>
  <c r="CW20" i="13" a="1"/>
  <c r="CW27" i="13" a="1"/>
  <c r="CW19" i="13" a="1"/>
  <c r="CW24" i="13" a="1"/>
  <c r="CW26" i="13" a="1"/>
  <c r="CW25" i="13" a="1"/>
  <c r="CW29" i="13" a="1"/>
  <c r="CW23" i="13" a="1"/>
  <c r="CW28" i="13" a="1"/>
  <c r="CU104" i="13" l="1"/>
  <c r="CV18" i="16"/>
  <c r="CX150" i="13"/>
  <c r="CW73" i="13"/>
  <c r="CW79" i="13" s="1"/>
  <c r="CV117" i="13"/>
  <c r="CV119" i="13"/>
  <c r="CV116" i="13"/>
  <c r="CW74" i="13"/>
  <c r="CW80" i="13" s="1"/>
  <c r="CV114" i="13"/>
  <c r="CV113" i="13"/>
  <c r="CV115" i="13"/>
  <c r="CV112" i="13"/>
  <c r="CV122" i="13"/>
  <c r="CV120" i="13"/>
  <c r="CV118" i="13"/>
  <c r="CV111" i="13"/>
  <c r="CW26" i="13"/>
  <c r="CW21" i="13"/>
  <c r="CW25" i="13"/>
  <c r="CW23" i="13"/>
  <c r="CW18" i="13"/>
  <c r="CW29" i="13"/>
  <c r="CW28" i="13"/>
  <c r="CW20" i="13"/>
  <c r="CW22" i="13"/>
  <c r="CW27" i="13"/>
  <c r="CW24" i="13"/>
  <c r="CW19" i="13"/>
  <c r="CW92" i="13"/>
  <c r="CW13" i="13"/>
  <c r="CX6" i="13"/>
  <c r="CW107" i="13"/>
  <c r="CW78" i="13"/>
  <c r="CW82" i="13"/>
  <c r="CW93" i="13" s="1"/>
  <c r="CW77" i="13"/>
  <c r="CW84" i="13"/>
  <c r="CW95" i="13" s="1"/>
  <c r="CW83" i="13"/>
  <c r="CW94" i="13" s="1"/>
  <c r="CW15" i="13"/>
  <c r="CV101" i="13"/>
  <c r="CV90" i="13"/>
  <c r="CV88" i="13"/>
  <c r="CV89" i="13"/>
  <c r="CV91" i="13"/>
  <c r="CV100" i="13"/>
  <c r="CW56" i="13"/>
  <c r="CW55" i="13"/>
  <c r="CW60" i="13"/>
  <c r="CW58" i="13"/>
  <c r="CW54" i="13"/>
  <c r="CW59" i="13"/>
  <c r="CW61" i="13"/>
  <c r="CW57" i="13"/>
  <c r="CW63" i="13" l="1"/>
  <c r="CW143" i="13" s="1"/>
  <c r="CW74" i="16"/>
  <c r="CV96" i="13"/>
  <c r="CV102" i="13"/>
  <c r="CW108" i="13"/>
  <c r="CW120" i="13" s="1"/>
  <c r="CW87" i="13"/>
  <c r="CW16" i="13"/>
  <c r="CX9" i="13"/>
  <c r="CX67" i="13"/>
  <c r="CX99" i="13"/>
  <c r="CX7" i="13"/>
  <c r="CX10" i="13"/>
  <c r="CX149" i="13" s="1"/>
  <c r="CX151" i="13" s="1"/>
  <c r="CX144" i="16" s="1"/>
  <c r="CX28" i="13" a="1"/>
  <c r="CX18" i="13" a="1"/>
  <c r="CX29" i="13" a="1"/>
  <c r="CX23" i="13" a="1"/>
  <c r="CX22" i="13" a="1"/>
  <c r="CX26" i="13" a="1"/>
  <c r="CX27" i="13" a="1"/>
  <c r="CX20" i="13" a="1"/>
  <c r="CX24" i="13" a="1"/>
  <c r="CX21" i="13" a="1"/>
  <c r="CX25" i="13" a="1"/>
  <c r="CX19" i="13" a="1"/>
  <c r="CW18" i="16" l="1"/>
  <c r="CV104" i="13"/>
  <c r="CY150" i="13"/>
  <c r="CW112" i="13"/>
  <c r="CW121" i="13"/>
  <c r="CW119" i="13"/>
  <c r="CW113" i="13"/>
  <c r="CW111" i="13"/>
  <c r="CX22" i="13"/>
  <c r="CX18" i="13"/>
  <c r="CX28" i="13"/>
  <c r="CX19" i="13"/>
  <c r="CX29" i="13"/>
  <c r="CX20" i="13"/>
  <c r="CX25" i="13"/>
  <c r="CX24" i="13"/>
  <c r="CX27" i="13"/>
  <c r="CX21" i="13"/>
  <c r="CX23" i="13"/>
  <c r="CX26" i="13"/>
  <c r="CX13" i="13"/>
  <c r="CX92" i="13"/>
  <c r="CX107" i="13"/>
  <c r="CY6" i="13"/>
  <c r="CW116" i="13"/>
  <c r="CW100" i="13"/>
  <c r="CW89" i="13"/>
  <c r="CW90" i="13"/>
  <c r="CW88" i="13"/>
  <c r="CW91" i="13"/>
  <c r="CW101" i="13"/>
  <c r="CX15" i="13"/>
  <c r="CX72" i="13"/>
  <c r="CX74" i="13"/>
  <c r="CX80" i="13" s="1"/>
  <c r="CX73" i="13"/>
  <c r="CW117" i="13"/>
  <c r="CX55" i="13"/>
  <c r="CX59" i="13"/>
  <c r="CX56" i="13"/>
  <c r="CX60" i="13"/>
  <c r="CX61" i="13"/>
  <c r="CX54" i="13"/>
  <c r="CX58" i="13"/>
  <c r="CX57" i="13"/>
  <c r="CW114" i="13"/>
  <c r="CW122" i="13"/>
  <c r="CW115" i="13"/>
  <c r="CW118" i="13"/>
  <c r="CX63" i="13" l="1"/>
  <c r="CX143" i="13" s="1"/>
  <c r="CX74" i="16"/>
  <c r="CW96" i="13"/>
  <c r="CX79" i="13"/>
  <c r="CX108" i="13"/>
  <c r="CX117" i="13" s="1"/>
  <c r="CX78" i="13"/>
  <c r="CX83" i="13"/>
  <c r="CX94" i="13" s="1"/>
  <c r="CX82" i="13"/>
  <c r="CX93" i="13" s="1"/>
  <c r="CX84" i="13"/>
  <c r="CX95" i="13" s="1"/>
  <c r="CX77" i="13"/>
  <c r="CY67" i="13"/>
  <c r="CY74" i="13" s="1"/>
  <c r="CY80" i="13" s="1"/>
  <c r="CY10" i="13"/>
  <c r="CY149" i="13" s="1"/>
  <c r="CY151" i="13" s="1"/>
  <c r="CY144" i="16" s="1"/>
  <c r="CY7" i="13"/>
  <c r="CY99" i="13"/>
  <c r="CY9" i="13"/>
  <c r="CW102" i="13"/>
  <c r="CX87" i="13"/>
  <c r="CX16" i="13"/>
  <c r="CY24" i="13" a="1"/>
  <c r="CY18" i="13" a="1"/>
  <c r="CY28" i="13" a="1"/>
  <c r="CY26" i="13" a="1"/>
  <c r="CY20" i="13" a="1"/>
  <c r="CY29" i="13" a="1"/>
  <c r="CY25" i="13" a="1"/>
  <c r="CY22" i="13" a="1"/>
  <c r="CY21" i="13" a="1"/>
  <c r="CY19" i="13" a="1"/>
  <c r="CY27" i="13" a="1"/>
  <c r="CY23" i="13" a="1"/>
  <c r="CX18" i="16" l="1"/>
  <c r="CX122" i="13"/>
  <c r="CX114" i="13"/>
  <c r="CX112" i="13"/>
  <c r="CX113" i="13"/>
  <c r="CX111" i="13"/>
  <c r="CZ150" i="13"/>
  <c r="CX121" i="13"/>
  <c r="CW104" i="13"/>
  <c r="CX118" i="13"/>
  <c r="CX119" i="13"/>
  <c r="CY73" i="13"/>
  <c r="CY79" i="13" s="1"/>
  <c r="CX120" i="13"/>
  <c r="CX115" i="13"/>
  <c r="CX116" i="13"/>
  <c r="CY18" i="13"/>
  <c r="CY22" i="13"/>
  <c r="CY29" i="13"/>
  <c r="CY23" i="13"/>
  <c r="CY28" i="13"/>
  <c r="CY24" i="13"/>
  <c r="CY20" i="13"/>
  <c r="CY21" i="13"/>
  <c r="CY19" i="13"/>
  <c r="CY25" i="13"/>
  <c r="CY26" i="13"/>
  <c r="CY27" i="13"/>
  <c r="CX101" i="13"/>
  <c r="CX90" i="13"/>
  <c r="CX91" i="13"/>
  <c r="CX88" i="13"/>
  <c r="CX89" i="13"/>
  <c r="CX100" i="13"/>
  <c r="CY107" i="13"/>
  <c r="CZ6" i="13"/>
  <c r="CY92" i="13"/>
  <c r="CY13" i="13"/>
  <c r="CY15" i="13"/>
  <c r="CY72" i="13"/>
  <c r="CY58" i="13"/>
  <c r="CY60" i="13"/>
  <c r="CY57" i="13"/>
  <c r="CY55" i="13"/>
  <c r="CY54" i="13"/>
  <c r="CY59" i="13"/>
  <c r="CY56" i="13"/>
  <c r="CY61" i="13"/>
  <c r="CY63" i="13" l="1"/>
  <c r="CY143" i="13" s="1"/>
  <c r="CY74" i="16"/>
  <c r="CX102" i="13"/>
  <c r="CX96" i="13"/>
  <c r="CY83" i="13"/>
  <c r="CY94" i="13" s="1"/>
  <c r="CY77" i="13"/>
  <c r="CY84" i="13"/>
  <c r="CY95" i="13" s="1"/>
  <c r="CY78" i="13"/>
  <c r="CY82" i="13"/>
  <c r="CY93" i="13" s="1"/>
  <c r="CZ10" i="13"/>
  <c r="CZ149" i="13" s="1"/>
  <c r="CZ151" i="13" s="1"/>
  <c r="CZ144" i="16" s="1"/>
  <c r="CZ9" i="13"/>
  <c r="CZ7" i="13"/>
  <c r="CZ67" i="13"/>
  <c r="CZ72" i="13" s="1"/>
  <c r="CZ99" i="13"/>
  <c r="CY87" i="13"/>
  <c r="CY16" i="13"/>
  <c r="CY108" i="13"/>
  <c r="CY122" i="13" s="1"/>
  <c r="CZ19" i="13" a="1"/>
  <c r="CZ27" i="13" a="1"/>
  <c r="CZ29" i="13" a="1"/>
  <c r="CZ26" i="13" a="1"/>
  <c r="CZ28" i="13" a="1"/>
  <c r="CZ22" i="13" a="1"/>
  <c r="CZ21" i="13" a="1"/>
  <c r="CZ18" i="13" a="1"/>
  <c r="CZ23" i="13" a="1"/>
  <c r="CZ20" i="13" a="1"/>
  <c r="CZ24" i="13" a="1"/>
  <c r="CZ25" i="13" a="1"/>
  <c r="CY18" i="16" l="1"/>
  <c r="CX104" i="13"/>
  <c r="DA150" i="13"/>
  <c r="CY118" i="13"/>
  <c r="CY89" i="13"/>
  <c r="CZ24" i="13"/>
  <c r="CZ29" i="13"/>
  <c r="CZ23" i="13"/>
  <c r="CZ26" i="13"/>
  <c r="CZ18" i="13"/>
  <c r="CZ25" i="13"/>
  <c r="CZ28" i="13"/>
  <c r="CZ27" i="13"/>
  <c r="CZ20" i="13"/>
  <c r="CZ21" i="13"/>
  <c r="CZ22" i="13"/>
  <c r="CZ19" i="13"/>
  <c r="CZ54" i="13"/>
  <c r="CZ58" i="13"/>
  <c r="CZ59" i="13"/>
  <c r="CZ57" i="13"/>
  <c r="CZ56" i="13"/>
  <c r="CZ61" i="13"/>
  <c r="CZ60" i="13"/>
  <c r="CZ55" i="13"/>
  <c r="CZ13" i="13"/>
  <c r="CZ92" i="13"/>
  <c r="CZ84" i="13"/>
  <c r="CZ95" i="13" s="1"/>
  <c r="CZ77" i="13"/>
  <c r="CZ82" i="13"/>
  <c r="CZ93" i="13" s="1"/>
  <c r="CZ78" i="13"/>
  <c r="CZ83" i="13"/>
  <c r="CZ94" i="13" s="1"/>
  <c r="CY119" i="13"/>
  <c r="CY100" i="13"/>
  <c r="CY90" i="13"/>
  <c r="CY91" i="13"/>
  <c r="CY101" i="13"/>
  <c r="CZ15" i="13"/>
  <c r="CY112" i="13"/>
  <c r="CY116" i="13"/>
  <c r="CY117" i="13"/>
  <c r="CY121" i="13"/>
  <c r="CY113" i="13"/>
  <c r="CZ74" i="13"/>
  <c r="CZ80" i="13" s="1"/>
  <c r="CZ73" i="13"/>
  <c r="CY88" i="13"/>
  <c r="CY111" i="13"/>
  <c r="CY120" i="13"/>
  <c r="CY114" i="13"/>
  <c r="CY115" i="13"/>
  <c r="CZ107" i="13"/>
  <c r="DA6" i="13"/>
  <c r="CZ63" i="13" l="1"/>
  <c r="CZ143" i="13" s="1"/>
  <c r="CZ74" i="16"/>
  <c r="CY102" i="13"/>
  <c r="CY96" i="13"/>
  <c r="CZ87" i="13"/>
  <c r="CZ88" i="13" s="1"/>
  <c r="CZ16" i="13"/>
  <c r="CZ108" i="13"/>
  <c r="CZ121" i="13" s="1"/>
  <c r="DA7" i="13"/>
  <c r="DA67" i="13"/>
  <c r="DA10" i="13"/>
  <c r="DA149" i="13" s="1"/>
  <c r="DA151" i="13" s="1"/>
  <c r="DA144" i="16" s="1"/>
  <c r="DA99" i="13"/>
  <c r="DA9" i="13"/>
  <c r="CZ79" i="13"/>
  <c r="DA19" i="13" a="1"/>
  <c r="DA18" i="13" a="1"/>
  <c r="DA20" i="13" a="1"/>
  <c r="DA23" i="13" a="1"/>
  <c r="DA21" i="13" a="1"/>
  <c r="DA25" i="13" a="1"/>
  <c r="DA28" i="13" a="1"/>
  <c r="DA29" i="13" a="1"/>
  <c r="DA26" i="13" a="1"/>
  <c r="DA27" i="13" a="1"/>
  <c r="DA22" i="13" a="1"/>
  <c r="DA24" i="13" a="1"/>
  <c r="CZ18" i="16" l="1"/>
  <c r="DB150" i="13"/>
  <c r="CY104" i="13"/>
  <c r="DA28" i="13"/>
  <c r="DA20" i="13"/>
  <c r="DA25" i="13"/>
  <c r="DA27" i="13"/>
  <c r="DA22" i="13"/>
  <c r="DA19" i="13"/>
  <c r="DA23" i="13"/>
  <c r="DA24" i="13"/>
  <c r="DA18" i="13"/>
  <c r="DA26" i="13"/>
  <c r="DA21" i="13"/>
  <c r="DA29" i="13"/>
  <c r="CZ119" i="13"/>
  <c r="CZ117" i="13"/>
  <c r="DA107" i="13"/>
  <c r="DB6" i="13"/>
  <c r="CZ120" i="13"/>
  <c r="DA15" i="13"/>
  <c r="DA13" i="13"/>
  <c r="DA92" i="13"/>
  <c r="DA74" i="13"/>
  <c r="DA80" i="13" s="1"/>
  <c r="DA72" i="13"/>
  <c r="CZ113" i="13"/>
  <c r="CZ89" i="13"/>
  <c r="CZ112" i="13"/>
  <c r="DA73" i="13"/>
  <c r="CZ116" i="13"/>
  <c r="CZ114" i="13"/>
  <c r="CZ122" i="13"/>
  <c r="CZ115" i="13"/>
  <c r="DA54" i="13"/>
  <c r="DA60" i="13"/>
  <c r="DA59" i="13"/>
  <c r="DA58" i="13"/>
  <c r="DA55" i="13"/>
  <c r="DA57" i="13"/>
  <c r="DA56" i="13"/>
  <c r="DA61" i="13"/>
  <c r="CZ118" i="13"/>
  <c r="CZ111" i="13"/>
  <c r="CZ101" i="13"/>
  <c r="CZ91" i="13"/>
  <c r="CZ90" i="13"/>
  <c r="CZ100" i="13"/>
  <c r="DA63" i="13" l="1"/>
  <c r="DA143" i="13" s="1"/>
  <c r="DA74" i="16"/>
  <c r="CZ96" i="13"/>
  <c r="DA77" i="13"/>
  <c r="DA84" i="13"/>
  <c r="DA95" i="13" s="1"/>
  <c r="DA83" i="13"/>
  <c r="DA94" i="13" s="1"/>
  <c r="DA78" i="13"/>
  <c r="DA82" i="13"/>
  <c r="DA93" i="13" s="1"/>
  <c r="DB99" i="13"/>
  <c r="DB7" i="13"/>
  <c r="DB10" i="13"/>
  <c r="DB9" i="13"/>
  <c r="DB67" i="13"/>
  <c r="DB74" i="13" s="1"/>
  <c r="DB80" i="13" s="1"/>
  <c r="DA79" i="13"/>
  <c r="DA108" i="13"/>
  <c r="DA118" i="13" s="1"/>
  <c r="CZ102" i="13"/>
  <c r="DA87" i="13"/>
  <c r="DA16" i="13"/>
  <c r="DB25" i="13" a="1"/>
  <c r="DB21" i="13" a="1"/>
  <c r="DB22" i="13" a="1"/>
  <c r="DB27" i="13" a="1"/>
  <c r="DB24" i="13" a="1"/>
  <c r="DB29" i="13" a="1"/>
  <c r="DB19" i="13" a="1"/>
  <c r="DB20" i="13" a="1"/>
  <c r="DB28" i="13" a="1"/>
  <c r="DB26" i="13" a="1"/>
  <c r="DB23" i="13" a="1"/>
  <c r="DB18" i="13" a="1"/>
  <c r="DA18" i="16" l="1"/>
  <c r="DA115" i="13"/>
  <c r="DB15" i="13"/>
  <c r="DB149" i="13"/>
  <c r="DB73" i="13"/>
  <c r="DB79" i="13" s="1"/>
  <c r="CZ104" i="13"/>
  <c r="DA120" i="13"/>
  <c r="DA121" i="13"/>
  <c r="DB72" i="13"/>
  <c r="DB78" i="13" s="1"/>
  <c r="DB23" i="13"/>
  <c r="DB19" i="13"/>
  <c r="DB20" i="13"/>
  <c r="DB26" i="13"/>
  <c r="DB18" i="13"/>
  <c r="DB25" i="13"/>
  <c r="DB22" i="13"/>
  <c r="DB28" i="13"/>
  <c r="DB21" i="13"/>
  <c r="DB29" i="13"/>
  <c r="DB27" i="13"/>
  <c r="DB24" i="13"/>
  <c r="DA91" i="13"/>
  <c r="DA88" i="13"/>
  <c r="DA90" i="13"/>
  <c r="DA89" i="13"/>
  <c r="DA101" i="13"/>
  <c r="DA100" i="13"/>
  <c r="DA111" i="13"/>
  <c r="DA114" i="13"/>
  <c r="DA119" i="13"/>
  <c r="DA113" i="13"/>
  <c r="DA117" i="13"/>
  <c r="DA122" i="13"/>
  <c r="DB61" i="13"/>
  <c r="DB55" i="13"/>
  <c r="DB59" i="13"/>
  <c r="DB54" i="13"/>
  <c r="DB56" i="13"/>
  <c r="DB58" i="13"/>
  <c r="DB60" i="13"/>
  <c r="DB57" i="13"/>
  <c r="DA112" i="13"/>
  <c r="DA116" i="13"/>
  <c r="DB13" i="13"/>
  <c r="DB92" i="13"/>
  <c r="DC6" i="13"/>
  <c r="DB107" i="13"/>
  <c r="DB63" i="13" l="1"/>
  <c r="DB143" i="13" s="1"/>
  <c r="DB74" i="16"/>
  <c r="DB151" i="13"/>
  <c r="DB144" i="16" s="1"/>
  <c r="DC150" i="13"/>
  <c r="DA102" i="13"/>
  <c r="DB83" i="13"/>
  <c r="DB94" i="13" s="1"/>
  <c r="DB77" i="13"/>
  <c r="DB82" i="13"/>
  <c r="DB93" i="13" s="1"/>
  <c r="DB84" i="13"/>
  <c r="DB95" i="13" s="1"/>
  <c r="DA96" i="13"/>
  <c r="DB87" i="13"/>
  <c r="DB16" i="13"/>
  <c r="DB108" i="13"/>
  <c r="DB115" i="13" s="1"/>
  <c r="DC7" i="13"/>
  <c r="DC9" i="13"/>
  <c r="DC99" i="13"/>
  <c r="DC10" i="13"/>
  <c r="DC149" i="13" s="1"/>
  <c r="DC67" i="13"/>
  <c r="DC25" i="13" a="1"/>
  <c r="DC26" i="13" a="1"/>
  <c r="DC29" i="13" a="1"/>
  <c r="DC28" i="13" a="1"/>
  <c r="DC22" i="13" a="1"/>
  <c r="DC27" i="13" a="1"/>
  <c r="DC24" i="13" a="1"/>
  <c r="DC18" i="13" a="1"/>
  <c r="DC19" i="13" a="1"/>
  <c r="DC20" i="13" a="1"/>
  <c r="DC21" i="13" a="1"/>
  <c r="DC23" i="13" a="1"/>
  <c r="DC151" i="13" l="1"/>
  <c r="DC144" i="16" s="1"/>
  <c r="DB18" i="16"/>
  <c r="DA104" i="13"/>
  <c r="DB113" i="13"/>
  <c r="DB111" i="13"/>
  <c r="DD150" i="13"/>
  <c r="DB116" i="13"/>
  <c r="DB114" i="13"/>
  <c r="DB121" i="13"/>
  <c r="DB112" i="13"/>
  <c r="DC28" i="13"/>
  <c r="DC29" i="13"/>
  <c r="DC21" i="13"/>
  <c r="DC24" i="13"/>
  <c r="DC23" i="13"/>
  <c r="DC22" i="13"/>
  <c r="DC18" i="13"/>
  <c r="DC19" i="13"/>
  <c r="DC26" i="13"/>
  <c r="DC20" i="13"/>
  <c r="DC27" i="13"/>
  <c r="DC25" i="13"/>
  <c r="DC57" i="13"/>
  <c r="DC60" i="13"/>
  <c r="DC58" i="13"/>
  <c r="DC59" i="13"/>
  <c r="DC54" i="13"/>
  <c r="DC56" i="13"/>
  <c r="DC61" i="13"/>
  <c r="DC55" i="13"/>
  <c r="DC107" i="13"/>
  <c r="DD6" i="13"/>
  <c r="DB117" i="13"/>
  <c r="DB118" i="13"/>
  <c r="DB119" i="13"/>
  <c r="DB90" i="13"/>
  <c r="DB91" i="13"/>
  <c r="DB89" i="13"/>
  <c r="DB88" i="13"/>
  <c r="DB101" i="13"/>
  <c r="DB100" i="13"/>
  <c r="DC74" i="13"/>
  <c r="DC73" i="13"/>
  <c r="DC72" i="13"/>
  <c r="DC15" i="13"/>
  <c r="DC13" i="13"/>
  <c r="DC92" i="13"/>
  <c r="DB120" i="13"/>
  <c r="DB122" i="13"/>
  <c r="DC63" i="13" l="1"/>
  <c r="DC143" i="13" s="1"/>
  <c r="DC74" i="16"/>
  <c r="DB102" i="13"/>
  <c r="DB96" i="13"/>
  <c r="DC84" i="13"/>
  <c r="DC95" i="13" s="1"/>
  <c r="DC83" i="13"/>
  <c r="DC94" i="13" s="1"/>
  <c r="DC77" i="13"/>
  <c r="DC82" i="13"/>
  <c r="DC93" i="13" s="1"/>
  <c r="DC78" i="13"/>
  <c r="DC79" i="13"/>
  <c r="DD99" i="13"/>
  <c r="DD7" i="13"/>
  <c r="DD10" i="13"/>
  <c r="DD9" i="13"/>
  <c r="DD67" i="13"/>
  <c r="DD73" i="13" s="1"/>
  <c r="DC108" i="13"/>
  <c r="DC117" i="13" s="1"/>
  <c r="DC80" i="13"/>
  <c r="DC87" i="13"/>
  <c r="DC16" i="13"/>
  <c r="DD27" i="13" a="1"/>
  <c r="DD24" i="13" a="1"/>
  <c r="DD28" i="13" a="1"/>
  <c r="DD29" i="13" a="1"/>
  <c r="DD18" i="13" a="1"/>
  <c r="DD21" i="13" a="1"/>
  <c r="DD23" i="13" a="1"/>
  <c r="DD20" i="13" a="1"/>
  <c r="DD25" i="13" a="1"/>
  <c r="DD22" i="13" a="1"/>
  <c r="DD19" i="13" a="1"/>
  <c r="DD26" i="13" a="1"/>
  <c r="DC18" i="16" l="1"/>
  <c r="DC122" i="13"/>
  <c r="DD15" i="13"/>
  <c r="DD149" i="13"/>
  <c r="DC121" i="13"/>
  <c r="DC119" i="13"/>
  <c r="DB104" i="13"/>
  <c r="DD74" i="13"/>
  <c r="DD80" i="13" s="1"/>
  <c r="DC113" i="13"/>
  <c r="DD72" i="13"/>
  <c r="DD83" i="13" s="1"/>
  <c r="DD94" i="13" s="1"/>
  <c r="DC120" i="13"/>
  <c r="DD26" i="13"/>
  <c r="DD21" i="13"/>
  <c r="DD18" i="13"/>
  <c r="DD27" i="13"/>
  <c r="DD25" i="13"/>
  <c r="DD29" i="13"/>
  <c r="DD23" i="13"/>
  <c r="DD20" i="13"/>
  <c r="DD24" i="13"/>
  <c r="DD22" i="13"/>
  <c r="DD28" i="13"/>
  <c r="DD19" i="13"/>
  <c r="DD79" i="13"/>
  <c r="DD57" i="13"/>
  <c r="DD61" i="13"/>
  <c r="DD54" i="13"/>
  <c r="DD55" i="13"/>
  <c r="DD60" i="13"/>
  <c r="DD59" i="13"/>
  <c r="DD58" i="13"/>
  <c r="DD56" i="13"/>
  <c r="DC111" i="13"/>
  <c r="DC116" i="13"/>
  <c r="DD13" i="13"/>
  <c r="DD92" i="13"/>
  <c r="DE6" i="13"/>
  <c r="DD107" i="13"/>
  <c r="DC115" i="13"/>
  <c r="DC118" i="13"/>
  <c r="DC88" i="13"/>
  <c r="DC89" i="13"/>
  <c r="DC90" i="13"/>
  <c r="DC91" i="13"/>
  <c r="DC100" i="13"/>
  <c r="DC101" i="13"/>
  <c r="DC112" i="13"/>
  <c r="DC114" i="13"/>
  <c r="DD63" i="13" l="1"/>
  <c r="DD143" i="13" s="1"/>
  <c r="DD74" i="16"/>
  <c r="DD151" i="13"/>
  <c r="DD144" i="16" s="1"/>
  <c r="DE150" i="13"/>
  <c r="DD77" i="13"/>
  <c r="DC96" i="13"/>
  <c r="DD78" i="13"/>
  <c r="DD82" i="13"/>
  <c r="DD93" i="13" s="1"/>
  <c r="DC102" i="13"/>
  <c r="DD84" i="13"/>
  <c r="DD95" i="13" s="1"/>
  <c r="DD108" i="13"/>
  <c r="DD117" i="13" s="1"/>
  <c r="DE10" i="13"/>
  <c r="DE149" i="13" s="1"/>
  <c r="DE9" i="13"/>
  <c r="DE99" i="13"/>
  <c r="DE67" i="13"/>
  <c r="DE7" i="13"/>
  <c r="DD16" i="13"/>
  <c r="DD87" i="13"/>
  <c r="DE21" i="13" a="1"/>
  <c r="DE23" i="13" a="1"/>
  <c r="DE18" i="13" a="1"/>
  <c r="DE20" i="13" a="1"/>
  <c r="DE25" i="13" a="1"/>
  <c r="DE27" i="13" a="1"/>
  <c r="DE29" i="13" a="1"/>
  <c r="DE28" i="13" a="1"/>
  <c r="DE26" i="13" a="1"/>
  <c r="DE22" i="13" a="1"/>
  <c r="DE24" i="13" a="1"/>
  <c r="DE19" i="13" a="1"/>
  <c r="DD18" i="16" l="1"/>
  <c r="DE151" i="13"/>
  <c r="DE144" i="16" s="1"/>
  <c r="DF150" i="13"/>
  <c r="DC104" i="13"/>
  <c r="DD121" i="13"/>
  <c r="DD120" i="13"/>
  <c r="DD112" i="13"/>
  <c r="DD113" i="13"/>
  <c r="DD116" i="13"/>
  <c r="DD114" i="13"/>
  <c r="DD118" i="13"/>
  <c r="DD122" i="13"/>
  <c r="DE28" i="13"/>
  <c r="DE23" i="13"/>
  <c r="DE20" i="13"/>
  <c r="DE24" i="13"/>
  <c r="DE21" i="13"/>
  <c r="DE22" i="13"/>
  <c r="DE27" i="13"/>
  <c r="DE25" i="13"/>
  <c r="DE19" i="13"/>
  <c r="DE18" i="13"/>
  <c r="DE29" i="13"/>
  <c r="DE26" i="13"/>
  <c r="DE107" i="13"/>
  <c r="DF6" i="13"/>
  <c r="DE72" i="13"/>
  <c r="DE73" i="13"/>
  <c r="DE74" i="13"/>
  <c r="DE56" i="13"/>
  <c r="DE58" i="13"/>
  <c r="DE54" i="13"/>
  <c r="DE59" i="13"/>
  <c r="DE61" i="13"/>
  <c r="DE55" i="13"/>
  <c r="DE57" i="13"/>
  <c r="DE60" i="13"/>
  <c r="DD88" i="13"/>
  <c r="DD89" i="13"/>
  <c r="DD90" i="13"/>
  <c r="DD91" i="13"/>
  <c r="DD100" i="13"/>
  <c r="DD101" i="13"/>
  <c r="DE15" i="13"/>
  <c r="DE13" i="13"/>
  <c r="DE92" i="13"/>
  <c r="DD119" i="13"/>
  <c r="DD115" i="13"/>
  <c r="DD111" i="13"/>
  <c r="DE63" i="13" l="1"/>
  <c r="DE143" i="13" s="1"/>
  <c r="DE74" i="16"/>
  <c r="DD102" i="13"/>
  <c r="DD96" i="13"/>
  <c r="DE82" i="13"/>
  <c r="DE93" i="13" s="1"/>
  <c r="DE83" i="13"/>
  <c r="DE94" i="13" s="1"/>
  <c r="DE78" i="13"/>
  <c r="DE84" i="13"/>
  <c r="DE95" i="13" s="1"/>
  <c r="DE77" i="13"/>
  <c r="DE79" i="13"/>
  <c r="DF7" i="13"/>
  <c r="DF67" i="13"/>
  <c r="DF72" i="13" s="1"/>
  <c r="DF9" i="13"/>
  <c r="DF10" i="13"/>
  <c r="DF99" i="13"/>
  <c r="DE87" i="13"/>
  <c r="DE16" i="13"/>
  <c r="DE108" i="13"/>
  <c r="DE119" i="13" s="1"/>
  <c r="DE80" i="13"/>
  <c r="DF20" i="13" a="1"/>
  <c r="DF27" i="13" a="1"/>
  <c r="DF25" i="13" a="1"/>
  <c r="DF22" i="13" a="1"/>
  <c r="DF24" i="13" a="1"/>
  <c r="DF19" i="13" a="1"/>
  <c r="DF23" i="13" a="1"/>
  <c r="DF26" i="13" a="1"/>
  <c r="DF18" i="13" a="1"/>
  <c r="DF28" i="13" a="1"/>
  <c r="DF29" i="13" a="1"/>
  <c r="DF21" i="13" a="1"/>
  <c r="DE18" i="16" l="1"/>
  <c r="DF15" i="13"/>
  <c r="DF149" i="13"/>
  <c r="DF73" i="13"/>
  <c r="DF79" i="13" s="1"/>
  <c r="DD104" i="13"/>
  <c r="DE111" i="13"/>
  <c r="DF74" i="13"/>
  <c r="DF80" i="13" s="1"/>
  <c r="DE116" i="13"/>
  <c r="DE114" i="13"/>
  <c r="DE118" i="13"/>
  <c r="DE120" i="13"/>
  <c r="DE112" i="13"/>
  <c r="DE122" i="13"/>
  <c r="DE121" i="13"/>
  <c r="DE117" i="13"/>
  <c r="DF28" i="13"/>
  <c r="DF21" i="13"/>
  <c r="DF29" i="13"/>
  <c r="DF27" i="13"/>
  <c r="DF19" i="13"/>
  <c r="DF23" i="13"/>
  <c r="DF25" i="13"/>
  <c r="DF20" i="13"/>
  <c r="DF18" i="13"/>
  <c r="DF24" i="13"/>
  <c r="DF22" i="13"/>
  <c r="DF26" i="13"/>
  <c r="DF59" i="13"/>
  <c r="DF61" i="13"/>
  <c r="DF58" i="13"/>
  <c r="DF55" i="13"/>
  <c r="DF60" i="13"/>
  <c r="DF54" i="13"/>
  <c r="DF57" i="13"/>
  <c r="DF56" i="13"/>
  <c r="DF77" i="13"/>
  <c r="DF78" i="13"/>
  <c r="DF82" i="13"/>
  <c r="DF93" i="13" s="1"/>
  <c r="DF83" i="13"/>
  <c r="DF94" i="13" s="1"/>
  <c r="DF84" i="13"/>
  <c r="DF95" i="13" s="1"/>
  <c r="DF107" i="13"/>
  <c r="DG6" i="13"/>
  <c r="DE115" i="13"/>
  <c r="DE88" i="13"/>
  <c r="DE89" i="13"/>
  <c r="DE90" i="13"/>
  <c r="DE91" i="13"/>
  <c r="DE101" i="13"/>
  <c r="DE100" i="13"/>
  <c r="DE113" i="13"/>
  <c r="DF13" i="13"/>
  <c r="DF92" i="13"/>
  <c r="DF63" i="13" l="1"/>
  <c r="DF143" i="13" s="1"/>
  <c r="DF74" i="16"/>
  <c r="DF151" i="13"/>
  <c r="DF144" i="16" s="1"/>
  <c r="DG150" i="13"/>
  <c r="DE96" i="13"/>
  <c r="DE102" i="13"/>
  <c r="DF87" i="13"/>
  <c r="DF16" i="13"/>
  <c r="DF108" i="13"/>
  <c r="DF111" i="13" s="1"/>
  <c r="DG99" i="13"/>
  <c r="DG7" i="13"/>
  <c r="DG9" i="13"/>
  <c r="DG10" i="13"/>
  <c r="DG149" i="13" s="1"/>
  <c r="DG67" i="13"/>
  <c r="DG25" i="13" a="1"/>
  <c r="DG27" i="13" a="1"/>
  <c r="DG26" i="13" a="1"/>
  <c r="DG20" i="13" a="1"/>
  <c r="DG19" i="13" a="1"/>
  <c r="DG29" i="13" a="1"/>
  <c r="DG24" i="13" a="1"/>
  <c r="DG21" i="13" a="1"/>
  <c r="DG18" i="13" a="1"/>
  <c r="DG22" i="13" a="1"/>
  <c r="DG28" i="13" a="1"/>
  <c r="DG23" i="13" a="1"/>
  <c r="DF18" i="16" l="1"/>
  <c r="DG151" i="13"/>
  <c r="DG144" i="16" s="1"/>
  <c r="DH150" i="13"/>
  <c r="DF115" i="13"/>
  <c r="DE104" i="13"/>
  <c r="DF116" i="13"/>
  <c r="DG28" i="13"/>
  <c r="DG23" i="13"/>
  <c r="DG21" i="13"/>
  <c r="DG26" i="13"/>
  <c r="DG27" i="13"/>
  <c r="DG22" i="13"/>
  <c r="DG20" i="13"/>
  <c r="DG19" i="13"/>
  <c r="DG18" i="13"/>
  <c r="DG24" i="13"/>
  <c r="DG25" i="13"/>
  <c r="DG29" i="13"/>
  <c r="DG107" i="13"/>
  <c r="DH6" i="13"/>
  <c r="DF117" i="13"/>
  <c r="DF91" i="13"/>
  <c r="DF89" i="13"/>
  <c r="DF88" i="13"/>
  <c r="DF90" i="13"/>
  <c r="DF101" i="13"/>
  <c r="DF100" i="13"/>
  <c r="DF113" i="13"/>
  <c r="DF121" i="13"/>
  <c r="DG72" i="13"/>
  <c r="DG73" i="13"/>
  <c r="DG74" i="13"/>
  <c r="DG54" i="13"/>
  <c r="DG55" i="13"/>
  <c r="DG57" i="13"/>
  <c r="DG61" i="13"/>
  <c r="DG56" i="13"/>
  <c r="DG59" i="13"/>
  <c r="DG58" i="13"/>
  <c r="DG60" i="13"/>
  <c r="DF114" i="13"/>
  <c r="DF120" i="13"/>
  <c r="DF118" i="13"/>
  <c r="DG13" i="13"/>
  <c r="DG92" i="13"/>
  <c r="DG15" i="13"/>
  <c r="DF122" i="13"/>
  <c r="DF119" i="13"/>
  <c r="DF112" i="13"/>
  <c r="DG63" i="13" l="1"/>
  <c r="DG143" i="13" s="1"/>
  <c r="DG74" i="16"/>
  <c r="DF96" i="13"/>
  <c r="DG108" i="13"/>
  <c r="DG119" i="13" s="1"/>
  <c r="DG80" i="13"/>
  <c r="DG16" i="13"/>
  <c r="DG87" i="13"/>
  <c r="DG79" i="13"/>
  <c r="DF102" i="13"/>
  <c r="DG84" i="13"/>
  <c r="DG95" i="13" s="1"/>
  <c r="DG77" i="13"/>
  <c r="DG82" i="13"/>
  <c r="DG93" i="13" s="1"/>
  <c r="DG78" i="13"/>
  <c r="DG83" i="13"/>
  <c r="DG94" i="13" s="1"/>
  <c r="DH7" i="13"/>
  <c r="DH9" i="13"/>
  <c r="DH99" i="13"/>
  <c r="DH10" i="13"/>
  <c r="DH149" i="13" s="1"/>
  <c r="DH151" i="13" s="1"/>
  <c r="DH144" i="16" s="1"/>
  <c r="DH67" i="13"/>
  <c r="DH74" i="13" s="1"/>
  <c r="DH19" i="13" a="1"/>
  <c r="DH29" i="13" a="1"/>
  <c r="DH20" i="13" a="1"/>
  <c r="DH23" i="13" a="1"/>
  <c r="DH22" i="13" a="1"/>
  <c r="DH26" i="13" a="1"/>
  <c r="DH28" i="13" a="1"/>
  <c r="DH18" i="13" a="1"/>
  <c r="DH21" i="13" a="1"/>
  <c r="DH24" i="13" a="1"/>
  <c r="DH25" i="13" a="1"/>
  <c r="DH27" i="13" a="1"/>
  <c r="DG18" i="16" l="1"/>
  <c r="DF104" i="13"/>
  <c r="DI150" i="13"/>
  <c r="DG116" i="13"/>
  <c r="DH72" i="13"/>
  <c r="DH78" i="13" s="1"/>
  <c r="DG113" i="13"/>
  <c r="DG112" i="13"/>
  <c r="DG114" i="13"/>
  <c r="DG111" i="13"/>
  <c r="DG121" i="13"/>
  <c r="DG117" i="13"/>
  <c r="DG118" i="13"/>
  <c r="DH21" i="13"/>
  <c r="DH28" i="13"/>
  <c r="DH20" i="13"/>
  <c r="DH29" i="13"/>
  <c r="DH25" i="13"/>
  <c r="DH24" i="13"/>
  <c r="DH22" i="13"/>
  <c r="DH27" i="13"/>
  <c r="DH18" i="13"/>
  <c r="DH19" i="13"/>
  <c r="DH23" i="13"/>
  <c r="DH26" i="13"/>
  <c r="DH80" i="13"/>
  <c r="DH73" i="13"/>
  <c r="DH79" i="13" s="1"/>
  <c r="DH15" i="13"/>
  <c r="DH92" i="13"/>
  <c r="DH13" i="13"/>
  <c r="DG115" i="13"/>
  <c r="DG89" i="13"/>
  <c r="DG90" i="13"/>
  <c r="DG88" i="13"/>
  <c r="DG91" i="13"/>
  <c r="DG100" i="13"/>
  <c r="DG101" i="13"/>
  <c r="DH60" i="13"/>
  <c r="DH57" i="13"/>
  <c r="DH59" i="13"/>
  <c r="DH58" i="13"/>
  <c r="DH54" i="13"/>
  <c r="DH56" i="13"/>
  <c r="DH61" i="13"/>
  <c r="DH55" i="13"/>
  <c r="DG120" i="13"/>
  <c r="DI6" i="13"/>
  <c r="DH107" i="13"/>
  <c r="DG122" i="13"/>
  <c r="DH77" i="13" l="1"/>
  <c r="DH84" i="13"/>
  <c r="DH95" i="13" s="1"/>
  <c r="DH83" i="13"/>
  <c r="DH94" i="13" s="1"/>
  <c r="DH82" i="13"/>
  <c r="DH93" i="13" s="1"/>
  <c r="DH63" i="13"/>
  <c r="DH18" i="16" s="1"/>
  <c r="DH74" i="16"/>
  <c r="DG96" i="13"/>
  <c r="DH16" i="13"/>
  <c r="DH87" i="13"/>
  <c r="DI10" i="13"/>
  <c r="DI9" i="13"/>
  <c r="DI67" i="13"/>
  <c r="DI7" i="13"/>
  <c r="DI99" i="13"/>
  <c r="DH108" i="13"/>
  <c r="DH116" i="13" s="1"/>
  <c r="DG102" i="13"/>
  <c r="DI25" i="13" a="1"/>
  <c r="DI21" i="13" a="1"/>
  <c r="DI23" i="13" a="1"/>
  <c r="DI19" i="13" a="1"/>
  <c r="DI27" i="13" a="1"/>
  <c r="DI22" i="13" a="1"/>
  <c r="DI26" i="13" a="1"/>
  <c r="DI28" i="13" a="1"/>
  <c r="DI29" i="13" a="1"/>
  <c r="DI24" i="13" a="1"/>
  <c r="DI20" i="13" a="1"/>
  <c r="DI18" i="13" a="1"/>
  <c r="DH143" i="13" l="1"/>
  <c r="DH119" i="13"/>
  <c r="DI15" i="13"/>
  <c r="DI149" i="13"/>
  <c r="DG104" i="13"/>
  <c r="DI26" i="13"/>
  <c r="DI27" i="13"/>
  <c r="DI24" i="13"/>
  <c r="DI21" i="13"/>
  <c r="DI19" i="13"/>
  <c r="DI18" i="13"/>
  <c r="DI23" i="13"/>
  <c r="DI28" i="13"/>
  <c r="DI29" i="13"/>
  <c r="DI22" i="13"/>
  <c r="DI20" i="13"/>
  <c r="DI25" i="13"/>
  <c r="DI73" i="13"/>
  <c r="DI72" i="13"/>
  <c r="DI74" i="13"/>
  <c r="DH120" i="13"/>
  <c r="DI60" i="13"/>
  <c r="DI55" i="13"/>
  <c r="DI54" i="13"/>
  <c r="DI57" i="13"/>
  <c r="DI59" i="13"/>
  <c r="DI58" i="13"/>
  <c r="DI61" i="13"/>
  <c r="DI56" i="13"/>
  <c r="DH118" i="13"/>
  <c r="DH121" i="13"/>
  <c r="DI92" i="13"/>
  <c r="DI13" i="13"/>
  <c r="DJ6" i="13"/>
  <c r="DI107" i="13"/>
  <c r="DH117" i="13"/>
  <c r="DH113" i="13"/>
  <c r="DH112" i="13"/>
  <c r="DH114" i="13"/>
  <c r="DH111" i="13"/>
  <c r="DH115" i="13"/>
  <c r="DH122" i="13"/>
  <c r="DH89" i="13"/>
  <c r="DH91" i="13"/>
  <c r="DH90" i="13"/>
  <c r="DH88" i="13"/>
  <c r="DH101" i="13"/>
  <c r="DH100" i="13"/>
  <c r="DI63" i="13" l="1"/>
  <c r="DI143" i="13" s="1"/>
  <c r="DI74" i="16"/>
  <c r="DI151" i="13"/>
  <c r="DI144" i="16" s="1"/>
  <c r="DJ150" i="13"/>
  <c r="DH96" i="13"/>
  <c r="DH102" i="13"/>
  <c r="DI16" i="13"/>
  <c r="DI87" i="13"/>
  <c r="DI83" i="13"/>
  <c r="DI94" i="13" s="1"/>
  <c r="DI77" i="13"/>
  <c r="DI82" i="13"/>
  <c r="DI93" i="13" s="1"/>
  <c r="DI78" i="13"/>
  <c r="DI84" i="13"/>
  <c r="DI95" i="13" s="1"/>
  <c r="DI80" i="13"/>
  <c r="DI79" i="13"/>
  <c r="DI108" i="13"/>
  <c r="DI119" i="13" s="1"/>
  <c r="DJ9" i="13"/>
  <c r="DJ99" i="13"/>
  <c r="DJ10" i="13"/>
  <c r="DJ149" i="13" s="1"/>
  <c r="DJ67" i="13"/>
  <c r="DJ73" i="13" s="1"/>
  <c r="DJ7" i="13"/>
  <c r="DJ26" i="13" a="1"/>
  <c r="DJ28" i="13" a="1"/>
  <c r="DJ27" i="13" a="1"/>
  <c r="DJ20" i="13" a="1"/>
  <c r="DJ25" i="13" a="1"/>
  <c r="DJ21" i="13" a="1"/>
  <c r="DJ22" i="13" a="1"/>
  <c r="DJ18" i="13" a="1"/>
  <c r="DJ29" i="13" a="1"/>
  <c r="DJ24" i="13" a="1"/>
  <c r="DJ19" i="13" a="1"/>
  <c r="DJ23" i="13" a="1"/>
  <c r="DI18" i="16" l="1"/>
  <c r="DJ151" i="13"/>
  <c r="DJ144" i="16" s="1"/>
  <c r="DH104" i="13"/>
  <c r="DK150" i="13"/>
  <c r="DI122" i="13"/>
  <c r="DJ74" i="13"/>
  <c r="DJ80" i="13" s="1"/>
  <c r="DI114" i="13"/>
  <c r="DI115" i="13"/>
  <c r="DI113" i="13"/>
  <c r="DI117" i="13"/>
  <c r="DJ26" i="13"/>
  <c r="DJ19" i="13"/>
  <c r="DJ18" i="13"/>
  <c r="DJ20" i="13"/>
  <c r="DJ28" i="13"/>
  <c r="DJ29" i="13"/>
  <c r="DJ27" i="13"/>
  <c r="DJ21" i="13"/>
  <c r="DJ24" i="13"/>
  <c r="DJ22" i="13"/>
  <c r="DJ25" i="13"/>
  <c r="DJ23" i="13"/>
  <c r="DJ79" i="13"/>
  <c r="DJ57" i="13"/>
  <c r="DJ55" i="13"/>
  <c r="DJ56" i="13"/>
  <c r="DJ54" i="13"/>
  <c r="DJ58" i="13"/>
  <c r="DJ60" i="13"/>
  <c r="DJ59" i="13"/>
  <c r="DJ61" i="13"/>
  <c r="DI121" i="13"/>
  <c r="DI120" i="13"/>
  <c r="DJ107" i="13"/>
  <c r="DK6" i="13"/>
  <c r="DI118" i="13"/>
  <c r="DJ92" i="13"/>
  <c r="DJ13" i="13"/>
  <c r="DJ15" i="13"/>
  <c r="DI116" i="13"/>
  <c r="DJ72" i="13"/>
  <c r="DI111" i="13"/>
  <c r="DI112" i="13"/>
  <c r="DI89" i="13"/>
  <c r="DI91" i="13"/>
  <c r="DI90" i="13"/>
  <c r="DI88" i="13"/>
  <c r="DI100" i="13"/>
  <c r="DI101" i="13"/>
  <c r="DJ63" i="13" l="1"/>
  <c r="DJ143" i="13" s="1"/>
  <c r="DJ74" i="16"/>
  <c r="DI96" i="13"/>
  <c r="DI102" i="13"/>
  <c r="DK7" i="13"/>
  <c r="DK9" i="13"/>
  <c r="DK10" i="13"/>
  <c r="DK149" i="13" s="1"/>
  <c r="DK151" i="13" s="1"/>
  <c r="DK144" i="16" s="1"/>
  <c r="DK99" i="13"/>
  <c r="DK67" i="13"/>
  <c r="DK72" i="13" s="1"/>
  <c r="DJ84" i="13"/>
  <c r="DJ95" i="13" s="1"/>
  <c r="DJ78" i="13"/>
  <c r="DJ77" i="13"/>
  <c r="DJ83" i="13"/>
  <c r="DJ94" i="13" s="1"/>
  <c r="DJ82" i="13"/>
  <c r="DJ93" i="13" s="1"/>
  <c r="DJ16" i="13"/>
  <c r="DJ87" i="13"/>
  <c r="DJ108" i="13"/>
  <c r="DJ119" i="13" s="1"/>
  <c r="DK19" i="13" a="1"/>
  <c r="DK25" i="13" a="1"/>
  <c r="DK18" i="13" a="1"/>
  <c r="DK20" i="13" a="1"/>
  <c r="DK22" i="13" a="1"/>
  <c r="DK24" i="13" a="1"/>
  <c r="DK29" i="13" a="1"/>
  <c r="DK28" i="13" a="1"/>
  <c r="DK27" i="13" a="1"/>
  <c r="DK23" i="13" a="1"/>
  <c r="DK26" i="13" a="1"/>
  <c r="DK21" i="13" a="1"/>
  <c r="DJ18" i="16" l="1"/>
  <c r="DL150" i="13"/>
  <c r="DI104" i="13"/>
  <c r="DJ117" i="13"/>
  <c r="DK19" i="13"/>
  <c r="DK29" i="13"/>
  <c r="DK21" i="13"/>
  <c r="DK27" i="13"/>
  <c r="DK24" i="13"/>
  <c r="DK28" i="13"/>
  <c r="DK25" i="13"/>
  <c r="DK26" i="13"/>
  <c r="DK20" i="13"/>
  <c r="DK22" i="13"/>
  <c r="DK23" i="13"/>
  <c r="DK18" i="13"/>
  <c r="DK82" i="13"/>
  <c r="DK93" i="13" s="1"/>
  <c r="DK83" i="13"/>
  <c r="DK94" i="13" s="1"/>
  <c r="DK78" i="13"/>
  <c r="DK84" i="13"/>
  <c r="DK95" i="13" s="1"/>
  <c r="DK77" i="13"/>
  <c r="DJ116" i="13"/>
  <c r="DJ91" i="13"/>
  <c r="DJ88" i="13"/>
  <c r="DJ89" i="13"/>
  <c r="DJ90" i="13"/>
  <c r="DJ101" i="13"/>
  <c r="DJ100" i="13"/>
  <c r="DJ118" i="13"/>
  <c r="DJ114" i="13"/>
  <c r="DK74" i="13"/>
  <c r="DK80" i="13" s="1"/>
  <c r="DK73" i="13"/>
  <c r="DJ111" i="13"/>
  <c r="DJ113" i="13"/>
  <c r="DJ121" i="13"/>
  <c r="DJ115" i="13"/>
  <c r="DJ122" i="13"/>
  <c r="DJ112" i="13"/>
  <c r="DK15" i="13"/>
  <c r="DK13" i="13"/>
  <c r="DK92" i="13"/>
  <c r="DK61" i="13"/>
  <c r="DK58" i="13"/>
  <c r="DK59" i="13"/>
  <c r="DK55" i="13"/>
  <c r="DK56" i="13"/>
  <c r="DK60" i="13"/>
  <c r="DK57" i="13"/>
  <c r="DK54" i="13"/>
  <c r="DK107" i="13"/>
  <c r="DL6" i="13"/>
  <c r="DJ120" i="13"/>
  <c r="DJ102" i="13" l="1"/>
  <c r="DK63" i="13"/>
  <c r="DK143" i="13" s="1"/>
  <c r="DK74" i="16"/>
  <c r="DJ96" i="13"/>
  <c r="DK16" i="13"/>
  <c r="DK87" i="13"/>
  <c r="DL10" i="13"/>
  <c r="DL149" i="13" s="1"/>
  <c r="DL151" i="13" s="1"/>
  <c r="DL144" i="16" s="1"/>
  <c r="DL67" i="13"/>
  <c r="DL73" i="13" s="1"/>
  <c r="DL99" i="13"/>
  <c r="DL9" i="13"/>
  <c r="DL7" i="13"/>
  <c r="DK108" i="13"/>
  <c r="DK118" i="13" s="1"/>
  <c r="DK79" i="13"/>
  <c r="DL27" i="13" a="1"/>
  <c r="DL29" i="13" a="1"/>
  <c r="DL18" i="13" a="1"/>
  <c r="DL21" i="13" a="1"/>
  <c r="DL26" i="13" a="1"/>
  <c r="DL24" i="13" a="1"/>
  <c r="DL28" i="13" a="1"/>
  <c r="DL23" i="13" a="1"/>
  <c r="DL20" i="13" a="1"/>
  <c r="DL19" i="13" a="1"/>
  <c r="DL22" i="13" a="1"/>
  <c r="DL25" i="13" a="1"/>
  <c r="DJ104" i="13" l="1"/>
  <c r="DK18" i="16"/>
  <c r="DM150" i="13"/>
  <c r="DK114" i="13"/>
  <c r="DL27" i="13"/>
  <c r="DL19" i="13"/>
  <c r="DL18" i="13"/>
  <c r="DL22" i="13"/>
  <c r="DL28" i="13"/>
  <c r="DL26" i="13"/>
  <c r="DL25" i="13"/>
  <c r="DL23" i="13"/>
  <c r="DL29" i="13"/>
  <c r="DL20" i="13"/>
  <c r="DL21" i="13"/>
  <c r="DL24" i="13"/>
  <c r="DL79" i="13"/>
  <c r="DK111" i="13"/>
  <c r="DL13" i="13"/>
  <c r="DL92" i="13"/>
  <c r="DK115" i="13"/>
  <c r="DK121" i="13"/>
  <c r="DL15" i="13"/>
  <c r="DK90" i="13"/>
  <c r="DK91" i="13"/>
  <c r="DK89" i="13"/>
  <c r="DK88" i="13"/>
  <c r="DK101" i="13"/>
  <c r="DK100" i="13"/>
  <c r="DK120" i="13"/>
  <c r="DK112" i="13"/>
  <c r="DK122" i="13"/>
  <c r="DK119" i="13"/>
  <c r="DK113" i="13"/>
  <c r="DL55" i="13"/>
  <c r="DL54" i="13"/>
  <c r="DL61" i="13"/>
  <c r="DL57" i="13"/>
  <c r="DL58" i="13"/>
  <c r="DL59" i="13"/>
  <c r="DL56" i="13"/>
  <c r="DL60" i="13"/>
  <c r="DL74" i="13"/>
  <c r="DL80" i="13" s="1"/>
  <c r="DL72" i="13"/>
  <c r="DL107" i="13"/>
  <c r="DM6" i="13"/>
  <c r="DK117" i="13"/>
  <c r="DK116" i="13"/>
  <c r="DL63" i="13" l="1"/>
  <c r="DL143" i="13" s="1"/>
  <c r="DL74" i="16"/>
  <c r="DK96" i="13"/>
  <c r="DL16" i="13"/>
  <c r="DL87" i="13"/>
  <c r="DM7" i="13"/>
  <c r="DM67" i="13"/>
  <c r="DM72" i="13" s="1"/>
  <c r="DM10" i="13"/>
  <c r="DM149" i="13" s="1"/>
  <c r="DM151" i="13" s="1"/>
  <c r="DM144" i="16" s="1"/>
  <c r="DM99" i="13"/>
  <c r="DM9" i="13"/>
  <c r="DL108" i="13"/>
  <c r="DL120" i="13" s="1"/>
  <c r="DL83" i="13"/>
  <c r="DL94" i="13" s="1"/>
  <c r="DL77" i="13"/>
  <c r="DL82" i="13"/>
  <c r="DL93" i="13" s="1"/>
  <c r="DL78" i="13"/>
  <c r="DL84" i="13"/>
  <c r="DL95" i="13" s="1"/>
  <c r="DK102" i="13"/>
  <c r="DM26" i="13" a="1"/>
  <c r="DM21" i="13" a="1"/>
  <c r="DM25" i="13" a="1"/>
  <c r="DM27" i="13" a="1"/>
  <c r="DM19" i="13" a="1"/>
  <c r="DM20" i="13" a="1"/>
  <c r="DM23" i="13" a="1"/>
  <c r="DM22" i="13" a="1"/>
  <c r="DM18" i="13" a="1"/>
  <c r="DM28" i="13" a="1"/>
  <c r="DM24" i="13" a="1"/>
  <c r="DM29" i="13" a="1"/>
  <c r="DL18" i="16" l="1"/>
  <c r="DK104" i="13"/>
  <c r="DL122" i="13"/>
  <c r="DL116" i="13"/>
  <c r="DN150" i="13"/>
  <c r="DL111" i="13"/>
  <c r="DL119" i="13"/>
  <c r="DL121" i="13"/>
  <c r="DL113" i="13"/>
  <c r="DL112" i="13"/>
  <c r="DL117" i="13"/>
  <c r="DL114" i="13"/>
  <c r="DL118" i="13"/>
  <c r="DL115" i="13"/>
  <c r="DM29" i="13"/>
  <c r="DM27" i="13"/>
  <c r="DM25" i="13"/>
  <c r="DM23" i="13"/>
  <c r="DM18" i="13"/>
  <c r="DM28" i="13"/>
  <c r="DM19" i="13"/>
  <c r="DM21" i="13"/>
  <c r="DM24" i="13"/>
  <c r="DM26" i="13"/>
  <c r="DM20" i="13"/>
  <c r="DM22" i="13"/>
  <c r="DM15" i="13"/>
  <c r="DM13" i="13"/>
  <c r="DM92" i="13"/>
  <c r="DM74" i="13"/>
  <c r="DM73" i="13"/>
  <c r="DM79" i="13" s="1"/>
  <c r="DM83" i="13"/>
  <c r="DM94" i="13" s="1"/>
  <c r="DM82" i="13"/>
  <c r="DM93" i="13" s="1"/>
  <c r="DM84" i="13"/>
  <c r="DM95" i="13" s="1"/>
  <c r="DM78" i="13"/>
  <c r="DM77" i="13"/>
  <c r="DM107" i="13"/>
  <c r="DN6" i="13"/>
  <c r="DM61" i="13"/>
  <c r="DM55" i="13"/>
  <c r="DM60" i="13"/>
  <c r="DM57" i="13"/>
  <c r="DM58" i="13"/>
  <c r="DM54" i="13"/>
  <c r="DM59" i="13"/>
  <c r="DM56" i="13"/>
  <c r="DL88" i="13"/>
  <c r="DL91" i="13"/>
  <c r="DL90" i="13"/>
  <c r="DL89" i="13"/>
  <c r="DL100" i="13"/>
  <c r="DL101" i="13"/>
  <c r="DM63" i="13" l="1"/>
  <c r="DM143" i="13" s="1"/>
  <c r="DM74" i="16"/>
  <c r="DL96" i="13"/>
  <c r="DL102" i="13"/>
  <c r="DM108" i="13"/>
  <c r="DM120" i="13" s="1"/>
  <c r="DM16" i="13"/>
  <c r="DM87" i="13"/>
  <c r="DN9" i="13"/>
  <c r="DN67" i="13"/>
  <c r="DN7" i="13"/>
  <c r="DN10" i="13"/>
  <c r="DN149" i="13" s="1"/>
  <c r="DN151" i="13" s="1"/>
  <c r="DN144" i="16" s="1"/>
  <c r="DN99" i="13"/>
  <c r="DM80" i="13"/>
  <c r="DN22" i="13" a="1"/>
  <c r="DN28" i="13" a="1"/>
  <c r="DN24" i="13" a="1"/>
  <c r="DN18" i="13" a="1"/>
  <c r="DN20" i="13" a="1"/>
  <c r="DN26" i="13" a="1"/>
  <c r="DN21" i="13" a="1"/>
  <c r="DN29" i="13" a="1"/>
  <c r="DN19" i="13" a="1"/>
  <c r="DN23" i="13" a="1"/>
  <c r="DN27" i="13" a="1"/>
  <c r="DN25" i="13" a="1"/>
  <c r="DM18" i="16" l="1"/>
  <c r="DO150" i="13"/>
  <c r="DL104" i="13"/>
  <c r="DM116" i="13"/>
  <c r="DM112" i="13"/>
  <c r="DM121" i="13"/>
  <c r="DM114" i="13"/>
  <c r="DM119" i="13"/>
  <c r="DM115" i="13"/>
  <c r="DM122" i="13"/>
  <c r="DM117" i="13"/>
  <c r="DM111" i="13"/>
  <c r="DM113" i="13"/>
  <c r="DN22" i="13"/>
  <c r="DN28" i="13"/>
  <c r="DN29" i="13"/>
  <c r="DN20" i="13"/>
  <c r="DN24" i="13"/>
  <c r="DN27" i="13"/>
  <c r="DN23" i="13"/>
  <c r="DN21" i="13"/>
  <c r="DN19" i="13"/>
  <c r="DN25" i="13"/>
  <c r="DN18" i="13"/>
  <c r="DN26" i="13"/>
  <c r="DN13" i="13"/>
  <c r="DN92" i="13"/>
  <c r="DN73" i="13"/>
  <c r="DN79" i="13" s="1"/>
  <c r="DN72" i="13"/>
  <c r="DN54" i="13"/>
  <c r="DN61" i="13"/>
  <c r="DN56" i="13"/>
  <c r="DN57" i="13"/>
  <c r="DN58" i="13"/>
  <c r="DN59" i="13"/>
  <c r="DN55" i="13"/>
  <c r="DN60" i="13"/>
  <c r="DN74" i="13"/>
  <c r="DN15" i="13"/>
  <c r="DN107" i="13"/>
  <c r="DO6" i="13"/>
  <c r="DM88" i="13"/>
  <c r="DM89" i="13"/>
  <c r="DM91" i="13"/>
  <c r="DM90" i="13"/>
  <c r="DM100" i="13"/>
  <c r="DM101" i="13"/>
  <c r="DM118" i="13"/>
  <c r="DN63" i="13" l="1"/>
  <c r="DN143" i="13" s="1"/>
  <c r="DN74" i="16"/>
  <c r="DM96" i="13"/>
  <c r="DO99" i="13"/>
  <c r="DO67" i="13"/>
  <c r="DO73" i="13" s="1"/>
  <c r="DO79" i="13" s="1"/>
  <c r="DO9" i="13"/>
  <c r="DO10" i="13"/>
  <c r="DO149" i="13" s="1"/>
  <c r="DO151" i="13" s="1"/>
  <c r="DO144" i="16" s="1"/>
  <c r="DO7" i="13"/>
  <c r="DN108" i="13"/>
  <c r="DN121" i="13" s="1"/>
  <c r="DN80" i="13"/>
  <c r="DN87" i="13"/>
  <c r="DN16" i="13"/>
  <c r="DM102" i="13"/>
  <c r="DN77" i="13"/>
  <c r="DN78" i="13"/>
  <c r="DN82" i="13"/>
  <c r="DN93" i="13" s="1"/>
  <c r="DN83" i="13"/>
  <c r="DN94" i="13" s="1"/>
  <c r="DN84" i="13"/>
  <c r="DN95" i="13" s="1"/>
  <c r="DO20" i="13" a="1"/>
  <c r="DO27" i="13" a="1"/>
  <c r="DO28" i="13" a="1"/>
  <c r="DO19" i="13" a="1"/>
  <c r="DO23" i="13" a="1"/>
  <c r="DO18" i="13" a="1"/>
  <c r="DO21" i="13" a="1"/>
  <c r="DO29" i="13" a="1"/>
  <c r="DO22" i="13" a="1"/>
  <c r="DO24" i="13" a="1"/>
  <c r="DO26" i="13" a="1"/>
  <c r="DO25" i="13" a="1"/>
  <c r="DN18" i="16" l="1"/>
  <c r="DP150" i="13"/>
  <c r="DO74" i="13"/>
  <c r="DO80" i="13" s="1"/>
  <c r="DO72" i="13"/>
  <c r="DO77" i="13" s="1"/>
  <c r="DN116" i="13"/>
  <c r="DN117" i="13"/>
  <c r="DN119" i="13"/>
  <c r="DN118" i="13"/>
  <c r="DM104" i="13"/>
  <c r="DN114" i="13"/>
  <c r="DN122" i="13"/>
  <c r="DN115" i="13"/>
  <c r="DN120" i="13"/>
  <c r="DN113" i="13"/>
  <c r="DN111" i="13"/>
  <c r="DN112" i="13"/>
  <c r="DO24" i="13"/>
  <c r="DO29" i="13"/>
  <c r="DO26" i="13"/>
  <c r="DO27" i="13"/>
  <c r="DO19" i="13"/>
  <c r="DO22" i="13"/>
  <c r="DO18" i="13"/>
  <c r="DO25" i="13"/>
  <c r="DO20" i="13"/>
  <c r="DO23" i="13"/>
  <c r="DO21" i="13"/>
  <c r="DO28" i="13"/>
  <c r="DP6" i="13"/>
  <c r="DO107" i="13"/>
  <c r="DO15" i="13"/>
  <c r="DO13" i="13"/>
  <c r="DO92" i="13"/>
  <c r="DO56" i="13"/>
  <c r="DO61" i="13"/>
  <c r="DO58" i="13"/>
  <c r="DO60" i="13"/>
  <c r="DO59" i="13"/>
  <c r="DO57" i="13"/>
  <c r="DO54" i="13"/>
  <c r="DO55" i="13"/>
  <c r="DN91" i="13"/>
  <c r="DN89" i="13"/>
  <c r="DN90" i="13"/>
  <c r="DN88" i="13"/>
  <c r="DN100" i="13"/>
  <c r="DN101" i="13"/>
  <c r="DO63" i="13" l="1"/>
  <c r="DO143" i="13" s="1"/>
  <c r="DO74" i="16"/>
  <c r="DO78" i="13"/>
  <c r="DO84" i="13"/>
  <c r="DO95" i="13" s="1"/>
  <c r="DO83" i="13"/>
  <c r="DO94" i="13" s="1"/>
  <c r="DO82" i="13"/>
  <c r="DO93" i="13" s="1"/>
  <c r="DN96" i="13"/>
  <c r="DP9" i="13"/>
  <c r="DP99" i="13"/>
  <c r="DP7" i="13"/>
  <c r="DP10" i="13"/>
  <c r="DP67" i="13"/>
  <c r="DO16" i="13"/>
  <c r="DO87" i="13"/>
  <c r="DN102" i="13"/>
  <c r="DO108" i="13"/>
  <c r="DO117" i="13" s="1"/>
  <c r="DP26" i="13" a="1"/>
  <c r="DP20" i="13" a="1"/>
  <c r="DP22" i="13" a="1"/>
  <c r="DP18" i="13" a="1"/>
  <c r="DP28" i="13" a="1"/>
  <c r="DP29" i="13" a="1"/>
  <c r="DP19" i="13" a="1"/>
  <c r="DP27" i="13" a="1"/>
  <c r="DP23" i="13" a="1"/>
  <c r="DP24" i="13" a="1"/>
  <c r="DP25" i="13" a="1"/>
  <c r="DP21" i="13" a="1"/>
  <c r="DO18" i="16" l="1"/>
  <c r="DO112" i="13"/>
  <c r="DO111" i="13"/>
  <c r="DN104" i="13"/>
  <c r="DP15" i="13"/>
  <c r="DP149" i="13"/>
  <c r="DO115" i="13"/>
  <c r="DO116" i="13"/>
  <c r="DO121" i="13"/>
  <c r="DO114" i="13"/>
  <c r="DO119" i="13"/>
  <c r="DO113" i="13"/>
  <c r="DO120" i="13"/>
  <c r="DP19" i="13"/>
  <c r="DP18" i="13"/>
  <c r="DP27" i="13"/>
  <c r="DP20" i="13"/>
  <c r="DP22" i="13"/>
  <c r="DP25" i="13"/>
  <c r="DP29" i="13"/>
  <c r="DP21" i="13"/>
  <c r="DP28" i="13"/>
  <c r="DP26" i="13"/>
  <c r="DP23" i="13"/>
  <c r="DP24" i="13"/>
  <c r="DP56" i="13"/>
  <c r="DP57" i="13"/>
  <c r="DP61" i="13"/>
  <c r="DP74" i="16" s="1"/>
  <c r="DP54" i="13"/>
  <c r="DP55" i="13"/>
  <c r="DP59" i="13"/>
  <c r="DP58" i="13"/>
  <c r="DP60" i="13"/>
  <c r="DO122" i="13"/>
  <c r="DO91" i="13"/>
  <c r="DO88" i="13"/>
  <c r="DO90" i="13"/>
  <c r="DO89" i="13"/>
  <c r="DO100" i="13"/>
  <c r="DO101" i="13"/>
  <c r="DP73" i="13"/>
  <c r="DP72" i="13"/>
  <c r="DP74" i="13"/>
  <c r="DO118" i="13"/>
  <c r="DP13" i="13"/>
  <c r="DP92" i="13"/>
  <c r="DQ6" i="13"/>
  <c r="DP107" i="13"/>
  <c r="DP151" i="13" l="1"/>
  <c r="DP144" i="16" s="1"/>
  <c r="DQ150" i="13"/>
  <c r="DO96" i="13"/>
  <c r="DP82" i="13"/>
  <c r="DP93" i="13" s="1"/>
  <c r="DP77" i="13"/>
  <c r="DP78" i="13"/>
  <c r="DP84" i="13"/>
  <c r="DP95" i="13" s="1"/>
  <c r="DP83" i="13"/>
  <c r="DP94" i="13" s="1"/>
  <c r="DP108" i="13"/>
  <c r="DP121" i="13" s="1"/>
  <c r="DP79" i="13"/>
  <c r="DP63" i="13"/>
  <c r="DP16" i="13"/>
  <c r="DP87" i="13"/>
  <c r="DQ67" i="13"/>
  <c r="DQ73" i="13" s="1"/>
  <c r="DQ79" i="13" s="1"/>
  <c r="DQ99" i="13"/>
  <c r="DQ10" i="13"/>
  <c r="DQ149" i="13" s="1"/>
  <c r="DQ9" i="13"/>
  <c r="DQ7" i="13"/>
  <c r="DO102" i="13"/>
  <c r="DP80" i="13"/>
  <c r="DQ19" i="13" a="1"/>
  <c r="DQ25" i="13" a="1"/>
  <c r="DQ29" i="13" a="1"/>
  <c r="DQ28" i="13" a="1"/>
  <c r="DQ22" i="13" a="1"/>
  <c r="DQ24" i="13" a="1"/>
  <c r="DQ27" i="13" a="1"/>
  <c r="DQ23" i="13" a="1"/>
  <c r="DQ20" i="13" a="1"/>
  <c r="DQ18" i="13" a="1"/>
  <c r="DQ21" i="13" a="1"/>
  <c r="DQ26" i="13" a="1"/>
  <c r="DP143" i="13" l="1"/>
  <c r="DP18" i="16"/>
  <c r="DP117" i="13"/>
  <c r="DQ151" i="13"/>
  <c r="I149" i="13"/>
  <c r="DO104" i="13"/>
  <c r="DP113" i="13"/>
  <c r="DP119" i="13"/>
  <c r="DP112" i="13"/>
  <c r="DP122" i="13"/>
  <c r="DP118" i="13"/>
  <c r="DQ74" i="13"/>
  <c r="DQ80" i="13" s="1"/>
  <c r="DP115" i="13"/>
  <c r="DP116" i="13"/>
  <c r="DP120" i="13"/>
  <c r="DP111" i="13"/>
  <c r="DP114" i="13"/>
  <c r="DQ29" i="13"/>
  <c r="DQ20" i="13"/>
  <c r="DQ26" i="13"/>
  <c r="DQ21" i="13"/>
  <c r="DQ23" i="13"/>
  <c r="DQ27" i="13"/>
  <c r="DQ24" i="13"/>
  <c r="DQ28" i="13"/>
  <c r="DQ22" i="13"/>
  <c r="DQ18" i="13"/>
  <c r="DQ25" i="13"/>
  <c r="DQ19" i="13"/>
  <c r="DQ72" i="13"/>
  <c r="DQ107" i="13"/>
  <c r="DP89" i="13"/>
  <c r="DP91" i="13"/>
  <c r="DP88" i="13"/>
  <c r="DP90" i="13"/>
  <c r="DP101" i="13"/>
  <c r="DP100" i="13"/>
  <c r="DQ60" i="13"/>
  <c r="I60" i="13" s="1"/>
  <c r="G53" i="16" s="1"/>
  <c r="DQ55" i="13"/>
  <c r="I55" i="13" s="1"/>
  <c r="G48" i="16" s="1"/>
  <c r="DQ54" i="13"/>
  <c r="I54" i="13" s="1"/>
  <c r="G47" i="16" s="1"/>
  <c r="DQ56" i="13"/>
  <c r="I56" i="13" s="1"/>
  <c r="G49" i="16" s="1"/>
  <c r="DQ57" i="13"/>
  <c r="I57" i="13" s="1"/>
  <c r="G50" i="16" s="1"/>
  <c r="DQ61" i="13"/>
  <c r="DQ74" i="16" s="1"/>
  <c r="DQ59" i="13"/>
  <c r="I59" i="13" s="1"/>
  <c r="G52" i="16" s="1"/>
  <c r="DQ58" i="13"/>
  <c r="I58" i="13" s="1"/>
  <c r="G51" i="16" s="1"/>
  <c r="DQ15" i="13"/>
  <c r="DQ13" i="13"/>
  <c r="DQ92" i="13"/>
  <c r="I92" i="13" s="1"/>
  <c r="I151" i="13" l="1"/>
  <c r="DQ144" i="16"/>
  <c r="G58" i="16"/>
  <c r="I61" i="16" s="1"/>
  <c r="DP96" i="13"/>
  <c r="DQ16" i="13"/>
  <c r="DQ87" i="13"/>
  <c r="DQ108" i="13"/>
  <c r="DQ118" i="13" s="1"/>
  <c r="DP102" i="13"/>
  <c r="DQ78" i="13"/>
  <c r="DQ84" i="13"/>
  <c r="DQ95" i="13" s="1"/>
  <c r="I95" i="13" s="1"/>
  <c r="DQ77" i="13"/>
  <c r="DQ82" i="13"/>
  <c r="DQ93" i="13" s="1"/>
  <c r="I93" i="13" s="1"/>
  <c r="DQ83" i="13"/>
  <c r="DQ94" i="13" s="1"/>
  <c r="I94" i="13" s="1"/>
  <c r="DQ63" i="13"/>
  <c r="DQ18" i="16" s="1"/>
  <c r="I18" i="16" s="1"/>
  <c r="I61" i="13"/>
  <c r="DQ120" i="13" l="1"/>
  <c r="DQ111" i="13"/>
  <c r="DQ143" i="13"/>
  <c r="I63" i="13"/>
  <c r="G153" i="13" s="1"/>
  <c r="DQ112" i="13"/>
  <c r="DQ113" i="13"/>
  <c r="DQ114" i="13"/>
  <c r="DQ115" i="13"/>
  <c r="DQ122" i="13"/>
  <c r="DQ119" i="13"/>
  <c r="DQ116" i="13"/>
  <c r="DQ121" i="13"/>
  <c r="DQ117" i="13"/>
  <c r="DP104" i="13"/>
  <c r="DQ90" i="13"/>
  <c r="I90" i="13" s="1"/>
  <c r="DQ88" i="13"/>
  <c r="I88" i="13" s="1"/>
  <c r="DQ89" i="13"/>
  <c r="I89" i="13" s="1"/>
  <c r="DQ91" i="13"/>
  <c r="I91" i="13" s="1"/>
  <c r="DQ100" i="13"/>
  <c r="DQ101" i="13"/>
  <c r="I101" i="13" s="1"/>
  <c r="L153" i="13" l="1"/>
  <c r="L154" i="13" s="1"/>
  <c r="L145" i="16" s="1"/>
  <c r="L151" i="16" s="1"/>
  <c r="T153" i="13"/>
  <c r="T154" i="13" s="1"/>
  <c r="T145" i="16" s="1"/>
  <c r="T151" i="16" s="1"/>
  <c r="AB153" i="13"/>
  <c r="AB154" i="13" s="1"/>
  <c r="AB145" i="16" s="1"/>
  <c r="AB151" i="16" s="1"/>
  <c r="AJ153" i="13"/>
  <c r="AJ154" i="13" s="1"/>
  <c r="AJ145" i="16" s="1"/>
  <c r="AJ151" i="16" s="1"/>
  <c r="AR153" i="13"/>
  <c r="AR154" i="13" s="1"/>
  <c r="AR145" i="16" s="1"/>
  <c r="AR151" i="16" s="1"/>
  <c r="AZ153" i="13"/>
  <c r="AZ154" i="13" s="1"/>
  <c r="AZ145" i="16" s="1"/>
  <c r="AZ151" i="16" s="1"/>
  <c r="BH153" i="13"/>
  <c r="BH154" i="13" s="1"/>
  <c r="BH145" i="16" s="1"/>
  <c r="BH151" i="16" s="1"/>
  <c r="BP153" i="13"/>
  <c r="BP154" i="13" s="1"/>
  <c r="BP145" i="16" s="1"/>
  <c r="BP151" i="16" s="1"/>
  <c r="BX153" i="13"/>
  <c r="BX154" i="13" s="1"/>
  <c r="BX145" i="16" s="1"/>
  <c r="BX151" i="16" s="1"/>
  <c r="CF153" i="13"/>
  <c r="CF154" i="13" s="1"/>
  <c r="CF145" i="16" s="1"/>
  <c r="CF151" i="16" s="1"/>
  <c r="CN153" i="13"/>
  <c r="CN154" i="13" s="1"/>
  <c r="CN145" i="16" s="1"/>
  <c r="CN151" i="16" s="1"/>
  <c r="CV153" i="13"/>
  <c r="CV154" i="13" s="1"/>
  <c r="CV145" i="16" s="1"/>
  <c r="CV151" i="16" s="1"/>
  <c r="DD153" i="13"/>
  <c r="DD154" i="13" s="1"/>
  <c r="DD145" i="16" s="1"/>
  <c r="DD151" i="16" s="1"/>
  <c r="DL153" i="13"/>
  <c r="DL154" i="13" s="1"/>
  <c r="DL145" i="16" s="1"/>
  <c r="DL151" i="16" s="1"/>
  <c r="Z153" i="13"/>
  <c r="Z154" i="13" s="1"/>
  <c r="Z145" i="16" s="1"/>
  <c r="Z151" i="16" s="1"/>
  <c r="DB153" i="13"/>
  <c r="DB154" i="13" s="1"/>
  <c r="DB145" i="16" s="1"/>
  <c r="DB151" i="16" s="1"/>
  <c r="AY153" i="13"/>
  <c r="AY154" i="13" s="1"/>
  <c r="AY145" i="16" s="1"/>
  <c r="AY151" i="16" s="1"/>
  <c r="BO153" i="13"/>
  <c r="BO154" i="13" s="1"/>
  <c r="BO145" i="16" s="1"/>
  <c r="BO151" i="16" s="1"/>
  <c r="CM153" i="13"/>
  <c r="CM154" i="13" s="1"/>
  <c r="CM145" i="16" s="1"/>
  <c r="CM151" i="16" s="1"/>
  <c r="M153" i="13"/>
  <c r="M154" i="13" s="1"/>
  <c r="M145" i="16" s="1"/>
  <c r="M151" i="16" s="1"/>
  <c r="U153" i="13"/>
  <c r="U154" i="13" s="1"/>
  <c r="U145" i="16" s="1"/>
  <c r="U151" i="16" s="1"/>
  <c r="AC153" i="13"/>
  <c r="AC154" i="13" s="1"/>
  <c r="AC145" i="16" s="1"/>
  <c r="AC151" i="16" s="1"/>
  <c r="AK153" i="13"/>
  <c r="AK154" i="13" s="1"/>
  <c r="AK145" i="16" s="1"/>
  <c r="AK151" i="16" s="1"/>
  <c r="AS153" i="13"/>
  <c r="AS154" i="13" s="1"/>
  <c r="AS145" i="16" s="1"/>
  <c r="AS151" i="16" s="1"/>
  <c r="BA153" i="13"/>
  <c r="BA154" i="13" s="1"/>
  <c r="BA145" i="16" s="1"/>
  <c r="BA151" i="16" s="1"/>
  <c r="BI153" i="13"/>
  <c r="BI154" i="13" s="1"/>
  <c r="BI145" i="16" s="1"/>
  <c r="BI151" i="16" s="1"/>
  <c r="BQ153" i="13"/>
  <c r="BQ154" i="13" s="1"/>
  <c r="BQ145" i="16" s="1"/>
  <c r="BQ151" i="16" s="1"/>
  <c r="BY153" i="13"/>
  <c r="BY154" i="13" s="1"/>
  <c r="BY145" i="16" s="1"/>
  <c r="BY151" i="16" s="1"/>
  <c r="CG153" i="13"/>
  <c r="CG154" i="13" s="1"/>
  <c r="CG145" i="16" s="1"/>
  <c r="CG151" i="16" s="1"/>
  <c r="CO153" i="13"/>
  <c r="CO154" i="13" s="1"/>
  <c r="CO145" i="16" s="1"/>
  <c r="CO151" i="16" s="1"/>
  <c r="CW153" i="13"/>
  <c r="CW154" i="13" s="1"/>
  <c r="CW145" i="16" s="1"/>
  <c r="CW151" i="16" s="1"/>
  <c r="DE153" i="13"/>
  <c r="DE154" i="13" s="1"/>
  <c r="DE145" i="16" s="1"/>
  <c r="DE151" i="16" s="1"/>
  <c r="DM153" i="13"/>
  <c r="DM154" i="13" s="1"/>
  <c r="DM145" i="16" s="1"/>
  <c r="DM151" i="16" s="1"/>
  <c r="R153" i="13"/>
  <c r="R154" i="13" s="1"/>
  <c r="R145" i="16" s="1"/>
  <c r="R151" i="16" s="1"/>
  <c r="S153" i="13"/>
  <c r="S154" i="13" s="1"/>
  <c r="S145" i="16" s="1"/>
  <c r="S151" i="16" s="1"/>
  <c r="CU153" i="13"/>
  <c r="CU154" i="13" s="1"/>
  <c r="CU145" i="16" s="1"/>
  <c r="CU151" i="16" s="1"/>
  <c r="N153" i="13"/>
  <c r="N154" i="13" s="1"/>
  <c r="N145" i="16" s="1"/>
  <c r="N151" i="16" s="1"/>
  <c r="V153" i="13"/>
  <c r="V154" i="13" s="1"/>
  <c r="V145" i="16" s="1"/>
  <c r="V151" i="16" s="1"/>
  <c r="AD153" i="13"/>
  <c r="AD154" i="13" s="1"/>
  <c r="AD145" i="16" s="1"/>
  <c r="AD151" i="16" s="1"/>
  <c r="AL153" i="13"/>
  <c r="AL154" i="13" s="1"/>
  <c r="AL145" i="16" s="1"/>
  <c r="AL151" i="16" s="1"/>
  <c r="AT153" i="13"/>
  <c r="AT154" i="13" s="1"/>
  <c r="AT145" i="16" s="1"/>
  <c r="AT151" i="16" s="1"/>
  <c r="BB153" i="13"/>
  <c r="BB154" i="13" s="1"/>
  <c r="BB145" i="16" s="1"/>
  <c r="BB151" i="16" s="1"/>
  <c r="BJ153" i="13"/>
  <c r="BJ154" i="13" s="1"/>
  <c r="BJ145" i="16" s="1"/>
  <c r="BJ151" i="16" s="1"/>
  <c r="BR153" i="13"/>
  <c r="BR154" i="13" s="1"/>
  <c r="BR145" i="16" s="1"/>
  <c r="BR151" i="16" s="1"/>
  <c r="BZ153" i="13"/>
  <c r="BZ154" i="13" s="1"/>
  <c r="BZ145" i="16" s="1"/>
  <c r="BZ151" i="16" s="1"/>
  <c r="CH153" i="13"/>
  <c r="CH154" i="13" s="1"/>
  <c r="CH145" i="16" s="1"/>
  <c r="CH151" i="16" s="1"/>
  <c r="CP153" i="13"/>
  <c r="CP154" i="13" s="1"/>
  <c r="CP145" i="16" s="1"/>
  <c r="CP151" i="16" s="1"/>
  <c r="CX153" i="13"/>
  <c r="CX154" i="13" s="1"/>
  <c r="CX145" i="16" s="1"/>
  <c r="CX151" i="16" s="1"/>
  <c r="DF153" i="13"/>
  <c r="DF154" i="13" s="1"/>
  <c r="DF145" i="16" s="1"/>
  <c r="DF151" i="16" s="1"/>
  <c r="DN153" i="13"/>
  <c r="DN154" i="13" s="1"/>
  <c r="DN145" i="16" s="1"/>
  <c r="DN151" i="16" s="1"/>
  <c r="AH153" i="13"/>
  <c r="AH154" i="13" s="1"/>
  <c r="AH145" i="16" s="1"/>
  <c r="AH151" i="16" s="1"/>
  <c r="DJ153" i="13"/>
  <c r="DJ154" i="13" s="1"/>
  <c r="DJ145" i="16" s="1"/>
  <c r="DJ151" i="16" s="1"/>
  <c r="BG153" i="13"/>
  <c r="BG154" i="13" s="1"/>
  <c r="BG145" i="16" s="1"/>
  <c r="BG151" i="16" s="1"/>
  <c r="BW153" i="13"/>
  <c r="BW154" i="13" s="1"/>
  <c r="BW145" i="16" s="1"/>
  <c r="BW151" i="16" s="1"/>
  <c r="DK153" i="13"/>
  <c r="DK154" i="13" s="1"/>
  <c r="DK145" i="16" s="1"/>
  <c r="DK151" i="16" s="1"/>
  <c r="O153" i="13"/>
  <c r="O154" i="13" s="1"/>
  <c r="O145" i="16" s="1"/>
  <c r="O151" i="16" s="1"/>
  <c r="W153" i="13"/>
  <c r="W154" i="13" s="1"/>
  <c r="W145" i="16" s="1"/>
  <c r="W151" i="16" s="1"/>
  <c r="AE153" i="13"/>
  <c r="AE154" i="13" s="1"/>
  <c r="AE145" i="16" s="1"/>
  <c r="AE151" i="16" s="1"/>
  <c r="AM153" i="13"/>
  <c r="AM154" i="13" s="1"/>
  <c r="AM145" i="16" s="1"/>
  <c r="AM151" i="16" s="1"/>
  <c r="AU153" i="13"/>
  <c r="AU154" i="13" s="1"/>
  <c r="AU145" i="16" s="1"/>
  <c r="AU151" i="16" s="1"/>
  <c r="BC153" i="13"/>
  <c r="BC154" i="13" s="1"/>
  <c r="BC145" i="16" s="1"/>
  <c r="BC151" i="16" s="1"/>
  <c r="BK153" i="13"/>
  <c r="BK154" i="13" s="1"/>
  <c r="BK145" i="16" s="1"/>
  <c r="BK151" i="16" s="1"/>
  <c r="BS153" i="13"/>
  <c r="BS154" i="13" s="1"/>
  <c r="BS145" i="16" s="1"/>
  <c r="BS151" i="16" s="1"/>
  <c r="CA153" i="13"/>
  <c r="CA154" i="13" s="1"/>
  <c r="CA145" i="16" s="1"/>
  <c r="CA151" i="16" s="1"/>
  <c r="CI153" i="13"/>
  <c r="CI154" i="13" s="1"/>
  <c r="CI145" i="16" s="1"/>
  <c r="CI151" i="16" s="1"/>
  <c r="CQ153" i="13"/>
  <c r="CQ154" i="13" s="1"/>
  <c r="CQ145" i="16" s="1"/>
  <c r="CQ151" i="16" s="1"/>
  <c r="CY153" i="13"/>
  <c r="CY154" i="13" s="1"/>
  <c r="CY145" i="16" s="1"/>
  <c r="CY151" i="16" s="1"/>
  <c r="DG153" i="13"/>
  <c r="DG154" i="13" s="1"/>
  <c r="DG145" i="16" s="1"/>
  <c r="DG151" i="16" s="1"/>
  <c r="DO153" i="13"/>
  <c r="DO154" i="13" s="1"/>
  <c r="DO145" i="16" s="1"/>
  <c r="DO151" i="16" s="1"/>
  <c r="AX153" i="13"/>
  <c r="AX154" i="13" s="1"/>
  <c r="AX145" i="16" s="1"/>
  <c r="AX151" i="16" s="1"/>
  <c r="CT153" i="13"/>
  <c r="CT154" i="13" s="1"/>
  <c r="CT145" i="16" s="1"/>
  <c r="CT151" i="16" s="1"/>
  <c r="AQ153" i="13"/>
  <c r="AQ154" i="13" s="1"/>
  <c r="AQ145" i="16" s="1"/>
  <c r="AQ151" i="16" s="1"/>
  <c r="CE153" i="13"/>
  <c r="CE154" i="13" s="1"/>
  <c r="CE145" i="16" s="1"/>
  <c r="CE151" i="16" s="1"/>
  <c r="P153" i="13"/>
  <c r="P154" i="13" s="1"/>
  <c r="P145" i="16" s="1"/>
  <c r="P151" i="16" s="1"/>
  <c r="X153" i="13"/>
  <c r="X154" i="13" s="1"/>
  <c r="X145" i="16" s="1"/>
  <c r="X151" i="16" s="1"/>
  <c r="AF153" i="13"/>
  <c r="AF154" i="13" s="1"/>
  <c r="AF145" i="16" s="1"/>
  <c r="AF151" i="16" s="1"/>
  <c r="AN153" i="13"/>
  <c r="AN154" i="13" s="1"/>
  <c r="AN145" i="16" s="1"/>
  <c r="AN151" i="16" s="1"/>
  <c r="AV153" i="13"/>
  <c r="AV154" i="13" s="1"/>
  <c r="AV145" i="16" s="1"/>
  <c r="AV151" i="16" s="1"/>
  <c r="BD153" i="13"/>
  <c r="BD154" i="13" s="1"/>
  <c r="BD145" i="16" s="1"/>
  <c r="BD151" i="16" s="1"/>
  <c r="BL153" i="13"/>
  <c r="BL154" i="13" s="1"/>
  <c r="BL145" i="16" s="1"/>
  <c r="BL151" i="16" s="1"/>
  <c r="BT153" i="13"/>
  <c r="BT154" i="13" s="1"/>
  <c r="BT145" i="16" s="1"/>
  <c r="BT151" i="16" s="1"/>
  <c r="CB153" i="13"/>
  <c r="CB154" i="13" s="1"/>
  <c r="CB145" i="16" s="1"/>
  <c r="CB151" i="16" s="1"/>
  <c r="CJ153" i="13"/>
  <c r="CJ154" i="13" s="1"/>
  <c r="CJ145" i="16" s="1"/>
  <c r="CJ151" i="16" s="1"/>
  <c r="CR153" i="13"/>
  <c r="CR154" i="13" s="1"/>
  <c r="CR145" i="16" s="1"/>
  <c r="CR151" i="16" s="1"/>
  <c r="CZ153" i="13"/>
  <c r="CZ154" i="13" s="1"/>
  <c r="CZ145" i="16" s="1"/>
  <c r="CZ151" i="16" s="1"/>
  <c r="DH153" i="13"/>
  <c r="DH154" i="13" s="1"/>
  <c r="DH145" i="16" s="1"/>
  <c r="DH151" i="16" s="1"/>
  <c r="DP153" i="13"/>
  <c r="DP154" i="13" s="1"/>
  <c r="BF153" i="13"/>
  <c r="BF154" i="13" s="1"/>
  <c r="BF145" i="16" s="1"/>
  <c r="BF151" i="16" s="1"/>
  <c r="BN153" i="13"/>
  <c r="BN154" i="13" s="1"/>
  <c r="BN145" i="16" s="1"/>
  <c r="BN151" i="16" s="1"/>
  <c r="CD153" i="13"/>
  <c r="CD154" i="13" s="1"/>
  <c r="CD145" i="16" s="1"/>
  <c r="CD151" i="16" s="1"/>
  <c r="K153" i="13"/>
  <c r="K154" i="13" s="1"/>
  <c r="K145" i="16" s="1"/>
  <c r="K151" i="16" s="1"/>
  <c r="AA153" i="13"/>
  <c r="AA154" i="13" s="1"/>
  <c r="AA145" i="16" s="1"/>
  <c r="AA151" i="16" s="1"/>
  <c r="DC153" i="13"/>
  <c r="DC154" i="13" s="1"/>
  <c r="DC145" i="16" s="1"/>
  <c r="DC151" i="16" s="1"/>
  <c r="Q153" i="13"/>
  <c r="Q154" i="13" s="1"/>
  <c r="Q145" i="16" s="1"/>
  <c r="Q151" i="16" s="1"/>
  <c r="Y153" i="13"/>
  <c r="Y154" i="13" s="1"/>
  <c r="Y145" i="16" s="1"/>
  <c r="Y151" i="16" s="1"/>
  <c r="AG153" i="13"/>
  <c r="AG154" i="13" s="1"/>
  <c r="AG145" i="16" s="1"/>
  <c r="AG151" i="16" s="1"/>
  <c r="AO153" i="13"/>
  <c r="AO154" i="13" s="1"/>
  <c r="AO145" i="16" s="1"/>
  <c r="AO151" i="16" s="1"/>
  <c r="AW153" i="13"/>
  <c r="AW154" i="13" s="1"/>
  <c r="AW145" i="16" s="1"/>
  <c r="AW151" i="16" s="1"/>
  <c r="BE153" i="13"/>
  <c r="BE154" i="13" s="1"/>
  <c r="BE145" i="16" s="1"/>
  <c r="BE151" i="16" s="1"/>
  <c r="BM153" i="13"/>
  <c r="BM154" i="13" s="1"/>
  <c r="BM145" i="16" s="1"/>
  <c r="BM151" i="16" s="1"/>
  <c r="BU153" i="13"/>
  <c r="BU154" i="13" s="1"/>
  <c r="BU145" i="16" s="1"/>
  <c r="BU151" i="16" s="1"/>
  <c r="CC153" i="13"/>
  <c r="CC154" i="13" s="1"/>
  <c r="CC145" i="16" s="1"/>
  <c r="CC151" i="16" s="1"/>
  <c r="CK153" i="13"/>
  <c r="CK154" i="13" s="1"/>
  <c r="CK145" i="16" s="1"/>
  <c r="CK151" i="16" s="1"/>
  <c r="CS153" i="13"/>
  <c r="CS154" i="13" s="1"/>
  <c r="CS145" i="16" s="1"/>
  <c r="CS151" i="16" s="1"/>
  <c r="DA153" i="13"/>
  <c r="DA154" i="13" s="1"/>
  <c r="DA145" i="16" s="1"/>
  <c r="DA151" i="16" s="1"/>
  <c r="DI153" i="13"/>
  <c r="DI154" i="13" s="1"/>
  <c r="DI145" i="16" s="1"/>
  <c r="DI151" i="16" s="1"/>
  <c r="DQ153" i="13"/>
  <c r="DQ154" i="13" s="1"/>
  <c r="AP153" i="13"/>
  <c r="AP154" i="13" s="1"/>
  <c r="AP145" i="16" s="1"/>
  <c r="AP151" i="16" s="1"/>
  <c r="BV153" i="13"/>
  <c r="BV154" i="13" s="1"/>
  <c r="BV145" i="16" s="1"/>
  <c r="BV151" i="16" s="1"/>
  <c r="CL153" i="13"/>
  <c r="CL154" i="13" s="1"/>
  <c r="CL145" i="16" s="1"/>
  <c r="CL151" i="16" s="1"/>
  <c r="AI153" i="13"/>
  <c r="AI154" i="13" s="1"/>
  <c r="AI145" i="16" s="1"/>
  <c r="AI151" i="16" s="1"/>
  <c r="DQ102" i="13"/>
  <c r="I100" i="13"/>
  <c r="DQ96" i="13"/>
  <c r="I96" i="13" s="1"/>
  <c r="DP19" i="16" l="1"/>
  <c r="DP145" i="16"/>
  <c r="DP151" i="16" s="1"/>
  <c r="DQ19" i="16"/>
  <c r="DQ145" i="16"/>
  <c r="DQ151" i="16" s="1"/>
  <c r="AP19" i="16"/>
  <c r="BM19" i="16"/>
  <c r="AA19" i="16"/>
  <c r="CR19" i="16"/>
  <c r="AF19" i="16"/>
  <c r="DG19" i="16"/>
  <c r="AU19" i="16"/>
  <c r="DJ19" i="16"/>
  <c r="BR19" i="16"/>
  <c r="CU19" i="16"/>
  <c r="BY19" i="16"/>
  <c r="M19" i="16"/>
  <c r="CV19" i="16"/>
  <c r="AJ19" i="16"/>
  <c r="BE19" i="16"/>
  <c r="K19" i="16"/>
  <c r="CJ19" i="16"/>
  <c r="X19" i="16"/>
  <c r="CY19" i="16"/>
  <c r="AM19" i="16"/>
  <c r="AH19" i="16"/>
  <c r="BJ19" i="16"/>
  <c r="S19" i="16"/>
  <c r="BQ19" i="16"/>
  <c r="CM19" i="16"/>
  <c r="CN19" i="16"/>
  <c r="AB19" i="16"/>
  <c r="DI19" i="16"/>
  <c r="AW19" i="16"/>
  <c r="CD19" i="16"/>
  <c r="CB19" i="16"/>
  <c r="P19" i="16"/>
  <c r="CQ19" i="16"/>
  <c r="AE19" i="16"/>
  <c r="DN19" i="16"/>
  <c r="BB19" i="16"/>
  <c r="R19" i="16"/>
  <c r="BI19" i="16"/>
  <c r="BO19" i="16"/>
  <c r="CF19" i="16"/>
  <c r="T19" i="16"/>
  <c r="DA19" i="16"/>
  <c r="AO19" i="16"/>
  <c r="BN19" i="16"/>
  <c r="BT19" i="16"/>
  <c r="CE19" i="16"/>
  <c r="CI19" i="16"/>
  <c r="W19" i="16"/>
  <c r="DF19" i="16"/>
  <c r="AT19" i="16"/>
  <c r="DM19" i="16"/>
  <c r="BA19" i="16"/>
  <c r="AY19" i="16"/>
  <c r="BX19" i="16"/>
  <c r="L19" i="16"/>
  <c r="CS19" i="16"/>
  <c r="AG19" i="16"/>
  <c r="BF19" i="16"/>
  <c r="BL19" i="16"/>
  <c r="AQ19" i="16"/>
  <c r="CA19" i="16"/>
  <c r="O19" i="16"/>
  <c r="CX19" i="16"/>
  <c r="AL19" i="16"/>
  <c r="DE19" i="16"/>
  <c r="AS19" i="16"/>
  <c r="DB19" i="16"/>
  <c r="BP19" i="16"/>
  <c r="AI19" i="16"/>
  <c r="Y19" i="16"/>
  <c r="BD19" i="16"/>
  <c r="CT19" i="16"/>
  <c r="BS19" i="16"/>
  <c r="DK19" i="16"/>
  <c r="CP19" i="16"/>
  <c r="AD19" i="16"/>
  <c r="CW19" i="16"/>
  <c r="AK19" i="16"/>
  <c r="Z19" i="16"/>
  <c r="BH19" i="16"/>
  <c r="CC19" i="16"/>
  <c r="Q19" i="16"/>
  <c r="DH19" i="16"/>
  <c r="AV19" i="16"/>
  <c r="AX19" i="16"/>
  <c r="BK19" i="16"/>
  <c r="BW19" i="16"/>
  <c r="CH19" i="16"/>
  <c r="V19" i="16"/>
  <c r="CO19" i="16"/>
  <c r="AC19" i="16"/>
  <c r="DL19" i="16"/>
  <c r="AZ19" i="16"/>
  <c r="CK19" i="16"/>
  <c r="CL19" i="16"/>
  <c r="BV19" i="16"/>
  <c r="BU19" i="16"/>
  <c r="DC19" i="16"/>
  <c r="CZ19" i="16"/>
  <c r="AN19" i="16"/>
  <c r="DO19" i="16"/>
  <c r="BC19" i="16"/>
  <c r="BG19" i="16"/>
  <c r="BZ19" i="16"/>
  <c r="N19" i="16"/>
  <c r="CG19" i="16"/>
  <c r="U19" i="16"/>
  <c r="DD19" i="16"/>
  <c r="AR19" i="16"/>
  <c r="DQ104" i="13"/>
  <c r="I102" i="13"/>
  <c r="I19" i="16" l="1"/>
  <c r="F24" i="12" l="1"/>
  <c r="F27" i="12" l="1"/>
  <c r="F28" i="12" s="1"/>
  <c r="F29" i="12" l="1"/>
  <c r="F30" i="12"/>
  <c r="F32" i="12" s="1" a="1"/>
  <c r="F32" i="12" s="1"/>
  <c r="F33" i="12" l="1"/>
  <c r="G38" i="12"/>
  <c r="J38" i="12" s="1"/>
  <c r="G177" i="12" s="1"/>
  <c r="G43" i="12"/>
  <c r="J43" i="12" s="1"/>
  <c r="G38" i="13" s="1"/>
  <c r="G40" i="12"/>
  <c r="J40" i="12" s="1"/>
  <c r="G179" i="12" s="1"/>
  <c r="G42" i="12"/>
  <c r="J42" i="12" s="1"/>
  <c r="G37" i="13" s="1"/>
  <c r="G37" i="12"/>
  <c r="J37" i="12" s="1"/>
  <c r="G32" i="13" s="1"/>
  <c r="G45" i="12"/>
  <c r="J45" i="12" s="1"/>
  <c r="G40" i="13" s="1"/>
  <c r="G39" i="12"/>
  <c r="J39" i="12" s="1"/>
  <c r="G34" i="13" s="1"/>
  <c r="G46" i="12"/>
  <c r="J46" i="12" s="1"/>
  <c r="G185" i="12" s="1"/>
  <c r="G47" i="12"/>
  <c r="J47" i="12" s="1"/>
  <c r="G186" i="12" s="1"/>
  <c r="G44" i="12"/>
  <c r="J44" i="12" s="1"/>
  <c r="G183" i="12" s="1"/>
  <c r="G36" i="12"/>
  <c r="J36" i="12" s="1"/>
  <c r="G41" i="12"/>
  <c r="J41" i="12" s="1"/>
  <c r="G180" i="12" s="1"/>
  <c r="G41" i="13"/>
  <c r="G33" i="13"/>
  <c r="G42" i="13"/>
  <c r="G182" i="12" l="1"/>
  <c r="G39" i="13"/>
  <c r="AR39" i="13" s="1"/>
  <c r="AR133" i="13" s="1"/>
  <c r="G181" i="12"/>
  <c r="G184" i="12"/>
  <c r="G36" i="13"/>
  <c r="S36" i="13" s="1"/>
  <c r="S130" i="13" s="1"/>
  <c r="G35" i="13"/>
  <c r="M35" i="13" s="1"/>
  <c r="M129" i="13" s="1"/>
  <c r="G176" i="12"/>
  <c r="G178" i="12"/>
  <c r="G48" i="12"/>
  <c r="J48" i="12" s="1"/>
  <c r="G187" i="12" s="1"/>
  <c r="W39" i="13"/>
  <c r="W133" i="13" s="1"/>
  <c r="AC39" i="13"/>
  <c r="AC133" i="13" s="1"/>
  <c r="AG39" i="13"/>
  <c r="AG133" i="13" s="1"/>
  <c r="Z39" i="13"/>
  <c r="Z133" i="13" s="1"/>
  <c r="AK39" i="13"/>
  <c r="AK133" i="13" s="1"/>
  <c r="AQ39" i="13"/>
  <c r="AQ133" i="13" s="1"/>
  <c r="BF39" i="13"/>
  <c r="BF133" i="13" s="1"/>
  <c r="BJ39" i="13"/>
  <c r="BJ133" i="13" s="1"/>
  <c r="BO39" i="13"/>
  <c r="BO133" i="13" s="1"/>
  <c r="BU39" i="13"/>
  <c r="BU133" i="13" s="1"/>
  <c r="BW39" i="13"/>
  <c r="BW133" i="13" s="1"/>
  <c r="CB39" i="13"/>
  <c r="CB133" i="13" s="1"/>
  <c r="BD39" i="13"/>
  <c r="BD133" i="13" s="1"/>
  <c r="BY39" i="13"/>
  <c r="BY133" i="13" s="1"/>
  <c r="CE39" i="13"/>
  <c r="CE133" i="13" s="1"/>
  <c r="BT39" i="13"/>
  <c r="BT133" i="13" s="1"/>
  <c r="CR39" i="13"/>
  <c r="CR133" i="13" s="1"/>
  <c r="CS39" i="13"/>
  <c r="CS133" i="13" s="1"/>
  <c r="CJ39" i="13"/>
  <c r="CJ133" i="13" s="1"/>
  <c r="CO39" i="13"/>
  <c r="CO133" i="13" s="1"/>
  <c r="CT39" i="13"/>
  <c r="CT133" i="13" s="1"/>
  <c r="CZ39" i="13"/>
  <c r="CZ133" i="13" s="1"/>
  <c r="CV39" i="13"/>
  <c r="CV133" i="13" s="1"/>
  <c r="DF39" i="13"/>
  <c r="DF133" i="13" s="1"/>
  <c r="DD39" i="13"/>
  <c r="DD133" i="13" s="1"/>
  <c r="CP39" i="13"/>
  <c r="CP133" i="13" s="1"/>
  <c r="DH39" i="13"/>
  <c r="DH133" i="13" s="1"/>
  <c r="DL39" i="13"/>
  <c r="DL133" i="13" s="1"/>
  <c r="DP39" i="13"/>
  <c r="DP133" i="13" s="1"/>
  <c r="L41" i="13"/>
  <c r="L135" i="13" s="1"/>
  <c r="AB41" i="13"/>
  <c r="AB135" i="13" s="1"/>
  <c r="BL41" i="13"/>
  <c r="BL135" i="13" s="1"/>
  <c r="CZ41" i="13"/>
  <c r="CZ135" i="13" s="1"/>
  <c r="T41" i="13"/>
  <c r="T135" i="13" s="1"/>
  <c r="V41" i="13"/>
  <c r="V135" i="13" s="1"/>
  <c r="X41" i="13"/>
  <c r="X135" i="13" s="1"/>
  <c r="Y41" i="13"/>
  <c r="Y135" i="13" s="1"/>
  <c r="AD41" i="13"/>
  <c r="AD135" i="13" s="1"/>
  <c r="M41" i="13"/>
  <c r="M135" i="13" s="1"/>
  <c r="AJ41" i="13"/>
  <c r="AJ135" i="13" s="1"/>
  <c r="CJ41" i="13"/>
  <c r="CJ135" i="13" s="1"/>
  <c r="DN41" i="13"/>
  <c r="DN135" i="13" s="1"/>
  <c r="P41" i="13"/>
  <c r="P135" i="13" s="1"/>
  <c r="R41" i="13"/>
  <c r="R135" i="13" s="1"/>
  <c r="AE41" i="13"/>
  <c r="AE135" i="13" s="1"/>
  <c r="Q41" i="13"/>
  <c r="Q135" i="13" s="1"/>
  <c r="AK41" i="13"/>
  <c r="AK135" i="13" s="1"/>
  <c r="CR41" i="13"/>
  <c r="CR135" i="13" s="1"/>
  <c r="DP41" i="13"/>
  <c r="DP135" i="13" s="1"/>
  <c r="O41" i="13"/>
  <c r="O135" i="13" s="1"/>
  <c r="Z41" i="13"/>
  <c r="Z135" i="13" s="1"/>
  <c r="AA41" i="13"/>
  <c r="AA135" i="13" s="1"/>
  <c r="AC41" i="13"/>
  <c r="AC135" i="13" s="1"/>
  <c r="S41" i="13"/>
  <c r="S135" i="13" s="1"/>
  <c r="N41" i="13"/>
  <c r="N135" i="13" s="1"/>
  <c r="AH41" i="13"/>
  <c r="AH135" i="13" s="1"/>
  <c r="AO41" i="13"/>
  <c r="AO135" i="13" s="1"/>
  <c r="AW41" i="13"/>
  <c r="AW135" i="13" s="1"/>
  <c r="W41" i="13"/>
  <c r="W135" i="13" s="1"/>
  <c r="AG41" i="13"/>
  <c r="AG135" i="13" s="1"/>
  <c r="AQ41" i="13"/>
  <c r="AQ135" i="13" s="1"/>
  <c r="AR41" i="13"/>
  <c r="AR135" i="13" s="1"/>
  <c r="AS41" i="13"/>
  <c r="AS135" i="13" s="1"/>
  <c r="AX41" i="13"/>
  <c r="AX135" i="13" s="1"/>
  <c r="AY41" i="13"/>
  <c r="AY135" i="13" s="1"/>
  <c r="CV41" i="13"/>
  <c r="CV135" i="13" s="1"/>
  <c r="U41" i="13"/>
  <c r="U135" i="13" s="1"/>
  <c r="AF41" i="13"/>
  <c r="AF135" i="13" s="1"/>
  <c r="AM41" i="13"/>
  <c r="AM135" i="13" s="1"/>
  <c r="AP41" i="13"/>
  <c r="AP135" i="13" s="1"/>
  <c r="AV41" i="13"/>
  <c r="AV135" i="13" s="1"/>
  <c r="BC41" i="13"/>
  <c r="BC135" i="13" s="1"/>
  <c r="BH41" i="13"/>
  <c r="BH135" i="13" s="1"/>
  <c r="BO41" i="13"/>
  <c r="BO135" i="13" s="1"/>
  <c r="BQ41" i="13"/>
  <c r="BQ135" i="13" s="1"/>
  <c r="BD41" i="13"/>
  <c r="BD135" i="13" s="1"/>
  <c r="BG41" i="13"/>
  <c r="BG135" i="13" s="1"/>
  <c r="BJ41" i="13"/>
  <c r="BJ135" i="13" s="1"/>
  <c r="BN41" i="13"/>
  <c r="BN135" i="13" s="1"/>
  <c r="AI41" i="13"/>
  <c r="AI135" i="13" s="1"/>
  <c r="AN41" i="13"/>
  <c r="AN135" i="13" s="1"/>
  <c r="AT41" i="13"/>
  <c r="AT135" i="13" s="1"/>
  <c r="AU41" i="13"/>
  <c r="AU135" i="13" s="1"/>
  <c r="BB41" i="13"/>
  <c r="BB135" i="13" s="1"/>
  <c r="AZ41" i="13"/>
  <c r="AZ135" i="13" s="1"/>
  <c r="BV41" i="13"/>
  <c r="BV135" i="13" s="1"/>
  <c r="CD41" i="13"/>
  <c r="CD135" i="13" s="1"/>
  <c r="CG41" i="13"/>
  <c r="CG135" i="13" s="1"/>
  <c r="CH41" i="13"/>
  <c r="CH135" i="13" s="1"/>
  <c r="BA41" i="13"/>
  <c r="BA135" i="13" s="1"/>
  <c r="AL41" i="13"/>
  <c r="AL135" i="13" s="1"/>
  <c r="BK41" i="13"/>
  <c r="BK135" i="13" s="1"/>
  <c r="BR41" i="13"/>
  <c r="BR135" i="13" s="1"/>
  <c r="BS41" i="13"/>
  <c r="BS135" i="13" s="1"/>
  <c r="CA41" i="13"/>
  <c r="CA135" i="13" s="1"/>
  <c r="BM41" i="13"/>
  <c r="BM135" i="13" s="1"/>
  <c r="BP41" i="13"/>
  <c r="BP135" i="13" s="1"/>
  <c r="BT41" i="13"/>
  <c r="BT135" i="13" s="1"/>
  <c r="BU41" i="13"/>
  <c r="BU135" i="13" s="1"/>
  <c r="BW41" i="13"/>
  <c r="BW135" i="13" s="1"/>
  <c r="BX41" i="13"/>
  <c r="BX135" i="13" s="1"/>
  <c r="BI41" i="13"/>
  <c r="BI135" i="13" s="1"/>
  <c r="BE41" i="13"/>
  <c r="BE135" i="13" s="1"/>
  <c r="CM41" i="13"/>
  <c r="CM135" i="13" s="1"/>
  <c r="CP41" i="13"/>
  <c r="CP135" i="13" s="1"/>
  <c r="BZ41" i="13"/>
  <c r="BZ135" i="13" s="1"/>
  <c r="CB41" i="13"/>
  <c r="CB135" i="13" s="1"/>
  <c r="CC41" i="13"/>
  <c r="CC135" i="13" s="1"/>
  <c r="CK41" i="13"/>
  <c r="CK135" i="13" s="1"/>
  <c r="CO41" i="13"/>
  <c r="CO135" i="13" s="1"/>
  <c r="CQ41" i="13"/>
  <c r="CQ135" i="13" s="1"/>
  <c r="CS41" i="13"/>
  <c r="CS135" i="13" s="1"/>
  <c r="CT41" i="13"/>
  <c r="CT135" i="13" s="1"/>
  <c r="DC41" i="13"/>
  <c r="DC135" i="13" s="1"/>
  <c r="DD41" i="13"/>
  <c r="DD135" i="13" s="1"/>
  <c r="CI41" i="13"/>
  <c r="CI135" i="13" s="1"/>
  <c r="CU41" i="13"/>
  <c r="CU135" i="13" s="1"/>
  <c r="CW41" i="13"/>
  <c r="CW135" i="13" s="1"/>
  <c r="CY41" i="13"/>
  <c r="CY135" i="13" s="1"/>
  <c r="CF41" i="13"/>
  <c r="CF135" i="13" s="1"/>
  <c r="K41" i="13"/>
  <c r="BF41" i="13"/>
  <c r="BF135" i="13" s="1"/>
  <c r="CL41" i="13"/>
  <c r="CL135" i="13" s="1"/>
  <c r="CN41" i="13"/>
  <c r="CN135" i="13" s="1"/>
  <c r="DJ41" i="13"/>
  <c r="DJ135" i="13" s="1"/>
  <c r="DA41" i="13"/>
  <c r="DA135" i="13" s="1"/>
  <c r="DB41" i="13"/>
  <c r="DB135" i="13" s="1"/>
  <c r="DF41" i="13"/>
  <c r="DF135" i="13" s="1"/>
  <c r="DG41" i="13"/>
  <c r="DG135" i="13" s="1"/>
  <c r="DH41" i="13"/>
  <c r="DH135" i="13" s="1"/>
  <c r="DM41" i="13"/>
  <c r="DM135" i="13" s="1"/>
  <c r="DQ41" i="13"/>
  <c r="DQ135" i="13" s="1"/>
  <c r="BY41" i="13"/>
  <c r="BY135" i="13" s="1"/>
  <c r="DI41" i="13"/>
  <c r="DI135" i="13" s="1"/>
  <c r="DL41" i="13"/>
  <c r="DL135" i="13" s="1"/>
  <c r="CE41" i="13"/>
  <c r="CE135" i="13" s="1"/>
  <c r="CX41" i="13"/>
  <c r="CX135" i="13" s="1"/>
  <c r="DE41" i="13"/>
  <c r="DE135" i="13" s="1"/>
  <c r="DK41" i="13"/>
  <c r="DK135" i="13" s="1"/>
  <c r="DO41" i="13"/>
  <c r="DO135" i="13" s="1"/>
  <c r="G175" i="12"/>
  <c r="G31" i="13"/>
  <c r="AD33" i="13"/>
  <c r="AD127" i="13" s="1"/>
  <c r="P33" i="13"/>
  <c r="P127" i="13" s="1"/>
  <c r="X33" i="13"/>
  <c r="X127" i="13" s="1"/>
  <c r="Z33" i="13"/>
  <c r="Z127" i="13" s="1"/>
  <c r="AA33" i="13"/>
  <c r="AA127" i="13" s="1"/>
  <c r="AE33" i="13"/>
  <c r="AE127" i="13" s="1"/>
  <c r="L33" i="13"/>
  <c r="L127" i="13" s="1"/>
  <c r="CE33" i="13"/>
  <c r="CE127" i="13" s="1"/>
  <c r="R33" i="13"/>
  <c r="R127" i="13" s="1"/>
  <c r="S33" i="13"/>
  <c r="S127" i="13" s="1"/>
  <c r="U33" i="13"/>
  <c r="U127" i="13" s="1"/>
  <c r="V33" i="13"/>
  <c r="V127" i="13" s="1"/>
  <c r="AB33" i="13"/>
  <c r="AB127" i="13" s="1"/>
  <c r="M33" i="13"/>
  <c r="M127" i="13" s="1"/>
  <c r="Q33" i="13"/>
  <c r="Q127" i="13" s="1"/>
  <c r="T33" i="13"/>
  <c r="T127" i="13" s="1"/>
  <c r="W33" i="13"/>
  <c r="W127" i="13" s="1"/>
  <c r="Y33" i="13"/>
  <c r="Y127" i="13" s="1"/>
  <c r="AC33" i="13"/>
  <c r="AC127" i="13" s="1"/>
  <c r="AI33" i="13"/>
  <c r="AI127" i="13" s="1"/>
  <c r="AJ33" i="13"/>
  <c r="AJ127" i="13" s="1"/>
  <c r="AL33" i="13"/>
  <c r="AL127" i="13" s="1"/>
  <c r="AM33" i="13"/>
  <c r="AM127" i="13" s="1"/>
  <c r="AP33" i="13"/>
  <c r="AP127" i="13" s="1"/>
  <c r="AT33" i="13"/>
  <c r="AT127" i="13" s="1"/>
  <c r="AV33" i="13"/>
  <c r="AV127" i="13" s="1"/>
  <c r="AG33" i="13"/>
  <c r="AG127" i="13" s="1"/>
  <c r="AH33" i="13"/>
  <c r="AH127" i="13" s="1"/>
  <c r="AK33" i="13"/>
  <c r="AK127" i="13" s="1"/>
  <c r="AN33" i="13"/>
  <c r="AN127" i="13" s="1"/>
  <c r="AW33" i="13"/>
  <c r="AW127" i="13" s="1"/>
  <c r="AX33" i="13"/>
  <c r="AX127" i="13" s="1"/>
  <c r="BA33" i="13"/>
  <c r="BA127" i="13" s="1"/>
  <c r="AF33" i="13"/>
  <c r="AF127" i="13" s="1"/>
  <c r="AQ33" i="13"/>
  <c r="AQ127" i="13" s="1"/>
  <c r="AS33" i="13"/>
  <c r="AS127" i="13" s="1"/>
  <c r="AZ33" i="13"/>
  <c r="AZ127" i="13" s="1"/>
  <c r="BG33" i="13"/>
  <c r="BG127" i="13" s="1"/>
  <c r="BJ33" i="13"/>
  <c r="BJ127" i="13" s="1"/>
  <c r="BM33" i="13"/>
  <c r="BM127" i="13" s="1"/>
  <c r="BO33" i="13"/>
  <c r="BO127" i="13" s="1"/>
  <c r="AY33" i="13"/>
  <c r="AY127" i="13" s="1"/>
  <c r="BC33" i="13"/>
  <c r="BC127" i="13" s="1"/>
  <c r="BH33" i="13"/>
  <c r="BH127" i="13" s="1"/>
  <c r="BQ33" i="13"/>
  <c r="BQ127" i="13" s="1"/>
  <c r="AO33" i="13"/>
  <c r="AO127" i="13" s="1"/>
  <c r="O33" i="13"/>
  <c r="O127" i="13" s="1"/>
  <c r="BB33" i="13"/>
  <c r="BB127" i="13" s="1"/>
  <c r="BT33" i="13"/>
  <c r="BT127" i="13" s="1"/>
  <c r="CB33" i="13"/>
  <c r="CB127" i="13" s="1"/>
  <c r="CC33" i="13"/>
  <c r="CC127" i="13" s="1"/>
  <c r="CD33" i="13"/>
  <c r="CD127" i="13" s="1"/>
  <c r="CI33" i="13"/>
  <c r="CI127" i="13" s="1"/>
  <c r="AU33" i="13"/>
  <c r="AU127" i="13" s="1"/>
  <c r="BK33" i="13"/>
  <c r="BK127" i="13" s="1"/>
  <c r="AR33" i="13"/>
  <c r="AR127" i="13" s="1"/>
  <c r="BV33" i="13"/>
  <c r="BV127" i="13" s="1"/>
  <c r="BW33" i="13"/>
  <c r="BW127" i="13" s="1"/>
  <c r="BY33" i="13"/>
  <c r="BY127" i="13" s="1"/>
  <c r="BZ33" i="13"/>
  <c r="BZ127" i="13" s="1"/>
  <c r="CG33" i="13"/>
  <c r="CG127" i="13" s="1"/>
  <c r="BD33" i="13"/>
  <c r="BD127" i="13" s="1"/>
  <c r="BI33" i="13"/>
  <c r="BI127" i="13" s="1"/>
  <c r="BL33" i="13"/>
  <c r="BL127" i="13" s="1"/>
  <c r="BP33" i="13"/>
  <c r="BP127" i="13" s="1"/>
  <c r="BU33" i="13"/>
  <c r="BU127" i="13" s="1"/>
  <c r="CA33" i="13"/>
  <c r="CA127" i="13" s="1"/>
  <c r="CF33" i="13"/>
  <c r="CF127" i="13" s="1"/>
  <c r="N33" i="13"/>
  <c r="N127" i="13" s="1"/>
  <c r="BE33" i="13"/>
  <c r="BE127" i="13" s="1"/>
  <c r="BF33" i="13"/>
  <c r="BF127" i="13" s="1"/>
  <c r="BR33" i="13"/>
  <c r="BR127" i="13" s="1"/>
  <c r="BS33" i="13"/>
  <c r="BS127" i="13" s="1"/>
  <c r="BN33" i="13"/>
  <c r="BN127" i="13" s="1"/>
  <c r="CN33" i="13"/>
  <c r="CN127" i="13" s="1"/>
  <c r="CT33" i="13"/>
  <c r="CT127" i="13" s="1"/>
  <c r="CW33" i="13"/>
  <c r="CW127" i="13" s="1"/>
  <c r="CX33" i="13"/>
  <c r="CX127" i="13" s="1"/>
  <c r="CZ33" i="13"/>
  <c r="CZ127" i="13" s="1"/>
  <c r="DD33" i="13"/>
  <c r="DD127" i="13" s="1"/>
  <c r="CO33" i="13"/>
  <c r="CO127" i="13" s="1"/>
  <c r="CP33" i="13"/>
  <c r="CP127" i="13" s="1"/>
  <c r="CR33" i="13"/>
  <c r="CR127" i="13" s="1"/>
  <c r="CU33" i="13"/>
  <c r="CU127" i="13" s="1"/>
  <c r="DC33" i="13"/>
  <c r="DC127" i="13" s="1"/>
  <c r="DF33" i="13"/>
  <c r="DF127" i="13" s="1"/>
  <c r="CJ33" i="13"/>
  <c r="CJ127" i="13" s="1"/>
  <c r="CL33" i="13"/>
  <c r="CL127" i="13" s="1"/>
  <c r="CV33" i="13"/>
  <c r="CV127" i="13" s="1"/>
  <c r="K33" i="13"/>
  <c r="CH33" i="13"/>
  <c r="CH127" i="13" s="1"/>
  <c r="DB33" i="13"/>
  <c r="DB127" i="13" s="1"/>
  <c r="BX33" i="13"/>
  <c r="BX127" i="13" s="1"/>
  <c r="DI33" i="13"/>
  <c r="DI127" i="13" s="1"/>
  <c r="DN33" i="13"/>
  <c r="DN127" i="13" s="1"/>
  <c r="DO33" i="13"/>
  <c r="DO127" i="13" s="1"/>
  <c r="DP33" i="13"/>
  <c r="DP127" i="13" s="1"/>
  <c r="DQ33" i="13"/>
  <c r="DQ127" i="13" s="1"/>
  <c r="CY33" i="13"/>
  <c r="CY127" i="13" s="1"/>
  <c r="DA33" i="13"/>
  <c r="DA127" i="13" s="1"/>
  <c r="DE33" i="13"/>
  <c r="DE127" i="13" s="1"/>
  <c r="CQ33" i="13"/>
  <c r="CQ127" i="13" s="1"/>
  <c r="DG33" i="13"/>
  <c r="DG127" i="13" s="1"/>
  <c r="DH33" i="13"/>
  <c r="DH127" i="13" s="1"/>
  <c r="DK33" i="13"/>
  <c r="DK127" i="13" s="1"/>
  <c r="DL33" i="13"/>
  <c r="DL127" i="13" s="1"/>
  <c r="CS33" i="13"/>
  <c r="CS127" i="13" s="1"/>
  <c r="DJ33" i="13"/>
  <c r="DJ127" i="13" s="1"/>
  <c r="CK33" i="13"/>
  <c r="CK127" i="13" s="1"/>
  <c r="DM33" i="13"/>
  <c r="DM127" i="13" s="1"/>
  <c r="CM33" i="13"/>
  <c r="CM127" i="13" s="1"/>
  <c r="M40" i="13"/>
  <c r="M134" i="13" s="1"/>
  <c r="AI40" i="13"/>
  <c r="AI134" i="13" s="1"/>
  <c r="BF40" i="13"/>
  <c r="BF134" i="13" s="1"/>
  <c r="CK40" i="13"/>
  <c r="CK134" i="13" s="1"/>
  <c r="DM40" i="13"/>
  <c r="DM134" i="13" s="1"/>
  <c r="N40" i="13"/>
  <c r="N134" i="13" s="1"/>
  <c r="R40" i="13"/>
  <c r="R134" i="13" s="1"/>
  <c r="AD40" i="13"/>
  <c r="AD134" i="13" s="1"/>
  <c r="AA40" i="13"/>
  <c r="AA134" i="13" s="1"/>
  <c r="AP40" i="13"/>
  <c r="AP134" i="13" s="1"/>
  <c r="BU40" i="13"/>
  <c r="BU134" i="13" s="1"/>
  <c r="CO40" i="13"/>
  <c r="CO134" i="13" s="1"/>
  <c r="V40" i="13"/>
  <c r="V134" i="13" s="1"/>
  <c r="W40" i="13"/>
  <c r="W134" i="13" s="1"/>
  <c r="X40" i="13"/>
  <c r="X134" i="13" s="1"/>
  <c r="AE40" i="13"/>
  <c r="AE134" i="13" s="1"/>
  <c r="AQ40" i="13"/>
  <c r="AQ134" i="13" s="1"/>
  <c r="BW40" i="13"/>
  <c r="BW134" i="13" s="1"/>
  <c r="CW40" i="13"/>
  <c r="CW134" i="13" s="1"/>
  <c r="P40" i="13"/>
  <c r="P134" i="13" s="1"/>
  <c r="U40" i="13"/>
  <c r="U134" i="13" s="1"/>
  <c r="Z40" i="13"/>
  <c r="Z134" i="13" s="1"/>
  <c r="AB40" i="13"/>
  <c r="AB134" i="13" s="1"/>
  <c r="AX40" i="13"/>
  <c r="AX134" i="13" s="1"/>
  <c r="AC40" i="13"/>
  <c r="AC134" i="13" s="1"/>
  <c r="AJ40" i="13"/>
  <c r="AJ134" i="13" s="1"/>
  <c r="AR40" i="13"/>
  <c r="AR134" i="13" s="1"/>
  <c r="AS40" i="13"/>
  <c r="AS134" i="13" s="1"/>
  <c r="AT40" i="13"/>
  <c r="AT134" i="13" s="1"/>
  <c r="CI40" i="13"/>
  <c r="CI134" i="13" s="1"/>
  <c r="Y40" i="13"/>
  <c r="Y134" i="13" s="1"/>
  <c r="AF40" i="13"/>
  <c r="AF134" i="13" s="1"/>
  <c r="L40" i="13"/>
  <c r="L134" i="13" s="1"/>
  <c r="DL40" i="13"/>
  <c r="DL134" i="13" s="1"/>
  <c r="O40" i="13"/>
  <c r="O134" i="13" s="1"/>
  <c r="S40" i="13"/>
  <c r="S134" i="13" s="1"/>
  <c r="AM40" i="13"/>
  <c r="AM134" i="13" s="1"/>
  <c r="AO40" i="13"/>
  <c r="AO134" i="13" s="1"/>
  <c r="AU40" i="13"/>
  <c r="AU134" i="13" s="1"/>
  <c r="BD40" i="13"/>
  <c r="BD134" i="13" s="1"/>
  <c r="BI40" i="13"/>
  <c r="BI134" i="13" s="1"/>
  <c r="BK40" i="13"/>
  <c r="BK134" i="13" s="1"/>
  <c r="BQ40" i="13"/>
  <c r="BQ134" i="13" s="1"/>
  <c r="AH40" i="13"/>
  <c r="AH134" i="13" s="1"/>
  <c r="BB40" i="13"/>
  <c r="BB134" i="13" s="1"/>
  <c r="BL40" i="13"/>
  <c r="BL134" i="13" s="1"/>
  <c r="BO40" i="13"/>
  <c r="BO134" i="13" s="1"/>
  <c r="T40" i="13"/>
  <c r="T134" i="13" s="1"/>
  <c r="AG40" i="13"/>
  <c r="AG134" i="13" s="1"/>
  <c r="AK40" i="13"/>
  <c r="AK134" i="13" s="1"/>
  <c r="AL40" i="13"/>
  <c r="AL134" i="13" s="1"/>
  <c r="BA40" i="13"/>
  <c r="BA134" i="13" s="1"/>
  <c r="BG40" i="13"/>
  <c r="BG134" i="13" s="1"/>
  <c r="BJ40" i="13"/>
  <c r="BJ134" i="13" s="1"/>
  <c r="BR40" i="13"/>
  <c r="BR134" i="13" s="1"/>
  <c r="BX40" i="13"/>
  <c r="BX134" i="13" s="1"/>
  <c r="CB40" i="13"/>
  <c r="CB134" i="13" s="1"/>
  <c r="CC40" i="13"/>
  <c r="CC134" i="13" s="1"/>
  <c r="CE40" i="13"/>
  <c r="CE134" i="13" s="1"/>
  <c r="Q40" i="13"/>
  <c r="Q134" i="13" s="1"/>
  <c r="AN40" i="13"/>
  <c r="AN134" i="13" s="1"/>
  <c r="AZ40" i="13"/>
  <c r="AZ134" i="13" s="1"/>
  <c r="BC40" i="13"/>
  <c r="BC134" i="13" s="1"/>
  <c r="BN40" i="13"/>
  <c r="BN134" i="13" s="1"/>
  <c r="BP40" i="13"/>
  <c r="BP134" i="13" s="1"/>
  <c r="AV40" i="13"/>
  <c r="AV134" i="13" s="1"/>
  <c r="BH40" i="13"/>
  <c r="BH134" i="13" s="1"/>
  <c r="BM40" i="13"/>
  <c r="BM134" i="13" s="1"/>
  <c r="BS40" i="13"/>
  <c r="BS134" i="13" s="1"/>
  <c r="BT40" i="13"/>
  <c r="BT134" i="13" s="1"/>
  <c r="BY40" i="13"/>
  <c r="BY134" i="13" s="1"/>
  <c r="BZ40" i="13"/>
  <c r="BZ134" i="13" s="1"/>
  <c r="CF40" i="13"/>
  <c r="CF134" i="13" s="1"/>
  <c r="AY40" i="13"/>
  <c r="AY134" i="13" s="1"/>
  <c r="CH40" i="13"/>
  <c r="CH134" i="13" s="1"/>
  <c r="CJ40" i="13"/>
  <c r="CJ134" i="13" s="1"/>
  <c r="CL40" i="13"/>
  <c r="CL134" i="13" s="1"/>
  <c r="CM40" i="13"/>
  <c r="CM134" i="13" s="1"/>
  <c r="CQ40" i="13"/>
  <c r="CQ134" i="13" s="1"/>
  <c r="CT40" i="13"/>
  <c r="CT134" i="13" s="1"/>
  <c r="CU40" i="13"/>
  <c r="CU134" i="13" s="1"/>
  <c r="CY40" i="13"/>
  <c r="CY134" i="13" s="1"/>
  <c r="DB40" i="13"/>
  <c r="DB134" i="13" s="1"/>
  <c r="DC40" i="13"/>
  <c r="DC134" i="13" s="1"/>
  <c r="DD40" i="13"/>
  <c r="DD134" i="13" s="1"/>
  <c r="DE40" i="13"/>
  <c r="DE134" i="13" s="1"/>
  <c r="DF40" i="13"/>
  <c r="DF134" i="13" s="1"/>
  <c r="BV40" i="13"/>
  <c r="BV134" i="13" s="1"/>
  <c r="CS40" i="13"/>
  <c r="CS134" i="13" s="1"/>
  <c r="CG40" i="13"/>
  <c r="CG134" i="13" s="1"/>
  <c r="CN40" i="13"/>
  <c r="CN134" i="13" s="1"/>
  <c r="CP40" i="13"/>
  <c r="CP134" i="13" s="1"/>
  <c r="CV40" i="13"/>
  <c r="CV134" i="13" s="1"/>
  <c r="CX40" i="13"/>
  <c r="CX134" i="13" s="1"/>
  <c r="BE40" i="13"/>
  <c r="BE134" i="13" s="1"/>
  <c r="DA40" i="13"/>
  <c r="DA134" i="13" s="1"/>
  <c r="K40" i="13"/>
  <c r="CR40" i="13"/>
  <c r="CR134" i="13" s="1"/>
  <c r="DI40" i="13"/>
  <c r="DI134" i="13" s="1"/>
  <c r="CZ40" i="13"/>
  <c r="CZ134" i="13" s="1"/>
  <c r="DG40" i="13"/>
  <c r="DG134" i="13" s="1"/>
  <c r="DH40" i="13"/>
  <c r="DH134" i="13" s="1"/>
  <c r="DK40" i="13"/>
  <c r="DK134" i="13" s="1"/>
  <c r="DQ40" i="13"/>
  <c r="DQ134" i="13" s="1"/>
  <c r="CD40" i="13"/>
  <c r="CD134" i="13" s="1"/>
  <c r="DO40" i="13"/>
  <c r="DO134" i="13" s="1"/>
  <c r="DP40" i="13"/>
  <c r="DP134" i="13" s="1"/>
  <c r="DJ40" i="13"/>
  <c r="DJ134" i="13" s="1"/>
  <c r="AW40" i="13"/>
  <c r="AW134" i="13" s="1"/>
  <c r="CA40" i="13"/>
  <c r="CA134" i="13" s="1"/>
  <c r="DN40" i="13"/>
  <c r="DN134" i="13" s="1"/>
  <c r="X36" i="13"/>
  <c r="X130" i="13" s="1"/>
  <c r="R36" i="13"/>
  <c r="R130" i="13" s="1"/>
  <c r="L42" i="13"/>
  <c r="L136" i="13" s="1"/>
  <c r="AL42" i="13"/>
  <c r="AL136" i="13" s="1"/>
  <c r="BQ42" i="13"/>
  <c r="BQ136" i="13" s="1"/>
  <c r="CY42" i="13"/>
  <c r="CY136" i="13" s="1"/>
  <c r="O42" i="13"/>
  <c r="O136" i="13" s="1"/>
  <c r="S42" i="13"/>
  <c r="S136" i="13" s="1"/>
  <c r="T42" i="13"/>
  <c r="T136" i="13" s="1"/>
  <c r="AA42" i="13"/>
  <c r="AA136" i="13" s="1"/>
  <c r="AB42" i="13"/>
  <c r="AB136" i="13" s="1"/>
  <c r="M42" i="13"/>
  <c r="M136" i="13" s="1"/>
  <c r="AS42" i="13"/>
  <c r="AS136" i="13" s="1"/>
  <c r="BZ42" i="13"/>
  <c r="BZ136" i="13" s="1"/>
  <c r="Q42" i="13"/>
  <c r="Q136" i="13" s="1"/>
  <c r="Y42" i="13"/>
  <c r="Y136" i="13" s="1"/>
  <c r="Z42" i="13"/>
  <c r="Z136" i="13" s="1"/>
  <c r="AC42" i="13"/>
  <c r="AC136" i="13" s="1"/>
  <c r="U42" i="13"/>
  <c r="U136" i="13" s="1"/>
  <c r="BA42" i="13"/>
  <c r="BA136" i="13" s="1"/>
  <c r="CG42" i="13"/>
  <c r="CG136" i="13" s="1"/>
  <c r="N42" i="13"/>
  <c r="N136" i="13" s="1"/>
  <c r="R42" i="13"/>
  <c r="R136" i="13" s="1"/>
  <c r="X42" i="13"/>
  <c r="X136" i="13" s="1"/>
  <c r="AD42" i="13"/>
  <c r="AD136" i="13" s="1"/>
  <c r="W42" i="13"/>
  <c r="W136" i="13" s="1"/>
  <c r="V42" i="13"/>
  <c r="V136" i="13" s="1"/>
  <c r="AE42" i="13"/>
  <c r="AE136" i="13" s="1"/>
  <c r="AK42" i="13"/>
  <c r="AK136" i="13" s="1"/>
  <c r="AO42" i="13"/>
  <c r="AO136" i="13" s="1"/>
  <c r="AT42" i="13"/>
  <c r="AT136" i="13" s="1"/>
  <c r="AU42" i="13"/>
  <c r="AU136" i="13" s="1"/>
  <c r="AV42" i="13"/>
  <c r="AV136" i="13" s="1"/>
  <c r="BO42" i="13"/>
  <c r="BO136" i="13" s="1"/>
  <c r="AG42" i="13"/>
  <c r="AG136" i="13" s="1"/>
  <c r="AH42" i="13"/>
  <c r="AH136" i="13" s="1"/>
  <c r="AI42" i="13"/>
  <c r="AI136" i="13" s="1"/>
  <c r="AP42" i="13"/>
  <c r="AP136" i="13" s="1"/>
  <c r="AQ42" i="13"/>
  <c r="AQ136" i="13" s="1"/>
  <c r="CQ42" i="13"/>
  <c r="CQ136" i="13" s="1"/>
  <c r="P42" i="13"/>
  <c r="P136" i="13" s="1"/>
  <c r="AJ42" i="13"/>
  <c r="AJ136" i="13" s="1"/>
  <c r="AM42" i="13"/>
  <c r="AM136" i="13" s="1"/>
  <c r="AN42" i="13"/>
  <c r="AN136" i="13" s="1"/>
  <c r="AW42" i="13"/>
  <c r="AW136" i="13" s="1"/>
  <c r="AF42" i="13"/>
  <c r="AF136" i="13" s="1"/>
  <c r="BC42" i="13"/>
  <c r="BC136" i="13" s="1"/>
  <c r="BE42" i="13"/>
  <c r="BE136" i="13" s="1"/>
  <c r="BF42" i="13"/>
  <c r="BF136" i="13" s="1"/>
  <c r="AX42" i="13"/>
  <c r="AX136" i="13" s="1"/>
  <c r="BG42" i="13"/>
  <c r="BG136" i="13" s="1"/>
  <c r="BI42" i="13"/>
  <c r="BI136" i="13" s="1"/>
  <c r="BK42" i="13"/>
  <c r="BK136" i="13" s="1"/>
  <c r="BM42" i="13"/>
  <c r="BM136" i="13" s="1"/>
  <c r="BN42" i="13"/>
  <c r="BN136" i="13" s="1"/>
  <c r="BP42" i="13"/>
  <c r="BP136" i="13" s="1"/>
  <c r="BR42" i="13"/>
  <c r="BR136" i="13" s="1"/>
  <c r="AZ42" i="13"/>
  <c r="AZ136" i="13" s="1"/>
  <c r="BW42" i="13"/>
  <c r="BW136" i="13" s="1"/>
  <c r="CA42" i="13"/>
  <c r="CA136" i="13" s="1"/>
  <c r="CB42" i="13"/>
  <c r="CB136" i="13" s="1"/>
  <c r="BD42" i="13"/>
  <c r="BD136" i="13" s="1"/>
  <c r="BH42" i="13"/>
  <c r="BH136" i="13" s="1"/>
  <c r="BS42" i="13"/>
  <c r="BS136" i="13" s="1"/>
  <c r="BT42" i="13"/>
  <c r="BT136" i="13" s="1"/>
  <c r="CC42" i="13"/>
  <c r="CC136" i="13" s="1"/>
  <c r="AY42" i="13"/>
  <c r="AY136" i="13" s="1"/>
  <c r="BJ42" i="13"/>
  <c r="BJ136" i="13" s="1"/>
  <c r="BL42" i="13"/>
  <c r="BL136" i="13" s="1"/>
  <c r="BU42" i="13"/>
  <c r="BU136" i="13" s="1"/>
  <c r="BV42" i="13"/>
  <c r="BV136" i="13" s="1"/>
  <c r="BX42" i="13"/>
  <c r="BX136" i="13" s="1"/>
  <c r="CE42" i="13"/>
  <c r="CE136" i="13" s="1"/>
  <c r="CF42" i="13"/>
  <c r="CF136" i="13" s="1"/>
  <c r="AR42" i="13"/>
  <c r="AR136" i="13" s="1"/>
  <c r="BB42" i="13"/>
  <c r="BB136" i="13" s="1"/>
  <c r="CH42" i="13"/>
  <c r="CH136" i="13" s="1"/>
  <c r="CI42" i="13"/>
  <c r="CI136" i="13" s="1"/>
  <c r="CV42" i="13"/>
  <c r="CV136" i="13" s="1"/>
  <c r="CZ42" i="13"/>
  <c r="CZ136" i="13" s="1"/>
  <c r="DA42" i="13"/>
  <c r="DA136" i="13" s="1"/>
  <c r="CD42" i="13"/>
  <c r="CD136" i="13" s="1"/>
  <c r="CL42" i="13"/>
  <c r="CL136" i="13" s="1"/>
  <c r="CN42" i="13"/>
  <c r="CN136" i="13" s="1"/>
  <c r="DF42" i="13"/>
  <c r="DF136" i="13" s="1"/>
  <c r="BY42" i="13"/>
  <c r="BY136" i="13" s="1"/>
  <c r="CK42" i="13"/>
  <c r="CK136" i="13" s="1"/>
  <c r="CP42" i="13"/>
  <c r="CP136" i="13" s="1"/>
  <c r="CT42" i="13"/>
  <c r="CT136" i="13" s="1"/>
  <c r="CX42" i="13"/>
  <c r="CX136" i="13" s="1"/>
  <c r="CU42" i="13"/>
  <c r="CU136" i="13" s="1"/>
  <c r="DC42" i="13"/>
  <c r="DC136" i="13" s="1"/>
  <c r="K42" i="13"/>
  <c r="CO42" i="13"/>
  <c r="CO136" i="13" s="1"/>
  <c r="DG42" i="13"/>
  <c r="DG136" i="13" s="1"/>
  <c r="DM42" i="13"/>
  <c r="DM136" i="13" s="1"/>
  <c r="DE42" i="13"/>
  <c r="DE136" i="13" s="1"/>
  <c r="CJ42" i="13"/>
  <c r="CJ136" i="13" s="1"/>
  <c r="DL42" i="13"/>
  <c r="DL136" i="13" s="1"/>
  <c r="DQ42" i="13"/>
  <c r="DQ136" i="13" s="1"/>
  <c r="DD42" i="13"/>
  <c r="DD136" i="13" s="1"/>
  <c r="CM42" i="13"/>
  <c r="CM136" i="13" s="1"/>
  <c r="CS42" i="13"/>
  <c r="CS136" i="13" s="1"/>
  <c r="CW42" i="13"/>
  <c r="CW136" i="13" s="1"/>
  <c r="DI42" i="13"/>
  <c r="DI136" i="13" s="1"/>
  <c r="DO42" i="13"/>
  <c r="DO136" i="13" s="1"/>
  <c r="DB42" i="13"/>
  <c r="DB136" i="13" s="1"/>
  <c r="DJ42" i="13"/>
  <c r="DJ136" i="13" s="1"/>
  <c r="DP42" i="13"/>
  <c r="DP136" i="13" s="1"/>
  <c r="DH42" i="13"/>
  <c r="DH136" i="13" s="1"/>
  <c r="DN42" i="13"/>
  <c r="DN136" i="13" s="1"/>
  <c r="DK42" i="13"/>
  <c r="DK136" i="13" s="1"/>
  <c r="CR42" i="13"/>
  <c r="CR136" i="13" s="1"/>
  <c r="M38" i="13"/>
  <c r="M132" i="13" s="1"/>
  <c r="BI38" i="13"/>
  <c r="BI132" i="13" s="1"/>
  <c r="CF38" i="13"/>
  <c r="CF132" i="13" s="1"/>
  <c r="N38" i="13"/>
  <c r="N132" i="13" s="1"/>
  <c r="O38" i="13"/>
  <c r="O132" i="13" s="1"/>
  <c r="Q38" i="13"/>
  <c r="Q132" i="13" s="1"/>
  <c r="W38" i="13"/>
  <c r="W132" i="13" s="1"/>
  <c r="AB38" i="13"/>
  <c r="AB132" i="13" s="1"/>
  <c r="AE38" i="13"/>
  <c r="AE132" i="13" s="1"/>
  <c r="AN38" i="13"/>
  <c r="AN132" i="13" s="1"/>
  <c r="BP38" i="13"/>
  <c r="BP132" i="13" s="1"/>
  <c r="CL38" i="13"/>
  <c r="CL132" i="13" s="1"/>
  <c r="T38" i="13"/>
  <c r="T132" i="13" s="1"/>
  <c r="AY38" i="13"/>
  <c r="AY132" i="13" s="1"/>
  <c r="BT38" i="13"/>
  <c r="BT132" i="13" s="1"/>
  <c r="DA38" i="13"/>
  <c r="DA132" i="13" s="1"/>
  <c r="R38" i="13"/>
  <c r="R132" i="13" s="1"/>
  <c r="S38" i="13"/>
  <c r="S132" i="13" s="1"/>
  <c r="U38" i="13"/>
  <c r="U132" i="13" s="1"/>
  <c r="V38" i="13"/>
  <c r="V132" i="13" s="1"/>
  <c r="AC38" i="13"/>
  <c r="AC132" i="13" s="1"/>
  <c r="AF38" i="13"/>
  <c r="AF132" i="13" s="1"/>
  <c r="L38" i="13"/>
  <c r="L132" i="13" s="1"/>
  <c r="P38" i="13"/>
  <c r="P132" i="13" s="1"/>
  <c r="Z38" i="13"/>
  <c r="Z132" i="13" s="1"/>
  <c r="AA38" i="13"/>
  <c r="AA132" i="13" s="1"/>
  <c r="AG38" i="13"/>
  <c r="AG132" i="13" s="1"/>
  <c r="AL38" i="13"/>
  <c r="AL132" i="13" s="1"/>
  <c r="AU38" i="13"/>
  <c r="AU132" i="13" s="1"/>
  <c r="AX38" i="13"/>
  <c r="AX132" i="13" s="1"/>
  <c r="BH38" i="13"/>
  <c r="BH132" i="13" s="1"/>
  <c r="AS38" i="13"/>
  <c r="AS132" i="13" s="1"/>
  <c r="AT38" i="13"/>
  <c r="AT132" i="13" s="1"/>
  <c r="AW38" i="13"/>
  <c r="AW132" i="13" s="1"/>
  <c r="BA38" i="13"/>
  <c r="BA132" i="13" s="1"/>
  <c r="BX38" i="13"/>
  <c r="BX132" i="13" s="1"/>
  <c r="X38" i="13"/>
  <c r="X132" i="13" s="1"/>
  <c r="AD38" i="13"/>
  <c r="AD132" i="13" s="1"/>
  <c r="AJ38" i="13"/>
  <c r="AJ132" i="13" s="1"/>
  <c r="AK38" i="13"/>
  <c r="AK132" i="13" s="1"/>
  <c r="AV38" i="13"/>
  <c r="AV132" i="13" s="1"/>
  <c r="BJ38" i="13"/>
  <c r="BJ132" i="13" s="1"/>
  <c r="BK38" i="13"/>
  <c r="BK132" i="13" s="1"/>
  <c r="BL38" i="13"/>
  <c r="BL132" i="13" s="1"/>
  <c r="BM38" i="13"/>
  <c r="BM132" i="13" s="1"/>
  <c r="BC38" i="13"/>
  <c r="BC132" i="13" s="1"/>
  <c r="BD38" i="13"/>
  <c r="BD132" i="13" s="1"/>
  <c r="BF38" i="13"/>
  <c r="BF132" i="13" s="1"/>
  <c r="BO38" i="13"/>
  <c r="BO132" i="13" s="1"/>
  <c r="Y38" i="13"/>
  <c r="Y132" i="13" s="1"/>
  <c r="AQ38" i="13"/>
  <c r="AQ132" i="13" s="1"/>
  <c r="AR38" i="13"/>
  <c r="AR132" i="13" s="1"/>
  <c r="DK38" i="13"/>
  <c r="DK132" i="13" s="1"/>
  <c r="AM38" i="13"/>
  <c r="AM132" i="13" s="1"/>
  <c r="BN38" i="13"/>
  <c r="BN132" i="13" s="1"/>
  <c r="CH38" i="13"/>
  <c r="CH132" i="13" s="1"/>
  <c r="AZ38" i="13"/>
  <c r="AZ132" i="13" s="1"/>
  <c r="BE38" i="13"/>
  <c r="BE132" i="13" s="1"/>
  <c r="BG38" i="13"/>
  <c r="BG132" i="13" s="1"/>
  <c r="BS38" i="13"/>
  <c r="BS132" i="13" s="1"/>
  <c r="BV38" i="13"/>
  <c r="BV132" i="13" s="1"/>
  <c r="CA38" i="13"/>
  <c r="CA132" i="13" s="1"/>
  <c r="CC38" i="13"/>
  <c r="CC132" i="13" s="1"/>
  <c r="CE38" i="13"/>
  <c r="CE132" i="13" s="1"/>
  <c r="AH38" i="13"/>
  <c r="AH132" i="13" s="1"/>
  <c r="BR38" i="13"/>
  <c r="BR132" i="13" s="1"/>
  <c r="AP38" i="13"/>
  <c r="AP132" i="13" s="1"/>
  <c r="BB38" i="13"/>
  <c r="BB132" i="13" s="1"/>
  <c r="BQ38" i="13"/>
  <c r="BQ132" i="13" s="1"/>
  <c r="BY38" i="13"/>
  <c r="BY132" i="13" s="1"/>
  <c r="BZ38" i="13"/>
  <c r="BZ132" i="13" s="1"/>
  <c r="CD38" i="13"/>
  <c r="CD132" i="13" s="1"/>
  <c r="AI38" i="13"/>
  <c r="AI132" i="13" s="1"/>
  <c r="AO38" i="13"/>
  <c r="AO132" i="13" s="1"/>
  <c r="BU38" i="13"/>
  <c r="BU132" i="13" s="1"/>
  <c r="CG38" i="13"/>
  <c r="CG132" i="13" s="1"/>
  <c r="CI38" i="13"/>
  <c r="CI132" i="13" s="1"/>
  <c r="CJ38" i="13"/>
  <c r="CJ132" i="13" s="1"/>
  <c r="CN38" i="13"/>
  <c r="CN132" i="13" s="1"/>
  <c r="CP38" i="13"/>
  <c r="CP132" i="13" s="1"/>
  <c r="CQ38" i="13"/>
  <c r="CQ132" i="13" s="1"/>
  <c r="CZ38" i="13"/>
  <c r="CZ132" i="13" s="1"/>
  <c r="DC38" i="13"/>
  <c r="DC132" i="13" s="1"/>
  <c r="DE38" i="13"/>
  <c r="DE132" i="13" s="1"/>
  <c r="BW38" i="13"/>
  <c r="BW132" i="13" s="1"/>
  <c r="CM38" i="13"/>
  <c r="CM132" i="13" s="1"/>
  <c r="CR38" i="13"/>
  <c r="CR132" i="13" s="1"/>
  <c r="CW38" i="13"/>
  <c r="CW132" i="13" s="1"/>
  <c r="CX38" i="13"/>
  <c r="CX132" i="13" s="1"/>
  <c r="CY38" i="13"/>
  <c r="CY132" i="13" s="1"/>
  <c r="DB38" i="13"/>
  <c r="DB132" i="13" s="1"/>
  <c r="DF38" i="13"/>
  <c r="DF132" i="13" s="1"/>
  <c r="CS38" i="13"/>
  <c r="CS132" i="13" s="1"/>
  <c r="DD38" i="13"/>
  <c r="DD132" i="13" s="1"/>
  <c r="K38" i="13"/>
  <c r="CB38" i="13"/>
  <c r="CB132" i="13" s="1"/>
  <c r="CK38" i="13"/>
  <c r="CK132" i="13" s="1"/>
  <c r="DG38" i="13"/>
  <c r="DG132" i="13" s="1"/>
  <c r="DI38" i="13"/>
  <c r="DI132" i="13" s="1"/>
  <c r="DM38" i="13"/>
  <c r="DM132" i="13" s="1"/>
  <c r="CT38" i="13"/>
  <c r="CT132" i="13" s="1"/>
  <c r="CU38" i="13"/>
  <c r="CU132" i="13" s="1"/>
  <c r="DH38" i="13"/>
  <c r="DH132" i="13" s="1"/>
  <c r="DO38" i="13"/>
  <c r="DO132" i="13" s="1"/>
  <c r="DP38" i="13"/>
  <c r="DP132" i="13" s="1"/>
  <c r="DQ38" i="13"/>
  <c r="DQ132" i="13" s="1"/>
  <c r="DJ38" i="13"/>
  <c r="DJ132" i="13" s="1"/>
  <c r="DL38" i="13"/>
  <c r="DL132" i="13" s="1"/>
  <c r="DN38" i="13"/>
  <c r="DN132" i="13" s="1"/>
  <c r="CV38" i="13"/>
  <c r="CV132" i="13" s="1"/>
  <c r="CO38" i="13"/>
  <c r="CO132" i="13" s="1"/>
  <c r="L37" i="13"/>
  <c r="L131" i="13" s="1"/>
  <c r="BC37" i="13"/>
  <c r="BC131" i="13" s="1"/>
  <c r="CA37" i="13"/>
  <c r="CA131" i="13" s="1"/>
  <c r="P37" i="13"/>
  <c r="P131" i="13" s="1"/>
  <c r="Q37" i="13"/>
  <c r="Q131" i="13" s="1"/>
  <c r="U37" i="13"/>
  <c r="U131" i="13" s="1"/>
  <c r="Z37" i="13"/>
  <c r="Z131" i="13" s="1"/>
  <c r="AC37" i="13"/>
  <c r="AC131" i="13" s="1"/>
  <c r="M37" i="13"/>
  <c r="M131" i="13" s="1"/>
  <c r="BD37" i="13"/>
  <c r="BD131" i="13" s="1"/>
  <c r="CX37" i="13"/>
  <c r="CX131" i="13" s="1"/>
  <c r="N37" i="13"/>
  <c r="N131" i="13" s="1"/>
  <c r="R37" i="13"/>
  <c r="R131" i="13" s="1"/>
  <c r="W37" i="13"/>
  <c r="W131" i="13" s="1"/>
  <c r="AD37" i="13"/>
  <c r="AD131" i="13" s="1"/>
  <c r="AZ37" i="13"/>
  <c r="AZ131" i="13" s="1"/>
  <c r="BG37" i="13"/>
  <c r="BG131" i="13" s="1"/>
  <c r="DC37" i="13"/>
  <c r="DC131" i="13" s="1"/>
  <c r="O37" i="13"/>
  <c r="O131" i="13" s="1"/>
  <c r="Y37" i="13"/>
  <c r="Y131" i="13" s="1"/>
  <c r="AB37" i="13"/>
  <c r="AB131" i="13" s="1"/>
  <c r="AF37" i="13"/>
  <c r="AF131" i="13" s="1"/>
  <c r="T37" i="13"/>
  <c r="T131" i="13" s="1"/>
  <c r="X37" i="13"/>
  <c r="X131" i="13" s="1"/>
  <c r="AH37" i="13"/>
  <c r="AH131" i="13" s="1"/>
  <c r="AM37" i="13"/>
  <c r="AM131" i="13" s="1"/>
  <c r="AP37" i="13"/>
  <c r="AP131" i="13" s="1"/>
  <c r="BB37" i="13"/>
  <c r="BB131" i="13" s="1"/>
  <c r="S37" i="13"/>
  <c r="S131" i="13" s="1"/>
  <c r="AJ37" i="13"/>
  <c r="AJ131" i="13" s="1"/>
  <c r="AN37" i="13"/>
  <c r="AN131" i="13" s="1"/>
  <c r="AO37" i="13"/>
  <c r="AO131" i="13" s="1"/>
  <c r="AU37" i="13"/>
  <c r="AU131" i="13" s="1"/>
  <c r="AE37" i="13"/>
  <c r="AE131" i="13" s="1"/>
  <c r="BY37" i="13"/>
  <c r="BY131" i="13" s="1"/>
  <c r="V37" i="13"/>
  <c r="V131" i="13" s="1"/>
  <c r="AG37" i="13"/>
  <c r="AG131" i="13" s="1"/>
  <c r="AL37" i="13"/>
  <c r="AL131" i="13" s="1"/>
  <c r="AR37" i="13"/>
  <c r="AR131" i="13" s="1"/>
  <c r="AT37" i="13"/>
  <c r="AT131" i="13" s="1"/>
  <c r="AV37" i="13"/>
  <c r="AV131" i="13" s="1"/>
  <c r="AW37" i="13"/>
  <c r="AW131" i="13" s="1"/>
  <c r="BE37" i="13"/>
  <c r="BE131" i="13" s="1"/>
  <c r="BL37" i="13"/>
  <c r="BL131" i="13" s="1"/>
  <c r="BA37" i="13"/>
  <c r="BA131" i="13" s="1"/>
  <c r="BM37" i="13"/>
  <c r="BM131" i="13" s="1"/>
  <c r="BN37" i="13"/>
  <c r="BN131" i="13" s="1"/>
  <c r="BP37" i="13"/>
  <c r="BP131" i="13" s="1"/>
  <c r="BQ37" i="13"/>
  <c r="BQ131" i="13" s="1"/>
  <c r="AI37" i="13"/>
  <c r="AI131" i="13" s="1"/>
  <c r="AS37" i="13"/>
  <c r="AS131" i="13" s="1"/>
  <c r="AY37" i="13"/>
  <c r="AY131" i="13" s="1"/>
  <c r="DD37" i="13"/>
  <c r="DD131" i="13" s="1"/>
  <c r="AA37" i="13"/>
  <c r="AA131" i="13" s="1"/>
  <c r="BI37" i="13"/>
  <c r="BI131" i="13" s="1"/>
  <c r="BS37" i="13"/>
  <c r="BS131" i="13" s="1"/>
  <c r="BW37" i="13"/>
  <c r="BW131" i="13" s="1"/>
  <c r="CC37" i="13"/>
  <c r="CC131" i="13" s="1"/>
  <c r="CD37" i="13"/>
  <c r="CD131" i="13" s="1"/>
  <c r="CE37" i="13"/>
  <c r="CE131" i="13" s="1"/>
  <c r="CH37" i="13"/>
  <c r="CH131" i="13" s="1"/>
  <c r="BJ37" i="13"/>
  <c r="BJ131" i="13" s="1"/>
  <c r="BF37" i="13"/>
  <c r="BF131" i="13" s="1"/>
  <c r="BH37" i="13"/>
  <c r="BH131" i="13" s="1"/>
  <c r="BU37" i="13"/>
  <c r="BU131" i="13" s="1"/>
  <c r="BX37" i="13"/>
  <c r="BX131" i="13" s="1"/>
  <c r="CF37" i="13"/>
  <c r="CF131" i="13" s="1"/>
  <c r="BO37" i="13"/>
  <c r="BO131" i="13" s="1"/>
  <c r="BR37" i="13"/>
  <c r="BR131" i="13" s="1"/>
  <c r="BV37" i="13"/>
  <c r="BV131" i="13" s="1"/>
  <c r="BK37" i="13"/>
  <c r="BK131" i="13" s="1"/>
  <c r="AX37" i="13"/>
  <c r="AX131" i="13" s="1"/>
  <c r="BT37" i="13"/>
  <c r="BT131" i="13" s="1"/>
  <c r="AK37" i="13"/>
  <c r="AK131" i="13" s="1"/>
  <c r="BZ37" i="13"/>
  <c r="BZ131" i="13" s="1"/>
  <c r="CO37" i="13"/>
  <c r="CO131" i="13" s="1"/>
  <c r="CU37" i="13"/>
  <c r="CU131" i="13" s="1"/>
  <c r="CG37" i="13"/>
  <c r="CG131" i="13" s="1"/>
  <c r="CQ37" i="13"/>
  <c r="CQ131" i="13" s="1"/>
  <c r="CV37" i="13"/>
  <c r="CV131" i="13" s="1"/>
  <c r="CY37" i="13"/>
  <c r="CY131" i="13" s="1"/>
  <c r="DA37" i="13"/>
  <c r="DA131" i="13" s="1"/>
  <c r="DB37" i="13"/>
  <c r="DB131" i="13" s="1"/>
  <c r="AQ37" i="13"/>
  <c r="AQ131" i="13" s="1"/>
  <c r="CI37" i="13"/>
  <c r="CI131" i="13" s="1"/>
  <c r="CB37" i="13"/>
  <c r="CB131" i="13" s="1"/>
  <c r="CK37" i="13"/>
  <c r="CK131" i="13" s="1"/>
  <c r="CM37" i="13"/>
  <c r="CM131" i="13" s="1"/>
  <c r="CN37" i="13"/>
  <c r="CN131" i="13" s="1"/>
  <c r="CR37" i="13"/>
  <c r="CR131" i="13" s="1"/>
  <c r="CS37" i="13"/>
  <c r="CS131" i="13" s="1"/>
  <c r="CW37" i="13"/>
  <c r="CW131" i="13" s="1"/>
  <c r="DE37" i="13"/>
  <c r="DE131" i="13" s="1"/>
  <c r="DF37" i="13"/>
  <c r="DF131" i="13" s="1"/>
  <c r="K37" i="13"/>
  <c r="DH37" i="13"/>
  <c r="DH131" i="13" s="1"/>
  <c r="DL37" i="13"/>
  <c r="DL131" i="13" s="1"/>
  <c r="DI37" i="13"/>
  <c r="DI131" i="13" s="1"/>
  <c r="DM37" i="13"/>
  <c r="DM131" i="13" s="1"/>
  <c r="DN37" i="13"/>
  <c r="DN131" i="13" s="1"/>
  <c r="DO37" i="13"/>
  <c r="DO131" i="13" s="1"/>
  <c r="DQ37" i="13"/>
  <c r="DQ131" i="13" s="1"/>
  <c r="CJ37" i="13"/>
  <c r="CJ131" i="13" s="1"/>
  <c r="CL37" i="13"/>
  <c r="CL131" i="13" s="1"/>
  <c r="CT37" i="13"/>
  <c r="CT131" i="13" s="1"/>
  <c r="DJ37" i="13"/>
  <c r="DJ131" i="13" s="1"/>
  <c r="DP37" i="13"/>
  <c r="DP131" i="13" s="1"/>
  <c r="CZ37" i="13"/>
  <c r="CZ131" i="13" s="1"/>
  <c r="DG37" i="13"/>
  <c r="DG131" i="13" s="1"/>
  <c r="DK37" i="13"/>
  <c r="DK131" i="13" s="1"/>
  <c r="CP37" i="13"/>
  <c r="CP131" i="13" s="1"/>
  <c r="L32" i="13"/>
  <c r="L126" i="13" s="1"/>
  <c r="O32" i="13"/>
  <c r="O126" i="13" s="1"/>
  <c r="S32" i="13"/>
  <c r="S126" i="13" s="1"/>
  <c r="U32" i="13"/>
  <c r="U126" i="13" s="1"/>
  <c r="V32" i="13"/>
  <c r="V126" i="13" s="1"/>
  <c r="Z32" i="13"/>
  <c r="Z126" i="13" s="1"/>
  <c r="AA32" i="13"/>
  <c r="AA126" i="13" s="1"/>
  <c r="AB32" i="13"/>
  <c r="AB126" i="13" s="1"/>
  <c r="M32" i="13"/>
  <c r="M126" i="13" s="1"/>
  <c r="N32" i="13"/>
  <c r="N126" i="13" s="1"/>
  <c r="P32" i="13"/>
  <c r="P126" i="13" s="1"/>
  <c r="Q32" i="13"/>
  <c r="Q126" i="13" s="1"/>
  <c r="W32" i="13"/>
  <c r="W126" i="13" s="1"/>
  <c r="X32" i="13"/>
  <c r="X126" i="13" s="1"/>
  <c r="Y32" i="13"/>
  <c r="Y126" i="13" s="1"/>
  <c r="AE32" i="13"/>
  <c r="AE126" i="13" s="1"/>
  <c r="AD32" i="13"/>
  <c r="AD126" i="13" s="1"/>
  <c r="AG32" i="13"/>
  <c r="AG126" i="13" s="1"/>
  <c r="AK32" i="13"/>
  <c r="AK126" i="13" s="1"/>
  <c r="AQ32" i="13"/>
  <c r="AQ126" i="13" s="1"/>
  <c r="AX32" i="13"/>
  <c r="AX126" i="13" s="1"/>
  <c r="T32" i="13"/>
  <c r="T126" i="13" s="1"/>
  <c r="AJ32" i="13"/>
  <c r="AJ126" i="13" s="1"/>
  <c r="AO32" i="13"/>
  <c r="AO126" i="13" s="1"/>
  <c r="AP32" i="13"/>
  <c r="AP126" i="13" s="1"/>
  <c r="AT32" i="13"/>
  <c r="AT126" i="13" s="1"/>
  <c r="AV32" i="13"/>
  <c r="AV126" i="13" s="1"/>
  <c r="AY32" i="13"/>
  <c r="AY126" i="13" s="1"/>
  <c r="AZ32" i="13"/>
  <c r="AZ126" i="13" s="1"/>
  <c r="BA32" i="13"/>
  <c r="BA126" i="13" s="1"/>
  <c r="AI32" i="13"/>
  <c r="AI126" i="13" s="1"/>
  <c r="AL32" i="13"/>
  <c r="AL126" i="13" s="1"/>
  <c r="AN32" i="13"/>
  <c r="AN126" i="13" s="1"/>
  <c r="AR32" i="13"/>
  <c r="AR126" i="13" s="1"/>
  <c r="AS32" i="13"/>
  <c r="AS126" i="13" s="1"/>
  <c r="BB32" i="13"/>
  <c r="BB126" i="13" s="1"/>
  <c r="BF32" i="13"/>
  <c r="BF126" i="13" s="1"/>
  <c r="BH32" i="13"/>
  <c r="BH126" i="13" s="1"/>
  <c r="BK32" i="13"/>
  <c r="BK126" i="13" s="1"/>
  <c r="BL32" i="13"/>
  <c r="BL126" i="13" s="1"/>
  <c r="BN32" i="13"/>
  <c r="BN126" i="13" s="1"/>
  <c r="BO32" i="13"/>
  <c r="BO126" i="13" s="1"/>
  <c r="R32" i="13"/>
  <c r="R126" i="13" s="1"/>
  <c r="AC32" i="13"/>
  <c r="AC126" i="13" s="1"/>
  <c r="BE32" i="13"/>
  <c r="BE126" i="13" s="1"/>
  <c r="BI32" i="13"/>
  <c r="BI126" i="13" s="1"/>
  <c r="BJ32" i="13"/>
  <c r="BJ126" i="13" s="1"/>
  <c r="AH32" i="13"/>
  <c r="AH126" i="13" s="1"/>
  <c r="AW32" i="13"/>
  <c r="AW126" i="13" s="1"/>
  <c r="BC32" i="13"/>
  <c r="BC126" i="13" s="1"/>
  <c r="BD32" i="13"/>
  <c r="BD126" i="13" s="1"/>
  <c r="BM32" i="13"/>
  <c r="BM126" i="13" s="1"/>
  <c r="BP32" i="13"/>
  <c r="BP126" i="13" s="1"/>
  <c r="BR32" i="13"/>
  <c r="BR126" i="13" s="1"/>
  <c r="BS32" i="13"/>
  <c r="BS126" i="13" s="1"/>
  <c r="BX32" i="13"/>
  <c r="BX126" i="13" s="1"/>
  <c r="BY32" i="13"/>
  <c r="BY126" i="13" s="1"/>
  <c r="CA32" i="13"/>
  <c r="CA126" i="13" s="1"/>
  <c r="CE32" i="13"/>
  <c r="CE126" i="13" s="1"/>
  <c r="AF32" i="13"/>
  <c r="AF126" i="13" s="1"/>
  <c r="BQ32" i="13"/>
  <c r="BQ126" i="13" s="1"/>
  <c r="BT32" i="13"/>
  <c r="BT126" i="13" s="1"/>
  <c r="BZ32" i="13"/>
  <c r="BZ126" i="13" s="1"/>
  <c r="BG32" i="13"/>
  <c r="BG126" i="13" s="1"/>
  <c r="BW32" i="13"/>
  <c r="BW126" i="13" s="1"/>
  <c r="CB32" i="13"/>
  <c r="CB126" i="13" s="1"/>
  <c r="CC32" i="13"/>
  <c r="CC126" i="13" s="1"/>
  <c r="AM32" i="13"/>
  <c r="AM126" i="13" s="1"/>
  <c r="AU32" i="13"/>
  <c r="AU126" i="13" s="1"/>
  <c r="BU32" i="13"/>
  <c r="BU126" i="13" s="1"/>
  <c r="CK32" i="13"/>
  <c r="CK126" i="13" s="1"/>
  <c r="CP32" i="13"/>
  <c r="CP126" i="13" s="1"/>
  <c r="CQ32" i="13"/>
  <c r="CQ126" i="13" s="1"/>
  <c r="CR32" i="13"/>
  <c r="CR126" i="13" s="1"/>
  <c r="CU32" i="13"/>
  <c r="CU126" i="13" s="1"/>
  <c r="CV32" i="13"/>
  <c r="CV126" i="13" s="1"/>
  <c r="CY32" i="13"/>
  <c r="CY126" i="13" s="1"/>
  <c r="DB32" i="13"/>
  <c r="DB126" i="13" s="1"/>
  <c r="DC32" i="13"/>
  <c r="DC126" i="13" s="1"/>
  <c r="DF32" i="13"/>
  <c r="DF126" i="13" s="1"/>
  <c r="CF32" i="13"/>
  <c r="CF126" i="13" s="1"/>
  <c r="CG32" i="13"/>
  <c r="CG126" i="13" s="1"/>
  <c r="CI32" i="13"/>
  <c r="CI126" i="13" s="1"/>
  <c r="CJ32" i="13"/>
  <c r="CJ126" i="13" s="1"/>
  <c r="CX32" i="13"/>
  <c r="CX126" i="13" s="1"/>
  <c r="DA32" i="13"/>
  <c r="DA126" i="13" s="1"/>
  <c r="BV32" i="13"/>
  <c r="BV126" i="13" s="1"/>
  <c r="CH32" i="13"/>
  <c r="CH126" i="13" s="1"/>
  <c r="CL32" i="13"/>
  <c r="CL126" i="13" s="1"/>
  <c r="CM32" i="13"/>
  <c r="CM126" i="13" s="1"/>
  <c r="CO32" i="13"/>
  <c r="CO126" i="13" s="1"/>
  <c r="CS32" i="13"/>
  <c r="CS126" i="13" s="1"/>
  <c r="CT32" i="13"/>
  <c r="CT126" i="13" s="1"/>
  <c r="K32" i="13"/>
  <c r="DH32" i="13"/>
  <c r="DH126" i="13" s="1"/>
  <c r="CW32" i="13"/>
  <c r="CW126" i="13" s="1"/>
  <c r="DE32" i="13"/>
  <c r="DE126" i="13" s="1"/>
  <c r="CD32" i="13"/>
  <c r="CD126" i="13" s="1"/>
  <c r="CN32" i="13"/>
  <c r="CN126" i="13" s="1"/>
  <c r="DJ32" i="13"/>
  <c r="DJ126" i="13" s="1"/>
  <c r="DK32" i="13"/>
  <c r="DK126" i="13" s="1"/>
  <c r="DL32" i="13"/>
  <c r="DL126" i="13" s="1"/>
  <c r="DM32" i="13"/>
  <c r="DM126" i="13" s="1"/>
  <c r="DQ32" i="13"/>
  <c r="DQ126" i="13" s="1"/>
  <c r="CZ32" i="13"/>
  <c r="CZ126" i="13" s="1"/>
  <c r="DG32" i="13"/>
  <c r="DG126" i="13" s="1"/>
  <c r="DN32" i="13"/>
  <c r="DN126" i="13" s="1"/>
  <c r="DD32" i="13"/>
  <c r="DD126" i="13" s="1"/>
  <c r="DO32" i="13"/>
  <c r="DO126" i="13" s="1"/>
  <c r="DP32" i="13"/>
  <c r="DP126" i="13" s="1"/>
  <c r="DI32" i="13"/>
  <c r="DI126" i="13" s="1"/>
  <c r="AT34" i="13"/>
  <c r="AT128" i="13" s="1"/>
  <c r="CS34" i="13"/>
  <c r="CS128" i="13" s="1"/>
  <c r="V34" i="13"/>
  <c r="V128" i="13" s="1"/>
  <c r="X34" i="13"/>
  <c r="X128" i="13" s="1"/>
  <c r="AC34" i="13"/>
  <c r="AC128" i="13" s="1"/>
  <c r="AE34" i="13"/>
  <c r="AE128" i="13" s="1"/>
  <c r="BQ34" i="13"/>
  <c r="BQ128" i="13" s="1"/>
  <c r="N34" i="13"/>
  <c r="N128" i="13" s="1"/>
  <c r="P34" i="13"/>
  <c r="P128" i="13" s="1"/>
  <c r="T34" i="13"/>
  <c r="T128" i="13" s="1"/>
  <c r="U34" i="13"/>
  <c r="U128" i="13" s="1"/>
  <c r="Y34" i="13"/>
  <c r="Y128" i="13" s="1"/>
  <c r="Z34" i="13"/>
  <c r="Z128" i="13" s="1"/>
  <c r="AA34" i="13"/>
  <c r="AA128" i="13" s="1"/>
  <c r="L34" i="13"/>
  <c r="L128" i="13" s="1"/>
  <c r="CB34" i="13"/>
  <c r="CB128" i="13" s="1"/>
  <c r="S34" i="13"/>
  <c r="S128" i="13" s="1"/>
  <c r="AD34" i="13"/>
  <c r="AD128" i="13" s="1"/>
  <c r="M34" i="13"/>
  <c r="M128" i="13" s="1"/>
  <c r="Q34" i="13"/>
  <c r="Q128" i="13" s="1"/>
  <c r="W34" i="13"/>
  <c r="W128" i="13" s="1"/>
  <c r="AH34" i="13"/>
  <c r="AH128" i="13" s="1"/>
  <c r="AM34" i="13"/>
  <c r="AM128" i="13" s="1"/>
  <c r="AN34" i="13"/>
  <c r="AN128" i="13" s="1"/>
  <c r="AQ34" i="13"/>
  <c r="AQ128" i="13" s="1"/>
  <c r="AU34" i="13"/>
  <c r="AU128" i="13" s="1"/>
  <c r="AW34" i="13"/>
  <c r="AW128" i="13" s="1"/>
  <c r="CN34" i="13"/>
  <c r="CN128" i="13" s="1"/>
  <c r="O34" i="13"/>
  <c r="O128" i="13" s="1"/>
  <c r="AB34" i="13"/>
  <c r="AB128" i="13" s="1"/>
  <c r="AI34" i="13"/>
  <c r="AI128" i="13" s="1"/>
  <c r="AK34" i="13"/>
  <c r="AK128" i="13" s="1"/>
  <c r="AL34" i="13"/>
  <c r="AL128" i="13" s="1"/>
  <c r="AR34" i="13"/>
  <c r="AR128" i="13" s="1"/>
  <c r="AS34" i="13"/>
  <c r="AS128" i="13" s="1"/>
  <c r="AZ34" i="13"/>
  <c r="AZ128" i="13" s="1"/>
  <c r="BB34" i="13"/>
  <c r="BB128" i="13" s="1"/>
  <c r="R34" i="13"/>
  <c r="R128" i="13" s="1"/>
  <c r="AG34" i="13"/>
  <c r="AG128" i="13" s="1"/>
  <c r="AO34" i="13"/>
  <c r="AO128" i="13" s="1"/>
  <c r="AX34" i="13"/>
  <c r="AX128" i="13" s="1"/>
  <c r="AY34" i="13"/>
  <c r="AY128" i="13" s="1"/>
  <c r="BA34" i="13"/>
  <c r="BA128" i="13" s="1"/>
  <c r="BD34" i="13"/>
  <c r="BD128" i="13" s="1"/>
  <c r="BN34" i="13"/>
  <c r="BN128" i="13" s="1"/>
  <c r="BP34" i="13"/>
  <c r="BP128" i="13" s="1"/>
  <c r="BC34" i="13"/>
  <c r="BC128" i="13" s="1"/>
  <c r="BH34" i="13"/>
  <c r="BH128" i="13" s="1"/>
  <c r="BO34" i="13"/>
  <c r="BO128" i="13" s="1"/>
  <c r="BR34" i="13"/>
  <c r="BR128" i="13" s="1"/>
  <c r="AF34" i="13"/>
  <c r="AF128" i="13" s="1"/>
  <c r="AJ34" i="13"/>
  <c r="AJ128" i="13" s="1"/>
  <c r="AP34" i="13"/>
  <c r="AP128" i="13" s="1"/>
  <c r="AV34" i="13"/>
  <c r="AV128" i="13" s="1"/>
  <c r="BF34" i="13"/>
  <c r="BF128" i="13" s="1"/>
  <c r="BS34" i="13"/>
  <c r="BS128" i="13" s="1"/>
  <c r="BT34" i="13"/>
  <c r="BT128" i="13" s="1"/>
  <c r="BV34" i="13"/>
  <c r="BV128" i="13" s="1"/>
  <c r="BZ34" i="13"/>
  <c r="BZ128" i="13" s="1"/>
  <c r="CF34" i="13"/>
  <c r="CF128" i="13" s="1"/>
  <c r="CG34" i="13"/>
  <c r="CG128" i="13" s="1"/>
  <c r="BE34" i="13"/>
  <c r="BE128" i="13" s="1"/>
  <c r="BW34" i="13"/>
  <c r="BW128" i="13" s="1"/>
  <c r="BX34" i="13"/>
  <c r="BX128" i="13" s="1"/>
  <c r="CA34" i="13"/>
  <c r="CA128" i="13" s="1"/>
  <c r="BG34" i="13"/>
  <c r="BG128" i="13" s="1"/>
  <c r="BM34" i="13"/>
  <c r="BM128" i="13" s="1"/>
  <c r="BK34" i="13"/>
  <c r="BK128" i="13" s="1"/>
  <c r="CD34" i="13"/>
  <c r="CD128" i="13" s="1"/>
  <c r="BI34" i="13"/>
  <c r="BI128" i="13" s="1"/>
  <c r="BJ34" i="13"/>
  <c r="BJ128" i="13" s="1"/>
  <c r="BU34" i="13"/>
  <c r="BU128" i="13" s="1"/>
  <c r="CJ34" i="13"/>
  <c r="CJ128" i="13" s="1"/>
  <c r="CM34" i="13"/>
  <c r="CM128" i="13" s="1"/>
  <c r="CO34" i="13"/>
  <c r="CO128" i="13" s="1"/>
  <c r="CT34" i="13"/>
  <c r="CT128" i="13" s="1"/>
  <c r="CV34" i="13"/>
  <c r="CV128" i="13" s="1"/>
  <c r="CE34" i="13"/>
  <c r="CE128" i="13" s="1"/>
  <c r="CI34" i="13"/>
  <c r="CI128" i="13" s="1"/>
  <c r="BY34" i="13"/>
  <c r="BY128" i="13" s="1"/>
  <c r="CK34" i="13"/>
  <c r="CK128" i="13" s="1"/>
  <c r="CL34" i="13"/>
  <c r="CL128" i="13" s="1"/>
  <c r="CU34" i="13"/>
  <c r="CU128" i="13" s="1"/>
  <c r="DB34" i="13"/>
  <c r="DB128" i="13" s="1"/>
  <c r="DD34" i="13"/>
  <c r="DD128" i="13" s="1"/>
  <c r="DE34" i="13"/>
  <c r="DE128" i="13" s="1"/>
  <c r="CC34" i="13"/>
  <c r="CC128" i="13" s="1"/>
  <c r="CP34" i="13"/>
  <c r="CP128" i="13" s="1"/>
  <c r="CR34" i="13"/>
  <c r="CR128" i="13" s="1"/>
  <c r="CX34" i="13"/>
  <c r="CX128" i="13" s="1"/>
  <c r="CW34" i="13"/>
  <c r="CW128" i="13" s="1"/>
  <c r="K34" i="13"/>
  <c r="CQ34" i="13"/>
  <c r="CQ128" i="13" s="1"/>
  <c r="DJ34" i="13"/>
  <c r="DJ128" i="13" s="1"/>
  <c r="DK34" i="13"/>
  <c r="DK128" i="13" s="1"/>
  <c r="DL34" i="13"/>
  <c r="DL128" i="13" s="1"/>
  <c r="DM34" i="13"/>
  <c r="DM128" i="13" s="1"/>
  <c r="DO34" i="13"/>
  <c r="DO128" i="13" s="1"/>
  <c r="DP34" i="13"/>
  <c r="DP128" i="13" s="1"/>
  <c r="BL34" i="13"/>
  <c r="BL128" i="13" s="1"/>
  <c r="CH34" i="13"/>
  <c r="CH128" i="13" s="1"/>
  <c r="DQ34" i="13"/>
  <c r="DQ128" i="13" s="1"/>
  <c r="CZ34" i="13"/>
  <c r="CZ128" i="13" s="1"/>
  <c r="DC34" i="13"/>
  <c r="DC128" i="13" s="1"/>
  <c r="DF34" i="13"/>
  <c r="DF128" i="13" s="1"/>
  <c r="CY34" i="13"/>
  <c r="CY128" i="13" s="1"/>
  <c r="DA34" i="13"/>
  <c r="DA128" i="13" s="1"/>
  <c r="DI34" i="13"/>
  <c r="DI128" i="13" s="1"/>
  <c r="DG34" i="13"/>
  <c r="DG128" i="13" s="1"/>
  <c r="DH34" i="13"/>
  <c r="DH128" i="13" s="1"/>
  <c r="DN34" i="13"/>
  <c r="DN128" i="13" s="1"/>
  <c r="AE39" i="13" l="1"/>
  <c r="AE133" i="13" s="1"/>
  <c r="AW39" i="13"/>
  <c r="AW133" i="13" s="1"/>
  <c r="CF39" i="13"/>
  <c r="CF133" i="13" s="1"/>
  <c r="BA39" i="13"/>
  <c r="BA133" i="13" s="1"/>
  <c r="AY39" i="13"/>
  <c r="AY133" i="13" s="1"/>
  <c r="AV39" i="13"/>
  <c r="AV133" i="13" s="1"/>
  <c r="DE39" i="13"/>
  <c r="DE133" i="13" s="1"/>
  <c r="DJ39" i="13"/>
  <c r="DJ133" i="13" s="1"/>
  <c r="L39" i="13"/>
  <c r="L133" i="13" s="1"/>
  <c r="T39" i="13"/>
  <c r="T133" i="13" s="1"/>
  <c r="CC36" i="13"/>
  <c r="CC130" i="13" s="1"/>
  <c r="DM39" i="13"/>
  <c r="DM133" i="13" s="1"/>
  <c r="DO39" i="13"/>
  <c r="DO133" i="13" s="1"/>
  <c r="CX39" i="13"/>
  <c r="CX133" i="13" s="1"/>
  <c r="BP39" i="13"/>
  <c r="BP133" i="13" s="1"/>
  <c r="BQ39" i="13"/>
  <c r="BQ133" i="13" s="1"/>
  <c r="CG39" i="13"/>
  <c r="CG133" i="13" s="1"/>
  <c r="BZ39" i="13"/>
  <c r="BZ133" i="13" s="1"/>
  <c r="AM39" i="13"/>
  <c r="AM133" i="13" s="1"/>
  <c r="BG39" i="13"/>
  <c r="BG133" i="13" s="1"/>
  <c r="AP39" i="13"/>
  <c r="AP133" i="13" s="1"/>
  <c r="AN39" i="13"/>
  <c r="AN133" i="13" s="1"/>
  <c r="AF39" i="13"/>
  <c r="AF133" i="13" s="1"/>
  <c r="AU39" i="13"/>
  <c r="AU133" i="13" s="1"/>
  <c r="BB36" i="13"/>
  <c r="BB130" i="13" s="1"/>
  <c r="DK39" i="13"/>
  <c r="DK133" i="13" s="1"/>
  <c r="DN39" i="13"/>
  <c r="DN133" i="13" s="1"/>
  <c r="CW39" i="13"/>
  <c r="CW133" i="13" s="1"/>
  <c r="CY39" i="13"/>
  <c r="CY133" i="13" s="1"/>
  <c r="BR39" i="13"/>
  <c r="BR133" i="13" s="1"/>
  <c r="CD39" i="13"/>
  <c r="CD133" i="13" s="1"/>
  <c r="BX39" i="13"/>
  <c r="BX133" i="13" s="1"/>
  <c r="BK39" i="13"/>
  <c r="BK133" i="13" s="1"/>
  <c r="BC39" i="13"/>
  <c r="BC133" i="13" s="1"/>
  <c r="AO39" i="13"/>
  <c r="AO133" i="13" s="1"/>
  <c r="AL39" i="13"/>
  <c r="AL133" i="13" s="1"/>
  <c r="AD39" i="13"/>
  <c r="AD133" i="13" s="1"/>
  <c r="Y39" i="13"/>
  <c r="Y133" i="13" s="1"/>
  <c r="U39" i="13"/>
  <c r="U133" i="13" s="1"/>
  <c r="CL39" i="13"/>
  <c r="CL133" i="13" s="1"/>
  <c r="DQ39" i="13"/>
  <c r="DQ133" i="13" s="1"/>
  <c r="K39" i="13"/>
  <c r="K133" i="13" s="1"/>
  <c r="CN39" i="13"/>
  <c r="CN133" i="13" s="1"/>
  <c r="CK39" i="13"/>
  <c r="CK133" i="13" s="1"/>
  <c r="BV39" i="13"/>
  <c r="BV133" i="13" s="1"/>
  <c r="BI39" i="13"/>
  <c r="BI133" i="13" s="1"/>
  <c r="BL39" i="13"/>
  <c r="BL133" i="13" s="1"/>
  <c r="BE39" i="13"/>
  <c r="BE133" i="13" s="1"/>
  <c r="AI39" i="13"/>
  <c r="AI133" i="13" s="1"/>
  <c r="V39" i="13"/>
  <c r="V133" i="13" s="1"/>
  <c r="AB39" i="13"/>
  <c r="AB133" i="13" s="1"/>
  <c r="Q39" i="13"/>
  <c r="Q133" i="13" s="1"/>
  <c r="R39" i="13"/>
  <c r="R133" i="13" s="1"/>
  <c r="X39" i="13"/>
  <c r="X133" i="13" s="1"/>
  <c r="CI39" i="13"/>
  <c r="CI133" i="13" s="1"/>
  <c r="CQ39" i="13"/>
  <c r="CQ133" i="13" s="1"/>
  <c r="DB39" i="13"/>
  <c r="DB133" i="13" s="1"/>
  <c r="CM39" i="13"/>
  <c r="CM133" i="13" s="1"/>
  <c r="CC39" i="13"/>
  <c r="CC133" i="13" s="1"/>
  <c r="BM39" i="13"/>
  <c r="BM133" i="13" s="1"/>
  <c r="AJ39" i="13"/>
  <c r="AJ133" i="13" s="1"/>
  <c r="M39" i="13"/>
  <c r="M133" i="13" s="1"/>
  <c r="BB39" i="13"/>
  <c r="BB133" i="13" s="1"/>
  <c r="AH39" i="13"/>
  <c r="AH133" i="13" s="1"/>
  <c r="P39" i="13"/>
  <c r="P133" i="13" s="1"/>
  <c r="AA39" i="13"/>
  <c r="AA133" i="13" s="1"/>
  <c r="N39" i="13"/>
  <c r="N133" i="13" s="1"/>
  <c r="O39" i="13"/>
  <c r="O133" i="13" s="1"/>
  <c r="DG36" i="13"/>
  <c r="DG130" i="13" s="1"/>
  <c r="DA39" i="13"/>
  <c r="DA133" i="13" s="1"/>
  <c r="DC39" i="13"/>
  <c r="DC133" i="13" s="1"/>
  <c r="CU39" i="13"/>
  <c r="CU133" i="13" s="1"/>
  <c r="CH39" i="13"/>
  <c r="CH133" i="13" s="1"/>
  <c r="BS39" i="13"/>
  <c r="BS133" i="13" s="1"/>
  <c r="AX39" i="13"/>
  <c r="AX133" i="13" s="1"/>
  <c r="CA39" i="13"/>
  <c r="CA133" i="13" s="1"/>
  <c r="AZ39" i="13"/>
  <c r="AZ133" i="13" s="1"/>
  <c r="BH39" i="13"/>
  <c r="BH133" i="13" s="1"/>
  <c r="AT39" i="13"/>
  <c r="AT133" i="13" s="1"/>
  <c r="AS39" i="13"/>
  <c r="AS133" i="13" s="1"/>
  <c r="BN39" i="13"/>
  <c r="BN133" i="13" s="1"/>
  <c r="DI39" i="13"/>
  <c r="DI133" i="13" s="1"/>
  <c r="BI36" i="13"/>
  <c r="BI130" i="13" s="1"/>
  <c r="AQ36" i="13"/>
  <c r="AQ130" i="13" s="1"/>
  <c r="BD36" i="13"/>
  <c r="BD130" i="13" s="1"/>
  <c r="O36" i="13"/>
  <c r="O130" i="13" s="1"/>
  <c r="DB36" i="13"/>
  <c r="DB130" i="13" s="1"/>
  <c r="DD36" i="13"/>
  <c r="DD130" i="13" s="1"/>
  <c r="AV36" i="13"/>
  <c r="AV130" i="13" s="1"/>
  <c r="CS35" i="13"/>
  <c r="CS129" i="13" s="1"/>
  <c r="CO36" i="13"/>
  <c r="CO130" i="13" s="1"/>
  <c r="AN36" i="13"/>
  <c r="AN130" i="13" s="1"/>
  <c r="BQ36" i="13"/>
  <c r="BQ130" i="13" s="1"/>
  <c r="AS35" i="13"/>
  <c r="AS129" i="13" s="1"/>
  <c r="CI36" i="13"/>
  <c r="CI130" i="13" s="1"/>
  <c r="AX36" i="13"/>
  <c r="AX130" i="13" s="1"/>
  <c r="AZ35" i="13"/>
  <c r="AZ129" i="13" s="1"/>
  <c r="CQ36" i="13"/>
  <c r="CQ130" i="13" s="1"/>
  <c r="CA36" i="13"/>
  <c r="CA130" i="13" s="1"/>
  <c r="AY36" i="13"/>
  <c r="AY130" i="13" s="1"/>
  <c r="AL36" i="13"/>
  <c r="AL130" i="13" s="1"/>
  <c r="AB36" i="13"/>
  <c r="AB130" i="13" s="1"/>
  <c r="AQ35" i="13"/>
  <c r="AQ129" i="13" s="1"/>
  <c r="AX35" i="13"/>
  <c r="AX129" i="13" s="1"/>
  <c r="AE36" i="13"/>
  <c r="AE130" i="13" s="1"/>
  <c r="DC36" i="13"/>
  <c r="DC130" i="13" s="1"/>
  <c r="BN36" i="13"/>
  <c r="BN130" i="13" s="1"/>
  <c r="AH36" i="13"/>
  <c r="AH130" i="13" s="1"/>
  <c r="DH36" i="13"/>
  <c r="DH130" i="13" s="1"/>
  <c r="AF35" i="13"/>
  <c r="AF129" i="13" s="1"/>
  <c r="CR36" i="13"/>
  <c r="CR130" i="13" s="1"/>
  <c r="CZ36" i="13"/>
  <c r="CZ130" i="13" s="1"/>
  <c r="CG36" i="13"/>
  <c r="CG130" i="13" s="1"/>
  <c r="BK36" i="13"/>
  <c r="BK130" i="13" s="1"/>
  <c r="AD36" i="13"/>
  <c r="AD130" i="13" s="1"/>
  <c r="DJ35" i="13"/>
  <c r="DJ129" i="13" s="1"/>
  <c r="S35" i="13"/>
  <c r="S129" i="13" s="1"/>
  <c r="DN36" i="13"/>
  <c r="DN130" i="13" s="1"/>
  <c r="CT36" i="13"/>
  <c r="CT130" i="13" s="1"/>
  <c r="CF36" i="13"/>
  <c r="CF130" i="13" s="1"/>
  <c r="BP36" i="13"/>
  <c r="BP130" i="13" s="1"/>
  <c r="T36" i="13"/>
  <c r="T130" i="13" s="1"/>
  <c r="CY35" i="13"/>
  <c r="CY129" i="13" s="1"/>
  <c r="DK36" i="13"/>
  <c r="DK130" i="13" s="1"/>
  <c r="CE36" i="13"/>
  <c r="CE130" i="13" s="1"/>
  <c r="BZ36" i="13"/>
  <c r="BZ130" i="13" s="1"/>
  <c r="AU36" i="13"/>
  <c r="AU130" i="13" s="1"/>
  <c r="W36" i="13"/>
  <c r="W130" i="13" s="1"/>
  <c r="K35" i="13"/>
  <c r="K129" i="13" s="1"/>
  <c r="CI35" i="13"/>
  <c r="CI129" i="13" s="1"/>
  <c r="AW35" i="13"/>
  <c r="AW129" i="13" s="1"/>
  <c r="DF35" i="13"/>
  <c r="DF129" i="13" s="1"/>
  <c r="CO35" i="13"/>
  <c r="CO129" i="13" s="1"/>
  <c r="X35" i="13"/>
  <c r="X129" i="13" s="1"/>
  <c r="BJ35" i="13"/>
  <c r="BJ129" i="13" s="1"/>
  <c r="DC35" i="13"/>
  <c r="DC129" i="13" s="1"/>
  <c r="CL35" i="13"/>
  <c r="CL129" i="13" s="1"/>
  <c r="Z35" i="13"/>
  <c r="Z129" i="13" s="1"/>
  <c r="R35" i="13"/>
  <c r="R129" i="13" s="1"/>
  <c r="W35" i="13"/>
  <c r="W129" i="13" s="1"/>
  <c r="CV35" i="13"/>
  <c r="CV129" i="13" s="1"/>
  <c r="CB35" i="13"/>
  <c r="CB129" i="13" s="1"/>
  <c r="AO35" i="13"/>
  <c r="AO129" i="13" s="1"/>
  <c r="DQ35" i="13"/>
  <c r="DQ129" i="13" s="1"/>
  <c r="CA35" i="13"/>
  <c r="CA129" i="13" s="1"/>
  <c r="AK35" i="13"/>
  <c r="AK129" i="13" s="1"/>
  <c r="N35" i="13"/>
  <c r="N129" i="13" s="1"/>
  <c r="S39" i="13"/>
  <c r="S133" i="13" s="1"/>
  <c r="DG39" i="13"/>
  <c r="DG133" i="13" s="1"/>
  <c r="DQ36" i="13"/>
  <c r="DQ130" i="13" s="1"/>
  <c r="DI36" i="13"/>
  <c r="DI130" i="13" s="1"/>
  <c r="CM36" i="13"/>
  <c r="CM130" i="13" s="1"/>
  <c r="CV36" i="13"/>
  <c r="CV130" i="13" s="1"/>
  <c r="CX36" i="13"/>
  <c r="CX130" i="13" s="1"/>
  <c r="BS36" i="13"/>
  <c r="BS130" i="13" s="1"/>
  <c r="CD36" i="13"/>
  <c r="CD130" i="13" s="1"/>
  <c r="BT36" i="13"/>
  <c r="BT130" i="13" s="1"/>
  <c r="N36" i="13"/>
  <c r="N130" i="13" s="1"/>
  <c r="AS36" i="13"/>
  <c r="AS130" i="13" s="1"/>
  <c r="AW36" i="13"/>
  <c r="AW130" i="13" s="1"/>
  <c r="Z36" i="13"/>
  <c r="Z130" i="13" s="1"/>
  <c r="AC36" i="13"/>
  <c r="AC130" i="13" s="1"/>
  <c r="DL36" i="13"/>
  <c r="DL130" i="13" s="1"/>
  <c r="DJ36" i="13"/>
  <c r="DJ130" i="13" s="1"/>
  <c r="K36" i="13"/>
  <c r="CL36" i="13"/>
  <c r="CL130" i="13" s="1"/>
  <c r="CU36" i="13"/>
  <c r="CU130" i="13" s="1"/>
  <c r="CS36" i="13"/>
  <c r="CS130" i="13" s="1"/>
  <c r="BO36" i="13"/>
  <c r="BO130" i="13" s="1"/>
  <c r="CB36" i="13"/>
  <c r="CB130" i="13" s="1"/>
  <c r="BR36" i="13"/>
  <c r="BR130" i="13" s="1"/>
  <c r="P36" i="13"/>
  <c r="P130" i="13" s="1"/>
  <c r="AP36" i="13"/>
  <c r="AP130" i="13" s="1"/>
  <c r="AR36" i="13"/>
  <c r="AR130" i="13" s="1"/>
  <c r="V36" i="13"/>
  <c r="V130" i="13" s="1"/>
  <c r="L36" i="13"/>
  <c r="L130" i="13" s="1"/>
  <c r="DO36" i="13"/>
  <c r="DO130" i="13" s="1"/>
  <c r="CK36" i="13"/>
  <c r="CK130" i="13" s="1"/>
  <c r="DA36" i="13"/>
  <c r="DA130" i="13" s="1"/>
  <c r="CH36" i="13"/>
  <c r="CH130" i="13" s="1"/>
  <c r="CP36" i="13"/>
  <c r="CP130" i="13" s="1"/>
  <c r="BX36" i="13"/>
  <c r="BX130" i="13" s="1"/>
  <c r="BJ36" i="13"/>
  <c r="BJ130" i="13" s="1"/>
  <c r="BY36" i="13"/>
  <c r="BY130" i="13" s="1"/>
  <c r="BL36" i="13"/>
  <c r="BL130" i="13" s="1"/>
  <c r="BG36" i="13"/>
  <c r="BG130" i="13" s="1"/>
  <c r="AJ36" i="13"/>
  <c r="AJ130" i="13" s="1"/>
  <c r="AK36" i="13"/>
  <c r="AK130" i="13" s="1"/>
  <c r="Q36" i="13"/>
  <c r="Q130" i="13" s="1"/>
  <c r="AA36" i="13"/>
  <c r="AA130" i="13" s="1"/>
  <c r="DF36" i="13"/>
  <c r="DF130" i="13" s="1"/>
  <c r="BM36" i="13"/>
  <c r="BM130" i="13" s="1"/>
  <c r="CY36" i="13"/>
  <c r="CY130" i="13" s="1"/>
  <c r="BC36" i="13"/>
  <c r="BC130" i="13" s="1"/>
  <c r="CN36" i="13"/>
  <c r="CN130" i="13" s="1"/>
  <c r="BW36" i="13"/>
  <c r="BW130" i="13" s="1"/>
  <c r="BE36" i="13"/>
  <c r="BE130" i="13" s="1"/>
  <c r="BV36" i="13"/>
  <c r="BV130" i="13" s="1"/>
  <c r="BA36" i="13"/>
  <c r="BA130" i="13" s="1"/>
  <c r="BF36" i="13"/>
  <c r="BF130" i="13" s="1"/>
  <c r="AF36" i="13"/>
  <c r="AF130" i="13" s="1"/>
  <c r="AI36" i="13"/>
  <c r="AI130" i="13" s="1"/>
  <c r="AO36" i="13"/>
  <c r="AO130" i="13" s="1"/>
  <c r="Y36" i="13"/>
  <c r="Y130" i="13" s="1"/>
  <c r="DM36" i="13"/>
  <c r="DM130" i="13" s="1"/>
  <c r="DP36" i="13"/>
  <c r="DP130" i="13" s="1"/>
  <c r="CW36" i="13"/>
  <c r="CW130" i="13" s="1"/>
  <c r="DE36" i="13"/>
  <c r="DE130" i="13" s="1"/>
  <c r="CJ36" i="13"/>
  <c r="CJ130" i="13" s="1"/>
  <c r="BH36" i="13"/>
  <c r="BH130" i="13" s="1"/>
  <c r="AT36" i="13"/>
  <c r="AT130" i="13" s="1"/>
  <c r="BU36" i="13"/>
  <c r="BU130" i="13" s="1"/>
  <c r="U36" i="13"/>
  <c r="U130" i="13" s="1"/>
  <c r="AZ36" i="13"/>
  <c r="AZ130" i="13" s="1"/>
  <c r="AM36" i="13"/>
  <c r="AM130" i="13" s="1"/>
  <c r="AG36" i="13"/>
  <c r="AG130" i="13" s="1"/>
  <c r="M36" i="13"/>
  <c r="M130" i="13" s="1"/>
  <c r="DG35" i="13"/>
  <c r="DG129" i="13" s="1"/>
  <c r="DO35" i="13"/>
  <c r="DO129" i="13" s="1"/>
  <c r="BX35" i="13"/>
  <c r="BX129" i="13" s="1"/>
  <c r="DA35" i="13"/>
  <c r="DA129" i="13" s="1"/>
  <c r="AG35" i="13"/>
  <c r="AG129" i="13" s="1"/>
  <c r="CD35" i="13"/>
  <c r="CD129" i="13" s="1"/>
  <c r="BU35" i="13"/>
  <c r="BU129" i="13" s="1"/>
  <c r="AY35" i="13"/>
  <c r="AY129" i="13" s="1"/>
  <c r="AT35" i="13"/>
  <c r="AT129" i="13" s="1"/>
  <c r="L35" i="13"/>
  <c r="L129" i="13" s="1"/>
  <c r="CT35" i="13"/>
  <c r="CT129" i="13" s="1"/>
  <c r="P35" i="13"/>
  <c r="P129" i="13" s="1"/>
  <c r="BE35" i="13"/>
  <c r="BE129" i="13" s="1"/>
  <c r="DM35" i="13"/>
  <c r="DM129" i="13" s="1"/>
  <c r="DE35" i="13"/>
  <c r="DE129" i="13" s="1"/>
  <c r="DN35" i="13"/>
  <c r="DN129" i="13" s="1"/>
  <c r="CZ35" i="13"/>
  <c r="CZ129" i="13" s="1"/>
  <c r="CW35" i="13"/>
  <c r="CW129" i="13" s="1"/>
  <c r="CE35" i="13"/>
  <c r="CE129" i="13" s="1"/>
  <c r="BC35" i="13"/>
  <c r="BC129" i="13" s="1"/>
  <c r="BQ35" i="13"/>
  <c r="BQ129" i="13" s="1"/>
  <c r="AE35" i="13"/>
  <c r="AE129" i="13" s="1"/>
  <c r="AR35" i="13"/>
  <c r="AR129" i="13" s="1"/>
  <c r="BB35" i="13"/>
  <c r="BB129" i="13" s="1"/>
  <c r="AP35" i="13"/>
  <c r="AP129" i="13" s="1"/>
  <c r="BV35" i="13"/>
  <c r="BV129" i="13" s="1"/>
  <c r="O35" i="13"/>
  <c r="O129" i="13" s="1"/>
  <c r="CU35" i="13"/>
  <c r="CU129" i="13" s="1"/>
  <c r="CR35" i="13"/>
  <c r="CR129" i="13" s="1"/>
  <c r="CP35" i="13"/>
  <c r="CP129" i="13" s="1"/>
  <c r="CK35" i="13"/>
  <c r="CK129" i="13" s="1"/>
  <c r="BZ35" i="13"/>
  <c r="BZ129" i="13" s="1"/>
  <c r="CG35" i="13"/>
  <c r="CG129" i="13" s="1"/>
  <c r="AN35" i="13"/>
  <c r="AN129" i="13" s="1"/>
  <c r="BP35" i="13"/>
  <c r="BP129" i="13" s="1"/>
  <c r="AI35" i="13"/>
  <c r="AI129" i="13" s="1"/>
  <c r="AU35" i="13"/>
  <c r="AU129" i="13" s="1"/>
  <c r="BK35" i="13"/>
  <c r="BK129" i="13" s="1"/>
  <c r="AD35" i="13"/>
  <c r="AD129" i="13" s="1"/>
  <c r="DB35" i="13"/>
  <c r="DB129" i="13" s="1"/>
  <c r="DI35" i="13"/>
  <c r="DI129" i="13" s="1"/>
  <c r="CQ35" i="13"/>
  <c r="CQ129" i="13" s="1"/>
  <c r="CH35" i="13"/>
  <c r="CH129" i="13" s="1"/>
  <c r="BN35" i="13"/>
  <c r="BN129" i="13" s="1"/>
  <c r="BR35" i="13"/>
  <c r="BR129" i="13" s="1"/>
  <c r="CC35" i="13"/>
  <c r="CC129" i="13" s="1"/>
  <c r="AL35" i="13"/>
  <c r="AL129" i="13" s="1"/>
  <c r="BI35" i="13"/>
  <c r="BI129" i="13" s="1"/>
  <c r="AH35" i="13"/>
  <c r="AH129" i="13" s="1"/>
  <c r="AM35" i="13"/>
  <c r="AM129" i="13" s="1"/>
  <c r="V35" i="13"/>
  <c r="V129" i="13" s="1"/>
  <c r="AA35" i="13"/>
  <c r="AA129" i="13" s="1"/>
  <c r="BM35" i="13"/>
  <c r="BM129" i="13" s="1"/>
  <c r="DL35" i="13"/>
  <c r="DL129" i="13" s="1"/>
  <c r="DK35" i="13"/>
  <c r="DK129" i="13" s="1"/>
  <c r="CX35" i="13"/>
  <c r="CX129" i="13" s="1"/>
  <c r="CN35" i="13"/>
  <c r="CN129" i="13" s="1"/>
  <c r="BO35" i="13"/>
  <c r="BO129" i="13" s="1"/>
  <c r="BT35" i="13"/>
  <c r="BT129" i="13" s="1"/>
  <c r="BF35" i="13"/>
  <c r="BF129" i="13" s="1"/>
  <c r="BY35" i="13"/>
  <c r="BY129" i="13" s="1"/>
  <c r="BL35" i="13"/>
  <c r="BL129" i="13" s="1"/>
  <c r="BG35" i="13"/>
  <c r="BG129" i="13" s="1"/>
  <c r="AB35" i="13"/>
  <c r="AB129" i="13" s="1"/>
  <c r="AJ35" i="13"/>
  <c r="AJ129" i="13" s="1"/>
  <c r="U35" i="13"/>
  <c r="U129" i="13" s="1"/>
  <c r="Q35" i="13"/>
  <c r="Q129" i="13" s="1"/>
  <c r="AV35" i="13"/>
  <c r="AV129" i="13" s="1"/>
  <c r="DP35" i="13"/>
  <c r="DP129" i="13" s="1"/>
  <c r="DH35" i="13"/>
  <c r="DH129" i="13" s="1"/>
  <c r="CM35" i="13"/>
  <c r="CM129" i="13" s="1"/>
  <c r="CJ35" i="13"/>
  <c r="CJ129" i="13" s="1"/>
  <c r="DD35" i="13"/>
  <c r="DD129" i="13" s="1"/>
  <c r="BH35" i="13"/>
  <c r="BH129" i="13" s="1"/>
  <c r="CF35" i="13"/>
  <c r="CF129" i="13" s="1"/>
  <c r="BW35" i="13"/>
  <c r="BW129" i="13" s="1"/>
  <c r="BA35" i="13"/>
  <c r="BA129" i="13" s="1"/>
  <c r="BD35" i="13"/>
  <c r="BD129" i="13" s="1"/>
  <c r="Y35" i="13"/>
  <c r="Y129" i="13" s="1"/>
  <c r="AC35" i="13"/>
  <c r="AC129" i="13" s="1"/>
  <c r="T35" i="13"/>
  <c r="T129" i="13" s="1"/>
  <c r="BS35" i="13"/>
  <c r="BS129" i="13" s="1"/>
  <c r="F21" i="17"/>
  <c r="I34" i="13"/>
  <c r="K128" i="13"/>
  <c r="I128" i="13" s="1"/>
  <c r="I38" i="13"/>
  <c r="K132" i="13"/>
  <c r="I132" i="13" s="1"/>
  <c r="I37" i="13"/>
  <c r="K131" i="13"/>
  <c r="I131" i="13" s="1"/>
  <c r="I33" i="13"/>
  <c r="K127" i="13"/>
  <c r="I127" i="13" s="1"/>
  <c r="I41" i="13"/>
  <c r="K135" i="13"/>
  <c r="I135" i="13" s="1"/>
  <c r="I32" i="13"/>
  <c r="K126" i="13"/>
  <c r="I126" i="13" s="1"/>
  <c r="K136" i="13"/>
  <c r="I136" i="13" s="1"/>
  <c r="I42" i="13"/>
  <c r="I40" i="13"/>
  <c r="K134" i="13"/>
  <c r="I134" i="13" s="1"/>
  <c r="L31" i="13"/>
  <c r="AB31" i="13"/>
  <c r="AG31" i="13"/>
  <c r="V31" i="13"/>
  <c r="O31" i="13"/>
  <c r="AM31" i="13"/>
  <c r="BB31" i="13"/>
  <c r="AH31" i="13"/>
  <c r="AP31" i="13"/>
  <c r="AR31" i="13"/>
  <c r="W31" i="13"/>
  <c r="U31" i="13"/>
  <c r="AJ31" i="13"/>
  <c r="AT31" i="13"/>
  <c r="T31" i="13"/>
  <c r="AC31" i="13"/>
  <c r="AO31" i="13"/>
  <c r="Q31" i="13"/>
  <c r="R31" i="13"/>
  <c r="AF31" i="13"/>
  <c r="AX31" i="13"/>
  <c r="AL31" i="13"/>
  <c r="AI31" i="13"/>
  <c r="AA31" i="13"/>
  <c r="N31" i="13"/>
  <c r="X31" i="13"/>
  <c r="AN31" i="13"/>
  <c r="AU31" i="13"/>
  <c r="AS31" i="13"/>
  <c r="P31" i="13"/>
  <c r="S31" i="13"/>
  <c r="M31" i="13"/>
  <c r="AD31" i="13"/>
  <c r="AQ31" i="13"/>
  <c r="BM31" i="13"/>
  <c r="BN31" i="13"/>
  <c r="Z31" i="13"/>
  <c r="AV31" i="13"/>
  <c r="AY31" i="13"/>
  <c r="BQ31" i="13"/>
  <c r="BR31" i="13"/>
  <c r="CE31" i="13"/>
  <c r="CF31" i="13"/>
  <c r="AZ31" i="13"/>
  <c r="BA31" i="13"/>
  <c r="AE31" i="13"/>
  <c r="AW31" i="13"/>
  <c r="BF31" i="13"/>
  <c r="BK31" i="13"/>
  <c r="BO31" i="13"/>
  <c r="BP31" i="13"/>
  <c r="BS31" i="13"/>
  <c r="Y31" i="13"/>
  <c r="BC31" i="13"/>
  <c r="BE31" i="13"/>
  <c r="BX31" i="13"/>
  <c r="AK31" i="13"/>
  <c r="BD31" i="13"/>
  <c r="BG31" i="13"/>
  <c r="BH31" i="13"/>
  <c r="BI31" i="13"/>
  <c r="BJ31" i="13"/>
  <c r="BL31" i="13"/>
  <c r="BT31" i="13"/>
  <c r="BW31" i="13"/>
  <c r="BY31" i="13"/>
  <c r="BZ31" i="13"/>
  <c r="CA31" i="13"/>
  <c r="CQ31" i="13"/>
  <c r="CL31" i="13"/>
  <c r="CN31" i="13"/>
  <c r="CO31" i="13"/>
  <c r="CT31" i="13"/>
  <c r="CW31" i="13"/>
  <c r="CX31" i="13"/>
  <c r="DG31" i="13"/>
  <c r="DH31" i="13"/>
  <c r="DL31" i="13"/>
  <c r="BV31" i="13"/>
  <c r="CH31" i="13"/>
  <c r="CJ31" i="13"/>
  <c r="CK31" i="13"/>
  <c r="CR31" i="13"/>
  <c r="CY31" i="13"/>
  <c r="DD31" i="13"/>
  <c r="BU31" i="13"/>
  <c r="CI31" i="13"/>
  <c r="DI31" i="13"/>
  <c r="DJ31" i="13"/>
  <c r="CP31" i="13"/>
  <c r="CU31" i="13"/>
  <c r="CZ31" i="13"/>
  <c r="CB31" i="13"/>
  <c r="CM31" i="13"/>
  <c r="CC31" i="13"/>
  <c r="CD31" i="13"/>
  <c r="CG31" i="13"/>
  <c r="CS31" i="13"/>
  <c r="DB31" i="13"/>
  <c r="DQ31" i="13"/>
  <c r="DC31" i="13"/>
  <c r="DF31" i="13"/>
  <c r="DK31" i="13"/>
  <c r="DM31" i="13"/>
  <c r="DN31" i="13"/>
  <c r="DO31" i="13"/>
  <c r="DA31" i="13"/>
  <c r="CV31" i="13"/>
  <c r="DE31" i="13"/>
  <c r="DP31" i="13"/>
  <c r="K31" i="13"/>
  <c r="K125" i="13" s="1"/>
  <c r="I39" i="13" l="1"/>
  <c r="I133" i="13"/>
  <c r="I36" i="13"/>
  <c r="K130" i="13"/>
  <c r="I130" i="13" s="1"/>
  <c r="I129" i="13"/>
  <c r="I35" i="13"/>
  <c r="CS125" i="13"/>
  <c r="CS137" i="13" s="1"/>
  <c r="CS43" i="13"/>
  <c r="CS109" i="13" s="1"/>
  <c r="CK125" i="13"/>
  <c r="CK137" i="13" s="1"/>
  <c r="CK43" i="13"/>
  <c r="CK109" i="13" s="1"/>
  <c r="CW125" i="13"/>
  <c r="CW137" i="13" s="1"/>
  <c r="CW43" i="13"/>
  <c r="CW109" i="13" s="1"/>
  <c r="BY125" i="13"/>
  <c r="BY137" i="13" s="1"/>
  <c r="BY43" i="13"/>
  <c r="BY109" i="13" s="1"/>
  <c r="BD125" i="13"/>
  <c r="BD137" i="13" s="1"/>
  <c r="BD43" i="13"/>
  <c r="BD109" i="13" s="1"/>
  <c r="BO125" i="13"/>
  <c r="BO137" i="13" s="1"/>
  <c r="BO43" i="13"/>
  <c r="BO109" i="13" s="1"/>
  <c r="CE125" i="13"/>
  <c r="CE137" i="13" s="1"/>
  <c r="CE43" i="13"/>
  <c r="CE109" i="13" s="1"/>
  <c r="AQ125" i="13"/>
  <c r="AQ137" i="13" s="1"/>
  <c r="AQ43" i="13"/>
  <c r="AQ109" i="13" s="1"/>
  <c r="X125" i="13"/>
  <c r="X137" i="13" s="1"/>
  <c r="X43" i="13"/>
  <c r="X109" i="13" s="1"/>
  <c r="Q125" i="13"/>
  <c r="Q137" i="13" s="1"/>
  <c r="Q43" i="13"/>
  <c r="Q109" i="13" s="1"/>
  <c r="AR125" i="13"/>
  <c r="AR137" i="13" s="1"/>
  <c r="AR43" i="13"/>
  <c r="AR109" i="13" s="1"/>
  <c r="AB125" i="13"/>
  <c r="AB137" i="13" s="1"/>
  <c r="AB43" i="13"/>
  <c r="AB109" i="13" s="1"/>
  <c r="CP125" i="13"/>
  <c r="CP137" i="13" s="1"/>
  <c r="CP43" i="13"/>
  <c r="CP109" i="13" s="1"/>
  <c r="DN125" i="13"/>
  <c r="DN137" i="13" s="1"/>
  <c r="DN43" i="13"/>
  <c r="DN109" i="13" s="1"/>
  <c r="CG125" i="13"/>
  <c r="CG137" i="13" s="1"/>
  <c r="CG43" i="13"/>
  <c r="CG109" i="13" s="1"/>
  <c r="DJ125" i="13"/>
  <c r="DJ137" i="13" s="1"/>
  <c r="DJ43" i="13"/>
  <c r="DJ109" i="13" s="1"/>
  <c r="CJ125" i="13"/>
  <c r="CJ137" i="13" s="1"/>
  <c r="CJ43" i="13"/>
  <c r="CJ109" i="13" s="1"/>
  <c r="CT125" i="13"/>
  <c r="CT137" i="13" s="1"/>
  <c r="CT43" i="13"/>
  <c r="CT109" i="13" s="1"/>
  <c r="BW125" i="13"/>
  <c r="BW137" i="13" s="1"/>
  <c r="BW43" i="13"/>
  <c r="BW109" i="13" s="1"/>
  <c r="AK125" i="13"/>
  <c r="AK137" i="13" s="1"/>
  <c r="AK43" i="13"/>
  <c r="AK109" i="13" s="1"/>
  <c r="BK125" i="13"/>
  <c r="BK137" i="13" s="1"/>
  <c r="BK43" i="13"/>
  <c r="BK109" i="13" s="1"/>
  <c r="BR125" i="13"/>
  <c r="BR137" i="13" s="1"/>
  <c r="BR43" i="13"/>
  <c r="BR109" i="13" s="1"/>
  <c r="AD125" i="13"/>
  <c r="AD137" i="13" s="1"/>
  <c r="AD43" i="13"/>
  <c r="AD109" i="13" s="1"/>
  <c r="N125" i="13"/>
  <c r="N137" i="13" s="1"/>
  <c r="N43" i="13"/>
  <c r="N109" i="13" s="1"/>
  <c r="AO125" i="13"/>
  <c r="AO137" i="13" s="1"/>
  <c r="AO43" i="13"/>
  <c r="AO109" i="13" s="1"/>
  <c r="AP125" i="13"/>
  <c r="AP137" i="13" s="1"/>
  <c r="AP43" i="13"/>
  <c r="AP109" i="13" s="1"/>
  <c r="L125" i="13"/>
  <c r="L43" i="13"/>
  <c r="L109" i="13" s="1"/>
  <c r="DI125" i="13"/>
  <c r="DI137" i="13" s="1"/>
  <c r="DI43" i="13"/>
  <c r="DI109" i="13" s="1"/>
  <c r="CH125" i="13"/>
  <c r="CH137" i="13" s="1"/>
  <c r="CH43" i="13"/>
  <c r="CH109" i="13" s="1"/>
  <c r="CO125" i="13"/>
  <c r="CO137" i="13" s="1"/>
  <c r="CO43" i="13"/>
  <c r="CO109" i="13" s="1"/>
  <c r="BT125" i="13"/>
  <c r="BT137" i="13" s="1"/>
  <c r="BT43" i="13"/>
  <c r="BT109" i="13" s="1"/>
  <c r="BX125" i="13"/>
  <c r="BX137" i="13" s="1"/>
  <c r="BX43" i="13"/>
  <c r="BX109" i="13" s="1"/>
  <c r="BF125" i="13"/>
  <c r="BF137" i="13" s="1"/>
  <c r="BF43" i="13"/>
  <c r="BF109" i="13" s="1"/>
  <c r="BQ125" i="13"/>
  <c r="BQ137" i="13" s="1"/>
  <c r="BQ43" i="13"/>
  <c r="BQ109" i="13" s="1"/>
  <c r="M125" i="13"/>
  <c r="M137" i="13" s="1"/>
  <c r="M43" i="13"/>
  <c r="M109" i="13" s="1"/>
  <c r="AA125" i="13"/>
  <c r="AA137" i="13" s="1"/>
  <c r="AA43" i="13"/>
  <c r="AA109" i="13" s="1"/>
  <c r="AC125" i="13"/>
  <c r="AC137" i="13" s="1"/>
  <c r="AC43" i="13"/>
  <c r="AC109" i="13" s="1"/>
  <c r="AH125" i="13"/>
  <c r="AH137" i="13" s="1"/>
  <c r="AH43" i="13"/>
  <c r="AH109" i="13" s="1"/>
  <c r="DO125" i="13"/>
  <c r="DO137" i="13" s="1"/>
  <c r="DO43" i="13"/>
  <c r="DO109" i="13" s="1"/>
  <c r="I31" i="13"/>
  <c r="K43" i="13"/>
  <c r="DK125" i="13"/>
  <c r="DK137" i="13" s="1"/>
  <c r="DK43" i="13"/>
  <c r="DK109" i="13" s="1"/>
  <c r="CC125" i="13"/>
  <c r="CC137" i="13" s="1"/>
  <c r="CC43" i="13"/>
  <c r="CC109" i="13" s="1"/>
  <c r="CI125" i="13"/>
  <c r="CI137" i="13" s="1"/>
  <c r="CI43" i="13"/>
  <c r="CI109" i="13" s="1"/>
  <c r="BV125" i="13"/>
  <c r="BV137" i="13" s="1"/>
  <c r="BV43" i="13"/>
  <c r="BV109" i="13" s="1"/>
  <c r="CN125" i="13"/>
  <c r="CN137" i="13" s="1"/>
  <c r="CN43" i="13"/>
  <c r="CN109" i="13" s="1"/>
  <c r="BL125" i="13"/>
  <c r="BL137" i="13" s="1"/>
  <c r="BL43" i="13"/>
  <c r="BL109" i="13" s="1"/>
  <c r="BE125" i="13"/>
  <c r="BE137" i="13" s="1"/>
  <c r="BE43" i="13"/>
  <c r="BE109" i="13" s="1"/>
  <c r="AW125" i="13"/>
  <c r="AW137" i="13" s="1"/>
  <c r="AW43" i="13"/>
  <c r="AW109" i="13" s="1"/>
  <c r="AY125" i="13"/>
  <c r="AY137" i="13" s="1"/>
  <c r="AY43" i="13"/>
  <c r="AY109" i="13" s="1"/>
  <c r="S125" i="13"/>
  <c r="S137" i="13" s="1"/>
  <c r="S43" i="13"/>
  <c r="S109" i="13" s="1"/>
  <c r="AI125" i="13"/>
  <c r="AI137" i="13" s="1"/>
  <c r="AI43" i="13"/>
  <c r="AI109" i="13" s="1"/>
  <c r="T125" i="13"/>
  <c r="T137" i="13" s="1"/>
  <c r="T43" i="13"/>
  <c r="T109" i="13" s="1"/>
  <c r="BB125" i="13"/>
  <c r="BB137" i="13" s="1"/>
  <c r="BB43" i="13"/>
  <c r="BB109" i="13" s="1"/>
  <c r="CD125" i="13"/>
  <c r="CD137" i="13" s="1"/>
  <c r="CD43" i="13"/>
  <c r="CD109" i="13" s="1"/>
  <c r="DF125" i="13"/>
  <c r="DF137" i="13" s="1"/>
  <c r="DF43" i="13"/>
  <c r="DF109" i="13" s="1"/>
  <c r="CM125" i="13"/>
  <c r="CM137" i="13" s="1"/>
  <c r="CM43" i="13"/>
  <c r="CM109" i="13" s="1"/>
  <c r="BU125" i="13"/>
  <c r="BU137" i="13" s="1"/>
  <c r="BU43" i="13"/>
  <c r="BU109" i="13" s="1"/>
  <c r="DL125" i="13"/>
  <c r="DL137" i="13" s="1"/>
  <c r="DL43" i="13"/>
  <c r="DL109" i="13" s="1"/>
  <c r="CL125" i="13"/>
  <c r="CL137" i="13" s="1"/>
  <c r="CL43" i="13"/>
  <c r="CL109" i="13" s="1"/>
  <c r="BJ125" i="13"/>
  <c r="BJ137" i="13" s="1"/>
  <c r="BJ43" i="13"/>
  <c r="BJ109" i="13" s="1"/>
  <c r="BC125" i="13"/>
  <c r="BC137" i="13" s="1"/>
  <c r="BC43" i="13"/>
  <c r="BC109" i="13" s="1"/>
  <c r="AE125" i="13"/>
  <c r="AE137" i="13" s="1"/>
  <c r="AE43" i="13"/>
  <c r="AE109" i="13" s="1"/>
  <c r="AV125" i="13"/>
  <c r="AV137" i="13" s="1"/>
  <c r="AV43" i="13"/>
  <c r="AV109" i="13" s="1"/>
  <c r="P125" i="13"/>
  <c r="P137" i="13" s="1"/>
  <c r="P43" i="13"/>
  <c r="P109" i="13" s="1"/>
  <c r="AL125" i="13"/>
  <c r="AL137" i="13" s="1"/>
  <c r="AL43" i="13"/>
  <c r="AL109" i="13" s="1"/>
  <c r="AT125" i="13"/>
  <c r="AT137" i="13" s="1"/>
  <c r="AT43" i="13"/>
  <c r="AT109" i="13" s="1"/>
  <c r="AM125" i="13"/>
  <c r="AM137" i="13" s="1"/>
  <c r="AM43" i="13"/>
  <c r="AM109" i="13" s="1"/>
  <c r="DE125" i="13"/>
  <c r="DE137" i="13" s="1"/>
  <c r="DE43" i="13"/>
  <c r="DE109" i="13" s="1"/>
  <c r="DC125" i="13"/>
  <c r="DC137" i="13" s="1"/>
  <c r="DC43" i="13"/>
  <c r="DC109" i="13" s="1"/>
  <c r="CB125" i="13"/>
  <c r="CB137" i="13" s="1"/>
  <c r="CB43" i="13"/>
  <c r="CB109" i="13" s="1"/>
  <c r="DD125" i="13"/>
  <c r="DD137" i="13" s="1"/>
  <c r="DD43" i="13"/>
  <c r="DD109" i="13" s="1"/>
  <c r="DH125" i="13"/>
  <c r="DH137" i="13" s="1"/>
  <c r="DH43" i="13"/>
  <c r="DH109" i="13" s="1"/>
  <c r="CQ125" i="13"/>
  <c r="CQ137" i="13" s="1"/>
  <c r="CQ43" i="13"/>
  <c r="CQ109" i="13" s="1"/>
  <c r="BI125" i="13"/>
  <c r="BI137" i="13" s="1"/>
  <c r="BI43" i="13"/>
  <c r="BI109" i="13" s="1"/>
  <c r="Y125" i="13"/>
  <c r="Y137" i="13" s="1"/>
  <c r="Y43" i="13"/>
  <c r="Y109" i="13" s="1"/>
  <c r="BA125" i="13"/>
  <c r="BA137" i="13" s="1"/>
  <c r="BA43" i="13"/>
  <c r="BA109" i="13" s="1"/>
  <c r="Z125" i="13"/>
  <c r="Z137" i="13" s="1"/>
  <c r="Z43" i="13"/>
  <c r="Z109" i="13" s="1"/>
  <c r="AS125" i="13"/>
  <c r="AS137" i="13" s="1"/>
  <c r="AS43" i="13"/>
  <c r="AS109" i="13" s="1"/>
  <c r="AX125" i="13"/>
  <c r="AX137" i="13" s="1"/>
  <c r="AX43" i="13"/>
  <c r="AX109" i="13" s="1"/>
  <c r="AJ125" i="13"/>
  <c r="AJ137" i="13" s="1"/>
  <c r="AJ43" i="13"/>
  <c r="AJ109" i="13" s="1"/>
  <c r="O125" i="13"/>
  <c r="O137" i="13" s="1"/>
  <c r="O43" i="13"/>
  <c r="O109" i="13" s="1"/>
  <c r="DP125" i="13"/>
  <c r="DP137" i="13" s="1"/>
  <c r="DP43" i="13"/>
  <c r="DP109" i="13" s="1"/>
  <c r="DQ125" i="13"/>
  <c r="DQ137" i="13" s="1"/>
  <c r="DQ43" i="13"/>
  <c r="DQ109" i="13" s="1"/>
  <c r="CY125" i="13"/>
  <c r="CY137" i="13" s="1"/>
  <c r="CY43" i="13"/>
  <c r="CY109" i="13" s="1"/>
  <c r="DG125" i="13"/>
  <c r="DG137" i="13" s="1"/>
  <c r="DG43" i="13"/>
  <c r="DG109" i="13" s="1"/>
  <c r="CA125" i="13"/>
  <c r="CA137" i="13" s="1"/>
  <c r="CA43" i="13"/>
  <c r="CA109" i="13" s="1"/>
  <c r="BH125" i="13"/>
  <c r="BH137" i="13" s="1"/>
  <c r="BH43" i="13"/>
  <c r="BH109" i="13" s="1"/>
  <c r="BS125" i="13"/>
  <c r="BS137" i="13" s="1"/>
  <c r="BS43" i="13"/>
  <c r="BS109" i="13" s="1"/>
  <c r="AZ125" i="13"/>
  <c r="AZ137" i="13" s="1"/>
  <c r="AZ43" i="13"/>
  <c r="AZ109" i="13" s="1"/>
  <c r="BN125" i="13"/>
  <c r="BN137" i="13" s="1"/>
  <c r="BN43" i="13"/>
  <c r="BN109" i="13" s="1"/>
  <c r="AU125" i="13"/>
  <c r="AU137" i="13" s="1"/>
  <c r="AU43" i="13"/>
  <c r="AU109" i="13" s="1"/>
  <c r="AF125" i="13"/>
  <c r="AF137" i="13" s="1"/>
  <c r="AF43" i="13"/>
  <c r="AF109" i="13" s="1"/>
  <c r="U125" i="13"/>
  <c r="U137" i="13" s="1"/>
  <c r="U43" i="13"/>
  <c r="U109" i="13" s="1"/>
  <c r="V125" i="13"/>
  <c r="V137" i="13" s="1"/>
  <c r="V43" i="13"/>
  <c r="V109" i="13" s="1"/>
  <c r="DM125" i="13"/>
  <c r="DM137" i="13" s="1"/>
  <c r="DM43" i="13"/>
  <c r="DM109" i="13" s="1"/>
  <c r="CV125" i="13"/>
  <c r="CV137" i="13" s="1"/>
  <c r="CV43" i="13"/>
  <c r="CV109" i="13" s="1"/>
  <c r="CZ125" i="13"/>
  <c r="CZ137" i="13" s="1"/>
  <c r="CZ43" i="13"/>
  <c r="CZ109" i="13" s="1"/>
  <c r="DA125" i="13"/>
  <c r="DA137" i="13" s="1"/>
  <c r="DA43" i="13"/>
  <c r="DA109" i="13" s="1"/>
  <c r="DB125" i="13"/>
  <c r="DB137" i="13" s="1"/>
  <c r="DB43" i="13"/>
  <c r="DB109" i="13" s="1"/>
  <c r="CU125" i="13"/>
  <c r="CU137" i="13" s="1"/>
  <c r="CU43" i="13"/>
  <c r="CU109" i="13" s="1"/>
  <c r="CR125" i="13"/>
  <c r="CR137" i="13" s="1"/>
  <c r="CR43" i="13"/>
  <c r="CR109" i="13" s="1"/>
  <c r="CX125" i="13"/>
  <c r="CX137" i="13" s="1"/>
  <c r="CX43" i="13"/>
  <c r="CX109" i="13" s="1"/>
  <c r="BZ125" i="13"/>
  <c r="BZ137" i="13" s="1"/>
  <c r="BZ43" i="13"/>
  <c r="BZ109" i="13" s="1"/>
  <c r="BG125" i="13"/>
  <c r="BG137" i="13" s="1"/>
  <c r="BG43" i="13"/>
  <c r="BG109" i="13" s="1"/>
  <c r="BP125" i="13"/>
  <c r="BP137" i="13" s="1"/>
  <c r="BP43" i="13"/>
  <c r="BP109" i="13" s="1"/>
  <c r="CF125" i="13"/>
  <c r="CF137" i="13" s="1"/>
  <c r="CF43" i="13"/>
  <c r="CF109" i="13" s="1"/>
  <c r="BM125" i="13"/>
  <c r="BM137" i="13" s="1"/>
  <c r="BM43" i="13"/>
  <c r="BM109" i="13" s="1"/>
  <c r="AN125" i="13"/>
  <c r="AN137" i="13" s="1"/>
  <c r="AN43" i="13"/>
  <c r="AN109" i="13" s="1"/>
  <c r="R125" i="13"/>
  <c r="R137" i="13" s="1"/>
  <c r="R43" i="13"/>
  <c r="R109" i="13" s="1"/>
  <c r="W125" i="13"/>
  <c r="W137" i="13" s="1"/>
  <c r="W43" i="13"/>
  <c r="W109" i="13" s="1"/>
  <c r="AG125" i="13"/>
  <c r="AG137" i="13" s="1"/>
  <c r="AG43" i="13"/>
  <c r="AG109" i="13" s="1"/>
  <c r="BQ139" i="13" l="1"/>
  <c r="BQ142" i="13" s="1"/>
  <c r="BQ144" i="13" s="1"/>
  <c r="CO139" i="13"/>
  <c r="CO142" i="13" s="1"/>
  <c r="CO156" i="13" s="1"/>
  <c r="AP139" i="13"/>
  <c r="AP142" i="13" s="1"/>
  <c r="AP156" i="13" s="1"/>
  <c r="L137" i="13"/>
  <c r="L139" i="13" s="1"/>
  <c r="L142" i="13" s="1"/>
  <c r="L156" i="13" s="1"/>
  <c r="I125" i="13"/>
  <c r="BR139" i="13"/>
  <c r="BR142" i="13" s="1"/>
  <c r="BR156" i="13" s="1"/>
  <c r="CT139" i="13"/>
  <c r="CT142" i="13" s="1"/>
  <c r="CT144" i="13" s="1"/>
  <c r="DN139" i="13"/>
  <c r="DN142" i="13" s="1"/>
  <c r="DN144" i="13" s="1"/>
  <c r="Q139" i="13"/>
  <c r="Q142" i="13" s="1"/>
  <c r="Q156" i="13" s="1"/>
  <c r="BO139" i="13"/>
  <c r="BO142" i="13" s="1"/>
  <c r="BO13" i="16" s="1"/>
  <c r="CW139" i="13"/>
  <c r="CW142" i="13" s="1"/>
  <c r="CW13" i="16" s="1"/>
  <c r="AH139" i="13"/>
  <c r="AH142" i="13" s="1"/>
  <c r="AH144" i="13" s="1"/>
  <c r="AA139" i="13"/>
  <c r="AA142" i="13" s="1"/>
  <c r="AA144" i="13" s="1"/>
  <c r="BX139" i="13"/>
  <c r="BX142" i="13" s="1"/>
  <c r="BX144" i="13" s="1"/>
  <c r="DI139" i="13"/>
  <c r="DI142" i="13" s="1"/>
  <c r="DI13" i="16" s="1"/>
  <c r="N139" i="13"/>
  <c r="N142" i="13" s="1"/>
  <c r="N156" i="13" s="1"/>
  <c r="AK139" i="13"/>
  <c r="AK142" i="13" s="1"/>
  <c r="AK144" i="13" s="1"/>
  <c r="DJ139" i="13"/>
  <c r="DJ142" i="13" s="1"/>
  <c r="DJ13" i="16" s="1"/>
  <c r="AB139" i="13"/>
  <c r="AB142" i="13" s="1"/>
  <c r="AB156" i="13" s="1"/>
  <c r="AQ139" i="13"/>
  <c r="AQ142" i="13" s="1"/>
  <c r="AQ144" i="13" s="1"/>
  <c r="AC139" i="13"/>
  <c r="AC142" i="13" s="1"/>
  <c r="AC156" i="13" s="1"/>
  <c r="BF139" i="13"/>
  <c r="BF142" i="13" s="1"/>
  <c r="BF144" i="13" s="1"/>
  <c r="CH139" i="13"/>
  <c r="CH142" i="13" s="1"/>
  <c r="CH13" i="16" s="1"/>
  <c r="AO139" i="13"/>
  <c r="AO142" i="13" s="1"/>
  <c r="AO156" i="13" s="1"/>
  <c r="BK139" i="13"/>
  <c r="BK142" i="13" s="1"/>
  <c r="BK144" i="13" s="1"/>
  <c r="CJ139" i="13"/>
  <c r="CJ142" i="13" s="1"/>
  <c r="CJ144" i="13" s="1"/>
  <c r="CP139" i="13"/>
  <c r="CP142" i="13" s="1"/>
  <c r="CP144" i="13" s="1"/>
  <c r="X139" i="13"/>
  <c r="X142" i="13" s="1"/>
  <c r="X144" i="13" s="1"/>
  <c r="BD139" i="13"/>
  <c r="BD142" i="13" s="1"/>
  <c r="BD156" i="13" s="1"/>
  <c r="CS139" i="13"/>
  <c r="CS142" i="13" s="1"/>
  <c r="CS144" i="13" s="1"/>
  <c r="DO139" i="13"/>
  <c r="DO142" i="13" s="1"/>
  <c r="DO144" i="13" s="1"/>
  <c r="M139" i="13"/>
  <c r="M142" i="13" s="1"/>
  <c r="M156" i="13" s="1"/>
  <c r="BT139" i="13"/>
  <c r="BT142" i="13" s="1"/>
  <c r="BT144" i="13" s="1"/>
  <c r="AD139" i="13"/>
  <c r="AD142" i="13" s="1"/>
  <c r="AD144" i="13" s="1"/>
  <c r="BW139" i="13"/>
  <c r="BW142" i="13" s="1"/>
  <c r="BW13" i="16" s="1"/>
  <c r="CG139" i="13"/>
  <c r="CG142" i="13" s="1"/>
  <c r="CG144" i="13" s="1"/>
  <c r="AR139" i="13"/>
  <c r="AR142" i="13" s="1"/>
  <c r="AR156" i="13" s="1"/>
  <c r="CE139" i="13"/>
  <c r="CE142" i="13" s="1"/>
  <c r="CE13" i="16" s="1"/>
  <c r="CK139" i="13"/>
  <c r="CK142" i="13" s="1"/>
  <c r="CK13" i="16" s="1"/>
  <c r="BY139" i="13"/>
  <c r="BY142" i="13" s="1"/>
  <c r="BY13" i="16" s="1"/>
  <c r="AG139" i="13"/>
  <c r="AG142" i="13" s="1"/>
  <c r="AG144" i="13" s="1"/>
  <c r="BM139" i="13"/>
  <c r="BM142" i="13" s="1"/>
  <c r="BM144" i="13" s="1"/>
  <c r="BZ139" i="13"/>
  <c r="BZ142" i="13" s="1"/>
  <c r="BZ144" i="13" s="1"/>
  <c r="DB139" i="13"/>
  <c r="DB142" i="13" s="1"/>
  <c r="DB144" i="13" s="1"/>
  <c r="DM139" i="13"/>
  <c r="DM142" i="13" s="1"/>
  <c r="DM156" i="13" s="1"/>
  <c r="AU139" i="13"/>
  <c r="AU142" i="13" s="1"/>
  <c r="AU144" i="13" s="1"/>
  <c r="BH139" i="13"/>
  <c r="BH142" i="13" s="1"/>
  <c r="BH13" i="16" s="1"/>
  <c r="DQ139" i="13"/>
  <c r="DQ142" i="13" s="1"/>
  <c r="DQ144" i="13" s="1"/>
  <c r="AX139" i="13"/>
  <c r="AX142" i="13" s="1"/>
  <c r="AX144" i="13" s="1"/>
  <c r="Y139" i="13"/>
  <c r="Y142" i="13" s="1"/>
  <c r="Y144" i="13" s="1"/>
  <c r="DD139" i="13"/>
  <c r="DD142" i="13" s="1"/>
  <c r="DD13" i="16" s="1"/>
  <c r="AM139" i="13"/>
  <c r="AM142" i="13" s="1"/>
  <c r="AM144" i="13" s="1"/>
  <c r="AV139" i="13"/>
  <c r="AV142" i="13" s="1"/>
  <c r="AV144" i="13" s="1"/>
  <c r="CL139" i="13"/>
  <c r="CL142" i="13" s="1"/>
  <c r="CL144" i="13" s="1"/>
  <c r="DF139" i="13"/>
  <c r="DF142" i="13" s="1"/>
  <c r="DF13" i="16" s="1"/>
  <c r="AI139" i="13"/>
  <c r="AI142" i="13" s="1"/>
  <c r="AI144" i="13" s="1"/>
  <c r="BE139" i="13"/>
  <c r="BE142" i="13" s="1"/>
  <c r="BE144" i="13" s="1"/>
  <c r="CI139" i="13"/>
  <c r="CI142" i="13" s="1"/>
  <c r="CI144" i="13" s="1"/>
  <c r="W139" i="13"/>
  <c r="W142" i="13" s="1"/>
  <c r="W144" i="13" s="1"/>
  <c r="CF139" i="13"/>
  <c r="CF142" i="13" s="1"/>
  <c r="CF156" i="13" s="1"/>
  <c r="CX139" i="13"/>
  <c r="CX142" i="13" s="1"/>
  <c r="CX144" i="13" s="1"/>
  <c r="DA139" i="13"/>
  <c r="DA142" i="13" s="1"/>
  <c r="DA13" i="16" s="1"/>
  <c r="V139" i="13"/>
  <c r="V142" i="13" s="1"/>
  <c r="V156" i="13" s="1"/>
  <c r="BN139" i="13"/>
  <c r="BN142" i="13" s="1"/>
  <c r="BN144" i="13" s="1"/>
  <c r="CA139" i="13"/>
  <c r="CA142" i="13" s="1"/>
  <c r="CA144" i="13" s="1"/>
  <c r="DP139" i="13"/>
  <c r="DP142" i="13" s="1"/>
  <c r="DP156" i="13" s="1"/>
  <c r="AS139" i="13"/>
  <c r="AS142" i="13" s="1"/>
  <c r="AS144" i="13" s="1"/>
  <c r="BI139" i="13"/>
  <c r="BI142" i="13" s="1"/>
  <c r="BI156" i="13" s="1"/>
  <c r="CB139" i="13"/>
  <c r="CB142" i="13" s="1"/>
  <c r="CB144" i="13" s="1"/>
  <c r="AT139" i="13"/>
  <c r="AT142" i="13" s="1"/>
  <c r="AT144" i="13" s="1"/>
  <c r="AE139" i="13"/>
  <c r="AE142" i="13" s="1"/>
  <c r="AE13" i="16" s="1"/>
  <c r="DL139" i="13"/>
  <c r="DL142" i="13" s="1"/>
  <c r="DL144" i="13" s="1"/>
  <c r="CD139" i="13"/>
  <c r="CD142" i="13" s="1"/>
  <c r="CD144" i="13" s="1"/>
  <c r="S139" i="13"/>
  <c r="S142" i="13" s="1"/>
  <c r="S144" i="13" s="1"/>
  <c r="BL139" i="13"/>
  <c r="BL142" i="13" s="1"/>
  <c r="BL144" i="13" s="1"/>
  <c r="CC139" i="13"/>
  <c r="CC142" i="13" s="1"/>
  <c r="CC144" i="13" s="1"/>
  <c r="R139" i="13"/>
  <c r="R142" i="13" s="1"/>
  <c r="R156" i="13" s="1"/>
  <c r="BP139" i="13"/>
  <c r="BP142" i="13" s="1"/>
  <c r="BP144" i="13" s="1"/>
  <c r="CR139" i="13"/>
  <c r="CR142" i="13" s="1"/>
  <c r="CR13" i="16" s="1"/>
  <c r="CZ139" i="13"/>
  <c r="CZ142" i="13" s="1"/>
  <c r="CZ144" i="13" s="1"/>
  <c r="U139" i="13"/>
  <c r="U142" i="13" s="1"/>
  <c r="U13" i="16" s="1"/>
  <c r="AZ139" i="13"/>
  <c r="AZ142" i="13" s="1"/>
  <c r="AZ156" i="13" s="1"/>
  <c r="DG139" i="13"/>
  <c r="DG142" i="13" s="1"/>
  <c r="DG144" i="13" s="1"/>
  <c r="O139" i="13"/>
  <c r="O142" i="13" s="1"/>
  <c r="O156" i="13" s="1"/>
  <c r="Z139" i="13"/>
  <c r="Z142" i="13" s="1"/>
  <c r="Z144" i="13" s="1"/>
  <c r="CQ139" i="13"/>
  <c r="CQ142" i="13" s="1"/>
  <c r="CQ144" i="13" s="1"/>
  <c r="DC139" i="13"/>
  <c r="DC142" i="13" s="1"/>
  <c r="DC13" i="16" s="1"/>
  <c r="AL139" i="13"/>
  <c r="AL142" i="13" s="1"/>
  <c r="AL144" i="13" s="1"/>
  <c r="BC139" i="13"/>
  <c r="BC142" i="13" s="1"/>
  <c r="BC144" i="13" s="1"/>
  <c r="BU139" i="13"/>
  <c r="BU142" i="13" s="1"/>
  <c r="BU156" i="13" s="1"/>
  <c r="BB139" i="13"/>
  <c r="BB142" i="13" s="1"/>
  <c r="BB156" i="13" s="1"/>
  <c r="AY139" i="13"/>
  <c r="AY142" i="13" s="1"/>
  <c r="AY156" i="13" s="1"/>
  <c r="CN139" i="13"/>
  <c r="CN142" i="13" s="1"/>
  <c r="CN144" i="13" s="1"/>
  <c r="DK139" i="13"/>
  <c r="DK142" i="13" s="1"/>
  <c r="DK144" i="13" s="1"/>
  <c r="AN139" i="13"/>
  <c r="AN142" i="13" s="1"/>
  <c r="AN144" i="13" s="1"/>
  <c r="BG139" i="13"/>
  <c r="BG142" i="13" s="1"/>
  <c r="BG144" i="13" s="1"/>
  <c r="CU139" i="13"/>
  <c r="CU142" i="13" s="1"/>
  <c r="CU156" i="13" s="1"/>
  <c r="CV139" i="13"/>
  <c r="CV142" i="13" s="1"/>
  <c r="CV156" i="13" s="1"/>
  <c r="AF139" i="13"/>
  <c r="AF142" i="13" s="1"/>
  <c r="AF156" i="13" s="1"/>
  <c r="BS139" i="13"/>
  <c r="BS142" i="13" s="1"/>
  <c r="BS144" i="13" s="1"/>
  <c r="CY139" i="13"/>
  <c r="CY142" i="13" s="1"/>
  <c r="CY144" i="13" s="1"/>
  <c r="AJ139" i="13"/>
  <c r="AJ142" i="13" s="1"/>
  <c r="AJ13" i="16" s="1"/>
  <c r="BA139" i="13"/>
  <c r="BA142" i="13" s="1"/>
  <c r="BA144" i="13" s="1"/>
  <c r="DH139" i="13"/>
  <c r="DH142" i="13" s="1"/>
  <c r="DH144" i="13" s="1"/>
  <c r="DE139" i="13"/>
  <c r="DE142" i="13" s="1"/>
  <c r="DE144" i="13" s="1"/>
  <c r="P139" i="13"/>
  <c r="P142" i="13" s="1"/>
  <c r="P13" i="16" s="1"/>
  <c r="BJ139" i="13"/>
  <c r="BJ142" i="13" s="1"/>
  <c r="BJ156" i="13" s="1"/>
  <c r="CM139" i="13"/>
  <c r="CM142" i="13" s="1"/>
  <c r="CM144" i="13" s="1"/>
  <c r="T139" i="13"/>
  <c r="T142" i="13" s="1"/>
  <c r="T144" i="13" s="1"/>
  <c r="AW139" i="13"/>
  <c r="AW142" i="13" s="1"/>
  <c r="AW156" i="13" s="1"/>
  <c r="BV139" i="13"/>
  <c r="BV142" i="13" s="1"/>
  <c r="BV13" i="16" s="1"/>
  <c r="G177" i="13" a="1"/>
  <c r="G177" i="13" s="1"/>
  <c r="K137" i="13"/>
  <c r="CO144" i="13"/>
  <c r="I43" i="13"/>
  <c r="K109" i="13"/>
  <c r="CO13" i="16" l="1"/>
  <c r="AP13" i="16"/>
  <c r="AP150" i="16" s="1"/>
  <c r="AP144" i="13"/>
  <c r="BQ13" i="16"/>
  <c r="BQ150" i="16" s="1"/>
  <c r="BQ156" i="13"/>
  <c r="BQ158" i="13" s="1"/>
  <c r="I137" i="13"/>
  <c r="BR13" i="16"/>
  <c r="BR150" i="16" s="1"/>
  <c r="BR144" i="13"/>
  <c r="CW156" i="13"/>
  <c r="CW158" i="13" s="1"/>
  <c r="CW144" i="13"/>
  <c r="CT13" i="16"/>
  <c r="CT150" i="16" s="1"/>
  <c r="CT156" i="13"/>
  <c r="CT158" i="13" s="1"/>
  <c r="AB13" i="16"/>
  <c r="AB150" i="16" s="1"/>
  <c r="AB144" i="13"/>
  <c r="AH156" i="13"/>
  <c r="AH158" i="13" s="1"/>
  <c r="AH13" i="16"/>
  <c r="AH150" i="16" s="1"/>
  <c r="Q13" i="16"/>
  <c r="Q150" i="16" s="1"/>
  <c r="Q144" i="13"/>
  <c r="DN13" i="16"/>
  <c r="DN150" i="16" s="1"/>
  <c r="DN156" i="13"/>
  <c r="DN158" i="13" s="1"/>
  <c r="AA156" i="13"/>
  <c r="AA158" i="13" s="1"/>
  <c r="AC144" i="13"/>
  <c r="BX13" i="16"/>
  <c r="BX150" i="16" s="1"/>
  <c r="AA13" i="16"/>
  <c r="AA150" i="16" s="1"/>
  <c r="DI156" i="13"/>
  <c r="DI158" i="13" s="1"/>
  <c r="DI144" i="13"/>
  <c r="CH156" i="13"/>
  <c r="CH158" i="13" s="1"/>
  <c r="CH144" i="13"/>
  <c r="BO156" i="13"/>
  <c r="BO158" i="13" s="1"/>
  <c r="BO144" i="13"/>
  <c r="BX156" i="13"/>
  <c r="BX158" i="13" s="1"/>
  <c r="AK156" i="13"/>
  <c r="AK158" i="13" s="1"/>
  <c r="N144" i="13"/>
  <c r="N13" i="16"/>
  <c r="N150" i="16" s="1"/>
  <c r="AK13" i="16"/>
  <c r="AK150" i="16" s="1"/>
  <c r="AQ13" i="16"/>
  <c r="AQ150" i="16" s="1"/>
  <c r="AQ156" i="13"/>
  <c r="AQ158" i="13" s="1"/>
  <c r="DJ156" i="13"/>
  <c r="DJ158" i="13" s="1"/>
  <c r="DJ144" i="13"/>
  <c r="AC13" i="16"/>
  <c r="AC150" i="16" s="1"/>
  <c r="DB13" i="16"/>
  <c r="DB150" i="16" s="1"/>
  <c r="BD144" i="13"/>
  <c r="O13" i="16"/>
  <c r="O150" i="16" s="1"/>
  <c r="BD13" i="16"/>
  <c r="BD150" i="16" s="1"/>
  <c r="CF144" i="13"/>
  <c r="CS13" i="16"/>
  <c r="CS150" i="16" s="1"/>
  <c r="CE156" i="13"/>
  <c r="CE158" i="13" s="1"/>
  <c r="DO156" i="13"/>
  <c r="DO158" i="13" s="1"/>
  <c r="M13" i="16"/>
  <c r="M150" i="16" s="1"/>
  <c r="CK156" i="13"/>
  <c r="CK158" i="13" s="1"/>
  <c r="CK144" i="13"/>
  <c r="M144" i="13"/>
  <c r="AO13" i="16"/>
  <c r="AO150" i="16" s="1"/>
  <c r="AO144" i="13"/>
  <c r="BK13" i="16"/>
  <c r="BK150" i="16" s="1"/>
  <c r="BT13" i="16"/>
  <c r="BT150" i="16" s="1"/>
  <c r="BY156" i="13"/>
  <c r="BY158" i="13" s="1"/>
  <c r="BK156" i="13"/>
  <c r="BK158" i="13" s="1"/>
  <c r="BT156" i="13"/>
  <c r="BT158" i="13" s="1"/>
  <c r="BY144" i="13"/>
  <c r="BE13" i="16"/>
  <c r="BE150" i="16" s="1"/>
  <c r="BE156" i="13"/>
  <c r="BE158" i="13" s="1"/>
  <c r="U144" i="13"/>
  <c r="U156" i="13"/>
  <c r="U158" i="13" s="1"/>
  <c r="CD13" i="16"/>
  <c r="CD150" i="16" s="1"/>
  <c r="K139" i="13"/>
  <c r="G176" i="13" s="1" a="1"/>
  <c r="G176" i="13" s="1"/>
  <c r="G178" i="13" s="1"/>
  <c r="F22" i="17" s="1"/>
  <c r="DE13" i="16"/>
  <c r="DE150" i="16" s="1"/>
  <c r="CP13" i="16"/>
  <c r="CP150" i="16" s="1"/>
  <c r="CD156" i="13"/>
  <c r="CD158" i="13" s="1"/>
  <c r="AG13" i="16"/>
  <c r="AG150" i="16" s="1"/>
  <c r="CP156" i="13"/>
  <c r="CP158" i="13" s="1"/>
  <c r="AD13" i="16"/>
  <c r="AD150" i="16" s="1"/>
  <c r="AX13" i="16"/>
  <c r="AX150" i="16" s="1"/>
  <c r="AG156" i="13"/>
  <c r="AG158" i="13" s="1"/>
  <c r="BU144" i="13"/>
  <c r="CA13" i="16"/>
  <c r="CA150" i="16" s="1"/>
  <c r="L13" i="16"/>
  <c r="L150" i="16" s="1"/>
  <c r="AX156" i="13"/>
  <c r="AX158" i="13" s="1"/>
  <c r="CJ13" i="16"/>
  <c r="CJ150" i="16" s="1"/>
  <c r="CA156" i="13"/>
  <c r="CA158" i="13" s="1"/>
  <c r="L144" i="13"/>
  <c r="CJ156" i="13"/>
  <c r="CJ158" i="13" s="1"/>
  <c r="AZ144" i="13"/>
  <c r="CI13" i="16"/>
  <c r="CI150" i="16" s="1"/>
  <c r="BW156" i="13"/>
  <c r="BW158" i="13" s="1"/>
  <c r="W13" i="16"/>
  <c r="W150" i="16" s="1"/>
  <c r="AF144" i="13"/>
  <c r="X13" i="16"/>
  <c r="X150" i="16" s="1"/>
  <c r="BL13" i="16"/>
  <c r="BL150" i="16" s="1"/>
  <c r="X156" i="13"/>
  <c r="X158" i="13" s="1"/>
  <c r="W156" i="13"/>
  <c r="W158" i="13" s="1"/>
  <c r="BW144" i="13"/>
  <c r="BF13" i="16"/>
  <c r="BF150" i="16" s="1"/>
  <c r="DD156" i="13"/>
  <c r="DD158" i="13" s="1"/>
  <c r="CS156" i="13"/>
  <c r="CS158" i="13" s="1"/>
  <c r="BF156" i="13"/>
  <c r="BF158" i="13" s="1"/>
  <c r="AS13" i="16"/>
  <c r="AS150" i="16" s="1"/>
  <c r="DD144" i="13"/>
  <c r="DG13" i="16"/>
  <c r="DG150" i="16" s="1"/>
  <c r="AF13" i="16"/>
  <c r="AF150" i="16" s="1"/>
  <c r="AS156" i="13"/>
  <c r="AS158" i="13" s="1"/>
  <c r="BL156" i="13"/>
  <c r="BL158" i="13" s="1"/>
  <c r="AR13" i="16"/>
  <c r="AR150" i="16" s="1"/>
  <c r="BB144" i="13"/>
  <c r="AZ13" i="16"/>
  <c r="AZ150" i="16" s="1"/>
  <c r="CE144" i="13"/>
  <c r="DO13" i="16"/>
  <c r="DO150" i="16" s="1"/>
  <c r="BI144" i="13"/>
  <c r="AD156" i="13"/>
  <c r="AD158" i="13" s="1"/>
  <c r="BM156" i="13"/>
  <c r="BM158" i="13" s="1"/>
  <c r="S156" i="13"/>
  <c r="S158" i="13" s="1"/>
  <c r="BJ13" i="16"/>
  <c r="BJ150" i="16" s="1"/>
  <c r="DG156" i="13"/>
  <c r="DG158" i="13" s="1"/>
  <c r="CG13" i="16"/>
  <c r="CG150" i="16" s="1"/>
  <c r="AR144" i="13"/>
  <c r="AY144" i="13"/>
  <c r="CG156" i="13"/>
  <c r="CG158" i="13" s="1"/>
  <c r="BJ144" i="13"/>
  <c r="BB13" i="16"/>
  <c r="BB150" i="16" s="1"/>
  <c r="BZ13" i="16"/>
  <c r="BZ150" i="16" s="1"/>
  <c r="AM156" i="13"/>
  <c r="AM158" i="13" s="1"/>
  <c r="BZ156" i="13"/>
  <c r="BZ158" i="13" s="1"/>
  <c r="BS156" i="13"/>
  <c r="BS158" i="13" s="1"/>
  <c r="CM13" i="16"/>
  <c r="CM150" i="16" s="1"/>
  <c r="AY13" i="16"/>
  <c r="AY150" i="16" s="1"/>
  <c r="O144" i="13"/>
  <c r="CF13" i="16"/>
  <c r="CF150" i="16" s="1"/>
  <c r="DB156" i="13"/>
  <c r="DB158" i="13" s="1"/>
  <c r="BS13" i="16"/>
  <c r="BS150" i="16" s="1"/>
  <c r="CM156" i="13"/>
  <c r="CM158" i="13" s="1"/>
  <c r="CC13" i="16"/>
  <c r="CC150" i="16" s="1"/>
  <c r="CC156" i="13"/>
  <c r="CC158" i="13" s="1"/>
  <c r="BI13" i="16"/>
  <c r="BI150" i="16" s="1"/>
  <c r="CR156" i="13"/>
  <c r="CR158" i="13" s="1"/>
  <c r="CR144" i="13"/>
  <c r="P144" i="13"/>
  <c r="Z13" i="16"/>
  <c r="Z150" i="16" s="1"/>
  <c r="R144" i="13"/>
  <c r="AE156" i="13"/>
  <c r="AE158" i="13" s="1"/>
  <c r="AE144" i="13"/>
  <c r="P156" i="13"/>
  <c r="P158" i="13" s="1"/>
  <c r="CV13" i="16"/>
  <c r="CV150" i="16" s="1"/>
  <c r="CI156" i="13"/>
  <c r="CI158" i="13" s="1"/>
  <c r="Y13" i="16"/>
  <c r="Y150" i="16" s="1"/>
  <c r="CV144" i="13"/>
  <c r="DP13" i="16"/>
  <c r="DP150" i="16" s="1"/>
  <c r="Y156" i="13"/>
  <c r="Y158" i="13" s="1"/>
  <c r="BU13" i="16"/>
  <c r="BU150" i="16" s="1"/>
  <c r="DP144" i="13"/>
  <c r="S13" i="16"/>
  <c r="S150" i="16" s="1"/>
  <c r="BM13" i="16"/>
  <c r="BM150" i="16" s="1"/>
  <c r="DK156" i="13"/>
  <c r="DK158" i="13" s="1"/>
  <c r="BH156" i="13"/>
  <c r="BH158" i="13" s="1"/>
  <c r="BH144" i="13"/>
  <c r="DE156" i="13"/>
  <c r="DE158" i="13" s="1"/>
  <c r="BC13" i="16"/>
  <c r="BC150" i="16" s="1"/>
  <c r="CU13" i="16"/>
  <c r="CU150" i="16" s="1"/>
  <c r="BC156" i="13"/>
  <c r="BC158" i="13" s="1"/>
  <c r="CU144" i="13"/>
  <c r="DK13" i="16"/>
  <c r="DK150" i="16" s="1"/>
  <c r="BV156" i="13"/>
  <c r="BV158" i="13" s="1"/>
  <c r="BV144" i="13"/>
  <c r="AN13" i="16"/>
  <c r="AN150" i="16" s="1"/>
  <c r="T13" i="16"/>
  <c r="T150" i="16" s="1"/>
  <c r="AJ144" i="13"/>
  <c r="CN13" i="16"/>
  <c r="CN150" i="16" s="1"/>
  <c r="Z156" i="13"/>
  <c r="Z158" i="13" s="1"/>
  <c r="CB13" i="16"/>
  <c r="CB150" i="16" s="1"/>
  <c r="DA144" i="13"/>
  <c r="AU13" i="16"/>
  <c r="AU150" i="16" s="1"/>
  <c r="AJ156" i="13"/>
  <c r="AJ158" i="13" s="1"/>
  <c r="T156" i="13"/>
  <c r="T158" i="13" s="1"/>
  <c r="CY13" i="16"/>
  <c r="CY150" i="16" s="1"/>
  <c r="CN156" i="13"/>
  <c r="CN158" i="13" s="1"/>
  <c r="CB156" i="13"/>
  <c r="CB158" i="13" s="1"/>
  <c r="CX13" i="16"/>
  <c r="CX150" i="16" s="1"/>
  <c r="AV13" i="16"/>
  <c r="AV150" i="16" s="1"/>
  <c r="DM13" i="16"/>
  <c r="DM150" i="16" s="1"/>
  <c r="AT13" i="16"/>
  <c r="AT150" i="16" s="1"/>
  <c r="CY156" i="13"/>
  <c r="CY158" i="13" s="1"/>
  <c r="R13" i="16"/>
  <c r="R150" i="16" s="1"/>
  <c r="CX156" i="13"/>
  <c r="CX158" i="13" s="1"/>
  <c r="AV156" i="13"/>
  <c r="AV158" i="13" s="1"/>
  <c r="DM144" i="13"/>
  <c r="AW13" i="16"/>
  <c r="AW150" i="16" s="1"/>
  <c r="DA156" i="13"/>
  <c r="DA158" i="13" s="1"/>
  <c r="DC144" i="13"/>
  <c r="AT156" i="13"/>
  <c r="AT158" i="13" s="1"/>
  <c r="DF156" i="13"/>
  <c r="DF158" i="13" s="1"/>
  <c r="AM13" i="16"/>
  <c r="AM150" i="16" s="1"/>
  <c r="AU156" i="13"/>
  <c r="AU158" i="13" s="1"/>
  <c r="AN156" i="13"/>
  <c r="AN158" i="13" s="1"/>
  <c r="AW144" i="13"/>
  <c r="DC156" i="13"/>
  <c r="DC158" i="13" s="1"/>
  <c r="V13" i="16"/>
  <c r="V150" i="16" s="1"/>
  <c r="DF144" i="13"/>
  <c r="BA13" i="16"/>
  <c r="BA150" i="16" s="1"/>
  <c r="BA156" i="13"/>
  <c r="BA158" i="13" s="1"/>
  <c r="CQ13" i="16"/>
  <c r="CQ150" i="16" s="1"/>
  <c r="V144" i="13"/>
  <c r="CL13" i="16"/>
  <c r="CL150" i="16" s="1"/>
  <c r="CQ156" i="13"/>
  <c r="CQ158" i="13" s="1"/>
  <c r="CL156" i="13"/>
  <c r="CL158" i="13" s="1"/>
  <c r="BP13" i="16"/>
  <c r="BP150" i="16" s="1"/>
  <c r="BN13" i="16"/>
  <c r="BN150" i="16" s="1"/>
  <c r="BP156" i="13"/>
  <c r="BP158" i="13" s="1"/>
  <c r="DL13" i="16"/>
  <c r="DL150" i="16" s="1"/>
  <c r="AL13" i="16"/>
  <c r="AL150" i="16" s="1"/>
  <c r="CZ13" i="16"/>
  <c r="CZ150" i="16" s="1"/>
  <c r="DH13" i="16"/>
  <c r="DH150" i="16" s="1"/>
  <c r="BG13" i="16"/>
  <c r="BG150" i="16" s="1"/>
  <c r="CZ156" i="13"/>
  <c r="CZ158" i="13" s="1"/>
  <c r="AL156" i="13"/>
  <c r="AL158" i="13" s="1"/>
  <c r="DL156" i="13"/>
  <c r="DL158" i="13" s="1"/>
  <c r="BN156" i="13"/>
  <c r="BN158" i="13" s="1"/>
  <c r="AI13" i="16"/>
  <c r="AI150" i="16" s="1"/>
  <c r="DQ13" i="16"/>
  <c r="DQ150" i="16" s="1"/>
  <c r="DH156" i="13"/>
  <c r="DH158" i="13" s="1"/>
  <c r="BG156" i="13"/>
  <c r="BG158" i="13" s="1"/>
  <c r="AI156" i="13"/>
  <c r="AI158" i="13" s="1"/>
  <c r="DQ156" i="13"/>
  <c r="DQ158" i="13" s="1"/>
  <c r="BB158" i="13"/>
  <c r="CR150" i="16"/>
  <c r="CO150" i="16"/>
  <c r="DD150" i="16"/>
  <c r="BY150" i="16"/>
  <c r="BJ158" i="13"/>
  <c r="AF158" i="13"/>
  <c r="CO158" i="13"/>
  <c r="M158" i="13"/>
  <c r="DJ150" i="16"/>
  <c r="N158" i="13"/>
  <c r="CF158" i="13"/>
  <c r="CE150" i="16"/>
  <c r="DI150" i="16"/>
  <c r="P150" i="16"/>
  <c r="BU158" i="13"/>
  <c r="DC150" i="16"/>
  <c r="AZ158" i="13"/>
  <c r="CK150" i="16"/>
  <c r="Q158" i="13"/>
  <c r="BR158" i="13"/>
  <c r="AE150" i="16"/>
  <c r="BW150" i="16"/>
  <c r="L158" i="13"/>
  <c r="CV158" i="13"/>
  <c r="R158" i="13"/>
  <c r="DP158" i="13"/>
  <c r="DF150" i="16"/>
  <c r="BH150" i="16"/>
  <c r="DM158" i="13"/>
  <c r="AY158" i="13"/>
  <c r="U150" i="16"/>
  <c r="BI158" i="13"/>
  <c r="V158" i="13"/>
  <c r="BV150" i="16"/>
  <c r="BD158" i="13"/>
  <c r="AO158" i="13"/>
  <c r="AC158" i="13"/>
  <c r="O158" i="13"/>
  <c r="BO150" i="16"/>
  <c r="AP158" i="13"/>
  <c r="DA150" i="16"/>
  <c r="AR158" i="13"/>
  <c r="AW158" i="13"/>
  <c r="AJ150" i="16"/>
  <c r="CU158" i="13"/>
  <c r="CH150" i="16"/>
  <c r="CW150" i="16"/>
  <c r="AB158" i="13"/>
  <c r="K142" i="13" l="1"/>
  <c r="K144" i="13" s="1"/>
  <c r="G146" i="13" s="1"/>
  <c r="F2" i="17" s="1"/>
  <c r="M166" i="16"/>
  <c r="BL166" i="16"/>
  <c r="BB166" i="16"/>
  <c r="AT166" i="16"/>
  <c r="BX166" i="16"/>
  <c r="U166" i="16"/>
  <c r="CC166" i="16"/>
  <c r="AN166" i="16"/>
  <c r="Y166" i="16"/>
  <c r="V166" i="16"/>
  <c r="DI166" i="16"/>
  <c r="BF166" i="16"/>
  <c r="DD166" i="16"/>
  <c r="CO166" i="16"/>
  <c r="N166" i="16"/>
  <c r="AG166" i="16"/>
  <c r="BE166" i="16"/>
  <c r="BV166" i="16"/>
  <c r="AM166" i="16"/>
  <c r="CA166" i="16"/>
  <c r="AK166" i="16"/>
  <c r="BT166" i="16"/>
  <c r="BQ166" i="16"/>
  <c r="R166" i="16"/>
  <c r="DP166" i="16"/>
  <c r="Q166" i="16"/>
  <c r="BK166" i="16"/>
  <c r="CG166" i="16"/>
  <c r="AF166" i="16"/>
  <c r="AD166" i="16"/>
  <c r="AS166" i="16"/>
  <c r="DG166" i="16"/>
  <c r="BO166" i="16"/>
  <c r="CJ166" i="16"/>
  <c r="AC166" i="16"/>
  <c r="CM166" i="16"/>
  <c r="O166" i="16"/>
  <c r="AV166" i="16"/>
  <c r="BR166" i="16"/>
  <c r="DQ166" i="16"/>
  <c r="CX166" i="16"/>
  <c r="DH166" i="16"/>
  <c r="AL166" i="16"/>
  <c r="CL166" i="16"/>
  <c r="AW166" i="16"/>
  <c r="DA166" i="16"/>
  <c r="AR166" i="16"/>
  <c r="AP166" i="16"/>
  <c r="BS166" i="16"/>
  <c r="BI166" i="16"/>
  <c r="AO166" i="16"/>
  <c r="CV166" i="16"/>
  <c r="CE166" i="16"/>
  <c r="BU166" i="16"/>
  <c r="CY166" i="16"/>
  <c r="CN166" i="16"/>
  <c r="BY166" i="16"/>
  <c r="DL166" i="16"/>
  <c r="CT166" i="16"/>
  <c r="CH166" i="16"/>
  <c r="AX166" i="16"/>
  <c r="DK166" i="16"/>
  <c r="DE166" i="16"/>
  <c r="BZ166" i="16"/>
  <c r="DF166" i="16"/>
  <c r="AQ166" i="16"/>
  <c r="BW166" i="16"/>
  <c r="AE166" i="16"/>
  <c r="DC166" i="16"/>
  <c r="CF166" i="16"/>
  <c r="X166" i="16"/>
  <c r="CW166" i="16"/>
  <c r="AH166" i="16"/>
  <c r="BP166" i="16"/>
  <c r="BA166" i="16"/>
  <c r="DN166" i="16"/>
  <c r="P166" i="16"/>
  <c r="DM166" i="16"/>
  <c r="S166" i="16"/>
  <c r="CS166" i="16"/>
  <c r="DJ166" i="16"/>
  <c r="L166" i="16"/>
  <c r="BG166" i="16"/>
  <c r="BM166" i="16"/>
  <c r="CR166" i="16"/>
  <c r="AJ166" i="16"/>
  <c r="DB166" i="16"/>
  <c r="CD166" i="16"/>
  <c r="BC166" i="16"/>
  <c r="W166" i="16"/>
  <c r="AY166" i="16"/>
  <c r="CI166" i="16"/>
  <c r="CP166" i="16"/>
  <c r="AZ166" i="16"/>
  <c r="Z166" i="16"/>
  <c r="BN166" i="16"/>
  <c r="BJ166" i="16"/>
  <c r="AU166" i="16"/>
  <c r="AB166" i="16"/>
  <c r="CQ166" i="16"/>
  <c r="CU166" i="16"/>
  <c r="BD166" i="16"/>
  <c r="BH166" i="16"/>
  <c r="CK166" i="16"/>
  <c r="DO166" i="16"/>
  <c r="T166" i="16"/>
  <c r="AI166" i="16"/>
  <c r="CB166" i="16"/>
  <c r="AA166" i="16"/>
  <c r="CZ166" i="16"/>
  <c r="K156" i="13" l="1"/>
  <c r="K13" i="16"/>
  <c r="K150" i="16" s="1"/>
  <c r="K166" i="16" s="1"/>
  <c r="K158" i="13" l="1"/>
  <c r="K159" i="13"/>
  <c r="K160" i="13" l="1"/>
  <c r="L157" i="13" s="1"/>
  <c r="K162" i="13"/>
  <c r="K163" i="13" s="1"/>
  <c r="K15" i="16" l="1"/>
  <c r="K16" i="16" s="1"/>
  <c r="K22" i="16" s="1"/>
  <c r="K164" i="13"/>
  <c r="L159" i="13"/>
  <c r="L162" i="13" s="1"/>
  <c r="L163" i="13" s="1"/>
  <c r="L160" i="13" l="1"/>
  <c r="M157" i="13" s="1"/>
  <c r="L15" i="16"/>
  <c r="L16" i="16" s="1"/>
  <c r="L164" i="13"/>
  <c r="K206" i="16"/>
  <c r="K102" i="16" l="1"/>
  <c r="K104" i="16" s="1"/>
  <c r="K110" i="16" s="1"/>
  <c r="K115" i="16" s="1"/>
  <c r="K171" i="16" s="1"/>
  <c r="K35" i="16"/>
  <c r="L22" i="16"/>
  <c r="L102" i="16" s="1"/>
  <c r="L206" i="16"/>
  <c r="M159" i="13"/>
  <c r="M162" i="13" s="1"/>
  <c r="M163" i="13" s="1"/>
  <c r="M160" i="13" l="1"/>
  <c r="N157" i="13" s="1"/>
  <c r="M164" i="13"/>
  <c r="M15" i="16"/>
  <c r="M16" i="16" s="1"/>
  <c r="K184" i="16" l="1"/>
  <c r="K185" i="16" s="1"/>
  <c r="K207" i="16"/>
  <c r="M22" i="16"/>
  <c r="M102" i="16" s="1"/>
  <c r="M206" i="16"/>
  <c r="N159" i="13"/>
  <c r="N162" i="13" s="1"/>
  <c r="N163" i="13" s="1"/>
  <c r="N160" i="13" l="1"/>
  <c r="O157" i="13" s="1"/>
  <c r="N164" i="13"/>
  <c r="N15" i="16"/>
  <c r="N16" i="16" s="1"/>
  <c r="N206" i="16" l="1"/>
  <c r="N22" i="16"/>
  <c r="N102" i="16" s="1"/>
  <c r="O159" i="13"/>
  <c r="O162" i="13" s="1"/>
  <c r="O163" i="13" s="1"/>
  <c r="O160" i="13" l="1"/>
  <c r="P157" i="13" s="1"/>
  <c r="O15" i="16"/>
  <c r="O16" i="16" s="1"/>
  <c r="O164" i="13"/>
  <c r="O206" i="16" l="1"/>
  <c r="O22" i="16"/>
  <c r="O102" i="16" s="1"/>
  <c r="P159" i="13"/>
  <c r="P162" i="13" s="1"/>
  <c r="P163" i="13" s="1"/>
  <c r="P160" i="13" l="1"/>
  <c r="Q157" i="13" s="1"/>
  <c r="P15" i="16"/>
  <c r="P16" i="16" s="1"/>
  <c r="P164" i="13"/>
  <c r="P22" i="16" l="1"/>
  <c r="P102" i="16" s="1"/>
  <c r="P206" i="16"/>
  <c r="Q159" i="13"/>
  <c r="Q162" i="13" s="1"/>
  <c r="Q163" i="13" s="1"/>
  <c r="Q160" i="13" l="1"/>
  <c r="R157" i="13" s="1"/>
  <c r="Q164" i="13"/>
  <c r="Q15" i="16"/>
  <c r="Q16" i="16" s="1"/>
  <c r="Q22" i="16" l="1"/>
  <c r="Q102" i="16" s="1"/>
  <c r="Q206" i="16"/>
  <c r="R159" i="13"/>
  <c r="R162" i="13" s="1"/>
  <c r="R163" i="13" s="1"/>
  <c r="R15" i="16" l="1"/>
  <c r="R16" i="16" s="1"/>
  <c r="R164" i="13"/>
  <c r="R160" i="13"/>
  <c r="S157" i="13" s="1"/>
  <c r="S159" i="13" l="1"/>
  <c r="S162" i="13" s="1"/>
  <c r="S163" i="13" s="1"/>
  <c r="R206" i="16"/>
  <c r="R22" i="16"/>
  <c r="R102" i="16" s="1"/>
  <c r="S160" i="13" l="1"/>
  <c r="T157" i="13" s="1"/>
  <c r="S164" i="13"/>
  <c r="S15" i="16"/>
  <c r="S16" i="16" s="1"/>
  <c r="S206" i="16" l="1"/>
  <c r="S22" i="16"/>
  <c r="S102" i="16" s="1"/>
  <c r="T159" i="13"/>
  <c r="T162" i="13" s="1"/>
  <c r="T163" i="13" s="1"/>
  <c r="T160" i="13" l="1"/>
  <c r="U157" i="13" s="1"/>
  <c r="T15" i="16"/>
  <c r="T16" i="16" s="1"/>
  <c r="T164" i="13"/>
  <c r="T206" i="16" l="1"/>
  <c r="T22" i="16"/>
  <c r="T102" i="16" s="1"/>
  <c r="U159" i="13"/>
  <c r="U162" i="13" s="1"/>
  <c r="U163" i="13" s="1"/>
  <c r="U164" i="13" l="1"/>
  <c r="U15" i="16"/>
  <c r="U16" i="16" s="1"/>
  <c r="U160" i="13"/>
  <c r="V157" i="13" s="1"/>
  <c r="U206" i="16" l="1"/>
  <c r="U22" i="16"/>
  <c r="U102" i="16" s="1"/>
  <c r="V159" i="13"/>
  <c r="V162" i="13" s="1"/>
  <c r="V163" i="13" s="1"/>
  <c r="V160" i="13" l="1"/>
  <c r="W157" i="13" s="1"/>
  <c r="V164" i="13"/>
  <c r="V15" i="16"/>
  <c r="V16" i="16" s="1"/>
  <c r="V206" i="16" l="1"/>
  <c r="V22" i="16"/>
  <c r="V102" i="16" s="1"/>
  <c r="W159" i="13"/>
  <c r="W162" i="13" s="1"/>
  <c r="W163" i="13" s="1"/>
  <c r="W160" i="13" l="1"/>
  <c r="X157" i="13" s="1"/>
  <c r="W164" i="13"/>
  <c r="W15" i="16"/>
  <c r="W16" i="16" s="1"/>
  <c r="W206" i="16" l="1"/>
  <c r="W22" i="16"/>
  <c r="W102" i="16" s="1"/>
  <c r="X159" i="13"/>
  <c r="X162" i="13" s="1"/>
  <c r="X163" i="13" s="1"/>
  <c r="X160" i="13" l="1"/>
  <c r="Y157" i="13" s="1"/>
  <c r="Y159" i="13" s="1"/>
  <c r="Y162" i="13" s="1"/>
  <c r="Y163" i="13" s="1"/>
  <c r="X164" i="13"/>
  <c r="X15" i="16"/>
  <c r="X16" i="16" s="1"/>
  <c r="Y160" i="13" l="1"/>
  <c r="Z157" i="13" s="1"/>
  <c r="Z159" i="13" s="1"/>
  <c r="Z162" i="13" s="1"/>
  <c r="Z163" i="13" s="1"/>
  <c r="X206" i="16"/>
  <c r="X22" i="16"/>
  <c r="X102" i="16" s="1"/>
  <c r="Y15" i="16"/>
  <c r="Y16" i="16" s="1"/>
  <c r="Y164" i="13"/>
  <c r="Z160" i="13" l="1"/>
  <c r="AA157" i="13" s="1"/>
  <c r="Z15" i="16"/>
  <c r="Z16" i="16" s="1"/>
  <c r="Z164" i="13"/>
  <c r="Y22" i="16"/>
  <c r="Y102" i="16" s="1"/>
  <c r="Y206" i="16"/>
  <c r="Z22" i="16" l="1"/>
  <c r="Z102" i="16" s="1"/>
  <c r="Z206" i="16"/>
  <c r="AA159" i="13"/>
  <c r="AA162" i="13" s="1"/>
  <c r="AA163" i="13" s="1"/>
  <c r="AA160" i="13" l="1"/>
  <c r="AB157" i="13" s="1"/>
  <c r="AA164" i="13"/>
  <c r="AA15" i="16"/>
  <c r="AA16" i="16" s="1"/>
  <c r="AA22" i="16" l="1"/>
  <c r="AA102" i="16" s="1"/>
  <c r="AA206" i="16"/>
  <c r="AB159" i="13"/>
  <c r="AB162" i="13" s="1"/>
  <c r="AB163" i="13" s="1"/>
  <c r="AB160" i="13" l="1"/>
  <c r="AC157" i="13" s="1"/>
  <c r="AB164" i="13"/>
  <c r="AB15" i="16"/>
  <c r="AB16" i="16" s="1"/>
  <c r="AB206" i="16" l="1"/>
  <c r="AB22" i="16"/>
  <c r="AB102" i="16" s="1"/>
  <c r="AC159" i="13"/>
  <c r="AC162" i="13" s="1"/>
  <c r="AC163" i="13" s="1"/>
  <c r="AC164" i="13" l="1"/>
  <c r="AC15" i="16"/>
  <c r="AC16" i="16" s="1"/>
  <c r="AC160" i="13"/>
  <c r="AD157" i="13" s="1"/>
  <c r="AD159" i="13" l="1"/>
  <c r="AD162" i="13" s="1"/>
  <c r="AD163" i="13" s="1"/>
  <c r="AC22" i="16"/>
  <c r="AC102" i="16" s="1"/>
  <c r="AC206" i="16"/>
  <c r="AD160" i="13" l="1"/>
  <c r="AE157" i="13" s="1"/>
  <c r="AD164" i="13"/>
  <c r="AD15" i="16"/>
  <c r="AD16" i="16" s="1"/>
  <c r="AD22" i="16" l="1"/>
  <c r="AD102" i="16" s="1"/>
  <c r="AD206" i="16"/>
  <c r="AE159" i="13"/>
  <c r="AE162" i="13" s="1"/>
  <c r="AE163" i="13" s="1"/>
  <c r="AE160" i="13" l="1"/>
  <c r="AF157" i="13" s="1"/>
  <c r="AE164" i="13"/>
  <c r="AE15" i="16"/>
  <c r="AE16" i="16" s="1"/>
  <c r="AE22" i="16" l="1"/>
  <c r="AE102" i="16" s="1"/>
  <c r="AE206" i="16"/>
  <c r="AF159" i="13"/>
  <c r="AF162" i="13" s="1"/>
  <c r="AF163" i="13" s="1"/>
  <c r="AF160" i="13" l="1"/>
  <c r="AG157" i="13" s="1"/>
  <c r="AF164" i="13"/>
  <c r="AF15" i="16"/>
  <c r="AF16" i="16" s="1"/>
  <c r="AF22" i="16" l="1"/>
  <c r="AF102" i="16" s="1"/>
  <c r="AF206" i="16"/>
  <c r="AG159" i="13"/>
  <c r="AG162" i="13" s="1"/>
  <c r="AG163" i="13" s="1"/>
  <c r="AG15" i="16" l="1"/>
  <c r="AG16" i="16" s="1"/>
  <c r="AG164" i="13"/>
  <c r="AG160" i="13"/>
  <c r="AH157" i="13" s="1"/>
  <c r="AH159" i="13" l="1"/>
  <c r="AH162" i="13" s="1"/>
  <c r="AH163" i="13" s="1"/>
  <c r="AG22" i="16"/>
  <c r="AG102" i="16" s="1"/>
  <c r="AG206" i="16"/>
  <c r="AH160" i="13" l="1"/>
  <c r="AI157" i="13" s="1"/>
  <c r="AH15" i="16"/>
  <c r="AH16" i="16" s="1"/>
  <c r="AH164" i="13"/>
  <c r="AH22" i="16" l="1"/>
  <c r="AH102" i="16" s="1"/>
  <c r="AH206" i="16"/>
  <c r="AI159" i="13"/>
  <c r="AI162" i="13" s="1"/>
  <c r="AI163" i="13" s="1"/>
  <c r="AI15" i="16" l="1"/>
  <c r="AI16" i="16" s="1"/>
  <c r="AI164" i="13"/>
  <c r="AI160" i="13"/>
  <c r="AJ157" i="13" s="1"/>
  <c r="AJ159" i="13" l="1"/>
  <c r="AJ162" i="13" s="1"/>
  <c r="AJ163" i="13" s="1"/>
  <c r="AI206" i="16"/>
  <c r="AI22" i="16"/>
  <c r="AI102" i="16" s="1"/>
  <c r="AJ160" i="13" l="1"/>
  <c r="AK157" i="13" s="1"/>
  <c r="AJ164" i="13"/>
  <c r="AJ15" i="16"/>
  <c r="AJ16" i="16" s="1"/>
  <c r="AJ22" i="16" l="1"/>
  <c r="AJ102" i="16" s="1"/>
  <c r="AJ206" i="16"/>
  <c r="AK159" i="13"/>
  <c r="AK162" i="13" s="1"/>
  <c r="AK163" i="13" s="1"/>
  <c r="AK15" i="16" l="1"/>
  <c r="AK16" i="16" s="1"/>
  <c r="AK164" i="13"/>
  <c r="AK160" i="13"/>
  <c r="AL157" i="13" s="1"/>
  <c r="AL159" i="13" l="1"/>
  <c r="AL162" i="13" s="1"/>
  <c r="AL163" i="13" s="1"/>
  <c r="AK206" i="16"/>
  <c r="AK22" i="16"/>
  <c r="AK102" i="16" s="1"/>
  <c r="AL160" i="13" l="1"/>
  <c r="AM157" i="13" s="1"/>
  <c r="AM159" i="13" s="1"/>
  <c r="AM162" i="13" s="1"/>
  <c r="AM163" i="13" s="1"/>
  <c r="AL164" i="13"/>
  <c r="AL15" i="16"/>
  <c r="AL16" i="16" s="1"/>
  <c r="AM160" i="13" l="1"/>
  <c r="AN157" i="13" s="1"/>
  <c r="AN159" i="13" s="1"/>
  <c r="AN162" i="13" s="1"/>
  <c r="AN163" i="13" s="1"/>
  <c r="AL206" i="16"/>
  <c r="AL22" i="16"/>
  <c r="AL102" i="16" s="1"/>
  <c r="AM164" i="13"/>
  <c r="AM15" i="16"/>
  <c r="AM16" i="16" s="1"/>
  <c r="AN15" i="16" l="1"/>
  <c r="AN16" i="16" s="1"/>
  <c r="AN164" i="13"/>
  <c r="AM206" i="16"/>
  <c r="AM22" i="16"/>
  <c r="AM102" i="16" s="1"/>
  <c r="AN160" i="13"/>
  <c r="AO157" i="13" s="1"/>
  <c r="AO159" i="13" l="1"/>
  <c r="AO162" i="13" s="1"/>
  <c r="AO163" i="13" s="1"/>
  <c r="AN206" i="16"/>
  <c r="AN22" i="16"/>
  <c r="AN102" i="16" s="1"/>
  <c r="AO160" i="13" l="1"/>
  <c r="AP157" i="13" s="1"/>
  <c r="AP159" i="13" s="1"/>
  <c r="AP162" i="13" s="1"/>
  <c r="AP163" i="13" s="1"/>
  <c r="AO164" i="13"/>
  <c r="AO15" i="16"/>
  <c r="AO16" i="16" s="1"/>
  <c r="AP160" i="13" l="1"/>
  <c r="AQ157" i="13" s="1"/>
  <c r="AQ159" i="13" s="1"/>
  <c r="AQ162" i="13" s="1"/>
  <c r="AQ163" i="13" s="1"/>
  <c r="AO206" i="16"/>
  <c r="AO22" i="16"/>
  <c r="AO102" i="16" s="1"/>
  <c r="AP164" i="13"/>
  <c r="AP15" i="16"/>
  <c r="AP16" i="16" s="1"/>
  <c r="AP206" i="16" l="1"/>
  <c r="AP22" i="16"/>
  <c r="AP102" i="16" s="1"/>
  <c r="AQ160" i="13"/>
  <c r="AR157" i="13" s="1"/>
  <c r="AQ15" i="16"/>
  <c r="AQ16" i="16" s="1"/>
  <c r="AQ164" i="13"/>
  <c r="AQ22" i="16" l="1"/>
  <c r="AQ102" i="16" s="1"/>
  <c r="AQ206" i="16"/>
  <c r="AR159" i="13"/>
  <c r="AR162" i="13" s="1"/>
  <c r="AR163" i="13" s="1"/>
  <c r="AR160" i="13" l="1"/>
  <c r="AS157" i="13" s="1"/>
  <c r="AS159" i="13" s="1"/>
  <c r="AS162" i="13" s="1"/>
  <c r="AS163" i="13" s="1"/>
  <c r="AR164" i="13"/>
  <c r="AR15" i="16"/>
  <c r="AR16" i="16" s="1"/>
  <c r="AS160" i="13" l="1"/>
  <c r="AT157" i="13" s="1"/>
  <c r="AT159" i="13" s="1"/>
  <c r="AT162" i="13" s="1"/>
  <c r="AT163" i="13" s="1"/>
  <c r="AR22" i="16"/>
  <c r="AR102" i="16" s="1"/>
  <c r="AR206" i="16"/>
  <c r="AS164" i="13"/>
  <c r="AS15" i="16"/>
  <c r="AS16" i="16" s="1"/>
  <c r="AS206" i="16" l="1"/>
  <c r="AS22" i="16"/>
  <c r="AS102" i="16" s="1"/>
  <c r="AT160" i="13"/>
  <c r="AU157" i="13" s="1"/>
  <c r="AT15" i="16"/>
  <c r="AT16" i="16" s="1"/>
  <c r="AT164" i="13"/>
  <c r="AU159" i="13" l="1"/>
  <c r="AU162" i="13" s="1"/>
  <c r="AU163" i="13" s="1"/>
  <c r="AT206" i="16"/>
  <c r="AT22" i="16"/>
  <c r="AT102" i="16" s="1"/>
  <c r="AU160" i="13" l="1"/>
  <c r="AV157" i="13" s="1"/>
  <c r="AV159" i="13" s="1"/>
  <c r="AU164" i="13"/>
  <c r="AU15" i="16"/>
  <c r="AU16" i="16" s="1"/>
  <c r="AV162" i="13" l="1"/>
  <c r="AV163" i="13" s="1"/>
  <c r="AV164" i="13" s="1"/>
  <c r="AV160" i="13"/>
  <c r="AW157" i="13" s="1"/>
  <c r="AW159" i="13" s="1"/>
  <c r="AW162" i="13" s="1"/>
  <c r="AW163" i="13" s="1"/>
  <c r="AU206" i="16"/>
  <c r="AU22" i="16"/>
  <c r="AU102" i="16" s="1"/>
  <c r="AV15" i="16" l="1"/>
  <c r="AV16" i="16" s="1"/>
  <c r="AV22" i="16" s="1"/>
  <c r="AV102" i="16" s="1"/>
  <c r="AW160" i="13"/>
  <c r="AX157" i="13" s="1"/>
  <c r="AW164" i="13"/>
  <c r="AW15" i="16"/>
  <c r="AW16" i="16" s="1"/>
  <c r="AV206" i="16" l="1"/>
  <c r="AW22" i="16"/>
  <c r="AW102" i="16" s="1"/>
  <c r="AW206" i="16"/>
  <c r="AX159" i="13"/>
  <c r="AX162" i="13" s="1"/>
  <c r="AX163" i="13" s="1"/>
  <c r="AX160" i="13" l="1"/>
  <c r="AY157" i="13" s="1"/>
  <c r="AX15" i="16"/>
  <c r="AX16" i="16" s="1"/>
  <c r="AX164" i="13"/>
  <c r="AX206" i="16" l="1"/>
  <c r="AX22" i="16"/>
  <c r="AX102" i="16" s="1"/>
  <c r="AY159" i="13"/>
  <c r="AY162" i="13" s="1"/>
  <c r="AY163" i="13" s="1"/>
  <c r="AY164" i="13" l="1"/>
  <c r="AY15" i="16"/>
  <c r="AY16" i="16" s="1"/>
  <c r="AY160" i="13"/>
  <c r="AZ157" i="13" s="1"/>
  <c r="AY22" i="16" l="1"/>
  <c r="AY102" i="16" s="1"/>
  <c r="AY206" i="16"/>
  <c r="AZ159" i="13"/>
  <c r="AZ162" i="13" s="1"/>
  <c r="AZ163" i="13" s="1"/>
  <c r="AZ15" i="16" l="1"/>
  <c r="AZ16" i="16" s="1"/>
  <c r="AZ164" i="13"/>
  <c r="AZ160" i="13"/>
  <c r="BA157" i="13" s="1"/>
  <c r="BA159" i="13" l="1"/>
  <c r="BA162" i="13" s="1"/>
  <c r="BA163" i="13" s="1"/>
  <c r="AZ206" i="16"/>
  <c r="AZ22" i="16"/>
  <c r="AZ102" i="16" s="1"/>
  <c r="BA160" i="13" l="1"/>
  <c r="BB157" i="13" s="1"/>
  <c r="BA15" i="16"/>
  <c r="BA16" i="16" s="1"/>
  <c r="BA164" i="13"/>
  <c r="BA206" i="16" l="1"/>
  <c r="BA22" i="16"/>
  <c r="BA102" i="16" s="1"/>
  <c r="BB159" i="13"/>
  <c r="BB162" i="13" s="1"/>
  <c r="BB163" i="13" s="1"/>
  <c r="BB15" i="16" l="1"/>
  <c r="BB16" i="16" s="1"/>
  <c r="BB164" i="13"/>
  <c r="BB160" i="13"/>
  <c r="BC157" i="13" s="1"/>
  <c r="BC159" i="13" l="1"/>
  <c r="BC162" i="13" s="1"/>
  <c r="BC163" i="13" s="1"/>
  <c r="BB22" i="16"/>
  <c r="BB102" i="16" s="1"/>
  <c r="BB206" i="16"/>
  <c r="BC160" i="13" l="1"/>
  <c r="BD157" i="13" s="1"/>
  <c r="BC164" i="13"/>
  <c r="BC15" i="16"/>
  <c r="BC16" i="16" s="1"/>
  <c r="BC22" i="16" l="1"/>
  <c r="BC102" i="16" s="1"/>
  <c r="BC206" i="16"/>
  <c r="BD159" i="13"/>
  <c r="BD162" i="13" s="1"/>
  <c r="BD163" i="13" s="1"/>
  <c r="BD160" i="13" l="1"/>
  <c r="BE157" i="13" s="1"/>
  <c r="BD15" i="16"/>
  <c r="BD16" i="16" s="1"/>
  <c r="BD164" i="13"/>
  <c r="BD22" i="16" l="1"/>
  <c r="BD102" i="16" s="1"/>
  <c r="BD206" i="16"/>
  <c r="BE159" i="13"/>
  <c r="BE162" i="13" s="1"/>
  <c r="BE163" i="13" s="1"/>
  <c r="BE160" i="13" l="1"/>
  <c r="BF157" i="13" s="1"/>
  <c r="BE15" i="16"/>
  <c r="BE16" i="16" s="1"/>
  <c r="BE164" i="13"/>
  <c r="BE206" i="16" l="1"/>
  <c r="BE22" i="16"/>
  <c r="BE102" i="16" s="1"/>
  <c r="BF159" i="13"/>
  <c r="BF162" i="13" s="1"/>
  <c r="BF163" i="13" s="1"/>
  <c r="BF164" i="13" l="1"/>
  <c r="BF15" i="16"/>
  <c r="BF16" i="16" s="1"/>
  <c r="BF160" i="13"/>
  <c r="BG157" i="13" s="1"/>
  <c r="BG159" i="13" l="1"/>
  <c r="BG162" i="13" s="1"/>
  <c r="BG163" i="13" s="1"/>
  <c r="BF22" i="16"/>
  <c r="BF102" i="16" s="1"/>
  <c r="BF206" i="16"/>
  <c r="BG160" i="13" l="1"/>
  <c r="BH157" i="13" s="1"/>
  <c r="BG15" i="16"/>
  <c r="BG16" i="16" s="1"/>
  <c r="BG164" i="13"/>
  <c r="BG22" i="16" l="1"/>
  <c r="BG102" i="16" s="1"/>
  <c r="BG206" i="16"/>
  <c r="BH159" i="13"/>
  <c r="BH162" i="13" s="1"/>
  <c r="BH163" i="13" s="1"/>
  <c r="BH164" i="13" l="1"/>
  <c r="BH15" i="16"/>
  <c r="BH16" i="16" s="1"/>
  <c r="BH160" i="13"/>
  <c r="BI157" i="13" s="1"/>
  <c r="BH206" i="16" l="1"/>
  <c r="BH22" i="16"/>
  <c r="BH102" i="16" s="1"/>
  <c r="BI159" i="13"/>
  <c r="BI162" i="13" s="1"/>
  <c r="BI163" i="13" s="1"/>
  <c r="BI160" i="13" l="1"/>
  <c r="BJ157" i="13" s="1"/>
  <c r="BJ159" i="13" s="1"/>
  <c r="BJ162" i="13" s="1"/>
  <c r="BJ163" i="13" s="1"/>
  <c r="BI164" i="13"/>
  <c r="BI15" i="16"/>
  <c r="BI16" i="16" s="1"/>
  <c r="BI206" i="16" l="1"/>
  <c r="BI22" i="16"/>
  <c r="BI102" i="16" s="1"/>
  <c r="BJ160" i="13"/>
  <c r="BK157" i="13" s="1"/>
  <c r="BJ15" i="16"/>
  <c r="BJ16" i="16" s="1"/>
  <c r="BJ164" i="13"/>
  <c r="BK159" i="13" l="1"/>
  <c r="BK162" i="13" s="1"/>
  <c r="BK163" i="13" s="1"/>
  <c r="BJ22" i="16"/>
  <c r="BJ102" i="16" s="1"/>
  <c r="BJ206" i="16"/>
  <c r="BK160" i="13" l="1"/>
  <c r="BL157" i="13" s="1"/>
  <c r="BL159" i="13" s="1"/>
  <c r="BK164" i="13"/>
  <c r="BK15" i="16"/>
  <c r="BK16" i="16" s="1"/>
  <c r="BL162" i="13" l="1"/>
  <c r="BL163" i="13" s="1"/>
  <c r="BL164" i="13" s="1"/>
  <c r="BL160" i="13"/>
  <c r="BM157" i="13" s="1"/>
  <c r="BM159" i="13" s="1"/>
  <c r="BM162" i="13" s="1"/>
  <c r="BM163" i="13" s="1"/>
  <c r="BK206" i="16"/>
  <c r="BK22" i="16"/>
  <c r="BK102" i="16" s="1"/>
  <c r="BL15" i="16" l="1"/>
  <c r="BL16" i="16" s="1"/>
  <c r="BL22" i="16" s="1"/>
  <c r="BL102" i="16" s="1"/>
  <c r="BM160" i="13"/>
  <c r="BN157" i="13" s="1"/>
  <c r="BN159" i="13" s="1"/>
  <c r="BN162" i="13" s="1"/>
  <c r="BN163" i="13" s="1"/>
  <c r="BM15" i="16"/>
  <c r="BM16" i="16" s="1"/>
  <c r="BM164" i="13"/>
  <c r="BL206" i="16" l="1"/>
  <c r="BM22" i="16"/>
  <c r="BM102" i="16" s="1"/>
  <c r="BM206" i="16"/>
  <c r="BN160" i="13"/>
  <c r="BO157" i="13" s="1"/>
  <c r="BN15" i="16"/>
  <c r="BN16" i="16" s="1"/>
  <c r="BN164" i="13"/>
  <c r="BN206" i="16" l="1"/>
  <c r="BN22" i="16"/>
  <c r="BN102" i="16" s="1"/>
  <c r="BO159" i="13"/>
  <c r="BO162" i="13" s="1"/>
  <c r="BO163" i="13" s="1"/>
  <c r="BO160" i="13" l="1"/>
  <c r="BP157" i="13" s="1"/>
  <c r="BO15" i="16"/>
  <c r="BO16" i="16" s="1"/>
  <c r="BO164" i="13"/>
  <c r="BP159" i="13" l="1"/>
  <c r="BP162" i="13" s="1"/>
  <c r="BP163" i="13" s="1"/>
  <c r="BO22" i="16"/>
  <c r="BO102" i="16" s="1"/>
  <c r="BO206" i="16"/>
  <c r="BP160" i="13" l="1"/>
  <c r="BQ157" i="13" s="1"/>
  <c r="BQ159" i="13" s="1"/>
  <c r="BQ162" i="13" s="1"/>
  <c r="BQ163" i="13" s="1"/>
  <c r="BP164" i="13"/>
  <c r="BP15" i="16"/>
  <c r="BP16" i="16" s="1"/>
  <c r="BP206" i="16" l="1"/>
  <c r="BP22" i="16"/>
  <c r="BP102" i="16" s="1"/>
  <c r="BQ160" i="13"/>
  <c r="BR157" i="13" s="1"/>
  <c r="BQ15" i="16"/>
  <c r="BQ16" i="16" s="1"/>
  <c r="BQ164" i="13"/>
  <c r="BQ22" i="16" l="1"/>
  <c r="BQ102" i="16" s="1"/>
  <c r="BQ206" i="16"/>
  <c r="BR159" i="13"/>
  <c r="BR162" i="13" s="1"/>
  <c r="BR163" i="13" s="1"/>
  <c r="BR164" i="13" l="1"/>
  <c r="BR15" i="16"/>
  <c r="BR16" i="16" s="1"/>
  <c r="BR160" i="13"/>
  <c r="BS157" i="13" s="1"/>
  <c r="BR206" i="16" l="1"/>
  <c r="BR22" i="16"/>
  <c r="BR102" i="16" s="1"/>
  <c r="BS159" i="13"/>
  <c r="BS162" i="13" s="1"/>
  <c r="BS163" i="13" s="1"/>
  <c r="BS160" i="13" l="1"/>
  <c r="BT157" i="13" s="1"/>
  <c r="BS15" i="16"/>
  <c r="BS16" i="16" s="1"/>
  <c r="BS164" i="13"/>
  <c r="BS22" i="16" l="1"/>
  <c r="BS102" i="16" s="1"/>
  <c r="BS206" i="16"/>
  <c r="BT159" i="13"/>
  <c r="BT162" i="13" s="1"/>
  <c r="BT163" i="13" s="1"/>
  <c r="BT164" i="13" l="1"/>
  <c r="BT15" i="16"/>
  <c r="BT16" i="16" s="1"/>
  <c r="BT160" i="13"/>
  <c r="BU157" i="13" s="1"/>
  <c r="BT206" i="16" l="1"/>
  <c r="BT22" i="16"/>
  <c r="BT102" i="16" s="1"/>
  <c r="BU159" i="13"/>
  <c r="BU162" i="13" s="1"/>
  <c r="BU163" i="13" s="1"/>
  <c r="BU164" i="13" l="1"/>
  <c r="BU15" i="16"/>
  <c r="BU16" i="16" s="1"/>
  <c r="BU160" i="13"/>
  <c r="BV157" i="13" s="1"/>
  <c r="BU206" i="16" l="1"/>
  <c r="BU22" i="16"/>
  <c r="BU102" i="16" s="1"/>
  <c r="BV159" i="13"/>
  <c r="BV162" i="13" s="1"/>
  <c r="BV163" i="13" s="1"/>
  <c r="BV160" i="13" l="1"/>
  <c r="BW157" i="13" s="1"/>
  <c r="BV15" i="16"/>
  <c r="BV16" i="16" s="1"/>
  <c r="BV164" i="13"/>
  <c r="BV206" i="16" l="1"/>
  <c r="BV22" i="16"/>
  <c r="BV102" i="16" s="1"/>
  <c r="BW159" i="13"/>
  <c r="BW162" i="13" s="1"/>
  <c r="BW163" i="13" s="1"/>
  <c r="BW160" i="13" l="1"/>
  <c r="BX157" i="13" s="1"/>
  <c r="BW164" i="13"/>
  <c r="BW15" i="16"/>
  <c r="BW16" i="16" s="1"/>
  <c r="BW22" i="16" l="1"/>
  <c r="BW102" i="16" s="1"/>
  <c r="BW206" i="16"/>
  <c r="BX159" i="13"/>
  <c r="BX162" i="13" s="1"/>
  <c r="BX163" i="13" s="1"/>
  <c r="BX164" i="13" l="1"/>
  <c r="BX15" i="16"/>
  <c r="BX16" i="16" s="1"/>
  <c r="BX160" i="13"/>
  <c r="BY157" i="13" s="1"/>
  <c r="BX22" i="16" l="1"/>
  <c r="BX102" i="16" s="1"/>
  <c r="BX206" i="16"/>
  <c r="BY159" i="13"/>
  <c r="BY162" i="13" s="1"/>
  <c r="BY163" i="13" s="1"/>
  <c r="BY15" i="16" l="1"/>
  <c r="BY16" i="16" s="1"/>
  <c r="BY164" i="13"/>
  <c r="BY160" i="13"/>
  <c r="BZ157" i="13" s="1"/>
  <c r="BZ159" i="13" l="1"/>
  <c r="BZ162" i="13" s="1"/>
  <c r="BZ163" i="13" s="1"/>
  <c r="BY206" i="16"/>
  <c r="BY22" i="16"/>
  <c r="BY102" i="16" s="1"/>
  <c r="BZ160" i="13" l="1"/>
  <c r="CA157" i="13" s="1"/>
  <c r="BZ164" i="13"/>
  <c r="BZ15" i="16"/>
  <c r="BZ16" i="16" s="1"/>
  <c r="BZ22" i="16" l="1"/>
  <c r="BZ102" i="16" s="1"/>
  <c r="BZ206" i="16"/>
  <c r="CA159" i="13"/>
  <c r="CA162" i="13" s="1"/>
  <c r="CA163" i="13" s="1"/>
  <c r="CA160" i="13" l="1"/>
  <c r="CB157" i="13" s="1"/>
  <c r="CA164" i="13"/>
  <c r="CA15" i="16"/>
  <c r="CA16" i="16" s="1"/>
  <c r="CA206" i="16" l="1"/>
  <c r="CA22" i="16"/>
  <c r="CA102" i="16" s="1"/>
  <c r="CB159" i="13"/>
  <c r="CB162" i="13" s="1"/>
  <c r="CB163" i="13" s="1"/>
  <c r="CB15" i="16" l="1"/>
  <c r="CB16" i="16" s="1"/>
  <c r="CB164" i="13"/>
  <c r="CB160" i="13"/>
  <c r="CC157" i="13" s="1"/>
  <c r="CC159" i="13" l="1"/>
  <c r="CC162" i="13" s="1"/>
  <c r="CC163" i="13" s="1"/>
  <c r="CB206" i="16"/>
  <c r="CB22" i="16"/>
  <c r="CB102" i="16" s="1"/>
  <c r="CC160" i="13" l="1"/>
  <c r="CD157" i="13" s="1"/>
  <c r="CD159" i="13" s="1"/>
  <c r="CD162" i="13" s="1"/>
  <c r="CD163" i="13" s="1"/>
  <c r="CC15" i="16"/>
  <c r="CC16" i="16" s="1"/>
  <c r="CC164" i="13"/>
  <c r="CD160" i="13" l="1"/>
  <c r="CE157" i="13" s="1"/>
  <c r="CE159" i="13" s="1"/>
  <c r="CE162" i="13" s="1"/>
  <c r="CE163" i="13" s="1"/>
  <c r="CC206" i="16"/>
  <c r="CC22" i="16"/>
  <c r="CC102" i="16" s="1"/>
  <c r="CD15" i="16"/>
  <c r="CD16" i="16" s="1"/>
  <c r="CD164" i="13"/>
  <c r="CD206" i="16" l="1"/>
  <c r="CD22" i="16"/>
  <c r="CD102" i="16" s="1"/>
  <c r="CE160" i="13"/>
  <c r="CF157" i="13" s="1"/>
  <c r="CE15" i="16"/>
  <c r="CE16" i="16" s="1"/>
  <c r="CE164" i="13"/>
  <c r="CF159" i="13" l="1"/>
  <c r="CF162" i="13" s="1"/>
  <c r="CF163" i="13" s="1"/>
  <c r="CE22" i="16"/>
  <c r="CE102" i="16" s="1"/>
  <c r="CE206" i="16"/>
  <c r="CF160" i="13" l="1"/>
  <c r="CG157" i="13" s="1"/>
  <c r="CF15" i="16"/>
  <c r="CF16" i="16" s="1"/>
  <c r="CF164" i="13"/>
  <c r="CF22" i="16" l="1"/>
  <c r="CF102" i="16" s="1"/>
  <c r="CF206" i="16"/>
  <c r="CG159" i="13"/>
  <c r="CG162" i="13" s="1"/>
  <c r="CG163" i="13" s="1"/>
  <c r="CG160" i="13" l="1"/>
  <c r="CH157" i="13" s="1"/>
  <c r="CG164" i="13"/>
  <c r="CG15" i="16"/>
  <c r="CG16" i="16" s="1"/>
  <c r="CG22" i="16" l="1"/>
  <c r="CG102" i="16" s="1"/>
  <c r="CG206" i="16"/>
  <c r="CH159" i="13"/>
  <c r="CH162" i="13" s="1"/>
  <c r="CH163" i="13" s="1"/>
  <c r="CH160" i="13" l="1"/>
  <c r="CI157" i="13" s="1"/>
  <c r="CI159" i="13" s="1"/>
  <c r="CI162" i="13" s="1"/>
  <c r="CI163" i="13" s="1"/>
  <c r="CH15" i="16"/>
  <c r="CH16" i="16" s="1"/>
  <c r="CH164" i="13"/>
  <c r="CH22" i="16" l="1"/>
  <c r="CH102" i="16" s="1"/>
  <c r="CH206" i="16"/>
  <c r="CI160" i="13"/>
  <c r="CJ157" i="13" s="1"/>
  <c r="CI164" i="13"/>
  <c r="CI15" i="16"/>
  <c r="CI16" i="16" s="1"/>
  <c r="CI206" i="16" l="1"/>
  <c r="CI22" i="16"/>
  <c r="CI102" i="16" s="1"/>
  <c r="CJ159" i="13"/>
  <c r="CJ162" i="13" s="1"/>
  <c r="CJ163" i="13" s="1"/>
  <c r="CJ160" i="13" l="1"/>
  <c r="CK157" i="13" s="1"/>
  <c r="CK159" i="13" s="1"/>
  <c r="CK162" i="13" s="1"/>
  <c r="CK163" i="13" s="1"/>
  <c r="CJ15" i="16"/>
  <c r="CJ16" i="16" s="1"/>
  <c r="CJ164" i="13"/>
  <c r="CJ206" i="16" l="1"/>
  <c r="CJ22" i="16"/>
  <c r="CJ102" i="16" s="1"/>
  <c r="CK160" i="13"/>
  <c r="CL157" i="13" s="1"/>
  <c r="CK15" i="16"/>
  <c r="CK16" i="16" s="1"/>
  <c r="CK164" i="13"/>
  <c r="CL159" i="13" l="1"/>
  <c r="CL162" i="13" s="1"/>
  <c r="CL163" i="13" s="1"/>
  <c r="CK206" i="16"/>
  <c r="CK22" i="16"/>
  <c r="CK102" i="16" s="1"/>
  <c r="CL160" i="13" l="1"/>
  <c r="CM157" i="13" s="1"/>
  <c r="CM159" i="13" s="1"/>
  <c r="CM162" i="13" s="1"/>
  <c r="CM163" i="13" s="1"/>
  <c r="CL164" i="13"/>
  <c r="CL15" i="16"/>
  <c r="CL16" i="16" s="1"/>
  <c r="CL206" i="16" l="1"/>
  <c r="CL22" i="16"/>
  <c r="CL102" i="16" s="1"/>
  <c r="CM160" i="13"/>
  <c r="CN157" i="13" s="1"/>
  <c r="CM15" i="16"/>
  <c r="CM16" i="16" s="1"/>
  <c r="CM164" i="13"/>
  <c r="CN159" i="13" l="1"/>
  <c r="CN162" i="13" s="1"/>
  <c r="CN163" i="13" s="1"/>
  <c r="CM22" i="16"/>
  <c r="CM102" i="16" s="1"/>
  <c r="CM206" i="16"/>
  <c r="CN160" i="13" l="1"/>
  <c r="CO157" i="13" s="1"/>
  <c r="CO159" i="13" s="1"/>
  <c r="CO162" i="13" s="1"/>
  <c r="CO163" i="13" s="1"/>
  <c r="CN15" i="16"/>
  <c r="CN16" i="16" s="1"/>
  <c r="CN164" i="13"/>
  <c r="CN22" i="16" l="1"/>
  <c r="CN102" i="16" s="1"/>
  <c r="CN206" i="16"/>
  <c r="CO160" i="13"/>
  <c r="CP157" i="13" s="1"/>
  <c r="CO164" i="13"/>
  <c r="CO15" i="16"/>
  <c r="CO16" i="16" s="1"/>
  <c r="CP159" i="13" l="1"/>
  <c r="CP162" i="13" s="1"/>
  <c r="CP163" i="13" s="1"/>
  <c r="CO22" i="16"/>
  <c r="CO102" i="16" s="1"/>
  <c r="CO206" i="16"/>
  <c r="CP160" i="13" l="1"/>
  <c r="CQ157" i="13" s="1"/>
  <c r="CQ159" i="13" s="1"/>
  <c r="CQ162" i="13" s="1"/>
  <c r="CQ163" i="13" s="1"/>
  <c r="CP164" i="13"/>
  <c r="CP15" i="16"/>
  <c r="CP16" i="16" s="1"/>
  <c r="CQ160" i="13" l="1"/>
  <c r="CR157" i="13" s="1"/>
  <c r="CR159" i="13" s="1"/>
  <c r="CR162" i="13" s="1"/>
  <c r="CR163" i="13" s="1"/>
  <c r="CP206" i="16"/>
  <c r="CP22" i="16"/>
  <c r="CP102" i="16" s="1"/>
  <c r="CQ164" i="13"/>
  <c r="CQ15" i="16"/>
  <c r="CQ16" i="16" s="1"/>
  <c r="CR160" i="13" l="1"/>
  <c r="CS157" i="13" s="1"/>
  <c r="CS159" i="13" s="1"/>
  <c r="CS162" i="13" s="1"/>
  <c r="CS163" i="13" s="1"/>
  <c r="CQ206" i="16"/>
  <c r="CQ22" i="16"/>
  <c r="CQ102" i="16" s="1"/>
  <c r="CR15" i="16"/>
  <c r="CR16" i="16" s="1"/>
  <c r="CR164" i="13"/>
  <c r="CS160" i="13" l="1"/>
  <c r="CT157" i="13" s="1"/>
  <c r="CT159" i="13" s="1"/>
  <c r="CT162" i="13" s="1"/>
  <c r="CT163" i="13" s="1"/>
  <c r="CR22" i="16"/>
  <c r="CR102" i="16" s="1"/>
  <c r="CR206" i="16"/>
  <c r="CS15" i="16"/>
  <c r="CS16" i="16" s="1"/>
  <c r="CS164" i="13"/>
  <c r="CS206" i="16" l="1"/>
  <c r="CS22" i="16"/>
  <c r="CS102" i="16" s="1"/>
  <c r="CT160" i="13"/>
  <c r="CU157" i="13" s="1"/>
  <c r="CT15" i="16"/>
  <c r="CT16" i="16" s="1"/>
  <c r="CT164" i="13"/>
  <c r="CT206" i="16" l="1"/>
  <c r="CT22" i="16"/>
  <c r="CT102" i="16" s="1"/>
  <c r="CU159" i="13"/>
  <c r="CU162" i="13" s="1"/>
  <c r="CU163" i="13" s="1"/>
  <c r="CU164" i="13" l="1"/>
  <c r="CU15" i="16"/>
  <c r="CU16" i="16" s="1"/>
  <c r="CU160" i="13"/>
  <c r="CV157" i="13" s="1"/>
  <c r="CV159" i="13" l="1"/>
  <c r="CV162" i="13" s="1"/>
  <c r="CV163" i="13" s="1"/>
  <c r="CU22" i="16"/>
  <c r="CU102" i="16" s="1"/>
  <c r="CU206" i="16"/>
  <c r="CV160" i="13" l="1"/>
  <c r="CW157" i="13" s="1"/>
  <c r="CW159" i="13" s="1"/>
  <c r="CW162" i="13" s="1"/>
  <c r="CW163" i="13" s="1"/>
  <c r="CV164" i="13"/>
  <c r="CV15" i="16"/>
  <c r="CV16" i="16" s="1"/>
  <c r="CW160" i="13" l="1"/>
  <c r="CX157" i="13" s="1"/>
  <c r="CX159" i="13" s="1"/>
  <c r="CX162" i="13" s="1"/>
  <c r="CX163" i="13" s="1"/>
  <c r="CV22" i="16"/>
  <c r="CV102" i="16" s="1"/>
  <c r="CV206" i="16"/>
  <c r="CW15" i="16"/>
  <c r="CW16" i="16" s="1"/>
  <c r="CW164" i="13"/>
  <c r="CX160" i="13" l="1"/>
  <c r="CY157" i="13" s="1"/>
  <c r="CX15" i="16"/>
  <c r="CX16" i="16" s="1"/>
  <c r="CX164" i="13"/>
  <c r="CW22" i="16"/>
  <c r="CW102" i="16" s="1"/>
  <c r="CW206" i="16"/>
  <c r="CX22" i="16" l="1"/>
  <c r="CX102" i="16" s="1"/>
  <c r="CX206" i="16"/>
  <c r="CY159" i="13"/>
  <c r="CY162" i="13" s="1"/>
  <c r="CY163" i="13" s="1"/>
  <c r="CY160" i="13" l="1"/>
  <c r="CZ157" i="13" s="1"/>
  <c r="CZ159" i="13" s="1"/>
  <c r="CZ162" i="13" s="1"/>
  <c r="CZ163" i="13" s="1"/>
  <c r="CY164" i="13"/>
  <c r="CY15" i="16"/>
  <c r="CY16" i="16" s="1"/>
  <c r="CY22" i="16" l="1"/>
  <c r="CY102" i="16" s="1"/>
  <c r="CY206" i="16"/>
  <c r="CZ160" i="13"/>
  <c r="DA157" i="13" s="1"/>
  <c r="CZ164" i="13"/>
  <c r="CZ15" i="16"/>
  <c r="CZ16" i="16" s="1"/>
  <c r="CZ206" i="16" l="1"/>
  <c r="CZ22" i="16"/>
  <c r="CZ102" i="16" s="1"/>
  <c r="DA159" i="13"/>
  <c r="DA162" i="13" s="1"/>
  <c r="DA163" i="13" s="1"/>
  <c r="DA160" i="13" l="1"/>
  <c r="DB157" i="13" s="1"/>
  <c r="DA164" i="13"/>
  <c r="DA15" i="16"/>
  <c r="DA16" i="16" s="1"/>
  <c r="DA206" i="16" l="1"/>
  <c r="DA22" i="16"/>
  <c r="DA102" i="16" s="1"/>
  <c r="DB159" i="13"/>
  <c r="DB162" i="13" s="1"/>
  <c r="DB163" i="13" s="1"/>
  <c r="DB160" i="13" l="1"/>
  <c r="DC157" i="13" s="1"/>
  <c r="DC159" i="13" s="1"/>
  <c r="DC162" i="13" s="1"/>
  <c r="DC163" i="13" s="1"/>
  <c r="DB15" i="16"/>
  <c r="DB16" i="16" s="1"/>
  <c r="DB164" i="13"/>
  <c r="DC160" i="13" l="1"/>
  <c r="DD157" i="13" s="1"/>
  <c r="DD159" i="13" s="1"/>
  <c r="DD162" i="13" s="1"/>
  <c r="DD163" i="13" s="1"/>
  <c r="DB206" i="16"/>
  <c r="DB22" i="16"/>
  <c r="DB102" i="16" s="1"/>
  <c r="DC15" i="16"/>
  <c r="DC16" i="16" s="1"/>
  <c r="DC164" i="13"/>
  <c r="DD160" i="13" l="1"/>
  <c r="DE157" i="13" s="1"/>
  <c r="DC22" i="16"/>
  <c r="DC102" i="16" s="1"/>
  <c r="DC206" i="16"/>
  <c r="DD15" i="16"/>
  <c r="DD16" i="16" s="1"/>
  <c r="DD164" i="13"/>
  <c r="DE159" i="13" l="1"/>
  <c r="DE162" i="13" s="1"/>
  <c r="DE163" i="13" s="1"/>
  <c r="DD22" i="16"/>
  <c r="DD102" i="16" s="1"/>
  <c r="DD206" i="16"/>
  <c r="DE160" i="13" l="1"/>
  <c r="DF157" i="13" s="1"/>
  <c r="DE164" i="13"/>
  <c r="DE15" i="16"/>
  <c r="DE16" i="16" s="1"/>
  <c r="DE22" i="16" l="1"/>
  <c r="DE102" i="16" s="1"/>
  <c r="DE206" i="16"/>
  <c r="DF159" i="13"/>
  <c r="DF162" i="13" s="1"/>
  <c r="DF163" i="13" s="1"/>
  <c r="DF160" i="13" l="1"/>
  <c r="DG157" i="13" s="1"/>
  <c r="DF15" i="16"/>
  <c r="DF16" i="16" s="1"/>
  <c r="DF164" i="13"/>
  <c r="DF22" i="16" l="1"/>
  <c r="DF102" i="16" s="1"/>
  <c r="DF206" i="16"/>
  <c r="DG159" i="13"/>
  <c r="DG162" i="13" s="1"/>
  <c r="DG163" i="13" s="1"/>
  <c r="DG160" i="13" l="1"/>
  <c r="DH157" i="13" s="1"/>
  <c r="DG164" i="13"/>
  <c r="DG15" i="16"/>
  <c r="DG16" i="16" s="1"/>
  <c r="DG206" i="16" l="1"/>
  <c r="DG22" i="16"/>
  <c r="DG102" i="16" s="1"/>
  <c r="DH159" i="13"/>
  <c r="DH162" i="13" s="1"/>
  <c r="DH163" i="13" s="1"/>
  <c r="DH15" i="16" l="1"/>
  <c r="DH16" i="16" s="1"/>
  <c r="DH164" i="13"/>
  <c r="DH160" i="13"/>
  <c r="DI157" i="13" s="1"/>
  <c r="DI159" i="13" l="1"/>
  <c r="DI162" i="13" s="1"/>
  <c r="DI163" i="13" s="1"/>
  <c r="DH206" i="16"/>
  <c r="DH22" i="16"/>
  <c r="DH102" i="16" s="1"/>
  <c r="DI160" i="13" l="1"/>
  <c r="DJ157" i="13" s="1"/>
  <c r="DI164" i="13"/>
  <c r="DI15" i="16"/>
  <c r="DI16" i="16" s="1"/>
  <c r="DI206" i="16" l="1"/>
  <c r="DI22" i="16"/>
  <c r="DI102" i="16" s="1"/>
  <c r="DJ159" i="13"/>
  <c r="DJ162" i="13" s="1"/>
  <c r="DJ163" i="13" s="1"/>
  <c r="DJ160" i="13" l="1"/>
  <c r="DK157" i="13" s="1"/>
  <c r="DJ164" i="13"/>
  <c r="DJ15" i="16"/>
  <c r="DJ16" i="16" s="1"/>
  <c r="DJ206" i="16" l="1"/>
  <c r="DJ22" i="16"/>
  <c r="DJ102" i="16" s="1"/>
  <c r="DK159" i="13"/>
  <c r="DK162" i="13" s="1"/>
  <c r="DK163" i="13" s="1"/>
  <c r="DK15" i="16" l="1"/>
  <c r="DK16" i="16" s="1"/>
  <c r="DK164" i="13"/>
  <c r="DK160" i="13"/>
  <c r="DL157" i="13" s="1"/>
  <c r="DL159" i="13" l="1"/>
  <c r="DL162" i="13" s="1"/>
  <c r="DL163" i="13" s="1"/>
  <c r="DK206" i="16"/>
  <c r="DK22" i="16"/>
  <c r="DK102" i="16" s="1"/>
  <c r="DL160" i="13" l="1"/>
  <c r="DM157" i="13" s="1"/>
  <c r="DL15" i="16"/>
  <c r="DL16" i="16" s="1"/>
  <c r="DL164" i="13"/>
  <c r="DL206" i="16" l="1"/>
  <c r="DL22" i="16"/>
  <c r="DL102" i="16" s="1"/>
  <c r="DM159" i="13"/>
  <c r="DM162" i="13" s="1"/>
  <c r="DM163" i="13" s="1"/>
  <c r="DM160" i="13" l="1"/>
  <c r="DN157" i="13" s="1"/>
  <c r="DM15" i="16"/>
  <c r="DM16" i="16" s="1"/>
  <c r="DM164" i="13"/>
  <c r="DM206" i="16" l="1"/>
  <c r="DM22" i="16"/>
  <c r="DM102" i="16" s="1"/>
  <c r="DN159" i="13"/>
  <c r="DN162" i="13" s="1"/>
  <c r="DN163" i="13" s="1"/>
  <c r="DN160" i="13" l="1"/>
  <c r="DO157" i="13" s="1"/>
  <c r="DN164" i="13"/>
  <c r="DN15" i="16"/>
  <c r="DN16" i="16" s="1"/>
  <c r="DN22" i="16" l="1"/>
  <c r="DN102" i="16" s="1"/>
  <c r="DN206" i="16"/>
  <c r="DO159" i="13"/>
  <c r="DO162" i="13" s="1"/>
  <c r="DO163" i="13" s="1"/>
  <c r="DO160" i="13" l="1"/>
  <c r="DP157" i="13" s="1"/>
  <c r="DP159" i="13" s="1"/>
  <c r="DP162" i="13" s="1"/>
  <c r="DP163" i="13" s="1"/>
  <c r="DO15" i="16"/>
  <c r="DO16" i="16" s="1"/>
  <c r="DO164" i="13"/>
  <c r="DO206" i="16" l="1"/>
  <c r="DO22" i="16"/>
  <c r="DO102" i="16" s="1"/>
  <c r="DP160" i="13"/>
  <c r="DQ157" i="13" s="1"/>
  <c r="DP15" i="16"/>
  <c r="DP16" i="16" s="1"/>
  <c r="DP164" i="13"/>
  <c r="DQ159" i="13" l="1"/>
  <c r="DQ162" i="13" s="1"/>
  <c r="DQ163" i="13" s="1"/>
  <c r="DP22" i="16"/>
  <c r="DP102" i="16" s="1"/>
  <c r="DP206" i="16"/>
  <c r="DQ160" i="13" l="1"/>
  <c r="DQ164" i="13"/>
  <c r="G166" i="13" s="1"/>
  <c r="F3" i="17" s="1"/>
  <c r="DQ15" i="16"/>
  <c r="DQ16" i="16" s="1"/>
  <c r="DQ206" i="16" l="1"/>
  <c r="DQ22" i="16"/>
  <c r="DQ102" i="16" l="1"/>
  <c r="I102" i="16" s="1"/>
  <c r="I22" i="16"/>
  <c r="G31" i="16" a="1"/>
  <c r="G31" i="16" s="1"/>
  <c r="H61" i="16" l="1"/>
  <c r="G61" i="16" s="1"/>
  <c r="G67" i="16" s="1"/>
  <c r="H34" i="16"/>
  <c r="Q34" i="16" s="1"/>
  <c r="DN34" i="16" l="1"/>
  <c r="CX34" i="16"/>
  <c r="CH34" i="16"/>
  <c r="BR34" i="16"/>
  <c r="BB34" i="16"/>
  <c r="CW34" i="16"/>
  <c r="CT34" i="16"/>
  <c r="BN34" i="16"/>
  <c r="DH34" i="16"/>
  <c r="CB34" i="16"/>
  <c r="AV34" i="16"/>
  <c r="CP34" i="16"/>
  <c r="BJ34" i="16"/>
  <c r="DE34" i="16"/>
  <c r="BY34" i="16"/>
  <c r="AS34" i="16"/>
  <c r="DB34" i="16"/>
  <c r="CL34" i="16"/>
  <c r="BV34" i="16"/>
  <c r="BF34" i="16"/>
  <c r="AN34" i="16"/>
  <c r="DM34" i="16"/>
  <c r="CG34" i="16"/>
  <c r="BQ34" i="16"/>
  <c r="BA34" i="16"/>
  <c r="DJ34" i="16"/>
  <c r="CD34" i="16"/>
  <c r="AX34" i="16"/>
  <c r="CR34" i="16"/>
  <c r="BL34" i="16"/>
  <c r="DF34" i="16"/>
  <c r="BZ34" i="16"/>
  <c r="AT34" i="16"/>
  <c r="CO34" i="16"/>
  <c r="BI34" i="16"/>
  <c r="DP34" i="16"/>
  <c r="CZ34" i="16"/>
  <c r="CJ34" i="16"/>
  <c r="BT34" i="16"/>
  <c r="BD34" i="16"/>
  <c r="AL34" i="16"/>
  <c r="AK34" i="16"/>
  <c r="AH34" i="16"/>
  <c r="AF34" i="16"/>
  <c r="V34" i="16"/>
  <c r="AP34" i="16"/>
  <c r="G62" i="16"/>
  <c r="G65" i="16" s="1"/>
  <c r="G81" i="16" s="1"/>
  <c r="AD34" i="16"/>
  <c r="Z34" i="16"/>
  <c r="X34" i="16"/>
  <c r="R34" i="16"/>
  <c r="N34" i="16"/>
  <c r="AC34" i="16"/>
  <c r="P34" i="16"/>
  <c r="DO34" i="16"/>
  <c r="DG34" i="16"/>
  <c r="CY34" i="16"/>
  <c r="CQ34" i="16"/>
  <c r="CI34" i="16"/>
  <c r="CA34" i="16"/>
  <c r="BS34" i="16"/>
  <c r="BK34" i="16"/>
  <c r="BC34" i="16"/>
  <c r="AU34" i="16"/>
  <c r="AM34" i="16"/>
  <c r="AE34" i="16"/>
  <c r="W34" i="16"/>
  <c r="O34" i="16"/>
  <c r="M34" i="16"/>
  <c r="DL34" i="16"/>
  <c r="DD34" i="16"/>
  <c r="CV34" i="16"/>
  <c r="CN34" i="16"/>
  <c r="CF34" i="16"/>
  <c r="BX34" i="16"/>
  <c r="BP34" i="16"/>
  <c r="BH34" i="16"/>
  <c r="AZ34" i="16"/>
  <c r="AR34" i="16"/>
  <c r="AJ34" i="16"/>
  <c r="AB34" i="16"/>
  <c r="T34" i="16"/>
  <c r="L34" i="16"/>
  <c r="U34" i="16"/>
  <c r="DK34" i="16"/>
  <c r="DC34" i="16"/>
  <c r="CU34" i="16"/>
  <c r="CM34" i="16"/>
  <c r="CE34" i="16"/>
  <c r="BW34" i="16"/>
  <c r="BO34" i="16"/>
  <c r="BG34" i="16"/>
  <c r="AY34" i="16"/>
  <c r="AQ34" i="16"/>
  <c r="AI34" i="16"/>
  <c r="AA34" i="16"/>
  <c r="S34" i="16"/>
  <c r="K34" i="16"/>
  <c r="K36" i="16" s="1"/>
  <c r="L33" i="16" s="1"/>
  <c r="L37" i="16" s="1"/>
  <c r="L35" i="16" s="1"/>
  <c r="DQ34" i="16"/>
  <c r="DI34" i="16"/>
  <c r="DA34" i="16"/>
  <c r="CS34" i="16"/>
  <c r="CK34" i="16"/>
  <c r="CC34" i="16"/>
  <c r="BU34" i="16"/>
  <c r="BM34" i="16"/>
  <c r="BE34" i="16"/>
  <c r="AW34" i="16"/>
  <c r="AO34" i="16"/>
  <c r="AG34" i="16"/>
  <c r="Y34" i="16"/>
  <c r="F124" i="16"/>
  <c r="CA124" i="16" s="1"/>
  <c r="CA76" i="16" s="1"/>
  <c r="G191" i="16"/>
  <c r="F30" i="17"/>
  <c r="G127" i="16"/>
  <c r="M127" i="16" s="1"/>
  <c r="BV124" i="16" l="1"/>
  <c r="BV76" i="16" s="1"/>
  <c r="DL124" i="16"/>
  <c r="DL76" i="16" s="1"/>
  <c r="DI124" i="16"/>
  <c r="DI76" i="16" s="1"/>
  <c r="L124" i="16"/>
  <c r="L76" i="16" s="1"/>
  <c r="BH124" i="16"/>
  <c r="BH76" i="16" s="1"/>
  <c r="CR124" i="16"/>
  <c r="CR76" i="16" s="1"/>
  <c r="DO124" i="16"/>
  <c r="DO76" i="16" s="1"/>
  <c r="G63" i="16"/>
  <c r="G69" i="16" s="1"/>
  <c r="DJ124" i="16"/>
  <c r="DJ76" i="16" s="1"/>
  <c r="AJ124" i="16"/>
  <c r="AJ76" i="16" s="1"/>
  <c r="BQ124" i="16"/>
  <c r="BQ76" i="16" s="1"/>
  <c r="BU124" i="16"/>
  <c r="BU76" i="16" s="1"/>
  <c r="Q124" i="16"/>
  <c r="Q76" i="16" s="1"/>
  <c r="CM124" i="16"/>
  <c r="CM76" i="16" s="1"/>
  <c r="AL124" i="16"/>
  <c r="AL76" i="16" s="1"/>
  <c r="BC124" i="16"/>
  <c r="BC76" i="16" s="1"/>
  <c r="CN124" i="16"/>
  <c r="CN76" i="16" s="1"/>
  <c r="DQ124" i="16"/>
  <c r="DQ76" i="16" s="1"/>
  <c r="DP124" i="16"/>
  <c r="DP76" i="16" s="1"/>
  <c r="BN124" i="16"/>
  <c r="BN76" i="16" s="1"/>
  <c r="M124" i="16"/>
  <c r="M76" i="16" s="1"/>
  <c r="AW124" i="16"/>
  <c r="AW76" i="16" s="1"/>
  <c r="AV124" i="16"/>
  <c r="AV76" i="16" s="1"/>
  <c r="DG124" i="16"/>
  <c r="DG76" i="16" s="1"/>
  <c r="CB124" i="16"/>
  <c r="CB76" i="16" s="1"/>
  <c r="DF124" i="16"/>
  <c r="DF76" i="16" s="1"/>
  <c r="N124" i="16"/>
  <c r="N76" i="16" s="1"/>
  <c r="BY124" i="16"/>
  <c r="BY76" i="16" s="1"/>
  <c r="AZ124" i="16"/>
  <c r="AZ76" i="16" s="1"/>
  <c r="DH124" i="16"/>
  <c r="DH76" i="16" s="1"/>
  <c r="BO124" i="16"/>
  <c r="BO76" i="16" s="1"/>
  <c r="BE124" i="16"/>
  <c r="BE76" i="16" s="1"/>
  <c r="BJ124" i="16"/>
  <c r="BJ76" i="16" s="1"/>
  <c r="CU124" i="16"/>
  <c r="CU76" i="16" s="1"/>
  <c r="BG124" i="16"/>
  <c r="BG76" i="16" s="1"/>
  <c r="CC124" i="16"/>
  <c r="CC76" i="16" s="1"/>
  <c r="CF124" i="16"/>
  <c r="CF76" i="16" s="1"/>
  <c r="T124" i="16"/>
  <c r="T76" i="16" s="1"/>
  <c r="AI124" i="16"/>
  <c r="AI76" i="16" s="1"/>
  <c r="U124" i="16"/>
  <c r="U76" i="16" s="1"/>
  <c r="AQ124" i="16"/>
  <c r="AQ76" i="16" s="1"/>
  <c r="BT124" i="16"/>
  <c r="BT76" i="16" s="1"/>
  <c r="AX124" i="16"/>
  <c r="AX76" i="16" s="1"/>
  <c r="CQ124" i="16"/>
  <c r="CQ76" i="16" s="1"/>
  <c r="BA124" i="16"/>
  <c r="BA76" i="16" s="1"/>
  <c r="CV124" i="16"/>
  <c r="CV76" i="16" s="1"/>
  <c r="AO124" i="16"/>
  <c r="AO76" i="16" s="1"/>
  <c r="Y124" i="16"/>
  <c r="Y76" i="16" s="1"/>
  <c r="CZ124" i="16"/>
  <c r="CZ76" i="16" s="1"/>
  <c r="R124" i="16"/>
  <c r="R76" i="16" s="1"/>
  <c r="BD124" i="16"/>
  <c r="BD76" i="16" s="1"/>
  <c r="AM124" i="16"/>
  <c r="AM76" i="16" s="1"/>
  <c r="CP124" i="16"/>
  <c r="CP76" i="16" s="1"/>
  <c r="BP124" i="16"/>
  <c r="BP76" i="16" s="1"/>
  <c r="AK124" i="16"/>
  <c r="AK76" i="16" s="1"/>
  <c r="BB124" i="16"/>
  <c r="BB76" i="16" s="1"/>
  <c r="S124" i="16"/>
  <c r="S76" i="16" s="1"/>
  <c r="BI124" i="16"/>
  <c r="BI76" i="16" s="1"/>
  <c r="CL124" i="16"/>
  <c r="CL76" i="16" s="1"/>
  <c r="AD124" i="16"/>
  <c r="AD76" i="16" s="1"/>
  <c r="CO124" i="16"/>
  <c r="CO76" i="16" s="1"/>
  <c r="BS124" i="16"/>
  <c r="BS76" i="16" s="1"/>
  <c r="AH124" i="16"/>
  <c r="AH76" i="16" s="1"/>
  <c r="BL124" i="16"/>
  <c r="BL76" i="16" s="1"/>
  <c r="DC124" i="16"/>
  <c r="DC76" i="16" s="1"/>
  <c r="BM124" i="16"/>
  <c r="BM76" i="16" s="1"/>
  <c r="AT124" i="16"/>
  <c r="AT76" i="16" s="1"/>
  <c r="K124" i="16"/>
  <c r="K76" i="16" s="1"/>
  <c r="P124" i="16"/>
  <c r="P76" i="16" s="1"/>
  <c r="CG124" i="16"/>
  <c r="CG76" i="16" s="1"/>
  <c r="CW124" i="16"/>
  <c r="CW76" i="16" s="1"/>
  <c r="CT124" i="16"/>
  <c r="CT76" i="16" s="1"/>
  <c r="AS124" i="16"/>
  <c r="AS76" i="16" s="1"/>
  <c r="AE124" i="16"/>
  <c r="AE76" i="16" s="1"/>
  <c r="V124" i="16"/>
  <c r="V76" i="16" s="1"/>
  <c r="DM124" i="16"/>
  <c r="DM76" i="16" s="1"/>
  <c r="BF124" i="16"/>
  <c r="BF76" i="16" s="1"/>
  <c r="DD124" i="16"/>
  <c r="DD76" i="16" s="1"/>
  <c r="F31" i="17"/>
  <c r="F32" i="17" s="1"/>
  <c r="F7" i="17" s="1"/>
  <c r="BK124" i="16"/>
  <c r="BK76" i="16" s="1"/>
  <c r="CS124" i="16"/>
  <c r="CS76" i="16" s="1"/>
  <c r="AY124" i="16"/>
  <c r="AY76" i="16" s="1"/>
  <c r="AN124" i="16"/>
  <c r="AN76" i="16" s="1"/>
  <c r="BZ124" i="16"/>
  <c r="BZ76" i="16" s="1"/>
  <c r="CK124" i="16"/>
  <c r="CK76" i="16" s="1"/>
  <c r="DN124" i="16"/>
  <c r="DN76" i="16" s="1"/>
  <c r="AR124" i="16"/>
  <c r="AR76" i="16" s="1"/>
  <c r="AF124" i="16"/>
  <c r="AF76" i="16" s="1"/>
  <c r="CX124" i="16"/>
  <c r="CX76" i="16" s="1"/>
  <c r="BW124" i="16"/>
  <c r="BW76" i="16" s="1"/>
  <c r="CY124" i="16"/>
  <c r="CY76" i="16" s="1"/>
  <c r="AP124" i="16"/>
  <c r="AP76" i="16" s="1"/>
  <c r="AB124" i="16"/>
  <c r="AB76" i="16" s="1"/>
  <c r="X124" i="16"/>
  <c r="X76" i="16" s="1"/>
  <c r="CJ124" i="16"/>
  <c r="CJ76" i="16" s="1"/>
  <c r="Z124" i="16"/>
  <c r="Z76" i="16" s="1"/>
  <c r="CE124" i="16"/>
  <c r="CE76" i="16" s="1"/>
  <c r="BX124" i="16"/>
  <c r="BX76" i="16" s="1"/>
  <c r="DK124" i="16"/>
  <c r="DK76" i="16" s="1"/>
  <c r="W124" i="16"/>
  <c r="W76" i="16" s="1"/>
  <c r="AA124" i="16"/>
  <c r="AA76" i="16" s="1"/>
  <c r="DE124" i="16"/>
  <c r="DE76" i="16" s="1"/>
  <c r="CD124" i="16"/>
  <c r="CD76" i="16" s="1"/>
  <c r="AC124" i="16"/>
  <c r="AC76" i="16" s="1"/>
  <c r="DA124" i="16"/>
  <c r="DA76" i="16" s="1"/>
  <c r="O124" i="16"/>
  <c r="O76" i="16" s="1"/>
  <c r="CI124" i="16"/>
  <c r="CI76" i="16" s="1"/>
  <c r="DB124" i="16"/>
  <c r="DB76" i="16" s="1"/>
  <c r="CH124" i="16"/>
  <c r="CH76" i="16" s="1"/>
  <c r="AU124" i="16"/>
  <c r="AU76" i="16" s="1"/>
  <c r="BR124" i="16"/>
  <c r="BR76" i="16" s="1"/>
  <c r="AG124" i="16"/>
  <c r="AG76" i="16" s="1"/>
  <c r="BK127" i="16"/>
  <c r="DO127" i="16"/>
  <c r="AE127" i="16"/>
  <c r="CV127" i="16"/>
  <c r="CQ127" i="16"/>
  <c r="CZ127" i="16"/>
  <c r="BG127" i="16"/>
  <c r="CI127" i="16"/>
  <c r="DM127" i="16"/>
  <c r="S127" i="16"/>
  <c r="L36" i="16"/>
  <c r="M33" i="16" s="1"/>
  <c r="M37" i="16" s="1"/>
  <c r="M35" i="16" s="1"/>
  <c r="M36" i="16" s="1"/>
  <c r="N33" i="16" s="1"/>
  <c r="N37" i="16" s="1"/>
  <c r="AL127" i="16"/>
  <c r="AK127" i="16"/>
  <c r="BY127" i="16"/>
  <c r="CP127" i="16"/>
  <c r="DB127" i="16"/>
  <c r="AW127" i="16"/>
  <c r="Q127" i="16"/>
  <c r="DG127" i="16"/>
  <c r="AV127" i="16"/>
  <c r="AQ127" i="16"/>
  <c r="P127" i="16"/>
  <c r="AZ127" i="16"/>
  <c r="AM127" i="16"/>
  <c r="W127" i="16"/>
  <c r="AD127" i="16"/>
  <c r="CH127" i="16"/>
  <c r="DJ127" i="16"/>
  <c r="CS127" i="16"/>
  <c r="L103" i="16"/>
  <c r="BZ127" i="16"/>
  <c r="Z127" i="16"/>
  <c r="DP127" i="16"/>
  <c r="BE127" i="16"/>
  <c r="BT127" i="16"/>
  <c r="AJ127" i="16"/>
  <c r="BJ127" i="16"/>
  <c r="DE127" i="16"/>
  <c r="R127" i="16"/>
  <c r="CK127" i="16"/>
  <c r="CO127" i="16"/>
  <c r="CM127" i="16"/>
  <c r="BV127" i="16"/>
  <c r="AA127" i="16"/>
  <c r="DL127" i="16"/>
  <c r="BM127" i="16"/>
  <c r="BF127" i="16"/>
  <c r="U127" i="16"/>
  <c r="CG127" i="16"/>
  <c r="CW127" i="16"/>
  <c r="AP127" i="16"/>
  <c r="DA127" i="16"/>
  <c r="CR127" i="16"/>
  <c r="BD127" i="16"/>
  <c r="BH127" i="16"/>
  <c r="K127" i="16"/>
  <c r="K129" i="16" s="1"/>
  <c r="K131" i="16" s="1"/>
  <c r="K77" i="16" s="1"/>
  <c r="AG127" i="16"/>
  <c r="DI127" i="16"/>
  <c r="AT127" i="16"/>
  <c r="AY127" i="16"/>
  <c r="CN127" i="16"/>
  <c r="AU127" i="16"/>
  <c r="AO127" i="16"/>
  <c r="CB127" i="16"/>
  <c r="CE127" i="16"/>
  <c r="BL127" i="16"/>
  <c r="CT127" i="16"/>
  <c r="BN127" i="16"/>
  <c r="N127" i="16"/>
  <c r="BC127" i="16"/>
  <c r="CL127" i="16"/>
  <c r="CD127" i="16"/>
  <c r="V127" i="16"/>
  <c r="T127" i="16"/>
  <c r="DC127" i="16"/>
  <c r="BQ127" i="16"/>
  <c r="BX127" i="16"/>
  <c r="Y127" i="16"/>
  <c r="AF127" i="16"/>
  <c r="DN127" i="16"/>
  <c r="BP127" i="16"/>
  <c r="BS127" i="16"/>
  <c r="AX127" i="16"/>
  <c r="AB127" i="16"/>
  <c r="AI127" i="16"/>
  <c r="BI127" i="16"/>
  <c r="O127" i="16"/>
  <c r="BR127" i="16"/>
  <c r="DF127" i="16"/>
  <c r="AH127" i="16"/>
  <c r="BO127" i="16"/>
  <c r="X127" i="16"/>
  <c r="CF127" i="16"/>
  <c r="CY127" i="16"/>
  <c r="CC127" i="16"/>
  <c r="AR127" i="16"/>
  <c r="L127" i="16"/>
  <c r="BA127" i="16"/>
  <c r="AN127" i="16"/>
  <c r="DH127" i="16"/>
  <c r="BB127" i="16"/>
  <c r="DQ127" i="16"/>
  <c r="BW127" i="16"/>
  <c r="DD127" i="16"/>
  <c r="CJ127" i="16"/>
  <c r="BU127" i="16"/>
  <c r="CU127" i="16"/>
  <c r="AS127" i="16"/>
  <c r="DK127" i="16"/>
  <c r="AC127" i="16"/>
  <c r="CA127" i="16"/>
  <c r="CX127" i="16"/>
  <c r="G66" i="16"/>
  <c r="G68" i="16" s="1"/>
  <c r="H67" i="16" s="1"/>
  <c r="G93" i="16" s="1"/>
  <c r="AE81" i="16"/>
  <c r="DA81" i="16"/>
  <c r="BH81" i="16"/>
  <c r="DJ81" i="16"/>
  <c r="BW81" i="16"/>
  <c r="Y81" i="16"/>
  <c r="BJ81" i="16"/>
  <c r="AM81" i="16"/>
  <c r="CO81" i="16"/>
  <c r="AO81" i="16"/>
  <c r="DO81" i="16"/>
  <c r="BL81" i="16"/>
  <c r="R81" i="16"/>
  <c r="BZ81" i="16"/>
  <c r="DF81" i="16"/>
  <c r="AK81" i="16"/>
  <c r="DK81" i="16"/>
  <c r="BV81" i="16"/>
  <c r="BC81" i="16"/>
  <c r="CP81" i="16"/>
  <c r="T81" i="16"/>
  <c r="DP81" i="16"/>
  <c r="CB81" i="16"/>
  <c r="AH81" i="16"/>
  <c r="CV81" i="16"/>
  <c r="AN81" i="16"/>
  <c r="CT81" i="16"/>
  <c r="BB81" i="16"/>
  <c r="DB81" i="16"/>
  <c r="BM81" i="16"/>
  <c r="AA81" i="16"/>
  <c r="CW81" i="16"/>
  <c r="BD81" i="16"/>
  <c r="BS81" i="16"/>
  <c r="U81" i="16"/>
  <c r="AF81" i="16"/>
  <c r="CK81" i="16"/>
  <c r="AJ81" i="16"/>
  <c r="BI81" i="16"/>
  <c r="N81" i="16"/>
  <c r="AY81" i="16"/>
  <c r="CL81" i="16"/>
  <c r="BF81" i="16"/>
  <c r="BA81" i="16"/>
  <c r="DL81" i="16"/>
  <c r="BX81" i="16"/>
  <c r="AD81" i="16"/>
  <c r="CM81" i="16"/>
  <c r="L81" i="16"/>
  <c r="CS81" i="16"/>
  <c r="AX81" i="16"/>
  <c r="DQ81" i="16"/>
  <c r="BE81" i="16"/>
  <c r="W81" i="16"/>
  <c r="CN81" i="16"/>
  <c r="AZ81" i="16"/>
  <c r="DE81" i="16"/>
  <c r="AW81" i="16"/>
  <c r="CR81" i="16"/>
  <c r="P81" i="16"/>
  <c r="AV81" i="16"/>
  <c r="BO81" i="16"/>
  <c r="Q81" i="16"/>
  <c r="BY81" i="16"/>
  <c r="K81" i="16"/>
  <c r="K83" i="16" s="1"/>
  <c r="CG81" i="16"/>
  <c r="AL81" i="16"/>
  <c r="DG81" i="16"/>
  <c r="CE81" i="16"/>
  <c r="AG81" i="16"/>
  <c r="BR81" i="16"/>
  <c r="AU81" i="16"/>
  <c r="CH81" i="16"/>
  <c r="DH81" i="16"/>
  <c r="BT81" i="16"/>
  <c r="Z81" i="16"/>
  <c r="CI81" i="16"/>
  <c r="AB81" i="16"/>
  <c r="AT81" i="16"/>
  <c r="DM81" i="16"/>
  <c r="S81" i="16"/>
  <c r="CJ81" i="16"/>
  <c r="CY81" i="16"/>
  <c r="BK81" i="16"/>
  <c r="DC81" i="16"/>
  <c r="M81" i="16"/>
  <c r="BU81" i="16"/>
  <c r="AI81" i="16"/>
  <c r="CC81" i="16"/>
  <c r="X81" i="16"/>
  <c r="DN81" i="16"/>
  <c r="CA81" i="16"/>
  <c r="AC81" i="16"/>
  <c r="BN81" i="16"/>
  <c r="AQ81" i="16"/>
  <c r="CX81" i="16"/>
  <c r="AS81" i="16"/>
  <c r="DD81" i="16"/>
  <c r="BP81" i="16"/>
  <c r="V81" i="16"/>
  <c r="CD81" i="16"/>
  <c r="BG81" i="16"/>
  <c r="CQ81" i="16"/>
  <c r="AP81" i="16"/>
  <c r="DI81" i="16"/>
  <c r="CF81" i="16"/>
  <c r="O81" i="16"/>
  <c r="CZ81" i="16"/>
  <c r="AR81" i="16"/>
  <c r="CU81" i="16"/>
  <c r="BQ81" i="16"/>
  <c r="I124" i="16" l="1"/>
  <c r="M103" i="16"/>
  <c r="N35" i="16"/>
  <c r="N36" i="16" s="1"/>
  <c r="O33" i="16" s="1"/>
  <c r="O37" i="16" s="1"/>
  <c r="N103" i="16"/>
  <c r="H66" i="16"/>
  <c r="G94" i="16" s="1"/>
  <c r="H56" i="16"/>
  <c r="J56" i="16" s="1"/>
  <c r="K78" i="16"/>
  <c r="O35" i="16" l="1"/>
  <c r="O36" i="16" s="1"/>
  <c r="P33" i="16" s="1"/>
  <c r="O103" i="16"/>
  <c r="K85" i="16"/>
  <c r="K88" i="16" s="1"/>
  <c r="K89" i="16" s="1"/>
  <c r="L87" i="16" s="1"/>
  <c r="L82" i="16" s="1"/>
  <c r="L83" i="16" s="1"/>
  <c r="P37" i="16" l="1"/>
  <c r="K92" i="16"/>
  <c r="P35" i="16" l="1"/>
  <c r="P36" i="16" s="1"/>
  <c r="Q33" i="16" s="1"/>
  <c r="Q37" i="16" s="1"/>
  <c r="P103" i="16"/>
  <c r="K94" i="16"/>
  <c r="K97" i="16" s="1"/>
  <c r="K93" i="16"/>
  <c r="K96" i="16" s="1"/>
  <c r="K114" i="16" s="1"/>
  <c r="Q35" i="16" l="1"/>
  <c r="Q36" i="16" s="1"/>
  <c r="R33" i="16" s="1"/>
  <c r="R37" i="16" s="1"/>
  <c r="Q103" i="16"/>
  <c r="R35" i="16" l="1"/>
  <c r="R36" i="16" s="1"/>
  <c r="S33" i="16" s="1"/>
  <c r="S37" i="16" s="1"/>
  <c r="R103" i="16"/>
  <c r="S35" i="16" l="1"/>
  <c r="S36" i="16" s="1"/>
  <c r="T33" i="16" s="1"/>
  <c r="S103" i="16"/>
  <c r="T37" i="16" l="1"/>
  <c r="T35" i="16" l="1"/>
  <c r="T36" i="16" s="1"/>
  <c r="U33" i="16" s="1"/>
  <c r="U37" i="16" s="1"/>
  <c r="T103" i="16"/>
  <c r="U35" i="16" l="1"/>
  <c r="U36" i="16" s="1"/>
  <c r="V33" i="16" s="1"/>
  <c r="V37" i="16" s="1"/>
  <c r="U103" i="16"/>
  <c r="V35" i="16" l="1"/>
  <c r="V36" i="16" s="1"/>
  <c r="W33" i="16" s="1"/>
  <c r="W37" i="16" s="1"/>
  <c r="V103" i="16"/>
  <c r="W35" i="16" l="1"/>
  <c r="W36" i="16" s="1"/>
  <c r="X33" i="16" s="1"/>
  <c r="X37" i="16" s="1"/>
  <c r="W103" i="16"/>
  <c r="X35" i="16" l="1"/>
  <c r="X36" i="16" s="1"/>
  <c r="Y33" i="16" s="1"/>
  <c r="Y37" i="16" s="1"/>
  <c r="X103" i="16"/>
  <c r="Y35" i="16" l="1"/>
  <c r="Y36" i="16" s="1"/>
  <c r="Z33" i="16" s="1"/>
  <c r="Z37" i="16" s="1"/>
  <c r="Y103" i="16"/>
  <c r="Z35" i="16" l="1"/>
  <c r="Z36" i="16" s="1"/>
  <c r="AA33" i="16" s="1"/>
  <c r="AA37" i="16" s="1"/>
  <c r="Z103" i="16"/>
  <c r="K153" i="16"/>
  <c r="AA35" i="16" l="1"/>
  <c r="AA36" i="16" s="1"/>
  <c r="AB33" i="16" s="1"/>
  <c r="AB37" i="16" s="1"/>
  <c r="AA103" i="16"/>
  <c r="K155" i="16"/>
  <c r="K156" i="16"/>
  <c r="AB35" i="16" l="1"/>
  <c r="AB36" i="16" s="1"/>
  <c r="AC33" i="16" s="1"/>
  <c r="AC37" i="16" s="1"/>
  <c r="AB103" i="16"/>
  <c r="K157" i="16"/>
  <c r="L154" i="16" s="1"/>
  <c r="K158" i="16"/>
  <c r="K160" i="16" s="1"/>
  <c r="AC35" i="16" l="1"/>
  <c r="AC36" i="16" s="1"/>
  <c r="AD33" i="16" s="1"/>
  <c r="AD37" i="16" s="1"/>
  <c r="AC103" i="16"/>
  <c r="K167" i="16"/>
  <c r="K169" i="16" s="1"/>
  <c r="K161" i="16"/>
  <c r="AD35" i="16" l="1"/>
  <c r="AD36" i="16" s="1"/>
  <c r="AE33" i="16" s="1"/>
  <c r="AE37" i="16" s="1"/>
  <c r="AD103" i="16"/>
  <c r="K183" i="16"/>
  <c r="K172" i="16"/>
  <c r="AE35" i="16" l="1"/>
  <c r="AE36" i="16" s="1"/>
  <c r="AF33" i="16" s="1"/>
  <c r="AF37" i="16" s="1"/>
  <c r="AE103" i="16"/>
  <c r="K174" i="16"/>
  <c r="K173" i="16"/>
  <c r="K135" i="16" s="1"/>
  <c r="AF35" i="16" l="1"/>
  <c r="AF36" i="16" s="1"/>
  <c r="AG33" i="16" s="1"/>
  <c r="AG37" i="16" s="1"/>
  <c r="AF103" i="16"/>
  <c r="K175" i="16"/>
  <c r="K176" i="16" s="1"/>
  <c r="K209" i="16"/>
  <c r="K136" i="16"/>
  <c r="K137" i="16" s="1"/>
  <c r="L134" i="16" s="1"/>
  <c r="AG35" i="16" l="1"/>
  <c r="AG36" i="16" s="1"/>
  <c r="AH33" i="16" s="1"/>
  <c r="AH37" i="16" s="1"/>
  <c r="AG103" i="16"/>
  <c r="L139" i="16"/>
  <c r="L208" i="16" s="1"/>
  <c r="AH35" i="16" l="1"/>
  <c r="AH36" i="16" s="1"/>
  <c r="AI33" i="16" s="1"/>
  <c r="AI37" i="16" s="1"/>
  <c r="AH103" i="16"/>
  <c r="K210" i="16"/>
  <c r="K116" i="16"/>
  <c r="K117" i="16" s="1"/>
  <c r="L113" i="16" s="1"/>
  <c r="K177" i="16"/>
  <c r="K180" i="16" s="1"/>
  <c r="AI35" i="16" l="1"/>
  <c r="AI36" i="16" s="1"/>
  <c r="AJ33" i="16" s="1"/>
  <c r="AJ37" i="16" s="1"/>
  <c r="AI103" i="16"/>
  <c r="L198" i="16"/>
  <c r="L120" i="16"/>
  <c r="L128" i="16"/>
  <c r="L129" i="16" s="1"/>
  <c r="L131" i="16" s="1"/>
  <c r="AJ35" i="16" l="1"/>
  <c r="AJ36" i="16" s="1"/>
  <c r="AK33" i="16" s="1"/>
  <c r="AK37" i="16" s="1"/>
  <c r="AJ103" i="16"/>
  <c r="L121" i="16"/>
  <c r="L122" i="16" s="1"/>
  <c r="L77" i="16"/>
  <c r="AK35" i="16" l="1"/>
  <c r="AK36" i="16" s="1"/>
  <c r="AL33" i="16" s="1"/>
  <c r="AL37" i="16" s="1"/>
  <c r="AK103" i="16"/>
  <c r="L75" i="16"/>
  <c r="L152" i="16"/>
  <c r="L170" i="16"/>
  <c r="AL35" i="16" l="1"/>
  <c r="AL36" i="16" s="1"/>
  <c r="AM33" i="16" s="1"/>
  <c r="AM37" i="16" s="1"/>
  <c r="AL103" i="16"/>
  <c r="L104" i="16"/>
  <c r="L78" i="16"/>
  <c r="AM35" i="16" l="1"/>
  <c r="AM36" i="16" s="1"/>
  <c r="AN33" i="16" s="1"/>
  <c r="AN37" i="16" s="1"/>
  <c r="AM103" i="16"/>
  <c r="L85" i="16"/>
  <c r="L88" i="16" s="1"/>
  <c r="L89" i="16" s="1"/>
  <c r="M87" i="16" s="1"/>
  <c r="L110" i="16"/>
  <c r="L115" i="16" s="1"/>
  <c r="L171" i="16" s="1"/>
  <c r="AN35" i="16" l="1"/>
  <c r="AN36" i="16" s="1"/>
  <c r="AO33" i="16" s="1"/>
  <c r="AO37" i="16" s="1"/>
  <c r="AN103" i="16"/>
  <c r="L92" i="16"/>
  <c r="L94" i="16" s="1"/>
  <c r="L97" i="16" s="1"/>
  <c r="L207" i="16"/>
  <c r="M82" i="16"/>
  <c r="M83" i="16" s="1"/>
  <c r="AO35" i="16" l="1"/>
  <c r="AO36" i="16" s="1"/>
  <c r="AP33" i="16" s="1"/>
  <c r="AP37" i="16" s="1"/>
  <c r="AO103" i="16"/>
  <c r="L93" i="16"/>
  <c r="L96" i="16" s="1"/>
  <c r="L114" i="16" s="1"/>
  <c r="L184" i="16"/>
  <c r="AP35" i="16" l="1"/>
  <c r="AP36" i="16" s="1"/>
  <c r="AQ33" i="16" s="1"/>
  <c r="AQ37" i="16" s="1"/>
  <c r="AP103" i="16"/>
  <c r="L185" i="16"/>
  <c r="AQ35" i="16" l="1"/>
  <c r="AQ36" i="16" s="1"/>
  <c r="AR33" i="16" s="1"/>
  <c r="AR37" i="16" s="1"/>
  <c r="AQ103" i="16"/>
  <c r="AR35" i="16" l="1"/>
  <c r="AR36" i="16" s="1"/>
  <c r="AS33" i="16" s="1"/>
  <c r="AS37" i="16" s="1"/>
  <c r="AR103" i="16"/>
  <c r="AS35" i="16" l="1"/>
  <c r="AS36" i="16" s="1"/>
  <c r="AT33" i="16" s="1"/>
  <c r="AT37" i="16" s="1"/>
  <c r="AS103" i="16"/>
  <c r="AT35" i="16" l="1"/>
  <c r="AT36" i="16" s="1"/>
  <c r="AU33" i="16" s="1"/>
  <c r="AU37" i="16" s="1"/>
  <c r="AT103" i="16"/>
  <c r="M104" i="16"/>
  <c r="AU35" i="16" l="1"/>
  <c r="AU36" i="16" s="1"/>
  <c r="AV33" i="16" s="1"/>
  <c r="AV37" i="16" s="1"/>
  <c r="AU103" i="16"/>
  <c r="M110" i="16"/>
  <c r="AV35" i="16" l="1"/>
  <c r="AV36" i="16" s="1"/>
  <c r="AW33" i="16" s="1"/>
  <c r="AW37" i="16" s="1"/>
  <c r="AV103" i="16"/>
  <c r="AW35" i="16" l="1"/>
  <c r="AW36" i="16" s="1"/>
  <c r="AX33" i="16" s="1"/>
  <c r="AX37" i="16" s="1"/>
  <c r="AW103" i="16"/>
  <c r="AX35" i="16" l="1"/>
  <c r="AX36" i="16" s="1"/>
  <c r="AY33" i="16" s="1"/>
  <c r="AY37" i="16" s="1"/>
  <c r="AX103" i="16"/>
  <c r="AY35" i="16" l="1"/>
  <c r="AY36" i="16" s="1"/>
  <c r="AZ33" i="16" s="1"/>
  <c r="AZ37" i="16" s="1"/>
  <c r="AY103" i="16"/>
  <c r="AZ35" i="16" l="1"/>
  <c r="AZ36" i="16" s="1"/>
  <c r="BA33" i="16" s="1"/>
  <c r="BA37" i="16" s="1"/>
  <c r="AZ103" i="16"/>
  <c r="BA103" i="16" l="1"/>
  <c r="BA35" i="16"/>
  <c r="BA36" i="16" s="1"/>
  <c r="BB33" i="16" s="1"/>
  <c r="BB37" i="16" s="1"/>
  <c r="BB35" i="16" l="1"/>
  <c r="BB36" i="16" s="1"/>
  <c r="BC33" i="16" s="1"/>
  <c r="BC37" i="16" s="1"/>
  <c r="BB103" i="16"/>
  <c r="BC35" i="16" l="1"/>
  <c r="BC36" i="16" s="1"/>
  <c r="BD33" i="16" s="1"/>
  <c r="BD37" i="16" s="1"/>
  <c r="BC103" i="16"/>
  <c r="N104" i="16"/>
  <c r="BD35" i="16" l="1"/>
  <c r="BD36" i="16" s="1"/>
  <c r="BE33" i="16" s="1"/>
  <c r="BE37" i="16" s="1"/>
  <c r="BD103" i="16"/>
  <c r="N110" i="16"/>
  <c r="BE35" i="16" l="1"/>
  <c r="BE36" i="16" s="1"/>
  <c r="BF33" i="16" s="1"/>
  <c r="BF37" i="16" s="1"/>
  <c r="BE103" i="16"/>
  <c r="BF35" i="16" l="1"/>
  <c r="BF36" i="16" s="1"/>
  <c r="BG33" i="16" s="1"/>
  <c r="BG37" i="16" s="1"/>
  <c r="BF103" i="16"/>
  <c r="BG35" i="16" l="1"/>
  <c r="BG36" i="16" s="1"/>
  <c r="BH33" i="16" s="1"/>
  <c r="BH37" i="16" s="1"/>
  <c r="BG103" i="16"/>
  <c r="BH35" i="16" l="1"/>
  <c r="BH36" i="16" s="1"/>
  <c r="BI33" i="16" s="1"/>
  <c r="BI37" i="16" s="1"/>
  <c r="BH103" i="16"/>
  <c r="BI35" i="16" l="1"/>
  <c r="BI36" i="16" s="1"/>
  <c r="BJ33" i="16" s="1"/>
  <c r="BJ37" i="16" s="1"/>
  <c r="BI103" i="16"/>
  <c r="BJ35" i="16" l="1"/>
  <c r="BJ36" i="16" s="1"/>
  <c r="BK33" i="16" s="1"/>
  <c r="BK37" i="16" s="1"/>
  <c r="BJ103" i="16"/>
  <c r="BK35" i="16" l="1"/>
  <c r="BK36" i="16" s="1"/>
  <c r="BL33" i="16" s="1"/>
  <c r="BL37" i="16" s="1"/>
  <c r="BK103" i="16"/>
  <c r="BL35" i="16" l="1"/>
  <c r="BL36" i="16" s="1"/>
  <c r="BM33" i="16" s="1"/>
  <c r="BM37" i="16" s="1"/>
  <c r="BL103" i="16"/>
  <c r="O104" i="16"/>
  <c r="BM35" i="16" l="1"/>
  <c r="BM36" i="16" s="1"/>
  <c r="BN33" i="16" s="1"/>
  <c r="BN37" i="16" s="1"/>
  <c r="BM103" i="16"/>
  <c r="O110" i="16"/>
  <c r="BN35" i="16" l="1"/>
  <c r="BN36" i="16" s="1"/>
  <c r="BO33" i="16" s="1"/>
  <c r="BO37" i="16" s="1"/>
  <c r="BN103" i="16"/>
  <c r="BO35" i="16" l="1"/>
  <c r="BO36" i="16" s="1"/>
  <c r="BP33" i="16" s="1"/>
  <c r="BP37" i="16" s="1"/>
  <c r="BO103" i="16"/>
  <c r="BP35" i="16" l="1"/>
  <c r="BP36" i="16" s="1"/>
  <c r="BQ33" i="16" s="1"/>
  <c r="BQ37" i="16" s="1"/>
  <c r="BP103" i="16"/>
  <c r="BQ35" i="16" l="1"/>
  <c r="BQ36" i="16" s="1"/>
  <c r="BR33" i="16" s="1"/>
  <c r="BR37" i="16" s="1"/>
  <c r="BQ103" i="16"/>
  <c r="BR35" i="16" l="1"/>
  <c r="BR36" i="16" s="1"/>
  <c r="BS33" i="16" s="1"/>
  <c r="BS37" i="16" s="1"/>
  <c r="BR103" i="16"/>
  <c r="BS35" i="16" l="1"/>
  <c r="BS36" i="16" s="1"/>
  <c r="BT33" i="16" s="1"/>
  <c r="BT37" i="16" s="1"/>
  <c r="BS103" i="16"/>
  <c r="BT35" i="16" l="1"/>
  <c r="BT36" i="16" s="1"/>
  <c r="BU33" i="16" s="1"/>
  <c r="BU37" i="16" s="1"/>
  <c r="BT103" i="16"/>
  <c r="BU35" i="16" l="1"/>
  <c r="BU36" i="16" s="1"/>
  <c r="BV33" i="16" s="1"/>
  <c r="BV37" i="16" s="1"/>
  <c r="BU103" i="16"/>
  <c r="P104" i="16"/>
  <c r="BV35" i="16" l="1"/>
  <c r="BV36" i="16" s="1"/>
  <c r="BW33" i="16" s="1"/>
  <c r="BW37" i="16" s="1"/>
  <c r="BV103" i="16"/>
  <c r="P110" i="16"/>
  <c r="BW35" i="16" l="1"/>
  <c r="BW36" i="16" s="1"/>
  <c r="BX33" i="16" s="1"/>
  <c r="BX37" i="16" s="1"/>
  <c r="BW103" i="16"/>
  <c r="BX35" i="16" l="1"/>
  <c r="BX36" i="16" s="1"/>
  <c r="BY33" i="16" s="1"/>
  <c r="BY37" i="16" s="1"/>
  <c r="BX103" i="16"/>
  <c r="BY35" i="16" l="1"/>
  <c r="BY36" i="16" s="1"/>
  <c r="BZ33" i="16" s="1"/>
  <c r="BZ37" i="16" s="1"/>
  <c r="BY103" i="16"/>
  <c r="BZ35" i="16" l="1"/>
  <c r="BZ36" i="16" s="1"/>
  <c r="CA33" i="16" s="1"/>
  <c r="CA37" i="16" s="1"/>
  <c r="BZ103" i="16"/>
  <c r="CA35" i="16" l="1"/>
  <c r="CA36" i="16" s="1"/>
  <c r="CB33" i="16" s="1"/>
  <c r="CB37" i="16" s="1"/>
  <c r="CA103" i="16"/>
  <c r="CB35" i="16" l="1"/>
  <c r="CB36" i="16" s="1"/>
  <c r="CC33" i="16" s="1"/>
  <c r="CC37" i="16" s="1"/>
  <c r="CB103" i="16"/>
  <c r="CC35" i="16" l="1"/>
  <c r="CC36" i="16" s="1"/>
  <c r="CD33" i="16" s="1"/>
  <c r="CD37" i="16" s="1"/>
  <c r="CC103" i="16"/>
  <c r="CD35" i="16" l="1"/>
  <c r="CD36" i="16" s="1"/>
  <c r="CE33" i="16" s="1"/>
  <c r="CE37" i="16" s="1"/>
  <c r="CD103" i="16"/>
  <c r="CE35" i="16" l="1"/>
  <c r="CE36" i="16" s="1"/>
  <c r="CF33" i="16" s="1"/>
  <c r="CF37" i="16" s="1"/>
  <c r="CE103" i="16"/>
  <c r="CF35" i="16" l="1"/>
  <c r="CF36" i="16" s="1"/>
  <c r="CG33" i="16" s="1"/>
  <c r="CG37" i="16" s="1"/>
  <c r="CF103" i="16"/>
  <c r="CG35" i="16" l="1"/>
  <c r="CG36" i="16" s="1"/>
  <c r="CH33" i="16" s="1"/>
  <c r="CH37" i="16" s="1"/>
  <c r="CG103" i="16"/>
  <c r="CH35" i="16" l="1"/>
  <c r="CH36" i="16" s="1"/>
  <c r="CI33" i="16" s="1"/>
  <c r="CI37" i="16" s="1"/>
  <c r="CH103" i="16"/>
  <c r="CI35" i="16" l="1"/>
  <c r="CI36" i="16" s="1"/>
  <c r="CJ33" i="16" s="1"/>
  <c r="CJ37" i="16" s="1"/>
  <c r="CI103" i="16"/>
  <c r="CJ35" i="16" l="1"/>
  <c r="CJ36" i="16" s="1"/>
  <c r="CK33" i="16" s="1"/>
  <c r="CK37" i="16" s="1"/>
  <c r="CJ103" i="16"/>
  <c r="CK35" i="16" l="1"/>
  <c r="CK36" i="16" s="1"/>
  <c r="CL33" i="16" s="1"/>
  <c r="CL37" i="16" s="1"/>
  <c r="CK103" i="16"/>
  <c r="CL35" i="16" l="1"/>
  <c r="CL36" i="16" s="1"/>
  <c r="CM33" i="16" s="1"/>
  <c r="CM37" i="16" s="1"/>
  <c r="CL103" i="16"/>
  <c r="CM35" i="16" l="1"/>
  <c r="CM36" i="16" s="1"/>
  <c r="CN33" i="16" s="1"/>
  <c r="CN37" i="16" s="1"/>
  <c r="CM103" i="16"/>
  <c r="CN35" i="16" l="1"/>
  <c r="CN36" i="16" s="1"/>
  <c r="CO33" i="16" s="1"/>
  <c r="CO37" i="16" s="1"/>
  <c r="CN103" i="16"/>
  <c r="CO35" i="16" l="1"/>
  <c r="CO36" i="16" s="1"/>
  <c r="CP33" i="16" s="1"/>
  <c r="CP37" i="16" s="1"/>
  <c r="CO103" i="16"/>
  <c r="CP35" i="16" l="1"/>
  <c r="CP36" i="16" s="1"/>
  <c r="CQ33" i="16" s="1"/>
  <c r="CQ37" i="16" s="1"/>
  <c r="CP103" i="16"/>
  <c r="CQ35" i="16" l="1"/>
  <c r="CQ36" i="16" s="1"/>
  <c r="CR33" i="16" s="1"/>
  <c r="CR37" i="16" s="1"/>
  <c r="CQ103" i="16"/>
  <c r="CR35" i="16" l="1"/>
  <c r="CR36" i="16" s="1"/>
  <c r="CS33" i="16" s="1"/>
  <c r="CS37" i="16" s="1"/>
  <c r="CR103" i="16"/>
  <c r="CS35" i="16" l="1"/>
  <c r="CS36" i="16" s="1"/>
  <c r="CT33" i="16" s="1"/>
  <c r="CT37" i="16" s="1"/>
  <c r="CS103" i="16"/>
  <c r="CT35" i="16" l="1"/>
  <c r="CT36" i="16" s="1"/>
  <c r="CU33" i="16" s="1"/>
  <c r="CU37" i="16" s="1"/>
  <c r="CT103" i="16"/>
  <c r="CU35" i="16" l="1"/>
  <c r="CU36" i="16" s="1"/>
  <c r="CV33" i="16" s="1"/>
  <c r="CV37" i="16" s="1"/>
  <c r="CU103" i="16"/>
  <c r="CV35" i="16" l="1"/>
  <c r="CV36" i="16" s="1"/>
  <c r="CW33" i="16" s="1"/>
  <c r="CW37" i="16" s="1"/>
  <c r="CV103" i="16"/>
  <c r="CW35" i="16" l="1"/>
  <c r="CW36" i="16" s="1"/>
  <c r="CX33" i="16" s="1"/>
  <c r="CX37" i="16" s="1"/>
  <c r="CW103" i="16"/>
  <c r="CX35" i="16" l="1"/>
  <c r="CX36" i="16" s="1"/>
  <c r="CY33" i="16" s="1"/>
  <c r="CY37" i="16" s="1"/>
  <c r="CX103" i="16"/>
  <c r="CY35" i="16" l="1"/>
  <c r="CY36" i="16" s="1"/>
  <c r="CZ33" i="16" s="1"/>
  <c r="CZ37" i="16" s="1"/>
  <c r="CY103" i="16"/>
  <c r="CZ35" i="16" l="1"/>
  <c r="CZ36" i="16" s="1"/>
  <c r="DA33" i="16" s="1"/>
  <c r="DA37" i="16" s="1"/>
  <c r="CZ103" i="16"/>
  <c r="DA35" i="16" l="1"/>
  <c r="DA36" i="16" s="1"/>
  <c r="DB33" i="16" s="1"/>
  <c r="DB37" i="16" s="1"/>
  <c r="DA103" i="16"/>
  <c r="DB35" i="16" l="1"/>
  <c r="DB36" i="16" s="1"/>
  <c r="DC33" i="16" s="1"/>
  <c r="DC37" i="16" s="1"/>
  <c r="DB103" i="16"/>
  <c r="DC35" i="16" l="1"/>
  <c r="DC36" i="16" s="1"/>
  <c r="DD33" i="16" s="1"/>
  <c r="DD37" i="16" s="1"/>
  <c r="DC103" i="16"/>
  <c r="DD35" i="16" l="1"/>
  <c r="DD36" i="16" s="1"/>
  <c r="DE33" i="16" s="1"/>
  <c r="DE37" i="16" s="1"/>
  <c r="DD103" i="16"/>
  <c r="DE35" i="16" l="1"/>
  <c r="DE36" i="16" s="1"/>
  <c r="DF33" i="16" s="1"/>
  <c r="DF37" i="16" s="1"/>
  <c r="DE103" i="16"/>
  <c r="DF35" i="16" l="1"/>
  <c r="DF36" i="16" s="1"/>
  <c r="DG33" i="16" s="1"/>
  <c r="DG37" i="16" s="1"/>
  <c r="DF103" i="16"/>
  <c r="DG35" i="16" l="1"/>
  <c r="DG36" i="16" s="1"/>
  <c r="DH33" i="16" s="1"/>
  <c r="DH37" i="16" s="1"/>
  <c r="DG103" i="16"/>
  <c r="DH35" i="16" l="1"/>
  <c r="DH36" i="16" s="1"/>
  <c r="DI33" i="16" s="1"/>
  <c r="DI37" i="16" s="1"/>
  <c r="DH103" i="16"/>
  <c r="DI35" i="16" l="1"/>
  <c r="DI36" i="16" s="1"/>
  <c r="DJ33" i="16" s="1"/>
  <c r="DJ37" i="16" s="1"/>
  <c r="DI103" i="16"/>
  <c r="DJ35" i="16" l="1"/>
  <c r="DJ36" i="16" s="1"/>
  <c r="DK33" i="16" s="1"/>
  <c r="DK37" i="16" s="1"/>
  <c r="DJ103" i="16"/>
  <c r="DK35" i="16" l="1"/>
  <c r="DK36" i="16" s="1"/>
  <c r="DL33" i="16" s="1"/>
  <c r="DL37" i="16" s="1"/>
  <c r="DK103" i="16"/>
  <c r="DL35" i="16" l="1"/>
  <c r="DL36" i="16" s="1"/>
  <c r="DM33" i="16" s="1"/>
  <c r="DM37" i="16" s="1"/>
  <c r="DL103" i="16"/>
  <c r="DM35" i="16" l="1"/>
  <c r="DM36" i="16" s="1"/>
  <c r="DN33" i="16" s="1"/>
  <c r="DN37" i="16" s="1"/>
  <c r="DM103" i="16"/>
  <c r="DN35" i="16" l="1"/>
  <c r="DN36" i="16" s="1"/>
  <c r="DO33" i="16" s="1"/>
  <c r="DO37" i="16" s="1"/>
  <c r="DN103" i="16"/>
  <c r="DO35" i="16" l="1"/>
  <c r="DO36" i="16" s="1"/>
  <c r="DP33" i="16" s="1"/>
  <c r="DP37" i="16" s="1"/>
  <c r="DO103" i="16"/>
  <c r="DP35" i="16" l="1"/>
  <c r="DP36" i="16" s="1"/>
  <c r="DQ33" i="16" s="1"/>
  <c r="DQ37" i="16" s="1"/>
  <c r="DP103" i="16"/>
  <c r="DQ35" i="16" l="1"/>
  <c r="DQ36" i="16" s="1"/>
  <c r="DQ103" i="16"/>
  <c r="AB104" i="16" l="1"/>
  <c r="AB110" i="16" s="1"/>
  <c r="AC104" i="16" l="1"/>
  <c r="AC110" i="16" s="1"/>
  <c r="AH104" i="16" l="1"/>
  <c r="AH110" i="16" s="1"/>
  <c r="AP104" i="16" l="1"/>
  <c r="AP110" i="16" s="1"/>
  <c r="AS104" i="16" l="1"/>
  <c r="AS110" i="16" s="1"/>
  <c r="AU104" i="16" l="1"/>
  <c r="AU110" i="16" s="1"/>
  <c r="AX104" i="16" l="1"/>
  <c r="AX110" i="16" s="1"/>
  <c r="BA104" i="16" l="1"/>
  <c r="BA110" i="16" s="1"/>
  <c r="BE104" i="16" l="1"/>
  <c r="BE110" i="16" s="1"/>
  <c r="BH104" i="16" l="1"/>
  <c r="BH110" i="16" s="1"/>
  <c r="BM104" i="16" l="1"/>
  <c r="BM110" i="16" s="1"/>
  <c r="BN104" i="16" l="1"/>
  <c r="BN110" i="16" s="1"/>
  <c r="BO104" i="16" l="1"/>
  <c r="BO110" i="16" s="1"/>
  <c r="BW104" i="16" l="1"/>
  <c r="BW110" i="16" s="1"/>
  <c r="BY104" i="16" l="1"/>
  <c r="BY110" i="16" s="1"/>
  <c r="CE104" i="16" l="1"/>
  <c r="CE110" i="16" s="1"/>
  <c r="CG104" i="16" l="1"/>
  <c r="CG110" i="16" s="1"/>
  <c r="CI104" i="16" l="1"/>
  <c r="CI110" i="16" s="1"/>
  <c r="CL104" i="16" l="1"/>
  <c r="CL110" i="16" s="1"/>
  <c r="CP104" i="16" l="1"/>
  <c r="CP110" i="16" s="1"/>
  <c r="CQ104" i="16" l="1"/>
  <c r="CQ110" i="16" s="1"/>
  <c r="CT104" i="16" l="1"/>
  <c r="CT110" i="16" s="1"/>
  <c r="CU104" i="16" l="1"/>
  <c r="CU110" i="16" s="1"/>
  <c r="CX104" i="16" l="1"/>
  <c r="CX110" i="16" s="1"/>
  <c r="CY104" i="16" l="1"/>
  <c r="CY110" i="16" s="1"/>
  <c r="DB104" i="16" l="1"/>
  <c r="DB110" i="16" s="1"/>
  <c r="DC104" i="16" l="1"/>
  <c r="DC110" i="16" s="1"/>
  <c r="DD104" i="16" l="1"/>
  <c r="DD110" i="16" s="1"/>
  <c r="DF104" i="16" l="1"/>
  <c r="DF110" i="16" s="1"/>
  <c r="DH104" i="16" l="1"/>
  <c r="DH110" i="16" s="1"/>
  <c r="DJ104" i="16" l="1"/>
  <c r="DJ110" i="16" s="1"/>
  <c r="DL104" i="16" l="1"/>
  <c r="DL110" i="16" s="1"/>
  <c r="DN104" i="16" l="1"/>
  <c r="DN110" i="16" s="1"/>
  <c r="DQ104" i="16" l="1"/>
  <c r="I103" i="16"/>
  <c r="DQ110" i="16" l="1"/>
  <c r="Q104" i="16" l="1"/>
  <c r="Q110" i="16" l="1"/>
  <c r="R104" i="16" l="1"/>
  <c r="R110" i="16" l="1"/>
  <c r="S104" i="16" l="1"/>
  <c r="S110" i="16" l="1"/>
  <c r="T104" i="16" l="1"/>
  <c r="T110" i="16" l="1"/>
  <c r="U104" i="16" l="1"/>
  <c r="U110" i="16" l="1"/>
  <c r="V104" i="16" l="1"/>
  <c r="V110" i="16" s="1"/>
  <c r="W104" i="16" l="1"/>
  <c r="W110" i="16" s="1"/>
  <c r="X104" i="16" l="1"/>
  <c r="X110" i="16" s="1"/>
  <c r="Y104" i="16" l="1"/>
  <c r="Y110" i="16" s="1"/>
  <c r="Z104" i="16" l="1"/>
  <c r="Z110" i="16" s="1"/>
  <c r="AA104" i="16" l="1"/>
  <c r="AA110" i="16" s="1"/>
  <c r="AD104" i="16" l="1"/>
  <c r="AD110" i="16" s="1"/>
  <c r="AE104" i="16" l="1"/>
  <c r="AE110" i="16" s="1"/>
  <c r="AF104" i="16" l="1"/>
  <c r="AF110" i="16" s="1"/>
  <c r="AG104" i="16" l="1"/>
  <c r="AG110" i="16" s="1"/>
  <c r="AI104" i="16" l="1"/>
  <c r="AI110" i="16" s="1"/>
  <c r="AJ104" i="16" l="1"/>
  <c r="AJ110" i="16" s="1"/>
  <c r="AK104" i="16" l="1"/>
  <c r="AK110" i="16" s="1"/>
  <c r="AL104" i="16" l="1"/>
  <c r="AL110" i="16" s="1"/>
  <c r="AM104" i="16" l="1"/>
  <c r="AM110" i="16" s="1"/>
  <c r="AN104" i="16" l="1"/>
  <c r="AN110" i="16" s="1"/>
  <c r="AO104" i="16" l="1"/>
  <c r="AO110" i="16" s="1"/>
  <c r="AQ104" i="16" l="1"/>
  <c r="AQ110" i="16" s="1"/>
  <c r="AR104" i="16" l="1"/>
  <c r="AR110" i="16" s="1"/>
  <c r="AT104" i="16" l="1"/>
  <c r="AT110" i="16" s="1"/>
  <c r="AV104" i="16" l="1"/>
  <c r="AV110" i="16" s="1"/>
  <c r="AW104" i="16" l="1"/>
  <c r="AW110" i="16" s="1"/>
  <c r="AY104" i="16" l="1"/>
  <c r="AY110" i="16" s="1"/>
  <c r="AZ104" i="16" l="1"/>
  <c r="AZ110" i="16" s="1"/>
  <c r="BB104" i="16" l="1"/>
  <c r="BB110" i="16" s="1"/>
  <c r="BC104" i="16" l="1"/>
  <c r="BC110" i="16" s="1"/>
  <c r="BD104" i="16" l="1"/>
  <c r="BD110" i="16" s="1"/>
  <c r="BF104" i="16" l="1"/>
  <c r="BF110" i="16" s="1"/>
  <c r="BG104" i="16" l="1"/>
  <c r="BG110" i="16" s="1"/>
  <c r="BI104" i="16" l="1"/>
  <c r="BI110" i="16" s="1"/>
  <c r="BJ104" i="16" l="1"/>
  <c r="BJ110" i="16" s="1"/>
  <c r="BK104" i="16" l="1"/>
  <c r="BK110" i="16" s="1"/>
  <c r="BL104" i="16" l="1"/>
  <c r="BL110" i="16" s="1"/>
  <c r="BP104" i="16" l="1"/>
  <c r="BP110" i="16" s="1"/>
  <c r="BQ104" i="16" l="1"/>
  <c r="BQ110" i="16" s="1"/>
  <c r="BR104" i="16" l="1"/>
  <c r="BR110" i="16" s="1"/>
  <c r="BS104" i="16" l="1"/>
  <c r="BS110" i="16" s="1"/>
  <c r="BT104" i="16" l="1"/>
  <c r="BT110" i="16" s="1"/>
  <c r="BU104" i="16" l="1"/>
  <c r="BU110" i="16" s="1"/>
  <c r="BV104" i="16" l="1"/>
  <c r="BV110" i="16" s="1"/>
  <c r="BX104" i="16" l="1"/>
  <c r="BX110" i="16" s="1"/>
  <c r="BZ104" i="16" l="1"/>
  <c r="BZ110" i="16" s="1"/>
  <c r="CA104" i="16" l="1"/>
  <c r="CA110" i="16" s="1"/>
  <c r="CB104" i="16" l="1"/>
  <c r="CB110" i="16" s="1"/>
  <c r="CC104" i="16" l="1"/>
  <c r="CC110" i="16" s="1"/>
  <c r="CD104" i="16" l="1"/>
  <c r="CD110" i="16" s="1"/>
  <c r="CF104" i="16" l="1"/>
  <c r="CF110" i="16" s="1"/>
  <c r="CH104" i="16" l="1"/>
  <c r="CH110" i="16" s="1"/>
  <c r="CJ104" i="16" l="1"/>
  <c r="CJ110" i="16" s="1"/>
  <c r="CK104" i="16" l="1"/>
  <c r="CK110" i="16" s="1"/>
  <c r="CM104" i="16" l="1"/>
  <c r="CM110" i="16" s="1"/>
  <c r="CN104" i="16" l="1"/>
  <c r="CN110" i="16" s="1"/>
  <c r="CO104" i="16" l="1"/>
  <c r="CO110" i="16" s="1"/>
  <c r="CR104" i="16" l="1"/>
  <c r="CR110" i="16" s="1"/>
  <c r="CS104" i="16" l="1"/>
  <c r="CS110" i="16" s="1"/>
  <c r="CV104" i="16" l="1"/>
  <c r="CV110" i="16" s="1"/>
  <c r="CW104" i="16" l="1"/>
  <c r="CW110" i="16" s="1"/>
  <c r="CZ104" i="16" l="1"/>
  <c r="CZ110" i="16" s="1"/>
  <c r="DA104" i="16" l="1"/>
  <c r="DA110" i="16" s="1"/>
  <c r="DE104" i="16" l="1"/>
  <c r="DE110" i="16" s="1"/>
  <c r="DG104" i="16" l="1"/>
  <c r="DG110" i="16" s="1"/>
  <c r="DI104" i="16" l="1"/>
  <c r="DI110" i="16" s="1"/>
  <c r="DK104" i="16" l="1"/>
  <c r="DK110" i="16" s="1"/>
  <c r="DM104" i="16" l="1"/>
  <c r="DM110" i="16" s="1"/>
  <c r="DO104" i="16" l="1"/>
  <c r="DO110" i="16" s="1"/>
  <c r="DP104" i="16" l="1"/>
  <c r="DP110" i="16" l="1"/>
  <c r="I104" i="16"/>
  <c r="L153" i="16"/>
  <c r="L156" i="16" s="1"/>
  <c r="M153" i="16"/>
  <c r="M155" i="16" s="1"/>
  <c r="N153" i="16"/>
  <c r="N155" i="16" s="1"/>
  <c r="O153" i="16"/>
  <c r="O155" i="16" s="1"/>
  <c r="P153" i="16"/>
  <c r="P155" i="16" s="1"/>
  <c r="Q153" i="16"/>
  <c r="Q155" i="16" s="1"/>
  <c r="R153" i="16"/>
  <c r="R155" i="16" s="1"/>
  <c r="S153" i="16"/>
  <c r="S155" i="16" s="1"/>
  <c r="T153" i="16"/>
  <c r="T155" i="16" s="1"/>
  <c r="U153" i="16"/>
  <c r="U155" i="16" s="1"/>
  <c r="V153" i="16"/>
  <c r="V155" i="16" s="1"/>
  <c r="W153" i="16"/>
  <c r="W155" i="16" s="1"/>
  <c r="X153" i="16"/>
  <c r="X155" i="16" s="1"/>
  <c r="Y153" i="16"/>
  <c r="Y155" i="16" s="1"/>
  <c r="Z153" i="16"/>
  <c r="Z155" i="16" s="1"/>
  <c r="AA153" i="16"/>
  <c r="AA155" i="16" s="1"/>
  <c r="AB153" i="16"/>
  <c r="AB155" i="16" s="1"/>
  <c r="AC153" i="16"/>
  <c r="AC155" i="16" s="1"/>
  <c r="AD153" i="16"/>
  <c r="AD155" i="16" s="1"/>
  <c r="AE153" i="16"/>
  <c r="AE155" i="16" s="1"/>
  <c r="AF153" i="16"/>
  <c r="AF155" i="16" s="1"/>
  <c r="AG153" i="16"/>
  <c r="AG155" i="16" s="1"/>
  <c r="AH153" i="16"/>
  <c r="AH155" i="16" s="1"/>
  <c r="AI153" i="16"/>
  <c r="AI155" i="16" s="1"/>
  <c r="AJ153" i="16"/>
  <c r="AJ155" i="16" s="1"/>
  <c r="AK153" i="16"/>
  <c r="AK155" i="16" s="1"/>
  <c r="AL153" i="16"/>
  <c r="AL155" i="16" s="1"/>
  <c r="AM153" i="16"/>
  <c r="AM155" i="16" s="1"/>
  <c r="AN153" i="16"/>
  <c r="AN155" i="16" s="1"/>
  <c r="AO153" i="16"/>
  <c r="AO155" i="16" s="1"/>
  <c r="AP153" i="16"/>
  <c r="AP155" i="16" s="1"/>
  <c r="AQ153" i="16"/>
  <c r="AQ155" i="16" s="1"/>
  <c r="AR153" i="16"/>
  <c r="AR155" i="16" s="1"/>
  <c r="AS153" i="16"/>
  <c r="AS155" i="16" s="1"/>
  <c r="AT153" i="16"/>
  <c r="AT155" i="16" s="1"/>
  <c r="AU153" i="16"/>
  <c r="AU155" i="16" s="1"/>
  <c r="AV153" i="16"/>
  <c r="AV155" i="16" s="1"/>
  <c r="AW153" i="16"/>
  <c r="AW155" i="16" s="1"/>
  <c r="AX153" i="16"/>
  <c r="AX155" i="16" s="1"/>
  <c r="AY153" i="16"/>
  <c r="AY155" i="16" s="1"/>
  <c r="AZ153" i="16"/>
  <c r="AZ155" i="16" s="1"/>
  <c r="BA153" i="16"/>
  <c r="BA155" i="16" s="1"/>
  <c r="BB153" i="16"/>
  <c r="BB155" i="16" s="1"/>
  <c r="BC153" i="16"/>
  <c r="BC155" i="16" s="1"/>
  <c r="BD153" i="16"/>
  <c r="BE153" i="16"/>
  <c r="BE155" i="16" s="1"/>
  <c r="BF153" i="16"/>
  <c r="BG153" i="16"/>
  <c r="BG155" i="16" s="1"/>
  <c r="BH153" i="16"/>
  <c r="BI153" i="16"/>
  <c r="BI155" i="16" s="1"/>
  <c r="BJ153" i="16"/>
  <c r="BK153" i="16"/>
  <c r="BK155" i="16" s="1"/>
  <c r="BL153" i="16"/>
  <c r="BM153" i="16"/>
  <c r="BM155" i="16" s="1"/>
  <c r="BN153" i="16"/>
  <c r="BN155" i="16" s="1"/>
  <c r="BO153" i="16"/>
  <c r="BP153" i="16"/>
  <c r="BP155" i="16" s="1"/>
  <c r="BQ153" i="16"/>
  <c r="BR153" i="16"/>
  <c r="BR155" i="16" s="1"/>
  <c r="BS153" i="16"/>
  <c r="BT153" i="16"/>
  <c r="BT155" i="16" s="1"/>
  <c r="BU153" i="16"/>
  <c r="BV153" i="16"/>
  <c r="BV155" i="16" s="1"/>
  <c r="BW153" i="16"/>
  <c r="BX153" i="16"/>
  <c r="BX155" i="16" s="1"/>
  <c r="BY153" i="16"/>
  <c r="BY155" i="16" s="1"/>
  <c r="BZ153" i="16"/>
  <c r="BZ155" i="16" s="1"/>
  <c r="CA153" i="16"/>
  <c r="CB153" i="16"/>
  <c r="CB155" i="16" s="1"/>
  <c r="CC153" i="16"/>
  <c r="CD153" i="16"/>
  <c r="CD155" i="16" s="1"/>
  <c r="CE153" i="16"/>
  <c r="CF153" i="16"/>
  <c r="CF155" i="16" s="1"/>
  <c r="CG153" i="16"/>
  <c r="CH153" i="16"/>
  <c r="CH155" i="16" s="1"/>
  <c r="CI153" i="16"/>
  <c r="CJ153" i="16"/>
  <c r="CK153" i="16"/>
  <c r="CL153" i="16"/>
  <c r="CM153" i="16"/>
  <c r="CN153" i="16"/>
  <c r="CN155" i="16" s="1"/>
  <c r="CO153" i="16"/>
  <c r="CO155" i="16" s="1"/>
  <c r="CP153" i="16"/>
  <c r="CQ153" i="16"/>
  <c r="CQ155" i="16" s="1"/>
  <c r="CR153" i="16"/>
  <c r="CS153" i="16"/>
  <c r="CS155" i="16" s="1"/>
  <c r="CT153" i="16"/>
  <c r="CU153" i="16"/>
  <c r="CU155" i="16" s="1"/>
  <c r="CV153" i="16"/>
  <c r="CW153" i="16"/>
  <c r="CW155" i="16" s="1"/>
  <c r="CX153" i="16"/>
  <c r="CY153" i="16"/>
  <c r="CY155" i="16" s="1"/>
  <c r="CZ153" i="16"/>
  <c r="DA153" i="16"/>
  <c r="DA155" i="16" s="1"/>
  <c r="DB153" i="16"/>
  <c r="DC153" i="16"/>
  <c r="DC155" i="16" s="1"/>
  <c r="DD153" i="16"/>
  <c r="DE153" i="16"/>
  <c r="DE155" i="16" s="1"/>
  <c r="DF153" i="16"/>
  <c r="DG153" i="16"/>
  <c r="DG155" i="16" s="1"/>
  <c r="DH153" i="16"/>
  <c r="DI153" i="16"/>
  <c r="DI155" i="16" s="1"/>
  <c r="DJ153" i="16"/>
  <c r="DK153" i="16"/>
  <c r="DL153" i="16"/>
  <c r="DM153" i="16"/>
  <c r="DM155" i="16" s="1"/>
  <c r="DN153" i="16"/>
  <c r="DN155" i="16" s="1"/>
  <c r="DO153" i="16"/>
  <c r="DO155" i="16" s="1"/>
  <c r="DP153" i="16"/>
  <c r="DP155" i="16" s="1"/>
  <c r="DQ153" i="16"/>
  <c r="DQ155" i="16" s="1"/>
  <c r="L155" i="16" l="1"/>
  <c r="L158" i="16" s="1"/>
  <c r="L160" i="16" s="1"/>
  <c r="DD155" i="16"/>
  <c r="DJ155" i="16"/>
  <c r="CZ155" i="16"/>
  <c r="DL155" i="16"/>
  <c r="DB155" i="16"/>
  <c r="DF155" i="16"/>
  <c r="CP155" i="16"/>
  <c r="CC155" i="16"/>
  <c r="DH155" i="16"/>
  <c r="CR155" i="16"/>
  <c r="CT155" i="16"/>
  <c r="CV155" i="16"/>
  <c r="CM155" i="16"/>
  <c r="DK155" i="16"/>
  <c r="CX155" i="16"/>
  <c r="CG155" i="16"/>
  <c r="CI155" i="16"/>
  <c r="CE155" i="16"/>
  <c r="BQ155" i="16"/>
  <c r="CK155" i="16"/>
  <c r="CA155" i="16"/>
  <c r="BH155" i="16"/>
  <c r="CL155" i="16"/>
  <c r="CJ155" i="16"/>
  <c r="BS155" i="16"/>
  <c r="BW155" i="16"/>
  <c r="BO155" i="16"/>
  <c r="BU155" i="16"/>
  <c r="BL155" i="16"/>
  <c r="BJ155" i="16"/>
  <c r="BF155" i="16"/>
  <c r="BD155" i="16"/>
  <c r="L157" i="16" l="1"/>
  <c r="M154" i="16" s="1"/>
  <c r="M156" i="16" s="1"/>
  <c r="M158" i="16" s="1"/>
  <c r="M160" i="16" s="1"/>
  <c r="M161" i="16" s="1"/>
  <c r="L167" i="16"/>
  <c r="L169" i="16" s="1"/>
  <c r="L172" i="16" s="1"/>
  <c r="L161" i="16"/>
  <c r="M157" i="16" l="1"/>
  <c r="N154" i="16" s="1"/>
  <c r="N156" i="16" s="1"/>
  <c r="N158" i="16" s="1"/>
  <c r="N160" i="16" s="1"/>
  <c r="M167" i="16"/>
  <c r="M169" i="16" s="1"/>
  <c r="M183" i="16" s="1"/>
  <c r="L183" i="16"/>
  <c r="L174" i="16"/>
  <c r="L173" i="16"/>
  <c r="L135" i="16" l="1"/>
  <c r="L175" i="16"/>
  <c r="L176" i="16" s="1"/>
  <c r="L201" i="16"/>
  <c r="L136" i="16"/>
  <c r="L209" i="16"/>
  <c r="N157" i="16"/>
  <c r="O154" i="16" s="1"/>
  <c r="N167" i="16"/>
  <c r="N169" i="16" s="1"/>
  <c r="N161" i="16"/>
  <c r="L137" i="16" l="1"/>
  <c r="M134" i="16" s="1"/>
  <c r="M139" i="16" s="1"/>
  <c r="M208" i="16" s="1"/>
  <c r="L177" i="16"/>
  <c r="L180" i="16" s="1"/>
  <c r="L116" i="16"/>
  <c r="L117" i="16" s="1"/>
  <c r="M113" i="16" s="1"/>
  <c r="L210" i="16"/>
  <c r="O156" i="16"/>
  <c r="O158" i="16" s="1"/>
  <c r="O160" i="16" s="1"/>
  <c r="N183" i="16"/>
  <c r="M115" i="16" l="1"/>
  <c r="M171" i="16" s="1"/>
  <c r="M198" i="16"/>
  <c r="M128" i="16"/>
  <c r="M129" i="16" s="1"/>
  <c r="M131" i="16" s="1"/>
  <c r="M77" i="16" s="1"/>
  <c r="M120" i="16"/>
  <c r="M121" i="16" s="1"/>
  <c r="M75" i="16" s="1"/>
  <c r="O157" i="16"/>
  <c r="P154" i="16" s="1"/>
  <c r="O167" i="16"/>
  <c r="O169" i="16" s="1"/>
  <c r="O161" i="16"/>
  <c r="M122" i="16" l="1"/>
  <c r="M170" i="16" s="1"/>
  <c r="O183" i="16"/>
  <c r="M78" i="16"/>
  <c r="P156" i="16"/>
  <c r="P158" i="16" s="1"/>
  <c r="P160" i="16" s="1"/>
  <c r="M152" i="16" l="1"/>
  <c r="P167" i="16"/>
  <c r="P169" i="16" s="1"/>
  <c r="P161" i="16"/>
  <c r="M85" i="16"/>
  <c r="M88" i="16" s="1"/>
  <c r="M89" i="16" s="1"/>
  <c r="N87" i="16" s="1"/>
  <c r="P157" i="16"/>
  <c r="Q154" i="16" s="1"/>
  <c r="M184" i="16"/>
  <c r="M172" i="16"/>
  <c r="M207" i="16"/>
  <c r="M92" i="16" l="1"/>
  <c r="M93" i="16" s="1"/>
  <c r="M185" i="16"/>
  <c r="M173" i="16"/>
  <c r="M135" i="16" s="1"/>
  <c r="M174" i="16"/>
  <c r="Q156" i="16"/>
  <c r="Q158" i="16" s="1"/>
  <c r="Q160" i="16" s="1"/>
  <c r="N82" i="16"/>
  <c r="N83" i="16" s="1"/>
  <c r="P183" i="16"/>
  <c r="M94" i="16" l="1"/>
  <c r="M97" i="16" s="1"/>
  <c r="Q167" i="16"/>
  <c r="Q169" i="16" s="1"/>
  <c r="Q161" i="16"/>
  <c r="Q157" i="16"/>
  <c r="R154" i="16" s="1"/>
  <c r="M175" i="16"/>
  <c r="M96" i="16"/>
  <c r="M114" i="16" s="1"/>
  <c r="M201" i="16"/>
  <c r="M136" i="16"/>
  <c r="M137" i="16" s="1"/>
  <c r="N134" i="16" s="1"/>
  <c r="M209" i="16"/>
  <c r="N139" i="16" l="1"/>
  <c r="N208" i="16" s="1"/>
  <c r="M176" i="16"/>
  <c r="M177" i="16" s="1"/>
  <c r="M180" i="16" s="1"/>
  <c r="R156" i="16"/>
  <c r="R158" i="16" s="1"/>
  <c r="R160" i="16" s="1"/>
  <c r="Q183" i="16"/>
  <c r="R167" i="16" l="1"/>
  <c r="R169" i="16" s="1"/>
  <c r="R161" i="16"/>
  <c r="R157" i="16"/>
  <c r="S154" i="16" s="1"/>
  <c r="M116" i="16"/>
  <c r="M117" i="16" s="1"/>
  <c r="N113" i="16" s="1"/>
  <c r="M210" i="16"/>
  <c r="N120" i="16" l="1"/>
  <c r="N115" i="16"/>
  <c r="N128" i="16"/>
  <c r="N129" i="16" s="1"/>
  <c r="N131" i="16" s="1"/>
  <c r="N198" i="16"/>
  <c r="S156" i="16"/>
  <c r="S158" i="16" s="1"/>
  <c r="S160" i="16" s="1"/>
  <c r="R183" i="16"/>
  <c r="N77" i="16" l="1"/>
  <c r="N121" i="16"/>
  <c r="N122" i="16" s="1"/>
  <c r="S157" i="16"/>
  <c r="T154" i="16" s="1"/>
  <c r="N171" i="16"/>
  <c r="S167" i="16"/>
  <c r="S169" i="16" s="1"/>
  <c r="S161" i="16"/>
  <c r="T156" i="16" l="1"/>
  <c r="T158" i="16" s="1"/>
  <c r="T160" i="16" s="1"/>
  <c r="N170" i="16"/>
  <c r="N207" i="16" s="1"/>
  <c r="N152" i="16"/>
  <c r="N75" i="16"/>
  <c r="S183" i="16"/>
  <c r="N184" i="16" l="1"/>
  <c r="N172" i="16"/>
  <c r="N78" i="16"/>
  <c r="T157" i="16"/>
  <c r="U154" i="16" s="1"/>
  <c r="T167" i="16"/>
  <c r="T169" i="16" s="1"/>
  <c r="T161" i="16"/>
  <c r="T183" i="16" l="1"/>
  <c r="N85" i="16"/>
  <c r="N88" i="16" s="1"/>
  <c r="N89" i="16" s="1"/>
  <c r="O87" i="16" s="1"/>
  <c r="U156" i="16"/>
  <c r="U158" i="16" s="1"/>
  <c r="U160" i="16" s="1"/>
  <c r="N174" i="16"/>
  <c r="N173" i="16"/>
  <c r="N135" i="16" s="1"/>
  <c r="N185" i="16"/>
  <c r="N175" i="16" l="1"/>
  <c r="N176" i="16" s="1"/>
  <c r="N177" i="16" s="1"/>
  <c r="N136" i="16"/>
  <c r="N137" i="16" s="1"/>
  <c r="O134" i="16" s="1"/>
  <c r="N209" i="16"/>
  <c r="U157" i="16"/>
  <c r="V154" i="16" s="1"/>
  <c r="U167" i="16"/>
  <c r="U169" i="16" s="1"/>
  <c r="U161" i="16"/>
  <c r="O82" i="16"/>
  <c r="O83" i="16" s="1"/>
  <c r="N92" i="16"/>
  <c r="U183" i="16" l="1"/>
  <c r="O139" i="16"/>
  <c r="O208" i="16" s="1"/>
  <c r="N93" i="16"/>
  <c r="N94" i="16"/>
  <c r="N97" i="16" s="1"/>
  <c r="N180" i="16" s="1"/>
  <c r="V156" i="16"/>
  <c r="V158" i="16" s="1"/>
  <c r="V160" i="16" s="1"/>
  <c r="N116" i="16"/>
  <c r="N210" i="16"/>
  <c r="V157" i="16" l="1"/>
  <c r="W154" i="16" s="1"/>
  <c r="W156" i="16" s="1"/>
  <c r="W158" i="16" s="1"/>
  <c r="W160" i="16" s="1"/>
  <c r="V167" i="16"/>
  <c r="V169" i="16" s="1"/>
  <c r="V161" i="16"/>
  <c r="N96" i="16"/>
  <c r="N114" i="16" s="1"/>
  <c r="N201" i="16"/>
  <c r="N117" i="16" l="1"/>
  <c r="O113" i="16" s="1"/>
  <c r="V183" i="16"/>
  <c r="W167" i="16"/>
  <c r="W169" i="16" s="1"/>
  <c r="W161" i="16"/>
  <c r="W157" i="16"/>
  <c r="X154" i="16" s="1"/>
  <c r="X156" i="16" l="1"/>
  <c r="X158" i="16" s="1"/>
  <c r="X160" i="16" s="1"/>
  <c r="O120" i="16"/>
  <c r="O115" i="16"/>
  <c r="O128" i="16"/>
  <c r="O129" i="16" s="1"/>
  <c r="O131" i="16" s="1"/>
  <c r="O198" i="16"/>
  <c r="W183" i="16"/>
  <c r="O77" i="16" l="1"/>
  <c r="O171" i="16"/>
  <c r="O121" i="16"/>
  <c r="X157" i="16"/>
  <c r="Y154" i="16" s="1"/>
  <c r="X167" i="16"/>
  <c r="X169" i="16" s="1"/>
  <c r="X161" i="16"/>
  <c r="O75" i="16" l="1"/>
  <c r="O122" i="16"/>
  <c r="Y156" i="16"/>
  <c r="Y158" i="16" s="1"/>
  <c r="Y160" i="16" s="1"/>
  <c r="X183" i="16"/>
  <c r="Y167" i="16" l="1"/>
  <c r="Y169" i="16" s="1"/>
  <c r="Y161" i="16"/>
  <c r="O78" i="16"/>
  <c r="Y157" i="16"/>
  <c r="Z154" i="16" s="1"/>
  <c r="O170" i="16"/>
  <c r="O152" i="16"/>
  <c r="O184" i="16" l="1"/>
  <c r="O172" i="16"/>
  <c r="O207" i="16"/>
  <c r="Z156" i="16"/>
  <c r="Z158" i="16" s="1"/>
  <c r="Z160" i="16" s="1"/>
  <c r="O85" i="16"/>
  <c r="O88" i="16" s="1"/>
  <c r="O89" i="16" s="1"/>
  <c r="P87" i="16" s="1"/>
  <c r="Y183" i="16"/>
  <c r="O92" i="16" l="1"/>
  <c r="Z157" i="16"/>
  <c r="AA154" i="16" s="1"/>
  <c r="P82" i="16"/>
  <c r="P83" i="16" s="1"/>
  <c r="Z167" i="16"/>
  <c r="Z169" i="16" s="1"/>
  <c r="Z161" i="16"/>
  <c r="O173" i="16"/>
  <c r="O135" i="16" s="1"/>
  <c r="O174" i="16"/>
  <c r="O185" i="16"/>
  <c r="O136" i="16" l="1"/>
  <c r="O137" i="16" s="1"/>
  <c r="P134" i="16" s="1"/>
  <c r="O209" i="16"/>
  <c r="Z183" i="16"/>
  <c r="AA156" i="16"/>
  <c r="AA158" i="16" s="1"/>
  <c r="AA160" i="16" s="1"/>
  <c r="O175" i="16"/>
  <c r="O93" i="16"/>
  <c r="O94" i="16"/>
  <c r="O97" i="16" s="1"/>
  <c r="AA157" i="16" l="1"/>
  <c r="AB154" i="16" s="1"/>
  <c r="P139" i="16"/>
  <c r="P208" i="16" s="1"/>
  <c r="O96" i="16"/>
  <c r="O114" i="16" s="1"/>
  <c r="O201" i="16"/>
  <c r="O176" i="16"/>
  <c r="O177" i="16" s="1"/>
  <c r="O180" i="16" s="1"/>
  <c r="AA167" i="16"/>
  <c r="AA169" i="16" s="1"/>
  <c r="AA161" i="16"/>
  <c r="O116" i="16" l="1"/>
  <c r="O117" i="16" s="1"/>
  <c r="P113" i="16" s="1"/>
  <c r="O210" i="16"/>
  <c r="AA183" i="16"/>
  <c r="AB156" i="16"/>
  <c r="AB158" i="16" s="1"/>
  <c r="AB160" i="16" s="1"/>
  <c r="AB157" i="16" l="1"/>
  <c r="AC154" i="16" s="1"/>
  <c r="AC156" i="16" s="1"/>
  <c r="AC158" i="16" s="1"/>
  <c r="AC160" i="16" s="1"/>
  <c r="P120" i="16"/>
  <c r="P115" i="16"/>
  <c r="P128" i="16"/>
  <c r="P129" i="16" s="1"/>
  <c r="P131" i="16" s="1"/>
  <c r="P198" i="16"/>
  <c r="AB167" i="16"/>
  <c r="AB169" i="16" s="1"/>
  <c r="AB161" i="16"/>
  <c r="P121" i="16" l="1"/>
  <c r="P122" i="16" s="1"/>
  <c r="P77" i="16"/>
  <c r="AB183" i="16"/>
  <c r="P171" i="16"/>
  <c r="AC167" i="16"/>
  <c r="AC169" i="16" s="1"/>
  <c r="AC161" i="16"/>
  <c r="AC157" i="16"/>
  <c r="AD154" i="16" s="1"/>
  <c r="P170" i="16" l="1"/>
  <c r="P152" i="16"/>
  <c r="AD156" i="16"/>
  <c r="AD158" i="16" s="1"/>
  <c r="AD160" i="16" s="1"/>
  <c r="AC183" i="16"/>
  <c r="P75" i="16"/>
  <c r="AD157" i="16" l="1"/>
  <c r="AE154" i="16" s="1"/>
  <c r="P78" i="16"/>
  <c r="P184" i="16"/>
  <c r="P172" i="16"/>
  <c r="P207" i="16"/>
  <c r="AD167" i="16"/>
  <c r="AD169" i="16" s="1"/>
  <c r="AD161" i="16"/>
  <c r="P174" i="16" l="1"/>
  <c r="P173" i="16"/>
  <c r="P135" i="16" s="1"/>
  <c r="P185" i="16"/>
  <c r="P85" i="16"/>
  <c r="P88" i="16" s="1"/>
  <c r="P89" i="16" s="1"/>
  <c r="Q87" i="16" s="1"/>
  <c r="AD183" i="16"/>
  <c r="AE156" i="16"/>
  <c r="AE158" i="16" s="1"/>
  <c r="AE160" i="16" s="1"/>
  <c r="AE157" i="16" l="1"/>
  <c r="AF154" i="16" s="1"/>
  <c r="AF156" i="16" s="1"/>
  <c r="AF158" i="16" s="1"/>
  <c r="AF160" i="16" s="1"/>
  <c r="P175" i="16"/>
  <c r="Q82" i="16"/>
  <c r="Q83" i="16" s="1"/>
  <c r="P92" i="16"/>
  <c r="AE167" i="16"/>
  <c r="AE169" i="16" s="1"/>
  <c r="AE161" i="16"/>
  <c r="P136" i="16"/>
  <c r="P137" i="16" s="1"/>
  <c r="Q134" i="16" s="1"/>
  <c r="P209" i="16"/>
  <c r="Q139" i="16" l="1"/>
  <c r="Q208" i="16" s="1"/>
  <c r="AE183" i="16"/>
  <c r="P176" i="16"/>
  <c r="P177" i="16" s="1"/>
  <c r="P93" i="16"/>
  <c r="P94" i="16"/>
  <c r="P97" i="16" s="1"/>
  <c r="AF167" i="16"/>
  <c r="AF169" i="16" s="1"/>
  <c r="AF161" i="16"/>
  <c r="AF157" i="16"/>
  <c r="AG154" i="16" s="1"/>
  <c r="P180" i="16" l="1"/>
  <c r="P96" i="16"/>
  <c r="P114" i="16" s="1"/>
  <c r="P201" i="16"/>
  <c r="AG156" i="16"/>
  <c r="AG158" i="16" s="1"/>
  <c r="AG160" i="16" s="1"/>
  <c r="P116" i="16"/>
  <c r="P210" i="16"/>
  <c r="AF183" i="16"/>
  <c r="AG157" i="16" l="1"/>
  <c r="AH154" i="16" s="1"/>
  <c r="AG167" i="16"/>
  <c r="AG169" i="16" s="1"/>
  <c r="AG161" i="16"/>
  <c r="P117" i="16"/>
  <c r="Q113" i="16" s="1"/>
  <c r="AG183" i="16" l="1"/>
  <c r="AH156" i="16"/>
  <c r="AH158" i="16" s="1"/>
  <c r="AH160" i="16" s="1"/>
  <c r="Q120" i="16"/>
  <c r="Q115" i="16"/>
  <c r="Q128" i="16"/>
  <c r="Q129" i="16" s="1"/>
  <c r="Q131" i="16" s="1"/>
  <c r="Q198" i="16"/>
  <c r="Q121" i="16" l="1"/>
  <c r="AH157" i="16"/>
  <c r="AI154" i="16" s="1"/>
  <c r="AH167" i="16"/>
  <c r="AH169" i="16" s="1"/>
  <c r="AH161" i="16"/>
  <c r="Q171" i="16"/>
  <c r="Q77" i="16"/>
  <c r="AH183" i="16" l="1"/>
  <c r="AI156" i="16"/>
  <c r="AI158" i="16" s="1"/>
  <c r="AI160" i="16" s="1"/>
  <c r="Q75" i="16"/>
  <c r="Q122" i="16"/>
  <c r="Q78" i="16" l="1"/>
  <c r="AI157" i="16"/>
  <c r="AJ154" i="16" s="1"/>
  <c r="AI167" i="16"/>
  <c r="AI169" i="16" s="1"/>
  <c r="AI161" i="16"/>
  <c r="Q170" i="16"/>
  <c r="Q152" i="16"/>
  <c r="AI183" i="16" l="1"/>
  <c r="Q184" i="16"/>
  <c r="Q172" i="16"/>
  <c r="Q207" i="16"/>
  <c r="AJ156" i="16"/>
  <c r="AJ158" i="16" s="1"/>
  <c r="AJ160" i="16" s="1"/>
  <c r="Q85" i="16"/>
  <c r="Q88" i="16" s="1"/>
  <c r="Q89" i="16" s="1"/>
  <c r="R87" i="16" s="1"/>
  <c r="Q92" i="16" l="1"/>
  <c r="Q93" i="16" s="1"/>
  <c r="AJ167" i="16"/>
  <c r="AJ169" i="16" s="1"/>
  <c r="AJ161" i="16"/>
  <c r="Q185" i="16"/>
  <c r="AJ157" i="16"/>
  <c r="AK154" i="16" s="1"/>
  <c r="Q173" i="16"/>
  <c r="Q135" i="16" s="1"/>
  <c r="Q174" i="16"/>
  <c r="R82" i="16"/>
  <c r="R83" i="16" s="1"/>
  <c r="Q94" i="16" l="1"/>
  <c r="Q97" i="16" s="1"/>
  <c r="Q136" i="16"/>
  <c r="Q137" i="16" s="1"/>
  <c r="R134" i="16" s="1"/>
  <c r="Q209" i="16"/>
  <c r="AJ183" i="16"/>
  <c r="AK156" i="16"/>
  <c r="AK158" i="16" s="1"/>
  <c r="AK160" i="16" s="1"/>
  <c r="Q175" i="16"/>
  <c r="Q96" i="16"/>
  <c r="Q114" i="16" s="1"/>
  <c r="Q201" i="16"/>
  <c r="R139" i="16" l="1"/>
  <c r="R208" i="16" s="1"/>
  <c r="AK167" i="16"/>
  <c r="AK169" i="16" s="1"/>
  <c r="AK161" i="16"/>
  <c r="Q176" i="16"/>
  <c r="AK157" i="16"/>
  <c r="AL154" i="16" s="1"/>
  <c r="AL156" i="16" l="1"/>
  <c r="AL158" i="16" s="1"/>
  <c r="AL160" i="16" s="1"/>
  <c r="Q116" i="16"/>
  <c r="Q117" i="16" s="1"/>
  <c r="R113" i="16" s="1"/>
  <c r="Q210" i="16"/>
  <c r="Q177" i="16"/>
  <c r="Q180" i="16" s="1"/>
  <c r="AK183" i="16"/>
  <c r="AL167" i="16" l="1"/>
  <c r="AL169" i="16" s="1"/>
  <c r="AL161" i="16"/>
  <c r="R120" i="16"/>
  <c r="R115" i="16"/>
  <c r="R171" i="16" s="1"/>
  <c r="R128" i="16"/>
  <c r="R129" i="16" s="1"/>
  <c r="R131" i="16" s="1"/>
  <c r="R77" i="16" s="1"/>
  <c r="R198" i="16"/>
  <c r="AL157" i="16"/>
  <c r="AM154" i="16" s="1"/>
  <c r="AM156" i="16" l="1"/>
  <c r="AM158" i="16" s="1"/>
  <c r="AM160" i="16" s="1"/>
  <c r="AL183" i="16"/>
  <c r="R121" i="16"/>
  <c r="R75" i="16" s="1"/>
  <c r="R78" i="16" s="1"/>
  <c r="R85" i="16" l="1"/>
  <c r="R88" i="16" s="1"/>
  <c r="R89" i="16" s="1"/>
  <c r="S87" i="16" s="1"/>
  <c r="R122" i="16"/>
  <c r="AM157" i="16"/>
  <c r="AN154" i="16" s="1"/>
  <c r="AM167" i="16"/>
  <c r="AM169" i="16" s="1"/>
  <c r="AM161" i="16"/>
  <c r="R170" i="16" l="1"/>
  <c r="R152" i="16"/>
  <c r="S82" i="16"/>
  <c r="S83" i="16" s="1"/>
  <c r="AM183" i="16"/>
  <c r="AN156" i="16"/>
  <c r="AN158" i="16" s="1"/>
  <c r="AN160" i="16" s="1"/>
  <c r="R92" i="16"/>
  <c r="AN157" i="16" l="1"/>
  <c r="AO154" i="16" s="1"/>
  <c r="AN167" i="16"/>
  <c r="AN169" i="16" s="1"/>
  <c r="AN161" i="16"/>
  <c r="R93" i="16"/>
  <c r="R94" i="16"/>
  <c r="R97" i="16" s="1"/>
  <c r="R184" i="16"/>
  <c r="R172" i="16"/>
  <c r="R207" i="16"/>
  <c r="R174" i="16" l="1"/>
  <c r="R173" i="16"/>
  <c r="R135" i="16" s="1"/>
  <c r="AN183" i="16"/>
  <c r="R185" i="16"/>
  <c r="R96" i="16"/>
  <c r="R114" i="16" s="1"/>
  <c r="AO156" i="16"/>
  <c r="AO158" i="16" s="1"/>
  <c r="AO160" i="16" s="1"/>
  <c r="R201" i="16" l="1"/>
  <c r="R175" i="16"/>
  <c r="R176" i="16" s="1"/>
  <c r="AO157" i="16"/>
  <c r="AP154" i="16" s="1"/>
  <c r="AP156" i="16" s="1"/>
  <c r="AP158" i="16" s="1"/>
  <c r="AP160" i="16" s="1"/>
  <c r="AO167" i="16"/>
  <c r="AO169" i="16" s="1"/>
  <c r="AO161" i="16"/>
  <c r="R136" i="16"/>
  <c r="R137" i="16" s="1"/>
  <c r="S134" i="16" s="1"/>
  <c r="R209" i="16"/>
  <c r="S139" i="16" l="1"/>
  <c r="S208" i="16" s="1"/>
  <c r="R116" i="16"/>
  <c r="R117" i="16" s="1"/>
  <c r="S113" i="16" s="1"/>
  <c r="R210" i="16"/>
  <c r="R177" i="16"/>
  <c r="R180" i="16" s="1"/>
  <c r="AO183" i="16"/>
  <c r="AP167" i="16"/>
  <c r="AP169" i="16" s="1"/>
  <c r="AP161" i="16"/>
  <c r="AP157" i="16"/>
  <c r="AQ154" i="16" s="1"/>
  <c r="AP183" i="16" l="1"/>
  <c r="S120" i="16"/>
  <c r="S115" i="16"/>
  <c r="S171" i="16" s="1"/>
  <c r="S128" i="16"/>
  <c r="S129" i="16" s="1"/>
  <c r="S131" i="16" s="1"/>
  <c r="S77" i="16" s="1"/>
  <c r="S198" i="16"/>
  <c r="AQ156" i="16"/>
  <c r="AQ158" i="16" s="1"/>
  <c r="AQ160" i="16" s="1"/>
  <c r="AQ157" i="16" l="1"/>
  <c r="AR154" i="16" s="1"/>
  <c r="AR156" i="16" s="1"/>
  <c r="AR158" i="16" s="1"/>
  <c r="AR160" i="16" s="1"/>
  <c r="S121" i="16"/>
  <c r="S75" i="16" s="1"/>
  <c r="S78" i="16" s="1"/>
  <c r="AQ167" i="16"/>
  <c r="AQ169" i="16" s="1"/>
  <c r="AQ161" i="16"/>
  <c r="AR157" i="16" l="1"/>
  <c r="AS154" i="16" s="1"/>
  <c r="AS156" i="16" s="1"/>
  <c r="AS158" i="16" s="1"/>
  <c r="AS160" i="16" s="1"/>
  <c r="AR167" i="16"/>
  <c r="AR169" i="16" s="1"/>
  <c r="AR161" i="16"/>
  <c r="AQ183" i="16"/>
  <c r="S85" i="16"/>
  <c r="S88" i="16" s="1"/>
  <c r="S89" i="16" s="1"/>
  <c r="T87" i="16" s="1"/>
  <c r="S122" i="16"/>
  <c r="AS157" i="16" l="1"/>
  <c r="AT154" i="16" s="1"/>
  <c r="T82" i="16"/>
  <c r="T83" i="16" s="1"/>
  <c r="AS167" i="16"/>
  <c r="AS169" i="16" s="1"/>
  <c r="AS161" i="16"/>
  <c r="S92" i="16"/>
  <c r="S170" i="16"/>
  <c r="S152" i="16"/>
  <c r="AR183" i="16"/>
  <c r="S184" i="16" l="1"/>
  <c r="S172" i="16"/>
  <c r="S207" i="16"/>
  <c r="S93" i="16"/>
  <c r="S94" i="16"/>
  <c r="S97" i="16" s="1"/>
  <c r="AS183" i="16"/>
  <c r="AT156" i="16"/>
  <c r="AT158" i="16" s="1"/>
  <c r="AT160" i="16" s="1"/>
  <c r="AT167" i="16" l="1"/>
  <c r="AT169" i="16" s="1"/>
  <c r="AT161" i="16"/>
  <c r="S96" i="16"/>
  <c r="S114" i="16" s="1"/>
  <c r="AT157" i="16"/>
  <c r="AU154" i="16" s="1"/>
  <c r="S185" i="16"/>
  <c r="S173" i="16"/>
  <c r="S135" i="16" s="1"/>
  <c r="S174" i="16"/>
  <c r="S201" i="16" l="1"/>
  <c r="AU156" i="16"/>
  <c r="AU158" i="16" s="1"/>
  <c r="AU160" i="16" s="1"/>
  <c r="AT183" i="16"/>
  <c r="S175" i="16"/>
  <c r="S136" i="16"/>
  <c r="S137" i="16" s="1"/>
  <c r="T134" i="16" s="1"/>
  <c r="S209" i="16"/>
  <c r="T139" i="16" l="1"/>
  <c r="T208" i="16" s="1"/>
  <c r="S176" i="16"/>
  <c r="S177" i="16" s="1"/>
  <c r="S180" i="16" s="1"/>
  <c r="AU157" i="16"/>
  <c r="AV154" i="16" s="1"/>
  <c r="AU167" i="16"/>
  <c r="AU169" i="16" s="1"/>
  <c r="AU161" i="16"/>
  <c r="AU183" i="16" l="1"/>
  <c r="AV156" i="16"/>
  <c r="AV158" i="16" s="1"/>
  <c r="AV160" i="16" s="1"/>
  <c r="S116" i="16"/>
  <c r="S117" i="16" s="1"/>
  <c r="T113" i="16" s="1"/>
  <c r="S210" i="16"/>
  <c r="AV167" i="16" l="1"/>
  <c r="AV169" i="16" s="1"/>
  <c r="AV161" i="16"/>
  <c r="T120" i="16"/>
  <c r="T115" i="16"/>
  <c r="T171" i="16" s="1"/>
  <c r="T128" i="16"/>
  <c r="T129" i="16" s="1"/>
  <c r="T131" i="16" s="1"/>
  <c r="T77" i="16" s="1"/>
  <c r="T198" i="16"/>
  <c r="AV157" i="16"/>
  <c r="AW154" i="16" s="1"/>
  <c r="T121" i="16" l="1"/>
  <c r="T75" i="16" s="1"/>
  <c r="T78" i="16" s="1"/>
  <c r="AW156" i="16"/>
  <c r="AW158" i="16" s="1"/>
  <c r="AW160" i="16" s="1"/>
  <c r="AV183" i="16"/>
  <c r="T122" i="16" l="1"/>
  <c r="T170" i="16" s="1"/>
  <c r="AW157" i="16"/>
  <c r="AX154" i="16" s="1"/>
  <c r="AW167" i="16"/>
  <c r="AW169" i="16" s="1"/>
  <c r="AW161" i="16"/>
  <c r="T85" i="16"/>
  <c r="T88" i="16" s="1"/>
  <c r="T89" i="16" s="1"/>
  <c r="U87" i="16" s="1"/>
  <c r="T152" i="16" l="1"/>
  <c r="U82" i="16"/>
  <c r="U83" i="16" s="1"/>
  <c r="T92" i="16"/>
  <c r="T184" i="16"/>
  <c r="T172" i="16"/>
  <c r="T207" i="16"/>
  <c r="AW183" i="16"/>
  <c r="AX156" i="16"/>
  <c r="AX158" i="16" s="1"/>
  <c r="AX160" i="16" s="1"/>
  <c r="T185" i="16" l="1"/>
  <c r="T173" i="16"/>
  <c r="T135" i="16" s="1"/>
  <c r="T174" i="16"/>
  <c r="T93" i="16"/>
  <c r="T94" i="16"/>
  <c r="T97" i="16" s="1"/>
  <c r="AX167" i="16"/>
  <c r="AX169" i="16" s="1"/>
  <c r="AX161" i="16"/>
  <c r="AX157" i="16"/>
  <c r="AY154" i="16" s="1"/>
  <c r="T175" i="16" l="1"/>
  <c r="AX183" i="16"/>
  <c r="T96" i="16"/>
  <c r="T114" i="16" s="1"/>
  <c r="T201" i="16"/>
  <c r="T136" i="16"/>
  <c r="T137" i="16" s="1"/>
  <c r="U134" i="16" s="1"/>
  <c r="T209" i="16"/>
  <c r="AY156" i="16"/>
  <c r="AY158" i="16" s="1"/>
  <c r="AY160" i="16" s="1"/>
  <c r="U139" i="16" l="1"/>
  <c r="U208" i="16" s="1"/>
  <c r="AY167" i="16"/>
  <c r="AY169" i="16" s="1"/>
  <c r="AY161" i="16"/>
  <c r="AY157" i="16"/>
  <c r="AZ154" i="16" s="1"/>
  <c r="T176" i="16"/>
  <c r="T177" i="16" s="1"/>
  <c r="T180" i="16" s="1"/>
  <c r="AZ156" i="16" l="1"/>
  <c r="AZ158" i="16" s="1"/>
  <c r="AZ160" i="16" s="1"/>
  <c r="T116" i="16"/>
  <c r="T117" i="16" s="1"/>
  <c r="U113" i="16" s="1"/>
  <c r="T210" i="16"/>
  <c r="AY183" i="16"/>
  <c r="U120" i="16" l="1"/>
  <c r="U128" i="16"/>
  <c r="U129" i="16" s="1"/>
  <c r="U131" i="16" s="1"/>
  <c r="U77" i="16" s="1"/>
  <c r="U115" i="16"/>
  <c r="U171" i="16" s="1"/>
  <c r="U198" i="16"/>
  <c r="AZ167" i="16"/>
  <c r="AZ169" i="16" s="1"/>
  <c r="AZ161" i="16"/>
  <c r="AZ157" i="16"/>
  <c r="BA154" i="16" s="1"/>
  <c r="AZ183" i="16" l="1"/>
  <c r="BA156" i="16"/>
  <c r="BA158" i="16" s="1"/>
  <c r="BA160" i="16" s="1"/>
  <c r="U121" i="16"/>
  <c r="U75" i="16" s="1"/>
  <c r="U78" i="16" s="1"/>
  <c r="BA167" i="16" l="1"/>
  <c r="BA169" i="16" s="1"/>
  <c r="BA161" i="16"/>
  <c r="U85" i="16"/>
  <c r="U88" i="16" s="1"/>
  <c r="U89" i="16" s="1"/>
  <c r="V87" i="16" s="1"/>
  <c r="U122" i="16"/>
  <c r="BA157" i="16"/>
  <c r="BB154" i="16" s="1"/>
  <c r="U170" i="16" l="1"/>
  <c r="U152" i="16"/>
  <c r="BB156" i="16"/>
  <c r="BB158" i="16" s="1"/>
  <c r="BB160" i="16" s="1"/>
  <c r="V82" i="16"/>
  <c r="V83" i="16" s="1"/>
  <c r="U92" i="16"/>
  <c r="BA183" i="16"/>
  <c r="BB167" i="16" l="1"/>
  <c r="BB169" i="16" s="1"/>
  <c r="BB161" i="16"/>
  <c r="BB157" i="16"/>
  <c r="BC154" i="16" s="1"/>
  <c r="U93" i="16"/>
  <c r="U94" i="16"/>
  <c r="U97" i="16" s="1"/>
  <c r="U184" i="16"/>
  <c r="U172" i="16"/>
  <c r="U207" i="16"/>
  <c r="U174" i="16" l="1"/>
  <c r="U173" i="16"/>
  <c r="U135" i="16" s="1"/>
  <c r="U96" i="16"/>
  <c r="U114" i="16" s="1"/>
  <c r="U185" i="16"/>
  <c r="BC156" i="16"/>
  <c r="BC158" i="16" s="1"/>
  <c r="BC160" i="16" s="1"/>
  <c r="BB183" i="16"/>
  <c r="BC157" i="16" l="1"/>
  <c r="BD154" i="16" s="1"/>
  <c r="BD156" i="16" s="1"/>
  <c r="BD158" i="16" s="1"/>
  <c r="BD160" i="16" s="1"/>
  <c r="U201" i="16"/>
  <c r="BC167" i="16"/>
  <c r="BC169" i="16" s="1"/>
  <c r="BC161" i="16"/>
  <c r="U175" i="16"/>
  <c r="U136" i="16"/>
  <c r="U137" i="16" s="1"/>
  <c r="V134" i="16" s="1"/>
  <c r="U209" i="16"/>
  <c r="U176" i="16" l="1"/>
  <c r="V139" i="16"/>
  <c r="V208" i="16" s="1"/>
  <c r="BC183" i="16"/>
  <c r="BD167" i="16"/>
  <c r="BD169" i="16" s="1"/>
  <c r="BD161" i="16"/>
  <c r="BD157" i="16"/>
  <c r="BE154" i="16" s="1"/>
  <c r="BD183" i="16" l="1"/>
  <c r="U116" i="16"/>
  <c r="U117" i="16" s="1"/>
  <c r="V113" i="16" s="1"/>
  <c r="U210" i="16"/>
  <c r="BE156" i="16"/>
  <c r="BE158" i="16" s="1"/>
  <c r="BE160" i="16" s="1"/>
  <c r="U177" i="16"/>
  <c r="U180" i="16" s="1"/>
  <c r="BE157" i="16" l="1"/>
  <c r="BF154" i="16" s="1"/>
  <c r="V120" i="16"/>
  <c r="V115" i="16"/>
  <c r="V171" i="16" s="1"/>
  <c r="V128" i="16"/>
  <c r="V129" i="16" s="1"/>
  <c r="V131" i="16" s="1"/>
  <c r="V77" i="16" s="1"/>
  <c r="V198" i="16"/>
  <c r="BE167" i="16"/>
  <c r="BE169" i="16" s="1"/>
  <c r="BE161" i="16"/>
  <c r="BF156" i="16" l="1"/>
  <c r="BF158" i="16" s="1"/>
  <c r="BF160" i="16" s="1"/>
  <c r="BE183" i="16"/>
  <c r="V121" i="16"/>
  <c r="V75" i="16" s="1"/>
  <c r="V78" i="16" s="1"/>
  <c r="V122" i="16" l="1"/>
  <c r="V170" i="16" s="1"/>
  <c r="V85" i="16"/>
  <c r="V88" i="16" s="1"/>
  <c r="V89" i="16" s="1"/>
  <c r="W87" i="16" s="1"/>
  <c r="BF167" i="16"/>
  <c r="BF169" i="16" s="1"/>
  <c r="BF161" i="16"/>
  <c r="BF157" i="16"/>
  <c r="BG154" i="16" s="1"/>
  <c r="V152" i="16" l="1"/>
  <c r="W82" i="16"/>
  <c r="W83" i="16" s="1"/>
  <c r="BG156" i="16"/>
  <c r="BG158" i="16" s="1"/>
  <c r="BG160" i="16" s="1"/>
  <c r="V184" i="16"/>
  <c r="V172" i="16"/>
  <c r="V207" i="16"/>
  <c r="BF183" i="16"/>
  <c r="V92" i="16"/>
  <c r="V185" i="16" l="1"/>
  <c r="V173" i="16"/>
  <c r="V135" i="16" s="1"/>
  <c r="V174" i="16"/>
  <c r="BG157" i="16"/>
  <c r="BH154" i="16" s="1"/>
  <c r="BG167" i="16"/>
  <c r="BG169" i="16" s="1"/>
  <c r="BG161" i="16"/>
  <c r="V93" i="16"/>
  <c r="V94" i="16"/>
  <c r="V97" i="16" s="1"/>
  <c r="V96" i="16" l="1"/>
  <c r="V114" i="16" s="1"/>
  <c r="V201" i="16"/>
  <c r="V136" i="16"/>
  <c r="V137" i="16" s="1"/>
  <c r="W134" i="16" s="1"/>
  <c r="V209" i="16"/>
  <c r="BG183" i="16"/>
  <c r="BH156" i="16"/>
  <c r="BH158" i="16" s="1"/>
  <c r="BH160" i="16" s="1"/>
  <c r="V175" i="16"/>
  <c r="BH157" i="16" l="1"/>
  <c r="BI154" i="16" s="1"/>
  <c r="BI156" i="16" s="1"/>
  <c r="BI158" i="16" s="1"/>
  <c r="BI160" i="16" s="1"/>
  <c r="W139" i="16"/>
  <c r="W208" i="16" s="1"/>
  <c r="V176" i="16"/>
  <c r="BH167" i="16"/>
  <c r="BH169" i="16" s="1"/>
  <c r="BH161" i="16"/>
  <c r="BI157" i="16" l="1"/>
  <c r="BJ154" i="16" s="1"/>
  <c r="BJ156" i="16" s="1"/>
  <c r="BJ158" i="16" s="1"/>
  <c r="BJ160" i="16" s="1"/>
  <c r="BH183" i="16"/>
  <c r="V116" i="16"/>
  <c r="V117" i="16" s="1"/>
  <c r="W113" i="16" s="1"/>
  <c r="V210" i="16"/>
  <c r="V177" i="16"/>
  <c r="V180" i="16" s="1"/>
  <c r="BI167" i="16"/>
  <c r="BI169" i="16" s="1"/>
  <c r="BI161" i="16"/>
  <c r="BI183" i="16" l="1"/>
  <c r="BJ157" i="16"/>
  <c r="BK154" i="16" s="1"/>
  <c r="W120" i="16"/>
  <c r="W128" i="16"/>
  <c r="W129" i="16" s="1"/>
  <c r="W131" i="16" s="1"/>
  <c r="W77" i="16" s="1"/>
  <c r="W115" i="16"/>
  <c r="W171" i="16" s="1"/>
  <c r="W198" i="16"/>
  <c r="BJ167" i="16"/>
  <c r="BJ169" i="16" s="1"/>
  <c r="BJ161" i="16"/>
  <c r="W121" i="16" l="1"/>
  <c r="W75" i="16" s="1"/>
  <c r="W78" i="16" s="1"/>
  <c r="BK156" i="16"/>
  <c r="BK158" i="16" s="1"/>
  <c r="BK160" i="16" s="1"/>
  <c r="BJ183" i="16"/>
  <c r="W122" i="16" l="1"/>
  <c r="W170" i="16" s="1"/>
  <c r="BK167" i="16"/>
  <c r="BK169" i="16" s="1"/>
  <c r="BK161" i="16"/>
  <c r="W85" i="16"/>
  <c r="W88" i="16" s="1"/>
  <c r="W89" i="16" s="1"/>
  <c r="X87" i="16" s="1"/>
  <c r="BK157" i="16"/>
  <c r="BL154" i="16" s="1"/>
  <c r="W152" i="16" l="1"/>
  <c r="W184" i="16"/>
  <c r="W172" i="16"/>
  <c r="W207" i="16"/>
  <c r="X82" i="16"/>
  <c r="X83" i="16" s="1"/>
  <c r="W92" i="16"/>
  <c r="BL156" i="16"/>
  <c r="BL158" i="16" s="1"/>
  <c r="BL160" i="16" s="1"/>
  <c r="BK183" i="16"/>
  <c r="W93" i="16" l="1"/>
  <c r="W94" i="16"/>
  <c r="W97" i="16" s="1"/>
  <c r="BL157" i="16"/>
  <c r="BM154" i="16" s="1"/>
  <c r="W174" i="16"/>
  <c r="W173" i="16"/>
  <c r="W135" i="16" s="1"/>
  <c r="BL167" i="16"/>
  <c r="BL169" i="16" s="1"/>
  <c r="BL161" i="16"/>
  <c r="W185" i="16"/>
  <c r="W175" i="16" l="1"/>
  <c r="W176" i="16" s="1"/>
  <c r="BL183" i="16"/>
  <c r="BM156" i="16"/>
  <c r="BM158" i="16" s="1"/>
  <c r="BM160" i="16" s="1"/>
  <c r="W136" i="16"/>
  <c r="W137" i="16" s="1"/>
  <c r="X134" i="16" s="1"/>
  <c r="W209" i="16"/>
  <c r="W96" i="16"/>
  <c r="W114" i="16" s="1"/>
  <c r="W201" i="16"/>
  <c r="X139" i="16" l="1"/>
  <c r="X208" i="16" s="1"/>
  <c r="BM157" i="16"/>
  <c r="BN154" i="16" s="1"/>
  <c r="W116" i="16"/>
  <c r="W117" i="16" s="1"/>
  <c r="X113" i="16" s="1"/>
  <c r="W210" i="16"/>
  <c r="BM167" i="16"/>
  <c r="BM169" i="16" s="1"/>
  <c r="BM161" i="16"/>
  <c r="W177" i="16"/>
  <c r="W180" i="16" s="1"/>
  <c r="X120" i="16" l="1"/>
  <c r="X115" i="16"/>
  <c r="X171" i="16" s="1"/>
  <c r="X128" i="16"/>
  <c r="X129" i="16" s="1"/>
  <c r="X131" i="16" s="1"/>
  <c r="X77" i="16" s="1"/>
  <c r="X198" i="16"/>
  <c r="BM183" i="16"/>
  <c r="BN156" i="16"/>
  <c r="BN158" i="16" s="1"/>
  <c r="BN160" i="16" s="1"/>
  <c r="BN157" i="16" l="1"/>
  <c r="BO154" i="16" s="1"/>
  <c r="BO156" i="16" s="1"/>
  <c r="BO158" i="16" s="1"/>
  <c r="BO160" i="16" s="1"/>
  <c r="X121" i="16"/>
  <c r="X75" i="16" s="1"/>
  <c r="X78" i="16" s="1"/>
  <c r="BN167" i="16"/>
  <c r="BN169" i="16" s="1"/>
  <c r="BN161" i="16"/>
  <c r="BN183" i="16" l="1"/>
  <c r="X85" i="16"/>
  <c r="X88" i="16" s="1"/>
  <c r="X89" i="16" s="1"/>
  <c r="Y87" i="16" s="1"/>
  <c r="X122" i="16"/>
  <c r="BO167" i="16"/>
  <c r="BO169" i="16" s="1"/>
  <c r="BO161" i="16"/>
  <c r="BO157" i="16"/>
  <c r="BP154" i="16" s="1"/>
  <c r="BP156" i="16" l="1"/>
  <c r="BP158" i="16" s="1"/>
  <c r="BP160" i="16" s="1"/>
  <c r="Y82" i="16"/>
  <c r="Y83" i="16" s="1"/>
  <c r="X92" i="16"/>
  <c r="BO183" i="16"/>
  <c r="X170" i="16"/>
  <c r="X152" i="16"/>
  <c r="BP167" i="16" l="1"/>
  <c r="BP169" i="16" s="1"/>
  <c r="BP161" i="16"/>
  <c r="X184" i="16"/>
  <c r="X172" i="16"/>
  <c r="X207" i="16"/>
  <c r="X93" i="16"/>
  <c r="X94" i="16"/>
  <c r="X97" i="16" s="1"/>
  <c r="BP157" i="16"/>
  <c r="BQ154" i="16" s="1"/>
  <c r="BQ156" i="16" l="1"/>
  <c r="BQ158" i="16" s="1"/>
  <c r="BQ160" i="16" s="1"/>
  <c r="X96" i="16"/>
  <c r="X114" i="16" s="1"/>
  <c r="X173" i="16"/>
  <c r="X135" i="16" s="1"/>
  <c r="X174" i="16"/>
  <c r="X185" i="16"/>
  <c r="BP183" i="16"/>
  <c r="X201" i="16" l="1"/>
  <c r="X175" i="16"/>
  <c r="BQ167" i="16"/>
  <c r="BQ169" i="16" s="1"/>
  <c r="BQ161" i="16"/>
  <c r="X136" i="16"/>
  <c r="X137" i="16" s="1"/>
  <c r="Y134" i="16" s="1"/>
  <c r="X209" i="16"/>
  <c r="BQ157" i="16"/>
  <c r="BR154" i="16" s="1"/>
  <c r="BR156" i="16" l="1"/>
  <c r="BR158" i="16" s="1"/>
  <c r="BR160" i="16" s="1"/>
  <c r="Y139" i="16"/>
  <c r="Y208" i="16" s="1"/>
  <c r="BQ183" i="16"/>
  <c r="X176" i="16"/>
  <c r="BR167" i="16" l="1"/>
  <c r="BR169" i="16" s="1"/>
  <c r="BR161" i="16"/>
  <c r="X116" i="16"/>
  <c r="X117" i="16" s="1"/>
  <c r="Y113" i="16" s="1"/>
  <c r="X210" i="16"/>
  <c r="X177" i="16"/>
  <c r="X180" i="16" s="1"/>
  <c r="BR157" i="16"/>
  <c r="BS154" i="16" s="1"/>
  <c r="BS156" i="16" l="1"/>
  <c r="BS158" i="16" s="1"/>
  <c r="BS160" i="16" s="1"/>
  <c r="Y120" i="16"/>
  <c r="Y128" i="16"/>
  <c r="Y129" i="16" s="1"/>
  <c r="Y131" i="16" s="1"/>
  <c r="Y77" i="16" s="1"/>
  <c r="Y115" i="16"/>
  <c r="Y171" i="16" s="1"/>
  <c r="Y198" i="16"/>
  <c r="BR183" i="16"/>
  <c r="BS167" i="16" l="1"/>
  <c r="BS169" i="16" s="1"/>
  <c r="BS161" i="16"/>
  <c r="Y121" i="16"/>
  <c r="Y75" i="16" s="1"/>
  <c r="Y78" i="16" s="1"/>
  <c r="BS157" i="16"/>
  <c r="BT154" i="16" s="1"/>
  <c r="Y122" i="16" l="1"/>
  <c r="Y170" i="16" s="1"/>
  <c r="BT156" i="16"/>
  <c r="BT158" i="16" s="1"/>
  <c r="BT160" i="16" s="1"/>
  <c r="Y85" i="16"/>
  <c r="Y88" i="16" s="1"/>
  <c r="Y89" i="16" s="1"/>
  <c r="Z87" i="16" s="1"/>
  <c r="BS183" i="16"/>
  <c r="Y152" i="16" l="1"/>
  <c r="BT167" i="16"/>
  <c r="BT169" i="16" s="1"/>
  <c r="BT161" i="16"/>
  <c r="Z82" i="16"/>
  <c r="Z83" i="16" s="1"/>
  <c r="Y92" i="16"/>
  <c r="BT157" i="16"/>
  <c r="BU154" i="16" s="1"/>
  <c r="Y184" i="16"/>
  <c r="Y172" i="16"/>
  <c r="Y207" i="16"/>
  <c r="BT183" i="16" l="1"/>
  <c r="Y185" i="16"/>
  <c r="Y174" i="16"/>
  <c r="Y173" i="16"/>
  <c r="Y135" i="16" s="1"/>
  <c r="BU156" i="16"/>
  <c r="BU158" i="16" s="1"/>
  <c r="BU160" i="16" s="1"/>
  <c r="Y93" i="16"/>
  <c r="Y94" i="16"/>
  <c r="Y97" i="16" s="1"/>
  <c r="Y175" i="16" l="1"/>
  <c r="Y176" i="16" s="1"/>
  <c r="Y177" i="16" s="1"/>
  <c r="Y180" i="16" s="1"/>
  <c r="Y136" i="16"/>
  <c r="Y137" i="16" s="1"/>
  <c r="Z134" i="16" s="1"/>
  <c r="Y209" i="16"/>
  <c r="Y96" i="16"/>
  <c r="Y114" i="16" s="1"/>
  <c r="Y201" i="16"/>
  <c r="BU167" i="16"/>
  <c r="BU169" i="16" s="1"/>
  <c r="BU161" i="16"/>
  <c r="BU157" i="16"/>
  <c r="BV154" i="16" s="1"/>
  <c r="Z139" i="16" l="1"/>
  <c r="Z208" i="16" s="1"/>
  <c r="Y116" i="16"/>
  <c r="Y117" i="16" s="1"/>
  <c r="Z113" i="16" s="1"/>
  <c r="Y210" i="16"/>
  <c r="BU183" i="16"/>
  <c r="BV156" i="16"/>
  <c r="BV158" i="16" s="1"/>
  <c r="BV160" i="16" s="1"/>
  <c r="BV157" i="16" l="1"/>
  <c r="BW154" i="16" s="1"/>
  <c r="BV167" i="16"/>
  <c r="BV169" i="16" s="1"/>
  <c r="BV161" i="16"/>
  <c r="Z120" i="16"/>
  <c r="Z115" i="16"/>
  <c r="Z171" i="16" s="1"/>
  <c r="Z128" i="16"/>
  <c r="Z129" i="16" s="1"/>
  <c r="Z131" i="16" s="1"/>
  <c r="Z77" i="16" s="1"/>
  <c r="Z198" i="16"/>
  <c r="BV183" i="16" l="1"/>
  <c r="Z121" i="16"/>
  <c r="Z75" i="16" s="1"/>
  <c r="Z78" i="16" s="1"/>
  <c r="BW156" i="16"/>
  <c r="BW158" i="16" s="1"/>
  <c r="BW160" i="16" s="1"/>
  <c r="Z85" i="16" l="1"/>
  <c r="Z88" i="16" s="1"/>
  <c r="Z89" i="16" s="1"/>
  <c r="AA87" i="16" s="1"/>
  <c r="Z122" i="16"/>
  <c r="BW167" i="16"/>
  <c r="BW169" i="16" s="1"/>
  <c r="BW161" i="16"/>
  <c r="BW157" i="16"/>
  <c r="BX154" i="16" s="1"/>
  <c r="BX156" i="16" l="1"/>
  <c r="BX158" i="16" s="1"/>
  <c r="BX160" i="16" s="1"/>
  <c r="BW183" i="16"/>
  <c r="Z170" i="16"/>
  <c r="Z152" i="16"/>
  <c r="AA82" i="16"/>
  <c r="AA83" i="16" s="1"/>
  <c r="Z92" i="16"/>
  <c r="Z184" i="16" l="1"/>
  <c r="Z172" i="16"/>
  <c r="Z207" i="16"/>
  <c r="BX167" i="16"/>
  <c r="BX169" i="16" s="1"/>
  <c r="BX161" i="16"/>
  <c r="Z93" i="16"/>
  <c r="Z94" i="16"/>
  <c r="Z97" i="16" s="1"/>
  <c r="BX157" i="16"/>
  <c r="BY154" i="16" s="1"/>
  <c r="BY156" i="16" l="1"/>
  <c r="BY158" i="16" s="1"/>
  <c r="BY160" i="16" s="1"/>
  <c r="BX183" i="16"/>
  <c r="Z174" i="16"/>
  <c r="Z173" i="16"/>
  <c r="Z135" i="16" s="1"/>
  <c r="Z96" i="16"/>
  <c r="Z114" i="16" s="1"/>
  <c r="Z185" i="16"/>
  <c r="Z136" i="16" l="1"/>
  <c r="Z137" i="16" s="1"/>
  <c r="AA134" i="16" s="1"/>
  <c r="Z209" i="16"/>
  <c r="Z201" i="16"/>
  <c r="BY167" i="16"/>
  <c r="BY169" i="16" s="1"/>
  <c r="BY161" i="16"/>
  <c r="Z175" i="16"/>
  <c r="BY157" i="16"/>
  <c r="BZ154" i="16" s="1"/>
  <c r="BZ156" i="16" l="1"/>
  <c r="BZ158" i="16" s="1"/>
  <c r="BZ160" i="16" s="1"/>
  <c r="Z176" i="16"/>
  <c r="BY183" i="16"/>
  <c r="AA139" i="16"/>
  <c r="AA208" i="16" s="1"/>
  <c r="Z116" i="16" l="1"/>
  <c r="Z117" i="16" s="1"/>
  <c r="AA113" i="16" s="1"/>
  <c r="Z210" i="16"/>
  <c r="Z177" i="16"/>
  <c r="Z180" i="16" s="1"/>
  <c r="BZ167" i="16"/>
  <c r="BZ169" i="16" s="1"/>
  <c r="BZ161" i="16"/>
  <c r="BZ157" i="16"/>
  <c r="CA154" i="16" s="1"/>
  <c r="BZ183" i="16" l="1"/>
  <c r="CA156" i="16"/>
  <c r="CA158" i="16" s="1"/>
  <c r="CA160" i="16" s="1"/>
  <c r="AA120" i="16"/>
  <c r="AA128" i="16"/>
  <c r="AA129" i="16" s="1"/>
  <c r="AA131" i="16" s="1"/>
  <c r="AA77" i="16" s="1"/>
  <c r="AA115" i="16"/>
  <c r="AA171" i="16" s="1"/>
  <c r="AA198" i="16"/>
  <c r="AA121" i="16" l="1"/>
  <c r="AA75" i="16" s="1"/>
  <c r="AA78" i="16" s="1"/>
  <c r="CA157" i="16"/>
  <c r="CB154" i="16" s="1"/>
  <c r="CA167" i="16"/>
  <c r="CA169" i="16" s="1"/>
  <c r="CA161" i="16"/>
  <c r="CA183" i="16" l="1"/>
  <c r="CB156" i="16"/>
  <c r="CB158" i="16" s="1"/>
  <c r="CB160" i="16" s="1"/>
  <c r="AA122" i="16"/>
  <c r="AA85" i="16"/>
  <c r="AA88" i="16" s="1"/>
  <c r="AA89" i="16" s="1"/>
  <c r="AB87" i="16" s="1"/>
  <c r="AA92" i="16" l="1"/>
  <c r="CB167" i="16"/>
  <c r="CB169" i="16" s="1"/>
  <c r="CB161" i="16"/>
  <c r="AB82" i="16"/>
  <c r="AB83" i="16" s="1"/>
  <c r="AA170" i="16"/>
  <c r="AA152" i="16"/>
  <c r="CB157" i="16"/>
  <c r="CC154" i="16" s="1"/>
  <c r="AA184" i="16" l="1"/>
  <c r="AA172" i="16"/>
  <c r="AA207" i="16"/>
  <c r="CB183" i="16"/>
  <c r="CC156" i="16"/>
  <c r="CC158" i="16" s="1"/>
  <c r="CC160" i="16" s="1"/>
  <c r="AA93" i="16"/>
  <c r="AA94" i="16"/>
  <c r="AA97" i="16" s="1"/>
  <c r="CC167" i="16" l="1"/>
  <c r="CC169" i="16" s="1"/>
  <c r="CC161" i="16"/>
  <c r="AA174" i="16"/>
  <c r="AA173" i="16"/>
  <c r="AA135" i="16" s="1"/>
  <c r="CC157" i="16"/>
  <c r="CD154" i="16" s="1"/>
  <c r="AA96" i="16"/>
  <c r="AA114" i="16" s="1"/>
  <c r="AA185" i="16"/>
  <c r="AA201" i="16" l="1"/>
  <c r="CC183" i="16"/>
  <c r="CD156" i="16"/>
  <c r="CD158" i="16" s="1"/>
  <c r="CD160" i="16" s="1"/>
  <c r="AA175" i="16"/>
  <c r="AA136" i="16"/>
  <c r="AA137" i="16" s="1"/>
  <c r="AB134" i="16" s="1"/>
  <c r="AA209" i="16"/>
  <c r="AB139" i="16" l="1"/>
  <c r="AB208" i="16" s="1"/>
  <c r="CD167" i="16"/>
  <c r="CD169" i="16" s="1"/>
  <c r="CD161" i="16"/>
  <c r="CD157" i="16"/>
  <c r="CE154" i="16" s="1"/>
  <c r="AA176" i="16"/>
  <c r="CE156" i="16" l="1"/>
  <c r="CE158" i="16" s="1"/>
  <c r="CE160" i="16" s="1"/>
  <c r="AA116" i="16"/>
  <c r="AA117" i="16" s="1"/>
  <c r="AB113" i="16" s="1"/>
  <c r="AA210" i="16"/>
  <c r="AA177" i="16"/>
  <c r="AA180" i="16" s="1"/>
  <c r="CD183" i="16"/>
  <c r="AB128" i="16" l="1"/>
  <c r="AB129" i="16" s="1"/>
  <c r="AB131" i="16" s="1"/>
  <c r="AB77" i="16" s="1"/>
  <c r="AB120" i="16"/>
  <c r="AB115" i="16"/>
  <c r="AB171" i="16" s="1"/>
  <c r="AB198" i="16"/>
  <c r="CE167" i="16"/>
  <c r="CE169" i="16" s="1"/>
  <c r="CE161" i="16"/>
  <c r="CE157" i="16"/>
  <c r="CF154" i="16" s="1"/>
  <c r="CE183" i="16" l="1"/>
  <c r="CF156" i="16"/>
  <c r="CF158" i="16" s="1"/>
  <c r="CF160" i="16" s="1"/>
  <c r="AB121" i="16"/>
  <c r="AB75" i="16" s="1"/>
  <c r="AB78" i="16" s="1"/>
  <c r="AB122" i="16" l="1"/>
  <c r="AB170" i="16" s="1"/>
  <c r="CF167" i="16"/>
  <c r="CF169" i="16" s="1"/>
  <c r="CF161" i="16"/>
  <c r="AB85" i="16"/>
  <c r="AB88" i="16" s="1"/>
  <c r="AB89" i="16" s="1"/>
  <c r="AC87" i="16" s="1"/>
  <c r="CF157" i="16"/>
  <c r="CG154" i="16" s="1"/>
  <c r="AB152" i="16" l="1"/>
  <c r="CF183" i="16"/>
  <c r="CG156" i="16"/>
  <c r="CG158" i="16" s="1"/>
  <c r="CG160" i="16" s="1"/>
  <c r="AC82" i="16"/>
  <c r="AC83" i="16" s="1"/>
  <c r="AB92" i="16"/>
  <c r="AB184" i="16"/>
  <c r="AB172" i="16"/>
  <c r="AB207" i="16"/>
  <c r="AB185" i="16" l="1"/>
  <c r="CG167" i="16"/>
  <c r="CG169" i="16" s="1"/>
  <c r="CG161" i="16"/>
  <c r="CG157" i="16"/>
  <c r="CH154" i="16" s="1"/>
  <c r="AB93" i="16"/>
  <c r="AB94" i="16"/>
  <c r="AB97" i="16" s="1"/>
  <c r="AB173" i="16"/>
  <c r="AB135" i="16" s="1"/>
  <c r="AB174" i="16"/>
  <c r="AB96" i="16" l="1"/>
  <c r="AB114" i="16" s="1"/>
  <c r="AB201" i="16"/>
  <c r="AB136" i="16"/>
  <c r="AB137" i="16" s="1"/>
  <c r="AC134" i="16" s="1"/>
  <c r="AB209" i="16"/>
  <c r="AB175" i="16"/>
  <c r="CH156" i="16"/>
  <c r="CH158" i="16" s="1"/>
  <c r="CH160" i="16" s="1"/>
  <c r="CG183" i="16"/>
  <c r="CH167" i="16" l="1"/>
  <c r="CH169" i="16" s="1"/>
  <c r="CH161" i="16"/>
  <c r="AB176" i="16"/>
  <c r="CH157" i="16"/>
  <c r="CI154" i="16" s="1"/>
  <c r="AC139" i="16"/>
  <c r="AC208" i="16" s="1"/>
  <c r="AB116" i="16" l="1"/>
  <c r="AB117" i="16" s="1"/>
  <c r="AC113" i="16" s="1"/>
  <c r="AB210" i="16"/>
  <c r="AB177" i="16"/>
  <c r="AB180" i="16" s="1"/>
  <c r="CI156" i="16"/>
  <c r="CI158" i="16" s="1"/>
  <c r="CI160" i="16" s="1"/>
  <c r="CH183" i="16"/>
  <c r="CI167" i="16" l="1"/>
  <c r="CI169" i="16" s="1"/>
  <c r="CI161" i="16"/>
  <c r="CI157" i="16"/>
  <c r="CJ154" i="16" s="1"/>
  <c r="AC120" i="16"/>
  <c r="AC115" i="16"/>
  <c r="AC171" i="16" s="1"/>
  <c r="AC128" i="16"/>
  <c r="AC129" i="16" s="1"/>
  <c r="AC131" i="16" s="1"/>
  <c r="AC77" i="16" s="1"/>
  <c r="AC198" i="16"/>
  <c r="CJ156" i="16" l="1"/>
  <c r="CJ158" i="16" s="1"/>
  <c r="CJ160" i="16" s="1"/>
  <c r="AC121" i="16"/>
  <c r="AC75" i="16" s="1"/>
  <c r="AC78" i="16" s="1"/>
  <c r="CI183" i="16"/>
  <c r="AC122" i="16" l="1"/>
  <c r="AC170" i="16" s="1"/>
  <c r="CJ157" i="16"/>
  <c r="CK154" i="16" s="1"/>
  <c r="AC85" i="16"/>
  <c r="AC88" i="16" s="1"/>
  <c r="AC89" i="16" s="1"/>
  <c r="AD87" i="16" s="1"/>
  <c r="CJ167" i="16"/>
  <c r="CJ169" i="16" s="1"/>
  <c r="CJ161" i="16"/>
  <c r="AC152" i="16" l="1"/>
  <c r="CJ183" i="16"/>
  <c r="CK156" i="16"/>
  <c r="CK158" i="16" s="1"/>
  <c r="CK160" i="16" s="1"/>
  <c r="AD82" i="16"/>
  <c r="AD83" i="16" s="1"/>
  <c r="AC92" i="16"/>
  <c r="AC184" i="16"/>
  <c r="AC172" i="16"/>
  <c r="AC207" i="16"/>
  <c r="AC185" i="16" l="1"/>
  <c r="AC93" i="16"/>
  <c r="AC94" i="16"/>
  <c r="AC97" i="16" s="1"/>
  <c r="CK167" i="16"/>
  <c r="CK169" i="16" s="1"/>
  <c r="CK161" i="16"/>
  <c r="CK157" i="16"/>
  <c r="CL154" i="16" s="1"/>
  <c r="AC174" i="16"/>
  <c r="AC173" i="16"/>
  <c r="AC135" i="16" s="1"/>
  <c r="CL156" i="16" l="1"/>
  <c r="CL158" i="16" s="1"/>
  <c r="CL160" i="16" s="1"/>
  <c r="AC96" i="16"/>
  <c r="AC114" i="16" s="1"/>
  <c r="AC201" i="16"/>
  <c r="AC175" i="16"/>
  <c r="CK183" i="16"/>
  <c r="AC136" i="16"/>
  <c r="AC137" i="16" s="1"/>
  <c r="AD134" i="16" s="1"/>
  <c r="AC209" i="16"/>
  <c r="AD139" i="16" l="1"/>
  <c r="AD208" i="16" s="1"/>
  <c r="AC176" i="16"/>
  <c r="AC177" i="16" s="1"/>
  <c r="AC180" i="16" s="1"/>
  <c r="CL157" i="16"/>
  <c r="CM154" i="16" s="1"/>
  <c r="CL167" i="16"/>
  <c r="CL169" i="16" s="1"/>
  <c r="CL161" i="16"/>
  <c r="CL183" i="16" l="1"/>
  <c r="CM156" i="16"/>
  <c r="CM158" i="16" s="1"/>
  <c r="CM160" i="16" s="1"/>
  <c r="AC116" i="16"/>
  <c r="AC117" i="16" s="1"/>
  <c r="AD113" i="16" s="1"/>
  <c r="AC210" i="16"/>
  <c r="AD115" i="16" l="1"/>
  <c r="AD171" i="16" s="1"/>
  <c r="AD128" i="16"/>
  <c r="AD129" i="16" s="1"/>
  <c r="AD131" i="16" s="1"/>
  <c r="AD77" i="16" s="1"/>
  <c r="AD120" i="16"/>
  <c r="AD198" i="16"/>
  <c r="CM167" i="16"/>
  <c r="CM169" i="16" s="1"/>
  <c r="CM161" i="16"/>
  <c r="CM157" i="16"/>
  <c r="CN154" i="16" s="1"/>
  <c r="CM183" i="16" l="1"/>
  <c r="CN156" i="16"/>
  <c r="CN158" i="16" s="1"/>
  <c r="CN160" i="16" s="1"/>
  <c r="AD121" i="16"/>
  <c r="AD75" i="16" s="1"/>
  <c r="AD78" i="16" s="1"/>
  <c r="AD85" i="16" l="1"/>
  <c r="AD88" i="16" s="1"/>
  <c r="AD89" i="16" s="1"/>
  <c r="AE87" i="16" s="1"/>
  <c r="AD122" i="16"/>
  <c r="CN157" i="16"/>
  <c r="CO154" i="16" s="1"/>
  <c r="CN167" i="16"/>
  <c r="CN169" i="16" s="1"/>
  <c r="CN161" i="16"/>
  <c r="CO156" i="16" l="1"/>
  <c r="CO158" i="16" s="1"/>
  <c r="CO160" i="16" s="1"/>
  <c r="AD170" i="16"/>
  <c r="AD152" i="16"/>
  <c r="CN183" i="16"/>
  <c r="AE82" i="16"/>
  <c r="AE83" i="16" s="1"/>
  <c r="AD92" i="16"/>
  <c r="AD184" i="16" l="1"/>
  <c r="AD172" i="16"/>
  <c r="AD207" i="16"/>
  <c r="CO167" i="16"/>
  <c r="CO169" i="16" s="1"/>
  <c r="CO161" i="16"/>
  <c r="AD93" i="16"/>
  <c r="AD94" i="16"/>
  <c r="AD97" i="16" s="1"/>
  <c r="CO157" i="16"/>
  <c r="CP154" i="16" s="1"/>
  <c r="CP156" i="16" l="1"/>
  <c r="CP158" i="16" s="1"/>
  <c r="CP160" i="16" s="1"/>
  <c r="CO183" i="16"/>
  <c r="AD96" i="16"/>
  <c r="AD114" i="16" s="1"/>
  <c r="AD173" i="16"/>
  <c r="AD135" i="16" s="1"/>
  <c r="AD174" i="16"/>
  <c r="AD185" i="16"/>
  <c r="AD201" i="16" l="1"/>
  <c r="AD175" i="16"/>
  <c r="CP167" i="16"/>
  <c r="CP169" i="16" s="1"/>
  <c r="CP161" i="16"/>
  <c r="AD136" i="16"/>
  <c r="AD137" i="16" s="1"/>
  <c r="AE134" i="16" s="1"/>
  <c r="AD209" i="16"/>
  <c r="CP157" i="16"/>
  <c r="CQ154" i="16" s="1"/>
  <c r="CQ156" i="16" l="1"/>
  <c r="CQ158" i="16" s="1"/>
  <c r="CQ160" i="16" s="1"/>
  <c r="AE139" i="16"/>
  <c r="AE208" i="16" s="1"/>
  <c r="CP183" i="16"/>
  <c r="AD176" i="16"/>
  <c r="AD116" i="16" l="1"/>
  <c r="AD117" i="16" s="1"/>
  <c r="AE113" i="16" s="1"/>
  <c r="AD210" i="16"/>
  <c r="AD177" i="16"/>
  <c r="AD180" i="16" s="1"/>
  <c r="CQ157" i="16"/>
  <c r="CR154" i="16" s="1"/>
  <c r="CQ167" i="16"/>
  <c r="CQ169" i="16" s="1"/>
  <c r="CQ161" i="16"/>
  <c r="CQ183" i="16" l="1"/>
  <c r="CR156" i="16"/>
  <c r="CR158" i="16" s="1"/>
  <c r="CR160" i="16" s="1"/>
  <c r="AE120" i="16"/>
  <c r="AE115" i="16"/>
  <c r="AE171" i="16" s="1"/>
  <c r="AE128" i="16"/>
  <c r="AE129" i="16" s="1"/>
  <c r="AE131" i="16" s="1"/>
  <c r="AE77" i="16" s="1"/>
  <c r="AE198" i="16"/>
  <c r="CR167" i="16" l="1"/>
  <c r="CR169" i="16" s="1"/>
  <c r="CR161" i="16"/>
  <c r="AE121" i="16"/>
  <c r="AE75" i="16" s="1"/>
  <c r="AE78" i="16" s="1"/>
  <c r="CR157" i="16"/>
  <c r="CS154" i="16" s="1"/>
  <c r="AE122" i="16" l="1"/>
  <c r="AE170" i="16" s="1"/>
  <c r="CR183" i="16"/>
  <c r="CS156" i="16"/>
  <c r="CS158" i="16" s="1"/>
  <c r="CS160" i="16" s="1"/>
  <c r="AE85" i="16"/>
  <c r="AE88" i="16" s="1"/>
  <c r="AE89" i="16" s="1"/>
  <c r="AF87" i="16" s="1"/>
  <c r="AE152" i="16" l="1"/>
  <c r="AF82" i="16"/>
  <c r="AF83" i="16" s="1"/>
  <c r="CS157" i="16"/>
  <c r="CT154" i="16" s="1"/>
  <c r="CS167" i="16"/>
  <c r="CS169" i="16" s="1"/>
  <c r="CS161" i="16"/>
  <c r="AE92" i="16"/>
  <c r="AE184" i="16"/>
  <c r="AE172" i="16"/>
  <c r="AE207" i="16"/>
  <c r="AE174" i="16" l="1"/>
  <c r="AE173" i="16"/>
  <c r="AE135" i="16" s="1"/>
  <c r="AE185" i="16"/>
  <c r="CS183" i="16"/>
  <c r="AE93" i="16"/>
  <c r="AE94" i="16"/>
  <c r="AE97" i="16" s="1"/>
  <c r="CT156" i="16"/>
  <c r="CT158" i="16" s="1"/>
  <c r="CT160" i="16" s="1"/>
  <c r="CT157" i="16" l="1"/>
  <c r="CU154" i="16" s="1"/>
  <c r="CT167" i="16"/>
  <c r="CT169" i="16" s="1"/>
  <c r="CT161" i="16"/>
  <c r="AE96" i="16"/>
  <c r="AE114" i="16" s="1"/>
  <c r="AE201" i="16"/>
  <c r="AE175" i="16"/>
  <c r="AE136" i="16"/>
  <c r="AE137" i="16" s="1"/>
  <c r="AF134" i="16" s="1"/>
  <c r="AE209" i="16"/>
  <c r="AF139" i="16" l="1"/>
  <c r="AF208" i="16" s="1"/>
  <c r="AE176" i="16"/>
  <c r="AE177" i="16" s="1"/>
  <c r="AE180" i="16" s="1"/>
  <c r="CT183" i="16"/>
  <c r="CU156" i="16"/>
  <c r="CU158" i="16" s="1"/>
  <c r="CU160" i="16" s="1"/>
  <c r="CU157" i="16" l="1"/>
  <c r="CV154" i="16" s="1"/>
  <c r="CV156" i="16" s="1"/>
  <c r="CV158" i="16" s="1"/>
  <c r="CV160" i="16" s="1"/>
  <c r="AE116" i="16"/>
  <c r="AE117" i="16" s="1"/>
  <c r="AF113" i="16" s="1"/>
  <c r="AE210" i="16"/>
  <c r="CU167" i="16"/>
  <c r="CU169" i="16" s="1"/>
  <c r="CU161" i="16"/>
  <c r="AF115" i="16" l="1"/>
  <c r="AF171" i="16" s="1"/>
  <c r="AF128" i="16"/>
  <c r="AF129" i="16" s="1"/>
  <c r="AF131" i="16" s="1"/>
  <c r="AF77" i="16" s="1"/>
  <c r="AF120" i="16"/>
  <c r="AF198" i="16"/>
  <c r="CV167" i="16"/>
  <c r="CV169" i="16" s="1"/>
  <c r="CV161" i="16"/>
  <c r="CU183" i="16"/>
  <c r="CV157" i="16"/>
  <c r="CW154" i="16" s="1"/>
  <c r="CV183" i="16" l="1"/>
  <c r="AF121" i="16"/>
  <c r="AF75" i="16" s="1"/>
  <c r="AF78" i="16" s="1"/>
  <c r="CW156" i="16"/>
  <c r="CW158" i="16" s="1"/>
  <c r="CW160" i="16" s="1"/>
  <c r="CW167" i="16" l="1"/>
  <c r="CW169" i="16" s="1"/>
  <c r="CW161" i="16"/>
  <c r="CW157" i="16"/>
  <c r="CX154" i="16" s="1"/>
  <c r="AF85" i="16"/>
  <c r="AF88" i="16" s="1"/>
  <c r="AF89" i="16" s="1"/>
  <c r="AG87" i="16" s="1"/>
  <c r="AF122" i="16"/>
  <c r="AG82" i="16" l="1"/>
  <c r="AG83" i="16" s="1"/>
  <c r="CX156" i="16"/>
  <c r="CX158" i="16" s="1"/>
  <c r="CX160" i="16" s="1"/>
  <c r="AF92" i="16"/>
  <c r="AF170" i="16"/>
  <c r="AF152" i="16"/>
  <c r="CW183" i="16"/>
  <c r="CX167" i="16" l="1"/>
  <c r="CX169" i="16" s="1"/>
  <c r="CX161" i="16"/>
  <c r="CX157" i="16"/>
  <c r="CY154" i="16" s="1"/>
  <c r="AF184" i="16"/>
  <c r="AF172" i="16"/>
  <c r="AF207" i="16"/>
  <c r="AF93" i="16"/>
  <c r="AF94" i="16"/>
  <c r="AF97" i="16" s="1"/>
  <c r="AF185" i="16" l="1"/>
  <c r="AF173" i="16"/>
  <c r="AF135" i="16" s="1"/>
  <c r="AF174" i="16"/>
  <c r="CY156" i="16"/>
  <c r="CY158" i="16" s="1"/>
  <c r="CY160" i="16" s="1"/>
  <c r="AF96" i="16"/>
  <c r="AF114" i="16" s="1"/>
  <c r="CX183" i="16"/>
  <c r="AF175" i="16" l="1"/>
  <c r="AF176" i="16" s="1"/>
  <c r="AF136" i="16"/>
  <c r="AF137" i="16" s="1"/>
  <c r="AG134" i="16" s="1"/>
  <c r="AF209" i="16"/>
  <c r="AF201" i="16"/>
  <c r="CY167" i="16"/>
  <c r="CY169" i="16" s="1"/>
  <c r="CY161" i="16"/>
  <c r="CY157" i="16"/>
  <c r="CZ154" i="16" s="1"/>
  <c r="CY183" i="16" l="1"/>
  <c r="AG139" i="16"/>
  <c r="AG208" i="16" s="1"/>
  <c r="AF116" i="16"/>
  <c r="AF117" i="16" s="1"/>
  <c r="AG113" i="16" s="1"/>
  <c r="AF210" i="16"/>
  <c r="CZ156" i="16"/>
  <c r="CZ158" i="16" s="1"/>
  <c r="CZ160" i="16" s="1"/>
  <c r="AF177" i="16"/>
  <c r="AF180" i="16" s="1"/>
  <c r="CZ167" i="16" l="1"/>
  <c r="CZ169" i="16" s="1"/>
  <c r="CZ161" i="16"/>
  <c r="CZ157" i="16"/>
  <c r="DA154" i="16" s="1"/>
  <c r="AG120" i="16"/>
  <c r="AG115" i="16"/>
  <c r="AG171" i="16" s="1"/>
  <c r="AG128" i="16"/>
  <c r="AG129" i="16" s="1"/>
  <c r="AG131" i="16" s="1"/>
  <c r="AG77" i="16" s="1"/>
  <c r="AG198" i="16"/>
  <c r="DA156" i="16" l="1"/>
  <c r="DA158" i="16" s="1"/>
  <c r="DA160" i="16" s="1"/>
  <c r="AG121" i="16"/>
  <c r="AG75" i="16" s="1"/>
  <c r="AG78" i="16" s="1"/>
  <c r="CZ183" i="16"/>
  <c r="AG122" i="16" l="1"/>
  <c r="AG152" i="16" s="1"/>
  <c r="AG85" i="16"/>
  <c r="AG88" i="16" s="1"/>
  <c r="AG89" i="16" s="1"/>
  <c r="AH87" i="16" s="1"/>
  <c r="DA157" i="16"/>
  <c r="DB154" i="16" s="1"/>
  <c r="DA167" i="16"/>
  <c r="DA169" i="16" s="1"/>
  <c r="DA161" i="16"/>
  <c r="AG170" i="16" l="1"/>
  <c r="AG184" i="16" s="1"/>
  <c r="DA183" i="16"/>
  <c r="AH82" i="16"/>
  <c r="AH83" i="16" s="1"/>
  <c r="DB156" i="16"/>
  <c r="DB158" i="16" s="1"/>
  <c r="DB160" i="16" s="1"/>
  <c r="AG92" i="16"/>
  <c r="AG172" i="16" l="1"/>
  <c r="AG174" i="16" s="1"/>
  <c r="AG207" i="16"/>
  <c r="DB157" i="16"/>
  <c r="DC154" i="16" s="1"/>
  <c r="AG185" i="16"/>
  <c r="AG93" i="16"/>
  <c r="AG94" i="16"/>
  <c r="AG97" i="16" s="1"/>
  <c r="DB167" i="16"/>
  <c r="DB169" i="16" s="1"/>
  <c r="DB161" i="16"/>
  <c r="AG173" i="16" l="1"/>
  <c r="AG135" i="16" s="1"/>
  <c r="DC156" i="16"/>
  <c r="DC158" i="16" s="1"/>
  <c r="DC160" i="16" s="1"/>
  <c r="AG96" i="16"/>
  <c r="AG114" i="16" s="1"/>
  <c r="DB183" i="16"/>
  <c r="AG136" i="16"/>
  <c r="AG209" i="16"/>
  <c r="AG137" i="16" l="1"/>
  <c r="AH134" i="16" s="1"/>
  <c r="AH139" i="16" s="1"/>
  <c r="AH208" i="16" s="1"/>
  <c r="AG201" i="16"/>
  <c r="AG175" i="16"/>
  <c r="AG176" i="16" s="1"/>
  <c r="DC157" i="16"/>
  <c r="DD154" i="16" s="1"/>
  <c r="DD156" i="16" s="1"/>
  <c r="DD158" i="16" s="1"/>
  <c r="DD160" i="16" s="1"/>
  <c r="DC167" i="16"/>
  <c r="DC169" i="16" s="1"/>
  <c r="DC161" i="16"/>
  <c r="AG116" i="16" l="1"/>
  <c r="AG117" i="16" s="1"/>
  <c r="AH113" i="16" s="1"/>
  <c r="AG210" i="16"/>
  <c r="AG177" i="16"/>
  <c r="AG180" i="16" s="1"/>
  <c r="DC183" i="16"/>
  <c r="DD167" i="16"/>
  <c r="DD169" i="16" s="1"/>
  <c r="DD161" i="16"/>
  <c r="DD157" i="16"/>
  <c r="DE154" i="16" s="1"/>
  <c r="DD183" i="16" l="1"/>
  <c r="DE156" i="16"/>
  <c r="DE158" i="16" s="1"/>
  <c r="DE160" i="16" s="1"/>
  <c r="AH115" i="16"/>
  <c r="AH171" i="16" s="1"/>
  <c r="AH128" i="16"/>
  <c r="AH129" i="16" s="1"/>
  <c r="AH131" i="16" s="1"/>
  <c r="AH77" i="16" s="1"/>
  <c r="AH120" i="16"/>
  <c r="AH198" i="16"/>
  <c r="DE167" i="16" l="1"/>
  <c r="DE169" i="16" s="1"/>
  <c r="DE161" i="16"/>
  <c r="AH121" i="16"/>
  <c r="AH75" i="16" s="1"/>
  <c r="AH78" i="16" s="1"/>
  <c r="DE157" i="16"/>
  <c r="DF154" i="16" s="1"/>
  <c r="DF156" i="16" l="1"/>
  <c r="DF158" i="16" s="1"/>
  <c r="DF160" i="16" s="1"/>
  <c r="AH85" i="16"/>
  <c r="AH88" i="16" s="1"/>
  <c r="AH89" i="16" s="1"/>
  <c r="AI87" i="16" s="1"/>
  <c r="AH122" i="16"/>
  <c r="DE183" i="16"/>
  <c r="AH170" i="16" l="1"/>
  <c r="AH152" i="16"/>
  <c r="DF167" i="16"/>
  <c r="DF169" i="16" s="1"/>
  <c r="DF161" i="16"/>
  <c r="AI82" i="16"/>
  <c r="AI83" i="16" s="1"/>
  <c r="AH92" i="16"/>
  <c r="DF157" i="16"/>
  <c r="DG154" i="16" s="1"/>
  <c r="DG156" i="16" l="1"/>
  <c r="DG158" i="16" s="1"/>
  <c r="DG160" i="16" s="1"/>
  <c r="AH93" i="16"/>
  <c r="AH94" i="16"/>
  <c r="AH97" i="16" s="1"/>
  <c r="DF183" i="16"/>
  <c r="AH184" i="16"/>
  <c r="AH172" i="16"/>
  <c r="AH207" i="16"/>
  <c r="DG157" i="16" l="1"/>
  <c r="DH154" i="16" s="1"/>
  <c r="DH156" i="16" s="1"/>
  <c r="DH158" i="16" s="1"/>
  <c r="DH160" i="16" s="1"/>
  <c r="AH185" i="16"/>
  <c r="AH96" i="16"/>
  <c r="AH114" i="16" s="1"/>
  <c r="AH173" i="16"/>
  <c r="AH135" i="16" s="1"/>
  <c r="AH174" i="16"/>
  <c r="DG167" i="16"/>
  <c r="DG169" i="16" s="1"/>
  <c r="DG161" i="16"/>
  <c r="AH201" i="16" l="1"/>
  <c r="AH175" i="16"/>
  <c r="AH176" i="16" s="1"/>
  <c r="AH177" i="16" s="1"/>
  <c r="AH180" i="16" s="1"/>
  <c r="DH157" i="16"/>
  <c r="DI154" i="16" s="1"/>
  <c r="DG183" i="16"/>
  <c r="DH167" i="16"/>
  <c r="DH169" i="16" s="1"/>
  <c r="DH161" i="16"/>
  <c r="AH136" i="16"/>
  <c r="AH137" i="16" s="1"/>
  <c r="AI134" i="16" s="1"/>
  <c r="AH209" i="16"/>
  <c r="DH183" i="16" l="1"/>
  <c r="AI139" i="16"/>
  <c r="AI208" i="16" s="1"/>
  <c r="AH116" i="16"/>
  <c r="AH117" i="16" s="1"/>
  <c r="AI113" i="16" s="1"/>
  <c r="AH210" i="16"/>
  <c r="DI156" i="16"/>
  <c r="DI158" i="16" s="1"/>
  <c r="DI160" i="16" s="1"/>
  <c r="DI157" i="16" l="1"/>
  <c r="DJ154" i="16" s="1"/>
  <c r="DI167" i="16"/>
  <c r="DI169" i="16" s="1"/>
  <c r="DI161" i="16"/>
  <c r="AI120" i="16"/>
  <c r="AI115" i="16"/>
  <c r="AI171" i="16" s="1"/>
  <c r="AI128" i="16"/>
  <c r="AI129" i="16" s="1"/>
  <c r="AI131" i="16" s="1"/>
  <c r="AI77" i="16" s="1"/>
  <c r="AI198" i="16"/>
  <c r="AI121" i="16" l="1"/>
  <c r="AI75" i="16" s="1"/>
  <c r="AI78" i="16" s="1"/>
  <c r="DI183" i="16"/>
  <c r="DJ156" i="16"/>
  <c r="DJ158" i="16" s="1"/>
  <c r="DJ160" i="16" s="1"/>
  <c r="AI122" i="16" l="1"/>
  <c r="AI170" i="16" s="1"/>
  <c r="AI85" i="16"/>
  <c r="AI88" i="16" s="1"/>
  <c r="AI89" i="16" s="1"/>
  <c r="AJ87" i="16" s="1"/>
  <c r="DJ167" i="16"/>
  <c r="DJ169" i="16" s="1"/>
  <c r="DJ161" i="16"/>
  <c r="DJ157" i="16"/>
  <c r="DK154" i="16" s="1"/>
  <c r="AI152" i="16" l="1"/>
  <c r="AJ82" i="16"/>
  <c r="AJ83" i="16" s="1"/>
  <c r="AI92" i="16"/>
  <c r="AI184" i="16"/>
  <c r="AI172" i="16"/>
  <c r="AI207" i="16"/>
  <c r="DK156" i="16"/>
  <c r="DK158" i="16" s="1"/>
  <c r="DK160" i="16" s="1"/>
  <c r="DJ183" i="16"/>
  <c r="DK167" i="16" l="1"/>
  <c r="DK169" i="16" s="1"/>
  <c r="DK161" i="16"/>
  <c r="AI174" i="16"/>
  <c r="AI173" i="16"/>
  <c r="AI135" i="16" s="1"/>
  <c r="DK157" i="16"/>
  <c r="DL154" i="16" s="1"/>
  <c r="AI185" i="16"/>
  <c r="AI93" i="16"/>
  <c r="AI94" i="16"/>
  <c r="AI97" i="16" s="1"/>
  <c r="DL156" i="16" l="1"/>
  <c r="DL158" i="16" s="1"/>
  <c r="DL160" i="16" s="1"/>
  <c r="AI175" i="16"/>
  <c r="AI96" i="16"/>
  <c r="AI114" i="16" s="1"/>
  <c r="AI201" i="16"/>
  <c r="AI136" i="16"/>
  <c r="AI137" i="16" s="1"/>
  <c r="AJ134" i="16" s="1"/>
  <c r="AI209" i="16"/>
  <c r="DK183" i="16"/>
  <c r="AJ139" i="16" l="1"/>
  <c r="AJ208" i="16" s="1"/>
  <c r="DL167" i="16"/>
  <c r="DL169" i="16" s="1"/>
  <c r="DL161" i="16"/>
  <c r="DL157" i="16"/>
  <c r="DM154" i="16" s="1"/>
  <c r="AI176" i="16"/>
  <c r="DL183" i="16" l="1"/>
  <c r="AI116" i="16"/>
  <c r="AI117" i="16" s="1"/>
  <c r="AJ113" i="16" s="1"/>
  <c r="AI210" i="16"/>
  <c r="AI177" i="16"/>
  <c r="AI180" i="16" s="1"/>
  <c r="DM156" i="16"/>
  <c r="DM158" i="16" s="1"/>
  <c r="DM160" i="16" s="1"/>
  <c r="DM157" i="16" l="1"/>
  <c r="DN154" i="16" s="1"/>
  <c r="AJ115" i="16"/>
  <c r="AJ171" i="16" s="1"/>
  <c r="AJ128" i="16"/>
  <c r="AJ129" i="16" s="1"/>
  <c r="AJ131" i="16" s="1"/>
  <c r="AJ77" i="16" s="1"/>
  <c r="AJ120" i="16"/>
  <c r="AJ198" i="16"/>
  <c r="DM167" i="16"/>
  <c r="DM169" i="16" s="1"/>
  <c r="DM161" i="16"/>
  <c r="AJ121" i="16" l="1"/>
  <c r="AJ75" i="16" s="1"/>
  <c r="AJ78" i="16" s="1"/>
  <c r="DM183" i="16"/>
  <c r="DN156" i="16"/>
  <c r="DN158" i="16" s="1"/>
  <c r="DN160" i="16" s="1"/>
  <c r="DN167" i="16" l="1"/>
  <c r="DN169" i="16" s="1"/>
  <c r="DN161" i="16"/>
  <c r="DN157" i="16"/>
  <c r="DO154" i="16" s="1"/>
  <c r="AJ122" i="16"/>
  <c r="AJ85" i="16"/>
  <c r="AJ88" i="16" s="1"/>
  <c r="AJ89" i="16" s="1"/>
  <c r="AK87" i="16" s="1"/>
  <c r="AK82" i="16" l="1"/>
  <c r="AK83" i="16" s="1"/>
  <c r="AJ92" i="16"/>
  <c r="AJ170" i="16"/>
  <c r="AJ152" i="16"/>
  <c r="DO156" i="16"/>
  <c r="DO158" i="16" s="1"/>
  <c r="DO160" i="16" s="1"/>
  <c r="DN183" i="16"/>
  <c r="DO157" i="16" l="1"/>
  <c r="DP154" i="16" s="1"/>
  <c r="AJ93" i="16"/>
  <c r="AJ94" i="16"/>
  <c r="AJ97" i="16" s="1"/>
  <c r="DO167" i="16"/>
  <c r="DO169" i="16" s="1"/>
  <c r="DO161" i="16"/>
  <c r="AJ184" i="16"/>
  <c r="AJ172" i="16"/>
  <c r="AJ207" i="16"/>
  <c r="AJ173" i="16" l="1"/>
  <c r="AJ135" i="16" s="1"/>
  <c r="AJ174" i="16"/>
  <c r="DO183" i="16"/>
  <c r="AJ96" i="16"/>
  <c r="AJ114" i="16" s="1"/>
  <c r="AJ185" i="16"/>
  <c r="DP156" i="16"/>
  <c r="DP158" i="16" s="1"/>
  <c r="DP160" i="16" s="1"/>
  <c r="AJ201" i="16" l="1"/>
  <c r="AJ175" i="16"/>
  <c r="AJ176" i="16" s="1"/>
  <c r="DP167" i="16"/>
  <c r="DP169" i="16" s="1"/>
  <c r="DP161" i="16"/>
  <c r="DP157" i="16"/>
  <c r="DQ154" i="16" s="1"/>
  <c r="AJ136" i="16"/>
  <c r="AJ137" i="16" s="1"/>
  <c r="AK134" i="16" s="1"/>
  <c r="AJ209" i="16"/>
  <c r="AJ116" i="16" l="1"/>
  <c r="AJ117" i="16" s="1"/>
  <c r="AK113" i="16" s="1"/>
  <c r="AJ210" i="16"/>
  <c r="DQ156" i="16"/>
  <c r="DQ158" i="16" s="1"/>
  <c r="DQ160" i="16" s="1"/>
  <c r="AK139" i="16"/>
  <c r="AK208" i="16" s="1"/>
  <c r="AJ177" i="16"/>
  <c r="AJ180" i="16" s="1"/>
  <c r="DP183" i="16"/>
  <c r="AK120" i="16" l="1"/>
  <c r="AK115" i="16"/>
  <c r="AK171" i="16" s="1"/>
  <c r="AK128" i="16"/>
  <c r="AK129" i="16" s="1"/>
  <c r="AK131" i="16" s="1"/>
  <c r="AK77" i="16" s="1"/>
  <c r="AK198" i="16"/>
  <c r="DQ167" i="16"/>
  <c r="DQ169" i="16" s="1"/>
  <c r="DQ161" i="16"/>
  <c r="DQ157" i="16"/>
  <c r="DQ183" i="16" l="1"/>
  <c r="AK121" i="16"/>
  <c r="AK75" i="16" s="1"/>
  <c r="AK78" i="16" s="1"/>
  <c r="AK85" i="16" l="1"/>
  <c r="AK88" i="16" s="1"/>
  <c r="AK89" i="16" s="1"/>
  <c r="AL87" i="16" s="1"/>
  <c r="AK122" i="16"/>
  <c r="DQ196" i="16" a="1"/>
  <c r="DQ196" i="16" s="1"/>
  <c r="K196" i="16" a="1"/>
  <c r="K196" i="16" s="1"/>
  <c r="G189" i="16" a="1"/>
  <c r="G189" i="16" s="1"/>
  <c r="G193" i="16" s="1"/>
  <c r="F9" i="17" s="1"/>
  <c r="L196" i="16" a="1"/>
  <c r="L196" i="16" s="1"/>
  <c r="M196" i="16" a="1"/>
  <c r="M196" i="16" s="1"/>
  <c r="N196" i="16" a="1"/>
  <c r="N196" i="16" s="1"/>
  <c r="O196" i="16" a="1"/>
  <c r="O196" i="16" s="1"/>
  <c r="P196" i="16" a="1"/>
  <c r="P196" i="16" s="1"/>
  <c r="Q196" i="16" a="1"/>
  <c r="Q196" i="16" s="1"/>
  <c r="R196" i="16" a="1"/>
  <c r="R196" i="16" s="1"/>
  <c r="S196" i="16" a="1"/>
  <c r="S196" i="16" s="1"/>
  <c r="T196" i="16" a="1"/>
  <c r="T196" i="16" s="1"/>
  <c r="T199" i="16" s="1"/>
  <c r="T213" i="16" s="1"/>
  <c r="U196" i="16" a="1"/>
  <c r="U196" i="16" s="1"/>
  <c r="U199" i="16" s="1"/>
  <c r="U213" i="16" s="1"/>
  <c r="W196" i="16" a="1"/>
  <c r="W196" i="16" s="1"/>
  <c r="W199" i="16" s="1"/>
  <c r="W213" i="16" s="1"/>
  <c r="V196" i="16" a="1"/>
  <c r="V196" i="16" s="1"/>
  <c r="V199" i="16" s="1"/>
  <c r="V213" i="16" s="1"/>
  <c r="X196" i="16" a="1"/>
  <c r="X196" i="16" s="1"/>
  <c r="X199" i="16" s="1"/>
  <c r="X213" i="16" s="1"/>
  <c r="Z196" i="16" a="1"/>
  <c r="Z196" i="16" s="1"/>
  <c r="Z199" i="16" s="1"/>
  <c r="Z213" i="16" s="1"/>
  <c r="Y196" i="16" a="1"/>
  <c r="Y196" i="16" s="1"/>
  <c r="Y199" i="16" s="1"/>
  <c r="Y213" i="16" s="1"/>
  <c r="AA196" i="16" a="1"/>
  <c r="AA196" i="16" s="1"/>
  <c r="AA199" i="16" s="1"/>
  <c r="AA213" i="16" s="1"/>
  <c r="AC196" i="16" a="1"/>
  <c r="AC196" i="16" s="1"/>
  <c r="AC199" i="16" s="1"/>
  <c r="AC213" i="16" s="1"/>
  <c r="AB196" i="16" a="1"/>
  <c r="AB196" i="16" s="1"/>
  <c r="AB199" i="16" s="1"/>
  <c r="AB213" i="16" s="1"/>
  <c r="AE196" i="16" a="1"/>
  <c r="AE196" i="16" s="1"/>
  <c r="AE199" i="16" s="1"/>
  <c r="AE213" i="16" s="1"/>
  <c r="AF196" i="16" a="1"/>
  <c r="AF196" i="16" s="1"/>
  <c r="AF199" i="16" s="1"/>
  <c r="AF213" i="16" s="1"/>
  <c r="AD196" i="16" a="1"/>
  <c r="AD196" i="16" s="1"/>
  <c r="AD199" i="16" s="1"/>
  <c r="AD213" i="16" s="1"/>
  <c r="AG196" i="16" a="1"/>
  <c r="AG196" i="16" s="1"/>
  <c r="AG199" i="16" s="1"/>
  <c r="AG213" i="16" s="1"/>
  <c r="AH196" i="16" a="1"/>
  <c r="AH196" i="16" s="1"/>
  <c r="AH199" i="16" s="1"/>
  <c r="AH213" i="16" s="1"/>
  <c r="AI196" i="16" a="1"/>
  <c r="AI196" i="16" s="1"/>
  <c r="AI199" i="16" s="1"/>
  <c r="AI213" i="16" s="1"/>
  <c r="AJ196" i="16" a="1"/>
  <c r="AJ196" i="16" s="1"/>
  <c r="AJ199" i="16" s="1"/>
  <c r="AJ213" i="16" s="1"/>
  <c r="AK196" i="16" a="1"/>
  <c r="AK196" i="16" s="1"/>
  <c r="AK199" i="16" s="1"/>
  <c r="AK213" i="16" s="1"/>
  <c r="AL196" i="16" a="1"/>
  <c r="AL196" i="16" s="1"/>
  <c r="AM196" i="16" a="1"/>
  <c r="AM196" i="16" s="1"/>
  <c r="AN196" i="16" a="1"/>
  <c r="AN196" i="16" s="1"/>
  <c r="AP196" i="16" a="1"/>
  <c r="AP196" i="16" s="1"/>
  <c r="AQ196" i="16" a="1"/>
  <c r="AQ196" i="16" s="1"/>
  <c r="AO196" i="16" a="1"/>
  <c r="AO196" i="16" s="1"/>
  <c r="AR196" i="16" a="1"/>
  <c r="AR196" i="16" s="1"/>
  <c r="AS196" i="16" a="1"/>
  <c r="AS196" i="16" s="1"/>
  <c r="AT196" i="16" a="1"/>
  <c r="AT196" i="16" s="1"/>
  <c r="AU196" i="16" a="1"/>
  <c r="AU196" i="16" s="1"/>
  <c r="AV196" i="16" a="1"/>
  <c r="AV196" i="16" s="1"/>
  <c r="AW196" i="16" a="1"/>
  <c r="AW196" i="16" s="1"/>
  <c r="AX196" i="16" a="1"/>
  <c r="AX196" i="16" s="1"/>
  <c r="AY196" i="16" a="1"/>
  <c r="AY196" i="16" s="1"/>
  <c r="BA196" i="16" a="1"/>
  <c r="BA196" i="16" s="1"/>
  <c r="AZ196" i="16" a="1"/>
  <c r="AZ196" i="16" s="1"/>
  <c r="BD196" i="16" a="1"/>
  <c r="BD196" i="16" s="1"/>
  <c r="BB196" i="16" a="1"/>
  <c r="BB196" i="16" s="1"/>
  <c r="BC196" i="16" a="1"/>
  <c r="BC196" i="16" s="1"/>
  <c r="BE196" i="16" a="1"/>
  <c r="BE196" i="16" s="1"/>
  <c r="BF196" i="16" a="1"/>
  <c r="BF196" i="16" s="1"/>
  <c r="BG196" i="16" a="1"/>
  <c r="BG196" i="16" s="1"/>
  <c r="BH196" i="16" a="1"/>
  <c r="BH196" i="16" s="1"/>
  <c r="BI196" i="16" a="1"/>
  <c r="BI196" i="16" s="1"/>
  <c r="BJ196" i="16" a="1"/>
  <c r="BJ196" i="16" s="1"/>
  <c r="BL196" i="16" a="1"/>
  <c r="BL196" i="16" s="1"/>
  <c r="BK196" i="16" a="1"/>
  <c r="BK196" i="16" s="1"/>
  <c r="BO196" i="16" a="1"/>
  <c r="BO196" i="16" s="1"/>
  <c r="BM196" i="16" a="1"/>
  <c r="BM196" i="16" s="1"/>
  <c r="BN196" i="16" a="1"/>
  <c r="BN196" i="16" s="1"/>
  <c r="BP196" i="16" a="1"/>
  <c r="BP196" i="16" s="1"/>
  <c r="BQ196" i="16" a="1"/>
  <c r="BQ196" i="16" s="1"/>
  <c r="BR196" i="16" a="1"/>
  <c r="BR196" i="16" s="1"/>
  <c r="BS196" i="16" a="1"/>
  <c r="BS196" i="16" s="1"/>
  <c r="BT196" i="16" a="1"/>
  <c r="BT196" i="16" s="1"/>
  <c r="BU196" i="16" a="1"/>
  <c r="BU196" i="16" s="1"/>
  <c r="BV196" i="16" a="1"/>
  <c r="BV196" i="16" s="1"/>
  <c r="BW196" i="16" a="1"/>
  <c r="BW196" i="16" s="1"/>
  <c r="BX196" i="16" a="1"/>
  <c r="BX196" i="16" s="1"/>
  <c r="BY196" i="16" a="1"/>
  <c r="BY196" i="16" s="1"/>
  <c r="BZ196" i="16" a="1"/>
  <c r="BZ196" i="16" s="1"/>
  <c r="CA196" i="16" a="1"/>
  <c r="CA196" i="16" s="1"/>
  <c r="CB196" i="16" a="1"/>
  <c r="CB196" i="16" s="1"/>
  <c r="CC196" i="16" a="1"/>
  <c r="CC196" i="16" s="1"/>
  <c r="CD196" i="16" a="1"/>
  <c r="CD196" i="16" s="1"/>
  <c r="CE196" i="16" a="1"/>
  <c r="CE196" i="16" s="1"/>
  <c r="CF196" i="16" a="1"/>
  <c r="CF196" i="16" s="1"/>
  <c r="CG196" i="16" a="1"/>
  <c r="CG196" i="16" s="1"/>
  <c r="CH196" i="16" a="1"/>
  <c r="CH196" i="16" s="1"/>
  <c r="CI196" i="16" a="1"/>
  <c r="CI196" i="16" s="1"/>
  <c r="CJ196" i="16" a="1"/>
  <c r="CJ196" i="16" s="1"/>
  <c r="CK196" i="16" a="1"/>
  <c r="CK196" i="16" s="1"/>
  <c r="CL196" i="16" a="1"/>
  <c r="CL196" i="16" s="1"/>
  <c r="CM196" i="16" a="1"/>
  <c r="CM196" i="16" s="1"/>
  <c r="CN196" i="16" a="1"/>
  <c r="CN196" i="16" s="1"/>
  <c r="CO196" i="16" a="1"/>
  <c r="CO196" i="16" s="1"/>
  <c r="CP196" i="16" a="1"/>
  <c r="CP196" i="16" s="1"/>
  <c r="CQ196" i="16" a="1"/>
  <c r="CQ196" i="16" s="1"/>
  <c r="CR196" i="16" a="1"/>
  <c r="CR196" i="16" s="1"/>
  <c r="CS196" i="16" a="1"/>
  <c r="CS196" i="16" s="1"/>
  <c r="CV196" i="16" a="1"/>
  <c r="CV196" i="16" s="1"/>
  <c r="CT196" i="16" a="1"/>
  <c r="CT196" i="16" s="1"/>
  <c r="CU196" i="16" a="1"/>
  <c r="CU196" i="16" s="1"/>
  <c r="CW196" i="16" a="1"/>
  <c r="CW196" i="16" s="1"/>
  <c r="CX196" i="16" a="1"/>
  <c r="CX196" i="16" s="1"/>
  <c r="CY196" i="16" a="1"/>
  <c r="CY196" i="16" s="1"/>
  <c r="CZ196" i="16" a="1"/>
  <c r="CZ196" i="16" s="1"/>
  <c r="DA196" i="16" a="1"/>
  <c r="DA196" i="16" s="1"/>
  <c r="DD196" i="16" a="1"/>
  <c r="DD196" i="16" s="1"/>
  <c r="DB196" i="16" a="1"/>
  <c r="DB196" i="16" s="1"/>
  <c r="DC196" i="16" a="1"/>
  <c r="DC196" i="16" s="1"/>
  <c r="DE196" i="16" a="1"/>
  <c r="DE196" i="16" s="1"/>
  <c r="DF196" i="16" a="1"/>
  <c r="DF196" i="16" s="1"/>
  <c r="DH196" i="16" a="1"/>
  <c r="DH196" i="16" s="1"/>
  <c r="DG196" i="16" a="1"/>
  <c r="DG196" i="16" s="1"/>
  <c r="DI196" i="16" a="1"/>
  <c r="DI196" i="16" s="1"/>
  <c r="DJ196" i="16" a="1"/>
  <c r="DJ196" i="16" s="1"/>
  <c r="DK196" i="16" a="1"/>
  <c r="DK196" i="16" s="1"/>
  <c r="DP196" i="16" a="1"/>
  <c r="DP196" i="16" s="1"/>
  <c r="DM196" i="16" a="1"/>
  <c r="DM196" i="16" s="1"/>
  <c r="DO196" i="16" a="1"/>
  <c r="DO196" i="16" s="1"/>
  <c r="DL196" i="16" a="1"/>
  <c r="DL196" i="16" s="1"/>
  <c r="DN196" i="16" a="1"/>
  <c r="DN196" i="16" s="1"/>
  <c r="AK170" i="16" l="1"/>
  <c r="AK152" i="16"/>
  <c r="AL82" i="16"/>
  <c r="AL83" i="16" s="1"/>
  <c r="AK92" i="16"/>
  <c r="AK93" i="16" l="1"/>
  <c r="AK94" i="16"/>
  <c r="AK97" i="16" s="1"/>
  <c r="AK184" i="16"/>
  <c r="AK172" i="16"/>
  <c r="AK207" i="16"/>
  <c r="AK173" i="16" l="1"/>
  <c r="AK135" i="16" s="1"/>
  <c r="AK174" i="16"/>
  <c r="AK185" i="16"/>
  <c r="AK96" i="16"/>
  <c r="AK114" i="16" s="1"/>
  <c r="AK175" i="16" l="1"/>
  <c r="AK176" i="16" s="1"/>
  <c r="AK201" i="16"/>
  <c r="AK136" i="16"/>
  <c r="AK137" i="16" s="1"/>
  <c r="AL134" i="16" s="1"/>
  <c r="AK209" i="16"/>
  <c r="AL139" i="16" l="1"/>
  <c r="AL208" i="16" s="1"/>
  <c r="AK116" i="16"/>
  <c r="AK117" i="16" s="1"/>
  <c r="AL113" i="16" s="1"/>
  <c r="AK210" i="16"/>
  <c r="AK177" i="16"/>
  <c r="AK180" i="16" s="1"/>
  <c r="AL120" i="16" l="1"/>
  <c r="AL115" i="16"/>
  <c r="AL171" i="16" s="1"/>
  <c r="AL128" i="16"/>
  <c r="AL129" i="16" s="1"/>
  <c r="AL131" i="16" s="1"/>
  <c r="AL77" i="16" s="1"/>
  <c r="AL198" i="16"/>
  <c r="AL199" i="16" s="1"/>
  <c r="AL213" i="16" s="1"/>
  <c r="AL121" i="16" l="1"/>
  <c r="AL75" i="16" s="1"/>
  <c r="AL78" i="16" s="1"/>
  <c r="AL122" i="16" l="1"/>
  <c r="AL170" i="16" s="1"/>
  <c r="AL85" i="16"/>
  <c r="AL88" i="16" s="1"/>
  <c r="AL89" i="16" s="1"/>
  <c r="AM87" i="16" s="1"/>
  <c r="AL152" i="16" l="1"/>
  <c r="AM82" i="16"/>
  <c r="AM83" i="16" s="1"/>
  <c r="AL92" i="16"/>
  <c r="AL184" i="16"/>
  <c r="AL172" i="16"/>
  <c r="AL207" i="16"/>
  <c r="AL173" i="16" l="1"/>
  <c r="AL135" i="16" s="1"/>
  <c r="AL174" i="16"/>
  <c r="AL93" i="16"/>
  <c r="AL94" i="16"/>
  <c r="AL97" i="16" s="1"/>
  <c r="AL185" i="16"/>
  <c r="AL175" i="16" l="1"/>
  <c r="AL176" i="16" s="1"/>
  <c r="AL96" i="16"/>
  <c r="AL114" i="16" s="1"/>
  <c r="AL201" i="16"/>
  <c r="AL136" i="16"/>
  <c r="AL137" i="16" s="1"/>
  <c r="AM134" i="16" s="1"/>
  <c r="AL209" i="16"/>
  <c r="AM139" i="16" l="1"/>
  <c r="AM208" i="16" s="1"/>
  <c r="AL116" i="16"/>
  <c r="AL117" i="16" s="1"/>
  <c r="AM113" i="16" s="1"/>
  <c r="AL210" i="16"/>
  <c r="AL177" i="16"/>
  <c r="AL180" i="16" s="1"/>
  <c r="AM120" i="16" l="1"/>
  <c r="AM128" i="16"/>
  <c r="AM129" i="16" s="1"/>
  <c r="AM131" i="16" s="1"/>
  <c r="AM77" i="16" s="1"/>
  <c r="AM115" i="16"/>
  <c r="AM171" i="16" s="1"/>
  <c r="AM198" i="16"/>
  <c r="AM199" i="16" s="1"/>
  <c r="AM213" i="16" s="1"/>
  <c r="AM121" i="16" l="1"/>
  <c r="AM75" i="16" s="1"/>
  <c r="AM78" i="16" s="1"/>
  <c r="AM122" i="16" l="1"/>
  <c r="AM85" i="16"/>
  <c r="AM88" i="16" s="1"/>
  <c r="AM89" i="16" s="1"/>
  <c r="AN87" i="16" s="1"/>
  <c r="AM92" i="16" l="1"/>
  <c r="AN82" i="16"/>
  <c r="AN83" i="16" s="1"/>
  <c r="AM170" i="16"/>
  <c r="AM152" i="16"/>
  <c r="AM184" i="16" l="1"/>
  <c r="AM172" i="16"/>
  <c r="AM207" i="16"/>
  <c r="AM93" i="16"/>
  <c r="AM94" i="16"/>
  <c r="AM97" i="16" s="1"/>
  <c r="AM96" i="16" l="1"/>
  <c r="AM114" i="16" s="1"/>
  <c r="AM173" i="16"/>
  <c r="AM135" i="16" s="1"/>
  <c r="AM174" i="16"/>
  <c r="AM185" i="16"/>
  <c r="AM201" i="16" l="1"/>
  <c r="AM175" i="16"/>
  <c r="AM136" i="16"/>
  <c r="AM137" i="16" s="1"/>
  <c r="AN134" i="16" s="1"/>
  <c r="AM209" i="16"/>
  <c r="AN139" i="16" l="1"/>
  <c r="AN208" i="16" s="1"/>
  <c r="AM176" i="16"/>
  <c r="AM116" i="16" l="1"/>
  <c r="AM117" i="16" s="1"/>
  <c r="AN113" i="16" s="1"/>
  <c r="AM210" i="16"/>
  <c r="AM177" i="16"/>
  <c r="AM180" i="16" s="1"/>
  <c r="AN120" i="16" l="1"/>
  <c r="AN115" i="16"/>
  <c r="AN171" i="16" s="1"/>
  <c r="AN128" i="16"/>
  <c r="AN129" i="16" s="1"/>
  <c r="AN131" i="16" s="1"/>
  <c r="AN77" i="16" s="1"/>
  <c r="AN198" i="16"/>
  <c r="AN199" i="16" s="1"/>
  <c r="AN213" i="16" s="1"/>
  <c r="AN121" i="16" l="1"/>
  <c r="AN75" i="16" s="1"/>
  <c r="AN78" i="16" s="1"/>
  <c r="AN122" i="16" l="1"/>
  <c r="AN170" i="16" s="1"/>
  <c r="AN85" i="16"/>
  <c r="AN88" i="16" s="1"/>
  <c r="AN89" i="16" s="1"/>
  <c r="AO87" i="16" s="1"/>
  <c r="AN152" i="16" l="1"/>
  <c r="AO82" i="16"/>
  <c r="AO83" i="16" s="1"/>
  <c r="AN92" i="16"/>
  <c r="AN184" i="16"/>
  <c r="AN172" i="16"/>
  <c r="AN207" i="16"/>
  <c r="AN93" i="16" l="1"/>
  <c r="AN94" i="16"/>
  <c r="AN97" i="16" s="1"/>
  <c r="AN173" i="16"/>
  <c r="AN135" i="16" s="1"/>
  <c r="AN174" i="16"/>
  <c r="AN185" i="16"/>
  <c r="AN175" i="16" l="1"/>
  <c r="AN136" i="16"/>
  <c r="AN137" i="16" s="1"/>
  <c r="AO134" i="16" s="1"/>
  <c r="AN209" i="16"/>
  <c r="AN96" i="16"/>
  <c r="AN114" i="16" s="1"/>
  <c r="AN201" i="16"/>
  <c r="AO139" i="16" l="1"/>
  <c r="AO208" i="16" s="1"/>
  <c r="AN176" i="16"/>
  <c r="AN116" i="16" l="1"/>
  <c r="AN117" i="16" s="1"/>
  <c r="AO113" i="16" s="1"/>
  <c r="AN210" i="16"/>
  <c r="AN177" i="16"/>
  <c r="AN180" i="16" s="1"/>
  <c r="AO120" i="16" l="1"/>
  <c r="AO115" i="16"/>
  <c r="AO171" i="16" s="1"/>
  <c r="AO128" i="16"/>
  <c r="AO129" i="16" s="1"/>
  <c r="AO131" i="16" s="1"/>
  <c r="AO77" i="16" s="1"/>
  <c r="AO198" i="16"/>
  <c r="AO199" i="16" s="1"/>
  <c r="AO213" i="16" s="1"/>
  <c r="AO121" i="16" l="1"/>
  <c r="AO75" i="16" s="1"/>
  <c r="AO78" i="16" s="1"/>
  <c r="AO85" i="16" l="1"/>
  <c r="AO88" i="16" s="1"/>
  <c r="AO89" i="16" s="1"/>
  <c r="AP87" i="16" s="1"/>
  <c r="AO122" i="16"/>
  <c r="AO170" i="16" l="1"/>
  <c r="AO152" i="16"/>
  <c r="AP82" i="16"/>
  <c r="AP83" i="16" s="1"/>
  <c r="AO92" i="16"/>
  <c r="AO93" i="16" l="1"/>
  <c r="AO94" i="16"/>
  <c r="AO97" i="16" s="1"/>
  <c r="AO184" i="16"/>
  <c r="AO172" i="16"/>
  <c r="AO207" i="16"/>
  <c r="AO173" i="16" l="1"/>
  <c r="AO135" i="16" s="1"/>
  <c r="AO174" i="16"/>
  <c r="AO185" i="16"/>
  <c r="AO96" i="16"/>
  <c r="AO114" i="16" s="1"/>
  <c r="AO175" i="16" l="1"/>
  <c r="AO176" i="16" s="1"/>
  <c r="AO201" i="16"/>
  <c r="AO136" i="16"/>
  <c r="AO137" i="16" s="1"/>
  <c r="AP134" i="16" s="1"/>
  <c r="AO209" i="16"/>
  <c r="AO116" i="16" l="1"/>
  <c r="AO117" i="16" s="1"/>
  <c r="AP113" i="16" s="1"/>
  <c r="AO210" i="16"/>
  <c r="AP139" i="16"/>
  <c r="AP208" i="16" s="1"/>
  <c r="AO177" i="16"/>
  <c r="AO180" i="16" s="1"/>
  <c r="AP120" i="16" l="1"/>
  <c r="AP115" i="16"/>
  <c r="AP171" i="16" s="1"/>
  <c r="AP128" i="16"/>
  <c r="AP129" i="16" s="1"/>
  <c r="AP131" i="16" s="1"/>
  <c r="AP77" i="16" s="1"/>
  <c r="AP198" i="16"/>
  <c r="AP199" i="16" s="1"/>
  <c r="AP213" i="16" s="1"/>
  <c r="AP121" i="16" l="1"/>
  <c r="AP75" i="16" s="1"/>
  <c r="AP78" i="16" s="1"/>
  <c r="AP122" i="16" l="1"/>
  <c r="AP170" i="16" s="1"/>
  <c r="AP85" i="16"/>
  <c r="AP88" i="16" s="1"/>
  <c r="AP89" i="16" s="1"/>
  <c r="AQ87" i="16" s="1"/>
  <c r="AP152" i="16" l="1"/>
  <c r="AP184" i="16"/>
  <c r="AP172" i="16"/>
  <c r="AP207" i="16"/>
  <c r="AQ82" i="16"/>
  <c r="AQ83" i="16" s="1"/>
  <c r="AP92" i="16"/>
  <c r="AP173" i="16" l="1"/>
  <c r="AP135" i="16" s="1"/>
  <c r="AP174" i="16"/>
  <c r="AP93" i="16"/>
  <c r="AP94" i="16"/>
  <c r="AP97" i="16" s="1"/>
  <c r="AP185" i="16"/>
  <c r="AP175" i="16" l="1"/>
  <c r="AP176" i="16" s="1"/>
  <c r="AP96" i="16"/>
  <c r="AP114" i="16" s="1"/>
  <c r="AP201" i="16"/>
  <c r="AP136" i="16"/>
  <c r="AP137" i="16" s="1"/>
  <c r="AQ134" i="16" s="1"/>
  <c r="AP209" i="16"/>
  <c r="AP116" i="16" l="1"/>
  <c r="AP117" i="16" s="1"/>
  <c r="AQ113" i="16" s="1"/>
  <c r="AP210" i="16"/>
  <c r="AQ139" i="16"/>
  <c r="AQ208" i="16" s="1"/>
  <c r="AP177" i="16"/>
  <c r="AP180" i="16" s="1"/>
  <c r="AQ115" i="16" l="1"/>
  <c r="AQ171" i="16" s="1"/>
  <c r="AQ128" i="16"/>
  <c r="AQ129" i="16" s="1"/>
  <c r="AQ131" i="16" s="1"/>
  <c r="AQ77" i="16" s="1"/>
  <c r="AQ120" i="16"/>
  <c r="AQ198" i="16"/>
  <c r="AQ199" i="16" s="1"/>
  <c r="AQ213" i="16" s="1"/>
  <c r="AQ121" i="16" l="1"/>
  <c r="AQ75" i="16" s="1"/>
  <c r="AQ78" i="16" s="1"/>
  <c r="AQ85" i="16" l="1"/>
  <c r="AQ88" i="16" s="1"/>
  <c r="AQ89" i="16" s="1"/>
  <c r="AR87" i="16" s="1"/>
  <c r="AQ122" i="16"/>
  <c r="AR82" i="16" l="1"/>
  <c r="AR83" i="16" s="1"/>
  <c r="AQ170" i="16"/>
  <c r="AQ152" i="16"/>
  <c r="AQ92" i="16"/>
  <c r="AQ184" i="16" l="1"/>
  <c r="AQ172" i="16"/>
  <c r="AQ207" i="16"/>
  <c r="AQ93" i="16"/>
  <c r="AQ94" i="16"/>
  <c r="AQ97" i="16" s="1"/>
  <c r="AQ173" i="16" l="1"/>
  <c r="AQ135" i="16" s="1"/>
  <c r="AQ174" i="16"/>
  <c r="AQ96" i="16"/>
  <c r="AQ114" i="16" s="1"/>
  <c r="AQ185" i="16"/>
  <c r="AQ175" i="16" l="1"/>
  <c r="AQ176" i="16" s="1"/>
  <c r="AQ201" i="16"/>
  <c r="AQ136" i="16"/>
  <c r="AQ137" i="16" s="1"/>
  <c r="AR134" i="16" s="1"/>
  <c r="AQ209" i="16"/>
  <c r="AR139" i="16" l="1"/>
  <c r="AR208" i="16" s="1"/>
  <c r="AQ116" i="16"/>
  <c r="AQ117" i="16" s="1"/>
  <c r="AR113" i="16" s="1"/>
  <c r="AQ210" i="16"/>
  <c r="AQ177" i="16"/>
  <c r="AQ180" i="16" s="1"/>
  <c r="AR120" i="16" l="1"/>
  <c r="AR128" i="16"/>
  <c r="AR129" i="16" s="1"/>
  <c r="AR131" i="16" s="1"/>
  <c r="AR77" i="16" s="1"/>
  <c r="AR115" i="16"/>
  <c r="AR171" i="16" s="1"/>
  <c r="AR198" i="16"/>
  <c r="AR199" i="16" s="1"/>
  <c r="AR213" i="16" s="1"/>
  <c r="AR121" i="16" l="1"/>
  <c r="AR75" i="16" s="1"/>
  <c r="AR78" i="16" s="1"/>
  <c r="AR122" i="16" l="1"/>
  <c r="AR170" i="16" s="1"/>
  <c r="AR85" i="16"/>
  <c r="AR88" i="16" s="1"/>
  <c r="AR89" i="16" s="1"/>
  <c r="AS87" i="16" s="1"/>
  <c r="AR152" i="16" l="1"/>
  <c r="AS82" i="16"/>
  <c r="AS83" i="16" s="1"/>
  <c r="AR92" i="16"/>
  <c r="AR184" i="16"/>
  <c r="AR172" i="16"/>
  <c r="AR207" i="16"/>
  <c r="AR185" i="16" l="1"/>
  <c r="AR173" i="16"/>
  <c r="AR135" i="16" s="1"/>
  <c r="AR174" i="16"/>
  <c r="AR93" i="16"/>
  <c r="AR94" i="16"/>
  <c r="AR97" i="16" s="1"/>
  <c r="AR136" i="16" l="1"/>
  <c r="AR137" i="16" s="1"/>
  <c r="AS134" i="16" s="1"/>
  <c r="AR209" i="16"/>
  <c r="AR96" i="16"/>
  <c r="AR114" i="16" s="1"/>
  <c r="AR201" i="16"/>
  <c r="AR175" i="16"/>
  <c r="AR176" i="16" l="1"/>
  <c r="AR177" i="16" s="1"/>
  <c r="AR180" i="16" s="1"/>
  <c r="AS139" i="16"/>
  <c r="AS208" i="16" s="1"/>
  <c r="AR116" i="16" l="1"/>
  <c r="AR117" i="16" s="1"/>
  <c r="AS113" i="16" s="1"/>
  <c r="AR210" i="16"/>
  <c r="AS120" i="16" l="1"/>
  <c r="AS128" i="16"/>
  <c r="AS129" i="16" s="1"/>
  <c r="AS131" i="16" s="1"/>
  <c r="AS77" i="16" s="1"/>
  <c r="AS115" i="16"/>
  <c r="AS171" i="16" s="1"/>
  <c r="AS198" i="16"/>
  <c r="AS199" i="16" s="1"/>
  <c r="AS213" i="16" s="1"/>
  <c r="AS121" i="16" l="1"/>
  <c r="AS75" i="16" s="1"/>
  <c r="AS78" i="16" s="1"/>
  <c r="AS85" i="16" l="1"/>
  <c r="AS88" i="16" s="1"/>
  <c r="AS89" i="16" s="1"/>
  <c r="AT87" i="16" s="1"/>
  <c r="AS122" i="16"/>
  <c r="AS170" i="16" l="1"/>
  <c r="AS152" i="16"/>
  <c r="AT82" i="16"/>
  <c r="AT83" i="16" s="1"/>
  <c r="AS92" i="16"/>
  <c r="AS93" i="16" l="1"/>
  <c r="AS94" i="16"/>
  <c r="AS97" i="16" s="1"/>
  <c r="AS184" i="16"/>
  <c r="AS172" i="16"/>
  <c r="AS207" i="16"/>
  <c r="AS173" i="16" l="1"/>
  <c r="AS135" i="16" s="1"/>
  <c r="AS174" i="16"/>
  <c r="AS185" i="16"/>
  <c r="AS96" i="16"/>
  <c r="AS114" i="16" s="1"/>
  <c r="AS201" i="16" l="1"/>
  <c r="AS136" i="16"/>
  <c r="AS137" i="16" s="1"/>
  <c r="AT134" i="16" s="1"/>
  <c r="AS209" i="16"/>
  <c r="AS175" i="16"/>
  <c r="AS176" i="16" l="1"/>
  <c r="AT139" i="16"/>
  <c r="AT208" i="16" s="1"/>
  <c r="AS116" i="16" l="1"/>
  <c r="AS117" i="16" s="1"/>
  <c r="AT113" i="16" s="1"/>
  <c r="AS210" i="16"/>
  <c r="AS177" i="16"/>
  <c r="AS180" i="16" s="1"/>
  <c r="AT120" i="16" l="1"/>
  <c r="AT115" i="16"/>
  <c r="AT171" i="16" s="1"/>
  <c r="AT128" i="16"/>
  <c r="AT129" i="16" s="1"/>
  <c r="AT131" i="16" s="1"/>
  <c r="AT77" i="16" s="1"/>
  <c r="AT198" i="16"/>
  <c r="AT199" i="16" s="1"/>
  <c r="AT213" i="16" s="1"/>
  <c r="AT121" i="16" l="1"/>
  <c r="AT75" i="16" s="1"/>
  <c r="AT78" i="16" s="1"/>
  <c r="AT122" i="16" l="1"/>
  <c r="AT170" i="16" s="1"/>
  <c r="AT85" i="16"/>
  <c r="AT88" i="16" s="1"/>
  <c r="AT89" i="16" s="1"/>
  <c r="AU87" i="16" s="1"/>
  <c r="AT152" i="16" l="1"/>
  <c r="AT92" i="16"/>
  <c r="AU82" i="16"/>
  <c r="AU83" i="16" s="1"/>
  <c r="AT184" i="16"/>
  <c r="AT172" i="16"/>
  <c r="AT207" i="16"/>
  <c r="AT174" i="16" l="1"/>
  <c r="AT173" i="16"/>
  <c r="AT135" i="16" s="1"/>
  <c r="AT185" i="16"/>
  <c r="AT93" i="16"/>
  <c r="AT94" i="16"/>
  <c r="AT97" i="16" s="1"/>
  <c r="AT96" i="16" l="1"/>
  <c r="AT114" i="16" s="1"/>
  <c r="AT201" i="16"/>
  <c r="AT175" i="16"/>
  <c r="AT136" i="16"/>
  <c r="AT137" i="16" s="1"/>
  <c r="AU134" i="16" s="1"/>
  <c r="AT209" i="16"/>
  <c r="AU139" i="16" l="1"/>
  <c r="AU208" i="16" s="1"/>
  <c r="AT176" i="16"/>
  <c r="AT177" i="16" s="1"/>
  <c r="AT180" i="16" s="1"/>
  <c r="AT116" i="16" l="1"/>
  <c r="AT117" i="16" s="1"/>
  <c r="AU113" i="16" s="1"/>
  <c r="AT210" i="16"/>
  <c r="AU115" i="16" l="1"/>
  <c r="AU171" i="16" s="1"/>
  <c r="AU120" i="16"/>
  <c r="AU128" i="16"/>
  <c r="AU129" i="16" s="1"/>
  <c r="AU131" i="16" s="1"/>
  <c r="AU77" i="16" s="1"/>
  <c r="AU198" i="16"/>
  <c r="AU199" i="16" s="1"/>
  <c r="AU213" i="16" s="1"/>
  <c r="AU121" i="16" l="1"/>
  <c r="AU75" i="16" s="1"/>
  <c r="AU78" i="16" s="1"/>
  <c r="AU85" i="16" l="1"/>
  <c r="AU88" i="16" s="1"/>
  <c r="AU89" i="16" s="1"/>
  <c r="AV87" i="16" s="1"/>
  <c r="AU122" i="16"/>
  <c r="AV82" i="16" l="1"/>
  <c r="AV83" i="16" s="1"/>
  <c r="AU170" i="16"/>
  <c r="AU152" i="16"/>
  <c r="AU92" i="16"/>
  <c r="AU184" i="16" l="1"/>
  <c r="AU172" i="16"/>
  <c r="AU207" i="16"/>
  <c r="AU93" i="16"/>
  <c r="AU94" i="16"/>
  <c r="AU97" i="16" s="1"/>
  <c r="AU96" i="16" l="1"/>
  <c r="AU114" i="16" s="1"/>
  <c r="AU173" i="16"/>
  <c r="AU135" i="16" s="1"/>
  <c r="AU174" i="16"/>
  <c r="AU185" i="16"/>
  <c r="AU175" i="16" l="1"/>
  <c r="AU176" i="16" s="1"/>
  <c r="AU177" i="16" s="1"/>
  <c r="AU180" i="16" s="1"/>
  <c r="AU136" i="16"/>
  <c r="AU137" i="16" s="1"/>
  <c r="AV134" i="16" s="1"/>
  <c r="AU209" i="16"/>
  <c r="AU201" i="16"/>
  <c r="AV139" i="16" l="1"/>
  <c r="AV208" i="16" s="1"/>
  <c r="AU116" i="16"/>
  <c r="AU117" i="16" s="1"/>
  <c r="AV113" i="16" s="1"/>
  <c r="AU210" i="16"/>
  <c r="AV120" i="16" l="1"/>
  <c r="AV115" i="16"/>
  <c r="AV171" i="16" s="1"/>
  <c r="AV128" i="16"/>
  <c r="AV129" i="16" s="1"/>
  <c r="AV131" i="16" s="1"/>
  <c r="AV77" i="16" s="1"/>
  <c r="AV198" i="16"/>
  <c r="AV199" i="16" s="1"/>
  <c r="AV213" i="16" s="1"/>
  <c r="AV121" i="16" l="1"/>
  <c r="AV75" i="16" s="1"/>
  <c r="AV78" i="16" s="1"/>
  <c r="AV122" i="16" l="1"/>
  <c r="AV170" i="16" s="1"/>
  <c r="AV85" i="16"/>
  <c r="AV88" i="16" s="1"/>
  <c r="AV89" i="16" s="1"/>
  <c r="AW87" i="16" s="1"/>
  <c r="AV152" i="16" l="1"/>
  <c r="AV92" i="16"/>
  <c r="AW82" i="16"/>
  <c r="AW83" i="16" s="1"/>
  <c r="AV184" i="16"/>
  <c r="AV172" i="16"/>
  <c r="AV207" i="16"/>
  <c r="AV173" i="16" l="1"/>
  <c r="AV135" i="16" s="1"/>
  <c r="AV174" i="16"/>
  <c r="AV185" i="16"/>
  <c r="AV93" i="16"/>
  <c r="AV94" i="16"/>
  <c r="AV97" i="16" s="1"/>
  <c r="AV136" i="16" l="1"/>
  <c r="AV137" i="16" s="1"/>
  <c r="AW134" i="16" s="1"/>
  <c r="AV209" i="16"/>
  <c r="AV96" i="16"/>
  <c r="AV114" i="16" s="1"/>
  <c r="AV201" i="16"/>
  <c r="AV175" i="16"/>
  <c r="AV176" i="16" l="1"/>
  <c r="AW139" i="16"/>
  <c r="AW208" i="16" s="1"/>
  <c r="AV116" i="16" l="1"/>
  <c r="AV117" i="16" s="1"/>
  <c r="AW113" i="16" s="1"/>
  <c r="AV210" i="16"/>
  <c r="AV177" i="16"/>
  <c r="AV180" i="16" s="1"/>
  <c r="AW128" i="16" l="1"/>
  <c r="AW129" i="16" s="1"/>
  <c r="AW131" i="16" s="1"/>
  <c r="AW77" i="16" s="1"/>
  <c r="AW120" i="16"/>
  <c r="AW115" i="16"/>
  <c r="AW171" i="16" s="1"/>
  <c r="AW198" i="16"/>
  <c r="AW199" i="16" s="1"/>
  <c r="AW213" i="16" s="1"/>
  <c r="AW121" i="16" l="1"/>
  <c r="AW75" i="16" s="1"/>
  <c r="AW78" i="16" s="1"/>
  <c r="AW85" i="16" l="1"/>
  <c r="AW88" i="16" s="1"/>
  <c r="AW89" i="16" s="1"/>
  <c r="AX87" i="16" s="1"/>
  <c r="AW122" i="16"/>
  <c r="AW170" i="16" l="1"/>
  <c r="AW152" i="16"/>
  <c r="AX82" i="16"/>
  <c r="AX83" i="16" s="1"/>
  <c r="AW92" i="16"/>
  <c r="AW184" i="16" l="1"/>
  <c r="AW172" i="16"/>
  <c r="AW207" i="16"/>
  <c r="AW93" i="16"/>
  <c r="AW94" i="16"/>
  <c r="AW97" i="16" s="1"/>
  <c r="AW173" i="16" l="1"/>
  <c r="AW135" i="16" s="1"/>
  <c r="AW174" i="16"/>
  <c r="AW96" i="16"/>
  <c r="AW114" i="16" s="1"/>
  <c r="AW185" i="16"/>
  <c r="AW136" i="16" l="1"/>
  <c r="AW137" i="16" s="1"/>
  <c r="AX134" i="16" s="1"/>
  <c r="AW209" i="16"/>
  <c r="AW201" i="16"/>
  <c r="AW175" i="16"/>
  <c r="AX139" i="16" l="1"/>
  <c r="AX208" i="16" s="1"/>
  <c r="AW176" i="16"/>
  <c r="AW116" i="16" l="1"/>
  <c r="AW117" i="16" s="1"/>
  <c r="AX113" i="16" s="1"/>
  <c r="AW210" i="16"/>
  <c r="AW177" i="16"/>
  <c r="AW180" i="16" s="1"/>
  <c r="AX120" i="16" l="1"/>
  <c r="AX115" i="16"/>
  <c r="AX171" i="16" s="1"/>
  <c r="AX128" i="16"/>
  <c r="AX129" i="16" s="1"/>
  <c r="AX131" i="16" s="1"/>
  <c r="AX77" i="16" s="1"/>
  <c r="AX198" i="16"/>
  <c r="AX199" i="16" s="1"/>
  <c r="AX213" i="16" s="1"/>
  <c r="AX121" i="16" l="1"/>
  <c r="AX75" i="16" s="1"/>
  <c r="AX78" i="16" s="1"/>
  <c r="AX122" i="16" l="1"/>
  <c r="AX170" i="16" s="1"/>
  <c r="AX85" i="16"/>
  <c r="AX88" i="16" s="1"/>
  <c r="AX89" i="16" s="1"/>
  <c r="AY87" i="16" s="1"/>
  <c r="AX152" i="16" l="1"/>
  <c r="AY82" i="16"/>
  <c r="AY83" i="16" s="1"/>
  <c r="AX92" i="16"/>
  <c r="AX184" i="16"/>
  <c r="AX172" i="16"/>
  <c r="AX207" i="16"/>
  <c r="AX93" i="16" l="1"/>
  <c r="AX94" i="16"/>
  <c r="AX97" i="16" s="1"/>
  <c r="AX185" i="16"/>
  <c r="AX174" i="16"/>
  <c r="AX173" i="16"/>
  <c r="AX135" i="16" s="1"/>
  <c r="AX136" i="16" l="1"/>
  <c r="AX137" i="16" s="1"/>
  <c r="AY134" i="16" s="1"/>
  <c r="AX209" i="16"/>
  <c r="AX175" i="16"/>
  <c r="AX96" i="16"/>
  <c r="AX114" i="16" s="1"/>
  <c r="AX201" i="16"/>
  <c r="AY139" i="16" l="1"/>
  <c r="AY208" i="16" s="1"/>
  <c r="AX176" i="16"/>
  <c r="AX116" i="16" l="1"/>
  <c r="AX117" i="16" s="1"/>
  <c r="AY113" i="16" s="1"/>
  <c r="AX210" i="16"/>
  <c r="AX177" i="16"/>
  <c r="AX180" i="16" s="1"/>
  <c r="AY128" i="16" l="1"/>
  <c r="AY129" i="16" s="1"/>
  <c r="AY131" i="16" s="1"/>
  <c r="AY77" i="16" s="1"/>
  <c r="AY120" i="16"/>
  <c r="AY115" i="16"/>
  <c r="AY171" i="16" s="1"/>
  <c r="AY198" i="16"/>
  <c r="AY199" i="16" s="1"/>
  <c r="AY213" i="16" s="1"/>
  <c r="AY121" i="16" l="1"/>
  <c r="AY75" i="16" s="1"/>
  <c r="AY78" i="16" s="1"/>
  <c r="AY122" i="16" l="1"/>
  <c r="AY85" i="16"/>
  <c r="AY88" i="16" s="1"/>
  <c r="AY89" i="16" s="1"/>
  <c r="AZ87" i="16" s="1"/>
  <c r="AY92" i="16" l="1"/>
  <c r="AZ82" i="16"/>
  <c r="AZ83" i="16" s="1"/>
  <c r="AY170" i="16"/>
  <c r="AY152" i="16"/>
  <c r="AY184" i="16" l="1"/>
  <c r="AY172" i="16"/>
  <c r="AY207" i="16"/>
  <c r="AY93" i="16"/>
  <c r="AY94" i="16"/>
  <c r="AY97" i="16" s="1"/>
  <c r="AY173" i="16" l="1"/>
  <c r="AY135" i="16" s="1"/>
  <c r="AY174" i="16"/>
  <c r="AY96" i="16"/>
  <c r="AY114" i="16" s="1"/>
  <c r="AY185" i="16"/>
  <c r="AY201" i="16" l="1"/>
  <c r="AY136" i="16"/>
  <c r="AY137" i="16" s="1"/>
  <c r="AZ134" i="16" s="1"/>
  <c r="AY209" i="16"/>
  <c r="AY175" i="16"/>
  <c r="AY176" i="16" l="1"/>
  <c r="AZ139" i="16"/>
  <c r="AZ208" i="16" s="1"/>
  <c r="AY116" i="16" l="1"/>
  <c r="AY117" i="16" s="1"/>
  <c r="AZ113" i="16" s="1"/>
  <c r="AY210" i="16"/>
  <c r="AY177" i="16"/>
  <c r="AY180" i="16" s="1"/>
  <c r="AZ120" i="16" l="1"/>
  <c r="AZ128" i="16"/>
  <c r="AZ129" i="16" s="1"/>
  <c r="AZ131" i="16" s="1"/>
  <c r="AZ77" i="16" s="1"/>
  <c r="AZ115" i="16"/>
  <c r="AZ171" i="16" s="1"/>
  <c r="AZ198" i="16"/>
  <c r="AZ199" i="16" s="1"/>
  <c r="AZ213" i="16" s="1"/>
  <c r="AZ121" i="16" l="1"/>
  <c r="AZ75" i="16" s="1"/>
  <c r="AZ78" i="16" s="1"/>
  <c r="AZ122" i="16" l="1"/>
  <c r="AZ170" i="16" s="1"/>
  <c r="AZ85" i="16"/>
  <c r="AZ88" i="16" s="1"/>
  <c r="AZ89" i="16" s="1"/>
  <c r="BA87" i="16" s="1"/>
  <c r="AZ152" i="16" l="1"/>
  <c r="BA82" i="16"/>
  <c r="BA83" i="16" s="1"/>
  <c r="AZ92" i="16"/>
  <c r="AZ184" i="16"/>
  <c r="AZ172" i="16"/>
  <c r="AZ207" i="16"/>
  <c r="AZ185" i="16" l="1"/>
  <c r="AZ173" i="16"/>
  <c r="AZ135" i="16" s="1"/>
  <c r="AZ174" i="16"/>
  <c r="AZ93" i="16"/>
  <c r="AZ94" i="16"/>
  <c r="AZ97" i="16" s="1"/>
  <c r="AZ136" i="16" l="1"/>
  <c r="AZ137" i="16" s="1"/>
  <c r="BA134" i="16" s="1"/>
  <c r="AZ209" i="16"/>
  <c r="AZ175" i="16"/>
  <c r="AZ96" i="16"/>
  <c r="AZ114" i="16" s="1"/>
  <c r="AZ201" i="16"/>
  <c r="AZ176" i="16" l="1"/>
  <c r="AZ177" i="16" s="1"/>
  <c r="AZ180" i="16" s="1"/>
  <c r="BA139" i="16"/>
  <c r="BA208" i="16" s="1"/>
  <c r="AZ116" i="16" l="1"/>
  <c r="AZ117" i="16" s="1"/>
  <c r="BA113" i="16" s="1"/>
  <c r="AZ210" i="16"/>
  <c r="BA128" i="16" l="1"/>
  <c r="BA129" i="16" s="1"/>
  <c r="BA131" i="16" s="1"/>
  <c r="BA77" i="16" s="1"/>
  <c r="BA120" i="16"/>
  <c r="BA115" i="16"/>
  <c r="BA171" i="16" s="1"/>
  <c r="BA198" i="16"/>
  <c r="BA199" i="16" s="1"/>
  <c r="BA213" i="16" s="1"/>
  <c r="BA121" i="16" l="1"/>
  <c r="BA75" i="16" s="1"/>
  <c r="BA78" i="16" s="1"/>
  <c r="BA122" i="16" l="1"/>
  <c r="BA170" i="16" s="1"/>
  <c r="BA85" i="16"/>
  <c r="BA88" i="16" s="1"/>
  <c r="BA89" i="16" s="1"/>
  <c r="BB87" i="16" s="1"/>
  <c r="BA152" i="16" l="1"/>
  <c r="BB82" i="16"/>
  <c r="BB83" i="16" s="1"/>
  <c r="BA92" i="16"/>
  <c r="BA184" i="16"/>
  <c r="BA172" i="16"/>
  <c r="BA207" i="16"/>
  <c r="BA173" i="16" l="1"/>
  <c r="BA135" i="16" s="1"/>
  <c r="BA174" i="16"/>
  <c r="BA185" i="16"/>
  <c r="BA93" i="16"/>
  <c r="BA94" i="16"/>
  <c r="BA97" i="16" s="1"/>
  <c r="BA175" i="16" l="1"/>
  <c r="BA176" i="16" s="1"/>
  <c r="BA96" i="16"/>
  <c r="BA114" i="16" s="1"/>
  <c r="BA201" i="16"/>
  <c r="BA136" i="16"/>
  <c r="BA137" i="16" s="1"/>
  <c r="BB134" i="16" s="1"/>
  <c r="BA209" i="16"/>
  <c r="BB139" i="16" l="1"/>
  <c r="BB208" i="16" s="1"/>
  <c r="BA116" i="16"/>
  <c r="BA117" i="16" s="1"/>
  <c r="BB113" i="16" s="1"/>
  <c r="BA210" i="16"/>
  <c r="BA177" i="16"/>
  <c r="BA180" i="16" s="1"/>
  <c r="BB120" i="16" l="1"/>
  <c r="BB115" i="16"/>
  <c r="BB171" i="16" s="1"/>
  <c r="BB128" i="16"/>
  <c r="BB129" i="16" s="1"/>
  <c r="BB131" i="16" s="1"/>
  <c r="BB77" i="16" s="1"/>
  <c r="BB198" i="16"/>
  <c r="BB199" i="16" s="1"/>
  <c r="BB213" i="16" s="1"/>
  <c r="BB121" i="16" l="1"/>
  <c r="BB75" i="16" s="1"/>
  <c r="BB78" i="16" s="1"/>
  <c r="BB122" i="16" l="1"/>
  <c r="BB170" i="16" s="1"/>
  <c r="BB85" i="16"/>
  <c r="BB88" i="16" s="1"/>
  <c r="BB89" i="16" s="1"/>
  <c r="BC87" i="16" s="1"/>
  <c r="BB152" i="16" l="1"/>
  <c r="BC82" i="16"/>
  <c r="BC83" i="16" s="1"/>
  <c r="BB92" i="16"/>
  <c r="BB184" i="16"/>
  <c r="BB172" i="16"/>
  <c r="BB207" i="16"/>
  <c r="BB185" i="16" l="1"/>
  <c r="BB93" i="16"/>
  <c r="BB94" i="16"/>
  <c r="BB97" i="16" s="1"/>
  <c r="BB173" i="16"/>
  <c r="BB135" i="16" s="1"/>
  <c r="BB174" i="16"/>
  <c r="BB136" i="16" l="1"/>
  <c r="BB137" i="16" s="1"/>
  <c r="BC134" i="16" s="1"/>
  <c r="BB209" i="16"/>
  <c r="BB175" i="16"/>
  <c r="BB96" i="16"/>
  <c r="BB114" i="16" s="1"/>
  <c r="BB201" i="16"/>
  <c r="BC139" i="16" l="1"/>
  <c r="BC208" i="16" s="1"/>
  <c r="BB176" i="16"/>
  <c r="BB116" i="16" l="1"/>
  <c r="BB117" i="16" s="1"/>
  <c r="BC113" i="16" s="1"/>
  <c r="BB210" i="16"/>
  <c r="BB177" i="16"/>
  <c r="BB180" i="16" s="1"/>
  <c r="BC128" i="16" l="1"/>
  <c r="BC129" i="16" s="1"/>
  <c r="BC131" i="16" s="1"/>
  <c r="BC77" i="16" s="1"/>
  <c r="BC120" i="16"/>
  <c r="BC115" i="16"/>
  <c r="BC171" i="16" s="1"/>
  <c r="BC198" i="16"/>
  <c r="BC199" i="16" s="1"/>
  <c r="BC213" i="16" s="1"/>
  <c r="BC121" i="16" l="1"/>
  <c r="BC75" i="16" s="1"/>
  <c r="BC78" i="16" s="1"/>
  <c r="BC122" i="16" l="1"/>
  <c r="BC170" i="16" s="1"/>
  <c r="BC85" i="16"/>
  <c r="BC88" i="16" s="1"/>
  <c r="BC89" i="16" s="1"/>
  <c r="BD87" i="16" s="1"/>
  <c r="BC152" i="16" l="1"/>
  <c r="BD82" i="16"/>
  <c r="BD83" i="16" s="1"/>
  <c r="BC92" i="16"/>
  <c r="BC184" i="16"/>
  <c r="BC172" i="16"/>
  <c r="BC207" i="16"/>
  <c r="BC173" i="16" l="1"/>
  <c r="BC135" i="16" s="1"/>
  <c r="BC174" i="16"/>
  <c r="BC185" i="16"/>
  <c r="BC93" i="16"/>
  <c r="BC94" i="16"/>
  <c r="BC97" i="16" s="1"/>
  <c r="BC175" i="16" l="1"/>
  <c r="BC176" i="16" s="1"/>
  <c r="BC96" i="16"/>
  <c r="BC114" i="16" s="1"/>
  <c r="BC201" i="16"/>
  <c r="BC136" i="16"/>
  <c r="BC137" i="16" s="1"/>
  <c r="BD134" i="16" s="1"/>
  <c r="BC209" i="16"/>
  <c r="BD139" i="16" l="1"/>
  <c r="BD208" i="16" s="1"/>
  <c r="BC116" i="16"/>
  <c r="BC117" i="16" s="1"/>
  <c r="BD113" i="16" s="1"/>
  <c r="BC210" i="16"/>
  <c r="BC177" i="16"/>
  <c r="BC180" i="16" s="1"/>
  <c r="BD120" i="16" l="1"/>
  <c r="BD115" i="16"/>
  <c r="BD171" i="16" s="1"/>
  <c r="BD128" i="16"/>
  <c r="BD129" i="16" s="1"/>
  <c r="BD131" i="16" s="1"/>
  <c r="BD77" i="16" s="1"/>
  <c r="BD198" i="16"/>
  <c r="BD199" i="16" s="1"/>
  <c r="BD213" i="16" s="1"/>
  <c r="BD121" i="16" l="1"/>
  <c r="BD75" i="16" s="1"/>
  <c r="BD78" i="16" s="1"/>
  <c r="BD85" i="16" l="1"/>
  <c r="BD88" i="16" s="1"/>
  <c r="BD89" i="16" s="1"/>
  <c r="BE87" i="16" s="1"/>
  <c r="BD122" i="16"/>
  <c r="BD170" i="16" l="1"/>
  <c r="BD152" i="16"/>
  <c r="BE82" i="16"/>
  <c r="BE83" i="16" s="1"/>
  <c r="BD92" i="16"/>
  <c r="BD93" i="16" l="1"/>
  <c r="BD94" i="16"/>
  <c r="BD97" i="16" s="1"/>
  <c r="BD184" i="16"/>
  <c r="BD172" i="16"/>
  <c r="BD207" i="16"/>
  <c r="BD185" i="16" l="1"/>
  <c r="BD173" i="16"/>
  <c r="BD135" i="16" s="1"/>
  <c r="BD174" i="16"/>
  <c r="BD96" i="16"/>
  <c r="BD114" i="16" s="1"/>
  <c r="BD201" i="16" l="1"/>
  <c r="BD175" i="16"/>
  <c r="BD136" i="16"/>
  <c r="BD137" i="16" s="1"/>
  <c r="BE134" i="16" s="1"/>
  <c r="BD209" i="16"/>
  <c r="BE139" i="16" l="1"/>
  <c r="BE208" i="16" s="1"/>
  <c r="BD176" i="16"/>
  <c r="BD177" i="16" s="1"/>
  <c r="BD180" i="16" s="1"/>
  <c r="BD116" i="16" l="1"/>
  <c r="BD117" i="16" s="1"/>
  <c r="BE113" i="16" s="1"/>
  <c r="BD210" i="16"/>
  <c r="BE128" i="16" l="1"/>
  <c r="BE129" i="16" s="1"/>
  <c r="BE131" i="16" s="1"/>
  <c r="BE77" i="16" s="1"/>
  <c r="BE120" i="16"/>
  <c r="BE115" i="16"/>
  <c r="BE171" i="16" s="1"/>
  <c r="BE198" i="16"/>
  <c r="BE199" i="16" s="1"/>
  <c r="BE213" i="16" s="1"/>
  <c r="BE121" i="16" l="1"/>
  <c r="BE75" i="16" s="1"/>
  <c r="BE78" i="16" s="1"/>
  <c r="BE85" i="16" l="1"/>
  <c r="BE88" i="16" s="1"/>
  <c r="BE89" i="16" s="1"/>
  <c r="BF87" i="16" s="1"/>
  <c r="BE122" i="16"/>
  <c r="BE170" i="16" l="1"/>
  <c r="BE152" i="16"/>
  <c r="BF82" i="16"/>
  <c r="BF83" i="16" s="1"/>
  <c r="BE92" i="16"/>
  <c r="BE93" i="16" l="1"/>
  <c r="BE94" i="16"/>
  <c r="BE97" i="16" s="1"/>
  <c r="BE184" i="16"/>
  <c r="BE172" i="16"/>
  <c r="BE207" i="16"/>
  <c r="BE173" i="16" l="1"/>
  <c r="BE135" i="16" s="1"/>
  <c r="BE174" i="16"/>
  <c r="BE185" i="16"/>
  <c r="BE96" i="16"/>
  <c r="BE114" i="16" s="1"/>
  <c r="BE175" i="16" l="1"/>
  <c r="BE176" i="16" s="1"/>
  <c r="BE177" i="16" s="1"/>
  <c r="BE180" i="16" s="1"/>
  <c r="BE201" i="16"/>
  <c r="BE136" i="16"/>
  <c r="BE137" i="16" s="1"/>
  <c r="BF134" i="16" s="1"/>
  <c r="BE209" i="16"/>
  <c r="BF139" i="16" l="1"/>
  <c r="BF208" i="16" s="1"/>
  <c r="BE116" i="16"/>
  <c r="BE117" i="16" s="1"/>
  <c r="BF113" i="16" s="1"/>
  <c r="BE210" i="16"/>
  <c r="BF120" i="16" l="1"/>
  <c r="BF115" i="16"/>
  <c r="BF171" i="16" s="1"/>
  <c r="BF128" i="16"/>
  <c r="BF129" i="16" s="1"/>
  <c r="BF131" i="16" s="1"/>
  <c r="BF77" i="16" s="1"/>
  <c r="BF198" i="16"/>
  <c r="BF199" i="16" s="1"/>
  <c r="BF213" i="16" s="1"/>
  <c r="BF121" i="16" l="1"/>
  <c r="BF75" i="16" s="1"/>
  <c r="BF78" i="16" s="1"/>
  <c r="BF122" i="16" l="1"/>
  <c r="BF170" i="16" s="1"/>
  <c r="BF85" i="16"/>
  <c r="BF88" i="16" s="1"/>
  <c r="BF89" i="16" s="1"/>
  <c r="BG87" i="16" s="1"/>
  <c r="BF152" i="16" l="1"/>
  <c r="BG82" i="16"/>
  <c r="BG83" i="16" s="1"/>
  <c r="BF184" i="16"/>
  <c r="BF172" i="16"/>
  <c r="BF207" i="16"/>
  <c r="BF92" i="16"/>
  <c r="BF93" i="16" l="1"/>
  <c r="BF94" i="16"/>
  <c r="BF97" i="16" s="1"/>
  <c r="BF173" i="16"/>
  <c r="BF135" i="16" s="1"/>
  <c r="BF174" i="16"/>
  <c r="BF185" i="16"/>
  <c r="BF136" i="16" l="1"/>
  <c r="BF137" i="16" s="1"/>
  <c r="BG134" i="16" s="1"/>
  <c r="BF209" i="16"/>
  <c r="BF175" i="16"/>
  <c r="BF96" i="16"/>
  <c r="BF114" i="16" s="1"/>
  <c r="BF201" i="16"/>
  <c r="BF176" i="16" l="1"/>
  <c r="BG139" i="16"/>
  <c r="BG208" i="16" s="1"/>
  <c r="BF116" i="16" l="1"/>
  <c r="BF117" i="16" s="1"/>
  <c r="BG113" i="16" s="1"/>
  <c r="BF210" i="16"/>
  <c r="BF177" i="16"/>
  <c r="BF180" i="16" s="1"/>
  <c r="BG128" i="16" l="1"/>
  <c r="BG129" i="16" s="1"/>
  <c r="BG131" i="16" s="1"/>
  <c r="BG77" i="16" s="1"/>
  <c r="BG115" i="16"/>
  <c r="BG171" i="16" s="1"/>
  <c r="BG120" i="16"/>
  <c r="BG198" i="16"/>
  <c r="BG199" i="16" s="1"/>
  <c r="BG213" i="16" s="1"/>
  <c r="BG121" i="16" l="1"/>
  <c r="BG75" i="16" s="1"/>
  <c r="BG78" i="16" s="1"/>
  <c r="BG85" i="16" l="1"/>
  <c r="BG88" i="16" s="1"/>
  <c r="BG89" i="16" s="1"/>
  <c r="BH87" i="16" s="1"/>
  <c r="BG122" i="16"/>
  <c r="BG170" i="16" l="1"/>
  <c r="BG152" i="16"/>
  <c r="BH82" i="16"/>
  <c r="BH83" i="16" s="1"/>
  <c r="BG92" i="16"/>
  <c r="BG93" i="16" l="1"/>
  <c r="BG94" i="16"/>
  <c r="BG97" i="16" s="1"/>
  <c r="BG184" i="16"/>
  <c r="BG172" i="16"/>
  <c r="BG207" i="16"/>
  <c r="BG173" i="16" l="1"/>
  <c r="BG135" i="16" s="1"/>
  <c r="BG174" i="16"/>
  <c r="BG96" i="16"/>
  <c r="BG114" i="16" s="1"/>
  <c r="BG185" i="16"/>
  <c r="BG175" i="16" l="1"/>
  <c r="BG176" i="16" s="1"/>
  <c r="BG201" i="16"/>
  <c r="BG136" i="16"/>
  <c r="BG137" i="16" s="1"/>
  <c r="BH134" i="16" s="1"/>
  <c r="BG209" i="16"/>
  <c r="BG116" i="16" l="1"/>
  <c r="BG117" i="16" s="1"/>
  <c r="BH113" i="16" s="1"/>
  <c r="BG210" i="16"/>
  <c r="BG177" i="16"/>
  <c r="BG180" i="16" s="1"/>
  <c r="BH139" i="16"/>
  <c r="BH208" i="16" s="1"/>
  <c r="BH120" i="16" l="1"/>
  <c r="BH115" i="16"/>
  <c r="BH171" i="16" s="1"/>
  <c r="BH128" i="16"/>
  <c r="BH129" i="16" s="1"/>
  <c r="BH131" i="16" s="1"/>
  <c r="BH77" i="16" s="1"/>
  <c r="BH198" i="16"/>
  <c r="BH199" i="16" s="1"/>
  <c r="BH213" i="16" s="1"/>
  <c r="BH121" i="16" l="1"/>
  <c r="BH75" i="16" s="1"/>
  <c r="BH78" i="16" s="1"/>
  <c r="BH122" i="16" l="1"/>
  <c r="BH170" i="16" s="1"/>
  <c r="BH85" i="16"/>
  <c r="BH88" i="16" s="1"/>
  <c r="BH89" i="16" s="1"/>
  <c r="BI87" i="16" s="1"/>
  <c r="BH152" i="16" l="1"/>
  <c r="BH92" i="16"/>
  <c r="BI82" i="16"/>
  <c r="BI83" i="16" s="1"/>
  <c r="BH184" i="16"/>
  <c r="BH172" i="16"/>
  <c r="BH207" i="16"/>
  <c r="BH173" i="16" l="1"/>
  <c r="BH135" i="16" s="1"/>
  <c r="BH174" i="16"/>
  <c r="BH185" i="16"/>
  <c r="BH93" i="16"/>
  <c r="BH94" i="16"/>
  <c r="BH97" i="16" s="1"/>
  <c r="BH136" i="16" l="1"/>
  <c r="BH137" i="16" s="1"/>
  <c r="BI134" i="16" s="1"/>
  <c r="BH209" i="16"/>
  <c r="BH96" i="16"/>
  <c r="BH114" i="16" s="1"/>
  <c r="BH201" i="16"/>
  <c r="BH175" i="16"/>
  <c r="BH176" i="16" l="1"/>
  <c r="BI139" i="16"/>
  <c r="BI208" i="16" s="1"/>
  <c r="BH116" i="16" l="1"/>
  <c r="BH117" i="16" s="1"/>
  <c r="BI113" i="16" s="1"/>
  <c r="BH210" i="16"/>
  <c r="BH177" i="16"/>
  <c r="BH180" i="16" s="1"/>
  <c r="BI128" i="16" l="1"/>
  <c r="BI129" i="16" s="1"/>
  <c r="BI131" i="16" s="1"/>
  <c r="BI77" i="16" s="1"/>
  <c r="BI115" i="16"/>
  <c r="BI171" i="16" s="1"/>
  <c r="BI120" i="16"/>
  <c r="BI198" i="16"/>
  <c r="BI199" i="16" s="1"/>
  <c r="BI213" i="16" s="1"/>
  <c r="BI121" i="16" l="1"/>
  <c r="BI75" i="16" s="1"/>
  <c r="BI78" i="16" s="1"/>
  <c r="BI122" i="16" l="1"/>
  <c r="BI170" i="16" s="1"/>
  <c r="BI85" i="16"/>
  <c r="BI88" i="16" s="1"/>
  <c r="BI89" i="16" s="1"/>
  <c r="BJ87" i="16" s="1"/>
  <c r="BI152" i="16" l="1"/>
  <c r="BJ82" i="16"/>
  <c r="BJ83" i="16" s="1"/>
  <c r="BI92" i="16"/>
  <c r="BI184" i="16"/>
  <c r="BI172" i="16"/>
  <c r="BI207" i="16"/>
  <c r="BI173" i="16" l="1"/>
  <c r="BI135" i="16" s="1"/>
  <c r="BI174" i="16"/>
  <c r="BI185" i="16"/>
  <c r="BI93" i="16"/>
  <c r="BI94" i="16"/>
  <c r="BI97" i="16" s="1"/>
  <c r="BI175" i="16" l="1"/>
  <c r="BI176" i="16" s="1"/>
  <c r="BI96" i="16"/>
  <c r="BI114" i="16" s="1"/>
  <c r="BI201" i="16"/>
  <c r="BI136" i="16"/>
  <c r="BI137" i="16" s="1"/>
  <c r="BJ134" i="16" s="1"/>
  <c r="BI209" i="16"/>
  <c r="BJ139" i="16" l="1"/>
  <c r="BJ208" i="16" s="1"/>
  <c r="BI116" i="16"/>
  <c r="BI117" i="16" s="1"/>
  <c r="BJ113" i="16" s="1"/>
  <c r="BI210" i="16"/>
  <c r="BI177" i="16"/>
  <c r="BI180" i="16" s="1"/>
  <c r="BJ120" i="16" l="1"/>
  <c r="BJ115" i="16"/>
  <c r="BJ171" i="16" s="1"/>
  <c r="BJ128" i="16"/>
  <c r="BJ129" i="16" s="1"/>
  <c r="BJ131" i="16" s="1"/>
  <c r="BJ77" i="16" s="1"/>
  <c r="BJ198" i="16"/>
  <c r="BJ199" i="16" s="1"/>
  <c r="BJ213" i="16" s="1"/>
  <c r="BJ121" i="16" l="1"/>
  <c r="BJ75" i="16" s="1"/>
  <c r="BJ78" i="16" s="1"/>
  <c r="BJ122" i="16" l="1"/>
  <c r="BJ170" i="16" s="1"/>
  <c r="BJ85" i="16"/>
  <c r="BJ88" i="16" s="1"/>
  <c r="BJ89" i="16" s="1"/>
  <c r="BK87" i="16" s="1"/>
  <c r="BJ152" i="16" l="1"/>
  <c r="BJ184" i="16"/>
  <c r="BJ172" i="16"/>
  <c r="BJ207" i="16"/>
  <c r="BK82" i="16"/>
  <c r="BK83" i="16" s="1"/>
  <c r="BJ92" i="16"/>
  <c r="BJ93" i="16" l="1"/>
  <c r="BJ94" i="16"/>
  <c r="BJ97" i="16" s="1"/>
  <c r="BJ173" i="16"/>
  <c r="BJ135" i="16" s="1"/>
  <c r="BJ174" i="16"/>
  <c r="BJ185" i="16"/>
  <c r="BJ175" i="16" l="1"/>
  <c r="BJ176" i="16" s="1"/>
  <c r="BJ136" i="16"/>
  <c r="BJ137" i="16" s="1"/>
  <c r="BK134" i="16" s="1"/>
  <c r="BJ209" i="16"/>
  <c r="BJ96" i="16"/>
  <c r="BJ114" i="16" s="1"/>
  <c r="BJ201" i="16"/>
  <c r="BK139" i="16" l="1"/>
  <c r="BK208" i="16" s="1"/>
  <c r="BJ116" i="16"/>
  <c r="BJ117" i="16" s="1"/>
  <c r="BK113" i="16" s="1"/>
  <c r="BJ210" i="16"/>
  <c r="BJ177" i="16"/>
  <c r="BJ180" i="16" s="1"/>
  <c r="BK128" i="16" l="1"/>
  <c r="BK129" i="16" s="1"/>
  <c r="BK131" i="16" s="1"/>
  <c r="BK77" i="16" s="1"/>
  <c r="BK115" i="16"/>
  <c r="BK171" i="16" s="1"/>
  <c r="BK120" i="16"/>
  <c r="BK198" i="16"/>
  <c r="BK199" i="16" s="1"/>
  <c r="BK213" i="16" s="1"/>
  <c r="BK121" i="16" l="1"/>
  <c r="BK75" i="16" s="1"/>
  <c r="BK78" i="16" s="1"/>
  <c r="BK85" i="16" l="1"/>
  <c r="BK88" i="16" s="1"/>
  <c r="BK89" i="16" s="1"/>
  <c r="BL87" i="16" s="1"/>
  <c r="BK122" i="16"/>
  <c r="BL82" i="16" l="1"/>
  <c r="BL83" i="16" s="1"/>
  <c r="BK170" i="16"/>
  <c r="BK152" i="16"/>
  <c r="BK92" i="16"/>
  <c r="BK93" i="16" l="1"/>
  <c r="BK94" i="16"/>
  <c r="BK97" i="16" s="1"/>
  <c r="BK184" i="16"/>
  <c r="BK172" i="16"/>
  <c r="BK207" i="16"/>
  <c r="BK173" i="16" l="1"/>
  <c r="BK135" i="16" s="1"/>
  <c r="BK174" i="16"/>
  <c r="BK185" i="16"/>
  <c r="BK96" i="16"/>
  <c r="BK114" i="16" s="1"/>
  <c r="BK201" i="16" l="1"/>
  <c r="BK175" i="16"/>
  <c r="BK176" i="16" s="1"/>
  <c r="BK136" i="16"/>
  <c r="BK137" i="16" s="1"/>
  <c r="BL134" i="16" s="1"/>
  <c r="BK209" i="16"/>
  <c r="BL139" i="16" l="1"/>
  <c r="BL208" i="16" s="1"/>
  <c r="BK116" i="16"/>
  <c r="BK117" i="16" s="1"/>
  <c r="BL113" i="16" s="1"/>
  <c r="BK210" i="16"/>
  <c r="BK177" i="16"/>
  <c r="BK180" i="16" s="1"/>
  <c r="BL120" i="16" l="1"/>
  <c r="BL115" i="16"/>
  <c r="BL171" i="16" s="1"/>
  <c r="BL128" i="16"/>
  <c r="BL129" i="16" s="1"/>
  <c r="BL131" i="16" s="1"/>
  <c r="BL77" i="16" s="1"/>
  <c r="BL198" i="16"/>
  <c r="BL199" i="16" s="1"/>
  <c r="BL213" i="16" s="1"/>
  <c r="BL121" i="16" l="1"/>
  <c r="BL75" i="16" s="1"/>
  <c r="BL78" i="16" s="1"/>
  <c r="BL122" i="16" l="1"/>
  <c r="BL170" i="16" s="1"/>
  <c r="BL85" i="16"/>
  <c r="BL88" i="16" s="1"/>
  <c r="BL89" i="16" s="1"/>
  <c r="BM87" i="16" s="1"/>
  <c r="BL152" i="16" l="1"/>
  <c r="BL92" i="16"/>
  <c r="BM82" i="16"/>
  <c r="BM83" i="16" s="1"/>
  <c r="BL184" i="16"/>
  <c r="BL172" i="16"/>
  <c r="BL207" i="16"/>
  <c r="BL173" i="16" l="1"/>
  <c r="BL135" i="16" s="1"/>
  <c r="BL174" i="16"/>
  <c r="BL185" i="16"/>
  <c r="BL93" i="16"/>
  <c r="BL94" i="16"/>
  <c r="BL97" i="16" s="1"/>
  <c r="BL96" i="16" l="1"/>
  <c r="BL114" i="16" s="1"/>
  <c r="BL201" i="16"/>
  <c r="BL136" i="16"/>
  <c r="BL137" i="16" s="1"/>
  <c r="BM134" i="16" s="1"/>
  <c r="BL209" i="16"/>
  <c r="BL175" i="16"/>
  <c r="BM139" i="16" l="1"/>
  <c r="BM208" i="16" s="1"/>
  <c r="BL176" i="16"/>
  <c r="BL116" i="16" l="1"/>
  <c r="BL117" i="16" s="1"/>
  <c r="BM113" i="16" s="1"/>
  <c r="BL210" i="16"/>
  <c r="BL177" i="16"/>
  <c r="BL180" i="16" s="1"/>
  <c r="BM128" i="16" l="1"/>
  <c r="BM129" i="16" s="1"/>
  <c r="BM131" i="16" s="1"/>
  <c r="BM77" i="16" s="1"/>
  <c r="BM115" i="16"/>
  <c r="BM171" i="16" s="1"/>
  <c r="BM120" i="16"/>
  <c r="BM198" i="16"/>
  <c r="BM199" i="16" s="1"/>
  <c r="BM213" i="16" s="1"/>
  <c r="BM121" i="16" l="1"/>
  <c r="BM75" i="16" s="1"/>
  <c r="BM78" i="16" s="1"/>
  <c r="BM122" i="16" l="1"/>
  <c r="BM85" i="16"/>
  <c r="BM88" i="16" s="1"/>
  <c r="BM89" i="16" s="1"/>
  <c r="BN87" i="16" s="1"/>
  <c r="BN82" i="16" l="1"/>
  <c r="BN83" i="16" s="1"/>
  <c r="BM92" i="16"/>
  <c r="BM170" i="16"/>
  <c r="BM152" i="16"/>
  <c r="BM184" i="16" l="1"/>
  <c r="BM172" i="16"/>
  <c r="BM207" i="16"/>
  <c r="BM93" i="16"/>
  <c r="BM94" i="16"/>
  <c r="BM97" i="16" s="1"/>
  <c r="BM173" i="16" l="1"/>
  <c r="BM135" i="16" s="1"/>
  <c r="BM174" i="16"/>
  <c r="BM96" i="16"/>
  <c r="BM114" i="16" s="1"/>
  <c r="BM185" i="16"/>
  <c r="BM201" i="16" l="1"/>
  <c r="BM175" i="16"/>
  <c r="BM176" i="16" s="1"/>
  <c r="BM136" i="16"/>
  <c r="BM137" i="16" s="1"/>
  <c r="BN134" i="16" s="1"/>
  <c r="BM209" i="16"/>
  <c r="BM116" i="16" l="1"/>
  <c r="BM117" i="16" s="1"/>
  <c r="BN113" i="16" s="1"/>
  <c r="BM210" i="16"/>
  <c r="BN139" i="16"/>
  <c r="BN208" i="16" s="1"/>
  <c r="BM177" i="16"/>
  <c r="BM180" i="16" s="1"/>
  <c r="BN115" i="16" l="1"/>
  <c r="BN171" i="16" s="1"/>
  <c r="BN128" i="16"/>
  <c r="BN129" i="16" s="1"/>
  <c r="BN131" i="16" s="1"/>
  <c r="BN77" i="16" s="1"/>
  <c r="BN120" i="16"/>
  <c r="BN198" i="16"/>
  <c r="BN199" i="16" s="1"/>
  <c r="BN213" i="16" s="1"/>
  <c r="BN121" i="16" l="1"/>
  <c r="BN75" i="16" s="1"/>
  <c r="BN78" i="16" s="1"/>
  <c r="BN122" i="16" l="1"/>
  <c r="BN152" i="16" s="1"/>
  <c r="BN85" i="16"/>
  <c r="BN88" i="16" s="1"/>
  <c r="BN89" i="16" s="1"/>
  <c r="BO87" i="16" s="1"/>
  <c r="BN170" i="16" l="1"/>
  <c r="BN184" i="16" s="1"/>
  <c r="BO82" i="16"/>
  <c r="BO83" i="16" s="1"/>
  <c r="BN92" i="16"/>
  <c r="BN207" i="16" l="1"/>
  <c r="BN172" i="16"/>
  <c r="BN173" i="16" s="1"/>
  <c r="BN135" i="16" s="1"/>
  <c r="BN185" i="16"/>
  <c r="BN93" i="16"/>
  <c r="BN94" i="16"/>
  <c r="BN97" i="16" s="1"/>
  <c r="BN174" i="16" l="1"/>
  <c r="BN175" i="16" s="1"/>
  <c r="BN176" i="16" s="1"/>
  <c r="BN96" i="16"/>
  <c r="BN114" i="16" s="1"/>
  <c r="BN136" i="16" l="1"/>
  <c r="BN137" i="16" s="1"/>
  <c r="BO134" i="16" s="1"/>
  <c r="BO139" i="16" s="1"/>
  <c r="BO208" i="16" s="1"/>
  <c r="BN209" i="16"/>
  <c r="BN201" i="16"/>
  <c r="BN116" i="16"/>
  <c r="BN117" i="16" s="1"/>
  <c r="BO113" i="16" s="1"/>
  <c r="BN210" i="16"/>
  <c r="BN177" i="16"/>
  <c r="BN180" i="16" s="1"/>
  <c r="BO120" i="16" l="1"/>
  <c r="BO115" i="16"/>
  <c r="BO171" i="16" s="1"/>
  <c r="BO128" i="16"/>
  <c r="BO129" i="16" s="1"/>
  <c r="BO131" i="16" s="1"/>
  <c r="BO77" i="16" s="1"/>
  <c r="BO198" i="16"/>
  <c r="BO199" i="16" s="1"/>
  <c r="BO213" i="16" s="1"/>
  <c r="BO121" i="16" l="1"/>
  <c r="BO75" i="16" s="1"/>
  <c r="BO78" i="16" s="1"/>
  <c r="BO122" i="16" l="1"/>
  <c r="BO85" i="16"/>
  <c r="BO88" i="16" s="1"/>
  <c r="BO89" i="16" s="1"/>
  <c r="BP87" i="16" s="1"/>
  <c r="BP82" i="16" l="1"/>
  <c r="BP83" i="16" s="1"/>
  <c r="BO92" i="16"/>
  <c r="BO170" i="16"/>
  <c r="BO152" i="16"/>
  <c r="BO184" i="16" l="1"/>
  <c r="BO172" i="16"/>
  <c r="BO207" i="16"/>
  <c r="BO93" i="16"/>
  <c r="BO94" i="16"/>
  <c r="BO97" i="16" s="1"/>
  <c r="BO173" i="16" l="1"/>
  <c r="BO135" i="16" s="1"/>
  <c r="BO174" i="16"/>
  <c r="BO96" i="16"/>
  <c r="BO114" i="16" s="1"/>
  <c r="BO185" i="16"/>
  <c r="BO175" i="16" l="1"/>
  <c r="BO176" i="16" s="1"/>
  <c r="BO201" i="16"/>
  <c r="BO136" i="16"/>
  <c r="BO137" i="16" s="1"/>
  <c r="BP134" i="16" s="1"/>
  <c r="BO209" i="16"/>
  <c r="BP139" i="16" l="1"/>
  <c r="BP208" i="16" s="1"/>
  <c r="BO116" i="16"/>
  <c r="BO117" i="16" s="1"/>
  <c r="BP113" i="16" s="1"/>
  <c r="BO210" i="16"/>
  <c r="BO177" i="16"/>
  <c r="BO180" i="16" s="1"/>
  <c r="BP115" i="16" l="1"/>
  <c r="BP171" i="16" s="1"/>
  <c r="BP128" i="16"/>
  <c r="BP129" i="16" s="1"/>
  <c r="BP131" i="16" s="1"/>
  <c r="BP77" i="16" s="1"/>
  <c r="BP120" i="16"/>
  <c r="BP198" i="16"/>
  <c r="BP199" i="16" s="1"/>
  <c r="BP213" i="16" s="1"/>
  <c r="BP121" i="16" l="1"/>
  <c r="BP75" i="16" s="1"/>
  <c r="BP78" i="16" s="1"/>
  <c r="BP122" i="16" l="1"/>
  <c r="BP170" i="16" s="1"/>
  <c r="BP85" i="16"/>
  <c r="BP88" i="16" s="1"/>
  <c r="BP89" i="16" s="1"/>
  <c r="BQ87" i="16" s="1"/>
  <c r="BP152" i="16" l="1"/>
  <c r="BP92" i="16"/>
  <c r="BQ82" i="16"/>
  <c r="BQ83" i="16" s="1"/>
  <c r="BP184" i="16"/>
  <c r="BP172" i="16"/>
  <c r="BP207" i="16"/>
  <c r="BP173" i="16" l="1"/>
  <c r="BP135" i="16" s="1"/>
  <c r="BP174" i="16"/>
  <c r="BP185" i="16"/>
  <c r="BP93" i="16"/>
  <c r="BP94" i="16"/>
  <c r="BP97" i="16" s="1"/>
  <c r="BP175" i="16" l="1"/>
  <c r="BP176" i="16" s="1"/>
  <c r="BP177" i="16" s="1"/>
  <c r="BP180" i="16" s="1"/>
  <c r="BP96" i="16"/>
  <c r="BP114" i="16" s="1"/>
  <c r="BP201" i="16"/>
  <c r="BP136" i="16"/>
  <c r="BP137" i="16" s="1"/>
  <c r="BQ134" i="16" s="1"/>
  <c r="BP209" i="16"/>
  <c r="BQ139" i="16" l="1"/>
  <c r="BQ208" i="16" s="1"/>
  <c r="BP116" i="16"/>
  <c r="BP117" i="16" s="1"/>
  <c r="BQ113" i="16" s="1"/>
  <c r="BP210" i="16"/>
  <c r="BQ120" i="16" l="1"/>
  <c r="BQ115" i="16"/>
  <c r="BQ171" i="16" s="1"/>
  <c r="BQ128" i="16"/>
  <c r="BQ129" i="16" s="1"/>
  <c r="BQ131" i="16" s="1"/>
  <c r="BQ77" i="16" s="1"/>
  <c r="BQ198" i="16"/>
  <c r="BQ199" i="16" s="1"/>
  <c r="BQ213" i="16" s="1"/>
  <c r="BQ121" i="16" l="1"/>
  <c r="BQ75" i="16" s="1"/>
  <c r="BQ78" i="16" s="1"/>
  <c r="BQ85" i="16" l="1"/>
  <c r="BQ88" i="16" s="1"/>
  <c r="BQ89" i="16" s="1"/>
  <c r="BR87" i="16" s="1"/>
  <c r="BQ122" i="16"/>
  <c r="BQ170" i="16" l="1"/>
  <c r="BQ152" i="16"/>
  <c r="BR82" i="16"/>
  <c r="BR83" i="16" s="1"/>
  <c r="BQ92" i="16"/>
  <c r="BQ93" i="16" l="1"/>
  <c r="BQ94" i="16"/>
  <c r="BQ97" i="16" s="1"/>
  <c r="BQ184" i="16"/>
  <c r="BQ172" i="16"/>
  <c r="BQ207" i="16"/>
  <c r="BQ173" i="16" l="1"/>
  <c r="BQ135" i="16" s="1"/>
  <c r="BQ174" i="16"/>
  <c r="BQ185" i="16"/>
  <c r="BQ96" i="16"/>
  <c r="BQ114" i="16" s="1"/>
  <c r="BQ175" i="16" l="1"/>
  <c r="BQ176" i="16" s="1"/>
  <c r="BQ201" i="16"/>
  <c r="BQ136" i="16"/>
  <c r="BQ137" i="16" s="1"/>
  <c r="BR134" i="16" s="1"/>
  <c r="BQ209" i="16"/>
  <c r="BQ116" i="16" l="1"/>
  <c r="BQ117" i="16" s="1"/>
  <c r="BR113" i="16" s="1"/>
  <c r="BQ210" i="16"/>
  <c r="BR139" i="16"/>
  <c r="BR208" i="16" s="1"/>
  <c r="BQ177" i="16"/>
  <c r="BQ180" i="16" s="1"/>
  <c r="BR115" i="16" l="1"/>
  <c r="BR171" i="16" s="1"/>
  <c r="BR128" i="16"/>
  <c r="BR129" i="16" s="1"/>
  <c r="BR131" i="16" s="1"/>
  <c r="BR77" i="16" s="1"/>
  <c r="BR120" i="16"/>
  <c r="BR198" i="16"/>
  <c r="BR199" i="16" s="1"/>
  <c r="BR213" i="16" s="1"/>
  <c r="BR121" i="16" l="1"/>
  <c r="BR75" i="16" s="1"/>
  <c r="BR78" i="16" s="1"/>
  <c r="BR85" i="16" l="1"/>
  <c r="BR88" i="16" s="1"/>
  <c r="BR89" i="16" s="1"/>
  <c r="BS87" i="16" s="1"/>
  <c r="BR122" i="16"/>
  <c r="BS82" i="16" l="1"/>
  <c r="BS83" i="16" s="1"/>
  <c r="BR170" i="16"/>
  <c r="BR152" i="16"/>
  <c r="BR92" i="16"/>
  <c r="BR93" i="16" l="1"/>
  <c r="BR94" i="16"/>
  <c r="BR97" i="16" s="1"/>
  <c r="BR184" i="16"/>
  <c r="BR172" i="16"/>
  <c r="BR207" i="16"/>
  <c r="BR173" i="16" l="1"/>
  <c r="BR135" i="16" s="1"/>
  <c r="BR174" i="16"/>
  <c r="BR185" i="16"/>
  <c r="BR96" i="16"/>
  <c r="BR114" i="16" s="1"/>
  <c r="BR201" i="16" l="1"/>
  <c r="BR175" i="16"/>
  <c r="BR136" i="16"/>
  <c r="BR137" i="16" s="1"/>
  <c r="BS134" i="16" s="1"/>
  <c r="BR209" i="16"/>
  <c r="BS139" i="16" l="1"/>
  <c r="BS208" i="16" s="1"/>
  <c r="BR176" i="16"/>
  <c r="BR177" i="16" s="1"/>
  <c r="BR180" i="16" s="1"/>
  <c r="BR116" i="16" l="1"/>
  <c r="BR117" i="16" s="1"/>
  <c r="BS113" i="16" s="1"/>
  <c r="BR210" i="16"/>
  <c r="BS120" i="16" l="1"/>
  <c r="BS115" i="16"/>
  <c r="BS171" i="16" s="1"/>
  <c r="BS128" i="16"/>
  <c r="BS129" i="16" s="1"/>
  <c r="BS131" i="16" s="1"/>
  <c r="BS77" i="16" s="1"/>
  <c r="BS198" i="16"/>
  <c r="BS199" i="16" s="1"/>
  <c r="BS213" i="16" s="1"/>
  <c r="BS121" i="16" l="1"/>
  <c r="BS75" i="16" s="1"/>
  <c r="BS78" i="16" s="1"/>
  <c r="BS122" i="16" l="1"/>
  <c r="BS85" i="16"/>
  <c r="BS88" i="16" s="1"/>
  <c r="BS89" i="16" s="1"/>
  <c r="BT87" i="16" s="1"/>
  <c r="BS92" i="16" l="1"/>
  <c r="BT82" i="16"/>
  <c r="BT83" i="16" s="1"/>
  <c r="BS170" i="16"/>
  <c r="BS152" i="16"/>
  <c r="BS184" i="16" l="1"/>
  <c r="BS172" i="16"/>
  <c r="BS207" i="16"/>
  <c r="BS93" i="16"/>
  <c r="BS94" i="16"/>
  <c r="BS97" i="16" s="1"/>
  <c r="BS173" i="16" l="1"/>
  <c r="BS135" i="16" s="1"/>
  <c r="BS174" i="16"/>
  <c r="BS185" i="16"/>
  <c r="BS96" i="16"/>
  <c r="BS114" i="16" s="1"/>
  <c r="BS201" i="16" l="1"/>
  <c r="BS175" i="16"/>
  <c r="BS176" i="16" s="1"/>
  <c r="BS177" i="16" s="1"/>
  <c r="BS180" i="16" s="1"/>
  <c r="BS136" i="16"/>
  <c r="BS137" i="16" s="1"/>
  <c r="BT134" i="16" s="1"/>
  <c r="BS209" i="16"/>
  <c r="BT139" i="16" l="1"/>
  <c r="BT208" i="16" s="1"/>
  <c r="BS116" i="16"/>
  <c r="BS117" i="16" s="1"/>
  <c r="BT113" i="16" s="1"/>
  <c r="BS210" i="16"/>
  <c r="BT115" i="16" l="1"/>
  <c r="BT171" i="16" s="1"/>
  <c r="BT128" i="16"/>
  <c r="BT129" i="16" s="1"/>
  <c r="BT131" i="16" s="1"/>
  <c r="BT77" i="16" s="1"/>
  <c r="BT120" i="16"/>
  <c r="BT198" i="16"/>
  <c r="BT199" i="16" s="1"/>
  <c r="BT213" i="16" s="1"/>
  <c r="BT121" i="16" l="1"/>
  <c r="BT75" i="16" s="1"/>
  <c r="BT78" i="16" s="1"/>
  <c r="BT122" i="16" l="1"/>
  <c r="BT85" i="16"/>
  <c r="BT88" i="16" s="1"/>
  <c r="BT89" i="16" s="1"/>
  <c r="BU87" i="16" s="1"/>
  <c r="BU82" i="16" l="1"/>
  <c r="BU83" i="16" s="1"/>
  <c r="BT92" i="16"/>
  <c r="BT170" i="16"/>
  <c r="BT152" i="16"/>
  <c r="BT93" i="16" l="1"/>
  <c r="BT94" i="16"/>
  <c r="BT97" i="16" s="1"/>
  <c r="BT184" i="16"/>
  <c r="BT172" i="16"/>
  <c r="BT207" i="16"/>
  <c r="BT173" i="16" l="1"/>
  <c r="BT135" i="16" s="1"/>
  <c r="BT174" i="16"/>
  <c r="BT185" i="16"/>
  <c r="BT96" i="16"/>
  <c r="BT114" i="16" s="1"/>
  <c r="BT175" i="16" l="1"/>
  <c r="BT176" i="16" s="1"/>
  <c r="BT201" i="16"/>
  <c r="BT136" i="16"/>
  <c r="BT137" i="16" s="1"/>
  <c r="BU134" i="16" s="1"/>
  <c r="BT209" i="16"/>
  <c r="BU139" i="16" l="1"/>
  <c r="BU208" i="16" s="1"/>
  <c r="BT116" i="16"/>
  <c r="BT117" i="16" s="1"/>
  <c r="BU113" i="16" s="1"/>
  <c r="BT210" i="16"/>
  <c r="BT177" i="16"/>
  <c r="BT180" i="16" s="1"/>
  <c r="BU120" i="16" l="1"/>
  <c r="BU115" i="16"/>
  <c r="BU171" i="16" s="1"/>
  <c r="BU128" i="16"/>
  <c r="BU129" i="16" s="1"/>
  <c r="BU131" i="16" s="1"/>
  <c r="BU77" i="16" s="1"/>
  <c r="BU198" i="16"/>
  <c r="BU199" i="16" s="1"/>
  <c r="BU213" i="16" s="1"/>
  <c r="BU121" i="16" l="1"/>
  <c r="BU75" i="16" s="1"/>
  <c r="BU78" i="16" s="1"/>
  <c r="BU85" i="16" l="1"/>
  <c r="BU88" i="16" s="1"/>
  <c r="BU89" i="16" s="1"/>
  <c r="BV87" i="16" s="1"/>
  <c r="BU122" i="16"/>
  <c r="BV82" i="16" l="1"/>
  <c r="BV83" i="16" s="1"/>
  <c r="BU170" i="16"/>
  <c r="BU152" i="16"/>
  <c r="BU92" i="16"/>
  <c r="BU184" i="16" l="1"/>
  <c r="BU172" i="16"/>
  <c r="BU207" i="16"/>
  <c r="BU93" i="16"/>
  <c r="BU94" i="16"/>
  <c r="BU97" i="16" s="1"/>
  <c r="BU96" i="16" l="1"/>
  <c r="BU114" i="16" s="1"/>
  <c r="BU173" i="16"/>
  <c r="BU135" i="16" s="1"/>
  <c r="BU174" i="16"/>
  <c r="BU185" i="16"/>
  <c r="BU201" i="16" l="1"/>
  <c r="BU175" i="16"/>
  <c r="BU136" i="16"/>
  <c r="BU137" i="16" s="1"/>
  <c r="BV134" i="16" s="1"/>
  <c r="BU209" i="16"/>
  <c r="BV139" i="16" l="1"/>
  <c r="BV208" i="16" s="1"/>
  <c r="BU176" i="16"/>
  <c r="BU116" i="16" l="1"/>
  <c r="BU117" i="16" s="1"/>
  <c r="BV113" i="16" s="1"/>
  <c r="BU210" i="16"/>
  <c r="BU177" i="16"/>
  <c r="BU180" i="16" s="1"/>
  <c r="BV115" i="16" l="1"/>
  <c r="BV171" i="16" s="1"/>
  <c r="BV128" i="16"/>
  <c r="BV129" i="16" s="1"/>
  <c r="BV131" i="16" s="1"/>
  <c r="BV77" i="16" s="1"/>
  <c r="BV120" i="16"/>
  <c r="BV198" i="16"/>
  <c r="BV199" i="16" s="1"/>
  <c r="BV213" i="16" s="1"/>
  <c r="BV121" i="16" l="1"/>
  <c r="BV75" i="16" s="1"/>
  <c r="BV78" i="16" s="1"/>
  <c r="BV122" i="16" l="1"/>
  <c r="BV170" i="16" s="1"/>
  <c r="BV85" i="16"/>
  <c r="BV88" i="16" s="1"/>
  <c r="BV89" i="16" s="1"/>
  <c r="BW87" i="16" s="1"/>
  <c r="BV152" i="16" l="1"/>
  <c r="BW82" i="16"/>
  <c r="BW83" i="16" s="1"/>
  <c r="BV92" i="16"/>
  <c r="BV184" i="16"/>
  <c r="BV172" i="16"/>
  <c r="BV207" i="16"/>
  <c r="BV185" i="16" l="1"/>
  <c r="BV174" i="16"/>
  <c r="BV173" i="16"/>
  <c r="BV135" i="16" s="1"/>
  <c r="BV93" i="16"/>
  <c r="BV94" i="16"/>
  <c r="BV97" i="16" s="1"/>
  <c r="BV175" i="16" l="1"/>
  <c r="BV176" i="16" s="1"/>
  <c r="BV136" i="16"/>
  <c r="BV137" i="16" s="1"/>
  <c r="BW134" i="16" s="1"/>
  <c r="BV209" i="16"/>
  <c r="BV96" i="16"/>
  <c r="BV114" i="16" s="1"/>
  <c r="BV201" i="16"/>
  <c r="BW139" i="16" l="1"/>
  <c r="BW208" i="16" s="1"/>
  <c r="BV116" i="16"/>
  <c r="BV117" i="16" s="1"/>
  <c r="BW113" i="16" s="1"/>
  <c r="BV210" i="16"/>
  <c r="BV177" i="16"/>
  <c r="BV180" i="16" s="1"/>
  <c r="BW120" i="16" l="1"/>
  <c r="BW115" i="16"/>
  <c r="BW171" i="16" s="1"/>
  <c r="BW128" i="16"/>
  <c r="BW129" i="16" s="1"/>
  <c r="BW131" i="16" s="1"/>
  <c r="BW77" i="16" s="1"/>
  <c r="BW198" i="16"/>
  <c r="BW199" i="16" s="1"/>
  <c r="BW213" i="16" s="1"/>
  <c r="BW121" i="16" l="1"/>
  <c r="BW75" i="16" s="1"/>
  <c r="BW78" i="16" s="1"/>
  <c r="BW85" i="16" l="1"/>
  <c r="BW88" i="16" s="1"/>
  <c r="BW89" i="16" s="1"/>
  <c r="BX87" i="16" s="1"/>
  <c r="BW122" i="16"/>
  <c r="BW170" i="16" l="1"/>
  <c r="BW152" i="16"/>
  <c r="BX82" i="16"/>
  <c r="BX83" i="16" s="1"/>
  <c r="BW92" i="16"/>
  <c r="BW93" i="16" l="1"/>
  <c r="BW94" i="16"/>
  <c r="BW97" i="16" s="1"/>
  <c r="BW184" i="16"/>
  <c r="BW172" i="16"/>
  <c r="BW207" i="16"/>
  <c r="BW96" i="16" l="1"/>
  <c r="BW114" i="16" s="1"/>
  <c r="BW173" i="16"/>
  <c r="BW135" i="16" s="1"/>
  <c r="BW174" i="16"/>
  <c r="BW185" i="16"/>
  <c r="BW201" i="16" l="1"/>
  <c r="BW175" i="16"/>
  <c r="BW176" i="16" s="1"/>
  <c r="BW136" i="16"/>
  <c r="BW137" i="16" s="1"/>
  <c r="BX134" i="16" s="1"/>
  <c r="BW209" i="16"/>
  <c r="BX139" i="16" l="1"/>
  <c r="BX208" i="16" s="1"/>
  <c r="BW116" i="16"/>
  <c r="BW117" i="16" s="1"/>
  <c r="BX113" i="16" s="1"/>
  <c r="BW210" i="16"/>
  <c r="BW177" i="16"/>
  <c r="BW180" i="16" s="1"/>
  <c r="BX115" i="16" l="1"/>
  <c r="BX171" i="16" s="1"/>
  <c r="BX128" i="16"/>
  <c r="BX129" i="16" s="1"/>
  <c r="BX131" i="16" s="1"/>
  <c r="BX77" i="16" s="1"/>
  <c r="BX120" i="16"/>
  <c r="BX198" i="16"/>
  <c r="BX199" i="16" s="1"/>
  <c r="BX213" i="16" s="1"/>
  <c r="BX121" i="16" l="1"/>
  <c r="BX75" i="16" s="1"/>
  <c r="BX78" i="16" s="1"/>
  <c r="BX122" i="16" l="1"/>
  <c r="BX170" i="16" s="1"/>
  <c r="BX85" i="16"/>
  <c r="BX88" i="16" s="1"/>
  <c r="BX89" i="16" s="1"/>
  <c r="BY87" i="16" s="1"/>
  <c r="BX152" i="16" l="1"/>
  <c r="BY82" i="16"/>
  <c r="BY83" i="16" s="1"/>
  <c r="BX92" i="16"/>
  <c r="BX184" i="16"/>
  <c r="BX172" i="16"/>
  <c r="BX207" i="16"/>
  <c r="BX173" i="16" l="1"/>
  <c r="BX135" i="16" s="1"/>
  <c r="BX174" i="16"/>
  <c r="BX185" i="16"/>
  <c r="BX93" i="16"/>
  <c r="BX94" i="16"/>
  <c r="BX97" i="16" s="1"/>
  <c r="BX136" i="16" l="1"/>
  <c r="BX137" i="16" s="1"/>
  <c r="BY134" i="16" s="1"/>
  <c r="BX209" i="16"/>
  <c r="BX96" i="16"/>
  <c r="BX114" i="16" s="1"/>
  <c r="BX201" i="16"/>
  <c r="BX175" i="16"/>
  <c r="BY139" i="16" l="1"/>
  <c r="BY208" i="16" s="1"/>
  <c r="BX176" i="16"/>
  <c r="BX116" i="16" l="1"/>
  <c r="BX117" i="16" s="1"/>
  <c r="BY113" i="16" s="1"/>
  <c r="BX210" i="16"/>
  <c r="BX177" i="16"/>
  <c r="BX180" i="16" s="1"/>
  <c r="BY120" i="16" l="1"/>
  <c r="BY115" i="16"/>
  <c r="BY171" i="16" s="1"/>
  <c r="BY128" i="16"/>
  <c r="BY129" i="16" s="1"/>
  <c r="BY131" i="16" s="1"/>
  <c r="BY77" i="16" s="1"/>
  <c r="BY198" i="16"/>
  <c r="BY199" i="16" s="1"/>
  <c r="BY213" i="16" s="1"/>
  <c r="BY121" i="16" l="1"/>
  <c r="BY75" i="16" s="1"/>
  <c r="BY78" i="16" s="1"/>
  <c r="BY85" i="16" l="1"/>
  <c r="BY88" i="16" s="1"/>
  <c r="BY89" i="16" s="1"/>
  <c r="BZ87" i="16" s="1"/>
  <c r="BY122" i="16"/>
  <c r="BY170" i="16" l="1"/>
  <c r="BY152" i="16"/>
  <c r="BZ82" i="16"/>
  <c r="BZ83" i="16" s="1"/>
  <c r="BY92" i="16"/>
  <c r="BY93" i="16" l="1"/>
  <c r="BY94" i="16"/>
  <c r="BY97" i="16" s="1"/>
  <c r="BY184" i="16"/>
  <c r="BY172" i="16"/>
  <c r="BY207" i="16"/>
  <c r="BY174" i="16" l="1"/>
  <c r="BY173" i="16"/>
  <c r="BY135" i="16" s="1"/>
  <c r="BY185" i="16"/>
  <c r="BY96" i="16"/>
  <c r="BY114" i="16" s="1"/>
  <c r="BY201" i="16" l="1"/>
  <c r="BY175" i="16"/>
  <c r="BY136" i="16"/>
  <c r="BY137" i="16" s="1"/>
  <c r="BZ134" i="16" s="1"/>
  <c r="BY209" i="16"/>
  <c r="BZ139" i="16" l="1"/>
  <c r="BZ208" i="16" s="1"/>
  <c r="BY176" i="16"/>
  <c r="BY116" i="16" l="1"/>
  <c r="BY117" i="16" s="1"/>
  <c r="BZ113" i="16" s="1"/>
  <c r="BY210" i="16"/>
  <c r="BY177" i="16"/>
  <c r="BY180" i="16" s="1"/>
  <c r="BZ115" i="16" l="1"/>
  <c r="BZ171" i="16" s="1"/>
  <c r="BZ120" i="16"/>
  <c r="BZ128" i="16"/>
  <c r="BZ129" i="16" s="1"/>
  <c r="BZ131" i="16" s="1"/>
  <c r="BZ77" i="16" s="1"/>
  <c r="BZ198" i="16"/>
  <c r="BZ199" i="16" s="1"/>
  <c r="BZ213" i="16" s="1"/>
  <c r="BZ121" i="16" l="1"/>
  <c r="BZ75" i="16" s="1"/>
  <c r="BZ78" i="16" s="1"/>
  <c r="BZ85" i="16" l="1"/>
  <c r="BZ88" i="16" s="1"/>
  <c r="BZ89" i="16" s="1"/>
  <c r="CA87" i="16" s="1"/>
  <c r="BZ122" i="16"/>
  <c r="CA82" i="16" l="1"/>
  <c r="CA83" i="16" s="1"/>
  <c r="BZ170" i="16"/>
  <c r="BZ152" i="16"/>
  <c r="BZ92" i="16"/>
  <c r="BZ93" i="16" l="1"/>
  <c r="BZ94" i="16"/>
  <c r="BZ97" i="16" s="1"/>
  <c r="BZ184" i="16"/>
  <c r="BZ172" i="16"/>
  <c r="BZ207" i="16"/>
  <c r="BZ173" i="16" l="1"/>
  <c r="BZ135" i="16" s="1"/>
  <c r="BZ174" i="16"/>
  <c r="BZ185" i="16"/>
  <c r="BZ96" i="16"/>
  <c r="BZ114" i="16" s="1"/>
  <c r="BZ175" i="16" l="1"/>
  <c r="BZ176" i="16" s="1"/>
  <c r="BZ201" i="16"/>
  <c r="BZ136" i="16"/>
  <c r="BZ137" i="16" s="1"/>
  <c r="CA134" i="16" s="1"/>
  <c r="BZ209" i="16"/>
  <c r="CA139" i="16" l="1"/>
  <c r="CA208" i="16" s="1"/>
  <c r="BZ116" i="16"/>
  <c r="BZ117" i="16" s="1"/>
  <c r="CA113" i="16" s="1"/>
  <c r="BZ210" i="16"/>
  <c r="BZ177" i="16"/>
  <c r="BZ180" i="16" s="1"/>
  <c r="CA120" i="16" l="1"/>
  <c r="CA115" i="16"/>
  <c r="CA171" i="16" s="1"/>
  <c r="CA128" i="16"/>
  <c r="CA129" i="16" s="1"/>
  <c r="CA131" i="16" s="1"/>
  <c r="CA77" i="16" s="1"/>
  <c r="CA198" i="16"/>
  <c r="CA199" i="16" s="1"/>
  <c r="CA213" i="16" s="1"/>
  <c r="CA121" i="16" l="1"/>
  <c r="CA75" i="16" s="1"/>
  <c r="CA78" i="16" s="1"/>
  <c r="CA85" i="16" l="1"/>
  <c r="CA88" i="16" s="1"/>
  <c r="CA89" i="16" s="1"/>
  <c r="CB87" i="16" s="1"/>
  <c r="CA122" i="16"/>
  <c r="CA170" i="16" l="1"/>
  <c r="CA152" i="16"/>
  <c r="CB82" i="16"/>
  <c r="CB83" i="16" s="1"/>
  <c r="CA92" i="16"/>
  <c r="CA93" i="16" l="1"/>
  <c r="CA94" i="16"/>
  <c r="CA97" i="16" s="1"/>
  <c r="CA184" i="16"/>
  <c r="CA172" i="16"/>
  <c r="CA207" i="16"/>
  <c r="CA174" i="16" l="1"/>
  <c r="CA173" i="16"/>
  <c r="CA135" i="16" s="1"/>
  <c r="CA185" i="16"/>
  <c r="CA96" i="16"/>
  <c r="CA114" i="16" s="1"/>
  <c r="CA201" i="16" l="1"/>
  <c r="CA175" i="16"/>
  <c r="CA136" i="16"/>
  <c r="CA137" i="16" s="1"/>
  <c r="CB134" i="16" s="1"/>
  <c r="CA209" i="16"/>
  <c r="CB139" i="16" l="1"/>
  <c r="CB208" i="16" s="1"/>
  <c r="CA176" i="16"/>
  <c r="CA177" i="16" s="1"/>
  <c r="CA180" i="16" s="1"/>
  <c r="CA116" i="16" l="1"/>
  <c r="CA117" i="16" s="1"/>
  <c r="CB113" i="16" s="1"/>
  <c r="CA210" i="16"/>
  <c r="CB115" i="16" l="1"/>
  <c r="CB171" i="16" s="1"/>
  <c r="CB120" i="16"/>
  <c r="CB128" i="16"/>
  <c r="CB129" i="16" s="1"/>
  <c r="CB131" i="16" s="1"/>
  <c r="CB77" i="16" s="1"/>
  <c r="CB198" i="16"/>
  <c r="CB199" i="16" s="1"/>
  <c r="CB213" i="16" s="1"/>
  <c r="CB121" i="16" l="1"/>
  <c r="CB75" i="16" s="1"/>
  <c r="CB78" i="16" s="1"/>
  <c r="CB122" i="16" l="1"/>
  <c r="CB85" i="16"/>
  <c r="CB88" i="16" s="1"/>
  <c r="CB89" i="16" s="1"/>
  <c r="CC87" i="16" s="1"/>
  <c r="CC82" i="16" l="1"/>
  <c r="CC83" i="16" s="1"/>
  <c r="CB92" i="16"/>
  <c r="CB170" i="16"/>
  <c r="CB152" i="16"/>
  <c r="CB184" i="16" l="1"/>
  <c r="CB172" i="16"/>
  <c r="CB207" i="16"/>
  <c r="CB93" i="16"/>
  <c r="CB94" i="16"/>
  <c r="CB97" i="16" s="1"/>
  <c r="CB173" i="16" l="1"/>
  <c r="CB135" i="16" s="1"/>
  <c r="CB174" i="16"/>
  <c r="CB96" i="16"/>
  <c r="CB114" i="16" s="1"/>
  <c r="CB185" i="16"/>
  <c r="CB175" i="16" l="1"/>
  <c r="CB176" i="16" s="1"/>
  <c r="CB201" i="16"/>
  <c r="CB136" i="16"/>
  <c r="CB137" i="16" s="1"/>
  <c r="CC134" i="16" s="1"/>
  <c r="CB209" i="16"/>
  <c r="CB116" i="16" l="1"/>
  <c r="CB117" i="16" s="1"/>
  <c r="CC113" i="16" s="1"/>
  <c r="CB210" i="16"/>
  <c r="CC139" i="16"/>
  <c r="CC208" i="16" s="1"/>
  <c r="CB177" i="16"/>
  <c r="CB180" i="16" s="1"/>
  <c r="CC120" i="16" l="1"/>
  <c r="CC115" i="16"/>
  <c r="CC171" i="16" s="1"/>
  <c r="CC128" i="16"/>
  <c r="CC129" i="16" s="1"/>
  <c r="CC131" i="16" s="1"/>
  <c r="CC77" i="16" s="1"/>
  <c r="CC198" i="16"/>
  <c r="CC199" i="16" s="1"/>
  <c r="CC213" i="16" s="1"/>
  <c r="CC121" i="16" l="1"/>
  <c r="CC75" i="16" s="1"/>
  <c r="CC78" i="16" s="1"/>
  <c r="CC85" i="16" l="1"/>
  <c r="CC88" i="16" s="1"/>
  <c r="CC89" i="16" s="1"/>
  <c r="CD87" i="16" s="1"/>
  <c r="CC122" i="16"/>
  <c r="CC170" i="16" l="1"/>
  <c r="CC152" i="16"/>
  <c r="CD82" i="16"/>
  <c r="CD83" i="16" s="1"/>
  <c r="CC92" i="16"/>
  <c r="CC93" i="16" l="1"/>
  <c r="CC94" i="16"/>
  <c r="CC97" i="16" s="1"/>
  <c r="CC184" i="16"/>
  <c r="CC172" i="16"/>
  <c r="CC207" i="16"/>
  <c r="CC185" i="16" l="1"/>
  <c r="CC173" i="16"/>
  <c r="CC135" i="16" s="1"/>
  <c r="CC174" i="16"/>
  <c r="CC96" i="16"/>
  <c r="CC114" i="16" s="1"/>
  <c r="CC136" i="16" l="1"/>
  <c r="CC137" i="16" s="1"/>
  <c r="CD134" i="16" s="1"/>
  <c r="CC209" i="16"/>
  <c r="CC201" i="16"/>
  <c r="CC175" i="16"/>
  <c r="CC176" i="16" l="1"/>
  <c r="CD139" i="16"/>
  <c r="CD208" i="16" s="1"/>
  <c r="CC116" i="16" l="1"/>
  <c r="CC117" i="16" s="1"/>
  <c r="CD113" i="16" s="1"/>
  <c r="CC210" i="16"/>
  <c r="CC177" i="16"/>
  <c r="CC180" i="16" s="1"/>
  <c r="CD115" i="16" l="1"/>
  <c r="CD171" i="16" s="1"/>
  <c r="CD128" i="16"/>
  <c r="CD129" i="16" s="1"/>
  <c r="CD131" i="16" s="1"/>
  <c r="CD77" i="16" s="1"/>
  <c r="CD120" i="16"/>
  <c r="CD198" i="16"/>
  <c r="CD199" i="16" s="1"/>
  <c r="CD213" i="16" s="1"/>
  <c r="CD121" i="16" l="1"/>
  <c r="CD75" i="16" s="1"/>
  <c r="CD78" i="16" s="1"/>
  <c r="CD122" i="16" l="1"/>
  <c r="CD170" i="16" s="1"/>
  <c r="CD85" i="16"/>
  <c r="CD88" i="16" s="1"/>
  <c r="CD89" i="16" s="1"/>
  <c r="CE87" i="16" s="1"/>
  <c r="CD152" i="16" l="1"/>
  <c r="CD92" i="16"/>
  <c r="CE82" i="16"/>
  <c r="CE83" i="16" s="1"/>
  <c r="CD184" i="16"/>
  <c r="CD172" i="16"/>
  <c r="CD207" i="16"/>
  <c r="CD185" i="16" l="1"/>
  <c r="CD173" i="16"/>
  <c r="CD135" i="16" s="1"/>
  <c r="CD174" i="16"/>
  <c r="CD93" i="16"/>
  <c r="CD94" i="16"/>
  <c r="CD97" i="16" s="1"/>
  <c r="CD136" i="16" l="1"/>
  <c r="CD137" i="16" s="1"/>
  <c r="CE134" i="16" s="1"/>
  <c r="CD209" i="16"/>
  <c r="CD96" i="16"/>
  <c r="CD114" i="16" s="1"/>
  <c r="CD201" i="16"/>
  <c r="CD175" i="16"/>
  <c r="CD176" i="16" l="1"/>
  <c r="CE139" i="16"/>
  <c r="CE208" i="16" s="1"/>
  <c r="CD116" i="16" l="1"/>
  <c r="CD117" i="16" s="1"/>
  <c r="CE113" i="16" s="1"/>
  <c r="CD210" i="16"/>
  <c r="CD177" i="16"/>
  <c r="CD180" i="16" s="1"/>
  <c r="CE120" i="16" l="1"/>
  <c r="CE115" i="16"/>
  <c r="CE171" i="16" s="1"/>
  <c r="CE128" i="16"/>
  <c r="CE129" i="16" s="1"/>
  <c r="CE131" i="16" s="1"/>
  <c r="CE77" i="16" s="1"/>
  <c r="CE198" i="16"/>
  <c r="CE199" i="16" s="1"/>
  <c r="CE213" i="16" s="1"/>
  <c r="CE121" i="16" l="1"/>
  <c r="CE75" i="16" s="1"/>
  <c r="CE78" i="16" s="1"/>
  <c r="CE122" i="16" l="1"/>
  <c r="CE85" i="16"/>
  <c r="CE88" i="16" s="1"/>
  <c r="CE89" i="16" s="1"/>
  <c r="CF87" i="16" s="1"/>
  <c r="CE92" i="16" l="1"/>
  <c r="CF82" i="16"/>
  <c r="CF83" i="16" s="1"/>
  <c r="CE170" i="16"/>
  <c r="CE152" i="16"/>
  <c r="CE184" i="16" l="1"/>
  <c r="CE172" i="16"/>
  <c r="CE207" i="16"/>
  <c r="CE93" i="16"/>
  <c r="CE94" i="16"/>
  <c r="CE97" i="16" s="1"/>
  <c r="CE96" i="16" l="1"/>
  <c r="CE114" i="16" s="1"/>
  <c r="CE173" i="16"/>
  <c r="CE135" i="16" s="1"/>
  <c r="CE174" i="16"/>
  <c r="CE185" i="16"/>
  <c r="CE201" i="16" l="1"/>
  <c r="CE175" i="16"/>
  <c r="CE176" i="16" s="1"/>
  <c r="CE177" i="16" s="1"/>
  <c r="CE180" i="16" s="1"/>
  <c r="CE136" i="16"/>
  <c r="CE137" i="16" s="1"/>
  <c r="CF134" i="16" s="1"/>
  <c r="CE209" i="16"/>
  <c r="CF139" i="16" l="1"/>
  <c r="CF208" i="16" s="1"/>
  <c r="CE116" i="16"/>
  <c r="CE117" i="16" s="1"/>
  <c r="CF113" i="16" s="1"/>
  <c r="CE210" i="16"/>
  <c r="CF115" i="16" l="1"/>
  <c r="CF171" i="16" s="1"/>
  <c r="CF128" i="16"/>
  <c r="CF129" i="16" s="1"/>
  <c r="CF131" i="16" s="1"/>
  <c r="CF77" i="16" s="1"/>
  <c r="CF120" i="16"/>
  <c r="CF198" i="16"/>
  <c r="CF199" i="16" s="1"/>
  <c r="CF213" i="16" s="1"/>
  <c r="CF121" i="16" l="1"/>
  <c r="CF75" i="16" s="1"/>
  <c r="CF78" i="16" s="1"/>
  <c r="CF122" i="16" l="1"/>
  <c r="CF170" i="16" s="1"/>
  <c r="CF85" i="16"/>
  <c r="CF88" i="16" s="1"/>
  <c r="CF89" i="16" s="1"/>
  <c r="CG87" i="16" s="1"/>
  <c r="CF152" i="16" l="1"/>
  <c r="CG82" i="16"/>
  <c r="CG83" i="16" s="1"/>
  <c r="CF92" i="16"/>
  <c r="CF184" i="16"/>
  <c r="CF172" i="16"/>
  <c r="CF207" i="16"/>
  <c r="CF185" i="16" l="1"/>
  <c r="CF173" i="16"/>
  <c r="CF135" i="16" s="1"/>
  <c r="CF174" i="16"/>
  <c r="CF93" i="16"/>
  <c r="CF94" i="16"/>
  <c r="CF97" i="16" s="1"/>
  <c r="CF96" i="16" l="1"/>
  <c r="CF114" i="16" s="1"/>
  <c r="CF201" i="16"/>
  <c r="CF175" i="16"/>
  <c r="CF136" i="16"/>
  <c r="CF137" i="16" s="1"/>
  <c r="CG134" i="16" s="1"/>
  <c r="CF209" i="16"/>
  <c r="CG139" i="16" l="1"/>
  <c r="CG208" i="16" s="1"/>
  <c r="CF176" i="16"/>
  <c r="CF116" i="16" l="1"/>
  <c r="CF117" i="16" s="1"/>
  <c r="CG113" i="16" s="1"/>
  <c r="CF210" i="16"/>
  <c r="CF177" i="16"/>
  <c r="CF180" i="16" s="1"/>
  <c r="CG120" i="16" l="1"/>
  <c r="CG115" i="16"/>
  <c r="CG171" i="16" s="1"/>
  <c r="CG128" i="16"/>
  <c r="CG129" i="16" s="1"/>
  <c r="CG131" i="16" s="1"/>
  <c r="CG77" i="16" s="1"/>
  <c r="CG198" i="16"/>
  <c r="CG199" i="16" s="1"/>
  <c r="CG213" i="16" s="1"/>
  <c r="CG121" i="16" l="1"/>
  <c r="CG75" i="16" s="1"/>
  <c r="CG78" i="16" s="1"/>
  <c r="CG85" i="16" l="1"/>
  <c r="CG88" i="16" s="1"/>
  <c r="CG89" i="16" s="1"/>
  <c r="CH87" i="16" s="1"/>
  <c r="CG122" i="16"/>
  <c r="CH82" i="16" l="1"/>
  <c r="CH83" i="16" s="1"/>
  <c r="CG170" i="16"/>
  <c r="CG152" i="16"/>
  <c r="CG92" i="16"/>
  <c r="CG93" i="16" l="1"/>
  <c r="CG94" i="16"/>
  <c r="CG97" i="16" s="1"/>
  <c r="CG184" i="16"/>
  <c r="CG172" i="16"/>
  <c r="CG207" i="16"/>
  <c r="CG173" i="16" l="1"/>
  <c r="CG135" i="16" s="1"/>
  <c r="CG174" i="16"/>
  <c r="CG185" i="16"/>
  <c r="CG96" i="16"/>
  <c r="CG114" i="16" s="1"/>
  <c r="CG201" i="16" l="1"/>
  <c r="CG175" i="16"/>
  <c r="CG136" i="16"/>
  <c r="CG137" i="16" s="1"/>
  <c r="CH134" i="16" s="1"/>
  <c r="CG209" i="16"/>
  <c r="CG176" i="16" l="1"/>
  <c r="CH139" i="16"/>
  <c r="CH208" i="16" s="1"/>
  <c r="CG116" i="16" l="1"/>
  <c r="CG117" i="16" s="1"/>
  <c r="CH113" i="16" s="1"/>
  <c r="CG210" i="16"/>
  <c r="CG177" i="16"/>
  <c r="CG180" i="16" s="1"/>
  <c r="CH115" i="16" l="1"/>
  <c r="CH171" i="16" s="1"/>
  <c r="CH128" i="16"/>
  <c r="CH129" i="16" s="1"/>
  <c r="CH131" i="16" s="1"/>
  <c r="CH77" i="16" s="1"/>
  <c r="CH120" i="16"/>
  <c r="CH198" i="16"/>
  <c r="CH199" i="16" s="1"/>
  <c r="CH213" i="16" s="1"/>
  <c r="CH121" i="16" l="1"/>
  <c r="CH75" i="16" s="1"/>
  <c r="CH78" i="16" s="1"/>
  <c r="CH122" i="16" l="1"/>
  <c r="CH152" i="16" s="1"/>
  <c r="CH85" i="16"/>
  <c r="CH88" i="16" s="1"/>
  <c r="CH89" i="16" s="1"/>
  <c r="CI87" i="16" s="1"/>
  <c r="CH170" i="16" l="1"/>
  <c r="CH184" i="16" s="1"/>
  <c r="CI82" i="16"/>
  <c r="CI83" i="16" s="1"/>
  <c r="CH92" i="16"/>
  <c r="CH207" i="16" l="1"/>
  <c r="CH172" i="16"/>
  <c r="CH173" i="16" s="1"/>
  <c r="CH135" i="16" s="1"/>
  <c r="CH93" i="16"/>
  <c r="CH94" i="16"/>
  <c r="CH97" i="16" s="1"/>
  <c r="CH185" i="16"/>
  <c r="CH174" i="16" l="1"/>
  <c r="CH175" i="16" s="1"/>
  <c r="CH176" i="16" s="1"/>
  <c r="CH96" i="16"/>
  <c r="CH114" i="16" s="1"/>
  <c r="CH136" i="16" l="1"/>
  <c r="CH137" i="16" s="1"/>
  <c r="CI134" i="16" s="1"/>
  <c r="CI139" i="16" s="1"/>
  <c r="CI208" i="16" s="1"/>
  <c r="CH209" i="16"/>
  <c r="CH201" i="16"/>
  <c r="CH116" i="16"/>
  <c r="CH117" i="16" s="1"/>
  <c r="CI113" i="16" s="1"/>
  <c r="CH210" i="16"/>
  <c r="CH177" i="16"/>
  <c r="CH180" i="16" s="1"/>
  <c r="CI120" i="16" l="1"/>
  <c r="CI115" i="16"/>
  <c r="CI171" i="16" s="1"/>
  <c r="CI128" i="16"/>
  <c r="CI129" i="16" s="1"/>
  <c r="CI131" i="16" s="1"/>
  <c r="CI77" i="16" s="1"/>
  <c r="CI198" i="16"/>
  <c r="CI199" i="16" s="1"/>
  <c r="CI213" i="16" s="1"/>
  <c r="CI121" i="16" l="1"/>
  <c r="CI75" i="16" s="1"/>
  <c r="CI78" i="16" s="1"/>
  <c r="CI122" i="16" l="1"/>
  <c r="CI85" i="16"/>
  <c r="CI88" i="16" s="1"/>
  <c r="CI89" i="16" s="1"/>
  <c r="CJ87" i="16" s="1"/>
  <c r="CJ82" i="16" l="1"/>
  <c r="CJ83" i="16" s="1"/>
  <c r="CI92" i="16"/>
  <c r="CI170" i="16"/>
  <c r="CI152" i="16"/>
  <c r="CI93" i="16" l="1"/>
  <c r="CI94" i="16"/>
  <c r="CI97" i="16" s="1"/>
  <c r="CI184" i="16"/>
  <c r="CI172" i="16"/>
  <c r="CI207" i="16"/>
  <c r="CI173" i="16" l="1"/>
  <c r="CI135" i="16" s="1"/>
  <c r="CI174" i="16"/>
  <c r="CI185" i="16"/>
  <c r="CI96" i="16"/>
  <c r="CI114" i="16" s="1"/>
  <c r="CI175" i="16" l="1"/>
  <c r="CI176" i="16" s="1"/>
  <c r="CI201" i="16"/>
  <c r="CI136" i="16"/>
  <c r="CI137" i="16" s="1"/>
  <c r="CJ134" i="16" s="1"/>
  <c r="CI209" i="16"/>
  <c r="CJ139" i="16" l="1"/>
  <c r="CJ208" i="16" s="1"/>
  <c r="CI116" i="16"/>
  <c r="CI117" i="16" s="1"/>
  <c r="CJ113" i="16" s="1"/>
  <c r="CI210" i="16"/>
  <c r="CI177" i="16"/>
  <c r="CI180" i="16" s="1"/>
  <c r="CJ115" i="16" l="1"/>
  <c r="CJ171" i="16" s="1"/>
  <c r="CJ128" i="16"/>
  <c r="CJ129" i="16" s="1"/>
  <c r="CJ131" i="16" s="1"/>
  <c r="CJ77" i="16" s="1"/>
  <c r="CJ120" i="16"/>
  <c r="CJ198" i="16"/>
  <c r="CJ199" i="16" s="1"/>
  <c r="CJ213" i="16" s="1"/>
  <c r="CJ121" i="16" l="1"/>
  <c r="CJ75" i="16" s="1"/>
  <c r="CJ78" i="16" s="1"/>
  <c r="CJ122" i="16" l="1"/>
  <c r="CJ170" i="16" s="1"/>
  <c r="CJ85" i="16"/>
  <c r="CJ88" i="16" s="1"/>
  <c r="CJ89" i="16" s="1"/>
  <c r="CK87" i="16" s="1"/>
  <c r="CJ152" i="16" l="1"/>
  <c r="CK82" i="16"/>
  <c r="CK83" i="16" s="1"/>
  <c r="CJ184" i="16"/>
  <c r="CJ172" i="16"/>
  <c r="CJ207" i="16"/>
  <c r="CJ92" i="16"/>
  <c r="CJ173" i="16" l="1"/>
  <c r="CJ135" i="16" s="1"/>
  <c r="CJ174" i="16"/>
  <c r="CJ93" i="16"/>
  <c r="CJ94" i="16"/>
  <c r="CJ97" i="16" s="1"/>
  <c r="CJ185" i="16"/>
  <c r="CJ175" i="16" l="1"/>
  <c r="CJ176" i="16" s="1"/>
  <c r="CJ96" i="16"/>
  <c r="CJ114" i="16" s="1"/>
  <c r="CJ201" i="16"/>
  <c r="CJ136" i="16"/>
  <c r="CJ137" i="16" s="1"/>
  <c r="CK134" i="16" s="1"/>
  <c r="CJ209" i="16"/>
  <c r="CJ116" i="16" l="1"/>
  <c r="CJ117" i="16" s="1"/>
  <c r="CK113" i="16" s="1"/>
  <c r="CJ210" i="16"/>
  <c r="CJ177" i="16"/>
  <c r="CJ180" i="16" s="1"/>
  <c r="CK139" i="16"/>
  <c r="CK208" i="16" s="1"/>
  <c r="CK120" i="16" l="1"/>
  <c r="CK115" i="16"/>
  <c r="CK171" i="16" s="1"/>
  <c r="CK128" i="16"/>
  <c r="CK129" i="16" s="1"/>
  <c r="CK131" i="16" s="1"/>
  <c r="CK77" i="16" s="1"/>
  <c r="CK198" i="16"/>
  <c r="CK199" i="16" s="1"/>
  <c r="CK213" i="16" s="1"/>
  <c r="CK121" i="16" l="1"/>
  <c r="CK75" i="16" s="1"/>
  <c r="CK78" i="16" s="1"/>
  <c r="CK85" i="16" l="1"/>
  <c r="CK88" i="16" s="1"/>
  <c r="CK89" i="16" s="1"/>
  <c r="CL87" i="16" s="1"/>
  <c r="CK122" i="16"/>
  <c r="CK92" i="16" l="1"/>
  <c r="CK93" i="16" s="1"/>
  <c r="CK170" i="16"/>
  <c r="CK152" i="16"/>
  <c r="CL82" i="16"/>
  <c r="CL83" i="16" s="1"/>
  <c r="CK94" i="16" l="1"/>
  <c r="CK97" i="16" s="1"/>
  <c r="CK96" i="16"/>
  <c r="CK114" i="16" s="1"/>
  <c r="CK184" i="16"/>
  <c r="CK172" i="16"/>
  <c r="CK207" i="16"/>
  <c r="CK185" i="16" l="1"/>
  <c r="CK173" i="16"/>
  <c r="CK135" i="16" s="1"/>
  <c r="CK174" i="16"/>
  <c r="CK175" i="16" l="1"/>
  <c r="CK136" i="16"/>
  <c r="CK137" i="16" s="1"/>
  <c r="CL134" i="16" s="1"/>
  <c r="CK209" i="16"/>
  <c r="CK201" i="16"/>
  <c r="CL139" i="16" l="1"/>
  <c r="CL208" i="16" s="1"/>
  <c r="CK176" i="16"/>
  <c r="CK116" i="16" l="1"/>
  <c r="CK117" i="16" s="1"/>
  <c r="CL113" i="16" s="1"/>
  <c r="CK210" i="16"/>
  <c r="CK177" i="16"/>
  <c r="CK180" i="16" s="1"/>
  <c r="CL115" i="16" l="1"/>
  <c r="CL171" i="16" s="1"/>
  <c r="CL128" i="16"/>
  <c r="CL129" i="16" s="1"/>
  <c r="CL131" i="16" s="1"/>
  <c r="CL77" i="16" s="1"/>
  <c r="CL120" i="16"/>
  <c r="CL198" i="16"/>
  <c r="CL199" i="16" s="1"/>
  <c r="CL213" i="16" s="1"/>
  <c r="CL121" i="16" l="1"/>
  <c r="CL75" i="16" s="1"/>
  <c r="CL78" i="16" s="1"/>
  <c r="CL85" i="16" l="1"/>
  <c r="CL88" i="16" s="1"/>
  <c r="CL89" i="16" s="1"/>
  <c r="CM87" i="16" s="1"/>
  <c r="CL122" i="16"/>
  <c r="CL170" i="16" l="1"/>
  <c r="CL152" i="16"/>
  <c r="CM82" i="16"/>
  <c r="CM83" i="16" s="1"/>
  <c r="CL92" i="16"/>
  <c r="CL93" i="16" l="1"/>
  <c r="CL94" i="16"/>
  <c r="CL97" i="16" s="1"/>
  <c r="CL184" i="16"/>
  <c r="CL172" i="16"/>
  <c r="CL207" i="16"/>
  <c r="CL185" i="16" l="1"/>
  <c r="CL173" i="16"/>
  <c r="CL135" i="16" s="1"/>
  <c r="CL174" i="16"/>
  <c r="CL96" i="16"/>
  <c r="CL114" i="16" s="1"/>
  <c r="CL201" i="16" l="1"/>
  <c r="CL136" i="16"/>
  <c r="CL137" i="16" s="1"/>
  <c r="CM134" i="16" s="1"/>
  <c r="CL209" i="16"/>
  <c r="CL175" i="16"/>
  <c r="CM139" i="16" l="1"/>
  <c r="CM208" i="16" s="1"/>
  <c r="CL176" i="16"/>
  <c r="CL177" i="16" s="1"/>
  <c r="CL180" i="16" s="1"/>
  <c r="CL116" i="16" l="1"/>
  <c r="CL117" i="16" s="1"/>
  <c r="CM113" i="16" s="1"/>
  <c r="CL210" i="16"/>
  <c r="CM120" i="16" l="1"/>
  <c r="CM128" i="16"/>
  <c r="CM129" i="16" s="1"/>
  <c r="CM131" i="16" s="1"/>
  <c r="CM77" i="16" s="1"/>
  <c r="CM115" i="16"/>
  <c r="CM171" i="16" s="1"/>
  <c r="CM198" i="16"/>
  <c r="CM199" i="16" s="1"/>
  <c r="CM213" i="16" s="1"/>
  <c r="CM121" i="16" l="1"/>
  <c r="CM75" i="16" s="1"/>
  <c r="CM78" i="16" s="1"/>
  <c r="CM122" i="16" l="1"/>
  <c r="CM85" i="16"/>
  <c r="CM88" i="16" s="1"/>
  <c r="CM89" i="16" s="1"/>
  <c r="CN87" i="16" s="1"/>
  <c r="CN82" i="16" l="1"/>
  <c r="CN83" i="16" s="1"/>
  <c r="CM92" i="16"/>
  <c r="CM170" i="16"/>
  <c r="CM152" i="16"/>
  <c r="CM184" i="16" l="1"/>
  <c r="CM172" i="16"/>
  <c r="CM207" i="16"/>
  <c r="CM93" i="16"/>
  <c r="CM94" i="16"/>
  <c r="CM97" i="16" s="1"/>
  <c r="CM96" i="16" l="1"/>
  <c r="CM114" i="16" s="1"/>
  <c r="CM173" i="16"/>
  <c r="CM135" i="16" s="1"/>
  <c r="CM174" i="16"/>
  <c r="CM185" i="16"/>
  <c r="CM175" i="16" l="1"/>
  <c r="CM176" i="16" s="1"/>
  <c r="CM136" i="16"/>
  <c r="CM137" i="16" s="1"/>
  <c r="CN134" i="16" s="1"/>
  <c r="CM209" i="16"/>
  <c r="CM201" i="16"/>
  <c r="CN139" i="16" l="1"/>
  <c r="CN208" i="16" s="1"/>
  <c r="CM116" i="16"/>
  <c r="CM117" i="16" s="1"/>
  <c r="CN113" i="16" s="1"/>
  <c r="CM210" i="16"/>
  <c r="CM177" i="16"/>
  <c r="CM180" i="16" s="1"/>
  <c r="CN128" i="16" l="1"/>
  <c r="CN129" i="16" s="1"/>
  <c r="CN131" i="16" s="1"/>
  <c r="CN77" i="16" s="1"/>
  <c r="CN120" i="16"/>
  <c r="CN115" i="16"/>
  <c r="CN171" i="16" s="1"/>
  <c r="CN198" i="16"/>
  <c r="CN199" i="16" s="1"/>
  <c r="CN213" i="16" s="1"/>
  <c r="CN121" i="16" l="1"/>
  <c r="CN75" i="16" s="1"/>
  <c r="CN78" i="16" s="1"/>
  <c r="CN122" i="16" l="1"/>
  <c r="CN170" i="16" s="1"/>
  <c r="CN85" i="16"/>
  <c r="CN88" i="16" s="1"/>
  <c r="CN89" i="16" s="1"/>
  <c r="CO87" i="16" s="1"/>
  <c r="CN152" i="16" l="1"/>
  <c r="CN92" i="16"/>
  <c r="CO82" i="16"/>
  <c r="CO83" i="16" s="1"/>
  <c r="CN184" i="16"/>
  <c r="CN172" i="16"/>
  <c r="CN207" i="16"/>
  <c r="CN173" i="16" l="1"/>
  <c r="CN135" i="16" s="1"/>
  <c r="CN174" i="16"/>
  <c r="CN185" i="16"/>
  <c r="CN93" i="16"/>
  <c r="CN94" i="16"/>
  <c r="CN97" i="16" s="1"/>
  <c r="CN175" i="16" l="1"/>
  <c r="CN176" i="16" s="1"/>
  <c r="CN177" i="16" s="1"/>
  <c r="CN180" i="16" s="1"/>
  <c r="CN96" i="16"/>
  <c r="CN114" i="16" s="1"/>
  <c r="CN201" i="16"/>
  <c r="CN136" i="16"/>
  <c r="CN137" i="16" s="1"/>
  <c r="CO134" i="16" s="1"/>
  <c r="CN209" i="16"/>
  <c r="CO139" i="16" l="1"/>
  <c r="CO208" i="16" s="1"/>
  <c r="CN116" i="16"/>
  <c r="CN117" i="16" s="1"/>
  <c r="CO113" i="16" s="1"/>
  <c r="CN210" i="16"/>
  <c r="CO120" i="16" l="1"/>
  <c r="CO115" i="16"/>
  <c r="CO171" i="16" s="1"/>
  <c r="CO128" i="16"/>
  <c r="CO129" i="16" s="1"/>
  <c r="CO131" i="16" s="1"/>
  <c r="CO77" i="16" s="1"/>
  <c r="CO198" i="16"/>
  <c r="CO199" i="16" s="1"/>
  <c r="CO213" i="16" s="1"/>
  <c r="CO121" i="16" l="1"/>
  <c r="CO75" i="16" s="1"/>
  <c r="CO78" i="16" s="1"/>
  <c r="CO85" i="16" l="1"/>
  <c r="CO88" i="16" s="1"/>
  <c r="CO89" i="16" s="1"/>
  <c r="CP87" i="16" s="1"/>
  <c r="CO122" i="16"/>
  <c r="CO170" i="16" l="1"/>
  <c r="CO152" i="16"/>
  <c r="CP82" i="16"/>
  <c r="CP83" i="16" s="1"/>
  <c r="CO92" i="16"/>
  <c r="CO93" i="16" l="1"/>
  <c r="CO94" i="16"/>
  <c r="CO97" i="16" s="1"/>
  <c r="CO184" i="16"/>
  <c r="CO172" i="16"/>
  <c r="CO207" i="16"/>
  <c r="CO173" i="16" l="1"/>
  <c r="CO135" i="16" s="1"/>
  <c r="CO174" i="16"/>
  <c r="CO185" i="16"/>
  <c r="CO96" i="16"/>
  <c r="CO114" i="16" s="1"/>
  <c r="CO201" i="16" l="1"/>
  <c r="CO175" i="16"/>
  <c r="CO176" i="16" s="1"/>
  <c r="CO136" i="16"/>
  <c r="CO137" i="16" s="1"/>
  <c r="CP134" i="16" s="1"/>
  <c r="CO209" i="16"/>
  <c r="CP139" i="16" l="1"/>
  <c r="CP208" i="16" s="1"/>
  <c r="CO116" i="16"/>
  <c r="CO117" i="16" s="1"/>
  <c r="CP113" i="16" s="1"/>
  <c r="CO210" i="16"/>
  <c r="CO177" i="16"/>
  <c r="CO180" i="16" s="1"/>
  <c r="CP120" i="16" l="1"/>
  <c r="CP115" i="16"/>
  <c r="CP171" i="16" s="1"/>
  <c r="CP128" i="16"/>
  <c r="CP129" i="16" s="1"/>
  <c r="CP131" i="16" s="1"/>
  <c r="CP77" i="16" s="1"/>
  <c r="CP198" i="16"/>
  <c r="CP199" i="16" s="1"/>
  <c r="CP213" i="16" s="1"/>
  <c r="CP121" i="16" l="1"/>
  <c r="CP75" i="16" s="1"/>
  <c r="CP78" i="16" s="1"/>
  <c r="CP122" i="16" l="1"/>
  <c r="CP170" i="16" s="1"/>
  <c r="CP85" i="16"/>
  <c r="CP88" i="16" s="1"/>
  <c r="CP89" i="16" s="1"/>
  <c r="CQ87" i="16" s="1"/>
  <c r="CP152" i="16" l="1"/>
  <c r="CQ82" i="16"/>
  <c r="CQ83" i="16" s="1"/>
  <c r="CP184" i="16"/>
  <c r="CP172" i="16"/>
  <c r="CP207" i="16"/>
  <c r="CP92" i="16"/>
  <c r="CP93" i="16" l="1"/>
  <c r="CP94" i="16"/>
  <c r="CP97" i="16" s="1"/>
  <c r="CP173" i="16"/>
  <c r="CP135" i="16" s="1"/>
  <c r="CP174" i="16"/>
  <c r="CP185" i="16"/>
  <c r="CP136" i="16" l="1"/>
  <c r="CP137" i="16" s="1"/>
  <c r="CQ134" i="16" s="1"/>
  <c r="CP209" i="16"/>
  <c r="CP175" i="16"/>
  <c r="CP96" i="16"/>
  <c r="CP114" i="16" s="1"/>
  <c r="CP201" i="16"/>
  <c r="CQ139" i="16" l="1"/>
  <c r="CQ208" i="16" s="1"/>
  <c r="CP176" i="16"/>
  <c r="CP116" i="16" l="1"/>
  <c r="CP117" i="16" s="1"/>
  <c r="CQ113" i="16" s="1"/>
  <c r="CP210" i="16"/>
  <c r="CP177" i="16"/>
  <c r="CP180" i="16" s="1"/>
  <c r="CQ128" i="16" l="1"/>
  <c r="CQ129" i="16" s="1"/>
  <c r="CQ131" i="16" s="1"/>
  <c r="CQ77" i="16" s="1"/>
  <c r="CQ120" i="16"/>
  <c r="CQ115" i="16"/>
  <c r="CQ171" i="16" s="1"/>
  <c r="CQ198" i="16"/>
  <c r="CQ199" i="16" s="1"/>
  <c r="CQ213" i="16" s="1"/>
  <c r="CQ121" i="16" l="1"/>
  <c r="CQ75" i="16" s="1"/>
  <c r="CQ78" i="16" s="1"/>
  <c r="CQ85" i="16" l="1"/>
  <c r="CQ88" i="16" s="1"/>
  <c r="CQ89" i="16" s="1"/>
  <c r="CR87" i="16" s="1"/>
  <c r="CQ122" i="16"/>
  <c r="CR82" i="16" l="1"/>
  <c r="CR83" i="16" s="1"/>
  <c r="CQ170" i="16"/>
  <c r="CQ152" i="16"/>
  <c r="CQ92" i="16"/>
  <c r="CQ184" i="16" l="1"/>
  <c r="CQ172" i="16"/>
  <c r="CQ207" i="16"/>
  <c r="CQ93" i="16"/>
  <c r="CQ94" i="16"/>
  <c r="CQ97" i="16" s="1"/>
  <c r="CQ173" i="16" l="1"/>
  <c r="CQ135" i="16" s="1"/>
  <c r="CQ174" i="16"/>
  <c r="CQ96" i="16"/>
  <c r="CQ114" i="16" s="1"/>
  <c r="CQ185" i="16"/>
  <c r="CQ201" i="16" l="1"/>
  <c r="CQ175" i="16"/>
  <c r="CQ136" i="16"/>
  <c r="CQ137" i="16" s="1"/>
  <c r="CR134" i="16" s="1"/>
  <c r="CQ209" i="16"/>
  <c r="CR139" i="16" l="1"/>
  <c r="CR208" i="16" s="1"/>
  <c r="CQ176" i="16"/>
  <c r="CQ116" i="16" l="1"/>
  <c r="CQ117" i="16" s="1"/>
  <c r="CR113" i="16" s="1"/>
  <c r="CQ210" i="16"/>
  <c r="CQ177" i="16"/>
  <c r="CQ180" i="16" s="1"/>
  <c r="CR120" i="16" l="1"/>
  <c r="CR115" i="16"/>
  <c r="CR171" i="16" s="1"/>
  <c r="CR128" i="16"/>
  <c r="CR129" i="16" s="1"/>
  <c r="CR131" i="16" s="1"/>
  <c r="CR77" i="16" s="1"/>
  <c r="CR198" i="16"/>
  <c r="CR199" i="16" s="1"/>
  <c r="CR213" i="16" s="1"/>
  <c r="CR121" i="16" l="1"/>
  <c r="CR75" i="16" s="1"/>
  <c r="CR78" i="16" s="1"/>
  <c r="CR122" i="16" l="1"/>
  <c r="CR170" i="16" s="1"/>
  <c r="CR85" i="16"/>
  <c r="CR88" i="16" s="1"/>
  <c r="CR89" i="16" s="1"/>
  <c r="CS87" i="16" s="1"/>
  <c r="CR152" i="16" l="1"/>
  <c r="CR92" i="16"/>
  <c r="CS82" i="16"/>
  <c r="CS83" i="16" s="1"/>
  <c r="CR184" i="16"/>
  <c r="CR172" i="16"/>
  <c r="CR207" i="16"/>
  <c r="CR173" i="16" l="1"/>
  <c r="CR135" i="16" s="1"/>
  <c r="CR174" i="16"/>
  <c r="CR185" i="16"/>
  <c r="CR93" i="16"/>
  <c r="CR94" i="16"/>
  <c r="CR97" i="16" s="1"/>
  <c r="CR136" i="16" l="1"/>
  <c r="CR137" i="16" s="1"/>
  <c r="CS134" i="16" s="1"/>
  <c r="CR209" i="16"/>
  <c r="CR96" i="16"/>
  <c r="CR114" i="16" s="1"/>
  <c r="CR201" i="16"/>
  <c r="CR175" i="16"/>
  <c r="CS139" i="16" l="1"/>
  <c r="CS208" i="16" s="1"/>
  <c r="CR176" i="16"/>
  <c r="CR116" i="16" l="1"/>
  <c r="CR117" i="16" s="1"/>
  <c r="CS113" i="16" s="1"/>
  <c r="CR210" i="16"/>
  <c r="CR177" i="16"/>
  <c r="CR180" i="16" s="1"/>
  <c r="CS128" i="16" l="1"/>
  <c r="CS129" i="16" s="1"/>
  <c r="CS131" i="16" s="1"/>
  <c r="CS77" i="16" s="1"/>
  <c r="CS120" i="16"/>
  <c r="CS115" i="16"/>
  <c r="CS171" i="16" s="1"/>
  <c r="CS198" i="16"/>
  <c r="CS199" i="16" s="1"/>
  <c r="CS213" i="16" s="1"/>
  <c r="CS121" i="16" l="1"/>
  <c r="CS75" i="16" s="1"/>
  <c r="CS78" i="16" s="1"/>
  <c r="CS85" i="16" l="1"/>
  <c r="CS88" i="16" s="1"/>
  <c r="CS89" i="16" s="1"/>
  <c r="CT87" i="16" s="1"/>
  <c r="CS122" i="16"/>
  <c r="CS92" i="16" l="1"/>
  <c r="CS170" i="16"/>
  <c r="CS152" i="16"/>
  <c r="CT82" i="16"/>
  <c r="CT83" i="16" s="1"/>
  <c r="CS184" i="16" l="1"/>
  <c r="CS172" i="16"/>
  <c r="CS207" i="16"/>
  <c r="CS93" i="16"/>
  <c r="CS94" i="16"/>
  <c r="CS97" i="16" s="1"/>
  <c r="CS96" i="16" l="1"/>
  <c r="CS114" i="16" s="1"/>
  <c r="CS173" i="16"/>
  <c r="CS135" i="16" s="1"/>
  <c r="CS174" i="16"/>
  <c r="CS185" i="16"/>
  <c r="CS175" i="16" l="1"/>
  <c r="CS136" i="16"/>
  <c r="CS137" i="16" s="1"/>
  <c r="CT134" i="16" s="1"/>
  <c r="CS209" i="16"/>
  <c r="CS201" i="16"/>
  <c r="CT139" i="16" l="1"/>
  <c r="CT208" i="16" s="1"/>
  <c r="CS176" i="16"/>
  <c r="CS177" i="16" s="1"/>
  <c r="CS180" i="16" s="1"/>
  <c r="CS116" i="16" l="1"/>
  <c r="CS117" i="16" s="1"/>
  <c r="CT113" i="16" s="1"/>
  <c r="CS210" i="16"/>
  <c r="CT120" i="16" l="1"/>
  <c r="CT115" i="16"/>
  <c r="CT171" i="16" s="1"/>
  <c r="CT128" i="16"/>
  <c r="CT129" i="16" s="1"/>
  <c r="CT131" i="16" s="1"/>
  <c r="CT77" i="16" s="1"/>
  <c r="CT198" i="16"/>
  <c r="CT199" i="16" s="1"/>
  <c r="CT213" i="16" s="1"/>
  <c r="CT121" i="16" l="1"/>
  <c r="CT75" i="16" s="1"/>
  <c r="CT78" i="16" s="1"/>
  <c r="CT85" i="16" l="1"/>
  <c r="CT88" i="16" s="1"/>
  <c r="CT89" i="16" s="1"/>
  <c r="CU87" i="16" s="1"/>
  <c r="CT122" i="16"/>
  <c r="CT170" i="16" l="1"/>
  <c r="CT152" i="16"/>
  <c r="CU82" i="16"/>
  <c r="CU83" i="16" s="1"/>
  <c r="CT92" i="16"/>
  <c r="CT93" i="16" l="1"/>
  <c r="CT94" i="16"/>
  <c r="CT97" i="16" s="1"/>
  <c r="CT184" i="16"/>
  <c r="CT172" i="16"/>
  <c r="CT207" i="16"/>
  <c r="CT173" i="16" l="1"/>
  <c r="CT135" i="16" s="1"/>
  <c r="CT174" i="16"/>
  <c r="CT185" i="16"/>
  <c r="CT96" i="16"/>
  <c r="CT114" i="16" s="1"/>
  <c r="CT201" i="16" l="1"/>
  <c r="CT136" i="16"/>
  <c r="CT137" i="16" s="1"/>
  <c r="CU134" i="16" s="1"/>
  <c r="CT209" i="16"/>
  <c r="CT175" i="16"/>
  <c r="CT176" i="16" l="1"/>
  <c r="CT177" i="16" s="1"/>
  <c r="CT180" i="16" s="1"/>
  <c r="CU139" i="16"/>
  <c r="CU208" i="16" s="1"/>
  <c r="CT116" i="16" l="1"/>
  <c r="CT117" i="16" s="1"/>
  <c r="CU113" i="16" s="1"/>
  <c r="CT210" i="16"/>
  <c r="CU128" i="16" l="1"/>
  <c r="CU129" i="16" s="1"/>
  <c r="CU131" i="16" s="1"/>
  <c r="CU77" i="16" s="1"/>
  <c r="CU120" i="16"/>
  <c r="CU198" i="16"/>
  <c r="CU199" i="16" s="1"/>
  <c r="CU213" i="16" s="1"/>
  <c r="CU115" i="16"/>
  <c r="CU171" i="16" s="1"/>
  <c r="CU121" i="16" l="1"/>
  <c r="CU75" i="16" s="1"/>
  <c r="CU78" i="16" s="1"/>
  <c r="CU122" i="16" l="1"/>
  <c r="CU170" i="16" s="1"/>
  <c r="CU85" i="16"/>
  <c r="CU88" i="16" s="1"/>
  <c r="CU89" i="16" s="1"/>
  <c r="CV87" i="16" s="1"/>
  <c r="CU152" i="16" l="1"/>
  <c r="CU92" i="16"/>
  <c r="CV82" i="16"/>
  <c r="CV83" i="16" s="1"/>
  <c r="CU184" i="16"/>
  <c r="CU172" i="16"/>
  <c r="CU207" i="16"/>
  <c r="CU185" i="16" l="1"/>
  <c r="CU173" i="16"/>
  <c r="CU135" i="16" s="1"/>
  <c r="CU174" i="16"/>
  <c r="CU93" i="16"/>
  <c r="CU94" i="16"/>
  <c r="CU97" i="16" s="1"/>
  <c r="CU136" i="16" l="1"/>
  <c r="CU137" i="16" s="1"/>
  <c r="CV134" i="16" s="1"/>
  <c r="CU209" i="16"/>
  <c r="CU96" i="16"/>
  <c r="CU114" i="16" s="1"/>
  <c r="CU201" i="16"/>
  <c r="CU175" i="16"/>
  <c r="CU176" i="16" l="1"/>
  <c r="CV139" i="16"/>
  <c r="CV208" i="16" s="1"/>
  <c r="CU116" i="16" l="1"/>
  <c r="CU117" i="16" s="1"/>
  <c r="CV113" i="16" s="1"/>
  <c r="CU210" i="16"/>
  <c r="CU177" i="16"/>
  <c r="CU180" i="16" s="1"/>
  <c r="CV120" i="16" l="1"/>
  <c r="CV115" i="16"/>
  <c r="CV171" i="16" s="1"/>
  <c r="CV128" i="16"/>
  <c r="CV129" i="16" s="1"/>
  <c r="CV131" i="16" s="1"/>
  <c r="CV77" i="16" s="1"/>
  <c r="CV198" i="16"/>
  <c r="CV199" i="16" s="1"/>
  <c r="CV213" i="16" s="1"/>
  <c r="CV121" i="16" l="1"/>
  <c r="CV75" i="16" s="1"/>
  <c r="CV78" i="16" s="1"/>
  <c r="CV122" i="16" l="1"/>
  <c r="CV170" i="16" s="1"/>
  <c r="CV85" i="16"/>
  <c r="CV88" i="16" s="1"/>
  <c r="CV89" i="16" s="1"/>
  <c r="CW87" i="16" s="1"/>
  <c r="CV152" i="16" l="1"/>
  <c r="CW82" i="16"/>
  <c r="CW83" i="16" s="1"/>
  <c r="CV92" i="16"/>
  <c r="CV184" i="16"/>
  <c r="CV172" i="16"/>
  <c r="CV207" i="16"/>
  <c r="CV173" i="16" l="1"/>
  <c r="CV135" i="16" s="1"/>
  <c r="CV174" i="16"/>
  <c r="CV185" i="16"/>
  <c r="CV93" i="16"/>
  <c r="CV94" i="16"/>
  <c r="CV97" i="16" s="1"/>
  <c r="CV136" i="16" l="1"/>
  <c r="CV137" i="16" s="1"/>
  <c r="CW134" i="16" s="1"/>
  <c r="CV209" i="16"/>
  <c r="CV96" i="16"/>
  <c r="CV114" i="16" s="1"/>
  <c r="CV201" i="16"/>
  <c r="CV175" i="16"/>
  <c r="CV176" i="16" l="1"/>
  <c r="CW139" i="16"/>
  <c r="CW208" i="16" s="1"/>
  <c r="CV116" i="16" l="1"/>
  <c r="CV117" i="16" s="1"/>
  <c r="CW113" i="16" s="1"/>
  <c r="CV210" i="16"/>
  <c r="CV177" i="16"/>
  <c r="CV180" i="16" s="1"/>
  <c r="CW128" i="16" l="1"/>
  <c r="CW129" i="16" s="1"/>
  <c r="CW131" i="16" s="1"/>
  <c r="CW77" i="16" s="1"/>
  <c r="CW115" i="16"/>
  <c r="CW171" i="16" s="1"/>
  <c r="CW120" i="16"/>
  <c r="CW198" i="16"/>
  <c r="CW199" i="16" s="1"/>
  <c r="CW213" i="16" s="1"/>
  <c r="CW121" i="16" l="1"/>
  <c r="CW75" i="16" s="1"/>
  <c r="CW78" i="16" s="1"/>
  <c r="CW85" i="16" l="1"/>
  <c r="CW88" i="16" s="1"/>
  <c r="CW89" i="16" s="1"/>
  <c r="CX87" i="16" s="1"/>
  <c r="CW122" i="16"/>
  <c r="CX82" i="16" l="1"/>
  <c r="CX83" i="16" s="1"/>
  <c r="CW170" i="16"/>
  <c r="CW152" i="16"/>
  <c r="CW92" i="16"/>
  <c r="CW93" i="16" l="1"/>
  <c r="CW94" i="16"/>
  <c r="CW97" i="16" s="1"/>
  <c r="CW184" i="16"/>
  <c r="CW172" i="16"/>
  <c r="CW207" i="16"/>
  <c r="CW185" i="16" l="1"/>
  <c r="CW173" i="16"/>
  <c r="CW135" i="16" s="1"/>
  <c r="CW174" i="16"/>
  <c r="CW96" i="16"/>
  <c r="CW114" i="16" s="1"/>
  <c r="CW201" i="16" l="1"/>
  <c r="CW175" i="16"/>
  <c r="CW136" i="16"/>
  <c r="CW137" i="16" s="1"/>
  <c r="CX134" i="16" s="1"/>
  <c r="CW209" i="16"/>
  <c r="CX139" i="16" l="1"/>
  <c r="CX208" i="16" s="1"/>
  <c r="CW176" i="16"/>
  <c r="CW116" i="16" l="1"/>
  <c r="CW117" i="16" s="1"/>
  <c r="CX113" i="16" s="1"/>
  <c r="CW210" i="16"/>
  <c r="CW177" i="16"/>
  <c r="CW180" i="16" s="1"/>
  <c r="CX120" i="16" l="1"/>
  <c r="CX115" i="16"/>
  <c r="CX171" i="16" s="1"/>
  <c r="CX128" i="16"/>
  <c r="CX129" i="16" s="1"/>
  <c r="CX131" i="16" s="1"/>
  <c r="CX77" i="16" s="1"/>
  <c r="CX198" i="16"/>
  <c r="CX199" i="16" s="1"/>
  <c r="CX213" i="16" s="1"/>
  <c r="CX121" i="16" l="1"/>
  <c r="CX75" i="16" s="1"/>
  <c r="CX78" i="16" s="1"/>
  <c r="CX122" i="16" l="1"/>
  <c r="CX170" i="16" s="1"/>
  <c r="CX85" i="16"/>
  <c r="CX88" i="16" s="1"/>
  <c r="CX89" i="16" s="1"/>
  <c r="CY87" i="16" s="1"/>
  <c r="CX152" i="16" l="1"/>
  <c r="CX92" i="16"/>
  <c r="CY82" i="16"/>
  <c r="CY83" i="16" s="1"/>
  <c r="CX184" i="16"/>
  <c r="CX172" i="16"/>
  <c r="CX207" i="16"/>
  <c r="CX173" i="16" l="1"/>
  <c r="CX135" i="16" s="1"/>
  <c r="CX174" i="16"/>
  <c r="CX185" i="16"/>
  <c r="CX93" i="16"/>
  <c r="CX94" i="16"/>
  <c r="CX97" i="16" s="1"/>
  <c r="CX96" i="16" l="1"/>
  <c r="CX114" i="16" s="1"/>
  <c r="CX201" i="16"/>
  <c r="CX136" i="16"/>
  <c r="CX137" i="16" s="1"/>
  <c r="CY134" i="16" s="1"/>
  <c r="CX209" i="16"/>
  <c r="CX175" i="16"/>
  <c r="CY139" i="16" l="1"/>
  <c r="CY208" i="16" s="1"/>
  <c r="CX176" i="16"/>
  <c r="CX116" i="16" l="1"/>
  <c r="CX117" i="16" s="1"/>
  <c r="CY113" i="16" s="1"/>
  <c r="CX210" i="16"/>
  <c r="CX177" i="16"/>
  <c r="CX180" i="16" s="1"/>
  <c r="CY128" i="16" l="1"/>
  <c r="CY129" i="16" s="1"/>
  <c r="CY131" i="16" s="1"/>
  <c r="CY77" i="16" s="1"/>
  <c r="CY115" i="16"/>
  <c r="CY171" i="16" s="1"/>
  <c r="CY120" i="16"/>
  <c r="CY198" i="16"/>
  <c r="CY199" i="16" s="1"/>
  <c r="CY213" i="16" s="1"/>
  <c r="CY121" i="16" l="1"/>
  <c r="CY75" i="16" s="1"/>
  <c r="CY78" i="16" s="1"/>
  <c r="CY85" i="16" l="1"/>
  <c r="CY88" i="16" s="1"/>
  <c r="CY89" i="16" s="1"/>
  <c r="CZ87" i="16" s="1"/>
  <c r="CY122" i="16"/>
  <c r="CZ82" i="16" l="1"/>
  <c r="CZ83" i="16" s="1"/>
  <c r="CY170" i="16"/>
  <c r="CY152" i="16"/>
  <c r="CY92" i="16"/>
  <c r="CY184" i="16" l="1"/>
  <c r="CY172" i="16"/>
  <c r="CY207" i="16"/>
  <c r="CY93" i="16"/>
  <c r="CY94" i="16"/>
  <c r="CY97" i="16" s="1"/>
  <c r="CY96" i="16" l="1"/>
  <c r="CY114" i="16" s="1"/>
  <c r="CY173" i="16"/>
  <c r="CY135" i="16" s="1"/>
  <c r="CY174" i="16"/>
  <c r="CY185" i="16"/>
  <c r="CY175" i="16" l="1"/>
  <c r="CY176" i="16" s="1"/>
  <c r="CY136" i="16"/>
  <c r="CY137" i="16" s="1"/>
  <c r="CZ134" i="16" s="1"/>
  <c r="CY209" i="16"/>
  <c r="CY201" i="16"/>
  <c r="CY116" i="16" l="1"/>
  <c r="CY117" i="16" s="1"/>
  <c r="CZ113" i="16" s="1"/>
  <c r="CY210" i="16"/>
  <c r="CY177" i="16"/>
  <c r="CY180" i="16" s="1"/>
  <c r="CZ139" i="16"/>
  <c r="CZ208" i="16" s="1"/>
  <c r="CZ120" i="16" l="1"/>
  <c r="CZ115" i="16"/>
  <c r="CZ171" i="16" s="1"/>
  <c r="CZ128" i="16"/>
  <c r="CZ129" i="16" s="1"/>
  <c r="CZ131" i="16" s="1"/>
  <c r="CZ77" i="16" s="1"/>
  <c r="CZ198" i="16"/>
  <c r="CZ199" i="16" s="1"/>
  <c r="CZ213" i="16" s="1"/>
  <c r="CZ121" i="16" l="1"/>
  <c r="CZ75" i="16" s="1"/>
  <c r="CZ78" i="16" s="1"/>
  <c r="CZ122" i="16" l="1"/>
  <c r="CZ170" i="16" s="1"/>
  <c r="CZ85" i="16"/>
  <c r="CZ88" i="16" s="1"/>
  <c r="CZ89" i="16" s="1"/>
  <c r="DA87" i="16" s="1"/>
  <c r="CZ152" i="16" l="1"/>
  <c r="DA82" i="16"/>
  <c r="DA83" i="16" s="1"/>
  <c r="CZ92" i="16"/>
  <c r="CZ184" i="16"/>
  <c r="CZ172" i="16"/>
  <c r="CZ207" i="16"/>
  <c r="CZ185" i="16" l="1"/>
  <c r="CZ93" i="16"/>
  <c r="CZ94" i="16"/>
  <c r="CZ97" i="16" s="1"/>
  <c r="CZ173" i="16"/>
  <c r="CZ135" i="16" s="1"/>
  <c r="CZ174" i="16"/>
  <c r="CZ175" i="16" l="1"/>
  <c r="CZ176" i="16" s="1"/>
  <c r="CZ136" i="16"/>
  <c r="CZ137" i="16" s="1"/>
  <c r="DA134" i="16" s="1"/>
  <c r="CZ209" i="16"/>
  <c r="CZ96" i="16"/>
  <c r="CZ114" i="16" s="1"/>
  <c r="CZ201" i="16"/>
  <c r="CZ116" i="16" l="1"/>
  <c r="CZ117" i="16" s="1"/>
  <c r="DA113" i="16" s="1"/>
  <c r="CZ210" i="16"/>
  <c r="DA139" i="16"/>
  <c r="DA208" i="16" s="1"/>
  <c r="CZ177" i="16"/>
  <c r="CZ180" i="16" s="1"/>
  <c r="DA128" i="16" l="1"/>
  <c r="DA129" i="16" s="1"/>
  <c r="DA131" i="16" s="1"/>
  <c r="DA77" i="16" s="1"/>
  <c r="DA115" i="16"/>
  <c r="DA171" i="16" s="1"/>
  <c r="DA120" i="16"/>
  <c r="DA198" i="16"/>
  <c r="DA199" i="16" s="1"/>
  <c r="DA213" i="16" s="1"/>
  <c r="DA121" i="16" l="1"/>
  <c r="DA75" i="16" s="1"/>
  <c r="DA78" i="16" s="1"/>
  <c r="DA122" i="16" l="1"/>
  <c r="DA170" i="16" s="1"/>
  <c r="DA85" i="16"/>
  <c r="DA88" i="16" s="1"/>
  <c r="DA89" i="16" s="1"/>
  <c r="DB87" i="16" s="1"/>
  <c r="DA152" i="16" l="1"/>
  <c r="DB82" i="16"/>
  <c r="DB83" i="16" s="1"/>
  <c r="DA184" i="16"/>
  <c r="DA172" i="16"/>
  <c r="DA207" i="16"/>
  <c r="DA92" i="16"/>
  <c r="DA93" i="16" l="1"/>
  <c r="DA94" i="16"/>
  <c r="DA97" i="16" s="1"/>
  <c r="DA173" i="16"/>
  <c r="DA135" i="16" s="1"/>
  <c r="DA174" i="16"/>
  <c r="DA185" i="16"/>
  <c r="DA175" i="16" l="1"/>
  <c r="DA176" i="16" s="1"/>
  <c r="DA136" i="16"/>
  <c r="DA137" i="16" s="1"/>
  <c r="DB134" i="16" s="1"/>
  <c r="DA209" i="16"/>
  <c r="DA201" i="16"/>
  <c r="DA96" i="16"/>
  <c r="DA114" i="16" s="1"/>
  <c r="DB139" i="16" l="1"/>
  <c r="DB208" i="16" s="1"/>
  <c r="DA116" i="16"/>
  <c r="DA117" i="16" s="1"/>
  <c r="DB113" i="16" s="1"/>
  <c r="DA210" i="16"/>
  <c r="DA177" i="16"/>
  <c r="DA180" i="16" s="1"/>
  <c r="DB120" i="16" l="1"/>
  <c r="DB115" i="16"/>
  <c r="DB171" i="16" s="1"/>
  <c r="DB128" i="16"/>
  <c r="DB129" i="16" s="1"/>
  <c r="DB131" i="16" s="1"/>
  <c r="DB77" i="16" s="1"/>
  <c r="DB198" i="16"/>
  <c r="DB199" i="16" s="1"/>
  <c r="DB213" i="16" s="1"/>
  <c r="DB121" i="16" l="1"/>
  <c r="DB75" i="16" s="1"/>
  <c r="DB78" i="16" s="1"/>
  <c r="DB122" i="16" l="1"/>
  <c r="DB152" i="16" s="1"/>
  <c r="DB85" i="16"/>
  <c r="DB88" i="16" s="1"/>
  <c r="DB89" i="16" s="1"/>
  <c r="DC87" i="16" s="1"/>
  <c r="DB170" i="16" l="1"/>
  <c r="DB184" i="16" s="1"/>
  <c r="DC82" i="16"/>
  <c r="DC83" i="16" s="1"/>
  <c r="DB92" i="16"/>
  <c r="DB207" i="16" l="1"/>
  <c r="DB172" i="16"/>
  <c r="DB173" i="16" s="1"/>
  <c r="DB135" i="16" s="1"/>
  <c r="DB185" i="16"/>
  <c r="DB93" i="16"/>
  <c r="DB94" i="16"/>
  <c r="DB97" i="16" s="1"/>
  <c r="DB174" i="16" l="1"/>
  <c r="DB175" i="16" s="1"/>
  <c r="DB96" i="16"/>
  <c r="DB114" i="16" s="1"/>
  <c r="DB201" i="16" l="1"/>
  <c r="DB209" i="16"/>
  <c r="DB136" i="16"/>
  <c r="DB137" i="16" s="1"/>
  <c r="DC134" i="16" s="1"/>
  <c r="DC139" i="16" s="1"/>
  <c r="DC208" i="16" s="1"/>
  <c r="DB176" i="16"/>
  <c r="DB116" i="16" l="1"/>
  <c r="DB117" i="16" s="1"/>
  <c r="DC113" i="16" s="1"/>
  <c r="DB210" i="16"/>
  <c r="DB177" i="16"/>
  <c r="DB180" i="16" s="1"/>
  <c r="DC128" i="16" l="1"/>
  <c r="DC129" i="16" s="1"/>
  <c r="DC131" i="16" s="1"/>
  <c r="DC77" i="16" s="1"/>
  <c r="DC115" i="16"/>
  <c r="DC171" i="16" s="1"/>
  <c r="DC120" i="16"/>
  <c r="DC198" i="16"/>
  <c r="DC199" i="16" s="1"/>
  <c r="DC213" i="16" s="1"/>
  <c r="DC121" i="16" l="1"/>
  <c r="DC75" i="16" s="1"/>
  <c r="DC78" i="16" s="1"/>
  <c r="DC85" i="16" l="1"/>
  <c r="DC88" i="16" s="1"/>
  <c r="DC89" i="16" s="1"/>
  <c r="DD87" i="16" s="1"/>
  <c r="DC122" i="16"/>
  <c r="DD82" i="16" l="1"/>
  <c r="DD83" i="16" s="1"/>
  <c r="DC170" i="16"/>
  <c r="DC152" i="16"/>
  <c r="DC92" i="16"/>
  <c r="DC93" i="16" l="1"/>
  <c r="DC94" i="16"/>
  <c r="DC97" i="16" s="1"/>
  <c r="DC184" i="16"/>
  <c r="DC172" i="16"/>
  <c r="DC207" i="16"/>
  <c r="DC173" i="16" l="1"/>
  <c r="DC135" i="16" s="1"/>
  <c r="DC174" i="16"/>
  <c r="DC185" i="16"/>
  <c r="DC96" i="16"/>
  <c r="DC114" i="16" s="1"/>
  <c r="DC175" i="16" l="1"/>
  <c r="DC176" i="16" s="1"/>
  <c r="DC201" i="16"/>
  <c r="DC136" i="16"/>
  <c r="DC137" i="16" s="1"/>
  <c r="DD134" i="16" s="1"/>
  <c r="DC209" i="16"/>
  <c r="DC116" i="16" l="1"/>
  <c r="DC117" i="16" s="1"/>
  <c r="DD113" i="16" s="1"/>
  <c r="DC210" i="16"/>
  <c r="DD139" i="16"/>
  <c r="DD208" i="16" s="1"/>
  <c r="DC177" i="16"/>
  <c r="DC180" i="16" s="1"/>
  <c r="DD120" i="16" l="1"/>
  <c r="DD115" i="16"/>
  <c r="DD171" i="16" s="1"/>
  <c r="DD128" i="16"/>
  <c r="DD129" i="16" s="1"/>
  <c r="DD131" i="16" s="1"/>
  <c r="DD77" i="16" s="1"/>
  <c r="DD198" i="16"/>
  <c r="DD199" i="16" s="1"/>
  <c r="DD213" i="16" s="1"/>
  <c r="DD121" i="16" l="1"/>
  <c r="DD75" i="16" s="1"/>
  <c r="DD78" i="16" s="1"/>
  <c r="DD122" i="16" l="1"/>
  <c r="DD170" i="16" s="1"/>
  <c r="DD85" i="16"/>
  <c r="DD88" i="16" s="1"/>
  <c r="DD89" i="16" s="1"/>
  <c r="DE87" i="16" s="1"/>
  <c r="DD152" i="16" l="1"/>
  <c r="DE82" i="16"/>
  <c r="DE83" i="16" s="1"/>
  <c r="DD92" i="16"/>
  <c r="DD184" i="16"/>
  <c r="DD172" i="16"/>
  <c r="DD207" i="16"/>
  <c r="DD185" i="16" l="1"/>
  <c r="DD173" i="16"/>
  <c r="DD135" i="16" s="1"/>
  <c r="DD174" i="16"/>
  <c r="DD93" i="16"/>
  <c r="DD94" i="16"/>
  <c r="DD97" i="16" s="1"/>
  <c r="DD96" i="16" l="1"/>
  <c r="DD114" i="16" s="1"/>
  <c r="DD201" i="16"/>
  <c r="DD175" i="16"/>
  <c r="DD136" i="16"/>
  <c r="DD137" i="16" s="1"/>
  <c r="DE134" i="16" s="1"/>
  <c r="DD209" i="16"/>
  <c r="DE139" i="16" l="1"/>
  <c r="DE208" i="16" s="1"/>
  <c r="DD176" i="16"/>
  <c r="DD116" i="16" l="1"/>
  <c r="DD117" i="16" s="1"/>
  <c r="DE113" i="16" s="1"/>
  <c r="DD210" i="16"/>
  <c r="DD177" i="16"/>
  <c r="DD180" i="16" s="1"/>
  <c r="DE128" i="16" l="1"/>
  <c r="DE129" i="16" s="1"/>
  <c r="DE131" i="16" s="1"/>
  <c r="DE77" i="16" s="1"/>
  <c r="DE115" i="16"/>
  <c r="DE171" i="16" s="1"/>
  <c r="DE120" i="16"/>
  <c r="DE198" i="16"/>
  <c r="DE199" i="16" s="1"/>
  <c r="DE213" i="16" s="1"/>
  <c r="DE121" i="16" l="1"/>
  <c r="DE75" i="16" s="1"/>
  <c r="DE78" i="16" s="1"/>
  <c r="DE85" i="16" l="1"/>
  <c r="DE88" i="16" s="1"/>
  <c r="DE89" i="16" s="1"/>
  <c r="DF87" i="16" s="1"/>
  <c r="DE122" i="16"/>
  <c r="DF82" i="16" l="1"/>
  <c r="DF83" i="16" s="1"/>
  <c r="DE170" i="16"/>
  <c r="DE152" i="16"/>
  <c r="DE92" i="16"/>
  <c r="DE184" i="16" l="1"/>
  <c r="DE172" i="16"/>
  <c r="DE207" i="16"/>
  <c r="DE93" i="16"/>
  <c r="DE94" i="16"/>
  <c r="DE97" i="16" s="1"/>
  <c r="DE96" i="16" l="1"/>
  <c r="DE114" i="16" s="1"/>
  <c r="DE173" i="16"/>
  <c r="DE135" i="16" s="1"/>
  <c r="DE174" i="16"/>
  <c r="DE185" i="16"/>
  <c r="DE175" i="16" l="1"/>
  <c r="DE176" i="16" s="1"/>
  <c r="DE136" i="16"/>
  <c r="DE137" i="16" s="1"/>
  <c r="DF134" i="16" s="1"/>
  <c r="DE209" i="16"/>
  <c r="DE201" i="16"/>
  <c r="DE116" i="16" l="1"/>
  <c r="DE117" i="16" s="1"/>
  <c r="DF113" i="16" s="1"/>
  <c r="DE210" i="16"/>
  <c r="DF139" i="16"/>
  <c r="DF208" i="16" s="1"/>
  <c r="DE177" i="16"/>
  <c r="DE180" i="16" s="1"/>
  <c r="DF120" i="16" l="1"/>
  <c r="DF115" i="16"/>
  <c r="DF171" i="16" s="1"/>
  <c r="DF128" i="16"/>
  <c r="DF129" i="16" s="1"/>
  <c r="DF131" i="16" s="1"/>
  <c r="DF77" i="16" s="1"/>
  <c r="DF198" i="16"/>
  <c r="DF199" i="16" s="1"/>
  <c r="DF213" i="16" s="1"/>
  <c r="DF121" i="16" l="1"/>
  <c r="DF75" i="16" s="1"/>
  <c r="DF78" i="16" s="1"/>
  <c r="DF122" i="16" l="1"/>
  <c r="DF170" i="16" s="1"/>
  <c r="DF85" i="16"/>
  <c r="DF88" i="16" s="1"/>
  <c r="DF89" i="16" s="1"/>
  <c r="DG87" i="16" s="1"/>
  <c r="DF152" i="16" l="1"/>
  <c r="DG82" i="16"/>
  <c r="DG83" i="16" s="1"/>
  <c r="DF92" i="16"/>
  <c r="DF184" i="16"/>
  <c r="DF172" i="16"/>
  <c r="DF207" i="16"/>
  <c r="DF185" i="16" l="1"/>
  <c r="DF173" i="16"/>
  <c r="DF135" i="16" s="1"/>
  <c r="DF174" i="16"/>
  <c r="DF93" i="16"/>
  <c r="DF94" i="16"/>
  <c r="DF97" i="16" s="1"/>
  <c r="DF175" i="16" l="1"/>
  <c r="DF96" i="16"/>
  <c r="DF114" i="16" s="1"/>
  <c r="DF201" i="16"/>
  <c r="DF136" i="16"/>
  <c r="DF137" i="16" s="1"/>
  <c r="DG134" i="16" s="1"/>
  <c r="DF209" i="16"/>
  <c r="DG139" i="16" l="1"/>
  <c r="DG208" i="16" s="1"/>
  <c r="DF176" i="16"/>
  <c r="DF177" i="16" s="1"/>
  <c r="DF180" i="16" s="1"/>
  <c r="DF116" i="16" l="1"/>
  <c r="DF117" i="16" s="1"/>
  <c r="DG113" i="16" s="1"/>
  <c r="DF210" i="16"/>
  <c r="DG128" i="16" l="1"/>
  <c r="DG129" i="16" s="1"/>
  <c r="DG131" i="16" s="1"/>
  <c r="DG77" i="16" s="1"/>
  <c r="DG120" i="16"/>
  <c r="DG115" i="16"/>
  <c r="DG171" i="16" s="1"/>
  <c r="DG198" i="16"/>
  <c r="DG199" i="16" s="1"/>
  <c r="DG213" i="16" s="1"/>
  <c r="DG121" i="16" l="1"/>
  <c r="DG75" i="16" s="1"/>
  <c r="DG78" i="16" s="1"/>
  <c r="DG85" i="16" l="1"/>
  <c r="DG88" i="16" s="1"/>
  <c r="DG89" i="16" s="1"/>
  <c r="DH87" i="16" s="1"/>
  <c r="DG122" i="16"/>
  <c r="DH82" i="16" l="1"/>
  <c r="DH83" i="16" s="1"/>
  <c r="DG170" i="16"/>
  <c r="DG152" i="16"/>
  <c r="DG92" i="16"/>
  <c r="DG93" i="16" l="1"/>
  <c r="DG94" i="16"/>
  <c r="DG97" i="16" s="1"/>
  <c r="DG184" i="16"/>
  <c r="DG172" i="16"/>
  <c r="DG207" i="16"/>
  <c r="DG173" i="16" l="1"/>
  <c r="DG135" i="16" s="1"/>
  <c r="DG174" i="16"/>
  <c r="DG185" i="16"/>
  <c r="DG96" i="16"/>
  <c r="DG114" i="16" s="1"/>
  <c r="DG175" i="16" l="1"/>
  <c r="DG176" i="16" s="1"/>
  <c r="DG201" i="16"/>
  <c r="DG136" i="16"/>
  <c r="DG137" i="16" s="1"/>
  <c r="DH134" i="16" s="1"/>
  <c r="DG209" i="16"/>
  <c r="DG116" i="16" l="1"/>
  <c r="DG117" i="16" s="1"/>
  <c r="DH113" i="16" s="1"/>
  <c r="DG210" i="16"/>
  <c r="DH139" i="16"/>
  <c r="DH208" i="16" s="1"/>
  <c r="DG177" i="16"/>
  <c r="DG180" i="16" s="1"/>
  <c r="DH120" i="16" l="1"/>
  <c r="DH115" i="16"/>
  <c r="DH171" i="16" s="1"/>
  <c r="DH128" i="16"/>
  <c r="DH129" i="16" s="1"/>
  <c r="DH131" i="16" s="1"/>
  <c r="DH77" i="16" s="1"/>
  <c r="DH198" i="16"/>
  <c r="DH199" i="16" s="1"/>
  <c r="DH213" i="16" s="1"/>
  <c r="DH121" i="16" l="1"/>
  <c r="DH75" i="16" s="1"/>
  <c r="DH78" i="16" s="1"/>
  <c r="DH122" i="16" l="1"/>
  <c r="DH170" i="16" s="1"/>
  <c r="DH85" i="16"/>
  <c r="DH88" i="16" s="1"/>
  <c r="DH89" i="16" s="1"/>
  <c r="DI87" i="16" s="1"/>
  <c r="DH152" i="16" l="1"/>
  <c r="DI82" i="16"/>
  <c r="DI83" i="16" s="1"/>
  <c r="DH92" i="16"/>
  <c r="DH184" i="16"/>
  <c r="DH172" i="16"/>
  <c r="DH207" i="16"/>
  <c r="DH93" i="16" l="1"/>
  <c r="DH94" i="16"/>
  <c r="DH97" i="16" s="1"/>
  <c r="DH173" i="16"/>
  <c r="DH135" i="16" s="1"/>
  <c r="DH174" i="16"/>
  <c r="DH185" i="16"/>
  <c r="DH136" i="16" l="1"/>
  <c r="DH137" i="16" s="1"/>
  <c r="DI134" i="16" s="1"/>
  <c r="DH209" i="16"/>
  <c r="DH175" i="16"/>
  <c r="DH96" i="16"/>
  <c r="DH114" i="16" s="1"/>
  <c r="DH201" i="16"/>
  <c r="DI139" i="16" l="1"/>
  <c r="DI208" i="16" s="1"/>
  <c r="DH176" i="16"/>
  <c r="DH116" i="16" l="1"/>
  <c r="DH117" i="16" s="1"/>
  <c r="DI113" i="16" s="1"/>
  <c r="DH210" i="16"/>
  <c r="DH177" i="16"/>
  <c r="DH180" i="16" s="1"/>
  <c r="DI128" i="16" l="1"/>
  <c r="DI129" i="16" s="1"/>
  <c r="DI131" i="16" s="1"/>
  <c r="DI77" i="16" s="1"/>
  <c r="DI120" i="16"/>
  <c r="DI115" i="16"/>
  <c r="DI171" i="16" s="1"/>
  <c r="DI198" i="16"/>
  <c r="DI199" i="16" s="1"/>
  <c r="DI213" i="16" s="1"/>
  <c r="DI121" i="16" l="1"/>
  <c r="DI75" i="16" s="1"/>
  <c r="DI78" i="16" s="1"/>
  <c r="DI85" i="16" l="1"/>
  <c r="DI88" i="16" s="1"/>
  <c r="DI89" i="16" s="1"/>
  <c r="DJ87" i="16" s="1"/>
  <c r="DI122" i="16"/>
  <c r="DJ82" i="16" l="1"/>
  <c r="DJ83" i="16" s="1"/>
  <c r="DI170" i="16"/>
  <c r="DI152" i="16"/>
  <c r="DI92" i="16"/>
  <c r="DI184" i="16" l="1"/>
  <c r="DI172" i="16"/>
  <c r="DI207" i="16"/>
  <c r="DI93" i="16"/>
  <c r="DI94" i="16"/>
  <c r="DI97" i="16" s="1"/>
  <c r="DI96" i="16" l="1"/>
  <c r="DI114" i="16" s="1"/>
  <c r="DI173" i="16"/>
  <c r="DI135" i="16" s="1"/>
  <c r="DI174" i="16"/>
  <c r="DI185" i="16"/>
  <c r="DI175" i="16" l="1"/>
  <c r="DI136" i="16"/>
  <c r="DI137" i="16" s="1"/>
  <c r="DJ134" i="16" s="1"/>
  <c r="DI209" i="16"/>
  <c r="DI201" i="16"/>
  <c r="DJ139" i="16" l="1"/>
  <c r="DJ208" i="16" s="1"/>
  <c r="DI176" i="16"/>
  <c r="DI177" i="16" s="1"/>
  <c r="DI180" i="16" s="1"/>
  <c r="DI116" i="16" l="1"/>
  <c r="DI117" i="16" s="1"/>
  <c r="DJ113" i="16" s="1"/>
  <c r="DI210" i="16"/>
  <c r="DJ120" i="16" l="1"/>
  <c r="DJ128" i="16"/>
  <c r="DJ129" i="16" s="1"/>
  <c r="DJ131" i="16" s="1"/>
  <c r="DJ77" i="16" s="1"/>
  <c r="DJ115" i="16"/>
  <c r="DJ171" i="16" s="1"/>
  <c r="DJ198" i="16"/>
  <c r="DJ199" i="16" s="1"/>
  <c r="DJ213" i="16" s="1"/>
  <c r="DJ121" i="16" l="1"/>
  <c r="DJ75" i="16" s="1"/>
  <c r="DJ78" i="16" s="1"/>
  <c r="DJ122" i="16" l="1"/>
  <c r="DJ85" i="16"/>
  <c r="DJ88" i="16" s="1"/>
  <c r="DJ89" i="16" s="1"/>
  <c r="DK87" i="16" s="1"/>
  <c r="DK82" i="16" l="1"/>
  <c r="DK83" i="16" s="1"/>
  <c r="DJ92" i="16"/>
  <c r="DJ170" i="16"/>
  <c r="DJ152" i="16"/>
  <c r="DJ184" i="16" l="1"/>
  <c r="DJ172" i="16"/>
  <c r="DJ207" i="16"/>
  <c r="DJ93" i="16"/>
  <c r="DJ94" i="16"/>
  <c r="DJ97" i="16" s="1"/>
  <c r="DJ173" i="16" l="1"/>
  <c r="DJ135" i="16" s="1"/>
  <c r="DJ174" i="16"/>
  <c r="DJ96" i="16"/>
  <c r="DJ114" i="16" s="1"/>
  <c r="DJ185" i="16"/>
  <c r="DJ201" i="16" l="1"/>
  <c r="DJ136" i="16"/>
  <c r="DJ137" i="16" s="1"/>
  <c r="DK134" i="16" s="1"/>
  <c r="DJ209" i="16"/>
  <c r="DJ175" i="16"/>
  <c r="DJ176" i="16" l="1"/>
  <c r="DK139" i="16"/>
  <c r="DK208" i="16" s="1"/>
  <c r="DJ116" i="16" l="1"/>
  <c r="DJ117" i="16" s="1"/>
  <c r="DK113" i="16" s="1"/>
  <c r="DJ210" i="16"/>
  <c r="DJ177" i="16"/>
  <c r="DJ180" i="16" s="1"/>
  <c r="DK128" i="16" l="1"/>
  <c r="DK129" i="16" s="1"/>
  <c r="DK131" i="16" s="1"/>
  <c r="DK77" i="16" s="1"/>
  <c r="DK120" i="16"/>
  <c r="DK115" i="16"/>
  <c r="DK171" i="16" s="1"/>
  <c r="DK198" i="16"/>
  <c r="DK199" i="16" s="1"/>
  <c r="DK213" i="16" s="1"/>
  <c r="DK121" i="16" l="1"/>
  <c r="DK75" i="16" s="1"/>
  <c r="DK78" i="16" s="1"/>
  <c r="DK122" i="16" l="1"/>
  <c r="DK170" i="16" s="1"/>
  <c r="DK85" i="16"/>
  <c r="DK88" i="16" s="1"/>
  <c r="DK89" i="16" s="1"/>
  <c r="DL87" i="16" s="1"/>
  <c r="DK152" i="16" l="1"/>
  <c r="DL82" i="16"/>
  <c r="DL83" i="16" s="1"/>
  <c r="DK184" i="16"/>
  <c r="DK172" i="16"/>
  <c r="DK207" i="16"/>
  <c r="DK92" i="16"/>
  <c r="DK173" i="16" l="1"/>
  <c r="DK135" i="16" s="1"/>
  <c r="DK174" i="16"/>
  <c r="DK93" i="16"/>
  <c r="DK94" i="16"/>
  <c r="DK97" i="16" s="1"/>
  <c r="DK185" i="16"/>
  <c r="DK201" i="16" l="1"/>
  <c r="DK96" i="16"/>
  <c r="DK114" i="16" s="1"/>
  <c r="DK136" i="16"/>
  <c r="DK137" i="16" s="1"/>
  <c r="DL134" i="16" s="1"/>
  <c r="DK209" i="16"/>
  <c r="DK175" i="16"/>
  <c r="DL139" i="16" l="1"/>
  <c r="DL208" i="16" s="1"/>
  <c r="DK176" i="16"/>
  <c r="DK177" i="16" s="1"/>
  <c r="DK180" i="16" s="1"/>
  <c r="DK116" i="16" l="1"/>
  <c r="DK117" i="16" s="1"/>
  <c r="DL113" i="16" s="1"/>
  <c r="DK210" i="16"/>
  <c r="DL128" i="16" l="1"/>
  <c r="DL129" i="16" s="1"/>
  <c r="DL131" i="16" s="1"/>
  <c r="DL77" i="16" s="1"/>
  <c r="DL120" i="16"/>
  <c r="DL198" i="16"/>
  <c r="DL199" i="16" s="1"/>
  <c r="DL213" i="16" s="1"/>
  <c r="DL115" i="16"/>
  <c r="DL171" i="16" s="1"/>
  <c r="DL121" i="16" l="1"/>
  <c r="DL75" i="16" s="1"/>
  <c r="DL78" i="16" s="1"/>
  <c r="DL85" i="16" l="1"/>
  <c r="DL88" i="16" s="1"/>
  <c r="DL89" i="16" s="1"/>
  <c r="DM87" i="16" s="1"/>
  <c r="DL122" i="16"/>
  <c r="DM82" i="16" l="1"/>
  <c r="DM83" i="16" s="1"/>
  <c r="DL170" i="16"/>
  <c r="DL152" i="16"/>
  <c r="DL92" i="16"/>
  <c r="DL93" i="16" l="1"/>
  <c r="DL94" i="16"/>
  <c r="DL97" i="16" s="1"/>
  <c r="DL184" i="16"/>
  <c r="DL172" i="16"/>
  <c r="DL207" i="16"/>
  <c r="DL185" i="16" l="1"/>
  <c r="DL173" i="16"/>
  <c r="DL135" i="16" s="1"/>
  <c r="DL174" i="16"/>
  <c r="DL96" i="16"/>
  <c r="DL114" i="16" s="1"/>
  <c r="DL201" i="16" l="1"/>
  <c r="DL175" i="16"/>
  <c r="DL176" i="16" s="1"/>
  <c r="DL136" i="16"/>
  <c r="DL137" i="16" s="1"/>
  <c r="DM134" i="16" s="1"/>
  <c r="DL209" i="16"/>
  <c r="DM139" i="16" l="1"/>
  <c r="DM208" i="16" s="1"/>
  <c r="DL116" i="16"/>
  <c r="DL117" i="16" s="1"/>
  <c r="DM113" i="16" s="1"/>
  <c r="DL210" i="16"/>
  <c r="DL177" i="16"/>
  <c r="DL180" i="16" s="1"/>
  <c r="DM128" i="16" l="1"/>
  <c r="DM129" i="16" s="1"/>
  <c r="DM131" i="16" s="1"/>
  <c r="DM77" i="16" s="1"/>
  <c r="DM120" i="16"/>
  <c r="DM115" i="16"/>
  <c r="DM171" i="16" s="1"/>
  <c r="DM198" i="16"/>
  <c r="DM199" i="16" s="1"/>
  <c r="DM213" i="16" s="1"/>
  <c r="DM121" i="16" l="1"/>
  <c r="DM75" i="16" s="1"/>
  <c r="DM78" i="16" s="1"/>
  <c r="DM122" i="16" l="1"/>
  <c r="DM85" i="16"/>
  <c r="DM88" i="16" s="1"/>
  <c r="DM89" i="16" s="1"/>
  <c r="DN87" i="16" s="1"/>
  <c r="DN82" i="16" l="1"/>
  <c r="DN83" i="16" s="1"/>
  <c r="DM92" i="16"/>
  <c r="DM170" i="16"/>
  <c r="DM152" i="16"/>
  <c r="DM184" i="16" l="1"/>
  <c r="DM172" i="16"/>
  <c r="DM207" i="16"/>
  <c r="DM93" i="16"/>
  <c r="DM94" i="16"/>
  <c r="DM97" i="16" s="1"/>
  <c r="DM174" i="16" l="1"/>
  <c r="DM173" i="16"/>
  <c r="DM135" i="16" s="1"/>
  <c r="DM96" i="16"/>
  <c r="DM114" i="16" s="1"/>
  <c r="DM185" i="16"/>
  <c r="DM201" i="16" l="1"/>
  <c r="DM136" i="16"/>
  <c r="DM137" i="16" s="1"/>
  <c r="DN134" i="16" s="1"/>
  <c r="DM209" i="16"/>
  <c r="DM175" i="16"/>
  <c r="DN139" i="16" l="1"/>
  <c r="DN208" i="16" s="1"/>
  <c r="DM176" i="16"/>
  <c r="DM116" i="16" l="1"/>
  <c r="DM117" i="16" s="1"/>
  <c r="DN113" i="16" s="1"/>
  <c r="DM210" i="16"/>
  <c r="DM177" i="16"/>
  <c r="DM180" i="16" s="1"/>
  <c r="DN128" i="16" l="1"/>
  <c r="DN129" i="16" s="1"/>
  <c r="DN131" i="16" s="1"/>
  <c r="DN77" i="16" s="1"/>
  <c r="DN120" i="16"/>
  <c r="DN115" i="16"/>
  <c r="DN171" i="16" s="1"/>
  <c r="DN198" i="16"/>
  <c r="DN199" i="16" s="1"/>
  <c r="DN213" i="16" s="1"/>
  <c r="DN121" i="16" l="1"/>
  <c r="DN75" i="16" s="1"/>
  <c r="DN78" i="16" s="1"/>
  <c r="DN122" i="16" l="1"/>
  <c r="DN170" i="16" s="1"/>
  <c r="DN85" i="16"/>
  <c r="DN88" i="16" s="1"/>
  <c r="DN89" i="16" s="1"/>
  <c r="DO87" i="16" s="1"/>
  <c r="DN152" i="16" l="1"/>
  <c r="DO82" i="16"/>
  <c r="DO83" i="16" s="1"/>
  <c r="DN92" i="16"/>
  <c r="DN184" i="16"/>
  <c r="DN172" i="16"/>
  <c r="DN207" i="16"/>
  <c r="DN174" i="16" l="1"/>
  <c r="DN173" i="16"/>
  <c r="DN135" i="16" s="1"/>
  <c r="DN93" i="16"/>
  <c r="DN94" i="16"/>
  <c r="DN97" i="16" s="1"/>
  <c r="DN185" i="16"/>
  <c r="DN201" i="16" l="1"/>
  <c r="DN96" i="16"/>
  <c r="DN114" i="16" s="1"/>
  <c r="DN136" i="16"/>
  <c r="DN137" i="16" s="1"/>
  <c r="DO134" i="16" s="1"/>
  <c r="DN209" i="16"/>
  <c r="DN175" i="16"/>
  <c r="DO139" i="16" l="1"/>
  <c r="DO208" i="16" s="1"/>
  <c r="DN176" i="16"/>
  <c r="DN116" i="16" l="1"/>
  <c r="DN117" i="16" s="1"/>
  <c r="DO113" i="16" s="1"/>
  <c r="DN210" i="16"/>
  <c r="DN177" i="16"/>
  <c r="DN180" i="16" s="1"/>
  <c r="DO128" i="16" l="1"/>
  <c r="DO129" i="16" s="1"/>
  <c r="DO131" i="16" s="1"/>
  <c r="DO77" i="16" s="1"/>
  <c r="DO115" i="16"/>
  <c r="DO171" i="16" s="1"/>
  <c r="DO120" i="16"/>
  <c r="DO198" i="16"/>
  <c r="DO199" i="16" s="1"/>
  <c r="DO213" i="16" s="1"/>
  <c r="DO121" i="16" l="1"/>
  <c r="DO75" i="16" s="1"/>
  <c r="DO78" i="16" s="1"/>
  <c r="DO85" i="16" l="1"/>
  <c r="DO88" i="16" s="1"/>
  <c r="DO89" i="16" s="1"/>
  <c r="DP87" i="16" s="1"/>
  <c r="DO122" i="16"/>
  <c r="DP82" i="16" l="1"/>
  <c r="DP83" i="16" s="1"/>
  <c r="DO170" i="16"/>
  <c r="DO152" i="16"/>
  <c r="DO92" i="16"/>
  <c r="DO93" i="16" l="1"/>
  <c r="DO94" i="16"/>
  <c r="DO97" i="16" s="1"/>
  <c r="DO184" i="16"/>
  <c r="DO172" i="16"/>
  <c r="DO207" i="16"/>
  <c r="DO185" i="16" l="1"/>
  <c r="DO173" i="16"/>
  <c r="DO135" i="16" s="1"/>
  <c r="DO174" i="16"/>
  <c r="DO96" i="16"/>
  <c r="DO114" i="16" s="1"/>
  <c r="DO201" i="16" l="1"/>
  <c r="DO175" i="16"/>
  <c r="DO176" i="16" s="1"/>
  <c r="DO136" i="16"/>
  <c r="DO137" i="16" s="1"/>
  <c r="DP134" i="16" s="1"/>
  <c r="DO209" i="16"/>
  <c r="DO116" i="16" l="1"/>
  <c r="DO117" i="16" s="1"/>
  <c r="DP113" i="16" s="1"/>
  <c r="DO210" i="16"/>
  <c r="DP139" i="16"/>
  <c r="DP208" i="16" s="1"/>
  <c r="DO177" i="16"/>
  <c r="DO180" i="16" s="1"/>
  <c r="DP128" i="16" l="1"/>
  <c r="DP129" i="16" s="1"/>
  <c r="DP131" i="16" s="1"/>
  <c r="DP77" i="16" s="1"/>
  <c r="DP115" i="16"/>
  <c r="DP171" i="16" s="1"/>
  <c r="DP120" i="16"/>
  <c r="DP198" i="16"/>
  <c r="DP199" i="16" s="1"/>
  <c r="DP213" i="16" s="1"/>
  <c r="DP121" i="16" l="1"/>
  <c r="DP75" i="16" s="1"/>
  <c r="DP78" i="16" s="1"/>
  <c r="DP122" i="16" l="1"/>
  <c r="DP170" i="16" s="1"/>
  <c r="DP85" i="16"/>
  <c r="DP88" i="16" s="1"/>
  <c r="DP89" i="16" s="1"/>
  <c r="DQ87" i="16" s="1"/>
  <c r="DP152" i="16" l="1"/>
  <c r="DQ82" i="16"/>
  <c r="DQ83" i="16" s="1"/>
  <c r="DP92" i="16"/>
  <c r="DP184" i="16"/>
  <c r="DP172" i="16"/>
  <c r="DP207" i="16"/>
  <c r="DP173" i="16" l="1"/>
  <c r="DP135" i="16" s="1"/>
  <c r="DP174" i="16"/>
  <c r="DP185" i="16"/>
  <c r="DP93" i="16"/>
  <c r="DP94" i="16"/>
  <c r="DP97" i="16" s="1"/>
  <c r="DP136" i="16" l="1"/>
  <c r="DP137" i="16" s="1"/>
  <c r="DQ134" i="16" s="1"/>
  <c r="DP209" i="16"/>
  <c r="DP201" i="16"/>
  <c r="DP96" i="16"/>
  <c r="DP114" i="16" s="1"/>
  <c r="DP175" i="16"/>
  <c r="DQ139" i="16" l="1"/>
  <c r="DQ208" i="16" s="1"/>
  <c r="DP176" i="16"/>
  <c r="DP116" i="16" l="1"/>
  <c r="DP117" i="16" s="1"/>
  <c r="DQ113" i="16" s="1"/>
  <c r="DP210" i="16"/>
  <c r="DP177" i="16"/>
  <c r="DP180" i="16" s="1"/>
  <c r="DQ120" i="16" l="1"/>
  <c r="DQ128" i="16"/>
  <c r="DQ129" i="16" s="1"/>
  <c r="DQ131" i="16" s="1"/>
  <c r="DQ115" i="16"/>
  <c r="DQ198" i="16"/>
  <c r="DQ199" i="16" s="1"/>
  <c r="DQ213" i="16" s="1"/>
  <c r="DQ171" i="16" l="1"/>
  <c r="I115" i="16"/>
  <c r="DQ77" i="16"/>
  <c r="H57" i="16" s="1"/>
  <c r="J57" i="16" s="1"/>
  <c r="I131" i="16"/>
  <c r="G146" i="16" s="1"/>
  <c r="DQ121" i="16"/>
  <c r="DQ122" i="16" s="1"/>
  <c r="I120" i="16"/>
  <c r="DO146" i="16" l="1"/>
  <c r="DO147" i="16" s="1"/>
  <c r="DO148" i="16" s="1"/>
  <c r="DL146" i="16"/>
  <c r="DL147" i="16" s="1"/>
  <c r="DL148" i="16" s="1"/>
  <c r="AP146" i="16"/>
  <c r="AP147" i="16" s="1"/>
  <c r="AP148" i="16" s="1"/>
  <c r="CH146" i="16"/>
  <c r="CH147" i="16" s="1"/>
  <c r="CH148" i="16" s="1"/>
  <c r="CP146" i="16"/>
  <c r="CP147" i="16" s="1"/>
  <c r="CP148" i="16" s="1"/>
  <c r="BP146" i="16"/>
  <c r="BP147" i="16" s="1"/>
  <c r="BP148" i="16" s="1"/>
  <c r="AR146" i="16"/>
  <c r="AR147" i="16" s="1"/>
  <c r="AR148" i="16" s="1"/>
  <c r="X146" i="16"/>
  <c r="X147" i="16" s="1"/>
  <c r="X148" i="16" s="1"/>
  <c r="BR146" i="16"/>
  <c r="BR147" i="16" s="1"/>
  <c r="BR148" i="16" s="1"/>
  <c r="DE146" i="16"/>
  <c r="DE147" i="16" s="1"/>
  <c r="DE148" i="16" s="1"/>
  <c r="DB146" i="16"/>
  <c r="DB147" i="16" s="1"/>
  <c r="DB148" i="16" s="1"/>
  <c r="AH146" i="16"/>
  <c r="AH147" i="16" s="1"/>
  <c r="AH148" i="16" s="1"/>
  <c r="BW146" i="16"/>
  <c r="BW147" i="16" s="1"/>
  <c r="BW148" i="16" s="1"/>
  <c r="DF146" i="16"/>
  <c r="DF147" i="16" s="1"/>
  <c r="DF148" i="16" s="1"/>
  <c r="AI146" i="16"/>
  <c r="AI147" i="16" s="1"/>
  <c r="AI148" i="16" s="1"/>
  <c r="BV146" i="16"/>
  <c r="BV147" i="16" s="1"/>
  <c r="BV148" i="16" s="1"/>
  <c r="AW146" i="16"/>
  <c r="AW147" i="16" s="1"/>
  <c r="AW148" i="16" s="1"/>
  <c r="AE146" i="16"/>
  <c r="AE147" i="16" s="1"/>
  <c r="AE148" i="16" s="1"/>
  <c r="L146" i="16"/>
  <c r="L147" i="16" s="1"/>
  <c r="L148" i="16" s="1"/>
  <c r="CV146" i="16"/>
  <c r="CV147" i="16" s="1"/>
  <c r="CV148" i="16" s="1"/>
  <c r="W146" i="16"/>
  <c r="W147" i="16" s="1"/>
  <c r="W148" i="16" s="1"/>
  <c r="CU146" i="16"/>
  <c r="CU147" i="16" s="1"/>
  <c r="CU148" i="16" s="1"/>
  <c r="AM146" i="16"/>
  <c r="AM147" i="16" s="1"/>
  <c r="AM148" i="16" s="1"/>
  <c r="AZ146" i="16"/>
  <c r="AZ147" i="16" s="1"/>
  <c r="AZ148" i="16" s="1"/>
  <c r="BN146" i="16"/>
  <c r="BN147" i="16" s="1"/>
  <c r="BN148" i="16" s="1"/>
  <c r="CK146" i="16"/>
  <c r="CK147" i="16" s="1"/>
  <c r="CK148" i="16" s="1"/>
  <c r="BL146" i="16"/>
  <c r="BL147" i="16" s="1"/>
  <c r="BL148" i="16" s="1"/>
  <c r="V146" i="16"/>
  <c r="V147" i="16" s="1"/>
  <c r="V148" i="16" s="1"/>
  <c r="AK146" i="16"/>
  <c r="AK147" i="16" s="1"/>
  <c r="AK148" i="16" s="1"/>
  <c r="P146" i="16"/>
  <c r="P147" i="16" s="1"/>
  <c r="P148" i="16" s="1"/>
  <c r="AL146" i="16"/>
  <c r="AL147" i="16" s="1"/>
  <c r="AL148" i="16" s="1"/>
  <c r="BH146" i="16"/>
  <c r="BH147" i="16" s="1"/>
  <c r="BH148" i="16" s="1"/>
  <c r="BT146" i="16"/>
  <c r="BT147" i="16" s="1"/>
  <c r="BT148" i="16" s="1"/>
  <c r="CX146" i="16"/>
  <c r="CX147" i="16" s="1"/>
  <c r="CX148" i="16" s="1"/>
  <c r="AN146" i="16"/>
  <c r="AN147" i="16" s="1"/>
  <c r="AN148" i="16" s="1"/>
  <c r="Q146" i="16"/>
  <c r="Q147" i="16" s="1"/>
  <c r="Q148" i="16" s="1"/>
  <c r="BO146" i="16"/>
  <c r="BO147" i="16" s="1"/>
  <c r="BO148" i="16" s="1"/>
  <c r="DC146" i="16"/>
  <c r="DC147" i="16" s="1"/>
  <c r="DC148" i="16" s="1"/>
  <c r="AC146" i="16"/>
  <c r="AC147" i="16" s="1"/>
  <c r="AC148" i="16" s="1"/>
  <c r="AQ146" i="16"/>
  <c r="AQ147" i="16" s="1"/>
  <c r="AQ148" i="16" s="1"/>
  <c r="CD146" i="16"/>
  <c r="CD147" i="16" s="1"/>
  <c r="CD148" i="16" s="1"/>
  <c r="DM146" i="16"/>
  <c r="DM147" i="16" s="1"/>
  <c r="DM148" i="16" s="1"/>
  <c r="M146" i="16"/>
  <c r="M147" i="16" s="1"/>
  <c r="M148" i="16" s="1"/>
  <c r="AX146" i="16"/>
  <c r="AX147" i="16" s="1"/>
  <c r="AX148" i="16" s="1"/>
  <c r="DH146" i="16"/>
  <c r="DH147" i="16" s="1"/>
  <c r="DH148" i="16" s="1"/>
  <c r="BA146" i="16"/>
  <c r="BA147" i="16" s="1"/>
  <c r="BA148" i="16" s="1"/>
  <c r="BF146" i="16"/>
  <c r="BF147" i="16" s="1"/>
  <c r="BF148" i="16" s="1"/>
  <c r="CE146" i="16"/>
  <c r="CE147" i="16" s="1"/>
  <c r="CE148" i="16" s="1"/>
  <c r="CR146" i="16"/>
  <c r="CR147" i="16" s="1"/>
  <c r="CR148" i="16" s="1"/>
  <c r="CI146" i="16"/>
  <c r="CI147" i="16" s="1"/>
  <c r="CI148" i="16" s="1"/>
  <c r="S146" i="16"/>
  <c r="S147" i="16" s="1"/>
  <c r="S148" i="16" s="1"/>
  <c r="BC146" i="16"/>
  <c r="BC147" i="16" s="1"/>
  <c r="BC148" i="16" s="1"/>
  <c r="CN146" i="16"/>
  <c r="CN147" i="16" s="1"/>
  <c r="CN148" i="16" s="1"/>
  <c r="CM146" i="16"/>
  <c r="CM147" i="16" s="1"/>
  <c r="CM148" i="16" s="1"/>
  <c r="DP146" i="16"/>
  <c r="DP147" i="16" s="1"/>
  <c r="DP148" i="16" s="1"/>
  <c r="CO146" i="16"/>
  <c r="CO147" i="16" s="1"/>
  <c r="CO148" i="16" s="1"/>
  <c r="AY146" i="16"/>
  <c r="AY147" i="16" s="1"/>
  <c r="AY148" i="16" s="1"/>
  <c r="BY146" i="16"/>
  <c r="BY147" i="16" s="1"/>
  <c r="BY148" i="16" s="1"/>
  <c r="CT146" i="16"/>
  <c r="CT147" i="16" s="1"/>
  <c r="CT148" i="16" s="1"/>
  <c r="DJ146" i="16"/>
  <c r="DJ147" i="16" s="1"/>
  <c r="DJ148" i="16" s="1"/>
  <c r="AJ146" i="16"/>
  <c r="AJ147" i="16" s="1"/>
  <c r="AJ148" i="16" s="1"/>
  <c r="T146" i="16"/>
  <c r="T147" i="16" s="1"/>
  <c r="T148" i="16" s="1"/>
  <c r="BK146" i="16"/>
  <c r="BK147" i="16" s="1"/>
  <c r="BK148" i="16" s="1"/>
  <c r="DN146" i="16"/>
  <c r="DN147" i="16" s="1"/>
  <c r="DN148" i="16" s="1"/>
  <c r="AS146" i="16"/>
  <c r="AS147" i="16" s="1"/>
  <c r="AS148" i="16" s="1"/>
  <c r="AV146" i="16"/>
  <c r="AV147" i="16" s="1"/>
  <c r="AV148" i="16" s="1"/>
  <c r="AO146" i="16"/>
  <c r="AO147" i="16" s="1"/>
  <c r="AO148" i="16" s="1"/>
  <c r="AF146" i="16"/>
  <c r="AF147" i="16" s="1"/>
  <c r="AF148" i="16" s="1"/>
  <c r="DD146" i="16"/>
  <c r="DD147" i="16" s="1"/>
  <c r="DD148" i="16" s="1"/>
  <c r="Z146" i="16"/>
  <c r="Z147" i="16" s="1"/>
  <c r="Z148" i="16" s="1"/>
  <c r="R146" i="16"/>
  <c r="R147" i="16" s="1"/>
  <c r="R148" i="16" s="1"/>
  <c r="BZ146" i="16"/>
  <c r="BZ147" i="16" s="1"/>
  <c r="BZ148" i="16" s="1"/>
  <c r="CQ146" i="16"/>
  <c r="CQ147" i="16" s="1"/>
  <c r="CQ148" i="16" s="1"/>
  <c r="DI146" i="16"/>
  <c r="DI147" i="16" s="1"/>
  <c r="DI148" i="16" s="1"/>
  <c r="CY146" i="16"/>
  <c r="CY147" i="16" s="1"/>
  <c r="CY148" i="16" s="1"/>
  <c r="CS146" i="16"/>
  <c r="CS147" i="16" s="1"/>
  <c r="CS148" i="16" s="1"/>
  <c r="BE146" i="16"/>
  <c r="BE147" i="16" s="1"/>
  <c r="BE148" i="16" s="1"/>
  <c r="N146" i="16"/>
  <c r="N147" i="16" s="1"/>
  <c r="N148" i="16" s="1"/>
  <c r="CG146" i="16"/>
  <c r="CG147" i="16" s="1"/>
  <c r="CG148" i="16" s="1"/>
  <c r="AA146" i="16"/>
  <c r="AA147" i="16" s="1"/>
  <c r="AA148" i="16" s="1"/>
  <c r="CL146" i="16"/>
  <c r="CL147" i="16" s="1"/>
  <c r="CL148" i="16" s="1"/>
  <c r="Y146" i="16"/>
  <c r="Y147" i="16" s="1"/>
  <c r="Y148" i="16" s="1"/>
  <c r="CJ146" i="16"/>
  <c r="CJ147" i="16" s="1"/>
  <c r="CJ148" i="16" s="1"/>
  <c r="AU146" i="16"/>
  <c r="AU147" i="16" s="1"/>
  <c r="AU148" i="16" s="1"/>
  <c r="AT146" i="16"/>
  <c r="AT147" i="16" s="1"/>
  <c r="AT148" i="16" s="1"/>
  <c r="BB146" i="16"/>
  <c r="BB147" i="16" s="1"/>
  <c r="BB148" i="16" s="1"/>
  <c r="AD146" i="16"/>
  <c r="AD147" i="16" s="1"/>
  <c r="AD148" i="16" s="1"/>
  <c r="CZ146" i="16"/>
  <c r="CZ147" i="16" s="1"/>
  <c r="CZ148" i="16" s="1"/>
  <c r="BU146" i="16"/>
  <c r="BU147" i="16" s="1"/>
  <c r="BU148" i="16" s="1"/>
  <c r="BD146" i="16"/>
  <c r="BD147" i="16" s="1"/>
  <c r="BD148" i="16" s="1"/>
  <c r="DA146" i="16"/>
  <c r="DA147" i="16" s="1"/>
  <c r="DA148" i="16" s="1"/>
  <c r="DQ146" i="16"/>
  <c r="DQ147" i="16" s="1"/>
  <c r="DQ148" i="16" s="1"/>
  <c r="CB146" i="16"/>
  <c r="CB147" i="16" s="1"/>
  <c r="CB148" i="16" s="1"/>
  <c r="BS146" i="16"/>
  <c r="BS147" i="16" s="1"/>
  <c r="BS148" i="16" s="1"/>
  <c r="AB146" i="16"/>
  <c r="AB147" i="16" s="1"/>
  <c r="AB148" i="16" s="1"/>
  <c r="BQ146" i="16"/>
  <c r="BQ147" i="16" s="1"/>
  <c r="BQ148" i="16" s="1"/>
  <c r="O146" i="16"/>
  <c r="O147" i="16" s="1"/>
  <c r="O148" i="16" s="1"/>
  <c r="BI146" i="16"/>
  <c r="BI147" i="16" s="1"/>
  <c r="BI148" i="16" s="1"/>
  <c r="AG146" i="16"/>
  <c r="AG147" i="16" s="1"/>
  <c r="AG148" i="16" s="1"/>
  <c r="BJ146" i="16"/>
  <c r="BJ147" i="16" s="1"/>
  <c r="BJ148" i="16" s="1"/>
  <c r="BX146" i="16"/>
  <c r="BX147" i="16" s="1"/>
  <c r="BX148" i="16" s="1"/>
  <c r="CF146" i="16"/>
  <c r="CF147" i="16" s="1"/>
  <c r="CF148" i="16" s="1"/>
  <c r="DK146" i="16"/>
  <c r="DK147" i="16" s="1"/>
  <c r="DK148" i="16" s="1"/>
  <c r="CA146" i="16"/>
  <c r="CA147" i="16" s="1"/>
  <c r="CA148" i="16" s="1"/>
  <c r="CW146" i="16"/>
  <c r="CW147" i="16" s="1"/>
  <c r="CW148" i="16" s="1"/>
  <c r="K146" i="16"/>
  <c r="K147" i="16" s="1"/>
  <c r="K148" i="16" s="1"/>
  <c r="U146" i="16"/>
  <c r="U147" i="16" s="1"/>
  <c r="U148" i="16" s="1"/>
  <c r="DG146" i="16"/>
  <c r="DG147" i="16" s="1"/>
  <c r="DG148" i="16" s="1"/>
  <c r="BG146" i="16"/>
  <c r="BG147" i="16" s="1"/>
  <c r="BG148" i="16" s="1"/>
  <c r="BM146" i="16"/>
  <c r="BM147" i="16" s="1"/>
  <c r="BM148" i="16" s="1"/>
  <c r="CC146" i="16"/>
  <c r="CC147" i="16" s="1"/>
  <c r="CC148" i="16" s="1"/>
  <c r="DQ170" i="16"/>
  <c r="DQ152" i="16"/>
  <c r="I122" i="16"/>
  <c r="DQ75" i="16"/>
  <c r="I121" i="16"/>
  <c r="DQ184" i="16" l="1"/>
  <c r="DQ172" i="16"/>
  <c r="DQ207" i="16"/>
  <c r="DQ78" i="16"/>
  <c r="H55" i="16"/>
  <c r="J55" i="16" s="1"/>
  <c r="J58" i="16" s="1"/>
  <c r="DQ174" i="16" l="1"/>
  <c r="DQ173" i="16"/>
  <c r="DQ135" i="16" s="1"/>
  <c r="DQ85" i="16"/>
  <c r="DQ88" i="16" s="1"/>
  <c r="DQ89" i="16" s="1"/>
  <c r="DQ197" i="16" a="1"/>
  <c r="DQ197" i="16" s="1"/>
  <c r="DQ185" i="16"/>
  <c r="G185" i="16" s="1"/>
  <c r="F8" i="17" s="1"/>
  <c r="K197" i="16" a="1"/>
  <c r="K197" i="16" s="1"/>
  <c r="L197" i="16" a="1"/>
  <c r="L197" i="16" s="1"/>
  <c r="G190" i="16" a="1"/>
  <c r="G190" i="16" s="1"/>
  <c r="M197" i="16" a="1"/>
  <c r="M197" i="16" s="1"/>
  <c r="N197" i="16" a="1"/>
  <c r="N197" i="16" s="1"/>
  <c r="O197" i="16" a="1"/>
  <c r="O197" i="16" s="1"/>
  <c r="P197" i="16" a="1"/>
  <c r="P197" i="16" s="1"/>
  <c r="Q197" i="16" a="1"/>
  <c r="Q197" i="16" s="1"/>
  <c r="R197" i="16" a="1"/>
  <c r="R197" i="16" s="1"/>
  <c r="S197" i="16" a="1"/>
  <c r="S197" i="16" s="1"/>
  <c r="T197" i="16" a="1"/>
  <c r="T197" i="16" s="1"/>
  <c r="U197" i="16" a="1"/>
  <c r="U197" i="16" s="1"/>
  <c r="V197" i="16" a="1"/>
  <c r="V197" i="16" s="1"/>
  <c r="W197" i="16" a="1"/>
  <c r="W197" i="16" s="1"/>
  <c r="X197" i="16" a="1"/>
  <c r="X197" i="16" s="1"/>
  <c r="Y197" i="16" a="1"/>
  <c r="Y197" i="16" s="1"/>
  <c r="Z197" i="16" a="1"/>
  <c r="Z197" i="16" s="1"/>
  <c r="AA197" i="16" a="1"/>
  <c r="AA197" i="16" s="1"/>
  <c r="AB197" i="16" a="1"/>
  <c r="AB197" i="16" s="1"/>
  <c r="AC197" i="16" a="1"/>
  <c r="AC197" i="16" s="1"/>
  <c r="AD197" i="16" a="1"/>
  <c r="AD197" i="16" s="1"/>
  <c r="AE197" i="16" a="1"/>
  <c r="AE197" i="16" s="1"/>
  <c r="AF197" i="16" a="1"/>
  <c r="AF197" i="16" s="1"/>
  <c r="AG197" i="16" a="1"/>
  <c r="AG197" i="16" s="1"/>
  <c r="AH197" i="16" a="1"/>
  <c r="AH197" i="16" s="1"/>
  <c r="AI197" i="16" a="1"/>
  <c r="AI197" i="16" s="1"/>
  <c r="AJ197" i="16" a="1"/>
  <c r="AJ197" i="16" s="1"/>
  <c r="AK197" i="16" a="1"/>
  <c r="AK197" i="16" s="1"/>
  <c r="AL197" i="16" a="1"/>
  <c r="AL197" i="16" s="1"/>
  <c r="AM197" i="16" a="1"/>
  <c r="AM197" i="16" s="1"/>
  <c r="AN197" i="16" a="1"/>
  <c r="AN197" i="16" s="1"/>
  <c r="AO197" i="16" a="1"/>
  <c r="AO197" i="16" s="1"/>
  <c r="AP197" i="16" a="1"/>
  <c r="AP197" i="16" s="1"/>
  <c r="AQ197" i="16" a="1"/>
  <c r="AQ197" i="16" s="1"/>
  <c r="AR197" i="16" a="1"/>
  <c r="AR197" i="16" s="1"/>
  <c r="AS197" i="16" a="1"/>
  <c r="AS197" i="16" s="1"/>
  <c r="AT197" i="16" a="1"/>
  <c r="AT197" i="16" s="1"/>
  <c r="AU197" i="16" a="1"/>
  <c r="AU197" i="16" s="1"/>
  <c r="AV197" i="16" a="1"/>
  <c r="AV197" i="16" s="1"/>
  <c r="AW197" i="16" a="1"/>
  <c r="AW197" i="16" s="1"/>
  <c r="AX197" i="16" a="1"/>
  <c r="AX197" i="16" s="1"/>
  <c r="AY197" i="16" a="1"/>
  <c r="AY197" i="16" s="1"/>
  <c r="AZ197" i="16" a="1"/>
  <c r="AZ197" i="16" s="1"/>
  <c r="BA197" i="16" a="1"/>
  <c r="BA197" i="16" s="1"/>
  <c r="BB197" i="16" a="1"/>
  <c r="BB197" i="16" s="1"/>
  <c r="BC197" i="16" a="1"/>
  <c r="BC197" i="16" s="1"/>
  <c r="BD197" i="16" a="1"/>
  <c r="BD197" i="16" s="1"/>
  <c r="BE197" i="16" a="1"/>
  <c r="BE197" i="16" s="1"/>
  <c r="BF197" i="16" a="1"/>
  <c r="BF197" i="16" s="1"/>
  <c r="BG197" i="16" a="1"/>
  <c r="BG197" i="16" s="1"/>
  <c r="BH197" i="16" a="1"/>
  <c r="BH197" i="16" s="1"/>
  <c r="BI197" i="16" a="1"/>
  <c r="BI197" i="16" s="1"/>
  <c r="BJ197" i="16" a="1"/>
  <c r="BJ197" i="16" s="1"/>
  <c r="BK197" i="16" a="1"/>
  <c r="BK197" i="16" s="1"/>
  <c r="BL197" i="16" a="1"/>
  <c r="BL197" i="16" s="1"/>
  <c r="BM197" i="16" a="1"/>
  <c r="BM197" i="16" s="1"/>
  <c r="BN197" i="16" a="1"/>
  <c r="BN197" i="16" s="1"/>
  <c r="BO197" i="16" a="1"/>
  <c r="BO197" i="16" s="1"/>
  <c r="BP197" i="16" a="1"/>
  <c r="BP197" i="16" s="1"/>
  <c r="BQ197" i="16" a="1"/>
  <c r="BQ197" i="16" s="1"/>
  <c r="BR197" i="16" a="1"/>
  <c r="BR197" i="16" s="1"/>
  <c r="BS197" i="16" a="1"/>
  <c r="BS197" i="16" s="1"/>
  <c r="BT197" i="16" a="1"/>
  <c r="BT197" i="16" s="1"/>
  <c r="BU197" i="16" a="1"/>
  <c r="BU197" i="16" s="1"/>
  <c r="BV197" i="16" a="1"/>
  <c r="BV197" i="16" s="1"/>
  <c r="BW197" i="16" a="1"/>
  <c r="BW197" i="16" s="1"/>
  <c r="BX197" i="16" a="1"/>
  <c r="BX197" i="16" s="1"/>
  <c r="BY197" i="16" a="1"/>
  <c r="BY197" i="16" s="1"/>
  <c r="BZ197" i="16" a="1"/>
  <c r="BZ197" i="16" s="1"/>
  <c r="CA197" i="16" a="1"/>
  <c r="CA197" i="16" s="1"/>
  <c r="CB197" i="16" a="1"/>
  <c r="CB197" i="16" s="1"/>
  <c r="CC197" i="16" a="1"/>
  <c r="CC197" i="16" s="1"/>
  <c r="CD197" i="16" a="1"/>
  <c r="CD197" i="16" s="1"/>
  <c r="CE197" i="16" a="1"/>
  <c r="CE197" i="16" s="1"/>
  <c r="CF197" i="16" a="1"/>
  <c r="CF197" i="16" s="1"/>
  <c r="CG197" i="16" a="1"/>
  <c r="CG197" i="16" s="1"/>
  <c r="CH197" i="16" a="1"/>
  <c r="CH197" i="16" s="1"/>
  <c r="CI197" i="16" a="1"/>
  <c r="CI197" i="16" s="1"/>
  <c r="CJ197" i="16" a="1"/>
  <c r="CJ197" i="16" s="1"/>
  <c r="CK197" i="16" a="1"/>
  <c r="CK197" i="16" s="1"/>
  <c r="CL197" i="16" a="1"/>
  <c r="CL197" i="16" s="1"/>
  <c r="CM197" i="16" a="1"/>
  <c r="CM197" i="16" s="1"/>
  <c r="CN197" i="16" a="1"/>
  <c r="CN197" i="16" s="1"/>
  <c r="CO197" i="16" a="1"/>
  <c r="CO197" i="16" s="1"/>
  <c r="CP197" i="16" a="1"/>
  <c r="CP197" i="16" s="1"/>
  <c r="CQ197" i="16" a="1"/>
  <c r="CQ197" i="16" s="1"/>
  <c r="CR197" i="16" a="1"/>
  <c r="CR197" i="16" s="1"/>
  <c r="CS197" i="16" a="1"/>
  <c r="CS197" i="16" s="1"/>
  <c r="CT197" i="16" a="1"/>
  <c r="CT197" i="16" s="1"/>
  <c r="CU197" i="16" a="1"/>
  <c r="CU197" i="16" s="1"/>
  <c r="CV197" i="16" a="1"/>
  <c r="CV197" i="16" s="1"/>
  <c r="CW197" i="16" a="1"/>
  <c r="CW197" i="16" s="1"/>
  <c r="CX197" i="16" a="1"/>
  <c r="CX197" i="16" s="1"/>
  <c r="CY197" i="16" a="1"/>
  <c r="CY197" i="16" s="1"/>
  <c r="CZ197" i="16" a="1"/>
  <c r="CZ197" i="16" s="1"/>
  <c r="DA197" i="16" a="1"/>
  <c r="DA197" i="16" s="1"/>
  <c r="DB197" i="16" a="1"/>
  <c r="DB197" i="16" s="1"/>
  <c r="DC197" i="16" a="1"/>
  <c r="DC197" i="16" s="1"/>
  <c r="DD197" i="16" a="1"/>
  <c r="DD197" i="16" s="1"/>
  <c r="DE197" i="16" a="1"/>
  <c r="DE197" i="16" s="1"/>
  <c r="DF197" i="16" a="1"/>
  <c r="DF197" i="16" s="1"/>
  <c r="DG197" i="16" a="1"/>
  <c r="DG197" i="16" s="1"/>
  <c r="DH197" i="16" a="1"/>
  <c r="DH197" i="16" s="1"/>
  <c r="DI197" i="16" a="1"/>
  <c r="DI197" i="16" s="1"/>
  <c r="DJ197" i="16" a="1"/>
  <c r="DJ197" i="16" s="1"/>
  <c r="DK197" i="16" a="1"/>
  <c r="DK197" i="16" s="1"/>
  <c r="DL197" i="16" a="1"/>
  <c r="DL197" i="16" s="1"/>
  <c r="DO197" i="16" a="1"/>
  <c r="DO197" i="16" s="1"/>
  <c r="DN197" i="16" a="1"/>
  <c r="DN197" i="16" s="1"/>
  <c r="DP197" i="16" a="1"/>
  <c r="DP197" i="16" s="1"/>
  <c r="DM197" i="16" a="1"/>
  <c r="DM197" i="16" s="1"/>
  <c r="DQ92" i="16" l="1"/>
  <c r="DQ209" i="16"/>
  <c r="DQ136" i="16"/>
  <c r="DQ137" i="16" s="1"/>
  <c r="DQ175" i="16"/>
  <c r="DQ176" i="16" l="1"/>
  <c r="DQ93" i="16"/>
  <c r="DQ94" i="16"/>
  <c r="DQ97" i="16" s="1"/>
  <c r="DQ116" i="16" l="1"/>
  <c r="DQ210" i="16"/>
  <c r="DQ96" i="16"/>
  <c r="DQ114" i="16" s="1"/>
  <c r="DQ201" i="16"/>
  <c r="G202" i="16" s="1"/>
  <c r="F4" i="17" s="1"/>
  <c r="DQ177" i="16"/>
  <c r="DQ180" i="16" s="1"/>
  <c r="G181" i="16" s="1"/>
  <c r="F5" i="17" s="1"/>
  <c r="R6" i="15" s="1"/>
  <c r="I114" i="16" l="1"/>
  <c r="DQ117"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<sst xmlns="http://schemas.openxmlformats.org/spreadsheetml/2006/main" count="909" uniqueCount="466">
  <si>
    <t>EPC Cost</t>
  </si>
  <si>
    <t>Development</t>
  </si>
  <si>
    <t>Insurance</t>
  </si>
  <si>
    <t>Owner Cost</t>
  </si>
  <si>
    <t>Total</t>
  </si>
  <si>
    <t>MWp</t>
  </si>
  <si>
    <t>Degradation</t>
  </si>
  <si>
    <t>GWH Gen</t>
  </si>
  <si>
    <t>Project Co</t>
  </si>
  <si>
    <t>Insurance Cost</t>
  </si>
  <si>
    <t>Other Costs</t>
  </si>
  <si>
    <t>Bifacial P50</t>
  </si>
  <si>
    <t>Bifacial P90</t>
  </si>
  <si>
    <t>Mono P50</t>
  </si>
  <si>
    <t>Mono P90</t>
  </si>
  <si>
    <t>Asset Life Yrs</t>
  </si>
  <si>
    <t>Tax Rate</t>
  </si>
  <si>
    <t>Tax Depreciation</t>
  </si>
  <si>
    <t>Capacity</t>
  </si>
  <si>
    <t>%</t>
  </si>
  <si>
    <t>Operations</t>
  </si>
  <si>
    <t>% p.a.</t>
  </si>
  <si>
    <t>Inflation Rate</t>
  </si>
  <si>
    <t>Debt Size</t>
  </si>
  <si>
    <t>Credit Spread</t>
  </si>
  <si>
    <t>Index</t>
  </si>
  <si>
    <t>Revenues</t>
  </si>
  <si>
    <t>EBIT</t>
  </si>
  <si>
    <t>Taxes on EBIT</t>
  </si>
  <si>
    <t>Capital Expenditures</t>
  </si>
  <si>
    <t>EBITDA</t>
  </si>
  <si>
    <t>CFADS</t>
  </si>
  <si>
    <t>Year</t>
  </si>
  <si>
    <t>Scenario Number</t>
  </si>
  <si>
    <t>Years</t>
  </si>
  <si>
    <t>January</t>
  </si>
  <si>
    <t>February</t>
  </si>
  <si>
    <t>March</t>
  </si>
  <si>
    <t>April</t>
  </si>
  <si>
    <t>May</t>
  </si>
  <si>
    <t>June</t>
  </si>
  <si>
    <t>July</t>
  </si>
  <si>
    <t>August</t>
  </si>
  <si>
    <t>September</t>
  </si>
  <si>
    <t>October</t>
  </si>
  <si>
    <t>November</t>
  </si>
  <si>
    <t>December</t>
  </si>
  <si>
    <t>Degradation Index</t>
  </si>
  <si>
    <t>MWH</t>
  </si>
  <si>
    <t xml:space="preserve">US inflation </t>
  </si>
  <si>
    <t>PKR Inflation</t>
  </si>
  <si>
    <t>PPP  Exchange Rate</t>
  </si>
  <si>
    <t>Real Devaluation</t>
  </si>
  <si>
    <t>Final Exchange Rate</t>
  </si>
  <si>
    <t>Cost per KW</t>
  </si>
  <si>
    <t>O&amp;M</t>
  </si>
  <si>
    <t>Cost per kW</t>
  </si>
  <si>
    <t>Time Assumptions</t>
  </si>
  <si>
    <t>Start of Develompent</t>
  </si>
  <si>
    <t>Periods per Year in Model Pre-COD</t>
  </si>
  <si>
    <t>Months</t>
  </si>
  <si>
    <t>Periods per Year in Model Post-COD</t>
  </si>
  <si>
    <t>Development Periods</t>
  </si>
  <si>
    <t>Financial Close</t>
  </si>
  <si>
    <t>Date</t>
  </si>
  <si>
    <t>Periods</t>
  </si>
  <si>
    <t>Construction</t>
  </si>
  <si>
    <t>Commercial Operation</t>
  </si>
  <si>
    <t>Operation Period</t>
  </si>
  <si>
    <t>Decommissioning</t>
  </si>
  <si>
    <t>Total Pre-COD Periods</t>
  </si>
  <si>
    <t>Timeline</t>
  </si>
  <si>
    <t>Period</t>
  </si>
  <si>
    <t>Driver</t>
  </si>
  <si>
    <t>Sum</t>
  </si>
  <si>
    <t>Start</t>
  </si>
  <si>
    <t>Pre-COD/Post COD</t>
  </si>
  <si>
    <t>Unit</t>
  </si>
  <si>
    <t>Flag</t>
  </si>
  <si>
    <t>Months in Period</t>
  </si>
  <si>
    <t>Start of Period</t>
  </si>
  <si>
    <t>End of Period</t>
  </si>
  <si>
    <t>Generic Macros</t>
  </si>
  <si>
    <t>EIS</t>
  </si>
  <si>
    <t>Date Formatting</t>
  </si>
  <si>
    <t>Operating Assumptions</t>
  </si>
  <si>
    <t>kW</t>
  </si>
  <si>
    <t>kWh/m2</t>
  </si>
  <si>
    <t>% p.p.</t>
  </si>
  <si>
    <t>Hours</t>
  </si>
  <si>
    <t>Days</t>
  </si>
  <si>
    <t>% CF</t>
  </si>
  <si>
    <t>Performance Ratio</t>
  </si>
  <si>
    <t>Gross Production (P50)</t>
  </si>
  <si>
    <t>Standard Deviation/Average</t>
  </si>
  <si>
    <t xml:space="preserve">Other </t>
  </si>
  <si>
    <t>Find UDF</t>
  </si>
  <si>
    <t>Construction Period</t>
  </si>
  <si>
    <t>Operating Period</t>
  </si>
  <si>
    <t>Development Costs</t>
  </si>
  <si>
    <t>Euro/kW</t>
  </si>
  <si>
    <t>Euro/kW-yr</t>
  </si>
  <si>
    <t>Inverter Replacement</t>
  </si>
  <si>
    <t>Euro/Yr</t>
  </si>
  <si>
    <t>Hrs</t>
  </si>
  <si>
    <t>Net kWh/kW</t>
  </si>
  <si>
    <t>Gross kWh/kW</t>
  </si>
  <si>
    <t>Net Capacity Factor</t>
  </si>
  <si>
    <t>Percent</t>
  </si>
  <si>
    <t>kWp</t>
  </si>
  <si>
    <t>Panel Cost</t>
  </si>
  <si>
    <t>Panel Price</t>
  </si>
  <si>
    <t>Site Work (assume ineligible)</t>
  </si>
  <si>
    <t xml:space="preserve">Special Ineligible </t>
  </si>
  <si>
    <t>Misc. (Tax, Margin, Other)</t>
  </si>
  <si>
    <t>Total EPC</t>
  </si>
  <si>
    <t>Standard Deviation Amount</t>
  </si>
  <si>
    <t>P50</t>
  </si>
  <si>
    <t>P90</t>
  </si>
  <si>
    <t>P99</t>
  </si>
  <si>
    <t>Capital Expenditure Assumptions</t>
  </si>
  <si>
    <t>California</t>
  </si>
  <si>
    <t>Mexico</t>
  </si>
  <si>
    <t>Base Case</t>
  </si>
  <si>
    <t>Downside Case</t>
  </si>
  <si>
    <t>Applied</t>
  </si>
  <si>
    <t>Operating Expense Assumptions</t>
  </si>
  <si>
    <t>Amount</t>
  </si>
  <si>
    <t>Inflation</t>
  </si>
  <si>
    <t>Euro</t>
  </si>
  <si>
    <t>Legal</t>
  </si>
  <si>
    <t>Accounting/Model/Appr</t>
  </si>
  <si>
    <t>Independent Eng</t>
  </si>
  <si>
    <t xml:space="preserve">Misc.               </t>
  </si>
  <si>
    <t>Total Transaction Costs</t>
  </si>
  <si>
    <t>Consumpation of Project</t>
  </si>
  <si>
    <t xml:space="preserve">O&amp;M Fee </t>
  </si>
  <si>
    <t>Battery O&amp;M</t>
  </si>
  <si>
    <t>Administration Accounting Etc</t>
  </si>
  <si>
    <t>Utility Connection Cost</t>
  </si>
  <si>
    <t xml:space="preserve">Rent/Lease Expense </t>
  </si>
  <si>
    <t>Property Taxes</t>
  </si>
  <si>
    <t xml:space="preserve">Second Inverter Replacement </t>
  </si>
  <si>
    <t xml:space="preserve">First Inverter Replacement  </t>
  </si>
  <si>
    <t>Racking and Tracking</t>
  </si>
  <si>
    <t>Engineering, Procurement and Construction</t>
  </si>
  <si>
    <t>Balance of System and Inverter</t>
  </si>
  <si>
    <t>Middle East</t>
  </si>
  <si>
    <t>Performace</t>
  </si>
  <si>
    <t>Ratio</t>
  </si>
  <si>
    <t>Delay Case</t>
  </si>
  <si>
    <t>Scenario 1</t>
  </si>
  <si>
    <t>Scenario 2</t>
  </si>
  <si>
    <t>Scenario 3</t>
  </si>
  <si>
    <t>Scenario 4</t>
  </si>
  <si>
    <t>Scenario 5</t>
  </si>
  <si>
    <t>Revenue Assumptions - Price per MWH</t>
  </si>
  <si>
    <t>Revenue Scenario Code</t>
  </si>
  <si>
    <t>Fixed Revenue Flag</t>
  </si>
  <si>
    <t>Inflation in Fixed Revenue</t>
  </si>
  <si>
    <t>Fixed Revenue per MWH</t>
  </si>
  <si>
    <t>Euro/MWH</t>
  </si>
  <si>
    <t>Financing</t>
  </si>
  <si>
    <t>Minimum DSCR</t>
  </si>
  <si>
    <t>Maximum Debt to Capital</t>
  </si>
  <si>
    <t>x</t>
  </si>
  <si>
    <t>Equity Up-Front Funding</t>
  </si>
  <si>
    <t>Degradation Rate</t>
  </si>
  <si>
    <t>Capacity After Degradation</t>
  </si>
  <si>
    <t>January Month</t>
  </si>
  <si>
    <t>Month #</t>
  </si>
  <si>
    <t>No</t>
  </si>
  <si>
    <t>February Month</t>
  </si>
  <si>
    <t>March Month</t>
  </si>
  <si>
    <t>April Month</t>
  </si>
  <si>
    <t>May Month</t>
  </si>
  <si>
    <t>June Month</t>
  </si>
  <si>
    <t>July Month</t>
  </si>
  <si>
    <t>August Month</t>
  </si>
  <si>
    <t>September Month</t>
  </si>
  <si>
    <t>October Month</t>
  </si>
  <si>
    <t>November Month</t>
  </si>
  <si>
    <t>December Month</t>
  </si>
  <si>
    <t>November Generation</t>
  </si>
  <si>
    <t>January Generation</t>
  </si>
  <si>
    <t>February Generation</t>
  </si>
  <si>
    <t>March Generation</t>
  </si>
  <si>
    <t>April Generation</t>
  </si>
  <si>
    <t>May Generation</t>
  </si>
  <si>
    <t>June Generation</t>
  </si>
  <si>
    <t>July Generation</t>
  </si>
  <si>
    <t>August Generation</t>
  </si>
  <si>
    <t>September Generation</t>
  </si>
  <si>
    <t>October Generation</t>
  </si>
  <si>
    <t>December Generation</t>
  </si>
  <si>
    <t>Total Generation</t>
  </si>
  <si>
    <t>Development Cost</t>
  </si>
  <si>
    <t>Balance</t>
  </si>
  <si>
    <t>of System</t>
  </si>
  <si>
    <t xml:space="preserve">Battery </t>
  </si>
  <si>
    <t>Development Period</t>
  </si>
  <si>
    <t>Operating Expense</t>
  </si>
  <si>
    <t>Inflation Indices</t>
  </si>
  <si>
    <t>Administrative and Asset Mgmt</t>
  </si>
  <si>
    <t>Other No Inflation</t>
  </si>
  <si>
    <t>Inflation Start</t>
  </si>
  <si>
    <t>Inflation Applies</t>
  </si>
  <si>
    <t>Shift CNTL B</t>
  </si>
  <si>
    <t>Crisis Over-ride</t>
  </si>
  <si>
    <t>Crisis Start</t>
  </si>
  <si>
    <t>Crisis End</t>
  </si>
  <si>
    <t>Apply Crisis Assumptions</t>
  </si>
  <si>
    <t>Periodic O&amp;M Inflation</t>
  </si>
  <si>
    <t>Periodic Admin Inflation</t>
  </si>
  <si>
    <t>Periodic Other Inflation</t>
  </si>
  <si>
    <t>Operating Costs per Unit</t>
  </si>
  <si>
    <t>First Inverter Replacement Date</t>
  </si>
  <si>
    <t>First Inverter Replacement</t>
  </si>
  <si>
    <t>Inverter Replacement Period</t>
  </si>
  <si>
    <t xml:space="preserve">Capacity </t>
  </si>
  <si>
    <t>Total O&amp;M</t>
  </si>
  <si>
    <t>Second Inverter Replacement</t>
  </si>
  <si>
    <t>Second Inverter Replacement Date</t>
  </si>
  <si>
    <t>Consumption of Project</t>
  </si>
  <si>
    <t>Total Inverter Cost</t>
  </si>
  <si>
    <t>Total Operating Expense</t>
  </si>
  <si>
    <t>Price (Non Crisis)</t>
  </si>
  <si>
    <t xml:space="preserve">Scenarios </t>
  </si>
  <si>
    <t>Total Capital Expenditures</t>
  </si>
  <si>
    <t>Grand Total Capital Expenditure</t>
  </si>
  <si>
    <t>Total O&amp;M and Inverter</t>
  </si>
  <si>
    <t>Project Cash Flow Pre-tax</t>
  </si>
  <si>
    <t>Pre-tax Project IRR</t>
  </si>
  <si>
    <t>Revenues without Crisis</t>
  </si>
  <si>
    <t>Revenues Applied</t>
  </si>
  <si>
    <t>Equity Pro-Rata</t>
  </si>
  <si>
    <t>Funding</t>
  </si>
  <si>
    <t>Repayment</t>
  </si>
  <si>
    <t>Tenor</t>
  </si>
  <si>
    <t>Maturity Date</t>
  </si>
  <si>
    <t>Interest and Fees</t>
  </si>
  <si>
    <t>Base Rate</t>
  </si>
  <si>
    <t>% p.a</t>
  </si>
  <si>
    <t>Up-Front Fee</t>
  </si>
  <si>
    <t>Commitment Fee</t>
  </si>
  <si>
    <t>DSRA Months</t>
  </si>
  <si>
    <t>Cash Sweep</t>
  </si>
  <si>
    <t>Crisis Scenario 1</t>
  </si>
  <si>
    <t>Crisis Scenario 2</t>
  </si>
  <si>
    <t>Crisis Scenario 3</t>
  </si>
  <si>
    <t>Crisis Scenario Code</t>
  </si>
  <si>
    <t>Free Cash Flow and Pre-tax Project IRR</t>
  </si>
  <si>
    <t>Taxes and Depreciation</t>
  </si>
  <si>
    <t>Tax Depreciation Rate</t>
  </si>
  <si>
    <t>After Tax Project Free Cash Flow</t>
  </si>
  <si>
    <t>Project IRR</t>
  </si>
  <si>
    <t>CFADS and Debt Sizing from Sculpting</t>
  </si>
  <si>
    <t>Less: Working Capital Changes</t>
  </si>
  <si>
    <t>Less: Actual Taxes</t>
  </si>
  <si>
    <t>Total Direct Construction</t>
  </si>
  <si>
    <t>Total Depreciation Expense</t>
  </si>
  <si>
    <t>Tax and Depreciation</t>
  </si>
  <si>
    <t>Depreciation Life</t>
  </si>
  <si>
    <t>Longer Case</t>
  </si>
  <si>
    <t>Percent Reduction in Price</t>
  </si>
  <si>
    <t>Base Rebound</t>
  </si>
  <si>
    <t>Worst Case</t>
  </si>
  <si>
    <t>After-tax Project IRR</t>
  </si>
  <si>
    <t>Underpreciated Amount</t>
  </si>
  <si>
    <t>Adjusted Depreciation</t>
  </si>
  <si>
    <t>Cost Base for Tax Depreciation</t>
  </si>
  <si>
    <t>Depreciation</t>
  </si>
  <si>
    <t>Crisis Assumptions</t>
  </si>
  <si>
    <t>General Assumptions</t>
  </si>
  <si>
    <t>Opening Balance</t>
  </si>
  <si>
    <t>Add: NOL Created from Loss</t>
  </si>
  <si>
    <t>Less: NOL Used from Gain</t>
  </si>
  <si>
    <t>Closing Balance</t>
  </si>
  <si>
    <t>Adjusted EBIT</t>
  </si>
  <si>
    <t>Flag for Repayment</t>
  </si>
  <si>
    <t>Start of Repayment</t>
  </si>
  <si>
    <t>Target Debt Service from DSCR</t>
  </si>
  <si>
    <t>Base Interest Rate</t>
  </si>
  <si>
    <t>Total Rate</t>
  </si>
  <si>
    <t>Periodic Rate</t>
  </si>
  <si>
    <t>Interest Rate Index</t>
  </si>
  <si>
    <t>Present Value Debt Service - Debt</t>
  </si>
  <si>
    <t>Summary Sources and Uses</t>
  </si>
  <si>
    <t>Total Uses of Funds</t>
  </si>
  <si>
    <t>Financing costs</t>
  </si>
  <si>
    <t>Annual Capacity Factor</t>
  </si>
  <si>
    <t>Levelised O&amp;M per kWp (Real)</t>
  </si>
  <si>
    <t>Real LCOE (Euro/MWH)</t>
  </si>
  <si>
    <t>Value Drivers</t>
  </si>
  <si>
    <t>Equity IRR</t>
  </si>
  <si>
    <t>Debt IRR</t>
  </si>
  <si>
    <t>Debt/Capital</t>
  </si>
  <si>
    <t>Uses and Sources</t>
  </si>
  <si>
    <t>DSCR</t>
  </si>
  <si>
    <t>PLCR</t>
  </si>
  <si>
    <t>Financing Cost</t>
  </si>
  <si>
    <t>Total Cost</t>
  </si>
  <si>
    <t>EPC and Dev Cost/kWp (Euro/kW)</t>
  </si>
  <si>
    <t>Debt</t>
  </si>
  <si>
    <t>Equity</t>
  </si>
  <si>
    <t>Total Sources</t>
  </si>
  <si>
    <t>Interest During Construction</t>
  </si>
  <si>
    <t>Up-Front Fees</t>
  </si>
  <si>
    <t>Commitment Fees</t>
  </si>
  <si>
    <t>Sources of Funds</t>
  </si>
  <si>
    <t>Debt/Cap</t>
  </si>
  <si>
    <t>Up Front Equity</t>
  </si>
  <si>
    <t>Pro-Rata Equity</t>
  </si>
  <si>
    <t>Total Pro-Rata</t>
  </si>
  <si>
    <t>Periodic Sources and Uses</t>
  </si>
  <si>
    <t>Total Funding Needs</t>
  </si>
  <si>
    <t>EPC Costs</t>
  </si>
  <si>
    <t xml:space="preserve">IDC </t>
  </si>
  <si>
    <t>Equity Up-Front</t>
  </si>
  <si>
    <t>Total Equity Commitment</t>
  </si>
  <si>
    <t>Less: Initial Equity</t>
  </si>
  <si>
    <t>Remainining</t>
  </si>
  <si>
    <t>Equity Funded</t>
  </si>
  <si>
    <t>Add: Funded</t>
  </si>
  <si>
    <t>Pro-Rata Funding</t>
  </si>
  <si>
    <t>Total Pro-Rata Funding</t>
  </si>
  <si>
    <t>Debt Pro-Rata</t>
  </si>
  <si>
    <t>Total Debt Funding</t>
  </si>
  <si>
    <t>Total Equity Funding</t>
  </si>
  <si>
    <t>Debt Balance</t>
  </si>
  <si>
    <t>Add: Draws</t>
  </si>
  <si>
    <t>Debt Repayment</t>
  </si>
  <si>
    <t>Repayment Period</t>
  </si>
  <si>
    <t>Total Target Debt Service</t>
  </si>
  <si>
    <t>Less: Interest Expense</t>
  </si>
  <si>
    <t>Fixed Repayment Period</t>
  </si>
  <si>
    <t>Fixed Repayment Amount</t>
  </si>
  <si>
    <t>Re-Opdered Fixed Repayment Amount</t>
  </si>
  <si>
    <t>Computed Repayment for Structuring</t>
  </si>
  <si>
    <t>Less: Repayments</t>
  </si>
  <si>
    <t>Repayment Applied</t>
  </si>
  <si>
    <t>Fixed Repayments</t>
  </si>
  <si>
    <t>Periodic Interest Rate</t>
  </si>
  <si>
    <t>Interest Cost</t>
  </si>
  <si>
    <t>Interest Expense</t>
  </si>
  <si>
    <t>Fixed</t>
  </si>
  <si>
    <t>repayper</t>
  </si>
  <si>
    <t>repaycomp</t>
  </si>
  <si>
    <t>fixper</t>
  </si>
  <si>
    <t>repayfix</t>
  </si>
  <si>
    <t>Merchant</t>
  </si>
  <si>
    <t>Multiplier</t>
  </si>
  <si>
    <t>O&amp;M per</t>
  </si>
  <si>
    <t>kWy</t>
  </si>
  <si>
    <t>Lease</t>
  </si>
  <si>
    <t>Expense</t>
  </si>
  <si>
    <t>Operating</t>
  </si>
  <si>
    <t>Life</t>
  </si>
  <si>
    <t>Graphs</t>
  </si>
  <si>
    <t>Range Names</t>
  </si>
  <si>
    <t>='Financing Model'!$K$99:$DQ$99</t>
  </si>
  <si>
    <t>='Financing Model'!$K$97:$DQ$97</t>
  </si>
  <si>
    <t>='Financing Model'!$K$100:$DQ$100</t>
  </si>
  <si>
    <t>='Financing Model'!$K$94:$DQ$94</t>
  </si>
  <si>
    <t>Thousand</t>
  </si>
  <si>
    <t>=1000</t>
  </si>
  <si>
    <t>Debt Service</t>
  </si>
  <si>
    <t>Start Date</t>
  </si>
  <si>
    <t>Uncommited Balance</t>
  </si>
  <si>
    <t>Debt Commitment</t>
  </si>
  <si>
    <t>Less: Opening Balance</t>
  </si>
  <si>
    <t>Uncommited Debt</t>
  </si>
  <si>
    <t>Periodic Commitment Fee</t>
  </si>
  <si>
    <t>Computed</t>
  </si>
  <si>
    <t>Difference</t>
  </si>
  <si>
    <t>Taxes and CFADS</t>
  </si>
  <si>
    <t>Depreciation Including IDC and Fees</t>
  </si>
  <si>
    <t>Depeciation Rate</t>
  </si>
  <si>
    <t>Base Depreciation</t>
  </si>
  <si>
    <t>IDC and Fees Base</t>
  </si>
  <si>
    <t>IDC and Fee Depreciation</t>
  </si>
  <si>
    <t>Total Depreciation</t>
  </si>
  <si>
    <t>Less: Depreciation</t>
  </si>
  <si>
    <t>Less: Interest</t>
  </si>
  <si>
    <t>EBT</t>
  </si>
  <si>
    <t>Taxes</t>
  </si>
  <si>
    <t>Net Income</t>
  </si>
  <si>
    <t>Opening NOL</t>
  </si>
  <si>
    <t xml:space="preserve">Less: NOL Used </t>
  </si>
  <si>
    <t>Adjusted EBT</t>
  </si>
  <si>
    <t>Cash Flow Waterfall</t>
  </si>
  <si>
    <t>Less: Taxes</t>
  </si>
  <si>
    <t>Less: Working Capital Change</t>
  </si>
  <si>
    <t>Less: Repayment</t>
  </si>
  <si>
    <t>Cash Flow Before Default</t>
  </si>
  <si>
    <t>Add: Default</t>
  </si>
  <si>
    <t>Less: Repayment of Default</t>
  </si>
  <si>
    <t>Cash Flow After Default Analysis</t>
  </si>
  <si>
    <t>Less: Cash Flow Sweep</t>
  </si>
  <si>
    <t>Equity Cash flow</t>
  </si>
  <si>
    <t>Default</t>
  </si>
  <si>
    <t>Interest Rate</t>
  </si>
  <si>
    <t>Default Interest</t>
  </si>
  <si>
    <t>Default Repayment</t>
  </si>
  <si>
    <t>Outputs</t>
  </si>
  <si>
    <t>Equity Cash Flow</t>
  </si>
  <si>
    <t>PV of Cash Flow</t>
  </si>
  <si>
    <t>PV of Debt Service</t>
  </si>
  <si>
    <t>Debt at COD</t>
  </si>
  <si>
    <t>PLCR at COD</t>
  </si>
  <si>
    <t>Less: Cash Sweep</t>
  </si>
  <si>
    <t>Debt Balance (Opening)</t>
  </si>
  <si>
    <t>Debt to Capital</t>
  </si>
  <si>
    <t>Yield</t>
  </si>
  <si>
    <t>kWh/kWp</t>
  </si>
  <si>
    <t>Merchant Sensitivity</t>
  </si>
  <si>
    <t>Controls</t>
  </si>
  <si>
    <t>Key Ratios</t>
  </si>
  <si>
    <t>Target DSCR</t>
  </si>
  <si>
    <t>Crisis Case</t>
  </si>
  <si>
    <t>Probability Case</t>
  </si>
  <si>
    <t>Tenure</t>
  </si>
  <si>
    <t>Merchant Case</t>
  </si>
  <si>
    <t>Merchant Percent</t>
  </si>
  <si>
    <t>Code</t>
  </si>
  <si>
    <t>Cost</t>
  </si>
  <si>
    <t>Cost/kW</t>
  </si>
  <si>
    <t>Scenario Case</t>
  </si>
  <si>
    <t>Debt Cash Flow</t>
  </si>
  <si>
    <t>Equity Irr</t>
  </si>
  <si>
    <t>LCOE</t>
  </si>
  <si>
    <t>Discount Rate</t>
  </si>
  <si>
    <t>LCOE Nominal Discout Rate</t>
  </si>
  <si>
    <t>Inflation for LOCE</t>
  </si>
  <si>
    <t xml:space="preserve">Real Discount </t>
  </si>
  <si>
    <t>Nominal Factor</t>
  </si>
  <si>
    <t>Real Discount Factor</t>
  </si>
  <si>
    <t>PV of Revenues</t>
  </si>
  <si>
    <t>PV of Generation</t>
  </si>
  <si>
    <t>Real LCOE</t>
  </si>
  <si>
    <t>Cash Sweep Start Date</t>
  </si>
  <si>
    <t>Cash Sweep Period</t>
  </si>
  <si>
    <t>Interest</t>
  </si>
  <si>
    <t>Things to Check</t>
  </si>
  <si>
    <t>Contents</t>
  </si>
  <si>
    <t>Summary</t>
  </si>
  <si>
    <t>Assumptions</t>
  </si>
  <si>
    <t>Scenario</t>
  </si>
  <si>
    <t>Operating Model</t>
  </si>
  <si>
    <t>Financing Model</t>
  </si>
  <si>
    <t>Operating Data</t>
  </si>
  <si>
    <t xml:space="preserve">          </t>
  </si>
  <si>
    <t xml:space="preserve"> File Name: </t>
  </si>
  <si>
    <t xml:space="preserve"> Last Save Date </t>
  </si>
  <si>
    <t xml:space="preserve"> Last Save By</t>
  </si>
  <si>
    <t xml:space="preserve"> Colour Codes </t>
  </si>
  <si>
    <t xml:space="preserve"> Inputs </t>
  </si>
  <si>
    <t>1234567890</t>
  </si>
  <si>
    <t xml:space="preserve"> Section Titles </t>
  </si>
  <si>
    <t>TITLE ROW</t>
  </si>
  <si>
    <t xml:space="preserve"> Sum Column </t>
  </si>
  <si>
    <t>1000000000</t>
  </si>
  <si>
    <t xml:space="preserve"> True or 1 </t>
  </si>
  <si>
    <t xml:space="preserve"> False or 0 </t>
  </si>
  <si>
    <t xml:space="preserve"> Other Sheet Links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</si>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</sst>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_);\(#,##0\);&quot;-  &quot;;&quot; &quot;@&quot; &quot;"/>
    <numFmt numFmtId="165" formatCode="_(* #,##0_);_(* \(#,##0\);_(* &quot;-&quot;??_);_(@_)"/>
    <numFmt numFmtId="166" formatCode="_-* #,##0.00_-;_(* \(#,##0.00\);_-* &quot;-&quot;??_-;_-@_-"/>
  </numFmts>
  <fonts count="17"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rgb="FF000000"/>
      <name val="Calibri"/>
      <family val="2"/>
      <scheme val="minor"/>
    </font>
    <font>
      <sz val="11"/>
      <color rgb="FF000000"/>
      <name val="Calibri"/>
      <family val="2"/>
    </font>
    <font>
      <sz val="11"/>
      <color theme="0"/>
      <name val="Calibri"/>
      <family val="2"/>
      <scheme val="minor"/>
    </font>
    <font>
      <sz val="11"/>
      <name val="Calibri"/>
      <family val="2"/>
      <scheme val="minor"/>
    </font>
    <font>
      <sz val="11"/>
      <color rgb="FF0000FF"/>
      <name val="Calibri"/>
      <family val="2"/>
      <scheme val="minor"/>
    </font>
    <font>
      <sz val="11"/>
      <color rgb="FFFF3300"/>
      <name val="Calibri"/>
      <family val="2"/>
      <scheme val="minor"/>
    </font>
    <font>
      <sz val="11"/>
      <color rgb="FFFFFFFF"/>
      <name val="Calibri"/>
      <family val="2"/>
      <scheme val="minor"/>
    </font>
    <font>
      <u/>
      <sz val="11"/>
      <color theme="10"/>
      <name val="Calibri"/>
      <family val="2"/>
      <scheme val="minor"/>
    </font>
    <font>
      <u/>
      <sz val="11"/>
      <color theme="0"/>
      <name val="Calibri"/>
      <family val="2"/>
      <scheme val="minor"/>
    </font>
    <font>
      <b/>
      <u/>
      <sz val="11"/>
      <color rgb="FF33CCFF"/>
      <name val="Calibri"/>
      <family val="2"/>
      <scheme val="minor"/>
    </font>
    <font>
      <sz val="11"/>
      <color rgb="FF33CCFF"/>
      <name val="Calibri"/>
      <family val="2"/>
      <scheme val="minor"/>
    </font>
    <font>
      <b/>
      <sz val="11"/>
      <name val="Calibri"/>
      <family val="2"/>
      <scheme val="minor"/>
    </font>
    <font>
      <b/>
      <sz val="11"/>
      <color rgb="FF0000FF"/>
      <name val="Calibri"/>
      <family val="2"/>
      <scheme val="minor"/>
    </font>
  </fonts>
  <fills count="7">
    <fill>
      <patternFill patternType="none"/>
    </fill>
    <fill>
      <patternFill patternType="gray125"/>
    </fill>
    <fill>
      <patternFill patternType="solid">
        <fgColor indexed="65"/>
        <bgColor indexed="64"/>
      </patternFill>
    </fill>
    <fill>
      <patternFill patternType="solid">
        <fgColor rgb="FF800000"/>
        <bgColor indexed="64"/>
      </patternFill>
    </fill>
    <fill>
      <patternFill patternType="solid">
        <fgColor rgb="FFD6D6D8"/>
        <bgColor indexed="64"/>
      </patternFill>
    </fill>
    <fill>
      <patternFill patternType="solid">
        <fgColor theme="1"/>
        <bgColor indexed="64"/>
      </patternFill>
    </fill>
    <fill>
      <patternFill patternType="solid">
        <fgColor rgb="FFD9D9D9"/>
        <bgColor indexed="64"/>
      </patternFill>
    </fill>
  </fills>
  <borders count="6">
    <border>
      <left/>
      <right/>
      <top/>
      <bottom/>
      <diagonal/>
    </border>
    <border>
      <left/>
      <right/>
      <top style="thin">
        <color indexed="64"/>
      </top>
      <bottom style="medium">
        <color indexed="64"/>
      </bottom>
      <diagonal/>
    </border>
    <border>
      <left/>
      <right/>
      <top style="thin">
        <color indexed="64"/>
      </top>
      <bottom style="double">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3">
    <xf numFmtId="164" fontId="0" fillId="0" borderId="0" applyFont="0" applyFill="0" applyBorder="0" applyProtection="0">
      <alignment vertical="top"/>
    </xf>
    <xf numFmtId="43" fontId="1" fillId="0" borderId="0" applyFont="0" applyFill="0" applyBorder="0" applyAlignment="0" applyProtection="0"/>
    <xf numFmtId="164" fontId="11" fillId="0" borderId="0" applyNumberFormat="0" applyFill="0" applyBorder="0" applyAlignment="0" applyProtection="0">
      <alignment vertical="top"/>
    </xf>
  </cellStyleXfs>
  <cellXfs count="88">
    <xf numFmtId="164" fontId="0" fillId="0" borderId="0" xfId="0">
      <alignment vertical="top"/>
    </xf>
    <xf numFmtId="164" fontId="0" fillId="0" borderId="0" xfId="0" applyAlignment="1"/>
    <xf numFmtId="10" fontId="0" fillId="0" borderId="0" xfId="0" applyNumberFormat="1" applyAlignment="1"/>
    <xf numFmtId="4" fontId="0" fillId="0" borderId="0" xfId="0" applyNumberFormat="1" applyAlignment="1"/>
    <xf numFmtId="10" fontId="0" fillId="0" borderId="0" xfId="0" applyNumberFormat="1">
      <alignment vertical="top"/>
    </xf>
    <xf numFmtId="4" fontId="0" fillId="0" borderId="0" xfId="0" applyNumberFormat="1">
      <alignment vertical="top"/>
    </xf>
    <xf numFmtId="164" fontId="0" fillId="0" borderId="3" xfId="0" applyBorder="1">
      <alignment vertical="top"/>
    </xf>
    <xf numFmtId="164" fontId="0" fillId="0" borderId="0" xfId="0" applyAlignment="1">
      <alignment vertical="top" wrapText="1"/>
    </xf>
    <xf numFmtId="164" fontId="0" fillId="0" borderId="0" xfId="0" applyAlignment="1">
      <alignment wrapText="1"/>
    </xf>
    <xf numFmtId="164" fontId="0" fillId="0" borderId="0" xfId="0" applyBorder="1">
      <alignment vertical="top"/>
    </xf>
    <xf numFmtId="4" fontId="0" fillId="0" borderId="0" xfId="0" applyNumberFormat="1" applyBorder="1">
      <alignment vertical="top"/>
    </xf>
    <xf numFmtId="164" fontId="0" fillId="0" borderId="0" xfId="0" applyFill="1" applyBorder="1" applyAlignment="1"/>
    <xf numFmtId="164" fontId="0" fillId="0" borderId="0" xfId="0" applyAlignment="1">
      <alignment horizontal="center" wrapText="1"/>
    </xf>
    <xf numFmtId="166" fontId="0" fillId="0" borderId="0" xfId="1" applyNumberFormat="1" applyFont="1" applyAlignment="1">
      <alignment vertical="top"/>
    </xf>
    <xf numFmtId="164" fontId="0" fillId="0" borderId="1" xfId="0" applyBorder="1">
      <alignment vertical="top"/>
    </xf>
    <xf numFmtId="166" fontId="0" fillId="0" borderId="1" xfId="1" applyNumberFormat="1" applyFont="1" applyBorder="1" applyAlignment="1">
      <alignment vertical="top"/>
    </xf>
    <xf numFmtId="164" fontId="0" fillId="0" borderId="0" xfId="0" applyAlignment="1">
      <alignment horizontal="left" vertical="top" indent="1"/>
    </xf>
    <xf numFmtId="164" fontId="0" fillId="0" borderId="1" xfId="0" applyBorder="1" applyAlignment="1">
      <alignment horizontal="left" vertical="top" indent="1"/>
    </xf>
    <xf numFmtId="164" fontId="3" fillId="0" borderId="0" xfId="0" applyFont="1">
      <alignment vertical="top"/>
    </xf>
    <xf numFmtId="164" fontId="0" fillId="0" borderId="0" xfId="0" applyAlignment="1">
      <alignment horizontal="left" vertical="top" indent="2"/>
    </xf>
    <xf numFmtId="164" fontId="7" fillId="0" borderId="0" xfId="0" applyFont="1" applyFill="1">
      <alignment vertical="top"/>
    </xf>
    <xf numFmtId="164" fontId="7" fillId="0" borderId="0" xfId="0" applyFont="1" applyFill="1" applyAlignment="1">
      <alignment horizontal="center" vertical="top"/>
    </xf>
    <xf numFmtId="10" fontId="7" fillId="0" borderId="0" xfId="0" applyNumberFormat="1" applyFont="1" applyFill="1">
      <alignment vertical="top"/>
    </xf>
    <xf numFmtId="165" fontId="7" fillId="0" borderId="0" xfId="1" applyNumberFormat="1" applyFont="1" applyFill="1" applyAlignment="1">
      <alignment vertical="top"/>
    </xf>
    <xf numFmtId="9" fontId="7" fillId="0" borderId="0" xfId="0" applyNumberFormat="1" applyFont="1" applyFill="1">
      <alignment vertical="top"/>
    </xf>
    <xf numFmtId="4" fontId="7" fillId="0" borderId="0" xfId="0" applyNumberFormat="1" applyFont="1" applyFill="1">
      <alignment vertical="top"/>
    </xf>
    <xf numFmtId="0" fontId="7" fillId="0" borderId="0" xfId="0" applyNumberFormat="1" applyFont="1" applyFill="1">
      <alignment vertical="top"/>
    </xf>
    <xf numFmtId="15" fontId="7" fillId="0" borderId="0" xfId="0" applyNumberFormat="1" applyFont="1" applyFill="1">
      <alignment vertical="top"/>
    </xf>
    <xf numFmtId="164" fontId="8" fillId="0" borderId="0" xfId="0" applyFont="1" applyFill="1">
      <alignment vertical="top"/>
    </xf>
    <xf numFmtId="165" fontId="8" fillId="0" borderId="0" xfId="1" applyNumberFormat="1" applyFont="1" applyFill="1" applyAlignment="1">
      <alignment vertical="top"/>
    </xf>
    <xf numFmtId="10" fontId="8" fillId="0" borderId="0" xfId="0" applyNumberFormat="1" applyFont="1" applyFill="1">
      <alignment vertical="top"/>
    </xf>
    <xf numFmtId="9" fontId="8" fillId="0" borderId="0" xfId="0" applyNumberFormat="1" applyFont="1" applyFill="1">
      <alignment vertical="top"/>
    </xf>
    <xf numFmtId="4" fontId="8" fillId="0" borderId="0" xfId="0" applyNumberFormat="1" applyFont="1" applyFill="1">
      <alignment vertical="top"/>
    </xf>
    <xf numFmtId="0" fontId="8" fillId="0" borderId="0" xfId="0" applyNumberFormat="1" applyFont="1" applyFill="1">
      <alignment vertical="top"/>
    </xf>
    <xf numFmtId="15" fontId="8" fillId="0" borderId="0" xfId="0" applyNumberFormat="1" applyFont="1" applyFill="1">
      <alignment vertical="top"/>
    </xf>
    <xf numFmtId="10" fontId="9" fillId="0" borderId="0" xfId="0" applyNumberFormat="1" applyFont="1" applyFill="1">
      <alignment vertical="top"/>
    </xf>
    <xf numFmtId="0" fontId="9" fillId="0" borderId="0" xfId="0" applyNumberFormat="1" applyFont="1" applyFill="1">
      <alignment vertical="top"/>
    </xf>
    <xf numFmtId="164" fontId="10" fillId="3" borderId="0" xfId="0" applyFont="1" applyFill="1">
      <alignment vertical="top"/>
    </xf>
    <xf numFmtId="0" fontId="7" fillId="0" borderId="1" xfId="0" applyNumberFormat="1" applyFont="1" applyFill="1" applyBorder="1">
      <alignment vertical="top"/>
    </xf>
    <xf numFmtId="164" fontId="7" fillId="0" borderId="1" xfId="0" applyFont="1" applyFill="1" applyBorder="1">
      <alignment vertical="top"/>
    </xf>
    <xf numFmtId="4" fontId="7" fillId="0" borderId="1" xfId="0" applyNumberFormat="1" applyFont="1" applyFill="1" applyBorder="1">
      <alignment vertical="top"/>
    </xf>
    <xf numFmtId="10" fontId="7" fillId="0" borderId="1" xfId="0" applyNumberFormat="1" applyFont="1" applyFill="1" applyBorder="1">
      <alignment vertical="top"/>
    </xf>
    <xf numFmtId="164" fontId="7" fillId="0" borderId="2" xfId="0" applyFont="1" applyFill="1" applyBorder="1">
      <alignment vertical="top"/>
    </xf>
    <xf numFmtId="166" fontId="7" fillId="0" borderId="0" xfId="1" applyNumberFormat="1" applyFont="1" applyFill="1" applyAlignment="1">
      <alignment vertical="top"/>
    </xf>
    <xf numFmtId="165" fontId="7" fillId="0" borderId="1" xfId="1" applyNumberFormat="1" applyFont="1" applyFill="1" applyBorder="1" applyAlignment="1">
      <alignment vertical="top"/>
    </xf>
    <xf numFmtId="164" fontId="9" fillId="0" borderId="0" xfId="0" applyFont="1" applyFill="1">
      <alignment vertical="top"/>
    </xf>
    <xf numFmtId="15" fontId="9" fillId="0" borderId="0" xfId="0" applyNumberFormat="1" applyFont="1" applyFill="1">
      <alignment vertical="top"/>
    </xf>
    <xf numFmtId="15" fontId="9" fillId="0" borderId="0" xfId="1" applyNumberFormat="1" applyFont="1" applyFill="1" applyAlignment="1">
      <alignment vertical="top"/>
    </xf>
    <xf numFmtId="164" fontId="9" fillId="0" borderId="1" xfId="0" applyFont="1" applyFill="1" applyBorder="1">
      <alignment vertical="top"/>
    </xf>
    <xf numFmtId="4" fontId="9" fillId="0" borderId="0" xfId="0" applyNumberFormat="1" applyFont="1" applyFill="1">
      <alignment vertical="top"/>
    </xf>
    <xf numFmtId="165" fontId="9" fillId="0" borderId="0" xfId="1" applyNumberFormat="1" applyFont="1" applyFill="1" applyAlignment="1">
      <alignment vertical="top"/>
    </xf>
    <xf numFmtId="166" fontId="9" fillId="0" borderId="0" xfId="1" applyNumberFormat="1" applyFont="1" applyFill="1" applyAlignment="1">
      <alignment vertical="top"/>
    </xf>
    <xf numFmtId="164" fontId="9" fillId="0" borderId="2" xfId="0" applyFont="1" applyFill="1" applyBorder="1">
      <alignment vertical="top"/>
    </xf>
    <xf numFmtId="10" fontId="10" fillId="3" borderId="0" xfId="0" applyNumberFormat="1" applyFont="1" applyFill="1">
      <alignment vertical="top"/>
    </xf>
    <xf numFmtId="164" fontId="4" fillId="4" borderId="0" xfId="0" applyFont="1" applyFill="1">
      <alignment vertical="top"/>
    </xf>
    <xf numFmtId="164" fontId="4" fillId="4" borderId="1" xfId="0" applyFont="1" applyFill="1" applyBorder="1">
      <alignment vertical="top"/>
    </xf>
    <xf numFmtId="164" fontId="4" fillId="4" borderId="2" xfId="0" applyFont="1" applyFill="1" applyBorder="1">
      <alignment vertical="top"/>
    </xf>
    <xf numFmtId="10" fontId="4" fillId="4" borderId="0" xfId="0" applyNumberFormat="1" applyFont="1" applyFill="1">
      <alignment vertical="top"/>
    </xf>
    <xf numFmtId="15" fontId="4" fillId="4" borderId="0" xfId="0" applyNumberFormat="1" applyFont="1" applyFill="1">
      <alignment vertical="top"/>
    </xf>
    <xf numFmtId="164" fontId="6" fillId="5" borderId="0" xfId="0" applyFont="1" applyFill="1">
      <alignment vertical="top"/>
    </xf>
    <xf numFmtId="164" fontId="6" fillId="5" borderId="0" xfId="0" applyFont="1" applyFill="1" applyAlignment="1">
      <alignment horizontal="center" vertical="top"/>
    </xf>
    <xf numFmtId="4" fontId="6" fillId="5" borderId="0" xfId="0" applyNumberFormat="1" applyFont="1" applyFill="1">
      <alignment vertical="top"/>
    </xf>
    <xf numFmtId="15" fontId="6" fillId="5" borderId="0" xfId="0" applyNumberFormat="1" applyFont="1" applyFill="1">
      <alignment vertical="top"/>
    </xf>
    <xf numFmtId="164" fontId="7" fillId="0" borderId="0" xfId="0" applyFont="1" applyFill="1" applyBorder="1">
      <alignment vertical="top"/>
    </xf>
    <xf numFmtId="165" fontId="7" fillId="0" borderId="0" xfId="1" applyNumberFormat="1" applyFont="1" applyFill="1" applyBorder="1" applyAlignment="1">
      <alignment vertical="top"/>
    </xf>
    <xf numFmtId="165" fontId="7" fillId="0" borderId="2" xfId="1" applyNumberFormat="1" applyFont="1" applyFill="1" applyBorder="1" applyAlignment="1">
      <alignment vertical="top"/>
    </xf>
    <xf numFmtId="15" fontId="6" fillId="5" borderId="0" xfId="1" applyNumberFormat="1" applyFont="1" applyFill="1" applyAlignment="1">
      <alignment vertical="top"/>
    </xf>
    <xf numFmtId="10" fontId="7" fillId="0" borderId="0" xfId="1" applyNumberFormat="1" applyFont="1" applyFill="1" applyAlignment="1">
      <alignment vertical="top"/>
    </xf>
    <xf numFmtId="10" fontId="8" fillId="0" borderId="1" xfId="0" applyNumberFormat="1" applyFont="1" applyFill="1" applyBorder="1">
      <alignment vertical="top"/>
    </xf>
    <xf numFmtId="166" fontId="8" fillId="0" borderId="0" xfId="1" applyNumberFormat="1" applyFont="1" applyFill="1" applyAlignment="1">
      <alignment vertical="top"/>
    </xf>
    <xf numFmtId="10" fontId="8" fillId="0" borderId="0" xfId="1" applyNumberFormat="1" applyFont="1" applyFill="1" applyAlignment="1">
      <alignment vertical="top"/>
    </xf>
    <xf numFmtId="164" fontId="10" fillId="3" borderId="0" xfId="0" applyFont="1" applyFill="1" applyAlignment="1">
      <alignment horizontal="center" vertical="top"/>
    </xf>
    <xf numFmtId="165" fontId="4" fillId="4" borderId="0" xfId="1" applyNumberFormat="1" applyFont="1" applyFill="1" applyAlignment="1">
      <alignment vertical="top"/>
    </xf>
    <xf numFmtId="10" fontId="4" fillId="4" borderId="0" xfId="1" applyNumberFormat="1" applyFont="1" applyFill="1" applyAlignment="1">
      <alignment vertical="top"/>
    </xf>
    <xf numFmtId="166" fontId="4" fillId="4" borderId="0" xfId="1" applyNumberFormat="1" applyFont="1" applyFill="1" applyAlignment="1">
      <alignment vertical="top"/>
    </xf>
    <xf numFmtId="166" fontId="4" fillId="4" borderId="1" xfId="1" applyNumberFormat="1" applyFont="1" applyFill="1" applyBorder="1" applyAlignment="1">
      <alignment vertical="top"/>
    </xf>
    <xf numFmtId="15" fontId="4" fillId="4" borderId="0" xfId="1" applyNumberFormat="1" applyFont="1" applyFill="1" applyAlignment="1">
      <alignment vertical="top"/>
    </xf>
    <xf numFmtId="0" fontId="4" fillId="4" borderId="0" xfId="0" applyNumberFormat="1" applyFont="1" applyFill="1">
      <alignment vertical="top"/>
    </xf>
    <xf numFmtId="4" fontId="4" fillId="4" borderId="0" xfId="0" applyNumberFormat="1" applyFont="1" applyFill="1">
      <alignment vertical="top"/>
    </xf>
    <xf numFmtId="164" fontId="6" fillId="5" borderId="0" xfId="0" applyFont="1" applyFill="1" applyBorder="1">
      <alignment vertical="top"/>
    </xf>
    <xf numFmtId="164" fontId="12" fillId="5" borderId="5" xfId="2" applyFont="1" applyFill="1" applyBorder="1">
      <alignment vertical="top"/>
    </xf>
    <xf numFmtId="164" fontId="12" fillId="5" borderId="4" xfId="2" applyFont="1" applyFill="1" applyBorder="1">
      <alignment vertical="top"/>
    </xf>
    <xf numFmtId="164" fontId="13" fillId="5" borderId="0" xfId="2" applyFont="1" applyFill="1" applyBorder="1">
      <alignment vertical="top"/>
    </xf>
    <xf numFmtId="164" fontId="14" fillId="5" borderId="0" xfId="0" applyFont="1" applyFill="1" applyBorder="1">
      <alignment vertical="top"/>
    </xf>
    <xf numFmtId="164" fontId="15" fillId="0" borderId="0" xfId="0" quotePrefix="1" applyFont="1" applyFill="1" applyBorder="1">
      <alignment vertical="top"/>
    </xf>
    <xf numFmtId="164" fontId="16" fillId="2" borderId="0" xfId="0" quotePrefix="1" applyFont="1" applyFill="1" applyBorder="1">
      <alignment vertical="top"/>
    </xf>
    <xf numFmtId="164" fontId="10" fillId="3" borderId="0" xfId="0" applyFont="1" applyFill="1" applyBorder="1">
      <alignment vertical="top"/>
    </xf>
    <xf numFmtId="164" fontId="10" fillId="6" borderId="0" xfId="0" applyFont="1" applyFill="1" applyBorder="1">
      <alignment vertical="top"/>
    </xf>
  </cellXfs>
  <cellStyles count="3">
    <cellStyle name="Comma" xfId="1" builtinId="3"/>
    <cellStyle name="Hyperlink" xfId="2" builtinId="8"/>
    <cellStyle name="Normal" xfId="0" builtinId="0"/>
  </cellStyles>
  <dxfs count="21">
    <dxf>
      <fill>
        <patternFill>
          <bgColor theme="4" tint="0.39994506668294322"/>
        </patternFill>
      </fill>
    </dxf>
    <dxf>
      <font>
        <color indexed="8"/>
      </font>
      <fill>
        <patternFill>
          <fgColor indexed="64"/>
          <bgColor rgb="FF99CC00"/>
        </patternFill>
      </fill>
    </dxf>
    <dxf>
      <font>
        <color auto="1"/>
      </font>
      <fill>
        <patternFill>
          <fgColor indexed="64"/>
          <bgColor rgb="FFC0C0C0"/>
        </patternFill>
      </fill>
    </dxf>
    <dxf>
      <font>
        <color indexed="8"/>
      </font>
      <fill>
        <patternFill>
          <fgColor indexed="64"/>
          <bgColor rgb="FF99CC00"/>
        </patternFill>
      </fill>
    </dxf>
    <dxf>
      <font>
        <color auto="1"/>
      </font>
      <fill>
        <patternFill>
          <fgColor indexed="64"/>
          <bgColor rgb="FFC0C0C0"/>
        </patternFill>
      </fill>
    </dxf>
    <dxf>
      <font>
        <color indexed="8"/>
      </font>
      <fill>
        <patternFill>
          <fgColor indexed="64"/>
          <bgColor rgb="FF99CC00"/>
        </patternFill>
      </fill>
    </dxf>
    <dxf>
      <font>
        <color auto="1"/>
      </font>
      <fill>
        <patternFill>
          <fgColor indexed="64"/>
          <bgColor rgb="FFC0C0C0"/>
        </patternFill>
      </fill>
    </dxf>
    <dxf>
      <font>
        <color indexed="8"/>
      </font>
      <fill>
        <patternFill>
          <fgColor indexed="64"/>
          <bgColor rgb="FF99CC00"/>
        </patternFill>
      </fill>
    </dxf>
    <dxf>
      <font>
        <color auto="1"/>
      </font>
      <fill>
        <patternFill>
          <fgColor indexed="64"/>
          <bgColor rgb="FFC0C0C0"/>
        </patternFill>
      </fill>
    </dxf>
    <dxf>
      <font>
        <color indexed="8"/>
      </font>
      <fill>
        <patternFill>
          <fgColor indexed="64"/>
          <bgColor rgb="FF99CC00"/>
        </patternFill>
      </fill>
    </dxf>
    <dxf>
      <font>
        <color auto="1"/>
      </font>
      <fill>
        <patternFill>
          <fgColor indexed="64"/>
          <bgColor rgb="FFC0C0C0"/>
        </patternFill>
      </fill>
    </dxf>
    <dxf>
      <font>
        <color indexed="8"/>
      </font>
      <fill>
        <patternFill>
          <fgColor indexed="64"/>
          <bgColor rgb="FF99CC00"/>
        </patternFill>
      </fill>
    </dxf>
    <dxf>
      <font>
        <color auto="1"/>
      </font>
      <fill>
        <patternFill>
          <fgColor indexed="64"/>
          <bgColor rgb="FFC0C0C0"/>
        </patternFill>
      </fill>
    </dxf>
    <dxf>
      <font>
        <color indexed="8"/>
      </font>
      <fill>
        <patternFill>
          <fgColor indexed="64"/>
          <bgColor rgb="FF99CC00"/>
        </patternFill>
      </fill>
    </dxf>
    <dxf>
      <font>
        <color auto="1"/>
      </font>
      <fill>
        <patternFill>
          <fgColor indexed="64"/>
          <bgColor rgb="FFC0C0C0"/>
        </patternFill>
      </fill>
    </dxf>
    <dxf>
      <font>
        <color indexed="8"/>
      </font>
      <fill>
        <patternFill>
          <fgColor indexed="64"/>
          <bgColor rgb="FF99CC00"/>
        </patternFill>
      </fill>
    </dxf>
    <dxf>
      <font>
        <color auto="1"/>
      </font>
      <fill>
        <patternFill>
          <fgColor indexed="64"/>
          <bgColor rgb="FFC0C0C0"/>
        </patternFill>
      </fill>
    </dxf>
    <dxf>
      <font>
        <color indexed="8"/>
      </font>
      <fill>
        <patternFill>
          <fgColor indexed="64"/>
          <bgColor rgb="FF99CC00"/>
        </patternFill>
      </fill>
    </dxf>
    <dxf>
      <font>
        <color auto="1"/>
      </font>
      <fill>
        <patternFill>
          <fgColor indexed="64"/>
          <bgColor rgb="FFC0C0C0"/>
        </patternFill>
      </fill>
    </dxf>
    <dxf>
      <font>
        <color indexed="8"/>
      </font>
      <fill>
        <patternFill>
          <fgColor indexed="64"/>
          <bgColor rgb="FF99CC00"/>
        </patternFill>
      </fill>
    </dxf>
    <dxf>
      <font>
        <color auto="1"/>
      </font>
      <fill>
        <patternFill>
          <fgColor indexed="64"/>
          <bgColor rgb="FFC0C0C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 Reduction Scenarios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Scenario!$D$89:$E$89</c:f>
              <c:strCache>
                <c:ptCount val="2"/>
                <c:pt idx="0">
                  <c:v> Base Rebound </c:v>
                </c:pt>
                <c:pt idx="1">
                  <c:v>1 </c:v>
                </c:pt>
              </c:strCache>
            </c:strRef>
          </c:tx>
          <c:spPr>
            <a:ln w="28575" cap="rnd">
              <a:solidFill>
                <a:schemeClr val="accent1"/>
              </a:solidFill>
              <a:round/>
            </a:ln>
            <a:effectLst/>
          </c:spPr>
          <c:marker>
            <c:symbol val="none"/>
          </c:marker>
          <c:cat>
            <c:numRef>
              <c:f>Scenario!$F$87:$BN$88</c:f>
              <c:numCache>
                <c:formatCode>d\-mmm\-yy</c:formatCode>
                <c:ptCount val="61"/>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numCache>
            </c:numRef>
          </c:cat>
          <c:val>
            <c:numRef>
              <c:f>Scenario!$F$89:$BN$89</c:f>
              <c:numCache>
                <c:formatCode>0.00%</c:formatCode>
                <c:ptCount val="6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0.5</c:v>
                </c:pt>
                <c:pt idx="15">
                  <c:v>0.1</c:v>
                </c:pt>
                <c:pt idx="16">
                  <c:v>0.1</c:v>
                </c:pt>
                <c:pt idx="17">
                  <c:v>0.1</c:v>
                </c:pt>
                <c:pt idx="18">
                  <c:v>0.1</c:v>
                </c:pt>
                <c:pt idx="19">
                  <c:v>0.15</c:v>
                </c:pt>
                <c:pt idx="20">
                  <c:v>0.15</c:v>
                </c:pt>
                <c:pt idx="21">
                  <c:v>0.15</c:v>
                </c:pt>
                <c:pt idx="22">
                  <c:v>0.15</c:v>
                </c:pt>
                <c:pt idx="23">
                  <c:v>0.15</c:v>
                </c:pt>
                <c:pt idx="24">
                  <c:v>0.15</c:v>
                </c:pt>
                <c:pt idx="25">
                  <c:v>0.15</c:v>
                </c:pt>
                <c:pt idx="26">
                  <c:v>0.15</c:v>
                </c:pt>
                <c:pt idx="27">
                  <c:v>0.15</c:v>
                </c:pt>
                <c:pt idx="28">
                  <c:v>0.25</c:v>
                </c:pt>
                <c:pt idx="29">
                  <c:v>0.25</c:v>
                </c:pt>
                <c:pt idx="30">
                  <c:v>0.25</c:v>
                </c:pt>
                <c:pt idx="31">
                  <c:v>0.25</c:v>
                </c:pt>
                <c:pt idx="32">
                  <c:v>0.25</c:v>
                </c:pt>
                <c:pt idx="33">
                  <c:v>0.45</c:v>
                </c:pt>
                <c:pt idx="34">
                  <c:v>0.45</c:v>
                </c:pt>
                <c:pt idx="35">
                  <c:v>0.45</c:v>
                </c:pt>
                <c:pt idx="36">
                  <c:v>0.5</c:v>
                </c:pt>
                <c:pt idx="37">
                  <c:v>0.5</c:v>
                </c:pt>
                <c:pt idx="38">
                  <c:v>0.5</c:v>
                </c:pt>
                <c:pt idx="39">
                  <c:v>0.5</c:v>
                </c:pt>
                <c:pt idx="40">
                  <c:v>0.8</c:v>
                </c:pt>
                <c:pt idx="41">
                  <c:v>0.8</c:v>
                </c:pt>
                <c:pt idx="42">
                  <c:v>0.8</c:v>
                </c:pt>
                <c:pt idx="43">
                  <c:v>0.8</c:v>
                </c:pt>
                <c:pt idx="44">
                  <c:v>0.8</c:v>
                </c:pt>
                <c:pt idx="45">
                  <c:v>0.9</c:v>
                </c:pt>
                <c:pt idx="46">
                  <c:v>0.9</c:v>
                </c:pt>
                <c:pt idx="47">
                  <c:v>0.9</c:v>
                </c:pt>
                <c:pt idx="48">
                  <c:v>0.9</c:v>
                </c:pt>
                <c:pt idx="49">
                  <c:v>0.9</c:v>
                </c:pt>
                <c:pt idx="50">
                  <c:v>0.9</c:v>
                </c:pt>
                <c:pt idx="51">
                  <c:v>0.9</c:v>
                </c:pt>
                <c:pt idx="52">
                  <c:v>1</c:v>
                </c:pt>
                <c:pt idx="53">
                  <c:v>1</c:v>
                </c:pt>
                <c:pt idx="54">
                  <c:v>1</c:v>
                </c:pt>
                <c:pt idx="55">
                  <c:v>1</c:v>
                </c:pt>
                <c:pt idx="56">
                  <c:v>1</c:v>
                </c:pt>
                <c:pt idx="57">
                  <c:v>1</c:v>
                </c:pt>
                <c:pt idx="58">
                  <c:v>1</c:v>
                </c:pt>
                <c:pt idx="59">
                  <c:v>1</c:v>
                </c:pt>
              </c:numCache>
            </c:numRef>
          </c:val>
          <c:smooth val="0"/>
          <c:extLst>
            <c:ext xmlns:c16="http://schemas.microsoft.com/office/drawing/2014/chart" uri="{C3380CC4-5D6E-409C-BE32-E72D297353CC}">
              <c16:uniqueId val="{00000000-8D41-4A2C-B58E-BCF55B868980}"/>
            </c:ext>
          </c:extLst>
        </c:ser>
        <c:ser>
          <c:idx val="1"/>
          <c:order val="1"/>
          <c:tx>
            <c:strRef>
              <c:f>Scenario!$D$90:$E$90</c:f>
              <c:strCache>
                <c:ptCount val="2"/>
                <c:pt idx="0">
                  <c:v> Longer Case </c:v>
                </c:pt>
                <c:pt idx="1">
                  <c:v>2 </c:v>
                </c:pt>
              </c:strCache>
            </c:strRef>
          </c:tx>
          <c:spPr>
            <a:ln w="28575" cap="rnd">
              <a:solidFill>
                <a:schemeClr val="accent2"/>
              </a:solidFill>
              <a:round/>
            </a:ln>
            <a:effectLst/>
          </c:spPr>
          <c:marker>
            <c:symbol val="none"/>
          </c:marker>
          <c:cat>
            <c:numRef>
              <c:f>Scenario!$F$87:$BN$88</c:f>
              <c:numCache>
                <c:formatCode>d\-mmm\-yy</c:formatCode>
                <c:ptCount val="61"/>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numCache>
            </c:numRef>
          </c:cat>
          <c:val>
            <c:numRef>
              <c:f>Scenario!$F$90:$BN$90</c:f>
              <c:numCache>
                <c:formatCode>0.00%</c:formatCode>
                <c:ptCount val="6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0.5</c:v>
                </c:pt>
                <c:pt idx="15">
                  <c:v>0.1</c:v>
                </c:pt>
                <c:pt idx="16">
                  <c:v>0.1</c:v>
                </c:pt>
                <c:pt idx="17">
                  <c:v>0.1</c:v>
                </c:pt>
                <c:pt idx="18">
                  <c:v>0.1</c:v>
                </c:pt>
                <c:pt idx="19">
                  <c:v>0.15</c:v>
                </c:pt>
                <c:pt idx="20">
                  <c:v>0.15</c:v>
                </c:pt>
                <c:pt idx="21">
                  <c:v>0.15</c:v>
                </c:pt>
                <c:pt idx="22">
                  <c:v>0.15</c:v>
                </c:pt>
                <c:pt idx="23">
                  <c:v>0.15</c:v>
                </c:pt>
                <c:pt idx="24">
                  <c:v>0.15</c:v>
                </c:pt>
                <c:pt idx="25">
                  <c:v>0.15</c:v>
                </c:pt>
                <c:pt idx="26">
                  <c:v>0.15</c:v>
                </c:pt>
                <c:pt idx="27">
                  <c:v>0.15</c:v>
                </c:pt>
                <c:pt idx="28">
                  <c:v>0.25</c:v>
                </c:pt>
                <c:pt idx="29">
                  <c:v>0.25</c:v>
                </c:pt>
                <c:pt idx="30">
                  <c:v>0.25</c:v>
                </c:pt>
                <c:pt idx="31">
                  <c:v>0.25</c:v>
                </c:pt>
                <c:pt idx="32">
                  <c:v>0.25</c:v>
                </c:pt>
                <c:pt idx="33">
                  <c:v>0.3</c:v>
                </c:pt>
                <c:pt idx="34">
                  <c:v>0.3</c:v>
                </c:pt>
                <c:pt idx="35">
                  <c:v>0.3</c:v>
                </c:pt>
                <c:pt idx="36">
                  <c:v>0.3</c:v>
                </c:pt>
                <c:pt idx="37">
                  <c:v>0.3</c:v>
                </c:pt>
                <c:pt idx="38">
                  <c:v>0.3</c:v>
                </c:pt>
                <c:pt idx="39">
                  <c:v>0.3</c:v>
                </c:pt>
                <c:pt idx="40">
                  <c:v>0.4</c:v>
                </c:pt>
                <c:pt idx="41">
                  <c:v>0.4</c:v>
                </c:pt>
                <c:pt idx="42">
                  <c:v>0.4</c:v>
                </c:pt>
                <c:pt idx="43">
                  <c:v>0.4</c:v>
                </c:pt>
                <c:pt idx="44">
                  <c:v>0.4</c:v>
                </c:pt>
                <c:pt idx="45">
                  <c:v>0.5</c:v>
                </c:pt>
                <c:pt idx="46">
                  <c:v>0.5</c:v>
                </c:pt>
                <c:pt idx="47">
                  <c:v>0.5</c:v>
                </c:pt>
                <c:pt idx="48">
                  <c:v>0.5</c:v>
                </c:pt>
                <c:pt idx="49">
                  <c:v>0.5</c:v>
                </c:pt>
                <c:pt idx="50">
                  <c:v>0.5</c:v>
                </c:pt>
                <c:pt idx="51">
                  <c:v>0.5</c:v>
                </c:pt>
                <c:pt idx="52">
                  <c:v>0.5</c:v>
                </c:pt>
                <c:pt idx="53">
                  <c:v>0.6</c:v>
                </c:pt>
                <c:pt idx="54">
                  <c:v>0.6</c:v>
                </c:pt>
                <c:pt idx="55">
                  <c:v>0.8</c:v>
                </c:pt>
                <c:pt idx="56">
                  <c:v>0.8</c:v>
                </c:pt>
                <c:pt idx="57">
                  <c:v>0.8</c:v>
                </c:pt>
                <c:pt idx="58">
                  <c:v>0.8</c:v>
                </c:pt>
                <c:pt idx="59">
                  <c:v>0.8</c:v>
                </c:pt>
              </c:numCache>
            </c:numRef>
          </c:val>
          <c:smooth val="0"/>
          <c:extLst>
            <c:ext xmlns:c16="http://schemas.microsoft.com/office/drawing/2014/chart" uri="{C3380CC4-5D6E-409C-BE32-E72D297353CC}">
              <c16:uniqueId val="{00000001-8D41-4A2C-B58E-BCF55B868980}"/>
            </c:ext>
          </c:extLst>
        </c:ser>
        <c:ser>
          <c:idx val="2"/>
          <c:order val="2"/>
          <c:tx>
            <c:strRef>
              <c:f>Scenario!$D$91:$E$91</c:f>
              <c:strCache>
                <c:ptCount val="2"/>
                <c:pt idx="0">
                  <c:v> Worst Case </c:v>
                </c:pt>
                <c:pt idx="1">
                  <c:v>3 </c:v>
                </c:pt>
              </c:strCache>
            </c:strRef>
          </c:tx>
          <c:spPr>
            <a:ln w="28575" cap="rnd">
              <a:solidFill>
                <a:schemeClr val="accent3"/>
              </a:solidFill>
              <a:round/>
            </a:ln>
            <a:effectLst/>
          </c:spPr>
          <c:marker>
            <c:symbol val="none"/>
          </c:marker>
          <c:cat>
            <c:numRef>
              <c:f>Scenario!$F$87:$BN$88</c:f>
              <c:numCache>
                <c:formatCode>d\-mmm\-yy</c:formatCode>
                <c:ptCount val="61"/>
                <c:pt idx="0">
                  <c:v>42005</c:v>
                </c:pt>
                <c:pt idx="1">
                  <c:v>42036</c:v>
                </c:pt>
                <c:pt idx="2">
                  <c:v>42064</c:v>
                </c:pt>
                <c:pt idx="3">
                  <c:v>42095</c:v>
                </c:pt>
                <c:pt idx="4">
                  <c:v>42125</c:v>
                </c:pt>
                <c:pt idx="5">
                  <c:v>42156</c:v>
                </c:pt>
                <c:pt idx="6">
                  <c:v>42186</c:v>
                </c:pt>
                <c:pt idx="7">
                  <c:v>42217</c:v>
                </c:pt>
                <c:pt idx="8">
                  <c:v>42248</c:v>
                </c:pt>
                <c:pt idx="9">
                  <c:v>42278</c:v>
                </c:pt>
                <c:pt idx="10">
                  <c:v>42309</c:v>
                </c:pt>
                <c:pt idx="11">
                  <c:v>42339</c:v>
                </c:pt>
                <c:pt idx="12">
                  <c:v>42370</c:v>
                </c:pt>
                <c:pt idx="13">
                  <c:v>42401</c:v>
                </c:pt>
                <c:pt idx="14">
                  <c:v>42430</c:v>
                </c:pt>
                <c:pt idx="15">
                  <c:v>42461</c:v>
                </c:pt>
                <c:pt idx="16">
                  <c:v>42491</c:v>
                </c:pt>
                <c:pt idx="17">
                  <c:v>42522</c:v>
                </c:pt>
                <c:pt idx="18">
                  <c:v>42552</c:v>
                </c:pt>
                <c:pt idx="19">
                  <c:v>42583</c:v>
                </c:pt>
                <c:pt idx="20">
                  <c:v>42614</c:v>
                </c:pt>
                <c:pt idx="21">
                  <c:v>42644</c:v>
                </c:pt>
                <c:pt idx="22">
                  <c:v>42675</c:v>
                </c:pt>
                <c:pt idx="23">
                  <c:v>42705</c:v>
                </c:pt>
                <c:pt idx="24">
                  <c:v>42736</c:v>
                </c:pt>
                <c:pt idx="25">
                  <c:v>42767</c:v>
                </c:pt>
                <c:pt idx="26">
                  <c:v>42795</c:v>
                </c:pt>
                <c:pt idx="27">
                  <c:v>42826</c:v>
                </c:pt>
                <c:pt idx="28">
                  <c:v>42856</c:v>
                </c:pt>
                <c:pt idx="29">
                  <c:v>42887</c:v>
                </c:pt>
                <c:pt idx="30">
                  <c:v>42917</c:v>
                </c:pt>
                <c:pt idx="31">
                  <c:v>42948</c:v>
                </c:pt>
                <c:pt idx="32">
                  <c:v>42979</c:v>
                </c:pt>
                <c:pt idx="33">
                  <c:v>43009</c:v>
                </c:pt>
                <c:pt idx="34">
                  <c:v>43040</c:v>
                </c:pt>
                <c:pt idx="35">
                  <c:v>43070</c:v>
                </c:pt>
                <c:pt idx="36">
                  <c:v>43101</c:v>
                </c:pt>
                <c:pt idx="37">
                  <c:v>43132</c:v>
                </c:pt>
                <c:pt idx="38">
                  <c:v>43160</c:v>
                </c:pt>
                <c:pt idx="39">
                  <c:v>43191</c:v>
                </c:pt>
                <c:pt idx="40">
                  <c:v>43221</c:v>
                </c:pt>
                <c:pt idx="41">
                  <c:v>43252</c:v>
                </c:pt>
                <c:pt idx="42">
                  <c:v>43282</c:v>
                </c:pt>
                <c:pt idx="43">
                  <c:v>43313</c:v>
                </c:pt>
                <c:pt idx="44">
                  <c:v>43344</c:v>
                </c:pt>
                <c:pt idx="45">
                  <c:v>43374</c:v>
                </c:pt>
                <c:pt idx="46">
                  <c:v>43405</c:v>
                </c:pt>
                <c:pt idx="47">
                  <c:v>43435</c:v>
                </c:pt>
                <c:pt idx="48">
                  <c:v>43466</c:v>
                </c:pt>
                <c:pt idx="49">
                  <c:v>43497</c:v>
                </c:pt>
                <c:pt idx="50">
                  <c:v>43525</c:v>
                </c:pt>
                <c:pt idx="51">
                  <c:v>43556</c:v>
                </c:pt>
                <c:pt idx="52">
                  <c:v>43586</c:v>
                </c:pt>
                <c:pt idx="53">
                  <c:v>43617</c:v>
                </c:pt>
                <c:pt idx="54">
                  <c:v>43647</c:v>
                </c:pt>
                <c:pt idx="55">
                  <c:v>43678</c:v>
                </c:pt>
                <c:pt idx="56">
                  <c:v>43709</c:v>
                </c:pt>
                <c:pt idx="57">
                  <c:v>43739</c:v>
                </c:pt>
                <c:pt idx="58">
                  <c:v>43770</c:v>
                </c:pt>
                <c:pt idx="59">
                  <c:v>43800</c:v>
                </c:pt>
                <c:pt idx="60">
                  <c:v>43831</c:v>
                </c:pt>
              </c:numCache>
            </c:numRef>
          </c:cat>
          <c:val>
            <c:numRef>
              <c:f>Scenario!$F$91:$BN$91</c:f>
              <c:numCache>
                <c:formatCode>0.00%</c:formatCode>
                <c:ptCount val="6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0.5</c:v>
                </c:pt>
                <c:pt idx="15">
                  <c:v>0.02</c:v>
                </c:pt>
                <c:pt idx="16">
                  <c:v>0.02</c:v>
                </c:pt>
                <c:pt idx="17">
                  <c:v>0.02</c:v>
                </c:pt>
                <c:pt idx="18">
                  <c:v>0.02</c:v>
                </c:pt>
                <c:pt idx="19">
                  <c:v>0.02</c:v>
                </c:pt>
                <c:pt idx="20">
                  <c:v>0.05</c:v>
                </c:pt>
                <c:pt idx="21">
                  <c:v>0.1</c:v>
                </c:pt>
                <c:pt idx="22">
                  <c:v>0.1</c:v>
                </c:pt>
                <c:pt idx="23">
                  <c:v>0.1</c:v>
                </c:pt>
                <c:pt idx="24">
                  <c:v>0.1</c:v>
                </c:pt>
                <c:pt idx="25">
                  <c:v>0.1</c:v>
                </c:pt>
                <c:pt idx="26">
                  <c:v>0.1</c:v>
                </c:pt>
                <c:pt idx="27">
                  <c:v>0.1</c:v>
                </c:pt>
                <c:pt idx="28">
                  <c:v>0.1</c:v>
                </c:pt>
                <c:pt idx="29">
                  <c:v>0.1</c:v>
                </c:pt>
                <c:pt idx="30">
                  <c:v>0.1</c:v>
                </c:pt>
                <c:pt idx="31">
                  <c:v>0.1</c:v>
                </c:pt>
                <c:pt idx="32">
                  <c:v>0.15</c:v>
                </c:pt>
                <c:pt idx="33">
                  <c:v>0.15</c:v>
                </c:pt>
                <c:pt idx="34">
                  <c:v>0.15</c:v>
                </c:pt>
                <c:pt idx="35">
                  <c:v>0.15</c:v>
                </c:pt>
                <c:pt idx="36">
                  <c:v>0.2</c:v>
                </c:pt>
                <c:pt idx="37">
                  <c:v>0.2</c:v>
                </c:pt>
                <c:pt idx="38">
                  <c:v>0.2</c:v>
                </c:pt>
                <c:pt idx="39">
                  <c:v>0.2</c:v>
                </c:pt>
                <c:pt idx="40">
                  <c:v>0.2</c:v>
                </c:pt>
                <c:pt idx="41">
                  <c:v>0.2</c:v>
                </c:pt>
                <c:pt idx="42">
                  <c:v>0.3</c:v>
                </c:pt>
                <c:pt idx="43">
                  <c:v>0.3</c:v>
                </c:pt>
                <c:pt idx="44">
                  <c:v>0.3</c:v>
                </c:pt>
                <c:pt idx="45">
                  <c:v>0.3</c:v>
                </c:pt>
                <c:pt idx="46">
                  <c:v>0.4</c:v>
                </c:pt>
                <c:pt idx="47">
                  <c:v>0.4</c:v>
                </c:pt>
                <c:pt idx="48">
                  <c:v>0.45</c:v>
                </c:pt>
                <c:pt idx="49">
                  <c:v>0.45</c:v>
                </c:pt>
                <c:pt idx="50">
                  <c:v>0.45</c:v>
                </c:pt>
                <c:pt idx="51">
                  <c:v>0.45</c:v>
                </c:pt>
                <c:pt idx="52">
                  <c:v>0.45</c:v>
                </c:pt>
                <c:pt idx="53">
                  <c:v>0.45</c:v>
                </c:pt>
                <c:pt idx="54">
                  <c:v>0.45</c:v>
                </c:pt>
                <c:pt idx="55">
                  <c:v>0.5</c:v>
                </c:pt>
                <c:pt idx="56">
                  <c:v>0.6</c:v>
                </c:pt>
                <c:pt idx="57">
                  <c:v>0.7</c:v>
                </c:pt>
                <c:pt idx="58">
                  <c:v>0.9</c:v>
                </c:pt>
                <c:pt idx="59">
                  <c:v>0.9</c:v>
                </c:pt>
              </c:numCache>
            </c:numRef>
          </c:val>
          <c:smooth val="0"/>
          <c:extLst>
            <c:ext xmlns:c16="http://schemas.microsoft.com/office/drawing/2014/chart" uri="{C3380CC4-5D6E-409C-BE32-E72D297353CC}">
              <c16:uniqueId val="{00000002-8D41-4A2C-B58E-BCF55B868980}"/>
            </c:ext>
          </c:extLst>
        </c:ser>
        <c:dLbls>
          <c:showLegendKey val="0"/>
          <c:showVal val="0"/>
          <c:showCatName val="0"/>
          <c:showSerName val="0"/>
          <c:showPercent val="0"/>
          <c:showBubbleSize val="0"/>
        </c:dLbls>
        <c:smooth val="0"/>
        <c:axId val="701846799"/>
        <c:axId val="791914943"/>
      </c:lineChart>
      <c:dateAx>
        <c:axId val="701846799"/>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914943"/>
        <c:crosses val="autoZero"/>
        <c:auto val="1"/>
        <c:lblOffset val="100"/>
        <c:baseTimeUnit val="months"/>
      </c:dateAx>
      <c:valAx>
        <c:axId val="79191494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8467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Capacity Factor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Assumptions!$F$175:$F$187</c:f>
              <c:strCache>
                <c:ptCount val="13"/>
                <c:pt idx="0">
                  <c:v> January </c:v>
                </c:pt>
                <c:pt idx="1">
                  <c:v> February </c:v>
                </c:pt>
                <c:pt idx="2">
                  <c:v> March </c:v>
                </c:pt>
                <c:pt idx="3">
                  <c:v> April </c:v>
                </c:pt>
                <c:pt idx="4">
                  <c:v> May </c:v>
                </c:pt>
                <c:pt idx="5">
                  <c:v> June </c:v>
                </c:pt>
                <c:pt idx="6">
                  <c:v> July </c:v>
                </c:pt>
                <c:pt idx="7">
                  <c:v> August </c:v>
                </c:pt>
                <c:pt idx="8">
                  <c:v> September </c:v>
                </c:pt>
                <c:pt idx="9">
                  <c:v> October </c:v>
                </c:pt>
                <c:pt idx="10">
                  <c:v> November </c:v>
                </c:pt>
                <c:pt idx="11">
                  <c:v> December </c:v>
                </c:pt>
                <c:pt idx="12">
                  <c:v> Total </c:v>
                </c:pt>
              </c:strCache>
            </c:strRef>
          </c:cat>
          <c:val>
            <c:numRef>
              <c:f>Assumptions!$G$175:$G$187</c:f>
              <c:numCache>
                <c:formatCode>0.00%</c:formatCode>
                <c:ptCount val="13"/>
                <c:pt idx="0">
                  <c:v>0.15966290322580642</c:v>
                </c:pt>
                <c:pt idx="1">
                  <c:v>0.20623124999999995</c:v>
                </c:pt>
                <c:pt idx="2">
                  <c:v>0.26314811827956985</c:v>
                </c:pt>
                <c:pt idx="3">
                  <c:v>0.2871961111111111</c:v>
                </c:pt>
                <c:pt idx="4">
                  <c:v>0.31341236559139779</c:v>
                </c:pt>
                <c:pt idx="5">
                  <c:v>0.33302527777777774</c:v>
                </c:pt>
                <c:pt idx="6">
                  <c:v>0.35480645161290314</c:v>
                </c:pt>
                <c:pt idx="7">
                  <c:v>0.31636908602150532</c:v>
                </c:pt>
                <c:pt idx="8">
                  <c:v>0.28872374999999995</c:v>
                </c:pt>
                <c:pt idx="9">
                  <c:v>0.21140551075268812</c:v>
                </c:pt>
                <c:pt idx="10">
                  <c:v>0.14970861111111108</c:v>
                </c:pt>
                <c:pt idx="11">
                  <c:v>0.12713897849462363</c:v>
                </c:pt>
                <c:pt idx="12">
                  <c:v>0.25111872146118719</c:v>
                </c:pt>
              </c:numCache>
            </c:numRef>
          </c:val>
          <c:extLst>
            <c:ext xmlns:c16="http://schemas.microsoft.com/office/drawing/2014/chart" uri="{C3380CC4-5D6E-409C-BE32-E72D297353CC}">
              <c16:uniqueId val="{00000000-19C0-4C3E-9E8D-DF37C1B08CE9}"/>
            </c:ext>
          </c:extLst>
        </c:ser>
        <c:dLbls>
          <c:showLegendKey val="0"/>
          <c:showVal val="0"/>
          <c:showCatName val="0"/>
          <c:showSerName val="0"/>
          <c:showPercent val="0"/>
          <c:showBubbleSize val="0"/>
        </c:dLbls>
        <c:gapWidth val="219"/>
        <c:overlap val="-27"/>
        <c:axId val="625238335"/>
        <c:axId val="791931167"/>
      </c:barChart>
      <c:catAx>
        <c:axId val="625238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931167"/>
        <c:crosses val="autoZero"/>
        <c:auto val="1"/>
        <c:lblAlgn val="ctr"/>
        <c:lblOffset val="100"/>
        <c:noMultiLvlLbl val="0"/>
      </c:catAx>
      <c:valAx>
        <c:axId val="7919311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238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strRef>
              <c:f>'Financing Model'!$E$207:$J$207</c:f>
              <c:strCache>
                <c:ptCount val="6"/>
                <c:pt idx="0">
                  <c:v> Debt Service </c:v>
                </c:pt>
              </c:strCache>
            </c:strRef>
          </c:tx>
          <c:spPr>
            <a:solidFill>
              <a:schemeClr val="accent2"/>
            </a:solidFill>
            <a:ln>
              <a:noFill/>
            </a:ln>
            <a:effectLst/>
          </c:spPr>
          <c:cat>
            <c:numRef>
              <c:f>'Financing Model'!$K$205:$DQ$205</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Model'!$K$207:$DQ$207</c:f>
              <c:numCache>
                <c:formatCode>#,##0_);\(#,##0\);"-  ";" "@" "</c:formatCode>
                <c:ptCount val="111"/>
                <c:pt idx="0">
                  <c:v>0</c:v>
                </c:pt>
                <c:pt idx="1">
                  <c:v>0</c:v>
                </c:pt>
                <c:pt idx="2">
                  <c:v>0</c:v>
                </c:pt>
                <c:pt idx="3">
                  <c:v>0</c:v>
                </c:pt>
                <c:pt idx="4">
                  <c:v>0</c:v>
                </c:pt>
                <c:pt idx="5">
                  <c:v>0</c:v>
                </c:pt>
                <c:pt idx="6">
                  <c:v>0</c:v>
                </c:pt>
                <c:pt idx="7">
                  <c:v>0</c:v>
                </c:pt>
                <c:pt idx="8">
                  <c:v>0</c:v>
                </c:pt>
                <c:pt idx="9">
                  <c:v>68603.906621483766</c:v>
                </c:pt>
                <c:pt idx="10">
                  <c:v>35849.949763023993</c:v>
                </c:pt>
                <c:pt idx="11">
                  <c:v>20945.597090631454</c:v>
                </c:pt>
                <c:pt idx="12">
                  <c:v>55552.177165889581</c:v>
                </c:pt>
                <c:pt idx="13">
                  <c:v>68051.569759523787</c:v>
                </c:pt>
                <c:pt idx="14">
                  <c:v>35460.123176854322</c:v>
                </c:pt>
                <c:pt idx="15">
                  <c:v>20629.475264819997</c:v>
                </c:pt>
                <c:pt idx="16">
                  <c:v>55063.435531966097</c:v>
                </c:pt>
                <c:pt idx="17">
                  <c:v>67500.192799396653</c:v>
                </c:pt>
                <c:pt idx="18">
                  <c:v>35070.441892767616</c:v>
                </c:pt>
                <c:pt idx="19">
                  <c:v>21767.662996169365</c:v>
                </c:pt>
                <c:pt idx="20">
                  <c:v>57199.302780962345</c:v>
                </c:pt>
                <c:pt idx="21">
                  <c:v>69996.666489874682</c:v>
                </c:pt>
                <c:pt idx="22">
                  <c:v>36628.117192741054</c:v>
                </c:pt>
                <c:pt idx="23">
                  <c:v>22447.287842394457</c:v>
                </c:pt>
                <c:pt idx="24">
                  <c:v>58508.973121108167</c:v>
                </c:pt>
                <c:pt idx="25">
                  <c:v>71533.983610985568</c:v>
                </c:pt>
                <c:pt idx="26">
                  <c:v>37572.329814692406</c:v>
                </c:pt>
                <c:pt idx="27">
                  <c:v>22310.233141236542</c:v>
                </c:pt>
                <c:pt idx="28">
                  <c:v>58346.419184386359</c:v>
                </c:pt>
                <c:pt idx="29">
                  <c:v>71361.713622986252</c:v>
                </c:pt>
                <c:pt idx="30">
                  <c:v>37423.384508372175</c:v>
                </c:pt>
                <c:pt idx="31">
                  <c:v>25246.785516101623</c:v>
                </c:pt>
                <c:pt idx="32">
                  <c:v>63729.954145779564</c:v>
                </c:pt>
                <c:pt idx="33">
                  <c:v>77630.272592721099</c:v>
                </c:pt>
                <c:pt idx="34">
                  <c:v>41390.27277028239</c:v>
                </c:pt>
                <c:pt idx="35">
                  <c:v>30603.237166617961</c:v>
                </c:pt>
                <c:pt idx="36">
                  <c:v>73479.856642705709</c:v>
                </c:pt>
                <c:pt idx="37">
                  <c:v>88968.867353851558</c:v>
                </c:pt>
                <c:pt idx="38">
                  <c:v>48596.83557371411</c:v>
                </c:pt>
                <c:pt idx="39">
                  <c:v>31930.342505988334</c:v>
                </c:pt>
                <c:pt idx="40">
                  <c:v>75961.932285379837</c:v>
                </c:pt>
                <c:pt idx="41">
                  <c:v>91868.419238258124</c:v>
                </c:pt>
                <c:pt idx="42">
                  <c:v>50409.635307632467</c:v>
                </c:pt>
                <c:pt idx="43">
                  <c:v>31828.767123942671</c:v>
                </c:pt>
                <c:pt idx="44">
                  <c:v>75867.795460478403</c:v>
                </c:pt>
                <c:pt idx="45">
                  <c:v>91776.744809670199</c:v>
                </c:pt>
                <c:pt idx="46">
                  <c:v>50310.27494305023</c:v>
                </c:pt>
                <c:pt idx="47">
                  <c:v>33934.265114798342</c:v>
                </c:pt>
                <c:pt idx="48">
                  <c:v>79756.359636972207</c:v>
                </c:pt>
                <c:pt idx="49">
                  <c:v>96309.821378657216</c:v>
                </c:pt>
                <c:pt idx="50">
                  <c:v>53165.953057792314</c:v>
                </c:pt>
                <c:pt idx="51">
                  <c:v>36517.927607569974</c:v>
                </c:pt>
                <c:pt idx="52">
                  <c:v>84508.780380293581</c:v>
                </c:pt>
                <c:pt idx="53">
                  <c:v>101846.46174269188</c:v>
                </c:pt>
                <c:pt idx="54">
                  <c:v>56662.501400473833</c:v>
                </c:pt>
                <c:pt idx="55">
                  <c:v>40036.188836890644</c:v>
                </c:pt>
                <c:pt idx="56">
                  <c:v>90948.301793868144</c:v>
                </c:pt>
                <c:pt idx="57">
                  <c:v>109342.23408801883</c:v>
                </c:pt>
                <c:pt idx="58">
                  <c:v>61410.560149098172</c:v>
                </c:pt>
                <c:pt idx="59">
                  <c:v>43293.921887067881</c:v>
                </c:pt>
                <c:pt idx="60">
                  <c:v>96919.022151187382</c:v>
                </c:pt>
                <c:pt idx="61">
                  <c:v>116293.87906800144</c:v>
                </c:pt>
                <c:pt idx="62">
                  <c:v>65810.329693377571</c:v>
                </c:pt>
                <c:pt idx="63">
                  <c:v>40293.082829464081</c:v>
                </c:pt>
                <c:pt idx="64">
                  <c:v>70464.669098521699</c:v>
                </c:pt>
                <c:pt idx="65">
                  <c:v>84463.674566812217</c:v>
                </c:pt>
                <c:pt idx="66">
                  <c:v>47989.000894905796</c:v>
                </c:pt>
                <c:pt idx="67">
                  <c:v>32328.851579413742</c:v>
                </c:pt>
                <c:pt idx="68">
                  <c:v>71631.495152902833</c:v>
                </c:pt>
                <c:pt idx="69">
                  <c:v>85831.730885796118</c:v>
                </c:pt>
                <c:pt idx="70">
                  <c:v>48832.422767337273</c:v>
                </c:pt>
                <c:pt idx="71">
                  <c:v>34710.245946633346</c:v>
                </c:pt>
                <c:pt idx="72">
                  <c:v>75995.877876577448</c:v>
                </c:pt>
                <c:pt idx="73">
                  <c:v>90913.262682325221</c:v>
                </c:pt>
                <c:pt idx="74">
                  <c:v>52048.727303275096</c:v>
                </c:pt>
                <c:pt idx="75">
                  <c:v>36115.443245824063</c:v>
                </c:pt>
                <c:pt idx="76">
                  <c:v>78599.949821021291</c:v>
                </c:pt>
                <c:pt idx="77">
                  <c:v>93950.735246845332</c:v>
                </c:pt>
                <c:pt idx="78">
                  <c:v>53958.302509383888</c:v>
                </c:pt>
                <c:pt idx="79">
                  <c:v>39607.12616353402</c:v>
                </c:pt>
                <c:pt idx="80">
                  <c:v>84968.935162166264</c:v>
                </c:pt>
                <c:pt idx="81">
                  <c:v>101360.13057890594</c:v>
                </c:pt>
                <c:pt idx="82">
                  <c:v>58661.491453362672</c:v>
                </c:pt>
                <c:pt idx="83">
                  <c:v>42421.497792475784</c:v>
                </c:pt>
                <c:pt idx="84">
                  <c:v>90116.959161053746</c:v>
                </c:pt>
                <c:pt idx="85">
                  <c:v>107351.94819956498</c:v>
                </c:pt>
                <c:pt idx="86">
                  <c:v>62458.313541235824</c:v>
                </c:pt>
                <c:pt idx="87">
                  <c:v>45541.183340083313</c:v>
                </c:pt>
                <c:pt idx="88">
                  <c:v>93586.58301335822</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extLst>
            <c:ext xmlns:c16="http://schemas.microsoft.com/office/drawing/2014/chart" uri="{C3380CC4-5D6E-409C-BE32-E72D297353CC}">
              <c16:uniqueId val="{00000000-CCE5-4ED4-9083-74C7EE32A2B4}"/>
            </c:ext>
          </c:extLst>
        </c:ser>
        <c:ser>
          <c:idx val="2"/>
          <c:order val="2"/>
          <c:tx>
            <c:strRef>
              <c:f>'Financing Model'!$E$208:$J$208</c:f>
              <c:strCache>
                <c:ptCount val="6"/>
                <c:pt idx="0">
                  <c:v> Default Interest </c:v>
                </c:pt>
              </c:strCache>
            </c:strRef>
          </c:tx>
          <c:spPr>
            <a:solidFill>
              <a:schemeClr val="accent3"/>
            </a:solidFill>
            <a:ln>
              <a:noFill/>
            </a:ln>
            <a:effectLst/>
          </c:spPr>
          <c:cat>
            <c:numRef>
              <c:f>'Financing Model'!$K$205:$DQ$205</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Model'!$K$208:$DQ$208</c:f>
              <c:numCache>
                <c:formatCode>#,##0_);\(#,##0\);"-  ";" "@" "</c:formatCode>
                <c:ptCount val="1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extLst>
            <c:ext xmlns:c16="http://schemas.microsoft.com/office/drawing/2014/chart" uri="{C3380CC4-5D6E-409C-BE32-E72D297353CC}">
              <c16:uniqueId val="{00000001-CCE5-4ED4-9083-74C7EE32A2B4}"/>
            </c:ext>
          </c:extLst>
        </c:ser>
        <c:ser>
          <c:idx val="3"/>
          <c:order val="3"/>
          <c:tx>
            <c:strRef>
              <c:f>'Financing Model'!$E$209:$J$209</c:f>
              <c:strCache>
                <c:ptCount val="6"/>
                <c:pt idx="0">
                  <c:v> Default Repayment </c:v>
                </c:pt>
              </c:strCache>
            </c:strRef>
          </c:tx>
          <c:spPr>
            <a:solidFill>
              <a:schemeClr val="accent4"/>
            </a:solidFill>
            <a:ln>
              <a:noFill/>
            </a:ln>
            <a:effectLst/>
          </c:spPr>
          <c:cat>
            <c:numRef>
              <c:f>'Financing Model'!$K$205:$DQ$205</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Model'!$K$209:$DQ$209</c:f>
              <c:numCache>
                <c:formatCode>#,##0_);\(#,##0\);"-  ";" "@" "</c:formatCode>
                <c:ptCount val="1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extLst>
            <c:ext xmlns:c16="http://schemas.microsoft.com/office/drawing/2014/chart" uri="{C3380CC4-5D6E-409C-BE32-E72D297353CC}">
              <c16:uniqueId val="{00000002-CCE5-4ED4-9083-74C7EE32A2B4}"/>
            </c:ext>
          </c:extLst>
        </c:ser>
        <c:ser>
          <c:idx val="4"/>
          <c:order val="4"/>
          <c:tx>
            <c:strRef>
              <c:f>'Financing Model'!$E$210:$J$210</c:f>
              <c:strCache>
                <c:ptCount val="6"/>
                <c:pt idx="0">
                  <c:v> Cash Sweep </c:v>
                </c:pt>
              </c:strCache>
            </c:strRef>
          </c:tx>
          <c:spPr>
            <a:solidFill>
              <a:schemeClr val="accent5"/>
            </a:solidFill>
            <a:ln>
              <a:noFill/>
            </a:ln>
            <a:effectLst/>
          </c:spPr>
          <c:cat>
            <c:numRef>
              <c:f>'Financing Model'!$K$205:$DQ$205</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Model'!$K$210:$DQ$210</c:f>
              <c:numCache>
                <c:formatCode>#,##0_);\(#,##0\);"-  ";" "@" "</c:formatCode>
                <c:ptCount val="1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extLst>
            <c:ext xmlns:c16="http://schemas.microsoft.com/office/drawing/2014/chart" uri="{C3380CC4-5D6E-409C-BE32-E72D297353CC}">
              <c16:uniqueId val="{00000003-CCE5-4ED4-9083-74C7EE32A2B4}"/>
            </c:ext>
          </c:extLst>
        </c:ser>
        <c:dLbls>
          <c:showLegendKey val="0"/>
          <c:showVal val="0"/>
          <c:showCatName val="0"/>
          <c:showSerName val="0"/>
          <c:showPercent val="0"/>
          <c:showBubbleSize val="0"/>
        </c:dLbls>
        <c:axId val="1213343999"/>
        <c:axId val="1243613583"/>
      </c:areaChart>
      <c:lineChart>
        <c:grouping val="standard"/>
        <c:varyColors val="0"/>
        <c:ser>
          <c:idx val="0"/>
          <c:order val="0"/>
          <c:tx>
            <c:strRef>
              <c:f>'Financing Model'!$E$206:$J$206</c:f>
              <c:strCache>
                <c:ptCount val="6"/>
                <c:pt idx="0">
                  <c:v> CFADS </c:v>
                </c:pt>
              </c:strCache>
            </c:strRef>
          </c:tx>
          <c:spPr>
            <a:ln w="28575" cap="rnd">
              <a:solidFill>
                <a:schemeClr val="accent1"/>
              </a:solidFill>
              <a:round/>
            </a:ln>
            <a:effectLst/>
          </c:spPr>
          <c:marker>
            <c:symbol val="none"/>
          </c:marker>
          <c:cat>
            <c:numRef>
              <c:f>'Financing Model'!$K$205:$DQ$205</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Model'!$K$206:$DQ$206</c:f>
              <c:numCache>
                <c:formatCode>#,##0_);\(#,##0\);"-  ";" "@" "</c:formatCode>
                <c:ptCount val="111"/>
                <c:pt idx="0">
                  <c:v>0</c:v>
                </c:pt>
                <c:pt idx="1">
                  <c:v>0</c:v>
                </c:pt>
                <c:pt idx="2">
                  <c:v>0</c:v>
                </c:pt>
                <c:pt idx="3">
                  <c:v>0</c:v>
                </c:pt>
                <c:pt idx="4">
                  <c:v>0</c:v>
                </c:pt>
                <c:pt idx="5">
                  <c:v>0</c:v>
                </c:pt>
                <c:pt idx="6">
                  <c:v>0</c:v>
                </c:pt>
                <c:pt idx="7">
                  <c:v>0</c:v>
                </c:pt>
                <c:pt idx="8">
                  <c:v>0</c:v>
                </c:pt>
                <c:pt idx="9">
                  <c:v>99503.150667626498</c:v>
                </c:pt>
                <c:pt idx="10">
                  <c:v>52009.913222859825</c:v>
                </c:pt>
                <c:pt idx="11">
                  <c:v>30398.601847890644</c:v>
                </c:pt>
                <c:pt idx="12">
                  <c:v>80578.142957014934</c:v>
                </c:pt>
                <c:pt idx="13">
                  <c:v>98702.262217784533</c:v>
                </c:pt>
                <c:pt idx="14">
                  <c:v>51444.664672913801</c:v>
                </c:pt>
                <c:pt idx="15">
                  <c:v>29940.225200464032</c:v>
                </c:pt>
                <c:pt idx="16">
                  <c:v>79869.467587825871</c:v>
                </c:pt>
                <c:pt idx="17">
                  <c:v>97902.765625600179</c:v>
                </c:pt>
                <c:pt idx="18">
                  <c:v>50879.626810988084</c:v>
                </c:pt>
                <c:pt idx="19">
                  <c:v>31590.597410920618</c:v>
                </c:pt>
                <c:pt idx="20">
                  <c:v>82966.475098870433</c:v>
                </c:pt>
                <c:pt idx="21">
                  <c:v>101522.65247679333</c:v>
                </c:pt>
                <c:pt idx="22">
                  <c:v>53138.25599594957</c:v>
                </c:pt>
                <c:pt idx="23">
                  <c:v>32576.053437946994</c:v>
                </c:pt>
                <c:pt idx="24">
                  <c:v>84865.497092081874</c:v>
                </c:pt>
                <c:pt idx="25">
                  <c:v>103751.76230240409</c:v>
                </c:pt>
                <c:pt idx="26">
                  <c:v>54507.36429777903</c:v>
                </c:pt>
                <c:pt idx="27">
                  <c:v>32377.324121268019</c:v>
                </c:pt>
                <c:pt idx="28">
                  <c:v>84629.793883835257</c:v>
                </c:pt>
                <c:pt idx="29">
                  <c:v>103502.37502666502</c:v>
                </c:pt>
                <c:pt idx="30">
                  <c:v>54291.797810474614</c:v>
                </c:pt>
                <c:pt idx="31">
                  <c:v>36635.729271682314</c:v>
                </c:pt>
                <c:pt idx="32">
                  <c:v>92436.323784715321</c:v>
                </c:pt>
                <c:pt idx="33">
                  <c:v>112591.78553278054</c:v>
                </c:pt>
                <c:pt idx="34">
                  <c:v>60043.785790244423</c:v>
                </c:pt>
                <c:pt idx="35">
                  <c:v>44402.584164931002</c:v>
                </c:pt>
                <c:pt idx="36">
                  <c:v>106573.68240525824</c:v>
                </c:pt>
                <c:pt idx="37">
                  <c:v>129032.74793641971</c:v>
                </c:pt>
                <c:pt idx="38">
                  <c:v>70493.301855220416</c:v>
                </c:pt>
                <c:pt idx="39">
                  <c:v>46326.886907018044</c:v>
                </c:pt>
                <c:pt idx="40">
                  <c:v>110172.69208713573</c:v>
                </c:pt>
                <c:pt idx="41">
                  <c:v>133237.09816880926</c:v>
                </c:pt>
                <c:pt idx="42">
                  <c:v>73121.861469402036</c:v>
                </c:pt>
                <c:pt idx="43">
                  <c:v>46179.602603051833</c:v>
                </c:pt>
                <c:pt idx="44">
                  <c:v>110036.19369102863</c:v>
                </c:pt>
                <c:pt idx="45">
                  <c:v>133104.17024735676</c:v>
                </c:pt>
                <c:pt idx="46">
                  <c:v>72977.78894075779</c:v>
                </c:pt>
                <c:pt idx="47">
                  <c:v>49232.574689792556</c:v>
                </c:pt>
                <c:pt idx="48">
                  <c:v>115674.61174694466</c:v>
                </c:pt>
                <c:pt idx="49">
                  <c:v>139677.29295513188</c:v>
                </c:pt>
                <c:pt idx="50">
                  <c:v>77118.683889877779</c:v>
                </c:pt>
                <c:pt idx="51">
                  <c:v>52979.046987055401</c:v>
                </c:pt>
                <c:pt idx="52">
                  <c:v>122565.7835075046</c:v>
                </c:pt>
                <c:pt idx="53">
                  <c:v>147705.42148298217</c:v>
                </c:pt>
                <c:pt idx="54">
                  <c:v>82188.678986765997</c:v>
                </c:pt>
                <c:pt idx="55">
                  <c:v>58080.525769570362</c:v>
                </c:pt>
                <c:pt idx="56">
                  <c:v>131903.08955718775</c:v>
                </c:pt>
                <c:pt idx="57">
                  <c:v>158574.29138370621</c:v>
                </c:pt>
                <c:pt idx="58">
                  <c:v>89073.364172271278</c:v>
                </c:pt>
                <c:pt idx="59">
                  <c:v>62804.238692327359</c:v>
                </c:pt>
                <c:pt idx="60">
                  <c:v>140560.63407530065</c:v>
                </c:pt>
                <c:pt idx="61">
                  <c:v>168654.17660468101</c:v>
                </c:pt>
                <c:pt idx="62">
                  <c:v>95453.030011476396</c:v>
                </c:pt>
                <c:pt idx="63">
                  <c:v>58453.022058801842</c:v>
                </c:pt>
                <c:pt idx="64">
                  <c:v>102201.82214893539</c:v>
                </c:pt>
                <c:pt idx="65">
                  <c:v>122500.38007795662</c:v>
                </c:pt>
                <c:pt idx="66">
                  <c:v>69612.10325369233</c:v>
                </c:pt>
                <c:pt idx="67">
                  <c:v>46904.886746228854</c:v>
                </c:pt>
                <c:pt idx="68">
                  <c:v>103893.71992778804</c:v>
                </c:pt>
                <c:pt idx="69">
                  <c:v>124484.30426459927</c:v>
                </c:pt>
                <c:pt idx="70">
                  <c:v>70835.307492833934</c:v>
                </c:pt>
                <c:pt idx="71">
                  <c:v>50358.151102813237</c:v>
                </c:pt>
                <c:pt idx="72">
                  <c:v>110222.3174012322</c:v>
                </c:pt>
                <c:pt idx="73">
                  <c:v>131852.52536956646</c:v>
                </c:pt>
                <c:pt idx="74">
                  <c:v>75498.949069943774</c:v>
                </c:pt>
                <c:pt idx="75">
                  <c:v>52395.687186639771</c:v>
                </c:pt>
                <c:pt idx="76">
                  <c:v>113998.22172067576</c:v>
                </c:pt>
                <c:pt idx="77">
                  <c:v>136256.86058812062</c:v>
                </c:pt>
                <c:pt idx="78">
                  <c:v>78267.833118801515</c:v>
                </c:pt>
                <c:pt idx="79">
                  <c:v>57458.627417319207</c:v>
                </c:pt>
                <c:pt idx="80">
                  <c:v>123233.25046533596</c:v>
                </c:pt>
                <c:pt idx="81">
                  <c:v>147000.48381960849</c:v>
                </c:pt>
                <c:pt idx="82">
                  <c:v>85087.457087570772</c:v>
                </c:pt>
                <c:pt idx="83">
                  <c:v>61539.466279284767</c:v>
                </c:pt>
                <c:pt idx="84">
                  <c:v>130697.88526372283</c:v>
                </c:pt>
                <c:pt idx="85">
                  <c:v>155688.61936956411</c:v>
                </c:pt>
                <c:pt idx="86">
                  <c:v>90592.849114986835</c:v>
                </c:pt>
                <c:pt idx="87">
                  <c:v>66063.010323315699</c:v>
                </c:pt>
                <c:pt idx="88">
                  <c:v>138962.49472898542</c:v>
                </c:pt>
                <c:pt idx="89">
                  <c:v>165305.9341183074</c:v>
                </c:pt>
                <c:pt idx="90">
                  <c:v>96691.452243893335</c:v>
                </c:pt>
                <c:pt idx="91">
                  <c:v>70284.505113377527</c:v>
                </c:pt>
                <c:pt idx="92">
                  <c:v>146683.56142875156</c:v>
                </c:pt>
                <c:pt idx="93">
                  <c:v>174292.36490733508</c:v>
                </c:pt>
                <c:pt idx="94">
                  <c:v>102386.24699556347</c:v>
                </c:pt>
                <c:pt idx="95">
                  <c:v>71074.677867268547</c:v>
                </c:pt>
                <c:pt idx="96">
                  <c:v>148215.89898131281</c:v>
                </c:pt>
                <c:pt idx="97">
                  <c:v>176092.83240197867</c:v>
                </c:pt>
                <c:pt idx="98">
                  <c:v>103487.98088600898</c:v>
                </c:pt>
                <c:pt idx="99">
                  <c:v>71228.010081119864</c:v>
                </c:pt>
                <c:pt idx="100">
                  <c:v>148600.76936745434</c:v>
                </c:pt>
                <c:pt idx="101">
                  <c:v>176561.1580677866</c:v>
                </c:pt>
                <c:pt idx="102">
                  <c:v>103737.72618958834</c:v>
                </c:pt>
                <c:pt idx="103">
                  <c:v>71462.967265490675</c:v>
                </c:pt>
                <c:pt idx="104">
                  <c:v>149134.30364392351</c:v>
                </c:pt>
                <c:pt idx="105">
                  <c:v>177202.38857385458</c:v>
                </c:pt>
                <c:pt idx="106">
                  <c:v>104097.32443339465</c:v>
                </c:pt>
                <c:pt idx="107">
                  <c:v>72360.33641778765</c:v>
                </c:pt>
                <c:pt idx="108">
                  <c:v>150864.26122988597</c:v>
                </c:pt>
                <c:pt idx="109">
                  <c:v>0</c:v>
                </c:pt>
                <c:pt idx="110">
                  <c:v>0</c:v>
                </c:pt>
              </c:numCache>
            </c:numRef>
          </c:val>
          <c:smooth val="0"/>
          <c:extLst>
            <c:ext xmlns:c16="http://schemas.microsoft.com/office/drawing/2014/chart" uri="{C3380CC4-5D6E-409C-BE32-E72D297353CC}">
              <c16:uniqueId val="{00000004-CCE5-4ED4-9083-74C7EE32A2B4}"/>
            </c:ext>
          </c:extLst>
        </c:ser>
        <c:dLbls>
          <c:showLegendKey val="0"/>
          <c:showVal val="0"/>
          <c:showCatName val="0"/>
          <c:showSerName val="0"/>
          <c:showPercent val="0"/>
          <c:showBubbleSize val="0"/>
        </c:dLbls>
        <c:marker val="1"/>
        <c:smooth val="0"/>
        <c:axId val="1213343999"/>
        <c:axId val="1243613583"/>
      </c:lineChart>
      <c:dateAx>
        <c:axId val="1213343999"/>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3613583"/>
        <c:crosses val="autoZero"/>
        <c:auto val="1"/>
        <c:lblOffset val="100"/>
        <c:baseTimeUnit val="months"/>
      </c:dateAx>
      <c:valAx>
        <c:axId val="1243613583"/>
        <c:scaling>
          <c:orientation val="minMax"/>
        </c:scaling>
        <c:delete val="0"/>
        <c:axPos val="l"/>
        <c:majorGridlines>
          <c:spPr>
            <a:ln w="9525" cap="flat" cmpd="sng" algn="ctr">
              <a:solidFill>
                <a:schemeClr val="tx1">
                  <a:lumMod val="15000"/>
                  <a:lumOff val="85000"/>
                </a:schemeClr>
              </a:solidFill>
              <a:round/>
            </a:ln>
            <a:effectLst/>
          </c:spPr>
        </c:majorGridlines>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343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'Financing Model'!$D$213:$J$213</c:f>
              <c:strCache>
                <c:ptCount val="7"/>
                <c:pt idx="0">
                  <c:v> PLCR </c:v>
                </c:pt>
              </c:strCache>
            </c:strRef>
          </c:tx>
          <c:spPr>
            <a:solidFill>
              <a:schemeClr val="accent1"/>
            </a:solidFill>
            <a:ln>
              <a:noFill/>
            </a:ln>
            <a:effectLst/>
          </c:spPr>
          <c:cat>
            <c:numRef>
              <c:f>'Financing Model'!$K$212:$DQ$212</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Model'!$K$213:$DQ$213</c:f>
              <c:numCache>
                <c:formatCode>#,##0_);\(#,##0\);"-  ";" "@" "</c:formatCode>
                <c:ptCount val="111"/>
                <c:pt idx="0">
                  <c:v>0</c:v>
                </c:pt>
                <c:pt idx="1">
                  <c:v>0</c:v>
                </c:pt>
                <c:pt idx="2">
                  <c:v>0</c:v>
                </c:pt>
                <c:pt idx="3">
                  <c:v>0</c:v>
                </c:pt>
                <c:pt idx="4">
                  <c:v>0</c:v>
                </c:pt>
                <c:pt idx="5">
                  <c:v>0</c:v>
                </c:pt>
                <c:pt idx="6">
                  <c:v>0</c:v>
                </c:pt>
                <c:pt idx="7">
                  <c:v>0</c:v>
                </c:pt>
                <c:pt idx="8">
                  <c:v>0</c:v>
                </c:pt>
                <c:pt idx="9">
                  <c:v>1.7851882307026994</c:v>
                </c:pt>
                <c:pt idx="10">
                  <c:v>1.7769043365993873</c:v>
                </c:pt>
                <c:pt idx="11">
                  <c:v>1.7655071317928344</c:v>
                </c:pt>
                <c:pt idx="12">
                  <c:v>1.7527144145486693</c:v>
                </c:pt>
                <c:pt idx="13">
                  <c:v>1.7435238214267155</c:v>
                </c:pt>
                <c:pt idx="14">
                  <c:v>1.7358063080430663</c:v>
                </c:pt>
                <c:pt idx="15">
                  <c:v>1.7248602695019939</c:v>
                </c:pt>
                <c:pt idx="16">
                  <c:v>1.7124624633524574</c:v>
                </c:pt>
                <c:pt idx="17">
                  <c:v>1.8231519778286798</c:v>
                </c:pt>
                <c:pt idx="18">
                  <c:v>1.8309296688830594</c:v>
                </c:pt>
                <c:pt idx="19">
                  <c:v>1.8350605588850661</c:v>
                </c:pt>
                <c:pt idx="20">
                  <c:v>1.8376446317610051</c:v>
                </c:pt>
                <c:pt idx="21">
                  <c:v>1.8445579538840151</c:v>
                </c:pt>
                <c:pt idx="22">
                  <c:v>1.8532875504641888</c:v>
                </c:pt>
                <c:pt idx="23">
                  <c:v>1.8579670854700692</c:v>
                </c:pt>
                <c:pt idx="24">
                  <c:v>1.8608608865658345</c:v>
                </c:pt>
                <c:pt idx="25">
                  <c:v>1.868548468082055</c:v>
                </c:pt>
                <c:pt idx="26">
                  <c:v>1.8782653960455942</c:v>
                </c:pt>
                <c:pt idx="27">
                  <c:v>1.883502851813984</c:v>
                </c:pt>
                <c:pt idx="28">
                  <c:v>1.886643431234736</c:v>
                </c:pt>
                <c:pt idx="29">
                  <c:v>1.8950188484345827</c:v>
                </c:pt>
                <c:pt idx="30">
                  <c:v>1.9056186678741074</c:v>
                </c:pt>
                <c:pt idx="31">
                  <c:v>1.9113276279889129</c:v>
                </c:pt>
                <c:pt idx="32">
                  <c:v>1.9152237192759611</c:v>
                </c:pt>
                <c:pt idx="33">
                  <c:v>1.9252842765750833</c:v>
                </c:pt>
                <c:pt idx="34">
                  <c:v>1.9380326792139599</c:v>
                </c:pt>
                <c:pt idx="35">
                  <c:v>1.9450476135498445</c:v>
                </c:pt>
                <c:pt idx="36">
                  <c:v>1.9503170921094237</c:v>
                </c:pt>
                <c:pt idx="37">
                  <c:v>1.9633390161091111</c:v>
                </c:pt>
                <c:pt idx="38">
                  <c:v>1.9798980411575573</c:v>
                </c:pt>
                <c:pt idx="39">
                  <c:v>1.9893151194169199</c:v>
                </c:pt>
                <c:pt idx="40">
                  <c:v>1.9956284944414047</c:v>
                </c:pt>
                <c:pt idx="41">
                  <c:v>2.0111370124408698</c:v>
                </c:pt>
                <c:pt idx="42">
                  <c:v>2.0309390398280298</c:v>
                </c:pt>
                <c:pt idx="43">
                  <c:v>2.0423057139961531</c:v>
                </c:pt>
                <c:pt idx="44">
                  <c:v>2.0496466853846562</c:v>
                </c:pt>
                <c:pt idx="45">
                  <c:v>2.067756641867402</c:v>
                </c:pt>
                <c:pt idx="46">
                  <c:v>2.0909770740775282</c:v>
                </c:pt>
                <c:pt idx="47">
                  <c:v>2.1043398333879941</c:v>
                </c:pt>
                <c:pt idx="48">
                  <c:v>2.1135876998006546</c:v>
                </c:pt>
                <c:pt idx="49">
                  <c:v>2.1362035416176113</c:v>
                </c:pt>
                <c:pt idx="50">
                  <c:v>2.1653957429729456</c:v>
                </c:pt>
                <c:pt idx="51">
                  <c:v>2.1824436590651577</c:v>
                </c:pt>
                <c:pt idx="52">
                  <c:v>2.1945216768086735</c:v>
                </c:pt>
                <c:pt idx="53">
                  <c:v>2.2238152645051867</c:v>
                </c:pt>
                <c:pt idx="54">
                  <c:v>2.2619908344553736</c:v>
                </c:pt>
                <c:pt idx="55">
                  <c:v>2.2846985467844485</c:v>
                </c:pt>
                <c:pt idx="56">
                  <c:v>2.3013731395630992</c:v>
                </c:pt>
                <c:pt idx="57">
                  <c:v>2.3415016236600374</c:v>
                </c:pt>
                <c:pt idx="58">
                  <c:v>2.3945716368245664</c:v>
                </c:pt>
                <c:pt idx="59">
                  <c:v>2.426947705935151</c:v>
                </c:pt>
                <c:pt idx="60">
                  <c:v>2.4509222875377987</c:v>
                </c:pt>
                <c:pt idx="61">
                  <c:v>2.5086005328076668</c:v>
                </c:pt>
                <c:pt idx="62">
                  <c:v>2.5865147574630636</c:v>
                </c:pt>
                <c:pt idx="63">
                  <c:v>2.6354588010980864</c:v>
                </c:pt>
                <c:pt idx="64">
                  <c:v>2.6672723526600048</c:v>
                </c:pt>
                <c:pt idx="65">
                  <c:v>2.7266907235480535</c:v>
                </c:pt>
                <c:pt idx="66">
                  <c:v>2.805314900479579</c:v>
                </c:pt>
                <c:pt idx="67">
                  <c:v>2.8540109259453299</c:v>
                </c:pt>
                <c:pt idx="68">
                  <c:v>2.888524764899012</c:v>
                </c:pt>
                <c:pt idx="69">
                  <c:v>2.9706688987208816</c:v>
                </c:pt>
                <c:pt idx="70">
                  <c:v>3.0813291335064332</c:v>
                </c:pt>
                <c:pt idx="71">
                  <c:v>3.1511394992782424</c:v>
                </c:pt>
                <c:pt idx="72">
                  <c:v>3.2040244666563327</c:v>
                </c:pt>
                <c:pt idx="73">
                  <c:v>3.3309786956536227</c:v>
                </c:pt>
                <c:pt idx="74">
                  <c:v>3.5076042481894296</c:v>
                </c:pt>
                <c:pt idx="75">
                  <c:v>3.6234223191378883</c:v>
                </c:pt>
                <c:pt idx="76">
                  <c:v>3.7109549362925498</c:v>
                </c:pt>
                <c:pt idx="77">
                  <c:v>3.9261552327648341</c:v>
                </c:pt>
                <c:pt idx="78">
                  <c:v>4.2409435976449288</c:v>
                </c:pt>
                <c:pt idx="79">
                  <c:v>4.4587002330135288</c:v>
                </c:pt>
                <c:pt idx="80">
                  <c:v>4.6397919256456497</c:v>
                </c:pt>
                <c:pt idx="81">
                  <c:v>5.1081128941690999</c:v>
                </c:pt>
                <c:pt idx="82">
                  <c:v>5.8767206370278995</c:v>
                </c:pt>
                <c:pt idx="83">
                  <c:v>6.4834695574409329</c:v>
                </c:pt>
                <c:pt idx="84">
                  <c:v>7.0319450548172266</c:v>
                </c:pt>
                <c:pt idx="85">
                  <c:v>8.6944895976851289</c:v>
                </c:pt>
                <c:pt idx="86">
                  <c:v>12.625284171391552</c:v>
                </c:pt>
                <c:pt idx="87">
                  <c:v>17.715572604983613</c:v>
                </c:pt>
                <c:pt idx="88">
                  <c:v>25.699692234959052</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extLst>
            <c:ext xmlns:c16="http://schemas.microsoft.com/office/drawing/2014/chart" uri="{C3380CC4-5D6E-409C-BE32-E72D297353CC}">
              <c16:uniqueId val="{00000000-44FE-4A00-B5DB-E85828733E68}"/>
            </c:ext>
          </c:extLst>
        </c:ser>
        <c:dLbls>
          <c:showLegendKey val="0"/>
          <c:showVal val="0"/>
          <c:showCatName val="0"/>
          <c:showSerName val="0"/>
          <c:showPercent val="0"/>
          <c:showBubbleSize val="0"/>
        </c:dLbls>
        <c:axId val="995725759"/>
        <c:axId val="1256026431"/>
      </c:areaChart>
      <c:dateAx>
        <c:axId val="995725759"/>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026431"/>
        <c:crosses val="autoZero"/>
        <c:auto val="1"/>
        <c:lblOffset val="100"/>
        <c:baseTimeUnit val="months"/>
      </c:dateAx>
      <c:valAx>
        <c:axId val="1256026431"/>
        <c:scaling>
          <c:orientation val="minMax"/>
          <c:max val="10"/>
        </c:scaling>
        <c:delete val="0"/>
        <c:axPos val="l"/>
        <c:majorGridlines>
          <c:spPr>
            <a:ln w="9525" cap="flat" cmpd="sng" algn="ctr">
              <a:solidFill>
                <a:schemeClr val="tx1">
                  <a:lumMod val="15000"/>
                  <a:lumOff val="85000"/>
                </a:schemeClr>
              </a:solidFill>
              <a:round/>
            </a:ln>
            <a:effectLst/>
          </c:spPr>
        </c:majorGridlines>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72575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91447944007"/>
          <c:y val="5.0925925925925923E-2"/>
          <c:w val="0.86252996500437451"/>
          <c:h val="0.79463655584718573"/>
        </c:manualLayout>
      </c:layout>
      <c:areaChart>
        <c:grouping val="standard"/>
        <c:varyColors val="0"/>
        <c:ser>
          <c:idx val="1"/>
          <c:order val="1"/>
          <c:tx>
            <c:strRef>
              <c:f>'Financing Model'!$E$207:$J$207</c:f>
              <c:strCache>
                <c:ptCount val="6"/>
                <c:pt idx="0">
                  <c:v> Debt Service </c:v>
                </c:pt>
              </c:strCache>
            </c:strRef>
          </c:tx>
          <c:spPr>
            <a:solidFill>
              <a:schemeClr val="accent2"/>
            </a:solidFill>
            <a:ln>
              <a:noFill/>
            </a:ln>
            <a:effectLst/>
          </c:spPr>
          <c:cat>
            <c:numRef>
              <c:f>'Financing Model'!$K$205:$DQ$205</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Model'!$K$207:$DQ$207</c:f>
              <c:numCache>
                <c:formatCode>#,##0_);\(#,##0\);"-  ";" "@" "</c:formatCode>
                <c:ptCount val="111"/>
                <c:pt idx="0">
                  <c:v>0</c:v>
                </c:pt>
                <c:pt idx="1">
                  <c:v>0</c:v>
                </c:pt>
                <c:pt idx="2">
                  <c:v>0</c:v>
                </c:pt>
                <c:pt idx="3">
                  <c:v>0</c:v>
                </c:pt>
                <c:pt idx="4">
                  <c:v>0</c:v>
                </c:pt>
                <c:pt idx="5">
                  <c:v>0</c:v>
                </c:pt>
                <c:pt idx="6">
                  <c:v>0</c:v>
                </c:pt>
                <c:pt idx="7">
                  <c:v>0</c:v>
                </c:pt>
                <c:pt idx="8">
                  <c:v>0</c:v>
                </c:pt>
                <c:pt idx="9">
                  <c:v>68603.906621483766</c:v>
                </c:pt>
                <c:pt idx="10">
                  <c:v>35849.949763023993</c:v>
                </c:pt>
                <c:pt idx="11">
                  <c:v>20945.597090631454</c:v>
                </c:pt>
                <c:pt idx="12">
                  <c:v>55552.177165889581</c:v>
                </c:pt>
                <c:pt idx="13">
                  <c:v>68051.569759523787</c:v>
                </c:pt>
                <c:pt idx="14">
                  <c:v>35460.123176854322</c:v>
                </c:pt>
                <c:pt idx="15">
                  <c:v>20629.475264819997</c:v>
                </c:pt>
                <c:pt idx="16">
                  <c:v>55063.435531966097</c:v>
                </c:pt>
                <c:pt idx="17">
                  <c:v>67500.192799396653</c:v>
                </c:pt>
                <c:pt idx="18">
                  <c:v>35070.441892767616</c:v>
                </c:pt>
                <c:pt idx="19">
                  <c:v>21767.662996169365</c:v>
                </c:pt>
                <c:pt idx="20">
                  <c:v>57199.302780962345</c:v>
                </c:pt>
                <c:pt idx="21">
                  <c:v>69996.666489874682</c:v>
                </c:pt>
                <c:pt idx="22">
                  <c:v>36628.117192741054</c:v>
                </c:pt>
                <c:pt idx="23">
                  <c:v>22447.287842394457</c:v>
                </c:pt>
                <c:pt idx="24">
                  <c:v>58508.973121108167</c:v>
                </c:pt>
                <c:pt idx="25">
                  <c:v>71533.983610985568</c:v>
                </c:pt>
                <c:pt idx="26">
                  <c:v>37572.329814692406</c:v>
                </c:pt>
                <c:pt idx="27">
                  <c:v>22310.233141236542</c:v>
                </c:pt>
                <c:pt idx="28">
                  <c:v>58346.419184386359</c:v>
                </c:pt>
                <c:pt idx="29">
                  <c:v>71361.713622986252</c:v>
                </c:pt>
                <c:pt idx="30">
                  <c:v>37423.384508372175</c:v>
                </c:pt>
                <c:pt idx="31">
                  <c:v>25246.785516101623</c:v>
                </c:pt>
                <c:pt idx="32">
                  <c:v>63729.954145779564</c:v>
                </c:pt>
                <c:pt idx="33">
                  <c:v>77630.272592721099</c:v>
                </c:pt>
                <c:pt idx="34">
                  <c:v>41390.27277028239</c:v>
                </c:pt>
                <c:pt idx="35">
                  <c:v>30603.237166617961</c:v>
                </c:pt>
                <c:pt idx="36">
                  <c:v>73479.856642705709</c:v>
                </c:pt>
                <c:pt idx="37">
                  <c:v>88968.867353851558</c:v>
                </c:pt>
                <c:pt idx="38">
                  <c:v>48596.83557371411</c:v>
                </c:pt>
                <c:pt idx="39">
                  <c:v>31930.342505988334</c:v>
                </c:pt>
                <c:pt idx="40">
                  <c:v>75961.932285379837</c:v>
                </c:pt>
                <c:pt idx="41">
                  <c:v>91868.419238258124</c:v>
                </c:pt>
                <c:pt idx="42">
                  <c:v>50409.635307632467</c:v>
                </c:pt>
                <c:pt idx="43">
                  <c:v>31828.767123942671</c:v>
                </c:pt>
                <c:pt idx="44">
                  <c:v>75867.795460478403</c:v>
                </c:pt>
                <c:pt idx="45">
                  <c:v>91776.744809670199</c:v>
                </c:pt>
                <c:pt idx="46">
                  <c:v>50310.27494305023</c:v>
                </c:pt>
                <c:pt idx="47">
                  <c:v>33934.265114798342</c:v>
                </c:pt>
                <c:pt idx="48">
                  <c:v>79756.359636972207</c:v>
                </c:pt>
                <c:pt idx="49">
                  <c:v>96309.821378657216</c:v>
                </c:pt>
                <c:pt idx="50">
                  <c:v>53165.953057792314</c:v>
                </c:pt>
                <c:pt idx="51">
                  <c:v>36517.927607569974</c:v>
                </c:pt>
                <c:pt idx="52">
                  <c:v>84508.780380293581</c:v>
                </c:pt>
                <c:pt idx="53">
                  <c:v>101846.46174269188</c:v>
                </c:pt>
                <c:pt idx="54">
                  <c:v>56662.501400473833</c:v>
                </c:pt>
                <c:pt idx="55">
                  <c:v>40036.188836890644</c:v>
                </c:pt>
                <c:pt idx="56">
                  <c:v>90948.301793868144</c:v>
                </c:pt>
                <c:pt idx="57">
                  <c:v>109342.23408801883</c:v>
                </c:pt>
                <c:pt idx="58">
                  <c:v>61410.560149098172</c:v>
                </c:pt>
                <c:pt idx="59">
                  <c:v>43293.921887067881</c:v>
                </c:pt>
                <c:pt idx="60">
                  <c:v>96919.022151187382</c:v>
                </c:pt>
                <c:pt idx="61">
                  <c:v>116293.87906800144</c:v>
                </c:pt>
                <c:pt idx="62">
                  <c:v>65810.329693377571</c:v>
                </c:pt>
                <c:pt idx="63">
                  <c:v>40293.082829464081</c:v>
                </c:pt>
                <c:pt idx="64">
                  <c:v>70464.669098521699</c:v>
                </c:pt>
                <c:pt idx="65">
                  <c:v>84463.674566812217</c:v>
                </c:pt>
                <c:pt idx="66">
                  <c:v>47989.000894905796</c:v>
                </c:pt>
                <c:pt idx="67">
                  <c:v>32328.851579413742</c:v>
                </c:pt>
                <c:pt idx="68">
                  <c:v>71631.495152902833</c:v>
                </c:pt>
                <c:pt idx="69">
                  <c:v>85831.730885796118</c:v>
                </c:pt>
                <c:pt idx="70">
                  <c:v>48832.422767337273</c:v>
                </c:pt>
                <c:pt idx="71">
                  <c:v>34710.245946633346</c:v>
                </c:pt>
                <c:pt idx="72">
                  <c:v>75995.877876577448</c:v>
                </c:pt>
                <c:pt idx="73">
                  <c:v>90913.262682325221</c:v>
                </c:pt>
                <c:pt idx="74">
                  <c:v>52048.727303275096</c:v>
                </c:pt>
                <c:pt idx="75">
                  <c:v>36115.443245824063</c:v>
                </c:pt>
                <c:pt idx="76">
                  <c:v>78599.949821021291</c:v>
                </c:pt>
                <c:pt idx="77">
                  <c:v>93950.735246845332</c:v>
                </c:pt>
                <c:pt idx="78">
                  <c:v>53958.302509383888</c:v>
                </c:pt>
                <c:pt idx="79">
                  <c:v>39607.12616353402</c:v>
                </c:pt>
                <c:pt idx="80">
                  <c:v>84968.935162166264</c:v>
                </c:pt>
                <c:pt idx="81">
                  <c:v>101360.13057890594</c:v>
                </c:pt>
                <c:pt idx="82">
                  <c:v>58661.491453362672</c:v>
                </c:pt>
                <c:pt idx="83">
                  <c:v>42421.497792475784</c:v>
                </c:pt>
                <c:pt idx="84">
                  <c:v>90116.959161053746</c:v>
                </c:pt>
                <c:pt idx="85">
                  <c:v>107351.94819956498</c:v>
                </c:pt>
                <c:pt idx="86">
                  <c:v>62458.313541235824</c:v>
                </c:pt>
                <c:pt idx="87">
                  <c:v>45541.183340083313</c:v>
                </c:pt>
                <c:pt idx="88">
                  <c:v>93586.58301335822</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extLst>
            <c:ext xmlns:c16="http://schemas.microsoft.com/office/drawing/2014/chart" uri="{C3380CC4-5D6E-409C-BE32-E72D297353CC}">
              <c16:uniqueId val="{00000001-C723-452B-AD13-47754EBDAF2F}"/>
            </c:ext>
          </c:extLst>
        </c:ser>
        <c:dLbls>
          <c:showLegendKey val="0"/>
          <c:showVal val="0"/>
          <c:showCatName val="0"/>
          <c:showSerName val="0"/>
          <c:showPercent val="0"/>
          <c:showBubbleSize val="0"/>
        </c:dLbls>
        <c:axId val="625495439"/>
        <c:axId val="623231007"/>
      </c:areaChart>
      <c:lineChart>
        <c:grouping val="standard"/>
        <c:varyColors val="0"/>
        <c:ser>
          <c:idx val="0"/>
          <c:order val="0"/>
          <c:tx>
            <c:strRef>
              <c:f>'Financing Model'!$E$206:$J$206</c:f>
              <c:strCache>
                <c:ptCount val="6"/>
                <c:pt idx="0">
                  <c:v> CFADS </c:v>
                </c:pt>
              </c:strCache>
            </c:strRef>
          </c:tx>
          <c:spPr>
            <a:ln w="28575" cap="rnd">
              <a:solidFill>
                <a:schemeClr val="accent1"/>
              </a:solidFill>
              <a:round/>
            </a:ln>
            <a:effectLst/>
          </c:spPr>
          <c:marker>
            <c:symbol val="none"/>
          </c:marker>
          <c:cat>
            <c:numRef>
              <c:f>'Financing Model'!$K$205:$DQ$205</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Model'!$K$206:$DQ$206</c:f>
              <c:numCache>
                <c:formatCode>#,##0_);\(#,##0\);"-  ";" "@" "</c:formatCode>
                <c:ptCount val="111"/>
                <c:pt idx="0">
                  <c:v>0</c:v>
                </c:pt>
                <c:pt idx="1">
                  <c:v>0</c:v>
                </c:pt>
                <c:pt idx="2">
                  <c:v>0</c:v>
                </c:pt>
                <c:pt idx="3">
                  <c:v>0</c:v>
                </c:pt>
                <c:pt idx="4">
                  <c:v>0</c:v>
                </c:pt>
                <c:pt idx="5">
                  <c:v>0</c:v>
                </c:pt>
                <c:pt idx="6">
                  <c:v>0</c:v>
                </c:pt>
                <c:pt idx="7">
                  <c:v>0</c:v>
                </c:pt>
                <c:pt idx="8">
                  <c:v>0</c:v>
                </c:pt>
                <c:pt idx="9">
                  <c:v>99503.150667626498</c:v>
                </c:pt>
                <c:pt idx="10">
                  <c:v>52009.913222859825</c:v>
                </c:pt>
                <c:pt idx="11">
                  <c:v>30398.601847890644</c:v>
                </c:pt>
                <c:pt idx="12">
                  <c:v>80578.142957014934</c:v>
                </c:pt>
                <c:pt idx="13">
                  <c:v>98702.262217784533</c:v>
                </c:pt>
                <c:pt idx="14">
                  <c:v>51444.664672913801</c:v>
                </c:pt>
                <c:pt idx="15">
                  <c:v>29940.225200464032</c:v>
                </c:pt>
                <c:pt idx="16">
                  <c:v>79869.467587825871</c:v>
                </c:pt>
                <c:pt idx="17">
                  <c:v>97902.765625600179</c:v>
                </c:pt>
                <c:pt idx="18">
                  <c:v>50879.626810988084</c:v>
                </c:pt>
                <c:pt idx="19">
                  <c:v>31590.597410920618</c:v>
                </c:pt>
                <c:pt idx="20">
                  <c:v>82966.475098870433</c:v>
                </c:pt>
                <c:pt idx="21">
                  <c:v>101522.65247679333</c:v>
                </c:pt>
                <c:pt idx="22">
                  <c:v>53138.25599594957</c:v>
                </c:pt>
                <c:pt idx="23">
                  <c:v>32576.053437946994</c:v>
                </c:pt>
                <c:pt idx="24">
                  <c:v>84865.497092081874</c:v>
                </c:pt>
                <c:pt idx="25">
                  <c:v>103751.76230240409</c:v>
                </c:pt>
                <c:pt idx="26">
                  <c:v>54507.36429777903</c:v>
                </c:pt>
                <c:pt idx="27">
                  <c:v>32377.324121268019</c:v>
                </c:pt>
                <c:pt idx="28">
                  <c:v>84629.793883835257</c:v>
                </c:pt>
                <c:pt idx="29">
                  <c:v>103502.37502666502</c:v>
                </c:pt>
                <c:pt idx="30">
                  <c:v>54291.797810474614</c:v>
                </c:pt>
                <c:pt idx="31">
                  <c:v>36635.729271682314</c:v>
                </c:pt>
                <c:pt idx="32">
                  <c:v>92436.323784715321</c:v>
                </c:pt>
                <c:pt idx="33">
                  <c:v>112591.78553278054</c:v>
                </c:pt>
                <c:pt idx="34">
                  <c:v>60043.785790244423</c:v>
                </c:pt>
                <c:pt idx="35">
                  <c:v>44402.584164931002</c:v>
                </c:pt>
                <c:pt idx="36">
                  <c:v>106573.68240525824</c:v>
                </c:pt>
                <c:pt idx="37">
                  <c:v>129032.74793641971</c:v>
                </c:pt>
                <c:pt idx="38">
                  <c:v>70493.301855220416</c:v>
                </c:pt>
                <c:pt idx="39">
                  <c:v>46326.886907018044</c:v>
                </c:pt>
                <c:pt idx="40">
                  <c:v>110172.69208713573</c:v>
                </c:pt>
                <c:pt idx="41">
                  <c:v>133237.09816880926</c:v>
                </c:pt>
                <c:pt idx="42">
                  <c:v>73121.861469402036</c:v>
                </c:pt>
                <c:pt idx="43">
                  <c:v>46179.602603051833</c:v>
                </c:pt>
                <c:pt idx="44">
                  <c:v>110036.19369102863</c:v>
                </c:pt>
                <c:pt idx="45">
                  <c:v>133104.17024735676</c:v>
                </c:pt>
                <c:pt idx="46">
                  <c:v>72977.78894075779</c:v>
                </c:pt>
                <c:pt idx="47">
                  <c:v>49232.574689792556</c:v>
                </c:pt>
                <c:pt idx="48">
                  <c:v>115674.61174694466</c:v>
                </c:pt>
                <c:pt idx="49">
                  <c:v>139677.29295513188</c:v>
                </c:pt>
                <c:pt idx="50">
                  <c:v>77118.683889877779</c:v>
                </c:pt>
                <c:pt idx="51">
                  <c:v>52979.046987055401</c:v>
                </c:pt>
                <c:pt idx="52">
                  <c:v>122565.7835075046</c:v>
                </c:pt>
                <c:pt idx="53">
                  <c:v>147705.42148298217</c:v>
                </c:pt>
                <c:pt idx="54">
                  <c:v>82188.678986765997</c:v>
                </c:pt>
                <c:pt idx="55">
                  <c:v>58080.525769570362</c:v>
                </c:pt>
                <c:pt idx="56">
                  <c:v>131903.08955718775</c:v>
                </c:pt>
                <c:pt idx="57">
                  <c:v>158574.29138370621</c:v>
                </c:pt>
                <c:pt idx="58">
                  <c:v>89073.364172271278</c:v>
                </c:pt>
                <c:pt idx="59">
                  <c:v>62804.238692327359</c:v>
                </c:pt>
                <c:pt idx="60">
                  <c:v>140560.63407530065</c:v>
                </c:pt>
                <c:pt idx="61">
                  <c:v>168654.17660468101</c:v>
                </c:pt>
                <c:pt idx="62">
                  <c:v>95453.030011476396</c:v>
                </c:pt>
                <c:pt idx="63">
                  <c:v>58453.022058801842</c:v>
                </c:pt>
                <c:pt idx="64">
                  <c:v>102201.82214893539</c:v>
                </c:pt>
                <c:pt idx="65">
                  <c:v>122500.38007795662</c:v>
                </c:pt>
                <c:pt idx="66">
                  <c:v>69612.10325369233</c:v>
                </c:pt>
                <c:pt idx="67">
                  <c:v>46904.886746228854</c:v>
                </c:pt>
                <c:pt idx="68">
                  <c:v>103893.71992778804</c:v>
                </c:pt>
                <c:pt idx="69">
                  <c:v>124484.30426459927</c:v>
                </c:pt>
                <c:pt idx="70">
                  <c:v>70835.307492833934</c:v>
                </c:pt>
                <c:pt idx="71">
                  <c:v>50358.151102813237</c:v>
                </c:pt>
                <c:pt idx="72">
                  <c:v>110222.3174012322</c:v>
                </c:pt>
                <c:pt idx="73">
                  <c:v>131852.52536956646</c:v>
                </c:pt>
                <c:pt idx="74">
                  <c:v>75498.949069943774</c:v>
                </c:pt>
                <c:pt idx="75">
                  <c:v>52395.687186639771</c:v>
                </c:pt>
                <c:pt idx="76">
                  <c:v>113998.22172067576</c:v>
                </c:pt>
                <c:pt idx="77">
                  <c:v>136256.86058812062</c:v>
                </c:pt>
                <c:pt idx="78">
                  <c:v>78267.833118801515</c:v>
                </c:pt>
                <c:pt idx="79">
                  <c:v>57458.627417319207</c:v>
                </c:pt>
                <c:pt idx="80">
                  <c:v>123233.25046533596</c:v>
                </c:pt>
                <c:pt idx="81">
                  <c:v>147000.48381960849</c:v>
                </c:pt>
                <c:pt idx="82">
                  <c:v>85087.457087570772</c:v>
                </c:pt>
                <c:pt idx="83">
                  <c:v>61539.466279284767</c:v>
                </c:pt>
                <c:pt idx="84">
                  <c:v>130697.88526372283</c:v>
                </c:pt>
                <c:pt idx="85">
                  <c:v>155688.61936956411</c:v>
                </c:pt>
                <c:pt idx="86">
                  <c:v>90592.849114986835</c:v>
                </c:pt>
                <c:pt idx="87">
                  <c:v>66063.010323315699</c:v>
                </c:pt>
                <c:pt idx="88">
                  <c:v>138962.49472898542</c:v>
                </c:pt>
                <c:pt idx="89">
                  <c:v>165305.9341183074</c:v>
                </c:pt>
                <c:pt idx="90">
                  <c:v>96691.452243893335</c:v>
                </c:pt>
                <c:pt idx="91">
                  <c:v>70284.505113377527</c:v>
                </c:pt>
                <c:pt idx="92">
                  <c:v>146683.56142875156</c:v>
                </c:pt>
                <c:pt idx="93">
                  <c:v>174292.36490733508</c:v>
                </c:pt>
                <c:pt idx="94">
                  <c:v>102386.24699556347</c:v>
                </c:pt>
                <c:pt idx="95">
                  <c:v>71074.677867268547</c:v>
                </c:pt>
                <c:pt idx="96">
                  <c:v>148215.89898131281</c:v>
                </c:pt>
                <c:pt idx="97">
                  <c:v>176092.83240197867</c:v>
                </c:pt>
                <c:pt idx="98">
                  <c:v>103487.98088600898</c:v>
                </c:pt>
                <c:pt idx="99">
                  <c:v>71228.010081119864</c:v>
                </c:pt>
                <c:pt idx="100">
                  <c:v>148600.76936745434</c:v>
                </c:pt>
                <c:pt idx="101">
                  <c:v>176561.1580677866</c:v>
                </c:pt>
                <c:pt idx="102">
                  <c:v>103737.72618958834</c:v>
                </c:pt>
                <c:pt idx="103">
                  <c:v>71462.967265490675</c:v>
                </c:pt>
                <c:pt idx="104">
                  <c:v>149134.30364392351</c:v>
                </c:pt>
                <c:pt idx="105">
                  <c:v>177202.38857385458</c:v>
                </c:pt>
                <c:pt idx="106">
                  <c:v>104097.32443339465</c:v>
                </c:pt>
                <c:pt idx="107">
                  <c:v>72360.33641778765</c:v>
                </c:pt>
                <c:pt idx="108">
                  <c:v>150864.26122988597</c:v>
                </c:pt>
                <c:pt idx="109">
                  <c:v>0</c:v>
                </c:pt>
                <c:pt idx="110">
                  <c:v>0</c:v>
                </c:pt>
              </c:numCache>
            </c:numRef>
          </c:val>
          <c:smooth val="0"/>
          <c:extLst>
            <c:ext xmlns:c16="http://schemas.microsoft.com/office/drawing/2014/chart" uri="{C3380CC4-5D6E-409C-BE32-E72D297353CC}">
              <c16:uniqueId val="{00000000-C723-452B-AD13-47754EBDAF2F}"/>
            </c:ext>
          </c:extLst>
        </c:ser>
        <c:dLbls>
          <c:showLegendKey val="0"/>
          <c:showVal val="0"/>
          <c:showCatName val="0"/>
          <c:showSerName val="0"/>
          <c:showPercent val="0"/>
          <c:showBubbleSize val="0"/>
        </c:dLbls>
        <c:marker val="1"/>
        <c:smooth val="0"/>
        <c:axId val="625495439"/>
        <c:axId val="623231007"/>
      </c:lineChart>
      <c:dateAx>
        <c:axId val="625495439"/>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623231007"/>
        <c:crosses val="autoZero"/>
        <c:auto val="1"/>
        <c:lblOffset val="100"/>
        <c:baseTimeUnit val="months"/>
      </c:dateAx>
      <c:valAx>
        <c:axId val="623231007"/>
        <c:scaling>
          <c:orientation val="minMax"/>
        </c:scaling>
        <c:delete val="0"/>
        <c:axPos val="l"/>
        <c:majorGridlines>
          <c:spPr>
            <a:ln w="9525" cap="flat" cmpd="sng" algn="ctr">
              <a:solidFill>
                <a:schemeClr val="tx1">
                  <a:lumMod val="15000"/>
                  <a:lumOff val="85000"/>
                </a:schemeClr>
              </a:solidFill>
              <a:round/>
            </a:ln>
            <a:effectLst/>
          </c:spPr>
        </c:majorGridlines>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625495439"/>
        <c:crosses val="autoZero"/>
        <c:crossBetween val="between"/>
      </c:valAx>
      <c:spPr>
        <a:noFill/>
        <a:ln>
          <a:noFill/>
        </a:ln>
        <a:effectLst/>
      </c:spPr>
    </c:plotArea>
    <c:legend>
      <c:legendPos val="b"/>
      <c:layout>
        <c:manualLayout>
          <c:xMode val="edge"/>
          <c:yMode val="edge"/>
          <c:x val="0.1593996062992126"/>
          <c:y val="8.8541119860017448E-2"/>
          <c:w val="0.36201859142607179"/>
          <c:h val="6.694189268008166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5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strRef>
              <c:f>'Financing Model'!$E$207:$J$207</c:f>
              <c:strCache>
                <c:ptCount val="6"/>
                <c:pt idx="0">
                  <c:v> Debt Service </c:v>
                </c:pt>
              </c:strCache>
            </c:strRef>
          </c:tx>
          <c:spPr>
            <a:solidFill>
              <a:schemeClr val="accent2"/>
            </a:solidFill>
            <a:ln>
              <a:noFill/>
            </a:ln>
            <a:effectLst/>
          </c:spPr>
          <c:cat>
            <c:numRef>
              <c:f>'Financing Model'!$K$205:$DQ$205</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Model'!$K$207:$DQ$207</c:f>
              <c:numCache>
                <c:formatCode>#,##0_);\(#,##0\);"-  ";" "@" "</c:formatCode>
                <c:ptCount val="111"/>
                <c:pt idx="0">
                  <c:v>0</c:v>
                </c:pt>
                <c:pt idx="1">
                  <c:v>0</c:v>
                </c:pt>
                <c:pt idx="2">
                  <c:v>0</c:v>
                </c:pt>
                <c:pt idx="3">
                  <c:v>0</c:v>
                </c:pt>
                <c:pt idx="4">
                  <c:v>0</c:v>
                </c:pt>
                <c:pt idx="5">
                  <c:v>0</c:v>
                </c:pt>
                <c:pt idx="6">
                  <c:v>0</c:v>
                </c:pt>
                <c:pt idx="7">
                  <c:v>0</c:v>
                </c:pt>
                <c:pt idx="8">
                  <c:v>0</c:v>
                </c:pt>
                <c:pt idx="9">
                  <c:v>68603.906621483766</c:v>
                </c:pt>
                <c:pt idx="10">
                  <c:v>35849.949763023993</c:v>
                </c:pt>
                <c:pt idx="11">
                  <c:v>20945.597090631454</c:v>
                </c:pt>
                <c:pt idx="12">
                  <c:v>55552.177165889581</c:v>
                </c:pt>
                <c:pt idx="13">
                  <c:v>68051.569759523787</c:v>
                </c:pt>
                <c:pt idx="14">
                  <c:v>35460.123176854322</c:v>
                </c:pt>
                <c:pt idx="15">
                  <c:v>20629.475264819997</c:v>
                </c:pt>
                <c:pt idx="16">
                  <c:v>55063.435531966097</c:v>
                </c:pt>
                <c:pt idx="17">
                  <c:v>67500.192799396653</c:v>
                </c:pt>
                <c:pt idx="18">
                  <c:v>35070.441892767616</c:v>
                </c:pt>
                <c:pt idx="19">
                  <c:v>21767.662996169365</c:v>
                </c:pt>
                <c:pt idx="20">
                  <c:v>57199.302780962345</c:v>
                </c:pt>
                <c:pt idx="21">
                  <c:v>69996.666489874682</c:v>
                </c:pt>
                <c:pt idx="22">
                  <c:v>36628.117192741054</c:v>
                </c:pt>
                <c:pt idx="23">
                  <c:v>22447.287842394457</c:v>
                </c:pt>
                <c:pt idx="24">
                  <c:v>58508.973121108167</c:v>
                </c:pt>
                <c:pt idx="25">
                  <c:v>71533.983610985568</c:v>
                </c:pt>
                <c:pt idx="26">
                  <c:v>37572.329814692406</c:v>
                </c:pt>
                <c:pt idx="27">
                  <c:v>22310.233141236542</c:v>
                </c:pt>
                <c:pt idx="28">
                  <c:v>58346.419184386359</c:v>
                </c:pt>
                <c:pt idx="29">
                  <c:v>71361.713622986252</c:v>
                </c:pt>
                <c:pt idx="30">
                  <c:v>37423.384508372175</c:v>
                </c:pt>
                <c:pt idx="31">
                  <c:v>25246.785516101623</c:v>
                </c:pt>
                <c:pt idx="32">
                  <c:v>63729.954145779564</c:v>
                </c:pt>
                <c:pt idx="33">
                  <c:v>77630.272592721099</c:v>
                </c:pt>
                <c:pt idx="34">
                  <c:v>41390.27277028239</c:v>
                </c:pt>
                <c:pt idx="35">
                  <c:v>30603.237166617961</c:v>
                </c:pt>
                <c:pt idx="36">
                  <c:v>73479.856642705709</c:v>
                </c:pt>
                <c:pt idx="37">
                  <c:v>88968.867353851558</c:v>
                </c:pt>
                <c:pt idx="38">
                  <c:v>48596.83557371411</c:v>
                </c:pt>
                <c:pt idx="39">
                  <c:v>31930.342505988334</c:v>
                </c:pt>
                <c:pt idx="40">
                  <c:v>75961.932285379837</c:v>
                </c:pt>
                <c:pt idx="41">
                  <c:v>91868.419238258124</c:v>
                </c:pt>
                <c:pt idx="42">
                  <c:v>50409.635307632467</c:v>
                </c:pt>
                <c:pt idx="43">
                  <c:v>31828.767123942671</c:v>
                </c:pt>
                <c:pt idx="44">
                  <c:v>75867.795460478403</c:v>
                </c:pt>
                <c:pt idx="45">
                  <c:v>91776.744809670199</c:v>
                </c:pt>
                <c:pt idx="46">
                  <c:v>50310.27494305023</c:v>
                </c:pt>
                <c:pt idx="47">
                  <c:v>33934.265114798342</c:v>
                </c:pt>
                <c:pt idx="48">
                  <c:v>79756.359636972207</c:v>
                </c:pt>
                <c:pt idx="49">
                  <c:v>96309.821378657216</c:v>
                </c:pt>
                <c:pt idx="50">
                  <c:v>53165.953057792314</c:v>
                </c:pt>
                <c:pt idx="51">
                  <c:v>36517.927607569974</c:v>
                </c:pt>
                <c:pt idx="52">
                  <c:v>84508.780380293581</c:v>
                </c:pt>
                <c:pt idx="53">
                  <c:v>101846.46174269188</c:v>
                </c:pt>
                <c:pt idx="54">
                  <c:v>56662.501400473833</c:v>
                </c:pt>
                <c:pt idx="55">
                  <c:v>40036.188836890644</c:v>
                </c:pt>
                <c:pt idx="56">
                  <c:v>90948.301793868144</c:v>
                </c:pt>
                <c:pt idx="57">
                  <c:v>109342.23408801883</c:v>
                </c:pt>
                <c:pt idx="58">
                  <c:v>61410.560149098172</c:v>
                </c:pt>
                <c:pt idx="59">
                  <c:v>43293.921887067881</c:v>
                </c:pt>
                <c:pt idx="60">
                  <c:v>96919.022151187382</c:v>
                </c:pt>
                <c:pt idx="61">
                  <c:v>116293.87906800144</c:v>
                </c:pt>
                <c:pt idx="62">
                  <c:v>65810.329693377571</c:v>
                </c:pt>
                <c:pt idx="63">
                  <c:v>40293.082829464081</c:v>
                </c:pt>
                <c:pt idx="64">
                  <c:v>70464.669098521699</c:v>
                </c:pt>
                <c:pt idx="65">
                  <c:v>84463.674566812217</c:v>
                </c:pt>
                <c:pt idx="66">
                  <c:v>47989.000894905796</c:v>
                </c:pt>
                <c:pt idx="67">
                  <c:v>32328.851579413742</c:v>
                </c:pt>
                <c:pt idx="68">
                  <c:v>71631.495152902833</c:v>
                </c:pt>
                <c:pt idx="69">
                  <c:v>85831.730885796118</c:v>
                </c:pt>
                <c:pt idx="70">
                  <c:v>48832.422767337273</c:v>
                </c:pt>
                <c:pt idx="71">
                  <c:v>34710.245946633346</c:v>
                </c:pt>
                <c:pt idx="72">
                  <c:v>75995.877876577448</c:v>
                </c:pt>
                <c:pt idx="73">
                  <c:v>90913.262682325221</c:v>
                </c:pt>
                <c:pt idx="74">
                  <c:v>52048.727303275096</c:v>
                </c:pt>
                <c:pt idx="75">
                  <c:v>36115.443245824063</c:v>
                </c:pt>
                <c:pt idx="76">
                  <c:v>78599.949821021291</c:v>
                </c:pt>
                <c:pt idx="77">
                  <c:v>93950.735246845332</c:v>
                </c:pt>
                <c:pt idx="78">
                  <c:v>53958.302509383888</c:v>
                </c:pt>
                <c:pt idx="79">
                  <c:v>39607.12616353402</c:v>
                </c:pt>
                <c:pt idx="80">
                  <c:v>84968.935162166264</c:v>
                </c:pt>
                <c:pt idx="81">
                  <c:v>101360.13057890594</c:v>
                </c:pt>
                <c:pt idx="82">
                  <c:v>58661.491453362672</c:v>
                </c:pt>
                <c:pt idx="83">
                  <c:v>42421.497792475784</c:v>
                </c:pt>
                <c:pt idx="84">
                  <c:v>90116.959161053746</c:v>
                </c:pt>
                <c:pt idx="85">
                  <c:v>107351.94819956498</c:v>
                </c:pt>
                <c:pt idx="86">
                  <c:v>62458.313541235824</c:v>
                </c:pt>
                <c:pt idx="87">
                  <c:v>45541.183340083313</c:v>
                </c:pt>
                <c:pt idx="88">
                  <c:v>93586.58301335822</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extLst>
            <c:ext xmlns:c16="http://schemas.microsoft.com/office/drawing/2014/chart" uri="{C3380CC4-5D6E-409C-BE32-E72D297353CC}">
              <c16:uniqueId val="{00000000-9C4A-4D40-B7F8-ED0CC9F5389F}"/>
            </c:ext>
          </c:extLst>
        </c:ser>
        <c:ser>
          <c:idx val="2"/>
          <c:order val="2"/>
          <c:tx>
            <c:strRef>
              <c:f>'Financing Model'!$E$208:$J$208</c:f>
              <c:strCache>
                <c:ptCount val="6"/>
                <c:pt idx="0">
                  <c:v> Default Interest </c:v>
                </c:pt>
              </c:strCache>
            </c:strRef>
          </c:tx>
          <c:spPr>
            <a:solidFill>
              <a:schemeClr val="accent3"/>
            </a:solidFill>
            <a:ln>
              <a:noFill/>
            </a:ln>
            <a:effectLst/>
          </c:spPr>
          <c:cat>
            <c:numRef>
              <c:f>'Financing Model'!$K$205:$DQ$205</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Model'!$K$208:$DQ$208</c:f>
              <c:numCache>
                <c:formatCode>#,##0_);\(#,##0\);"-  ";" "@" "</c:formatCode>
                <c:ptCount val="1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extLst>
            <c:ext xmlns:c16="http://schemas.microsoft.com/office/drawing/2014/chart" uri="{C3380CC4-5D6E-409C-BE32-E72D297353CC}">
              <c16:uniqueId val="{00000001-9C4A-4D40-B7F8-ED0CC9F5389F}"/>
            </c:ext>
          </c:extLst>
        </c:ser>
        <c:ser>
          <c:idx val="3"/>
          <c:order val="3"/>
          <c:tx>
            <c:strRef>
              <c:f>'Financing Model'!$E$209:$J$209</c:f>
              <c:strCache>
                <c:ptCount val="6"/>
                <c:pt idx="0">
                  <c:v> Default Repayment </c:v>
                </c:pt>
              </c:strCache>
            </c:strRef>
          </c:tx>
          <c:spPr>
            <a:solidFill>
              <a:schemeClr val="accent4"/>
            </a:solidFill>
            <a:ln>
              <a:noFill/>
            </a:ln>
            <a:effectLst/>
          </c:spPr>
          <c:cat>
            <c:numRef>
              <c:f>'Financing Model'!$K$205:$DQ$205</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Model'!$K$209:$DQ$209</c:f>
              <c:numCache>
                <c:formatCode>#,##0_);\(#,##0\);"-  ";" "@" "</c:formatCode>
                <c:ptCount val="1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extLst>
            <c:ext xmlns:c16="http://schemas.microsoft.com/office/drawing/2014/chart" uri="{C3380CC4-5D6E-409C-BE32-E72D297353CC}">
              <c16:uniqueId val="{00000002-9C4A-4D40-B7F8-ED0CC9F5389F}"/>
            </c:ext>
          </c:extLst>
        </c:ser>
        <c:ser>
          <c:idx val="4"/>
          <c:order val="4"/>
          <c:tx>
            <c:strRef>
              <c:f>'Financing Model'!$E$210:$J$210</c:f>
              <c:strCache>
                <c:ptCount val="6"/>
                <c:pt idx="0">
                  <c:v> Cash Sweep </c:v>
                </c:pt>
              </c:strCache>
            </c:strRef>
          </c:tx>
          <c:spPr>
            <a:solidFill>
              <a:schemeClr val="accent5"/>
            </a:solidFill>
            <a:ln>
              <a:noFill/>
            </a:ln>
            <a:effectLst/>
          </c:spPr>
          <c:cat>
            <c:numRef>
              <c:f>'Financing Model'!$K$205:$DQ$205</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Model'!$K$210:$DQ$210</c:f>
              <c:numCache>
                <c:formatCode>#,##0_);\(#,##0\);"-  ";" "@" "</c:formatCode>
                <c:ptCount val="11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numCache>
            </c:numRef>
          </c:val>
          <c:extLst>
            <c:ext xmlns:c16="http://schemas.microsoft.com/office/drawing/2014/chart" uri="{C3380CC4-5D6E-409C-BE32-E72D297353CC}">
              <c16:uniqueId val="{00000003-9C4A-4D40-B7F8-ED0CC9F5389F}"/>
            </c:ext>
          </c:extLst>
        </c:ser>
        <c:dLbls>
          <c:showLegendKey val="0"/>
          <c:showVal val="0"/>
          <c:showCatName val="0"/>
          <c:showSerName val="0"/>
          <c:showPercent val="0"/>
          <c:showBubbleSize val="0"/>
        </c:dLbls>
        <c:axId val="1213343999"/>
        <c:axId val="1243613583"/>
      </c:areaChart>
      <c:lineChart>
        <c:grouping val="standard"/>
        <c:varyColors val="0"/>
        <c:ser>
          <c:idx val="0"/>
          <c:order val="0"/>
          <c:tx>
            <c:strRef>
              <c:f>'Financing Model'!$E$206:$J$206</c:f>
              <c:strCache>
                <c:ptCount val="6"/>
                <c:pt idx="0">
                  <c:v> CFADS </c:v>
                </c:pt>
              </c:strCache>
            </c:strRef>
          </c:tx>
          <c:spPr>
            <a:ln w="28575" cap="rnd">
              <a:solidFill>
                <a:schemeClr val="accent1"/>
              </a:solidFill>
              <a:round/>
            </a:ln>
            <a:effectLst/>
          </c:spPr>
          <c:marker>
            <c:symbol val="none"/>
          </c:marker>
          <c:cat>
            <c:numRef>
              <c:f>'Financing Model'!$K$205:$DQ$205</c:f>
              <c:numCache>
                <c:formatCode>d\-mmm\-yy</c:formatCode>
                <c:ptCount val="111"/>
                <c:pt idx="0">
                  <c:v>#N/A</c:v>
                </c:pt>
                <c:pt idx="1">
                  <c:v>#N/A</c:v>
                </c:pt>
                <c:pt idx="2">
                  <c:v>#N/A</c:v>
                </c:pt>
                <c:pt idx="3">
                  <c:v>#N/A</c:v>
                </c:pt>
                <c:pt idx="4">
                  <c:v>#N/A</c:v>
                </c:pt>
                <c:pt idx="5">
                  <c:v>#N/A</c:v>
                </c:pt>
                <c:pt idx="6">
                  <c:v>#N/A</c:v>
                </c:pt>
                <c:pt idx="7">
                  <c:v>#N/A</c:v>
                </c:pt>
                <c:pt idx="8">
                  <c:v>#N/A</c:v>
                </c:pt>
                <c:pt idx="9">
                  <c:v>42522</c:v>
                </c:pt>
                <c:pt idx="10">
                  <c:v>42614</c:v>
                </c:pt>
                <c:pt idx="11">
                  <c:v>42705</c:v>
                </c:pt>
                <c:pt idx="12">
                  <c:v>42795</c:v>
                </c:pt>
                <c:pt idx="13">
                  <c:v>42887</c:v>
                </c:pt>
                <c:pt idx="14">
                  <c:v>42979</c:v>
                </c:pt>
                <c:pt idx="15">
                  <c:v>43070</c:v>
                </c:pt>
                <c:pt idx="16">
                  <c:v>43160</c:v>
                </c:pt>
                <c:pt idx="17">
                  <c:v>43252</c:v>
                </c:pt>
                <c:pt idx="18">
                  <c:v>43344</c:v>
                </c:pt>
                <c:pt idx="19">
                  <c:v>43435</c:v>
                </c:pt>
                <c:pt idx="20">
                  <c:v>43525</c:v>
                </c:pt>
                <c:pt idx="21">
                  <c:v>43617</c:v>
                </c:pt>
                <c:pt idx="22">
                  <c:v>43709</c:v>
                </c:pt>
                <c:pt idx="23">
                  <c:v>43800</c:v>
                </c:pt>
                <c:pt idx="24">
                  <c:v>43891</c:v>
                </c:pt>
                <c:pt idx="25">
                  <c:v>43983</c:v>
                </c:pt>
                <c:pt idx="26">
                  <c:v>44075</c:v>
                </c:pt>
                <c:pt idx="27">
                  <c:v>44166</c:v>
                </c:pt>
                <c:pt idx="28">
                  <c:v>44256</c:v>
                </c:pt>
                <c:pt idx="29">
                  <c:v>44348</c:v>
                </c:pt>
                <c:pt idx="30">
                  <c:v>44440</c:v>
                </c:pt>
                <c:pt idx="31">
                  <c:v>44531</c:v>
                </c:pt>
                <c:pt idx="32">
                  <c:v>44621</c:v>
                </c:pt>
                <c:pt idx="33">
                  <c:v>44713</c:v>
                </c:pt>
                <c:pt idx="34">
                  <c:v>44805</c:v>
                </c:pt>
                <c:pt idx="35">
                  <c:v>44896</c:v>
                </c:pt>
                <c:pt idx="36">
                  <c:v>44986</c:v>
                </c:pt>
                <c:pt idx="37">
                  <c:v>45078</c:v>
                </c:pt>
                <c:pt idx="38">
                  <c:v>45170</c:v>
                </c:pt>
                <c:pt idx="39">
                  <c:v>45261</c:v>
                </c:pt>
                <c:pt idx="40">
                  <c:v>45352</c:v>
                </c:pt>
                <c:pt idx="41">
                  <c:v>45444</c:v>
                </c:pt>
                <c:pt idx="42">
                  <c:v>45536</c:v>
                </c:pt>
                <c:pt idx="43">
                  <c:v>45627</c:v>
                </c:pt>
                <c:pt idx="44">
                  <c:v>45717</c:v>
                </c:pt>
                <c:pt idx="45">
                  <c:v>45809</c:v>
                </c:pt>
                <c:pt idx="46">
                  <c:v>45901</c:v>
                </c:pt>
                <c:pt idx="47">
                  <c:v>45992</c:v>
                </c:pt>
                <c:pt idx="48">
                  <c:v>46082</c:v>
                </c:pt>
                <c:pt idx="49">
                  <c:v>46174</c:v>
                </c:pt>
                <c:pt idx="50">
                  <c:v>46266</c:v>
                </c:pt>
                <c:pt idx="51">
                  <c:v>46357</c:v>
                </c:pt>
                <c:pt idx="52">
                  <c:v>46447</c:v>
                </c:pt>
                <c:pt idx="53">
                  <c:v>46539</c:v>
                </c:pt>
                <c:pt idx="54">
                  <c:v>46631</c:v>
                </c:pt>
                <c:pt idx="55">
                  <c:v>46722</c:v>
                </c:pt>
                <c:pt idx="56">
                  <c:v>46813</c:v>
                </c:pt>
                <c:pt idx="57">
                  <c:v>46905</c:v>
                </c:pt>
                <c:pt idx="58">
                  <c:v>46997</c:v>
                </c:pt>
                <c:pt idx="59">
                  <c:v>47088</c:v>
                </c:pt>
                <c:pt idx="60">
                  <c:v>47178</c:v>
                </c:pt>
                <c:pt idx="61">
                  <c:v>47270</c:v>
                </c:pt>
                <c:pt idx="62">
                  <c:v>47362</c:v>
                </c:pt>
                <c:pt idx="63">
                  <c:v>47453</c:v>
                </c:pt>
                <c:pt idx="64">
                  <c:v>47543</c:v>
                </c:pt>
                <c:pt idx="65">
                  <c:v>47635</c:v>
                </c:pt>
                <c:pt idx="66">
                  <c:v>47727</c:v>
                </c:pt>
                <c:pt idx="67">
                  <c:v>47818</c:v>
                </c:pt>
                <c:pt idx="68">
                  <c:v>47908</c:v>
                </c:pt>
                <c:pt idx="69">
                  <c:v>48000</c:v>
                </c:pt>
                <c:pt idx="70">
                  <c:v>48092</c:v>
                </c:pt>
                <c:pt idx="71">
                  <c:v>48183</c:v>
                </c:pt>
                <c:pt idx="72">
                  <c:v>48274</c:v>
                </c:pt>
                <c:pt idx="73">
                  <c:v>48366</c:v>
                </c:pt>
                <c:pt idx="74">
                  <c:v>48458</c:v>
                </c:pt>
                <c:pt idx="75">
                  <c:v>48549</c:v>
                </c:pt>
                <c:pt idx="76">
                  <c:v>48639</c:v>
                </c:pt>
                <c:pt idx="77">
                  <c:v>48731</c:v>
                </c:pt>
                <c:pt idx="78">
                  <c:v>48823</c:v>
                </c:pt>
                <c:pt idx="79">
                  <c:v>48914</c:v>
                </c:pt>
                <c:pt idx="80">
                  <c:v>49004</c:v>
                </c:pt>
                <c:pt idx="81">
                  <c:v>49096</c:v>
                </c:pt>
                <c:pt idx="82">
                  <c:v>49188</c:v>
                </c:pt>
                <c:pt idx="83">
                  <c:v>49279</c:v>
                </c:pt>
                <c:pt idx="84">
                  <c:v>49369</c:v>
                </c:pt>
                <c:pt idx="85">
                  <c:v>49461</c:v>
                </c:pt>
                <c:pt idx="86">
                  <c:v>49553</c:v>
                </c:pt>
                <c:pt idx="87">
                  <c:v>49644</c:v>
                </c:pt>
                <c:pt idx="88">
                  <c:v>49735</c:v>
                </c:pt>
                <c:pt idx="89">
                  <c:v>49827</c:v>
                </c:pt>
                <c:pt idx="90">
                  <c:v>49919</c:v>
                </c:pt>
                <c:pt idx="91">
                  <c:v>50010</c:v>
                </c:pt>
                <c:pt idx="92">
                  <c:v>50100</c:v>
                </c:pt>
                <c:pt idx="93">
                  <c:v>50192</c:v>
                </c:pt>
                <c:pt idx="94">
                  <c:v>50284</c:v>
                </c:pt>
                <c:pt idx="95">
                  <c:v>50375</c:v>
                </c:pt>
                <c:pt idx="96">
                  <c:v>50465</c:v>
                </c:pt>
                <c:pt idx="97">
                  <c:v>50557</c:v>
                </c:pt>
                <c:pt idx="98">
                  <c:v>50649</c:v>
                </c:pt>
                <c:pt idx="99">
                  <c:v>50740</c:v>
                </c:pt>
                <c:pt idx="100">
                  <c:v>50830</c:v>
                </c:pt>
                <c:pt idx="101">
                  <c:v>50922</c:v>
                </c:pt>
                <c:pt idx="102">
                  <c:v>51014</c:v>
                </c:pt>
                <c:pt idx="103">
                  <c:v>51105</c:v>
                </c:pt>
                <c:pt idx="104">
                  <c:v>51196</c:v>
                </c:pt>
                <c:pt idx="105">
                  <c:v>51288</c:v>
                </c:pt>
                <c:pt idx="106">
                  <c:v>51380</c:v>
                </c:pt>
                <c:pt idx="107">
                  <c:v>51471</c:v>
                </c:pt>
                <c:pt idx="108">
                  <c:v>51561</c:v>
                </c:pt>
                <c:pt idx="109">
                  <c:v>#N/A</c:v>
                </c:pt>
                <c:pt idx="110">
                  <c:v>#N/A</c:v>
                </c:pt>
              </c:numCache>
            </c:numRef>
          </c:cat>
          <c:val>
            <c:numRef>
              <c:f>'Financing Model'!$K$206:$DQ$206</c:f>
              <c:numCache>
                <c:formatCode>#,##0_);\(#,##0\);"-  ";" "@" "</c:formatCode>
                <c:ptCount val="111"/>
                <c:pt idx="0">
                  <c:v>0</c:v>
                </c:pt>
                <c:pt idx="1">
                  <c:v>0</c:v>
                </c:pt>
                <c:pt idx="2">
                  <c:v>0</c:v>
                </c:pt>
                <c:pt idx="3">
                  <c:v>0</c:v>
                </c:pt>
                <c:pt idx="4">
                  <c:v>0</c:v>
                </c:pt>
                <c:pt idx="5">
                  <c:v>0</c:v>
                </c:pt>
                <c:pt idx="6">
                  <c:v>0</c:v>
                </c:pt>
                <c:pt idx="7">
                  <c:v>0</c:v>
                </c:pt>
                <c:pt idx="8">
                  <c:v>0</c:v>
                </c:pt>
                <c:pt idx="9">
                  <c:v>99503.150667626498</c:v>
                </c:pt>
                <c:pt idx="10">
                  <c:v>52009.913222859825</c:v>
                </c:pt>
                <c:pt idx="11">
                  <c:v>30398.601847890644</c:v>
                </c:pt>
                <c:pt idx="12">
                  <c:v>80578.142957014934</c:v>
                </c:pt>
                <c:pt idx="13">
                  <c:v>98702.262217784533</c:v>
                </c:pt>
                <c:pt idx="14">
                  <c:v>51444.664672913801</c:v>
                </c:pt>
                <c:pt idx="15">
                  <c:v>29940.225200464032</c:v>
                </c:pt>
                <c:pt idx="16">
                  <c:v>79869.467587825871</c:v>
                </c:pt>
                <c:pt idx="17">
                  <c:v>97902.765625600179</c:v>
                </c:pt>
                <c:pt idx="18">
                  <c:v>50879.626810988084</c:v>
                </c:pt>
                <c:pt idx="19">
                  <c:v>31590.597410920618</c:v>
                </c:pt>
                <c:pt idx="20">
                  <c:v>82966.475098870433</c:v>
                </c:pt>
                <c:pt idx="21">
                  <c:v>101522.65247679333</c:v>
                </c:pt>
                <c:pt idx="22">
                  <c:v>53138.25599594957</c:v>
                </c:pt>
                <c:pt idx="23">
                  <c:v>32576.053437946994</c:v>
                </c:pt>
                <c:pt idx="24">
                  <c:v>84865.497092081874</c:v>
                </c:pt>
                <c:pt idx="25">
                  <c:v>103751.76230240409</c:v>
                </c:pt>
                <c:pt idx="26">
                  <c:v>54507.36429777903</c:v>
                </c:pt>
                <c:pt idx="27">
                  <c:v>32377.324121268019</c:v>
                </c:pt>
                <c:pt idx="28">
                  <c:v>84629.793883835257</c:v>
                </c:pt>
                <c:pt idx="29">
                  <c:v>103502.37502666502</c:v>
                </c:pt>
                <c:pt idx="30">
                  <c:v>54291.797810474614</c:v>
                </c:pt>
                <c:pt idx="31">
                  <c:v>36635.729271682314</c:v>
                </c:pt>
                <c:pt idx="32">
                  <c:v>92436.323784715321</c:v>
                </c:pt>
                <c:pt idx="33">
                  <c:v>112591.78553278054</c:v>
                </c:pt>
                <c:pt idx="34">
                  <c:v>60043.785790244423</c:v>
                </c:pt>
                <c:pt idx="35">
                  <c:v>44402.584164931002</c:v>
                </c:pt>
                <c:pt idx="36">
                  <c:v>106573.68240525824</c:v>
                </c:pt>
                <c:pt idx="37">
                  <c:v>129032.74793641971</c:v>
                </c:pt>
                <c:pt idx="38">
                  <c:v>70493.301855220416</c:v>
                </c:pt>
                <c:pt idx="39">
                  <c:v>46326.886907018044</c:v>
                </c:pt>
                <c:pt idx="40">
                  <c:v>110172.69208713573</c:v>
                </c:pt>
                <c:pt idx="41">
                  <c:v>133237.09816880926</c:v>
                </c:pt>
                <c:pt idx="42">
                  <c:v>73121.861469402036</c:v>
                </c:pt>
                <c:pt idx="43">
                  <c:v>46179.602603051833</c:v>
                </c:pt>
                <c:pt idx="44">
                  <c:v>110036.19369102863</c:v>
                </c:pt>
                <c:pt idx="45">
                  <c:v>133104.17024735676</c:v>
                </c:pt>
                <c:pt idx="46">
                  <c:v>72977.78894075779</c:v>
                </c:pt>
                <c:pt idx="47">
                  <c:v>49232.574689792556</c:v>
                </c:pt>
                <c:pt idx="48">
                  <c:v>115674.61174694466</c:v>
                </c:pt>
                <c:pt idx="49">
                  <c:v>139677.29295513188</c:v>
                </c:pt>
                <c:pt idx="50">
                  <c:v>77118.683889877779</c:v>
                </c:pt>
                <c:pt idx="51">
                  <c:v>52979.046987055401</c:v>
                </c:pt>
                <c:pt idx="52">
                  <c:v>122565.7835075046</c:v>
                </c:pt>
                <c:pt idx="53">
                  <c:v>147705.42148298217</c:v>
                </c:pt>
                <c:pt idx="54">
                  <c:v>82188.678986765997</c:v>
                </c:pt>
                <c:pt idx="55">
                  <c:v>58080.525769570362</c:v>
                </c:pt>
                <c:pt idx="56">
                  <c:v>131903.08955718775</c:v>
                </c:pt>
                <c:pt idx="57">
                  <c:v>158574.29138370621</c:v>
                </c:pt>
                <c:pt idx="58">
                  <c:v>89073.364172271278</c:v>
                </c:pt>
                <c:pt idx="59">
                  <c:v>62804.238692327359</c:v>
                </c:pt>
                <c:pt idx="60">
                  <c:v>140560.63407530065</c:v>
                </c:pt>
                <c:pt idx="61">
                  <c:v>168654.17660468101</c:v>
                </c:pt>
                <c:pt idx="62">
                  <c:v>95453.030011476396</c:v>
                </c:pt>
                <c:pt idx="63">
                  <c:v>58453.022058801842</c:v>
                </c:pt>
                <c:pt idx="64">
                  <c:v>102201.82214893539</c:v>
                </c:pt>
                <c:pt idx="65">
                  <c:v>122500.38007795662</c:v>
                </c:pt>
                <c:pt idx="66">
                  <c:v>69612.10325369233</c:v>
                </c:pt>
                <c:pt idx="67">
                  <c:v>46904.886746228854</c:v>
                </c:pt>
                <c:pt idx="68">
                  <c:v>103893.71992778804</c:v>
                </c:pt>
                <c:pt idx="69">
                  <c:v>124484.30426459927</c:v>
                </c:pt>
                <c:pt idx="70">
                  <c:v>70835.307492833934</c:v>
                </c:pt>
                <c:pt idx="71">
                  <c:v>50358.151102813237</c:v>
                </c:pt>
                <c:pt idx="72">
                  <c:v>110222.3174012322</c:v>
                </c:pt>
                <c:pt idx="73">
                  <c:v>131852.52536956646</c:v>
                </c:pt>
                <c:pt idx="74">
                  <c:v>75498.949069943774</c:v>
                </c:pt>
                <c:pt idx="75">
                  <c:v>52395.687186639771</c:v>
                </c:pt>
                <c:pt idx="76">
                  <c:v>113998.22172067576</c:v>
                </c:pt>
                <c:pt idx="77">
                  <c:v>136256.86058812062</c:v>
                </c:pt>
                <c:pt idx="78">
                  <c:v>78267.833118801515</c:v>
                </c:pt>
                <c:pt idx="79">
                  <c:v>57458.627417319207</c:v>
                </c:pt>
                <c:pt idx="80">
                  <c:v>123233.25046533596</c:v>
                </c:pt>
                <c:pt idx="81">
                  <c:v>147000.48381960849</c:v>
                </c:pt>
                <c:pt idx="82">
                  <c:v>85087.457087570772</c:v>
                </c:pt>
                <c:pt idx="83">
                  <c:v>61539.466279284767</c:v>
                </c:pt>
                <c:pt idx="84">
                  <c:v>130697.88526372283</c:v>
                </c:pt>
                <c:pt idx="85">
                  <c:v>155688.61936956411</c:v>
                </c:pt>
                <c:pt idx="86">
                  <c:v>90592.849114986835</c:v>
                </c:pt>
                <c:pt idx="87">
                  <c:v>66063.010323315699</c:v>
                </c:pt>
                <c:pt idx="88">
                  <c:v>138962.49472898542</c:v>
                </c:pt>
                <c:pt idx="89">
                  <c:v>165305.9341183074</c:v>
                </c:pt>
                <c:pt idx="90">
                  <c:v>96691.452243893335</c:v>
                </c:pt>
                <c:pt idx="91">
                  <c:v>70284.505113377527</c:v>
                </c:pt>
                <c:pt idx="92">
                  <c:v>146683.56142875156</c:v>
                </c:pt>
                <c:pt idx="93">
                  <c:v>174292.36490733508</c:v>
                </c:pt>
                <c:pt idx="94">
                  <c:v>102386.24699556347</c:v>
                </c:pt>
                <c:pt idx="95">
                  <c:v>71074.677867268547</c:v>
                </c:pt>
                <c:pt idx="96">
                  <c:v>148215.89898131281</c:v>
                </c:pt>
                <c:pt idx="97">
                  <c:v>176092.83240197867</c:v>
                </c:pt>
                <c:pt idx="98">
                  <c:v>103487.98088600898</c:v>
                </c:pt>
                <c:pt idx="99">
                  <c:v>71228.010081119864</c:v>
                </c:pt>
                <c:pt idx="100">
                  <c:v>148600.76936745434</c:v>
                </c:pt>
                <c:pt idx="101">
                  <c:v>176561.1580677866</c:v>
                </c:pt>
                <c:pt idx="102">
                  <c:v>103737.72618958834</c:v>
                </c:pt>
                <c:pt idx="103">
                  <c:v>71462.967265490675</c:v>
                </c:pt>
                <c:pt idx="104">
                  <c:v>149134.30364392351</c:v>
                </c:pt>
                <c:pt idx="105">
                  <c:v>177202.38857385458</c:v>
                </c:pt>
                <c:pt idx="106">
                  <c:v>104097.32443339465</c:v>
                </c:pt>
                <c:pt idx="107">
                  <c:v>72360.33641778765</c:v>
                </c:pt>
                <c:pt idx="108">
                  <c:v>150864.26122988597</c:v>
                </c:pt>
                <c:pt idx="109">
                  <c:v>0</c:v>
                </c:pt>
                <c:pt idx="110">
                  <c:v>0</c:v>
                </c:pt>
              </c:numCache>
            </c:numRef>
          </c:val>
          <c:smooth val="0"/>
          <c:extLst>
            <c:ext xmlns:c16="http://schemas.microsoft.com/office/drawing/2014/chart" uri="{C3380CC4-5D6E-409C-BE32-E72D297353CC}">
              <c16:uniqueId val="{00000004-9C4A-4D40-B7F8-ED0CC9F5389F}"/>
            </c:ext>
          </c:extLst>
        </c:ser>
        <c:dLbls>
          <c:showLegendKey val="0"/>
          <c:showVal val="0"/>
          <c:showCatName val="0"/>
          <c:showSerName val="0"/>
          <c:showPercent val="0"/>
          <c:showBubbleSize val="0"/>
        </c:dLbls>
        <c:marker val="1"/>
        <c:smooth val="0"/>
        <c:axId val="1213343999"/>
        <c:axId val="1243613583"/>
      </c:lineChart>
      <c:dateAx>
        <c:axId val="1213343999"/>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3613583"/>
        <c:crosses val="autoZero"/>
        <c:auto val="1"/>
        <c:lblOffset val="100"/>
        <c:baseTimeUnit val="months"/>
      </c:dateAx>
      <c:valAx>
        <c:axId val="1243613583"/>
        <c:scaling>
          <c:orientation val="minMax"/>
        </c:scaling>
        <c:delete val="0"/>
        <c:axPos val="l"/>
        <c:majorGridlines>
          <c:spPr>
            <a:ln w="9525" cap="flat" cmpd="sng" algn="ctr">
              <a:solidFill>
                <a:schemeClr val="tx1">
                  <a:lumMod val="15000"/>
                  <a:lumOff val="85000"/>
                </a:schemeClr>
              </a:solidFill>
              <a:round/>
            </a:ln>
            <a:effectLst/>
          </c:spPr>
        </c:majorGridlines>
        <c:numFmt formatCode="#,##0_);\(#,##0\);&quot;-  &quot;;&quot; &quot;@&quot; &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343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62183A0-28B4-499A-A50D-A7BD7EA12C6B}">
  <sheetPr codeName="Chart4"/>
  <sheetViews>
    <sheetView zoomScale="79" workbookViewId="0" zoomToFit="1"/>
  </sheetViews>
  <pageMargins left="0.7" right="0.7" top="0.75" bottom="0.75" header="0.3" footer="0.3"/>
  <drawing r:id="rId1"/>
</chartsheet>
</file>

<file path=xl/ctrlProps/ctrlProp1.xml><?xml version="1.0" encoding="utf-8"?>
<formControlPr xmlns="http://schemas.microsoft.com/office/spreadsheetml/2009/9/main" objectType="Drop" dropStyle="combo" dx="31" fmlaLink="Scenario!$E$33" fmlaRange="Scenario!$M$36:$M$38" noThreeD="1" sel="3" val="0"/>
</file>

<file path=xl/ctrlProps/ctrlProp2.xml><?xml version="1.0" encoding="utf-8"?>
<formControlPr xmlns="http://schemas.microsoft.com/office/spreadsheetml/2009/9/main" objectType="CheckBox" fmlaLink="Assumptions!$F$107" lockText="1" noThreeD="1"/>
</file>

<file path=xl/ctrlProps/ctrlProp3.xml><?xml version="1.0" encoding="utf-8"?>
<formControlPr xmlns="http://schemas.microsoft.com/office/spreadsheetml/2009/9/main" objectType="Drop" dropStyle="combo" dx="31" fmlaLink="Assumptions!$E$32" fmlaRange="Assumptions!$C$28:$C$30" noThreeD="1" sel="1" val="0"/>
</file>

<file path=xl/ctrlProps/ctrlProp4.xml><?xml version="1.0" encoding="utf-8"?>
<formControlPr xmlns="http://schemas.microsoft.com/office/spreadsheetml/2009/9/main" objectType="CheckBox" fmlaLink="Assumptions!$F$143" lockText="1" noThreeD="1"/>
</file>

<file path=xl/ctrlProps/ctrlProp5.xml><?xml version="1.0" encoding="utf-8"?>
<formControlPr xmlns="http://schemas.microsoft.com/office/spreadsheetml/2009/9/main" objectType="Spin" dx="31" fmlaLink="Scenario!$E$16" max="300" page="10" val="190"/>
</file>

<file path=xl/ctrlProps/ctrlProp6.xml><?xml version="1.0" encoding="utf-8"?>
<formControlPr xmlns="http://schemas.microsoft.com/office/spreadsheetml/2009/9/main" objectType="Spin" dx="31" fmlaLink="Scenario!$G$16" max="3000" page="10" val="2588"/>
</file>

<file path=xl/ctrlProps/ctrlProp7.xml><?xml version="1.0" encoding="utf-8"?>
<formControlPr xmlns="http://schemas.microsoft.com/office/spreadsheetml/2009/9/main" objectType="Spin" dx="31" fmlaLink="Scenario!$K$16" max="300" page="10" val="135"/>
</file>

<file path=xl/ctrlProps/ctrlProp8.xml><?xml version="1.0" encoding="utf-8"?>
<formControlPr xmlns="http://schemas.microsoft.com/office/spreadsheetml/2009/9/main" objectType="Drop" dropStyle="combo" dx="31" fmlaLink="Scenario!$L$16" fmlaRange="Scenario!$D$24:$D$28" noThreeD="1" sel="1" val="0"/>
</file>

<file path=xl/ctrlProps/ctrlProp9.xml><?xml version="1.0" encoding="utf-8"?>
<formControlPr xmlns="http://schemas.microsoft.com/office/spreadsheetml/2009/9/main" objectType="Drop" dropStyle="combo" dx="31" fmlaLink="Scenario!$E$3" fmlaRange="Scenario!$C$7:$C$12" noThreeD="1" sel="1" val="0"/>
</file>

<file path=xl/ctrlProps/ctrlProp10.xml><?xml version="1.0" encoding="utf-8"?>
<formControlPr xmlns="http://schemas.microsoft.com/office/spreadsheetml/2009/9/main" objectType="Spin" dx="31" fmlaLink="Assumptions!$G$132" max="300" page="10" val="145"/>
</file>

<file path=xl/ctrlProps/ctrlProp11.xml><?xml version="1.0" encoding="utf-8"?>
<formControlPr xmlns="http://schemas.microsoft.com/office/spreadsheetml/2009/9/main" objectType="Spin" dx="31" fmlaLink="Assumptions!$G$140" max="300" page="10" val="20"/>
</file>

<file path=xl/ctrlProps/ctrlProp12.xml><?xml version="1.0" encoding="utf-8"?>
<formControlPr xmlns="http://schemas.microsoft.com/office/spreadsheetml/2009/9/main" objectType="Drop" dropLines="12" dropStyle="combo" dx="31" fmlaLink="Scenario!$J$96" fmlaRange="Scenario!$F$95:$F$106" noThreeD="1" sel="9" val="0"/>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pin" dx="31" fmlaLink="Scenario!$I$16" max="300" page="10" val="5"/>
</file>

<file path=xl/ctrlProps/ctrlProp16.xml><?xml version="1.0" encoding="utf-8"?>
<formControlPr xmlns="http://schemas.microsoft.com/office/spreadsheetml/2009/9/main" objectType="Drop" dropStyle="combo" dx="31" fmlaLink="Scenario!$E$3" fmlaRange="Scenario!$C$7:$C$12" noThreeD="1" sel="1" val="0"/>
</file>

<file path=xl/ctrlProps/ctrlProp17.xml><?xml version="1.0" encoding="utf-8"?>
<formControlPr xmlns="http://schemas.microsoft.com/office/spreadsheetml/2009/9/main" objectType="Spin" dx="31" fmlaLink="Assumptions!$G$157" inc="20" max="100" page="10" val="0"/>
</file>

<file path=xl/ctrlProps/ctrlProp18.xml><?xml version="1.0" encoding="utf-8"?>
<formControlPr xmlns="http://schemas.microsoft.com/office/spreadsheetml/2009/9/main" objectType="CheckBox" fmlaLink="Assumptions!$F$107" lockText="1" noThreeD="1"/>
</file>

<file path=xl/ctrlProps/ctrlProp19.xml><?xml version="1.0" encoding="utf-8"?>
<formControlPr xmlns="http://schemas.microsoft.com/office/spreadsheetml/2009/9/main" objectType="CheckBox" fmlaLink="Assumptions!$F$107" lockText="1" noThreeD="1"/>
</file>

<file path=xl/ctrlProps/ctrlProp20.xml><?xml version="1.0" encoding="utf-8"?>
<formControlPr xmlns="http://schemas.microsoft.com/office/spreadsheetml/2009/9/main" objectType="Drop" dropStyle="combo" dx="31" fmlaLink="Scenario!$E$33" fmlaRange="Scenario!$M$36:$M$38" noThreeD="1" sel="3" val="0"/>
</file>

<file path=xl/ctrlProps/ctrlProp21.xml><?xml version="1.0" encoding="utf-8"?>
<formControlPr xmlns="http://schemas.microsoft.com/office/spreadsheetml/2009/9/main" objectType="Drop" dropStyle="combo" dx="31" fmlaLink="Assumptions!$E$32" fmlaRange="Assumptions!$C$28:$C$30" noThreeD="1" sel="1" val="0"/>
</file>

<file path=xl/ctrlProps/ctrlProp22.xml><?xml version="1.0" encoding="utf-8"?>
<formControlPr xmlns="http://schemas.microsoft.com/office/spreadsheetml/2009/9/main" objectType="CheckBox" fmlaLink="Assumptions!$F$143" lockText="1" noThreeD="1"/>
</file>

<file path=xl/ctrlProps/ctrlProp23.xml><?xml version="1.0" encoding="utf-8"?>
<formControlPr xmlns="http://schemas.microsoft.com/office/spreadsheetml/2009/9/main" objectType="Drop" dropLines="12" dropStyle="combo" dx="31" fmlaLink="Scenario!$J$96" fmlaRange="Scenario!$F$95:$F$106" noThreeD="1" sel="9" val="0"/>
</file>

<file path=xl/ctrlProps/ctrlProp24.xml><?xml version="1.0" encoding="utf-8"?>
<formControlPr xmlns="http://schemas.microsoft.com/office/spreadsheetml/2009/9/main" objectType="Spin" dx="31" fmlaLink="Assumptions!$G$132" max="300" page="10" val="145"/>
</file>

<file path=xl/ctrlProps/ctrlProp25.xml><?xml version="1.0" encoding="utf-8"?>
<formControlPr xmlns="http://schemas.microsoft.com/office/spreadsheetml/2009/9/main" objectType="Spin" dx="31" fmlaLink="Assumptions!$G$140" max="300" page="10" val="20"/>
</file>

<file path=xl/ctrlProps/ctrlProp26.xml><?xml version="1.0" encoding="utf-8"?>
<formControlPr xmlns="http://schemas.microsoft.com/office/spreadsheetml/2009/9/main" objectType="Spin" dx="31" fmlaLink="Scenario!$E$16" max="300" page="10" val="190"/>
</file>

<file path=xl/ctrlProps/ctrlProp27.xml><?xml version="1.0" encoding="utf-8"?>
<formControlPr xmlns="http://schemas.microsoft.com/office/spreadsheetml/2009/9/main" objectType="Spin" dx="31" fmlaLink="Scenario!$F$16" max="300" page="10" val="100"/>
</file>

<file path=xl/ctrlProps/ctrlProp28.xml><?xml version="1.0" encoding="utf-8"?>
<formControlPr xmlns="http://schemas.microsoft.com/office/spreadsheetml/2009/9/main" objectType="Spin" dx="31" fmlaLink="Scenario!$G$16" max="3000" page="10" val="2588"/>
</file>

<file path=xl/ctrlProps/ctrlProp29.xml><?xml version="1.0" encoding="utf-8"?>
<formControlPr xmlns="http://schemas.microsoft.com/office/spreadsheetml/2009/9/main" objectType="Spin" dx="31" fmlaLink="Scenario!$H$16" max="300" page="10" val="85"/>
</file>

<file path=xl/ctrlProps/ctrlProp30.xml><?xml version="1.0" encoding="utf-8"?>
<formControlPr xmlns="http://schemas.microsoft.com/office/spreadsheetml/2009/9/main" objectType="Spin" dx="31" fmlaLink="Scenario!$H$16" max="300" page="10" val="85"/>
</file>

<file path=xl/ctrlProps/ctrlProp31.xml><?xml version="1.0" encoding="utf-8"?>
<formControlPr xmlns="http://schemas.microsoft.com/office/spreadsheetml/2009/9/main" objectType="Spin" dx="31" fmlaLink="Scenario!$H$16" max="300" page="10" val="85"/>
</file>

<file path=xl/ctrlProps/ctrlProp32.xml><?xml version="1.0" encoding="utf-8"?>
<formControlPr xmlns="http://schemas.microsoft.com/office/spreadsheetml/2009/9/main" objectType="Spin" dx="31" fmlaLink="Scenario!$K$16" max="300" page="10" val="135"/>
</file>

<file path=xl/ctrlProps/ctrlProp33.xml><?xml version="1.0" encoding="utf-8"?>
<formControlPr xmlns="http://schemas.microsoft.com/office/spreadsheetml/2009/9/main" objectType="Drop" dropStyle="combo" dx="31" fmlaLink="Scenario!$L$16" fmlaRange="Scenario!$D$24:$D$28" noThreeD="1" sel="1" val="0"/>
</file>

<file path=xl/ctrlProps/ctrlProp34.xml><?xml version="1.0" encoding="utf-8"?>
<formControlPr xmlns="http://schemas.microsoft.com/office/spreadsheetml/2009/9/main" objectType="Spin" dx="31" fmlaLink="Scenario!$M$16" max="300" page="10" val="50"/>
</file>

<file path=xl/ctrlProps/ctrlProp35.xml><?xml version="1.0" encoding="utf-8"?>
<formControlPr xmlns="http://schemas.microsoft.com/office/spreadsheetml/2009/9/main" objectType="Spin" dx="31" fmlaLink="Assumptions!$G$157" max="300" page="10" val="0"/>
</file>

<file path=xl/ctrlProps/ctrlProp36.xml><?xml version="1.0" encoding="utf-8"?>
<formControlPr xmlns="http://schemas.microsoft.com/office/spreadsheetml/2009/9/main" objectType="Drop" dropStyle="combo" dx="31" fmlaLink="Scenario!$E$33" fmlaRange="Scenario!$M$36:$M$38" noThreeD="1" sel="3" val="0"/>
</file>

<file path=xl/ctrlProps/ctrlProp37.xml><?xml version="1.0" encoding="utf-8"?>
<formControlPr xmlns="http://schemas.microsoft.com/office/spreadsheetml/2009/9/main" objectType="Drop" dropLines="12" dropStyle="combo" dx="31" fmlaLink="Scenario!$J$96" fmlaRange="Scenario!$F$95:$F$106" noThreeD="1" sel="9" val="0"/>
</file>

<file path=xl/ctrlProps/ctrlProp38.xml><?xml version="1.0" encoding="utf-8"?>
<formControlPr xmlns="http://schemas.microsoft.com/office/spreadsheetml/2009/9/main" objectType="Drop" dropStyle="combo" dx="31" fmlaLink="Scenario!$E$3" fmlaRange="Scenario!$C$7:$C$12" noThreeD="1" sel="1" val="0"/>
</file>

<file path=xl/ctrlProps/ctrlProp39.xml><?xml version="1.0" encoding="utf-8"?>
<formControlPr xmlns="http://schemas.microsoft.com/office/spreadsheetml/2009/9/main" objectType="Spin" dx="31" fmlaLink="Scenario!$E$16" max="300" page="10" val="190"/>
</file>

<file path=xl/ctrlProps/ctrlProp40.xml><?xml version="1.0" encoding="utf-8"?>
<formControlPr xmlns="http://schemas.microsoft.com/office/spreadsheetml/2009/9/main" objectType="Spin" dx="31" fmlaLink="Scenario!$F$16" max="300" page="10" val="100"/>
</file>

<file path=xl/ctrlProps/ctrlProp41.xml><?xml version="1.0" encoding="utf-8"?>
<formControlPr xmlns="http://schemas.microsoft.com/office/spreadsheetml/2009/9/main" objectType="Spin" dx="31" fmlaLink="Scenario!$G$16" max="3000" page="10" val="2588"/>
</file>

<file path=xl/ctrlProps/ctrlProp42.xml><?xml version="1.0" encoding="utf-8"?>
<formControlPr xmlns="http://schemas.microsoft.com/office/spreadsheetml/2009/9/main" objectType="Spin" dx="31" fmlaLink="Scenario!$H$16" max="300" page="10" val="85"/>
</file>

<file path=xl/ctrlProps/ctrlProp43.xml><?xml version="1.0" encoding="utf-8"?>
<formControlPr xmlns="http://schemas.microsoft.com/office/spreadsheetml/2009/9/main" objectType="Spin" dx="31" fmlaLink="Scenario!$I$16" max="300" page="10" val="5"/>
</file>

<file path=xl/ctrlProps/ctrlProp44.xml><?xml version="1.0" encoding="utf-8"?>
<formControlPr xmlns="http://schemas.microsoft.com/office/spreadsheetml/2009/9/main" objectType="Spin" dx="31" fmlaLink="Scenario!$J$16" max="300" page="10" val="25"/>
</file>

<file path=xl/ctrlProps/ctrlProp45.xml><?xml version="1.0" encoding="utf-8"?>
<formControlPr xmlns="http://schemas.microsoft.com/office/spreadsheetml/2009/9/main" objectType="Spin" dx="31" fmlaLink="Scenario!$K$16" max="300" page="10" val="135"/>
</file>

<file path=xl/ctrlProps/ctrlProp46.xml><?xml version="1.0" encoding="utf-8"?>
<formControlPr xmlns="http://schemas.microsoft.com/office/spreadsheetml/2009/9/main" objectType="Drop" dropStyle="combo" dx="31" fmlaLink="Scenario!$L$16" fmlaRange="Scenario!$D$24:$D$28" noThreeD="1" sel="1" val="0"/>
</file>

<file path=xl/ctrlProps/ctrlProp47.xml><?xml version="1.0" encoding="utf-8"?>
<formControlPr xmlns="http://schemas.microsoft.com/office/spreadsheetml/2009/9/main" objectType="Spin" dx="31" fmlaLink="Scenario!$M$16" max="300" page="10" val="50"/>
</file>

<file path=xl/ctrlProps/ctrlProp48.xml><?xml version="1.0" encoding="utf-8"?>
<formControlPr xmlns="http://schemas.microsoft.com/office/spreadsheetml/2009/9/main" objectType="Drop" dropStyle="combo" dx="31" fmlaLink="Scenario!$L$16" fmlaRange="Scenario!$D$24:$D$28" noThreeD="1" sel="1" val="0"/>
</file>

<file path=xl/ctrlProps/ctrlProp49.xml><?xml version="1.0" encoding="utf-8"?>
<formControlPr xmlns="http://schemas.microsoft.com/office/spreadsheetml/2009/9/main" objectType="CheckBox" fmlaLink="Assumptions!$F$107" lockText="1" noThreeD="1"/>
</file>

<file path=xl/ctrlProps/ctrlProp50.xml><?xml version="1.0" encoding="utf-8"?>
<formControlPr xmlns="http://schemas.microsoft.com/office/spreadsheetml/2009/9/main" objectType="CheckBox" fmlaLink="Assumptions!$F$107" lockText="1" noThreeD="1"/>
</file>

<file path=xl/ctrlProps/ctrlProp51.xml><?xml version="1.0" encoding="utf-8"?>
<formControlPr xmlns="http://schemas.microsoft.com/office/spreadsheetml/2009/9/main" objectType="CheckBox" fmlaLink="Assumptions!$F$107" lockText="1" noThreeD="1"/>
</file>

<file path=xl/ctrlProps/ctrlProp52.xml><?xml version="1.0" encoding="utf-8"?>
<formControlPr xmlns="http://schemas.microsoft.com/office/spreadsheetml/2009/9/main" objectType="Drop" dropLines="12" dropStyle="combo" dx="31" fmlaLink="Scenario!$J$96" fmlaRange="Scenario!$F$95:$F$106" noThreeD="1" sel="9" val="0"/>
</file>

<file path=xl/ctrlProps/ctrlProp53.xml><?xml version="1.0" encoding="utf-8"?>
<formControlPr xmlns="http://schemas.microsoft.com/office/spreadsheetml/2009/9/main" objectType="CheckBox" fmlaLink="Assumptions!$F$143" lockText="1" noThreeD="1"/>
</file>

<file path=xl/ctrlProps/ctrlProp54.xml><?xml version="1.0" encoding="utf-8"?>
<formControlPr xmlns="http://schemas.microsoft.com/office/spreadsheetml/2009/9/main" objectType="CheckBox" fmlaLink="Assumptions!$F$107" lockText="1" noThreeD="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Drop" dropStyle="combo" dx="31" fmlaLink="Scenario!$E$33" fmlaRange="Scenario!$M$36:$M$38" noThreeD="1" sel="3" val="0"/>
</file>

<file path=xl/ctrlProps/ctrlProp57.xml><?xml version="1.0" encoding="utf-8"?>
<formControlPr xmlns="http://schemas.microsoft.com/office/spreadsheetml/2009/9/main" objectType="CheckBox" fmlaLink="Assumptions!$F$143" lockText="1" noThreeD="1"/>
</file>

<file path=xl/ctrlProps/ctrlProp58.xml><?xml version="1.0" encoding="utf-8"?>
<formControlPr xmlns="http://schemas.microsoft.com/office/spreadsheetml/2009/9/main" objectType="Drop" dropLines="12" dropStyle="combo" dx="31" fmlaLink="Scenario!$J$96" fmlaRange="Scenario!$F$95:$F$106" noThreeD="1" sel="9" val="0"/>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Spin" dx="31" fmlaLink="Assumptions!$G$157" inc="20" max="100" page="10" val="0"/>
</file>

<file path=xl/ctrlProps/ctrlProp62.xml><?xml version="1.0" encoding="utf-8"?>
<formControlPr xmlns="http://schemas.microsoft.com/office/spreadsheetml/2009/9/main" objectType="Spin" dx="31" max="40" min="15" page="10" val="15"/>
</file>

<file path=xl/ctrlProps/ctrlProp63.xml><?xml version="1.0" encoding="utf-8"?>
<formControlPr xmlns="http://schemas.microsoft.com/office/spreadsheetml/2009/9/main" objectType="Drop" dropStyle="combo" dx="31" fmlaLink="'Operating Data'!$E$2" fmlaRange="'Operating Data'!$D$5:$D$8"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5</xdr:col>
      <xdr:colOff>0</xdr:colOff>
      <xdr:row>14</xdr:row>
      <xdr:rowOff>0</xdr:rowOff>
    </xdr:from>
    <xdr:to>
      <xdr:col>13</xdr:col>
      <xdr:colOff>132080</xdr:colOff>
      <xdr:row>32</xdr:row>
      <xdr:rowOff>180340</xdr:rowOff>
    </xdr:to>
    <xdr:sp macro="" textlink="">
      <xdr:nvSpPr>
        <xdr:cNvPr id="2" name="Title 1">
          <a:extLst>
            <a:ext uri="{FF2B5EF4-FFF2-40B4-BE49-F238E27FC236}">
              <a16:creationId xmlns:a16="http://schemas.microsoft.com/office/drawing/2014/main" id="{00000000-0008-0000-0100-000002000000}"/>
            </a:ext>
          </a:extLst>
        </xdr:cNvPr>
        <xdr:cNvSpPr>
          <a:spLocks noGrp="1"/>
        </xdr:cNvSpPr>
      </xdr:nvSpPr>
      <xdr:spPr>
        <a:xfrm>
          <a:off x="4273550" y="2578100"/>
          <a:ext cx="4685030" cy="3495040"/>
        </a:xfrm>
        <a:prstGeom prst="rect">
          <a:avLst/>
        </a:prstGeom>
      </xdr:spPr>
      <xdr:txBody>
        <a:bodyPr vert="horz" wrap="square" lIns="91440" tIns="45720" rIns="91440" bIns="45720" rtlCol="0" anchor="b">
          <a:noAutofit/>
        </a:bodyPr>
        <a:lstStyle>
          <a:lvl1pPr algn="l" defTabSz="914430" rtl="0" eaLnBrk="1" latinLnBrk="0" hangingPunct="1">
            <a:lnSpc>
              <a:spcPct val="90000"/>
            </a:lnSpc>
            <a:spcBef>
              <a:spcPct val="0"/>
            </a:spcBef>
            <a:buNone/>
            <a:defRPr sz="4400" b="0" kern="1200" cap="all" baseline="0">
              <a:solidFill>
                <a:schemeClr val="tx1">
                  <a:lumMod val="50000"/>
                </a:schemeClr>
              </a:solidFill>
              <a:latin typeface="+mj-lt"/>
              <a:ea typeface="+mj-ea"/>
              <a:cs typeface="+mj-cs"/>
            </a:defRPr>
          </a:lvl1pPr>
        </a:lstStyle>
        <a:p>
          <a:pPr>
            <a:lnSpc>
              <a:spcPct val="150000"/>
            </a:lnSpc>
          </a:pPr>
          <a:endParaRPr lang="en-AU" sz="700">
            <a:latin typeface="Times New Roman" panose="02020603050405020304" pitchFamily="18" charset="0"/>
            <a:cs typeface="Times New Roman" panose="02020603050405020304" pitchFamily="18" charset="0"/>
          </a:endParaRPr>
        </a:p>
        <a:p>
          <a:pPr>
            <a:lnSpc>
              <a:spcPct val="150000"/>
            </a:lnSpc>
          </a:pPr>
          <a:r>
            <a:rPr lang="en-AU" sz="700" b="1">
              <a:latin typeface="Times New Roman" panose="02020603050405020304" pitchFamily="18" charset="0"/>
              <a:cs typeface="Times New Roman" panose="02020603050405020304" pitchFamily="18" charset="0"/>
            </a:rPr>
            <a:t>Confidentiality &amp; Disclaimer</a:t>
          </a:r>
          <a:endParaRPr lang="en-AU" sz="700">
            <a:latin typeface="Times New Roman" panose="02020603050405020304" pitchFamily="18" charset="0"/>
            <a:cs typeface="Times New Roman" panose="02020603050405020304" pitchFamily="18" charset="0"/>
          </a:endParaRPr>
        </a:p>
        <a:p>
          <a:pPr>
            <a:lnSpc>
              <a:spcPct val="150000"/>
            </a:lnSpc>
          </a:pPr>
          <a:r>
            <a:rPr lang="en-AU" sz="700">
              <a:latin typeface="Times New Roman" panose="02020603050405020304" pitchFamily="18" charset="0"/>
              <a:cs typeface="Times New Roman" panose="02020603050405020304" pitchFamily="18" charset="0"/>
            </a:rPr>
            <a:t>This Financial Model (“FM”) is being provided to  potential ANYBODY by ELVIS PRESLY  as a source of preliminary information. This document is AVAILABLE to the person to whom it is provided and CAN be copied or distributed in whole or in part or disclosed. </a:t>
          </a:r>
          <a:r>
            <a:rPr lang="en-US" sz="700">
              <a:latin typeface="Times New Roman" panose="02020603050405020304" pitchFamily="18" charset="0"/>
              <a:cs typeface="Times New Roman" panose="02020603050405020304" pitchFamily="18" charset="0"/>
            </a:rPr>
            <a:t>By receiving this Financial Model , the recipient is NOT bound by the above-mentioned confidentiality obligation. </a:t>
          </a:r>
          <a:br>
            <a:rPr lang="en-US" sz="700">
              <a:latin typeface="Times New Roman" panose="02020603050405020304" pitchFamily="18" charset="0"/>
              <a:cs typeface="Times New Roman" panose="02020603050405020304" pitchFamily="18" charset="0"/>
            </a:rPr>
          </a:br>
          <a:br>
            <a:rPr lang="en-GB" sz="700">
              <a:latin typeface="Times New Roman" panose="02020603050405020304" pitchFamily="18" charset="0"/>
              <a:cs typeface="Times New Roman" panose="02020603050405020304" pitchFamily="18" charset="0"/>
            </a:rPr>
          </a:br>
          <a:r>
            <a:rPr lang="en-AU" sz="700">
              <a:latin typeface="Times New Roman" panose="02020603050405020304" pitchFamily="18" charset="0"/>
              <a:cs typeface="Times New Roman" panose="02020603050405020304" pitchFamily="18" charset="0"/>
            </a:rPr>
            <a:t>This Financial Model  does not constitute </a:t>
          </a:r>
          <a:r>
            <a:rPr lang="en-US" sz="700">
              <a:latin typeface="Times New Roman" panose="02020603050405020304" pitchFamily="18" charset="0"/>
              <a:cs typeface="Times New Roman" panose="02020603050405020304" pitchFamily="18" charset="0"/>
            </a:rPr>
            <a:t>an offer, invitation or solicitation to purchase or subscribe to any securities or other instruments, or to undertake or divest investments. </a:t>
          </a:r>
          <a:r>
            <a:rPr lang="en-AU" sz="700">
              <a:latin typeface="Times New Roman" panose="02020603050405020304" pitchFamily="18" charset="0"/>
              <a:cs typeface="Times New Roman" panose="02020603050405020304" pitchFamily="18" charset="0"/>
            </a:rPr>
            <a:t>The matters described in this Financial Model</a:t>
          </a:r>
          <a:r>
            <a:rPr lang="en-AU" sz="700" baseline="0">
              <a:latin typeface="Times New Roman" panose="02020603050405020304" pitchFamily="18" charset="0"/>
              <a:cs typeface="Times New Roman" panose="02020603050405020304" pitchFamily="18" charset="0"/>
            </a:rPr>
            <a:t> The Financial Model (including data, assumptions, statements, results, data, estimates and forecasts) </a:t>
          </a:r>
          <a:r>
            <a:rPr lang="en-AU" sz="700">
              <a:latin typeface="Times New Roman" panose="02020603050405020304" pitchFamily="18" charset="0"/>
              <a:cs typeface="Times New Roman" panose="02020603050405020304" pitchFamily="18" charset="0"/>
            </a:rPr>
            <a:t>are </a:t>
          </a:r>
          <a:r>
            <a:rPr lang="en-US" sz="700">
              <a:latin typeface="Times New Roman" panose="02020603050405020304" pitchFamily="18" charset="0"/>
              <a:cs typeface="Times New Roman" panose="02020603050405020304" pitchFamily="18" charset="0"/>
            </a:rPr>
            <a:t>for NOT TRUE and no reliance should be placed on ANytHING. This Financial Model WAS</a:t>
          </a:r>
          <a:r>
            <a:rPr lang="en-US" sz="700" baseline="0">
              <a:latin typeface="Times New Roman" panose="02020603050405020304" pitchFamily="18" charset="0"/>
              <a:cs typeface="Times New Roman" panose="02020603050405020304" pitchFamily="18" charset="0"/>
            </a:rPr>
            <a:t> BEEN VERIFIED BY TARA CARD READERS</a:t>
          </a:r>
          <a:r>
            <a:rPr lang="en-US" sz="700">
              <a:latin typeface="Times New Roman" panose="02020603050405020304" pitchFamily="18" charset="0"/>
              <a:cs typeface="Times New Roman" panose="02020603050405020304" pitchFamily="18" charset="0"/>
            </a:rPr>
            <a:t>, it contains proposals which have not been implemented and may not be implemented as described. </a:t>
          </a:r>
          <a:r>
            <a:rPr lang="en-AU" sz="700">
              <a:latin typeface="Times New Roman" panose="02020603050405020304" pitchFamily="18" charset="0"/>
              <a:cs typeface="Times New Roman" panose="02020603050405020304" pitchFamily="18" charset="0"/>
            </a:rPr>
            <a:t>Recipients of this document should neither treat nor rely on the contents of this document as advice relating to legal, taxation or investment matters and are advised to consult their own professional advisers and conduct a careful review and due diligence on formal proposals before making any investment.</a:t>
          </a:r>
        </a:p>
        <a:p>
          <a:pPr>
            <a:lnSpc>
              <a:spcPct val="150000"/>
            </a:lnSpc>
          </a:pPr>
          <a:br>
            <a:rPr lang="en-GB" sz="700">
              <a:latin typeface="Times New Roman" panose="02020603050405020304" pitchFamily="18" charset="0"/>
              <a:cs typeface="Times New Roman" panose="02020603050405020304" pitchFamily="18" charset="0"/>
            </a:rPr>
          </a:br>
          <a:r>
            <a:rPr lang="en-AU" sz="700">
              <a:latin typeface="Times New Roman" panose="02020603050405020304" pitchFamily="18" charset="0"/>
              <a:cs typeface="Times New Roman" panose="02020603050405020304" pitchFamily="18" charset="0"/>
            </a:rPr>
            <a:t>Whilst this preliminary and draft Financial Model  includes information provided BY FORTUNE TELLERS and  obtained from OTHER reliable sources, such information has not been independently verified. We do not certify the accuracy of historical data and information. All prospective data and forecasts are based on assumptions that may differ from reality. We do not undertake any obligation to revise or update any forecast or any statement.</a:t>
          </a:r>
          <a:endParaRPr lang="en-GB" sz="700">
            <a:latin typeface="Times New Roman" panose="02020603050405020304" pitchFamily="18" charset="0"/>
            <a:cs typeface="Times New Roman" panose="02020603050405020304" pitchFamily="18" charset="0"/>
          </a:endParaRPr>
        </a:p>
      </xdr:txBody>
    </xdr:sp>
    <xdr:clientData/>
  </xdr:twoCellAnchor>
  <xdr:twoCellAnchor editAs="oneCell">
    <xdr:from>
      <xdr:col>13</xdr:col>
      <xdr:colOff>501650</xdr:colOff>
      <xdr:row>12</xdr:row>
      <xdr:rowOff>120650</xdr:rowOff>
    </xdr:from>
    <xdr:to>
      <xdr:col>16</xdr:col>
      <xdr:colOff>410210</xdr:colOff>
      <xdr:row>21</xdr:row>
      <xdr:rowOff>162560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28150" y="2330450"/>
          <a:ext cx="1737360" cy="16992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1</xdr:row>
      <xdr:rowOff>0</xdr:rowOff>
    </xdr:from>
    <xdr:to>
      <xdr:col>16</xdr:col>
      <xdr:colOff>304800</xdr:colOff>
      <xdr:row>15</xdr:row>
      <xdr:rowOff>165100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31750</xdr:colOff>
          <xdr:row>25</xdr:row>
          <xdr:rowOff>0</xdr:rowOff>
        </xdr:from>
        <xdr:to>
          <xdr:col>21</xdr:col>
          <xdr:colOff>114300</xdr:colOff>
          <xdr:row>26</xdr:row>
          <xdr:rowOff>25400</xdr:rowOff>
        </xdr:to>
        <xdr:sp macro="" textlink="">
          <xdr:nvSpPr>
            <xdr:cNvPr id="23553" name="Drop Dow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241300</xdr:colOff>
          <xdr:row>20</xdr:row>
          <xdr:rowOff>146050</xdr:rowOff>
        </xdr:from>
        <xdr:to>
          <xdr:col>20</xdr:col>
          <xdr:colOff>304800</xdr:colOff>
          <xdr:row>22</xdr:row>
          <xdr:rowOff>38100</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02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Apply Crisis Assumptions</a:t>
              </a:r>
            </a:p>
          </xdr:txBody>
        </xdr:sp>
        <xdr:clientData/>
      </xdr:twoCellAnchor>
    </mc:Choice>
    <mc:Fallback/>
  </mc:AlternateContent>
  <xdr:twoCellAnchor>
    <xdr:from>
      <xdr:col>9</xdr:col>
      <xdr:colOff>31750</xdr:colOff>
      <xdr:row>16</xdr:row>
      <xdr:rowOff>127001</xdr:rowOff>
    </xdr:from>
    <xdr:to>
      <xdr:col>16</xdr:col>
      <xdr:colOff>325437</xdr:colOff>
      <xdr:row>31</xdr:row>
      <xdr:rowOff>131763</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285750</xdr:colOff>
          <xdr:row>27</xdr:row>
          <xdr:rowOff>6350</xdr:rowOff>
        </xdr:from>
        <xdr:to>
          <xdr:col>20</xdr:col>
          <xdr:colOff>558800</xdr:colOff>
          <xdr:row>28</xdr:row>
          <xdr:rowOff>0</xdr:rowOff>
        </xdr:to>
        <xdr:sp macro="" textlink="">
          <xdr:nvSpPr>
            <xdr:cNvPr id="23555" name="Drop Down 3" hidden="1">
              <a:extLst>
                <a:ext uri="{63B3BB69-23CF-44E3-9099-C40C66FF867C}">
                  <a14:compatExt spid="_x0000_s23555"/>
                </a:ext>
                <a:ext uri="{FF2B5EF4-FFF2-40B4-BE49-F238E27FC236}">
                  <a16:creationId xmlns:a16="http://schemas.microsoft.com/office/drawing/2014/main" id="{00000000-0008-0000-02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247650</xdr:colOff>
          <xdr:row>22</xdr:row>
          <xdr:rowOff>82550</xdr:rowOff>
        </xdr:from>
        <xdr:to>
          <xdr:col>21</xdr:col>
          <xdr:colOff>273050</xdr:colOff>
          <xdr:row>23</xdr:row>
          <xdr:rowOff>114300</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00000000-0008-0000-02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Fix Debt Repayments for Risk Analysis</a:t>
              </a:r>
            </a:p>
          </xdr:txBody>
        </xdr:sp>
        <xdr:clientData/>
      </xdr:twoCellAnchor>
    </mc:Choice>
    <mc:Fallback/>
  </mc:AlternateContent>
  <xdr:twoCellAnchor>
    <xdr:from>
      <xdr:col>16</xdr:col>
      <xdr:colOff>420688</xdr:colOff>
      <xdr:row>0</xdr:row>
      <xdr:rowOff>127001</xdr:rowOff>
    </xdr:from>
    <xdr:to>
      <xdr:col>24</xdr:col>
      <xdr:colOff>103188</xdr:colOff>
      <xdr:row>15</xdr:row>
      <xdr:rowOff>131763</xdr:rowOff>
    </xdr:to>
    <xdr:graphicFrame macro="[0]!Chart8_Click">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6</xdr:col>
          <xdr:colOff>127000</xdr:colOff>
          <xdr:row>18</xdr:row>
          <xdr:rowOff>12700</xdr:rowOff>
        </xdr:from>
        <xdr:to>
          <xdr:col>6</xdr:col>
          <xdr:colOff>336550</xdr:colOff>
          <xdr:row>18</xdr:row>
          <xdr:rowOff>171450</xdr:rowOff>
        </xdr:to>
        <xdr:sp macro="" textlink="">
          <xdr:nvSpPr>
            <xdr:cNvPr id="23557" name="Spinner 5" hidden="1">
              <a:extLst>
                <a:ext uri="{63B3BB69-23CF-44E3-9099-C40C66FF867C}">
                  <a14:compatExt spid="_x0000_s23557"/>
                </a:ext>
                <a:ext uri="{FF2B5EF4-FFF2-40B4-BE49-F238E27FC236}">
                  <a16:creationId xmlns:a16="http://schemas.microsoft.com/office/drawing/2014/main" id="{00000000-0008-0000-0200-000005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101600</xdr:colOff>
          <xdr:row>20</xdr:row>
          <xdr:rowOff>12700</xdr:rowOff>
        </xdr:from>
        <xdr:to>
          <xdr:col>6</xdr:col>
          <xdr:colOff>311150</xdr:colOff>
          <xdr:row>20</xdr:row>
          <xdr:rowOff>171450</xdr:rowOff>
        </xdr:to>
        <xdr:sp macro="" textlink="">
          <xdr:nvSpPr>
            <xdr:cNvPr id="23558" name="Spinner 6" hidden="1">
              <a:extLst>
                <a:ext uri="{63B3BB69-23CF-44E3-9099-C40C66FF867C}">
                  <a14:compatExt spid="_x0000_s23558"/>
                </a:ext>
                <a:ext uri="{FF2B5EF4-FFF2-40B4-BE49-F238E27FC236}">
                  <a16:creationId xmlns:a16="http://schemas.microsoft.com/office/drawing/2014/main" id="{00000000-0008-0000-0200-000006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101600</xdr:colOff>
          <xdr:row>15</xdr:row>
          <xdr:rowOff>12700</xdr:rowOff>
        </xdr:from>
        <xdr:to>
          <xdr:col>6</xdr:col>
          <xdr:colOff>311150</xdr:colOff>
          <xdr:row>15</xdr:row>
          <xdr:rowOff>171450</xdr:rowOff>
        </xdr:to>
        <xdr:sp macro="" textlink="">
          <xdr:nvSpPr>
            <xdr:cNvPr id="23560" name="Spinner 8" hidden="1">
              <a:extLst>
                <a:ext uri="{63B3BB69-23CF-44E3-9099-C40C66FF867C}">
                  <a14:compatExt spid="_x0000_s23560"/>
                </a:ext>
                <a:ext uri="{FF2B5EF4-FFF2-40B4-BE49-F238E27FC236}">
                  <a16:creationId xmlns:a16="http://schemas.microsoft.com/office/drawing/2014/main" id="{00000000-0008-0000-0200-000008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13</xdr:row>
          <xdr:rowOff>177800</xdr:rowOff>
        </xdr:from>
        <xdr:to>
          <xdr:col>6</xdr:col>
          <xdr:colOff>450850</xdr:colOff>
          <xdr:row>15</xdr:row>
          <xdr:rowOff>0</xdr:rowOff>
        </xdr:to>
        <xdr:sp macro="" textlink="">
          <xdr:nvSpPr>
            <xdr:cNvPr id="23561" name="Drop Down 9" hidden="1">
              <a:extLst>
                <a:ext uri="{63B3BB69-23CF-44E3-9099-C40C66FF867C}">
                  <a14:compatExt spid="_x0000_s23561"/>
                </a:ext>
                <a:ext uri="{FF2B5EF4-FFF2-40B4-BE49-F238E27FC236}">
                  <a16:creationId xmlns:a16="http://schemas.microsoft.com/office/drawing/2014/main" id="{00000000-0008-0000-02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184150</xdr:colOff>
          <xdr:row>3</xdr:row>
          <xdr:rowOff>171450</xdr:rowOff>
        </xdr:from>
        <xdr:to>
          <xdr:col>8</xdr:col>
          <xdr:colOff>387350</xdr:colOff>
          <xdr:row>5</xdr:row>
          <xdr:rowOff>12700</xdr:rowOff>
        </xdr:to>
        <xdr:sp macro="" textlink="">
          <xdr:nvSpPr>
            <xdr:cNvPr id="23562" name="Drop Down 10" hidden="1">
              <a:extLst>
                <a:ext uri="{63B3BB69-23CF-44E3-9099-C40C66FF867C}">
                  <a14:compatExt spid="_x0000_s23562"/>
                </a:ext>
                <a:ext uri="{FF2B5EF4-FFF2-40B4-BE49-F238E27FC236}">
                  <a16:creationId xmlns:a16="http://schemas.microsoft.com/office/drawing/2014/main" id="{00000000-0008-0000-0200-00000A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133350</xdr:colOff>
          <xdr:row>10</xdr:row>
          <xdr:rowOff>25400</xdr:rowOff>
        </xdr:from>
        <xdr:to>
          <xdr:col>6</xdr:col>
          <xdr:colOff>381000</xdr:colOff>
          <xdr:row>10</xdr:row>
          <xdr:rowOff>146050</xdr:rowOff>
        </xdr:to>
        <xdr:sp macro="" textlink="">
          <xdr:nvSpPr>
            <xdr:cNvPr id="23563" name="Spinner 11" hidden="1">
              <a:extLst>
                <a:ext uri="{63B3BB69-23CF-44E3-9099-C40C66FF867C}">
                  <a14:compatExt spid="_x0000_s23563"/>
                </a:ext>
                <a:ext uri="{FF2B5EF4-FFF2-40B4-BE49-F238E27FC236}">
                  <a16:creationId xmlns:a16="http://schemas.microsoft.com/office/drawing/2014/main" id="{00000000-0008-0000-0200-00000B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146050</xdr:colOff>
          <xdr:row>11</xdr:row>
          <xdr:rowOff>12700</xdr:rowOff>
        </xdr:from>
        <xdr:to>
          <xdr:col>6</xdr:col>
          <xdr:colOff>381000</xdr:colOff>
          <xdr:row>11</xdr:row>
          <xdr:rowOff>133350</xdr:rowOff>
        </xdr:to>
        <xdr:sp macro="" textlink="">
          <xdr:nvSpPr>
            <xdr:cNvPr id="23564" name="Spinner 12" hidden="1">
              <a:extLst>
                <a:ext uri="{63B3BB69-23CF-44E3-9099-C40C66FF867C}">
                  <a14:compatExt spid="_x0000_s23564"/>
                </a:ext>
                <a:ext uri="{FF2B5EF4-FFF2-40B4-BE49-F238E27FC236}">
                  <a16:creationId xmlns:a16="http://schemas.microsoft.com/office/drawing/2014/main" id="{00000000-0008-0000-0200-00000C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247650</xdr:colOff>
          <xdr:row>28</xdr:row>
          <xdr:rowOff>177800</xdr:rowOff>
        </xdr:from>
        <xdr:to>
          <xdr:col>21</xdr:col>
          <xdr:colOff>114300</xdr:colOff>
          <xdr:row>29</xdr:row>
          <xdr:rowOff>165100</xdr:rowOff>
        </xdr:to>
        <xdr:sp macro="" textlink="">
          <xdr:nvSpPr>
            <xdr:cNvPr id="23565" name="Drop Down 13" hidden="1">
              <a:extLst>
                <a:ext uri="{63B3BB69-23CF-44E3-9099-C40C66FF867C}">
                  <a14:compatExt spid="_x0000_s23565"/>
                </a:ext>
                <a:ext uri="{FF2B5EF4-FFF2-40B4-BE49-F238E27FC236}">
                  <a16:creationId xmlns:a16="http://schemas.microsoft.com/office/drawing/2014/main" id="{00000000-0008-0000-0200-00000D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50800</xdr:colOff>
          <xdr:row>18</xdr:row>
          <xdr:rowOff>82550</xdr:rowOff>
        </xdr:from>
        <xdr:to>
          <xdr:col>23</xdr:col>
          <xdr:colOff>120650</xdr:colOff>
          <xdr:row>19</xdr:row>
          <xdr:rowOff>177800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2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Circular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25400</xdr:colOff>
          <xdr:row>20</xdr:row>
          <xdr:rowOff>146050</xdr:rowOff>
        </xdr:from>
        <xdr:to>
          <xdr:col>23</xdr:col>
          <xdr:colOff>120650</xdr:colOff>
          <xdr:row>22</xdr:row>
          <xdr:rowOff>6350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2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Fix Debt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139700</xdr:colOff>
          <xdr:row>13</xdr:row>
          <xdr:rowOff>31750</xdr:rowOff>
        </xdr:from>
        <xdr:to>
          <xdr:col>6</xdr:col>
          <xdr:colOff>381000</xdr:colOff>
          <xdr:row>13</xdr:row>
          <xdr:rowOff>158750</xdr:rowOff>
        </xdr:to>
        <xdr:sp macro="" textlink="">
          <xdr:nvSpPr>
            <xdr:cNvPr id="23568" name="Spinner 16" hidden="1">
              <a:extLst>
                <a:ext uri="{63B3BB69-23CF-44E3-9099-C40C66FF867C}">
                  <a14:compatExt spid="_x0000_s23568"/>
                </a:ext>
                <a:ext uri="{FF2B5EF4-FFF2-40B4-BE49-F238E27FC236}">
                  <a16:creationId xmlns:a16="http://schemas.microsoft.com/office/drawing/2014/main" id="{00000000-0008-0000-0200-000010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107950</xdr:colOff>
          <xdr:row>19</xdr:row>
          <xdr:rowOff>12700</xdr:rowOff>
        </xdr:from>
        <xdr:to>
          <xdr:col>21</xdr:col>
          <xdr:colOff>431800</xdr:colOff>
          <xdr:row>20</xdr:row>
          <xdr:rowOff>38100</xdr:rowOff>
        </xdr:to>
        <xdr:sp macro="" textlink="">
          <xdr:nvSpPr>
            <xdr:cNvPr id="23569" name="Drop Down 17" hidden="1">
              <a:extLst>
                <a:ext uri="{63B3BB69-23CF-44E3-9099-C40C66FF867C}">
                  <a14:compatExt spid="_x0000_s23569"/>
                </a:ext>
                <a:ext uri="{FF2B5EF4-FFF2-40B4-BE49-F238E27FC236}">
                  <a16:creationId xmlns:a16="http://schemas.microsoft.com/office/drawing/2014/main" id="{00000000-0008-0000-0200-00001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133350</xdr:colOff>
          <xdr:row>12</xdr:row>
          <xdr:rowOff>19050</xdr:rowOff>
        </xdr:from>
        <xdr:to>
          <xdr:col>6</xdr:col>
          <xdr:colOff>374650</xdr:colOff>
          <xdr:row>12</xdr:row>
          <xdr:rowOff>146050</xdr:rowOff>
        </xdr:to>
        <xdr:sp macro="" textlink="">
          <xdr:nvSpPr>
            <xdr:cNvPr id="23570" name="Spinner 18" hidden="1">
              <a:extLst>
                <a:ext uri="{63B3BB69-23CF-44E3-9099-C40C66FF867C}">
                  <a14:compatExt spid="_x0000_s23570"/>
                </a:ext>
                <a:ext uri="{FF2B5EF4-FFF2-40B4-BE49-F238E27FC236}">
                  <a16:creationId xmlns:a16="http://schemas.microsoft.com/office/drawing/2014/main" id="{00000000-0008-0000-0200-0000125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9</xdr:col>
      <xdr:colOff>0</xdr:colOff>
      <xdr:row>34</xdr:row>
      <xdr:rowOff>0</xdr:rowOff>
    </xdr:from>
    <xdr:to>
      <xdr:col>16</xdr:col>
      <xdr:colOff>293687</xdr:colOff>
      <xdr:row>49</xdr:row>
      <xdr:rowOff>4762</xdr:rowOff>
    </xdr:to>
    <xdr:graphicFrame macro="">
      <xdr:nvGraphicFramePr>
        <xdr:cNvPr id="23" name="Chart 22">
          <a:extLst>
            <a:ext uri="{FF2B5EF4-FFF2-40B4-BE49-F238E27FC236}">
              <a16:creationId xmlns:a16="http://schemas.microsoft.com/office/drawing/2014/main" id="{00000000-0008-0000-02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241300</xdr:colOff>
          <xdr:row>39</xdr:row>
          <xdr:rowOff>146050</xdr:rowOff>
        </xdr:from>
        <xdr:to>
          <xdr:col>20</xdr:col>
          <xdr:colOff>304800</xdr:colOff>
          <xdr:row>41</xdr:row>
          <xdr:rowOff>38100</xdr:rowOff>
        </xdr:to>
        <xdr:sp macro="" textlink="">
          <xdr:nvSpPr>
            <xdr:cNvPr id="23571" name="Check Box 19" hidden="1">
              <a:extLst>
                <a:ext uri="{63B3BB69-23CF-44E3-9099-C40C66FF867C}">
                  <a14:compatExt spid="_x0000_s23571"/>
                </a:ext>
                <a:ext uri="{FF2B5EF4-FFF2-40B4-BE49-F238E27FC236}">
                  <a16:creationId xmlns:a16="http://schemas.microsoft.com/office/drawing/2014/main" id="{00000000-0008-0000-0200-00001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Apply Crisis Assumptions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133350</xdr:colOff>
          <xdr:row>106</xdr:row>
          <xdr:rowOff>12700</xdr:rowOff>
        </xdr:from>
        <xdr:to>
          <xdr:col>8</xdr:col>
          <xdr:colOff>463550</xdr:colOff>
          <xdr:row>107</xdr:row>
          <xdr:rowOff>88900</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Apply Crisis Assumptions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110</xdr:row>
          <xdr:rowOff>6350</xdr:rowOff>
        </xdr:from>
        <xdr:to>
          <xdr:col>3</xdr:col>
          <xdr:colOff>1797050</xdr:colOff>
          <xdr:row>111</xdr:row>
          <xdr:rowOff>31750</xdr:rowOff>
        </xdr:to>
        <xdr:sp macro="" textlink="">
          <xdr:nvSpPr>
            <xdr:cNvPr id="10242" name="Drop Dow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26</xdr:row>
          <xdr:rowOff>177800</xdr:rowOff>
        </xdr:from>
        <xdr:to>
          <xdr:col>8</xdr:col>
          <xdr:colOff>120650</xdr:colOff>
          <xdr:row>28</xdr:row>
          <xdr:rowOff>0</xdr:rowOff>
        </xdr:to>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142</xdr:row>
          <xdr:rowOff>12700</xdr:rowOff>
        </xdr:from>
        <xdr:to>
          <xdr:col>9</xdr:col>
          <xdr:colOff>254000</xdr:colOff>
          <xdr:row>143</xdr:row>
          <xdr:rowOff>44450</xdr:rowOff>
        </xdr:to>
        <xdr:sp macro="" textlink="">
          <xdr:nvSpPr>
            <xdr:cNvPr id="10244" name="Check Box 4" hidden="1">
              <a:extLst>
                <a:ext uri="{63B3BB69-23CF-44E3-9099-C40C66FF867C}">
                  <a14:compatExt spid="_x0000_s10244"/>
                </a:ext>
                <a:ext uri="{FF2B5EF4-FFF2-40B4-BE49-F238E27FC236}">
                  <a16:creationId xmlns:a16="http://schemas.microsoft.com/office/drawing/2014/main" id="{00000000-0008-0000-0300-00000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Fix Debt Repayments for Risk 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4</xdr:row>
          <xdr:rowOff>158750</xdr:rowOff>
        </xdr:from>
        <xdr:to>
          <xdr:col>7</xdr:col>
          <xdr:colOff>660400</xdr:colOff>
          <xdr:row>6</xdr:row>
          <xdr:rowOff>6350</xdr:rowOff>
        </xdr:to>
        <xdr:sp macro="" textlink="">
          <xdr:nvSpPr>
            <xdr:cNvPr id="10245" name="Drop Dow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412750</xdr:colOff>
          <xdr:row>131</xdr:row>
          <xdr:rowOff>19050</xdr:rowOff>
        </xdr:from>
        <xdr:to>
          <xdr:col>7</xdr:col>
          <xdr:colOff>622300</xdr:colOff>
          <xdr:row>131</xdr:row>
          <xdr:rowOff>177800</xdr:rowOff>
        </xdr:to>
        <xdr:sp macro="" textlink="">
          <xdr:nvSpPr>
            <xdr:cNvPr id="10248" name="Spinner 8" hidden="1">
              <a:extLst>
                <a:ext uri="{63B3BB69-23CF-44E3-9099-C40C66FF867C}">
                  <a14:compatExt spid="_x0000_s10248"/>
                </a:ext>
                <a:ext uri="{FF2B5EF4-FFF2-40B4-BE49-F238E27FC236}">
                  <a16:creationId xmlns:a16="http://schemas.microsoft.com/office/drawing/2014/main" id="{00000000-0008-0000-0300-000008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412750</xdr:colOff>
          <xdr:row>139</xdr:row>
          <xdr:rowOff>19050</xdr:rowOff>
        </xdr:from>
        <xdr:to>
          <xdr:col>7</xdr:col>
          <xdr:colOff>622300</xdr:colOff>
          <xdr:row>139</xdr:row>
          <xdr:rowOff>177800</xdr:rowOff>
        </xdr:to>
        <xdr:sp macro="" textlink="">
          <xdr:nvSpPr>
            <xdr:cNvPr id="10249" name="Spinner 9" hidden="1">
              <a:extLst>
                <a:ext uri="{63B3BB69-23CF-44E3-9099-C40C66FF867C}">
                  <a14:compatExt spid="_x0000_s10249"/>
                </a:ext>
                <a:ext uri="{FF2B5EF4-FFF2-40B4-BE49-F238E27FC236}">
                  <a16:creationId xmlns:a16="http://schemas.microsoft.com/office/drawing/2014/main" id="{00000000-0008-0000-0300-000009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514350</xdr:colOff>
          <xdr:row>53</xdr:row>
          <xdr:rowOff>38100</xdr:rowOff>
        </xdr:from>
        <xdr:to>
          <xdr:col>4</xdr:col>
          <xdr:colOff>723900</xdr:colOff>
          <xdr:row>54</xdr:row>
          <xdr:rowOff>19050</xdr:rowOff>
        </xdr:to>
        <xdr:sp macro="" textlink="">
          <xdr:nvSpPr>
            <xdr:cNvPr id="10250" name="Spinner 10" hidden="1">
              <a:extLst>
                <a:ext uri="{63B3BB69-23CF-44E3-9099-C40C66FF867C}">
                  <a14:compatExt spid="_x0000_s10250"/>
                </a:ext>
                <a:ext uri="{FF2B5EF4-FFF2-40B4-BE49-F238E27FC236}">
                  <a16:creationId xmlns:a16="http://schemas.microsoft.com/office/drawing/2014/main" id="{00000000-0008-0000-0300-00000A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533400</xdr:colOff>
          <xdr:row>55</xdr:row>
          <xdr:rowOff>31750</xdr:rowOff>
        </xdr:from>
        <xdr:to>
          <xdr:col>4</xdr:col>
          <xdr:colOff>742950</xdr:colOff>
          <xdr:row>56</xdr:row>
          <xdr:rowOff>6350</xdr:rowOff>
        </xdr:to>
        <xdr:sp macro="" textlink="">
          <xdr:nvSpPr>
            <xdr:cNvPr id="10251" name="Spinner 11" hidden="1">
              <a:extLst>
                <a:ext uri="{63B3BB69-23CF-44E3-9099-C40C66FF867C}">
                  <a14:compatExt spid="_x0000_s10251"/>
                </a:ext>
                <a:ext uri="{FF2B5EF4-FFF2-40B4-BE49-F238E27FC236}">
                  <a16:creationId xmlns:a16="http://schemas.microsoft.com/office/drawing/2014/main" id="{00000000-0008-0000-0300-00000B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107950</xdr:colOff>
          <xdr:row>21</xdr:row>
          <xdr:rowOff>19050</xdr:rowOff>
        </xdr:from>
        <xdr:to>
          <xdr:col>6</xdr:col>
          <xdr:colOff>317500</xdr:colOff>
          <xdr:row>21</xdr:row>
          <xdr:rowOff>177800</xdr:rowOff>
        </xdr:to>
        <xdr:sp macro="" textlink="">
          <xdr:nvSpPr>
            <xdr:cNvPr id="10252" name="Spinner 12" hidden="1">
              <a:extLst>
                <a:ext uri="{63B3BB69-23CF-44E3-9099-C40C66FF867C}">
                  <a14:compatExt spid="_x0000_s10252"/>
                </a:ext>
                <a:ext uri="{FF2B5EF4-FFF2-40B4-BE49-F238E27FC236}">
                  <a16:creationId xmlns:a16="http://schemas.microsoft.com/office/drawing/2014/main" id="{00000000-0008-0000-0300-00000C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107950</xdr:colOff>
          <xdr:row>22</xdr:row>
          <xdr:rowOff>31750</xdr:rowOff>
        </xdr:from>
        <xdr:to>
          <xdr:col>6</xdr:col>
          <xdr:colOff>317500</xdr:colOff>
          <xdr:row>23</xdr:row>
          <xdr:rowOff>6350</xdr:rowOff>
        </xdr:to>
        <xdr:sp macro="" textlink="">
          <xdr:nvSpPr>
            <xdr:cNvPr id="10253" name="Spinner 13" hidden="1">
              <a:extLst>
                <a:ext uri="{63B3BB69-23CF-44E3-9099-C40C66FF867C}">
                  <a14:compatExt spid="_x0000_s10253"/>
                </a:ext>
                <a:ext uri="{FF2B5EF4-FFF2-40B4-BE49-F238E27FC236}">
                  <a16:creationId xmlns:a16="http://schemas.microsoft.com/office/drawing/2014/main" id="{00000000-0008-0000-0300-00000D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114300</xdr:colOff>
          <xdr:row>9</xdr:row>
          <xdr:rowOff>19050</xdr:rowOff>
        </xdr:from>
        <xdr:to>
          <xdr:col>6</xdr:col>
          <xdr:colOff>323850</xdr:colOff>
          <xdr:row>9</xdr:row>
          <xdr:rowOff>177800</xdr:rowOff>
        </xdr:to>
        <xdr:sp macro="" textlink="">
          <xdr:nvSpPr>
            <xdr:cNvPr id="10254" name="Spinner 14" hidden="1">
              <a:extLst>
                <a:ext uri="{63B3BB69-23CF-44E3-9099-C40C66FF867C}">
                  <a14:compatExt spid="_x0000_s10254"/>
                </a:ext>
                <a:ext uri="{FF2B5EF4-FFF2-40B4-BE49-F238E27FC236}">
                  <a16:creationId xmlns:a16="http://schemas.microsoft.com/office/drawing/2014/main" id="{00000000-0008-0000-0300-00000E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69850</xdr:colOff>
          <xdr:row>14</xdr:row>
          <xdr:rowOff>19050</xdr:rowOff>
        </xdr:from>
        <xdr:to>
          <xdr:col>6</xdr:col>
          <xdr:colOff>279400</xdr:colOff>
          <xdr:row>14</xdr:row>
          <xdr:rowOff>177800</xdr:rowOff>
        </xdr:to>
        <xdr:sp macro="" textlink="">
          <xdr:nvSpPr>
            <xdr:cNvPr id="10255" name="Spinner 15" hidden="1">
              <a:extLst>
                <a:ext uri="{63B3BB69-23CF-44E3-9099-C40C66FF867C}">
                  <a14:compatExt spid="_x0000_s10255"/>
                </a:ext>
                <a:ext uri="{FF2B5EF4-FFF2-40B4-BE49-F238E27FC236}">
                  <a16:creationId xmlns:a16="http://schemas.microsoft.com/office/drawing/2014/main" id="{00000000-0008-0000-0300-00000F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241300</xdr:colOff>
          <xdr:row>96</xdr:row>
          <xdr:rowOff>12700</xdr:rowOff>
        </xdr:from>
        <xdr:to>
          <xdr:col>6</xdr:col>
          <xdr:colOff>450850</xdr:colOff>
          <xdr:row>96</xdr:row>
          <xdr:rowOff>171450</xdr:rowOff>
        </xdr:to>
        <xdr:sp macro="" textlink="">
          <xdr:nvSpPr>
            <xdr:cNvPr id="10256" name="Spinner 16" hidden="1">
              <a:extLst>
                <a:ext uri="{63B3BB69-23CF-44E3-9099-C40C66FF867C}">
                  <a14:compatExt spid="_x0000_s10256"/>
                </a:ext>
                <a:ext uri="{FF2B5EF4-FFF2-40B4-BE49-F238E27FC236}">
                  <a16:creationId xmlns:a16="http://schemas.microsoft.com/office/drawing/2014/main" id="{00000000-0008-0000-0300-000010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98</xdr:row>
          <xdr:rowOff>31750</xdr:rowOff>
        </xdr:from>
        <xdr:to>
          <xdr:col>3</xdr:col>
          <xdr:colOff>1435100</xdr:colOff>
          <xdr:row>99</xdr:row>
          <xdr:rowOff>0</xdr:rowOff>
        </xdr:to>
        <xdr:sp macro="" textlink="">
          <xdr:nvSpPr>
            <xdr:cNvPr id="10257" name="Drop Down 17" hidden="1">
              <a:extLst>
                <a:ext uri="{63B3BB69-23CF-44E3-9099-C40C66FF867C}">
                  <a14:compatExt spid="_x0000_s10257"/>
                </a:ext>
                <a:ext uri="{FF2B5EF4-FFF2-40B4-BE49-F238E27FC236}">
                  <a16:creationId xmlns:a16="http://schemas.microsoft.com/office/drawing/2014/main" id="{00000000-0008-0000-0300-00001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69850</xdr:colOff>
          <xdr:row>71</xdr:row>
          <xdr:rowOff>12700</xdr:rowOff>
        </xdr:from>
        <xdr:to>
          <xdr:col>5</xdr:col>
          <xdr:colOff>279400</xdr:colOff>
          <xdr:row>71</xdr:row>
          <xdr:rowOff>171450</xdr:rowOff>
        </xdr:to>
        <xdr:sp macro="" textlink="">
          <xdr:nvSpPr>
            <xdr:cNvPr id="10258" name="Spinner 18" hidden="1">
              <a:extLst>
                <a:ext uri="{63B3BB69-23CF-44E3-9099-C40C66FF867C}">
                  <a14:compatExt spid="_x0000_s10258"/>
                </a:ext>
                <a:ext uri="{FF2B5EF4-FFF2-40B4-BE49-F238E27FC236}">
                  <a16:creationId xmlns:a16="http://schemas.microsoft.com/office/drawing/2014/main" id="{00000000-0008-0000-0300-000012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412750</xdr:colOff>
          <xdr:row>156</xdr:row>
          <xdr:rowOff>19050</xdr:rowOff>
        </xdr:from>
        <xdr:to>
          <xdr:col>7</xdr:col>
          <xdr:colOff>622300</xdr:colOff>
          <xdr:row>156</xdr:row>
          <xdr:rowOff>177800</xdr:rowOff>
        </xdr:to>
        <xdr:sp macro="" textlink="">
          <xdr:nvSpPr>
            <xdr:cNvPr id="10259" name="Spinner 19" hidden="1">
              <a:extLst>
                <a:ext uri="{63B3BB69-23CF-44E3-9099-C40C66FF867C}">
                  <a14:compatExt spid="_x0000_s10259"/>
                </a:ext>
                <a:ext uri="{FF2B5EF4-FFF2-40B4-BE49-F238E27FC236}">
                  <a16:creationId xmlns:a16="http://schemas.microsoft.com/office/drawing/2014/main" id="{00000000-0008-0000-0300-0000132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476250</xdr:colOff>
          <xdr:row>35</xdr:row>
          <xdr:rowOff>6350</xdr:rowOff>
        </xdr:from>
        <xdr:to>
          <xdr:col>16</xdr:col>
          <xdr:colOff>342900</xdr:colOff>
          <xdr:row>36</xdr:row>
          <xdr:rowOff>31750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146050</xdr:colOff>
          <xdr:row>94</xdr:row>
          <xdr:rowOff>88900</xdr:rowOff>
        </xdr:from>
        <xdr:to>
          <xdr:col>8</xdr:col>
          <xdr:colOff>508000</xdr:colOff>
          <xdr:row>95</xdr:row>
          <xdr:rowOff>114300</xdr:rowOff>
        </xdr:to>
        <xdr:sp macro="" textlink="">
          <xdr:nvSpPr>
            <xdr:cNvPr id="21506" name="Drop Dow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44450</xdr:colOff>
          <xdr:row>1</xdr:row>
          <xdr:rowOff>171450</xdr:rowOff>
        </xdr:from>
        <xdr:to>
          <xdr:col>8</xdr:col>
          <xdr:colOff>152400</xdr:colOff>
          <xdr:row>3</xdr:row>
          <xdr:rowOff>12700</xdr:rowOff>
        </xdr:to>
        <xdr:sp macro="" textlink="">
          <xdr:nvSpPr>
            <xdr:cNvPr id="21507" name="Drop Down 3" hidden="1">
              <a:extLst>
                <a:ext uri="{63B3BB69-23CF-44E3-9099-C40C66FF867C}">
                  <a14:compatExt spid="_x0000_s21507"/>
                </a:ext>
                <a:ext uri="{FF2B5EF4-FFF2-40B4-BE49-F238E27FC236}">
                  <a16:creationId xmlns:a16="http://schemas.microsoft.com/office/drawing/2014/main" id="{00000000-0008-0000-04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31750</xdr:colOff>
          <xdr:row>15</xdr:row>
          <xdr:rowOff>12700</xdr:rowOff>
        </xdr:from>
        <xdr:to>
          <xdr:col>5</xdr:col>
          <xdr:colOff>241300</xdr:colOff>
          <xdr:row>15</xdr:row>
          <xdr:rowOff>171450</xdr:rowOff>
        </xdr:to>
        <xdr:sp macro="" textlink="">
          <xdr:nvSpPr>
            <xdr:cNvPr id="21508" name="Spinner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31750</xdr:colOff>
          <xdr:row>15</xdr:row>
          <xdr:rowOff>12700</xdr:rowOff>
        </xdr:from>
        <xdr:to>
          <xdr:col>6</xdr:col>
          <xdr:colOff>241300</xdr:colOff>
          <xdr:row>15</xdr:row>
          <xdr:rowOff>171450</xdr:rowOff>
        </xdr:to>
        <xdr:sp macro="" textlink="">
          <xdr:nvSpPr>
            <xdr:cNvPr id="21509" name="Spinner 5" hidden="1">
              <a:extLst>
                <a:ext uri="{63B3BB69-23CF-44E3-9099-C40C66FF867C}">
                  <a14:compatExt spid="_x0000_s21509"/>
                </a:ext>
                <a:ext uri="{FF2B5EF4-FFF2-40B4-BE49-F238E27FC236}">
                  <a16:creationId xmlns:a16="http://schemas.microsoft.com/office/drawing/2014/main" id="{00000000-0008-0000-0400-000005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31750</xdr:colOff>
          <xdr:row>15</xdr:row>
          <xdr:rowOff>12700</xdr:rowOff>
        </xdr:from>
        <xdr:to>
          <xdr:col>7</xdr:col>
          <xdr:colOff>241300</xdr:colOff>
          <xdr:row>15</xdr:row>
          <xdr:rowOff>171450</xdr:rowOff>
        </xdr:to>
        <xdr:sp macro="" textlink="">
          <xdr:nvSpPr>
            <xdr:cNvPr id="21510" name="Spinner 6" hidden="1">
              <a:extLst>
                <a:ext uri="{63B3BB69-23CF-44E3-9099-C40C66FF867C}">
                  <a14:compatExt spid="_x0000_s21510"/>
                </a:ext>
                <a:ext uri="{FF2B5EF4-FFF2-40B4-BE49-F238E27FC236}">
                  <a16:creationId xmlns:a16="http://schemas.microsoft.com/office/drawing/2014/main" id="{00000000-0008-0000-0400-000006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31750</xdr:colOff>
          <xdr:row>15</xdr:row>
          <xdr:rowOff>12700</xdr:rowOff>
        </xdr:from>
        <xdr:to>
          <xdr:col>8</xdr:col>
          <xdr:colOff>241300</xdr:colOff>
          <xdr:row>15</xdr:row>
          <xdr:rowOff>171450</xdr:rowOff>
        </xdr:to>
        <xdr:sp macro="" textlink="">
          <xdr:nvSpPr>
            <xdr:cNvPr id="21511" name="Spinner 7" hidden="1">
              <a:extLst>
                <a:ext uri="{63B3BB69-23CF-44E3-9099-C40C66FF867C}">
                  <a14:compatExt spid="_x0000_s21511"/>
                </a:ext>
                <a:ext uri="{FF2B5EF4-FFF2-40B4-BE49-F238E27FC236}">
                  <a16:creationId xmlns:a16="http://schemas.microsoft.com/office/drawing/2014/main" id="{00000000-0008-0000-0400-000007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31750</xdr:colOff>
          <xdr:row>15</xdr:row>
          <xdr:rowOff>12700</xdr:rowOff>
        </xdr:from>
        <xdr:to>
          <xdr:col>9</xdr:col>
          <xdr:colOff>241300</xdr:colOff>
          <xdr:row>15</xdr:row>
          <xdr:rowOff>171450</xdr:rowOff>
        </xdr:to>
        <xdr:sp macro="" textlink="">
          <xdr:nvSpPr>
            <xdr:cNvPr id="21512" name="Spinner 8" hidden="1">
              <a:extLst>
                <a:ext uri="{63B3BB69-23CF-44E3-9099-C40C66FF867C}">
                  <a14:compatExt spid="_x0000_s21512"/>
                </a:ext>
                <a:ext uri="{FF2B5EF4-FFF2-40B4-BE49-F238E27FC236}">
                  <a16:creationId xmlns:a16="http://schemas.microsoft.com/office/drawing/2014/main" id="{00000000-0008-0000-0400-000008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31750</xdr:colOff>
          <xdr:row>15</xdr:row>
          <xdr:rowOff>12700</xdr:rowOff>
        </xdr:from>
        <xdr:to>
          <xdr:col>10</xdr:col>
          <xdr:colOff>241300</xdr:colOff>
          <xdr:row>15</xdr:row>
          <xdr:rowOff>171450</xdr:rowOff>
        </xdr:to>
        <xdr:sp macro="" textlink="">
          <xdr:nvSpPr>
            <xdr:cNvPr id="21513" name="Spinner 9" hidden="1">
              <a:extLst>
                <a:ext uri="{63B3BB69-23CF-44E3-9099-C40C66FF867C}">
                  <a14:compatExt spid="_x0000_s21513"/>
                </a:ext>
                <a:ext uri="{FF2B5EF4-FFF2-40B4-BE49-F238E27FC236}">
                  <a16:creationId xmlns:a16="http://schemas.microsoft.com/office/drawing/2014/main" id="{00000000-0008-0000-0400-000009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31750</xdr:colOff>
          <xdr:row>15</xdr:row>
          <xdr:rowOff>12700</xdr:rowOff>
        </xdr:from>
        <xdr:to>
          <xdr:col>11</xdr:col>
          <xdr:colOff>241300</xdr:colOff>
          <xdr:row>15</xdr:row>
          <xdr:rowOff>171450</xdr:rowOff>
        </xdr:to>
        <xdr:sp macro="" textlink="">
          <xdr:nvSpPr>
            <xdr:cNvPr id="21514" name="Spinner 10" hidden="1">
              <a:extLst>
                <a:ext uri="{63B3BB69-23CF-44E3-9099-C40C66FF867C}">
                  <a14:compatExt spid="_x0000_s21514"/>
                </a:ext>
                <a:ext uri="{FF2B5EF4-FFF2-40B4-BE49-F238E27FC236}">
                  <a16:creationId xmlns:a16="http://schemas.microsoft.com/office/drawing/2014/main" id="{00000000-0008-0000-0400-00000A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444500</xdr:colOff>
          <xdr:row>16</xdr:row>
          <xdr:rowOff>69850</xdr:rowOff>
        </xdr:from>
        <xdr:to>
          <xdr:col>12</xdr:col>
          <xdr:colOff>444500</xdr:colOff>
          <xdr:row>17</xdr:row>
          <xdr:rowOff>38100</xdr:rowOff>
        </xdr:to>
        <xdr:sp macro="" textlink="">
          <xdr:nvSpPr>
            <xdr:cNvPr id="21515" name="Drop Down 11" hidden="1">
              <a:extLst>
                <a:ext uri="{63B3BB69-23CF-44E3-9099-C40C66FF867C}">
                  <a14:compatExt spid="_x0000_s21515"/>
                </a:ext>
                <a:ext uri="{FF2B5EF4-FFF2-40B4-BE49-F238E27FC236}">
                  <a16:creationId xmlns:a16="http://schemas.microsoft.com/office/drawing/2014/main" id="{00000000-0008-0000-04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31750</xdr:colOff>
          <xdr:row>15</xdr:row>
          <xdr:rowOff>12700</xdr:rowOff>
        </xdr:from>
        <xdr:to>
          <xdr:col>13</xdr:col>
          <xdr:colOff>241300</xdr:colOff>
          <xdr:row>15</xdr:row>
          <xdr:rowOff>171450</xdr:rowOff>
        </xdr:to>
        <xdr:sp macro="" textlink="">
          <xdr:nvSpPr>
            <xdr:cNvPr id="21516" name="Spinner 12" hidden="1">
              <a:extLst>
                <a:ext uri="{63B3BB69-23CF-44E3-9099-C40C66FF867C}">
                  <a14:compatExt spid="_x0000_s21516"/>
                </a:ext>
                <a:ext uri="{FF2B5EF4-FFF2-40B4-BE49-F238E27FC236}">
                  <a16:creationId xmlns:a16="http://schemas.microsoft.com/office/drawing/2014/main" id="{00000000-0008-0000-0400-00000C5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444500</xdr:colOff>
          <xdr:row>19</xdr:row>
          <xdr:rowOff>69850</xdr:rowOff>
        </xdr:from>
        <xdr:to>
          <xdr:col>8</xdr:col>
          <xdr:colOff>444500</xdr:colOff>
          <xdr:row>20</xdr:row>
          <xdr:rowOff>38100</xdr:rowOff>
        </xdr:to>
        <xdr:sp macro="" textlink="">
          <xdr:nvSpPr>
            <xdr:cNvPr id="21517" name="Drop Down 13" hidden="1">
              <a:extLst>
                <a:ext uri="{63B3BB69-23CF-44E3-9099-C40C66FF867C}">
                  <a14:compatExt spid="_x0000_s21517"/>
                </a:ext>
                <a:ext uri="{FF2B5EF4-FFF2-40B4-BE49-F238E27FC236}">
                  <a16:creationId xmlns:a16="http://schemas.microsoft.com/office/drawing/2014/main" id="{00000000-0008-0000-04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260350</xdr:colOff>
          <xdr:row>138</xdr:row>
          <xdr:rowOff>0</xdr:rowOff>
        </xdr:from>
        <xdr:to>
          <xdr:col>7</xdr:col>
          <xdr:colOff>565150</xdr:colOff>
          <xdr:row>139</xdr:row>
          <xdr:rowOff>31750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00000000-0008-0000-05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584200</xdr:colOff>
          <xdr:row>110</xdr:row>
          <xdr:rowOff>139700</xdr:rowOff>
        </xdr:from>
        <xdr:to>
          <xdr:col>9</xdr:col>
          <xdr:colOff>95250</xdr:colOff>
          <xdr:row>112</xdr:row>
          <xdr:rowOff>31750</xdr:rowOff>
        </xdr:to>
        <xdr:sp macro="" textlink="">
          <xdr:nvSpPr>
            <xdr:cNvPr id="18435" name="Check Box 3" hidden="1">
              <a:extLst>
                <a:ext uri="{63B3BB69-23CF-44E3-9099-C40C66FF867C}">
                  <a14:compatExt spid="_x0000_s18435"/>
                </a:ext>
                <a:ext uri="{FF2B5EF4-FFF2-40B4-BE49-F238E27FC236}">
                  <a16:creationId xmlns:a16="http://schemas.microsoft.com/office/drawing/2014/main" id="{00000000-0008-0000-0500-00000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Apply Crisis Assumptions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349250</xdr:colOff>
          <xdr:row>1</xdr:row>
          <xdr:rowOff>107950</xdr:rowOff>
        </xdr:from>
        <xdr:to>
          <xdr:col>8</xdr:col>
          <xdr:colOff>819150</xdr:colOff>
          <xdr:row>3</xdr:row>
          <xdr:rowOff>0</xdr:rowOff>
        </xdr:to>
        <xdr:sp macro="" textlink="">
          <xdr:nvSpPr>
            <xdr:cNvPr id="18436" name="Check Box 4" hidden="1">
              <a:extLst>
                <a:ext uri="{63B3BB69-23CF-44E3-9099-C40C66FF867C}">
                  <a14:compatExt spid="_x0000_s18436"/>
                </a:ext>
                <a:ext uri="{FF2B5EF4-FFF2-40B4-BE49-F238E27FC236}">
                  <a16:creationId xmlns:a16="http://schemas.microsoft.com/office/drawing/2014/main" id="{00000000-0008-0000-0500-000004480000}"/>
                </a:ext>
              </a:extLst>
            </xdr:cNvPr>
            <xdr:cNvSpPr/>
          </xdr:nvSpPr>
          <xdr:spPr bwMode="auto">
            <a:xfrm>
              <a:off x="0" y="0"/>
              <a:ext cx="0" cy="0"/>
            </a:xfrm>
            <a:prstGeom prst="rect">
              <a:avLst/>
            </a:prstGeom>
            <a:solidFill>
              <a:srgbClr val="FFFF00" mc:Ignorable="a14" a14:legacySpreadsheetColorIndex="13">
                <a:alpha val="89999"/>
              </a:srgbClr>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Apply Crisis Assumptions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458107</xdr:colOff>
          <xdr:row>4</xdr:row>
          <xdr:rowOff>172357</xdr:rowOff>
        </xdr:from>
        <xdr:to>
          <xdr:col>8</xdr:col>
          <xdr:colOff>822778</xdr:colOff>
          <xdr:row>6</xdr:row>
          <xdr:rowOff>16329</xdr:rowOff>
        </xdr:to>
        <xdr:sp macro="" textlink="">
          <xdr:nvSpPr>
            <xdr:cNvPr id="18437" name="Drop Down 5" hidden="1">
              <a:extLst>
                <a:ext uri="{63B3BB69-23CF-44E3-9099-C40C66FF867C}">
                  <a14:compatExt spid="_x0000_s18437"/>
                </a:ext>
                <a:ext uri="{FF2B5EF4-FFF2-40B4-BE49-F238E27FC236}">
                  <a16:creationId xmlns:a16="http://schemas.microsoft.com/office/drawing/2014/main" id="{1BC6724F-406D-46B2-8C75-6A0F3C13E6B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44450</xdr:colOff>
          <xdr:row>107</xdr:row>
          <xdr:rowOff>152400</xdr:rowOff>
        </xdr:from>
        <xdr:to>
          <xdr:col>8</xdr:col>
          <xdr:colOff>12700</xdr:colOff>
          <xdr:row>109</xdr:row>
          <xdr:rowOff>0</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Fix Debt Repayments for Risk 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184150</xdr:colOff>
          <xdr:row>1</xdr:row>
          <xdr:rowOff>120650</xdr:rowOff>
        </xdr:from>
        <xdr:to>
          <xdr:col>8</xdr:col>
          <xdr:colOff>412750</xdr:colOff>
          <xdr:row>3</xdr:row>
          <xdr:rowOff>12700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6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Apply Crisis Assumptions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44450</xdr:colOff>
          <xdr:row>110</xdr:row>
          <xdr:rowOff>171450</xdr:rowOff>
        </xdr:from>
        <xdr:to>
          <xdr:col>6</xdr:col>
          <xdr:colOff>546100</xdr:colOff>
          <xdr:row>113</xdr:row>
          <xdr:rowOff>44450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6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Fix Debt</a:t>
              </a:r>
            </a:p>
          </xdr:txBody>
        </xdr:sp>
        <xdr:clientData fPrintsWithSheet="0"/>
      </xdr:twoCellAnchor>
    </mc:Choice>
    <mc:Fallback/>
  </mc:AlternateContent>
  <xdr:twoCellAnchor>
    <xdr:from>
      <xdr:col>11</xdr:col>
      <xdr:colOff>789215</xdr:colOff>
      <xdr:row>0</xdr:row>
      <xdr:rowOff>0</xdr:rowOff>
    </xdr:from>
    <xdr:to>
      <xdr:col>17</xdr:col>
      <xdr:colOff>81643</xdr:colOff>
      <xdr:row>15</xdr:row>
      <xdr:rowOff>21771</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977900</xdr:colOff>
          <xdr:row>1</xdr:row>
          <xdr:rowOff>38100</xdr:rowOff>
        </xdr:from>
        <xdr:to>
          <xdr:col>5</xdr:col>
          <xdr:colOff>6350</xdr:colOff>
          <xdr:row>2</xdr:row>
          <xdr:rowOff>63500</xdr:rowOff>
        </xdr:to>
        <xdr:sp macro="" textlink="">
          <xdr:nvSpPr>
            <xdr:cNvPr id="22532" name="Drop Down 4" hidden="1">
              <a:extLst>
                <a:ext uri="{63B3BB69-23CF-44E3-9099-C40C66FF867C}">
                  <a14:compatExt spid="_x0000_s22532"/>
                </a:ext>
                <a:ext uri="{FF2B5EF4-FFF2-40B4-BE49-F238E27FC236}">
                  <a16:creationId xmlns:a16="http://schemas.microsoft.com/office/drawing/2014/main" id="{00000000-0008-0000-0600-00000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5</xdr:row>
          <xdr:rowOff>82550</xdr:rowOff>
        </xdr:from>
        <xdr:to>
          <xdr:col>8</xdr:col>
          <xdr:colOff>400050</xdr:colOff>
          <xdr:row>6</xdr:row>
          <xdr:rowOff>107950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6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Fix Debt Repayments for Risk 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514350</xdr:colOff>
          <xdr:row>11</xdr:row>
          <xdr:rowOff>63500</xdr:rowOff>
        </xdr:from>
        <xdr:to>
          <xdr:col>6</xdr:col>
          <xdr:colOff>762000</xdr:colOff>
          <xdr:row>12</xdr:row>
          <xdr:rowOff>88900</xdr:rowOff>
        </xdr:to>
        <xdr:sp macro="" textlink="">
          <xdr:nvSpPr>
            <xdr:cNvPr id="22534" name="Drop Down 6" hidden="1">
              <a:extLst>
                <a:ext uri="{63B3BB69-23CF-44E3-9099-C40C66FF867C}">
                  <a14:compatExt spid="_x0000_s22534"/>
                </a:ext>
                <a:ext uri="{FF2B5EF4-FFF2-40B4-BE49-F238E27FC236}">
                  <a16:creationId xmlns:a16="http://schemas.microsoft.com/office/drawing/2014/main" id="{00000000-0008-0000-0600-00000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419100</xdr:colOff>
          <xdr:row>1</xdr:row>
          <xdr:rowOff>88900</xdr:rowOff>
        </xdr:from>
        <xdr:to>
          <xdr:col>9</xdr:col>
          <xdr:colOff>260350</xdr:colOff>
          <xdr:row>3</xdr:row>
          <xdr:rowOff>0</xdr:rowOff>
        </xdr:to>
        <xdr:sp macro="" textlink="">
          <xdr:nvSpPr>
            <xdr:cNvPr id="22537" name="Button 9" hidden="1">
              <a:extLst>
                <a:ext uri="{63B3BB69-23CF-44E3-9099-C40C66FF867C}">
                  <a14:compatExt spid="_x0000_s22537"/>
                </a:ext>
                <a:ext uri="{FF2B5EF4-FFF2-40B4-BE49-F238E27FC236}">
                  <a16:creationId xmlns:a16="http://schemas.microsoft.com/office/drawing/2014/main" id="{00000000-0008-0000-0600-000009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Circular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254000</xdr:colOff>
          <xdr:row>11</xdr:row>
          <xdr:rowOff>63500</xdr:rowOff>
        </xdr:from>
        <xdr:to>
          <xdr:col>8</xdr:col>
          <xdr:colOff>298450</xdr:colOff>
          <xdr:row>12</xdr:row>
          <xdr:rowOff>82550</xdr:rowOff>
        </xdr:to>
        <xdr:sp macro="" textlink="">
          <xdr:nvSpPr>
            <xdr:cNvPr id="22538" name="Button 10" hidden="1">
              <a:extLst>
                <a:ext uri="{63B3BB69-23CF-44E3-9099-C40C66FF867C}">
                  <a14:compatExt spid="_x0000_s22538"/>
                </a:ext>
                <a:ext uri="{FF2B5EF4-FFF2-40B4-BE49-F238E27FC236}">
                  <a16:creationId xmlns:a16="http://schemas.microsoft.com/office/drawing/2014/main" id="{00000000-0008-0000-0600-00000A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Fix Debt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114</xdr:row>
          <xdr:rowOff>165100</xdr:rowOff>
        </xdr:from>
        <xdr:to>
          <xdr:col>6</xdr:col>
          <xdr:colOff>311150</xdr:colOff>
          <xdr:row>115</xdr:row>
          <xdr:rowOff>146050</xdr:rowOff>
        </xdr:to>
        <xdr:sp macro="" textlink="">
          <xdr:nvSpPr>
            <xdr:cNvPr id="22599" name="Spinner 71" hidden="1">
              <a:extLst>
                <a:ext uri="{63B3BB69-23CF-44E3-9099-C40C66FF867C}">
                  <a14:compatExt spid="_x0000_s22599"/>
                </a:ext>
                <a:ext uri="{FF2B5EF4-FFF2-40B4-BE49-F238E27FC236}">
                  <a16:creationId xmlns:a16="http://schemas.microsoft.com/office/drawing/2014/main" id="{00000000-0008-0000-0600-0000475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13</xdr:row>
          <xdr:rowOff>50800</xdr:rowOff>
        </xdr:from>
        <xdr:to>
          <xdr:col>5</xdr:col>
          <xdr:colOff>304800</xdr:colOff>
          <xdr:row>13</xdr:row>
          <xdr:rowOff>114300</xdr:rowOff>
        </xdr:to>
        <xdr:sp macro="" textlink="">
          <xdr:nvSpPr>
            <xdr:cNvPr id="1025" name="Spinner 1" hidden="1">
              <a:extLst>
                <a:ext uri="{63B3BB69-23CF-44E3-9099-C40C66FF867C}">
                  <a14:compatExt spid="_x0000_s1025"/>
                </a:ext>
                <a:ext uri="{FF2B5EF4-FFF2-40B4-BE49-F238E27FC236}">
                  <a16:creationId xmlns:a16="http://schemas.microsoft.com/office/drawing/2014/main" id="{00000000-0008-0000-07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12700</xdr:colOff>
          <xdr:row>12</xdr:row>
          <xdr:rowOff>12700</xdr:rowOff>
        </xdr:from>
        <xdr:to>
          <xdr:col>11</xdr:col>
          <xdr:colOff>717550</xdr:colOff>
          <xdr:row>13</xdr:row>
          <xdr:rowOff>19050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7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8664937" cy="6293734"/>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0.04541</cdr:x>
      <cdr:y>0.03704</cdr:y>
    </cdr:from>
    <cdr:to>
      <cdr:x>0.22428</cdr:x>
      <cdr:y>0.13538</cdr:y>
    </cdr:to>
    <cdr:sp macro="[0]!ArrowLeft1_Click" textlink="">
      <cdr:nvSpPr>
        <cdr:cNvPr id="2" name="Arrow: Left 1">
          <a:extLst xmlns:a="http://schemas.openxmlformats.org/drawingml/2006/main">
            <a:ext uri="{FF2B5EF4-FFF2-40B4-BE49-F238E27FC236}">
              <a16:creationId xmlns:a16="http://schemas.microsoft.com/office/drawing/2014/main" id="{E659720B-5D5B-4D49-8CDB-D878F781E8ED}"/>
            </a:ext>
          </a:extLst>
        </cdr:cNvPr>
        <cdr:cNvSpPr/>
      </cdr:nvSpPr>
      <cdr:spPr>
        <a:xfrm xmlns:a="http://schemas.openxmlformats.org/drawingml/2006/main">
          <a:off x="393861" y="233101"/>
          <a:ext cx="1551329" cy="618924"/>
        </a:xfrm>
        <a:prstGeom xmlns:a="http://schemas.openxmlformats.org/drawingml/2006/main" prst="leftArrow">
          <a:avLst/>
        </a:prstGeom>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t>Go Back</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trlProp" Target="../ctrlProps/ctrlProp29.xml"/><Relationship Id="rId18" Type="http://schemas.openxmlformats.org/officeDocument/2006/relationships/ctrlProp" Target="../ctrlProps/ctrlProp34.xml"/><Relationship Id="rId3" Type="http://schemas.openxmlformats.org/officeDocument/2006/relationships/ctrlProp" Target="../ctrlProps/ctrlProp19.xml"/><Relationship Id="rId7" Type="http://schemas.openxmlformats.org/officeDocument/2006/relationships/ctrlProp" Target="../ctrlProps/ctrlProp23.xml"/><Relationship Id="rId12" Type="http://schemas.openxmlformats.org/officeDocument/2006/relationships/ctrlProp" Target="../ctrlProps/ctrlProp28.xml"/><Relationship Id="rId17" Type="http://schemas.openxmlformats.org/officeDocument/2006/relationships/ctrlProp" Target="../ctrlProps/ctrlProp33.xml"/><Relationship Id="rId2" Type="http://schemas.openxmlformats.org/officeDocument/2006/relationships/vmlDrawing" Target="../drawings/vmlDrawing2.vml"/><Relationship Id="rId16" Type="http://schemas.openxmlformats.org/officeDocument/2006/relationships/ctrlProp" Target="../ctrlProps/ctrlProp32.xml"/><Relationship Id="rId1" Type="http://schemas.openxmlformats.org/officeDocument/2006/relationships/drawing" Target="../drawings/drawing3.xml"/><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5" Type="http://schemas.openxmlformats.org/officeDocument/2006/relationships/ctrlProp" Target="../ctrlProps/ctrlProp31.xml"/><Relationship Id="rId10" Type="http://schemas.openxmlformats.org/officeDocument/2006/relationships/ctrlProp" Target="../ctrlProps/ctrlProp26.xml"/><Relationship Id="rId19" Type="http://schemas.openxmlformats.org/officeDocument/2006/relationships/ctrlProp" Target="../ctrlProps/ctrlProp35.xml"/><Relationship Id="rId4" Type="http://schemas.openxmlformats.org/officeDocument/2006/relationships/ctrlProp" Target="../ctrlProps/ctrlProp20.xml"/><Relationship Id="rId9" Type="http://schemas.openxmlformats.org/officeDocument/2006/relationships/ctrlProp" Target="../ctrlProps/ctrlProp25.xml"/><Relationship Id="rId14" Type="http://schemas.openxmlformats.org/officeDocument/2006/relationships/ctrlProp" Target="../ctrlProps/ctrlProp3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ctrlProp" Target="../ctrlProps/ctrlProp36.xml"/><Relationship Id="rId7" Type="http://schemas.openxmlformats.org/officeDocument/2006/relationships/ctrlProp" Target="../ctrlProps/ctrlProp40.xml"/><Relationship Id="rId12" Type="http://schemas.openxmlformats.org/officeDocument/2006/relationships/ctrlProp" Target="../ctrlProps/ctrlProp4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5" Type="http://schemas.openxmlformats.org/officeDocument/2006/relationships/ctrlProp" Target="../ctrlProps/ctrlProp4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3" Type="http://schemas.openxmlformats.org/officeDocument/2006/relationships/ctrlProp" Target="../ctrlProps/ctrlProp53.xml"/><Relationship Id="rId7" Type="http://schemas.openxmlformats.org/officeDocument/2006/relationships/ctrlProp" Target="../ctrlProps/ctrlProp57.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bin"/><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E5A98-BF2D-4E81-89E2-63EBF734A2AC}">
  <sheetPr codeName="Sheet8"/>
  <dimension ref="A1:E9"/>
  <sheetViews>
    <sheetView workbookViewId="0">
      <selection activeCell="G9" sqref="G9"/>
    </sheetView>
  </sheetViews>
  <sheetFormatPr defaultRowHeight="14.5" x14ac:dyDescent="0.35"/>
  <sheetData>
    <row r="1" spans="1:5" x14ac:dyDescent="0.35">
      <c r="A1" t="s">
        <v>451</v>
      </c>
    </row>
    <row r="3" spans="1:5" x14ac:dyDescent="0.35">
      <c r="B3" t="s">
        <v>82</v>
      </c>
    </row>
    <row r="4" spans="1:5" x14ac:dyDescent="0.35">
      <c r="B4" t="s">
        <v>83</v>
      </c>
    </row>
    <row r="5" spans="1:5" x14ac:dyDescent="0.35">
      <c r="B5" t="s">
        <v>84</v>
      </c>
      <c r="E5" t="s">
        <v>207</v>
      </c>
    </row>
    <row r="8" spans="1:5" x14ac:dyDescent="0.35">
      <c r="B8" t="s">
        <v>95</v>
      </c>
    </row>
    <row r="9" spans="1:5" x14ac:dyDescent="0.35">
      <c r="B9" t="s">
        <v>96</v>
      </c>
    </row>
  </sheetData>
  <hyperlinks>
    <hyperlink ref="B3" location="'Contents'!D3" display="'Contents'!D3" xr:uid="{85E0A196-001D-4BA1-B8F9-B0AC2C3659AC}"/>
    <hyperlink ref="B4" location="'Contents'!D4" display="'Contents'!D4" xr:uid="{F77B5E96-F642-4CF7-84FF-C49895FAE6A4}"/>
    <hyperlink ref="B5" location="'Contents'!D5" display="'Contents'!D5" xr:uid="{38EB8659-4D16-4976-8800-FC8DED304C39}"/>
    <hyperlink ref="B8" location="'Contents'!D6" display="'Contents'!D6" xr:uid="{5029A0DF-C968-47FE-9D01-4B3D264878A8}"/>
    <hyperlink ref="B9" location="'Contents'!D7" display="'Contents'!D7" xr:uid="{86A8EB54-B9DC-4886-A6E1-C29106DEFF18}"/>
    <hyperlink ref="A1" location="'Contents'!A1" display="'Contents'!A1" xr:uid="{B0C6A214-12B5-4F35-A2AB-B8EF93971277}"/>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550A9-EFBD-4E02-B52B-63D7370ECD81}">
  <sheetPr codeName="Sheet3"/>
  <dimension ref="A2:M48"/>
  <sheetViews>
    <sheetView showGridLines="0" workbookViewId="0">
      <selection activeCell="E10" sqref="E10"/>
    </sheetView>
  </sheetViews>
  <sheetFormatPr defaultRowHeight="14.5" x14ac:dyDescent="0.35"/>
  <cols>
    <col min="1" max="2" width="1.26953125" style="79" customWidth="1"/>
    <col min="3" max="3" width="1.26953125" style="83" customWidth="1"/>
    <col min="4" max="4" width="48.6328125" style="79" customWidth="1"/>
    <col min="5" max="5" width="8.7265625" style="63"/>
    <col min="6" max="6" width="2.1796875" style="63" customWidth="1"/>
    <col min="7" max="8" width="8.7265625" style="63"/>
    <col min="9" max="9" width="10.6328125" style="63" customWidth="1"/>
    <col min="10" max="16384" width="8.7265625" style="63"/>
  </cols>
  <sheetData>
    <row r="2" spans="3:13" x14ac:dyDescent="0.35">
      <c r="C2" s="82" t="s">
        <v>443</v>
      </c>
    </row>
    <row r="3" spans="3:13" x14ac:dyDescent="0.35">
      <c r="D3" s="80" t="s">
        <v>82</v>
      </c>
      <c r="F3" s="63" t="s">
        <v>455</v>
      </c>
      <c r="K3" s="63" t="s">
        <v>452</v>
      </c>
      <c r="M3" s="63" t="str">
        <f ca="1">IFERROR(File_name(),"")</f>
        <v/>
      </c>
    </row>
    <row r="4" spans="3:13" x14ac:dyDescent="0.35">
      <c r="D4" s="80" t="s">
        <v>83</v>
      </c>
      <c r="G4" s="63" t="s">
        <v>456</v>
      </c>
      <c r="I4" s="85" t="s">
        <v>457</v>
      </c>
    </row>
    <row r="5" spans="3:13" x14ac:dyDescent="0.35">
      <c r="D5" s="80" t="s">
        <v>84</v>
      </c>
      <c r="G5" s="63" t="s">
        <v>458</v>
      </c>
      <c r="I5" s="86" t="s">
        <v>459</v>
      </c>
      <c r="K5" s="63" t="s">
        <v>453</v>
      </c>
      <c r="M5" s="63" t="str">
        <f ca="1">IFERROR(lastsaved(),"")</f>
        <v/>
      </c>
    </row>
    <row r="6" spans="3:13" x14ac:dyDescent="0.35">
      <c r="D6" s="80" t="s">
        <v>95</v>
      </c>
      <c r="G6" s="63" t="s">
        <v>460</v>
      </c>
      <c r="I6" s="84" t="s">
        <v>461</v>
      </c>
    </row>
    <row r="7" spans="3:13" x14ac:dyDescent="0.35">
      <c r="D7" s="81" t="s">
        <v>96</v>
      </c>
      <c r="G7" s="63" t="s">
        <v>462</v>
      </c>
      <c r="I7" s="63" t="b">
        <f>1=1</f>
        <v>1</v>
      </c>
      <c r="K7" s="63" t="s">
        <v>454</v>
      </c>
      <c r="M7" s="63" t="str">
        <f ca="1">IFERROR(last_save_by(),"")</f>
        <v/>
      </c>
    </row>
    <row r="8" spans="3:13" x14ac:dyDescent="0.35">
      <c r="G8" s="63" t="s">
        <v>463</v>
      </c>
      <c r="I8" s="63" t="b">
        <f>1=2</f>
        <v>0</v>
      </c>
    </row>
    <row r="9" spans="3:13" x14ac:dyDescent="0.35">
      <c r="C9" s="82" t="s">
        <v>444</v>
      </c>
      <c r="G9" s="63" t="s">
        <v>464</v>
      </c>
      <c r="I9" s="87" t="s">
        <v>465</v>
      </c>
    </row>
    <row r="11" spans="3:13" x14ac:dyDescent="0.35">
      <c r="C11" s="82" t="s">
        <v>445</v>
      </c>
    </row>
    <row r="13" spans="3:13" x14ac:dyDescent="0.35">
      <c r="C13" s="82" t="s">
        <v>446</v>
      </c>
    </row>
    <row r="14" spans="3:13" x14ac:dyDescent="0.35">
      <c r="D14" s="80" t="s">
        <v>57</v>
      </c>
    </row>
    <row r="15" spans="3:13" x14ac:dyDescent="0.35">
      <c r="D15" s="80" t="s">
        <v>85</v>
      </c>
    </row>
    <row r="16" spans="3:13" x14ac:dyDescent="0.35">
      <c r="D16" s="80" t="s">
        <v>120</v>
      </c>
    </row>
    <row r="17" spans="3:4" x14ac:dyDescent="0.35">
      <c r="D17" s="80" t="s">
        <v>126</v>
      </c>
    </row>
    <row r="18" spans="3:4" x14ac:dyDescent="0.35">
      <c r="D18" s="80" t="s">
        <v>26</v>
      </c>
    </row>
    <row r="19" spans="3:4" x14ac:dyDescent="0.35">
      <c r="D19" s="80" t="s">
        <v>261</v>
      </c>
    </row>
    <row r="20" spans="3:4" x14ac:dyDescent="0.35">
      <c r="D20" s="81" t="s">
        <v>162</v>
      </c>
    </row>
    <row r="22" spans="3:4" x14ac:dyDescent="0.35">
      <c r="C22" s="82" t="s">
        <v>447</v>
      </c>
    </row>
    <row r="23" spans="3:4" x14ac:dyDescent="0.35">
      <c r="D23" s="80" t="s">
        <v>273</v>
      </c>
    </row>
    <row r="24" spans="3:4" x14ac:dyDescent="0.35">
      <c r="D24" s="80" t="s">
        <v>156</v>
      </c>
    </row>
    <row r="25" spans="3:4" x14ac:dyDescent="0.35">
      <c r="D25" s="81" t="s">
        <v>272</v>
      </c>
    </row>
    <row r="27" spans="3:4" x14ac:dyDescent="0.35">
      <c r="C27" s="82" t="s">
        <v>448</v>
      </c>
    </row>
    <row r="28" spans="3:4" x14ac:dyDescent="0.35">
      <c r="D28" s="80" t="s">
        <v>71</v>
      </c>
    </row>
    <row r="29" spans="3:4" x14ac:dyDescent="0.35">
      <c r="D29" s="80" t="s">
        <v>20</v>
      </c>
    </row>
    <row r="30" spans="3:4" x14ac:dyDescent="0.35">
      <c r="D30" s="80" t="s">
        <v>29</v>
      </c>
    </row>
    <row r="31" spans="3:4" x14ac:dyDescent="0.35">
      <c r="D31" s="80" t="s">
        <v>201</v>
      </c>
    </row>
    <row r="32" spans="3:4" x14ac:dyDescent="0.35">
      <c r="D32" s="80" t="s">
        <v>26</v>
      </c>
    </row>
    <row r="33" spans="3:4" x14ac:dyDescent="0.35">
      <c r="D33" s="80" t="s">
        <v>251</v>
      </c>
    </row>
    <row r="34" spans="3:4" x14ac:dyDescent="0.35">
      <c r="D34" s="80" t="s">
        <v>252</v>
      </c>
    </row>
    <row r="35" spans="3:4" x14ac:dyDescent="0.35">
      <c r="D35" s="81" t="s">
        <v>430</v>
      </c>
    </row>
    <row r="37" spans="3:4" x14ac:dyDescent="0.35">
      <c r="C37" s="82" t="s">
        <v>449</v>
      </c>
    </row>
    <row r="38" spans="3:4" x14ac:dyDescent="0.35">
      <c r="D38" s="80" t="s">
        <v>71</v>
      </c>
    </row>
    <row r="39" spans="3:4" x14ac:dyDescent="0.35">
      <c r="D39" s="80" t="s">
        <v>256</v>
      </c>
    </row>
    <row r="40" spans="3:4" x14ac:dyDescent="0.35">
      <c r="D40" s="80" t="s">
        <v>287</v>
      </c>
    </row>
    <row r="41" spans="3:4" x14ac:dyDescent="0.35">
      <c r="D41" s="80" t="s">
        <v>314</v>
      </c>
    </row>
    <row r="42" spans="3:4" x14ac:dyDescent="0.35">
      <c r="D42" s="80" t="s">
        <v>329</v>
      </c>
    </row>
    <row r="43" spans="3:4" x14ac:dyDescent="0.35">
      <c r="D43" s="80" t="s">
        <v>375</v>
      </c>
    </row>
    <row r="44" spans="3:4" x14ac:dyDescent="0.35">
      <c r="D44" s="80" t="s">
        <v>390</v>
      </c>
    </row>
    <row r="45" spans="3:4" x14ac:dyDescent="0.35">
      <c r="D45" s="80" t="s">
        <v>358</v>
      </c>
    </row>
    <row r="46" spans="3:4" x14ac:dyDescent="0.35">
      <c r="D46" s="81" t="s">
        <v>359</v>
      </c>
    </row>
    <row r="48" spans="3:4" x14ac:dyDescent="0.35">
      <c r="C48" s="82" t="s">
        <v>450</v>
      </c>
    </row>
  </sheetData>
  <conditionalFormatting sqref="A1:XFD6 A8:XFD1048576 A7:H7 J7:XFD7">
    <cfRule type="top10" priority="1" rank="10"/>
  </conditionalFormatting>
  <conditionalFormatting sqref="A1:XFD1048576">
    <cfRule type="top10" priority="2" rank="10"/>
  </conditionalFormatting>
  <hyperlinks>
    <hyperlink ref="C2" location="'Things to Check'!A1" display="Things to Check" xr:uid="{DB802990-6F97-4E16-AA02-8D2EEE51BE79}"/>
    <hyperlink ref="D3" location="'Things to Check'!B3" display="'Things to Check'!B3" xr:uid="{C65F4FE3-495E-4F8D-B516-B8F076A7616D}"/>
    <hyperlink ref="D4" location="'Things to Check'!B4" display="'Things to Check'!B4" xr:uid="{F01895E4-A987-4F57-8530-28DBFC70D05B}"/>
    <hyperlink ref="D5" location="'Things to Check'!B5" display="'Things to Check'!B5" xr:uid="{80AF7BF9-56FB-45E4-A2FA-689A549B1E6F}"/>
    <hyperlink ref="D6" location="'Things to Check'!B8" display="'Things to Check'!B8" xr:uid="{BAD8AC90-7129-4C5A-BAB2-237098C689C4}"/>
    <hyperlink ref="D7" location="'Things to Check'!B9" display="'Things to Check'!B9" xr:uid="{5FBDCF09-9270-4993-8981-DAC1C7A5C6E5}"/>
    <hyperlink ref="C9" location="'Contents'!A1" display="Contents" xr:uid="{3F4505C6-1670-4E93-9DD7-EA7F64CF8A21}"/>
    <hyperlink ref="C11" location="'Summary'!A1" display="Summary" xr:uid="{B9D6702A-BF52-4B95-8CA8-6EC1B36BF9F5}"/>
    <hyperlink ref="C13" location="'Assumptions'!A1" display="Assumptions" xr:uid="{053D1435-7814-4AB5-A7FF-91EDE0237A50}"/>
    <hyperlink ref="D14" location="'Assumptions'!B2" display="'Assumptions'!B2" xr:uid="{1A50B66A-2951-44CB-8580-62A3976E9598}"/>
    <hyperlink ref="D15" location="'Assumptions'!B19" display="'Assumptions'!B19" xr:uid="{D5CA3616-04DC-4F4A-879C-0176762B7F66}"/>
    <hyperlink ref="D16" location="'Assumptions'!B51" display="'Assumptions'!B51" xr:uid="{A2455118-E97D-439E-A7F0-3C41189E0CA9}"/>
    <hyperlink ref="D17" location="'Assumptions'!B71" display="'Assumptions'!B71" xr:uid="{8E84AD2F-1BFF-49F6-9D91-30523A5EC4F5}"/>
    <hyperlink ref="D18" location="'Assumptions'!B91" display="'Assumptions'!B91" xr:uid="{F450F016-D4A5-4C5F-AF8B-EADA89048D58}"/>
    <hyperlink ref="D19" location="'Assumptions'!B126" display="'Assumptions'!B126" xr:uid="{E6EAE3F1-095A-470F-B638-DFA9494ED3B7}"/>
    <hyperlink ref="D20" location="'Assumptions'!B130" display="'Assumptions'!B130" xr:uid="{CFFA0F38-CFB8-4DAF-9608-D2A53ACB9DDA}"/>
    <hyperlink ref="C22" location="'Scenario'!A1" display="Scenario" xr:uid="{7E2D3103-0310-460C-804B-2C0C97497C16}"/>
    <hyperlink ref="D23" location="'Scenario'!B2" display="'Scenario'!B2" xr:uid="{2BBA55B5-92B3-4339-8A9F-0B45DEFD3B2D}"/>
    <hyperlink ref="D24" location="'Scenario'!B18" display="'Scenario'!B18" xr:uid="{01F1EA93-C37F-446D-A533-E6A6421BE713}"/>
    <hyperlink ref="D25" location="'Scenario'!B32" display="'Scenario'!B32" xr:uid="{E0B8184F-3A56-43CF-81F1-2B1F0B28470B}"/>
    <hyperlink ref="C27" location="'Operating Model'!A1" display="Operating Model" xr:uid="{B6A0370A-AEE2-4F12-A588-C1D23DF1A32A}"/>
    <hyperlink ref="D28" location="'Operating Model'!B2" display="'Operating Model'!B2" xr:uid="{C6B312F3-E1D8-410A-976D-5F01C70C8BCD}"/>
    <hyperlink ref="D29" location="'Operating Model'!B12" display="'Operating Model'!B12" xr:uid="{90730F18-0895-445B-84F6-D3813393837B}"/>
    <hyperlink ref="D30" location="'Operating Model'!B45" display="'Operating Model'!B45" xr:uid="{8816FBC0-E961-4FD6-A6FC-2BB78E8B2105}"/>
    <hyperlink ref="D31" location="'Operating Model'!B65" display="'Operating Model'!B65" xr:uid="{BED464B0-A9F0-4F6F-8845-1DC15DB6CCB4}"/>
    <hyperlink ref="D32" location="'Operating Model'!B106" display="'Operating Model'!B106" xr:uid="{2F220081-B683-4399-8F3D-AEF00F590192}"/>
    <hyperlink ref="D33" location="'Operating Model'!B141" display="'Operating Model'!B141" xr:uid="{52946530-CB19-4DAB-A76E-BAC30B7B744E}"/>
    <hyperlink ref="D34" location="'Operating Model'!B148" display="'Operating Model'!B148" xr:uid="{5BC20E0E-15A3-48EC-A3B4-C6C33A823B8D}"/>
    <hyperlink ref="D35" location="'Operating Model'!B168" display="'Operating Model'!B168" xr:uid="{AB8E4413-6D76-455D-86D2-A83BA4B9B35B}"/>
    <hyperlink ref="C37" location="'Financing Model'!A1" display="Financing Model" xr:uid="{656EA3B4-B87E-4D05-820F-E49110D23E14}"/>
    <hyperlink ref="D38" location="'Financing Model'!B2" display="'Financing Model'!B2" xr:uid="{B5AC8E91-46BF-438E-9813-B28E817913A9}"/>
    <hyperlink ref="D39" location="'Financing Model'!B12" display="'Financing Model'!B12" xr:uid="{624E3AE5-1E4A-4BD1-BB77-D77121006BC7}"/>
    <hyperlink ref="D40" location="'Financing Model'!B39" display="'Financing Model'!B39" xr:uid="{23BD4150-5FA4-4B9B-AE77-B327A82B0AE6}"/>
    <hyperlink ref="D41" location="'Financing Model'!B71" display="'Financing Model'!B71" xr:uid="{AF8F43D2-E270-4BB6-8A33-FE7B40657B79}"/>
    <hyperlink ref="D42" location="'Financing Model'!B99" display="'Financing Model'!B99" xr:uid="{A9BCEBA7-BD56-4C94-8583-5239A4A403A9}"/>
    <hyperlink ref="D43" location="'Financing Model'!B142" display="'Financing Model'!B142" xr:uid="{1E5B7499-928D-40D9-AAC2-5E064910F823}"/>
    <hyperlink ref="D44" location="'Financing Model'!B163" display="'Financing Model'!B163" xr:uid="{CB45C510-0A01-43ED-BA28-9820DBECD418}"/>
    <hyperlink ref="D45" location="'Financing Model'!B204" display="'Financing Model'!B204" xr:uid="{6A63C063-E38C-45EF-A2BA-928E15556C3D}"/>
    <hyperlink ref="D46" location="'Financing Model'!B216" display="'Financing Model'!B216" xr:uid="{8CB7F62B-31F5-448E-AA5D-2828198896AA}"/>
    <hyperlink ref="C48" location="'Operating Data'!A1" display="Operating Data" xr:uid="{25067DDE-9FB4-4151-87C3-606A850D19F0}"/>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CF709-E82C-4089-875A-053471ABE9C5}">
  <sheetPr codeName="Sheet2"/>
  <dimension ref="A1:T32"/>
  <sheetViews>
    <sheetView showGridLines="0" tabSelected="1" zoomScale="80" zoomScaleNormal="80" workbookViewId="0">
      <selection activeCell="H9" sqref="H9"/>
    </sheetView>
  </sheetViews>
  <sheetFormatPr defaultRowHeight="14.5" x14ac:dyDescent="0.35"/>
  <cols>
    <col min="1" max="2" width="1.36328125" customWidth="1"/>
    <col min="4" max="4" width="13.54296875" customWidth="1"/>
    <col min="6" max="6" width="9.6328125" bestFit="1" customWidth="1"/>
    <col min="7" max="7" width="10.453125" customWidth="1"/>
  </cols>
  <sheetData>
    <row r="1" spans="1:6" x14ac:dyDescent="0.35">
      <c r="A1" t="s">
        <v>451</v>
      </c>
      <c r="C1" s="18" t="s">
        <v>417</v>
      </c>
    </row>
    <row r="2" spans="1:6" x14ac:dyDescent="0.35">
      <c r="C2" t="s">
        <v>232</v>
      </c>
      <c r="F2" s="4">
        <f>'Operating Model'!G146</f>
        <v>7.1112564206123371E-2</v>
      </c>
    </row>
    <row r="3" spans="1:6" x14ac:dyDescent="0.35">
      <c r="C3" t="s">
        <v>267</v>
      </c>
      <c r="F3" s="4">
        <f>'Operating Model'!G166</f>
        <v>5.8892622590065002E-2</v>
      </c>
    </row>
    <row r="4" spans="1:6" x14ac:dyDescent="0.35">
      <c r="C4" t="s">
        <v>295</v>
      </c>
      <c r="F4" s="4">
        <f>'Financing Model'!G202</f>
        <v>3.6517551541328436E-2</v>
      </c>
    </row>
    <row r="5" spans="1:6" x14ac:dyDescent="0.35">
      <c r="C5" t="s">
        <v>294</v>
      </c>
      <c r="F5" s="4">
        <f>'Financing Model'!G181</f>
        <v>9.1066101193428048E-2</v>
      </c>
    </row>
    <row r="7" spans="1:6" x14ac:dyDescent="0.35">
      <c r="C7" t="s">
        <v>296</v>
      </c>
      <c r="F7" s="4">
        <f>F30/F32</f>
        <v>0.72863900250042368</v>
      </c>
    </row>
    <row r="8" spans="1:6" x14ac:dyDescent="0.35">
      <c r="C8" t="s">
        <v>298</v>
      </c>
      <c r="F8" s="5">
        <f>'Financing Model'!G185</f>
        <v>1.4502412161009999</v>
      </c>
    </row>
    <row r="9" spans="1:6" x14ac:dyDescent="0.35">
      <c r="C9" t="s">
        <v>299</v>
      </c>
      <c r="F9" s="5">
        <f>'Financing Model'!G193</f>
        <v>1.7840206241322527</v>
      </c>
    </row>
    <row r="11" spans="1:6" x14ac:dyDescent="0.35">
      <c r="C11" t="s">
        <v>418</v>
      </c>
      <c r="F11" s="5">
        <f>Assumptions!F132</f>
        <v>1.45</v>
      </c>
    </row>
    <row r="12" spans="1:6" x14ac:dyDescent="0.35">
      <c r="C12" t="s">
        <v>421</v>
      </c>
      <c r="F12">
        <f>Assumptions!F140</f>
        <v>20</v>
      </c>
    </row>
    <row r="13" spans="1:6" x14ac:dyDescent="0.35">
      <c r="C13" t="s">
        <v>246</v>
      </c>
      <c r="F13" s="4">
        <f>Assumptions!$F$157</f>
        <v>0</v>
      </c>
    </row>
    <row r="14" spans="1:6" x14ac:dyDescent="0.35">
      <c r="C14" t="s">
        <v>97</v>
      </c>
      <c r="F14">
        <f>Assumptions!$F$10</f>
        <v>5</v>
      </c>
    </row>
    <row r="15" spans="1:6" x14ac:dyDescent="0.35">
      <c r="C15" t="s">
        <v>422</v>
      </c>
      <c r="F15">
        <f>Scenario!F20</f>
        <v>1</v>
      </c>
    </row>
    <row r="16" spans="1:6" x14ac:dyDescent="0.35">
      <c r="C16" t="s">
        <v>423</v>
      </c>
      <c r="F16" s="4">
        <f>Assumptions!$F$97</f>
        <v>1.35</v>
      </c>
    </row>
    <row r="18" spans="3:20" x14ac:dyDescent="0.35">
      <c r="C18" t="s">
        <v>293</v>
      </c>
      <c r="T18" t="s">
        <v>416</v>
      </c>
    </row>
    <row r="19" spans="3:20" x14ac:dyDescent="0.35">
      <c r="C19" s="16" t="s">
        <v>302</v>
      </c>
      <c r="F19">
        <f>Assumptions!F61+Assumptions!F68</f>
        <v>767</v>
      </c>
    </row>
    <row r="20" spans="3:20" x14ac:dyDescent="0.35">
      <c r="C20" s="16" t="s">
        <v>291</v>
      </c>
      <c r="F20" s="5">
        <f>Assumptions!F72</f>
        <v>5</v>
      </c>
      <c r="R20" s="19" t="s">
        <v>427</v>
      </c>
    </row>
    <row r="21" spans="3:20" x14ac:dyDescent="0.35">
      <c r="C21" s="16" t="s">
        <v>290</v>
      </c>
      <c r="F21" s="4">
        <f>Assumptions!J48</f>
        <v>0.25111872146118719</v>
      </c>
    </row>
    <row r="22" spans="3:20" x14ac:dyDescent="0.35">
      <c r="C22" s="16" t="s">
        <v>292</v>
      </c>
      <c r="F22" s="5">
        <f>'Operating Model'!G178</f>
        <v>34.168463677707862</v>
      </c>
    </row>
    <row r="24" spans="3:20" x14ac:dyDescent="0.35">
      <c r="C24" s="16" t="s">
        <v>297</v>
      </c>
      <c r="F24" t="s">
        <v>425</v>
      </c>
      <c r="G24" t="s">
        <v>426</v>
      </c>
    </row>
    <row r="25" spans="3:20" x14ac:dyDescent="0.35">
      <c r="C25" s="16" t="s">
        <v>196</v>
      </c>
      <c r="F25">
        <f>Assumptions!H68</f>
        <v>162000</v>
      </c>
      <c r="G25" s="13">
        <f>F25/Assumptions!F$20</f>
        <v>27</v>
      </c>
    </row>
    <row r="26" spans="3:20" x14ac:dyDescent="0.35">
      <c r="C26" s="16" t="s">
        <v>0</v>
      </c>
      <c r="F26">
        <f>Assumptions!H61</f>
        <v>4440000</v>
      </c>
      <c r="G26" s="13">
        <f>F26/Assumptions!F$20</f>
        <v>740</v>
      </c>
      <c r="R26" s="19" t="s">
        <v>419</v>
      </c>
    </row>
    <row r="27" spans="3:20" x14ac:dyDescent="0.35">
      <c r="C27" s="16" t="s">
        <v>300</v>
      </c>
      <c r="F27">
        <f>'Financing Model'!G55+'Financing Model'!G56+'Financing Model'!G57</f>
        <v>77513.827668934769</v>
      </c>
      <c r="G27" s="13">
        <f>F27/Assumptions!F$20</f>
        <v>12.918971278155794</v>
      </c>
    </row>
    <row r="28" spans="3:20" ht="15" thickBot="1" x14ac:dyDescent="0.4">
      <c r="C28" s="17" t="s">
        <v>301</v>
      </c>
      <c r="D28" s="14"/>
      <c r="E28" s="14"/>
      <c r="F28" s="14">
        <f>SUM(F25:F27)</f>
        <v>4679513.8276689351</v>
      </c>
      <c r="G28" s="15">
        <f>F28/Assumptions!F$20</f>
        <v>779.91897127815582</v>
      </c>
      <c r="R28" s="19" t="s">
        <v>420</v>
      </c>
    </row>
    <row r="30" spans="3:20" x14ac:dyDescent="0.35">
      <c r="C30" s="16" t="s">
        <v>303</v>
      </c>
      <c r="F30">
        <f>'Financing Model'!G61</f>
        <v>3409676.2875796319</v>
      </c>
      <c r="R30" s="19" t="s">
        <v>367</v>
      </c>
    </row>
    <row r="31" spans="3:20" x14ac:dyDescent="0.35">
      <c r="C31" s="16" t="s">
        <v>304</v>
      </c>
      <c r="F31">
        <f>'Financing Model'!G62</f>
        <v>1269837.5400893022</v>
      </c>
    </row>
    <row r="32" spans="3:20" ht="15" thickBot="1" x14ac:dyDescent="0.4">
      <c r="C32" s="17" t="s">
        <v>305</v>
      </c>
      <c r="D32" s="14"/>
      <c r="E32" s="14"/>
      <c r="F32" s="14">
        <f>SUM(F30:F31)</f>
        <v>4679513.8276689341</v>
      </c>
    </row>
  </sheetData>
  <hyperlinks>
    <hyperlink ref="A1" location="'Contents'!A1" display="'Contents'!A1" xr:uid="{BE99178B-D80B-45AE-8A03-46F43BB8B925}"/>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Drop Down 1">
              <controlPr defaultSize="0" autoLine="0" autoPict="0">
                <anchor moveWithCells="1">
                  <from>
                    <xdr:col>19</xdr:col>
                    <xdr:colOff>31750</xdr:colOff>
                    <xdr:row>25</xdr:row>
                    <xdr:rowOff>0</xdr:rowOff>
                  </from>
                  <to>
                    <xdr:col>21</xdr:col>
                    <xdr:colOff>114300</xdr:colOff>
                    <xdr:row>26</xdr:row>
                    <xdr:rowOff>25400</xdr:rowOff>
                  </to>
                </anchor>
              </controlPr>
            </control>
          </mc:Choice>
        </mc:AlternateContent>
        <mc:AlternateContent xmlns:mc="http://schemas.openxmlformats.org/markup-compatibility/2006">
          <mc:Choice Requires="x14">
            <control shapeId="23554" r:id="rId4" name="Check Box 2">
              <controlPr defaultSize="0" autoFill="0" autoLine="0" autoPict="0">
                <anchor moveWithCells="1">
                  <from>
                    <xdr:col>17</xdr:col>
                    <xdr:colOff>241300</xdr:colOff>
                    <xdr:row>20</xdr:row>
                    <xdr:rowOff>146050</xdr:rowOff>
                  </from>
                  <to>
                    <xdr:col>20</xdr:col>
                    <xdr:colOff>304800</xdr:colOff>
                    <xdr:row>22</xdr:row>
                    <xdr:rowOff>38100</xdr:rowOff>
                  </to>
                </anchor>
              </controlPr>
            </control>
          </mc:Choice>
        </mc:AlternateContent>
        <mc:AlternateContent xmlns:mc="http://schemas.openxmlformats.org/markup-compatibility/2006">
          <mc:Choice Requires="x14">
            <control shapeId="23555" r:id="rId5" name="Drop Down 3">
              <controlPr defaultSize="0" autoLine="0" autoPict="0">
                <anchor moveWithCells="1">
                  <from>
                    <xdr:col>19</xdr:col>
                    <xdr:colOff>285750</xdr:colOff>
                    <xdr:row>27</xdr:row>
                    <xdr:rowOff>6350</xdr:rowOff>
                  </from>
                  <to>
                    <xdr:col>20</xdr:col>
                    <xdr:colOff>558800</xdr:colOff>
                    <xdr:row>28</xdr:row>
                    <xdr:rowOff>0</xdr:rowOff>
                  </to>
                </anchor>
              </controlPr>
            </control>
          </mc:Choice>
        </mc:AlternateContent>
        <mc:AlternateContent xmlns:mc="http://schemas.openxmlformats.org/markup-compatibility/2006">
          <mc:Choice Requires="x14">
            <control shapeId="23556" r:id="rId6" name="Check Box 4">
              <controlPr defaultSize="0" autoFill="0" autoLine="0" autoPict="0">
                <anchor moveWithCells="1">
                  <from>
                    <xdr:col>17</xdr:col>
                    <xdr:colOff>247650</xdr:colOff>
                    <xdr:row>22</xdr:row>
                    <xdr:rowOff>82550</xdr:rowOff>
                  </from>
                  <to>
                    <xdr:col>21</xdr:col>
                    <xdr:colOff>273050</xdr:colOff>
                    <xdr:row>23</xdr:row>
                    <xdr:rowOff>114300</xdr:rowOff>
                  </to>
                </anchor>
              </controlPr>
            </control>
          </mc:Choice>
        </mc:AlternateContent>
        <mc:AlternateContent xmlns:mc="http://schemas.openxmlformats.org/markup-compatibility/2006">
          <mc:Choice Requires="x14">
            <control shapeId="23557" r:id="rId7" name="Spinner 5">
              <controlPr defaultSize="0" autoPict="0">
                <anchor moveWithCells="1" sizeWithCells="1">
                  <from>
                    <xdr:col>6</xdr:col>
                    <xdr:colOff>127000</xdr:colOff>
                    <xdr:row>18</xdr:row>
                    <xdr:rowOff>12700</xdr:rowOff>
                  </from>
                  <to>
                    <xdr:col>6</xdr:col>
                    <xdr:colOff>336550</xdr:colOff>
                    <xdr:row>18</xdr:row>
                    <xdr:rowOff>171450</xdr:rowOff>
                  </to>
                </anchor>
              </controlPr>
            </control>
          </mc:Choice>
        </mc:AlternateContent>
        <mc:AlternateContent xmlns:mc="http://schemas.openxmlformats.org/markup-compatibility/2006">
          <mc:Choice Requires="x14">
            <control shapeId="23558" r:id="rId8" name="Spinner 6">
              <controlPr defaultSize="0" autoPict="0">
                <anchor moveWithCells="1" sizeWithCells="1">
                  <from>
                    <xdr:col>6</xdr:col>
                    <xdr:colOff>101600</xdr:colOff>
                    <xdr:row>20</xdr:row>
                    <xdr:rowOff>12700</xdr:rowOff>
                  </from>
                  <to>
                    <xdr:col>6</xdr:col>
                    <xdr:colOff>311150</xdr:colOff>
                    <xdr:row>20</xdr:row>
                    <xdr:rowOff>171450</xdr:rowOff>
                  </to>
                </anchor>
              </controlPr>
            </control>
          </mc:Choice>
        </mc:AlternateContent>
        <mc:AlternateContent xmlns:mc="http://schemas.openxmlformats.org/markup-compatibility/2006">
          <mc:Choice Requires="x14">
            <control shapeId="23560" r:id="rId9" name="Spinner 8">
              <controlPr defaultSize="0" autoPict="0">
                <anchor moveWithCells="1" sizeWithCells="1">
                  <from>
                    <xdr:col>6</xdr:col>
                    <xdr:colOff>101600</xdr:colOff>
                    <xdr:row>15</xdr:row>
                    <xdr:rowOff>12700</xdr:rowOff>
                  </from>
                  <to>
                    <xdr:col>6</xdr:col>
                    <xdr:colOff>311150</xdr:colOff>
                    <xdr:row>15</xdr:row>
                    <xdr:rowOff>171450</xdr:rowOff>
                  </to>
                </anchor>
              </controlPr>
            </control>
          </mc:Choice>
        </mc:AlternateContent>
        <mc:AlternateContent xmlns:mc="http://schemas.openxmlformats.org/markup-compatibility/2006">
          <mc:Choice Requires="x14">
            <control shapeId="23561" r:id="rId10" name="Drop Down 9">
              <controlPr defaultSize="0" autoLine="0" autoPict="0">
                <anchor moveWithCells="1">
                  <from>
                    <xdr:col>5</xdr:col>
                    <xdr:colOff>95250</xdr:colOff>
                    <xdr:row>13</xdr:row>
                    <xdr:rowOff>177800</xdr:rowOff>
                  </from>
                  <to>
                    <xdr:col>6</xdr:col>
                    <xdr:colOff>450850</xdr:colOff>
                    <xdr:row>15</xdr:row>
                    <xdr:rowOff>0</xdr:rowOff>
                  </to>
                </anchor>
              </controlPr>
            </control>
          </mc:Choice>
        </mc:AlternateContent>
        <mc:AlternateContent xmlns:mc="http://schemas.openxmlformats.org/markup-compatibility/2006">
          <mc:Choice Requires="x14">
            <control shapeId="23562" r:id="rId11" name="Drop Down 10">
              <controlPr defaultSize="0" autoLine="0" autoPict="0" macro="[0]!copy_applied">
                <anchor moveWithCells="1">
                  <from>
                    <xdr:col>6</xdr:col>
                    <xdr:colOff>184150</xdr:colOff>
                    <xdr:row>3</xdr:row>
                    <xdr:rowOff>171450</xdr:rowOff>
                  </from>
                  <to>
                    <xdr:col>8</xdr:col>
                    <xdr:colOff>387350</xdr:colOff>
                    <xdr:row>5</xdr:row>
                    <xdr:rowOff>12700</xdr:rowOff>
                  </to>
                </anchor>
              </controlPr>
            </control>
          </mc:Choice>
        </mc:AlternateContent>
        <mc:AlternateContent xmlns:mc="http://schemas.openxmlformats.org/markup-compatibility/2006">
          <mc:Choice Requires="x14">
            <control shapeId="23563" r:id="rId12" name="Spinner 11">
              <controlPr defaultSize="0" autoPict="0">
                <anchor moveWithCells="1" sizeWithCells="1">
                  <from>
                    <xdr:col>6</xdr:col>
                    <xdr:colOff>133350</xdr:colOff>
                    <xdr:row>10</xdr:row>
                    <xdr:rowOff>25400</xdr:rowOff>
                  </from>
                  <to>
                    <xdr:col>6</xdr:col>
                    <xdr:colOff>381000</xdr:colOff>
                    <xdr:row>10</xdr:row>
                    <xdr:rowOff>146050</xdr:rowOff>
                  </to>
                </anchor>
              </controlPr>
            </control>
          </mc:Choice>
        </mc:AlternateContent>
        <mc:AlternateContent xmlns:mc="http://schemas.openxmlformats.org/markup-compatibility/2006">
          <mc:Choice Requires="x14">
            <control shapeId="23564" r:id="rId13" name="Spinner 12">
              <controlPr defaultSize="0" autoPict="0">
                <anchor moveWithCells="1" sizeWithCells="1">
                  <from>
                    <xdr:col>6</xdr:col>
                    <xdr:colOff>146050</xdr:colOff>
                    <xdr:row>11</xdr:row>
                    <xdr:rowOff>12700</xdr:rowOff>
                  </from>
                  <to>
                    <xdr:col>6</xdr:col>
                    <xdr:colOff>381000</xdr:colOff>
                    <xdr:row>11</xdr:row>
                    <xdr:rowOff>133350</xdr:rowOff>
                  </to>
                </anchor>
              </controlPr>
            </control>
          </mc:Choice>
        </mc:AlternateContent>
        <mc:AlternateContent xmlns:mc="http://schemas.openxmlformats.org/markup-compatibility/2006">
          <mc:Choice Requires="x14">
            <control shapeId="23565" r:id="rId14" name="Drop Down 13">
              <controlPr defaultSize="0" autoLine="0" autoPict="0">
                <anchor moveWithCells="1">
                  <from>
                    <xdr:col>19</xdr:col>
                    <xdr:colOff>247650</xdr:colOff>
                    <xdr:row>28</xdr:row>
                    <xdr:rowOff>177800</xdr:rowOff>
                  </from>
                  <to>
                    <xdr:col>21</xdr:col>
                    <xdr:colOff>114300</xdr:colOff>
                    <xdr:row>29</xdr:row>
                    <xdr:rowOff>165100</xdr:rowOff>
                  </to>
                </anchor>
              </controlPr>
            </control>
          </mc:Choice>
        </mc:AlternateContent>
        <mc:AlternateContent xmlns:mc="http://schemas.openxmlformats.org/markup-compatibility/2006">
          <mc:Choice Requires="x14">
            <control shapeId="23566" r:id="rId15" name="Button 14">
              <controlPr defaultSize="0" print="0" autoFill="0" autoPict="0" macro="[0]!copy_paste">
                <anchor moveWithCells="1" sizeWithCells="1">
                  <from>
                    <xdr:col>22</xdr:col>
                    <xdr:colOff>50800</xdr:colOff>
                    <xdr:row>18</xdr:row>
                    <xdr:rowOff>82550</xdr:rowOff>
                  </from>
                  <to>
                    <xdr:col>23</xdr:col>
                    <xdr:colOff>120650</xdr:colOff>
                    <xdr:row>19</xdr:row>
                    <xdr:rowOff>177800</xdr:rowOff>
                  </to>
                </anchor>
              </controlPr>
            </control>
          </mc:Choice>
        </mc:AlternateContent>
        <mc:AlternateContent xmlns:mc="http://schemas.openxmlformats.org/markup-compatibility/2006">
          <mc:Choice Requires="x14">
            <control shapeId="23567" r:id="rId16" name="Button 15">
              <controlPr defaultSize="0" print="0" autoFill="0" autoPict="0" macro="[0]!copy_repayment">
                <anchor moveWithCells="1" sizeWithCells="1">
                  <from>
                    <xdr:col>22</xdr:col>
                    <xdr:colOff>25400</xdr:colOff>
                    <xdr:row>20</xdr:row>
                    <xdr:rowOff>146050</xdr:rowOff>
                  </from>
                  <to>
                    <xdr:col>23</xdr:col>
                    <xdr:colOff>120650</xdr:colOff>
                    <xdr:row>22</xdr:row>
                    <xdr:rowOff>6350</xdr:rowOff>
                  </to>
                </anchor>
              </controlPr>
            </control>
          </mc:Choice>
        </mc:AlternateContent>
        <mc:AlternateContent xmlns:mc="http://schemas.openxmlformats.org/markup-compatibility/2006">
          <mc:Choice Requires="x14">
            <control shapeId="23568" r:id="rId17" name="Spinner 16">
              <controlPr defaultSize="0" autoPict="0">
                <anchor moveWithCells="1" sizeWithCells="1">
                  <from>
                    <xdr:col>6</xdr:col>
                    <xdr:colOff>139700</xdr:colOff>
                    <xdr:row>13</xdr:row>
                    <xdr:rowOff>31750</xdr:rowOff>
                  </from>
                  <to>
                    <xdr:col>6</xdr:col>
                    <xdr:colOff>381000</xdr:colOff>
                    <xdr:row>13</xdr:row>
                    <xdr:rowOff>158750</xdr:rowOff>
                  </to>
                </anchor>
              </controlPr>
            </control>
          </mc:Choice>
        </mc:AlternateContent>
        <mc:AlternateContent xmlns:mc="http://schemas.openxmlformats.org/markup-compatibility/2006">
          <mc:Choice Requires="x14">
            <control shapeId="23569" r:id="rId18" name="Drop Down 17">
              <controlPr defaultSize="0" autoLine="0" autoPict="0" macro="[0]!copy_applied">
                <anchor moveWithCells="1">
                  <from>
                    <xdr:col>19</xdr:col>
                    <xdr:colOff>107950</xdr:colOff>
                    <xdr:row>19</xdr:row>
                    <xdr:rowOff>12700</xdr:rowOff>
                  </from>
                  <to>
                    <xdr:col>21</xdr:col>
                    <xdr:colOff>431800</xdr:colOff>
                    <xdr:row>20</xdr:row>
                    <xdr:rowOff>38100</xdr:rowOff>
                  </to>
                </anchor>
              </controlPr>
            </control>
          </mc:Choice>
        </mc:AlternateContent>
        <mc:AlternateContent xmlns:mc="http://schemas.openxmlformats.org/markup-compatibility/2006">
          <mc:Choice Requires="x14">
            <control shapeId="23570" r:id="rId19" name="Spinner 18">
              <controlPr defaultSize="0" autoPict="0">
                <anchor moveWithCells="1" sizeWithCells="1">
                  <from>
                    <xdr:col>6</xdr:col>
                    <xdr:colOff>133350</xdr:colOff>
                    <xdr:row>12</xdr:row>
                    <xdr:rowOff>19050</xdr:rowOff>
                  </from>
                  <to>
                    <xdr:col>6</xdr:col>
                    <xdr:colOff>374650</xdr:colOff>
                    <xdr:row>12</xdr:row>
                    <xdr:rowOff>146050</xdr:rowOff>
                  </to>
                </anchor>
              </controlPr>
            </control>
          </mc:Choice>
        </mc:AlternateContent>
        <mc:AlternateContent xmlns:mc="http://schemas.openxmlformats.org/markup-compatibility/2006">
          <mc:Choice Requires="x14">
            <control shapeId="23571" r:id="rId20" name="Check Box 19">
              <controlPr defaultSize="0" autoFill="0" autoLine="0" autoPict="0">
                <anchor moveWithCells="1">
                  <from>
                    <xdr:col>17</xdr:col>
                    <xdr:colOff>241300</xdr:colOff>
                    <xdr:row>39</xdr:row>
                    <xdr:rowOff>146050</xdr:rowOff>
                  </from>
                  <to>
                    <xdr:col>20</xdr:col>
                    <xdr:colOff>304800</xdr:colOff>
                    <xdr:row>41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B545B-E79F-4450-91EF-62B65CC082A9}">
  <sheetPr codeName="Sheet11"/>
  <dimension ref="A1:ALR187"/>
  <sheetViews>
    <sheetView showGridLines="0" zoomScale="70" zoomScaleNormal="70" workbookViewId="0">
      <selection activeCell="F4" sqref="F4"/>
    </sheetView>
  </sheetViews>
  <sheetFormatPr defaultRowHeight="14.5" x14ac:dyDescent="0.35"/>
  <cols>
    <col min="1" max="3" width="1.54296875" style="20" customWidth="1"/>
    <col min="4" max="4" width="33.54296875" style="20" customWidth="1"/>
    <col min="5" max="5" width="10.81640625" style="20" customWidth="1"/>
    <col min="6" max="46" width="11.1796875" style="20" customWidth="1"/>
    <col min="47" max="16384" width="8.7265625" style="20"/>
  </cols>
  <sheetData>
    <row r="1" spans="1:1006" x14ac:dyDescent="0.35">
      <c r="A1" s="20" t="s">
        <v>451</v>
      </c>
    </row>
    <row r="2" spans="1:1006" x14ac:dyDescent="0.35">
      <c r="B2" s="37" t="s">
        <v>57</v>
      </c>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c r="CD2" s="37"/>
      <c r="CE2" s="37"/>
      <c r="CF2" s="37"/>
      <c r="CG2" s="37"/>
      <c r="CH2" s="37"/>
      <c r="CI2" s="37"/>
      <c r="CJ2" s="37"/>
      <c r="CK2" s="37"/>
      <c r="CL2" s="37"/>
      <c r="CM2" s="37"/>
      <c r="CN2" s="37"/>
      <c r="CO2" s="37"/>
      <c r="CP2" s="37"/>
      <c r="CQ2" s="37"/>
      <c r="CR2" s="37"/>
      <c r="CS2" s="37"/>
      <c r="CT2" s="37"/>
      <c r="CU2" s="37"/>
      <c r="CV2" s="37"/>
      <c r="CW2" s="37"/>
      <c r="CX2" s="37"/>
      <c r="CY2" s="37"/>
      <c r="CZ2" s="37"/>
      <c r="DA2" s="37"/>
      <c r="DB2" s="37"/>
      <c r="DC2" s="37"/>
      <c r="DD2" s="37"/>
      <c r="DE2" s="37"/>
      <c r="DF2" s="37"/>
      <c r="DG2" s="37"/>
      <c r="DH2" s="37"/>
      <c r="DI2" s="37"/>
      <c r="DJ2" s="37"/>
      <c r="DK2" s="37"/>
      <c r="DL2" s="37"/>
      <c r="DM2" s="37"/>
      <c r="DN2" s="37"/>
      <c r="DO2" s="37"/>
      <c r="DP2" s="37"/>
      <c r="DQ2" s="37"/>
      <c r="DR2" s="37"/>
      <c r="DS2" s="37"/>
      <c r="DT2" s="37"/>
      <c r="DU2" s="37"/>
      <c r="DV2" s="37"/>
      <c r="DW2" s="37"/>
      <c r="DX2" s="37"/>
      <c r="DY2" s="37"/>
      <c r="DZ2" s="37"/>
      <c r="EA2" s="37"/>
      <c r="EB2" s="37"/>
      <c r="EC2" s="37"/>
      <c r="ED2" s="37"/>
      <c r="EE2" s="37"/>
      <c r="EF2" s="37"/>
      <c r="EG2" s="37"/>
      <c r="EH2" s="37"/>
      <c r="EI2" s="37"/>
      <c r="EJ2" s="37"/>
      <c r="EK2" s="37"/>
      <c r="EL2" s="37"/>
      <c r="EM2" s="37"/>
      <c r="EN2" s="37"/>
      <c r="EO2" s="37"/>
      <c r="EP2" s="37"/>
      <c r="EQ2" s="37"/>
      <c r="ER2" s="37"/>
      <c r="ES2" s="37"/>
      <c r="ET2" s="37"/>
      <c r="EU2" s="37"/>
      <c r="EV2" s="37"/>
      <c r="EW2" s="37"/>
      <c r="EX2" s="37"/>
      <c r="EY2" s="37"/>
      <c r="EZ2" s="37"/>
      <c r="FA2" s="37"/>
      <c r="FB2" s="37"/>
      <c r="FC2" s="37"/>
      <c r="FD2" s="37"/>
      <c r="FE2" s="37"/>
      <c r="FF2" s="37"/>
      <c r="FG2" s="37"/>
      <c r="FH2" s="37"/>
      <c r="FI2" s="37"/>
      <c r="FJ2" s="37"/>
      <c r="FK2" s="37"/>
      <c r="FL2" s="37"/>
      <c r="FM2" s="37"/>
      <c r="FN2" s="37"/>
      <c r="FO2" s="37"/>
      <c r="FP2" s="37"/>
      <c r="FQ2" s="37"/>
      <c r="FR2" s="37"/>
      <c r="FS2" s="37"/>
      <c r="FT2" s="37"/>
      <c r="FU2" s="37"/>
      <c r="FV2" s="37"/>
      <c r="FW2" s="37"/>
      <c r="FX2" s="37"/>
      <c r="FY2" s="37"/>
      <c r="FZ2" s="37"/>
      <c r="GA2" s="37"/>
      <c r="GB2" s="37"/>
      <c r="GC2" s="37"/>
      <c r="GD2" s="37"/>
      <c r="GE2" s="37"/>
      <c r="GF2" s="37"/>
      <c r="GG2" s="37"/>
      <c r="GH2" s="37"/>
      <c r="GI2" s="37"/>
      <c r="GJ2" s="37"/>
      <c r="GK2" s="37"/>
      <c r="GL2" s="37"/>
      <c r="GM2" s="37"/>
      <c r="GN2" s="37"/>
      <c r="GO2" s="37"/>
      <c r="GP2" s="37"/>
      <c r="GQ2" s="37"/>
      <c r="GR2" s="37"/>
      <c r="GS2" s="37"/>
      <c r="GT2" s="37"/>
      <c r="GU2" s="37"/>
      <c r="GV2" s="37"/>
      <c r="GW2" s="37"/>
      <c r="GX2" s="37"/>
      <c r="GY2" s="37"/>
      <c r="GZ2" s="37"/>
      <c r="HA2" s="37"/>
      <c r="HB2" s="37"/>
      <c r="HC2" s="37"/>
      <c r="HD2" s="37"/>
      <c r="HE2" s="37"/>
      <c r="HF2" s="37"/>
      <c r="HG2" s="37"/>
      <c r="HH2" s="37"/>
      <c r="HI2" s="37"/>
      <c r="HJ2" s="37"/>
      <c r="HK2" s="37"/>
      <c r="HL2" s="37"/>
      <c r="HM2" s="37"/>
      <c r="HN2" s="37"/>
      <c r="HO2" s="37"/>
      <c r="HP2" s="37"/>
      <c r="HQ2" s="37"/>
      <c r="HR2" s="37"/>
      <c r="HS2" s="37"/>
      <c r="HT2" s="37"/>
      <c r="HU2" s="37"/>
      <c r="HV2" s="37"/>
      <c r="HW2" s="37"/>
      <c r="HX2" s="37"/>
      <c r="HY2" s="37"/>
      <c r="HZ2" s="37"/>
      <c r="IA2" s="37"/>
      <c r="IB2" s="37"/>
      <c r="IC2" s="37"/>
      <c r="ID2" s="37"/>
      <c r="IE2" s="37"/>
      <c r="IF2" s="37"/>
      <c r="IG2" s="37"/>
      <c r="IH2" s="37"/>
      <c r="II2" s="37"/>
      <c r="IJ2" s="37"/>
      <c r="IK2" s="37"/>
      <c r="IL2" s="37"/>
      <c r="IM2" s="37"/>
      <c r="IN2" s="37"/>
      <c r="IO2" s="37"/>
      <c r="IP2" s="37"/>
      <c r="IQ2" s="37"/>
      <c r="IR2" s="37"/>
      <c r="IS2" s="37"/>
      <c r="IT2" s="37"/>
      <c r="IU2" s="37"/>
      <c r="IV2" s="37"/>
      <c r="IW2" s="37"/>
      <c r="IX2" s="37"/>
      <c r="IY2" s="37"/>
      <c r="IZ2" s="37"/>
      <c r="JA2" s="37"/>
      <c r="JB2" s="37"/>
      <c r="JC2" s="37"/>
      <c r="JD2" s="37"/>
      <c r="JE2" s="37"/>
      <c r="JF2" s="37"/>
      <c r="JG2" s="37"/>
      <c r="JH2" s="37"/>
      <c r="JI2" s="37"/>
      <c r="JJ2" s="37"/>
      <c r="JK2" s="37"/>
      <c r="JL2" s="37"/>
      <c r="JM2" s="37"/>
      <c r="JN2" s="37"/>
      <c r="JO2" s="37"/>
      <c r="JP2" s="37"/>
      <c r="JQ2" s="37"/>
      <c r="JR2" s="37"/>
      <c r="JS2" s="37"/>
      <c r="JT2" s="37"/>
      <c r="JU2" s="37"/>
      <c r="JV2" s="37"/>
      <c r="JW2" s="37"/>
      <c r="JX2" s="37"/>
      <c r="JY2" s="37"/>
      <c r="JZ2" s="37"/>
      <c r="KA2" s="37"/>
      <c r="KB2" s="37"/>
      <c r="KC2" s="37"/>
      <c r="KD2" s="37"/>
      <c r="KE2" s="37"/>
      <c r="KF2" s="37"/>
      <c r="KG2" s="37"/>
      <c r="KH2" s="37"/>
      <c r="KI2" s="37"/>
      <c r="KJ2" s="37"/>
      <c r="KK2" s="37"/>
      <c r="KL2" s="37"/>
      <c r="KM2" s="37"/>
      <c r="KN2" s="37"/>
      <c r="KO2" s="37"/>
      <c r="KP2" s="37"/>
      <c r="KQ2" s="37"/>
      <c r="KR2" s="37"/>
      <c r="KS2" s="37"/>
      <c r="KT2" s="37"/>
      <c r="KU2" s="37"/>
      <c r="KV2" s="37"/>
      <c r="KW2" s="37"/>
      <c r="KX2" s="37"/>
      <c r="KY2" s="37"/>
      <c r="KZ2" s="37"/>
      <c r="LA2" s="37"/>
      <c r="LB2" s="37"/>
      <c r="LC2" s="37"/>
      <c r="LD2" s="37"/>
      <c r="LE2" s="37"/>
      <c r="LF2" s="37"/>
      <c r="LG2" s="37"/>
      <c r="LH2" s="37"/>
      <c r="LI2" s="37"/>
      <c r="LJ2" s="37"/>
      <c r="LK2" s="37"/>
      <c r="LL2" s="37"/>
      <c r="LM2" s="37"/>
      <c r="LN2" s="37"/>
      <c r="LO2" s="37"/>
      <c r="LP2" s="37"/>
      <c r="LQ2" s="37"/>
      <c r="LR2" s="37"/>
      <c r="LS2" s="37"/>
      <c r="LT2" s="37"/>
      <c r="LU2" s="37"/>
      <c r="LV2" s="37"/>
      <c r="LW2" s="37"/>
      <c r="LX2" s="37"/>
      <c r="LY2" s="37"/>
      <c r="LZ2" s="37"/>
      <c r="MA2" s="37"/>
      <c r="MB2" s="37"/>
      <c r="MC2" s="37"/>
      <c r="MD2" s="37"/>
      <c r="ME2" s="37"/>
      <c r="MF2" s="37"/>
      <c r="MG2" s="37"/>
      <c r="MH2" s="37"/>
      <c r="MI2" s="37"/>
      <c r="MJ2" s="37"/>
      <c r="MK2" s="37"/>
      <c r="ML2" s="37"/>
      <c r="MM2" s="37"/>
      <c r="MN2" s="37"/>
      <c r="MO2" s="37"/>
      <c r="MP2" s="37"/>
      <c r="MQ2" s="37"/>
      <c r="MR2" s="37"/>
      <c r="MS2" s="37"/>
      <c r="MT2" s="37"/>
      <c r="MU2" s="37"/>
      <c r="MV2" s="37"/>
      <c r="MW2" s="37"/>
      <c r="MX2" s="37"/>
      <c r="MY2" s="37"/>
      <c r="MZ2" s="37"/>
      <c r="NA2" s="37"/>
      <c r="NB2" s="37"/>
      <c r="NC2" s="37"/>
      <c r="ND2" s="37"/>
      <c r="NE2" s="37"/>
      <c r="NF2" s="37"/>
      <c r="NG2" s="37"/>
      <c r="NH2" s="37"/>
      <c r="NI2" s="37"/>
      <c r="NJ2" s="37"/>
      <c r="NK2" s="37"/>
      <c r="NL2" s="37"/>
      <c r="NM2" s="37"/>
      <c r="NN2" s="37"/>
      <c r="NO2" s="37"/>
      <c r="NP2" s="37"/>
      <c r="NQ2" s="37"/>
      <c r="NR2" s="37"/>
      <c r="NS2" s="37"/>
      <c r="NT2" s="37"/>
      <c r="NU2" s="37"/>
      <c r="NV2" s="37"/>
      <c r="NW2" s="37"/>
      <c r="NX2" s="37"/>
      <c r="NY2" s="37"/>
      <c r="NZ2" s="37"/>
      <c r="OA2" s="37"/>
      <c r="OB2" s="37"/>
      <c r="OC2" s="37"/>
      <c r="OD2" s="37"/>
      <c r="OE2" s="37"/>
      <c r="OF2" s="37"/>
      <c r="OG2" s="37"/>
      <c r="OH2" s="37"/>
      <c r="OI2" s="37"/>
      <c r="OJ2" s="37"/>
      <c r="OK2" s="37"/>
      <c r="OL2" s="37"/>
      <c r="OM2" s="37"/>
      <c r="ON2" s="37"/>
      <c r="OO2" s="37"/>
      <c r="OP2" s="37"/>
      <c r="OQ2" s="37"/>
      <c r="OR2" s="37"/>
      <c r="OS2" s="37"/>
      <c r="OT2" s="37"/>
      <c r="OU2" s="37"/>
      <c r="OV2" s="37"/>
      <c r="OW2" s="37"/>
      <c r="OX2" s="37"/>
      <c r="OY2" s="37"/>
      <c r="OZ2" s="37"/>
      <c r="PA2" s="37"/>
      <c r="PB2" s="37"/>
      <c r="PC2" s="37"/>
      <c r="PD2" s="37"/>
      <c r="PE2" s="37"/>
      <c r="PF2" s="37"/>
      <c r="PG2" s="37"/>
      <c r="PH2" s="37"/>
      <c r="PI2" s="37"/>
      <c r="PJ2" s="37"/>
      <c r="PK2" s="37"/>
      <c r="PL2" s="37"/>
      <c r="PM2" s="37"/>
      <c r="PN2" s="37"/>
      <c r="PO2" s="37"/>
      <c r="PP2" s="37"/>
      <c r="PQ2" s="37"/>
      <c r="PR2" s="37"/>
      <c r="PS2" s="37"/>
      <c r="PT2" s="37"/>
      <c r="PU2" s="37"/>
      <c r="PV2" s="37"/>
      <c r="PW2" s="37"/>
      <c r="PX2" s="37"/>
      <c r="PY2" s="37"/>
      <c r="PZ2" s="37"/>
      <c r="QA2" s="37"/>
      <c r="QB2" s="37"/>
      <c r="QC2" s="37"/>
      <c r="QD2" s="37"/>
      <c r="QE2" s="37"/>
      <c r="QF2" s="37"/>
      <c r="QG2" s="37"/>
      <c r="QH2" s="37"/>
      <c r="QI2" s="37"/>
      <c r="QJ2" s="37"/>
      <c r="QK2" s="37"/>
      <c r="QL2" s="37"/>
      <c r="QM2" s="37"/>
      <c r="QN2" s="37"/>
      <c r="QO2" s="37"/>
      <c r="QP2" s="37"/>
      <c r="QQ2" s="37"/>
      <c r="QR2" s="37"/>
      <c r="QS2" s="37"/>
      <c r="QT2" s="37"/>
      <c r="QU2" s="37"/>
      <c r="QV2" s="37"/>
      <c r="QW2" s="37"/>
      <c r="QX2" s="37"/>
      <c r="QY2" s="37"/>
      <c r="QZ2" s="37"/>
      <c r="RA2" s="37"/>
      <c r="RB2" s="37"/>
      <c r="RC2" s="37"/>
      <c r="RD2" s="37"/>
      <c r="RE2" s="37"/>
      <c r="RF2" s="37"/>
      <c r="RG2" s="37"/>
      <c r="RH2" s="37"/>
      <c r="RI2" s="37"/>
      <c r="RJ2" s="37"/>
      <c r="RK2" s="37"/>
      <c r="RL2" s="37"/>
      <c r="RM2" s="37"/>
      <c r="RN2" s="37"/>
      <c r="RO2" s="37"/>
      <c r="RP2" s="37"/>
      <c r="RQ2" s="37"/>
      <c r="RR2" s="37"/>
      <c r="RS2" s="37"/>
      <c r="RT2" s="37"/>
      <c r="RU2" s="37"/>
      <c r="RV2" s="37"/>
      <c r="RW2" s="37"/>
      <c r="RX2" s="37"/>
      <c r="RY2" s="37"/>
      <c r="RZ2" s="37"/>
      <c r="SA2" s="37"/>
      <c r="SB2" s="37"/>
      <c r="SC2" s="37"/>
      <c r="SD2" s="37"/>
      <c r="SE2" s="37"/>
      <c r="SF2" s="37"/>
      <c r="SG2" s="37"/>
      <c r="SH2" s="37"/>
      <c r="SI2" s="37"/>
      <c r="SJ2" s="37"/>
      <c r="SK2" s="37"/>
      <c r="SL2" s="37"/>
      <c r="SM2" s="37"/>
      <c r="SN2" s="37"/>
      <c r="SO2" s="37"/>
      <c r="SP2" s="37"/>
      <c r="SQ2" s="37"/>
      <c r="SR2" s="37"/>
      <c r="SS2" s="37"/>
      <c r="ST2" s="37"/>
      <c r="SU2" s="37"/>
      <c r="SV2" s="37"/>
      <c r="SW2" s="37"/>
      <c r="SX2" s="37"/>
      <c r="SY2" s="37"/>
      <c r="SZ2" s="37"/>
      <c r="TA2" s="37"/>
      <c r="TB2" s="37"/>
      <c r="TC2" s="37"/>
      <c r="TD2" s="37"/>
      <c r="TE2" s="37"/>
      <c r="TF2" s="37"/>
      <c r="TG2" s="37"/>
      <c r="TH2" s="37"/>
      <c r="TI2" s="37"/>
      <c r="TJ2" s="37"/>
      <c r="TK2" s="37"/>
      <c r="TL2" s="37"/>
      <c r="TM2" s="37"/>
      <c r="TN2" s="37"/>
      <c r="TO2" s="37"/>
      <c r="TP2" s="37"/>
      <c r="TQ2" s="37"/>
      <c r="TR2" s="37"/>
      <c r="TS2" s="37"/>
      <c r="TT2" s="37"/>
      <c r="TU2" s="37"/>
      <c r="TV2" s="37"/>
      <c r="TW2" s="37"/>
      <c r="TX2" s="37"/>
      <c r="TY2" s="37"/>
      <c r="TZ2" s="37"/>
      <c r="UA2" s="37"/>
      <c r="UB2" s="37"/>
      <c r="UC2" s="37"/>
      <c r="UD2" s="37"/>
      <c r="UE2" s="37"/>
      <c r="UF2" s="37"/>
      <c r="UG2" s="37"/>
      <c r="UH2" s="37"/>
      <c r="UI2" s="37"/>
      <c r="UJ2" s="37"/>
      <c r="UK2" s="37"/>
      <c r="UL2" s="37"/>
      <c r="UM2" s="37"/>
      <c r="UN2" s="37"/>
      <c r="UO2" s="37"/>
      <c r="UP2" s="37"/>
      <c r="UQ2" s="37"/>
      <c r="UR2" s="37"/>
      <c r="US2" s="37"/>
      <c r="UT2" s="37"/>
      <c r="UU2" s="37"/>
      <c r="UV2" s="37"/>
      <c r="UW2" s="37"/>
      <c r="UX2" s="37"/>
      <c r="UY2" s="37"/>
      <c r="UZ2" s="37"/>
      <c r="VA2" s="37"/>
      <c r="VB2" s="37"/>
      <c r="VC2" s="37"/>
      <c r="VD2" s="37"/>
      <c r="VE2" s="37"/>
      <c r="VF2" s="37"/>
      <c r="VG2" s="37"/>
      <c r="VH2" s="37"/>
      <c r="VI2" s="37"/>
      <c r="VJ2" s="37"/>
      <c r="VK2" s="37"/>
      <c r="VL2" s="37"/>
      <c r="VM2" s="37"/>
      <c r="VN2" s="37"/>
      <c r="VO2" s="37"/>
      <c r="VP2" s="37"/>
      <c r="VQ2" s="37"/>
      <c r="VR2" s="37"/>
      <c r="VS2" s="37"/>
      <c r="VT2" s="37"/>
      <c r="VU2" s="37"/>
      <c r="VV2" s="37"/>
      <c r="VW2" s="37"/>
      <c r="VX2" s="37"/>
      <c r="VY2" s="37"/>
      <c r="VZ2" s="37"/>
      <c r="WA2" s="37"/>
      <c r="WB2" s="37"/>
      <c r="WC2" s="37"/>
      <c r="WD2" s="37"/>
      <c r="WE2" s="37"/>
      <c r="WF2" s="37"/>
      <c r="WG2" s="37"/>
      <c r="WH2" s="37"/>
      <c r="WI2" s="37"/>
      <c r="WJ2" s="37"/>
      <c r="WK2" s="37"/>
      <c r="WL2" s="37"/>
      <c r="WM2" s="37"/>
      <c r="WN2" s="37"/>
      <c r="WO2" s="37"/>
      <c r="WP2" s="37"/>
      <c r="WQ2" s="37"/>
      <c r="WR2" s="37"/>
      <c r="WS2" s="37"/>
      <c r="WT2" s="37"/>
      <c r="WU2" s="37"/>
      <c r="WV2" s="37"/>
      <c r="WW2" s="37"/>
      <c r="WX2" s="37"/>
      <c r="WY2" s="37"/>
      <c r="WZ2" s="37"/>
      <c r="XA2" s="37"/>
      <c r="XB2" s="37"/>
      <c r="XC2" s="37"/>
      <c r="XD2" s="37"/>
      <c r="XE2" s="37"/>
      <c r="XF2" s="37"/>
      <c r="XG2" s="37"/>
      <c r="XH2" s="37"/>
      <c r="XI2" s="37"/>
      <c r="XJ2" s="37"/>
      <c r="XK2" s="37"/>
      <c r="XL2" s="37"/>
      <c r="XM2" s="37"/>
      <c r="XN2" s="37"/>
      <c r="XO2" s="37"/>
      <c r="XP2" s="37"/>
      <c r="XQ2" s="37"/>
      <c r="XR2" s="37"/>
      <c r="XS2" s="37"/>
      <c r="XT2" s="37"/>
      <c r="XU2" s="37"/>
      <c r="XV2" s="37"/>
      <c r="XW2" s="37"/>
      <c r="XX2" s="37"/>
      <c r="XY2" s="37"/>
      <c r="XZ2" s="37"/>
      <c r="YA2" s="37"/>
      <c r="YB2" s="37"/>
      <c r="YC2" s="37"/>
      <c r="YD2" s="37"/>
      <c r="YE2" s="37"/>
      <c r="YF2" s="37"/>
      <c r="YG2" s="37"/>
      <c r="YH2" s="37"/>
      <c r="YI2" s="37"/>
      <c r="YJ2" s="37"/>
      <c r="YK2" s="37"/>
      <c r="YL2" s="37"/>
      <c r="YM2" s="37"/>
      <c r="YN2" s="37"/>
      <c r="YO2" s="37"/>
      <c r="YP2" s="37"/>
      <c r="YQ2" s="37"/>
      <c r="YR2" s="37"/>
      <c r="YS2" s="37"/>
      <c r="YT2" s="37"/>
      <c r="YU2" s="37"/>
      <c r="YV2" s="37"/>
      <c r="YW2" s="37"/>
      <c r="YX2" s="37"/>
      <c r="YY2" s="37"/>
      <c r="YZ2" s="37"/>
      <c r="ZA2" s="37"/>
      <c r="ZB2" s="37"/>
      <c r="ZC2" s="37"/>
      <c r="ZD2" s="37"/>
      <c r="ZE2" s="37"/>
      <c r="ZF2" s="37"/>
      <c r="ZG2" s="37"/>
      <c r="ZH2" s="37"/>
      <c r="ZI2" s="37"/>
      <c r="ZJ2" s="37"/>
      <c r="ZK2" s="37"/>
      <c r="ZL2" s="37"/>
      <c r="ZM2" s="37"/>
      <c r="ZN2" s="37"/>
      <c r="ZO2" s="37"/>
      <c r="ZP2" s="37"/>
      <c r="ZQ2" s="37"/>
      <c r="ZR2" s="37"/>
      <c r="ZS2" s="37"/>
      <c r="ZT2" s="37"/>
      <c r="ZU2" s="37"/>
      <c r="ZV2" s="37"/>
      <c r="ZW2" s="37"/>
      <c r="ZX2" s="37"/>
      <c r="ZY2" s="37"/>
      <c r="ZZ2" s="37"/>
      <c r="AAA2" s="37"/>
      <c r="AAB2" s="37"/>
      <c r="AAC2" s="37"/>
      <c r="AAD2" s="37"/>
      <c r="AAE2" s="37"/>
      <c r="AAF2" s="37"/>
      <c r="AAG2" s="37"/>
      <c r="AAH2" s="37"/>
      <c r="AAI2" s="37"/>
      <c r="AAJ2" s="37"/>
      <c r="AAK2" s="37"/>
      <c r="AAL2" s="37"/>
      <c r="AAM2" s="37"/>
      <c r="AAN2" s="37"/>
      <c r="AAO2" s="37"/>
      <c r="AAP2" s="37"/>
      <c r="AAQ2" s="37"/>
      <c r="AAR2" s="37"/>
      <c r="AAS2" s="37"/>
      <c r="AAT2" s="37"/>
      <c r="AAU2" s="37"/>
      <c r="AAV2" s="37"/>
      <c r="AAW2" s="37"/>
      <c r="AAX2" s="37"/>
      <c r="AAY2" s="37"/>
      <c r="AAZ2" s="37"/>
      <c r="ABA2" s="37"/>
      <c r="ABB2" s="37"/>
      <c r="ABC2" s="37"/>
      <c r="ABD2" s="37"/>
      <c r="ABE2" s="37"/>
      <c r="ABF2" s="37"/>
      <c r="ABG2" s="37"/>
      <c r="ABH2" s="37"/>
      <c r="ABI2" s="37"/>
      <c r="ABJ2" s="37"/>
      <c r="ABK2" s="37"/>
      <c r="ABL2" s="37"/>
      <c r="ABM2" s="37"/>
      <c r="ABN2" s="37"/>
      <c r="ABO2" s="37"/>
      <c r="ABP2" s="37"/>
      <c r="ABQ2" s="37"/>
      <c r="ABR2" s="37"/>
      <c r="ABS2" s="37"/>
      <c r="ABT2" s="37"/>
      <c r="ABU2" s="37"/>
      <c r="ABV2" s="37"/>
      <c r="ABW2" s="37"/>
      <c r="ABX2" s="37"/>
      <c r="ABY2" s="37"/>
      <c r="ABZ2" s="37"/>
      <c r="ACA2" s="37"/>
      <c r="ACB2" s="37"/>
      <c r="ACC2" s="37"/>
      <c r="ACD2" s="37"/>
      <c r="ACE2" s="37"/>
      <c r="ACF2" s="37"/>
      <c r="ACG2" s="37"/>
      <c r="ACH2" s="37"/>
      <c r="ACI2" s="37"/>
      <c r="ACJ2" s="37"/>
      <c r="ACK2" s="37"/>
      <c r="ACL2" s="37"/>
      <c r="ACM2" s="37"/>
      <c r="ACN2" s="37"/>
      <c r="ACO2" s="37"/>
      <c r="ACP2" s="37"/>
      <c r="ACQ2" s="37"/>
      <c r="ACR2" s="37"/>
      <c r="ACS2" s="37"/>
      <c r="ACT2" s="37"/>
      <c r="ACU2" s="37"/>
      <c r="ACV2" s="37"/>
      <c r="ACW2" s="37"/>
      <c r="ACX2" s="37"/>
      <c r="ACY2" s="37"/>
      <c r="ACZ2" s="37"/>
      <c r="ADA2" s="37"/>
      <c r="ADB2" s="37"/>
      <c r="ADC2" s="37"/>
      <c r="ADD2" s="37"/>
      <c r="ADE2" s="37"/>
      <c r="ADF2" s="37"/>
      <c r="ADG2" s="37"/>
      <c r="ADH2" s="37"/>
      <c r="ADI2" s="37"/>
      <c r="ADJ2" s="37"/>
      <c r="ADK2" s="37"/>
      <c r="ADL2" s="37"/>
      <c r="ADM2" s="37"/>
      <c r="ADN2" s="37"/>
      <c r="ADO2" s="37"/>
      <c r="ADP2" s="37"/>
      <c r="ADQ2" s="37"/>
      <c r="ADR2" s="37"/>
      <c r="ADS2" s="37"/>
      <c r="ADT2" s="37"/>
      <c r="ADU2" s="37"/>
      <c r="ADV2" s="37"/>
      <c r="ADW2" s="37"/>
      <c r="ADX2" s="37"/>
      <c r="ADY2" s="37"/>
      <c r="ADZ2" s="37"/>
      <c r="AEA2" s="37"/>
      <c r="AEB2" s="37"/>
      <c r="AEC2" s="37"/>
      <c r="AED2" s="37"/>
      <c r="AEE2" s="37"/>
      <c r="AEF2" s="37"/>
      <c r="AEG2" s="37"/>
      <c r="AEH2" s="37"/>
      <c r="AEI2" s="37"/>
      <c r="AEJ2" s="37"/>
      <c r="AEK2" s="37"/>
      <c r="AEL2" s="37"/>
      <c r="AEM2" s="37"/>
      <c r="AEN2" s="37"/>
      <c r="AEO2" s="37"/>
      <c r="AEP2" s="37"/>
      <c r="AEQ2" s="37"/>
      <c r="AER2" s="37"/>
      <c r="AES2" s="37"/>
      <c r="AET2" s="37"/>
      <c r="AEU2" s="37"/>
      <c r="AEV2" s="37"/>
      <c r="AEW2" s="37"/>
      <c r="AEX2" s="37"/>
      <c r="AEY2" s="37"/>
      <c r="AEZ2" s="37"/>
      <c r="AFA2" s="37"/>
      <c r="AFB2" s="37"/>
      <c r="AFC2" s="37"/>
      <c r="AFD2" s="37"/>
      <c r="AFE2" s="37"/>
      <c r="AFF2" s="37"/>
      <c r="AFG2" s="37"/>
      <c r="AFH2" s="37"/>
      <c r="AFI2" s="37"/>
      <c r="AFJ2" s="37"/>
      <c r="AFK2" s="37"/>
      <c r="AFL2" s="37"/>
      <c r="AFM2" s="37"/>
      <c r="AFN2" s="37"/>
      <c r="AFO2" s="37"/>
      <c r="AFP2" s="37"/>
      <c r="AFQ2" s="37"/>
      <c r="AFR2" s="37"/>
      <c r="AFS2" s="37"/>
      <c r="AFT2" s="37"/>
      <c r="AFU2" s="37"/>
      <c r="AFV2" s="37"/>
      <c r="AFW2" s="37"/>
      <c r="AFX2" s="37"/>
      <c r="AFY2" s="37"/>
      <c r="AFZ2" s="37"/>
      <c r="AGA2" s="37"/>
      <c r="AGB2" s="37"/>
      <c r="AGC2" s="37"/>
      <c r="AGD2" s="37"/>
      <c r="AGE2" s="37"/>
      <c r="AGF2" s="37"/>
      <c r="AGG2" s="37"/>
      <c r="AGH2" s="37"/>
      <c r="AGI2" s="37"/>
      <c r="AGJ2" s="37"/>
      <c r="AGK2" s="37"/>
      <c r="AGL2" s="37"/>
      <c r="AGM2" s="37"/>
      <c r="AGN2" s="37"/>
      <c r="AGO2" s="37"/>
      <c r="AGP2" s="37"/>
      <c r="AGQ2" s="37"/>
      <c r="AGR2" s="37"/>
      <c r="AGS2" s="37"/>
      <c r="AGT2" s="37"/>
      <c r="AGU2" s="37"/>
      <c r="AGV2" s="37"/>
      <c r="AGW2" s="37"/>
      <c r="AGX2" s="37"/>
      <c r="AGY2" s="37"/>
      <c r="AGZ2" s="37"/>
      <c r="AHA2" s="37"/>
      <c r="AHB2" s="37"/>
      <c r="AHC2" s="37"/>
      <c r="AHD2" s="37"/>
      <c r="AHE2" s="37"/>
      <c r="AHF2" s="37"/>
      <c r="AHG2" s="37"/>
      <c r="AHH2" s="37"/>
      <c r="AHI2" s="37"/>
      <c r="AHJ2" s="37"/>
      <c r="AHK2" s="37"/>
      <c r="AHL2" s="37"/>
      <c r="AHM2" s="37"/>
      <c r="AHN2" s="37"/>
      <c r="AHO2" s="37"/>
      <c r="AHP2" s="37"/>
      <c r="AHQ2" s="37"/>
      <c r="AHR2" s="37"/>
      <c r="AHS2" s="37"/>
      <c r="AHT2" s="37"/>
      <c r="AHU2" s="37"/>
      <c r="AHV2" s="37"/>
      <c r="AHW2" s="37"/>
      <c r="AHX2" s="37"/>
      <c r="AHY2" s="37"/>
      <c r="AHZ2" s="37"/>
      <c r="AIA2" s="37"/>
      <c r="AIB2" s="37"/>
      <c r="AIC2" s="37"/>
      <c r="AID2" s="37"/>
      <c r="AIE2" s="37"/>
      <c r="AIF2" s="37"/>
      <c r="AIG2" s="37"/>
      <c r="AIH2" s="37"/>
      <c r="AII2" s="37"/>
      <c r="AIJ2" s="37"/>
      <c r="AIK2" s="37"/>
      <c r="AIL2" s="37"/>
      <c r="AIM2" s="37"/>
      <c r="AIN2" s="37"/>
      <c r="AIO2" s="37"/>
      <c r="AIP2" s="37"/>
      <c r="AIQ2" s="37"/>
      <c r="AIR2" s="37"/>
      <c r="AIS2" s="37"/>
      <c r="AIT2" s="37"/>
      <c r="AIU2" s="37"/>
      <c r="AIV2" s="37"/>
      <c r="AIW2" s="37"/>
      <c r="AIX2" s="37"/>
      <c r="AIY2" s="37"/>
      <c r="AIZ2" s="37"/>
      <c r="AJA2" s="37"/>
      <c r="AJB2" s="37"/>
      <c r="AJC2" s="37"/>
      <c r="AJD2" s="37"/>
      <c r="AJE2" s="37"/>
      <c r="AJF2" s="37"/>
      <c r="AJG2" s="37"/>
      <c r="AJH2" s="37"/>
      <c r="AJI2" s="37"/>
      <c r="AJJ2" s="37"/>
      <c r="AJK2" s="37"/>
      <c r="AJL2" s="37"/>
      <c r="AJM2" s="37"/>
      <c r="AJN2" s="37"/>
      <c r="AJO2" s="37"/>
      <c r="AJP2" s="37"/>
      <c r="AJQ2" s="37"/>
      <c r="AJR2" s="37"/>
      <c r="AJS2" s="37"/>
      <c r="AJT2" s="37"/>
      <c r="AJU2" s="37"/>
      <c r="AJV2" s="37"/>
      <c r="AJW2" s="37"/>
      <c r="AJX2" s="37"/>
      <c r="AJY2" s="37"/>
      <c r="AJZ2" s="37"/>
      <c r="AKA2" s="37"/>
      <c r="AKB2" s="37"/>
      <c r="AKC2" s="37"/>
      <c r="AKD2" s="37"/>
      <c r="AKE2" s="37"/>
      <c r="AKF2" s="37"/>
      <c r="AKG2" s="37"/>
      <c r="AKH2" s="37"/>
      <c r="AKI2" s="37"/>
      <c r="AKJ2" s="37"/>
      <c r="AKK2" s="37"/>
      <c r="AKL2" s="37"/>
      <c r="AKM2" s="37"/>
      <c r="AKN2" s="37"/>
      <c r="AKO2" s="37"/>
      <c r="AKP2" s="37"/>
      <c r="AKQ2" s="37"/>
      <c r="AKR2" s="37"/>
      <c r="AKS2" s="37"/>
      <c r="AKT2" s="37"/>
      <c r="AKU2" s="37"/>
      <c r="AKV2" s="37"/>
      <c r="AKW2" s="37"/>
      <c r="AKX2" s="37"/>
      <c r="AKY2" s="37"/>
      <c r="AKZ2" s="37"/>
      <c r="ALA2" s="37"/>
      <c r="ALB2" s="37"/>
      <c r="ALC2" s="37"/>
      <c r="ALD2" s="37"/>
      <c r="ALE2" s="37"/>
      <c r="ALF2" s="37"/>
      <c r="ALG2" s="37"/>
      <c r="ALH2" s="37"/>
      <c r="ALI2" s="37"/>
      <c r="ALJ2" s="37"/>
      <c r="ALK2" s="37"/>
      <c r="ALL2" s="37"/>
      <c r="ALM2" s="37"/>
      <c r="ALN2" s="37"/>
      <c r="ALO2" s="37"/>
      <c r="ALP2" s="37"/>
      <c r="ALQ2" s="37"/>
      <c r="ALR2" s="37"/>
    </row>
    <row r="3" spans="1:1006" x14ac:dyDescent="0.35">
      <c r="C3" s="20" t="s">
        <v>59</v>
      </c>
      <c r="E3" s="20" t="s">
        <v>60</v>
      </c>
      <c r="F3" s="28">
        <v>1</v>
      </c>
    </row>
    <row r="4" spans="1:1006" x14ac:dyDescent="0.35">
      <c r="C4" s="20" t="s">
        <v>61</v>
      </c>
      <c r="E4" s="20" t="s">
        <v>60</v>
      </c>
      <c r="F4" s="28">
        <v>3</v>
      </c>
    </row>
    <row r="6" spans="1:1006" x14ac:dyDescent="0.35">
      <c r="C6" s="20" t="s">
        <v>58</v>
      </c>
      <c r="E6" s="20" t="s">
        <v>64</v>
      </c>
      <c r="F6" s="58">
        <f>Scenario!H98</f>
        <v>42248</v>
      </c>
    </row>
    <row r="7" spans="1:1006" x14ac:dyDescent="0.35">
      <c r="C7" s="20" t="s">
        <v>62</v>
      </c>
      <c r="E7" s="20" t="s">
        <v>65</v>
      </c>
      <c r="F7" s="28">
        <v>4</v>
      </c>
    </row>
    <row r="8" spans="1:1006" x14ac:dyDescent="0.35">
      <c r="C8" s="20" t="s">
        <v>60</v>
      </c>
      <c r="E8" s="20" t="s">
        <v>60</v>
      </c>
      <c r="F8" s="54">
        <f>F7*F3</f>
        <v>4</v>
      </c>
    </row>
    <row r="9" spans="1:1006" x14ac:dyDescent="0.35">
      <c r="C9" s="20" t="s">
        <v>63</v>
      </c>
      <c r="E9" s="20" t="s">
        <v>64</v>
      </c>
      <c r="F9" s="58">
        <f>EDATE(F6,F8)</f>
        <v>42370</v>
      </c>
    </row>
    <row r="10" spans="1:1006" x14ac:dyDescent="0.35">
      <c r="C10" s="20" t="s">
        <v>66</v>
      </c>
      <c r="E10" s="20" t="s">
        <v>65</v>
      </c>
      <c r="F10" s="54">
        <f>Scenario!I16</f>
        <v>5</v>
      </c>
    </row>
    <row r="11" spans="1:1006" x14ac:dyDescent="0.35">
      <c r="C11" s="20" t="s">
        <v>60</v>
      </c>
      <c r="E11" s="20" t="s">
        <v>60</v>
      </c>
      <c r="F11" s="54">
        <f>F10*F3</f>
        <v>5</v>
      </c>
    </row>
    <row r="12" spans="1:1006" x14ac:dyDescent="0.35">
      <c r="C12" s="20" t="s">
        <v>70</v>
      </c>
      <c r="E12" s="20" t="s">
        <v>65</v>
      </c>
      <c r="F12" s="54">
        <f>F10+F7</f>
        <v>9</v>
      </c>
    </row>
    <row r="14" spans="1:1006" x14ac:dyDescent="0.35">
      <c r="C14" s="20" t="s">
        <v>67</v>
      </c>
      <c r="E14" s="20" t="s">
        <v>64</v>
      </c>
      <c r="F14" s="58">
        <f>EDATE(F9,F10)</f>
        <v>42522</v>
      </c>
    </row>
    <row r="15" spans="1:1006" x14ac:dyDescent="0.35">
      <c r="C15" s="20" t="s">
        <v>68</v>
      </c>
      <c r="E15" s="20" t="s">
        <v>34</v>
      </c>
      <c r="F15" s="54">
        <f>Scenario!J16</f>
        <v>25</v>
      </c>
    </row>
    <row r="16" spans="1:1006" x14ac:dyDescent="0.35">
      <c r="C16" s="20" t="s">
        <v>68</v>
      </c>
      <c r="E16" s="20" t="s">
        <v>65</v>
      </c>
      <c r="F16" s="54">
        <f>F15*12</f>
        <v>300</v>
      </c>
    </row>
    <row r="17" spans="2:1006" x14ac:dyDescent="0.35">
      <c r="C17" s="20" t="s">
        <v>69</v>
      </c>
      <c r="E17" s="20" t="s">
        <v>64</v>
      </c>
      <c r="F17" s="58">
        <f>EDATE(F14,F16)</f>
        <v>51653</v>
      </c>
    </row>
    <row r="19" spans="2:1006" x14ac:dyDescent="0.35">
      <c r="B19" s="37" t="s">
        <v>85</v>
      </c>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7"/>
      <c r="AI19" s="37"/>
      <c r="AJ19" s="37"/>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c r="BT19" s="37"/>
      <c r="BU19" s="37"/>
      <c r="BV19" s="37"/>
      <c r="BW19" s="37"/>
      <c r="BX19" s="37"/>
      <c r="BY19" s="37"/>
      <c r="BZ19" s="37"/>
      <c r="CA19" s="37"/>
      <c r="CB19" s="37"/>
      <c r="CC19" s="37"/>
      <c r="CD19" s="37"/>
      <c r="CE19" s="37"/>
      <c r="CF19" s="37"/>
      <c r="CG19" s="37"/>
      <c r="CH19" s="37"/>
      <c r="CI19" s="37"/>
      <c r="CJ19" s="37"/>
      <c r="CK19" s="37"/>
      <c r="CL19" s="37"/>
      <c r="CM19" s="37"/>
      <c r="CN19" s="37"/>
      <c r="CO19" s="37"/>
      <c r="CP19" s="37"/>
      <c r="CQ19" s="37"/>
      <c r="CR19" s="37"/>
      <c r="CS19" s="37"/>
      <c r="CT19" s="37"/>
      <c r="CU19" s="37"/>
      <c r="CV19" s="37"/>
      <c r="CW19" s="37"/>
      <c r="CX19" s="37"/>
      <c r="CY19" s="37"/>
      <c r="CZ19" s="37"/>
      <c r="DA19" s="37"/>
      <c r="DB19" s="37"/>
      <c r="DC19" s="37"/>
      <c r="DD19" s="37"/>
      <c r="DE19" s="37"/>
      <c r="DF19" s="37"/>
      <c r="DG19" s="37"/>
      <c r="DH19" s="37"/>
      <c r="DI19" s="37"/>
      <c r="DJ19" s="37"/>
      <c r="DK19" s="37"/>
      <c r="DL19" s="37"/>
      <c r="DM19" s="37"/>
      <c r="DN19" s="37"/>
      <c r="DO19" s="37"/>
      <c r="DP19" s="37"/>
      <c r="DQ19" s="37"/>
      <c r="DR19" s="37"/>
      <c r="DS19" s="37"/>
      <c r="DT19" s="37"/>
      <c r="DU19" s="37"/>
      <c r="DV19" s="37"/>
      <c r="DW19" s="37"/>
      <c r="DX19" s="37"/>
      <c r="DY19" s="37"/>
      <c r="DZ19" s="37"/>
      <c r="EA19" s="37"/>
      <c r="EB19" s="37"/>
      <c r="EC19" s="37"/>
      <c r="ED19" s="37"/>
      <c r="EE19" s="37"/>
      <c r="EF19" s="37"/>
      <c r="EG19" s="37"/>
      <c r="EH19" s="37"/>
      <c r="EI19" s="37"/>
      <c r="EJ19" s="37"/>
      <c r="EK19" s="37"/>
      <c r="EL19" s="37"/>
      <c r="EM19" s="37"/>
      <c r="EN19" s="37"/>
      <c r="EO19" s="37"/>
      <c r="EP19" s="37"/>
      <c r="EQ19" s="37"/>
      <c r="ER19" s="37"/>
      <c r="ES19" s="37"/>
      <c r="ET19" s="37"/>
      <c r="EU19" s="37"/>
      <c r="EV19" s="37"/>
      <c r="EW19" s="37"/>
      <c r="EX19" s="37"/>
      <c r="EY19" s="37"/>
      <c r="EZ19" s="37"/>
      <c r="FA19" s="37"/>
      <c r="FB19" s="37"/>
      <c r="FC19" s="37"/>
      <c r="FD19" s="37"/>
      <c r="FE19" s="37"/>
      <c r="FF19" s="37"/>
      <c r="FG19" s="37"/>
      <c r="FH19" s="37"/>
      <c r="FI19" s="37"/>
      <c r="FJ19" s="37"/>
      <c r="FK19" s="37"/>
      <c r="FL19" s="37"/>
      <c r="FM19" s="37"/>
      <c r="FN19" s="37"/>
      <c r="FO19" s="37"/>
      <c r="FP19" s="37"/>
      <c r="FQ19" s="37"/>
      <c r="FR19" s="37"/>
      <c r="FS19" s="37"/>
      <c r="FT19" s="37"/>
      <c r="FU19" s="37"/>
      <c r="FV19" s="37"/>
      <c r="FW19" s="37"/>
      <c r="FX19" s="37"/>
      <c r="FY19" s="37"/>
      <c r="FZ19" s="37"/>
      <c r="GA19" s="37"/>
      <c r="GB19" s="37"/>
      <c r="GC19" s="37"/>
      <c r="GD19" s="37"/>
      <c r="GE19" s="37"/>
      <c r="GF19" s="37"/>
      <c r="GG19" s="37"/>
      <c r="GH19" s="37"/>
      <c r="GI19" s="37"/>
      <c r="GJ19" s="37"/>
      <c r="GK19" s="37"/>
      <c r="GL19" s="37"/>
      <c r="GM19" s="37"/>
      <c r="GN19" s="37"/>
      <c r="GO19" s="37"/>
      <c r="GP19" s="37"/>
      <c r="GQ19" s="37"/>
      <c r="GR19" s="37"/>
      <c r="GS19" s="37"/>
      <c r="GT19" s="37"/>
      <c r="GU19" s="37"/>
      <c r="GV19" s="37"/>
      <c r="GW19" s="37"/>
      <c r="GX19" s="37"/>
      <c r="GY19" s="37"/>
      <c r="GZ19" s="37"/>
      <c r="HA19" s="37"/>
      <c r="HB19" s="37"/>
      <c r="HC19" s="37"/>
      <c r="HD19" s="37"/>
      <c r="HE19" s="37"/>
      <c r="HF19" s="37"/>
      <c r="HG19" s="37"/>
      <c r="HH19" s="37"/>
      <c r="HI19" s="37"/>
      <c r="HJ19" s="37"/>
      <c r="HK19" s="37"/>
      <c r="HL19" s="37"/>
      <c r="HM19" s="37"/>
      <c r="HN19" s="37"/>
      <c r="HO19" s="37"/>
      <c r="HP19" s="37"/>
      <c r="HQ19" s="37"/>
      <c r="HR19" s="37"/>
      <c r="HS19" s="37"/>
      <c r="HT19" s="37"/>
      <c r="HU19" s="37"/>
      <c r="HV19" s="37"/>
      <c r="HW19" s="37"/>
      <c r="HX19" s="37"/>
      <c r="HY19" s="37"/>
      <c r="HZ19" s="37"/>
      <c r="IA19" s="37"/>
      <c r="IB19" s="37"/>
      <c r="IC19" s="37"/>
      <c r="ID19" s="37"/>
      <c r="IE19" s="37"/>
      <c r="IF19" s="37"/>
      <c r="IG19" s="37"/>
      <c r="IH19" s="37"/>
      <c r="II19" s="37"/>
      <c r="IJ19" s="37"/>
      <c r="IK19" s="37"/>
      <c r="IL19" s="37"/>
      <c r="IM19" s="37"/>
      <c r="IN19" s="37"/>
      <c r="IO19" s="37"/>
      <c r="IP19" s="37"/>
      <c r="IQ19" s="37"/>
      <c r="IR19" s="37"/>
      <c r="IS19" s="37"/>
      <c r="IT19" s="37"/>
      <c r="IU19" s="37"/>
      <c r="IV19" s="37"/>
      <c r="IW19" s="37"/>
      <c r="IX19" s="37"/>
      <c r="IY19" s="37"/>
      <c r="IZ19" s="37"/>
      <c r="JA19" s="37"/>
      <c r="JB19" s="37"/>
      <c r="JC19" s="37"/>
      <c r="JD19" s="37"/>
      <c r="JE19" s="37"/>
      <c r="JF19" s="37"/>
      <c r="JG19" s="37"/>
      <c r="JH19" s="37"/>
      <c r="JI19" s="37"/>
      <c r="JJ19" s="37"/>
      <c r="JK19" s="37"/>
      <c r="JL19" s="37"/>
      <c r="JM19" s="37"/>
      <c r="JN19" s="37"/>
      <c r="JO19" s="37"/>
      <c r="JP19" s="37"/>
      <c r="JQ19" s="37"/>
      <c r="JR19" s="37"/>
      <c r="JS19" s="37"/>
      <c r="JT19" s="37"/>
      <c r="JU19" s="37"/>
      <c r="JV19" s="37"/>
      <c r="JW19" s="37"/>
      <c r="JX19" s="37"/>
      <c r="JY19" s="37"/>
      <c r="JZ19" s="37"/>
      <c r="KA19" s="37"/>
      <c r="KB19" s="37"/>
      <c r="KC19" s="37"/>
      <c r="KD19" s="37"/>
      <c r="KE19" s="37"/>
      <c r="KF19" s="37"/>
      <c r="KG19" s="37"/>
      <c r="KH19" s="37"/>
      <c r="KI19" s="37"/>
      <c r="KJ19" s="37"/>
      <c r="KK19" s="37"/>
      <c r="KL19" s="37"/>
      <c r="KM19" s="37"/>
      <c r="KN19" s="37"/>
      <c r="KO19" s="37"/>
      <c r="KP19" s="37"/>
      <c r="KQ19" s="37"/>
      <c r="KR19" s="37"/>
      <c r="KS19" s="37"/>
      <c r="KT19" s="37"/>
      <c r="KU19" s="37"/>
      <c r="KV19" s="37"/>
      <c r="KW19" s="37"/>
      <c r="KX19" s="37"/>
      <c r="KY19" s="37"/>
      <c r="KZ19" s="37"/>
      <c r="LA19" s="37"/>
      <c r="LB19" s="37"/>
      <c r="LC19" s="37"/>
      <c r="LD19" s="37"/>
      <c r="LE19" s="37"/>
      <c r="LF19" s="37"/>
      <c r="LG19" s="37"/>
      <c r="LH19" s="37"/>
      <c r="LI19" s="37"/>
      <c r="LJ19" s="37"/>
      <c r="LK19" s="37"/>
      <c r="LL19" s="37"/>
      <c r="LM19" s="37"/>
      <c r="LN19" s="37"/>
      <c r="LO19" s="37"/>
      <c r="LP19" s="37"/>
      <c r="LQ19" s="37"/>
      <c r="LR19" s="37"/>
      <c r="LS19" s="37"/>
      <c r="LT19" s="37"/>
      <c r="LU19" s="37"/>
      <c r="LV19" s="37"/>
      <c r="LW19" s="37"/>
      <c r="LX19" s="37"/>
      <c r="LY19" s="37"/>
      <c r="LZ19" s="37"/>
      <c r="MA19" s="37"/>
      <c r="MB19" s="37"/>
      <c r="MC19" s="37"/>
      <c r="MD19" s="37"/>
      <c r="ME19" s="37"/>
      <c r="MF19" s="37"/>
      <c r="MG19" s="37"/>
      <c r="MH19" s="37"/>
      <c r="MI19" s="37"/>
      <c r="MJ19" s="37"/>
      <c r="MK19" s="37"/>
      <c r="ML19" s="37"/>
      <c r="MM19" s="37"/>
      <c r="MN19" s="37"/>
      <c r="MO19" s="37"/>
      <c r="MP19" s="37"/>
      <c r="MQ19" s="37"/>
      <c r="MR19" s="37"/>
      <c r="MS19" s="37"/>
      <c r="MT19" s="37"/>
      <c r="MU19" s="37"/>
      <c r="MV19" s="37"/>
      <c r="MW19" s="37"/>
      <c r="MX19" s="37"/>
      <c r="MY19" s="37"/>
      <c r="MZ19" s="37"/>
      <c r="NA19" s="37"/>
      <c r="NB19" s="37"/>
      <c r="NC19" s="37"/>
      <c r="ND19" s="37"/>
      <c r="NE19" s="37"/>
      <c r="NF19" s="37"/>
      <c r="NG19" s="37"/>
      <c r="NH19" s="37"/>
      <c r="NI19" s="37"/>
      <c r="NJ19" s="37"/>
      <c r="NK19" s="37"/>
      <c r="NL19" s="37"/>
      <c r="NM19" s="37"/>
      <c r="NN19" s="37"/>
      <c r="NO19" s="37"/>
      <c r="NP19" s="37"/>
      <c r="NQ19" s="37"/>
      <c r="NR19" s="37"/>
      <c r="NS19" s="37"/>
      <c r="NT19" s="37"/>
      <c r="NU19" s="37"/>
      <c r="NV19" s="37"/>
      <c r="NW19" s="37"/>
      <c r="NX19" s="37"/>
      <c r="NY19" s="37"/>
      <c r="NZ19" s="37"/>
      <c r="OA19" s="37"/>
      <c r="OB19" s="37"/>
      <c r="OC19" s="37"/>
      <c r="OD19" s="37"/>
      <c r="OE19" s="37"/>
      <c r="OF19" s="37"/>
      <c r="OG19" s="37"/>
      <c r="OH19" s="37"/>
      <c r="OI19" s="37"/>
      <c r="OJ19" s="37"/>
      <c r="OK19" s="37"/>
      <c r="OL19" s="37"/>
      <c r="OM19" s="37"/>
      <c r="ON19" s="37"/>
      <c r="OO19" s="37"/>
      <c r="OP19" s="37"/>
      <c r="OQ19" s="37"/>
      <c r="OR19" s="37"/>
      <c r="OS19" s="37"/>
      <c r="OT19" s="37"/>
      <c r="OU19" s="37"/>
      <c r="OV19" s="37"/>
      <c r="OW19" s="37"/>
      <c r="OX19" s="37"/>
      <c r="OY19" s="37"/>
      <c r="OZ19" s="37"/>
      <c r="PA19" s="37"/>
      <c r="PB19" s="37"/>
      <c r="PC19" s="37"/>
      <c r="PD19" s="37"/>
      <c r="PE19" s="37"/>
      <c r="PF19" s="37"/>
      <c r="PG19" s="37"/>
      <c r="PH19" s="37"/>
      <c r="PI19" s="37"/>
      <c r="PJ19" s="37"/>
      <c r="PK19" s="37"/>
      <c r="PL19" s="37"/>
      <c r="PM19" s="37"/>
      <c r="PN19" s="37"/>
      <c r="PO19" s="37"/>
      <c r="PP19" s="37"/>
      <c r="PQ19" s="37"/>
      <c r="PR19" s="37"/>
      <c r="PS19" s="37"/>
      <c r="PT19" s="37"/>
      <c r="PU19" s="37"/>
      <c r="PV19" s="37"/>
      <c r="PW19" s="37"/>
      <c r="PX19" s="37"/>
      <c r="PY19" s="37"/>
      <c r="PZ19" s="37"/>
      <c r="QA19" s="37"/>
      <c r="QB19" s="37"/>
      <c r="QC19" s="37"/>
      <c r="QD19" s="37"/>
      <c r="QE19" s="37"/>
      <c r="QF19" s="37"/>
      <c r="QG19" s="37"/>
      <c r="QH19" s="37"/>
      <c r="QI19" s="37"/>
      <c r="QJ19" s="37"/>
      <c r="QK19" s="37"/>
      <c r="QL19" s="37"/>
      <c r="QM19" s="37"/>
      <c r="QN19" s="37"/>
      <c r="QO19" s="37"/>
      <c r="QP19" s="37"/>
      <c r="QQ19" s="37"/>
      <c r="QR19" s="37"/>
      <c r="QS19" s="37"/>
      <c r="QT19" s="37"/>
      <c r="QU19" s="37"/>
      <c r="QV19" s="37"/>
      <c r="QW19" s="37"/>
      <c r="QX19" s="37"/>
      <c r="QY19" s="37"/>
      <c r="QZ19" s="37"/>
      <c r="RA19" s="37"/>
      <c r="RB19" s="37"/>
      <c r="RC19" s="37"/>
      <c r="RD19" s="37"/>
      <c r="RE19" s="37"/>
      <c r="RF19" s="37"/>
      <c r="RG19" s="37"/>
      <c r="RH19" s="37"/>
      <c r="RI19" s="37"/>
      <c r="RJ19" s="37"/>
      <c r="RK19" s="37"/>
      <c r="RL19" s="37"/>
      <c r="RM19" s="37"/>
      <c r="RN19" s="37"/>
      <c r="RO19" s="37"/>
      <c r="RP19" s="37"/>
      <c r="RQ19" s="37"/>
      <c r="RR19" s="37"/>
      <c r="RS19" s="37"/>
      <c r="RT19" s="37"/>
      <c r="RU19" s="37"/>
      <c r="RV19" s="37"/>
      <c r="RW19" s="37"/>
      <c r="RX19" s="37"/>
      <c r="RY19" s="37"/>
      <c r="RZ19" s="37"/>
      <c r="SA19" s="37"/>
      <c r="SB19" s="37"/>
      <c r="SC19" s="37"/>
      <c r="SD19" s="37"/>
      <c r="SE19" s="37"/>
      <c r="SF19" s="37"/>
      <c r="SG19" s="37"/>
      <c r="SH19" s="37"/>
      <c r="SI19" s="37"/>
      <c r="SJ19" s="37"/>
      <c r="SK19" s="37"/>
      <c r="SL19" s="37"/>
      <c r="SM19" s="37"/>
      <c r="SN19" s="37"/>
      <c r="SO19" s="37"/>
      <c r="SP19" s="37"/>
      <c r="SQ19" s="37"/>
      <c r="SR19" s="37"/>
      <c r="SS19" s="37"/>
      <c r="ST19" s="37"/>
      <c r="SU19" s="37"/>
      <c r="SV19" s="37"/>
      <c r="SW19" s="37"/>
      <c r="SX19" s="37"/>
      <c r="SY19" s="37"/>
      <c r="SZ19" s="37"/>
      <c r="TA19" s="37"/>
      <c r="TB19" s="37"/>
      <c r="TC19" s="37"/>
      <c r="TD19" s="37"/>
      <c r="TE19" s="37"/>
      <c r="TF19" s="37"/>
      <c r="TG19" s="37"/>
      <c r="TH19" s="37"/>
      <c r="TI19" s="37"/>
      <c r="TJ19" s="37"/>
      <c r="TK19" s="37"/>
      <c r="TL19" s="37"/>
      <c r="TM19" s="37"/>
      <c r="TN19" s="37"/>
      <c r="TO19" s="37"/>
      <c r="TP19" s="37"/>
      <c r="TQ19" s="37"/>
      <c r="TR19" s="37"/>
      <c r="TS19" s="37"/>
      <c r="TT19" s="37"/>
      <c r="TU19" s="37"/>
      <c r="TV19" s="37"/>
      <c r="TW19" s="37"/>
      <c r="TX19" s="37"/>
      <c r="TY19" s="37"/>
      <c r="TZ19" s="37"/>
      <c r="UA19" s="37"/>
      <c r="UB19" s="37"/>
      <c r="UC19" s="37"/>
      <c r="UD19" s="37"/>
      <c r="UE19" s="37"/>
      <c r="UF19" s="37"/>
      <c r="UG19" s="37"/>
      <c r="UH19" s="37"/>
      <c r="UI19" s="37"/>
      <c r="UJ19" s="37"/>
      <c r="UK19" s="37"/>
      <c r="UL19" s="37"/>
      <c r="UM19" s="37"/>
      <c r="UN19" s="37"/>
      <c r="UO19" s="37"/>
      <c r="UP19" s="37"/>
      <c r="UQ19" s="37"/>
      <c r="UR19" s="37"/>
      <c r="US19" s="37"/>
      <c r="UT19" s="37"/>
      <c r="UU19" s="37"/>
      <c r="UV19" s="37"/>
      <c r="UW19" s="37"/>
      <c r="UX19" s="37"/>
      <c r="UY19" s="37"/>
      <c r="UZ19" s="37"/>
      <c r="VA19" s="37"/>
      <c r="VB19" s="37"/>
      <c r="VC19" s="37"/>
      <c r="VD19" s="37"/>
      <c r="VE19" s="37"/>
      <c r="VF19" s="37"/>
      <c r="VG19" s="37"/>
      <c r="VH19" s="37"/>
      <c r="VI19" s="37"/>
      <c r="VJ19" s="37"/>
      <c r="VK19" s="37"/>
      <c r="VL19" s="37"/>
      <c r="VM19" s="37"/>
      <c r="VN19" s="37"/>
      <c r="VO19" s="37"/>
      <c r="VP19" s="37"/>
      <c r="VQ19" s="37"/>
      <c r="VR19" s="37"/>
      <c r="VS19" s="37"/>
      <c r="VT19" s="37"/>
      <c r="VU19" s="37"/>
      <c r="VV19" s="37"/>
      <c r="VW19" s="37"/>
      <c r="VX19" s="37"/>
      <c r="VY19" s="37"/>
      <c r="VZ19" s="37"/>
      <c r="WA19" s="37"/>
      <c r="WB19" s="37"/>
      <c r="WC19" s="37"/>
      <c r="WD19" s="37"/>
      <c r="WE19" s="37"/>
      <c r="WF19" s="37"/>
      <c r="WG19" s="37"/>
      <c r="WH19" s="37"/>
      <c r="WI19" s="37"/>
      <c r="WJ19" s="37"/>
      <c r="WK19" s="37"/>
      <c r="WL19" s="37"/>
      <c r="WM19" s="37"/>
      <c r="WN19" s="37"/>
      <c r="WO19" s="37"/>
      <c r="WP19" s="37"/>
      <c r="WQ19" s="37"/>
      <c r="WR19" s="37"/>
      <c r="WS19" s="37"/>
      <c r="WT19" s="37"/>
      <c r="WU19" s="37"/>
      <c r="WV19" s="37"/>
      <c r="WW19" s="37"/>
      <c r="WX19" s="37"/>
      <c r="WY19" s="37"/>
      <c r="WZ19" s="37"/>
      <c r="XA19" s="37"/>
      <c r="XB19" s="37"/>
      <c r="XC19" s="37"/>
      <c r="XD19" s="37"/>
      <c r="XE19" s="37"/>
      <c r="XF19" s="37"/>
      <c r="XG19" s="37"/>
      <c r="XH19" s="37"/>
      <c r="XI19" s="37"/>
      <c r="XJ19" s="37"/>
      <c r="XK19" s="37"/>
      <c r="XL19" s="37"/>
      <c r="XM19" s="37"/>
      <c r="XN19" s="37"/>
      <c r="XO19" s="37"/>
      <c r="XP19" s="37"/>
      <c r="XQ19" s="37"/>
      <c r="XR19" s="37"/>
      <c r="XS19" s="37"/>
      <c r="XT19" s="37"/>
      <c r="XU19" s="37"/>
      <c r="XV19" s="37"/>
      <c r="XW19" s="37"/>
      <c r="XX19" s="37"/>
      <c r="XY19" s="37"/>
      <c r="XZ19" s="37"/>
      <c r="YA19" s="37"/>
      <c r="YB19" s="37"/>
      <c r="YC19" s="37"/>
      <c r="YD19" s="37"/>
      <c r="YE19" s="37"/>
      <c r="YF19" s="37"/>
      <c r="YG19" s="37"/>
      <c r="YH19" s="37"/>
      <c r="YI19" s="37"/>
      <c r="YJ19" s="37"/>
      <c r="YK19" s="37"/>
      <c r="YL19" s="37"/>
      <c r="YM19" s="37"/>
      <c r="YN19" s="37"/>
      <c r="YO19" s="37"/>
      <c r="YP19" s="37"/>
      <c r="YQ19" s="37"/>
      <c r="YR19" s="37"/>
      <c r="YS19" s="37"/>
      <c r="YT19" s="37"/>
      <c r="YU19" s="37"/>
      <c r="YV19" s="37"/>
      <c r="YW19" s="37"/>
      <c r="YX19" s="37"/>
      <c r="YY19" s="37"/>
      <c r="YZ19" s="37"/>
      <c r="ZA19" s="37"/>
      <c r="ZB19" s="37"/>
      <c r="ZC19" s="37"/>
      <c r="ZD19" s="37"/>
      <c r="ZE19" s="37"/>
      <c r="ZF19" s="37"/>
      <c r="ZG19" s="37"/>
      <c r="ZH19" s="37"/>
      <c r="ZI19" s="37"/>
      <c r="ZJ19" s="37"/>
      <c r="ZK19" s="37"/>
      <c r="ZL19" s="37"/>
      <c r="ZM19" s="37"/>
      <c r="ZN19" s="37"/>
      <c r="ZO19" s="37"/>
      <c r="ZP19" s="37"/>
      <c r="ZQ19" s="37"/>
      <c r="ZR19" s="37"/>
      <c r="ZS19" s="37"/>
      <c r="ZT19" s="37"/>
      <c r="ZU19" s="37"/>
      <c r="ZV19" s="37"/>
      <c r="ZW19" s="37"/>
      <c r="ZX19" s="37"/>
      <c r="ZY19" s="37"/>
      <c r="ZZ19" s="37"/>
      <c r="AAA19" s="37"/>
      <c r="AAB19" s="37"/>
      <c r="AAC19" s="37"/>
      <c r="AAD19" s="37"/>
      <c r="AAE19" s="37"/>
      <c r="AAF19" s="37"/>
      <c r="AAG19" s="37"/>
      <c r="AAH19" s="37"/>
      <c r="AAI19" s="37"/>
      <c r="AAJ19" s="37"/>
      <c r="AAK19" s="37"/>
      <c r="AAL19" s="37"/>
      <c r="AAM19" s="37"/>
      <c r="AAN19" s="37"/>
      <c r="AAO19" s="37"/>
      <c r="AAP19" s="37"/>
      <c r="AAQ19" s="37"/>
      <c r="AAR19" s="37"/>
      <c r="AAS19" s="37"/>
      <c r="AAT19" s="37"/>
      <c r="AAU19" s="37"/>
      <c r="AAV19" s="37"/>
      <c r="AAW19" s="37"/>
      <c r="AAX19" s="37"/>
      <c r="AAY19" s="37"/>
      <c r="AAZ19" s="37"/>
      <c r="ABA19" s="37"/>
      <c r="ABB19" s="37"/>
      <c r="ABC19" s="37"/>
      <c r="ABD19" s="37"/>
      <c r="ABE19" s="37"/>
      <c r="ABF19" s="37"/>
      <c r="ABG19" s="37"/>
      <c r="ABH19" s="37"/>
      <c r="ABI19" s="37"/>
      <c r="ABJ19" s="37"/>
      <c r="ABK19" s="37"/>
      <c r="ABL19" s="37"/>
      <c r="ABM19" s="37"/>
      <c r="ABN19" s="37"/>
      <c r="ABO19" s="37"/>
      <c r="ABP19" s="37"/>
      <c r="ABQ19" s="37"/>
      <c r="ABR19" s="37"/>
      <c r="ABS19" s="37"/>
      <c r="ABT19" s="37"/>
      <c r="ABU19" s="37"/>
      <c r="ABV19" s="37"/>
      <c r="ABW19" s="37"/>
      <c r="ABX19" s="37"/>
      <c r="ABY19" s="37"/>
      <c r="ABZ19" s="37"/>
      <c r="ACA19" s="37"/>
      <c r="ACB19" s="37"/>
      <c r="ACC19" s="37"/>
      <c r="ACD19" s="37"/>
      <c r="ACE19" s="37"/>
      <c r="ACF19" s="37"/>
      <c r="ACG19" s="37"/>
      <c r="ACH19" s="37"/>
      <c r="ACI19" s="37"/>
      <c r="ACJ19" s="37"/>
      <c r="ACK19" s="37"/>
      <c r="ACL19" s="37"/>
      <c r="ACM19" s="37"/>
      <c r="ACN19" s="37"/>
      <c r="ACO19" s="37"/>
      <c r="ACP19" s="37"/>
      <c r="ACQ19" s="37"/>
      <c r="ACR19" s="37"/>
      <c r="ACS19" s="37"/>
      <c r="ACT19" s="37"/>
      <c r="ACU19" s="37"/>
      <c r="ACV19" s="37"/>
      <c r="ACW19" s="37"/>
      <c r="ACX19" s="37"/>
      <c r="ACY19" s="37"/>
      <c r="ACZ19" s="37"/>
      <c r="ADA19" s="37"/>
      <c r="ADB19" s="37"/>
      <c r="ADC19" s="37"/>
      <c r="ADD19" s="37"/>
      <c r="ADE19" s="37"/>
      <c r="ADF19" s="37"/>
      <c r="ADG19" s="37"/>
      <c r="ADH19" s="37"/>
      <c r="ADI19" s="37"/>
      <c r="ADJ19" s="37"/>
      <c r="ADK19" s="37"/>
      <c r="ADL19" s="37"/>
      <c r="ADM19" s="37"/>
      <c r="ADN19" s="37"/>
      <c r="ADO19" s="37"/>
      <c r="ADP19" s="37"/>
      <c r="ADQ19" s="37"/>
      <c r="ADR19" s="37"/>
      <c r="ADS19" s="37"/>
      <c r="ADT19" s="37"/>
      <c r="ADU19" s="37"/>
      <c r="ADV19" s="37"/>
      <c r="ADW19" s="37"/>
      <c r="ADX19" s="37"/>
      <c r="ADY19" s="37"/>
      <c r="ADZ19" s="37"/>
      <c r="AEA19" s="37"/>
      <c r="AEB19" s="37"/>
      <c r="AEC19" s="37"/>
      <c r="AED19" s="37"/>
      <c r="AEE19" s="37"/>
      <c r="AEF19" s="37"/>
      <c r="AEG19" s="37"/>
      <c r="AEH19" s="37"/>
      <c r="AEI19" s="37"/>
      <c r="AEJ19" s="37"/>
      <c r="AEK19" s="37"/>
      <c r="AEL19" s="37"/>
      <c r="AEM19" s="37"/>
      <c r="AEN19" s="37"/>
      <c r="AEO19" s="37"/>
      <c r="AEP19" s="37"/>
      <c r="AEQ19" s="37"/>
      <c r="AER19" s="37"/>
      <c r="AES19" s="37"/>
      <c r="AET19" s="37"/>
      <c r="AEU19" s="37"/>
      <c r="AEV19" s="37"/>
      <c r="AEW19" s="37"/>
      <c r="AEX19" s="37"/>
      <c r="AEY19" s="37"/>
      <c r="AEZ19" s="37"/>
      <c r="AFA19" s="37"/>
      <c r="AFB19" s="37"/>
      <c r="AFC19" s="37"/>
      <c r="AFD19" s="37"/>
      <c r="AFE19" s="37"/>
      <c r="AFF19" s="37"/>
      <c r="AFG19" s="37"/>
      <c r="AFH19" s="37"/>
      <c r="AFI19" s="37"/>
      <c r="AFJ19" s="37"/>
      <c r="AFK19" s="37"/>
      <c r="AFL19" s="37"/>
      <c r="AFM19" s="37"/>
      <c r="AFN19" s="37"/>
      <c r="AFO19" s="37"/>
      <c r="AFP19" s="37"/>
      <c r="AFQ19" s="37"/>
      <c r="AFR19" s="37"/>
      <c r="AFS19" s="37"/>
      <c r="AFT19" s="37"/>
      <c r="AFU19" s="37"/>
      <c r="AFV19" s="37"/>
      <c r="AFW19" s="37"/>
      <c r="AFX19" s="37"/>
      <c r="AFY19" s="37"/>
      <c r="AFZ19" s="37"/>
      <c r="AGA19" s="37"/>
      <c r="AGB19" s="37"/>
      <c r="AGC19" s="37"/>
      <c r="AGD19" s="37"/>
      <c r="AGE19" s="37"/>
      <c r="AGF19" s="37"/>
      <c r="AGG19" s="37"/>
      <c r="AGH19" s="37"/>
      <c r="AGI19" s="37"/>
      <c r="AGJ19" s="37"/>
      <c r="AGK19" s="37"/>
      <c r="AGL19" s="37"/>
      <c r="AGM19" s="37"/>
      <c r="AGN19" s="37"/>
      <c r="AGO19" s="37"/>
      <c r="AGP19" s="37"/>
      <c r="AGQ19" s="37"/>
      <c r="AGR19" s="37"/>
      <c r="AGS19" s="37"/>
      <c r="AGT19" s="37"/>
      <c r="AGU19" s="37"/>
      <c r="AGV19" s="37"/>
      <c r="AGW19" s="37"/>
      <c r="AGX19" s="37"/>
      <c r="AGY19" s="37"/>
      <c r="AGZ19" s="37"/>
      <c r="AHA19" s="37"/>
      <c r="AHB19" s="37"/>
      <c r="AHC19" s="37"/>
      <c r="AHD19" s="37"/>
      <c r="AHE19" s="37"/>
      <c r="AHF19" s="37"/>
      <c r="AHG19" s="37"/>
      <c r="AHH19" s="37"/>
      <c r="AHI19" s="37"/>
      <c r="AHJ19" s="37"/>
      <c r="AHK19" s="37"/>
      <c r="AHL19" s="37"/>
      <c r="AHM19" s="37"/>
      <c r="AHN19" s="37"/>
      <c r="AHO19" s="37"/>
      <c r="AHP19" s="37"/>
      <c r="AHQ19" s="37"/>
      <c r="AHR19" s="37"/>
      <c r="AHS19" s="37"/>
      <c r="AHT19" s="37"/>
      <c r="AHU19" s="37"/>
      <c r="AHV19" s="37"/>
      <c r="AHW19" s="37"/>
      <c r="AHX19" s="37"/>
      <c r="AHY19" s="37"/>
      <c r="AHZ19" s="37"/>
      <c r="AIA19" s="37"/>
      <c r="AIB19" s="37"/>
      <c r="AIC19" s="37"/>
      <c r="AID19" s="37"/>
      <c r="AIE19" s="37"/>
      <c r="AIF19" s="37"/>
      <c r="AIG19" s="37"/>
      <c r="AIH19" s="37"/>
      <c r="AII19" s="37"/>
      <c r="AIJ19" s="37"/>
      <c r="AIK19" s="37"/>
      <c r="AIL19" s="37"/>
      <c r="AIM19" s="37"/>
      <c r="AIN19" s="37"/>
      <c r="AIO19" s="37"/>
      <c r="AIP19" s="37"/>
      <c r="AIQ19" s="37"/>
      <c r="AIR19" s="37"/>
      <c r="AIS19" s="37"/>
      <c r="AIT19" s="37"/>
      <c r="AIU19" s="37"/>
      <c r="AIV19" s="37"/>
      <c r="AIW19" s="37"/>
      <c r="AIX19" s="37"/>
      <c r="AIY19" s="37"/>
      <c r="AIZ19" s="37"/>
      <c r="AJA19" s="37"/>
      <c r="AJB19" s="37"/>
      <c r="AJC19" s="37"/>
      <c r="AJD19" s="37"/>
      <c r="AJE19" s="37"/>
      <c r="AJF19" s="37"/>
      <c r="AJG19" s="37"/>
      <c r="AJH19" s="37"/>
      <c r="AJI19" s="37"/>
      <c r="AJJ19" s="37"/>
      <c r="AJK19" s="37"/>
      <c r="AJL19" s="37"/>
      <c r="AJM19" s="37"/>
      <c r="AJN19" s="37"/>
      <c r="AJO19" s="37"/>
      <c r="AJP19" s="37"/>
      <c r="AJQ19" s="37"/>
      <c r="AJR19" s="37"/>
      <c r="AJS19" s="37"/>
      <c r="AJT19" s="37"/>
      <c r="AJU19" s="37"/>
      <c r="AJV19" s="37"/>
      <c r="AJW19" s="37"/>
      <c r="AJX19" s="37"/>
      <c r="AJY19" s="37"/>
      <c r="AJZ19" s="37"/>
      <c r="AKA19" s="37"/>
      <c r="AKB19" s="37"/>
      <c r="AKC19" s="37"/>
      <c r="AKD19" s="37"/>
      <c r="AKE19" s="37"/>
      <c r="AKF19" s="37"/>
      <c r="AKG19" s="37"/>
      <c r="AKH19" s="37"/>
      <c r="AKI19" s="37"/>
      <c r="AKJ19" s="37"/>
      <c r="AKK19" s="37"/>
      <c r="AKL19" s="37"/>
      <c r="AKM19" s="37"/>
      <c r="AKN19" s="37"/>
      <c r="AKO19" s="37"/>
      <c r="AKP19" s="37"/>
      <c r="AKQ19" s="37"/>
      <c r="AKR19" s="37"/>
      <c r="AKS19" s="37"/>
      <c r="AKT19" s="37"/>
      <c r="AKU19" s="37"/>
      <c r="AKV19" s="37"/>
      <c r="AKW19" s="37"/>
      <c r="AKX19" s="37"/>
      <c r="AKY19" s="37"/>
      <c r="AKZ19" s="37"/>
      <c r="ALA19" s="37"/>
      <c r="ALB19" s="37"/>
      <c r="ALC19" s="37"/>
      <c r="ALD19" s="37"/>
      <c r="ALE19" s="37"/>
      <c r="ALF19" s="37"/>
      <c r="ALG19" s="37"/>
      <c r="ALH19" s="37"/>
      <c r="ALI19" s="37"/>
      <c r="ALJ19" s="37"/>
      <c r="ALK19" s="37"/>
      <c r="ALL19" s="37"/>
      <c r="ALM19" s="37"/>
      <c r="ALN19" s="37"/>
      <c r="ALO19" s="37"/>
      <c r="ALP19" s="37"/>
      <c r="ALQ19" s="37"/>
      <c r="ALR19" s="37"/>
    </row>
    <row r="20" spans="2:1006" x14ac:dyDescent="0.35">
      <c r="C20" s="20" t="s">
        <v>18</v>
      </c>
      <c r="E20" s="20" t="s">
        <v>86</v>
      </c>
      <c r="F20" s="28">
        <v>6000</v>
      </c>
    </row>
    <row r="21" spans="2:1006" x14ac:dyDescent="0.35">
      <c r="C21" s="20" t="s">
        <v>6</v>
      </c>
      <c r="E21" s="20" t="s">
        <v>21</v>
      </c>
      <c r="F21" s="30">
        <v>5.0000000000000001E-3</v>
      </c>
    </row>
    <row r="22" spans="2:1006" x14ac:dyDescent="0.35">
      <c r="C22" s="20" t="s">
        <v>106</v>
      </c>
      <c r="E22" s="20" t="s">
        <v>104</v>
      </c>
      <c r="F22" s="72">
        <f>Scenario!G16</f>
        <v>2588</v>
      </c>
    </row>
    <row r="23" spans="2:1006" x14ac:dyDescent="0.35">
      <c r="C23" s="20" t="s">
        <v>92</v>
      </c>
      <c r="E23" s="20" t="s">
        <v>19</v>
      </c>
      <c r="F23" s="57">
        <f>Scenario!H16/100</f>
        <v>0.85</v>
      </c>
    </row>
    <row r="24" spans="2:1006" x14ac:dyDescent="0.35">
      <c r="C24" s="20" t="s">
        <v>105</v>
      </c>
      <c r="E24" s="20" t="s">
        <v>104</v>
      </c>
      <c r="F24" s="72">
        <f>F22*F23</f>
        <v>2199.7999999999997</v>
      </c>
    </row>
    <row r="26" spans="2:1006" x14ac:dyDescent="0.35">
      <c r="C26" s="20" t="s">
        <v>94</v>
      </c>
      <c r="E26" s="20" t="s">
        <v>19</v>
      </c>
      <c r="F26" s="30">
        <v>0.08</v>
      </c>
    </row>
    <row r="27" spans="2:1006" x14ac:dyDescent="0.35">
      <c r="C27" s="20" t="s">
        <v>116</v>
      </c>
      <c r="E27" s="20" t="s">
        <v>104</v>
      </c>
      <c r="F27" s="72">
        <f>F24*F26</f>
        <v>175.98399999999998</v>
      </c>
    </row>
    <row r="28" spans="2:1006" x14ac:dyDescent="0.35">
      <c r="C28" s="20" t="s">
        <v>117</v>
      </c>
      <c r="E28" s="30">
        <v>0.5</v>
      </c>
      <c r="F28" s="72">
        <f>NORMINV(E28,F24,F27)</f>
        <v>2199.7999999999997</v>
      </c>
    </row>
    <row r="29" spans="2:1006" x14ac:dyDescent="0.35">
      <c r="C29" s="20" t="s">
        <v>118</v>
      </c>
      <c r="E29" s="30">
        <v>0.1</v>
      </c>
      <c r="F29" s="72">
        <f>_xlfn.NORM.INV(E29,F24,F27)</f>
        <v>1974.2674292891988</v>
      </c>
    </row>
    <row r="30" spans="2:1006" x14ac:dyDescent="0.35">
      <c r="C30" s="20" t="s">
        <v>119</v>
      </c>
      <c r="E30" s="30">
        <v>0.01</v>
      </c>
      <c r="F30" s="72">
        <f>_xlfn.NORM.INV(E30,F24,F27)</f>
        <v>1790.3999957347964</v>
      </c>
    </row>
    <row r="32" spans="2:1006" x14ac:dyDescent="0.35">
      <c r="C32" s="20" t="s">
        <v>125</v>
      </c>
      <c r="E32" s="32">
        <v>1</v>
      </c>
      <c r="F32" s="54" cm="1">
        <f t="array" ref="F32">INDEX(F28:F30,$E$32)</f>
        <v>2199.7999999999997</v>
      </c>
    </row>
    <row r="33" spans="3:10" x14ac:dyDescent="0.35">
      <c r="C33" s="20" t="s">
        <v>107</v>
      </c>
      <c r="E33" s="20" t="s">
        <v>19</v>
      </c>
      <c r="F33" s="73">
        <f>F32/8760</f>
        <v>0.25111872146118719</v>
      </c>
    </row>
    <row r="35" spans="3:10" x14ac:dyDescent="0.35">
      <c r="C35" s="20" t="s">
        <v>93</v>
      </c>
      <c r="E35" s="20" t="s">
        <v>170</v>
      </c>
      <c r="F35" s="21" t="s">
        <v>108</v>
      </c>
      <c r="G35" s="21" t="s">
        <v>87</v>
      </c>
      <c r="H35" s="21" t="s">
        <v>90</v>
      </c>
      <c r="I35" s="21" t="s">
        <v>89</v>
      </c>
      <c r="J35" s="21" t="s">
        <v>91</v>
      </c>
    </row>
    <row r="36" spans="3:10" x14ac:dyDescent="0.35">
      <c r="D36" s="20" t="s">
        <v>35</v>
      </c>
      <c r="E36" s="28">
        <v>1</v>
      </c>
      <c r="F36" s="30">
        <v>5.3999999999999999E-2</v>
      </c>
      <c r="G36" s="20">
        <f t="shared" ref="G36:G47" si="0">$F$32*F36</f>
        <v>118.78919999999998</v>
      </c>
      <c r="H36" s="28">
        <v>31</v>
      </c>
      <c r="I36" s="20">
        <f t="shared" ref="I36:I47" si="1">H36*24</f>
        <v>744</v>
      </c>
      <c r="J36" s="22">
        <f t="shared" ref="J36:J48" si="2">G36/I36</f>
        <v>0.15966290322580642</v>
      </c>
    </row>
    <row r="37" spans="3:10" x14ac:dyDescent="0.35">
      <c r="D37" s="20" t="s">
        <v>36</v>
      </c>
      <c r="E37" s="28">
        <v>2</v>
      </c>
      <c r="F37" s="30">
        <v>6.3E-2</v>
      </c>
      <c r="G37" s="20">
        <f t="shared" si="0"/>
        <v>138.58739999999997</v>
      </c>
      <c r="H37" s="28">
        <v>28</v>
      </c>
      <c r="I37" s="20">
        <f t="shared" si="1"/>
        <v>672</v>
      </c>
      <c r="J37" s="22">
        <f t="shared" si="2"/>
        <v>0.20623124999999995</v>
      </c>
    </row>
    <row r="38" spans="3:10" x14ac:dyDescent="0.35">
      <c r="D38" s="20" t="s">
        <v>37</v>
      </c>
      <c r="E38" s="28">
        <v>3</v>
      </c>
      <c r="F38" s="30">
        <v>8.8999999999999996E-2</v>
      </c>
      <c r="G38" s="20">
        <f t="shared" si="0"/>
        <v>195.78219999999996</v>
      </c>
      <c r="H38" s="28">
        <v>31</v>
      </c>
      <c r="I38" s="20">
        <f t="shared" si="1"/>
        <v>744</v>
      </c>
      <c r="J38" s="22">
        <f t="shared" si="2"/>
        <v>0.26314811827956985</v>
      </c>
    </row>
    <row r="39" spans="3:10" x14ac:dyDescent="0.35">
      <c r="D39" s="20" t="s">
        <v>38</v>
      </c>
      <c r="E39" s="28">
        <v>4</v>
      </c>
      <c r="F39" s="30">
        <v>9.4E-2</v>
      </c>
      <c r="G39" s="20">
        <f t="shared" si="0"/>
        <v>206.78119999999998</v>
      </c>
      <c r="H39" s="28">
        <v>30</v>
      </c>
      <c r="I39" s="20">
        <f t="shared" si="1"/>
        <v>720</v>
      </c>
      <c r="J39" s="22">
        <f t="shared" si="2"/>
        <v>0.2871961111111111</v>
      </c>
    </row>
    <row r="40" spans="3:10" x14ac:dyDescent="0.35">
      <c r="D40" s="20" t="s">
        <v>39</v>
      </c>
      <c r="E40" s="28">
        <v>5</v>
      </c>
      <c r="F40" s="30">
        <v>0.106</v>
      </c>
      <c r="G40" s="20">
        <f t="shared" si="0"/>
        <v>233.17879999999997</v>
      </c>
      <c r="H40" s="28">
        <v>31</v>
      </c>
      <c r="I40" s="20">
        <f t="shared" si="1"/>
        <v>744</v>
      </c>
      <c r="J40" s="22">
        <f t="shared" si="2"/>
        <v>0.31341236559139779</v>
      </c>
    </row>
    <row r="41" spans="3:10" x14ac:dyDescent="0.35">
      <c r="D41" s="20" t="s">
        <v>40</v>
      </c>
      <c r="E41" s="28">
        <v>6</v>
      </c>
      <c r="F41" s="30">
        <v>0.109</v>
      </c>
      <c r="G41" s="20">
        <f t="shared" si="0"/>
        <v>239.77819999999997</v>
      </c>
      <c r="H41" s="28">
        <v>30</v>
      </c>
      <c r="I41" s="20">
        <f t="shared" si="1"/>
        <v>720</v>
      </c>
      <c r="J41" s="22">
        <f t="shared" si="2"/>
        <v>0.33302527777777774</v>
      </c>
    </row>
    <row r="42" spans="3:10" x14ac:dyDescent="0.35">
      <c r="D42" s="20" t="s">
        <v>41</v>
      </c>
      <c r="E42" s="28">
        <v>7</v>
      </c>
      <c r="F42" s="30">
        <v>0.12</v>
      </c>
      <c r="G42" s="20">
        <f t="shared" si="0"/>
        <v>263.97599999999994</v>
      </c>
      <c r="H42" s="28">
        <v>31</v>
      </c>
      <c r="I42" s="20">
        <f t="shared" si="1"/>
        <v>744</v>
      </c>
      <c r="J42" s="22">
        <f t="shared" si="2"/>
        <v>0.35480645161290314</v>
      </c>
    </row>
    <row r="43" spans="3:10" x14ac:dyDescent="0.35">
      <c r="D43" s="20" t="s">
        <v>42</v>
      </c>
      <c r="E43" s="28">
        <v>8</v>
      </c>
      <c r="F43" s="30">
        <v>0.107</v>
      </c>
      <c r="G43" s="20">
        <f t="shared" si="0"/>
        <v>235.37859999999998</v>
      </c>
      <c r="H43" s="28">
        <v>31</v>
      </c>
      <c r="I43" s="20">
        <f t="shared" si="1"/>
        <v>744</v>
      </c>
      <c r="J43" s="22">
        <f t="shared" si="2"/>
        <v>0.31636908602150532</v>
      </c>
    </row>
    <row r="44" spans="3:10" x14ac:dyDescent="0.35">
      <c r="D44" s="20" t="s">
        <v>43</v>
      </c>
      <c r="E44" s="28">
        <v>9</v>
      </c>
      <c r="F44" s="30">
        <v>9.4500000000000001E-2</v>
      </c>
      <c r="G44" s="20">
        <f t="shared" si="0"/>
        <v>207.88109999999998</v>
      </c>
      <c r="H44" s="28">
        <v>30</v>
      </c>
      <c r="I44" s="20">
        <f t="shared" si="1"/>
        <v>720</v>
      </c>
      <c r="J44" s="22">
        <f t="shared" si="2"/>
        <v>0.28872374999999995</v>
      </c>
    </row>
    <row r="45" spans="3:10" x14ac:dyDescent="0.35">
      <c r="D45" s="20" t="s">
        <v>44</v>
      </c>
      <c r="E45" s="28">
        <v>10</v>
      </c>
      <c r="F45" s="30">
        <v>7.1499999999999994E-2</v>
      </c>
      <c r="G45" s="20">
        <f t="shared" si="0"/>
        <v>157.28569999999996</v>
      </c>
      <c r="H45" s="28">
        <v>31</v>
      </c>
      <c r="I45" s="20">
        <f t="shared" si="1"/>
        <v>744</v>
      </c>
      <c r="J45" s="22">
        <f t="shared" si="2"/>
        <v>0.21140551075268812</v>
      </c>
    </row>
    <row r="46" spans="3:10" x14ac:dyDescent="0.35">
      <c r="D46" s="20" t="s">
        <v>45</v>
      </c>
      <c r="E46" s="28">
        <v>11</v>
      </c>
      <c r="F46" s="30">
        <v>4.9000000000000002E-2</v>
      </c>
      <c r="G46" s="20">
        <f t="shared" si="0"/>
        <v>107.79019999999998</v>
      </c>
      <c r="H46" s="28">
        <v>30</v>
      </c>
      <c r="I46" s="20">
        <f t="shared" si="1"/>
        <v>720</v>
      </c>
      <c r="J46" s="22">
        <f t="shared" si="2"/>
        <v>0.14970861111111108</v>
      </c>
    </row>
    <row r="47" spans="3:10" x14ac:dyDescent="0.35">
      <c r="D47" s="20" t="s">
        <v>46</v>
      </c>
      <c r="E47" s="28">
        <v>12</v>
      </c>
      <c r="F47" s="30">
        <v>4.2999999999999997E-2</v>
      </c>
      <c r="G47" s="20">
        <f t="shared" si="0"/>
        <v>94.591399999999979</v>
      </c>
      <c r="H47" s="28">
        <v>31</v>
      </c>
      <c r="I47" s="20">
        <f t="shared" si="1"/>
        <v>744</v>
      </c>
      <c r="J47" s="22">
        <f t="shared" si="2"/>
        <v>0.12713897849462363</v>
      </c>
    </row>
    <row r="48" spans="3:10" ht="15" thickBot="1" x14ac:dyDescent="0.4">
      <c r="D48" s="39" t="s">
        <v>4</v>
      </c>
      <c r="E48" s="39"/>
      <c r="F48" s="68">
        <v>1</v>
      </c>
      <c r="G48" s="39">
        <f>SUM(G36:G47)</f>
        <v>2199.7999999999997</v>
      </c>
      <c r="H48" s="39">
        <f>SUM(H36:H47)</f>
        <v>365</v>
      </c>
      <c r="I48" s="39">
        <f>SUM(I36:I47)</f>
        <v>8760</v>
      </c>
      <c r="J48" s="41">
        <f t="shared" si="2"/>
        <v>0.25111872146118719</v>
      </c>
    </row>
    <row r="51" spans="2:1006" x14ac:dyDescent="0.35">
      <c r="B51" s="37" t="s">
        <v>120</v>
      </c>
      <c r="C51" s="37"/>
      <c r="D51" s="37"/>
      <c r="E51" s="37"/>
      <c r="F51" s="53"/>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c r="AN51" s="37"/>
      <c r="AO51" s="37"/>
      <c r="AP51" s="37"/>
      <c r="AQ51" s="37"/>
      <c r="AR51" s="37"/>
      <c r="AS51" s="37"/>
      <c r="AT51" s="37"/>
      <c r="AU51" s="37"/>
      <c r="AV51" s="37"/>
      <c r="AW51" s="37"/>
      <c r="AX51" s="37"/>
      <c r="AY51" s="37"/>
      <c r="AZ51" s="37"/>
      <c r="BA51" s="37"/>
      <c r="BB51" s="37"/>
      <c r="BC51" s="37"/>
      <c r="BD51" s="37"/>
      <c r="BE51" s="37"/>
      <c r="BF51" s="37"/>
      <c r="BG51" s="37"/>
      <c r="BH51" s="37"/>
      <c r="BI51" s="37"/>
      <c r="BJ51" s="37"/>
      <c r="BK51" s="37"/>
      <c r="BL51" s="37"/>
      <c r="BM51" s="37"/>
      <c r="BN51" s="37"/>
      <c r="BO51" s="37"/>
      <c r="BP51" s="37"/>
      <c r="BQ51" s="37"/>
      <c r="BR51" s="37"/>
      <c r="BS51" s="37"/>
      <c r="BT51" s="37"/>
      <c r="BU51" s="37"/>
      <c r="BV51" s="37"/>
      <c r="BW51" s="37"/>
      <c r="BX51" s="37"/>
      <c r="BY51" s="37"/>
      <c r="BZ51" s="37"/>
      <c r="CA51" s="37"/>
      <c r="CB51" s="37"/>
      <c r="CC51" s="37"/>
      <c r="CD51" s="37"/>
      <c r="CE51" s="37"/>
      <c r="CF51" s="37"/>
      <c r="CG51" s="37"/>
      <c r="CH51" s="37"/>
      <c r="CI51" s="37"/>
      <c r="CJ51" s="37"/>
      <c r="CK51" s="37"/>
      <c r="CL51" s="37"/>
      <c r="CM51" s="37"/>
      <c r="CN51" s="37"/>
      <c r="CO51" s="37"/>
      <c r="CP51" s="37"/>
      <c r="CQ51" s="37"/>
      <c r="CR51" s="37"/>
      <c r="CS51" s="37"/>
      <c r="CT51" s="37"/>
      <c r="CU51" s="37"/>
      <c r="CV51" s="37"/>
      <c r="CW51" s="37"/>
      <c r="CX51" s="37"/>
      <c r="CY51" s="37"/>
      <c r="CZ51" s="37"/>
      <c r="DA51" s="37"/>
      <c r="DB51" s="37"/>
      <c r="DC51" s="37"/>
      <c r="DD51" s="37"/>
      <c r="DE51" s="37"/>
      <c r="DF51" s="37"/>
      <c r="DG51" s="37"/>
      <c r="DH51" s="37"/>
      <c r="DI51" s="37"/>
      <c r="DJ51" s="37"/>
      <c r="DK51" s="37"/>
      <c r="DL51" s="37"/>
      <c r="DM51" s="37"/>
      <c r="DN51" s="37"/>
      <c r="DO51" s="37"/>
      <c r="DP51" s="37"/>
      <c r="DQ51" s="37"/>
      <c r="DR51" s="37"/>
      <c r="DS51" s="37"/>
      <c r="DT51" s="37"/>
      <c r="DU51" s="37"/>
      <c r="DV51" s="37"/>
      <c r="DW51" s="37"/>
      <c r="DX51" s="37"/>
      <c r="DY51" s="37"/>
      <c r="DZ51" s="37"/>
      <c r="EA51" s="37"/>
      <c r="EB51" s="37"/>
      <c r="EC51" s="37"/>
      <c r="ED51" s="37"/>
      <c r="EE51" s="37"/>
      <c r="EF51" s="37"/>
      <c r="EG51" s="37"/>
      <c r="EH51" s="37"/>
      <c r="EI51" s="37"/>
      <c r="EJ51" s="37"/>
      <c r="EK51" s="37"/>
      <c r="EL51" s="37"/>
      <c r="EM51" s="37"/>
      <c r="EN51" s="37"/>
      <c r="EO51" s="37"/>
      <c r="EP51" s="37"/>
      <c r="EQ51" s="37"/>
      <c r="ER51" s="37"/>
      <c r="ES51" s="37"/>
      <c r="ET51" s="37"/>
      <c r="EU51" s="37"/>
      <c r="EV51" s="37"/>
      <c r="EW51" s="37"/>
      <c r="EX51" s="37"/>
      <c r="EY51" s="37"/>
      <c r="EZ51" s="37"/>
      <c r="FA51" s="37"/>
      <c r="FB51" s="37"/>
      <c r="FC51" s="37"/>
      <c r="FD51" s="37"/>
      <c r="FE51" s="37"/>
      <c r="FF51" s="37"/>
      <c r="FG51" s="37"/>
      <c r="FH51" s="37"/>
      <c r="FI51" s="37"/>
      <c r="FJ51" s="37"/>
      <c r="FK51" s="37"/>
      <c r="FL51" s="37"/>
      <c r="FM51" s="37"/>
      <c r="FN51" s="37"/>
      <c r="FO51" s="37"/>
      <c r="FP51" s="37"/>
      <c r="FQ51" s="37"/>
      <c r="FR51" s="37"/>
      <c r="FS51" s="37"/>
      <c r="FT51" s="37"/>
      <c r="FU51" s="37"/>
      <c r="FV51" s="37"/>
      <c r="FW51" s="37"/>
      <c r="FX51" s="37"/>
      <c r="FY51" s="37"/>
      <c r="FZ51" s="37"/>
      <c r="GA51" s="37"/>
      <c r="GB51" s="37"/>
      <c r="GC51" s="37"/>
      <c r="GD51" s="37"/>
      <c r="GE51" s="37"/>
      <c r="GF51" s="37"/>
      <c r="GG51" s="37"/>
      <c r="GH51" s="37"/>
      <c r="GI51" s="37"/>
      <c r="GJ51" s="37"/>
      <c r="GK51" s="37"/>
      <c r="GL51" s="37"/>
      <c r="GM51" s="37"/>
      <c r="GN51" s="37"/>
      <c r="GO51" s="37"/>
      <c r="GP51" s="37"/>
      <c r="GQ51" s="37"/>
      <c r="GR51" s="37"/>
      <c r="GS51" s="37"/>
      <c r="GT51" s="37"/>
      <c r="GU51" s="37"/>
      <c r="GV51" s="37"/>
      <c r="GW51" s="37"/>
      <c r="GX51" s="37"/>
      <c r="GY51" s="37"/>
      <c r="GZ51" s="37"/>
      <c r="HA51" s="37"/>
      <c r="HB51" s="37"/>
      <c r="HC51" s="37"/>
      <c r="HD51" s="37"/>
      <c r="HE51" s="37"/>
      <c r="HF51" s="37"/>
      <c r="HG51" s="37"/>
      <c r="HH51" s="37"/>
      <c r="HI51" s="37"/>
      <c r="HJ51" s="37"/>
      <c r="HK51" s="37"/>
      <c r="HL51" s="37"/>
      <c r="HM51" s="37"/>
      <c r="HN51" s="37"/>
      <c r="HO51" s="37"/>
      <c r="HP51" s="37"/>
      <c r="HQ51" s="37"/>
      <c r="HR51" s="37"/>
      <c r="HS51" s="37"/>
      <c r="HT51" s="37"/>
      <c r="HU51" s="37"/>
      <c r="HV51" s="37"/>
      <c r="HW51" s="37"/>
      <c r="HX51" s="37"/>
      <c r="HY51" s="37"/>
      <c r="HZ51" s="37"/>
      <c r="IA51" s="37"/>
      <c r="IB51" s="37"/>
      <c r="IC51" s="37"/>
      <c r="ID51" s="37"/>
      <c r="IE51" s="37"/>
      <c r="IF51" s="37"/>
      <c r="IG51" s="37"/>
      <c r="IH51" s="37"/>
      <c r="II51" s="37"/>
      <c r="IJ51" s="37"/>
      <c r="IK51" s="37"/>
      <c r="IL51" s="37"/>
      <c r="IM51" s="37"/>
      <c r="IN51" s="37"/>
      <c r="IO51" s="37"/>
      <c r="IP51" s="37"/>
      <c r="IQ51" s="37"/>
      <c r="IR51" s="37"/>
      <c r="IS51" s="37"/>
      <c r="IT51" s="37"/>
      <c r="IU51" s="37"/>
      <c r="IV51" s="37"/>
      <c r="IW51" s="37"/>
      <c r="IX51" s="37"/>
      <c r="IY51" s="37"/>
      <c r="IZ51" s="37"/>
      <c r="JA51" s="37"/>
      <c r="JB51" s="37"/>
      <c r="JC51" s="37"/>
      <c r="JD51" s="37"/>
      <c r="JE51" s="37"/>
      <c r="JF51" s="37"/>
      <c r="JG51" s="37"/>
      <c r="JH51" s="37"/>
      <c r="JI51" s="37"/>
      <c r="JJ51" s="37"/>
      <c r="JK51" s="37"/>
      <c r="JL51" s="37"/>
      <c r="JM51" s="37"/>
      <c r="JN51" s="37"/>
      <c r="JO51" s="37"/>
      <c r="JP51" s="37"/>
      <c r="JQ51" s="37"/>
      <c r="JR51" s="37"/>
      <c r="JS51" s="37"/>
      <c r="JT51" s="37"/>
      <c r="JU51" s="37"/>
      <c r="JV51" s="37"/>
      <c r="JW51" s="37"/>
      <c r="JX51" s="37"/>
      <c r="JY51" s="37"/>
      <c r="JZ51" s="37"/>
      <c r="KA51" s="37"/>
      <c r="KB51" s="37"/>
      <c r="KC51" s="37"/>
      <c r="KD51" s="37"/>
      <c r="KE51" s="37"/>
      <c r="KF51" s="37"/>
      <c r="KG51" s="37"/>
      <c r="KH51" s="37"/>
      <c r="KI51" s="37"/>
      <c r="KJ51" s="37"/>
      <c r="KK51" s="37"/>
      <c r="KL51" s="37"/>
      <c r="KM51" s="37"/>
      <c r="KN51" s="37"/>
      <c r="KO51" s="37"/>
      <c r="KP51" s="37"/>
      <c r="KQ51" s="37"/>
      <c r="KR51" s="37"/>
      <c r="KS51" s="37"/>
      <c r="KT51" s="37"/>
      <c r="KU51" s="37"/>
      <c r="KV51" s="37"/>
      <c r="KW51" s="37"/>
      <c r="KX51" s="37"/>
      <c r="KY51" s="37"/>
      <c r="KZ51" s="37"/>
      <c r="LA51" s="37"/>
      <c r="LB51" s="37"/>
      <c r="LC51" s="37"/>
      <c r="LD51" s="37"/>
      <c r="LE51" s="37"/>
      <c r="LF51" s="37"/>
      <c r="LG51" s="37"/>
      <c r="LH51" s="37"/>
      <c r="LI51" s="37"/>
      <c r="LJ51" s="37"/>
      <c r="LK51" s="37"/>
      <c r="LL51" s="37"/>
      <c r="LM51" s="37"/>
      <c r="LN51" s="37"/>
      <c r="LO51" s="37"/>
      <c r="LP51" s="37"/>
      <c r="LQ51" s="37"/>
      <c r="LR51" s="37"/>
      <c r="LS51" s="37"/>
      <c r="LT51" s="37"/>
      <c r="LU51" s="37"/>
      <c r="LV51" s="37"/>
      <c r="LW51" s="37"/>
      <c r="LX51" s="37"/>
      <c r="LY51" s="37"/>
      <c r="LZ51" s="37"/>
      <c r="MA51" s="37"/>
      <c r="MB51" s="37"/>
      <c r="MC51" s="37"/>
      <c r="MD51" s="37"/>
      <c r="ME51" s="37"/>
      <c r="MF51" s="37"/>
      <c r="MG51" s="37"/>
      <c r="MH51" s="37"/>
      <c r="MI51" s="37"/>
      <c r="MJ51" s="37"/>
      <c r="MK51" s="37"/>
      <c r="ML51" s="37"/>
      <c r="MM51" s="37"/>
      <c r="MN51" s="37"/>
      <c r="MO51" s="37"/>
      <c r="MP51" s="37"/>
      <c r="MQ51" s="37"/>
      <c r="MR51" s="37"/>
      <c r="MS51" s="37"/>
      <c r="MT51" s="37"/>
      <c r="MU51" s="37"/>
      <c r="MV51" s="37"/>
      <c r="MW51" s="37"/>
      <c r="MX51" s="37"/>
      <c r="MY51" s="37"/>
      <c r="MZ51" s="37"/>
      <c r="NA51" s="37"/>
      <c r="NB51" s="37"/>
      <c r="NC51" s="37"/>
      <c r="ND51" s="37"/>
      <c r="NE51" s="37"/>
      <c r="NF51" s="37"/>
      <c r="NG51" s="37"/>
      <c r="NH51" s="37"/>
      <c r="NI51" s="37"/>
      <c r="NJ51" s="37"/>
      <c r="NK51" s="37"/>
      <c r="NL51" s="37"/>
      <c r="NM51" s="37"/>
      <c r="NN51" s="37"/>
      <c r="NO51" s="37"/>
      <c r="NP51" s="37"/>
      <c r="NQ51" s="37"/>
      <c r="NR51" s="37"/>
      <c r="NS51" s="37"/>
      <c r="NT51" s="37"/>
      <c r="NU51" s="37"/>
      <c r="NV51" s="37"/>
      <c r="NW51" s="37"/>
      <c r="NX51" s="37"/>
      <c r="NY51" s="37"/>
      <c r="NZ51" s="37"/>
      <c r="OA51" s="37"/>
      <c r="OB51" s="37"/>
      <c r="OC51" s="37"/>
      <c r="OD51" s="37"/>
      <c r="OE51" s="37"/>
      <c r="OF51" s="37"/>
      <c r="OG51" s="37"/>
      <c r="OH51" s="37"/>
      <c r="OI51" s="37"/>
      <c r="OJ51" s="37"/>
      <c r="OK51" s="37"/>
      <c r="OL51" s="37"/>
      <c r="OM51" s="37"/>
      <c r="ON51" s="37"/>
      <c r="OO51" s="37"/>
      <c r="OP51" s="37"/>
      <c r="OQ51" s="37"/>
      <c r="OR51" s="37"/>
      <c r="OS51" s="37"/>
      <c r="OT51" s="37"/>
      <c r="OU51" s="37"/>
      <c r="OV51" s="37"/>
      <c r="OW51" s="37"/>
      <c r="OX51" s="37"/>
      <c r="OY51" s="37"/>
      <c r="OZ51" s="37"/>
      <c r="PA51" s="37"/>
      <c r="PB51" s="37"/>
      <c r="PC51" s="37"/>
      <c r="PD51" s="37"/>
      <c r="PE51" s="37"/>
      <c r="PF51" s="37"/>
      <c r="PG51" s="37"/>
      <c r="PH51" s="37"/>
      <c r="PI51" s="37"/>
      <c r="PJ51" s="37"/>
      <c r="PK51" s="37"/>
      <c r="PL51" s="37"/>
      <c r="PM51" s="37"/>
      <c r="PN51" s="37"/>
      <c r="PO51" s="37"/>
      <c r="PP51" s="37"/>
      <c r="PQ51" s="37"/>
      <c r="PR51" s="37"/>
      <c r="PS51" s="37"/>
      <c r="PT51" s="37"/>
      <c r="PU51" s="37"/>
      <c r="PV51" s="37"/>
      <c r="PW51" s="37"/>
      <c r="PX51" s="37"/>
      <c r="PY51" s="37"/>
      <c r="PZ51" s="37"/>
      <c r="QA51" s="37"/>
      <c r="QB51" s="37"/>
      <c r="QC51" s="37"/>
      <c r="QD51" s="37"/>
      <c r="QE51" s="37"/>
      <c r="QF51" s="37"/>
      <c r="QG51" s="37"/>
      <c r="QH51" s="37"/>
      <c r="QI51" s="37"/>
      <c r="QJ51" s="37"/>
      <c r="QK51" s="37"/>
      <c r="QL51" s="37"/>
      <c r="QM51" s="37"/>
      <c r="QN51" s="37"/>
      <c r="QO51" s="37"/>
      <c r="QP51" s="37"/>
      <c r="QQ51" s="37"/>
      <c r="QR51" s="37"/>
      <c r="QS51" s="37"/>
      <c r="QT51" s="37"/>
      <c r="QU51" s="37"/>
      <c r="QV51" s="37"/>
      <c r="QW51" s="37"/>
      <c r="QX51" s="37"/>
      <c r="QY51" s="37"/>
      <c r="QZ51" s="37"/>
      <c r="RA51" s="37"/>
      <c r="RB51" s="37"/>
      <c r="RC51" s="37"/>
      <c r="RD51" s="37"/>
      <c r="RE51" s="37"/>
      <c r="RF51" s="37"/>
      <c r="RG51" s="37"/>
      <c r="RH51" s="37"/>
      <c r="RI51" s="37"/>
      <c r="RJ51" s="37"/>
      <c r="RK51" s="37"/>
      <c r="RL51" s="37"/>
      <c r="RM51" s="37"/>
      <c r="RN51" s="37"/>
      <c r="RO51" s="37"/>
      <c r="RP51" s="37"/>
      <c r="RQ51" s="37"/>
      <c r="RR51" s="37"/>
      <c r="RS51" s="37"/>
      <c r="RT51" s="37"/>
      <c r="RU51" s="37"/>
      <c r="RV51" s="37"/>
      <c r="RW51" s="37"/>
      <c r="RX51" s="37"/>
      <c r="RY51" s="37"/>
      <c r="RZ51" s="37"/>
      <c r="SA51" s="37"/>
      <c r="SB51" s="37"/>
      <c r="SC51" s="37"/>
      <c r="SD51" s="37"/>
      <c r="SE51" s="37"/>
      <c r="SF51" s="37"/>
      <c r="SG51" s="37"/>
      <c r="SH51" s="37"/>
      <c r="SI51" s="37"/>
      <c r="SJ51" s="37"/>
      <c r="SK51" s="37"/>
      <c r="SL51" s="37"/>
      <c r="SM51" s="37"/>
      <c r="SN51" s="37"/>
      <c r="SO51" s="37"/>
      <c r="SP51" s="37"/>
      <c r="SQ51" s="37"/>
      <c r="SR51" s="37"/>
      <c r="SS51" s="37"/>
      <c r="ST51" s="37"/>
      <c r="SU51" s="37"/>
      <c r="SV51" s="37"/>
      <c r="SW51" s="37"/>
      <c r="SX51" s="37"/>
      <c r="SY51" s="37"/>
      <c r="SZ51" s="37"/>
      <c r="TA51" s="37"/>
      <c r="TB51" s="37"/>
      <c r="TC51" s="37"/>
      <c r="TD51" s="37"/>
      <c r="TE51" s="37"/>
      <c r="TF51" s="37"/>
      <c r="TG51" s="37"/>
      <c r="TH51" s="37"/>
      <c r="TI51" s="37"/>
      <c r="TJ51" s="37"/>
      <c r="TK51" s="37"/>
      <c r="TL51" s="37"/>
      <c r="TM51" s="37"/>
      <c r="TN51" s="37"/>
      <c r="TO51" s="37"/>
      <c r="TP51" s="37"/>
      <c r="TQ51" s="37"/>
      <c r="TR51" s="37"/>
      <c r="TS51" s="37"/>
      <c r="TT51" s="37"/>
      <c r="TU51" s="37"/>
      <c r="TV51" s="37"/>
      <c r="TW51" s="37"/>
      <c r="TX51" s="37"/>
      <c r="TY51" s="37"/>
      <c r="TZ51" s="37"/>
      <c r="UA51" s="37"/>
      <c r="UB51" s="37"/>
      <c r="UC51" s="37"/>
      <c r="UD51" s="37"/>
      <c r="UE51" s="37"/>
      <c r="UF51" s="37"/>
      <c r="UG51" s="37"/>
      <c r="UH51" s="37"/>
      <c r="UI51" s="37"/>
      <c r="UJ51" s="37"/>
      <c r="UK51" s="37"/>
      <c r="UL51" s="37"/>
      <c r="UM51" s="37"/>
      <c r="UN51" s="37"/>
      <c r="UO51" s="37"/>
      <c r="UP51" s="37"/>
      <c r="UQ51" s="37"/>
      <c r="UR51" s="37"/>
      <c r="US51" s="37"/>
      <c r="UT51" s="37"/>
      <c r="UU51" s="37"/>
      <c r="UV51" s="37"/>
      <c r="UW51" s="37"/>
      <c r="UX51" s="37"/>
      <c r="UY51" s="37"/>
      <c r="UZ51" s="37"/>
      <c r="VA51" s="37"/>
      <c r="VB51" s="37"/>
      <c r="VC51" s="37"/>
      <c r="VD51" s="37"/>
      <c r="VE51" s="37"/>
      <c r="VF51" s="37"/>
      <c r="VG51" s="37"/>
      <c r="VH51" s="37"/>
      <c r="VI51" s="37"/>
      <c r="VJ51" s="37"/>
      <c r="VK51" s="37"/>
      <c r="VL51" s="37"/>
      <c r="VM51" s="37"/>
      <c r="VN51" s="37"/>
      <c r="VO51" s="37"/>
      <c r="VP51" s="37"/>
      <c r="VQ51" s="37"/>
      <c r="VR51" s="37"/>
      <c r="VS51" s="37"/>
      <c r="VT51" s="37"/>
      <c r="VU51" s="37"/>
      <c r="VV51" s="37"/>
      <c r="VW51" s="37"/>
      <c r="VX51" s="37"/>
      <c r="VY51" s="37"/>
      <c r="VZ51" s="37"/>
      <c r="WA51" s="37"/>
      <c r="WB51" s="37"/>
      <c r="WC51" s="37"/>
      <c r="WD51" s="37"/>
      <c r="WE51" s="37"/>
      <c r="WF51" s="37"/>
      <c r="WG51" s="37"/>
      <c r="WH51" s="37"/>
      <c r="WI51" s="37"/>
      <c r="WJ51" s="37"/>
      <c r="WK51" s="37"/>
      <c r="WL51" s="37"/>
      <c r="WM51" s="37"/>
      <c r="WN51" s="37"/>
      <c r="WO51" s="37"/>
      <c r="WP51" s="37"/>
      <c r="WQ51" s="37"/>
      <c r="WR51" s="37"/>
      <c r="WS51" s="37"/>
      <c r="WT51" s="37"/>
      <c r="WU51" s="37"/>
      <c r="WV51" s="37"/>
      <c r="WW51" s="37"/>
      <c r="WX51" s="37"/>
      <c r="WY51" s="37"/>
      <c r="WZ51" s="37"/>
      <c r="XA51" s="37"/>
      <c r="XB51" s="37"/>
      <c r="XC51" s="37"/>
      <c r="XD51" s="37"/>
      <c r="XE51" s="37"/>
      <c r="XF51" s="37"/>
      <c r="XG51" s="37"/>
      <c r="XH51" s="37"/>
      <c r="XI51" s="37"/>
      <c r="XJ51" s="37"/>
      <c r="XK51" s="37"/>
      <c r="XL51" s="37"/>
      <c r="XM51" s="37"/>
      <c r="XN51" s="37"/>
      <c r="XO51" s="37"/>
      <c r="XP51" s="37"/>
      <c r="XQ51" s="37"/>
      <c r="XR51" s="37"/>
      <c r="XS51" s="37"/>
      <c r="XT51" s="37"/>
      <c r="XU51" s="37"/>
      <c r="XV51" s="37"/>
      <c r="XW51" s="37"/>
      <c r="XX51" s="37"/>
      <c r="XY51" s="37"/>
      <c r="XZ51" s="37"/>
      <c r="YA51" s="37"/>
      <c r="YB51" s="37"/>
      <c r="YC51" s="37"/>
      <c r="YD51" s="37"/>
      <c r="YE51" s="37"/>
      <c r="YF51" s="37"/>
      <c r="YG51" s="37"/>
      <c r="YH51" s="37"/>
      <c r="YI51" s="37"/>
      <c r="YJ51" s="37"/>
      <c r="YK51" s="37"/>
      <c r="YL51" s="37"/>
      <c r="YM51" s="37"/>
      <c r="YN51" s="37"/>
      <c r="YO51" s="37"/>
      <c r="YP51" s="37"/>
      <c r="YQ51" s="37"/>
      <c r="YR51" s="37"/>
      <c r="YS51" s="37"/>
      <c r="YT51" s="37"/>
      <c r="YU51" s="37"/>
      <c r="YV51" s="37"/>
      <c r="YW51" s="37"/>
      <c r="YX51" s="37"/>
      <c r="YY51" s="37"/>
      <c r="YZ51" s="37"/>
      <c r="ZA51" s="37"/>
      <c r="ZB51" s="37"/>
      <c r="ZC51" s="37"/>
      <c r="ZD51" s="37"/>
      <c r="ZE51" s="37"/>
      <c r="ZF51" s="37"/>
      <c r="ZG51" s="37"/>
      <c r="ZH51" s="37"/>
      <c r="ZI51" s="37"/>
      <c r="ZJ51" s="37"/>
      <c r="ZK51" s="37"/>
      <c r="ZL51" s="37"/>
      <c r="ZM51" s="37"/>
      <c r="ZN51" s="37"/>
      <c r="ZO51" s="37"/>
      <c r="ZP51" s="37"/>
      <c r="ZQ51" s="37"/>
      <c r="ZR51" s="37"/>
      <c r="ZS51" s="37"/>
      <c r="ZT51" s="37"/>
      <c r="ZU51" s="37"/>
      <c r="ZV51" s="37"/>
      <c r="ZW51" s="37"/>
      <c r="ZX51" s="37"/>
      <c r="ZY51" s="37"/>
      <c r="ZZ51" s="37"/>
      <c r="AAA51" s="37"/>
      <c r="AAB51" s="37"/>
      <c r="AAC51" s="37"/>
      <c r="AAD51" s="37"/>
      <c r="AAE51" s="37"/>
      <c r="AAF51" s="37"/>
      <c r="AAG51" s="37"/>
      <c r="AAH51" s="37"/>
      <c r="AAI51" s="37"/>
      <c r="AAJ51" s="37"/>
      <c r="AAK51" s="37"/>
      <c r="AAL51" s="37"/>
      <c r="AAM51" s="37"/>
      <c r="AAN51" s="37"/>
      <c r="AAO51" s="37"/>
      <c r="AAP51" s="37"/>
      <c r="AAQ51" s="37"/>
      <c r="AAR51" s="37"/>
      <c r="AAS51" s="37"/>
      <c r="AAT51" s="37"/>
      <c r="AAU51" s="37"/>
      <c r="AAV51" s="37"/>
      <c r="AAW51" s="37"/>
      <c r="AAX51" s="37"/>
      <c r="AAY51" s="37"/>
      <c r="AAZ51" s="37"/>
      <c r="ABA51" s="37"/>
      <c r="ABB51" s="37"/>
      <c r="ABC51" s="37"/>
      <c r="ABD51" s="37"/>
      <c r="ABE51" s="37"/>
      <c r="ABF51" s="37"/>
      <c r="ABG51" s="37"/>
      <c r="ABH51" s="37"/>
      <c r="ABI51" s="37"/>
      <c r="ABJ51" s="37"/>
      <c r="ABK51" s="37"/>
      <c r="ABL51" s="37"/>
      <c r="ABM51" s="37"/>
      <c r="ABN51" s="37"/>
      <c r="ABO51" s="37"/>
      <c r="ABP51" s="37"/>
      <c r="ABQ51" s="37"/>
      <c r="ABR51" s="37"/>
      <c r="ABS51" s="37"/>
      <c r="ABT51" s="37"/>
      <c r="ABU51" s="37"/>
      <c r="ABV51" s="37"/>
      <c r="ABW51" s="37"/>
      <c r="ABX51" s="37"/>
      <c r="ABY51" s="37"/>
      <c r="ABZ51" s="37"/>
      <c r="ACA51" s="37"/>
      <c r="ACB51" s="37"/>
      <c r="ACC51" s="37"/>
      <c r="ACD51" s="37"/>
      <c r="ACE51" s="37"/>
      <c r="ACF51" s="37"/>
      <c r="ACG51" s="37"/>
      <c r="ACH51" s="37"/>
      <c r="ACI51" s="37"/>
      <c r="ACJ51" s="37"/>
      <c r="ACK51" s="37"/>
      <c r="ACL51" s="37"/>
      <c r="ACM51" s="37"/>
      <c r="ACN51" s="37"/>
      <c r="ACO51" s="37"/>
      <c r="ACP51" s="37"/>
      <c r="ACQ51" s="37"/>
      <c r="ACR51" s="37"/>
      <c r="ACS51" s="37"/>
      <c r="ACT51" s="37"/>
      <c r="ACU51" s="37"/>
      <c r="ACV51" s="37"/>
      <c r="ACW51" s="37"/>
      <c r="ACX51" s="37"/>
      <c r="ACY51" s="37"/>
      <c r="ACZ51" s="37"/>
      <c r="ADA51" s="37"/>
      <c r="ADB51" s="37"/>
      <c r="ADC51" s="37"/>
      <c r="ADD51" s="37"/>
      <c r="ADE51" s="37"/>
      <c r="ADF51" s="37"/>
      <c r="ADG51" s="37"/>
      <c r="ADH51" s="37"/>
      <c r="ADI51" s="37"/>
      <c r="ADJ51" s="37"/>
      <c r="ADK51" s="37"/>
      <c r="ADL51" s="37"/>
      <c r="ADM51" s="37"/>
      <c r="ADN51" s="37"/>
      <c r="ADO51" s="37"/>
      <c r="ADP51" s="37"/>
      <c r="ADQ51" s="37"/>
      <c r="ADR51" s="37"/>
      <c r="ADS51" s="37"/>
      <c r="ADT51" s="37"/>
      <c r="ADU51" s="37"/>
      <c r="ADV51" s="37"/>
      <c r="ADW51" s="37"/>
      <c r="ADX51" s="37"/>
      <c r="ADY51" s="37"/>
      <c r="ADZ51" s="37"/>
      <c r="AEA51" s="37"/>
      <c r="AEB51" s="37"/>
      <c r="AEC51" s="37"/>
      <c r="AED51" s="37"/>
      <c r="AEE51" s="37"/>
      <c r="AEF51" s="37"/>
      <c r="AEG51" s="37"/>
      <c r="AEH51" s="37"/>
      <c r="AEI51" s="37"/>
      <c r="AEJ51" s="37"/>
      <c r="AEK51" s="37"/>
      <c r="AEL51" s="37"/>
      <c r="AEM51" s="37"/>
      <c r="AEN51" s="37"/>
      <c r="AEO51" s="37"/>
      <c r="AEP51" s="37"/>
      <c r="AEQ51" s="37"/>
      <c r="AER51" s="37"/>
      <c r="AES51" s="37"/>
      <c r="AET51" s="37"/>
      <c r="AEU51" s="37"/>
      <c r="AEV51" s="37"/>
      <c r="AEW51" s="37"/>
      <c r="AEX51" s="37"/>
      <c r="AEY51" s="37"/>
      <c r="AEZ51" s="37"/>
      <c r="AFA51" s="37"/>
      <c r="AFB51" s="37"/>
      <c r="AFC51" s="37"/>
      <c r="AFD51" s="37"/>
      <c r="AFE51" s="37"/>
      <c r="AFF51" s="37"/>
      <c r="AFG51" s="37"/>
      <c r="AFH51" s="37"/>
      <c r="AFI51" s="37"/>
      <c r="AFJ51" s="37"/>
      <c r="AFK51" s="37"/>
      <c r="AFL51" s="37"/>
      <c r="AFM51" s="37"/>
      <c r="AFN51" s="37"/>
      <c r="AFO51" s="37"/>
      <c r="AFP51" s="37"/>
      <c r="AFQ51" s="37"/>
      <c r="AFR51" s="37"/>
      <c r="AFS51" s="37"/>
      <c r="AFT51" s="37"/>
      <c r="AFU51" s="37"/>
      <c r="AFV51" s="37"/>
      <c r="AFW51" s="37"/>
      <c r="AFX51" s="37"/>
      <c r="AFY51" s="37"/>
      <c r="AFZ51" s="37"/>
      <c r="AGA51" s="37"/>
      <c r="AGB51" s="37"/>
      <c r="AGC51" s="37"/>
      <c r="AGD51" s="37"/>
      <c r="AGE51" s="37"/>
      <c r="AGF51" s="37"/>
      <c r="AGG51" s="37"/>
      <c r="AGH51" s="37"/>
      <c r="AGI51" s="37"/>
      <c r="AGJ51" s="37"/>
      <c r="AGK51" s="37"/>
      <c r="AGL51" s="37"/>
      <c r="AGM51" s="37"/>
      <c r="AGN51" s="37"/>
      <c r="AGO51" s="37"/>
      <c r="AGP51" s="37"/>
      <c r="AGQ51" s="37"/>
      <c r="AGR51" s="37"/>
      <c r="AGS51" s="37"/>
      <c r="AGT51" s="37"/>
      <c r="AGU51" s="37"/>
      <c r="AGV51" s="37"/>
      <c r="AGW51" s="37"/>
      <c r="AGX51" s="37"/>
      <c r="AGY51" s="37"/>
      <c r="AGZ51" s="37"/>
      <c r="AHA51" s="37"/>
      <c r="AHB51" s="37"/>
      <c r="AHC51" s="37"/>
      <c r="AHD51" s="37"/>
      <c r="AHE51" s="37"/>
      <c r="AHF51" s="37"/>
      <c r="AHG51" s="37"/>
      <c r="AHH51" s="37"/>
      <c r="AHI51" s="37"/>
      <c r="AHJ51" s="37"/>
      <c r="AHK51" s="37"/>
      <c r="AHL51" s="37"/>
      <c r="AHM51" s="37"/>
      <c r="AHN51" s="37"/>
      <c r="AHO51" s="37"/>
      <c r="AHP51" s="37"/>
      <c r="AHQ51" s="37"/>
      <c r="AHR51" s="37"/>
      <c r="AHS51" s="37"/>
      <c r="AHT51" s="37"/>
      <c r="AHU51" s="37"/>
      <c r="AHV51" s="37"/>
      <c r="AHW51" s="37"/>
      <c r="AHX51" s="37"/>
      <c r="AHY51" s="37"/>
      <c r="AHZ51" s="37"/>
      <c r="AIA51" s="37"/>
      <c r="AIB51" s="37"/>
      <c r="AIC51" s="37"/>
      <c r="AID51" s="37"/>
      <c r="AIE51" s="37"/>
      <c r="AIF51" s="37"/>
      <c r="AIG51" s="37"/>
      <c r="AIH51" s="37"/>
      <c r="AII51" s="37"/>
      <c r="AIJ51" s="37"/>
      <c r="AIK51" s="37"/>
      <c r="AIL51" s="37"/>
      <c r="AIM51" s="37"/>
      <c r="AIN51" s="37"/>
      <c r="AIO51" s="37"/>
      <c r="AIP51" s="37"/>
      <c r="AIQ51" s="37"/>
      <c r="AIR51" s="37"/>
      <c r="AIS51" s="37"/>
      <c r="AIT51" s="37"/>
      <c r="AIU51" s="37"/>
      <c r="AIV51" s="37"/>
      <c r="AIW51" s="37"/>
      <c r="AIX51" s="37"/>
      <c r="AIY51" s="37"/>
      <c r="AIZ51" s="37"/>
      <c r="AJA51" s="37"/>
      <c r="AJB51" s="37"/>
      <c r="AJC51" s="37"/>
      <c r="AJD51" s="37"/>
      <c r="AJE51" s="37"/>
      <c r="AJF51" s="37"/>
      <c r="AJG51" s="37"/>
      <c r="AJH51" s="37"/>
      <c r="AJI51" s="37"/>
      <c r="AJJ51" s="37"/>
      <c r="AJK51" s="37"/>
      <c r="AJL51" s="37"/>
      <c r="AJM51" s="37"/>
      <c r="AJN51" s="37"/>
      <c r="AJO51" s="37"/>
      <c r="AJP51" s="37"/>
      <c r="AJQ51" s="37"/>
      <c r="AJR51" s="37"/>
      <c r="AJS51" s="37"/>
      <c r="AJT51" s="37"/>
      <c r="AJU51" s="37"/>
      <c r="AJV51" s="37"/>
      <c r="AJW51" s="37"/>
      <c r="AJX51" s="37"/>
      <c r="AJY51" s="37"/>
      <c r="AJZ51" s="37"/>
      <c r="AKA51" s="37"/>
      <c r="AKB51" s="37"/>
      <c r="AKC51" s="37"/>
      <c r="AKD51" s="37"/>
      <c r="AKE51" s="37"/>
      <c r="AKF51" s="37"/>
      <c r="AKG51" s="37"/>
      <c r="AKH51" s="37"/>
      <c r="AKI51" s="37"/>
      <c r="AKJ51" s="37"/>
      <c r="AKK51" s="37"/>
      <c r="AKL51" s="37"/>
      <c r="AKM51" s="37"/>
      <c r="AKN51" s="37"/>
      <c r="AKO51" s="37"/>
      <c r="AKP51" s="37"/>
      <c r="AKQ51" s="37"/>
      <c r="AKR51" s="37"/>
      <c r="AKS51" s="37"/>
      <c r="AKT51" s="37"/>
      <c r="AKU51" s="37"/>
      <c r="AKV51" s="37"/>
      <c r="AKW51" s="37"/>
      <c r="AKX51" s="37"/>
      <c r="AKY51" s="37"/>
      <c r="AKZ51" s="37"/>
      <c r="ALA51" s="37"/>
      <c r="ALB51" s="37"/>
      <c r="ALC51" s="37"/>
      <c r="ALD51" s="37"/>
      <c r="ALE51" s="37"/>
      <c r="ALF51" s="37"/>
      <c r="ALG51" s="37"/>
      <c r="ALH51" s="37"/>
      <c r="ALI51" s="37"/>
      <c r="ALJ51" s="37"/>
      <c r="ALK51" s="37"/>
      <c r="ALL51" s="37"/>
      <c r="ALM51" s="37"/>
      <c r="ALN51" s="37"/>
      <c r="ALO51" s="37"/>
      <c r="ALP51" s="37"/>
      <c r="ALQ51" s="37"/>
      <c r="ALR51" s="37"/>
    </row>
    <row r="52" spans="2:1006" x14ac:dyDescent="0.35">
      <c r="F52" s="21" t="s">
        <v>100</v>
      </c>
      <c r="G52" s="21" t="s">
        <v>109</v>
      </c>
      <c r="H52" s="21" t="s">
        <v>129</v>
      </c>
    </row>
    <row r="53" spans="2:1006" x14ac:dyDescent="0.35">
      <c r="C53" s="20" t="s">
        <v>145</v>
      </c>
      <c r="F53" s="21"/>
      <c r="G53" s="21"/>
      <c r="H53" s="21"/>
    </row>
    <row r="54" spans="2:1006" x14ac:dyDescent="0.35">
      <c r="D54" s="20" t="s">
        <v>110</v>
      </c>
      <c r="F54" s="74">
        <f>Scenario!E16</f>
        <v>190</v>
      </c>
      <c r="G54" s="20">
        <f t="shared" ref="G54:G61" si="3">$F$20</f>
        <v>6000</v>
      </c>
      <c r="H54" s="23">
        <f t="shared" ref="H54:H61" si="4">F54*G54</f>
        <v>1140000</v>
      </c>
    </row>
    <row r="55" spans="2:1006" x14ac:dyDescent="0.35">
      <c r="D55" s="20" t="s">
        <v>144</v>
      </c>
      <c r="F55" s="69">
        <v>340</v>
      </c>
      <c r="G55" s="20">
        <f t="shared" si="3"/>
        <v>6000</v>
      </c>
      <c r="H55" s="23">
        <f t="shared" si="4"/>
        <v>2040000</v>
      </c>
    </row>
    <row r="56" spans="2:1006" x14ac:dyDescent="0.35">
      <c r="D56" s="20" t="s">
        <v>146</v>
      </c>
      <c r="F56" s="74">
        <f>Scenario!F16</f>
        <v>100</v>
      </c>
      <c r="G56" s="20">
        <f t="shared" si="3"/>
        <v>6000</v>
      </c>
      <c r="H56" s="23">
        <f t="shared" si="4"/>
        <v>600000</v>
      </c>
    </row>
    <row r="57" spans="2:1006" x14ac:dyDescent="0.35">
      <c r="D57" s="20" t="s">
        <v>112</v>
      </c>
      <c r="F57" s="69">
        <v>30</v>
      </c>
      <c r="G57" s="20">
        <f t="shared" si="3"/>
        <v>6000</v>
      </c>
      <c r="H57" s="23">
        <f t="shared" si="4"/>
        <v>180000</v>
      </c>
    </row>
    <row r="58" spans="2:1006" x14ac:dyDescent="0.35">
      <c r="D58" s="20" t="s">
        <v>113</v>
      </c>
      <c r="F58" s="69">
        <v>0</v>
      </c>
      <c r="G58" s="20">
        <f t="shared" si="3"/>
        <v>6000</v>
      </c>
      <c r="H58" s="23">
        <f t="shared" si="4"/>
        <v>0</v>
      </c>
    </row>
    <row r="59" spans="2:1006" x14ac:dyDescent="0.35">
      <c r="D59" s="20" t="s">
        <v>199</v>
      </c>
      <c r="F59" s="69">
        <v>0</v>
      </c>
      <c r="G59" s="20">
        <f t="shared" si="3"/>
        <v>6000</v>
      </c>
      <c r="H59" s="23">
        <f t="shared" si="4"/>
        <v>0</v>
      </c>
    </row>
    <row r="60" spans="2:1006" x14ac:dyDescent="0.35">
      <c r="D60" s="20" t="s">
        <v>114</v>
      </c>
      <c r="F60" s="69">
        <v>80</v>
      </c>
      <c r="G60" s="20">
        <f t="shared" si="3"/>
        <v>6000</v>
      </c>
      <c r="H60" s="23">
        <f t="shared" si="4"/>
        <v>480000</v>
      </c>
    </row>
    <row r="61" spans="2:1006" ht="15" thickBot="1" x14ac:dyDescent="0.4">
      <c r="D61" s="39" t="s">
        <v>115</v>
      </c>
      <c r="E61" s="39"/>
      <c r="F61" s="75">
        <f>SUM(F54:F60)</f>
        <v>740</v>
      </c>
      <c r="G61" s="39">
        <f t="shared" si="3"/>
        <v>6000</v>
      </c>
      <c r="H61" s="44">
        <f t="shared" si="4"/>
        <v>4440000</v>
      </c>
    </row>
    <row r="62" spans="2:1006" x14ac:dyDescent="0.35">
      <c r="F62" s="43"/>
    </row>
    <row r="63" spans="2:1006" x14ac:dyDescent="0.35">
      <c r="C63" s="20" t="s">
        <v>99</v>
      </c>
      <c r="F63" s="43"/>
    </row>
    <row r="64" spans="2:1006" x14ac:dyDescent="0.35">
      <c r="D64" s="20" t="s">
        <v>130</v>
      </c>
      <c r="F64" s="69">
        <v>15</v>
      </c>
      <c r="G64" s="20">
        <f>$F$20</f>
        <v>6000</v>
      </c>
      <c r="H64" s="20">
        <f>F64*G64</f>
        <v>90000</v>
      </c>
    </row>
    <row r="65" spans="2:1006" x14ac:dyDescent="0.35">
      <c r="D65" s="20" t="s">
        <v>131</v>
      </c>
      <c r="F65" s="69">
        <v>5</v>
      </c>
      <c r="G65" s="20">
        <f>$F$20</f>
        <v>6000</v>
      </c>
      <c r="H65" s="20">
        <f>F65*G65</f>
        <v>30000</v>
      </c>
    </row>
    <row r="66" spans="2:1006" x14ac:dyDescent="0.35">
      <c r="D66" s="20" t="s">
        <v>132</v>
      </c>
      <c r="F66" s="69">
        <v>3</v>
      </c>
      <c r="G66" s="20">
        <f>$F$20</f>
        <v>6000</v>
      </c>
      <c r="H66" s="20">
        <f>F66*G66</f>
        <v>18000</v>
      </c>
    </row>
    <row r="67" spans="2:1006" x14ac:dyDescent="0.35">
      <c r="D67" s="20" t="s">
        <v>133</v>
      </c>
      <c r="F67" s="69">
        <v>4</v>
      </c>
      <c r="G67" s="20">
        <f>$F$20</f>
        <v>6000</v>
      </c>
      <c r="H67" s="20">
        <f>F67*G67</f>
        <v>24000</v>
      </c>
    </row>
    <row r="68" spans="2:1006" ht="15" thickBot="1" x14ac:dyDescent="0.4">
      <c r="D68" s="39" t="s">
        <v>134</v>
      </c>
      <c r="E68" s="39"/>
      <c r="F68" s="75">
        <f>SUM(F64:F67)</f>
        <v>27</v>
      </c>
      <c r="G68" s="39">
        <f>$F$20</f>
        <v>6000</v>
      </c>
      <c r="H68" s="39">
        <f>SUM(H64:H67)</f>
        <v>162000</v>
      </c>
    </row>
    <row r="71" spans="2:1006" x14ac:dyDescent="0.35">
      <c r="B71" s="37" t="s">
        <v>126</v>
      </c>
      <c r="C71" s="37"/>
      <c r="D71" s="37"/>
      <c r="E71" s="37"/>
      <c r="F71" s="71" t="s">
        <v>127</v>
      </c>
      <c r="G71" s="71" t="s">
        <v>128</v>
      </c>
      <c r="H71" s="37" t="s">
        <v>205</v>
      </c>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c r="AV71" s="37"/>
      <c r="AW71" s="37"/>
      <c r="AX71" s="37"/>
      <c r="AY71" s="37"/>
      <c r="AZ71" s="37"/>
      <c r="BA71" s="37"/>
      <c r="BB71" s="37"/>
      <c r="BC71" s="37"/>
      <c r="BD71" s="37"/>
      <c r="BE71" s="37"/>
      <c r="BF71" s="37"/>
      <c r="BG71" s="37"/>
      <c r="BH71" s="37"/>
      <c r="BI71" s="37"/>
      <c r="BJ71" s="37"/>
      <c r="BK71" s="37"/>
      <c r="BL71" s="37"/>
      <c r="BM71" s="37"/>
      <c r="BN71" s="37"/>
      <c r="BO71" s="37"/>
      <c r="BP71" s="37"/>
      <c r="BQ71" s="37"/>
      <c r="BR71" s="37"/>
      <c r="BS71" s="37"/>
      <c r="BT71" s="37"/>
      <c r="BU71" s="37"/>
      <c r="BV71" s="37"/>
      <c r="BW71" s="37"/>
      <c r="BX71" s="37"/>
      <c r="BY71" s="37"/>
      <c r="BZ71" s="37"/>
      <c r="CA71" s="37"/>
      <c r="CB71" s="37"/>
      <c r="CC71" s="37"/>
      <c r="CD71" s="37"/>
      <c r="CE71" s="37"/>
      <c r="CF71" s="37"/>
      <c r="CG71" s="37"/>
      <c r="CH71" s="37"/>
      <c r="CI71" s="37"/>
      <c r="CJ71" s="37"/>
      <c r="CK71" s="37"/>
      <c r="CL71" s="37"/>
      <c r="CM71" s="37"/>
      <c r="CN71" s="37"/>
      <c r="CO71" s="37"/>
      <c r="CP71" s="37"/>
      <c r="CQ71" s="37"/>
      <c r="CR71" s="37"/>
      <c r="CS71" s="37"/>
      <c r="CT71" s="37"/>
      <c r="CU71" s="37"/>
      <c r="CV71" s="37"/>
      <c r="CW71" s="37"/>
      <c r="CX71" s="37"/>
      <c r="CY71" s="37"/>
      <c r="CZ71" s="37"/>
      <c r="DA71" s="37"/>
      <c r="DB71" s="37"/>
      <c r="DC71" s="37"/>
      <c r="DD71" s="37"/>
      <c r="DE71" s="37"/>
      <c r="DF71" s="37"/>
      <c r="DG71" s="37"/>
      <c r="DH71" s="37"/>
      <c r="DI71" s="37"/>
      <c r="DJ71" s="37"/>
      <c r="DK71" s="37"/>
      <c r="DL71" s="37"/>
      <c r="DM71" s="37"/>
      <c r="DN71" s="37"/>
      <c r="DO71" s="37"/>
      <c r="DP71" s="37"/>
      <c r="DQ71" s="37"/>
      <c r="DR71" s="37"/>
      <c r="DS71" s="37"/>
      <c r="DT71" s="37"/>
      <c r="DU71" s="37"/>
      <c r="DV71" s="37"/>
      <c r="DW71" s="37"/>
      <c r="DX71" s="37"/>
      <c r="DY71" s="37"/>
      <c r="DZ71" s="37"/>
      <c r="EA71" s="37"/>
      <c r="EB71" s="37"/>
      <c r="EC71" s="37"/>
      <c r="ED71" s="37"/>
      <c r="EE71" s="37"/>
      <c r="EF71" s="37"/>
      <c r="EG71" s="37"/>
      <c r="EH71" s="37"/>
      <c r="EI71" s="37"/>
      <c r="EJ71" s="37"/>
      <c r="EK71" s="37"/>
      <c r="EL71" s="37"/>
      <c r="EM71" s="37"/>
      <c r="EN71" s="37"/>
      <c r="EO71" s="37"/>
      <c r="EP71" s="37"/>
      <c r="EQ71" s="37"/>
      <c r="ER71" s="37"/>
      <c r="ES71" s="37"/>
      <c r="ET71" s="37"/>
      <c r="EU71" s="37"/>
      <c r="EV71" s="37"/>
      <c r="EW71" s="37"/>
      <c r="EX71" s="37"/>
      <c r="EY71" s="37"/>
      <c r="EZ71" s="37"/>
      <c r="FA71" s="37"/>
      <c r="FB71" s="37"/>
      <c r="FC71" s="37"/>
      <c r="FD71" s="37"/>
      <c r="FE71" s="37"/>
      <c r="FF71" s="37"/>
      <c r="FG71" s="37"/>
      <c r="FH71" s="37"/>
      <c r="FI71" s="37"/>
      <c r="FJ71" s="37"/>
      <c r="FK71" s="37"/>
      <c r="FL71" s="37"/>
      <c r="FM71" s="37"/>
      <c r="FN71" s="37"/>
      <c r="FO71" s="37"/>
      <c r="FP71" s="37"/>
      <c r="FQ71" s="37"/>
      <c r="FR71" s="37"/>
      <c r="FS71" s="37"/>
      <c r="FT71" s="37"/>
      <c r="FU71" s="37"/>
      <c r="FV71" s="37"/>
      <c r="FW71" s="37"/>
      <c r="FX71" s="37"/>
      <c r="FY71" s="37"/>
      <c r="FZ71" s="37"/>
      <c r="GA71" s="37"/>
      <c r="GB71" s="37"/>
      <c r="GC71" s="37"/>
      <c r="GD71" s="37"/>
      <c r="GE71" s="37"/>
      <c r="GF71" s="37"/>
      <c r="GG71" s="37"/>
      <c r="GH71" s="37"/>
      <c r="GI71" s="37"/>
      <c r="GJ71" s="37"/>
      <c r="GK71" s="37"/>
      <c r="GL71" s="37"/>
      <c r="GM71" s="37"/>
      <c r="GN71" s="37"/>
      <c r="GO71" s="37"/>
      <c r="GP71" s="37"/>
      <c r="GQ71" s="37"/>
      <c r="GR71" s="37"/>
      <c r="GS71" s="37"/>
      <c r="GT71" s="37"/>
      <c r="GU71" s="37"/>
      <c r="GV71" s="37"/>
      <c r="GW71" s="37"/>
      <c r="GX71" s="37"/>
      <c r="GY71" s="37"/>
      <c r="GZ71" s="37"/>
      <c r="HA71" s="37"/>
      <c r="HB71" s="37"/>
      <c r="HC71" s="37"/>
      <c r="HD71" s="37"/>
      <c r="HE71" s="37"/>
      <c r="HF71" s="37"/>
      <c r="HG71" s="37"/>
      <c r="HH71" s="37"/>
      <c r="HI71" s="37"/>
      <c r="HJ71" s="37"/>
      <c r="HK71" s="37"/>
      <c r="HL71" s="37"/>
      <c r="HM71" s="37"/>
      <c r="HN71" s="37"/>
      <c r="HO71" s="37"/>
      <c r="HP71" s="37"/>
      <c r="HQ71" s="37"/>
      <c r="HR71" s="37"/>
      <c r="HS71" s="37"/>
      <c r="HT71" s="37"/>
      <c r="HU71" s="37"/>
      <c r="HV71" s="37"/>
      <c r="HW71" s="37"/>
      <c r="HX71" s="37"/>
      <c r="HY71" s="37"/>
      <c r="HZ71" s="37"/>
      <c r="IA71" s="37"/>
      <c r="IB71" s="37"/>
      <c r="IC71" s="37"/>
      <c r="ID71" s="37"/>
      <c r="IE71" s="37"/>
      <c r="IF71" s="37"/>
      <c r="IG71" s="37"/>
      <c r="IH71" s="37"/>
      <c r="II71" s="37"/>
      <c r="IJ71" s="37"/>
      <c r="IK71" s="37"/>
      <c r="IL71" s="37"/>
      <c r="IM71" s="37"/>
      <c r="IN71" s="37"/>
      <c r="IO71" s="37"/>
      <c r="IP71" s="37"/>
      <c r="IQ71" s="37"/>
      <c r="IR71" s="37"/>
      <c r="IS71" s="37"/>
      <c r="IT71" s="37"/>
      <c r="IU71" s="37"/>
      <c r="IV71" s="37"/>
      <c r="IW71" s="37"/>
      <c r="IX71" s="37"/>
      <c r="IY71" s="37"/>
      <c r="IZ71" s="37"/>
      <c r="JA71" s="37"/>
      <c r="JB71" s="37"/>
      <c r="JC71" s="37"/>
      <c r="JD71" s="37"/>
      <c r="JE71" s="37"/>
      <c r="JF71" s="37"/>
      <c r="JG71" s="37"/>
      <c r="JH71" s="37"/>
      <c r="JI71" s="37"/>
      <c r="JJ71" s="37"/>
      <c r="JK71" s="37"/>
      <c r="JL71" s="37"/>
      <c r="JM71" s="37"/>
      <c r="JN71" s="37"/>
      <c r="JO71" s="37"/>
      <c r="JP71" s="37"/>
      <c r="JQ71" s="37"/>
      <c r="JR71" s="37"/>
      <c r="JS71" s="37"/>
      <c r="JT71" s="37"/>
      <c r="JU71" s="37"/>
      <c r="JV71" s="37"/>
      <c r="JW71" s="37"/>
      <c r="JX71" s="37"/>
      <c r="JY71" s="37"/>
      <c r="JZ71" s="37"/>
      <c r="KA71" s="37"/>
      <c r="KB71" s="37"/>
      <c r="KC71" s="37"/>
      <c r="KD71" s="37"/>
      <c r="KE71" s="37"/>
      <c r="KF71" s="37"/>
      <c r="KG71" s="37"/>
      <c r="KH71" s="37"/>
      <c r="KI71" s="37"/>
      <c r="KJ71" s="37"/>
      <c r="KK71" s="37"/>
      <c r="KL71" s="37"/>
      <c r="KM71" s="37"/>
      <c r="KN71" s="37"/>
      <c r="KO71" s="37"/>
      <c r="KP71" s="37"/>
      <c r="KQ71" s="37"/>
      <c r="KR71" s="37"/>
      <c r="KS71" s="37"/>
      <c r="KT71" s="37"/>
      <c r="KU71" s="37"/>
      <c r="KV71" s="37"/>
      <c r="KW71" s="37"/>
      <c r="KX71" s="37"/>
      <c r="KY71" s="37"/>
      <c r="KZ71" s="37"/>
      <c r="LA71" s="37"/>
      <c r="LB71" s="37"/>
      <c r="LC71" s="37"/>
      <c r="LD71" s="37"/>
      <c r="LE71" s="37"/>
      <c r="LF71" s="37"/>
      <c r="LG71" s="37"/>
      <c r="LH71" s="37"/>
      <c r="LI71" s="37"/>
      <c r="LJ71" s="37"/>
      <c r="LK71" s="37"/>
      <c r="LL71" s="37"/>
      <c r="LM71" s="37"/>
      <c r="LN71" s="37"/>
      <c r="LO71" s="37"/>
      <c r="LP71" s="37"/>
      <c r="LQ71" s="37"/>
      <c r="LR71" s="37"/>
      <c r="LS71" s="37"/>
      <c r="LT71" s="37"/>
      <c r="LU71" s="37"/>
      <c r="LV71" s="37"/>
      <c r="LW71" s="37"/>
      <c r="LX71" s="37"/>
      <c r="LY71" s="37"/>
      <c r="LZ71" s="37"/>
      <c r="MA71" s="37"/>
      <c r="MB71" s="37"/>
      <c r="MC71" s="37"/>
      <c r="MD71" s="37"/>
      <c r="ME71" s="37"/>
      <c r="MF71" s="37"/>
      <c r="MG71" s="37"/>
      <c r="MH71" s="37"/>
      <c r="MI71" s="37"/>
      <c r="MJ71" s="37"/>
      <c r="MK71" s="37"/>
      <c r="ML71" s="37"/>
      <c r="MM71" s="37"/>
      <c r="MN71" s="37"/>
      <c r="MO71" s="37"/>
      <c r="MP71" s="37"/>
      <c r="MQ71" s="37"/>
      <c r="MR71" s="37"/>
      <c r="MS71" s="37"/>
      <c r="MT71" s="37"/>
      <c r="MU71" s="37"/>
      <c r="MV71" s="37"/>
      <c r="MW71" s="37"/>
      <c r="MX71" s="37"/>
      <c r="MY71" s="37"/>
      <c r="MZ71" s="37"/>
      <c r="NA71" s="37"/>
      <c r="NB71" s="37"/>
      <c r="NC71" s="37"/>
      <c r="ND71" s="37"/>
      <c r="NE71" s="37"/>
      <c r="NF71" s="37"/>
      <c r="NG71" s="37"/>
      <c r="NH71" s="37"/>
      <c r="NI71" s="37"/>
      <c r="NJ71" s="37"/>
      <c r="NK71" s="37"/>
      <c r="NL71" s="37"/>
      <c r="NM71" s="37"/>
      <c r="NN71" s="37"/>
      <c r="NO71" s="37"/>
      <c r="NP71" s="37"/>
      <c r="NQ71" s="37"/>
      <c r="NR71" s="37"/>
      <c r="NS71" s="37"/>
      <c r="NT71" s="37"/>
      <c r="NU71" s="37"/>
      <c r="NV71" s="37"/>
      <c r="NW71" s="37"/>
      <c r="NX71" s="37"/>
      <c r="NY71" s="37"/>
      <c r="NZ71" s="37"/>
      <c r="OA71" s="37"/>
      <c r="OB71" s="37"/>
      <c r="OC71" s="37"/>
      <c r="OD71" s="37"/>
      <c r="OE71" s="37"/>
      <c r="OF71" s="37"/>
      <c r="OG71" s="37"/>
      <c r="OH71" s="37"/>
      <c r="OI71" s="37"/>
      <c r="OJ71" s="37"/>
      <c r="OK71" s="37"/>
      <c r="OL71" s="37"/>
      <c r="OM71" s="37"/>
      <c r="ON71" s="37"/>
      <c r="OO71" s="37"/>
      <c r="OP71" s="37"/>
      <c r="OQ71" s="37"/>
      <c r="OR71" s="37"/>
      <c r="OS71" s="37"/>
      <c r="OT71" s="37"/>
      <c r="OU71" s="37"/>
      <c r="OV71" s="37"/>
      <c r="OW71" s="37"/>
      <c r="OX71" s="37"/>
      <c r="OY71" s="37"/>
      <c r="OZ71" s="37"/>
      <c r="PA71" s="37"/>
      <c r="PB71" s="37"/>
      <c r="PC71" s="37"/>
      <c r="PD71" s="37"/>
      <c r="PE71" s="37"/>
      <c r="PF71" s="37"/>
      <c r="PG71" s="37"/>
      <c r="PH71" s="37"/>
      <c r="PI71" s="37"/>
      <c r="PJ71" s="37"/>
      <c r="PK71" s="37"/>
      <c r="PL71" s="37"/>
      <c r="PM71" s="37"/>
      <c r="PN71" s="37"/>
      <c r="PO71" s="37"/>
      <c r="PP71" s="37"/>
      <c r="PQ71" s="37"/>
      <c r="PR71" s="37"/>
      <c r="PS71" s="37"/>
      <c r="PT71" s="37"/>
      <c r="PU71" s="37"/>
      <c r="PV71" s="37"/>
      <c r="PW71" s="37"/>
      <c r="PX71" s="37"/>
      <c r="PY71" s="37"/>
      <c r="PZ71" s="37"/>
      <c r="QA71" s="37"/>
      <c r="QB71" s="37"/>
      <c r="QC71" s="37"/>
      <c r="QD71" s="37"/>
      <c r="QE71" s="37"/>
      <c r="QF71" s="37"/>
      <c r="QG71" s="37"/>
      <c r="QH71" s="37"/>
      <c r="QI71" s="37"/>
      <c r="QJ71" s="37"/>
      <c r="QK71" s="37"/>
      <c r="QL71" s="37"/>
      <c r="QM71" s="37"/>
      <c r="QN71" s="37"/>
      <c r="QO71" s="37"/>
      <c r="QP71" s="37"/>
      <c r="QQ71" s="37"/>
      <c r="QR71" s="37"/>
      <c r="QS71" s="37"/>
      <c r="QT71" s="37"/>
      <c r="QU71" s="37"/>
      <c r="QV71" s="37"/>
      <c r="QW71" s="37"/>
      <c r="QX71" s="37"/>
      <c r="QY71" s="37"/>
      <c r="QZ71" s="37"/>
      <c r="RA71" s="37"/>
      <c r="RB71" s="37"/>
      <c r="RC71" s="37"/>
      <c r="RD71" s="37"/>
      <c r="RE71" s="37"/>
      <c r="RF71" s="37"/>
      <c r="RG71" s="37"/>
      <c r="RH71" s="37"/>
      <c r="RI71" s="37"/>
      <c r="RJ71" s="37"/>
      <c r="RK71" s="37"/>
      <c r="RL71" s="37"/>
      <c r="RM71" s="37"/>
      <c r="RN71" s="37"/>
      <c r="RO71" s="37"/>
      <c r="RP71" s="37"/>
      <c r="RQ71" s="37"/>
      <c r="RR71" s="37"/>
      <c r="RS71" s="37"/>
      <c r="RT71" s="37"/>
      <c r="RU71" s="37"/>
      <c r="RV71" s="37"/>
      <c r="RW71" s="37"/>
      <c r="RX71" s="37"/>
      <c r="RY71" s="37"/>
      <c r="RZ71" s="37"/>
      <c r="SA71" s="37"/>
      <c r="SB71" s="37"/>
      <c r="SC71" s="37"/>
      <c r="SD71" s="37"/>
      <c r="SE71" s="37"/>
      <c r="SF71" s="37"/>
      <c r="SG71" s="37"/>
      <c r="SH71" s="37"/>
      <c r="SI71" s="37"/>
      <c r="SJ71" s="37"/>
      <c r="SK71" s="37"/>
      <c r="SL71" s="37"/>
      <c r="SM71" s="37"/>
      <c r="SN71" s="37"/>
      <c r="SO71" s="37"/>
      <c r="SP71" s="37"/>
      <c r="SQ71" s="37"/>
      <c r="SR71" s="37"/>
      <c r="SS71" s="37"/>
      <c r="ST71" s="37"/>
      <c r="SU71" s="37"/>
      <c r="SV71" s="37"/>
      <c r="SW71" s="37"/>
      <c r="SX71" s="37"/>
      <c r="SY71" s="37"/>
      <c r="SZ71" s="37"/>
      <c r="TA71" s="37"/>
      <c r="TB71" s="37"/>
      <c r="TC71" s="37"/>
      <c r="TD71" s="37"/>
      <c r="TE71" s="37"/>
      <c r="TF71" s="37"/>
      <c r="TG71" s="37"/>
      <c r="TH71" s="37"/>
      <c r="TI71" s="37"/>
      <c r="TJ71" s="37"/>
      <c r="TK71" s="37"/>
      <c r="TL71" s="37"/>
      <c r="TM71" s="37"/>
      <c r="TN71" s="37"/>
      <c r="TO71" s="37"/>
      <c r="TP71" s="37"/>
      <c r="TQ71" s="37"/>
      <c r="TR71" s="37"/>
      <c r="TS71" s="37"/>
      <c r="TT71" s="37"/>
      <c r="TU71" s="37"/>
      <c r="TV71" s="37"/>
      <c r="TW71" s="37"/>
      <c r="TX71" s="37"/>
      <c r="TY71" s="37"/>
      <c r="TZ71" s="37"/>
      <c r="UA71" s="37"/>
      <c r="UB71" s="37"/>
      <c r="UC71" s="37"/>
      <c r="UD71" s="37"/>
      <c r="UE71" s="37"/>
      <c r="UF71" s="37"/>
      <c r="UG71" s="37"/>
      <c r="UH71" s="37"/>
      <c r="UI71" s="37"/>
      <c r="UJ71" s="37"/>
      <c r="UK71" s="37"/>
      <c r="UL71" s="37"/>
      <c r="UM71" s="37"/>
      <c r="UN71" s="37"/>
      <c r="UO71" s="37"/>
      <c r="UP71" s="37"/>
      <c r="UQ71" s="37"/>
      <c r="UR71" s="37"/>
      <c r="US71" s="37"/>
      <c r="UT71" s="37"/>
      <c r="UU71" s="37"/>
      <c r="UV71" s="37"/>
      <c r="UW71" s="37"/>
      <c r="UX71" s="37"/>
      <c r="UY71" s="37"/>
      <c r="UZ71" s="37"/>
      <c r="VA71" s="37"/>
      <c r="VB71" s="37"/>
      <c r="VC71" s="37"/>
      <c r="VD71" s="37"/>
      <c r="VE71" s="37"/>
      <c r="VF71" s="37"/>
      <c r="VG71" s="37"/>
      <c r="VH71" s="37"/>
      <c r="VI71" s="37"/>
      <c r="VJ71" s="37"/>
      <c r="VK71" s="37"/>
      <c r="VL71" s="37"/>
      <c r="VM71" s="37"/>
      <c r="VN71" s="37"/>
      <c r="VO71" s="37"/>
      <c r="VP71" s="37"/>
      <c r="VQ71" s="37"/>
      <c r="VR71" s="37"/>
      <c r="VS71" s="37"/>
      <c r="VT71" s="37"/>
      <c r="VU71" s="37"/>
      <c r="VV71" s="37"/>
      <c r="VW71" s="37"/>
      <c r="VX71" s="37"/>
      <c r="VY71" s="37"/>
      <c r="VZ71" s="37"/>
      <c r="WA71" s="37"/>
      <c r="WB71" s="37"/>
      <c r="WC71" s="37"/>
      <c r="WD71" s="37"/>
      <c r="WE71" s="37"/>
      <c r="WF71" s="37"/>
      <c r="WG71" s="37"/>
      <c r="WH71" s="37"/>
      <c r="WI71" s="37"/>
      <c r="WJ71" s="37"/>
      <c r="WK71" s="37"/>
      <c r="WL71" s="37"/>
      <c r="WM71" s="37"/>
      <c r="WN71" s="37"/>
      <c r="WO71" s="37"/>
      <c r="WP71" s="37"/>
      <c r="WQ71" s="37"/>
      <c r="WR71" s="37"/>
      <c r="WS71" s="37"/>
      <c r="WT71" s="37"/>
      <c r="WU71" s="37"/>
      <c r="WV71" s="37"/>
      <c r="WW71" s="37"/>
      <c r="WX71" s="37"/>
      <c r="WY71" s="37"/>
      <c r="WZ71" s="37"/>
      <c r="XA71" s="37"/>
      <c r="XB71" s="37"/>
      <c r="XC71" s="37"/>
      <c r="XD71" s="37"/>
      <c r="XE71" s="37"/>
      <c r="XF71" s="37"/>
      <c r="XG71" s="37"/>
      <c r="XH71" s="37"/>
      <c r="XI71" s="37"/>
      <c r="XJ71" s="37"/>
      <c r="XK71" s="37"/>
      <c r="XL71" s="37"/>
      <c r="XM71" s="37"/>
      <c r="XN71" s="37"/>
      <c r="XO71" s="37"/>
      <c r="XP71" s="37"/>
      <c r="XQ71" s="37"/>
      <c r="XR71" s="37"/>
      <c r="XS71" s="37"/>
      <c r="XT71" s="37"/>
      <c r="XU71" s="37"/>
      <c r="XV71" s="37"/>
      <c r="XW71" s="37"/>
      <c r="XX71" s="37"/>
      <c r="XY71" s="37"/>
      <c r="XZ71" s="37"/>
      <c r="YA71" s="37"/>
      <c r="YB71" s="37"/>
      <c r="YC71" s="37"/>
      <c r="YD71" s="37"/>
      <c r="YE71" s="37"/>
      <c r="YF71" s="37"/>
      <c r="YG71" s="37"/>
      <c r="YH71" s="37"/>
      <c r="YI71" s="37"/>
      <c r="YJ71" s="37"/>
      <c r="YK71" s="37"/>
      <c r="YL71" s="37"/>
      <c r="YM71" s="37"/>
      <c r="YN71" s="37"/>
      <c r="YO71" s="37"/>
      <c r="YP71" s="37"/>
      <c r="YQ71" s="37"/>
      <c r="YR71" s="37"/>
      <c r="YS71" s="37"/>
      <c r="YT71" s="37"/>
      <c r="YU71" s="37"/>
      <c r="YV71" s="37"/>
      <c r="YW71" s="37"/>
      <c r="YX71" s="37"/>
      <c r="YY71" s="37"/>
      <c r="YZ71" s="37"/>
      <c r="ZA71" s="37"/>
      <c r="ZB71" s="37"/>
      <c r="ZC71" s="37"/>
      <c r="ZD71" s="37"/>
      <c r="ZE71" s="37"/>
      <c r="ZF71" s="37"/>
      <c r="ZG71" s="37"/>
      <c r="ZH71" s="37"/>
      <c r="ZI71" s="37"/>
      <c r="ZJ71" s="37"/>
      <c r="ZK71" s="37"/>
      <c r="ZL71" s="37"/>
      <c r="ZM71" s="37"/>
      <c r="ZN71" s="37"/>
      <c r="ZO71" s="37"/>
      <c r="ZP71" s="37"/>
      <c r="ZQ71" s="37"/>
      <c r="ZR71" s="37"/>
      <c r="ZS71" s="37"/>
      <c r="ZT71" s="37"/>
      <c r="ZU71" s="37"/>
      <c r="ZV71" s="37"/>
      <c r="ZW71" s="37"/>
      <c r="ZX71" s="37"/>
      <c r="ZY71" s="37"/>
      <c r="ZZ71" s="37"/>
      <c r="AAA71" s="37"/>
      <c r="AAB71" s="37"/>
      <c r="AAC71" s="37"/>
      <c r="AAD71" s="37"/>
      <c r="AAE71" s="37"/>
      <c r="AAF71" s="37"/>
      <c r="AAG71" s="37"/>
      <c r="AAH71" s="37"/>
      <c r="AAI71" s="37"/>
      <c r="AAJ71" s="37"/>
      <c r="AAK71" s="37"/>
      <c r="AAL71" s="37"/>
      <c r="AAM71" s="37"/>
      <c r="AAN71" s="37"/>
      <c r="AAO71" s="37"/>
      <c r="AAP71" s="37"/>
      <c r="AAQ71" s="37"/>
      <c r="AAR71" s="37"/>
      <c r="AAS71" s="37"/>
      <c r="AAT71" s="37"/>
      <c r="AAU71" s="37"/>
      <c r="AAV71" s="37"/>
      <c r="AAW71" s="37"/>
      <c r="AAX71" s="37"/>
      <c r="AAY71" s="37"/>
      <c r="AAZ71" s="37"/>
      <c r="ABA71" s="37"/>
      <c r="ABB71" s="37"/>
      <c r="ABC71" s="37"/>
      <c r="ABD71" s="37"/>
      <c r="ABE71" s="37"/>
      <c r="ABF71" s="37"/>
      <c r="ABG71" s="37"/>
      <c r="ABH71" s="37"/>
      <c r="ABI71" s="37"/>
      <c r="ABJ71" s="37"/>
      <c r="ABK71" s="37"/>
      <c r="ABL71" s="37"/>
      <c r="ABM71" s="37"/>
      <c r="ABN71" s="37"/>
      <c r="ABO71" s="37"/>
      <c r="ABP71" s="37"/>
      <c r="ABQ71" s="37"/>
      <c r="ABR71" s="37"/>
      <c r="ABS71" s="37"/>
      <c r="ABT71" s="37"/>
      <c r="ABU71" s="37"/>
      <c r="ABV71" s="37"/>
      <c r="ABW71" s="37"/>
      <c r="ABX71" s="37"/>
      <c r="ABY71" s="37"/>
      <c r="ABZ71" s="37"/>
      <c r="ACA71" s="37"/>
      <c r="ACB71" s="37"/>
      <c r="ACC71" s="37"/>
      <c r="ACD71" s="37"/>
      <c r="ACE71" s="37"/>
      <c r="ACF71" s="37"/>
      <c r="ACG71" s="37"/>
      <c r="ACH71" s="37"/>
      <c r="ACI71" s="37"/>
      <c r="ACJ71" s="37"/>
      <c r="ACK71" s="37"/>
      <c r="ACL71" s="37"/>
      <c r="ACM71" s="37"/>
      <c r="ACN71" s="37"/>
      <c r="ACO71" s="37"/>
      <c r="ACP71" s="37"/>
      <c r="ACQ71" s="37"/>
      <c r="ACR71" s="37"/>
      <c r="ACS71" s="37"/>
      <c r="ACT71" s="37"/>
      <c r="ACU71" s="37"/>
      <c r="ACV71" s="37"/>
      <c r="ACW71" s="37"/>
      <c r="ACX71" s="37"/>
      <c r="ACY71" s="37"/>
      <c r="ACZ71" s="37"/>
      <c r="ADA71" s="37"/>
      <c r="ADB71" s="37"/>
      <c r="ADC71" s="37"/>
      <c r="ADD71" s="37"/>
      <c r="ADE71" s="37"/>
      <c r="ADF71" s="37"/>
      <c r="ADG71" s="37"/>
      <c r="ADH71" s="37"/>
      <c r="ADI71" s="37"/>
      <c r="ADJ71" s="37"/>
      <c r="ADK71" s="37"/>
      <c r="ADL71" s="37"/>
      <c r="ADM71" s="37"/>
      <c r="ADN71" s="37"/>
      <c r="ADO71" s="37"/>
      <c r="ADP71" s="37"/>
      <c r="ADQ71" s="37"/>
      <c r="ADR71" s="37"/>
      <c r="ADS71" s="37"/>
      <c r="ADT71" s="37"/>
      <c r="ADU71" s="37"/>
      <c r="ADV71" s="37"/>
      <c r="ADW71" s="37"/>
      <c r="ADX71" s="37"/>
      <c r="ADY71" s="37"/>
      <c r="ADZ71" s="37"/>
      <c r="AEA71" s="37"/>
      <c r="AEB71" s="37"/>
      <c r="AEC71" s="37"/>
      <c r="AED71" s="37"/>
      <c r="AEE71" s="37"/>
      <c r="AEF71" s="37"/>
      <c r="AEG71" s="37"/>
      <c r="AEH71" s="37"/>
      <c r="AEI71" s="37"/>
      <c r="AEJ71" s="37"/>
      <c r="AEK71" s="37"/>
      <c r="AEL71" s="37"/>
      <c r="AEM71" s="37"/>
      <c r="AEN71" s="37"/>
      <c r="AEO71" s="37"/>
      <c r="AEP71" s="37"/>
      <c r="AEQ71" s="37"/>
      <c r="AER71" s="37"/>
      <c r="AES71" s="37"/>
      <c r="AET71" s="37"/>
      <c r="AEU71" s="37"/>
      <c r="AEV71" s="37"/>
      <c r="AEW71" s="37"/>
      <c r="AEX71" s="37"/>
      <c r="AEY71" s="37"/>
      <c r="AEZ71" s="37"/>
      <c r="AFA71" s="37"/>
      <c r="AFB71" s="37"/>
      <c r="AFC71" s="37"/>
      <c r="AFD71" s="37"/>
      <c r="AFE71" s="37"/>
      <c r="AFF71" s="37"/>
      <c r="AFG71" s="37"/>
      <c r="AFH71" s="37"/>
      <c r="AFI71" s="37"/>
      <c r="AFJ71" s="37"/>
      <c r="AFK71" s="37"/>
      <c r="AFL71" s="37"/>
      <c r="AFM71" s="37"/>
      <c r="AFN71" s="37"/>
      <c r="AFO71" s="37"/>
      <c r="AFP71" s="37"/>
      <c r="AFQ71" s="37"/>
      <c r="AFR71" s="37"/>
      <c r="AFS71" s="37"/>
      <c r="AFT71" s="37"/>
      <c r="AFU71" s="37"/>
      <c r="AFV71" s="37"/>
      <c r="AFW71" s="37"/>
      <c r="AFX71" s="37"/>
      <c r="AFY71" s="37"/>
      <c r="AFZ71" s="37"/>
      <c r="AGA71" s="37"/>
      <c r="AGB71" s="37"/>
      <c r="AGC71" s="37"/>
      <c r="AGD71" s="37"/>
      <c r="AGE71" s="37"/>
      <c r="AGF71" s="37"/>
      <c r="AGG71" s="37"/>
      <c r="AGH71" s="37"/>
      <c r="AGI71" s="37"/>
      <c r="AGJ71" s="37"/>
      <c r="AGK71" s="37"/>
      <c r="AGL71" s="37"/>
      <c r="AGM71" s="37"/>
      <c r="AGN71" s="37"/>
      <c r="AGO71" s="37"/>
      <c r="AGP71" s="37"/>
      <c r="AGQ71" s="37"/>
      <c r="AGR71" s="37"/>
      <c r="AGS71" s="37"/>
      <c r="AGT71" s="37"/>
      <c r="AGU71" s="37"/>
      <c r="AGV71" s="37"/>
      <c r="AGW71" s="37"/>
      <c r="AGX71" s="37"/>
      <c r="AGY71" s="37"/>
      <c r="AGZ71" s="37"/>
      <c r="AHA71" s="37"/>
      <c r="AHB71" s="37"/>
      <c r="AHC71" s="37"/>
      <c r="AHD71" s="37"/>
      <c r="AHE71" s="37"/>
      <c r="AHF71" s="37"/>
      <c r="AHG71" s="37"/>
      <c r="AHH71" s="37"/>
      <c r="AHI71" s="37"/>
      <c r="AHJ71" s="37"/>
      <c r="AHK71" s="37"/>
      <c r="AHL71" s="37"/>
      <c r="AHM71" s="37"/>
      <c r="AHN71" s="37"/>
      <c r="AHO71" s="37"/>
      <c r="AHP71" s="37"/>
      <c r="AHQ71" s="37"/>
      <c r="AHR71" s="37"/>
      <c r="AHS71" s="37"/>
      <c r="AHT71" s="37"/>
      <c r="AHU71" s="37"/>
      <c r="AHV71" s="37"/>
      <c r="AHW71" s="37"/>
      <c r="AHX71" s="37"/>
      <c r="AHY71" s="37"/>
      <c r="AHZ71" s="37"/>
      <c r="AIA71" s="37"/>
      <c r="AIB71" s="37"/>
      <c r="AIC71" s="37"/>
      <c r="AID71" s="37"/>
      <c r="AIE71" s="37"/>
      <c r="AIF71" s="37"/>
      <c r="AIG71" s="37"/>
      <c r="AIH71" s="37"/>
      <c r="AII71" s="37"/>
      <c r="AIJ71" s="37"/>
      <c r="AIK71" s="37"/>
      <c r="AIL71" s="37"/>
      <c r="AIM71" s="37"/>
      <c r="AIN71" s="37"/>
      <c r="AIO71" s="37"/>
      <c r="AIP71" s="37"/>
      <c r="AIQ71" s="37"/>
      <c r="AIR71" s="37"/>
      <c r="AIS71" s="37"/>
      <c r="AIT71" s="37"/>
      <c r="AIU71" s="37"/>
      <c r="AIV71" s="37"/>
      <c r="AIW71" s="37"/>
      <c r="AIX71" s="37"/>
      <c r="AIY71" s="37"/>
      <c r="AIZ71" s="37"/>
      <c r="AJA71" s="37"/>
      <c r="AJB71" s="37"/>
      <c r="AJC71" s="37"/>
      <c r="AJD71" s="37"/>
      <c r="AJE71" s="37"/>
      <c r="AJF71" s="37"/>
      <c r="AJG71" s="37"/>
      <c r="AJH71" s="37"/>
      <c r="AJI71" s="37"/>
      <c r="AJJ71" s="37"/>
      <c r="AJK71" s="37"/>
      <c r="AJL71" s="37"/>
      <c r="AJM71" s="37"/>
      <c r="AJN71" s="37"/>
      <c r="AJO71" s="37"/>
      <c r="AJP71" s="37"/>
      <c r="AJQ71" s="37"/>
      <c r="AJR71" s="37"/>
      <c r="AJS71" s="37"/>
      <c r="AJT71" s="37"/>
      <c r="AJU71" s="37"/>
      <c r="AJV71" s="37"/>
      <c r="AJW71" s="37"/>
      <c r="AJX71" s="37"/>
      <c r="AJY71" s="37"/>
      <c r="AJZ71" s="37"/>
      <c r="AKA71" s="37"/>
      <c r="AKB71" s="37"/>
      <c r="AKC71" s="37"/>
      <c r="AKD71" s="37"/>
      <c r="AKE71" s="37"/>
      <c r="AKF71" s="37"/>
      <c r="AKG71" s="37"/>
      <c r="AKH71" s="37"/>
      <c r="AKI71" s="37"/>
      <c r="AKJ71" s="37"/>
      <c r="AKK71" s="37"/>
      <c r="AKL71" s="37"/>
      <c r="AKM71" s="37"/>
      <c r="AKN71" s="37"/>
      <c r="AKO71" s="37"/>
      <c r="AKP71" s="37"/>
      <c r="AKQ71" s="37"/>
      <c r="AKR71" s="37"/>
      <c r="AKS71" s="37"/>
      <c r="AKT71" s="37"/>
      <c r="AKU71" s="37"/>
      <c r="AKV71" s="37"/>
      <c r="AKW71" s="37"/>
      <c r="AKX71" s="37"/>
      <c r="AKY71" s="37"/>
      <c r="AKZ71" s="37"/>
      <c r="ALA71" s="37"/>
      <c r="ALB71" s="37"/>
      <c r="ALC71" s="37"/>
      <c r="ALD71" s="37"/>
      <c r="ALE71" s="37"/>
      <c r="ALF71" s="37"/>
      <c r="ALG71" s="37"/>
      <c r="ALH71" s="37"/>
      <c r="ALI71" s="37"/>
      <c r="ALJ71" s="37"/>
      <c r="ALK71" s="37"/>
      <c r="ALL71" s="37"/>
      <c r="ALM71" s="37"/>
      <c r="ALN71" s="37"/>
      <c r="ALO71" s="37"/>
      <c r="ALP71" s="37"/>
      <c r="ALQ71" s="37"/>
      <c r="ALR71" s="37"/>
    </row>
    <row r="72" spans="2:1006" x14ac:dyDescent="0.35">
      <c r="C72" s="20" t="s">
        <v>136</v>
      </c>
      <c r="E72" s="20" t="s">
        <v>101</v>
      </c>
      <c r="F72" s="74">
        <f>Scenario!M16/10</f>
        <v>5</v>
      </c>
      <c r="G72" s="30">
        <v>1.4999999999999999E-2</v>
      </c>
      <c r="H72" s="27">
        <f>F14</f>
        <v>42522</v>
      </c>
    </row>
    <row r="73" spans="2:1006" x14ac:dyDescent="0.35">
      <c r="C73" s="20" t="s">
        <v>137</v>
      </c>
      <c r="E73" s="20" t="s">
        <v>101</v>
      </c>
      <c r="F73" s="69">
        <v>0</v>
      </c>
      <c r="G73" s="30">
        <v>1.4999999999999999E-2</v>
      </c>
      <c r="H73" s="27">
        <f t="shared" ref="H73:H79" si="5">$H$72</f>
        <v>42522</v>
      </c>
    </row>
    <row r="74" spans="2:1006" x14ac:dyDescent="0.35">
      <c r="C74" s="20" t="s">
        <v>138</v>
      </c>
      <c r="E74" s="20" t="s">
        <v>101</v>
      </c>
      <c r="F74" s="69">
        <v>4.5</v>
      </c>
      <c r="G74" s="30">
        <v>5.0000000000000001E-3</v>
      </c>
      <c r="H74" s="27">
        <f t="shared" si="5"/>
        <v>42522</v>
      </c>
    </row>
    <row r="75" spans="2:1006" x14ac:dyDescent="0.35">
      <c r="C75" s="20" t="s">
        <v>9</v>
      </c>
      <c r="E75" s="20" t="s">
        <v>101</v>
      </c>
      <c r="F75" s="69">
        <v>2.8</v>
      </c>
      <c r="G75" s="30">
        <v>0</v>
      </c>
      <c r="H75" s="27">
        <f t="shared" si="5"/>
        <v>42522</v>
      </c>
    </row>
    <row r="76" spans="2:1006" x14ac:dyDescent="0.35">
      <c r="C76" s="20" t="s">
        <v>140</v>
      </c>
      <c r="E76" s="20" t="s">
        <v>103</v>
      </c>
      <c r="F76" s="29">
        <v>30000</v>
      </c>
      <c r="G76" s="30">
        <v>0</v>
      </c>
      <c r="H76" s="27">
        <f t="shared" si="5"/>
        <v>42522</v>
      </c>
    </row>
    <row r="77" spans="2:1006" x14ac:dyDescent="0.35">
      <c r="C77" s="20" t="s">
        <v>141</v>
      </c>
      <c r="E77" s="20" t="s">
        <v>103</v>
      </c>
      <c r="F77" s="69">
        <v>0</v>
      </c>
      <c r="G77" s="30">
        <v>0</v>
      </c>
      <c r="H77" s="27">
        <f t="shared" si="5"/>
        <v>42522</v>
      </c>
    </row>
    <row r="78" spans="2:1006" x14ac:dyDescent="0.35">
      <c r="C78" s="20" t="s">
        <v>139</v>
      </c>
      <c r="E78" s="20" t="s">
        <v>103</v>
      </c>
      <c r="F78" s="69">
        <v>0</v>
      </c>
      <c r="G78" s="30">
        <v>0</v>
      </c>
      <c r="H78" s="27">
        <f t="shared" si="5"/>
        <v>42522</v>
      </c>
    </row>
    <row r="79" spans="2:1006" x14ac:dyDescent="0.35">
      <c r="C79" s="20" t="s">
        <v>135</v>
      </c>
      <c r="E79" s="20" t="s">
        <v>19</v>
      </c>
      <c r="F79" s="70">
        <v>0</v>
      </c>
      <c r="G79" s="30">
        <v>0</v>
      </c>
      <c r="H79" s="27">
        <f t="shared" si="5"/>
        <v>42522</v>
      </c>
    </row>
    <row r="80" spans="2:1006" x14ac:dyDescent="0.35">
      <c r="F80" s="67"/>
      <c r="G80" s="22"/>
      <c r="H80" s="27"/>
    </row>
    <row r="81" spans="2:1006" x14ac:dyDescent="0.35">
      <c r="C81" s="20" t="s">
        <v>102</v>
      </c>
      <c r="F81" s="67"/>
      <c r="G81" s="22"/>
      <c r="H81" s="27"/>
    </row>
    <row r="82" spans="2:1006" x14ac:dyDescent="0.35">
      <c r="D82" s="20" t="s">
        <v>217</v>
      </c>
      <c r="E82" s="20" t="s">
        <v>34</v>
      </c>
      <c r="F82" s="28">
        <v>80</v>
      </c>
      <c r="G82" s="28">
        <v>15</v>
      </c>
      <c r="H82" s="27"/>
    </row>
    <row r="83" spans="2:1006" x14ac:dyDescent="0.35">
      <c r="D83" s="20" t="s">
        <v>221</v>
      </c>
      <c r="E83" s="20" t="s">
        <v>34</v>
      </c>
      <c r="F83" s="28">
        <v>80</v>
      </c>
      <c r="G83" s="28">
        <v>30</v>
      </c>
      <c r="H83" s="27"/>
    </row>
    <row r="84" spans="2:1006" x14ac:dyDescent="0.35">
      <c r="F84" s="67"/>
      <c r="G84" s="22"/>
      <c r="H84" s="27"/>
    </row>
    <row r="85" spans="2:1006" x14ac:dyDescent="0.35">
      <c r="D85" s="20" t="s">
        <v>216</v>
      </c>
      <c r="E85" s="20" t="s">
        <v>64</v>
      </c>
      <c r="F85" s="76">
        <f>EDATE(F14,F82*12)</f>
        <v>71742</v>
      </c>
      <c r="G85" s="22"/>
      <c r="H85" s="27"/>
    </row>
    <row r="86" spans="2:1006" x14ac:dyDescent="0.35">
      <c r="D86" s="20" t="s">
        <v>222</v>
      </c>
      <c r="E86" s="20" t="s">
        <v>64</v>
      </c>
      <c r="F86" s="76">
        <f>EDATE(F14,F83*12)</f>
        <v>71742</v>
      </c>
      <c r="G86" s="22"/>
      <c r="H86" s="27"/>
    </row>
    <row r="87" spans="2:1006" x14ac:dyDescent="0.35">
      <c r="F87" s="67"/>
      <c r="G87" s="22"/>
      <c r="H87" s="27"/>
    </row>
    <row r="88" spans="2:1006" x14ac:dyDescent="0.35">
      <c r="D88" s="20" t="s">
        <v>143</v>
      </c>
      <c r="E88" s="20" t="s">
        <v>100</v>
      </c>
      <c r="F88" s="32">
        <v>34</v>
      </c>
      <c r="G88" s="30">
        <v>0</v>
      </c>
      <c r="H88" s="27">
        <f>$H$72</f>
        <v>42522</v>
      </c>
    </row>
    <row r="89" spans="2:1006" x14ac:dyDescent="0.35">
      <c r="D89" s="20" t="s">
        <v>142</v>
      </c>
      <c r="E89" s="20" t="s">
        <v>100</v>
      </c>
      <c r="F89" s="32">
        <v>25</v>
      </c>
      <c r="G89" s="30">
        <v>0</v>
      </c>
      <c r="H89" s="27">
        <f>$H$72</f>
        <v>42522</v>
      </c>
    </row>
    <row r="91" spans="2:1006" x14ac:dyDescent="0.35">
      <c r="B91" s="37" t="s">
        <v>26</v>
      </c>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c r="BT91" s="37"/>
      <c r="BU91" s="37"/>
      <c r="BV91" s="37"/>
      <c r="BW91" s="37"/>
      <c r="BX91" s="37"/>
      <c r="BY91" s="37"/>
      <c r="BZ91" s="37"/>
      <c r="CA91" s="37"/>
      <c r="CB91" s="37"/>
      <c r="CC91" s="37"/>
      <c r="CD91" s="37"/>
      <c r="CE91" s="37"/>
      <c r="CF91" s="37"/>
      <c r="CG91" s="37"/>
      <c r="CH91" s="37"/>
      <c r="CI91" s="37"/>
      <c r="CJ91" s="37"/>
      <c r="CK91" s="37"/>
      <c r="CL91" s="37"/>
      <c r="CM91" s="37"/>
      <c r="CN91" s="37"/>
      <c r="CO91" s="37"/>
      <c r="CP91" s="37"/>
      <c r="CQ91" s="37"/>
      <c r="CR91" s="37"/>
      <c r="CS91" s="37"/>
      <c r="CT91" s="37"/>
      <c r="CU91" s="37"/>
      <c r="CV91" s="37"/>
      <c r="CW91" s="37"/>
      <c r="CX91" s="37"/>
      <c r="CY91" s="37"/>
      <c r="CZ91" s="37"/>
      <c r="DA91" s="37"/>
      <c r="DB91" s="37"/>
      <c r="DC91" s="37"/>
      <c r="DD91" s="37"/>
      <c r="DE91" s="37"/>
      <c r="DF91" s="37"/>
      <c r="DG91" s="37"/>
      <c r="DH91" s="37"/>
      <c r="DI91" s="37"/>
      <c r="DJ91" s="37"/>
      <c r="DK91" s="37"/>
      <c r="DL91" s="37"/>
      <c r="DM91" s="37"/>
      <c r="DN91" s="37"/>
      <c r="DO91" s="37"/>
      <c r="DP91" s="37"/>
      <c r="DQ91" s="37"/>
      <c r="DR91" s="37"/>
      <c r="DS91" s="37"/>
      <c r="DT91" s="37"/>
      <c r="DU91" s="37"/>
      <c r="DV91" s="37"/>
      <c r="DW91" s="37"/>
      <c r="DX91" s="37"/>
      <c r="DY91" s="37"/>
      <c r="DZ91" s="37"/>
      <c r="EA91" s="37"/>
      <c r="EB91" s="37"/>
      <c r="EC91" s="37"/>
      <c r="ED91" s="37"/>
      <c r="EE91" s="37"/>
      <c r="EF91" s="37"/>
      <c r="EG91" s="37"/>
      <c r="EH91" s="37"/>
      <c r="EI91" s="37"/>
      <c r="EJ91" s="37"/>
      <c r="EK91" s="37"/>
      <c r="EL91" s="37"/>
      <c r="EM91" s="37"/>
      <c r="EN91" s="37"/>
      <c r="EO91" s="37"/>
      <c r="EP91" s="37"/>
      <c r="EQ91" s="37"/>
      <c r="ER91" s="37"/>
      <c r="ES91" s="37"/>
      <c r="ET91" s="37"/>
      <c r="EU91" s="37"/>
      <c r="EV91" s="37"/>
      <c r="EW91" s="37"/>
      <c r="EX91" s="37"/>
      <c r="EY91" s="37"/>
      <c r="EZ91" s="37"/>
      <c r="FA91" s="37"/>
      <c r="FB91" s="37"/>
      <c r="FC91" s="37"/>
      <c r="FD91" s="37"/>
      <c r="FE91" s="37"/>
      <c r="FF91" s="37"/>
      <c r="FG91" s="37"/>
      <c r="FH91" s="37"/>
      <c r="FI91" s="37"/>
      <c r="FJ91" s="37"/>
      <c r="FK91" s="37"/>
      <c r="FL91" s="37"/>
      <c r="FM91" s="37"/>
      <c r="FN91" s="37"/>
      <c r="FO91" s="37"/>
      <c r="FP91" s="37"/>
      <c r="FQ91" s="37"/>
      <c r="FR91" s="37"/>
      <c r="FS91" s="37"/>
      <c r="FT91" s="37"/>
      <c r="FU91" s="37"/>
      <c r="FV91" s="37"/>
      <c r="FW91" s="37"/>
      <c r="FX91" s="37"/>
      <c r="FY91" s="37"/>
      <c r="FZ91" s="37"/>
      <c r="GA91" s="37"/>
      <c r="GB91" s="37"/>
      <c r="GC91" s="37"/>
      <c r="GD91" s="37"/>
      <c r="GE91" s="37"/>
      <c r="GF91" s="37"/>
      <c r="GG91" s="37"/>
      <c r="GH91" s="37"/>
      <c r="GI91" s="37"/>
      <c r="GJ91" s="37"/>
      <c r="GK91" s="37"/>
      <c r="GL91" s="37"/>
      <c r="GM91" s="37"/>
      <c r="GN91" s="37"/>
      <c r="GO91" s="37"/>
      <c r="GP91" s="37"/>
      <c r="GQ91" s="37"/>
      <c r="GR91" s="37"/>
      <c r="GS91" s="37"/>
      <c r="GT91" s="37"/>
      <c r="GU91" s="37"/>
      <c r="GV91" s="37"/>
      <c r="GW91" s="37"/>
      <c r="GX91" s="37"/>
      <c r="GY91" s="37"/>
      <c r="GZ91" s="37"/>
      <c r="HA91" s="37"/>
      <c r="HB91" s="37"/>
      <c r="HC91" s="37"/>
      <c r="HD91" s="37"/>
      <c r="HE91" s="37"/>
      <c r="HF91" s="37"/>
      <c r="HG91" s="37"/>
      <c r="HH91" s="37"/>
      <c r="HI91" s="37"/>
      <c r="HJ91" s="37"/>
      <c r="HK91" s="37"/>
      <c r="HL91" s="37"/>
      <c r="HM91" s="37"/>
      <c r="HN91" s="37"/>
      <c r="HO91" s="37"/>
      <c r="HP91" s="37"/>
      <c r="HQ91" s="37"/>
      <c r="HR91" s="37"/>
      <c r="HS91" s="37"/>
      <c r="HT91" s="37"/>
      <c r="HU91" s="37"/>
      <c r="HV91" s="37"/>
      <c r="HW91" s="37"/>
      <c r="HX91" s="37"/>
      <c r="HY91" s="37"/>
      <c r="HZ91" s="37"/>
      <c r="IA91" s="37"/>
      <c r="IB91" s="37"/>
      <c r="IC91" s="37"/>
      <c r="ID91" s="37"/>
      <c r="IE91" s="37"/>
      <c r="IF91" s="37"/>
      <c r="IG91" s="37"/>
      <c r="IH91" s="37"/>
      <c r="II91" s="37"/>
      <c r="IJ91" s="37"/>
      <c r="IK91" s="37"/>
      <c r="IL91" s="37"/>
      <c r="IM91" s="37"/>
      <c r="IN91" s="37"/>
      <c r="IO91" s="37"/>
      <c r="IP91" s="37"/>
      <c r="IQ91" s="37"/>
      <c r="IR91" s="37"/>
      <c r="IS91" s="37"/>
      <c r="IT91" s="37"/>
      <c r="IU91" s="37"/>
      <c r="IV91" s="37"/>
      <c r="IW91" s="37"/>
      <c r="IX91" s="37"/>
      <c r="IY91" s="37"/>
      <c r="IZ91" s="37"/>
      <c r="JA91" s="37"/>
      <c r="JB91" s="37"/>
      <c r="JC91" s="37"/>
      <c r="JD91" s="37"/>
      <c r="JE91" s="37"/>
      <c r="JF91" s="37"/>
      <c r="JG91" s="37"/>
      <c r="JH91" s="37"/>
      <c r="JI91" s="37"/>
      <c r="JJ91" s="37"/>
      <c r="JK91" s="37"/>
      <c r="JL91" s="37"/>
      <c r="JM91" s="37"/>
      <c r="JN91" s="37"/>
      <c r="JO91" s="37"/>
      <c r="JP91" s="37"/>
      <c r="JQ91" s="37"/>
      <c r="JR91" s="37"/>
      <c r="JS91" s="37"/>
      <c r="JT91" s="37"/>
      <c r="JU91" s="37"/>
      <c r="JV91" s="37"/>
      <c r="JW91" s="37"/>
      <c r="JX91" s="37"/>
      <c r="JY91" s="37"/>
      <c r="JZ91" s="37"/>
      <c r="KA91" s="37"/>
      <c r="KB91" s="37"/>
      <c r="KC91" s="37"/>
      <c r="KD91" s="37"/>
      <c r="KE91" s="37"/>
      <c r="KF91" s="37"/>
      <c r="KG91" s="37"/>
      <c r="KH91" s="37"/>
      <c r="KI91" s="37"/>
      <c r="KJ91" s="37"/>
      <c r="KK91" s="37"/>
      <c r="KL91" s="37"/>
      <c r="KM91" s="37"/>
      <c r="KN91" s="37"/>
      <c r="KO91" s="37"/>
      <c r="KP91" s="37"/>
      <c r="KQ91" s="37"/>
      <c r="KR91" s="37"/>
      <c r="KS91" s="37"/>
      <c r="KT91" s="37"/>
      <c r="KU91" s="37"/>
      <c r="KV91" s="37"/>
      <c r="KW91" s="37"/>
      <c r="KX91" s="37"/>
      <c r="KY91" s="37"/>
      <c r="KZ91" s="37"/>
      <c r="LA91" s="37"/>
      <c r="LB91" s="37"/>
      <c r="LC91" s="37"/>
      <c r="LD91" s="37"/>
      <c r="LE91" s="37"/>
      <c r="LF91" s="37"/>
      <c r="LG91" s="37"/>
      <c r="LH91" s="37"/>
      <c r="LI91" s="37"/>
      <c r="LJ91" s="37"/>
      <c r="LK91" s="37"/>
      <c r="LL91" s="37"/>
      <c r="LM91" s="37"/>
      <c r="LN91" s="37"/>
      <c r="LO91" s="37"/>
      <c r="LP91" s="37"/>
      <c r="LQ91" s="37"/>
      <c r="LR91" s="37"/>
      <c r="LS91" s="37"/>
      <c r="LT91" s="37"/>
      <c r="LU91" s="37"/>
      <c r="LV91" s="37"/>
      <c r="LW91" s="37"/>
      <c r="LX91" s="37"/>
      <c r="LY91" s="37"/>
      <c r="LZ91" s="37"/>
      <c r="MA91" s="37"/>
      <c r="MB91" s="37"/>
      <c r="MC91" s="37"/>
      <c r="MD91" s="37"/>
      <c r="ME91" s="37"/>
      <c r="MF91" s="37"/>
      <c r="MG91" s="37"/>
      <c r="MH91" s="37"/>
      <c r="MI91" s="37"/>
      <c r="MJ91" s="37"/>
      <c r="MK91" s="37"/>
      <c r="ML91" s="37"/>
      <c r="MM91" s="37"/>
      <c r="MN91" s="37"/>
      <c r="MO91" s="37"/>
      <c r="MP91" s="37"/>
      <c r="MQ91" s="37"/>
      <c r="MR91" s="37"/>
      <c r="MS91" s="37"/>
      <c r="MT91" s="37"/>
      <c r="MU91" s="37"/>
      <c r="MV91" s="37"/>
      <c r="MW91" s="37"/>
      <c r="MX91" s="37"/>
      <c r="MY91" s="37"/>
      <c r="MZ91" s="37"/>
      <c r="NA91" s="37"/>
      <c r="NB91" s="37"/>
      <c r="NC91" s="37"/>
      <c r="ND91" s="37"/>
      <c r="NE91" s="37"/>
      <c r="NF91" s="37"/>
      <c r="NG91" s="37"/>
      <c r="NH91" s="37"/>
      <c r="NI91" s="37"/>
      <c r="NJ91" s="37"/>
      <c r="NK91" s="37"/>
      <c r="NL91" s="37"/>
      <c r="NM91" s="37"/>
      <c r="NN91" s="37"/>
      <c r="NO91" s="37"/>
      <c r="NP91" s="37"/>
      <c r="NQ91" s="37"/>
      <c r="NR91" s="37"/>
      <c r="NS91" s="37"/>
      <c r="NT91" s="37"/>
      <c r="NU91" s="37"/>
      <c r="NV91" s="37"/>
      <c r="NW91" s="37"/>
      <c r="NX91" s="37"/>
      <c r="NY91" s="37"/>
      <c r="NZ91" s="37"/>
      <c r="OA91" s="37"/>
      <c r="OB91" s="37"/>
      <c r="OC91" s="37"/>
      <c r="OD91" s="37"/>
      <c r="OE91" s="37"/>
      <c r="OF91" s="37"/>
      <c r="OG91" s="37"/>
      <c r="OH91" s="37"/>
      <c r="OI91" s="37"/>
      <c r="OJ91" s="37"/>
      <c r="OK91" s="37"/>
      <c r="OL91" s="37"/>
      <c r="OM91" s="37"/>
      <c r="ON91" s="37"/>
      <c r="OO91" s="37"/>
      <c r="OP91" s="37"/>
      <c r="OQ91" s="37"/>
      <c r="OR91" s="37"/>
      <c r="OS91" s="37"/>
      <c r="OT91" s="37"/>
      <c r="OU91" s="37"/>
      <c r="OV91" s="37"/>
      <c r="OW91" s="37"/>
      <c r="OX91" s="37"/>
      <c r="OY91" s="37"/>
      <c r="OZ91" s="37"/>
      <c r="PA91" s="37"/>
      <c r="PB91" s="37"/>
      <c r="PC91" s="37"/>
      <c r="PD91" s="37"/>
      <c r="PE91" s="37"/>
      <c r="PF91" s="37"/>
      <c r="PG91" s="37"/>
      <c r="PH91" s="37"/>
      <c r="PI91" s="37"/>
      <c r="PJ91" s="37"/>
      <c r="PK91" s="37"/>
      <c r="PL91" s="37"/>
      <c r="PM91" s="37"/>
      <c r="PN91" s="37"/>
      <c r="PO91" s="37"/>
      <c r="PP91" s="37"/>
      <c r="PQ91" s="37"/>
      <c r="PR91" s="37"/>
      <c r="PS91" s="37"/>
      <c r="PT91" s="37"/>
      <c r="PU91" s="37"/>
      <c r="PV91" s="37"/>
      <c r="PW91" s="37"/>
      <c r="PX91" s="37"/>
      <c r="PY91" s="37"/>
      <c r="PZ91" s="37"/>
      <c r="QA91" s="37"/>
      <c r="QB91" s="37"/>
      <c r="QC91" s="37"/>
      <c r="QD91" s="37"/>
      <c r="QE91" s="37"/>
      <c r="QF91" s="37"/>
      <c r="QG91" s="37"/>
      <c r="QH91" s="37"/>
      <c r="QI91" s="37"/>
      <c r="QJ91" s="37"/>
      <c r="QK91" s="37"/>
      <c r="QL91" s="37"/>
      <c r="QM91" s="37"/>
      <c r="QN91" s="37"/>
      <c r="QO91" s="37"/>
      <c r="QP91" s="37"/>
      <c r="QQ91" s="37"/>
      <c r="QR91" s="37"/>
      <c r="QS91" s="37"/>
      <c r="QT91" s="37"/>
      <c r="QU91" s="37"/>
      <c r="QV91" s="37"/>
      <c r="QW91" s="37"/>
      <c r="QX91" s="37"/>
      <c r="QY91" s="37"/>
      <c r="QZ91" s="37"/>
      <c r="RA91" s="37"/>
      <c r="RB91" s="37"/>
      <c r="RC91" s="37"/>
      <c r="RD91" s="37"/>
      <c r="RE91" s="37"/>
      <c r="RF91" s="37"/>
      <c r="RG91" s="37"/>
      <c r="RH91" s="37"/>
      <c r="RI91" s="37"/>
      <c r="RJ91" s="37"/>
      <c r="RK91" s="37"/>
      <c r="RL91" s="37"/>
      <c r="RM91" s="37"/>
      <c r="RN91" s="37"/>
      <c r="RO91" s="37"/>
      <c r="RP91" s="37"/>
      <c r="RQ91" s="37"/>
      <c r="RR91" s="37"/>
      <c r="RS91" s="37"/>
      <c r="RT91" s="37"/>
      <c r="RU91" s="37"/>
      <c r="RV91" s="37"/>
      <c r="RW91" s="37"/>
      <c r="RX91" s="37"/>
      <c r="RY91" s="37"/>
      <c r="RZ91" s="37"/>
      <c r="SA91" s="37"/>
      <c r="SB91" s="37"/>
      <c r="SC91" s="37"/>
      <c r="SD91" s="37"/>
      <c r="SE91" s="37"/>
      <c r="SF91" s="37"/>
      <c r="SG91" s="37"/>
      <c r="SH91" s="37"/>
      <c r="SI91" s="37"/>
      <c r="SJ91" s="37"/>
      <c r="SK91" s="37"/>
      <c r="SL91" s="37"/>
      <c r="SM91" s="37"/>
      <c r="SN91" s="37"/>
      <c r="SO91" s="37"/>
      <c r="SP91" s="37"/>
      <c r="SQ91" s="37"/>
      <c r="SR91" s="37"/>
      <c r="SS91" s="37"/>
      <c r="ST91" s="37"/>
      <c r="SU91" s="37"/>
      <c r="SV91" s="37"/>
      <c r="SW91" s="37"/>
      <c r="SX91" s="37"/>
      <c r="SY91" s="37"/>
      <c r="SZ91" s="37"/>
      <c r="TA91" s="37"/>
      <c r="TB91" s="37"/>
      <c r="TC91" s="37"/>
      <c r="TD91" s="37"/>
      <c r="TE91" s="37"/>
      <c r="TF91" s="37"/>
      <c r="TG91" s="37"/>
      <c r="TH91" s="37"/>
      <c r="TI91" s="37"/>
      <c r="TJ91" s="37"/>
      <c r="TK91" s="37"/>
      <c r="TL91" s="37"/>
      <c r="TM91" s="37"/>
      <c r="TN91" s="37"/>
      <c r="TO91" s="37"/>
      <c r="TP91" s="37"/>
      <c r="TQ91" s="37"/>
      <c r="TR91" s="37"/>
      <c r="TS91" s="37"/>
      <c r="TT91" s="37"/>
      <c r="TU91" s="37"/>
      <c r="TV91" s="37"/>
      <c r="TW91" s="37"/>
      <c r="TX91" s="37"/>
      <c r="TY91" s="37"/>
      <c r="TZ91" s="37"/>
      <c r="UA91" s="37"/>
      <c r="UB91" s="37"/>
      <c r="UC91" s="37"/>
      <c r="UD91" s="37"/>
      <c r="UE91" s="37"/>
      <c r="UF91" s="37"/>
      <c r="UG91" s="37"/>
      <c r="UH91" s="37"/>
      <c r="UI91" s="37"/>
      <c r="UJ91" s="37"/>
      <c r="UK91" s="37"/>
      <c r="UL91" s="37"/>
      <c r="UM91" s="37"/>
      <c r="UN91" s="37"/>
      <c r="UO91" s="37"/>
      <c r="UP91" s="37"/>
      <c r="UQ91" s="37"/>
      <c r="UR91" s="37"/>
      <c r="US91" s="37"/>
      <c r="UT91" s="37"/>
      <c r="UU91" s="37"/>
      <c r="UV91" s="37"/>
      <c r="UW91" s="37"/>
      <c r="UX91" s="37"/>
      <c r="UY91" s="37"/>
      <c r="UZ91" s="37"/>
      <c r="VA91" s="37"/>
      <c r="VB91" s="37"/>
      <c r="VC91" s="37"/>
      <c r="VD91" s="37"/>
      <c r="VE91" s="37"/>
      <c r="VF91" s="37"/>
      <c r="VG91" s="37"/>
      <c r="VH91" s="37"/>
      <c r="VI91" s="37"/>
      <c r="VJ91" s="37"/>
      <c r="VK91" s="37"/>
      <c r="VL91" s="37"/>
      <c r="VM91" s="37"/>
      <c r="VN91" s="37"/>
      <c r="VO91" s="37"/>
      <c r="VP91" s="37"/>
      <c r="VQ91" s="37"/>
      <c r="VR91" s="37"/>
      <c r="VS91" s="37"/>
      <c r="VT91" s="37"/>
      <c r="VU91" s="37"/>
      <c r="VV91" s="37"/>
      <c r="VW91" s="37"/>
      <c r="VX91" s="37"/>
      <c r="VY91" s="37"/>
      <c r="VZ91" s="37"/>
      <c r="WA91" s="37"/>
      <c r="WB91" s="37"/>
      <c r="WC91" s="37"/>
      <c r="WD91" s="37"/>
      <c r="WE91" s="37"/>
      <c r="WF91" s="37"/>
      <c r="WG91" s="37"/>
      <c r="WH91" s="37"/>
      <c r="WI91" s="37"/>
      <c r="WJ91" s="37"/>
      <c r="WK91" s="37"/>
      <c r="WL91" s="37"/>
      <c r="WM91" s="37"/>
      <c r="WN91" s="37"/>
      <c r="WO91" s="37"/>
      <c r="WP91" s="37"/>
      <c r="WQ91" s="37"/>
      <c r="WR91" s="37"/>
      <c r="WS91" s="37"/>
      <c r="WT91" s="37"/>
      <c r="WU91" s="37"/>
      <c r="WV91" s="37"/>
      <c r="WW91" s="37"/>
      <c r="WX91" s="37"/>
      <c r="WY91" s="37"/>
      <c r="WZ91" s="37"/>
      <c r="XA91" s="37"/>
      <c r="XB91" s="37"/>
      <c r="XC91" s="37"/>
      <c r="XD91" s="37"/>
      <c r="XE91" s="37"/>
      <c r="XF91" s="37"/>
      <c r="XG91" s="37"/>
      <c r="XH91" s="37"/>
      <c r="XI91" s="37"/>
      <c r="XJ91" s="37"/>
      <c r="XK91" s="37"/>
      <c r="XL91" s="37"/>
      <c r="XM91" s="37"/>
      <c r="XN91" s="37"/>
      <c r="XO91" s="37"/>
      <c r="XP91" s="37"/>
      <c r="XQ91" s="37"/>
      <c r="XR91" s="37"/>
      <c r="XS91" s="37"/>
      <c r="XT91" s="37"/>
      <c r="XU91" s="37"/>
      <c r="XV91" s="37"/>
      <c r="XW91" s="37"/>
      <c r="XX91" s="37"/>
      <c r="XY91" s="37"/>
      <c r="XZ91" s="37"/>
      <c r="YA91" s="37"/>
      <c r="YB91" s="37"/>
      <c r="YC91" s="37"/>
      <c r="YD91" s="37"/>
      <c r="YE91" s="37"/>
      <c r="YF91" s="37"/>
      <c r="YG91" s="37"/>
      <c r="YH91" s="37"/>
      <c r="YI91" s="37"/>
      <c r="YJ91" s="37"/>
      <c r="YK91" s="37"/>
      <c r="YL91" s="37"/>
      <c r="YM91" s="37"/>
      <c r="YN91" s="37"/>
      <c r="YO91" s="37"/>
      <c r="YP91" s="37"/>
      <c r="YQ91" s="37"/>
      <c r="YR91" s="37"/>
      <c r="YS91" s="37"/>
      <c r="YT91" s="37"/>
      <c r="YU91" s="37"/>
      <c r="YV91" s="37"/>
      <c r="YW91" s="37"/>
      <c r="YX91" s="37"/>
      <c r="YY91" s="37"/>
      <c r="YZ91" s="37"/>
      <c r="ZA91" s="37"/>
      <c r="ZB91" s="37"/>
      <c r="ZC91" s="37"/>
      <c r="ZD91" s="37"/>
      <c r="ZE91" s="37"/>
      <c r="ZF91" s="37"/>
      <c r="ZG91" s="37"/>
      <c r="ZH91" s="37"/>
      <c r="ZI91" s="37"/>
      <c r="ZJ91" s="37"/>
      <c r="ZK91" s="37"/>
      <c r="ZL91" s="37"/>
      <c r="ZM91" s="37"/>
      <c r="ZN91" s="37"/>
      <c r="ZO91" s="37"/>
      <c r="ZP91" s="37"/>
      <c r="ZQ91" s="37"/>
      <c r="ZR91" s="37"/>
      <c r="ZS91" s="37"/>
      <c r="ZT91" s="37"/>
      <c r="ZU91" s="37"/>
      <c r="ZV91" s="37"/>
      <c r="ZW91" s="37"/>
      <c r="ZX91" s="37"/>
      <c r="ZY91" s="37"/>
      <c r="ZZ91" s="37"/>
      <c r="AAA91" s="37"/>
      <c r="AAB91" s="37"/>
      <c r="AAC91" s="37"/>
      <c r="AAD91" s="37"/>
      <c r="AAE91" s="37"/>
      <c r="AAF91" s="37"/>
      <c r="AAG91" s="37"/>
      <c r="AAH91" s="37"/>
      <c r="AAI91" s="37"/>
      <c r="AAJ91" s="37"/>
      <c r="AAK91" s="37"/>
      <c r="AAL91" s="37"/>
      <c r="AAM91" s="37"/>
      <c r="AAN91" s="37"/>
      <c r="AAO91" s="37"/>
      <c r="AAP91" s="37"/>
      <c r="AAQ91" s="37"/>
      <c r="AAR91" s="37"/>
      <c r="AAS91" s="37"/>
      <c r="AAT91" s="37"/>
      <c r="AAU91" s="37"/>
      <c r="AAV91" s="37"/>
      <c r="AAW91" s="37"/>
      <c r="AAX91" s="37"/>
      <c r="AAY91" s="37"/>
      <c r="AAZ91" s="37"/>
      <c r="ABA91" s="37"/>
      <c r="ABB91" s="37"/>
      <c r="ABC91" s="37"/>
      <c r="ABD91" s="37"/>
      <c r="ABE91" s="37"/>
      <c r="ABF91" s="37"/>
      <c r="ABG91" s="37"/>
      <c r="ABH91" s="37"/>
      <c r="ABI91" s="37"/>
      <c r="ABJ91" s="37"/>
      <c r="ABK91" s="37"/>
      <c r="ABL91" s="37"/>
      <c r="ABM91" s="37"/>
      <c r="ABN91" s="37"/>
      <c r="ABO91" s="37"/>
      <c r="ABP91" s="37"/>
      <c r="ABQ91" s="37"/>
      <c r="ABR91" s="37"/>
      <c r="ABS91" s="37"/>
      <c r="ABT91" s="37"/>
      <c r="ABU91" s="37"/>
      <c r="ABV91" s="37"/>
      <c r="ABW91" s="37"/>
      <c r="ABX91" s="37"/>
      <c r="ABY91" s="37"/>
      <c r="ABZ91" s="37"/>
      <c r="ACA91" s="37"/>
      <c r="ACB91" s="37"/>
      <c r="ACC91" s="37"/>
      <c r="ACD91" s="37"/>
      <c r="ACE91" s="37"/>
      <c r="ACF91" s="37"/>
      <c r="ACG91" s="37"/>
      <c r="ACH91" s="37"/>
      <c r="ACI91" s="37"/>
      <c r="ACJ91" s="37"/>
      <c r="ACK91" s="37"/>
      <c r="ACL91" s="37"/>
      <c r="ACM91" s="37"/>
      <c r="ACN91" s="37"/>
      <c r="ACO91" s="37"/>
      <c r="ACP91" s="37"/>
      <c r="ACQ91" s="37"/>
      <c r="ACR91" s="37"/>
      <c r="ACS91" s="37"/>
      <c r="ACT91" s="37"/>
      <c r="ACU91" s="37"/>
      <c r="ACV91" s="37"/>
      <c r="ACW91" s="37"/>
      <c r="ACX91" s="37"/>
      <c r="ACY91" s="37"/>
      <c r="ACZ91" s="37"/>
      <c r="ADA91" s="37"/>
      <c r="ADB91" s="37"/>
      <c r="ADC91" s="37"/>
      <c r="ADD91" s="37"/>
      <c r="ADE91" s="37"/>
      <c r="ADF91" s="37"/>
      <c r="ADG91" s="37"/>
      <c r="ADH91" s="37"/>
      <c r="ADI91" s="37"/>
      <c r="ADJ91" s="37"/>
      <c r="ADK91" s="37"/>
      <c r="ADL91" s="37"/>
      <c r="ADM91" s="37"/>
      <c r="ADN91" s="37"/>
      <c r="ADO91" s="37"/>
      <c r="ADP91" s="37"/>
      <c r="ADQ91" s="37"/>
      <c r="ADR91" s="37"/>
      <c r="ADS91" s="37"/>
      <c r="ADT91" s="37"/>
      <c r="ADU91" s="37"/>
      <c r="ADV91" s="37"/>
      <c r="ADW91" s="37"/>
      <c r="ADX91" s="37"/>
      <c r="ADY91" s="37"/>
      <c r="ADZ91" s="37"/>
      <c r="AEA91" s="37"/>
      <c r="AEB91" s="37"/>
      <c r="AEC91" s="37"/>
      <c r="AED91" s="37"/>
      <c r="AEE91" s="37"/>
      <c r="AEF91" s="37"/>
      <c r="AEG91" s="37"/>
      <c r="AEH91" s="37"/>
      <c r="AEI91" s="37"/>
      <c r="AEJ91" s="37"/>
      <c r="AEK91" s="37"/>
      <c r="AEL91" s="37"/>
      <c r="AEM91" s="37"/>
      <c r="AEN91" s="37"/>
      <c r="AEO91" s="37"/>
      <c r="AEP91" s="37"/>
      <c r="AEQ91" s="37"/>
      <c r="AER91" s="37"/>
      <c r="AES91" s="37"/>
      <c r="AET91" s="37"/>
      <c r="AEU91" s="37"/>
      <c r="AEV91" s="37"/>
      <c r="AEW91" s="37"/>
      <c r="AEX91" s="37"/>
      <c r="AEY91" s="37"/>
      <c r="AEZ91" s="37"/>
      <c r="AFA91" s="37"/>
      <c r="AFB91" s="37"/>
      <c r="AFC91" s="37"/>
      <c r="AFD91" s="37"/>
      <c r="AFE91" s="37"/>
      <c r="AFF91" s="37"/>
      <c r="AFG91" s="37"/>
      <c r="AFH91" s="37"/>
      <c r="AFI91" s="37"/>
      <c r="AFJ91" s="37"/>
      <c r="AFK91" s="37"/>
      <c r="AFL91" s="37"/>
      <c r="AFM91" s="37"/>
      <c r="AFN91" s="37"/>
      <c r="AFO91" s="37"/>
      <c r="AFP91" s="37"/>
      <c r="AFQ91" s="37"/>
      <c r="AFR91" s="37"/>
      <c r="AFS91" s="37"/>
      <c r="AFT91" s="37"/>
      <c r="AFU91" s="37"/>
      <c r="AFV91" s="37"/>
      <c r="AFW91" s="37"/>
      <c r="AFX91" s="37"/>
      <c r="AFY91" s="37"/>
      <c r="AFZ91" s="37"/>
      <c r="AGA91" s="37"/>
      <c r="AGB91" s="37"/>
      <c r="AGC91" s="37"/>
      <c r="AGD91" s="37"/>
      <c r="AGE91" s="37"/>
      <c r="AGF91" s="37"/>
      <c r="AGG91" s="37"/>
      <c r="AGH91" s="37"/>
      <c r="AGI91" s="37"/>
      <c r="AGJ91" s="37"/>
      <c r="AGK91" s="37"/>
      <c r="AGL91" s="37"/>
      <c r="AGM91" s="37"/>
      <c r="AGN91" s="37"/>
      <c r="AGO91" s="37"/>
      <c r="AGP91" s="37"/>
      <c r="AGQ91" s="37"/>
      <c r="AGR91" s="37"/>
      <c r="AGS91" s="37"/>
      <c r="AGT91" s="37"/>
      <c r="AGU91" s="37"/>
      <c r="AGV91" s="37"/>
      <c r="AGW91" s="37"/>
      <c r="AGX91" s="37"/>
      <c r="AGY91" s="37"/>
      <c r="AGZ91" s="37"/>
      <c r="AHA91" s="37"/>
      <c r="AHB91" s="37"/>
      <c r="AHC91" s="37"/>
      <c r="AHD91" s="37"/>
      <c r="AHE91" s="37"/>
      <c r="AHF91" s="37"/>
      <c r="AHG91" s="37"/>
      <c r="AHH91" s="37"/>
      <c r="AHI91" s="37"/>
      <c r="AHJ91" s="37"/>
      <c r="AHK91" s="37"/>
      <c r="AHL91" s="37"/>
      <c r="AHM91" s="37"/>
      <c r="AHN91" s="37"/>
      <c r="AHO91" s="37"/>
      <c r="AHP91" s="37"/>
      <c r="AHQ91" s="37"/>
      <c r="AHR91" s="37"/>
      <c r="AHS91" s="37"/>
      <c r="AHT91" s="37"/>
      <c r="AHU91" s="37"/>
      <c r="AHV91" s="37"/>
      <c r="AHW91" s="37"/>
      <c r="AHX91" s="37"/>
      <c r="AHY91" s="37"/>
      <c r="AHZ91" s="37"/>
      <c r="AIA91" s="37"/>
      <c r="AIB91" s="37"/>
      <c r="AIC91" s="37"/>
      <c r="AID91" s="37"/>
      <c r="AIE91" s="37"/>
      <c r="AIF91" s="37"/>
      <c r="AIG91" s="37"/>
      <c r="AIH91" s="37"/>
      <c r="AII91" s="37"/>
      <c r="AIJ91" s="37"/>
      <c r="AIK91" s="37"/>
      <c r="AIL91" s="37"/>
      <c r="AIM91" s="37"/>
      <c r="AIN91" s="37"/>
      <c r="AIO91" s="37"/>
      <c r="AIP91" s="37"/>
      <c r="AIQ91" s="37"/>
      <c r="AIR91" s="37"/>
      <c r="AIS91" s="37"/>
      <c r="AIT91" s="37"/>
      <c r="AIU91" s="37"/>
      <c r="AIV91" s="37"/>
      <c r="AIW91" s="37"/>
      <c r="AIX91" s="37"/>
      <c r="AIY91" s="37"/>
      <c r="AIZ91" s="37"/>
      <c r="AJA91" s="37"/>
      <c r="AJB91" s="37"/>
      <c r="AJC91" s="37"/>
      <c r="AJD91" s="37"/>
      <c r="AJE91" s="37"/>
      <c r="AJF91" s="37"/>
      <c r="AJG91" s="37"/>
      <c r="AJH91" s="37"/>
      <c r="AJI91" s="37"/>
      <c r="AJJ91" s="37"/>
      <c r="AJK91" s="37"/>
      <c r="AJL91" s="37"/>
      <c r="AJM91" s="37"/>
      <c r="AJN91" s="37"/>
      <c r="AJO91" s="37"/>
      <c r="AJP91" s="37"/>
      <c r="AJQ91" s="37"/>
      <c r="AJR91" s="37"/>
      <c r="AJS91" s="37"/>
      <c r="AJT91" s="37"/>
      <c r="AJU91" s="37"/>
      <c r="AJV91" s="37"/>
      <c r="AJW91" s="37"/>
      <c r="AJX91" s="37"/>
      <c r="AJY91" s="37"/>
      <c r="AJZ91" s="37"/>
      <c r="AKA91" s="37"/>
      <c r="AKB91" s="37"/>
      <c r="AKC91" s="37"/>
      <c r="AKD91" s="37"/>
      <c r="AKE91" s="37"/>
      <c r="AKF91" s="37"/>
      <c r="AKG91" s="37"/>
      <c r="AKH91" s="37"/>
      <c r="AKI91" s="37"/>
      <c r="AKJ91" s="37"/>
      <c r="AKK91" s="37"/>
      <c r="AKL91" s="37"/>
      <c r="AKM91" s="37"/>
      <c r="AKN91" s="37"/>
      <c r="AKO91" s="37"/>
      <c r="AKP91" s="37"/>
      <c r="AKQ91" s="37"/>
      <c r="AKR91" s="37"/>
      <c r="AKS91" s="37"/>
      <c r="AKT91" s="37"/>
      <c r="AKU91" s="37"/>
      <c r="AKV91" s="37"/>
      <c r="AKW91" s="37"/>
      <c r="AKX91" s="37"/>
      <c r="AKY91" s="37"/>
      <c r="AKZ91" s="37"/>
      <c r="ALA91" s="37"/>
      <c r="ALB91" s="37"/>
      <c r="ALC91" s="37"/>
      <c r="ALD91" s="37"/>
      <c r="ALE91" s="37"/>
      <c r="ALF91" s="37"/>
      <c r="ALG91" s="37"/>
      <c r="ALH91" s="37"/>
      <c r="ALI91" s="37"/>
      <c r="ALJ91" s="37"/>
      <c r="ALK91" s="37"/>
      <c r="ALL91" s="37"/>
      <c r="ALM91" s="37"/>
      <c r="ALN91" s="37"/>
      <c r="ALO91" s="37"/>
      <c r="ALP91" s="37"/>
      <c r="ALQ91" s="37"/>
      <c r="ALR91" s="37"/>
    </row>
    <row r="92" spans="2:1006" x14ac:dyDescent="0.35">
      <c r="D92" s="20" t="s">
        <v>158</v>
      </c>
      <c r="E92" s="20" t="s">
        <v>78</v>
      </c>
      <c r="F92" s="20" t="b">
        <v>1</v>
      </c>
    </row>
    <row r="93" spans="2:1006" x14ac:dyDescent="0.35">
      <c r="D93" s="20" t="s">
        <v>159</v>
      </c>
      <c r="E93" s="20" t="s">
        <v>78</v>
      </c>
      <c r="F93" s="20" t="b">
        <v>1</v>
      </c>
    </row>
    <row r="95" spans="2:1006" x14ac:dyDescent="0.35">
      <c r="D95" s="20" t="s">
        <v>160</v>
      </c>
      <c r="E95" s="20" t="s">
        <v>161</v>
      </c>
      <c r="F95" s="32">
        <v>45</v>
      </c>
    </row>
    <row r="96" spans="2:1006" x14ac:dyDescent="0.35">
      <c r="F96" s="25"/>
    </row>
    <row r="97" spans="3:56" x14ac:dyDescent="0.35">
      <c r="D97" s="20" t="s">
        <v>415</v>
      </c>
      <c r="F97" s="57">
        <f>Scenario!$K$16/100</f>
        <v>1.35</v>
      </c>
    </row>
    <row r="98" spans="3:56" x14ac:dyDescent="0.35">
      <c r="F98" s="25"/>
    </row>
    <row r="99" spans="3:56" x14ac:dyDescent="0.35">
      <c r="F99" s="77">
        <f>Scenario!F23</f>
        <v>2015</v>
      </c>
      <c r="G99" s="26">
        <f>Scenario!G23</f>
        <v>2019</v>
      </c>
      <c r="H99" s="26">
        <f>Scenario!H23</f>
        <v>2020</v>
      </c>
      <c r="I99" s="26">
        <f>Scenario!I23</f>
        <v>2021</v>
      </c>
      <c r="J99" s="26">
        <f>Scenario!J23</f>
        <v>2022</v>
      </c>
      <c r="K99" s="26">
        <f>Scenario!K23</f>
        <v>2023</v>
      </c>
      <c r="L99" s="26">
        <f>Scenario!L23</f>
        <v>2024</v>
      </c>
      <c r="M99" s="26">
        <f>Scenario!M23</f>
        <v>2025</v>
      </c>
      <c r="N99" s="26">
        <f>Scenario!N23</f>
        <v>2026</v>
      </c>
      <c r="O99" s="26">
        <f>Scenario!O23</f>
        <v>2027</v>
      </c>
      <c r="P99" s="26">
        <f>Scenario!P23</f>
        <v>2028</v>
      </c>
      <c r="Q99" s="26">
        <f>Scenario!Q23</f>
        <v>2029</v>
      </c>
      <c r="R99" s="26">
        <f>Scenario!R23</f>
        <v>2030</v>
      </c>
      <c r="S99" s="26">
        <f>Scenario!S23</f>
        <v>2031</v>
      </c>
      <c r="T99" s="26">
        <f>Scenario!T23</f>
        <v>2032</v>
      </c>
      <c r="U99" s="26">
        <f>Scenario!U23</f>
        <v>2033</v>
      </c>
      <c r="V99" s="26">
        <f>Scenario!V23</f>
        <v>2034</v>
      </c>
      <c r="W99" s="26">
        <f>Scenario!W23</f>
        <v>2035</v>
      </c>
      <c r="X99" s="26">
        <f>Scenario!X23</f>
        <v>2036</v>
      </c>
      <c r="Y99" s="26">
        <f>Scenario!Y23</f>
        <v>2037</v>
      </c>
      <c r="Z99" s="26">
        <f>Scenario!Z23</f>
        <v>2038</v>
      </c>
      <c r="AA99" s="26">
        <f>Scenario!AA23</f>
        <v>2039</v>
      </c>
      <c r="AB99" s="26">
        <f>Scenario!AB23</f>
        <v>2040</v>
      </c>
      <c r="AC99" s="26">
        <f>Scenario!AC23</f>
        <v>2041</v>
      </c>
      <c r="AD99" s="26">
        <f>Scenario!AD23</f>
        <v>2042</v>
      </c>
      <c r="AE99" s="26">
        <f>Scenario!AE23</f>
        <v>2043</v>
      </c>
      <c r="AF99" s="26">
        <f>Scenario!AF23</f>
        <v>2044</v>
      </c>
      <c r="AG99" s="26">
        <f>Scenario!AG23</f>
        <v>2045</v>
      </c>
      <c r="AH99" s="26">
        <f>Scenario!AH23</f>
        <v>2046</v>
      </c>
      <c r="AI99" s="26">
        <f>Scenario!AI23</f>
        <v>2047</v>
      </c>
      <c r="AJ99" s="26">
        <f>Scenario!AJ23</f>
        <v>2048</v>
      </c>
      <c r="AK99" s="26">
        <f>Scenario!AK23</f>
        <v>2049</v>
      </c>
      <c r="AL99" s="26">
        <f>Scenario!AL23</f>
        <v>2050</v>
      </c>
      <c r="AM99" s="26">
        <f>Scenario!AM23</f>
        <v>2051</v>
      </c>
      <c r="AN99" s="26">
        <f>Scenario!AN23</f>
        <v>2052</v>
      </c>
      <c r="AO99" s="26">
        <f>Scenario!AO23</f>
        <v>2053</v>
      </c>
      <c r="AP99" s="26">
        <f>Scenario!AP23</f>
        <v>2054</v>
      </c>
      <c r="AQ99" s="26">
        <f>Scenario!AQ23</f>
        <v>2055</v>
      </c>
      <c r="AR99" s="26">
        <f>Scenario!AR23</f>
        <v>2056</v>
      </c>
      <c r="AS99" s="26">
        <f>Scenario!AS23</f>
        <v>2057</v>
      </c>
      <c r="AT99" s="26">
        <f>Scenario!AT23</f>
        <v>2058</v>
      </c>
      <c r="AU99" s="26"/>
      <c r="AV99" s="26"/>
      <c r="AW99" s="26"/>
      <c r="AX99" s="26"/>
      <c r="AY99" s="26"/>
      <c r="AZ99" s="26"/>
      <c r="BA99" s="26"/>
      <c r="BB99" s="26"/>
      <c r="BC99" s="26"/>
      <c r="BD99" s="26"/>
    </row>
    <row r="100" spans="3:56" x14ac:dyDescent="0.35">
      <c r="D100" s="20" t="str">
        <f>Scenario!$D$30</f>
        <v>Scenario 1</v>
      </c>
      <c r="E100" s="20" t="s">
        <v>161</v>
      </c>
      <c r="F100" s="78">
        <f>Scenario!F30</f>
        <v>21.99</v>
      </c>
      <c r="G100" s="25">
        <f>Scenario!G30</f>
        <v>22.74</v>
      </c>
      <c r="H100" s="25">
        <f>Scenario!H30</f>
        <v>23.26</v>
      </c>
      <c r="I100" s="25">
        <f>Scenario!I30</f>
        <v>23.36</v>
      </c>
      <c r="J100" s="25">
        <f>Scenario!J30</f>
        <v>25.07</v>
      </c>
      <c r="K100" s="25">
        <f>Scenario!K30</f>
        <v>28.07</v>
      </c>
      <c r="L100" s="25">
        <f>Scenario!L30</f>
        <v>28.97</v>
      </c>
      <c r="M100" s="25">
        <f>Scenario!M30</f>
        <v>29.12</v>
      </c>
      <c r="N100" s="25">
        <f>Scenario!N30</f>
        <v>30.45</v>
      </c>
      <c r="O100" s="25">
        <f>Scenario!O30</f>
        <v>32.049999999999997</v>
      </c>
      <c r="P100" s="25">
        <f>Scenario!P30</f>
        <v>34.17</v>
      </c>
      <c r="Q100" s="25">
        <f>Scenario!Q30</f>
        <v>36.17</v>
      </c>
      <c r="R100" s="25">
        <f>Scenario!R30</f>
        <v>37.520000000000003</v>
      </c>
      <c r="S100" s="25">
        <f>Scenario!S30</f>
        <v>38.25</v>
      </c>
      <c r="T100" s="25">
        <f>Scenario!T30</f>
        <v>40.380000000000003</v>
      </c>
      <c r="U100" s="25">
        <f>Scenario!U30</f>
        <v>41.76</v>
      </c>
      <c r="V100" s="25">
        <f>Scenario!V30</f>
        <v>44.81</v>
      </c>
      <c r="W100" s="25">
        <f>Scenario!W30</f>
        <v>47.35</v>
      </c>
      <c r="X100" s="25">
        <f>Scenario!X30</f>
        <v>50.16</v>
      </c>
      <c r="Y100" s="25">
        <f>Scenario!Y30</f>
        <v>52.83</v>
      </c>
      <c r="Z100" s="25">
        <f>Scenario!Z30</f>
        <v>53.61</v>
      </c>
      <c r="AA100" s="25">
        <f>Scenario!AA30</f>
        <v>54.04</v>
      </c>
      <c r="AB100" s="25">
        <f>Scenario!AB30</f>
        <v>54.52</v>
      </c>
      <c r="AC100" s="25">
        <f>Scenario!AC30</f>
        <v>55.38</v>
      </c>
      <c r="AD100" s="25">
        <f>Scenario!AD30</f>
        <v>55.64</v>
      </c>
      <c r="AE100" s="25">
        <f>Scenario!AE30</f>
        <v>55.91</v>
      </c>
      <c r="AF100" s="25">
        <f>Scenario!AF30</f>
        <v>56.6</v>
      </c>
      <c r="AG100" s="25">
        <f>Scenario!AG30</f>
        <v>58.73</v>
      </c>
      <c r="AH100" s="25">
        <f>Scenario!AH30</f>
        <v>58.15</v>
      </c>
      <c r="AI100" s="25">
        <f>Scenario!AI30</f>
        <v>59.83</v>
      </c>
      <c r="AJ100" s="25">
        <f>Scenario!AJ30</f>
        <v>61.026600000000002</v>
      </c>
      <c r="AK100" s="25">
        <f>Scenario!AK30</f>
        <v>62.247132000000001</v>
      </c>
      <c r="AL100" s="25">
        <f>Scenario!AL30</f>
        <v>63.492074639999998</v>
      </c>
      <c r="AM100" s="25">
        <f>Scenario!AM30</f>
        <v>64.761916132799996</v>
      </c>
      <c r="AN100" s="25">
        <f>Scenario!AN30</f>
        <v>66.057154455456001</v>
      </c>
      <c r="AO100" s="25">
        <f>Scenario!AO30</f>
        <v>67.378297544565129</v>
      </c>
      <c r="AP100" s="25">
        <f>Scenario!AP30</f>
        <v>68.725863495456437</v>
      </c>
      <c r="AQ100" s="25">
        <f>Scenario!AQ30</f>
        <v>70.100380765365571</v>
      </c>
      <c r="AR100" s="25">
        <f>Scenario!AR30</f>
        <v>71.502388380672883</v>
      </c>
      <c r="AS100" s="25">
        <f>Scenario!AS30</f>
        <v>72.932436148286342</v>
      </c>
      <c r="AT100" s="25">
        <f>Scenario!AT30</f>
        <v>74.391084871252076</v>
      </c>
      <c r="AU100" s="26"/>
      <c r="AV100" s="26"/>
      <c r="AW100" s="26"/>
      <c r="AX100" s="26"/>
      <c r="AY100" s="26"/>
      <c r="AZ100" s="26"/>
      <c r="BA100" s="26"/>
      <c r="BB100" s="26"/>
      <c r="BC100" s="26"/>
      <c r="BD100" s="26"/>
    </row>
    <row r="101" spans="3:56" x14ac:dyDescent="0.35">
      <c r="D101" s="20" t="str">
        <f>Scenario!$D$30</f>
        <v>Scenario 1</v>
      </c>
      <c r="E101" s="20" t="s">
        <v>161</v>
      </c>
      <c r="F101" s="78">
        <f>$F$97*F100</f>
        <v>29.686499999999999</v>
      </c>
      <c r="G101" s="25">
        <f t="shared" ref="G101:AT101" si="6">$F$97*G100</f>
        <v>30.699000000000002</v>
      </c>
      <c r="H101" s="25">
        <f t="shared" si="6"/>
        <v>31.401000000000003</v>
      </c>
      <c r="I101" s="25">
        <f t="shared" si="6"/>
        <v>31.536000000000001</v>
      </c>
      <c r="J101" s="25">
        <f t="shared" si="6"/>
        <v>33.844500000000004</v>
      </c>
      <c r="K101" s="25">
        <f t="shared" si="6"/>
        <v>37.894500000000001</v>
      </c>
      <c r="L101" s="25">
        <f t="shared" si="6"/>
        <v>39.109500000000004</v>
      </c>
      <c r="M101" s="25">
        <f t="shared" si="6"/>
        <v>39.312000000000005</v>
      </c>
      <c r="N101" s="25">
        <f t="shared" si="6"/>
        <v>41.107500000000002</v>
      </c>
      <c r="O101" s="25">
        <f t="shared" si="6"/>
        <v>43.267499999999998</v>
      </c>
      <c r="P101" s="25">
        <f t="shared" si="6"/>
        <v>46.129500000000007</v>
      </c>
      <c r="Q101" s="25">
        <f t="shared" si="6"/>
        <v>48.829500000000003</v>
      </c>
      <c r="R101" s="25">
        <f t="shared" si="6"/>
        <v>50.652000000000008</v>
      </c>
      <c r="S101" s="25">
        <f t="shared" si="6"/>
        <v>51.637500000000003</v>
      </c>
      <c r="T101" s="25">
        <f t="shared" si="6"/>
        <v>54.513000000000005</v>
      </c>
      <c r="U101" s="25">
        <f t="shared" si="6"/>
        <v>56.375999999999998</v>
      </c>
      <c r="V101" s="25">
        <f t="shared" si="6"/>
        <v>60.493500000000004</v>
      </c>
      <c r="W101" s="25">
        <f t="shared" si="6"/>
        <v>63.922500000000007</v>
      </c>
      <c r="X101" s="25">
        <f t="shared" si="6"/>
        <v>67.715999999999994</v>
      </c>
      <c r="Y101" s="25">
        <f t="shared" si="6"/>
        <v>71.320499999999996</v>
      </c>
      <c r="Z101" s="25">
        <f t="shared" si="6"/>
        <v>72.373500000000007</v>
      </c>
      <c r="AA101" s="25">
        <f t="shared" si="6"/>
        <v>72.954000000000008</v>
      </c>
      <c r="AB101" s="25">
        <f t="shared" si="6"/>
        <v>73.602000000000004</v>
      </c>
      <c r="AC101" s="25">
        <f t="shared" si="6"/>
        <v>74.763000000000005</v>
      </c>
      <c r="AD101" s="25">
        <f t="shared" si="6"/>
        <v>75.114000000000004</v>
      </c>
      <c r="AE101" s="25">
        <f t="shared" si="6"/>
        <v>75.478499999999997</v>
      </c>
      <c r="AF101" s="25">
        <f t="shared" si="6"/>
        <v>76.410000000000011</v>
      </c>
      <c r="AG101" s="25">
        <f t="shared" si="6"/>
        <v>79.285499999999999</v>
      </c>
      <c r="AH101" s="25">
        <f t="shared" si="6"/>
        <v>78.502499999999998</v>
      </c>
      <c r="AI101" s="25">
        <f t="shared" si="6"/>
        <v>80.770499999999998</v>
      </c>
      <c r="AJ101" s="25">
        <f t="shared" si="6"/>
        <v>82.38591000000001</v>
      </c>
      <c r="AK101" s="25">
        <f t="shared" si="6"/>
        <v>84.03362820000001</v>
      </c>
      <c r="AL101" s="25">
        <f t="shared" si="6"/>
        <v>85.714300764000001</v>
      </c>
      <c r="AM101" s="25">
        <f t="shared" si="6"/>
        <v>87.428586779279996</v>
      </c>
      <c r="AN101" s="25">
        <f t="shared" si="6"/>
        <v>89.17715851486561</v>
      </c>
      <c r="AO101" s="25">
        <f t="shared" si="6"/>
        <v>90.960701685162931</v>
      </c>
      <c r="AP101" s="25">
        <f t="shared" si="6"/>
        <v>92.779915718866192</v>
      </c>
      <c r="AQ101" s="25">
        <f t="shared" si="6"/>
        <v>94.635514033243524</v>
      </c>
      <c r="AR101" s="25">
        <f t="shared" si="6"/>
        <v>96.528224313908396</v>
      </c>
      <c r="AS101" s="25">
        <f t="shared" si="6"/>
        <v>98.458788800186568</v>
      </c>
      <c r="AT101" s="25">
        <f t="shared" si="6"/>
        <v>100.42796457619031</v>
      </c>
    </row>
    <row r="103" spans="3:56" x14ac:dyDescent="0.35">
      <c r="D103" s="20" t="s">
        <v>432</v>
      </c>
      <c r="E103" s="20" t="s">
        <v>19</v>
      </c>
      <c r="F103" s="30">
        <v>7.0000000000000007E-2</v>
      </c>
    </row>
    <row r="104" spans="3:56" x14ac:dyDescent="0.35">
      <c r="D104" s="20" t="s">
        <v>433</v>
      </c>
      <c r="E104" s="20" t="s">
        <v>19</v>
      </c>
      <c r="F104" s="30">
        <v>0.02</v>
      </c>
    </row>
    <row r="106" spans="3:56" x14ac:dyDescent="0.35">
      <c r="C106" s="20" t="s">
        <v>208</v>
      </c>
    </row>
    <row r="107" spans="3:56" x14ac:dyDescent="0.35">
      <c r="D107" s="20" t="s">
        <v>211</v>
      </c>
      <c r="E107" s="20" t="s">
        <v>78</v>
      </c>
      <c r="F107" s="20" t="b">
        <v>0</v>
      </c>
    </row>
    <row r="108" spans="3:56" x14ac:dyDescent="0.35">
      <c r="D108" s="20" t="s">
        <v>209</v>
      </c>
      <c r="E108" s="20" t="s">
        <v>64</v>
      </c>
      <c r="F108" s="34">
        <v>43891</v>
      </c>
    </row>
    <row r="109" spans="3:56" x14ac:dyDescent="0.35">
      <c r="D109" s="20" t="s">
        <v>210</v>
      </c>
      <c r="E109" s="20" t="s">
        <v>64</v>
      </c>
      <c r="F109" s="34">
        <v>44621</v>
      </c>
    </row>
    <row r="112" spans="3:56" x14ac:dyDescent="0.35">
      <c r="E112" s="26">
        <f>YEAR(Assumptions!F6)</f>
        <v>2015</v>
      </c>
      <c r="F112" s="33">
        <v>2020</v>
      </c>
      <c r="G112" s="26">
        <f>F112+1</f>
        <v>2021</v>
      </c>
      <c r="H112" s="26">
        <f>G112+1</f>
        <v>2022</v>
      </c>
      <c r="I112" s="33">
        <v>2023</v>
      </c>
      <c r="J112" s="33">
        <v>2024</v>
      </c>
    </row>
    <row r="113" spans="2:1006" x14ac:dyDescent="0.35">
      <c r="D113" s="20" t="s">
        <v>35</v>
      </c>
      <c r="E113" s="22">
        <f>CHOOSE(Scenario!$E$33,Scenario!E37,Scenario!E53,Scenario!E69)</f>
        <v>1</v>
      </c>
      <c r="F113" s="57">
        <f>CHOOSE(Scenario!$E$33,Scenario!F37,Scenario!F53,Scenario!F69)</f>
        <v>1</v>
      </c>
      <c r="G113" s="22">
        <f>CHOOSE(Scenario!$E$33,Scenario!G37,Scenario!G53,Scenario!G69)</f>
        <v>0.1</v>
      </c>
      <c r="H113" s="22">
        <f>CHOOSE(Scenario!$E$33,Scenario!H37,Scenario!H53,Scenario!H69)</f>
        <v>0.2</v>
      </c>
      <c r="I113" s="22">
        <f>CHOOSE(Scenario!$E$33,Scenario!I37,Scenario!I53,Scenario!I69)</f>
        <v>0.45</v>
      </c>
      <c r="J113" s="22">
        <f>CHOOSE(Scenario!$E$33,Scenario!J37,Scenario!J53,Scenario!J69)</f>
        <v>1</v>
      </c>
    </row>
    <row r="114" spans="2:1006" x14ac:dyDescent="0.35">
      <c r="D114" s="20" t="s">
        <v>36</v>
      </c>
      <c r="E114" s="22">
        <f>CHOOSE(Scenario!$E$33,Scenario!E38,Scenario!E54,Scenario!E70)</f>
        <v>1</v>
      </c>
      <c r="F114" s="57">
        <f>CHOOSE(Scenario!$E$33,Scenario!F38,Scenario!F54,Scenario!F70)</f>
        <v>1</v>
      </c>
      <c r="G114" s="22">
        <f>CHOOSE(Scenario!$E$33,Scenario!G38,Scenario!G54,Scenario!G70)</f>
        <v>0.1</v>
      </c>
      <c r="H114" s="22">
        <f>CHOOSE(Scenario!$E$33,Scenario!H38,Scenario!H54,Scenario!H70)</f>
        <v>0.2</v>
      </c>
      <c r="I114" s="22">
        <f>CHOOSE(Scenario!$E$33,Scenario!I38,Scenario!I54,Scenario!I70)</f>
        <v>0.45</v>
      </c>
      <c r="J114" s="22">
        <f>CHOOSE(Scenario!$E$33,Scenario!J38,Scenario!J54,Scenario!J70)</f>
        <v>1</v>
      </c>
    </row>
    <row r="115" spans="2:1006" x14ac:dyDescent="0.35">
      <c r="D115" s="20" t="s">
        <v>37</v>
      </c>
      <c r="E115" s="22">
        <f>CHOOSE(Scenario!$E$33,Scenario!E39,Scenario!E55,Scenario!E71)</f>
        <v>1</v>
      </c>
      <c r="F115" s="57">
        <f>CHOOSE(Scenario!$E$33,Scenario!F39,Scenario!F55,Scenario!F71)</f>
        <v>0.5</v>
      </c>
      <c r="G115" s="22">
        <f>CHOOSE(Scenario!$E$33,Scenario!G39,Scenario!G55,Scenario!G71)</f>
        <v>0.1</v>
      </c>
      <c r="H115" s="22">
        <f>CHOOSE(Scenario!$E$33,Scenario!H39,Scenario!H55,Scenario!H71)</f>
        <v>0.2</v>
      </c>
      <c r="I115" s="22">
        <f>CHOOSE(Scenario!$E$33,Scenario!I39,Scenario!I55,Scenario!I71)</f>
        <v>0.45</v>
      </c>
      <c r="J115" s="22">
        <f>CHOOSE(Scenario!$E$33,Scenario!J39,Scenario!J55,Scenario!J71)</f>
        <v>1</v>
      </c>
    </row>
    <row r="116" spans="2:1006" x14ac:dyDescent="0.35">
      <c r="D116" s="20" t="s">
        <v>38</v>
      </c>
      <c r="E116" s="22">
        <f>CHOOSE(Scenario!$E$33,Scenario!E40,Scenario!E56,Scenario!E72)</f>
        <v>1</v>
      </c>
      <c r="F116" s="57">
        <f>CHOOSE(Scenario!$E$33,Scenario!F40,Scenario!F56,Scenario!F72)</f>
        <v>0.02</v>
      </c>
      <c r="G116" s="22">
        <f>CHOOSE(Scenario!$E$33,Scenario!G40,Scenario!G56,Scenario!G72)</f>
        <v>0.1</v>
      </c>
      <c r="H116" s="22">
        <f>CHOOSE(Scenario!$E$33,Scenario!H40,Scenario!H56,Scenario!H72)</f>
        <v>0.2</v>
      </c>
      <c r="I116" s="22">
        <f>CHOOSE(Scenario!$E$33,Scenario!I40,Scenario!I56,Scenario!I72)</f>
        <v>0.45</v>
      </c>
      <c r="J116" s="22">
        <f>CHOOSE(Scenario!$E$33,Scenario!J40,Scenario!J56,Scenario!J72)</f>
        <v>1</v>
      </c>
    </row>
    <row r="117" spans="2:1006" x14ac:dyDescent="0.35">
      <c r="D117" s="20" t="s">
        <v>39</v>
      </c>
      <c r="E117" s="22">
        <f>CHOOSE(Scenario!$E$33,Scenario!E41,Scenario!E57,Scenario!E73)</f>
        <v>1</v>
      </c>
      <c r="F117" s="57">
        <f>CHOOSE(Scenario!$E$33,Scenario!F41,Scenario!F57,Scenario!F73)</f>
        <v>0.02</v>
      </c>
      <c r="G117" s="22">
        <f>CHOOSE(Scenario!$E$33,Scenario!G41,Scenario!G57,Scenario!G73)</f>
        <v>0.1</v>
      </c>
      <c r="H117" s="22">
        <f>CHOOSE(Scenario!$E$33,Scenario!H41,Scenario!H57,Scenario!H73)</f>
        <v>0.2</v>
      </c>
      <c r="I117" s="22">
        <f>CHOOSE(Scenario!$E$33,Scenario!I41,Scenario!I57,Scenario!I73)</f>
        <v>0.45</v>
      </c>
      <c r="J117" s="22">
        <f>CHOOSE(Scenario!$E$33,Scenario!J41,Scenario!J57,Scenario!J73)</f>
        <v>1</v>
      </c>
    </row>
    <row r="118" spans="2:1006" x14ac:dyDescent="0.35">
      <c r="D118" s="20" t="s">
        <v>40</v>
      </c>
      <c r="E118" s="22">
        <f>CHOOSE(Scenario!$E$33,Scenario!E42,Scenario!E58,Scenario!E74)</f>
        <v>1</v>
      </c>
      <c r="F118" s="57">
        <f>CHOOSE(Scenario!$E$33,Scenario!F42,Scenario!F58,Scenario!F74)</f>
        <v>0.02</v>
      </c>
      <c r="G118" s="22">
        <f>CHOOSE(Scenario!$E$33,Scenario!G42,Scenario!G58,Scenario!G74)</f>
        <v>0.1</v>
      </c>
      <c r="H118" s="22">
        <f>CHOOSE(Scenario!$E$33,Scenario!H42,Scenario!H58,Scenario!H74)</f>
        <v>0.2</v>
      </c>
      <c r="I118" s="22">
        <f>CHOOSE(Scenario!$E$33,Scenario!I42,Scenario!I58,Scenario!I74)</f>
        <v>0.45</v>
      </c>
      <c r="J118" s="22">
        <f>CHOOSE(Scenario!$E$33,Scenario!J42,Scenario!J58,Scenario!J74)</f>
        <v>1</v>
      </c>
    </row>
    <row r="119" spans="2:1006" x14ac:dyDescent="0.35">
      <c r="D119" s="20" t="s">
        <v>41</v>
      </c>
      <c r="E119" s="22">
        <f>CHOOSE(Scenario!$E$33,Scenario!E43,Scenario!E59,Scenario!E75)</f>
        <v>1</v>
      </c>
      <c r="F119" s="57">
        <f>CHOOSE(Scenario!$E$33,Scenario!F43,Scenario!F59,Scenario!F75)</f>
        <v>0.02</v>
      </c>
      <c r="G119" s="22">
        <f>CHOOSE(Scenario!$E$33,Scenario!G43,Scenario!G59,Scenario!G75)</f>
        <v>0.1</v>
      </c>
      <c r="H119" s="22">
        <f>CHOOSE(Scenario!$E$33,Scenario!H43,Scenario!H59,Scenario!H75)</f>
        <v>0.3</v>
      </c>
      <c r="I119" s="22">
        <f>CHOOSE(Scenario!$E$33,Scenario!I43,Scenario!I59,Scenario!I75)</f>
        <v>0.45</v>
      </c>
      <c r="J119" s="22">
        <f>CHOOSE(Scenario!$E$33,Scenario!J43,Scenario!J59,Scenario!J75)</f>
        <v>1</v>
      </c>
    </row>
    <row r="120" spans="2:1006" x14ac:dyDescent="0.35">
      <c r="D120" s="20" t="s">
        <v>42</v>
      </c>
      <c r="E120" s="22">
        <f>CHOOSE(Scenario!$E$33,Scenario!E44,Scenario!E60,Scenario!E76)</f>
        <v>1</v>
      </c>
      <c r="F120" s="57">
        <f>CHOOSE(Scenario!$E$33,Scenario!F44,Scenario!F60,Scenario!F76)</f>
        <v>0.02</v>
      </c>
      <c r="G120" s="22">
        <f>CHOOSE(Scenario!$E$33,Scenario!G44,Scenario!G60,Scenario!G76)</f>
        <v>0.1</v>
      </c>
      <c r="H120" s="22">
        <f>CHOOSE(Scenario!$E$33,Scenario!H44,Scenario!H60,Scenario!H76)</f>
        <v>0.3</v>
      </c>
      <c r="I120" s="22">
        <f>CHOOSE(Scenario!$E$33,Scenario!I44,Scenario!I60,Scenario!I76)</f>
        <v>0.5</v>
      </c>
      <c r="J120" s="22">
        <f>CHOOSE(Scenario!$E$33,Scenario!J44,Scenario!J60,Scenario!J76)</f>
        <v>1</v>
      </c>
    </row>
    <row r="121" spans="2:1006" x14ac:dyDescent="0.35">
      <c r="D121" s="20" t="s">
        <v>43</v>
      </c>
      <c r="E121" s="22">
        <f>CHOOSE(Scenario!$E$33,Scenario!E45,Scenario!E61,Scenario!E77)</f>
        <v>1</v>
      </c>
      <c r="F121" s="57">
        <f>CHOOSE(Scenario!$E$33,Scenario!F45,Scenario!F61,Scenario!F77)</f>
        <v>0.05</v>
      </c>
      <c r="G121" s="22">
        <f>CHOOSE(Scenario!$E$33,Scenario!G45,Scenario!G61,Scenario!G77)</f>
        <v>0.15</v>
      </c>
      <c r="H121" s="22">
        <f>CHOOSE(Scenario!$E$33,Scenario!H45,Scenario!H61,Scenario!H77)</f>
        <v>0.3</v>
      </c>
      <c r="I121" s="22">
        <f>CHOOSE(Scenario!$E$33,Scenario!I45,Scenario!I61,Scenario!I77)</f>
        <v>0.6</v>
      </c>
      <c r="J121" s="22">
        <f>CHOOSE(Scenario!$E$33,Scenario!J45,Scenario!J61,Scenario!J77)</f>
        <v>1</v>
      </c>
    </row>
    <row r="122" spans="2:1006" x14ac:dyDescent="0.35">
      <c r="D122" s="20" t="s">
        <v>44</v>
      </c>
      <c r="E122" s="22">
        <f>CHOOSE(Scenario!$E$33,Scenario!E46,Scenario!E62,Scenario!E78)</f>
        <v>1</v>
      </c>
      <c r="F122" s="57">
        <f>CHOOSE(Scenario!$E$33,Scenario!F46,Scenario!F62,Scenario!F78)</f>
        <v>0.1</v>
      </c>
      <c r="G122" s="22">
        <f>CHOOSE(Scenario!$E$33,Scenario!G46,Scenario!G62,Scenario!G78)</f>
        <v>0.15</v>
      </c>
      <c r="H122" s="22">
        <f>CHOOSE(Scenario!$E$33,Scenario!H46,Scenario!H62,Scenario!H78)</f>
        <v>0.3</v>
      </c>
      <c r="I122" s="22">
        <f>CHOOSE(Scenario!$E$33,Scenario!I46,Scenario!I62,Scenario!I78)</f>
        <v>0.7</v>
      </c>
      <c r="J122" s="22">
        <f>CHOOSE(Scenario!$E$33,Scenario!J46,Scenario!J62,Scenario!J78)</f>
        <v>1</v>
      </c>
    </row>
    <row r="123" spans="2:1006" x14ac:dyDescent="0.35">
      <c r="D123" s="20" t="s">
        <v>45</v>
      </c>
      <c r="E123" s="22">
        <f>CHOOSE(Scenario!$E$33,Scenario!E47,Scenario!E63,Scenario!E79)</f>
        <v>1</v>
      </c>
      <c r="F123" s="57">
        <f>CHOOSE(Scenario!$E$33,Scenario!F47,Scenario!F63,Scenario!F79)</f>
        <v>0.1</v>
      </c>
      <c r="G123" s="22">
        <f>CHOOSE(Scenario!$E$33,Scenario!G47,Scenario!G63,Scenario!G79)</f>
        <v>0.15</v>
      </c>
      <c r="H123" s="22">
        <f>CHOOSE(Scenario!$E$33,Scenario!H47,Scenario!H63,Scenario!H79)</f>
        <v>0.4</v>
      </c>
      <c r="I123" s="22">
        <f>CHOOSE(Scenario!$E$33,Scenario!I47,Scenario!I63,Scenario!I79)</f>
        <v>0.9</v>
      </c>
      <c r="J123" s="22">
        <f>CHOOSE(Scenario!$E$33,Scenario!J47,Scenario!J63,Scenario!J79)</f>
        <v>1</v>
      </c>
    </row>
    <row r="124" spans="2:1006" x14ac:dyDescent="0.35">
      <c r="D124" s="20" t="s">
        <v>46</v>
      </c>
      <c r="E124" s="22">
        <f>CHOOSE(Scenario!$E$33,Scenario!E48,Scenario!E64,Scenario!E80)</f>
        <v>1</v>
      </c>
      <c r="F124" s="57">
        <f>CHOOSE(Scenario!$E$33,Scenario!F48,Scenario!F64,Scenario!F80)</f>
        <v>0.1</v>
      </c>
      <c r="G124" s="22">
        <f>CHOOSE(Scenario!$E$33,Scenario!G48,Scenario!G64,Scenario!G80)</f>
        <v>0.15</v>
      </c>
      <c r="H124" s="22">
        <f>CHOOSE(Scenario!$E$33,Scenario!H48,Scenario!H64,Scenario!H80)</f>
        <v>0.4</v>
      </c>
      <c r="I124" s="22">
        <f>CHOOSE(Scenario!$E$33,Scenario!I48,Scenario!I64,Scenario!I80)</f>
        <v>0.9</v>
      </c>
      <c r="J124" s="22">
        <f>CHOOSE(Scenario!$E$33,Scenario!J48,Scenario!J64,Scenario!J80)</f>
        <v>1</v>
      </c>
    </row>
    <row r="126" spans="2:1006" x14ac:dyDescent="0.35">
      <c r="B126" s="37" t="s">
        <v>261</v>
      </c>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c r="BT126" s="37"/>
      <c r="BU126" s="37"/>
      <c r="BV126" s="37"/>
      <c r="BW126" s="37"/>
      <c r="BX126" s="37"/>
      <c r="BY126" s="37"/>
      <c r="BZ126" s="37"/>
      <c r="CA126" s="37"/>
      <c r="CB126" s="37"/>
      <c r="CC126" s="37"/>
      <c r="CD126" s="37"/>
      <c r="CE126" s="37"/>
      <c r="CF126" s="37"/>
      <c r="CG126" s="37"/>
      <c r="CH126" s="37"/>
      <c r="CI126" s="37"/>
      <c r="CJ126" s="37"/>
      <c r="CK126" s="37"/>
      <c r="CL126" s="37"/>
      <c r="CM126" s="37"/>
      <c r="CN126" s="37"/>
      <c r="CO126" s="37"/>
      <c r="CP126" s="37"/>
      <c r="CQ126" s="37"/>
      <c r="CR126" s="37"/>
      <c r="CS126" s="37"/>
      <c r="CT126" s="37"/>
      <c r="CU126" s="37"/>
      <c r="CV126" s="37"/>
      <c r="CW126" s="37"/>
      <c r="CX126" s="37"/>
      <c r="CY126" s="37"/>
      <c r="CZ126" s="37"/>
      <c r="DA126" s="37"/>
      <c r="DB126" s="37"/>
      <c r="DC126" s="37"/>
      <c r="DD126" s="37"/>
      <c r="DE126" s="37"/>
      <c r="DF126" s="37"/>
      <c r="DG126" s="37"/>
      <c r="DH126" s="37"/>
      <c r="DI126" s="37"/>
      <c r="DJ126" s="37"/>
      <c r="DK126" s="37"/>
      <c r="DL126" s="37"/>
      <c r="DM126" s="37"/>
      <c r="DN126" s="37"/>
      <c r="DO126" s="37"/>
      <c r="DP126" s="37"/>
      <c r="DQ126" s="37"/>
      <c r="DR126" s="37"/>
      <c r="DS126" s="37"/>
      <c r="DT126" s="37"/>
      <c r="DU126" s="37"/>
      <c r="DV126" s="37"/>
      <c r="DW126" s="37"/>
      <c r="DX126" s="37"/>
      <c r="DY126" s="37"/>
      <c r="DZ126" s="37"/>
      <c r="EA126" s="37"/>
      <c r="EB126" s="37"/>
      <c r="EC126" s="37"/>
      <c r="ED126" s="37"/>
      <c r="EE126" s="37"/>
      <c r="EF126" s="37"/>
      <c r="EG126" s="37"/>
      <c r="EH126" s="37"/>
      <c r="EI126" s="37"/>
      <c r="EJ126" s="37"/>
      <c r="EK126" s="37"/>
      <c r="EL126" s="37"/>
      <c r="EM126" s="37"/>
      <c r="EN126" s="37"/>
      <c r="EO126" s="37"/>
      <c r="EP126" s="37"/>
      <c r="EQ126" s="37"/>
      <c r="ER126" s="37"/>
      <c r="ES126" s="37"/>
      <c r="ET126" s="37"/>
      <c r="EU126" s="37"/>
      <c r="EV126" s="37"/>
      <c r="EW126" s="37"/>
      <c r="EX126" s="37"/>
      <c r="EY126" s="37"/>
      <c r="EZ126" s="37"/>
      <c r="FA126" s="37"/>
      <c r="FB126" s="37"/>
      <c r="FC126" s="37"/>
      <c r="FD126" s="37"/>
      <c r="FE126" s="37"/>
      <c r="FF126" s="37"/>
      <c r="FG126" s="37"/>
      <c r="FH126" s="37"/>
      <c r="FI126" s="37"/>
      <c r="FJ126" s="37"/>
      <c r="FK126" s="37"/>
      <c r="FL126" s="37"/>
      <c r="FM126" s="37"/>
      <c r="FN126" s="37"/>
      <c r="FO126" s="37"/>
      <c r="FP126" s="37"/>
      <c r="FQ126" s="37"/>
      <c r="FR126" s="37"/>
      <c r="FS126" s="37"/>
      <c r="FT126" s="37"/>
      <c r="FU126" s="37"/>
      <c r="FV126" s="37"/>
      <c r="FW126" s="37"/>
      <c r="FX126" s="37"/>
      <c r="FY126" s="37"/>
      <c r="FZ126" s="37"/>
      <c r="GA126" s="37"/>
      <c r="GB126" s="37"/>
      <c r="GC126" s="37"/>
      <c r="GD126" s="37"/>
      <c r="GE126" s="37"/>
      <c r="GF126" s="37"/>
      <c r="GG126" s="37"/>
      <c r="GH126" s="37"/>
      <c r="GI126" s="37"/>
      <c r="GJ126" s="37"/>
      <c r="GK126" s="37"/>
      <c r="GL126" s="37"/>
      <c r="GM126" s="37"/>
      <c r="GN126" s="37"/>
      <c r="GO126" s="37"/>
      <c r="GP126" s="37"/>
      <c r="GQ126" s="37"/>
      <c r="GR126" s="37"/>
      <c r="GS126" s="37"/>
      <c r="GT126" s="37"/>
      <c r="GU126" s="37"/>
      <c r="GV126" s="37"/>
      <c r="GW126" s="37"/>
      <c r="GX126" s="37"/>
      <c r="GY126" s="37"/>
      <c r="GZ126" s="37"/>
      <c r="HA126" s="37"/>
      <c r="HB126" s="37"/>
      <c r="HC126" s="37"/>
      <c r="HD126" s="37"/>
      <c r="HE126" s="37"/>
      <c r="HF126" s="37"/>
      <c r="HG126" s="37"/>
      <c r="HH126" s="37"/>
      <c r="HI126" s="37"/>
      <c r="HJ126" s="37"/>
      <c r="HK126" s="37"/>
      <c r="HL126" s="37"/>
      <c r="HM126" s="37"/>
      <c r="HN126" s="37"/>
      <c r="HO126" s="37"/>
      <c r="HP126" s="37"/>
      <c r="HQ126" s="37"/>
      <c r="HR126" s="37"/>
      <c r="HS126" s="37"/>
      <c r="HT126" s="37"/>
      <c r="HU126" s="37"/>
      <c r="HV126" s="37"/>
      <c r="HW126" s="37"/>
      <c r="HX126" s="37"/>
      <c r="HY126" s="37"/>
      <c r="HZ126" s="37"/>
      <c r="IA126" s="37"/>
      <c r="IB126" s="37"/>
      <c r="IC126" s="37"/>
      <c r="ID126" s="37"/>
      <c r="IE126" s="37"/>
      <c r="IF126" s="37"/>
      <c r="IG126" s="37"/>
      <c r="IH126" s="37"/>
      <c r="II126" s="37"/>
      <c r="IJ126" s="37"/>
      <c r="IK126" s="37"/>
      <c r="IL126" s="37"/>
      <c r="IM126" s="37"/>
      <c r="IN126" s="37"/>
      <c r="IO126" s="37"/>
      <c r="IP126" s="37"/>
      <c r="IQ126" s="37"/>
      <c r="IR126" s="37"/>
      <c r="IS126" s="37"/>
      <c r="IT126" s="37"/>
      <c r="IU126" s="37"/>
      <c r="IV126" s="37"/>
      <c r="IW126" s="37"/>
      <c r="IX126" s="37"/>
      <c r="IY126" s="37"/>
      <c r="IZ126" s="37"/>
      <c r="JA126" s="37"/>
      <c r="JB126" s="37"/>
      <c r="JC126" s="37"/>
      <c r="JD126" s="37"/>
      <c r="JE126" s="37"/>
      <c r="JF126" s="37"/>
      <c r="JG126" s="37"/>
      <c r="JH126" s="37"/>
      <c r="JI126" s="37"/>
      <c r="JJ126" s="37"/>
      <c r="JK126" s="37"/>
      <c r="JL126" s="37"/>
      <c r="JM126" s="37"/>
      <c r="JN126" s="37"/>
      <c r="JO126" s="37"/>
      <c r="JP126" s="37"/>
      <c r="JQ126" s="37"/>
      <c r="JR126" s="37"/>
      <c r="JS126" s="37"/>
      <c r="JT126" s="37"/>
      <c r="JU126" s="37"/>
      <c r="JV126" s="37"/>
      <c r="JW126" s="37"/>
      <c r="JX126" s="37"/>
      <c r="JY126" s="37"/>
      <c r="JZ126" s="37"/>
      <c r="KA126" s="37"/>
      <c r="KB126" s="37"/>
      <c r="KC126" s="37"/>
      <c r="KD126" s="37"/>
      <c r="KE126" s="37"/>
      <c r="KF126" s="37"/>
      <c r="KG126" s="37"/>
      <c r="KH126" s="37"/>
      <c r="KI126" s="37"/>
      <c r="KJ126" s="37"/>
      <c r="KK126" s="37"/>
      <c r="KL126" s="37"/>
      <c r="KM126" s="37"/>
      <c r="KN126" s="37"/>
      <c r="KO126" s="37"/>
      <c r="KP126" s="37"/>
      <c r="KQ126" s="37"/>
      <c r="KR126" s="37"/>
      <c r="KS126" s="37"/>
      <c r="KT126" s="37"/>
      <c r="KU126" s="37"/>
      <c r="KV126" s="37"/>
      <c r="KW126" s="37"/>
      <c r="KX126" s="37"/>
      <c r="KY126" s="37"/>
      <c r="KZ126" s="37"/>
      <c r="LA126" s="37"/>
      <c r="LB126" s="37"/>
      <c r="LC126" s="37"/>
      <c r="LD126" s="37"/>
      <c r="LE126" s="37"/>
      <c r="LF126" s="37"/>
      <c r="LG126" s="37"/>
      <c r="LH126" s="37"/>
      <c r="LI126" s="37"/>
      <c r="LJ126" s="37"/>
      <c r="LK126" s="37"/>
      <c r="LL126" s="37"/>
      <c r="LM126" s="37"/>
      <c r="LN126" s="37"/>
      <c r="LO126" s="37"/>
      <c r="LP126" s="37"/>
      <c r="LQ126" s="37"/>
      <c r="LR126" s="37"/>
      <c r="LS126" s="37"/>
      <c r="LT126" s="37"/>
      <c r="LU126" s="37"/>
      <c r="LV126" s="37"/>
      <c r="LW126" s="37"/>
      <c r="LX126" s="37"/>
      <c r="LY126" s="37"/>
      <c r="LZ126" s="37"/>
      <c r="MA126" s="37"/>
      <c r="MB126" s="37"/>
      <c r="MC126" s="37"/>
      <c r="MD126" s="37"/>
      <c r="ME126" s="37"/>
      <c r="MF126" s="37"/>
      <c r="MG126" s="37"/>
      <c r="MH126" s="37"/>
      <c r="MI126" s="37"/>
      <c r="MJ126" s="37"/>
      <c r="MK126" s="37"/>
      <c r="ML126" s="37"/>
      <c r="MM126" s="37"/>
      <c r="MN126" s="37"/>
      <c r="MO126" s="37"/>
      <c r="MP126" s="37"/>
      <c r="MQ126" s="37"/>
      <c r="MR126" s="37"/>
      <c r="MS126" s="37"/>
      <c r="MT126" s="37"/>
      <c r="MU126" s="37"/>
      <c r="MV126" s="37"/>
      <c r="MW126" s="37"/>
      <c r="MX126" s="37"/>
      <c r="MY126" s="37"/>
      <c r="MZ126" s="37"/>
      <c r="NA126" s="37"/>
      <c r="NB126" s="37"/>
      <c r="NC126" s="37"/>
      <c r="ND126" s="37"/>
      <c r="NE126" s="37"/>
      <c r="NF126" s="37"/>
      <c r="NG126" s="37"/>
      <c r="NH126" s="37"/>
      <c r="NI126" s="37"/>
      <c r="NJ126" s="37"/>
      <c r="NK126" s="37"/>
      <c r="NL126" s="37"/>
      <c r="NM126" s="37"/>
      <c r="NN126" s="37"/>
      <c r="NO126" s="37"/>
      <c r="NP126" s="37"/>
      <c r="NQ126" s="37"/>
      <c r="NR126" s="37"/>
      <c r="NS126" s="37"/>
      <c r="NT126" s="37"/>
      <c r="NU126" s="37"/>
      <c r="NV126" s="37"/>
      <c r="NW126" s="37"/>
      <c r="NX126" s="37"/>
      <c r="NY126" s="37"/>
      <c r="NZ126" s="37"/>
      <c r="OA126" s="37"/>
      <c r="OB126" s="37"/>
      <c r="OC126" s="37"/>
      <c r="OD126" s="37"/>
      <c r="OE126" s="37"/>
      <c r="OF126" s="37"/>
      <c r="OG126" s="37"/>
      <c r="OH126" s="37"/>
      <c r="OI126" s="37"/>
      <c r="OJ126" s="37"/>
      <c r="OK126" s="37"/>
      <c r="OL126" s="37"/>
      <c r="OM126" s="37"/>
      <c r="ON126" s="37"/>
      <c r="OO126" s="37"/>
      <c r="OP126" s="37"/>
      <c r="OQ126" s="37"/>
      <c r="OR126" s="37"/>
      <c r="OS126" s="37"/>
      <c r="OT126" s="37"/>
      <c r="OU126" s="37"/>
      <c r="OV126" s="37"/>
      <c r="OW126" s="37"/>
      <c r="OX126" s="37"/>
      <c r="OY126" s="37"/>
      <c r="OZ126" s="37"/>
      <c r="PA126" s="37"/>
      <c r="PB126" s="37"/>
      <c r="PC126" s="37"/>
      <c r="PD126" s="37"/>
      <c r="PE126" s="37"/>
      <c r="PF126" s="37"/>
      <c r="PG126" s="37"/>
      <c r="PH126" s="37"/>
      <c r="PI126" s="37"/>
      <c r="PJ126" s="37"/>
      <c r="PK126" s="37"/>
      <c r="PL126" s="37"/>
      <c r="PM126" s="37"/>
      <c r="PN126" s="37"/>
      <c r="PO126" s="37"/>
      <c r="PP126" s="37"/>
      <c r="PQ126" s="37"/>
      <c r="PR126" s="37"/>
      <c r="PS126" s="37"/>
      <c r="PT126" s="37"/>
      <c r="PU126" s="37"/>
      <c r="PV126" s="37"/>
      <c r="PW126" s="37"/>
      <c r="PX126" s="37"/>
      <c r="PY126" s="37"/>
      <c r="PZ126" s="37"/>
      <c r="QA126" s="37"/>
      <c r="QB126" s="37"/>
      <c r="QC126" s="37"/>
      <c r="QD126" s="37"/>
      <c r="QE126" s="37"/>
      <c r="QF126" s="37"/>
      <c r="QG126" s="37"/>
      <c r="QH126" s="37"/>
      <c r="QI126" s="37"/>
      <c r="QJ126" s="37"/>
      <c r="QK126" s="37"/>
      <c r="QL126" s="37"/>
      <c r="QM126" s="37"/>
      <c r="QN126" s="37"/>
      <c r="QO126" s="37"/>
      <c r="QP126" s="37"/>
      <c r="QQ126" s="37"/>
      <c r="QR126" s="37"/>
      <c r="QS126" s="37"/>
      <c r="QT126" s="37"/>
      <c r="QU126" s="37"/>
      <c r="QV126" s="37"/>
      <c r="QW126" s="37"/>
      <c r="QX126" s="37"/>
      <c r="QY126" s="37"/>
      <c r="QZ126" s="37"/>
      <c r="RA126" s="37"/>
      <c r="RB126" s="37"/>
      <c r="RC126" s="37"/>
      <c r="RD126" s="37"/>
      <c r="RE126" s="37"/>
      <c r="RF126" s="37"/>
      <c r="RG126" s="37"/>
      <c r="RH126" s="37"/>
      <c r="RI126" s="37"/>
      <c r="RJ126" s="37"/>
      <c r="RK126" s="37"/>
      <c r="RL126" s="37"/>
      <c r="RM126" s="37"/>
      <c r="RN126" s="37"/>
      <c r="RO126" s="37"/>
      <c r="RP126" s="37"/>
      <c r="RQ126" s="37"/>
      <c r="RR126" s="37"/>
      <c r="RS126" s="37"/>
      <c r="RT126" s="37"/>
      <c r="RU126" s="37"/>
      <c r="RV126" s="37"/>
      <c r="RW126" s="37"/>
      <c r="RX126" s="37"/>
      <c r="RY126" s="37"/>
      <c r="RZ126" s="37"/>
      <c r="SA126" s="37"/>
      <c r="SB126" s="37"/>
      <c r="SC126" s="37"/>
      <c r="SD126" s="37"/>
      <c r="SE126" s="37"/>
      <c r="SF126" s="37"/>
      <c r="SG126" s="37"/>
      <c r="SH126" s="37"/>
      <c r="SI126" s="37"/>
      <c r="SJ126" s="37"/>
      <c r="SK126" s="37"/>
      <c r="SL126" s="37"/>
      <c r="SM126" s="37"/>
      <c r="SN126" s="37"/>
      <c r="SO126" s="37"/>
      <c r="SP126" s="37"/>
      <c r="SQ126" s="37"/>
      <c r="SR126" s="37"/>
      <c r="SS126" s="37"/>
      <c r="ST126" s="37"/>
      <c r="SU126" s="37"/>
      <c r="SV126" s="37"/>
      <c r="SW126" s="37"/>
      <c r="SX126" s="37"/>
      <c r="SY126" s="37"/>
      <c r="SZ126" s="37"/>
      <c r="TA126" s="37"/>
      <c r="TB126" s="37"/>
      <c r="TC126" s="37"/>
      <c r="TD126" s="37"/>
      <c r="TE126" s="37"/>
      <c r="TF126" s="37"/>
      <c r="TG126" s="37"/>
      <c r="TH126" s="37"/>
      <c r="TI126" s="37"/>
      <c r="TJ126" s="37"/>
      <c r="TK126" s="37"/>
      <c r="TL126" s="37"/>
      <c r="TM126" s="37"/>
      <c r="TN126" s="37"/>
      <c r="TO126" s="37"/>
      <c r="TP126" s="37"/>
      <c r="TQ126" s="37"/>
      <c r="TR126" s="37"/>
      <c r="TS126" s="37"/>
      <c r="TT126" s="37"/>
      <c r="TU126" s="37"/>
      <c r="TV126" s="37"/>
      <c r="TW126" s="37"/>
      <c r="TX126" s="37"/>
      <c r="TY126" s="37"/>
      <c r="TZ126" s="37"/>
      <c r="UA126" s="37"/>
      <c r="UB126" s="37"/>
      <c r="UC126" s="37"/>
      <c r="UD126" s="37"/>
      <c r="UE126" s="37"/>
      <c r="UF126" s="37"/>
      <c r="UG126" s="37"/>
      <c r="UH126" s="37"/>
      <c r="UI126" s="37"/>
      <c r="UJ126" s="37"/>
      <c r="UK126" s="37"/>
      <c r="UL126" s="37"/>
      <c r="UM126" s="37"/>
      <c r="UN126" s="37"/>
      <c r="UO126" s="37"/>
      <c r="UP126" s="37"/>
      <c r="UQ126" s="37"/>
      <c r="UR126" s="37"/>
      <c r="US126" s="37"/>
      <c r="UT126" s="37"/>
      <c r="UU126" s="37"/>
      <c r="UV126" s="37"/>
      <c r="UW126" s="37"/>
      <c r="UX126" s="37"/>
      <c r="UY126" s="37"/>
      <c r="UZ126" s="37"/>
      <c r="VA126" s="37"/>
      <c r="VB126" s="37"/>
      <c r="VC126" s="37"/>
      <c r="VD126" s="37"/>
      <c r="VE126" s="37"/>
      <c r="VF126" s="37"/>
      <c r="VG126" s="37"/>
      <c r="VH126" s="37"/>
      <c r="VI126" s="37"/>
      <c r="VJ126" s="37"/>
      <c r="VK126" s="37"/>
      <c r="VL126" s="37"/>
      <c r="VM126" s="37"/>
      <c r="VN126" s="37"/>
      <c r="VO126" s="37"/>
      <c r="VP126" s="37"/>
      <c r="VQ126" s="37"/>
      <c r="VR126" s="37"/>
      <c r="VS126" s="37"/>
      <c r="VT126" s="37"/>
      <c r="VU126" s="37"/>
      <c r="VV126" s="37"/>
      <c r="VW126" s="37"/>
      <c r="VX126" s="37"/>
      <c r="VY126" s="37"/>
      <c r="VZ126" s="37"/>
      <c r="WA126" s="37"/>
      <c r="WB126" s="37"/>
      <c r="WC126" s="37"/>
      <c r="WD126" s="37"/>
      <c r="WE126" s="37"/>
      <c r="WF126" s="37"/>
      <c r="WG126" s="37"/>
      <c r="WH126" s="37"/>
      <c r="WI126" s="37"/>
      <c r="WJ126" s="37"/>
      <c r="WK126" s="37"/>
      <c r="WL126" s="37"/>
      <c r="WM126" s="37"/>
      <c r="WN126" s="37"/>
      <c r="WO126" s="37"/>
      <c r="WP126" s="37"/>
      <c r="WQ126" s="37"/>
      <c r="WR126" s="37"/>
      <c r="WS126" s="37"/>
      <c r="WT126" s="37"/>
      <c r="WU126" s="37"/>
      <c r="WV126" s="37"/>
      <c r="WW126" s="37"/>
      <c r="WX126" s="37"/>
      <c r="WY126" s="37"/>
      <c r="WZ126" s="37"/>
      <c r="XA126" s="37"/>
      <c r="XB126" s="37"/>
      <c r="XC126" s="37"/>
      <c r="XD126" s="37"/>
      <c r="XE126" s="37"/>
      <c r="XF126" s="37"/>
      <c r="XG126" s="37"/>
      <c r="XH126" s="37"/>
      <c r="XI126" s="37"/>
      <c r="XJ126" s="37"/>
      <c r="XK126" s="37"/>
      <c r="XL126" s="37"/>
      <c r="XM126" s="37"/>
      <c r="XN126" s="37"/>
      <c r="XO126" s="37"/>
      <c r="XP126" s="37"/>
      <c r="XQ126" s="37"/>
      <c r="XR126" s="37"/>
      <c r="XS126" s="37"/>
      <c r="XT126" s="37"/>
      <c r="XU126" s="37"/>
      <c r="XV126" s="37"/>
      <c r="XW126" s="37"/>
      <c r="XX126" s="37"/>
      <c r="XY126" s="37"/>
      <c r="XZ126" s="37"/>
      <c r="YA126" s="37"/>
      <c r="YB126" s="37"/>
      <c r="YC126" s="37"/>
      <c r="YD126" s="37"/>
      <c r="YE126" s="37"/>
      <c r="YF126" s="37"/>
      <c r="YG126" s="37"/>
      <c r="YH126" s="37"/>
      <c r="YI126" s="37"/>
      <c r="YJ126" s="37"/>
      <c r="YK126" s="37"/>
      <c r="YL126" s="37"/>
      <c r="YM126" s="37"/>
      <c r="YN126" s="37"/>
      <c r="YO126" s="37"/>
      <c r="YP126" s="37"/>
      <c r="YQ126" s="37"/>
      <c r="YR126" s="37"/>
      <c r="YS126" s="37"/>
      <c r="YT126" s="37"/>
      <c r="YU126" s="37"/>
      <c r="YV126" s="37"/>
      <c r="YW126" s="37"/>
      <c r="YX126" s="37"/>
      <c r="YY126" s="37"/>
      <c r="YZ126" s="37"/>
      <c r="ZA126" s="37"/>
      <c r="ZB126" s="37"/>
      <c r="ZC126" s="37"/>
      <c r="ZD126" s="37"/>
      <c r="ZE126" s="37"/>
      <c r="ZF126" s="37"/>
      <c r="ZG126" s="37"/>
      <c r="ZH126" s="37"/>
      <c r="ZI126" s="37"/>
      <c r="ZJ126" s="37"/>
      <c r="ZK126" s="37"/>
      <c r="ZL126" s="37"/>
      <c r="ZM126" s="37"/>
      <c r="ZN126" s="37"/>
      <c r="ZO126" s="37"/>
      <c r="ZP126" s="37"/>
      <c r="ZQ126" s="37"/>
      <c r="ZR126" s="37"/>
      <c r="ZS126" s="37"/>
      <c r="ZT126" s="37"/>
      <c r="ZU126" s="37"/>
      <c r="ZV126" s="37"/>
      <c r="ZW126" s="37"/>
      <c r="ZX126" s="37"/>
      <c r="ZY126" s="37"/>
      <c r="ZZ126" s="37"/>
      <c r="AAA126" s="37"/>
      <c r="AAB126" s="37"/>
      <c r="AAC126" s="37"/>
      <c r="AAD126" s="37"/>
      <c r="AAE126" s="37"/>
      <c r="AAF126" s="37"/>
      <c r="AAG126" s="37"/>
      <c r="AAH126" s="37"/>
      <c r="AAI126" s="37"/>
      <c r="AAJ126" s="37"/>
      <c r="AAK126" s="37"/>
      <c r="AAL126" s="37"/>
      <c r="AAM126" s="37"/>
      <c r="AAN126" s="37"/>
      <c r="AAO126" s="37"/>
      <c r="AAP126" s="37"/>
      <c r="AAQ126" s="37"/>
      <c r="AAR126" s="37"/>
      <c r="AAS126" s="37"/>
      <c r="AAT126" s="37"/>
      <c r="AAU126" s="37"/>
      <c r="AAV126" s="37"/>
      <c r="AAW126" s="37"/>
      <c r="AAX126" s="37"/>
      <c r="AAY126" s="37"/>
      <c r="AAZ126" s="37"/>
      <c r="ABA126" s="37"/>
      <c r="ABB126" s="37"/>
      <c r="ABC126" s="37"/>
      <c r="ABD126" s="37"/>
      <c r="ABE126" s="37"/>
      <c r="ABF126" s="37"/>
      <c r="ABG126" s="37"/>
      <c r="ABH126" s="37"/>
      <c r="ABI126" s="37"/>
      <c r="ABJ126" s="37"/>
      <c r="ABK126" s="37"/>
      <c r="ABL126" s="37"/>
      <c r="ABM126" s="37"/>
      <c r="ABN126" s="37"/>
      <c r="ABO126" s="37"/>
      <c r="ABP126" s="37"/>
      <c r="ABQ126" s="37"/>
      <c r="ABR126" s="37"/>
      <c r="ABS126" s="37"/>
      <c r="ABT126" s="37"/>
      <c r="ABU126" s="37"/>
      <c r="ABV126" s="37"/>
      <c r="ABW126" s="37"/>
      <c r="ABX126" s="37"/>
      <c r="ABY126" s="37"/>
      <c r="ABZ126" s="37"/>
      <c r="ACA126" s="37"/>
      <c r="ACB126" s="37"/>
      <c r="ACC126" s="37"/>
      <c r="ACD126" s="37"/>
      <c r="ACE126" s="37"/>
      <c r="ACF126" s="37"/>
      <c r="ACG126" s="37"/>
      <c r="ACH126" s="37"/>
      <c r="ACI126" s="37"/>
      <c r="ACJ126" s="37"/>
      <c r="ACK126" s="37"/>
      <c r="ACL126" s="37"/>
      <c r="ACM126" s="37"/>
      <c r="ACN126" s="37"/>
      <c r="ACO126" s="37"/>
      <c r="ACP126" s="37"/>
      <c r="ACQ126" s="37"/>
      <c r="ACR126" s="37"/>
      <c r="ACS126" s="37"/>
      <c r="ACT126" s="37"/>
      <c r="ACU126" s="37"/>
      <c r="ACV126" s="37"/>
      <c r="ACW126" s="37"/>
      <c r="ACX126" s="37"/>
      <c r="ACY126" s="37"/>
      <c r="ACZ126" s="37"/>
      <c r="ADA126" s="37"/>
      <c r="ADB126" s="37"/>
      <c r="ADC126" s="37"/>
      <c r="ADD126" s="37"/>
      <c r="ADE126" s="37"/>
      <c r="ADF126" s="37"/>
      <c r="ADG126" s="37"/>
      <c r="ADH126" s="37"/>
      <c r="ADI126" s="37"/>
      <c r="ADJ126" s="37"/>
      <c r="ADK126" s="37"/>
      <c r="ADL126" s="37"/>
      <c r="ADM126" s="37"/>
      <c r="ADN126" s="37"/>
      <c r="ADO126" s="37"/>
      <c r="ADP126" s="37"/>
      <c r="ADQ126" s="37"/>
      <c r="ADR126" s="37"/>
      <c r="ADS126" s="37"/>
      <c r="ADT126" s="37"/>
      <c r="ADU126" s="37"/>
      <c r="ADV126" s="37"/>
      <c r="ADW126" s="37"/>
      <c r="ADX126" s="37"/>
      <c r="ADY126" s="37"/>
      <c r="ADZ126" s="37"/>
      <c r="AEA126" s="37"/>
      <c r="AEB126" s="37"/>
      <c r="AEC126" s="37"/>
      <c r="AED126" s="37"/>
      <c r="AEE126" s="37"/>
      <c r="AEF126" s="37"/>
      <c r="AEG126" s="37"/>
      <c r="AEH126" s="37"/>
      <c r="AEI126" s="37"/>
      <c r="AEJ126" s="37"/>
      <c r="AEK126" s="37"/>
      <c r="AEL126" s="37"/>
      <c r="AEM126" s="37"/>
      <c r="AEN126" s="37"/>
      <c r="AEO126" s="37"/>
      <c r="AEP126" s="37"/>
      <c r="AEQ126" s="37"/>
      <c r="AER126" s="37"/>
      <c r="AES126" s="37"/>
      <c r="AET126" s="37"/>
      <c r="AEU126" s="37"/>
      <c r="AEV126" s="37"/>
      <c r="AEW126" s="37"/>
      <c r="AEX126" s="37"/>
      <c r="AEY126" s="37"/>
      <c r="AEZ126" s="37"/>
      <c r="AFA126" s="37"/>
      <c r="AFB126" s="37"/>
      <c r="AFC126" s="37"/>
      <c r="AFD126" s="37"/>
      <c r="AFE126" s="37"/>
      <c r="AFF126" s="37"/>
      <c r="AFG126" s="37"/>
      <c r="AFH126" s="37"/>
      <c r="AFI126" s="37"/>
      <c r="AFJ126" s="37"/>
      <c r="AFK126" s="37"/>
      <c r="AFL126" s="37"/>
      <c r="AFM126" s="37"/>
      <c r="AFN126" s="37"/>
      <c r="AFO126" s="37"/>
      <c r="AFP126" s="37"/>
      <c r="AFQ126" s="37"/>
      <c r="AFR126" s="37"/>
      <c r="AFS126" s="37"/>
      <c r="AFT126" s="37"/>
      <c r="AFU126" s="37"/>
      <c r="AFV126" s="37"/>
      <c r="AFW126" s="37"/>
      <c r="AFX126" s="37"/>
      <c r="AFY126" s="37"/>
      <c r="AFZ126" s="37"/>
      <c r="AGA126" s="37"/>
      <c r="AGB126" s="37"/>
      <c r="AGC126" s="37"/>
      <c r="AGD126" s="37"/>
      <c r="AGE126" s="37"/>
      <c r="AGF126" s="37"/>
      <c r="AGG126" s="37"/>
      <c r="AGH126" s="37"/>
      <c r="AGI126" s="37"/>
      <c r="AGJ126" s="37"/>
      <c r="AGK126" s="37"/>
      <c r="AGL126" s="37"/>
      <c r="AGM126" s="37"/>
      <c r="AGN126" s="37"/>
      <c r="AGO126" s="37"/>
      <c r="AGP126" s="37"/>
      <c r="AGQ126" s="37"/>
      <c r="AGR126" s="37"/>
      <c r="AGS126" s="37"/>
      <c r="AGT126" s="37"/>
      <c r="AGU126" s="37"/>
      <c r="AGV126" s="37"/>
      <c r="AGW126" s="37"/>
      <c r="AGX126" s="37"/>
      <c r="AGY126" s="37"/>
      <c r="AGZ126" s="37"/>
      <c r="AHA126" s="37"/>
      <c r="AHB126" s="37"/>
      <c r="AHC126" s="37"/>
      <c r="AHD126" s="37"/>
      <c r="AHE126" s="37"/>
      <c r="AHF126" s="37"/>
      <c r="AHG126" s="37"/>
      <c r="AHH126" s="37"/>
      <c r="AHI126" s="37"/>
      <c r="AHJ126" s="37"/>
      <c r="AHK126" s="37"/>
      <c r="AHL126" s="37"/>
      <c r="AHM126" s="37"/>
      <c r="AHN126" s="37"/>
      <c r="AHO126" s="37"/>
      <c r="AHP126" s="37"/>
      <c r="AHQ126" s="37"/>
      <c r="AHR126" s="37"/>
      <c r="AHS126" s="37"/>
      <c r="AHT126" s="37"/>
      <c r="AHU126" s="37"/>
      <c r="AHV126" s="37"/>
      <c r="AHW126" s="37"/>
      <c r="AHX126" s="37"/>
      <c r="AHY126" s="37"/>
      <c r="AHZ126" s="37"/>
      <c r="AIA126" s="37"/>
      <c r="AIB126" s="37"/>
      <c r="AIC126" s="37"/>
      <c r="AID126" s="37"/>
      <c r="AIE126" s="37"/>
      <c r="AIF126" s="37"/>
      <c r="AIG126" s="37"/>
      <c r="AIH126" s="37"/>
      <c r="AII126" s="37"/>
      <c r="AIJ126" s="37"/>
      <c r="AIK126" s="37"/>
      <c r="AIL126" s="37"/>
      <c r="AIM126" s="37"/>
      <c r="AIN126" s="37"/>
      <c r="AIO126" s="37"/>
      <c r="AIP126" s="37"/>
      <c r="AIQ126" s="37"/>
      <c r="AIR126" s="37"/>
      <c r="AIS126" s="37"/>
      <c r="AIT126" s="37"/>
      <c r="AIU126" s="37"/>
      <c r="AIV126" s="37"/>
      <c r="AIW126" s="37"/>
      <c r="AIX126" s="37"/>
      <c r="AIY126" s="37"/>
      <c r="AIZ126" s="37"/>
      <c r="AJA126" s="37"/>
      <c r="AJB126" s="37"/>
      <c r="AJC126" s="37"/>
      <c r="AJD126" s="37"/>
      <c r="AJE126" s="37"/>
      <c r="AJF126" s="37"/>
      <c r="AJG126" s="37"/>
      <c r="AJH126" s="37"/>
      <c r="AJI126" s="37"/>
      <c r="AJJ126" s="37"/>
      <c r="AJK126" s="37"/>
      <c r="AJL126" s="37"/>
      <c r="AJM126" s="37"/>
      <c r="AJN126" s="37"/>
      <c r="AJO126" s="37"/>
      <c r="AJP126" s="37"/>
      <c r="AJQ126" s="37"/>
      <c r="AJR126" s="37"/>
      <c r="AJS126" s="37"/>
      <c r="AJT126" s="37"/>
      <c r="AJU126" s="37"/>
      <c r="AJV126" s="37"/>
      <c r="AJW126" s="37"/>
      <c r="AJX126" s="37"/>
      <c r="AJY126" s="37"/>
      <c r="AJZ126" s="37"/>
      <c r="AKA126" s="37"/>
      <c r="AKB126" s="37"/>
      <c r="AKC126" s="37"/>
      <c r="AKD126" s="37"/>
      <c r="AKE126" s="37"/>
      <c r="AKF126" s="37"/>
      <c r="AKG126" s="37"/>
      <c r="AKH126" s="37"/>
      <c r="AKI126" s="37"/>
      <c r="AKJ126" s="37"/>
      <c r="AKK126" s="37"/>
      <c r="AKL126" s="37"/>
      <c r="AKM126" s="37"/>
      <c r="AKN126" s="37"/>
      <c r="AKO126" s="37"/>
      <c r="AKP126" s="37"/>
      <c r="AKQ126" s="37"/>
      <c r="AKR126" s="37"/>
      <c r="AKS126" s="37"/>
      <c r="AKT126" s="37"/>
      <c r="AKU126" s="37"/>
      <c r="AKV126" s="37"/>
      <c r="AKW126" s="37"/>
      <c r="AKX126" s="37"/>
      <c r="AKY126" s="37"/>
      <c r="AKZ126" s="37"/>
      <c r="ALA126" s="37"/>
      <c r="ALB126" s="37"/>
      <c r="ALC126" s="37"/>
      <c r="ALD126" s="37"/>
      <c r="ALE126" s="37"/>
      <c r="ALF126" s="37"/>
      <c r="ALG126" s="37"/>
      <c r="ALH126" s="37"/>
      <c r="ALI126" s="37"/>
      <c r="ALJ126" s="37"/>
      <c r="ALK126" s="37"/>
      <c r="ALL126" s="37"/>
      <c r="ALM126" s="37"/>
      <c r="ALN126" s="37"/>
      <c r="ALO126" s="37"/>
      <c r="ALP126" s="37"/>
      <c r="ALQ126" s="37"/>
      <c r="ALR126" s="37"/>
    </row>
    <row r="127" spans="2:1006" x14ac:dyDescent="0.35">
      <c r="C127" s="20" t="s">
        <v>262</v>
      </c>
      <c r="E127" s="20" t="s">
        <v>34</v>
      </c>
      <c r="F127" s="32">
        <v>10</v>
      </c>
    </row>
    <row r="128" spans="2:1006" x14ac:dyDescent="0.35">
      <c r="C128" s="20" t="s">
        <v>16</v>
      </c>
      <c r="E128" s="20" t="s">
        <v>19</v>
      </c>
      <c r="F128" s="30">
        <v>0.3</v>
      </c>
    </row>
    <row r="130" spans="2:1006" x14ac:dyDescent="0.35">
      <c r="B130" s="37" t="s">
        <v>162</v>
      </c>
      <c r="C130" s="37"/>
      <c r="D130" s="37"/>
      <c r="E130" s="37"/>
      <c r="F130" s="37"/>
      <c r="G130" s="37"/>
      <c r="H130" s="37"/>
      <c r="I130" s="37"/>
      <c r="J130" s="37"/>
      <c r="K130" s="37"/>
      <c r="L130" s="37"/>
      <c r="M130" s="37"/>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c r="BT130" s="37"/>
      <c r="BU130" s="37"/>
      <c r="BV130" s="37"/>
      <c r="BW130" s="37"/>
      <c r="BX130" s="37"/>
      <c r="BY130" s="37"/>
      <c r="BZ130" s="37"/>
      <c r="CA130" s="37"/>
      <c r="CB130" s="37"/>
      <c r="CC130" s="37"/>
      <c r="CD130" s="37"/>
      <c r="CE130" s="37"/>
      <c r="CF130" s="37"/>
      <c r="CG130" s="37"/>
      <c r="CH130" s="37"/>
      <c r="CI130" s="37"/>
      <c r="CJ130" s="37"/>
      <c r="CK130" s="37"/>
      <c r="CL130" s="37"/>
      <c r="CM130" s="37"/>
      <c r="CN130" s="37"/>
      <c r="CO130" s="37"/>
      <c r="CP130" s="37"/>
      <c r="CQ130" s="37"/>
      <c r="CR130" s="37"/>
      <c r="CS130" s="37"/>
      <c r="CT130" s="37"/>
      <c r="CU130" s="37"/>
      <c r="CV130" s="37"/>
      <c r="CW130" s="37"/>
      <c r="CX130" s="37"/>
      <c r="CY130" s="37"/>
      <c r="CZ130" s="37"/>
      <c r="DA130" s="37"/>
      <c r="DB130" s="37"/>
      <c r="DC130" s="37"/>
      <c r="DD130" s="37"/>
      <c r="DE130" s="37"/>
      <c r="DF130" s="37"/>
      <c r="DG130" s="37"/>
      <c r="DH130" s="37"/>
      <c r="DI130" s="37"/>
      <c r="DJ130" s="37"/>
      <c r="DK130" s="37"/>
      <c r="DL130" s="37"/>
      <c r="DM130" s="37"/>
      <c r="DN130" s="37"/>
      <c r="DO130" s="37"/>
      <c r="DP130" s="37"/>
      <c r="DQ130" s="37"/>
      <c r="DR130" s="37"/>
      <c r="DS130" s="37"/>
      <c r="DT130" s="37"/>
      <c r="DU130" s="37"/>
      <c r="DV130" s="37"/>
      <c r="DW130" s="37"/>
      <c r="DX130" s="37"/>
      <c r="DY130" s="37"/>
      <c r="DZ130" s="37"/>
      <c r="EA130" s="37"/>
      <c r="EB130" s="37"/>
      <c r="EC130" s="37"/>
      <c r="ED130" s="37"/>
      <c r="EE130" s="37"/>
      <c r="EF130" s="37"/>
      <c r="EG130" s="37"/>
      <c r="EH130" s="37"/>
      <c r="EI130" s="37"/>
      <c r="EJ130" s="37"/>
      <c r="EK130" s="37"/>
      <c r="EL130" s="37"/>
      <c r="EM130" s="37"/>
      <c r="EN130" s="37"/>
      <c r="EO130" s="37"/>
      <c r="EP130" s="37"/>
      <c r="EQ130" s="37"/>
      <c r="ER130" s="37"/>
      <c r="ES130" s="37"/>
      <c r="ET130" s="37"/>
      <c r="EU130" s="37"/>
      <c r="EV130" s="37"/>
      <c r="EW130" s="37"/>
      <c r="EX130" s="37"/>
      <c r="EY130" s="37"/>
      <c r="EZ130" s="37"/>
      <c r="FA130" s="37"/>
      <c r="FB130" s="37"/>
      <c r="FC130" s="37"/>
      <c r="FD130" s="37"/>
      <c r="FE130" s="37"/>
      <c r="FF130" s="37"/>
      <c r="FG130" s="37"/>
      <c r="FH130" s="37"/>
      <c r="FI130" s="37"/>
      <c r="FJ130" s="37"/>
      <c r="FK130" s="37"/>
      <c r="FL130" s="37"/>
      <c r="FM130" s="37"/>
      <c r="FN130" s="37"/>
      <c r="FO130" s="37"/>
      <c r="FP130" s="37"/>
      <c r="FQ130" s="37"/>
      <c r="FR130" s="37"/>
      <c r="FS130" s="37"/>
      <c r="FT130" s="37"/>
      <c r="FU130" s="37"/>
      <c r="FV130" s="37"/>
      <c r="FW130" s="37"/>
      <c r="FX130" s="37"/>
      <c r="FY130" s="37"/>
      <c r="FZ130" s="37"/>
      <c r="GA130" s="37"/>
      <c r="GB130" s="37"/>
      <c r="GC130" s="37"/>
      <c r="GD130" s="37"/>
      <c r="GE130" s="37"/>
      <c r="GF130" s="37"/>
      <c r="GG130" s="37"/>
      <c r="GH130" s="37"/>
      <c r="GI130" s="37"/>
      <c r="GJ130" s="37"/>
      <c r="GK130" s="37"/>
      <c r="GL130" s="37"/>
      <c r="GM130" s="37"/>
      <c r="GN130" s="37"/>
      <c r="GO130" s="37"/>
      <c r="GP130" s="37"/>
      <c r="GQ130" s="37"/>
      <c r="GR130" s="37"/>
      <c r="GS130" s="37"/>
      <c r="GT130" s="37"/>
      <c r="GU130" s="37"/>
      <c r="GV130" s="37"/>
      <c r="GW130" s="37"/>
      <c r="GX130" s="37"/>
      <c r="GY130" s="37"/>
      <c r="GZ130" s="37"/>
      <c r="HA130" s="37"/>
      <c r="HB130" s="37"/>
      <c r="HC130" s="37"/>
      <c r="HD130" s="37"/>
      <c r="HE130" s="37"/>
      <c r="HF130" s="37"/>
      <c r="HG130" s="37"/>
      <c r="HH130" s="37"/>
      <c r="HI130" s="37"/>
      <c r="HJ130" s="37"/>
      <c r="HK130" s="37"/>
      <c r="HL130" s="37"/>
      <c r="HM130" s="37"/>
      <c r="HN130" s="37"/>
      <c r="HO130" s="37"/>
      <c r="HP130" s="37"/>
      <c r="HQ130" s="37"/>
      <c r="HR130" s="37"/>
      <c r="HS130" s="37"/>
      <c r="HT130" s="37"/>
      <c r="HU130" s="37"/>
      <c r="HV130" s="37"/>
      <c r="HW130" s="37"/>
      <c r="HX130" s="37"/>
      <c r="HY130" s="37"/>
      <c r="HZ130" s="37"/>
      <c r="IA130" s="37"/>
      <c r="IB130" s="37"/>
      <c r="IC130" s="37"/>
      <c r="ID130" s="37"/>
      <c r="IE130" s="37"/>
      <c r="IF130" s="37"/>
      <c r="IG130" s="37"/>
      <c r="IH130" s="37"/>
      <c r="II130" s="37"/>
      <c r="IJ130" s="37"/>
      <c r="IK130" s="37"/>
      <c r="IL130" s="37"/>
      <c r="IM130" s="37"/>
      <c r="IN130" s="37"/>
      <c r="IO130" s="37"/>
      <c r="IP130" s="37"/>
      <c r="IQ130" s="37"/>
      <c r="IR130" s="37"/>
      <c r="IS130" s="37"/>
      <c r="IT130" s="37"/>
      <c r="IU130" s="37"/>
      <c r="IV130" s="37"/>
      <c r="IW130" s="37"/>
      <c r="IX130" s="37"/>
      <c r="IY130" s="37"/>
      <c r="IZ130" s="37"/>
      <c r="JA130" s="37"/>
      <c r="JB130" s="37"/>
      <c r="JC130" s="37"/>
      <c r="JD130" s="37"/>
      <c r="JE130" s="37"/>
      <c r="JF130" s="37"/>
      <c r="JG130" s="37"/>
      <c r="JH130" s="37"/>
      <c r="JI130" s="37"/>
      <c r="JJ130" s="37"/>
      <c r="JK130" s="37"/>
      <c r="JL130" s="37"/>
      <c r="JM130" s="37"/>
      <c r="JN130" s="37"/>
      <c r="JO130" s="37"/>
      <c r="JP130" s="37"/>
      <c r="JQ130" s="37"/>
      <c r="JR130" s="37"/>
      <c r="JS130" s="37"/>
      <c r="JT130" s="37"/>
      <c r="JU130" s="37"/>
      <c r="JV130" s="37"/>
      <c r="JW130" s="37"/>
      <c r="JX130" s="37"/>
      <c r="JY130" s="37"/>
      <c r="JZ130" s="37"/>
      <c r="KA130" s="37"/>
      <c r="KB130" s="37"/>
      <c r="KC130" s="37"/>
      <c r="KD130" s="37"/>
      <c r="KE130" s="37"/>
      <c r="KF130" s="37"/>
      <c r="KG130" s="37"/>
      <c r="KH130" s="37"/>
      <c r="KI130" s="37"/>
      <c r="KJ130" s="37"/>
      <c r="KK130" s="37"/>
      <c r="KL130" s="37"/>
      <c r="KM130" s="37"/>
      <c r="KN130" s="37"/>
      <c r="KO130" s="37"/>
      <c r="KP130" s="37"/>
      <c r="KQ130" s="37"/>
      <c r="KR130" s="37"/>
      <c r="KS130" s="37"/>
      <c r="KT130" s="37"/>
      <c r="KU130" s="37"/>
      <c r="KV130" s="37"/>
      <c r="KW130" s="37"/>
      <c r="KX130" s="37"/>
      <c r="KY130" s="37"/>
      <c r="KZ130" s="37"/>
      <c r="LA130" s="37"/>
      <c r="LB130" s="37"/>
      <c r="LC130" s="37"/>
      <c r="LD130" s="37"/>
      <c r="LE130" s="37"/>
      <c r="LF130" s="37"/>
      <c r="LG130" s="37"/>
      <c r="LH130" s="37"/>
      <c r="LI130" s="37"/>
      <c r="LJ130" s="37"/>
      <c r="LK130" s="37"/>
      <c r="LL130" s="37"/>
      <c r="LM130" s="37"/>
      <c r="LN130" s="37"/>
      <c r="LO130" s="37"/>
      <c r="LP130" s="37"/>
      <c r="LQ130" s="37"/>
      <c r="LR130" s="37"/>
      <c r="LS130" s="37"/>
      <c r="LT130" s="37"/>
      <c r="LU130" s="37"/>
      <c r="LV130" s="37"/>
      <c r="LW130" s="37"/>
      <c r="LX130" s="37"/>
      <c r="LY130" s="37"/>
      <c r="LZ130" s="37"/>
      <c r="MA130" s="37"/>
      <c r="MB130" s="37"/>
      <c r="MC130" s="37"/>
      <c r="MD130" s="37"/>
      <c r="ME130" s="37"/>
      <c r="MF130" s="37"/>
      <c r="MG130" s="37"/>
      <c r="MH130" s="37"/>
      <c r="MI130" s="37"/>
      <c r="MJ130" s="37"/>
      <c r="MK130" s="37"/>
      <c r="ML130" s="37"/>
      <c r="MM130" s="37"/>
      <c r="MN130" s="37"/>
      <c r="MO130" s="37"/>
      <c r="MP130" s="37"/>
      <c r="MQ130" s="37"/>
      <c r="MR130" s="37"/>
      <c r="MS130" s="37"/>
      <c r="MT130" s="37"/>
      <c r="MU130" s="37"/>
      <c r="MV130" s="37"/>
      <c r="MW130" s="37"/>
      <c r="MX130" s="37"/>
      <c r="MY130" s="37"/>
      <c r="MZ130" s="37"/>
      <c r="NA130" s="37"/>
      <c r="NB130" s="37"/>
      <c r="NC130" s="37"/>
      <c r="ND130" s="37"/>
      <c r="NE130" s="37"/>
      <c r="NF130" s="37"/>
      <c r="NG130" s="37"/>
      <c r="NH130" s="37"/>
      <c r="NI130" s="37"/>
      <c r="NJ130" s="37"/>
      <c r="NK130" s="37"/>
      <c r="NL130" s="37"/>
      <c r="NM130" s="37"/>
      <c r="NN130" s="37"/>
      <c r="NO130" s="37"/>
      <c r="NP130" s="37"/>
      <c r="NQ130" s="37"/>
      <c r="NR130" s="37"/>
      <c r="NS130" s="37"/>
      <c r="NT130" s="37"/>
      <c r="NU130" s="37"/>
      <c r="NV130" s="37"/>
      <c r="NW130" s="37"/>
      <c r="NX130" s="37"/>
      <c r="NY130" s="37"/>
      <c r="NZ130" s="37"/>
      <c r="OA130" s="37"/>
      <c r="OB130" s="37"/>
      <c r="OC130" s="37"/>
      <c r="OD130" s="37"/>
      <c r="OE130" s="37"/>
      <c r="OF130" s="37"/>
      <c r="OG130" s="37"/>
      <c r="OH130" s="37"/>
      <c r="OI130" s="37"/>
      <c r="OJ130" s="37"/>
      <c r="OK130" s="37"/>
      <c r="OL130" s="37"/>
      <c r="OM130" s="37"/>
      <c r="ON130" s="37"/>
      <c r="OO130" s="37"/>
      <c r="OP130" s="37"/>
      <c r="OQ130" s="37"/>
      <c r="OR130" s="37"/>
      <c r="OS130" s="37"/>
      <c r="OT130" s="37"/>
      <c r="OU130" s="37"/>
      <c r="OV130" s="37"/>
      <c r="OW130" s="37"/>
      <c r="OX130" s="37"/>
      <c r="OY130" s="37"/>
      <c r="OZ130" s="37"/>
      <c r="PA130" s="37"/>
      <c r="PB130" s="37"/>
      <c r="PC130" s="37"/>
      <c r="PD130" s="37"/>
      <c r="PE130" s="37"/>
      <c r="PF130" s="37"/>
      <c r="PG130" s="37"/>
      <c r="PH130" s="37"/>
      <c r="PI130" s="37"/>
      <c r="PJ130" s="37"/>
      <c r="PK130" s="37"/>
      <c r="PL130" s="37"/>
      <c r="PM130" s="37"/>
      <c r="PN130" s="37"/>
      <c r="PO130" s="37"/>
      <c r="PP130" s="37"/>
      <c r="PQ130" s="37"/>
      <c r="PR130" s="37"/>
      <c r="PS130" s="37"/>
      <c r="PT130" s="37"/>
      <c r="PU130" s="37"/>
      <c r="PV130" s="37"/>
      <c r="PW130" s="37"/>
      <c r="PX130" s="37"/>
      <c r="PY130" s="37"/>
      <c r="PZ130" s="37"/>
      <c r="QA130" s="37"/>
      <c r="QB130" s="37"/>
      <c r="QC130" s="37"/>
      <c r="QD130" s="37"/>
      <c r="QE130" s="37"/>
      <c r="QF130" s="37"/>
      <c r="QG130" s="37"/>
      <c r="QH130" s="37"/>
      <c r="QI130" s="37"/>
      <c r="QJ130" s="37"/>
      <c r="QK130" s="37"/>
      <c r="QL130" s="37"/>
      <c r="QM130" s="37"/>
      <c r="QN130" s="37"/>
      <c r="QO130" s="37"/>
      <c r="QP130" s="37"/>
      <c r="QQ130" s="37"/>
      <c r="QR130" s="37"/>
      <c r="QS130" s="37"/>
      <c r="QT130" s="37"/>
      <c r="QU130" s="37"/>
      <c r="QV130" s="37"/>
      <c r="QW130" s="37"/>
      <c r="QX130" s="37"/>
      <c r="QY130" s="37"/>
      <c r="QZ130" s="37"/>
      <c r="RA130" s="37"/>
      <c r="RB130" s="37"/>
      <c r="RC130" s="37"/>
      <c r="RD130" s="37"/>
      <c r="RE130" s="37"/>
      <c r="RF130" s="37"/>
      <c r="RG130" s="37"/>
      <c r="RH130" s="37"/>
      <c r="RI130" s="37"/>
      <c r="RJ130" s="37"/>
      <c r="RK130" s="37"/>
      <c r="RL130" s="37"/>
      <c r="RM130" s="37"/>
      <c r="RN130" s="37"/>
      <c r="RO130" s="37"/>
      <c r="RP130" s="37"/>
      <c r="RQ130" s="37"/>
      <c r="RR130" s="37"/>
      <c r="RS130" s="37"/>
      <c r="RT130" s="37"/>
      <c r="RU130" s="37"/>
      <c r="RV130" s="37"/>
      <c r="RW130" s="37"/>
      <c r="RX130" s="37"/>
      <c r="RY130" s="37"/>
      <c r="RZ130" s="37"/>
      <c r="SA130" s="37"/>
      <c r="SB130" s="37"/>
      <c r="SC130" s="37"/>
      <c r="SD130" s="37"/>
      <c r="SE130" s="37"/>
      <c r="SF130" s="37"/>
      <c r="SG130" s="37"/>
      <c r="SH130" s="37"/>
      <c r="SI130" s="37"/>
      <c r="SJ130" s="37"/>
      <c r="SK130" s="37"/>
      <c r="SL130" s="37"/>
      <c r="SM130" s="37"/>
      <c r="SN130" s="37"/>
      <c r="SO130" s="37"/>
      <c r="SP130" s="37"/>
      <c r="SQ130" s="37"/>
      <c r="SR130" s="37"/>
      <c r="SS130" s="37"/>
      <c r="ST130" s="37"/>
      <c r="SU130" s="37"/>
      <c r="SV130" s="37"/>
      <c r="SW130" s="37"/>
      <c r="SX130" s="37"/>
      <c r="SY130" s="37"/>
      <c r="SZ130" s="37"/>
      <c r="TA130" s="37"/>
      <c r="TB130" s="37"/>
      <c r="TC130" s="37"/>
      <c r="TD130" s="37"/>
      <c r="TE130" s="37"/>
      <c r="TF130" s="37"/>
      <c r="TG130" s="37"/>
      <c r="TH130" s="37"/>
      <c r="TI130" s="37"/>
      <c r="TJ130" s="37"/>
      <c r="TK130" s="37"/>
      <c r="TL130" s="37"/>
      <c r="TM130" s="37"/>
      <c r="TN130" s="37"/>
      <c r="TO130" s="37"/>
      <c r="TP130" s="37"/>
      <c r="TQ130" s="37"/>
      <c r="TR130" s="37"/>
      <c r="TS130" s="37"/>
      <c r="TT130" s="37"/>
      <c r="TU130" s="37"/>
      <c r="TV130" s="37"/>
      <c r="TW130" s="37"/>
      <c r="TX130" s="37"/>
      <c r="TY130" s="37"/>
      <c r="TZ130" s="37"/>
      <c r="UA130" s="37"/>
      <c r="UB130" s="37"/>
      <c r="UC130" s="37"/>
      <c r="UD130" s="37"/>
      <c r="UE130" s="37"/>
      <c r="UF130" s="37"/>
      <c r="UG130" s="37"/>
      <c r="UH130" s="37"/>
      <c r="UI130" s="37"/>
      <c r="UJ130" s="37"/>
      <c r="UK130" s="37"/>
      <c r="UL130" s="37"/>
      <c r="UM130" s="37"/>
      <c r="UN130" s="37"/>
      <c r="UO130" s="37"/>
      <c r="UP130" s="37"/>
      <c r="UQ130" s="37"/>
      <c r="UR130" s="37"/>
      <c r="US130" s="37"/>
      <c r="UT130" s="37"/>
      <c r="UU130" s="37"/>
      <c r="UV130" s="37"/>
      <c r="UW130" s="37"/>
      <c r="UX130" s="37"/>
      <c r="UY130" s="37"/>
      <c r="UZ130" s="37"/>
      <c r="VA130" s="37"/>
      <c r="VB130" s="37"/>
      <c r="VC130" s="37"/>
      <c r="VD130" s="37"/>
      <c r="VE130" s="37"/>
      <c r="VF130" s="37"/>
      <c r="VG130" s="37"/>
      <c r="VH130" s="37"/>
      <c r="VI130" s="37"/>
      <c r="VJ130" s="37"/>
      <c r="VK130" s="37"/>
      <c r="VL130" s="37"/>
      <c r="VM130" s="37"/>
      <c r="VN130" s="37"/>
      <c r="VO130" s="37"/>
      <c r="VP130" s="37"/>
      <c r="VQ130" s="37"/>
      <c r="VR130" s="37"/>
      <c r="VS130" s="37"/>
      <c r="VT130" s="37"/>
      <c r="VU130" s="37"/>
      <c r="VV130" s="37"/>
      <c r="VW130" s="37"/>
      <c r="VX130" s="37"/>
      <c r="VY130" s="37"/>
      <c r="VZ130" s="37"/>
      <c r="WA130" s="37"/>
      <c r="WB130" s="37"/>
      <c r="WC130" s="37"/>
      <c r="WD130" s="37"/>
      <c r="WE130" s="37"/>
      <c r="WF130" s="37"/>
      <c r="WG130" s="37"/>
      <c r="WH130" s="37"/>
      <c r="WI130" s="37"/>
      <c r="WJ130" s="37"/>
      <c r="WK130" s="37"/>
      <c r="WL130" s="37"/>
      <c r="WM130" s="37"/>
      <c r="WN130" s="37"/>
      <c r="WO130" s="37"/>
      <c r="WP130" s="37"/>
      <c r="WQ130" s="37"/>
      <c r="WR130" s="37"/>
      <c r="WS130" s="37"/>
      <c r="WT130" s="37"/>
      <c r="WU130" s="37"/>
      <c r="WV130" s="37"/>
      <c r="WW130" s="37"/>
      <c r="WX130" s="37"/>
      <c r="WY130" s="37"/>
      <c r="WZ130" s="37"/>
      <c r="XA130" s="37"/>
      <c r="XB130" s="37"/>
      <c r="XC130" s="37"/>
      <c r="XD130" s="37"/>
      <c r="XE130" s="37"/>
      <c r="XF130" s="37"/>
      <c r="XG130" s="37"/>
      <c r="XH130" s="37"/>
      <c r="XI130" s="37"/>
      <c r="XJ130" s="37"/>
      <c r="XK130" s="37"/>
      <c r="XL130" s="37"/>
      <c r="XM130" s="37"/>
      <c r="XN130" s="37"/>
      <c r="XO130" s="37"/>
      <c r="XP130" s="37"/>
      <c r="XQ130" s="37"/>
      <c r="XR130" s="37"/>
      <c r="XS130" s="37"/>
      <c r="XT130" s="37"/>
      <c r="XU130" s="37"/>
      <c r="XV130" s="37"/>
      <c r="XW130" s="37"/>
      <c r="XX130" s="37"/>
      <c r="XY130" s="37"/>
      <c r="XZ130" s="37"/>
      <c r="YA130" s="37"/>
      <c r="YB130" s="37"/>
      <c r="YC130" s="37"/>
      <c r="YD130" s="37"/>
      <c r="YE130" s="37"/>
      <c r="YF130" s="37"/>
      <c r="YG130" s="37"/>
      <c r="YH130" s="37"/>
      <c r="YI130" s="37"/>
      <c r="YJ130" s="37"/>
      <c r="YK130" s="37"/>
      <c r="YL130" s="37"/>
      <c r="YM130" s="37"/>
      <c r="YN130" s="37"/>
      <c r="YO130" s="37"/>
      <c r="YP130" s="37"/>
      <c r="YQ130" s="37"/>
      <c r="YR130" s="37"/>
      <c r="YS130" s="37"/>
      <c r="YT130" s="37"/>
      <c r="YU130" s="37"/>
      <c r="YV130" s="37"/>
      <c r="YW130" s="37"/>
      <c r="YX130" s="37"/>
      <c r="YY130" s="37"/>
      <c r="YZ130" s="37"/>
      <c r="ZA130" s="37"/>
      <c r="ZB130" s="37"/>
      <c r="ZC130" s="37"/>
      <c r="ZD130" s="37"/>
      <c r="ZE130" s="37"/>
      <c r="ZF130" s="37"/>
      <c r="ZG130" s="37"/>
      <c r="ZH130" s="37"/>
      <c r="ZI130" s="37"/>
      <c r="ZJ130" s="37"/>
      <c r="ZK130" s="37"/>
      <c r="ZL130" s="37"/>
      <c r="ZM130" s="37"/>
      <c r="ZN130" s="37"/>
      <c r="ZO130" s="37"/>
      <c r="ZP130" s="37"/>
      <c r="ZQ130" s="37"/>
      <c r="ZR130" s="37"/>
      <c r="ZS130" s="37"/>
      <c r="ZT130" s="37"/>
      <c r="ZU130" s="37"/>
      <c r="ZV130" s="37"/>
      <c r="ZW130" s="37"/>
      <c r="ZX130" s="37"/>
      <c r="ZY130" s="37"/>
      <c r="ZZ130" s="37"/>
      <c r="AAA130" s="37"/>
      <c r="AAB130" s="37"/>
      <c r="AAC130" s="37"/>
      <c r="AAD130" s="37"/>
      <c r="AAE130" s="37"/>
      <c r="AAF130" s="37"/>
      <c r="AAG130" s="37"/>
      <c r="AAH130" s="37"/>
      <c r="AAI130" s="37"/>
      <c r="AAJ130" s="37"/>
      <c r="AAK130" s="37"/>
      <c r="AAL130" s="37"/>
      <c r="AAM130" s="37"/>
      <c r="AAN130" s="37"/>
      <c r="AAO130" s="37"/>
      <c r="AAP130" s="37"/>
      <c r="AAQ130" s="37"/>
      <c r="AAR130" s="37"/>
      <c r="AAS130" s="37"/>
      <c r="AAT130" s="37"/>
      <c r="AAU130" s="37"/>
      <c r="AAV130" s="37"/>
      <c r="AAW130" s="37"/>
      <c r="AAX130" s="37"/>
      <c r="AAY130" s="37"/>
      <c r="AAZ130" s="37"/>
      <c r="ABA130" s="37"/>
      <c r="ABB130" s="37"/>
      <c r="ABC130" s="37"/>
      <c r="ABD130" s="37"/>
      <c r="ABE130" s="37"/>
      <c r="ABF130" s="37"/>
      <c r="ABG130" s="37"/>
      <c r="ABH130" s="37"/>
      <c r="ABI130" s="37"/>
      <c r="ABJ130" s="37"/>
      <c r="ABK130" s="37"/>
      <c r="ABL130" s="37"/>
      <c r="ABM130" s="37"/>
      <c r="ABN130" s="37"/>
      <c r="ABO130" s="37"/>
      <c r="ABP130" s="37"/>
      <c r="ABQ130" s="37"/>
      <c r="ABR130" s="37"/>
      <c r="ABS130" s="37"/>
      <c r="ABT130" s="37"/>
      <c r="ABU130" s="37"/>
      <c r="ABV130" s="37"/>
      <c r="ABW130" s="37"/>
      <c r="ABX130" s="37"/>
      <c r="ABY130" s="37"/>
      <c r="ABZ130" s="37"/>
      <c r="ACA130" s="37"/>
      <c r="ACB130" s="37"/>
      <c r="ACC130" s="37"/>
      <c r="ACD130" s="37"/>
      <c r="ACE130" s="37"/>
      <c r="ACF130" s="37"/>
      <c r="ACG130" s="37"/>
      <c r="ACH130" s="37"/>
      <c r="ACI130" s="37"/>
      <c r="ACJ130" s="37"/>
      <c r="ACK130" s="37"/>
      <c r="ACL130" s="37"/>
      <c r="ACM130" s="37"/>
      <c r="ACN130" s="37"/>
      <c r="ACO130" s="37"/>
      <c r="ACP130" s="37"/>
      <c r="ACQ130" s="37"/>
      <c r="ACR130" s="37"/>
      <c r="ACS130" s="37"/>
      <c r="ACT130" s="37"/>
      <c r="ACU130" s="37"/>
      <c r="ACV130" s="37"/>
      <c r="ACW130" s="37"/>
      <c r="ACX130" s="37"/>
      <c r="ACY130" s="37"/>
      <c r="ACZ130" s="37"/>
      <c r="ADA130" s="37"/>
      <c r="ADB130" s="37"/>
      <c r="ADC130" s="37"/>
      <c r="ADD130" s="37"/>
      <c r="ADE130" s="37"/>
      <c r="ADF130" s="37"/>
      <c r="ADG130" s="37"/>
      <c r="ADH130" s="37"/>
      <c r="ADI130" s="37"/>
      <c r="ADJ130" s="37"/>
      <c r="ADK130" s="37"/>
      <c r="ADL130" s="37"/>
      <c r="ADM130" s="37"/>
      <c r="ADN130" s="37"/>
      <c r="ADO130" s="37"/>
      <c r="ADP130" s="37"/>
      <c r="ADQ130" s="37"/>
      <c r="ADR130" s="37"/>
      <c r="ADS130" s="37"/>
      <c r="ADT130" s="37"/>
      <c r="ADU130" s="37"/>
      <c r="ADV130" s="37"/>
      <c r="ADW130" s="37"/>
      <c r="ADX130" s="37"/>
      <c r="ADY130" s="37"/>
      <c r="ADZ130" s="37"/>
      <c r="AEA130" s="37"/>
      <c r="AEB130" s="37"/>
      <c r="AEC130" s="37"/>
      <c r="AED130" s="37"/>
      <c r="AEE130" s="37"/>
      <c r="AEF130" s="37"/>
      <c r="AEG130" s="37"/>
      <c r="AEH130" s="37"/>
      <c r="AEI130" s="37"/>
      <c r="AEJ130" s="37"/>
      <c r="AEK130" s="37"/>
      <c r="AEL130" s="37"/>
      <c r="AEM130" s="37"/>
      <c r="AEN130" s="37"/>
      <c r="AEO130" s="37"/>
      <c r="AEP130" s="37"/>
      <c r="AEQ130" s="37"/>
      <c r="AER130" s="37"/>
      <c r="AES130" s="37"/>
      <c r="AET130" s="37"/>
      <c r="AEU130" s="37"/>
      <c r="AEV130" s="37"/>
      <c r="AEW130" s="37"/>
      <c r="AEX130" s="37"/>
      <c r="AEY130" s="37"/>
      <c r="AEZ130" s="37"/>
      <c r="AFA130" s="37"/>
      <c r="AFB130" s="37"/>
      <c r="AFC130" s="37"/>
      <c r="AFD130" s="37"/>
      <c r="AFE130" s="37"/>
      <c r="AFF130" s="37"/>
      <c r="AFG130" s="37"/>
      <c r="AFH130" s="37"/>
      <c r="AFI130" s="37"/>
      <c r="AFJ130" s="37"/>
      <c r="AFK130" s="37"/>
      <c r="AFL130" s="37"/>
      <c r="AFM130" s="37"/>
      <c r="AFN130" s="37"/>
      <c r="AFO130" s="37"/>
      <c r="AFP130" s="37"/>
      <c r="AFQ130" s="37"/>
      <c r="AFR130" s="37"/>
      <c r="AFS130" s="37"/>
      <c r="AFT130" s="37"/>
      <c r="AFU130" s="37"/>
      <c r="AFV130" s="37"/>
      <c r="AFW130" s="37"/>
      <c r="AFX130" s="37"/>
      <c r="AFY130" s="37"/>
      <c r="AFZ130" s="37"/>
      <c r="AGA130" s="37"/>
      <c r="AGB130" s="37"/>
      <c r="AGC130" s="37"/>
      <c r="AGD130" s="37"/>
      <c r="AGE130" s="37"/>
      <c r="AGF130" s="37"/>
      <c r="AGG130" s="37"/>
      <c r="AGH130" s="37"/>
      <c r="AGI130" s="37"/>
      <c r="AGJ130" s="37"/>
      <c r="AGK130" s="37"/>
      <c r="AGL130" s="37"/>
      <c r="AGM130" s="37"/>
      <c r="AGN130" s="37"/>
      <c r="AGO130" s="37"/>
      <c r="AGP130" s="37"/>
      <c r="AGQ130" s="37"/>
      <c r="AGR130" s="37"/>
      <c r="AGS130" s="37"/>
      <c r="AGT130" s="37"/>
      <c r="AGU130" s="37"/>
      <c r="AGV130" s="37"/>
      <c r="AGW130" s="37"/>
      <c r="AGX130" s="37"/>
      <c r="AGY130" s="37"/>
      <c r="AGZ130" s="37"/>
      <c r="AHA130" s="37"/>
      <c r="AHB130" s="37"/>
      <c r="AHC130" s="37"/>
      <c r="AHD130" s="37"/>
      <c r="AHE130" s="37"/>
      <c r="AHF130" s="37"/>
      <c r="AHG130" s="37"/>
      <c r="AHH130" s="37"/>
      <c r="AHI130" s="37"/>
      <c r="AHJ130" s="37"/>
      <c r="AHK130" s="37"/>
      <c r="AHL130" s="37"/>
      <c r="AHM130" s="37"/>
      <c r="AHN130" s="37"/>
      <c r="AHO130" s="37"/>
      <c r="AHP130" s="37"/>
      <c r="AHQ130" s="37"/>
      <c r="AHR130" s="37"/>
      <c r="AHS130" s="37"/>
      <c r="AHT130" s="37"/>
      <c r="AHU130" s="37"/>
      <c r="AHV130" s="37"/>
      <c r="AHW130" s="37"/>
      <c r="AHX130" s="37"/>
      <c r="AHY130" s="37"/>
      <c r="AHZ130" s="37"/>
      <c r="AIA130" s="37"/>
      <c r="AIB130" s="37"/>
      <c r="AIC130" s="37"/>
      <c r="AID130" s="37"/>
      <c r="AIE130" s="37"/>
      <c r="AIF130" s="37"/>
      <c r="AIG130" s="37"/>
      <c r="AIH130" s="37"/>
      <c r="AII130" s="37"/>
      <c r="AIJ130" s="37"/>
      <c r="AIK130" s="37"/>
      <c r="AIL130" s="37"/>
      <c r="AIM130" s="37"/>
      <c r="AIN130" s="37"/>
      <c r="AIO130" s="37"/>
      <c r="AIP130" s="37"/>
      <c r="AIQ130" s="37"/>
      <c r="AIR130" s="37"/>
      <c r="AIS130" s="37"/>
      <c r="AIT130" s="37"/>
      <c r="AIU130" s="37"/>
      <c r="AIV130" s="37"/>
      <c r="AIW130" s="37"/>
      <c r="AIX130" s="37"/>
      <c r="AIY130" s="37"/>
      <c r="AIZ130" s="37"/>
      <c r="AJA130" s="37"/>
      <c r="AJB130" s="37"/>
      <c r="AJC130" s="37"/>
      <c r="AJD130" s="37"/>
      <c r="AJE130" s="37"/>
      <c r="AJF130" s="37"/>
      <c r="AJG130" s="37"/>
      <c r="AJH130" s="37"/>
      <c r="AJI130" s="37"/>
      <c r="AJJ130" s="37"/>
      <c r="AJK130" s="37"/>
      <c r="AJL130" s="37"/>
      <c r="AJM130" s="37"/>
      <c r="AJN130" s="37"/>
      <c r="AJO130" s="37"/>
      <c r="AJP130" s="37"/>
      <c r="AJQ130" s="37"/>
      <c r="AJR130" s="37"/>
      <c r="AJS130" s="37"/>
      <c r="AJT130" s="37"/>
      <c r="AJU130" s="37"/>
      <c r="AJV130" s="37"/>
      <c r="AJW130" s="37"/>
      <c r="AJX130" s="37"/>
      <c r="AJY130" s="37"/>
      <c r="AJZ130" s="37"/>
      <c r="AKA130" s="37"/>
      <c r="AKB130" s="37"/>
      <c r="AKC130" s="37"/>
      <c r="AKD130" s="37"/>
      <c r="AKE130" s="37"/>
      <c r="AKF130" s="37"/>
      <c r="AKG130" s="37"/>
      <c r="AKH130" s="37"/>
      <c r="AKI130" s="37"/>
      <c r="AKJ130" s="37"/>
      <c r="AKK130" s="37"/>
      <c r="AKL130" s="37"/>
      <c r="AKM130" s="37"/>
      <c r="AKN130" s="37"/>
      <c r="AKO130" s="37"/>
      <c r="AKP130" s="37"/>
      <c r="AKQ130" s="37"/>
      <c r="AKR130" s="37"/>
      <c r="AKS130" s="37"/>
      <c r="AKT130" s="37"/>
      <c r="AKU130" s="37"/>
      <c r="AKV130" s="37"/>
      <c r="AKW130" s="37"/>
      <c r="AKX130" s="37"/>
      <c r="AKY130" s="37"/>
      <c r="AKZ130" s="37"/>
      <c r="ALA130" s="37"/>
      <c r="ALB130" s="37"/>
      <c r="ALC130" s="37"/>
      <c r="ALD130" s="37"/>
      <c r="ALE130" s="37"/>
      <c r="ALF130" s="37"/>
      <c r="ALG130" s="37"/>
      <c r="ALH130" s="37"/>
      <c r="ALI130" s="37"/>
      <c r="ALJ130" s="37"/>
      <c r="ALK130" s="37"/>
      <c r="ALL130" s="37"/>
      <c r="ALM130" s="37"/>
      <c r="ALN130" s="37"/>
      <c r="ALO130" s="37"/>
      <c r="ALP130" s="37"/>
      <c r="ALQ130" s="37"/>
      <c r="ALR130" s="37"/>
    </row>
    <row r="131" spans="2:1006" x14ac:dyDescent="0.35">
      <c r="C131" s="20" t="s">
        <v>23</v>
      </c>
    </row>
    <row r="132" spans="2:1006" x14ac:dyDescent="0.35">
      <c r="D132" s="20" t="s">
        <v>163</v>
      </c>
      <c r="E132" s="20" t="s">
        <v>165</v>
      </c>
      <c r="F132" s="78">
        <f>G132/100</f>
        <v>1.45</v>
      </c>
      <c r="G132" s="28">
        <v>145</v>
      </c>
    </row>
    <row r="133" spans="2:1006" x14ac:dyDescent="0.35">
      <c r="D133" s="20" t="s">
        <v>164</v>
      </c>
      <c r="E133" s="20" t="s">
        <v>19</v>
      </c>
      <c r="F133" s="30">
        <v>0.8</v>
      </c>
    </row>
    <row r="135" spans="2:1006" x14ac:dyDescent="0.35">
      <c r="C135" s="20" t="s">
        <v>236</v>
      </c>
    </row>
    <row r="136" spans="2:1006" x14ac:dyDescent="0.35">
      <c r="D136" s="20" t="s">
        <v>166</v>
      </c>
      <c r="E136" s="20" t="s">
        <v>19</v>
      </c>
      <c r="F136" s="30">
        <v>0.4</v>
      </c>
    </row>
    <row r="137" spans="2:1006" x14ac:dyDescent="0.35">
      <c r="D137" s="20" t="s">
        <v>235</v>
      </c>
      <c r="E137" s="20" t="s">
        <v>19</v>
      </c>
      <c r="F137" s="57">
        <f>1-F136</f>
        <v>0.6</v>
      </c>
    </row>
    <row r="139" spans="2:1006" x14ac:dyDescent="0.35">
      <c r="C139" s="20" t="s">
        <v>237</v>
      </c>
    </row>
    <row r="140" spans="2:1006" x14ac:dyDescent="0.35">
      <c r="D140" s="20" t="s">
        <v>238</v>
      </c>
      <c r="E140" s="20" t="s">
        <v>34</v>
      </c>
      <c r="F140" s="54">
        <f>G140</f>
        <v>20</v>
      </c>
      <c r="G140" s="28">
        <v>20</v>
      </c>
    </row>
    <row r="141" spans="2:1006" x14ac:dyDescent="0.35">
      <c r="D141" s="20" t="s">
        <v>280</v>
      </c>
      <c r="E141" s="20" t="s">
        <v>64</v>
      </c>
      <c r="F141" s="58">
        <f>F14</f>
        <v>42522</v>
      </c>
    </row>
    <row r="142" spans="2:1006" x14ac:dyDescent="0.35">
      <c r="D142" s="20" t="s">
        <v>239</v>
      </c>
      <c r="E142" s="20" t="s">
        <v>64</v>
      </c>
      <c r="F142" s="58">
        <f>EDATE(F14,F140*12)</f>
        <v>49827</v>
      </c>
    </row>
    <row r="143" spans="2:1006" x14ac:dyDescent="0.35">
      <c r="D143" s="20" t="s">
        <v>341</v>
      </c>
      <c r="E143" s="20" t="s">
        <v>78</v>
      </c>
      <c r="F143" s="20" t="b">
        <v>0</v>
      </c>
    </row>
    <row r="145" spans="3:10" x14ac:dyDescent="0.35">
      <c r="C145" s="20" t="s">
        <v>240</v>
      </c>
    </row>
    <row r="146" spans="3:10" x14ac:dyDescent="0.35">
      <c r="D146" s="20" t="s">
        <v>241</v>
      </c>
      <c r="E146" s="20" t="s">
        <v>242</v>
      </c>
      <c r="F146" s="30">
        <v>1.7999999999999999E-2</v>
      </c>
      <c r="G146" s="30">
        <v>2.1999999999999999E-2</v>
      </c>
    </row>
    <row r="147" spans="3:10" x14ac:dyDescent="0.35">
      <c r="F147" s="58">
        <f>F6</f>
        <v>42248</v>
      </c>
      <c r="G147" s="27">
        <f>F14</f>
        <v>42522</v>
      </c>
      <c r="H147" s="27">
        <f>EDATE(G147,60)</f>
        <v>44348</v>
      </c>
      <c r="I147" s="27">
        <f t="shared" ref="I147:J147" si="7">EDATE(H147,60)</f>
        <v>46174</v>
      </c>
      <c r="J147" s="27">
        <f t="shared" si="7"/>
        <v>48000</v>
      </c>
    </row>
    <row r="148" spans="3:10" x14ac:dyDescent="0.35">
      <c r="D148" s="20" t="s">
        <v>24</v>
      </c>
      <c r="E148" s="20" t="s">
        <v>242</v>
      </c>
      <c r="F148" s="30">
        <v>1.4999999999999999E-2</v>
      </c>
      <c r="G148" s="30">
        <v>1.6E-2</v>
      </c>
      <c r="H148" s="30">
        <v>1.6500000000000001E-2</v>
      </c>
      <c r="I148" s="30">
        <v>1.67E-2</v>
      </c>
      <c r="J148" s="30">
        <v>1.7000000000000001E-2</v>
      </c>
    </row>
    <row r="149" spans="3:10" x14ac:dyDescent="0.35">
      <c r="D149" s="20" t="s">
        <v>24</v>
      </c>
      <c r="E149" s="20" t="s">
        <v>242</v>
      </c>
      <c r="F149" s="30">
        <v>1.4999999999999999E-2</v>
      </c>
      <c r="G149" s="30">
        <v>1.6E-2</v>
      </c>
      <c r="H149" s="30">
        <v>1.7000000000000001E-2</v>
      </c>
      <c r="I149" s="30">
        <v>1.7999999999999999E-2</v>
      </c>
      <c r="J149" s="30">
        <v>1.9E-2</v>
      </c>
    </row>
    <row r="151" spans="3:10" x14ac:dyDescent="0.35">
      <c r="D151" s="20" t="s">
        <v>243</v>
      </c>
      <c r="E151" s="20" t="s">
        <v>19</v>
      </c>
      <c r="F151" s="30">
        <v>1.4999999999999999E-2</v>
      </c>
    </row>
    <row r="152" spans="3:10" x14ac:dyDescent="0.35">
      <c r="D152" s="20" t="s">
        <v>244</v>
      </c>
      <c r="E152" s="20" t="s">
        <v>19</v>
      </c>
      <c r="F152" s="30">
        <v>7.0000000000000001E-3</v>
      </c>
    </row>
    <row r="154" spans="3:10" x14ac:dyDescent="0.35">
      <c r="C154" s="20" t="s">
        <v>245</v>
      </c>
      <c r="E154" s="20" t="s">
        <v>60</v>
      </c>
      <c r="F154" s="28">
        <v>6</v>
      </c>
    </row>
    <row r="156" spans="3:10" x14ac:dyDescent="0.35">
      <c r="C156" s="20" t="s">
        <v>440</v>
      </c>
      <c r="E156" s="20" t="s">
        <v>64</v>
      </c>
      <c r="F156" s="58">
        <f>F14</f>
        <v>42522</v>
      </c>
    </row>
    <row r="157" spans="3:10" x14ac:dyDescent="0.35">
      <c r="C157" s="20" t="s">
        <v>246</v>
      </c>
      <c r="E157" s="20" t="s">
        <v>19</v>
      </c>
      <c r="F157" s="57">
        <f>G157/100</f>
        <v>0</v>
      </c>
      <c r="G157" s="28">
        <v>0</v>
      </c>
    </row>
    <row r="175" spans="6:7" x14ac:dyDescent="0.35">
      <c r="F175" s="20" t="str">
        <f t="shared" ref="F175:F187" si="8">D36</f>
        <v>January</v>
      </c>
      <c r="G175" s="22">
        <f t="shared" ref="G175:G187" si="9">J36</f>
        <v>0.15966290322580642</v>
      </c>
    </row>
    <row r="176" spans="6:7" x14ac:dyDescent="0.35">
      <c r="F176" s="20" t="str">
        <f t="shared" si="8"/>
        <v>February</v>
      </c>
      <c r="G176" s="22">
        <f t="shared" si="9"/>
        <v>0.20623124999999995</v>
      </c>
    </row>
    <row r="177" spans="6:7" x14ac:dyDescent="0.35">
      <c r="F177" s="20" t="str">
        <f t="shared" si="8"/>
        <v>March</v>
      </c>
      <c r="G177" s="22">
        <f t="shared" si="9"/>
        <v>0.26314811827956985</v>
      </c>
    </row>
    <row r="178" spans="6:7" x14ac:dyDescent="0.35">
      <c r="F178" s="20" t="str">
        <f t="shared" si="8"/>
        <v>April</v>
      </c>
      <c r="G178" s="22">
        <f t="shared" si="9"/>
        <v>0.2871961111111111</v>
      </c>
    </row>
    <row r="179" spans="6:7" x14ac:dyDescent="0.35">
      <c r="F179" s="20" t="str">
        <f t="shared" si="8"/>
        <v>May</v>
      </c>
      <c r="G179" s="22">
        <f t="shared" si="9"/>
        <v>0.31341236559139779</v>
      </c>
    </row>
    <row r="180" spans="6:7" x14ac:dyDescent="0.35">
      <c r="F180" s="20" t="str">
        <f t="shared" si="8"/>
        <v>June</v>
      </c>
      <c r="G180" s="22">
        <f t="shared" si="9"/>
        <v>0.33302527777777774</v>
      </c>
    </row>
    <row r="181" spans="6:7" x14ac:dyDescent="0.35">
      <c r="F181" s="20" t="str">
        <f t="shared" si="8"/>
        <v>July</v>
      </c>
      <c r="G181" s="22">
        <f t="shared" si="9"/>
        <v>0.35480645161290314</v>
      </c>
    </row>
    <row r="182" spans="6:7" x14ac:dyDescent="0.35">
      <c r="F182" s="20" t="str">
        <f t="shared" si="8"/>
        <v>August</v>
      </c>
      <c r="G182" s="22">
        <f t="shared" si="9"/>
        <v>0.31636908602150532</v>
      </c>
    </row>
    <row r="183" spans="6:7" x14ac:dyDescent="0.35">
      <c r="F183" s="20" t="str">
        <f t="shared" si="8"/>
        <v>September</v>
      </c>
      <c r="G183" s="22">
        <f t="shared" si="9"/>
        <v>0.28872374999999995</v>
      </c>
    </row>
    <row r="184" spans="6:7" x14ac:dyDescent="0.35">
      <c r="F184" s="20" t="str">
        <f t="shared" si="8"/>
        <v>October</v>
      </c>
      <c r="G184" s="22">
        <f t="shared" si="9"/>
        <v>0.21140551075268812</v>
      </c>
    </row>
    <row r="185" spans="6:7" x14ac:dyDescent="0.35">
      <c r="F185" s="20" t="str">
        <f t="shared" si="8"/>
        <v>November</v>
      </c>
      <c r="G185" s="22">
        <f t="shared" si="9"/>
        <v>0.14970861111111108</v>
      </c>
    </row>
    <row r="186" spans="6:7" x14ac:dyDescent="0.35">
      <c r="F186" s="20" t="str">
        <f t="shared" si="8"/>
        <v>December</v>
      </c>
      <c r="G186" s="22">
        <f t="shared" si="9"/>
        <v>0.12713897849462363</v>
      </c>
    </row>
    <row r="187" spans="6:7" x14ac:dyDescent="0.35">
      <c r="F187" s="20" t="str">
        <f t="shared" si="8"/>
        <v>Total</v>
      </c>
      <c r="G187" s="22">
        <f t="shared" si="9"/>
        <v>0.25111872146118719</v>
      </c>
    </row>
  </sheetData>
  <phoneticPr fontId="2" type="noConversion"/>
  <conditionalFormatting sqref="A1:XFD1048576">
    <cfRule type="expression" dxfId="20" priority="1">
      <formula>AND(A1&lt;&gt;"",A1=FALSE)</formula>
    </cfRule>
    <cfRule type="expression" dxfId="19" priority="2">
      <formula>A1=TRUE</formula>
    </cfRule>
  </conditionalFormatting>
  <hyperlinks>
    <hyperlink ref="B2" location="'Contents'!D14" display="'Contents'!D14" xr:uid="{FDC64FAB-A9C0-4AC2-BF8A-D6E55776A81B}"/>
    <hyperlink ref="B19" location="'Contents'!D15" display="'Contents'!D15" xr:uid="{49DBE79F-C297-471F-A33C-A271C70A9CF9}"/>
    <hyperlink ref="B51" location="'Contents'!D16" display="'Contents'!D16" xr:uid="{2F46794E-4CB7-4F65-BB2D-AC28DD0FD372}"/>
    <hyperlink ref="B71" location="'Contents'!D17" display="'Contents'!D17" xr:uid="{6410F790-DB5A-469B-B39E-358C669B4ED0}"/>
    <hyperlink ref="B91" location="'Contents'!D18" display="'Contents'!D18" xr:uid="{F01F5515-E7E0-4F03-8913-56586425FF58}"/>
    <hyperlink ref="B126" location="'Contents'!D19" display="'Contents'!D19" xr:uid="{F92B6EC7-8602-4915-8D0B-DBF9ABBB69F0}"/>
    <hyperlink ref="B130" location="'Contents'!D20" display="'Contents'!D20" xr:uid="{F83A7765-4B34-4F20-BE3C-AEE73C0D3D31}"/>
    <hyperlink ref="A1" location="'Contents'!A1" display="'Contents'!A1" xr:uid="{019584B8-BEA3-4316-B4FD-195EECCCFCE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Check Box 1">
              <controlPr defaultSize="0" autoFill="0" autoLine="0" autoPict="0">
                <anchor moveWithCells="1">
                  <from>
                    <xdr:col>6</xdr:col>
                    <xdr:colOff>133350</xdr:colOff>
                    <xdr:row>106</xdr:row>
                    <xdr:rowOff>12700</xdr:rowOff>
                  </from>
                  <to>
                    <xdr:col>8</xdr:col>
                    <xdr:colOff>463550</xdr:colOff>
                    <xdr:row>107</xdr:row>
                    <xdr:rowOff>88900</xdr:rowOff>
                  </to>
                </anchor>
              </controlPr>
            </control>
          </mc:Choice>
        </mc:AlternateContent>
        <mc:AlternateContent xmlns:mc="http://schemas.openxmlformats.org/markup-compatibility/2006">
          <mc:Choice Requires="x14">
            <control shapeId="10242" r:id="rId4" name="Drop Down 2">
              <controlPr defaultSize="0" autoLine="0" autoPict="0">
                <anchor moveWithCells="1">
                  <from>
                    <xdr:col>3</xdr:col>
                    <xdr:colOff>495300</xdr:colOff>
                    <xdr:row>110</xdr:row>
                    <xdr:rowOff>6350</xdr:rowOff>
                  </from>
                  <to>
                    <xdr:col>3</xdr:col>
                    <xdr:colOff>1797050</xdr:colOff>
                    <xdr:row>111</xdr:row>
                    <xdr:rowOff>31750</xdr:rowOff>
                  </to>
                </anchor>
              </controlPr>
            </control>
          </mc:Choice>
        </mc:AlternateContent>
        <mc:AlternateContent xmlns:mc="http://schemas.openxmlformats.org/markup-compatibility/2006">
          <mc:Choice Requires="x14">
            <control shapeId="10243" r:id="rId5" name="Drop Down 3">
              <controlPr defaultSize="0" autoLine="0" autoPict="0">
                <anchor moveWithCells="1">
                  <from>
                    <xdr:col>7</xdr:col>
                    <xdr:colOff>19050</xdr:colOff>
                    <xdr:row>26</xdr:row>
                    <xdr:rowOff>177800</xdr:rowOff>
                  </from>
                  <to>
                    <xdr:col>8</xdr:col>
                    <xdr:colOff>120650</xdr:colOff>
                    <xdr:row>28</xdr:row>
                    <xdr:rowOff>0</xdr:rowOff>
                  </to>
                </anchor>
              </controlPr>
            </control>
          </mc:Choice>
        </mc:AlternateContent>
        <mc:AlternateContent xmlns:mc="http://schemas.openxmlformats.org/markup-compatibility/2006">
          <mc:Choice Requires="x14">
            <control shapeId="10244" r:id="rId6" name="Check Box 4">
              <controlPr defaultSize="0" autoFill="0" autoLine="0" autoPict="0">
                <anchor moveWithCells="1">
                  <from>
                    <xdr:col>6</xdr:col>
                    <xdr:colOff>133350</xdr:colOff>
                    <xdr:row>142</xdr:row>
                    <xdr:rowOff>12700</xdr:rowOff>
                  </from>
                  <to>
                    <xdr:col>9</xdr:col>
                    <xdr:colOff>254000</xdr:colOff>
                    <xdr:row>143</xdr:row>
                    <xdr:rowOff>44450</xdr:rowOff>
                  </to>
                </anchor>
              </controlPr>
            </control>
          </mc:Choice>
        </mc:AlternateContent>
        <mc:AlternateContent xmlns:mc="http://schemas.openxmlformats.org/markup-compatibility/2006">
          <mc:Choice Requires="x14">
            <control shapeId="10245" r:id="rId7" name="Drop Down 5">
              <controlPr defaultSize="0" autoLine="0" autoPict="0">
                <anchor moveWithCells="1">
                  <from>
                    <xdr:col>6</xdr:col>
                    <xdr:colOff>361950</xdr:colOff>
                    <xdr:row>4</xdr:row>
                    <xdr:rowOff>158750</xdr:rowOff>
                  </from>
                  <to>
                    <xdr:col>7</xdr:col>
                    <xdr:colOff>660400</xdr:colOff>
                    <xdr:row>6</xdr:row>
                    <xdr:rowOff>6350</xdr:rowOff>
                  </to>
                </anchor>
              </controlPr>
            </control>
          </mc:Choice>
        </mc:AlternateContent>
        <mc:AlternateContent xmlns:mc="http://schemas.openxmlformats.org/markup-compatibility/2006">
          <mc:Choice Requires="x14">
            <control shapeId="10248" r:id="rId8" name="Spinner 8">
              <controlPr defaultSize="0" autoPict="0">
                <anchor moveWithCells="1" sizeWithCells="1">
                  <from>
                    <xdr:col>7</xdr:col>
                    <xdr:colOff>412750</xdr:colOff>
                    <xdr:row>131</xdr:row>
                    <xdr:rowOff>19050</xdr:rowOff>
                  </from>
                  <to>
                    <xdr:col>7</xdr:col>
                    <xdr:colOff>622300</xdr:colOff>
                    <xdr:row>131</xdr:row>
                    <xdr:rowOff>177800</xdr:rowOff>
                  </to>
                </anchor>
              </controlPr>
            </control>
          </mc:Choice>
        </mc:AlternateContent>
        <mc:AlternateContent xmlns:mc="http://schemas.openxmlformats.org/markup-compatibility/2006">
          <mc:Choice Requires="x14">
            <control shapeId="10249" r:id="rId9" name="Spinner 9">
              <controlPr defaultSize="0" autoPict="0">
                <anchor moveWithCells="1" sizeWithCells="1">
                  <from>
                    <xdr:col>7</xdr:col>
                    <xdr:colOff>412750</xdr:colOff>
                    <xdr:row>139</xdr:row>
                    <xdr:rowOff>19050</xdr:rowOff>
                  </from>
                  <to>
                    <xdr:col>7</xdr:col>
                    <xdr:colOff>622300</xdr:colOff>
                    <xdr:row>139</xdr:row>
                    <xdr:rowOff>177800</xdr:rowOff>
                  </to>
                </anchor>
              </controlPr>
            </control>
          </mc:Choice>
        </mc:AlternateContent>
        <mc:AlternateContent xmlns:mc="http://schemas.openxmlformats.org/markup-compatibility/2006">
          <mc:Choice Requires="x14">
            <control shapeId="10250" r:id="rId10" name="Spinner 10">
              <controlPr defaultSize="0" autoPict="0">
                <anchor moveWithCells="1" sizeWithCells="1">
                  <from>
                    <xdr:col>4</xdr:col>
                    <xdr:colOff>514350</xdr:colOff>
                    <xdr:row>53</xdr:row>
                    <xdr:rowOff>38100</xdr:rowOff>
                  </from>
                  <to>
                    <xdr:col>4</xdr:col>
                    <xdr:colOff>723900</xdr:colOff>
                    <xdr:row>54</xdr:row>
                    <xdr:rowOff>19050</xdr:rowOff>
                  </to>
                </anchor>
              </controlPr>
            </control>
          </mc:Choice>
        </mc:AlternateContent>
        <mc:AlternateContent xmlns:mc="http://schemas.openxmlformats.org/markup-compatibility/2006">
          <mc:Choice Requires="x14">
            <control shapeId="10251" r:id="rId11" name="Spinner 11">
              <controlPr defaultSize="0" autoPict="0">
                <anchor moveWithCells="1" sizeWithCells="1">
                  <from>
                    <xdr:col>4</xdr:col>
                    <xdr:colOff>533400</xdr:colOff>
                    <xdr:row>55</xdr:row>
                    <xdr:rowOff>31750</xdr:rowOff>
                  </from>
                  <to>
                    <xdr:col>4</xdr:col>
                    <xdr:colOff>742950</xdr:colOff>
                    <xdr:row>56</xdr:row>
                    <xdr:rowOff>6350</xdr:rowOff>
                  </to>
                </anchor>
              </controlPr>
            </control>
          </mc:Choice>
        </mc:AlternateContent>
        <mc:AlternateContent xmlns:mc="http://schemas.openxmlformats.org/markup-compatibility/2006">
          <mc:Choice Requires="x14">
            <control shapeId="10252" r:id="rId12" name="Spinner 12">
              <controlPr defaultSize="0" autoPict="0">
                <anchor moveWithCells="1" sizeWithCells="1">
                  <from>
                    <xdr:col>6</xdr:col>
                    <xdr:colOff>107950</xdr:colOff>
                    <xdr:row>21</xdr:row>
                    <xdr:rowOff>19050</xdr:rowOff>
                  </from>
                  <to>
                    <xdr:col>6</xdr:col>
                    <xdr:colOff>317500</xdr:colOff>
                    <xdr:row>21</xdr:row>
                    <xdr:rowOff>177800</xdr:rowOff>
                  </to>
                </anchor>
              </controlPr>
            </control>
          </mc:Choice>
        </mc:AlternateContent>
        <mc:AlternateContent xmlns:mc="http://schemas.openxmlformats.org/markup-compatibility/2006">
          <mc:Choice Requires="x14">
            <control shapeId="10253" r:id="rId13" name="Spinner 13">
              <controlPr defaultSize="0" autoPict="0">
                <anchor moveWithCells="1" sizeWithCells="1">
                  <from>
                    <xdr:col>6</xdr:col>
                    <xdr:colOff>107950</xdr:colOff>
                    <xdr:row>22</xdr:row>
                    <xdr:rowOff>31750</xdr:rowOff>
                  </from>
                  <to>
                    <xdr:col>6</xdr:col>
                    <xdr:colOff>317500</xdr:colOff>
                    <xdr:row>23</xdr:row>
                    <xdr:rowOff>6350</xdr:rowOff>
                  </to>
                </anchor>
              </controlPr>
            </control>
          </mc:Choice>
        </mc:AlternateContent>
        <mc:AlternateContent xmlns:mc="http://schemas.openxmlformats.org/markup-compatibility/2006">
          <mc:Choice Requires="x14">
            <control shapeId="10254" r:id="rId14" name="Spinner 14">
              <controlPr defaultSize="0" autoPict="0">
                <anchor moveWithCells="1" sizeWithCells="1">
                  <from>
                    <xdr:col>6</xdr:col>
                    <xdr:colOff>114300</xdr:colOff>
                    <xdr:row>9</xdr:row>
                    <xdr:rowOff>19050</xdr:rowOff>
                  </from>
                  <to>
                    <xdr:col>6</xdr:col>
                    <xdr:colOff>323850</xdr:colOff>
                    <xdr:row>9</xdr:row>
                    <xdr:rowOff>177800</xdr:rowOff>
                  </to>
                </anchor>
              </controlPr>
            </control>
          </mc:Choice>
        </mc:AlternateContent>
        <mc:AlternateContent xmlns:mc="http://schemas.openxmlformats.org/markup-compatibility/2006">
          <mc:Choice Requires="x14">
            <control shapeId="10255" r:id="rId15" name="Spinner 15">
              <controlPr defaultSize="0" autoPict="0">
                <anchor moveWithCells="1" sizeWithCells="1">
                  <from>
                    <xdr:col>6</xdr:col>
                    <xdr:colOff>69850</xdr:colOff>
                    <xdr:row>14</xdr:row>
                    <xdr:rowOff>19050</xdr:rowOff>
                  </from>
                  <to>
                    <xdr:col>6</xdr:col>
                    <xdr:colOff>279400</xdr:colOff>
                    <xdr:row>14</xdr:row>
                    <xdr:rowOff>177800</xdr:rowOff>
                  </to>
                </anchor>
              </controlPr>
            </control>
          </mc:Choice>
        </mc:AlternateContent>
        <mc:AlternateContent xmlns:mc="http://schemas.openxmlformats.org/markup-compatibility/2006">
          <mc:Choice Requires="x14">
            <control shapeId="10256" r:id="rId16" name="Spinner 16">
              <controlPr defaultSize="0" autoPict="0">
                <anchor moveWithCells="1" sizeWithCells="1">
                  <from>
                    <xdr:col>6</xdr:col>
                    <xdr:colOff>241300</xdr:colOff>
                    <xdr:row>96</xdr:row>
                    <xdr:rowOff>12700</xdr:rowOff>
                  </from>
                  <to>
                    <xdr:col>6</xdr:col>
                    <xdr:colOff>450850</xdr:colOff>
                    <xdr:row>96</xdr:row>
                    <xdr:rowOff>171450</xdr:rowOff>
                  </to>
                </anchor>
              </controlPr>
            </control>
          </mc:Choice>
        </mc:AlternateContent>
        <mc:AlternateContent xmlns:mc="http://schemas.openxmlformats.org/markup-compatibility/2006">
          <mc:Choice Requires="x14">
            <control shapeId="10257" r:id="rId17" name="Drop Down 17">
              <controlPr defaultSize="0" autoLine="0" autoPict="0">
                <anchor moveWithCells="1">
                  <from>
                    <xdr:col>3</xdr:col>
                    <xdr:colOff>0</xdr:colOff>
                    <xdr:row>98</xdr:row>
                    <xdr:rowOff>31750</xdr:rowOff>
                  </from>
                  <to>
                    <xdr:col>3</xdr:col>
                    <xdr:colOff>1435100</xdr:colOff>
                    <xdr:row>99</xdr:row>
                    <xdr:rowOff>0</xdr:rowOff>
                  </to>
                </anchor>
              </controlPr>
            </control>
          </mc:Choice>
        </mc:AlternateContent>
        <mc:AlternateContent xmlns:mc="http://schemas.openxmlformats.org/markup-compatibility/2006">
          <mc:Choice Requires="x14">
            <control shapeId="10258" r:id="rId18" name="Spinner 18">
              <controlPr defaultSize="0" autoPict="0">
                <anchor moveWithCells="1" sizeWithCells="1">
                  <from>
                    <xdr:col>5</xdr:col>
                    <xdr:colOff>69850</xdr:colOff>
                    <xdr:row>71</xdr:row>
                    <xdr:rowOff>12700</xdr:rowOff>
                  </from>
                  <to>
                    <xdr:col>5</xdr:col>
                    <xdr:colOff>279400</xdr:colOff>
                    <xdr:row>71</xdr:row>
                    <xdr:rowOff>171450</xdr:rowOff>
                  </to>
                </anchor>
              </controlPr>
            </control>
          </mc:Choice>
        </mc:AlternateContent>
        <mc:AlternateContent xmlns:mc="http://schemas.openxmlformats.org/markup-compatibility/2006">
          <mc:Choice Requires="x14">
            <control shapeId="10259" r:id="rId19" name="Spinner 19">
              <controlPr defaultSize="0" autoPict="0">
                <anchor moveWithCells="1" sizeWithCells="1">
                  <from>
                    <xdr:col>7</xdr:col>
                    <xdr:colOff>412750</xdr:colOff>
                    <xdr:row>156</xdr:row>
                    <xdr:rowOff>19050</xdr:rowOff>
                  </from>
                  <to>
                    <xdr:col>7</xdr:col>
                    <xdr:colOff>622300</xdr:colOff>
                    <xdr:row>156</xdr:row>
                    <xdr:rowOff>177800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45449-84BF-431F-A0B4-2C784BCF2FA7}">
  <sheetPr codeName="Sheet12"/>
  <dimension ref="A1:ALR106"/>
  <sheetViews>
    <sheetView showGridLines="0" zoomScale="70" zoomScaleNormal="70" workbookViewId="0">
      <selection activeCell="E13" sqref="E13"/>
    </sheetView>
  </sheetViews>
  <sheetFormatPr defaultRowHeight="14.5" outlineLevelRow="1" x14ac:dyDescent="0.35"/>
  <cols>
    <col min="1" max="3" width="1.54296875" style="20" customWidth="1"/>
    <col min="4" max="4" width="20.1796875" style="20" customWidth="1"/>
    <col min="5" max="45" width="10.26953125" style="20" customWidth="1"/>
    <col min="46" max="16384" width="8.7265625" style="20"/>
  </cols>
  <sheetData>
    <row r="1" spans="1:1006" x14ac:dyDescent="0.35">
      <c r="A1" s="20" t="s">
        <v>451</v>
      </c>
    </row>
    <row r="2" spans="1:1006" x14ac:dyDescent="0.35">
      <c r="B2" s="37" t="s">
        <v>273</v>
      </c>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c r="CD2" s="37"/>
      <c r="CE2" s="37"/>
      <c r="CF2" s="37"/>
      <c r="CG2" s="37"/>
      <c r="CH2" s="37"/>
      <c r="CI2" s="37"/>
      <c r="CJ2" s="37"/>
      <c r="CK2" s="37"/>
      <c r="CL2" s="37"/>
      <c r="CM2" s="37"/>
      <c r="CN2" s="37"/>
      <c r="CO2" s="37"/>
      <c r="CP2" s="37"/>
      <c r="CQ2" s="37"/>
      <c r="CR2" s="37"/>
      <c r="CS2" s="37"/>
      <c r="CT2" s="37"/>
      <c r="CU2" s="37"/>
      <c r="CV2" s="37"/>
      <c r="CW2" s="37"/>
      <c r="CX2" s="37"/>
      <c r="CY2" s="37"/>
      <c r="CZ2" s="37"/>
      <c r="DA2" s="37"/>
      <c r="DB2" s="37"/>
      <c r="DC2" s="37"/>
      <c r="DD2" s="37"/>
      <c r="DE2" s="37"/>
      <c r="DF2" s="37"/>
      <c r="DG2" s="37"/>
      <c r="DH2" s="37"/>
      <c r="DI2" s="37"/>
      <c r="DJ2" s="37"/>
      <c r="DK2" s="37"/>
      <c r="DL2" s="37"/>
      <c r="DM2" s="37"/>
      <c r="DN2" s="37"/>
      <c r="DO2" s="37"/>
      <c r="DP2" s="37"/>
      <c r="DQ2" s="37"/>
      <c r="DR2" s="37"/>
      <c r="DS2" s="37"/>
      <c r="DT2" s="37"/>
      <c r="DU2" s="37"/>
      <c r="DV2" s="37"/>
      <c r="DW2" s="37"/>
      <c r="DX2" s="37"/>
      <c r="DY2" s="37"/>
      <c r="DZ2" s="37"/>
      <c r="EA2" s="37"/>
      <c r="EB2" s="37"/>
      <c r="EC2" s="37"/>
      <c r="ED2" s="37"/>
      <c r="EE2" s="37"/>
      <c r="EF2" s="37"/>
      <c r="EG2" s="37"/>
      <c r="EH2" s="37"/>
      <c r="EI2" s="37"/>
      <c r="EJ2" s="37"/>
      <c r="EK2" s="37"/>
      <c r="EL2" s="37"/>
      <c r="EM2" s="37"/>
      <c r="EN2" s="37"/>
      <c r="EO2" s="37"/>
      <c r="EP2" s="37"/>
      <c r="EQ2" s="37"/>
      <c r="ER2" s="37"/>
      <c r="ES2" s="37"/>
      <c r="ET2" s="37"/>
      <c r="EU2" s="37"/>
      <c r="EV2" s="37"/>
      <c r="EW2" s="37"/>
      <c r="EX2" s="37"/>
      <c r="EY2" s="37"/>
      <c r="EZ2" s="37"/>
      <c r="FA2" s="37"/>
      <c r="FB2" s="37"/>
      <c r="FC2" s="37"/>
      <c r="FD2" s="37"/>
      <c r="FE2" s="37"/>
      <c r="FF2" s="37"/>
      <c r="FG2" s="37"/>
      <c r="FH2" s="37"/>
      <c r="FI2" s="37"/>
      <c r="FJ2" s="37"/>
      <c r="FK2" s="37"/>
      <c r="FL2" s="37"/>
      <c r="FM2" s="37"/>
      <c r="FN2" s="37"/>
      <c r="FO2" s="37"/>
      <c r="FP2" s="37"/>
      <c r="FQ2" s="37"/>
      <c r="FR2" s="37"/>
      <c r="FS2" s="37"/>
      <c r="FT2" s="37"/>
      <c r="FU2" s="37"/>
      <c r="FV2" s="37"/>
      <c r="FW2" s="37"/>
      <c r="FX2" s="37"/>
      <c r="FY2" s="37"/>
      <c r="FZ2" s="37"/>
      <c r="GA2" s="37"/>
      <c r="GB2" s="37"/>
      <c r="GC2" s="37"/>
      <c r="GD2" s="37"/>
      <c r="GE2" s="37"/>
      <c r="GF2" s="37"/>
      <c r="GG2" s="37"/>
      <c r="GH2" s="37"/>
      <c r="GI2" s="37"/>
      <c r="GJ2" s="37"/>
      <c r="GK2" s="37"/>
      <c r="GL2" s="37"/>
      <c r="GM2" s="37"/>
      <c r="GN2" s="37"/>
      <c r="GO2" s="37"/>
      <c r="GP2" s="37"/>
      <c r="GQ2" s="37"/>
      <c r="GR2" s="37"/>
      <c r="GS2" s="37"/>
      <c r="GT2" s="37"/>
      <c r="GU2" s="37"/>
      <c r="GV2" s="37"/>
      <c r="GW2" s="37"/>
      <c r="GX2" s="37"/>
      <c r="GY2" s="37"/>
      <c r="GZ2" s="37"/>
      <c r="HA2" s="37"/>
      <c r="HB2" s="37"/>
      <c r="HC2" s="37"/>
      <c r="HD2" s="37"/>
      <c r="HE2" s="37"/>
      <c r="HF2" s="37"/>
      <c r="HG2" s="37"/>
      <c r="HH2" s="37"/>
      <c r="HI2" s="37"/>
      <c r="HJ2" s="37"/>
      <c r="HK2" s="37"/>
      <c r="HL2" s="37"/>
      <c r="HM2" s="37"/>
      <c r="HN2" s="37"/>
      <c r="HO2" s="37"/>
      <c r="HP2" s="37"/>
      <c r="HQ2" s="37"/>
      <c r="HR2" s="37"/>
      <c r="HS2" s="37"/>
      <c r="HT2" s="37"/>
      <c r="HU2" s="37"/>
      <c r="HV2" s="37"/>
      <c r="HW2" s="37"/>
      <c r="HX2" s="37"/>
      <c r="HY2" s="37"/>
      <c r="HZ2" s="37"/>
      <c r="IA2" s="37"/>
      <c r="IB2" s="37"/>
      <c r="IC2" s="37"/>
      <c r="ID2" s="37"/>
      <c r="IE2" s="37"/>
      <c r="IF2" s="37"/>
      <c r="IG2" s="37"/>
      <c r="IH2" s="37"/>
      <c r="II2" s="37"/>
      <c r="IJ2" s="37"/>
      <c r="IK2" s="37"/>
      <c r="IL2" s="37"/>
      <c r="IM2" s="37"/>
      <c r="IN2" s="37"/>
      <c r="IO2" s="37"/>
      <c r="IP2" s="37"/>
      <c r="IQ2" s="37"/>
      <c r="IR2" s="37"/>
      <c r="IS2" s="37"/>
      <c r="IT2" s="37"/>
      <c r="IU2" s="37"/>
      <c r="IV2" s="37"/>
      <c r="IW2" s="37"/>
      <c r="IX2" s="37"/>
      <c r="IY2" s="37"/>
      <c r="IZ2" s="37"/>
      <c r="JA2" s="37"/>
      <c r="JB2" s="37"/>
      <c r="JC2" s="37"/>
      <c r="JD2" s="37"/>
      <c r="JE2" s="37"/>
      <c r="JF2" s="37"/>
      <c r="JG2" s="37"/>
      <c r="JH2" s="37"/>
      <c r="JI2" s="37"/>
      <c r="JJ2" s="37"/>
      <c r="JK2" s="37"/>
      <c r="JL2" s="37"/>
      <c r="JM2" s="37"/>
      <c r="JN2" s="37"/>
      <c r="JO2" s="37"/>
      <c r="JP2" s="37"/>
      <c r="JQ2" s="37"/>
      <c r="JR2" s="37"/>
      <c r="JS2" s="37"/>
      <c r="JT2" s="37"/>
      <c r="JU2" s="37"/>
      <c r="JV2" s="37"/>
      <c r="JW2" s="37"/>
      <c r="JX2" s="37"/>
      <c r="JY2" s="37"/>
      <c r="JZ2" s="37"/>
      <c r="KA2" s="37"/>
      <c r="KB2" s="37"/>
      <c r="KC2" s="37"/>
      <c r="KD2" s="37"/>
      <c r="KE2" s="37"/>
      <c r="KF2" s="37"/>
      <c r="KG2" s="37"/>
      <c r="KH2" s="37"/>
      <c r="KI2" s="37"/>
      <c r="KJ2" s="37"/>
      <c r="KK2" s="37"/>
      <c r="KL2" s="37"/>
      <c r="KM2" s="37"/>
      <c r="KN2" s="37"/>
      <c r="KO2" s="37"/>
      <c r="KP2" s="37"/>
      <c r="KQ2" s="37"/>
      <c r="KR2" s="37"/>
      <c r="KS2" s="37"/>
      <c r="KT2" s="37"/>
      <c r="KU2" s="37"/>
      <c r="KV2" s="37"/>
      <c r="KW2" s="37"/>
      <c r="KX2" s="37"/>
      <c r="KY2" s="37"/>
      <c r="KZ2" s="37"/>
      <c r="LA2" s="37"/>
      <c r="LB2" s="37"/>
      <c r="LC2" s="37"/>
      <c r="LD2" s="37"/>
      <c r="LE2" s="37"/>
      <c r="LF2" s="37"/>
      <c r="LG2" s="37"/>
      <c r="LH2" s="37"/>
      <c r="LI2" s="37"/>
      <c r="LJ2" s="37"/>
      <c r="LK2" s="37"/>
      <c r="LL2" s="37"/>
      <c r="LM2" s="37"/>
      <c r="LN2" s="37"/>
      <c r="LO2" s="37"/>
      <c r="LP2" s="37"/>
      <c r="LQ2" s="37"/>
      <c r="LR2" s="37"/>
      <c r="LS2" s="37"/>
      <c r="LT2" s="37"/>
      <c r="LU2" s="37"/>
      <c r="LV2" s="37"/>
      <c r="LW2" s="37"/>
      <c r="LX2" s="37"/>
      <c r="LY2" s="37"/>
      <c r="LZ2" s="37"/>
      <c r="MA2" s="37"/>
      <c r="MB2" s="37"/>
      <c r="MC2" s="37"/>
      <c r="MD2" s="37"/>
      <c r="ME2" s="37"/>
      <c r="MF2" s="37"/>
      <c r="MG2" s="37"/>
      <c r="MH2" s="37"/>
      <c r="MI2" s="37"/>
      <c r="MJ2" s="37"/>
      <c r="MK2" s="37"/>
      <c r="ML2" s="37"/>
      <c r="MM2" s="37"/>
      <c r="MN2" s="37"/>
      <c r="MO2" s="37"/>
      <c r="MP2" s="37"/>
      <c r="MQ2" s="37"/>
      <c r="MR2" s="37"/>
      <c r="MS2" s="37"/>
      <c r="MT2" s="37"/>
      <c r="MU2" s="37"/>
      <c r="MV2" s="37"/>
      <c r="MW2" s="37"/>
      <c r="MX2" s="37"/>
      <c r="MY2" s="37"/>
      <c r="MZ2" s="37"/>
      <c r="NA2" s="37"/>
      <c r="NB2" s="37"/>
      <c r="NC2" s="37"/>
      <c r="ND2" s="37"/>
      <c r="NE2" s="37"/>
      <c r="NF2" s="37"/>
      <c r="NG2" s="37"/>
      <c r="NH2" s="37"/>
      <c r="NI2" s="37"/>
      <c r="NJ2" s="37"/>
      <c r="NK2" s="37"/>
      <c r="NL2" s="37"/>
      <c r="NM2" s="37"/>
      <c r="NN2" s="37"/>
      <c r="NO2" s="37"/>
      <c r="NP2" s="37"/>
      <c r="NQ2" s="37"/>
      <c r="NR2" s="37"/>
      <c r="NS2" s="37"/>
      <c r="NT2" s="37"/>
      <c r="NU2" s="37"/>
      <c r="NV2" s="37"/>
      <c r="NW2" s="37"/>
      <c r="NX2" s="37"/>
      <c r="NY2" s="37"/>
      <c r="NZ2" s="37"/>
      <c r="OA2" s="37"/>
      <c r="OB2" s="37"/>
      <c r="OC2" s="37"/>
      <c r="OD2" s="37"/>
      <c r="OE2" s="37"/>
      <c r="OF2" s="37"/>
      <c r="OG2" s="37"/>
      <c r="OH2" s="37"/>
      <c r="OI2" s="37"/>
      <c r="OJ2" s="37"/>
      <c r="OK2" s="37"/>
      <c r="OL2" s="37"/>
      <c r="OM2" s="37"/>
      <c r="ON2" s="37"/>
      <c r="OO2" s="37"/>
      <c r="OP2" s="37"/>
      <c r="OQ2" s="37"/>
      <c r="OR2" s="37"/>
      <c r="OS2" s="37"/>
      <c r="OT2" s="37"/>
      <c r="OU2" s="37"/>
      <c r="OV2" s="37"/>
      <c r="OW2" s="37"/>
      <c r="OX2" s="37"/>
      <c r="OY2" s="37"/>
      <c r="OZ2" s="37"/>
      <c r="PA2" s="37"/>
      <c r="PB2" s="37"/>
      <c r="PC2" s="37"/>
      <c r="PD2" s="37"/>
      <c r="PE2" s="37"/>
      <c r="PF2" s="37"/>
      <c r="PG2" s="37"/>
      <c r="PH2" s="37"/>
      <c r="PI2" s="37"/>
      <c r="PJ2" s="37"/>
      <c r="PK2" s="37"/>
      <c r="PL2" s="37"/>
      <c r="PM2" s="37"/>
      <c r="PN2" s="37"/>
      <c r="PO2" s="37"/>
      <c r="PP2" s="37"/>
      <c r="PQ2" s="37"/>
      <c r="PR2" s="37"/>
      <c r="PS2" s="37"/>
      <c r="PT2" s="37"/>
      <c r="PU2" s="37"/>
      <c r="PV2" s="37"/>
      <c r="PW2" s="37"/>
      <c r="PX2" s="37"/>
      <c r="PY2" s="37"/>
      <c r="PZ2" s="37"/>
      <c r="QA2" s="37"/>
      <c r="QB2" s="37"/>
      <c r="QC2" s="37"/>
      <c r="QD2" s="37"/>
      <c r="QE2" s="37"/>
      <c r="QF2" s="37"/>
      <c r="QG2" s="37"/>
      <c r="QH2" s="37"/>
      <c r="QI2" s="37"/>
      <c r="QJ2" s="37"/>
      <c r="QK2" s="37"/>
      <c r="QL2" s="37"/>
      <c r="QM2" s="37"/>
      <c r="QN2" s="37"/>
      <c r="QO2" s="37"/>
      <c r="QP2" s="37"/>
      <c r="QQ2" s="37"/>
      <c r="QR2" s="37"/>
      <c r="QS2" s="37"/>
      <c r="QT2" s="37"/>
      <c r="QU2" s="37"/>
      <c r="QV2" s="37"/>
      <c r="QW2" s="37"/>
      <c r="QX2" s="37"/>
      <c r="QY2" s="37"/>
      <c r="QZ2" s="37"/>
      <c r="RA2" s="37"/>
      <c r="RB2" s="37"/>
      <c r="RC2" s="37"/>
      <c r="RD2" s="37"/>
      <c r="RE2" s="37"/>
      <c r="RF2" s="37"/>
      <c r="RG2" s="37"/>
      <c r="RH2" s="37"/>
      <c r="RI2" s="37"/>
      <c r="RJ2" s="37"/>
      <c r="RK2" s="37"/>
      <c r="RL2" s="37"/>
      <c r="RM2" s="37"/>
      <c r="RN2" s="37"/>
      <c r="RO2" s="37"/>
      <c r="RP2" s="37"/>
      <c r="RQ2" s="37"/>
      <c r="RR2" s="37"/>
      <c r="RS2" s="37"/>
      <c r="RT2" s="37"/>
      <c r="RU2" s="37"/>
      <c r="RV2" s="37"/>
      <c r="RW2" s="37"/>
      <c r="RX2" s="37"/>
      <c r="RY2" s="37"/>
      <c r="RZ2" s="37"/>
      <c r="SA2" s="37"/>
      <c r="SB2" s="37"/>
      <c r="SC2" s="37"/>
      <c r="SD2" s="37"/>
      <c r="SE2" s="37"/>
      <c r="SF2" s="37"/>
      <c r="SG2" s="37"/>
      <c r="SH2" s="37"/>
      <c r="SI2" s="37"/>
      <c r="SJ2" s="37"/>
      <c r="SK2" s="37"/>
      <c r="SL2" s="37"/>
      <c r="SM2" s="37"/>
      <c r="SN2" s="37"/>
      <c r="SO2" s="37"/>
      <c r="SP2" s="37"/>
      <c r="SQ2" s="37"/>
      <c r="SR2" s="37"/>
      <c r="SS2" s="37"/>
      <c r="ST2" s="37"/>
      <c r="SU2" s="37"/>
      <c r="SV2" s="37"/>
      <c r="SW2" s="37"/>
      <c r="SX2" s="37"/>
      <c r="SY2" s="37"/>
      <c r="SZ2" s="37"/>
      <c r="TA2" s="37"/>
      <c r="TB2" s="37"/>
      <c r="TC2" s="37"/>
      <c r="TD2" s="37"/>
      <c r="TE2" s="37"/>
      <c r="TF2" s="37"/>
      <c r="TG2" s="37"/>
      <c r="TH2" s="37"/>
      <c r="TI2" s="37"/>
      <c r="TJ2" s="37"/>
      <c r="TK2" s="37"/>
      <c r="TL2" s="37"/>
      <c r="TM2" s="37"/>
      <c r="TN2" s="37"/>
      <c r="TO2" s="37"/>
      <c r="TP2" s="37"/>
      <c r="TQ2" s="37"/>
      <c r="TR2" s="37"/>
      <c r="TS2" s="37"/>
      <c r="TT2" s="37"/>
      <c r="TU2" s="37"/>
      <c r="TV2" s="37"/>
      <c r="TW2" s="37"/>
      <c r="TX2" s="37"/>
      <c r="TY2" s="37"/>
      <c r="TZ2" s="37"/>
      <c r="UA2" s="37"/>
      <c r="UB2" s="37"/>
      <c r="UC2" s="37"/>
      <c r="UD2" s="37"/>
      <c r="UE2" s="37"/>
      <c r="UF2" s="37"/>
      <c r="UG2" s="37"/>
      <c r="UH2" s="37"/>
      <c r="UI2" s="37"/>
      <c r="UJ2" s="37"/>
      <c r="UK2" s="37"/>
      <c r="UL2" s="37"/>
      <c r="UM2" s="37"/>
      <c r="UN2" s="37"/>
      <c r="UO2" s="37"/>
      <c r="UP2" s="37"/>
      <c r="UQ2" s="37"/>
      <c r="UR2" s="37"/>
      <c r="US2" s="37"/>
      <c r="UT2" s="37"/>
      <c r="UU2" s="37"/>
      <c r="UV2" s="37"/>
      <c r="UW2" s="37"/>
      <c r="UX2" s="37"/>
      <c r="UY2" s="37"/>
      <c r="UZ2" s="37"/>
      <c r="VA2" s="37"/>
      <c r="VB2" s="37"/>
      <c r="VC2" s="37"/>
      <c r="VD2" s="37"/>
      <c r="VE2" s="37"/>
      <c r="VF2" s="37"/>
      <c r="VG2" s="37"/>
      <c r="VH2" s="37"/>
      <c r="VI2" s="37"/>
      <c r="VJ2" s="37"/>
      <c r="VK2" s="37"/>
      <c r="VL2" s="37"/>
      <c r="VM2" s="37"/>
      <c r="VN2" s="37"/>
      <c r="VO2" s="37"/>
      <c r="VP2" s="37"/>
      <c r="VQ2" s="37"/>
      <c r="VR2" s="37"/>
      <c r="VS2" s="37"/>
      <c r="VT2" s="37"/>
      <c r="VU2" s="37"/>
      <c r="VV2" s="37"/>
      <c r="VW2" s="37"/>
      <c r="VX2" s="37"/>
      <c r="VY2" s="37"/>
      <c r="VZ2" s="37"/>
      <c r="WA2" s="37"/>
      <c r="WB2" s="37"/>
      <c r="WC2" s="37"/>
      <c r="WD2" s="37"/>
      <c r="WE2" s="37"/>
      <c r="WF2" s="37"/>
      <c r="WG2" s="37"/>
      <c r="WH2" s="37"/>
      <c r="WI2" s="37"/>
      <c r="WJ2" s="37"/>
      <c r="WK2" s="37"/>
      <c r="WL2" s="37"/>
      <c r="WM2" s="37"/>
      <c r="WN2" s="37"/>
      <c r="WO2" s="37"/>
      <c r="WP2" s="37"/>
      <c r="WQ2" s="37"/>
      <c r="WR2" s="37"/>
      <c r="WS2" s="37"/>
      <c r="WT2" s="37"/>
      <c r="WU2" s="37"/>
      <c r="WV2" s="37"/>
      <c r="WW2" s="37"/>
      <c r="WX2" s="37"/>
      <c r="WY2" s="37"/>
      <c r="WZ2" s="37"/>
      <c r="XA2" s="37"/>
      <c r="XB2" s="37"/>
      <c r="XC2" s="37"/>
      <c r="XD2" s="37"/>
      <c r="XE2" s="37"/>
      <c r="XF2" s="37"/>
      <c r="XG2" s="37"/>
      <c r="XH2" s="37"/>
      <c r="XI2" s="37"/>
      <c r="XJ2" s="37"/>
      <c r="XK2" s="37"/>
      <c r="XL2" s="37"/>
      <c r="XM2" s="37"/>
      <c r="XN2" s="37"/>
      <c r="XO2" s="37"/>
      <c r="XP2" s="37"/>
      <c r="XQ2" s="37"/>
      <c r="XR2" s="37"/>
      <c r="XS2" s="37"/>
      <c r="XT2" s="37"/>
      <c r="XU2" s="37"/>
      <c r="XV2" s="37"/>
      <c r="XW2" s="37"/>
      <c r="XX2" s="37"/>
      <c r="XY2" s="37"/>
      <c r="XZ2" s="37"/>
      <c r="YA2" s="37"/>
      <c r="YB2" s="37"/>
      <c r="YC2" s="37"/>
      <c r="YD2" s="37"/>
      <c r="YE2" s="37"/>
      <c r="YF2" s="37"/>
      <c r="YG2" s="37"/>
      <c r="YH2" s="37"/>
      <c r="YI2" s="37"/>
      <c r="YJ2" s="37"/>
      <c r="YK2" s="37"/>
      <c r="YL2" s="37"/>
      <c r="YM2" s="37"/>
      <c r="YN2" s="37"/>
      <c r="YO2" s="37"/>
      <c r="YP2" s="37"/>
      <c r="YQ2" s="37"/>
      <c r="YR2" s="37"/>
      <c r="YS2" s="37"/>
      <c r="YT2" s="37"/>
      <c r="YU2" s="37"/>
      <c r="YV2" s="37"/>
      <c r="YW2" s="37"/>
      <c r="YX2" s="37"/>
      <c r="YY2" s="37"/>
      <c r="YZ2" s="37"/>
      <c r="ZA2" s="37"/>
      <c r="ZB2" s="37"/>
      <c r="ZC2" s="37"/>
      <c r="ZD2" s="37"/>
      <c r="ZE2" s="37"/>
      <c r="ZF2" s="37"/>
      <c r="ZG2" s="37"/>
      <c r="ZH2" s="37"/>
      <c r="ZI2" s="37"/>
      <c r="ZJ2" s="37"/>
      <c r="ZK2" s="37"/>
      <c r="ZL2" s="37"/>
      <c r="ZM2" s="37"/>
      <c r="ZN2" s="37"/>
      <c r="ZO2" s="37"/>
      <c r="ZP2" s="37"/>
      <c r="ZQ2" s="37"/>
      <c r="ZR2" s="37"/>
      <c r="ZS2" s="37"/>
      <c r="ZT2" s="37"/>
      <c r="ZU2" s="37"/>
      <c r="ZV2" s="37"/>
      <c r="ZW2" s="37"/>
      <c r="ZX2" s="37"/>
      <c r="ZY2" s="37"/>
      <c r="ZZ2" s="37"/>
      <c r="AAA2" s="37"/>
      <c r="AAB2" s="37"/>
      <c r="AAC2" s="37"/>
      <c r="AAD2" s="37"/>
      <c r="AAE2" s="37"/>
      <c r="AAF2" s="37"/>
      <c r="AAG2" s="37"/>
      <c r="AAH2" s="37"/>
      <c r="AAI2" s="37"/>
      <c r="AAJ2" s="37"/>
      <c r="AAK2" s="37"/>
      <c r="AAL2" s="37"/>
      <c r="AAM2" s="37"/>
      <c r="AAN2" s="37"/>
      <c r="AAO2" s="37"/>
      <c r="AAP2" s="37"/>
      <c r="AAQ2" s="37"/>
      <c r="AAR2" s="37"/>
      <c r="AAS2" s="37"/>
      <c r="AAT2" s="37"/>
      <c r="AAU2" s="37"/>
      <c r="AAV2" s="37"/>
      <c r="AAW2" s="37"/>
      <c r="AAX2" s="37"/>
      <c r="AAY2" s="37"/>
      <c r="AAZ2" s="37"/>
      <c r="ABA2" s="37"/>
      <c r="ABB2" s="37"/>
      <c r="ABC2" s="37"/>
      <c r="ABD2" s="37"/>
      <c r="ABE2" s="37"/>
      <c r="ABF2" s="37"/>
      <c r="ABG2" s="37"/>
      <c r="ABH2" s="37"/>
      <c r="ABI2" s="37"/>
      <c r="ABJ2" s="37"/>
      <c r="ABK2" s="37"/>
      <c r="ABL2" s="37"/>
      <c r="ABM2" s="37"/>
      <c r="ABN2" s="37"/>
      <c r="ABO2" s="37"/>
      <c r="ABP2" s="37"/>
      <c r="ABQ2" s="37"/>
      <c r="ABR2" s="37"/>
      <c r="ABS2" s="37"/>
      <c r="ABT2" s="37"/>
      <c r="ABU2" s="37"/>
      <c r="ABV2" s="37"/>
      <c r="ABW2" s="37"/>
      <c r="ABX2" s="37"/>
      <c r="ABY2" s="37"/>
      <c r="ABZ2" s="37"/>
      <c r="ACA2" s="37"/>
      <c r="ACB2" s="37"/>
      <c r="ACC2" s="37"/>
      <c r="ACD2" s="37"/>
      <c r="ACE2" s="37"/>
      <c r="ACF2" s="37"/>
      <c r="ACG2" s="37"/>
      <c r="ACH2" s="37"/>
      <c r="ACI2" s="37"/>
      <c r="ACJ2" s="37"/>
      <c r="ACK2" s="37"/>
      <c r="ACL2" s="37"/>
      <c r="ACM2" s="37"/>
      <c r="ACN2" s="37"/>
      <c r="ACO2" s="37"/>
      <c r="ACP2" s="37"/>
      <c r="ACQ2" s="37"/>
      <c r="ACR2" s="37"/>
      <c r="ACS2" s="37"/>
      <c r="ACT2" s="37"/>
      <c r="ACU2" s="37"/>
      <c r="ACV2" s="37"/>
      <c r="ACW2" s="37"/>
      <c r="ACX2" s="37"/>
      <c r="ACY2" s="37"/>
      <c r="ACZ2" s="37"/>
      <c r="ADA2" s="37"/>
      <c r="ADB2" s="37"/>
      <c r="ADC2" s="37"/>
      <c r="ADD2" s="37"/>
      <c r="ADE2" s="37"/>
      <c r="ADF2" s="37"/>
      <c r="ADG2" s="37"/>
      <c r="ADH2" s="37"/>
      <c r="ADI2" s="37"/>
      <c r="ADJ2" s="37"/>
      <c r="ADK2" s="37"/>
      <c r="ADL2" s="37"/>
      <c r="ADM2" s="37"/>
      <c r="ADN2" s="37"/>
      <c r="ADO2" s="37"/>
      <c r="ADP2" s="37"/>
      <c r="ADQ2" s="37"/>
      <c r="ADR2" s="37"/>
      <c r="ADS2" s="37"/>
      <c r="ADT2" s="37"/>
      <c r="ADU2" s="37"/>
      <c r="ADV2" s="37"/>
      <c r="ADW2" s="37"/>
      <c r="ADX2" s="37"/>
      <c r="ADY2" s="37"/>
      <c r="ADZ2" s="37"/>
      <c r="AEA2" s="37"/>
      <c r="AEB2" s="37"/>
      <c r="AEC2" s="37"/>
      <c r="AED2" s="37"/>
      <c r="AEE2" s="37"/>
      <c r="AEF2" s="37"/>
      <c r="AEG2" s="37"/>
      <c r="AEH2" s="37"/>
      <c r="AEI2" s="37"/>
      <c r="AEJ2" s="37"/>
      <c r="AEK2" s="37"/>
      <c r="AEL2" s="37"/>
      <c r="AEM2" s="37"/>
      <c r="AEN2" s="37"/>
      <c r="AEO2" s="37"/>
      <c r="AEP2" s="37"/>
      <c r="AEQ2" s="37"/>
      <c r="AER2" s="37"/>
      <c r="AES2" s="37"/>
      <c r="AET2" s="37"/>
      <c r="AEU2" s="37"/>
      <c r="AEV2" s="37"/>
      <c r="AEW2" s="37"/>
      <c r="AEX2" s="37"/>
      <c r="AEY2" s="37"/>
      <c r="AEZ2" s="37"/>
      <c r="AFA2" s="37"/>
      <c r="AFB2" s="37"/>
      <c r="AFC2" s="37"/>
      <c r="AFD2" s="37"/>
      <c r="AFE2" s="37"/>
      <c r="AFF2" s="37"/>
      <c r="AFG2" s="37"/>
      <c r="AFH2" s="37"/>
      <c r="AFI2" s="37"/>
      <c r="AFJ2" s="37"/>
      <c r="AFK2" s="37"/>
      <c r="AFL2" s="37"/>
      <c r="AFM2" s="37"/>
      <c r="AFN2" s="37"/>
      <c r="AFO2" s="37"/>
      <c r="AFP2" s="37"/>
      <c r="AFQ2" s="37"/>
      <c r="AFR2" s="37"/>
      <c r="AFS2" s="37"/>
      <c r="AFT2" s="37"/>
      <c r="AFU2" s="37"/>
      <c r="AFV2" s="37"/>
      <c r="AFW2" s="37"/>
      <c r="AFX2" s="37"/>
      <c r="AFY2" s="37"/>
      <c r="AFZ2" s="37"/>
      <c r="AGA2" s="37"/>
      <c r="AGB2" s="37"/>
      <c r="AGC2" s="37"/>
      <c r="AGD2" s="37"/>
      <c r="AGE2" s="37"/>
      <c r="AGF2" s="37"/>
      <c r="AGG2" s="37"/>
      <c r="AGH2" s="37"/>
      <c r="AGI2" s="37"/>
      <c r="AGJ2" s="37"/>
      <c r="AGK2" s="37"/>
      <c r="AGL2" s="37"/>
      <c r="AGM2" s="37"/>
      <c r="AGN2" s="37"/>
      <c r="AGO2" s="37"/>
      <c r="AGP2" s="37"/>
      <c r="AGQ2" s="37"/>
      <c r="AGR2" s="37"/>
      <c r="AGS2" s="37"/>
      <c r="AGT2" s="37"/>
      <c r="AGU2" s="37"/>
      <c r="AGV2" s="37"/>
      <c r="AGW2" s="37"/>
      <c r="AGX2" s="37"/>
      <c r="AGY2" s="37"/>
      <c r="AGZ2" s="37"/>
      <c r="AHA2" s="37"/>
      <c r="AHB2" s="37"/>
      <c r="AHC2" s="37"/>
      <c r="AHD2" s="37"/>
      <c r="AHE2" s="37"/>
      <c r="AHF2" s="37"/>
      <c r="AHG2" s="37"/>
      <c r="AHH2" s="37"/>
      <c r="AHI2" s="37"/>
      <c r="AHJ2" s="37"/>
      <c r="AHK2" s="37"/>
      <c r="AHL2" s="37"/>
      <c r="AHM2" s="37"/>
      <c r="AHN2" s="37"/>
      <c r="AHO2" s="37"/>
      <c r="AHP2" s="37"/>
      <c r="AHQ2" s="37"/>
      <c r="AHR2" s="37"/>
      <c r="AHS2" s="37"/>
      <c r="AHT2" s="37"/>
      <c r="AHU2" s="37"/>
      <c r="AHV2" s="37"/>
      <c r="AHW2" s="37"/>
      <c r="AHX2" s="37"/>
      <c r="AHY2" s="37"/>
      <c r="AHZ2" s="37"/>
      <c r="AIA2" s="37"/>
      <c r="AIB2" s="37"/>
      <c r="AIC2" s="37"/>
      <c r="AID2" s="37"/>
      <c r="AIE2" s="37"/>
      <c r="AIF2" s="37"/>
      <c r="AIG2" s="37"/>
      <c r="AIH2" s="37"/>
      <c r="AII2" s="37"/>
      <c r="AIJ2" s="37"/>
      <c r="AIK2" s="37"/>
      <c r="AIL2" s="37"/>
      <c r="AIM2" s="37"/>
      <c r="AIN2" s="37"/>
      <c r="AIO2" s="37"/>
      <c r="AIP2" s="37"/>
      <c r="AIQ2" s="37"/>
      <c r="AIR2" s="37"/>
      <c r="AIS2" s="37"/>
      <c r="AIT2" s="37"/>
      <c r="AIU2" s="37"/>
      <c r="AIV2" s="37"/>
      <c r="AIW2" s="37"/>
      <c r="AIX2" s="37"/>
      <c r="AIY2" s="37"/>
      <c r="AIZ2" s="37"/>
      <c r="AJA2" s="37"/>
      <c r="AJB2" s="37"/>
      <c r="AJC2" s="37"/>
      <c r="AJD2" s="37"/>
      <c r="AJE2" s="37"/>
      <c r="AJF2" s="37"/>
      <c r="AJG2" s="37"/>
      <c r="AJH2" s="37"/>
      <c r="AJI2" s="37"/>
      <c r="AJJ2" s="37"/>
      <c r="AJK2" s="37"/>
      <c r="AJL2" s="37"/>
      <c r="AJM2" s="37"/>
      <c r="AJN2" s="37"/>
      <c r="AJO2" s="37"/>
      <c r="AJP2" s="37"/>
      <c r="AJQ2" s="37"/>
      <c r="AJR2" s="37"/>
      <c r="AJS2" s="37"/>
      <c r="AJT2" s="37"/>
      <c r="AJU2" s="37"/>
      <c r="AJV2" s="37"/>
      <c r="AJW2" s="37"/>
      <c r="AJX2" s="37"/>
      <c r="AJY2" s="37"/>
      <c r="AJZ2" s="37"/>
      <c r="AKA2" s="37"/>
      <c r="AKB2" s="37"/>
      <c r="AKC2" s="37"/>
      <c r="AKD2" s="37"/>
      <c r="AKE2" s="37"/>
      <c r="AKF2" s="37"/>
      <c r="AKG2" s="37"/>
      <c r="AKH2" s="37"/>
      <c r="AKI2" s="37"/>
      <c r="AKJ2" s="37"/>
      <c r="AKK2" s="37"/>
      <c r="AKL2" s="37"/>
      <c r="AKM2" s="37"/>
      <c r="AKN2" s="37"/>
      <c r="AKO2" s="37"/>
      <c r="AKP2" s="37"/>
      <c r="AKQ2" s="37"/>
      <c r="AKR2" s="37"/>
      <c r="AKS2" s="37"/>
      <c r="AKT2" s="37"/>
      <c r="AKU2" s="37"/>
      <c r="AKV2" s="37"/>
      <c r="AKW2" s="37"/>
      <c r="AKX2" s="37"/>
      <c r="AKY2" s="37"/>
      <c r="AKZ2" s="37"/>
      <c r="ALA2" s="37"/>
      <c r="ALB2" s="37"/>
      <c r="ALC2" s="37"/>
      <c r="ALD2" s="37"/>
      <c r="ALE2" s="37"/>
      <c r="ALF2" s="37"/>
      <c r="ALG2" s="37"/>
      <c r="ALH2" s="37"/>
      <c r="ALI2" s="37"/>
      <c r="ALJ2" s="37"/>
      <c r="ALK2" s="37"/>
      <c r="ALL2" s="37"/>
      <c r="ALM2" s="37"/>
      <c r="ALN2" s="37"/>
      <c r="ALO2" s="37"/>
      <c r="ALP2" s="37"/>
      <c r="ALQ2" s="37"/>
      <c r="ALR2" s="37"/>
    </row>
    <row r="3" spans="1:1006" x14ac:dyDescent="0.35">
      <c r="C3" s="20" t="s">
        <v>33</v>
      </c>
      <c r="E3" s="28">
        <v>1</v>
      </c>
    </row>
    <row r="5" spans="1:1006" x14ac:dyDescent="0.35">
      <c r="E5" s="21" t="s">
        <v>110</v>
      </c>
      <c r="F5" s="21" t="s">
        <v>197</v>
      </c>
      <c r="G5" s="20" t="s">
        <v>413</v>
      </c>
      <c r="H5" s="21" t="s">
        <v>148</v>
      </c>
      <c r="I5" s="21" t="s">
        <v>66</v>
      </c>
      <c r="J5" s="21" t="s">
        <v>356</v>
      </c>
      <c r="K5" s="21" t="s">
        <v>350</v>
      </c>
      <c r="L5" s="21" t="s">
        <v>350</v>
      </c>
      <c r="M5" s="21" t="s">
        <v>352</v>
      </c>
      <c r="N5" s="21" t="s">
        <v>354</v>
      </c>
    </row>
    <row r="6" spans="1:1006" x14ac:dyDescent="0.35">
      <c r="E6" s="21" t="s">
        <v>100</v>
      </c>
      <c r="F6" s="21" t="s">
        <v>198</v>
      </c>
      <c r="G6" s="20" t="s">
        <v>414</v>
      </c>
      <c r="H6" s="21" t="s">
        <v>149</v>
      </c>
      <c r="I6" s="21" t="s">
        <v>65</v>
      </c>
      <c r="J6" s="21" t="s">
        <v>357</v>
      </c>
      <c r="K6" s="21" t="s">
        <v>351</v>
      </c>
      <c r="L6" s="21" t="s">
        <v>424</v>
      </c>
      <c r="M6" s="21" t="s">
        <v>353</v>
      </c>
      <c r="N6" s="21" t="s">
        <v>355</v>
      </c>
      <c r="Q6" s="21" t="s">
        <v>429</v>
      </c>
      <c r="R6" s="35">
        <f>Summary!F5</f>
        <v>9.1066101193428048E-2</v>
      </c>
    </row>
    <row r="7" spans="1:1006" x14ac:dyDescent="0.35">
      <c r="C7" s="20" t="s">
        <v>123</v>
      </c>
      <c r="E7" s="28">
        <v>190</v>
      </c>
      <c r="F7" s="28">
        <v>100</v>
      </c>
      <c r="G7" s="29">
        <v>2588</v>
      </c>
      <c r="H7" s="30">
        <v>0.85</v>
      </c>
      <c r="I7" s="28">
        <v>5</v>
      </c>
      <c r="J7" s="28">
        <v>25</v>
      </c>
      <c r="K7" s="31">
        <v>1.35</v>
      </c>
      <c r="L7" s="28">
        <v>1</v>
      </c>
      <c r="M7" s="32">
        <v>5</v>
      </c>
      <c r="N7" s="28">
        <v>20000</v>
      </c>
    </row>
    <row r="8" spans="1:1006" x14ac:dyDescent="0.35">
      <c r="C8" s="20" t="s">
        <v>124</v>
      </c>
      <c r="E8" s="28">
        <v>220</v>
      </c>
      <c r="F8" s="28">
        <v>150</v>
      </c>
      <c r="G8" s="29">
        <v>2400</v>
      </c>
      <c r="H8" s="30">
        <v>0.82</v>
      </c>
      <c r="I8" s="28">
        <v>5</v>
      </c>
      <c r="J8" s="28">
        <v>22</v>
      </c>
      <c r="K8" s="31">
        <v>1.25</v>
      </c>
      <c r="L8" s="28">
        <v>1</v>
      </c>
      <c r="M8" s="32">
        <v>8</v>
      </c>
      <c r="N8" s="28">
        <v>30000</v>
      </c>
    </row>
    <row r="9" spans="1:1006" x14ac:dyDescent="0.35">
      <c r="C9" s="20" t="s">
        <v>150</v>
      </c>
      <c r="E9" s="28">
        <v>190</v>
      </c>
      <c r="F9" s="28">
        <v>100</v>
      </c>
      <c r="G9" s="29">
        <v>2588</v>
      </c>
      <c r="H9" s="30">
        <v>0.85</v>
      </c>
      <c r="I9" s="28">
        <v>20</v>
      </c>
      <c r="J9" s="28">
        <v>25</v>
      </c>
      <c r="K9" s="31">
        <v>1.2</v>
      </c>
      <c r="L9" s="28">
        <v>1</v>
      </c>
      <c r="M9" s="32">
        <v>5</v>
      </c>
      <c r="N9" s="28">
        <v>20000</v>
      </c>
    </row>
    <row r="10" spans="1:1006" x14ac:dyDescent="0.35">
      <c r="C10" s="20" t="s">
        <v>121</v>
      </c>
      <c r="E10" s="28">
        <v>400</v>
      </c>
      <c r="F10" s="28">
        <v>330</v>
      </c>
      <c r="G10" s="29">
        <v>2500</v>
      </c>
      <c r="H10" s="30">
        <v>0.85</v>
      </c>
      <c r="I10" s="28">
        <v>5</v>
      </c>
      <c r="J10" s="28">
        <v>30</v>
      </c>
      <c r="K10" s="31">
        <v>1.5</v>
      </c>
      <c r="L10" s="28">
        <v>3</v>
      </c>
      <c r="M10" s="32">
        <v>7.5</v>
      </c>
      <c r="N10" s="28">
        <v>40000</v>
      </c>
    </row>
    <row r="11" spans="1:1006" x14ac:dyDescent="0.35">
      <c r="C11" s="20" t="s">
        <v>122</v>
      </c>
      <c r="E11" s="28">
        <v>190</v>
      </c>
      <c r="F11" s="28">
        <v>100</v>
      </c>
      <c r="G11" s="29">
        <v>2600</v>
      </c>
      <c r="H11" s="30">
        <v>0.83</v>
      </c>
      <c r="I11" s="28">
        <v>5</v>
      </c>
      <c r="J11" s="28">
        <v>30</v>
      </c>
      <c r="K11" s="31">
        <v>1.1000000000000001</v>
      </c>
      <c r="L11" s="28">
        <v>2</v>
      </c>
      <c r="M11" s="32">
        <v>5</v>
      </c>
      <c r="N11" s="28">
        <v>10000</v>
      </c>
    </row>
    <row r="12" spans="1:1006" x14ac:dyDescent="0.35">
      <c r="C12" s="20" t="s">
        <v>147</v>
      </c>
      <c r="E12" s="28">
        <v>180</v>
      </c>
      <c r="F12" s="28">
        <v>100</v>
      </c>
      <c r="G12" s="29">
        <v>2700</v>
      </c>
      <c r="H12" s="30">
        <v>0.8</v>
      </c>
      <c r="I12" s="28">
        <v>5</v>
      </c>
      <c r="J12" s="28">
        <v>30</v>
      </c>
      <c r="K12" s="31">
        <v>1.1000000000000001</v>
      </c>
      <c r="L12" s="28">
        <v>2</v>
      </c>
      <c r="M12" s="32">
        <v>5</v>
      </c>
      <c r="N12" s="28">
        <v>0</v>
      </c>
    </row>
    <row r="14" spans="1:1006" x14ac:dyDescent="0.35">
      <c r="C14" s="20" t="str" cm="1">
        <f t="array" ref="C14">INDEX(C7:C12,$E$3)</f>
        <v>Base Case</v>
      </c>
      <c r="E14" s="20" cm="1">
        <f t="array" ref="E14">INDEX(E7:E12,$E$3)</f>
        <v>190</v>
      </c>
      <c r="F14" s="20" cm="1">
        <f t="array" ref="F14">INDEX(F7:F12,$E$3)</f>
        <v>100</v>
      </c>
      <c r="G14" s="20" cm="1">
        <f t="array" ref="G14">INDEX(G7:G12,$E$3)</f>
        <v>2588</v>
      </c>
      <c r="H14" s="22" cm="1">
        <f t="array" ref="H14">INDEX(H7:H12,$E$3)</f>
        <v>0.85</v>
      </c>
      <c r="I14" s="20" cm="1">
        <f t="array" ref="I14">INDEX(I7:I12,$E$3)</f>
        <v>5</v>
      </c>
      <c r="J14" s="20" cm="1">
        <f t="array" ref="J14">INDEX(J7:J12,$E$3)</f>
        <v>25</v>
      </c>
      <c r="K14" s="24" cm="1">
        <f t="array" ref="K14">INDEX(K7:K12,$E$3)</f>
        <v>1.35</v>
      </c>
      <c r="L14" s="20" cm="1">
        <f t="array" ref="L14">INDEX(L7:L12,$E$3)</f>
        <v>1</v>
      </c>
      <c r="M14" s="25" cm="1">
        <f t="array" ref="M14">INDEX(M7:M12,$E$3)</f>
        <v>5</v>
      </c>
      <c r="N14" s="20" cm="1">
        <f t="array" ref="N14">INDEX(N7:N12,$E$3)</f>
        <v>20000</v>
      </c>
      <c r="O14" s="20" t="s">
        <v>25</v>
      </c>
    </row>
    <row r="16" spans="1:1006" x14ac:dyDescent="0.35">
      <c r="C16" s="20" t="s">
        <v>125</v>
      </c>
      <c r="E16" s="28">
        <v>190</v>
      </c>
      <c r="F16" s="28">
        <v>100</v>
      </c>
      <c r="G16" s="28">
        <v>2588</v>
      </c>
      <c r="H16" s="28">
        <v>85</v>
      </c>
      <c r="I16" s="28">
        <v>5</v>
      </c>
      <c r="J16" s="28">
        <v>25</v>
      </c>
      <c r="K16" s="28">
        <v>135</v>
      </c>
      <c r="L16" s="28">
        <v>1</v>
      </c>
      <c r="M16" s="28">
        <v>50</v>
      </c>
      <c r="N16" s="28">
        <v>20000</v>
      </c>
      <c r="O16" s="20" t="s">
        <v>125</v>
      </c>
    </row>
    <row r="18" spans="2:1006" x14ac:dyDescent="0.35">
      <c r="B18" s="37" t="s">
        <v>156</v>
      </c>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c r="BU18" s="37"/>
      <c r="BV18" s="37"/>
      <c r="BW18" s="37"/>
      <c r="BX18" s="37"/>
      <c r="BY18" s="37"/>
      <c r="BZ18" s="37"/>
      <c r="CA18" s="37"/>
      <c r="CB18" s="37"/>
      <c r="CC18" s="37"/>
      <c r="CD18" s="37"/>
      <c r="CE18" s="37"/>
      <c r="CF18" s="37"/>
      <c r="CG18" s="37"/>
      <c r="CH18" s="37"/>
      <c r="CI18" s="37"/>
      <c r="CJ18" s="37"/>
      <c r="CK18" s="37"/>
      <c r="CL18" s="37"/>
      <c r="CM18" s="37"/>
      <c r="CN18" s="37"/>
      <c r="CO18" s="37"/>
      <c r="CP18" s="37"/>
      <c r="CQ18" s="37"/>
      <c r="CR18" s="37"/>
      <c r="CS18" s="37"/>
      <c r="CT18" s="37"/>
      <c r="CU18" s="37"/>
      <c r="CV18" s="37"/>
      <c r="CW18" s="37"/>
      <c r="CX18" s="37"/>
      <c r="CY18" s="37"/>
      <c r="CZ18" s="37"/>
      <c r="DA18" s="37"/>
      <c r="DB18" s="37"/>
      <c r="DC18" s="37"/>
      <c r="DD18" s="37"/>
      <c r="DE18" s="37"/>
      <c r="DF18" s="37"/>
      <c r="DG18" s="37"/>
      <c r="DH18" s="37"/>
      <c r="DI18" s="37"/>
      <c r="DJ18" s="37"/>
      <c r="DK18" s="37"/>
      <c r="DL18" s="37"/>
      <c r="DM18" s="37"/>
      <c r="DN18" s="37"/>
      <c r="DO18" s="37"/>
      <c r="DP18" s="37"/>
      <c r="DQ18" s="37"/>
      <c r="DR18" s="37"/>
      <c r="DS18" s="37"/>
      <c r="DT18" s="37"/>
      <c r="DU18" s="37"/>
      <c r="DV18" s="37"/>
      <c r="DW18" s="37"/>
      <c r="DX18" s="37"/>
      <c r="DY18" s="37"/>
      <c r="DZ18" s="37"/>
      <c r="EA18" s="37"/>
      <c r="EB18" s="37"/>
      <c r="EC18" s="37"/>
      <c r="ED18" s="37"/>
      <c r="EE18" s="37"/>
      <c r="EF18" s="37"/>
      <c r="EG18" s="37"/>
      <c r="EH18" s="37"/>
      <c r="EI18" s="37"/>
      <c r="EJ18" s="37"/>
      <c r="EK18" s="37"/>
      <c r="EL18" s="37"/>
      <c r="EM18" s="37"/>
      <c r="EN18" s="37"/>
      <c r="EO18" s="37"/>
      <c r="EP18" s="37"/>
      <c r="EQ18" s="37"/>
      <c r="ER18" s="37"/>
      <c r="ES18" s="37"/>
      <c r="ET18" s="37"/>
      <c r="EU18" s="37"/>
      <c r="EV18" s="37"/>
      <c r="EW18" s="37"/>
      <c r="EX18" s="37"/>
      <c r="EY18" s="37"/>
      <c r="EZ18" s="37"/>
      <c r="FA18" s="37"/>
      <c r="FB18" s="37"/>
      <c r="FC18" s="37"/>
      <c r="FD18" s="37"/>
      <c r="FE18" s="37"/>
      <c r="FF18" s="37"/>
      <c r="FG18" s="37"/>
      <c r="FH18" s="37"/>
      <c r="FI18" s="37"/>
      <c r="FJ18" s="37"/>
      <c r="FK18" s="37"/>
      <c r="FL18" s="37"/>
      <c r="FM18" s="37"/>
      <c r="FN18" s="37"/>
      <c r="FO18" s="37"/>
      <c r="FP18" s="37"/>
      <c r="FQ18" s="37"/>
      <c r="FR18" s="37"/>
      <c r="FS18" s="37"/>
      <c r="FT18" s="37"/>
      <c r="FU18" s="37"/>
      <c r="FV18" s="37"/>
      <c r="FW18" s="37"/>
      <c r="FX18" s="37"/>
      <c r="FY18" s="37"/>
      <c r="FZ18" s="37"/>
      <c r="GA18" s="37"/>
      <c r="GB18" s="37"/>
      <c r="GC18" s="37"/>
      <c r="GD18" s="37"/>
      <c r="GE18" s="37"/>
      <c r="GF18" s="37"/>
      <c r="GG18" s="37"/>
      <c r="GH18" s="37"/>
      <c r="GI18" s="37"/>
      <c r="GJ18" s="37"/>
      <c r="GK18" s="37"/>
      <c r="GL18" s="37"/>
      <c r="GM18" s="37"/>
      <c r="GN18" s="37"/>
      <c r="GO18" s="37"/>
      <c r="GP18" s="37"/>
      <c r="GQ18" s="37"/>
      <c r="GR18" s="37"/>
      <c r="GS18" s="37"/>
      <c r="GT18" s="37"/>
      <c r="GU18" s="37"/>
      <c r="GV18" s="37"/>
      <c r="GW18" s="37"/>
      <c r="GX18" s="37"/>
      <c r="GY18" s="37"/>
      <c r="GZ18" s="37"/>
      <c r="HA18" s="37"/>
      <c r="HB18" s="37"/>
      <c r="HC18" s="37"/>
      <c r="HD18" s="37"/>
      <c r="HE18" s="37"/>
      <c r="HF18" s="37"/>
      <c r="HG18" s="37"/>
      <c r="HH18" s="37"/>
      <c r="HI18" s="37"/>
      <c r="HJ18" s="37"/>
      <c r="HK18" s="37"/>
      <c r="HL18" s="37"/>
      <c r="HM18" s="37"/>
      <c r="HN18" s="37"/>
      <c r="HO18" s="37"/>
      <c r="HP18" s="37"/>
      <c r="HQ18" s="37"/>
      <c r="HR18" s="37"/>
      <c r="HS18" s="37"/>
      <c r="HT18" s="37"/>
      <c r="HU18" s="37"/>
      <c r="HV18" s="37"/>
      <c r="HW18" s="37"/>
      <c r="HX18" s="37"/>
      <c r="HY18" s="37"/>
      <c r="HZ18" s="37"/>
      <c r="IA18" s="37"/>
      <c r="IB18" s="37"/>
      <c r="IC18" s="37"/>
      <c r="ID18" s="37"/>
      <c r="IE18" s="37"/>
      <c r="IF18" s="37"/>
      <c r="IG18" s="37"/>
      <c r="IH18" s="37"/>
      <c r="II18" s="37"/>
      <c r="IJ18" s="37"/>
      <c r="IK18" s="37"/>
      <c r="IL18" s="37"/>
      <c r="IM18" s="37"/>
      <c r="IN18" s="37"/>
      <c r="IO18" s="37"/>
      <c r="IP18" s="37"/>
      <c r="IQ18" s="37"/>
      <c r="IR18" s="37"/>
      <c r="IS18" s="37"/>
      <c r="IT18" s="37"/>
      <c r="IU18" s="37"/>
      <c r="IV18" s="37"/>
      <c r="IW18" s="37"/>
      <c r="IX18" s="37"/>
      <c r="IY18" s="37"/>
      <c r="IZ18" s="37"/>
      <c r="JA18" s="37"/>
      <c r="JB18" s="37"/>
      <c r="JC18" s="37"/>
      <c r="JD18" s="37"/>
      <c r="JE18" s="37"/>
      <c r="JF18" s="37"/>
      <c r="JG18" s="37"/>
      <c r="JH18" s="37"/>
      <c r="JI18" s="37"/>
      <c r="JJ18" s="37"/>
      <c r="JK18" s="37"/>
      <c r="JL18" s="37"/>
      <c r="JM18" s="37"/>
      <c r="JN18" s="37"/>
      <c r="JO18" s="37"/>
      <c r="JP18" s="37"/>
      <c r="JQ18" s="37"/>
      <c r="JR18" s="37"/>
      <c r="JS18" s="37"/>
      <c r="JT18" s="37"/>
      <c r="JU18" s="37"/>
      <c r="JV18" s="37"/>
      <c r="JW18" s="37"/>
      <c r="JX18" s="37"/>
      <c r="JY18" s="37"/>
      <c r="JZ18" s="37"/>
      <c r="KA18" s="37"/>
      <c r="KB18" s="37"/>
      <c r="KC18" s="37"/>
      <c r="KD18" s="37"/>
      <c r="KE18" s="37"/>
      <c r="KF18" s="37"/>
      <c r="KG18" s="37"/>
      <c r="KH18" s="37"/>
      <c r="KI18" s="37"/>
      <c r="KJ18" s="37"/>
      <c r="KK18" s="37"/>
      <c r="KL18" s="37"/>
      <c r="KM18" s="37"/>
      <c r="KN18" s="37"/>
      <c r="KO18" s="37"/>
      <c r="KP18" s="37"/>
      <c r="KQ18" s="37"/>
      <c r="KR18" s="37"/>
      <c r="KS18" s="37"/>
      <c r="KT18" s="37"/>
      <c r="KU18" s="37"/>
      <c r="KV18" s="37"/>
      <c r="KW18" s="37"/>
      <c r="KX18" s="37"/>
      <c r="KY18" s="37"/>
      <c r="KZ18" s="37"/>
      <c r="LA18" s="37"/>
      <c r="LB18" s="37"/>
      <c r="LC18" s="37"/>
      <c r="LD18" s="37"/>
      <c r="LE18" s="37"/>
      <c r="LF18" s="37"/>
      <c r="LG18" s="37"/>
      <c r="LH18" s="37"/>
      <c r="LI18" s="37"/>
      <c r="LJ18" s="37"/>
      <c r="LK18" s="37"/>
      <c r="LL18" s="37"/>
      <c r="LM18" s="37"/>
      <c r="LN18" s="37"/>
      <c r="LO18" s="37"/>
      <c r="LP18" s="37"/>
      <c r="LQ18" s="37"/>
      <c r="LR18" s="37"/>
      <c r="LS18" s="37"/>
      <c r="LT18" s="37"/>
      <c r="LU18" s="37"/>
      <c r="LV18" s="37"/>
      <c r="LW18" s="37"/>
      <c r="LX18" s="37"/>
      <c r="LY18" s="37"/>
      <c r="LZ18" s="37"/>
      <c r="MA18" s="37"/>
      <c r="MB18" s="37"/>
      <c r="MC18" s="37"/>
      <c r="MD18" s="37"/>
      <c r="ME18" s="37"/>
      <c r="MF18" s="37"/>
      <c r="MG18" s="37"/>
      <c r="MH18" s="37"/>
      <c r="MI18" s="37"/>
      <c r="MJ18" s="37"/>
      <c r="MK18" s="37"/>
      <c r="ML18" s="37"/>
      <c r="MM18" s="37"/>
      <c r="MN18" s="37"/>
      <c r="MO18" s="37"/>
      <c r="MP18" s="37"/>
      <c r="MQ18" s="37"/>
      <c r="MR18" s="37"/>
      <c r="MS18" s="37"/>
      <c r="MT18" s="37"/>
      <c r="MU18" s="37"/>
      <c r="MV18" s="37"/>
      <c r="MW18" s="37"/>
      <c r="MX18" s="37"/>
      <c r="MY18" s="37"/>
      <c r="MZ18" s="37"/>
      <c r="NA18" s="37"/>
      <c r="NB18" s="37"/>
      <c r="NC18" s="37"/>
      <c r="ND18" s="37"/>
      <c r="NE18" s="37"/>
      <c r="NF18" s="37"/>
      <c r="NG18" s="37"/>
      <c r="NH18" s="37"/>
      <c r="NI18" s="37"/>
      <c r="NJ18" s="37"/>
      <c r="NK18" s="37"/>
      <c r="NL18" s="37"/>
      <c r="NM18" s="37"/>
      <c r="NN18" s="37"/>
      <c r="NO18" s="37"/>
      <c r="NP18" s="37"/>
      <c r="NQ18" s="37"/>
      <c r="NR18" s="37"/>
      <c r="NS18" s="37"/>
      <c r="NT18" s="37"/>
      <c r="NU18" s="37"/>
      <c r="NV18" s="37"/>
      <c r="NW18" s="37"/>
      <c r="NX18" s="37"/>
      <c r="NY18" s="37"/>
      <c r="NZ18" s="37"/>
      <c r="OA18" s="37"/>
      <c r="OB18" s="37"/>
      <c r="OC18" s="37"/>
      <c r="OD18" s="37"/>
      <c r="OE18" s="37"/>
      <c r="OF18" s="37"/>
      <c r="OG18" s="37"/>
      <c r="OH18" s="37"/>
      <c r="OI18" s="37"/>
      <c r="OJ18" s="37"/>
      <c r="OK18" s="37"/>
      <c r="OL18" s="37"/>
      <c r="OM18" s="37"/>
      <c r="ON18" s="37"/>
      <c r="OO18" s="37"/>
      <c r="OP18" s="37"/>
      <c r="OQ18" s="37"/>
      <c r="OR18" s="37"/>
      <c r="OS18" s="37"/>
      <c r="OT18" s="37"/>
      <c r="OU18" s="37"/>
      <c r="OV18" s="37"/>
      <c r="OW18" s="37"/>
      <c r="OX18" s="37"/>
      <c r="OY18" s="37"/>
      <c r="OZ18" s="37"/>
      <c r="PA18" s="37"/>
      <c r="PB18" s="37"/>
      <c r="PC18" s="37"/>
      <c r="PD18" s="37"/>
      <c r="PE18" s="37"/>
      <c r="PF18" s="37"/>
      <c r="PG18" s="37"/>
      <c r="PH18" s="37"/>
      <c r="PI18" s="37"/>
      <c r="PJ18" s="37"/>
      <c r="PK18" s="37"/>
      <c r="PL18" s="37"/>
      <c r="PM18" s="37"/>
      <c r="PN18" s="37"/>
      <c r="PO18" s="37"/>
      <c r="PP18" s="37"/>
      <c r="PQ18" s="37"/>
      <c r="PR18" s="37"/>
      <c r="PS18" s="37"/>
      <c r="PT18" s="37"/>
      <c r="PU18" s="37"/>
      <c r="PV18" s="37"/>
      <c r="PW18" s="37"/>
      <c r="PX18" s="37"/>
      <c r="PY18" s="37"/>
      <c r="PZ18" s="37"/>
      <c r="QA18" s="37"/>
      <c r="QB18" s="37"/>
      <c r="QC18" s="37"/>
      <c r="QD18" s="37"/>
      <c r="QE18" s="37"/>
      <c r="QF18" s="37"/>
      <c r="QG18" s="37"/>
      <c r="QH18" s="37"/>
      <c r="QI18" s="37"/>
      <c r="QJ18" s="37"/>
      <c r="QK18" s="37"/>
      <c r="QL18" s="37"/>
      <c r="QM18" s="37"/>
      <c r="QN18" s="37"/>
      <c r="QO18" s="37"/>
      <c r="QP18" s="37"/>
      <c r="QQ18" s="37"/>
      <c r="QR18" s="37"/>
      <c r="QS18" s="37"/>
      <c r="QT18" s="37"/>
      <c r="QU18" s="37"/>
      <c r="QV18" s="37"/>
      <c r="QW18" s="37"/>
      <c r="QX18" s="37"/>
      <c r="QY18" s="37"/>
      <c r="QZ18" s="37"/>
      <c r="RA18" s="37"/>
      <c r="RB18" s="37"/>
      <c r="RC18" s="37"/>
      <c r="RD18" s="37"/>
      <c r="RE18" s="37"/>
      <c r="RF18" s="37"/>
      <c r="RG18" s="37"/>
      <c r="RH18" s="37"/>
      <c r="RI18" s="37"/>
      <c r="RJ18" s="37"/>
      <c r="RK18" s="37"/>
      <c r="RL18" s="37"/>
      <c r="RM18" s="37"/>
      <c r="RN18" s="37"/>
      <c r="RO18" s="37"/>
      <c r="RP18" s="37"/>
      <c r="RQ18" s="37"/>
      <c r="RR18" s="37"/>
      <c r="RS18" s="37"/>
      <c r="RT18" s="37"/>
      <c r="RU18" s="37"/>
      <c r="RV18" s="37"/>
      <c r="RW18" s="37"/>
      <c r="RX18" s="37"/>
      <c r="RY18" s="37"/>
      <c r="RZ18" s="37"/>
      <c r="SA18" s="37"/>
      <c r="SB18" s="37"/>
      <c r="SC18" s="37"/>
      <c r="SD18" s="37"/>
      <c r="SE18" s="37"/>
      <c r="SF18" s="37"/>
      <c r="SG18" s="37"/>
      <c r="SH18" s="37"/>
      <c r="SI18" s="37"/>
      <c r="SJ18" s="37"/>
      <c r="SK18" s="37"/>
      <c r="SL18" s="37"/>
      <c r="SM18" s="37"/>
      <c r="SN18" s="37"/>
      <c r="SO18" s="37"/>
      <c r="SP18" s="37"/>
      <c r="SQ18" s="37"/>
      <c r="SR18" s="37"/>
      <c r="SS18" s="37"/>
      <c r="ST18" s="37"/>
      <c r="SU18" s="37"/>
      <c r="SV18" s="37"/>
      <c r="SW18" s="37"/>
      <c r="SX18" s="37"/>
      <c r="SY18" s="37"/>
      <c r="SZ18" s="37"/>
      <c r="TA18" s="37"/>
      <c r="TB18" s="37"/>
      <c r="TC18" s="37"/>
      <c r="TD18" s="37"/>
      <c r="TE18" s="37"/>
      <c r="TF18" s="37"/>
      <c r="TG18" s="37"/>
      <c r="TH18" s="37"/>
      <c r="TI18" s="37"/>
      <c r="TJ18" s="37"/>
      <c r="TK18" s="37"/>
      <c r="TL18" s="37"/>
      <c r="TM18" s="37"/>
      <c r="TN18" s="37"/>
      <c r="TO18" s="37"/>
      <c r="TP18" s="37"/>
      <c r="TQ18" s="37"/>
      <c r="TR18" s="37"/>
      <c r="TS18" s="37"/>
      <c r="TT18" s="37"/>
      <c r="TU18" s="37"/>
      <c r="TV18" s="37"/>
      <c r="TW18" s="37"/>
      <c r="TX18" s="37"/>
      <c r="TY18" s="37"/>
      <c r="TZ18" s="37"/>
      <c r="UA18" s="37"/>
      <c r="UB18" s="37"/>
      <c r="UC18" s="37"/>
      <c r="UD18" s="37"/>
      <c r="UE18" s="37"/>
      <c r="UF18" s="37"/>
      <c r="UG18" s="37"/>
      <c r="UH18" s="37"/>
      <c r="UI18" s="37"/>
      <c r="UJ18" s="37"/>
      <c r="UK18" s="37"/>
      <c r="UL18" s="37"/>
      <c r="UM18" s="37"/>
      <c r="UN18" s="37"/>
      <c r="UO18" s="37"/>
      <c r="UP18" s="37"/>
      <c r="UQ18" s="37"/>
      <c r="UR18" s="37"/>
      <c r="US18" s="37"/>
      <c r="UT18" s="37"/>
      <c r="UU18" s="37"/>
      <c r="UV18" s="37"/>
      <c r="UW18" s="37"/>
      <c r="UX18" s="37"/>
      <c r="UY18" s="37"/>
      <c r="UZ18" s="37"/>
      <c r="VA18" s="37"/>
      <c r="VB18" s="37"/>
      <c r="VC18" s="37"/>
      <c r="VD18" s="37"/>
      <c r="VE18" s="37"/>
      <c r="VF18" s="37"/>
      <c r="VG18" s="37"/>
      <c r="VH18" s="37"/>
      <c r="VI18" s="37"/>
      <c r="VJ18" s="37"/>
      <c r="VK18" s="37"/>
      <c r="VL18" s="37"/>
      <c r="VM18" s="37"/>
      <c r="VN18" s="37"/>
      <c r="VO18" s="37"/>
      <c r="VP18" s="37"/>
      <c r="VQ18" s="37"/>
      <c r="VR18" s="37"/>
      <c r="VS18" s="37"/>
      <c r="VT18" s="37"/>
      <c r="VU18" s="37"/>
      <c r="VV18" s="37"/>
      <c r="VW18" s="37"/>
      <c r="VX18" s="37"/>
      <c r="VY18" s="37"/>
      <c r="VZ18" s="37"/>
      <c r="WA18" s="37"/>
      <c r="WB18" s="37"/>
      <c r="WC18" s="37"/>
      <c r="WD18" s="37"/>
      <c r="WE18" s="37"/>
      <c r="WF18" s="37"/>
      <c r="WG18" s="37"/>
      <c r="WH18" s="37"/>
      <c r="WI18" s="37"/>
      <c r="WJ18" s="37"/>
      <c r="WK18" s="37"/>
      <c r="WL18" s="37"/>
      <c r="WM18" s="37"/>
      <c r="WN18" s="37"/>
      <c r="WO18" s="37"/>
      <c r="WP18" s="37"/>
      <c r="WQ18" s="37"/>
      <c r="WR18" s="37"/>
      <c r="WS18" s="37"/>
      <c r="WT18" s="37"/>
      <c r="WU18" s="37"/>
      <c r="WV18" s="37"/>
      <c r="WW18" s="37"/>
      <c r="WX18" s="37"/>
      <c r="WY18" s="37"/>
      <c r="WZ18" s="37"/>
      <c r="XA18" s="37"/>
      <c r="XB18" s="37"/>
      <c r="XC18" s="37"/>
      <c r="XD18" s="37"/>
      <c r="XE18" s="37"/>
      <c r="XF18" s="37"/>
      <c r="XG18" s="37"/>
      <c r="XH18" s="37"/>
      <c r="XI18" s="37"/>
      <c r="XJ18" s="37"/>
      <c r="XK18" s="37"/>
      <c r="XL18" s="37"/>
      <c r="XM18" s="37"/>
      <c r="XN18" s="37"/>
      <c r="XO18" s="37"/>
      <c r="XP18" s="37"/>
      <c r="XQ18" s="37"/>
      <c r="XR18" s="37"/>
      <c r="XS18" s="37"/>
      <c r="XT18" s="37"/>
      <c r="XU18" s="37"/>
      <c r="XV18" s="37"/>
      <c r="XW18" s="37"/>
      <c r="XX18" s="37"/>
      <c r="XY18" s="37"/>
      <c r="XZ18" s="37"/>
      <c r="YA18" s="37"/>
      <c r="YB18" s="37"/>
      <c r="YC18" s="37"/>
      <c r="YD18" s="37"/>
      <c r="YE18" s="37"/>
      <c r="YF18" s="37"/>
      <c r="YG18" s="37"/>
      <c r="YH18" s="37"/>
      <c r="YI18" s="37"/>
      <c r="YJ18" s="37"/>
      <c r="YK18" s="37"/>
      <c r="YL18" s="37"/>
      <c r="YM18" s="37"/>
      <c r="YN18" s="37"/>
      <c r="YO18" s="37"/>
      <c r="YP18" s="37"/>
      <c r="YQ18" s="37"/>
      <c r="YR18" s="37"/>
      <c r="YS18" s="37"/>
      <c r="YT18" s="37"/>
      <c r="YU18" s="37"/>
      <c r="YV18" s="37"/>
      <c r="YW18" s="37"/>
      <c r="YX18" s="37"/>
      <c r="YY18" s="37"/>
      <c r="YZ18" s="37"/>
      <c r="ZA18" s="37"/>
      <c r="ZB18" s="37"/>
      <c r="ZC18" s="37"/>
      <c r="ZD18" s="37"/>
      <c r="ZE18" s="37"/>
      <c r="ZF18" s="37"/>
      <c r="ZG18" s="37"/>
      <c r="ZH18" s="37"/>
      <c r="ZI18" s="37"/>
      <c r="ZJ18" s="37"/>
      <c r="ZK18" s="37"/>
      <c r="ZL18" s="37"/>
      <c r="ZM18" s="37"/>
      <c r="ZN18" s="37"/>
      <c r="ZO18" s="37"/>
      <c r="ZP18" s="37"/>
      <c r="ZQ18" s="37"/>
      <c r="ZR18" s="37"/>
      <c r="ZS18" s="37"/>
      <c r="ZT18" s="37"/>
      <c r="ZU18" s="37"/>
      <c r="ZV18" s="37"/>
      <c r="ZW18" s="37"/>
      <c r="ZX18" s="37"/>
      <c r="ZY18" s="37"/>
      <c r="ZZ18" s="37"/>
      <c r="AAA18" s="37"/>
      <c r="AAB18" s="37"/>
      <c r="AAC18" s="37"/>
      <c r="AAD18" s="37"/>
      <c r="AAE18" s="37"/>
      <c r="AAF18" s="37"/>
      <c r="AAG18" s="37"/>
      <c r="AAH18" s="37"/>
      <c r="AAI18" s="37"/>
      <c r="AAJ18" s="37"/>
      <c r="AAK18" s="37"/>
      <c r="AAL18" s="37"/>
      <c r="AAM18" s="37"/>
      <c r="AAN18" s="37"/>
      <c r="AAO18" s="37"/>
      <c r="AAP18" s="37"/>
      <c r="AAQ18" s="37"/>
      <c r="AAR18" s="37"/>
      <c r="AAS18" s="37"/>
      <c r="AAT18" s="37"/>
      <c r="AAU18" s="37"/>
      <c r="AAV18" s="37"/>
      <c r="AAW18" s="37"/>
      <c r="AAX18" s="37"/>
      <c r="AAY18" s="37"/>
      <c r="AAZ18" s="37"/>
      <c r="ABA18" s="37"/>
      <c r="ABB18" s="37"/>
      <c r="ABC18" s="37"/>
      <c r="ABD18" s="37"/>
      <c r="ABE18" s="37"/>
      <c r="ABF18" s="37"/>
      <c r="ABG18" s="37"/>
      <c r="ABH18" s="37"/>
      <c r="ABI18" s="37"/>
      <c r="ABJ18" s="37"/>
      <c r="ABK18" s="37"/>
      <c r="ABL18" s="37"/>
      <c r="ABM18" s="37"/>
      <c r="ABN18" s="37"/>
      <c r="ABO18" s="37"/>
      <c r="ABP18" s="37"/>
      <c r="ABQ18" s="37"/>
      <c r="ABR18" s="37"/>
      <c r="ABS18" s="37"/>
      <c r="ABT18" s="37"/>
      <c r="ABU18" s="37"/>
      <c r="ABV18" s="37"/>
      <c r="ABW18" s="37"/>
      <c r="ABX18" s="37"/>
      <c r="ABY18" s="37"/>
      <c r="ABZ18" s="37"/>
      <c r="ACA18" s="37"/>
      <c r="ACB18" s="37"/>
      <c r="ACC18" s="37"/>
      <c r="ACD18" s="37"/>
      <c r="ACE18" s="37"/>
      <c r="ACF18" s="37"/>
      <c r="ACG18" s="37"/>
      <c r="ACH18" s="37"/>
      <c r="ACI18" s="37"/>
      <c r="ACJ18" s="37"/>
      <c r="ACK18" s="37"/>
      <c r="ACL18" s="37"/>
      <c r="ACM18" s="37"/>
      <c r="ACN18" s="37"/>
      <c r="ACO18" s="37"/>
      <c r="ACP18" s="37"/>
      <c r="ACQ18" s="37"/>
      <c r="ACR18" s="37"/>
      <c r="ACS18" s="37"/>
      <c r="ACT18" s="37"/>
      <c r="ACU18" s="37"/>
      <c r="ACV18" s="37"/>
      <c r="ACW18" s="37"/>
      <c r="ACX18" s="37"/>
      <c r="ACY18" s="37"/>
      <c r="ACZ18" s="37"/>
      <c r="ADA18" s="37"/>
      <c r="ADB18" s="37"/>
      <c r="ADC18" s="37"/>
      <c r="ADD18" s="37"/>
      <c r="ADE18" s="37"/>
      <c r="ADF18" s="37"/>
      <c r="ADG18" s="37"/>
      <c r="ADH18" s="37"/>
      <c r="ADI18" s="37"/>
      <c r="ADJ18" s="37"/>
      <c r="ADK18" s="37"/>
      <c r="ADL18" s="37"/>
      <c r="ADM18" s="37"/>
      <c r="ADN18" s="37"/>
      <c r="ADO18" s="37"/>
      <c r="ADP18" s="37"/>
      <c r="ADQ18" s="37"/>
      <c r="ADR18" s="37"/>
      <c r="ADS18" s="37"/>
      <c r="ADT18" s="37"/>
      <c r="ADU18" s="37"/>
      <c r="ADV18" s="37"/>
      <c r="ADW18" s="37"/>
      <c r="ADX18" s="37"/>
      <c r="ADY18" s="37"/>
      <c r="ADZ18" s="37"/>
      <c r="AEA18" s="37"/>
      <c r="AEB18" s="37"/>
      <c r="AEC18" s="37"/>
      <c r="AED18" s="37"/>
      <c r="AEE18" s="37"/>
      <c r="AEF18" s="37"/>
      <c r="AEG18" s="37"/>
      <c r="AEH18" s="37"/>
      <c r="AEI18" s="37"/>
      <c r="AEJ18" s="37"/>
      <c r="AEK18" s="37"/>
      <c r="AEL18" s="37"/>
      <c r="AEM18" s="37"/>
      <c r="AEN18" s="37"/>
      <c r="AEO18" s="37"/>
      <c r="AEP18" s="37"/>
      <c r="AEQ18" s="37"/>
      <c r="AER18" s="37"/>
      <c r="AES18" s="37"/>
      <c r="AET18" s="37"/>
      <c r="AEU18" s="37"/>
      <c r="AEV18" s="37"/>
      <c r="AEW18" s="37"/>
      <c r="AEX18" s="37"/>
      <c r="AEY18" s="37"/>
      <c r="AEZ18" s="37"/>
      <c r="AFA18" s="37"/>
      <c r="AFB18" s="37"/>
      <c r="AFC18" s="37"/>
      <c r="AFD18" s="37"/>
      <c r="AFE18" s="37"/>
      <c r="AFF18" s="37"/>
      <c r="AFG18" s="37"/>
      <c r="AFH18" s="37"/>
      <c r="AFI18" s="37"/>
      <c r="AFJ18" s="37"/>
      <c r="AFK18" s="37"/>
      <c r="AFL18" s="37"/>
      <c r="AFM18" s="37"/>
      <c r="AFN18" s="37"/>
      <c r="AFO18" s="37"/>
      <c r="AFP18" s="37"/>
      <c r="AFQ18" s="37"/>
      <c r="AFR18" s="37"/>
      <c r="AFS18" s="37"/>
      <c r="AFT18" s="37"/>
      <c r="AFU18" s="37"/>
      <c r="AFV18" s="37"/>
      <c r="AFW18" s="37"/>
      <c r="AFX18" s="37"/>
      <c r="AFY18" s="37"/>
      <c r="AFZ18" s="37"/>
      <c r="AGA18" s="37"/>
      <c r="AGB18" s="37"/>
      <c r="AGC18" s="37"/>
      <c r="AGD18" s="37"/>
      <c r="AGE18" s="37"/>
      <c r="AGF18" s="37"/>
      <c r="AGG18" s="37"/>
      <c r="AGH18" s="37"/>
      <c r="AGI18" s="37"/>
      <c r="AGJ18" s="37"/>
      <c r="AGK18" s="37"/>
      <c r="AGL18" s="37"/>
      <c r="AGM18" s="37"/>
      <c r="AGN18" s="37"/>
      <c r="AGO18" s="37"/>
      <c r="AGP18" s="37"/>
      <c r="AGQ18" s="37"/>
      <c r="AGR18" s="37"/>
      <c r="AGS18" s="37"/>
      <c r="AGT18" s="37"/>
      <c r="AGU18" s="37"/>
      <c r="AGV18" s="37"/>
      <c r="AGW18" s="37"/>
      <c r="AGX18" s="37"/>
      <c r="AGY18" s="37"/>
      <c r="AGZ18" s="37"/>
      <c r="AHA18" s="37"/>
      <c r="AHB18" s="37"/>
      <c r="AHC18" s="37"/>
      <c r="AHD18" s="37"/>
      <c r="AHE18" s="37"/>
      <c r="AHF18" s="37"/>
      <c r="AHG18" s="37"/>
      <c r="AHH18" s="37"/>
      <c r="AHI18" s="37"/>
      <c r="AHJ18" s="37"/>
      <c r="AHK18" s="37"/>
      <c r="AHL18" s="37"/>
      <c r="AHM18" s="37"/>
      <c r="AHN18" s="37"/>
      <c r="AHO18" s="37"/>
      <c r="AHP18" s="37"/>
      <c r="AHQ18" s="37"/>
      <c r="AHR18" s="37"/>
      <c r="AHS18" s="37"/>
      <c r="AHT18" s="37"/>
      <c r="AHU18" s="37"/>
      <c r="AHV18" s="37"/>
      <c r="AHW18" s="37"/>
      <c r="AHX18" s="37"/>
      <c r="AHY18" s="37"/>
      <c r="AHZ18" s="37"/>
      <c r="AIA18" s="37"/>
      <c r="AIB18" s="37"/>
      <c r="AIC18" s="37"/>
      <c r="AID18" s="37"/>
      <c r="AIE18" s="37"/>
      <c r="AIF18" s="37"/>
      <c r="AIG18" s="37"/>
      <c r="AIH18" s="37"/>
      <c r="AII18" s="37"/>
      <c r="AIJ18" s="37"/>
      <c r="AIK18" s="37"/>
      <c r="AIL18" s="37"/>
      <c r="AIM18" s="37"/>
      <c r="AIN18" s="37"/>
      <c r="AIO18" s="37"/>
      <c r="AIP18" s="37"/>
      <c r="AIQ18" s="37"/>
      <c r="AIR18" s="37"/>
      <c r="AIS18" s="37"/>
      <c r="AIT18" s="37"/>
      <c r="AIU18" s="37"/>
      <c r="AIV18" s="37"/>
      <c r="AIW18" s="37"/>
      <c r="AIX18" s="37"/>
      <c r="AIY18" s="37"/>
      <c r="AIZ18" s="37"/>
      <c r="AJA18" s="37"/>
      <c r="AJB18" s="37"/>
      <c r="AJC18" s="37"/>
      <c r="AJD18" s="37"/>
      <c r="AJE18" s="37"/>
      <c r="AJF18" s="37"/>
      <c r="AJG18" s="37"/>
      <c r="AJH18" s="37"/>
      <c r="AJI18" s="37"/>
      <c r="AJJ18" s="37"/>
      <c r="AJK18" s="37"/>
      <c r="AJL18" s="37"/>
      <c r="AJM18" s="37"/>
      <c r="AJN18" s="37"/>
      <c r="AJO18" s="37"/>
      <c r="AJP18" s="37"/>
      <c r="AJQ18" s="37"/>
      <c r="AJR18" s="37"/>
      <c r="AJS18" s="37"/>
      <c r="AJT18" s="37"/>
      <c r="AJU18" s="37"/>
      <c r="AJV18" s="37"/>
      <c r="AJW18" s="37"/>
      <c r="AJX18" s="37"/>
      <c r="AJY18" s="37"/>
      <c r="AJZ18" s="37"/>
      <c r="AKA18" s="37"/>
      <c r="AKB18" s="37"/>
      <c r="AKC18" s="37"/>
      <c r="AKD18" s="37"/>
      <c r="AKE18" s="37"/>
      <c r="AKF18" s="37"/>
      <c r="AKG18" s="37"/>
      <c r="AKH18" s="37"/>
      <c r="AKI18" s="37"/>
      <c r="AKJ18" s="37"/>
      <c r="AKK18" s="37"/>
      <c r="AKL18" s="37"/>
      <c r="AKM18" s="37"/>
      <c r="AKN18" s="37"/>
      <c r="AKO18" s="37"/>
      <c r="AKP18" s="37"/>
      <c r="AKQ18" s="37"/>
      <c r="AKR18" s="37"/>
      <c r="AKS18" s="37"/>
      <c r="AKT18" s="37"/>
      <c r="AKU18" s="37"/>
      <c r="AKV18" s="37"/>
      <c r="AKW18" s="37"/>
      <c r="AKX18" s="37"/>
      <c r="AKY18" s="37"/>
      <c r="AKZ18" s="37"/>
      <c r="ALA18" s="37"/>
      <c r="ALB18" s="37"/>
      <c r="ALC18" s="37"/>
      <c r="ALD18" s="37"/>
      <c r="ALE18" s="37"/>
      <c r="ALF18" s="37"/>
      <c r="ALG18" s="37"/>
      <c r="ALH18" s="37"/>
      <c r="ALI18" s="37"/>
      <c r="ALJ18" s="37"/>
      <c r="ALK18" s="37"/>
      <c r="ALL18" s="37"/>
      <c r="ALM18" s="37"/>
      <c r="ALN18" s="37"/>
      <c r="ALO18" s="37"/>
      <c r="ALP18" s="37"/>
      <c r="ALQ18" s="37"/>
      <c r="ALR18" s="37"/>
    </row>
    <row r="20" spans="2:1006" x14ac:dyDescent="0.35">
      <c r="C20" s="20" t="s">
        <v>157</v>
      </c>
      <c r="F20" s="20">
        <f>L16</f>
        <v>1</v>
      </c>
    </row>
    <row r="22" spans="2:1006" x14ac:dyDescent="0.35">
      <c r="D22" s="20" t="s">
        <v>227</v>
      </c>
      <c r="E22" s="20" t="s">
        <v>161</v>
      </c>
    </row>
    <row r="23" spans="2:1006" x14ac:dyDescent="0.35">
      <c r="F23" s="36">
        <f>YEAR(Assumptions!F6)</f>
        <v>2015</v>
      </c>
      <c r="G23" s="33">
        <v>2019</v>
      </c>
      <c r="H23" s="33">
        <v>2020</v>
      </c>
      <c r="I23" s="33">
        <v>2021</v>
      </c>
      <c r="J23" s="33">
        <v>2022</v>
      </c>
      <c r="K23" s="33">
        <v>2023</v>
      </c>
      <c r="L23" s="33">
        <v>2024</v>
      </c>
      <c r="M23" s="33">
        <v>2025</v>
      </c>
      <c r="N23" s="33">
        <v>2026</v>
      </c>
      <c r="O23" s="33">
        <v>2027</v>
      </c>
      <c r="P23" s="33">
        <v>2028</v>
      </c>
      <c r="Q23" s="33">
        <v>2029</v>
      </c>
      <c r="R23" s="33">
        <v>2030</v>
      </c>
      <c r="S23" s="33">
        <v>2031</v>
      </c>
      <c r="T23" s="33">
        <v>2032</v>
      </c>
      <c r="U23" s="33">
        <v>2033</v>
      </c>
      <c r="V23" s="33">
        <v>2034</v>
      </c>
      <c r="W23" s="33">
        <v>2035</v>
      </c>
      <c r="X23" s="33">
        <v>2036</v>
      </c>
      <c r="Y23" s="33">
        <v>2037</v>
      </c>
      <c r="Z23" s="33">
        <v>2038</v>
      </c>
      <c r="AA23" s="33">
        <v>2039</v>
      </c>
      <c r="AB23" s="33">
        <v>2040</v>
      </c>
      <c r="AC23" s="33">
        <v>2041</v>
      </c>
      <c r="AD23" s="33">
        <v>2042</v>
      </c>
      <c r="AE23" s="33">
        <v>2043</v>
      </c>
      <c r="AF23" s="33">
        <v>2044</v>
      </c>
      <c r="AG23" s="33">
        <v>2045</v>
      </c>
      <c r="AH23" s="33">
        <v>2046</v>
      </c>
      <c r="AI23" s="33">
        <v>2047</v>
      </c>
      <c r="AJ23" s="33">
        <v>2048</v>
      </c>
      <c r="AK23" s="33">
        <v>2049</v>
      </c>
      <c r="AL23" s="33">
        <v>2050</v>
      </c>
      <c r="AM23" s="33">
        <v>2051</v>
      </c>
      <c r="AN23" s="33">
        <v>2052</v>
      </c>
      <c r="AO23" s="33">
        <v>2053</v>
      </c>
      <c r="AP23" s="33">
        <v>2054</v>
      </c>
      <c r="AQ23" s="33">
        <v>2055</v>
      </c>
      <c r="AR23" s="33">
        <v>2056</v>
      </c>
      <c r="AS23" s="33">
        <v>2057</v>
      </c>
      <c r="AT23" s="33">
        <v>2058</v>
      </c>
    </row>
    <row r="24" spans="2:1006" x14ac:dyDescent="0.35">
      <c r="D24" s="20" t="s">
        <v>151</v>
      </c>
      <c r="F24" s="32">
        <v>21.99</v>
      </c>
      <c r="G24" s="32">
        <v>22.74</v>
      </c>
      <c r="H24" s="32">
        <v>23.26</v>
      </c>
      <c r="I24" s="32">
        <v>23.36</v>
      </c>
      <c r="J24" s="32">
        <v>25.07</v>
      </c>
      <c r="K24" s="32">
        <v>28.07</v>
      </c>
      <c r="L24" s="32">
        <v>28.97</v>
      </c>
      <c r="M24" s="32">
        <v>29.12</v>
      </c>
      <c r="N24" s="32">
        <v>30.45</v>
      </c>
      <c r="O24" s="32">
        <v>32.049999999999997</v>
      </c>
      <c r="P24" s="32">
        <v>34.17</v>
      </c>
      <c r="Q24" s="32">
        <v>36.17</v>
      </c>
      <c r="R24" s="32">
        <v>37.520000000000003</v>
      </c>
      <c r="S24" s="32">
        <v>38.25</v>
      </c>
      <c r="T24" s="32">
        <v>40.380000000000003</v>
      </c>
      <c r="U24" s="32">
        <v>41.76</v>
      </c>
      <c r="V24" s="32">
        <v>44.81</v>
      </c>
      <c r="W24" s="32">
        <v>47.35</v>
      </c>
      <c r="X24" s="32">
        <v>50.16</v>
      </c>
      <c r="Y24" s="32">
        <v>52.83</v>
      </c>
      <c r="Z24" s="32">
        <v>53.61</v>
      </c>
      <c r="AA24" s="32">
        <v>54.04</v>
      </c>
      <c r="AB24" s="32">
        <v>54.52</v>
      </c>
      <c r="AC24" s="32">
        <v>55.38</v>
      </c>
      <c r="AD24" s="32">
        <v>55.64</v>
      </c>
      <c r="AE24" s="32">
        <v>55.91</v>
      </c>
      <c r="AF24" s="32">
        <v>56.6</v>
      </c>
      <c r="AG24" s="32">
        <v>58.73</v>
      </c>
      <c r="AH24" s="32">
        <v>58.15</v>
      </c>
      <c r="AI24" s="32">
        <v>59.83</v>
      </c>
      <c r="AJ24" s="32">
        <v>61.026600000000002</v>
      </c>
      <c r="AK24" s="32">
        <v>62.247132000000001</v>
      </c>
      <c r="AL24" s="32">
        <v>63.492074639999998</v>
      </c>
      <c r="AM24" s="32">
        <v>64.761916132799996</v>
      </c>
      <c r="AN24" s="32">
        <v>66.057154455456001</v>
      </c>
      <c r="AO24" s="32">
        <v>67.378297544565129</v>
      </c>
      <c r="AP24" s="32">
        <v>68.725863495456437</v>
      </c>
      <c r="AQ24" s="32">
        <v>70.100380765365571</v>
      </c>
      <c r="AR24" s="32">
        <v>71.502388380672883</v>
      </c>
      <c r="AS24" s="32">
        <v>72.932436148286342</v>
      </c>
      <c r="AT24" s="32">
        <v>74.391084871252076</v>
      </c>
    </row>
    <row r="25" spans="2:1006" x14ac:dyDescent="0.35">
      <c r="D25" s="20" t="s">
        <v>152</v>
      </c>
      <c r="F25" s="32">
        <v>29.09</v>
      </c>
      <c r="G25" s="32">
        <v>30</v>
      </c>
      <c r="H25" s="32">
        <v>30.92</v>
      </c>
      <c r="I25" s="32">
        <v>30.7</v>
      </c>
      <c r="J25" s="32">
        <v>33.25</v>
      </c>
      <c r="K25" s="32">
        <v>35.979999999999997</v>
      </c>
      <c r="L25" s="32">
        <v>36.94</v>
      </c>
      <c r="M25" s="32">
        <v>37.35</v>
      </c>
      <c r="N25" s="32">
        <v>38.93</v>
      </c>
      <c r="O25" s="32">
        <v>40.619999999999997</v>
      </c>
      <c r="P25" s="32">
        <v>42.57</v>
      </c>
      <c r="Q25" s="32">
        <v>45.12</v>
      </c>
      <c r="R25" s="32">
        <v>46.06</v>
      </c>
      <c r="S25" s="32">
        <v>46.55</v>
      </c>
      <c r="T25" s="32">
        <v>48.52</v>
      </c>
      <c r="U25" s="32">
        <v>50.18</v>
      </c>
      <c r="V25" s="32">
        <v>54.06</v>
      </c>
      <c r="W25" s="32">
        <v>55.7</v>
      </c>
      <c r="X25" s="32">
        <v>58.63</v>
      </c>
      <c r="Y25" s="32">
        <v>61.87</v>
      </c>
      <c r="Z25" s="32">
        <v>62.43</v>
      </c>
      <c r="AA25" s="32">
        <v>62.46</v>
      </c>
      <c r="AB25" s="32">
        <v>62.61</v>
      </c>
      <c r="AC25" s="32">
        <v>64.09</v>
      </c>
      <c r="AD25" s="32">
        <v>63.99</v>
      </c>
      <c r="AE25" s="32">
        <v>64.61</v>
      </c>
      <c r="AF25" s="32">
        <v>64.930000000000007</v>
      </c>
      <c r="AG25" s="32">
        <v>66.81</v>
      </c>
      <c r="AH25" s="32">
        <v>67.010000000000005</v>
      </c>
      <c r="AI25" s="32">
        <v>68.459999999999994</v>
      </c>
      <c r="AJ25" s="32">
        <v>69.8292</v>
      </c>
      <c r="AK25" s="32">
        <v>71.225784000000004</v>
      </c>
      <c r="AL25" s="32">
        <v>72.650299680000003</v>
      </c>
      <c r="AM25" s="32">
        <v>74.103305673600005</v>
      </c>
      <c r="AN25" s="32">
        <v>75.585371787072006</v>
      </c>
      <c r="AO25" s="32">
        <v>77.097079222813448</v>
      </c>
      <c r="AP25" s="32">
        <v>78.639020807269716</v>
      </c>
      <c r="AQ25" s="32">
        <v>80.211801223415108</v>
      </c>
      <c r="AR25" s="32">
        <v>81.816037247883415</v>
      </c>
      <c r="AS25" s="32">
        <v>83.452357992841087</v>
      </c>
      <c r="AT25" s="32">
        <v>85.121405152697903</v>
      </c>
    </row>
    <row r="26" spans="2:1006" x14ac:dyDescent="0.35">
      <c r="D26" s="20" t="s">
        <v>153</v>
      </c>
      <c r="F26" s="32">
        <v>29.09</v>
      </c>
      <c r="G26" s="32">
        <v>30</v>
      </c>
      <c r="H26" s="32">
        <v>30.8</v>
      </c>
      <c r="I26" s="32">
        <v>30.54</v>
      </c>
      <c r="J26" s="32">
        <v>33.11</v>
      </c>
      <c r="K26" s="32">
        <v>36.15</v>
      </c>
      <c r="L26" s="32">
        <v>37.31</v>
      </c>
      <c r="M26" s="32">
        <v>38.17</v>
      </c>
      <c r="N26" s="32">
        <v>40.119999999999997</v>
      </c>
      <c r="O26" s="32">
        <v>42.01</v>
      </c>
      <c r="P26" s="32">
        <v>44.68</v>
      </c>
      <c r="Q26" s="32">
        <v>47.16</v>
      </c>
      <c r="R26" s="32">
        <v>48.79</v>
      </c>
      <c r="S26" s="32">
        <v>50.1</v>
      </c>
      <c r="T26" s="32">
        <v>52.69</v>
      </c>
      <c r="U26" s="32">
        <v>54.09</v>
      </c>
      <c r="V26" s="32">
        <v>57.33</v>
      </c>
      <c r="W26" s="32">
        <v>60.38</v>
      </c>
      <c r="X26" s="32">
        <v>63.61</v>
      </c>
      <c r="Y26" s="32">
        <v>67.430000000000007</v>
      </c>
      <c r="Z26" s="32">
        <v>71.349999999999994</v>
      </c>
      <c r="AA26" s="32">
        <v>71.010000000000005</v>
      </c>
      <c r="AB26" s="32">
        <v>71.569999999999993</v>
      </c>
      <c r="AC26" s="32">
        <v>72.37</v>
      </c>
      <c r="AD26" s="32">
        <v>73.63</v>
      </c>
      <c r="AE26" s="32">
        <v>73.38</v>
      </c>
      <c r="AF26" s="32">
        <v>71.69</v>
      </c>
      <c r="AG26" s="32">
        <v>72.31</v>
      </c>
      <c r="AH26" s="32">
        <v>71.67</v>
      </c>
      <c r="AI26" s="32">
        <v>72.19</v>
      </c>
      <c r="AJ26" s="32">
        <v>73.633799999999994</v>
      </c>
      <c r="AK26" s="32">
        <v>75.106476000000001</v>
      </c>
      <c r="AL26" s="32">
        <v>76.608605519999998</v>
      </c>
      <c r="AM26" s="32">
        <v>78.140777630399995</v>
      </c>
      <c r="AN26" s="32">
        <v>79.703593183007996</v>
      </c>
      <c r="AO26" s="32">
        <v>81.297665046668158</v>
      </c>
      <c r="AP26" s="32">
        <v>82.923618347601519</v>
      </c>
      <c r="AQ26" s="32">
        <v>84.582090714553544</v>
      </c>
      <c r="AR26" s="32">
        <v>86.273732528844619</v>
      </c>
      <c r="AS26" s="32">
        <v>87.999207179421518</v>
      </c>
      <c r="AT26" s="32">
        <v>89.759191323009944</v>
      </c>
    </row>
    <row r="27" spans="2:1006" x14ac:dyDescent="0.35">
      <c r="D27" s="20" t="s">
        <v>154</v>
      </c>
      <c r="F27" s="32">
        <v>36.130000000000003</v>
      </c>
      <c r="G27" s="32">
        <v>37.35</v>
      </c>
      <c r="H27" s="32">
        <v>38.26</v>
      </c>
      <c r="I27" s="32">
        <v>38.130000000000003</v>
      </c>
      <c r="J27" s="32">
        <v>40.6</v>
      </c>
      <c r="K27" s="32">
        <v>44.32</v>
      </c>
      <c r="L27" s="32">
        <v>45.25</v>
      </c>
      <c r="M27" s="32">
        <v>46.24</v>
      </c>
      <c r="N27" s="32">
        <v>48.7</v>
      </c>
      <c r="O27" s="32">
        <v>50.6</v>
      </c>
      <c r="P27" s="32">
        <v>53.35</v>
      </c>
      <c r="Q27" s="32">
        <v>56.14</v>
      </c>
      <c r="R27" s="32">
        <v>57.59</v>
      </c>
      <c r="S27" s="32">
        <v>59.01</v>
      </c>
      <c r="T27" s="32">
        <v>61.69</v>
      </c>
      <c r="U27" s="32">
        <v>63.41</v>
      </c>
      <c r="V27" s="32">
        <v>66.739999999999995</v>
      </c>
      <c r="W27" s="32">
        <v>69.56</v>
      </c>
      <c r="X27" s="32">
        <v>72.45</v>
      </c>
      <c r="Y27" s="32">
        <v>76.31</v>
      </c>
      <c r="Z27" s="32">
        <v>80.099999999999994</v>
      </c>
      <c r="AA27" s="32">
        <v>79.489999999999995</v>
      </c>
      <c r="AB27" s="32">
        <v>79.849999999999994</v>
      </c>
      <c r="AC27" s="32">
        <v>80.62</v>
      </c>
      <c r="AD27" s="32">
        <v>82</v>
      </c>
      <c r="AE27" s="32">
        <v>81.180000000000007</v>
      </c>
      <c r="AF27" s="32">
        <v>79.87</v>
      </c>
      <c r="AG27" s="32">
        <v>80</v>
      </c>
      <c r="AH27" s="32">
        <v>79.37</v>
      </c>
      <c r="AI27" s="32">
        <v>80.13</v>
      </c>
      <c r="AJ27" s="32">
        <v>81.732599999999991</v>
      </c>
      <c r="AK27" s="32">
        <v>83.367251999999993</v>
      </c>
      <c r="AL27" s="32">
        <v>85.034597039999994</v>
      </c>
      <c r="AM27" s="32">
        <v>86.735288980799993</v>
      </c>
      <c r="AN27" s="32">
        <v>88.469994760416</v>
      </c>
      <c r="AO27" s="32">
        <v>90.239394655624324</v>
      </c>
      <c r="AP27" s="32">
        <v>92.044182548736813</v>
      </c>
      <c r="AQ27" s="32">
        <v>93.885066199711545</v>
      </c>
      <c r="AR27" s="32">
        <v>95.762767523705776</v>
      </c>
      <c r="AS27" s="32">
        <v>97.678022874179888</v>
      </c>
      <c r="AT27" s="32">
        <v>99.631583331663492</v>
      </c>
    </row>
    <row r="28" spans="2:1006" x14ac:dyDescent="0.35">
      <c r="D28" s="20" t="s">
        <v>155</v>
      </c>
      <c r="F28" s="32">
        <v>29.09</v>
      </c>
      <c r="G28" s="32">
        <v>29.671800000000001</v>
      </c>
      <c r="H28" s="32">
        <v>30.265236000000002</v>
      </c>
      <c r="I28" s="32">
        <v>30.870540720000001</v>
      </c>
      <c r="J28" s="32">
        <v>31.4879515344</v>
      </c>
      <c r="K28" s="32">
        <v>32.117710565088004</v>
      </c>
      <c r="L28" s="32">
        <v>32.760064776389761</v>
      </c>
      <c r="M28" s="32">
        <v>33.415266071917557</v>
      </c>
      <c r="N28" s="32">
        <v>34.083571393355911</v>
      </c>
      <c r="O28" s="32">
        <v>34.765242821223026</v>
      </c>
      <c r="P28" s="32">
        <v>35.46054767764749</v>
      </c>
      <c r="Q28" s="32">
        <v>36.169758631200438</v>
      </c>
      <c r="R28" s="32">
        <v>36.893153803824447</v>
      </c>
      <c r="S28" s="32">
        <v>37.631016879900933</v>
      </c>
      <c r="T28" s="32">
        <v>38.383637217498951</v>
      </c>
      <c r="U28" s="32">
        <v>39.151309961848931</v>
      </c>
      <c r="V28" s="32">
        <v>39.934336161085909</v>
      </c>
      <c r="W28" s="32">
        <v>40.73302288430763</v>
      </c>
      <c r="X28" s="32">
        <v>41.547683341993782</v>
      </c>
      <c r="Y28" s="32">
        <v>42.378637008833657</v>
      </c>
      <c r="Z28" s="32">
        <v>43.22620974901033</v>
      </c>
      <c r="AA28" s="32">
        <v>44.090733943990536</v>
      </c>
      <c r="AB28" s="32">
        <v>44.972548622870349</v>
      </c>
      <c r="AC28" s="32">
        <v>45.871999595327758</v>
      </c>
      <c r="AD28" s="32">
        <v>46.789439587234313</v>
      </c>
      <c r="AE28" s="32">
        <v>47.725228378978997</v>
      </c>
      <c r="AF28" s="32">
        <v>48.67973294655858</v>
      </c>
      <c r="AG28" s="32">
        <v>49.65332760548975</v>
      </c>
      <c r="AH28" s="32">
        <v>50.646394157599545</v>
      </c>
      <c r="AI28" s="32">
        <v>51.659322040751533</v>
      </c>
      <c r="AJ28" s="32">
        <v>52.692508481566563</v>
      </c>
      <c r="AK28" s="32">
        <v>53.746358651197895</v>
      </c>
      <c r="AL28" s="32">
        <v>54.821285824221853</v>
      </c>
      <c r="AM28" s="32">
        <v>55.917711540706293</v>
      </c>
      <c r="AN28" s="32">
        <v>57.03606577152042</v>
      </c>
      <c r="AO28" s="32">
        <v>58.176787086950831</v>
      </c>
      <c r="AP28" s="32">
        <v>59.34032282868985</v>
      </c>
      <c r="AQ28" s="32">
        <v>60.527129285263648</v>
      </c>
      <c r="AR28" s="32">
        <v>61.737671870968924</v>
      </c>
      <c r="AS28" s="32">
        <v>62.972425308388303</v>
      </c>
      <c r="AT28" s="32">
        <v>64.231873814556067</v>
      </c>
    </row>
    <row r="29" spans="2:1006" x14ac:dyDescent="0.3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row>
    <row r="30" spans="2:1006" x14ac:dyDescent="0.35">
      <c r="D30" s="20" t="str" cm="1">
        <f t="array" ref="D30">INDEX(D24:D28,$F$20)</f>
        <v>Scenario 1</v>
      </c>
      <c r="E30" s="22">
        <f>K14</f>
        <v>1.35</v>
      </c>
      <c r="F30" s="25" cm="1">
        <f t="array" ref="F30">INDEX(F24:F28,$F$20)</f>
        <v>21.99</v>
      </c>
      <c r="G30" s="25" cm="1">
        <f t="array" ref="G30">INDEX(G24:G28,$F$20)</f>
        <v>22.74</v>
      </c>
      <c r="H30" s="25" cm="1">
        <f t="array" ref="H30">INDEX(H24:H28,$F$20)</f>
        <v>23.26</v>
      </c>
      <c r="I30" s="25" cm="1">
        <f t="array" ref="I30">INDEX(I24:I28,$F$20)</f>
        <v>23.36</v>
      </c>
      <c r="J30" s="25" cm="1">
        <f t="array" ref="J30">INDEX(J24:J28,$F$20)</f>
        <v>25.07</v>
      </c>
      <c r="K30" s="25" cm="1">
        <f t="array" ref="K30">INDEX(K24:K28,$F$20)</f>
        <v>28.07</v>
      </c>
      <c r="L30" s="25" cm="1">
        <f t="array" ref="L30">INDEX(L24:L28,$F$20)</f>
        <v>28.97</v>
      </c>
      <c r="M30" s="25" cm="1">
        <f t="array" ref="M30">INDEX(M24:M28,$F$20)</f>
        <v>29.12</v>
      </c>
      <c r="N30" s="25" cm="1">
        <f t="array" ref="N30">INDEX(N24:N28,$F$20)</f>
        <v>30.45</v>
      </c>
      <c r="O30" s="25" cm="1">
        <f t="array" ref="O30">INDEX(O24:O28,$F$20)</f>
        <v>32.049999999999997</v>
      </c>
      <c r="P30" s="25" cm="1">
        <f t="array" ref="P30">INDEX(P24:P28,$F$20)</f>
        <v>34.17</v>
      </c>
      <c r="Q30" s="25" cm="1">
        <f t="array" ref="Q30">INDEX(Q24:Q28,$F$20)</f>
        <v>36.17</v>
      </c>
      <c r="R30" s="25" cm="1">
        <f t="array" ref="R30">INDEX(R24:R28,$F$20)</f>
        <v>37.520000000000003</v>
      </c>
      <c r="S30" s="25" cm="1">
        <f t="array" ref="S30">INDEX(S24:S28,$F$20)</f>
        <v>38.25</v>
      </c>
      <c r="T30" s="25" cm="1">
        <f t="array" ref="T30">INDEX(T24:T28,$F$20)</f>
        <v>40.380000000000003</v>
      </c>
      <c r="U30" s="25" cm="1">
        <f t="array" ref="U30">INDEX(U24:U28,$F$20)</f>
        <v>41.76</v>
      </c>
      <c r="V30" s="25" cm="1">
        <f t="array" ref="V30">INDEX(V24:V28,$F$20)</f>
        <v>44.81</v>
      </c>
      <c r="W30" s="25" cm="1">
        <f t="array" ref="W30">INDEX(W24:W28,$F$20)</f>
        <v>47.35</v>
      </c>
      <c r="X30" s="25" cm="1">
        <f t="array" ref="X30">INDEX(X24:X28,$F$20)</f>
        <v>50.16</v>
      </c>
      <c r="Y30" s="25" cm="1">
        <f t="array" ref="Y30">INDEX(Y24:Y28,$F$20)</f>
        <v>52.83</v>
      </c>
      <c r="Z30" s="25" cm="1">
        <f t="array" ref="Z30">INDEX(Z24:Z28,$F$20)</f>
        <v>53.61</v>
      </c>
      <c r="AA30" s="25" cm="1">
        <f t="array" ref="AA30">INDEX(AA24:AA28,$F$20)</f>
        <v>54.04</v>
      </c>
      <c r="AB30" s="25" cm="1">
        <f t="array" ref="AB30">INDEX(AB24:AB28,$F$20)</f>
        <v>54.52</v>
      </c>
      <c r="AC30" s="25" cm="1">
        <f t="array" ref="AC30">INDEX(AC24:AC28,$F$20)</f>
        <v>55.38</v>
      </c>
      <c r="AD30" s="25" cm="1">
        <f t="array" ref="AD30">INDEX(AD24:AD28,$F$20)</f>
        <v>55.64</v>
      </c>
      <c r="AE30" s="25" cm="1">
        <f t="array" ref="AE30">INDEX(AE24:AE28,$F$20)</f>
        <v>55.91</v>
      </c>
      <c r="AF30" s="25" cm="1">
        <f t="array" ref="AF30">INDEX(AF24:AF28,$F$20)</f>
        <v>56.6</v>
      </c>
      <c r="AG30" s="25" cm="1">
        <f t="array" ref="AG30">INDEX(AG24:AG28,$F$20)</f>
        <v>58.73</v>
      </c>
      <c r="AH30" s="25" cm="1">
        <f t="array" ref="AH30">INDEX(AH24:AH28,$F$20)</f>
        <v>58.15</v>
      </c>
      <c r="AI30" s="25" cm="1">
        <f t="array" ref="AI30">INDEX(AI24:AI28,$F$20)</f>
        <v>59.83</v>
      </c>
      <c r="AJ30" s="25" cm="1">
        <f t="array" ref="AJ30">INDEX(AJ24:AJ28,$F$20)</f>
        <v>61.026600000000002</v>
      </c>
      <c r="AK30" s="25" cm="1">
        <f t="array" ref="AK30">INDEX(AK24:AK28,$F$20)</f>
        <v>62.247132000000001</v>
      </c>
      <c r="AL30" s="25" cm="1">
        <f t="array" ref="AL30">INDEX(AL24:AL28,$F$20)</f>
        <v>63.492074639999998</v>
      </c>
      <c r="AM30" s="25" cm="1">
        <f t="array" ref="AM30">INDEX(AM24:AM28,$F$20)</f>
        <v>64.761916132799996</v>
      </c>
      <c r="AN30" s="25" cm="1">
        <f t="array" ref="AN30">INDEX(AN24:AN28,$F$20)</f>
        <v>66.057154455456001</v>
      </c>
      <c r="AO30" s="25" cm="1">
        <f t="array" ref="AO30">INDEX(AO24:AO28,$F$20)</f>
        <v>67.378297544565129</v>
      </c>
      <c r="AP30" s="25" cm="1">
        <f t="array" ref="AP30">INDEX(AP24:AP28,$F$20)</f>
        <v>68.725863495456437</v>
      </c>
      <c r="AQ30" s="25" cm="1">
        <f t="array" ref="AQ30">INDEX(AQ24:AQ28,$F$20)</f>
        <v>70.100380765365571</v>
      </c>
      <c r="AR30" s="25" cm="1">
        <f t="array" ref="AR30">INDEX(AR24:AR28,$F$20)</f>
        <v>71.502388380672883</v>
      </c>
      <c r="AS30" s="25" cm="1">
        <f t="array" ref="AS30">INDEX(AS24:AS28,$F$20)</f>
        <v>72.932436148286342</v>
      </c>
      <c r="AT30" s="25" cm="1">
        <f t="array" ref="AT30">INDEX(AT24:AT28,$F$20)</f>
        <v>74.391084871252076</v>
      </c>
    </row>
    <row r="32" spans="2:1006" x14ac:dyDescent="0.35">
      <c r="B32" s="37" t="s">
        <v>272</v>
      </c>
      <c r="C32" s="37"/>
      <c r="D32" s="37"/>
      <c r="E32" s="37"/>
      <c r="F32" s="37"/>
      <c r="G32" s="37"/>
      <c r="H32" s="37"/>
      <c r="I32" s="37"/>
      <c r="J32" s="37"/>
      <c r="K32" s="37"/>
      <c r="L32" s="37"/>
      <c r="M32" s="37"/>
      <c r="N32" s="37"/>
      <c r="O32" s="37"/>
      <c r="P32" s="37"/>
      <c r="Q32" s="37"/>
      <c r="R32" s="37"/>
      <c r="S32" s="37"/>
      <c r="T32" s="37"/>
      <c r="U32" s="37"/>
      <c r="V32" s="37"/>
      <c r="W32" s="37"/>
      <c r="X32" s="37"/>
      <c r="Y32" s="37"/>
      <c r="Z32" s="37"/>
      <c r="AA32" s="37"/>
      <c r="AB32" s="37"/>
      <c r="AC32" s="37"/>
      <c r="AD32" s="37"/>
      <c r="AE32" s="37"/>
      <c r="AF32" s="37"/>
      <c r="AG32" s="37"/>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c r="BS32" s="37"/>
      <c r="BT32" s="37"/>
      <c r="BU32" s="37"/>
      <c r="BV32" s="37"/>
      <c r="BW32" s="37"/>
      <c r="BX32" s="37"/>
      <c r="BY32" s="37"/>
      <c r="BZ32" s="37"/>
      <c r="CA32" s="37"/>
      <c r="CB32" s="37"/>
      <c r="CC32" s="37"/>
      <c r="CD32" s="37"/>
      <c r="CE32" s="37"/>
      <c r="CF32" s="37"/>
      <c r="CG32" s="37"/>
      <c r="CH32" s="37"/>
      <c r="CI32" s="37"/>
      <c r="CJ32" s="37"/>
      <c r="CK32" s="37"/>
      <c r="CL32" s="37"/>
      <c r="CM32" s="37"/>
      <c r="CN32" s="37"/>
      <c r="CO32" s="37"/>
      <c r="CP32" s="37"/>
      <c r="CQ32" s="37"/>
      <c r="CR32" s="37"/>
      <c r="CS32" s="37"/>
      <c r="CT32" s="37"/>
      <c r="CU32" s="37"/>
      <c r="CV32" s="37"/>
      <c r="CW32" s="37"/>
      <c r="CX32" s="37"/>
      <c r="CY32" s="37"/>
      <c r="CZ32" s="37"/>
      <c r="DA32" s="37"/>
      <c r="DB32" s="37"/>
      <c r="DC32" s="37"/>
      <c r="DD32" s="37"/>
      <c r="DE32" s="37"/>
      <c r="DF32" s="37"/>
      <c r="DG32" s="37"/>
      <c r="DH32" s="37"/>
      <c r="DI32" s="37"/>
      <c r="DJ32" s="37"/>
      <c r="DK32" s="37"/>
      <c r="DL32" s="37"/>
      <c r="DM32" s="37"/>
      <c r="DN32" s="37"/>
      <c r="DO32" s="37"/>
      <c r="DP32" s="37"/>
      <c r="DQ32" s="37"/>
      <c r="DR32" s="37"/>
      <c r="DS32" s="37"/>
      <c r="DT32" s="37"/>
      <c r="DU32" s="37"/>
      <c r="DV32" s="37"/>
      <c r="DW32" s="37"/>
      <c r="DX32" s="37"/>
      <c r="DY32" s="37"/>
      <c r="DZ32" s="37"/>
      <c r="EA32" s="37"/>
      <c r="EB32" s="37"/>
      <c r="EC32" s="37"/>
      <c r="ED32" s="37"/>
      <c r="EE32" s="37"/>
      <c r="EF32" s="37"/>
      <c r="EG32" s="37"/>
      <c r="EH32" s="37"/>
      <c r="EI32" s="37"/>
      <c r="EJ32" s="37"/>
      <c r="EK32" s="37"/>
      <c r="EL32" s="37"/>
      <c r="EM32" s="37"/>
      <c r="EN32" s="37"/>
      <c r="EO32" s="37"/>
      <c r="EP32" s="37"/>
      <c r="EQ32" s="37"/>
      <c r="ER32" s="37"/>
      <c r="ES32" s="37"/>
      <c r="ET32" s="37"/>
      <c r="EU32" s="37"/>
      <c r="EV32" s="37"/>
      <c r="EW32" s="37"/>
      <c r="EX32" s="37"/>
      <c r="EY32" s="37"/>
      <c r="EZ32" s="37"/>
      <c r="FA32" s="37"/>
      <c r="FB32" s="37"/>
      <c r="FC32" s="37"/>
      <c r="FD32" s="37"/>
      <c r="FE32" s="37"/>
      <c r="FF32" s="37"/>
      <c r="FG32" s="37"/>
      <c r="FH32" s="37"/>
      <c r="FI32" s="37"/>
      <c r="FJ32" s="37"/>
      <c r="FK32" s="37"/>
      <c r="FL32" s="37"/>
      <c r="FM32" s="37"/>
      <c r="FN32" s="37"/>
      <c r="FO32" s="37"/>
      <c r="FP32" s="37"/>
      <c r="FQ32" s="37"/>
      <c r="FR32" s="37"/>
      <c r="FS32" s="37"/>
      <c r="FT32" s="37"/>
      <c r="FU32" s="37"/>
      <c r="FV32" s="37"/>
      <c r="FW32" s="37"/>
      <c r="FX32" s="37"/>
      <c r="FY32" s="37"/>
      <c r="FZ32" s="37"/>
      <c r="GA32" s="37"/>
      <c r="GB32" s="37"/>
      <c r="GC32" s="37"/>
      <c r="GD32" s="37"/>
      <c r="GE32" s="37"/>
      <c r="GF32" s="37"/>
      <c r="GG32" s="37"/>
      <c r="GH32" s="37"/>
      <c r="GI32" s="37"/>
      <c r="GJ32" s="37"/>
      <c r="GK32" s="37"/>
      <c r="GL32" s="37"/>
      <c r="GM32" s="37"/>
      <c r="GN32" s="37"/>
      <c r="GO32" s="37"/>
      <c r="GP32" s="37"/>
      <c r="GQ32" s="37"/>
      <c r="GR32" s="37"/>
      <c r="GS32" s="37"/>
      <c r="GT32" s="37"/>
      <c r="GU32" s="37"/>
      <c r="GV32" s="37"/>
      <c r="GW32" s="37"/>
      <c r="GX32" s="37"/>
      <c r="GY32" s="37"/>
      <c r="GZ32" s="37"/>
      <c r="HA32" s="37"/>
      <c r="HB32" s="37"/>
      <c r="HC32" s="37"/>
      <c r="HD32" s="37"/>
      <c r="HE32" s="37"/>
      <c r="HF32" s="37"/>
      <c r="HG32" s="37"/>
      <c r="HH32" s="37"/>
      <c r="HI32" s="37"/>
      <c r="HJ32" s="37"/>
      <c r="HK32" s="37"/>
      <c r="HL32" s="37"/>
      <c r="HM32" s="37"/>
      <c r="HN32" s="37"/>
      <c r="HO32" s="37"/>
      <c r="HP32" s="37"/>
      <c r="HQ32" s="37"/>
      <c r="HR32" s="37"/>
      <c r="HS32" s="37"/>
      <c r="HT32" s="37"/>
      <c r="HU32" s="37"/>
      <c r="HV32" s="37"/>
      <c r="HW32" s="37"/>
      <c r="HX32" s="37"/>
      <c r="HY32" s="37"/>
      <c r="HZ32" s="37"/>
      <c r="IA32" s="37"/>
      <c r="IB32" s="37"/>
      <c r="IC32" s="37"/>
      <c r="ID32" s="37"/>
      <c r="IE32" s="37"/>
      <c r="IF32" s="37"/>
      <c r="IG32" s="37"/>
      <c r="IH32" s="37"/>
      <c r="II32" s="37"/>
      <c r="IJ32" s="37"/>
      <c r="IK32" s="37"/>
      <c r="IL32" s="37"/>
      <c r="IM32" s="37"/>
      <c r="IN32" s="37"/>
      <c r="IO32" s="37"/>
      <c r="IP32" s="37"/>
      <c r="IQ32" s="37"/>
      <c r="IR32" s="37"/>
      <c r="IS32" s="37"/>
      <c r="IT32" s="37"/>
      <c r="IU32" s="37"/>
      <c r="IV32" s="37"/>
      <c r="IW32" s="37"/>
      <c r="IX32" s="37"/>
      <c r="IY32" s="37"/>
      <c r="IZ32" s="37"/>
      <c r="JA32" s="37"/>
      <c r="JB32" s="37"/>
      <c r="JC32" s="37"/>
      <c r="JD32" s="37"/>
      <c r="JE32" s="37"/>
      <c r="JF32" s="37"/>
      <c r="JG32" s="37"/>
      <c r="JH32" s="37"/>
      <c r="JI32" s="37"/>
      <c r="JJ32" s="37"/>
      <c r="JK32" s="37"/>
      <c r="JL32" s="37"/>
      <c r="JM32" s="37"/>
      <c r="JN32" s="37"/>
      <c r="JO32" s="37"/>
      <c r="JP32" s="37"/>
      <c r="JQ32" s="37"/>
      <c r="JR32" s="37"/>
      <c r="JS32" s="37"/>
      <c r="JT32" s="37"/>
      <c r="JU32" s="37"/>
      <c r="JV32" s="37"/>
      <c r="JW32" s="37"/>
      <c r="JX32" s="37"/>
      <c r="JY32" s="37"/>
      <c r="JZ32" s="37"/>
      <c r="KA32" s="37"/>
      <c r="KB32" s="37"/>
      <c r="KC32" s="37"/>
      <c r="KD32" s="37"/>
      <c r="KE32" s="37"/>
      <c r="KF32" s="37"/>
      <c r="KG32" s="37"/>
      <c r="KH32" s="37"/>
      <c r="KI32" s="37"/>
      <c r="KJ32" s="37"/>
      <c r="KK32" s="37"/>
      <c r="KL32" s="37"/>
      <c r="KM32" s="37"/>
      <c r="KN32" s="37"/>
      <c r="KO32" s="37"/>
      <c r="KP32" s="37"/>
      <c r="KQ32" s="37"/>
      <c r="KR32" s="37"/>
      <c r="KS32" s="37"/>
      <c r="KT32" s="37"/>
      <c r="KU32" s="37"/>
      <c r="KV32" s="37"/>
      <c r="KW32" s="37"/>
      <c r="KX32" s="37"/>
      <c r="KY32" s="37"/>
      <c r="KZ32" s="37"/>
      <c r="LA32" s="37"/>
      <c r="LB32" s="37"/>
      <c r="LC32" s="37"/>
      <c r="LD32" s="37"/>
      <c r="LE32" s="37"/>
      <c r="LF32" s="37"/>
      <c r="LG32" s="37"/>
      <c r="LH32" s="37"/>
      <c r="LI32" s="37"/>
      <c r="LJ32" s="37"/>
      <c r="LK32" s="37"/>
      <c r="LL32" s="37"/>
      <c r="LM32" s="37"/>
      <c r="LN32" s="37"/>
      <c r="LO32" s="37"/>
      <c r="LP32" s="37"/>
      <c r="LQ32" s="37"/>
      <c r="LR32" s="37"/>
      <c r="LS32" s="37"/>
      <c r="LT32" s="37"/>
      <c r="LU32" s="37"/>
      <c r="LV32" s="37"/>
      <c r="LW32" s="37"/>
      <c r="LX32" s="37"/>
      <c r="LY32" s="37"/>
      <c r="LZ32" s="37"/>
      <c r="MA32" s="37"/>
      <c r="MB32" s="37"/>
      <c r="MC32" s="37"/>
      <c r="MD32" s="37"/>
      <c r="ME32" s="37"/>
      <c r="MF32" s="37"/>
      <c r="MG32" s="37"/>
      <c r="MH32" s="37"/>
      <c r="MI32" s="37"/>
      <c r="MJ32" s="37"/>
      <c r="MK32" s="37"/>
      <c r="ML32" s="37"/>
      <c r="MM32" s="37"/>
      <c r="MN32" s="37"/>
      <c r="MO32" s="37"/>
      <c r="MP32" s="37"/>
      <c r="MQ32" s="37"/>
      <c r="MR32" s="37"/>
      <c r="MS32" s="37"/>
      <c r="MT32" s="37"/>
      <c r="MU32" s="37"/>
      <c r="MV32" s="37"/>
      <c r="MW32" s="37"/>
      <c r="MX32" s="37"/>
      <c r="MY32" s="37"/>
      <c r="MZ32" s="37"/>
      <c r="NA32" s="37"/>
      <c r="NB32" s="37"/>
      <c r="NC32" s="37"/>
      <c r="ND32" s="37"/>
      <c r="NE32" s="37"/>
      <c r="NF32" s="37"/>
      <c r="NG32" s="37"/>
      <c r="NH32" s="37"/>
      <c r="NI32" s="37"/>
      <c r="NJ32" s="37"/>
      <c r="NK32" s="37"/>
      <c r="NL32" s="37"/>
      <c r="NM32" s="37"/>
      <c r="NN32" s="37"/>
      <c r="NO32" s="37"/>
      <c r="NP32" s="37"/>
      <c r="NQ32" s="37"/>
      <c r="NR32" s="37"/>
      <c r="NS32" s="37"/>
      <c r="NT32" s="37"/>
      <c r="NU32" s="37"/>
      <c r="NV32" s="37"/>
      <c r="NW32" s="37"/>
      <c r="NX32" s="37"/>
      <c r="NY32" s="37"/>
      <c r="NZ32" s="37"/>
      <c r="OA32" s="37"/>
      <c r="OB32" s="37"/>
      <c r="OC32" s="37"/>
      <c r="OD32" s="37"/>
      <c r="OE32" s="37"/>
      <c r="OF32" s="37"/>
      <c r="OG32" s="37"/>
      <c r="OH32" s="37"/>
      <c r="OI32" s="37"/>
      <c r="OJ32" s="37"/>
      <c r="OK32" s="37"/>
      <c r="OL32" s="37"/>
      <c r="OM32" s="37"/>
      <c r="ON32" s="37"/>
      <c r="OO32" s="37"/>
      <c r="OP32" s="37"/>
      <c r="OQ32" s="37"/>
      <c r="OR32" s="37"/>
      <c r="OS32" s="37"/>
      <c r="OT32" s="37"/>
      <c r="OU32" s="37"/>
      <c r="OV32" s="37"/>
      <c r="OW32" s="37"/>
      <c r="OX32" s="37"/>
      <c r="OY32" s="37"/>
      <c r="OZ32" s="37"/>
      <c r="PA32" s="37"/>
      <c r="PB32" s="37"/>
      <c r="PC32" s="37"/>
      <c r="PD32" s="37"/>
      <c r="PE32" s="37"/>
      <c r="PF32" s="37"/>
      <c r="PG32" s="37"/>
      <c r="PH32" s="37"/>
      <c r="PI32" s="37"/>
      <c r="PJ32" s="37"/>
      <c r="PK32" s="37"/>
      <c r="PL32" s="37"/>
      <c r="PM32" s="37"/>
      <c r="PN32" s="37"/>
      <c r="PO32" s="37"/>
      <c r="PP32" s="37"/>
      <c r="PQ32" s="37"/>
      <c r="PR32" s="37"/>
      <c r="PS32" s="37"/>
      <c r="PT32" s="37"/>
      <c r="PU32" s="37"/>
      <c r="PV32" s="37"/>
      <c r="PW32" s="37"/>
      <c r="PX32" s="37"/>
      <c r="PY32" s="37"/>
      <c r="PZ32" s="37"/>
      <c r="QA32" s="37"/>
      <c r="QB32" s="37"/>
      <c r="QC32" s="37"/>
      <c r="QD32" s="37"/>
      <c r="QE32" s="37"/>
      <c r="QF32" s="37"/>
      <c r="QG32" s="37"/>
      <c r="QH32" s="37"/>
      <c r="QI32" s="37"/>
      <c r="QJ32" s="37"/>
      <c r="QK32" s="37"/>
      <c r="QL32" s="37"/>
      <c r="QM32" s="37"/>
      <c r="QN32" s="37"/>
      <c r="QO32" s="37"/>
      <c r="QP32" s="37"/>
      <c r="QQ32" s="37"/>
      <c r="QR32" s="37"/>
      <c r="QS32" s="37"/>
      <c r="QT32" s="37"/>
      <c r="QU32" s="37"/>
      <c r="QV32" s="37"/>
      <c r="QW32" s="37"/>
      <c r="QX32" s="37"/>
      <c r="QY32" s="37"/>
      <c r="QZ32" s="37"/>
      <c r="RA32" s="37"/>
      <c r="RB32" s="37"/>
      <c r="RC32" s="37"/>
      <c r="RD32" s="37"/>
      <c r="RE32" s="37"/>
      <c r="RF32" s="37"/>
      <c r="RG32" s="37"/>
      <c r="RH32" s="37"/>
      <c r="RI32" s="37"/>
      <c r="RJ32" s="37"/>
      <c r="RK32" s="37"/>
      <c r="RL32" s="37"/>
      <c r="RM32" s="37"/>
      <c r="RN32" s="37"/>
      <c r="RO32" s="37"/>
      <c r="RP32" s="37"/>
      <c r="RQ32" s="37"/>
      <c r="RR32" s="37"/>
      <c r="RS32" s="37"/>
      <c r="RT32" s="37"/>
      <c r="RU32" s="37"/>
      <c r="RV32" s="37"/>
      <c r="RW32" s="37"/>
      <c r="RX32" s="37"/>
      <c r="RY32" s="37"/>
      <c r="RZ32" s="37"/>
      <c r="SA32" s="37"/>
      <c r="SB32" s="37"/>
      <c r="SC32" s="37"/>
      <c r="SD32" s="37"/>
      <c r="SE32" s="37"/>
      <c r="SF32" s="37"/>
      <c r="SG32" s="37"/>
      <c r="SH32" s="37"/>
      <c r="SI32" s="37"/>
      <c r="SJ32" s="37"/>
      <c r="SK32" s="37"/>
      <c r="SL32" s="37"/>
      <c r="SM32" s="37"/>
      <c r="SN32" s="37"/>
      <c r="SO32" s="37"/>
      <c r="SP32" s="37"/>
      <c r="SQ32" s="37"/>
      <c r="SR32" s="37"/>
      <c r="SS32" s="37"/>
      <c r="ST32" s="37"/>
      <c r="SU32" s="37"/>
      <c r="SV32" s="37"/>
      <c r="SW32" s="37"/>
      <c r="SX32" s="37"/>
      <c r="SY32" s="37"/>
      <c r="SZ32" s="37"/>
      <c r="TA32" s="37"/>
      <c r="TB32" s="37"/>
      <c r="TC32" s="37"/>
      <c r="TD32" s="37"/>
      <c r="TE32" s="37"/>
      <c r="TF32" s="37"/>
      <c r="TG32" s="37"/>
      <c r="TH32" s="37"/>
      <c r="TI32" s="37"/>
      <c r="TJ32" s="37"/>
      <c r="TK32" s="37"/>
      <c r="TL32" s="37"/>
      <c r="TM32" s="37"/>
      <c r="TN32" s="37"/>
      <c r="TO32" s="37"/>
      <c r="TP32" s="37"/>
      <c r="TQ32" s="37"/>
      <c r="TR32" s="37"/>
      <c r="TS32" s="37"/>
      <c r="TT32" s="37"/>
      <c r="TU32" s="37"/>
      <c r="TV32" s="37"/>
      <c r="TW32" s="37"/>
      <c r="TX32" s="37"/>
      <c r="TY32" s="37"/>
      <c r="TZ32" s="37"/>
      <c r="UA32" s="37"/>
      <c r="UB32" s="37"/>
      <c r="UC32" s="37"/>
      <c r="UD32" s="37"/>
      <c r="UE32" s="37"/>
      <c r="UF32" s="37"/>
      <c r="UG32" s="37"/>
      <c r="UH32" s="37"/>
      <c r="UI32" s="37"/>
      <c r="UJ32" s="37"/>
      <c r="UK32" s="37"/>
      <c r="UL32" s="37"/>
      <c r="UM32" s="37"/>
      <c r="UN32" s="37"/>
      <c r="UO32" s="37"/>
      <c r="UP32" s="37"/>
      <c r="UQ32" s="37"/>
      <c r="UR32" s="37"/>
      <c r="US32" s="37"/>
      <c r="UT32" s="37"/>
      <c r="UU32" s="37"/>
      <c r="UV32" s="37"/>
      <c r="UW32" s="37"/>
      <c r="UX32" s="37"/>
      <c r="UY32" s="37"/>
      <c r="UZ32" s="37"/>
      <c r="VA32" s="37"/>
      <c r="VB32" s="37"/>
      <c r="VC32" s="37"/>
      <c r="VD32" s="37"/>
      <c r="VE32" s="37"/>
      <c r="VF32" s="37"/>
      <c r="VG32" s="37"/>
      <c r="VH32" s="37"/>
      <c r="VI32" s="37"/>
      <c r="VJ32" s="37"/>
      <c r="VK32" s="37"/>
      <c r="VL32" s="37"/>
      <c r="VM32" s="37"/>
      <c r="VN32" s="37"/>
      <c r="VO32" s="37"/>
      <c r="VP32" s="37"/>
      <c r="VQ32" s="37"/>
      <c r="VR32" s="37"/>
      <c r="VS32" s="37"/>
      <c r="VT32" s="37"/>
      <c r="VU32" s="37"/>
      <c r="VV32" s="37"/>
      <c r="VW32" s="37"/>
      <c r="VX32" s="37"/>
      <c r="VY32" s="37"/>
      <c r="VZ32" s="37"/>
      <c r="WA32" s="37"/>
      <c r="WB32" s="37"/>
      <c r="WC32" s="37"/>
      <c r="WD32" s="37"/>
      <c r="WE32" s="37"/>
      <c r="WF32" s="37"/>
      <c r="WG32" s="37"/>
      <c r="WH32" s="37"/>
      <c r="WI32" s="37"/>
      <c r="WJ32" s="37"/>
      <c r="WK32" s="37"/>
      <c r="WL32" s="37"/>
      <c r="WM32" s="37"/>
      <c r="WN32" s="37"/>
      <c r="WO32" s="37"/>
      <c r="WP32" s="37"/>
      <c r="WQ32" s="37"/>
      <c r="WR32" s="37"/>
      <c r="WS32" s="37"/>
      <c r="WT32" s="37"/>
      <c r="WU32" s="37"/>
      <c r="WV32" s="37"/>
      <c r="WW32" s="37"/>
      <c r="WX32" s="37"/>
      <c r="WY32" s="37"/>
      <c r="WZ32" s="37"/>
      <c r="XA32" s="37"/>
      <c r="XB32" s="37"/>
      <c r="XC32" s="37"/>
      <c r="XD32" s="37"/>
      <c r="XE32" s="37"/>
      <c r="XF32" s="37"/>
      <c r="XG32" s="37"/>
      <c r="XH32" s="37"/>
      <c r="XI32" s="37"/>
      <c r="XJ32" s="37"/>
      <c r="XK32" s="37"/>
      <c r="XL32" s="37"/>
      <c r="XM32" s="37"/>
      <c r="XN32" s="37"/>
      <c r="XO32" s="37"/>
      <c r="XP32" s="37"/>
      <c r="XQ32" s="37"/>
      <c r="XR32" s="37"/>
      <c r="XS32" s="37"/>
      <c r="XT32" s="37"/>
      <c r="XU32" s="37"/>
      <c r="XV32" s="37"/>
      <c r="XW32" s="37"/>
      <c r="XX32" s="37"/>
      <c r="XY32" s="37"/>
      <c r="XZ32" s="37"/>
      <c r="YA32" s="37"/>
      <c r="YB32" s="37"/>
      <c r="YC32" s="37"/>
      <c r="YD32" s="37"/>
      <c r="YE32" s="37"/>
      <c r="YF32" s="37"/>
      <c r="YG32" s="37"/>
      <c r="YH32" s="37"/>
      <c r="YI32" s="37"/>
      <c r="YJ32" s="37"/>
      <c r="YK32" s="37"/>
      <c r="YL32" s="37"/>
      <c r="YM32" s="37"/>
      <c r="YN32" s="37"/>
      <c r="YO32" s="37"/>
      <c r="YP32" s="37"/>
      <c r="YQ32" s="37"/>
      <c r="YR32" s="37"/>
      <c r="YS32" s="37"/>
      <c r="YT32" s="37"/>
      <c r="YU32" s="37"/>
      <c r="YV32" s="37"/>
      <c r="YW32" s="37"/>
      <c r="YX32" s="37"/>
      <c r="YY32" s="37"/>
      <c r="YZ32" s="37"/>
      <c r="ZA32" s="37"/>
      <c r="ZB32" s="37"/>
      <c r="ZC32" s="37"/>
      <c r="ZD32" s="37"/>
      <c r="ZE32" s="37"/>
      <c r="ZF32" s="37"/>
      <c r="ZG32" s="37"/>
      <c r="ZH32" s="37"/>
      <c r="ZI32" s="37"/>
      <c r="ZJ32" s="37"/>
      <c r="ZK32" s="37"/>
      <c r="ZL32" s="37"/>
      <c r="ZM32" s="37"/>
      <c r="ZN32" s="37"/>
      <c r="ZO32" s="37"/>
      <c r="ZP32" s="37"/>
      <c r="ZQ32" s="37"/>
      <c r="ZR32" s="37"/>
      <c r="ZS32" s="37"/>
      <c r="ZT32" s="37"/>
      <c r="ZU32" s="37"/>
      <c r="ZV32" s="37"/>
      <c r="ZW32" s="37"/>
      <c r="ZX32" s="37"/>
      <c r="ZY32" s="37"/>
      <c r="ZZ32" s="37"/>
      <c r="AAA32" s="37"/>
      <c r="AAB32" s="37"/>
      <c r="AAC32" s="37"/>
      <c r="AAD32" s="37"/>
      <c r="AAE32" s="37"/>
      <c r="AAF32" s="37"/>
      <c r="AAG32" s="37"/>
      <c r="AAH32" s="37"/>
      <c r="AAI32" s="37"/>
      <c r="AAJ32" s="37"/>
      <c r="AAK32" s="37"/>
      <c r="AAL32" s="37"/>
      <c r="AAM32" s="37"/>
      <c r="AAN32" s="37"/>
      <c r="AAO32" s="37"/>
      <c r="AAP32" s="37"/>
      <c r="AAQ32" s="37"/>
      <c r="AAR32" s="37"/>
      <c r="AAS32" s="37"/>
      <c r="AAT32" s="37"/>
      <c r="AAU32" s="37"/>
      <c r="AAV32" s="37"/>
      <c r="AAW32" s="37"/>
      <c r="AAX32" s="37"/>
      <c r="AAY32" s="37"/>
      <c r="AAZ32" s="37"/>
      <c r="ABA32" s="37"/>
      <c r="ABB32" s="37"/>
      <c r="ABC32" s="37"/>
      <c r="ABD32" s="37"/>
      <c r="ABE32" s="37"/>
      <c r="ABF32" s="37"/>
      <c r="ABG32" s="37"/>
      <c r="ABH32" s="37"/>
      <c r="ABI32" s="37"/>
      <c r="ABJ32" s="37"/>
      <c r="ABK32" s="37"/>
      <c r="ABL32" s="37"/>
      <c r="ABM32" s="37"/>
      <c r="ABN32" s="37"/>
      <c r="ABO32" s="37"/>
      <c r="ABP32" s="37"/>
      <c r="ABQ32" s="37"/>
      <c r="ABR32" s="37"/>
      <c r="ABS32" s="37"/>
      <c r="ABT32" s="37"/>
      <c r="ABU32" s="37"/>
      <c r="ABV32" s="37"/>
      <c r="ABW32" s="37"/>
      <c r="ABX32" s="37"/>
      <c r="ABY32" s="37"/>
      <c r="ABZ32" s="37"/>
      <c r="ACA32" s="37"/>
      <c r="ACB32" s="37"/>
      <c r="ACC32" s="37"/>
      <c r="ACD32" s="37"/>
      <c r="ACE32" s="37"/>
      <c r="ACF32" s="37"/>
      <c r="ACG32" s="37"/>
      <c r="ACH32" s="37"/>
      <c r="ACI32" s="37"/>
      <c r="ACJ32" s="37"/>
      <c r="ACK32" s="37"/>
      <c r="ACL32" s="37"/>
      <c r="ACM32" s="37"/>
      <c r="ACN32" s="37"/>
      <c r="ACO32" s="37"/>
      <c r="ACP32" s="37"/>
      <c r="ACQ32" s="37"/>
      <c r="ACR32" s="37"/>
      <c r="ACS32" s="37"/>
      <c r="ACT32" s="37"/>
      <c r="ACU32" s="37"/>
      <c r="ACV32" s="37"/>
      <c r="ACW32" s="37"/>
      <c r="ACX32" s="37"/>
      <c r="ACY32" s="37"/>
      <c r="ACZ32" s="37"/>
      <c r="ADA32" s="37"/>
      <c r="ADB32" s="37"/>
      <c r="ADC32" s="37"/>
      <c r="ADD32" s="37"/>
      <c r="ADE32" s="37"/>
      <c r="ADF32" s="37"/>
      <c r="ADG32" s="37"/>
      <c r="ADH32" s="37"/>
      <c r="ADI32" s="37"/>
      <c r="ADJ32" s="37"/>
      <c r="ADK32" s="37"/>
      <c r="ADL32" s="37"/>
      <c r="ADM32" s="37"/>
      <c r="ADN32" s="37"/>
      <c r="ADO32" s="37"/>
      <c r="ADP32" s="37"/>
      <c r="ADQ32" s="37"/>
      <c r="ADR32" s="37"/>
      <c r="ADS32" s="37"/>
      <c r="ADT32" s="37"/>
      <c r="ADU32" s="37"/>
      <c r="ADV32" s="37"/>
      <c r="ADW32" s="37"/>
      <c r="ADX32" s="37"/>
      <c r="ADY32" s="37"/>
      <c r="ADZ32" s="37"/>
      <c r="AEA32" s="37"/>
      <c r="AEB32" s="37"/>
      <c r="AEC32" s="37"/>
      <c r="AED32" s="37"/>
      <c r="AEE32" s="37"/>
      <c r="AEF32" s="37"/>
      <c r="AEG32" s="37"/>
      <c r="AEH32" s="37"/>
      <c r="AEI32" s="37"/>
      <c r="AEJ32" s="37"/>
      <c r="AEK32" s="37"/>
      <c r="AEL32" s="37"/>
      <c r="AEM32" s="37"/>
      <c r="AEN32" s="37"/>
      <c r="AEO32" s="37"/>
      <c r="AEP32" s="37"/>
      <c r="AEQ32" s="37"/>
      <c r="AER32" s="37"/>
      <c r="AES32" s="37"/>
      <c r="AET32" s="37"/>
      <c r="AEU32" s="37"/>
      <c r="AEV32" s="37"/>
      <c r="AEW32" s="37"/>
      <c r="AEX32" s="37"/>
      <c r="AEY32" s="37"/>
      <c r="AEZ32" s="37"/>
      <c r="AFA32" s="37"/>
      <c r="AFB32" s="37"/>
      <c r="AFC32" s="37"/>
      <c r="AFD32" s="37"/>
      <c r="AFE32" s="37"/>
      <c r="AFF32" s="37"/>
      <c r="AFG32" s="37"/>
      <c r="AFH32" s="37"/>
      <c r="AFI32" s="37"/>
      <c r="AFJ32" s="37"/>
      <c r="AFK32" s="37"/>
      <c r="AFL32" s="37"/>
      <c r="AFM32" s="37"/>
      <c r="AFN32" s="37"/>
      <c r="AFO32" s="37"/>
      <c r="AFP32" s="37"/>
      <c r="AFQ32" s="37"/>
      <c r="AFR32" s="37"/>
      <c r="AFS32" s="37"/>
      <c r="AFT32" s="37"/>
      <c r="AFU32" s="37"/>
      <c r="AFV32" s="37"/>
      <c r="AFW32" s="37"/>
      <c r="AFX32" s="37"/>
      <c r="AFY32" s="37"/>
      <c r="AFZ32" s="37"/>
      <c r="AGA32" s="37"/>
      <c r="AGB32" s="37"/>
      <c r="AGC32" s="37"/>
      <c r="AGD32" s="37"/>
      <c r="AGE32" s="37"/>
      <c r="AGF32" s="37"/>
      <c r="AGG32" s="37"/>
      <c r="AGH32" s="37"/>
      <c r="AGI32" s="37"/>
      <c r="AGJ32" s="37"/>
      <c r="AGK32" s="37"/>
      <c r="AGL32" s="37"/>
      <c r="AGM32" s="37"/>
      <c r="AGN32" s="37"/>
      <c r="AGO32" s="37"/>
      <c r="AGP32" s="37"/>
      <c r="AGQ32" s="37"/>
      <c r="AGR32" s="37"/>
      <c r="AGS32" s="37"/>
      <c r="AGT32" s="37"/>
      <c r="AGU32" s="37"/>
      <c r="AGV32" s="37"/>
      <c r="AGW32" s="37"/>
      <c r="AGX32" s="37"/>
      <c r="AGY32" s="37"/>
      <c r="AGZ32" s="37"/>
      <c r="AHA32" s="37"/>
      <c r="AHB32" s="37"/>
      <c r="AHC32" s="37"/>
      <c r="AHD32" s="37"/>
      <c r="AHE32" s="37"/>
      <c r="AHF32" s="37"/>
      <c r="AHG32" s="37"/>
      <c r="AHH32" s="37"/>
      <c r="AHI32" s="37"/>
      <c r="AHJ32" s="37"/>
      <c r="AHK32" s="37"/>
      <c r="AHL32" s="37"/>
      <c r="AHM32" s="37"/>
      <c r="AHN32" s="37"/>
      <c r="AHO32" s="37"/>
      <c r="AHP32" s="37"/>
      <c r="AHQ32" s="37"/>
      <c r="AHR32" s="37"/>
      <c r="AHS32" s="37"/>
      <c r="AHT32" s="37"/>
      <c r="AHU32" s="37"/>
      <c r="AHV32" s="37"/>
      <c r="AHW32" s="37"/>
      <c r="AHX32" s="37"/>
      <c r="AHY32" s="37"/>
      <c r="AHZ32" s="37"/>
      <c r="AIA32" s="37"/>
      <c r="AIB32" s="37"/>
      <c r="AIC32" s="37"/>
      <c r="AID32" s="37"/>
      <c r="AIE32" s="37"/>
      <c r="AIF32" s="37"/>
      <c r="AIG32" s="37"/>
      <c r="AIH32" s="37"/>
      <c r="AII32" s="37"/>
      <c r="AIJ32" s="37"/>
      <c r="AIK32" s="37"/>
      <c r="AIL32" s="37"/>
      <c r="AIM32" s="37"/>
      <c r="AIN32" s="37"/>
      <c r="AIO32" s="37"/>
      <c r="AIP32" s="37"/>
      <c r="AIQ32" s="37"/>
      <c r="AIR32" s="37"/>
      <c r="AIS32" s="37"/>
      <c r="AIT32" s="37"/>
      <c r="AIU32" s="37"/>
      <c r="AIV32" s="37"/>
      <c r="AIW32" s="37"/>
      <c r="AIX32" s="37"/>
      <c r="AIY32" s="37"/>
      <c r="AIZ32" s="37"/>
      <c r="AJA32" s="37"/>
      <c r="AJB32" s="37"/>
      <c r="AJC32" s="37"/>
      <c r="AJD32" s="37"/>
      <c r="AJE32" s="37"/>
      <c r="AJF32" s="37"/>
      <c r="AJG32" s="37"/>
      <c r="AJH32" s="37"/>
      <c r="AJI32" s="37"/>
      <c r="AJJ32" s="37"/>
      <c r="AJK32" s="37"/>
      <c r="AJL32" s="37"/>
      <c r="AJM32" s="37"/>
      <c r="AJN32" s="37"/>
      <c r="AJO32" s="37"/>
      <c r="AJP32" s="37"/>
      <c r="AJQ32" s="37"/>
      <c r="AJR32" s="37"/>
      <c r="AJS32" s="37"/>
      <c r="AJT32" s="37"/>
      <c r="AJU32" s="37"/>
      <c r="AJV32" s="37"/>
      <c r="AJW32" s="37"/>
      <c r="AJX32" s="37"/>
      <c r="AJY32" s="37"/>
      <c r="AJZ32" s="37"/>
      <c r="AKA32" s="37"/>
      <c r="AKB32" s="37"/>
      <c r="AKC32" s="37"/>
      <c r="AKD32" s="37"/>
      <c r="AKE32" s="37"/>
      <c r="AKF32" s="37"/>
      <c r="AKG32" s="37"/>
      <c r="AKH32" s="37"/>
      <c r="AKI32" s="37"/>
      <c r="AKJ32" s="37"/>
      <c r="AKK32" s="37"/>
      <c r="AKL32" s="37"/>
      <c r="AKM32" s="37"/>
      <c r="AKN32" s="37"/>
      <c r="AKO32" s="37"/>
      <c r="AKP32" s="37"/>
      <c r="AKQ32" s="37"/>
      <c r="AKR32" s="37"/>
      <c r="AKS32" s="37"/>
      <c r="AKT32" s="37"/>
      <c r="AKU32" s="37"/>
      <c r="AKV32" s="37"/>
      <c r="AKW32" s="37"/>
      <c r="AKX32" s="37"/>
      <c r="AKY32" s="37"/>
      <c r="AKZ32" s="37"/>
      <c r="ALA32" s="37"/>
      <c r="ALB32" s="37"/>
      <c r="ALC32" s="37"/>
      <c r="ALD32" s="37"/>
      <c r="ALE32" s="37"/>
      <c r="ALF32" s="37"/>
      <c r="ALG32" s="37"/>
      <c r="ALH32" s="37"/>
      <c r="ALI32" s="37"/>
      <c r="ALJ32" s="37"/>
      <c r="ALK32" s="37"/>
      <c r="ALL32" s="37"/>
      <c r="ALM32" s="37"/>
      <c r="ALN32" s="37"/>
      <c r="ALO32" s="37"/>
      <c r="ALP32" s="37"/>
      <c r="ALQ32" s="37"/>
      <c r="ALR32" s="37"/>
    </row>
    <row r="33" spans="3:13" x14ac:dyDescent="0.35">
      <c r="C33" s="20" t="s">
        <v>250</v>
      </c>
      <c r="E33" s="28">
        <v>3</v>
      </c>
    </row>
    <row r="35" spans="3:13" x14ac:dyDescent="0.35">
      <c r="C35" s="20" t="s">
        <v>247</v>
      </c>
      <c r="E35" s="27"/>
    </row>
    <row r="36" spans="3:13" x14ac:dyDescent="0.35">
      <c r="E36" s="33">
        <v>2016</v>
      </c>
      <c r="F36" s="33">
        <v>2020</v>
      </c>
      <c r="G36" s="26">
        <f>F36+1</f>
        <v>2021</v>
      </c>
      <c r="H36" s="26">
        <f>G36+1</f>
        <v>2022</v>
      </c>
      <c r="I36" s="33">
        <v>2023</v>
      </c>
      <c r="J36" s="33">
        <v>2024</v>
      </c>
      <c r="M36" s="20" t="s">
        <v>265</v>
      </c>
    </row>
    <row r="37" spans="3:13" x14ac:dyDescent="0.35">
      <c r="D37" s="20" t="s">
        <v>35</v>
      </c>
      <c r="E37" s="30">
        <v>1</v>
      </c>
      <c r="F37" s="30">
        <v>1</v>
      </c>
      <c r="G37" s="30">
        <v>0.15</v>
      </c>
      <c r="H37" s="30">
        <v>0.5</v>
      </c>
      <c r="I37" s="30">
        <v>0.9</v>
      </c>
      <c r="J37" s="30">
        <v>1</v>
      </c>
      <c r="M37" s="20" t="s">
        <v>263</v>
      </c>
    </row>
    <row r="38" spans="3:13" x14ac:dyDescent="0.35">
      <c r="D38" s="20" t="s">
        <v>36</v>
      </c>
      <c r="E38" s="30">
        <v>1</v>
      </c>
      <c r="F38" s="30">
        <v>1</v>
      </c>
      <c r="G38" s="30">
        <v>0.15</v>
      </c>
      <c r="H38" s="30">
        <v>0.5</v>
      </c>
      <c r="I38" s="30">
        <v>0.9</v>
      </c>
      <c r="J38" s="30">
        <v>1</v>
      </c>
      <c r="M38" s="20" t="s">
        <v>266</v>
      </c>
    </row>
    <row r="39" spans="3:13" x14ac:dyDescent="0.35">
      <c r="D39" s="20" t="s">
        <v>37</v>
      </c>
      <c r="E39" s="30">
        <v>1</v>
      </c>
      <c r="F39" s="30">
        <v>0.5</v>
      </c>
      <c r="G39" s="30">
        <v>0.15</v>
      </c>
      <c r="H39" s="30">
        <v>0.5</v>
      </c>
      <c r="I39" s="30">
        <v>0.9</v>
      </c>
      <c r="J39" s="30">
        <v>1</v>
      </c>
    </row>
    <row r="40" spans="3:13" x14ac:dyDescent="0.35">
      <c r="D40" s="20" t="s">
        <v>38</v>
      </c>
      <c r="E40" s="30">
        <v>1</v>
      </c>
      <c r="F40" s="30">
        <v>0.1</v>
      </c>
      <c r="G40" s="30">
        <v>0.15</v>
      </c>
      <c r="H40" s="30">
        <v>0.5</v>
      </c>
      <c r="I40" s="30">
        <v>0.9</v>
      </c>
      <c r="J40" s="30">
        <v>1</v>
      </c>
    </row>
    <row r="41" spans="3:13" x14ac:dyDescent="0.35">
      <c r="D41" s="20" t="s">
        <v>39</v>
      </c>
      <c r="E41" s="30">
        <v>1</v>
      </c>
      <c r="F41" s="30">
        <v>0.1</v>
      </c>
      <c r="G41" s="30">
        <v>0.25</v>
      </c>
      <c r="H41" s="30">
        <v>0.8</v>
      </c>
      <c r="I41" s="30">
        <v>1</v>
      </c>
      <c r="J41" s="30">
        <v>1</v>
      </c>
    </row>
    <row r="42" spans="3:13" x14ac:dyDescent="0.35">
      <c r="D42" s="20" t="s">
        <v>40</v>
      </c>
      <c r="E42" s="30">
        <v>1</v>
      </c>
      <c r="F42" s="30">
        <v>0.1</v>
      </c>
      <c r="G42" s="30">
        <v>0.25</v>
      </c>
      <c r="H42" s="30">
        <v>0.8</v>
      </c>
      <c r="I42" s="30">
        <v>1</v>
      </c>
      <c r="J42" s="30">
        <v>1</v>
      </c>
    </row>
    <row r="43" spans="3:13" x14ac:dyDescent="0.35">
      <c r="D43" s="20" t="s">
        <v>41</v>
      </c>
      <c r="E43" s="30">
        <v>1</v>
      </c>
      <c r="F43" s="30">
        <v>0.1</v>
      </c>
      <c r="G43" s="30">
        <v>0.25</v>
      </c>
      <c r="H43" s="30">
        <v>0.8</v>
      </c>
      <c r="I43" s="30">
        <v>1</v>
      </c>
      <c r="J43" s="30">
        <v>1</v>
      </c>
    </row>
    <row r="44" spans="3:13" x14ac:dyDescent="0.35">
      <c r="D44" s="20" t="s">
        <v>42</v>
      </c>
      <c r="E44" s="30">
        <v>1</v>
      </c>
      <c r="F44" s="30">
        <v>0.15</v>
      </c>
      <c r="G44" s="30">
        <v>0.25</v>
      </c>
      <c r="H44" s="30">
        <v>0.8</v>
      </c>
      <c r="I44" s="30">
        <v>1</v>
      </c>
      <c r="J44" s="30">
        <v>1</v>
      </c>
    </row>
    <row r="45" spans="3:13" x14ac:dyDescent="0.35">
      <c r="D45" s="20" t="s">
        <v>43</v>
      </c>
      <c r="E45" s="30">
        <v>1</v>
      </c>
      <c r="F45" s="30">
        <v>0.15</v>
      </c>
      <c r="G45" s="30">
        <v>0.25</v>
      </c>
      <c r="H45" s="30">
        <v>0.8</v>
      </c>
      <c r="I45" s="30">
        <v>1</v>
      </c>
      <c r="J45" s="30">
        <v>1</v>
      </c>
    </row>
    <row r="46" spans="3:13" x14ac:dyDescent="0.35">
      <c r="D46" s="20" t="s">
        <v>44</v>
      </c>
      <c r="E46" s="30">
        <v>1</v>
      </c>
      <c r="F46" s="30">
        <v>0.15</v>
      </c>
      <c r="G46" s="30">
        <v>0.45</v>
      </c>
      <c r="H46" s="30">
        <v>0.9</v>
      </c>
      <c r="I46" s="30">
        <v>1</v>
      </c>
      <c r="J46" s="30">
        <v>1</v>
      </c>
    </row>
    <row r="47" spans="3:13" x14ac:dyDescent="0.35">
      <c r="D47" s="20" t="s">
        <v>45</v>
      </c>
      <c r="E47" s="30">
        <v>1</v>
      </c>
      <c r="F47" s="30">
        <v>0.15</v>
      </c>
      <c r="G47" s="30">
        <v>0.45</v>
      </c>
      <c r="H47" s="30">
        <v>0.9</v>
      </c>
      <c r="I47" s="30">
        <v>1</v>
      </c>
      <c r="J47" s="30">
        <v>1</v>
      </c>
    </row>
    <row r="48" spans="3:13" x14ac:dyDescent="0.35">
      <c r="D48" s="20" t="s">
        <v>46</v>
      </c>
      <c r="E48" s="30">
        <v>1</v>
      </c>
      <c r="F48" s="30">
        <v>0.15</v>
      </c>
      <c r="G48" s="30">
        <v>0.45</v>
      </c>
      <c r="H48" s="30">
        <v>0.9</v>
      </c>
      <c r="I48" s="30">
        <v>1</v>
      </c>
      <c r="J48" s="30">
        <v>1</v>
      </c>
    </row>
    <row r="51" spans="3:10" x14ac:dyDescent="0.35">
      <c r="C51" s="20" t="s">
        <v>248</v>
      </c>
      <c r="E51" s="27"/>
    </row>
    <row r="52" spans="3:10" x14ac:dyDescent="0.35">
      <c r="E52" s="33">
        <v>2016</v>
      </c>
      <c r="F52" s="33">
        <v>2020</v>
      </c>
      <c r="G52" s="26">
        <f>F52+1</f>
        <v>2021</v>
      </c>
      <c r="H52" s="26">
        <f>G52+1</f>
        <v>2022</v>
      </c>
      <c r="I52" s="33">
        <v>2023</v>
      </c>
      <c r="J52" s="33">
        <v>2024</v>
      </c>
    </row>
    <row r="53" spans="3:10" x14ac:dyDescent="0.35">
      <c r="D53" s="20" t="s">
        <v>35</v>
      </c>
      <c r="E53" s="30">
        <v>1</v>
      </c>
      <c r="F53" s="30">
        <v>1</v>
      </c>
      <c r="G53" s="30">
        <v>0.15</v>
      </c>
      <c r="H53" s="30">
        <v>0.3</v>
      </c>
      <c r="I53" s="30">
        <v>0.5</v>
      </c>
      <c r="J53" s="30">
        <v>1</v>
      </c>
    </row>
    <row r="54" spans="3:10" x14ac:dyDescent="0.35">
      <c r="D54" s="20" t="s">
        <v>36</v>
      </c>
      <c r="E54" s="30">
        <v>1</v>
      </c>
      <c r="F54" s="30">
        <v>1</v>
      </c>
      <c r="G54" s="30">
        <v>0.15</v>
      </c>
      <c r="H54" s="30">
        <v>0.3</v>
      </c>
      <c r="I54" s="30">
        <v>0.5</v>
      </c>
      <c r="J54" s="30">
        <v>1</v>
      </c>
    </row>
    <row r="55" spans="3:10" x14ac:dyDescent="0.35">
      <c r="D55" s="20" t="s">
        <v>37</v>
      </c>
      <c r="E55" s="30">
        <v>1</v>
      </c>
      <c r="F55" s="30">
        <v>0.5</v>
      </c>
      <c r="G55" s="30">
        <v>0.15</v>
      </c>
      <c r="H55" s="30">
        <v>0.3</v>
      </c>
      <c r="I55" s="30">
        <v>0.5</v>
      </c>
      <c r="J55" s="30">
        <v>1</v>
      </c>
    </row>
    <row r="56" spans="3:10" x14ac:dyDescent="0.35">
      <c r="D56" s="20" t="s">
        <v>38</v>
      </c>
      <c r="E56" s="30">
        <v>1</v>
      </c>
      <c r="F56" s="30">
        <v>0.1</v>
      </c>
      <c r="G56" s="30">
        <v>0.15</v>
      </c>
      <c r="H56" s="30">
        <v>0.3</v>
      </c>
      <c r="I56" s="30">
        <v>0.5</v>
      </c>
      <c r="J56" s="30">
        <v>1</v>
      </c>
    </row>
    <row r="57" spans="3:10" x14ac:dyDescent="0.35">
      <c r="D57" s="20" t="s">
        <v>39</v>
      </c>
      <c r="E57" s="30">
        <v>1</v>
      </c>
      <c r="F57" s="30">
        <v>0.1</v>
      </c>
      <c r="G57" s="30">
        <v>0.25</v>
      </c>
      <c r="H57" s="30">
        <v>0.4</v>
      </c>
      <c r="I57" s="30">
        <v>0.5</v>
      </c>
      <c r="J57" s="30">
        <v>1</v>
      </c>
    </row>
    <row r="58" spans="3:10" x14ac:dyDescent="0.35">
      <c r="D58" s="20" t="s">
        <v>40</v>
      </c>
      <c r="E58" s="30">
        <v>1</v>
      </c>
      <c r="F58" s="30">
        <v>0.1</v>
      </c>
      <c r="G58" s="30">
        <v>0.25</v>
      </c>
      <c r="H58" s="30">
        <v>0.4</v>
      </c>
      <c r="I58" s="30">
        <v>0.6</v>
      </c>
      <c r="J58" s="30">
        <v>1</v>
      </c>
    </row>
    <row r="59" spans="3:10" x14ac:dyDescent="0.35">
      <c r="D59" s="20" t="s">
        <v>41</v>
      </c>
      <c r="E59" s="30">
        <v>1</v>
      </c>
      <c r="F59" s="30">
        <v>0.1</v>
      </c>
      <c r="G59" s="30">
        <v>0.25</v>
      </c>
      <c r="H59" s="30">
        <v>0.4</v>
      </c>
      <c r="I59" s="30">
        <v>0.6</v>
      </c>
      <c r="J59" s="30">
        <v>1</v>
      </c>
    </row>
    <row r="60" spans="3:10" x14ac:dyDescent="0.35">
      <c r="D60" s="20" t="s">
        <v>42</v>
      </c>
      <c r="E60" s="30">
        <v>1</v>
      </c>
      <c r="F60" s="30">
        <v>0.15</v>
      </c>
      <c r="G60" s="30">
        <v>0.25</v>
      </c>
      <c r="H60" s="30">
        <v>0.4</v>
      </c>
      <c r="I60" s="30">
        <v>0.8</v>
      </c>
      <c r="J60" s="30">
        <v>1</v>
      </c>
    </row>
    <row r="61" spans="3:10" x14ac:dyDescent="0.35">
      <c r="D61" s="20" t="s">
        <v>43</v>
      </c>
      <c r="E61" s="30">
        <v>1</v>
      </c>
      <c r="F61" s="30">
        <v>0.15</v>
      </c>
      <c r="G61" s="30">
        <v>0.25</v>
      </c>
      <c r="H61" s="30">
        <v>0.4</v>
      </c>
      <c r="I61" s="30">
        <v>0.8</v>
      </c>
      <c r="J61" s="30">
        <v>1</v>
      </c>
    </row>
    <row r="62" spans="3:10" x14ac:dyDescent="0.35">
      <c r="D62" s="20" t="s">
        <v>44</v>
      </c>
      <c r="E62" s="30">
        <v>1</v>
      </c>
      <c r="F62" s="30">
        <v>0.15</v>
      </c>
      <c r="G62" s="30">
        <v>0.3</v>
      </c>
      <c r="H62" s="30">
        <v>0.5</v>
      </c>
      <c r="I62" s="30">
        <v>0.8</v>
      </c>
      <c r="J62" s="30">
        <v>1</v>
      </c>
    </row>
    <row r="63" spans="3:10" x14ac:dyDescent="0.35">
      <c r="D63" s="20" t="s">
        <v>45</v>
      </c>
      <c r="E63" s="30">
        <v>1</v>
      </c>
      <c r="F63" s="30">
        <v>0.15</v>
      </c>
      <c r="G63" s="30">
        <v>0.3</v>
      </c>
      <c r="H63" s="30">
        <v>0.5</v>
      </c>
      <c r="I63" s="30">
        <v>0.8</v>
      </c>
      <c r="J63" s="30">
        <v>1</v>
      </c>
    </row>
    <row r="64" spans="3:10" x14ac:dyDescent="0.35">
      <c r="D64" s="20" t="s">
        <v>46</v>
      </c>
      <c r="E64" s="30">
        <v>1</v>
      </c>
      <c r="F64" s="30">
        <v>0.15</v>
      </c>
      <c r="G64" s="30">
        <v>0.3</v>
      </c>
      <c r="H64" s="30">
        <v>0.5</v>
      </c>
      <c r="I64" s="30">
        <v>0.8</v>
      </c>
      <c r="J64" s="30">
        <v>1</v>
      </c>
    </row>
    <row r="67" spans="3:10" x14ac:dyDescent="0.35">
      <c r="C67" s="20" t="s">
        <v>249</v>
      </c>
      <c r="E67" s="27"/>
    </row>
    <row r="68" spans="3:10" x14ac:dyDescent="0.35">
      <c r="E68" s="33">
        <v>2016</v>
      </c>
      <c r="F68" s="33">
        <v>2020</v>
      </c>
      <c r="G68" s="26">
        <f>F68+1</f>
        <v>2021</v>
      </c>
      <c r="H68" s="26">
        <f>G68+1</f>
        <v>2022</v>
      </c>
      <c r="I68" s="33">
        <v>2023</v>
      </c>
      <c r="J68" s="33">
        <v>2024</v>
      </c>
    </row>
    <row r="69" spans="3:10" x14ac:dyDescent="0.35">
      <c r="D69" s="20" t="s">
        <v>35</v>
      </c>
      <c r="E69" s="30">
        <v>1</v>
      </c>
      <c r="F69" s="30">
        <v>1</v>
      </c>
      <c r="G69" s="30">
        <v>0.1</v>
      </c>
      <c r="H69" s="30">
        <v>0.2</v>
      </c>
      <c r="I69" s="30">
        <v>0.45</v>
      </c>
      <c r="J69" s="30">
        <v>1</v>
      </c>
    </row>
    <row r="70" spans="3:10" x14ac:dyDescent="0.35">
      <c r="D70" s="20" t="s">
        <v>36</v>
      </c>
      <c r="E70" s="30">
        <v>1</v>
      </c>
      <c r="F70" s="30">
        <v>1</v>
      </c>
      <c r="G70" s="30">
        <v>0.1</v>
      </c>
      <c r="H70" s="30">
        <v>0.2</v>
      </c>
      <c r="I70" s="30">
        <v>0.45</v>
      </c>
      <c r="J70" s="30">
        <v>1</v>
      </c>
    </row>
    <row r="71" spans="3:10" x14ac:dyDescent="0.35">
      <c r="D71" s="20" t="s">
        <v>37</v>
      </c>
      <c r="E71" s="30">
        <v>1</v>
      </c>
      <c r="F71" s="30">
        <v>0.5</v>
      </c>
      <c r="G71" s="30">
        <v>0.1</v>
      </c>
      <c r="H71" s="30">
        <v>0.2</v>
      </c>
      <c r="I71" s="30">
        <v>0.45</v>
      </c>
      <c r="J71" s="30">
        <v>1</v>
      </c>
    </row>
    <row r="72" spans="3:10" x14ac:dyDescent="0.35">
      <c r="D72" s="20" t="s">
        <v>38</v>
      </c>
      <c r="E72" s="30">
        <v>1</v>
      </c>
      <c r="F72" s="30">
        <v>0.02</v>
      </c>
      <c r="G72" s="30">
        <v>0.1</v>
      </c>
      <c r="H72" s="30">
        <v>0.2</v>
      </c>
      <c r="I72" s="30">
        <v>0.45</v>
      </c>
      <c r="J72" s="30">
        <v>1</v>
      </c>
    </row>
    <row r="73" spans="3:10" x14ac:dyDescent="0.35">
      <c r="D73" s="20" t="s">
        <v>39</v>
      </c>
      <c r="E73" s="30">
        <v>1</v>
      </c>
      <c r="F73" s="30">
        <v>0.02</v>
      </c>
      <c r="G73" s="30">
        <v>0.1</v>
      </c>
      <c r="H73" s="30">
        <v>0.2</v>
      </c>
      <c r="I73" s="30">
        <v>0.45</v>
      </c>
      <c r="J73" s="30">
        <v>1</v>
      </c>
    </row>
    <row r="74" spans="3:10" x14ac:dyDescent="0.35">
      <c r="D74" s="20" t="s">
        <v>40</v>
      </c>
      <c r="E74" s="30">
        <v>1</v>
      </c>
      <c r="F74" s="30">
        <v>0.02</v>
      </c>
      <c r="G74" s="30">
        <v>0.1</v>
      </c>
      <c r="H74" s="30">
        <v>0.2</v>
      </c>
      <c r="I74" s="30">
        <v>0.45</v>
      </c>
      <c r="J74" s="30">
        <v>1</v>
      </c>
    </row>
    <row r="75" spans="3:10" x14ac:dyDescent="0.35">
      <c r="D75" s="20" t="s">
        <v>41</v>
      </c>
      <c r="E75" s="30">
        <v>1</v>
      </c>
      <c r="F75" s="30">
        <v>0.02</v>
      </c>
      <c r="G75" s="30">
        <v>0.1</v>
      </c>
      <c r="H75" s="30">
        <v>0.3</v>
      </c>
      <c r="I75" s="30">
        <v>0.45</v>
      </c>
      <c r="J75" s="30">
        <v>1</v>
      </c>
    </row>
    <row r="76" spans="3:10" x14ac:dyDescent="0.35">
      <c r="D76" s="20" t="s">
        <v>42</v>
      </c>
      <c r="E76" s="30">
        <v>1</v>
      </c>
      <c r="F76" s="30">
        <v>0.02</v>
      </c>
      <c r="G76" s="30">
        <v>0.1</v>
      </c>
      <c r="H76" s="30">
        <v>0.3</v>
      </c>
      <c r="I76" s="30">
        <v>0.5</v>
      </c>
      <c r="J76" s="30">
        <v>1</v>
      </c>
    </row>
    <row r="77" spans="3:10" x14ac:dyDescent="0.35">
      <c r="D77" s="20" t="s">
        <v>43</v>
      </c>
      <c r="E77" s="30">
        <v>1</v>
      </c>
      <c r="F77" s="30">
        <v>0.05</v>
      </c>
      <c r="G77" s="30">
        <v>0.15</v>
      </c>
      <c r="H77" s="30">
        <v>0.3</v>
      </c>
      <c r="I77" s="30">
        <v>0.6</v>
      </c>
      <c r="J77" s="30">
        <v>1</v>
      </c>
    </row>
    <row r="78" spans="3:10" x14ac:dyDescent="0.35">
      <c r="D78" s="20" t="s">
        <v>44</v>
      </c>
      <c r="E78" s="30">
        <v>1</v>
      </c>
      <c r="F78" s="30">
        <v>0.1</v>
      </c>
      <c r="G78" s="30">
        <v>0.15</v>
      </c>
      <c r="H78" s="30">
        <v>0.3</v>
      </c>
      <c r="I78" s="30">
        <v>0.7</v>
      </c>
      <c r="J78" s="30">
        <v>1</v>
      </c>
    </row>
    <row r="79" spans="3:10" x14ac:dyDescent="0.35">
      <c r="D79" s="20" t="s">
        <v>45</v>
      </c>
      <c r="E79" s="30">
        <v>1</v>
      </c>
      <c r="F79" s="30">
        <v>0.1</v>
      </c>
      <c r="G79" s="30">
        <v>0.15</v>
      </c>
      <c r="H79" s="30">
        <v>0.4</v>
      </c>
      <c r="I79" s="30">
        <v>0.9</v>
      </c>
      <c r="J79" s="30">
        <v>1</v>
      </c>
    </row>
    <row r="80" spans="3:10" x14ac:dyDescent="0.35">
      <c r="D80" s="20" t="s">
        <v>46</v>
      </c>
      <c r="E80" s="30">
        <v>1</v>
      </c>
      <c r="F80" s="30">
        <v>0.1</v>
      </c>
      <c r="G80" s="30">
        <v>0.15</v>
      </c>
      <c r="H80" s="30">
        <v>0.4</v>
      </c>
      <c r="I80" s="30">
        <v>0.9</v>
      </c>
      <c r="J80" s="30">
        <v>1</v>
      </c>
    </row>
    <row r="85" spans="4:66" x14ac:dyDescent="0.35">
      <c r="F85" s="28">
        <v>1</v>
      </c>
      <c r="G85" s="20">
        <f t="shared" ref="G85:AL85" si="0">IF(F85=12,1,F85+1)</f>
        <v>2</v>
      </c>
      <c r="H85" s="20">
        <f t="shared" si="0"/>
        <v>3</v>
      </c>
      <c r="I85" s="20">
        <f t="shared" si="0"/>
        <v>4</v>
      </c>
      <c r="J85" s="20">
        <f t="shared" si="0"/>
        <v>5</v>
      </c>
      <c r="K85" s="20">
        <f t="shared" si="0"/>
        <v>6</v>
      </c>
      <c r="L85" s="20">
        <f t="shared" si="0"/>
        <v>7</v>
      </c>
      <c r="M85" s="20">
        <f t="shared" si="0"/>
        <v>8</v>
      </c>
      <c r="N85" s="20">
        <f t="shared" si="0"/>
        <v>9</v>
      </c>
      <c r="O85" s="20">
        <f t="shared" si="0"/>
        <v>10</v>
      </c>
      <c r="P85" s="20">
        <f t="shared" si="0"/>
        <v>11</v>
      </c>
      <c r="Q85" s="20">
        <f t="shared" si="0"/>
        <v>12</v>
      </c>
      <c r="R85" s="20">
        <f t="shared" si="0"/>
        <v>1</v>
      </c>
      <c r="S85" s="20">
        <f t="shared" si="0"/>
        <v>2</v>
      </c>
      <c r="T85" s="20">
        <f t="shared" si="0"/>
        <v>3</v>
      </c>
      <c r="U85" s="20">
        <f t="shared" si="0"/>
        <v>4</v>
      </c>
      <c r="V85" s="20">
        <f t="shared" si="0"/>
        <v>5</v>
      </c>
      <c r="W85" s="20">
        <f t="shared" si="0"/>
        <v>6</v>
      </c>
      <c r="X85" s="20">
        <f t="shared" si="0"/>
        <v>7</v>
      </c>
      <c r="Y85" s="20">
        <f t="shared" si="0"/>
        <v>8</v>
      </c>
      <c r="Z85" s="20">
        <f t="shared" si="0"/>
        <v>9</v>
      </c>
      <c r="AA85" s="20">
        <f t="shared" si="0"/>
        <v>10</v>
      </c>
      <c r="AB85" s="20">
        <f t="shared" si="0"/>
        <v>11</v>
      </c>
      <c r="AC85" s="20">
        <f t="shared" si="0"/>
        <v>12</v>
      </c>
      <c r="AD85" s="20">
        <f t="shared" si="0"/>
        <v>1</v>
      </c>
      <c r="AE85" s="20">
        <f t="shared" si="0"/>
        <v>2</v>
      </c>
      <c r="AF85" s="20">
        <f t="shared" si="0"/>
        <v>3</v>
      </c>
      <c r="AG85" s="20">
        <f t="shared" si="0"/>
        <v>4</v>
      </c>
      <c r="AH85" s="20">
        <f t="shared" si="0"/>
        <v>5</v>
      </c>
      <c r="AI85" s="20">
        <f t="shared" si="0"/>
        <v>6</v>
      </c>
      <c r="AJ85" s="20">
        <f t="shared" si="0"/>
        <v>7</v>
      </c>
      <c r="AK85" s="20">
        <f t="shared" si="0"/>
        <v>8</v>
      </c>
      <c r="AL85" s="20">
        <f t="shared" si="0"/>
        <v>9</v>
      </c>
      <c r="AM85" s="20">
        <f t="shared" ref="AM85:BN85" si="1">IF(AL85=12,1,AL85+1)</f>
        <v>10</v>
      </c>
      <c r="AN85" s="20">
        <f t="shared" si="1"/>
        <v>11</v>
      </c>
      <c r="AO85" s="20">
        <f t="shared" si="1"/>
        <v>12</v>
      </c>
      <c r="AP85" s="20">
        <f t="shared" si="1"/>
        <v>1</v>
      </c>
      <c r="AQ85" s="20">
        <f t="shared" si="1"/>
        <v>2</v>
      </c>
      <c r="AR85" s="20">
        <f t="shared" si="1"/>
        <v>3</v>
      </c>
      <c r="AS85" s="20">
        <f t="shared" si="1"/>
        <v>4</v>
      </c>
      <c r="AT85" s="20">
        <f t="shared" si="1"/>
        <v>5</v>
      </c>
      <c r="AU85" s="20">
        <f t="shared" si="1"/>
        <v>6</v>
      </c>
      <c r="AV85" s="20">
        <f t="shared" si="1"/>
        <v>7</v>
      </c>
      <c r="AW85" s="20">
        <f t="shared" si="1"/>
        <v>8</v>
      </c>
      <c r="AX85" s="20">
        <f t="shared" si="1"/>
        <v>9</v>
      </c>
      <c r="AY85" s="20">
        <f t="shared" si="1"/>
        <v>10</v>
      </c>
      <c r="AZ85" s="20">
        <f t="shared" si="1"/>
        <v>11</v>
      </c>
      <c r="BA85" s="20">
        <f t="shared" si="1"/>
        <v>12</v>
      </c>
      <c r="BB85" s="20">
        <f t="shared" si="1"/>
        <v>1</v>
      </c>
      <c r="BC85" s="20">
        <f t="shared" si="1"/>
        <v>2</v>
      </c>
      <c r="BD85" s="20">
        <f t="shared" si="1"/>
        <v>3</v>
      </c>
      <c r="BE85" s="20">
        <f t="shared" si="1"/>
        <v>4</v>
      </c>
      <c r="BF85" s="20">
        <f t="shared" si="1"/>
        <v>5</v>
      </c>
      <c r="BG85" s="20">
        <f t="shared" si="1"/>
        <v>6</v>
      </c>
      <c r="BH85" s="20">
        <f t="shared" si="1"/>
        <v>7</v>
      </c>
      <c r="BI85" s="20">
        <f t="shared" si="1"/>
        <v>8</v>
      </c>
      <c r="BJ85" s="20">
        <f t="shared" si="1"/>
        <v>9</v>
      </c>
      <c r="BK85" s="20">
        <f t="shared" si="1"/>
        <v>10</v>
      </c>
      <c r="BL85" s="20">
        <f t="shared" si="1"/>
        <v>11</v>
      </c>
      <c r="BM85" s="20">
        <f t="shared" si="1"/>
        <v>12</v>
      </c>
      <c r="BN85" s="20">
        <f t="shared" si="1"/>
        <v>1</v>
      </c>
    </row>
    <row r="86" spans="4:66" x14ac:dyDescent="0.35">
      <c r="F86" s="36">
        <f>YEAR(Assumptions!F6)</f>
        <v>2015</v>
      </c>
      <c r="G86" s="26">
        <f t="shared" ref="G86:AL86" si="2">IF(G85=1,F86+1,F86)</f>
        <v>2015</v>
      </c>
      <c r="H86" s="26">
        <f t="shared" si="2"/>
        <v>2015</v>
      </c>
      <c r="I86" s="26">
        <f t="shared" si="2"/>
        <v>2015</v>
      </c>
      <c r="J86" s="26">
        <f t="shared" si="2"/>
        <v>2015</v>
      </c>
      <c r="K86" s="26">
        <f t="shared" si="2"/>
        <v>2015</v>
      </c>
      <c r="L86" s="26">
        <f t="shared" si="2"/>
        <v>2015</v>
      </c>
      <c r="M86" s="26">
        <f t="shared" si="2"/>
        <v>2015</v>
      </c>
      <c r="N86" s="26">
        <f t="shared" si="2"/>
        <v>2015</v>
      </c>
      <c r="O86" s="26">
        <f t="shared" si="2"/>
        <v>2015</v>
      </c>
      <c r="P86" s="26">
        <f t="shared" si="2"/>
        <v>2015</v>
      </c>
      <c r="Q86" s="26">
        <f t="shared" si="2"/>
        <v>2015</v>
      </c>
      <c r="R86" s="26">
        <f t="shared" si="2"/>
        <v>2016</v>
      </c>
      <c r="S86" s="26">
        <f t="shared" si="2"/>
        <v>2016</v>
      </c>
      <c r="T86" s="26">
        <f t="shared" si="2"/>
        <v>2016</v>
      </c>
      <c r="U86" s="26">
        <f t="shared" si="2"/>
        <v>2016</v>
      </c>
      <c r="V86" s="26">
        <f t="shared" si="2"/>
        <v>2016</v>
      </c>
      <c r="W86" s="26">
        <f t="shared" si="2"/>
        <v>2016</v>
      </c>
      <c r="X86" s="26">
        <f t="shared" si="2"/>
        <v>2016</v>
      </c>
      <c r="Y86" s="26">
        <f t="shared" si="2"/>
        <v>2016</v>
      </c>
      <c r="Z86" s="26">
        <f t="shared" si="2"/>
        <v>2016</v>
      </c>
      <c r="AA86" s="26">
        <f t="shared" si="2"/>
        <v>2016</v>
      </c>
      <c r="AB86" s="26">
        <f t="shared" si="2"/>
        <v>2016</v>
      </c>
      <c r="AC86" s="26">
        <f t="shared" si="2"/>
        <v>2016</v>
      </c>
      <c r="AD86" s="26">
        <f t="shared" si="2"/>
        <v>2017</v>
      </c>
      <c r="AE86" s="26">
        <f t="shared" si="2"/>
        <v>2017</v>
      </c>
      <c r="AF86" s="26">
        <f t="shared" si="2"/>
        <v>2017</v>
      </c>
      <c r="AG86" s="26">
        <f t="shared" si="2"/>
        <v>2017</v>
      </c>
      <c r="AH86" s="26">
        <f t="shared" si="2"/>
        <v>2017</v>
      </c>
      <c r="AI86" s="26">
        <f t="shared" si="2"/>
        <v>2017</v>
      </c>
      <c r="AJ86" s="26">
        <f t="shared" si="2"/>
        <v>2017</v>
      </c>
      <c r="AK86" s="26">
        <f t="shared" si="2"/>
        <v>2017</v>
      </c>
      <c r="AL86" s="26">
        <f t="shared" si="2"/>
        <v>2017</v>
      </c>
      <c r="AM86" s="26">
        <f t="shared" ref="AM86:BN86" si="3">IF(AM85=1,AL86+1,AL86)</f>
        <v>2017</v>
      </c>
      <c r="AN86" s="26">
        <f t="shared" si="3"/>
        <v>2017</v>
      </c>
      <c r="AO86" s="26">
        <f t="shared" si="3"/>
        <v>2017</v>
      </c>
      <c r="AP86" s="26">
        <f t="shared" si="3"/>
        <v>2018</v>
      </c>
      <c r="AQ86" s="26">
        <f t="shared" si="3"/>
        <v>2018</v>
      </c>
      <c r="AR86" s="26">
        <f t="shared" si="3"/>
        <v>2018</v>
      </c>
      <c r="AS86" s="26">
        <f t="shared" si="3"/>
        <v>2018</v>
      </c>
      <c r="AT86" s="26">
        <f t="shared" si="3"/>
        <v>2018</v>
      </c>
      <c r="AU86" s="26">
        <f t="shared" si="3"/>
        <v>2018</v>
      </c>
      <c r="AV86" s="26">
        <f t="shared" si="3"/>
        <v>2018</v>
      </c>
      <c r="AW86" s="26">
        <f t="shared" si="3"/>
        <v>2018</v>
      </c>
      <c r="AX86" s="26">
        <f t="shared" si="3"/>
        <v>2018</v>
      </c>
      <c r="AY86" s="26">
        <f t="shared" si="3"/>
        <v>2018</v>
      </c>
      <c r="AZ86" s="26">
        <f t="shared" si="3"/>
        <v>2018</v>
      </c>
      <c r="BA86" s="26">
        <f t="shared" si="3"/>
        <v>2018</v>
      </c>
      <c r="BB86" s="26">
        <f t="shared" si="3"/>
        <v>2019</v>
      </c>
      <c r="BC86" s="26">
        <f t="shared" si="3"/>
        <v>2019</v>
      </c>
      <c r="BD86" s="26">
        <f t="shared" si="3"/>
        <v>2019</v>
      </c>
      <c r="BE86" s="26">
        <f t="shared" si="3"/>
        <v>2019</v>
      </c>
      <c r="BF86" s="26">
        <f t="shared" si="3"/>
        <v>2019</v>
      </c>
      <c r="BG86" s="26">
        <f t="shared" si="3"/>
        <v>2019</v>
      </c>
      <c r="BH86" s="26">
        <f t="shared" si="3"/>
        <v>2019</v>
      </c>
      <c r="BI86" s="26">
        <f t="shared" si="3"/>
        <v>2019</v>
      </c>
      <c r="BJ86" s="26">
        <f t="shared" si="3"/>
        <v>2019</v>
      </c>
      <c r="BK86" s="26">
        <f t="shared" si="3"/>
        <v>2019</v>
      </c>
      <c r="BL86" s="26">
        <f t="shared" si="3"/>
        <v>2019</v>
      </c>
      <c r="BM86" s="26">
        <f t="shared" si="3"/>
        <v>2019</v>
      </c>
      <c r="BN86" s="26">
        <f t="shared" si="3"/>
        <v>2020</v>
      </c>
    </row>
    <row r="87" spans="4:66" x14ac:dyDescent="0.35">
      <c r="F87" s="27">
        <f t="shared" ref="F87:AK87" si="4">DATE(F86,F85,1)</f>
        <v>42005</v>
      </c>
      <c r="G87" s="27">
        <f t="shared" si="4"/>
        <v>42036</v>
      </c>
      <c r="H87" s="27">
        <f t="shared" si="4"/>
        <v>42064</v>
      </c>
      <c r="I87" s="27">
        <f t="shared" si="4"/>
        <v>42095</v>
      </c>
      <c r="J87" s="27">
        <f t="shared" si="4"/>
        <v>42125</v>
      </c>
      <c r="K87" s="27">
        <f t="shared" si="4"/>
        <v>42156</v>
      </c>
      <c r="L87" s="27">
        <f t="shared" si="4"/>
        <v>42186</v>
      </c>
      <c r="M87" s="27">
        <f t="shared" si="4"/>
        <v>42217</v>
      </c>
      <c r="N87" s="27">
        <f t="shared" si="4"/>
        <v>42248</v>
      </c>
      <c r="O87" s="27">
        <f t="shared" si="4"/>
        <v>42278</v>
      </c>
      <c r="P87" s="27">
        <f t="shared" si="4"/>
        <v>42309</v>
      </c>
      <c r="Q87" s="27">
        <f t="shared" si="4"/>
        <v>42339</v>
      </c>
      <c r="R87" s="27">
        <f t="shared" si="4"/>
        <v>42370</v>
      </c>
      <c r="S87" s="27">
        <f t="shared" si="4"/>
        <v>42401</v>
      </c>
      <c r="T87" s="27">
        <f t="shared" si="4"/>
        <v>42430</v>
      </c>
      <c r="U87" s="27">
        <f t="shared" si="4"/>
        <v>42461</v>
      </c>
      <c r="V87" s="27">
        <f t="shared" si="4"/>
        <v>42491</v>
      </c>
      <c r="W87" s="27">
        <f t="shared" si="4"/>
        <v>42522</v>
      </c>
      <c r="X87" s="27">
        <f t="shared" si="4"/>
        <v>42552</v>
      </c>
      <c r="Y87" s="27">
        <f t="shared" si="4"/>
        <v>42583</v>
      </c>
      <c r="Z87" s="27">
        <f t="shared" si="4"/>
        <v>42614</v>
      </c>
      <c r="AA87" s="27">
        <f t="shared" si="4"/>
        <v>42644</v>
      </c>
      <c r="AB87" s="27">
        <f t="shared" si="4"/>
        <v>42675</v>
      </c>
      <c r="AC87" s="27">
        <f t="shared" si="4"/>
        <v>42705</v>
      </c>
      <c r="AD87" s="27">
        <f t="shared" si="4"/>
        <v>42736</v>
      </c>
      <c r="AE87" s="27">
        <f t="shared" si="4"/>
        <v>42767</v>
      </c>
      <c r="AF87" s="27">
        <f t="shared" si="4"/>
        <v>42795</v>
      </c>
      <c r="AG87" s="27">
        <f t="shared" si="4"/>
        <v>42826</v>
      </c>
      <c r="AH87" s="27">
        <f t="shared" si="4"/>
        <v>42856</v>
      </c>
      <c r="AI87" s="27">
        <f t="shared" si="4"/>
        <v>42887</v>
      </c>
      <c r="AJ87" s="27">
        <f t="shared" si="4"/>
        <v>42917</v>
      </c>
      <c r="AK87" s="27">
        <f t="shared" si="4"/>
        <v>42948</v>
      </c>
      <c r="AL87" s="27">
        <f t="shared" ref="AL87:BN87" si="5">DATE(AL86,AL85,1)</f>
        <v>42979</v>
      </c>
      <c r="AM87" s="27">
        <f t="shared" si="5"/>
        <v>43009</v>
      </c>
      <c r="AN87" s="27">
        <f t="shared" si="5"/>
        <v>43040</v>
      </c>
      <c r="AO87" s="27">
        <f t="shared" si="5"/>
        <v>43070</v>
      </c>
      <c r="AP87" s="27">
        <f t="shared" si="5"/>
        <v>43101</v>
      </c>
      <c r="AQ87" s="27">
        <f t="shared" si="5"/>
        <v>43132</v>
      </c>
      <c r="AR87" s="27">
        <f t="shared" si="5"/>
        <v>43160</v>
      </c>
      <c r="AS87" s="27">
        <f t="shared" si="5"/>
        <v>43191</v>
      </c>
      <c r="AT87" s="27">
        <f t="shared" si="5"/>
        <v>43221</v>
      </c>
      <c r="AU87" s="27">
        <f t="shared" si="5"/>
        <v>43252</v>
      </c>
      <c r="AV87" s="27">
        <f t="shared" si="5"/>
        <v>43282</v>
      </c>
      <c r="AW87" s="27">
        <f t="shared" si="5"/>
        <v>43313</v>
      </c>
      <c r="AX87" s="27">
        <f t="shared" si="5"/>
        <v>43344</v>
      </c>
      <c r="AY87" s="27">
        <f t="shared" si="5"/>
        <v>43374</v>
      </c>
      <c r="AZ87" s="27">
        <f t="shared" si="5"/>
        <v>43405</v>
      </c>
      <c r="BA87" s="27">
        <f t="shared" si="5"/>
        <v>43435</v>
      </c>
      <c r="BB87" s="27">
        <f t="shared" si="5"/>
        <v>43466</v>
      </c>
      <c r="BC87" s="27">
        <f t="shared" si="5"/>
        <v>43497</v>
      </c>
      <c r="BD87" s="27">
        <f t="shared" si="5"/>
        <v>43525</v>
      </c>
      <c r="BE87" s="27">
        <f t="shared" si="5"/>
        <v>43556</v>
      </c>
      <c r="BF87" s="27">
        <f t="shared" si="5"/>
        <v>43586</v>
      </c>
      <c r="BG87" s="27">
        <f t="shared" si="5"/>
        <v>43617</v>
      </c>
      <c r="BH87" s="27">
        <f t="shared" si="5"/>
        <v>43647</v>
      </c>
      <c r="BI87" s="27">
        <f t="shared" si="5"/>
        <v>43678</v>
      </c>
      <c r="BJ87" s="27">
        <f t="shared" si="5"/>
        <v>43709</v>
      </c>
      <c r="BK87" s="27">
        <f t="shared" si="5"/>
        <v>43739</v>
      </c>
      <c r="BL87" s="27">
        <f t="shared" si="5"/>
        <v>43770</v>
      </c>
      <c r="BM87" s="27">
        <f t="shared" si="5"/>
        <v>43800</v>
      </c>
      <c r="BN87" s="27">
        <f t="shared" si="5"/>
        <v>43831</v>
      </c>
    </row>
    <row r="88" spans="4:66" hidden="1" outlineLevel="1" x14ac:dyDescent="0.35">
      <c r="D88" s="20" t="s">
        <v>264</v>
      </c>
      <c r="F88" s="35">
        <f t="array" ref="F88:Q88">TRANSPOSE(Assumptions!E113:E124)</f>
        <v>1</v>
      </c>
      <c r="G88" s="35">
        <v>1</v>
      </c>
      <c r="H88" s="35">
        <v>1</v>
      </c>
      <c r="I88" s="35">
        <v>1</v>
      </c>
      <c r="J88" s="35">
        <v>1</v>
      </c>
      <c r="K88" s="35">
        <v>1</v>
      </c>
      <c r="L88" s="35">
        <v>1</v>
      </c>
      <c r="M88" s="35">
        <v>1</v>
      </c>
      <c r="N88" s="35">
        <v>1</v>
      </c>
      <c r="O88" s="35">
        <v>1</v>
      </c>
      <c r="P88" s="35">
        <v>1</v>
      </c>
      <c r="Q88" s="35">
        <v>1</v>
      </c>
      <c r="R88" s="35">
        <f t="array" ref="R88:AC88">TRANSPOSE(Assumptions!F113:F124)</f>
        <v>1</v>
      </c>
      <c r="S88" s="35">
        <v>1</v>
      </c>
      <c r="T88" s="35">
        <v>0.5</v>
      </c>
      <c r="U88" s="35">
        <v>0.02</v>
      </c>
      <c r="V88" s="35">
        <v>0.02</v>
      </c>
      <c r="W88" s="35">
        <v>0.02</v>
      </c>
      <c r="X88" s="35">
        <v>0.02</v>
      </c>
      <c r="Y88" s="35">
        <v>0.02</v>
      </c>
      <c r="Z88" s="35">
        <v>0.05</v>
      </c>
      <c r="AA88" s="35">
        <v>0.1</v>
      </c>
      <c r="AB88" s="35">
        <v>0.1</v>
      </c>
      <c r="AC88" s="35">
        <v>0.1</v>
      </c>
      <c r="AD88" s="35">
        <f t="array" ref="AD88:AO88">TRANSPOSE(Assumptions!G113:G124)</f>
        <v>0.1</v>
      </c>
      <c r="AE88" s="35">
        <v>0.1</v>
      </c>
      <c r="AF88" s="35">
        <v>0.1</v>
      </c>
      <c r="AG88" s="35">
        <v>0.1</v>
      </c>
      <c r="AH88" s="35">
        <v>0.1</v>
      </c>
      <c r="AI88" s="35">
        <v>0.1</v>
      </c>
      <c r="AJ88" s="35">
        <v>0.1</v>
      </c>
      <c r="AK88" s="35">
        <v>0.1</v>
      </c>
      <c r="AL88" s="35">
        <v>0.15</v>
      </c>
      <c r="AM88" s="35">
        <v>0.15</v>
      </c>
      <c r="AN88" s="35">
        <v>0.15</v>
      </c>
      <c r="AO88" s="35">
        <v>0.15</v>
      </c>
      <c r="AP88" s="35">
        <f t="array" ref="AP88:BA88">TRANSPOSE(Assumptions!H113:H124)</f>
        <v>0.2</v>
      </c>
      <c r="AQ88" s="35">
        <v>0.2</v>
      </c>
      <c r="AR88" s="35">
        <v>0.2</v>
      </c>
      <c r="AS88" s="35">
        <v>0.2</v>
      </c>
      <c r="AT88" s="35">
        <v>0.2</v>
      </c>
      <c r="AU88" s="35">
        <v>0.2</v>
      </c>
      <c r="AV88" s="35">
        <v>0.3</v>
      </c>
      <c r="AW88" s="22">
        <v>0.3</v>
      </c>
      <c r="AX88" s="22">
        <v>0.3</v>
      </c>
      <c r="AY88" s="22">
        <v>0.3</v>
      </c>
      <c r="AZ88" s="22">
        <v>0.4</v>
      </c>
      <c r="BA88" s="22">
        <v>0.4</v>
      </c>
      <c r="BB88" s="22">
        <f t="array" ref="BB88:BM88">TRANSPOSE(Assumptions!I113:I124)</f>
        <v>0.45</v>
      </c>
      <c r="BC88" s="22">
        <v>0.45</v>
      </c>
      <c r="BD88" s="22">
        <v>0.45</v>
      </c>
      <c r="BE88" s="22">
        <v>0.45</v>
      </c>
      <c r="BF88" s="22">
        <v>0.45</v>
      </c>
      <c r="BG88" s="22">
        <v>0.45</v>
      </c>
      <c r="BH88" s="22">
        <v>0.45</v>
      </c>
      <c r="BI88" s="22">
        <v>0.5</v>
      </c>
      <c r="BJ88" s="22">
        <v>0.6</v>
      </c>
      <c r="BK88" s="22">
        <v>0.7</v>
      </c>
      <c r="BL88" s="22">
        <v>0.9</v>
      </c>
      <c r="BM88" s="22">
        <v>0.9</v>
      </c>
    </row>
    <row r="89" spans="4:66" collapsed="1" x14ac:dyDescent="0.35">
      <c r="D89" s="20" t="str">
        <f>M36</f>
        <v>Base Rebound</v>
      </c>
      <c r="E89" s="28">
        <v>1</v>
      </c>
      <c r="F89" s="22">
        <f t="dataTable" ref="F89:BM91" dt2D="0" dtr="0" r1="E33"/>
        <v>1</v>
      </c>
      <c r="G89" s="22">
        <v>1</v>
      </c>
      <c r="H89" s="22">
        <v>1</v>
      </c>
      <c r="I89" s="22">
        <v>1</v>
      </c>
      <c r="J89" s="22">
        <v>1</v>
      </c>
      <c r="K89" s="22">
        <v>1</v>
      </c>
      <c r="L89" s="22">
        <v>1</v>
      </c>
      <c r="M89" s="22">
        <v>1</v>
      </c>
      <c r="N89" s="22">
        <v>1</v>
      </c>
      <c r="O89" s="22">
        <v>1</v>
      </c>
      <c r="P89" s="22">
        <v>1</v>
      </c>
      <c r="Q89" s="22">
        <v>1</v>
      </c>
      <c r="R89" s="22">
        <v>1</v>
      </c>
      <c r="S89" s="22">
        <v>1</v>
      </c>
      <c r="T89" s="22">
        <v>0.5</v>
      </c>
      <c r="U89" s="22">
        <v>0.1</v>
      </c>
      <c r="V89" s="22">
        <v>0.1</v>
      </c>
      <c r="W89" s="22">
        <v>0.1</v>
      </c>
      <c r="X89" s="22">
        <v>0.1</v>
      </c>
      <c r="Y89" s="22">
        <v>0.15</v>
      </c>
      <c r="Z89" s="22">
        <v>0.15</v>
      </c>
      <c r="AA89" s="22">
        <v>0.15</v>
      </c>
      <c r="AB89" s="22">
        <v>0.15</v>
      </c>
      <c r="AC89" s="22">
        <v>0.15</v>
      </c>
      <c r="AD89" s="22">
        <v>0.15</v>
      </c>
      <c r="AE89" s="22">
        <v>0.15</v>
      </c>
      <c r="AF89" s="22">
        <v>0.15</v>
      </c>
      <c r="AG89" s="22">
        <v>0.15</v>
      </c>
      <c r="AH89" s="22">
        <v>0.25</v>
      </c>
      <c r="AI89" s="22">
        <v>0.25</v>
      </c>
      <c r="AJ89" s="22">
        <v>0.25</v>
      </c>
      <c r="AK89" s="22">
        <v>0.25</v>
      </c>
      <c r="AL89" s="22">
        <v>0.25</v>
      </c>
      <c r="AM89" s="22">
        <v>0.45</v>
      </c>
      <c r="AN89" s="22">
        <v>0.45</v>
      </c>
      <c r="AO89" s="22">
        <v>0.45</v>
      </c>
      <c r="AP89" s="22">
        <v>0.5</v>
      </c>
      <c r="AQ89" s="22">
        <v>0.5</v>
      </c>
      <c r="AR89" s="22">
        <v>0.5</v>
      </c>
      <c r="AS89" s="22">
        <v>0.5</v>
      </c>
      <c r="AT89" s="22">
        <v>0.8</v>
      </c>
      <c r="AU89" s="22">
        <v>0.8</v>
      </c>
      <c r="AV89" s="22">
        <v>0.8</v>
      </c>
      <c r="AW89" s="22">
        <v>0.8</v>
      </c>
      <c r="AX89" s="22">
        <v>0.8</v>
      </c>
      <c r="AY89" s="22">
        <v>0.9</v>
      </c>
      <c r="AZ89" s="22">
        <v>0.9</v>
      </c>
      <c r="BA89" s="22">
        <v>0.9</v>
      </c>
      <c r="BB89" s="22">
        <v>0.9</v>
      </c>
      <c r="BC89" s="22">
        <v>0.9</v>
      </c>
      <c r="BD89" s="22">
        <v>0.9</v>
      </c>
      <c r="BE89" s="22">
        <v>0.9</v>
      </c>
      <c r="BF89" s="22">
        <v>1</v>
      </c>
      <c r="BG89" s="22">
        <v>1</v>
      </c>
      <c r="BH89" s="22">
        <v>1</v>
      </c>
      <c r="BI89" s="22">
        <v>1</v>
      </c>
      <c r="BJ89" s="22">
        <v>1</v>
      </c>
      <c r="BK89" s="22">
        <v>1</v>
      </c>
      <c r="BL89" s="22">
        <v>1</v>
      </c>
      <c r="BM89" s="22">
        <v>1</v>
      </c>
    </row>
    <row r="90" spans="4:66" x14ac:dyDescent="0.35">
      <c r="D90" s="20" t="str">
        <f t="shared" ref="D90:D91" si="6">M37</f>
        <v>Longer Case</v>
      </c>
      <c r="E90" s="28">
        <v>2</v>
      </c>
      <c r="F90" s="22">
        <v>1</v>
      </c>
      <c r="G90" s="22">
        <v>1</v>
      </c>
      <c r="H90" s="22">
        <v>1</v>
      </c>
      <c r="I90" s="22">
        <v>1</v>
      </c>
      <c r="J90" s="22">
        <v>1</v>
      </c>
      <c r="K90" s="22">
        <v>1</v>
      </c>
      <c r="L90" s="22">
        <v>1</v>
      </c>
      <c r="M90" s="22">
        <v>1</v>
      </c>
      <c r="N90" s="22">
        <v>1</v>
      </c>
      <c r="O90" s="22">
        <v>1</v>
      </c>
      <c r="P90" s="22">
        <v>1</v>
      </c>
      <c r="Q90" s="22">
        <v>1</v>
      </c>
      <c r="R90" s="22">
        <v>1</v>
      </c>
      <c r="S90" s="22">
        <v>1</v>
      </c>
      <c r="T90" s="22">
        <v>0.5</v>
      </c>
      <c r="U90" s="22">
        <v>0.1</v>
      </c>
      <c r="V90" s="22">
        <v>0.1</v>
      </c>
      <c r="W90" s="22">
        <v>0.1</v>
      </c>
      <c r="X90" s="22">
        <v>0.1</v>
      </c>
      <c r="Y90" s="22">
        <v>0.15</v>
      </c>
      <c r="Z90" s="22">
        <v>0.15</v>
      </c>
      <c r="AA90" s="22">
        <v>0.15</v>
      </c>
      <c r="AB90" s="22">
        <v>0.15</v>
      </c>
      <c r="AC90" s="22">
        <v>0.15</v>
      </c>
      <c r="AD90" s="22">
        <v>0.15</v>
      </c>
      <c r="AE90" s="22">
        <v>0.15</v>
      </c>
      <c r="AF90" s="22">
        <v>0.15</v>
      </c>
      <c r="AG90" s="22">
        <v>0.15</v>
      </c>
      <c r="AH90" s="22">
        <v>0.25</v>
      </c>
      <c r="AI90" s="22">
        <v>0.25</v>
      </c>
      <c r="AJ90" s="22">
        <v>0.25</v>
      </c>
      <c r="AK90" s="22">
        <v>0.25</v>
      </c>
      <c r="AL90" s="22">
        <v>0.25</v>
      </c>
      <c r="AM90" s="22">
        <v>0.3</v>
      </c>
      <c r="AN90" s="22">
        <v>0.3</v>
      </c>
      <c r="AO90" s="22">
        <v>0.3</v>
      </c>
      <c r="AP90" s="22">
        <v>0.3</v>
      </c>
      <c r="AQ90" s="22">
        <v>0.3</v>
      </c>
      <c r="AR90" s="22">
        <v>0.3</v>
      </c>
      <c r="AS90" s="22">
        <v>0.3</v>
      </c>
      <c r="AT90" s="22">
        <v>0.4</v>
      </c>
      <c r="AU90" s="22">
        <v>0.4</v>
      </c>
      <c r="AV90" s="22">
        <v>0.4</v>
      </c>
      <c r="AW90" s="22">
        <v>0.4</v>
      </c>
      <c r="AX90" s="22">
        <v>0.4</v>
      </c>
      <c r="AY90" s="22">
        <v>0.5</v>
      </c>
      <c r="AZ90" s="22">
        <v>0.5</v>
      </c>
      <c r="BA90" s="22">
        <v>0.5</v>
      </c>
      <c r="BB90" s="22">
        <v>0.5</v>
      </c>
      <c r="BC90" s="22">
        <v>0.5</v>
      </c>
      <c r="BD90" s="22">
        <v>0.5</v>
      </c>
      <c r="BE90" s="22">
        <v>0.5</v>
      </c>
      <c r="BF90" s="22">
        <v>0.5</v>
      </c>
      <c r="BG90" s="22">
        <v>0.6</v>
      </c>
      <c r="BH90" s="22">
        <v>0.6</v>
      </c>
      <c r="BI90" s="22">
        <v>0.8</v>
      </c>
      <c r="BJ90" s="22">
        <v>0.8</v>
      </c>
      <c r="BK90" s="22">
        <v>0.8</v>
      </c>
      <c r="BL90" s="22">
        <v>0.8</v>
      </c>
      <c r="BM90" s="22">
        <v>0.8</v>
      </c>
    </row>
    <row r="91" spans="4:66" x14ac:dyDescent="0.35">
      <c r="D91" s="20" t="str">
        <f t="shared" si="6"/>
        <v>Worst Case</v>
      </c>
      <c r="E91" s="28">
        <v>3</v>
      </c>
      <c r="F91" s="22">
        <v>1</v>
      </c>
      <c r="G91" s="22">
        <v>1</v>
      </c>
      <c r="H91" s="22">
        <v>1</v>
      </c>
      <c r="I91" s="22">
        <v>1</v>
      </c>
      <c r="J91" s="22">
        <v>1</v>
      </c>
      <c r="K91" s="22">
        <v>1</v>
      </c>
      <c r="L91" s="22">
        <v>1</v>
      </c>
      <c r="M91" s="22">
        <v>1</v>
      </c>
      <c r="N91" s="22">
        <v>1</v>
      </c>
      <c r="O91" s="22">
        <v>1</v>
      </c>
      <c r="P91" s="22">
        <v>1</v>
      </c>
      <c r="Q91" s="22">
        <v>1</v>
      </c>
      <c r="R91" s="22">
        <v>1</v>
      </c>
      <c r="S91" s="22">
        <v>1</v>
      </c>
      <c r="T91" s="22">
        <v>0.5</v>
      </c>
      <c r="U91" s="22">
        <v>0.02</v>
      </c>
      <c r="V91" s="22">
        <v>0.02</v>
      </c>
      <c r="W91" s="22">
        <v>0.02</v>
      </c>
      <c r="X91" s="22">
        <v>0.02</v>
      </c>
      <c r="Y91" s="22">
        <v>0.02</v>
      </c>
      <c r="Z91" s="22">
        <v>0.05</v>
      </c>
      <c r="AA91" s="22">
        <v>0.1</v>
      </c>
      <c r="AB91" s="22">
        <v>0.1</v>
      </c>
      <c r="AC91" s="22">
        <v>0.1</v>
      </c>
      <c r="AD91" s="22">
        <v>0.1</v>
      </c>
      <c r="AE91" s="22">
        <v>0.1</v>
      </c>
      <c r="AF91" s="22">
        <v>0.1</v>
      </c>
      <c r="AG91" s="22">
        <v>0.1</v>
      </c>
      <c r="AH91" s="22">
        <v>0.1</v>
      </c>
      <c r="AI91" s="22">
        <v>0.1</v>
      </c>
      <c r="AJ91" s="22">
        <v>0.1</v>
      </c>
      <c r="AK91" s="22">
        <v>0.1</v>
      </c>
      <c r="AL91" s="22">
        <v>0.15</v>
      </c>
      <c r="AM91" s="22">
        <v>0.15</v>
      </c>
      <c r="AN91" s="22">
        <v>0.15</v>
      </c>
      <c r="AO91" s="22">
        <v>0.15</v>
      </c>
      <c r="AP91" s="22">
        <v>0.2</v>
      </c>
      <c r="AQ91" s="22">
        <v>0.2</v>
      </c>
      <c r="AR91" s="22">
        <v>0.2</v>
      </c>
      <c r="AS91" s="22">
        <v>0.2</v>
      </c>
      <c r="AT91" s="22">
        <v>0.2</v>
      </c>
      <c r="AU91" s="22">
        <v>0.2</v>
      </c>
      <c r="AV91" s="22">
        <v>0.3</v>
      </c>
      <c r="AW91" s="22">
        <v>0.3</v>
      </c>
      <c r="AX91" s="22">
        <v>0.3</v>
      </c>
      <c r="AY91" s="22">
        <v>0.3</v>
      </c>
      <c r="AZ91" s="22">
        <v>0.4</v>
      </c>
      <c r="BA91" s="22">
        <v>0.4</v>
      </c>
      <c r="BB91" s="22">
        <v>0.45</v>
      </c>
      <c r="BC91" s="22">
        <v>0.45</v>
      </c>
      <c r="BD91" s="22">
        <v>0.45</v>
      </c>
      <c r="BE91" s="22">
        <v>0.45</v>
      </c>
      <c r="BF91" s="22">
        <v>0.45</v>
      </c>
      <c r="BG91" s="22">
        <v>0.45</v>
      </c>
      <c r="BH91" s="22">
        <v>0.45</v>
      </c>
      <c r="BI91" s="22">
        <v>0.5</v>
      </c>
      <c r="BJ91" s="22">
        <v>0.6</v>
      </c>
      <c r="BK91" s="22">
        <v>0.7</v>
      </c>
      <c r="BL91" s="22">
        <v>0.9</v>
      </c>
      <c r="BM91" s="22">
        <v>0.9</v>
      </c>
    </row>
    <row r="94" spans="4:66" x14ac:dyDescent="0.35">
      <c r="D94" s="20" t="s">
        <v>367</v>
      </c>
    </row>
    <row r="95" spans="4:66" x14ac:dyDescent="0.35">
      <c r="F95" s="34">
        <v>42005</v>
      </c>
    </row>
    <row r="96" spans="4:66" x14ac:dyDescent="0.35">
      <c r="F96" s="27">
        <f>EDATE(F95,1)</f>
        <v>42036</v>
      </c>
      <c r="J96" s="28">
        <v>9</v>
      </c>
    </row>
    <row r="97" spans="6:8" x14ac:dyDescent="0.35">
      <c r="F97" s="27">
        <f t="shared" ref="F97:F106" si="7">EDATE(F96,1)</f>
        <v>42064</v>
      </c>
    </row>
    <row r="98" spans="6:8" x14ac:dyDescent="0.35">
      <c r="F98" s="27">
        <f t="shared" si="7"/>
        <v>42095</v>
      </c>
      <c r="H98" s="27" cm="1">
        <f t="array" ref="H98">INDEX(F95:F106,J96)</f>
        <v>42248</v>
      </c>
    </row>
    <row r="99" spans="6:8" x14ac:dyDescent="0.35">
      <c r="F99" s="27">
        <f t="shared" si="7"/>
        <v>42125</v>
      </c>
    </row>
    <row r="100" spans="6:8" x14ac:dyDescent="0.35">
      <c r="F100" s="27">
        <f t="shared" si="7"/>
        <v>42156</v>
      </c>
    </row>
    <row r="101" spans="6:8" x14ac:dyDescent="0.35">
      <c r="F101" s="27">
        <f t="shared" si="7"/>
        <v>42186</v>
      </c>
    </row>
    <row r="102" spans="6:8" x14ac:dyDescent="0.35">
      <c r="F102" s="27">
        <f t="shared" si="7"/>
        <v>42217</v>
      </c>
    </row>
    <row r="103" spans="6:8" x14ac:dyDescent="0.35">
      <c r="F103" s="27">
        <f t="shared" si="7"/>
        <v>42248</v>
      </c>
    </row>
    <row r="104" spans="6:8" x14ac:dyDescent="0.35">
      <c r="F104" s="27">
        <f t="shared" si="7"/>
        <v>42278</v>
      </c>
    </row>
    <row r="105" spans="6:8" x14ac:dyDescent="0.35">
      <c r="F105" s="27">
        <f t="shared" si="7"/>
        <v>42309</v>
      </c>
    </row>
    <row r="106" spans="6:8" x14ac:dyDescent="0.35">
      <c r="F106" s="27">
        <f t="shared" si="7"/>
        <v>42339</v>
      </c>
    </row>
  </sheetData>
  <hyperlinks>
    <hyperlink ref="B2" location="'Contents'!D23" display="'Contents'!D23" xr:uid="{0DD193E7-0416-40FD-BCF5-54047D956C87}"/>
    <hyperlink ref="B18" location="'Contents'!D24" display="'Contents'!D24" xr:uid="{34C79A80-9F61-42F0-9B25-35AC8769E0F1}"/>
    <hyperlink ref="B32" location="'Contents'!D25" display="'Contents'!D25" xr:uid="{684EEDC7-7AF8-42B8-AB83-2D92EB51EF14}"/>
    <hyperlink ref="A1" location="'Contents'!A1" display="'Contents'!A1" xr:uid="{9445CB12-0356-4775-86D0-C30D24006D2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Drop Down 1">
              <controlPr defaultSize="0" autoLine="0" autoPict="0">
                <anchor moveWithCells="1">
                  <from>
                    <xdr:col>14</xdr:col>
                    <xdr:colOff>476250</xdr:colOff>
                    <xdr:row>35</xdr:row>
                    <xdr:rowOff>6350</xdr:rowOff>
                  </from>
                  <to>
                    <xdr:col>16</xdr:col>
                    <xdr:colOff>342900</xdr:colOff>
                    <xdr:row>36</xdr:row>
                    <xdr:rowOff>31750</xdr:rowOff>
                  </to>
                </anchor>
              </controlPr>
            </control>
          </mc:Choice>
        </mc:AlternateContent>
        <mc:AlternateContent xmlns:mc="http://schemas.openxmlformats.org/markup-compatibility/2006">
          <mc:Choice Requires="x14">
            <control shapeId="21506" r:id="rId4" name="Drop Down 2">
              <controlPr defaultSize="0" autoLine="0" autoPict="0">
                <anchor moveWithCells="1">
                  <from>
                    <xdr:col>7</xdr:col>
                    <xdr:colOff>146050</xdr:colOff>
                    <xdr:row>94</xdr:row>
                    <xdr:rowOff>88900</xdr:rowOff>
                  </from>
                  <to>
                    <xdr:col>8</xdr:col>
                    <xdr:colOff>508000</xdr:colOff>
                    <xdr:row>95</xdr:row>
                    <xdr:rowOff>114300</xdr:rowOff>
                  </to>
                </anchor>
              </controlPr>
            </control>
          </mc:Choice>
        </mc:AlternateContent>
        <mc:AlternateContent xmlns:mc="http://schemas.openxmlformats.org/markup-compatibility/2006">
          <mc:Choice Requires="x14">
            <control shapeId="21507" r:id="rId5" name="Drop Down 3">
              <controlPr defaultSize="0" autoLine="0" autoPict="0" macro="[0]!copy_applied">
                <anchor moveWithCells="1">
                  <from>
                    <xdr:col>6</xdr:col>
                    <xdr:colOff>44450</xdr:colOff>
                    <xdr:row>1</xdr:row>
                    <xdr:rowOff>171450</xdr:rowOff>
                  </from>
                  <to>
                    <xdr:col>8</xdr:col>
                    <xdr:colOff>152400</xdr:colOff>
                    <xdr:row>3</xdr:row>
                    <xdr:rowOff>12700</xdr:rowOff>
                  </to>
                </anchor>
              </controlPr>
            </control>
          </mc:Choice>
        </mc:AlternateContent>
        <mc:AlternateContent xmlns:mc="http://schemas.openxmlformats.org/markup-compatibility/2006">
          <mc:Choice Requires="x14">
            <control shapeId="21508" r:id="rId6" name="Spinner 4">
              <controlPr defaultSize="0" autoPict="0">
                <anchor moveWithCells="1" sizeWithCells="1">
                  <from>
                    <xdr:col>5</xdr:col>
                    <xdr:colOff>31750</xdr:colOff>
                    <xdr:row>15</xdr:row>
                    <xdr:rowOff>12700</xdr:rowOff>
                  </from>
                  <to>
                    <xdr:col>5</xdr:col>
                    <xdr:colOff>241300</xdr:colOff>
                    <xdr:row>15</xdr:row>
                    <xdr:rowOff>171450</xdr:rowOff>
                  </to>
                </anchor>
              </controlPr>
            </control>
          </mc:Choice>
        </mc:AlternateContent>
        <mc:AlternateContent xmlns:mc="http://schemas.openxmlformats.org/markup-compatibility/2006">
          <mc:Choice Requires="x14">
            <control shapeId="21509" r:id="rId7" name="Spinner 5">
              <controlPr defaultSize="0" autoPict="0">
                <anchor moveWithCells="1" sizeWithCells="1">
                  <from>
                    <xdr:col>6</xdr:col>
                    <xdr:colOff>31750</xdr:colOff>
                    <xdr:row>15</xdr:row>
                    <xdr:rowOff>12700</xdr:rowOff>
                  </from>
                  <to>
                    <xdr:col>6</xdr:col>
                    <xdr:colOff>241300</xdr:colOff>
                    <xdr:row>15</xdr:row>
                    <xdr:rowOff>171450</xdr:rowOff>
                  </to>
                </anchor>
              </controlPr>
            </control>
          </mc:Choice>
        </mc:AlternateContent>
        <mc:AlternateContent xmlns:mc="http://schemas.openxmlformats.org/markup-compatibility/2006">
          <mc:Choice Requires="x14">
            <control shapeId="21510" r:id="rId8" name="Spinner 6">
              <controlPr defaultSize="0" autoPict="0">
                <anchor moveWithCells="1" sizeWithCells="1">
                  <from>
                    <xdr:col>7</xdr:col>
                    <xdr:colOff>31750</xdr:colOff>
                    <xdr:row>15</xdr:row>
                    <xdr:rowOff>12700</xdr:rowOff>
                  </from>
                  <to>
                    <xdr:col>7</xdr:col>
                    <xdr:colOff>241300</xdr:colOff>
                    <xdr:row>15</xdr:row>
                    <xdr:rowOff>171450</xdr:rowOff>
                  </to>
                </anchor>
              </controlPr>
            </control>
          </mc:Choice>
        </mc:AlternateContent>
        <mc:AlternateContent xmlns:mc="http://schemas.openxmlformats.org/markup-compatibility/2006">
          <mc:Choice Requires="x14">
            <control shapeId="21511" r:id="rId9" name="Spinner 7">
              <controlPr defaultSize="0" autoPict="0">
                <anchor moveWithCells="1" sizeWithCells="1">
                  <from>
                    <xdr:col>8</xdr:col>
                    <xdr:colOff>31750</xdr:colOff>
                    <xdr:row>15</xdr:row>
                    <xdr:rowOff>12700</xdr:rowOff>
                  </from>
                  <to>
                    <xdr:col>8</xdr:col>
                    <xdr:colOff>241300</xdr:colOff>
                    <xdr:row>15</xdr:row>
                    <xdr:rowOff>171450</xdr:rowOff>
                  </to>
                </anchor>
              </controlPr>
            </control>
          </mc:Choice>
        </mc:AlternateContent>
        <mc:AlternateContent xmlns:mc="http://schemas.openxmlformats.org/markup-compatibility/2006">
          <mc:Choice Requires="x14">
            <control shapeId="21512" r:id="rId10" name="Spinner 8">
              <controlPr defaultSize="0" autoPict="0">
                <anchor moveWithCells="1" sizeWithCells="1">
                  <from>
                    <xdr:col>9</xdr:col>
                    <xdr:colOff>31750</xdr:colOff>
                    <xdr:row>15</xdr:row>
                    <xdr:rowOff>12700</xdr:rowOff>
                  </from>
                  <to>
                    <xdr:col>9</xdr:col>
                    <xdr:colOff>241300</xdr:colOff>
                    <xdr:row>15</xdr:row>
                    <xdr:rowOff>171450</xdr:rowOff>
                  </to>
                </anchor>
              </controlPr>
            </control>
          </mc:Choice>
        </mc:AlternateContent>
        <mc:AlternateContent xmlns:mc="http://schemas.openxmlformats.org/markup-compatibility/2006">
          <mc:Choice Requires="x14">
            <control shapeId="21513" r:id="rId11" name="Spinner 9">
              <controlPr defaultSize="0" autoPict="0">
                <anchor moveWithCells="1" sizeWithCells="1">
                  <from>
                    <xdr:col>10</xdr:col>
                    <xdr:colOff>31750</xdr:colOff>
                    <xdr:row>15</xdr:row>
                    <xdr:rowOff>12700</xdr:rowOff>
                  </from>
                  <to>
                    <xdr:col>10</xdr:col>
                    <xdr:colOff>241300</xdr:colOff>
                    <xdr:row>15</xdr:row>
                    <xdr:rowOff>171450</xdr:rowOff>
                  </to>
                </anchor>
              </controlPr>
            </control>
          </mc:Choice>
        </mc:AlternateContent>
        <mc:AlternateContent xmlns:mc="http://schemas.openxmlformats.org/markup-compatibility/2006">
          <mc:Choice Requires="x14">
            <control shapeId="21514" r:id="rId12" name="Spinner 10">
              <controlPr defaultSize="0" autoPict="0">
                <anchor moveWithCells="1" sizeWithCells="1">
                  <from>
                    <xdr:col>11</xdr:col>
                    <xdr:colOff>31750</xdr:colOff>
                    <xdr:row>15</xdr:row>
                    <xdr:rowOff>12700</xdr:rowOff>
                  </from>
                  <to>
                    <xdr:col>11</xdr:col>
                    <xdr:colOff>241300</xdr:colOff>
                    <xdr:row>15</xdr:row>
                    <xdr:rowOff>171450</xdr:rowOff>
                  </to>
                </anchor>
              </controlPr>
            </control>
          </mc:Choice>
        </mc:AlternateContent>
        <mc:AlternateContent xmlns:mc="http://schemas.openxmlformats.org/markup-compatibility/2006">
          <mc:Choice Requires="x14">
            <control shapeId="21515" r:id="rId13" name="Drop Down 11">
              <controlPr defaultSize="0" autoLine="0" autoPict="0">
                <anchor moveWithCells="1">
                  <from>
                    <xdr:col>10</xdr:col>
                    <xdr:colOff>444500</xdr:colOff>
                    <xdr:row>16</xdr:row>
                    <xdr:rowOff>69850</xdr:rowOff>
                  </from>
                  <to>
                    <xdr:col>12</xdr:col>
                    <xdr:colOff>444500</xdr:colOff>
                    <xdr:row>17</xdr:row>
                    <xdr:rowOff>38100</xdr:rowOff>
                  </to>
                </anchor>
              </controlPr>
            </control>
          </mc:Choice>
        </mc:AlternateContent>
        <mc:AlternateContent xmlns:mc="http://schemas.openxmlformats.org/markup-compatibility/2006">
          <mc:Choice Requires="x14">
            <control shapeId="21516" r:id="rId14" name="Spinner 12">
              <controlPr defaultSize="0" autoPict="0">
                <anchor moveWithCells="1" sizeWithCells="1">
                  <from>
                    <xdr:col>13</xdr:col>
                    <xdr:colOff>31750</xdr:colOff>
                    <xdr:row>15</xdr:row>
                    <xdr:rowOff>12700</xdr:rowOff>
                  </from>
                  <to>
                    <xdr:col>13</xdr:col>
                    <xdr:colOff>241300</xdr:colOff>
                    <xdr:row>15</xdr:row>
                    <xdr:rowOff>171450</xdr:rowOff>
                  </to>
                </anchor>
              </controlPr>
            </control>
          </mc:Choice>
        </mc:AlternateContent>
        <mc:AlternateContent xmlns:mc="http://schemas.openxmlformats.org/markup-compatibility/2006">
          <mc:Choice Requires="x14">
            <control shapeId="21517" r:id="rId15" name="Drop Down 13">
              <controlPr defaultSize="0" autoLine="0" autoPict="0">
                <anchor moveWithCells="1">
                  <from>
                    <xdr:col>6</xdr:col>
                    <xdr:colOff>444500</xdr:colOff>
                    <xdr:row>19</xdr:row>
                    <xdr:rowOff>69850</xdr:rowOff>
                  </from>
                  <to>
                    <xdr:col>8</xdr:col>
                    <xdr:colOff>444500</xdr:colOff>
                    <xdr:row>20</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C0A7B-5904-4BFD-8FAE-F7A92723BDD9}">
  <sheetPr codeName="Sheet13"/>
  <dimension ref="A1:ALR178"/>
  <sheetViews>
    <sheetView showGridLines="0" zoomScale="70" zoomScaleNormal="70" workbookViewId="0">
      <pane xSplit="10" ySplit="10" topLeftCell="K11" activePane="bottomRight" state="frozen"/>
      <selection pane="topRight" activeCell="K1" sqref="K1"/>
      <selection pane="bottomLeft" activeCell="A11" sqref="A11"/>
      <selection pane="bottomRight" activeCell="K25" sqref="K25"/>
    </sheetView>
  </sheetViews>
  <sheetFormatPr defaultRowHeight="14.5" x14ac:dyDescent="0.35"/>
  <cols>
    <col min="1" max="4" width="1.453125" style="20" customWidth="1"/>
    <col min="5" max="5" width="30.453125" style="20" customWidth="1"/>
    <col min="6" max="6" width="12.453125" style="20" customWidth="1"/>
    <col min="7" max="8" width="10.1796875" style="20" bestFit="1" customWidth="1"/>
    <col min="9" max="9" width="13.81640625" style="20" customWidth="1"/>
    <col min="10" max="10" width="9.1796875" style="20" bestFit="1" customWidth="1"/>
    <col min="11" max="121" width="12.54296875" style="20" customWidth="1"/>
    <col min="122" max="16384" width="8.7265625" style="20"/>
  </cols>
  <sheetData>
    <row r="1" spans="1:1006" s="59" customFormat="1" x14ac:dyDescent="0.35">
      <c r="A1" s="59" t="s">
        <v>451</v>
      </c>
      <c r="F1" s="60" t="s">
        <v>77</v>
      </c>
      <c r="G1" s="60" t="s">
        <v>73</v>
      </c>
      <c r="H1" s="60" t="s">
        <v>73</v>
      </c>
      <c r="I1" s="60" t="s">
        <v>74</v>
      </c>
      <c r="J1" s="60" t="s">
        <v>75</v>
      </c>
    </row>
    <row r="2" spans="1:1006" s="59" customFormat="1" x14ac:dyDescent="0.35">
      <c r="B2" s="59" t="s">
        <v>71</v>
      </c>
    </row>
    <row r="3" spans="1:1006" s="59" customFormat="1" x14ac:dyDescent="0.35">
      <c r="C3" s="61" t="s">
        <v>72</v>
      </c>
      <c r="F3" s="59" t="s">
        <v>72</v>
      </c>
      <c r="J3" s="59">
        <v>0</v>
      </c>
      <c r="K3" s="59">
        <v>1</v>
      </c>
      <c r="L3" s="59">
        <v>2</v>
      </c>
      <c r="M3" s="59">
        <v>3</v>
      </c>
      <c r="N3" s="59">
        <v>4</v>
      </c>
      <c r="O3" s="59">
        <v>5</v>
      </c>
      <c r="P3" s="59">
        <v>6</v>
      </c>
      <c r="Q3" s="59">
        <v>7</v>
      </c>
      <c r="R3" s="59">
        <v>8</v>
      </c>
      <c r="S3" s="59">
        <v>9</v>
      </c>
      <c r="T3" s="59">
        <v>10</v>
      </c>
      <c r="U3" s="59">
        <v>11</v>
      </c>
      <c r="V3" s="59">
        <v>12</v>
      </c>
      <c r="W3" s="59">
        <v>13</v>
      </c>
      <c r="X3" s="59">
        <v>14</v>
      </c>
      <c r="Y3" s="59">
        <v>15</v>
      </c>
      <c r="Z3" s="59">
        <v>16</v>
      </c>
      <c r="AA3" s="59">
        <v>17</v>
      </c>
      <c r="AB3" s="59">
        <v>18</v>
      </c>
      <c r="AC3" s="59">
        <v>19</v>
      </c>
      <c r="AD3" s="59">
        <v>20</v>
      </c>
      <c r="AE3" s="59">
        <v>21</v>
      </c>
      <c r="AF3" s="59">
        <v>22</v>
      </c>
      <c r="AG3" s="59">
        <v>23</v>
      </c>
      <c r="AH3" s="59">
        <v>24</v>
      </c>
      <c r="AI3" s="59">
        <v>25</v>
      </c>
      <c r="AJ3" s="59">
        <v>26</v>
      </c>
      <c r="AK3" s="59">
        <v>27</v>
      </c>
      <c r="AL3" s="59">
        <v>28</v>
      </c>
      <c r="AM3" s="59">
        <v>29</v>
      </c>
      <c r="AN3" s="59">
        <v>30</v>
      </c>
      <c r="AO3" s="59">
        <v>31</v>
      </c>
      <c r="AP3" s="59">
        <v>32</v>
      </c>
      <c r="AQ3" s="59">
        <v>33</v>
      </c>
      <c r="AR3" s="59">
        <v>34</v>
      </c>
      <c r="AS3" s="59">
        <v>35</v>
      </c>
      <c r="AT3" s="59">
        <v>36</v>
      </c>
      <c r="AU3" s="59">
        <v>37</v>
      </c>
      <c r="AV3" s="59">
        <v>38</v>
      </c>
      <c r="AW3" s="59">
        <v>39</v>
      </c>
      <c r="AX3" s="59">
        <v>40</v>
      </c>
      <c r="AY3" s="59">
        <v>41</v>
      </c>
      <c r="AZ3" s="59">
        <v>42</v>
      </c>
      <c r="BA3" s="59">
        <v>43</v>
      </c>
      <c r="BB3" s="59">
        <v>44</v>
      </c>
      <c r="BC3" s="59">
        <v>45</v>
      </c>
      <c r="BD3" s="59">
        <v>46</v>
      </c>
      <c r="BE3" s="59">
        <v>47</v>
      </c>
      <c r="BF3" s="59">
        <v>48</v>
      </c>
      <c r="BG3" s="59">
        <v>49</v>
      </c>
      <c r="BH3" s="59">
        <v>50</v>
      </c>
      <c r="BI3" s="59">
        <v>51</v>
      </c>
      <c r="BJ3" s="59">
        <v>52</v>
      </c>
      <c r="BK3" s="59">
        <v>53</v>
      </c>
      <c r="BL3" s="59">
        <v>54</v>
      </c>
      <c r="BM3" s="59">
        <v>55</v>
      </c>
      <c r="BN3" s="59">
        <v>56</v>
      </c>
      <c r="BO3" s="59">
        <v>57</v>
      </c>
      <c r="BP3" s="59">
        <v>58</v>
      </c>
      <c r="BQ3" s="59">
        <v>59</v>
      </c>
      <c r="BR3" s="59">
        <v>60</v>
      </c>
      <c r="BS3" s="59">
        <v>60</v>
      </c>
      <c r="BT3" s="59">
        <v>60</v>
      </c>
      <c r="BU3" s="59">
        <v>60</v>
      </c>
      <c r="BV3" s="59">
        <v>60</v>
      </c>
      <c r="BW3" s="59">
        <v>60</v>
      </c>
      <c r="BX3" s="59">
        <v>60</v>
      </c>
      <c r="BY3" s="59">
        <v>60</v>
      </c>
      <c r="BZ3" s="59">
        <v>60</v>
      </c>
      <c r="CA3" s="59">
        <v>60</v>
      </c>
      <c r="CB3" s="59">
        <v>60</v>
      </c>
      <c r="CC3" s="59">
        <v>60</v>
      </c>
      <c r="CD3" s="59">
        <v>60</v>
      </c>
      <c r="CE3" s="59">
        <v>60</v>
      </c>
      <c r="CF3" s="59">
        <v>60</v>
      </c>
      <c r="CG3" s="59">
        <v>60</v>
      </c>
      <c r="CH3" s="59">
        <v>60</v>
      </c>
      <c r="CI3" s="59">
        <v>60</v>
      </c>
      <c r="CJ3" s="59">
        <v>60</v>
      </c>
      <c r="CK3" s="59">
        <v>60</v>
      </c>
      <c r="CL3" s="59">
        <v>60</v>
      </c>
      <c r="CM3" s="59">
        <v>60</v>
      </c>
      <c r="CN3" s="59">
        <v>60</v>
      </c>
      <c r="CO3" s="59">
        <v>60</v>
      </c>
      <c r="CP3" s="59">
        <v>60</v>
      </c>
      <c r="CQ3" s="59">
        <v>60</v>
      </c>
      <c r="CR3" s="59">
        <v>60</v>
      </c>
      <c r="CS3" s="59">
        <v>60</v>
      </c>
      <c r="CT3" s="59">
        <v>60</v>
      </c>
      <c r="CU3" s="59">
        <v>60</v>
      </c>
      <c r="CV3" s="59">
        <v>60</v>
      </c>
      <c r="CW3" s="59">
        <v>60</v>
      </c>
      <c r="CX3" s="59">
        <v>60</v>
      </c>
      <c r="CY3" s="59">
        <v>60</v>
      </c>
      <c r="CZ3" s="59">
        <v>60</v>
      </c>
      <c r="DA3" s="59">
        <v>60</v>
      </c>
      <c r="DB3" s="59">
        <v>60</v>
      </c>
      <c r="DC3" s="59">
        <v>60</v>
      </c>
      <c r="DD3" s="59">
        <v>60</v>
      </c>
      <c r="DE3" s="59">
        <v>60</v>
      </c>
      <c r="DF3" s="59">
        <v>60</v>
      </c>
      <c r="DG3" s="59">
        <v>60</v>
      </c>
      <c r="DH3" s="59">
        <v>60</v>
      </c>
      <c r="DI3" s="59">
        <v>60</v>
      </c>
      <c r="DJ3" s="59">
        <v>60</v>
      </c>
      <c r="DK3" s="59">
        <v>60</v>
      </c>
      <c r="DL3" s="59">
        <v>60</v>
      </c>
      <c r="DM3" s="59">
        <v>60</v>
      </c>
      <c r="DN3" s="59">
        <v>60</v>
      </c>
      <c r="DO3" s="59">
        <v>60</v>
      </c>
      <c r="DP3" s="59">
        <v>60</v>
      </c>
      <c r="DQ3" s="59">
        <v>60</v>
      </c>
    </row>
    <row r="4" spans="1:1006" s="59" customFormat="1" x14ac:dyDescent="0.35">
      <c r="C4" s="59" t="s">
        <v>76</v>
      </c>
      <c r="F4" s="59" t="s">
        <v>78</v>
      </c>
      <c r="G4" s="59">
        <f>Assumptions!$F$12</f>
        <v>9</v>
      </c>
      <c r="K4" s="59" t="b">
        <f>K3&lt;=$G$4</f>
        <v>1</v>
      </c>
      <c r="L4" s="59" t="b">
        <f t="shared" ref="L4:BR4" si="0">L3&lt;=$G$4</f>
        <v>1</v>
      </c>
      <c r="M4" s="59" t="b">
        <f t="shared" si="0"/>
        <v>1</v>
      </c>
      <c r="N4" s="59" t="b">
        <f t="shared" si="0"/>
        <v>1</v>
      </c>
      <c r="O4" s="59" t="b">
        <f t="shared" si="0"/>
        <v>1</v>
      </c>
      <c r="P4" s="59" t="b">
        <f t="shared" si="0"/>
        <v>1</v>
      </c>
      <c r="Q4" s="59" t="b">
        <f t="shared" si="0"/>
        <v>1</v>
      </c>
      <c r="R4" s="59" t="b">
        <f t="shared" si="0"/>
        <v>1</v>
      </c>
      <c r="S4" s="59" t="b">
        <f t="shared" si="0"/>
        <v>1</v>
      </c>
      <c r="T4" s="59" t="b">
        <f t="shared" si="0"/>
        <v>0</v>
      </c>
      <c r="U4" s="59" t="b">
        <f t="shared" si="0"/>
        <v>0</v>
      </c>
      <c r="V4" s="59" t="b">
        <f t="shared" si="0"/>
        <v>0</v>
      </c>
      <c r="W4" s="59" t="b">
        <f t="shared" si="0"/>
        <v>0</v>
      </c>
      <c r="X4" s="59" t="b">
        <f t="shared" si="0"/>
        <v>0</v>
      </c>
      <c r="Y4" s="59" t="b">
        <f t="shared" si="0"/>
        <v>0</v>
      </c>
      <c r="Z4" s="59" t="b">
        <f t="shared" si="0"/>
        <v>0</v>
      </c>
      <c r="AA4" s="59" t="b">
        <f t="shared" si="0"/>
        <v>0</v>
      </c>
      <c r="AB4" s="59" t="b">
        <f t="shared" si="0"/>
        <v>0</v>
      </c>
      <c r="AC4" s="59" t="b">
        <f t="shared" si="0"/>
        <v>0</v>
      </c>
      <c r="AD4" s="59" t="b">
        <f t="shared" si="0"/>
        <v>0</v>
      </c>
      <c r="AE4" s="59" t="b">
        <f t="shared" si="0"/>
        <v>0</v>
      </c>
      <c r="AF4" s="59" t="b">
        <f t="shared" si="0"/>
        <v>0</v>
      </c>
      <c r="AG4" s="59" t="b">
        <f t="shared" si="0"/>
        <v>0</v>
      </c>
      <c r="AH4" s="59" t="b">
        <f t="shared" si="0"/>
        <v>0</v>
      </c>
      <c r="AI4" s="59" t="b">
        <f t="shared" si="0"/>
        <v>0</v>
      </c>
      <c r="AJ4" s="59" t="b">
        <f t="shared" si="0"/>
        <v>0</v>
      </c>
      <c r="AK4" s="59" t="b">
        <f t="shared" si="0"/>
        <v>0</v>
      </c>
      <c r="AL4" s="59" t="b">
        <f t="shared" si="0"/>
        <v>0</v>
      </c>
      <c r="AM4" s="59" t="b">
        <f t="shared" si="0"/>
        <v>0</v>
      </c>
      <c r="AN4" s="59" t="b">
        <f t="shared" si="0"/>
        <v>0</v>
      </c>
      <c r="AO4" s="59" t="b">
        <f t="shared" si="0"/>
        <v>0</v>
      </c>
      <c r="AP4" s="59" t="b">
        <f t="shared" si="0"/>
        <v>0</v>
      </c>
      <c r="AQ4" s="59" t="b">
        <f t="shared" si="0"/>
        <v>0</v>
      </c>
      <c r="AR4" s="59" t="b">
        <f t="shared" si="0"/>
        <v>0</v>
      </c>
      <c r="AS4" s="59" t="b">
        <f t="shared" si="0"/>
        <v>0</v>
      </c>
      <c r="AT4" s="59" t="b">
        <f t="shared" si="0"/>
        <v>0</v>
      </c>
      <c r="AU4" s="59" t="b">
        <f t="shared" si="0"/>
        <v>0</v>
      </c>
      <c r="AV4" s="59" t="b">
        <f t="shared" si="0"/>
        <v>0</v>
      </c>
      <c r="AW4" s="59" t="b">
        <f t="shared" si="0"/>
        <v>0</v>
      </c>
      <c r="AX4" s="59" t="b">
        <f t="shared" si="0"/>
        <v>0</v>
      </c>
      <c r="AY4" s="59" t="b">
        <f t="shared" si="0"/>
        <v>0</v>
      </c>
      <c r="AZ4" s="59" t="b">
        <f t="shared" si="0"/>
        <v>0</v>
      </c>
      <c r="BA4" s="59" t="b">
        <f t="shared" si="0"/>
        <v>0</v>
      </c>
      <c r="BB4" s="59" t="b">
        <f t="shared" si="0"/>
        <v>0</v>
      </c>
      <c r="BC4" s="59" t="b">
        <f t="shared" si="0"/>
        <v>0</v>
      </c>
      <c r="BD4" s="59" t="b">
        <f t="shared" si="0"/>
        <v>0</v>
      </c>
      <c r="BE4" s="59" t="b">
        <f t="shared" si="0"/>
        <v>0</v>
      </c>
      <c r="BF4" s="59" t="b">
        <f t="shared" si="0"/>
        <v>0</v>
      </c>
      <c r="BG4" s="59" t="b">
        <f t="shared" si="0"/>
        <v>0</v>
      </c>
      <c r="BH4" s="59" t="b">
        <f t="shared" si="0"/>
        <v>0</v>
      </c>
      <c r="BI4" s="59" t="b">
        <f t="shared" si="0"/>
        <v>0</v>
      </c>
      <c r="BJ4" s="59" t="b">
        <f t="shared" si="0"/>
        <v>0</v>
      </c>
      <c r="BK4" s="59" t="b">
        <f t="shared" si="0"/>
        <v>0</v>
      </c>
      <c r="BL4" s="59" t="b">
        <f t="shared" si="0"/>
        <v>0</v>
      </c>
      <c r="BM4" s="59" t="b">
        <f t="shared" si="0"/>
        <v>0</v>
      </c>
      <c r="BN4" s="59" t="b">
        <f t="shared" si="0"/>
        <v>0</v>
      </c>
      <c r="BO4" s="59" t="b">
        <f t="shared" si="0"/>
        <v>0</v>
      </c>
      <c r="BP4" s="59" t="b">
        <f t="shared" si="0"/>
        <v>0</v>
      </c>
      <c r="BQ4" s="59" t="b">
        <f t="shared" si="0"/>
        <v>0</v>
      </c>
      <c r="BR4" s="59" t="b">
        <f t="shared" si="0"/>
        <v>0</v>
      </c>
      <c r="BS4" s="59" t="b">
        <f t="shared" ref="BS4" si="1">BS3&lt;=$G$4</f>
        <v>0</v>
      </c>
      <c r="BT4" s="59" t="b">
        <f t="shared" ref="BT4" si="2">BT3&lt;=$G$4</f>
        <v>0</v>
      </c>
      <c r="BU4" s="59" t="b">
        <f t="shared" ref="BU4" si="3">BU3&lt;=$G$4</f>
        <v>0</v>
      </c>
      <c r="BV4" s="59" t="b">
        <f t="shared" ref="BV4" si="4">BV3&lt;=$G$4</f>
        <v>0</v>
      </c>
      <c r="BW4" s="59" t="b">
        <f t="shared" ref="BW4" si="5">BW3&lt;=$G$4</f>
        <v>0</v>
      </c>
      <c r="BX4" s="59" t="b">
        <f t="shared" ref="BX4" si="6">BX3&lt;=$G$4</f>
        <v>0</v>
      </c>
      <c r="BY4" s="59" t="b">
        <f t="shared" ref="BY4" si="7">BY3&lt;=$G$4</f>
        <v>0</v>
      </c>
      <c r="BZ4" s="59" t="b">
        <f t="shared" ref="BZ4" si="8">BZ3&lt;=$G$4</f>
        <v>0</v>
      </c>
      <c r="CA4" s="59" t="b">
        <f t="shared" ref="CA4" si="9">CA3&lt;=$G$4</f>
        <v>0</v>
      </c>
      <c r="CB4" s="59" t="b">
        <f t="shared" ref="CB4" si="10">CB3&lt;=$G$4</f>
        <v>0</v>
      </c>
      <c r="CC4" s="59" t="b">
        <f t="shared" ref="CC4" si="11">CC3&lt;=$G$4</f>
        <v>0</v>
      </c>
      <c r="CD4" s="59" t="b">
        <f t="shared" ref="CD4" si="12">CD3&lt;=$G$4</f>
        <v>0</v>
      </c>
      <c r="CE4" s="59" t="b">
        <f t="shared" ref="CE4" si="13">CE3&lt;=$G$4</f>
        <v>0</v>
      </c>
      <c r="CF4" s="59" t="b">
        <f t="shared" ref="CF4" si="14">CF3&lt;=$G$4</f>
        <v>0</v>
      </c>
      <c r="CG4" s="59" t="b">
        <f t="shared" ref="CG4" si="15">CG3&lt;=$G$4</f>
        <v>0</v>
      </c>
      <c r="CH4" s="59" t="b">
        <f t="shared" ref="CH4" si="16">CH3&lt;=$G$4</f>
        <v>0</v>
      </c>
      <c r="CI4" s="59" t="b">
        <f t="shared" ref="CI4" si="17">CI3&lt;=$G$4</f>
        <v>0</v>
      </c>
      <c r="CJ4" s="59" t="b">
        <f t="shared" ref="CJ4" si="18">CJ3&lt;=$G$4</f>
        <v>0</v>
      </c>
      <c r="CK4" s="59" t="b">
        <f t="shared" ref="CK4" si="19">CK3&lt;=$G$4</f>
        <v>0</v>
      </c>
      <c r="CL4" s="59" t="b">
        <f t="shared" ref="CL4" si="20">CL3&lt;=$G$4</f>
        <v>0</v>
      </c>
      <c r="CM4" s="59" t="b">
        <f t="shared" ref="CM4" si="21">CM3&lt;=$G$4</f>
        <v>0</v>
      </c>
      <c r="CN4" s="59" t="b">
        <f t="shared" ref="CN4" si="22">CN3&lt;=$G$4</f>
        <v>0</v>
      </c>
      <c r="CO4" s="59" t="b">
        <f t="shared" ref="CO4" si="23">CO3&lt;=$G$4</f>
        <v>0</v>
      </c>
      <c r="CP4" s="59" t="b">
        <f t="shared" ref="CP4" si="24">CP3&lt;=$G$4</f>
        <v>0</v>
      </c>
      <c r="CQ4" s="59" t="b">
        <f t="shared" ref="CQ4" si="25">CQ3&lt;=$G$4</f>
        <v>0</v>
      </c>
      <c r="CR4" s="59" t="b">
        <f t="shared" ref="CR4" si="26">CR3&lt;=$G$4</f>
        <v>0</v>
      </c>
      <c r="CS4" s="59" t="b">
        <f t="shared" ref="CS4" si="27">CS3&lt;=$G$4</f>
        <v>0</v>
      </c>
      <c r="CT4" s="59" t="b">
        <f t="shared" ref="CT4" si="28">CT3&lt;=$G$4</f>
        <v>0</v>
      </c>
      <c r="CU4" s="59" t="b">
        <f t="shared" ref="CU4" si="29">CU3&lt;=$G$4</f>
        <v>0</v>
      </c>
      <c r="CV4" s="59" t="b">
        <f t="shared" ref="CV4" si="30">CV3&lt;=$G$4</f>
        <v>0</v>
      </c>
      <c r="CW4" s="59" t="b">
        <f t="shared" ref="CW4" si="31">CW3&lt;=$G$4</f>
        <v>0</v>
      </c>
      <c r="CX4" s="59" t="b">
        <f t="shared" ref="CX4" si="32">CX3&lt;=$G$4</f>
        <v>0</v>
      </c>
      <c r="CY4" s="59" t="b">
        <f t="shared" ref="CY4" si="33">CY3&lt;=$G$4</f>
        <v>0</v>
      </c>
      <c r="CZ4" s="59" t="b">
        <f t="shared" ref="CZ4" si="34">CZ3&lt;=$G$4</f>
        <v>0</v>
      </c>
      <c r="DA4" s="59" t="b">
        <f t="shared" ref="DA4" si="35">DA3&lt;=$G$4</f>
        <v>0</v>
      </c>
      <c r="DB4" s="59" t="b">
        <f t="shared" ref="DB4" si="36">DB3&lt;=$G$4</f>
        <v>0</v>
      </c>
      <c r="DC4" s="59" t="b">
        <f t="shared" ref="DC4" si="37">DC3&lt;=$G$4</f>
        <v>0</v>
      </c>
      <c r="DD4" s="59" t="b">
        <f t="shared" ref="DD4" si="38">DD3&lt;=$G$4</f>
        <v>0</v>
      </c>
      <c r="DE4" s="59" t="b">
        <f t="shared" ref="DE4" si="39">DE3&lt;=$G$4</f>
        <v>0</v>
      </c>
      <c r="DF4" s="59" t="b">
        <f t="shared" ref="DF4" si="40">DF3&lt;=$G$4</f>
        <v>0</v>
      </c>
      <c r="DG4" s="59" t="b">
        <f t="shared" ref="DG4" si="41">DG3&lt;=$G$4</f>
        <v>0</v>
      </c>
      <c r="DH4" s="59" t="b">
        <f t="shared" ref="DH4" si="42">DH3&lt;=$G$4</f>
        <v>0</v>
      </c>
      <c r="DI4" s="59" t="b">
        <f t="shared" ref="DI4" si="43">DI3&lt;=$G$4</f>
        <v>0</v>
      </c>
      <c r="DJ4" s="59" t="b">
        <f t="shared" ref="DJ4" si="44">DJ3&lt;=$G$4</f>
        <v>0</v>
      </c>
      <c r="DK4" s="59" t="b">
        <f t="shared" ref="DK4" si="45">DK3&lt;=$G$4</f>
        <v>0</v>
      </c>
      <c r="DL4" s="59" t="b">
        <f t="shared" ref="DL4" si="46">DL3&lt;=$G$4</f>
        <v>0</v>
      </c>
      <c r="DM4" s="59" t="b">
        <f t="shared" ref="DM4" si="47">DM3&lt;=$G$4</f>
        <v>0</v>
      </c>
      <c r="DN4" s="59" t="b">
        <f t="shared" ref="DN4" si="48">DN3&lt;=$G$4</f>
        <v>0</v>
      </c>
      <c r="DO4" s="59" t="b">
        <f t="shared" ref="DO4" si="49">DO3&lt;=$G$4</f>
        <v>0</v>
      </c>
      <c r="DP4" s="59" t="b">
        <f t="shared" ref="DP4" si="50">DP3&lt;=$G$4</f>
        <v>0</v>
      </c>
      <c r="DQ4" s="59" t="b">
        <f t="shared" ref="DQ4" si="51">DQ3&lt;=$G$4</f>
        <v>0</v>
      </c>
    </row>
    <row r="5" spans="1:1006" s="59" customFormat="1" x14ac:dyDescent="0.35">
      <c r="C5" s="59" t="s">
        <v>79</v>
      </c>
      <c r="F5" s="59" t="s">
        <v>60</v>
      </c>
      <c r="G5" s="59">
        <f>Assumptions!$F$3</f>
        <v>1</v>
      </c>
      <c r="H5" s="59">
        <f>Assumptions!$F$4</f>
        <v>3</v>
      </c>
      <c r="K5" s="59">
        <f t="shared" ref="K5:AP5" si="52">IF(K4,$G$5,$H$5)</f>
        <v>1</v>
      </c>
      <c r="L5" s="59">
        <f t="shared" si="52"/>
        <v>1</v>
      </c>
      <c r="M5" s="59">
        <f t="shared" si="52"/>
        <v>1</v>
      </c>
      <c r="N5" s="59">
        <f t="shared" si="52"/>
        <v>1</v>
      </c>
      <c r="O5" s="59">
        <f t="shared" si="52"/>
        <v>1</v>
      </c>
      <c r="P5" s="59">
        <f t="shared" si="52"/>
        <v>1</v>
      </c>
      <c r="Q5" s="59">
        <f t="shared" si="52"/>
        <v>1</v>
      </c>
      <c r="R5" s="59">
        <f t="shared" si="52"/>
        <v>1</v>
      </c>
      <c r="S5" s="59">
        <f t="shared" si="52"/>
        <v>1</v>
      </c>
      <c r="T5" s="59">
        <f t="shared" si="52"/>
        <v>3</v>
      </c>
      <c r="U5" s="59">
        <f t="shared" si="52"/>
        <v>3</v>
      </c>
      <c r="V5" s="59">
        <f t="shared" si="52"/>
        <v>3</v>
      </c>
      <c r="W5" s="59">
        <f t="shared" si="52"/>
        <v>3</v>
      </c>
      <c r="X5" s="59">
        <f t="shared" si="52"/>
        <v>3</v>
      </c>
      <c r="Y5" s="59">
        <f t="shared" si="52"/>
        <v>3</v>
      </c>
      <c r="Z5" s="59">
        <f t="shared" si="52"/>
        <v>3</v>
      </c>
      <c r="AA5" s="59">
        <f t="shared" si="52"/>
        <v>3</v>
      </c>
      <c r="AB5" s="59">
        <f t="shared" si="52"/>
        <v>3</v>
      </c>
      <c r="AC5" s="59">
        <f t="shared" si="52"/>
        <v>3</v>
      </c>
      <c r="AD5" s="59">
        <f t="shared" si="52"/>
        <v>3</v>
      </c>
      <c r="AE5" s="59">
        <f t="shared" si="52"/>
        <v>3</v>
      </c>
      <c r="AF5" s="59">
        <f t="shared" si="52"/>
        <v>3</v>
      </c>
      <c r="AG5" s="59">
        <f t="shared" si="52"/>
        <v>3</v>
      </c>
      <c r="AH5" s="59">
        <f t="shared" si="52"/>
        <v>3</v>
      </c>
      <c r="AI5" s="59">
        <f t="shared" si="52"/>
        <v>3</v>
      </c>
      <c r="AJ5" s="59">
        <f t="shared" si="52"/>
        <v>3</v>
      </c>
      <c r="AK5" s="59">
        <f t="shared" si="52"/>
        <v>3</v>
      </c>
      <c r="AL5" s="59">
        <f t="shared" si="52"/>
        <v>3</v>
      </c>
      <c r="AM5" s="59">
        <f t="shared" si="52"/>
        <v>3</v>
      </c>
      <c r="AN5" s="59">
        <f t="shared" si="52"/>
        <v>3</v>
      </c>
      <c r="AO5" s="59">
        <f t="shared" si="52"/>
        <v>3</v>
      </c>
      <c r="AP5" s="59">
        <f t="shared" si="52"/>
        <v>3</v>
      </c>
      <c r="AQ5" s="59">
        <f t="shared" ref="AQ5:BV5" si="53">IF(AQ4,$G$5,$H$5)</f>
        <v>3</v>
      </c>
      <c r="AR5" s="59">
        <f t="shared" si="53"/>
        <v>3</v>
      </c>
      <c r="AS5" s="59">
        <f t="shared" si="53"/>
        <v>3</v>
      </c>
      <c r="AT5" s="59">
        <f t="shared" si="53"/>
        <v>3</v>
      </c>
      <c r="AU5" s="59">
        <f t="shared" si="53"/>
        <v>3</v>
      </c>
      <c r="AV5" s="59">
        <f t="shared" si="53"/>
        <v>3</v>
      </c>
      <c r="AW5" s="59">
        <f t="shared" si="53"/>
        <v>3</v>
      </c>
      <c r="AX5" s="59">
        <f t="shared" si="53"/>
        <v>3</v>
      </c>
      <c r="AY5" s="59">
        <f t="shared" si="53"/>
        <v>3</v>
      </c>
      <c r="AZ5" s="59">
        <f t="shared" si="53"/>
        <v>3</v>
      </c>
      <c r="BA5" s="59">
        <f t="shared" si="53"/>
        <v>3</v>
      </c>
      <c r="BB5" s="59">
        <f t="shared" si="53"/>
        <v>3</v>
      </c>
      <c r="BC5" s="59">
        <f t="shared" si="53"/>
        <v>3</v>
      </c>
      <c r="BD5" s="59">
        <f t="shared" si="53"/>
        <v>3</v>
      </c>
      <c r="BE5" s="59">
        <f t="shared" si="53"/>
        <v>3</v>
      </c>
      <c r="BF5" s="59">
        <f t="shared" si="53"/>
        <v>3</v>
      </c>
      <c r="BG5" s="59">
        <f t="shared" si="53"/>
        <v>3</v>
      </c>
      <c r="BH5" s="59">
        <f t="shared" si="53"/>
        <v>3</v>
      </c>
      <c r="BI5" s="59">
        <f t="shared" si="53"/>
        <v>3</v>
      </c>
      <c r="BJ5" s="59">
        <f t="shared" si="53"/>
        <v>3</v>
      </c>
      <c r="BK5" s="59">
        <f t="shared" si="53"/>
        <v>3</v>
      </c>
      <c r="BL5" s="59">
        <f t="shared" si="53"/>
        <v>3</v>
      </c>
      <c r="BM5" s="59">
        <f t="shared" si="53"/>
        <v>3</v>
      </c>
      <c r="BN5" s="59">
        <f t="shared" si="53"/>
        <v>3</v>
      </c>
      <c r="BO5" s="59">
        <f t="shared" si="53"/>
        <v>3</v>
      </c>
      <c r="BP5" s="59">
        <f t="shared" si="53"/>
        <v>3</v>
      </c>
      <c r="BQ5" s="59">
        <f t="shared" si="53"/>
        <v>3</v>
      </c>
      <c r="BR5" s="59">
        <f t="shared" si="53"/>
        <v>3</v>
      </c>
      <c r="BS5" s="59">
        <f t="shared" si="53"/>
        <v>3</v>
      </c>
      <c r="BT5" s="59">
        <f t="shared" si="53"/>
        <v>3</v>
      </c>
      <c r="BU5" s="59">
        <f t="shared" si="53"/>
        <v>3</v>
      </c>
      <c r="BV5" s="59">
        <f t="shared" si="53"/>
        <v>3</v>
      </c>
      <c r="BW5" s="59">
        <f t="shared" ref="BW5:CZ5" si="54">IF(BW4,$G$5,$H$5)</f>
        <v>3</v>
      </c>
      <c r="BX5" s="59">
        <f t="shared" si="54"/>
        <v>3</v>
      </c>
      <c r="BY5" s="59">
        <f t="shared" si="54"/>
        <v>3</v>
      </c>
      <c r="BZ5" s="59">
        <f t="shared" si="54"/>
        <v>3</v>
      </c>
      <c r="CA5" s="59">
        <f t="shared" si="54"/>
        <v>3</v>
      </c>
      <c r="CB5" s="59">
        <f t="shared" si="54"/>
        <v>3</v>
      </c>
      <c r="CC5" s="59">
        <f t="shared" si="54"/>
        <v>3</v>
      </c>
      <c r="CD5" s="59">
        <f t="shared" si="54"/>
        <v>3</v>
      </c>
      <c r="CE5" s="59">
        <f t="shared" si="54"/>
        <v>3</v>
      </c>
      <c r="CF5" s="59">
        <f t="shared" si="54"/>
        <v>3</v>
      </c>
      <c r="CG5" s="59">
        <f t="shared" si="54"/>
        <v>3</v>
      </c>
      <c r="CH5" s="59">
        <f t="shared" si="54"/>
        <v>3</v>
      </c>
      <c r="CI5" s="59">
        <f t="shared" si="54"/>
        <v>3</v>
      </c>
      <c r="CJ5" s="59">
        <f t="shared" si="54"/>
        <v>3</v>
      </c>
      <c r="CK5" s="59">
        <f t="shared" si="54"/>
        <v>3</v>
      </c>
      <c r="CL5" s="59">
        <f t="shared" si="54"/>
        <v>3</v>
      </c>
      <c r="CM5" s="59">
        <f t="shared" si="54"/>
        <v>3</v>
      </c>
      <c r="CN5" s="59">
        <f t="shared" si="54"/>
        <v>3</v>
      </c>
      <c r="CO5" s="59">
        <f t="shared" si="54"/>
        <v>3</v>
      </c>
      <c r="CP5" s="59">
        <f t="shared" si="54"/>
        <v>3</v>
      </c>
      <c r="CQ5" s="59">
        <f t="shared" si="54"/>
        <v>3</v>
      </c>
      <c r="CR5" s="59">
        <f t="shared" si="54"/>
        <v>3</v>
      </c>
      <c r="CS5" s="59">
        <f t="shared" si="54"/>
        <v>3</v>
      </c>
      <c r="CT5" s="59">
        <f t="shared" si="54"/>
        <v>3</v>
      </c>
      <c r="CU5" s="59">
        <f t="shared" si="54"/>
        <v>3</v>
      </c>
      <c r="CV5" s="59">
        <f t="shared" si="54"/>
        <v>3</v>
      </c>
      <c r="CW5" s="59">
        <f t="shared" si="54"/>
        <v>3</v>
      </c>
      <c r="CX5" s="59">
        <f t="shared" si="54"/>
        <v>3</v>
      </c>
      <c r="CY5" s="59">
        <f t="shared" si="54"/>
        <v>3</v>
      </c>
      <c r="CZ5" s="59">
        <f t="shared" si="54"/>
        <v>3</v>
      </c>
      <c r="DA5" s="59">
        <f t="shared" ref="DA5:DQ5" si="55">IF(DA4,$G$5,$H$5)</f>
        <v>3</v>
      </c>
      <c r="DB5" s="59">
        <f t="shared" si="55"/>
        <v>3</v>
      </c>
      <c r="DC5" s="59">
        <f t="shared" si="55"/>
        <v>3</v>
      </c>
      <c r="DD5" s="59">
        <f t="shared" si="55"/>
        <v>3</v>
      </c>
      <c r="DE5" s="59">
        <f t="shared" si="55"/>
        <v>3</v>
      </c>
      <c r="DF5" s="59">
        <f t="shared" si="55"/>
        <v>3</v>
      </c>
      <c r="DG5" s="59">
        <f t="shared" si="55"/>
        <v>3</v>
      </c>
      <c r="DH5" s="59">
        <f t="shared" si="55"/>
        <v>3</v>
      </c>
      <c r="DI5" s="59">
        <f t="shared" si="55"/>
        <v>3</v>
      </c>
      <c r="DJ5" s="59">
        <f t="shared" si="55"/>
        <v>3</v>
      </c>
      <c r="DK5" s="59">
        <f t="shared" si="55"/>
        <v>3</v>
      </c>
      <c r="DL5" s="59">
        <f t="shared" si="55"/>
        <v>3</v>
      </c>
      <c r="DM5" s="59">
        <f t="shared" si="55"/>
        <v>3</v>
      </c>
      <c r="DN5" s="59">
        <f t="shared" si="55"/>
        <v>3</v>
      </c>
      <c r="DO5" s="59">
        <f t="shared" si="55"/>
        <v>3</v>
      </c>
      <c r="DP5" s="59">
        <f t="shared" si="55"/>
        <v>3</v>
      </c>
      <c r="DQ5" s="59">
        <f t="shared" si="55"/>
        <v>3</v>
      </c>
    </row>
    <row r="6" spans="1:1006" s="59" customFormat="1" x14ac:dyDescent="0.35">
      <c r="C6" s="59" t="s">
        <v>80</v>
      </c>
      <c r="F6" s="59" t="s">
        <v>64</v>
      </c>
      <c r="K6" s="62">
        <f>J7+1</f>
        <v>42248</v>
      </c>
      <c r="L6" s="62">
        <f t="shared" ref="L6:BW6" si="56">K7+1</f>
        <v>42278</v>
      </c>
      <c r="M6" s="62">
        <f t="shared" si="56"/>
        <v>42309</v>
      </c>
      <c r="N6" s="62">
        <f t="shared" si="56"/>
        <v>42339</v>
      </c>
      <c r="O6" s="62">
        <f t="shared" si="56"/>
        <v>42370</v>
      </c>
      <c r="P6" s="62">
        <f t="shared" si="56"/>
        <v>42401</v>
      </c>
      <c r="Q6" s="62">
        <f t="shared" si="56"/>
        <v>42430</v>
      </c>
      <c r="R6" s="62">
        <f t="shared" si="56"/>
        <v>42461</v>
      </c>
      <c r="S6" s="62">
        <f t="shared" si="56"/>
        <v>42491</v>
      </c>
      <c r="T6" s="62">
        <f t="shared" si="56"/>
        <v>42522</v>
      </c>
      <c r="U6" s="62">
        <f t="shared" si="56"/>
        <v>42614</v>
      </c>
      <c r="V6" s="62">
        <f t="shared" si="56"/>
        <v>42705</v>
      </c>
      <c r="W6" s="62">
        <f t="shared" si="56"/>
        <v>42795</v>
      </c>
      <c r="X6" s="62">
        <f t="shared" si="56"/>
        <v>42887</v>
      </c>
      <c r="Y6" s="62">
        <f t="shared" si="56"/>
        <v>42979</v>
      </c>
      <c r="Z6" s="62">
        <f t="shared" si="56"/>
        <v>43070</v>
      </c>
      <c r="AA6" s="62">
        <f t="shared" si="56"/>
        <v>43160</v>
      </c>
      <c r="AB6" s="62">
        <f t="shared" si="56"/>
        <v>43252</v>
      </c>
      <c r="AC6" s="62">
        <f t="shared" si="56"/>
        <v>43344</v>
      </c>
      <c r="AD6" s="62">
        <f t="shared" si="56"/>
        <v>43435</v>
      </c>
      <c r="AE6" s="62">
        <f t="shared" si="56"/>
        <v>43525</v>
      </c>
      <c r="AF6" s="62">
        <f t="shared" si="56"/>
        <v>43617</v>
      </c>
      <c r="AG6" s="62">
        <f t="shared" si="56"/>
        <v>43709</v>
      </c>
      <c r="AH6" s="62">
        <f t="shared" si="56"/>
        <v>43800</v>
      </c>
      <c r="AI6" s="62">
        <f t="shared" si="56"/>
        <v>43891</v>
      </c>
      <c r="AJ6" s="62">
        <f t="shared" si="56"/>
        <v>43983</v>
      </c>
      <c r="AK6" s="62">
        <f t="shared" si="56"/>
        <v>44075</v>
      </c>
      <c r="AL6" s="62">
        <f t="shared" si="56"/>
        <v>44166</v>
      </c>
      <c r="AM6" s="62">
        <f t="shared" si="56"/>
        <v>44256</v>
      </c>
      <c r="AN6" s="62">
        <f t="shared" si="56"/>
        <v>44348</v>
      </c>
      <c r="AO6" s="62">
        <f t="shared" si="56"/>
        <v>44440</v>
      </c>
      <c r="AP6" s="62">
        <f t="shared" si="56"/>
        <v>44531</v>
      </c>
      <c r="AQ6" s="62">
        <f t="shared" si="56"/>
        <v>44621</v>
      </c>
      <c r="AR6" s="62">
        <f t="shared" si="56"/>
        <v>44713</v>
      </c>
      <c r="AS6" s="62">
        <f t="shared" si="56"/>
        <v>44805</v>
      </c>
      <c r="AT6" s="62">
        <f t="shared" si="56"/>
        <v>44896</v>
      </c>
      <c r="AU6" s="62">
        <f t="shared" si="56"/>
        <v>44986</v>
      </c>
      <c r="AV6" s="62">
        <f t="shared" si="56"/>
        <v>45078</v>
      </c>
      <c r="AW6" s="62">
        <f t="shared" si="56"/>
        <v>45170</v>
      </c>
      <c r="AX6" s="62">
        <f t="shared" si="56"/>
        <v>45261</v>
      </c>
      <c r="AY6" s="62">
        <f t="shared" si="56"/>
        <v>45352</v>
      </c>
      <c r="AZ6" s="62">
        <f t="shared" si="56"/>
        <v>45444</v>
      </c>
      <c r="BA6" s="62">
        <f t="shared" si="56"/>
        <v>45536</v>
      </c>
      <c r="BB6" s="62">
        <f t="shared" si="56"/>
        <v>45627</v>
      </c>
      <c r="BC6" s="62">
        <f t="shared" si="56"/>
        <v>45717</v>
      </c>
      <c r="BD6" s="62">
        <f t="shared" si="56"/>
        <v>45809</v>
      </c>
      <c r="BE6" s="62">
        <f t="shared" si="56"/>
        <v>45901</v>
      </c>
      <c r="BF6" s="62">
        <f t="shared" si="56"/>
        <v>45992</v>
      </c>
      <c r="BG6" s="62">
        <f t="shared" si="56"/>
        <v>46082</v>
      </c>
      <c r="BH6" s="62">
        <f t="shared" si="56"/>
        <v>46174</v>
      </c>
      <c r="BI6" s="62">
        <f t="shared" si="56"/>
        <v>46266</v>
      </c>
      <c r="BJ6" s="62">
        <f t="shared" si="56"/>
        <v>46357</v>
      </c>
      <c r="BK6" s="62">
        <f t="shared" si="56"/>
        <v>46447</v>
      </c>
      <c r="BL6" s="62">
        <f t="shared" si="56"/>
        <v>46539</v>
      </c>
      <c r="BM6" s="62">
        <f t="shared" si="56"/>
        <v>46631</v>
      </c>
      <c r="BN6" s="62">
        <f t="shared" si="56"/>
        <v>46722</v>
      </c>
      <c r="BO6" s="62">
        <f t="shared" si="56"/>
        <v>46813</v>
      </c>
      <c r="BP6" s="62">
        <f t="shared" si="56"/>
        <v>46905</v>
      </c>
      <c r="BQ6" s="62">
        <f t="shared" si="56"/>
        <v>46997</v>
      </c>
      <c r="BR6" s="62">
        <f t="shared" si="56"/>
        <v>47088</v>
      </c>
      <c r="BS6" s="62">
        <f t="shared" si="56"/>
        <v>47178</v>
      </c>
      <c r="BT6" s="62">
        <f t="shared" si="56"/>
        <v>47270</v>
      </c>
      <c r="BU6" s="62">
        <f t="shared" si="56"/>
        <v>47362</v>
      </c>
      <c r="BV6" s="62">
        <f t="shared" si="56"/>
        <v>47453</v>
      </c>
      <c r="BW6" s="62">
        <f t="shared" si="56"/>
        <v>47543</v>
      </c>
      <c r="BX6" s="62">
        <f t="shared" ref="BX6:DQ6" si="57">BW7+1</f>
        <v>47635</v>
      </c>
      <c r="BY6" s="62">
        <f t="shared" si="57"/>
        <v>47727</v>
      </c>
      <c r="BZ6" s="62">
        <f t="shared" si="57"/>
        <v>47818</v>
      </c>
      <c r="CA6" s="62">
        <f t="shared" si="57"/>
        <v>47908</v>
      </c>
      <c r="CB6" s="62">
        <f t="shared" si="57"/>
        <v>48000</v>
      </c>
      <c r="CC6" s="62">
        <f t="shared" si="57"/>
        <v>48092</v>
      </c>
      <c r="CD6" s="62">
        <f t="shared" si="57"/>
        <v>48183</v>
      </c>
      <c r="CE6" s="62">
        <f t="shared" si="57"/>
        <v>48274</v>
      </c>
      <c r="CF6" s="62">
        <f t="shared" si="57"/>
        <v>48366</v>
      </c>
      <c r="CG6" s="62">
        <f t="shared" si="57"/>
        <v>48458</v>
      </c>
      <c r="CH6" s="62">
        <f t="shared" si="57"/>
        <v>48549</v>
      </c>
      <c r="CI6" s="62">
        <f t="shared" si="57"/>
        <v>48639</v>
      </c>
      <c r="CJ6" s="62">
        <f t="shared" si="57"/>
        <v>48731</v>
      </c>
      <c r="CK6" s="62">
        <f t="shared" si="57"/>
        <v>48823</v>
      </c>
      <c r="CL6" s="62">
        <f t="shared" si="57"/>
        <v>48914</v>
      </c>
      <c r="CM6" s="62">
        <f t="shared" si="57"/>
        <v>49004</v>
      </c>
      <c r="CN6" s="62">
        <f t="shared" si="57"/>
        <v>49096</v>
      </c>
      <c r="CO6" s="62">
        <f t="shared" si="57"/>
        <v>49188</v>
      </c>
      <c r="CP6" s="62">
        <f t="shared" si="57"/>
        <v>49279</v>
      </c>
      <c r="CQ6" s="62">
        <f t="shared" si="57"/>
        <v>49369</v>
      </c>
      <c r="CR6" s="62">
        <f t="shared" si="57"/>
        <v>49461</v>
      </c>
      <c r="CS6" s="62">
        <f t="shared" si="57"/>
        <v>49553</v>
      </c>
      <c r="CT6" s="62">
        <f t="shared" si="57"/>
        <v>49644</v>
      </c>
      <c r="CU6" s="62">
        <f t="shared" si="57"/>
        <v>49735</v>
      </c>
      <c r="CV6" s="62">
        <f t="shared" si="57"/>
        <v>49827</v>
      </c>
      <c r="CW6" s="62">
        <f t="shared" si="57"/>
        <v>49919</v>
      </c>
      <c r="CX6" s="62">
        <f t="shared" si="57"/>
        <v>50010</v>
      </c>
      <c r="CY6" s="62">
        <f t="shared" si="57"/>
        <v>50100</v>
      </c>
      <c r="CZ6" s="62">
        <f t="shared" si="57"/>
        <v>50192</v>
      </c>
      <c r="DA6" s="62">
        <f t="shared" si="57"/>
        <v>50284</v>
      </c>
      <c r="DB6" s="62">
        <f t="shared" si="57"/>
        <v>50375</v>
      </c>
      <c r="DC6" s="62">
        <f t="shared" si="57"/>
        <v>50465</v>
      </c>
      <c r="DD6" s="62">
        <f t="shared" si="57"/>
        <v>50557</v>
      </c>
      <c r="DE6" s="62">
        <f t="shared" si="57"/>
        <v>50649</v>
      </c>
      <c r="DF6" s="62">
        <f t="shared" si="57"/>
        <v>50740</v>
      </c>
      <c r="DG6" s="62">
        <f t="shared" si="57"/>
        <v>50830</v>
      </c>
      <c r="DH6" s="62">
        <f t="shared" si="57"/>
        <v>50922</v>
      </c>
      <c r="DI6" s="62">
        <f t="shared" si="57"/>
        <v>51014</v>
      </c>
      <c r="DJ6" s="62">
        <f t="shared" si="57"/>
        <v>51105</v>
      </c>
      <c r="DK6" s="62">
        <f t="shared" si="57"/>
        <v>51196</v>
      </c>
      <c r="DL6" s="62">
        <f t="shared" si="57"/>
        <v>51288</v>
      </c>
      <c r="DM6" s="62">
        <f t="shared" si="57"/>
        <v>51380</v>
      </c>
      <c r="DN6" s="62">
        <f t="shared" si="57"/>
        <v>51471</v>
      </c>
      <c r="DO6" s="62">
        <f t="shared" si="57"/>
        <v>51561</v>
      </c>
      <c r="DP6" s="62">
        <f t="shared" si="57"/>
        <v>51653</v>
      </c>
      <c r="DQ6" s="62">
        <f t="shared" si="57"/>
        <v>51745</v>
      </c>
    </row>
    <row r="7" spans="1:1006" s="59" customFormat="1" x14ac:dyDescent="0.35">
      <c r="C7" s="59" t="s">
        <v>81</v>
      </c>
      <c r="F7" s="59" t="s">
        <v>64</v>
      </c>
      <c r="J7" s="62">
        <f>Assumptions!$F$6-1</f>
        <v>42247</v>
      </c>
      <c r="K7" s="62">
        <f>EDATE(K6,K5)-1</f>
        <v>42277</v>
      </c>
      <c r="L7" s="62">
        <f t="shared" ref="L7:BR7" si="58">EDATE(L6,L5)-1</f>
        <v>42308</v>
      </c>
      <c r="M7" s="62">
        <f t="shared" si="58"/>
        <v>42338</v>
      </c>
      <c r="N7" s="62">
        <f t="shared" si="58"/>
        <v>42369</v>
      </c>
      <c r="O7" s="62">
        <f t="shared" si="58"/>
        <v>42400</v>
      </c>
      <c r="P7" s="62">
        <f t="shared" si="58"/>
        <v>42429</v>
      </c>
      <c r="Q7" s="62">
        <f t="shared" si="58"/>
        <v>42460</v>
      </c>
      <c r="R7" s="62">
        <f t="shared" si="58"/>
        <v>42490</v>
      </c>
      <c r="S7" s="62">
        <f t="shared" si="58"/>
        <v>42521</v>
      </c>
      <c r="T7" s="62">
        <f t="shared" si="58"/>
        <v>42613</v>
      </c>
      <c r="U7" s="62">
        <f t="shared" si="58"/>
        <v>42704</v>
      </c>
      <c r="V7" s="62">
        <f t="shared" si="58"/>
        <v>42794</v>
      </c>
      <c r="W7" s="62">
        <f t="shared" si="58"/>
        <v>42886</v>
      </c>
      <c r="X7" s="62">
        <f t="shared" si="58"/>
        <v>42978</v>
      </c>
      <c r="Y7" s="62">
        <f t="shared" si="58"/>
        <v>43069</v>
      </c>
      <c r="Z7" s="62">
        <f t="shared" si="58"/>
        <v>43159</v>
      </c>
      <c r="AA7" s="62">
        <f t="shared" si="58"/>
        <v>43251</v>
      </c>
      <c r="AB7" s="62">
        <f t="shared" si="58"/>
        <v>43343</v>
      </c>
      <c r="AC7" s="62">
        <f t="shared" si="58"/>
        <v>43434</v>
      </c>
      <c r="AD7" s="62">
        <f t="shared" si="58"/>
        <v>43524</v>
      </c>
      <c r="AE7" s="62">
        <f t="shared" si="58"/>
        <v>43616</v>
      </c>
      <c r="AF7" s="62">
        <f t="shared" si="58"/>
        <v>43708</v>
      </c>
      <c r="AG7" s="62">
        <f t="shared" si="58"/>
        <v>43799</v>
      </c>
      <c r="AH7" s="62">
        <f t="shared" si="58"/>
        <v>43890</v>
      </c>
      <c r="AI7" s="62">
        <f t="shared" si="58"/>
        <v>43982</v>
      </c>
      <c r="AJ7" s="62">
        <f t="shared" si="58"/>
        <v>44074</v>
      </c>
      <c r="AK7" s="62">
        <f t="shared" si="58"/>
        <v>44165</v>
      </c>
      <c r="AL7" s="62">
        <f t="shared" si="58"/>
        <v>44255</v>
      </c>
      <c r="AM7" s="62">
        <f t="shared" si="58"/>
        <v>44347</v>
      </c>
      <c r="AN7" s="62">
        <f t="shared" si="58"/>
        <v>44439</v>
      </c>
      <c r="AO7" s="62">
        <f t="shared" si="58"/>
        <v>44530</v>
      </c>
      <c r="AP7" s="62">
        <f t="shared" si="58"/>
        <v>44620</v>
      </c>
      <c r="AQ7" s="62">
        <f t="shared" si="58"/>
        <v>44712</v>
      </c>
      <c r="AR7" s="62">
        <f t="shared" si="58"/>
        <v>44804</v>
      </c>
      <c r="AS7" s="62">
        <f t="shared" si="58"/>
        <v>44895</v>
      </c>
      <c r="AT7" s="62">
        <f t="shared" si="58"/>
        <v>44985</v>
      </c>
      <c r="AU7" s="62">
        <f t="shared" si="58"/>
        <v>45077</v>
      </c>
      <c r="AV7" s="62">
        <f t="shared" si="58"/>
        <v>45169</v>
      </c>
      <c r="AW7" s="62">
        <f t="shared" si="58"/>
        <v>45260</v>
      </c>
      <c r="AX7" s="62">
        <f t="shared" si="58"/>
        <v>45351</v>
      </c>
      <c r="AY7" s="62">
        <f t="shared" si="58"/>
        <v>45443</v>
      </c>
      <c r="AZ7" s="62">
        <f t="shared" si="58"/>
        <v>45535</v>
      </c>
      <c r="BA7" s="62">
        <f t="shared" si="58"/>
        <v>45626</v>
      </c>
      <c r="BB7" s="62">
        <f t="shared" si="58"/>
        <v>45716</v>
      </c>
      <c r="BC7" s="62">
        <f t="shared" si="58"/>
        <v>45808</v>
      </c>
      <c r="BD7" s="62">
        <f t="shared" si="58"/>
        <v>45900</v>
      </c>
      <c r="BE7" s="62">
        <f t="shared" si="58"/>
        <v>45991</v>
      </c>
      <c r="BF7" s="62">
        <f t="shared" si="58"/>
        <v>46081</v>
      </c>
      <c r="BG7" s="62">
        <f t="shared" si="58"/>
        <v>46173</v>
      </c>
      <c r="BH7" s="62">
        <f t="shared" si="58"/>
        <v>46265</v>
      </c>
      <c r="BI7" s="62">
        <f t="shared" si="58"/>
        <v>46356</v>
      </c>
      <c r="BJ7" s="62">
        <f t="shared" si="58"/>
        <v>46446</v>
      </c>
      <c r="BK7" s="62">
        <f t="shared" si="58"/>
        <v>46538</v>
      </c>
      <c r="BL7" s="62">
        <f t="shared" si="58"/>
        <v>46630</v>
      </c>
      <c r="BM7" s="62">
        <f t="shared" si="58"/>
        <v>46721</v>
      </c>
      <c r="BN7" s="62">
        <f t="shared" si="58"/>
        <v>46812</v>
      </c>
      <c r="BO7" s="62">
        <f t="shared" si="58"/>
        <v>46904</v>
      </c>
      <c r="BP7" s="62">
        <f t="shared" si="58"/>
        <v>46996</v>
      </c>
      <c r="BQ7" s="62">
        <f t="shared" si="58"/>
        <v>47087</v>
      </c>
      <c r="BR7" s="62">
        <f t="shared" si="58"/>
        <v>47177</v>
      </c>
      <c r="BS7" s="62">
        <f t="shared" ref="BS7" si="59">EDATE(BS6,BS5)-1</f>
        <v>47269</v>
      </c>
      <c r="BT7" s="62">
        <f t="shared" ref="BT7" si="60">EDATE(BT6,BT5)-1</f>
        <v>47361</v>
      </c>
      <c r="BU7" s="62">
        <f t="shared" ref="BU7" si="61">EDATE(BU6,BU5)-1</f>
        <v>47452</v>
      </c>
      <c r="BV7" s="62">
        <f t="shared" ref="BV7" si="62">EDATE(BV6,BV5)-1</f>
        <v>47542</v>
      </c>
      <c r="BW7" s="62">
        <f t="shared" ref="BW7" si="63">EDATE(BW6,BW5)-1</f>
        <v>47634</v>
      </c>
      <c r="BX7" s="62">
        <f t="shared" ref="BX7" si="64">EDATE(BX6,BX5)-1</f>
        <v>47726</v>
      </c>
      <c r="BY7" s="62">
        <f t="shared" ref="BY7" si="65">EDATE(BY6,BY5)-1</f>
        <v>47817</v>
      </c>
      <c r="BZ7" s="62">
        <f t="shared" ref="BZ7" si="66">EDATE(BZ6,BZ5)-1</f>
        <v>47907</v>
      </c>
      <c r="CA7" s="62">
        <f t="shared" ref="CA7" si="67">EDATE(CA6,CA5)-1</f>
        <v>47999</v>
      </c>
      <c r="CB7" s="62">
        <f t="shared" ref="CB7" si="68">EDATE(CB6,CB5)-1</f>
        <v>48091</v>
      </c>
      <c r="CC7" s="62">
        <f t="shared" ref="CC7" si="69">EDATE(CC6,CC5)-1</f>
        <v>48182</v>
      </c>
      <c r="CD7" s="62">
        <f t="shared" ref="CD7" si="70">EDATE(CD6,CD5)-1</f>
        <v>48273</v>
      </c>
      <c r="CE7" s="62">
        <f t="shared" ref="CE7" si="71">EDATE(CE6,CE5)-1</f>
        <v>48365</v>
      </c>
      <c r="CF7" s="62">
        <f t="shared" ref="CF7" si="72">EDATE(CF6,CF5)-1</f>
        <v>48457</v>
      </c>
      <c r="CG7" s="62">
        <f t="shared" ref="CG7" si="73">EDATE(CG6,CG5)-1</f>
        <v>48548</v>
      </c>
      <c r="CH7" s="62">
        <f t="shared" ref="CH7" si="74">EDATE(CH6,CH5)-1</f>
        <v>48638</v>
      </c>
      <c r="CI7" s="62">
        <f t="shared" ref="CI7" si="75">EDATE(CI6,CI5)-1</f>
        <v>48730</v>
      </c>
      <c r="CJ7" s="62">
        <f t="shared" ref="CJ7" si="76">EDATE(CJ6,CJ5)-1</f>
        <v>48822</v>
      </c>
      <c r="CK7" s="62">
        <f t="shared" ref="CK7" si="77">EDATE(CK6,CK5)-1</f>
        <v>48913</v>
      </c>
      <c r="CL7" s="62">
        <f t="shared" ref="CL7" si="78">EDATE(CL6,CL5)-1</f>
        <v>49003</v>
      </c>
      <c r="CM7" s="62">
        <f t="shared" ref="CM7" si="79">EDATE(CM6,CM5)-1</f>
        <v>49095</v>
      </c>
      <c r="CN7" s="62">
        <f t="shared" ref="CN7" si="80">EDATE(CN6,CN5)-1</f>
        <v>49187</v>
      </c>
      <c r="CO7" s="62">
        <f t="shared" ref="CO7" si="81">EDATE(CO6,CO5)-1</f>
        <v>49278</v>
      </c>
      <c r="CP7" s="62">
        <f t="shared" ref="CP7" si="82">EDATE(CP6,CP5)-1</f>
        <v>49368</v>
      </c>
      <c r="CQ7" s="62">
        <f t="shared" ref="CQ7" si="83">EDATE(CQ6,CQ5)-1</f>
        <v>49460</v>
      </c>
      <c r="CR7" s="62">
        <f t="shared" ref="CR7" si="84">EDATE(CR6,CR5)-1</f>
        <v>49552</v>
      </c>
      <c r="CS7" s="62">
        <f t="shared" ref="CS7" si="85">EDATE(CS6,CS5)-1</f>
        <v>49643</v>
      </c>
      <c r="CT7" s="62">
        <f t="shared" ref="CT7" si="86">EDATE(CT6,CT5)-1</f>
        <v>49734</v>
      </c>
      <c r="CU7" s="62">
        <f t="shared" ref="CU7" si="87">EDATE(CU6,CU5)-1</f>
        <v>49826</v>
      </c>
      <c r="CV7" s="62">
        <f t="shared" ref="CV7" si="88">EDATE(CV6,CV5)-1</f>
        <v>49918</v>
      </c>
      <c r="CW7" s="62">
        <f t="shared" ref="CW7" si="89">EDATE(CW6,CW5)-1</f>
        <v>50009</v>
      </c>
      <c r="CX7" s="62">
        <f t="shared" ref="CX7" si="90">EDATE(CX6,CX5)-1</f>
        <v>50099</v>
      </c>
      <c r="CY7" s="62">
        <f t="shared" ref="CY7" si="91">EDATE(CY6,CY5)-1</f>
        <v>50191</v>
      </c>
      <c r="CZ7" s="62">
        <f t="shared" ref="CZ7" si="92">EDATE(CZ6,CZ5)-1</f>
        <v>50283</v>
      </c>
      <c r="DA7" s="62">
        <f t="shared" ref="DA7" si="93">EDATE(DA6,DA5)-1</f>
        <v>50374</v>
      </c>
      <c r="DB7" s="62">
        <f t="shared" ref="DB7" si="94">EDATE(DB6,DB5)-1</f>
        <v>50464</v>
      </c>
      <c r="DC7" s="62">
        <f t="shared" ref="DC7" si="95">EDATE(DC6,DC5)-1</f>
        <v>50556</v>
      </c>
      <c r="DD7" s="62">
        <f t="shared" ref="DD7" si="96">EDATE(DD6,DD5)-1</f>
        <v>50648</v>
      </c>
      <c r="DE7" s="62">
        <f t="shared" ref="DE7" si="97">EDATE(DE6,DE5)-1</f>
        <v>50739</v>
      </c>
      <c r="DF7" s="62">
        <f t="shared" ref="DF7" si="98">EDATE(DF6,DF5)-1</f>
        <v>50829</v>
      </c>
      <c r="DG7" s="62">
        <f t="shared" ref="DG7" si="99">EDATE(DG6,DG5)-1</f>
        <v>50921</v>
      </c>
      <c r="DH7" s="62">
        <f t="shared" ref="DH7" si="100">EDATE(DH6,DH5)-1</f>
        <v>51013</v>
      </c>
      <c r="DI7" s="62">
        <f t="shared" ref="DI7" si="101">EDATE(DI6,DI5)-1</f>
        <v>51104</v>
      </c>
      <c r="DJ7" s="62">
        <f t="shared" ref="DJ7" si="102">EDATE(DJ6,DJ5)-1</f>
        <v>51195</v>
      </c>
      <c r="DK7" s="62">
        <f t="shared" ref="DK7" si="103">EDATE(DK6,DK5)-1</f>
        <v>51287</v>
      </c>
      <c r="DL7" s="62">
        <f t="shared" ref="DL7" si="104">EDATE(DL6,DL5)-1</f>
        <v>51379</v>
      </c>
      <c r="DM7" s="62">
        <f t="shared" ref="DM7" si="105">EDATE(DM6,DM5)-1</f>
        <v>51470</v>
      </c>
      <c r="DN7" s="62">
        <f t="shared" ref="DN7" si="106">EDATE(DN6,DN5)-1</f>
        <v>51560</v>
      </c>
      <c r="DO7" s="62">
        <f t="shared" ref="DO7" si="107">EDATE(DO6,DO5)-1</f>
        <v>51652</v>
      </c>
      <c r="DP7" s="62">
        <f t="shared" ref="DP7" si="108">EDATE(DP6,DP5)-1</f>
        <v>51744</v>
      </c>
      <c r="DQ7" s="62">
        <f t="shared" ref="DQ7" si="109">EDATE(DQ6,DQ5)-1</f>
        <v>51835</v>
      </c>
    </row>
    <row r="8" spans="1:1006" s="59" customFormat="1" x14ac:dyDescent="0.35">
      <c r="C8" s="59" t="s">
        <v>200</v>
      </c>
      <c r="F8" s="59" t="s">
        <v>78</v>
      </c>
      <c r="G8" s="59">
        <f>Assumptions!$F$7</f>
        <v>4</v>
      </c>
      <c r="I8" s="59">
        <f>SUM(K8:BR8)</f>
        <v>4</v>
      </c>
      <c r="K8" s="59">
        <f>(K3&lt;=$G$8)*1</f>
        <v>1</v>
      </c>
      <c r="L8" s="59">
        <f t="shared" ref="L8:BR8" si="110">(L3&lt;=$G$8)*1</f>
        <v>1</v>
      </c>
      <c r="M8" s="59">
        <f t="shared" si="110"/>
        <v>1</v>
      </c>
      <c r="N8" s="59">
        <f t="shared" si="110"/>
        <v>1</v>
      </c>
      <c r="O8" s="59">
        <f t="shared" si="110"/>
        <v>0</v>
      </c>
      <c r="P8" s="59">
        <f t="shared" si="110"/>
        <v>0</v>
      </c>
      <c r="Q8" s="59">
        <f t="shared" si="110"/>
        <v>0</v>
      </c>
      <c r="R8" s="59">
        <f t="shared" si="110"/>
        <v>0</v>
      </c>
      <c r="S8" s="59">
        <f t="shared" si="110"/>
        <v>0</v>
      </c>
      <c r="T8" s="59">
        <f t="shared" si="110"/>
        <v>0</v>
      </c>
      <c r="U8" s="59">
        <f t="shared" si="110"/>
        <v>0</v>
      </c>
      <c r="V8" s="59">
        <f t="shared" si="110"/>
        <v>0</v>
      </c>
      <c r="W8" s="59">
        <f t="shared" si="110"/>
        <v>0</v>
      </c>
      <c r="X8" s="59">
        <f t="shared" si="110"/>
        <v>0</v>
      </c>
      <c r="Y8" s="59">
        <f t="shared" si="110"/>
        <v>0</v>
      </c>
      <c r="Z8" s="59">
        <f t="shared" si="110"/>
        <v>0</v>
      </c>
      <c r="AA8" s="59">
        <f t="shared" si="110"/>
        <v>0</v>
      </c>
      <c r="AB8" s="59">
        <f t="shared" si="110"/>
        <v>0</v>
      </c>
      <c r="AC8" s="59">
        <f t="shared" si="110"/>
        <v>0</v>
      </c>
      <c r="AD8" s="59">
        <f t="shared" si="110"/>
        <v>0</v>
      </c>
      <c r="AE8" s="59">
        <f t="shared" si="110"/>
        <v>0</v>
      </c>
      <c r="AF8" s="59">
        <f t="shared" si="110"/>
        <v>0</v>
      </c>
      <c r="AG8" s="59">
        <f t="shared" si="110"/>
        <v>0</v>
      </c>
      <c r="AH8" s="59">
        <f t="shared" si="110"/>
        <v>0</v>
      </c>
      <c r="AI8" s="59">
        <f t="shared" si="110"/>
        <v>0</v>
      </c>
      <c r="AJ8" s="59">
        <f t="shared" si="110"/>
        <v>0</v>
      </c>
      <c r="AK8" s="59">
        <f t="shared" si="110"/>
        <v>0</v>
      </c>
      <c r="AL8" s="59">
        <f t="shared" si="110"/>
        <v>0</v>
      </c>
      <c r="AM8" s="59">
        <f t="shared" si="110"/>
        <v>0</v>
      </c>
      <c r="AN8" s="59">
        <f t="shared" si="110"/>
        <v>0</v>
      </c>
      <c r="AO8" s="59">
        <f t="shared" si="110"/>
        <v>0</v>
      </c>
      <c r="AP8" s="59">
        <f t="shared" si="110"/>
        <v>0</v>
      </c>
      <c r="AQ8" s="59">
        <f t="shared" si="110"/>
        <v>0</v>
      </c>
      <c r="AR8" s="59">
        <f t="shared" si="110"/>
        <v>0</v>
      </c>
      <c r="AS8" s="59">
        <f t="shared" si="110"/>
        <v>0</v>
      </c>
      <c r="AT8" s="59">
        <f t="shared" si="110"/>
        <v>0</v>
      </c>
      <c r="AU8" s="59">
        <f t="shared" si="110"/>
        <v>0</v>
      </c>
      <c r="AV8" s="59">
        <f t="shared" si="110"/>
        <v>0</v>
      </c>
      <c r="AW8" s="59">
        <f t="shared" si="110"/>
        <v>0</v>
      </c>
      <c r="AX8" s="59">
        <f t="shared" si="110"/>
        <v>0</v>
      </c>
      <c r="AY8" s="59">
        <f t="shared" si="110"/>
        <v>0</v>
      </c>
      <c r="AZ8" s="59">
        <f t="shared" si="110"/>
        <v>0</v>
      </c>
      <c r="BA8" s="59">
        <f t="shared" si="110"/>
        <v>0</v>
      </c>
      <c r="BB8" s="59">
        <f t="shared" si="110"/>
        <v>0</v>
      </c>
      <c r="BC8" s="59">
        <f t="shared" si="110"/>
        <v>0</v>
      </c>
      <c r="BD8" s="59">
        <f t="shared" si="110"/>
        <v>0</v>
      </c>
      <c r="BE8" s="59">
        <f t="shared" si="110"/>
        <v>0</v>
      </c>
      <c r="BF8" s="59">
        <f t="shared" si="110"/>
        <v>0</v>
      </c>
      <c r="BG8" s="59">
        <f t="shared" si="110"/>
        <v>0</v>
      </c>
      <c r="BH8" s="59">
        <f t="shared" si="110"/>
        <v>0</v>
      </c>
      <c r="BI8" s="59">
        <f t="shared" si="110"/>
        <v>0</v>
      </c>
      <c r="BJ8" s="59">
        <f t="shared" si="110"/>
        <v>0</v>
      </c>
      <c r="BK8" s="59">
        <f t="shared" si="110"/>
        <v>0</v>
      </c>
      <c r="BL8" s="59">
        <f t="shared" si="110"/>
        <v>0</v>
      </c>
      <c r="BM8" s="59">
        <f t="shared" si="110"/>
        <v>0</v>
      </c>
      <c r="BN8" s="59">
        <f t="shared" si="110"/>
        <v>0</v>
      </c>
      <c r="BO8" s="59">
        <f t="shared" si="110"/>
        <v>0</v>
      </c>
      <c r="BP8" s="59">
        <f t="shared" si="110"/>
        <v>0</v>
      </c>
      <c r="BQ8" s="59">
        <f t="shared" si="110"/>
        <v>0</v>
      </c>
      <c r="BR8" s="59">
        <f t="shared" si="110"/>
        <v>0</v>
      </c>
      <c r="BS8" s="59">
        <f t="shared" ref="BS8:CL8" si="111">(BS3&lt;=$G$8)*1</f>
        <v>0</v>
      </c>
      <c r="BT8" s="59">
        <f t="shared" si="111"/>
        <v>0</v>
      </c>
      <c r="BU8" s="59">
        <f t="shared" si="111"/>
        <v>0</v>
      </c>
      <c r="BV8" s="59">
        <f t="shared" si="111"/>
        <v>0</v>
      </c>
      <c r="BW8" s="59">
        <f t="shared" si="111"/>
        <v>0</v>
      </c>
      <c r="BX8" s="59">
        <f t="shared" si="111"/>
        <v>0</v>
      </c>
      <c r="BY8" s="59">
        <f t="shared" si="111"/>
        <v>0</v>
      </c>
      <c r="BZ8" s="59">
        <f t="shared" si="111"/>
        <v>0</v>
      </c>
      <c r="CA8" s="59">
        <f t="shared" si="111"/>
        <v>0</v>
      </c>
      <c r="CB8" s="59">
        <f t="shared" si="111"/>
        <v>0</v>
      </c>
      <c r="CC8" s="59">
        <f t="shared" si="111"/>
        <v>0</v>
      </c>
      <c r="CD8" s="59">
        <f t="shared" si="111"/>
        <v>0</v>
      </c>
      <c r="CE8" s="59">
        <f t="shared" si="111"/>
        <v>0</v>
      </c>
      <c r="CF8" s="59">
        <f t="shared" si="111"/>
        <v>0</v>
      </c>
      <c r="CG8" s="59">
        <f t="shared" si="111"/>
        <v>0</v>
      </c>
      <c r="CH8" s="59">
        <f t="shared" si="111"/>
        <v>0</v>
      </c>
      <c r="CI8" s="59">
        <f t="shared" si="111"/>
        <v>0</v>
      </c>
      <c r="CJ8" s="59">
        <f t="shared" si="111"/>
        <v>0</v>
      </c>
      <c r="CK8" s="59">
        <f t="shared" si="111"/>
        <v>0</v>
      </c>
      <c r="CL8" s="59">
        <f t="shared" si="111"/>
        <v>0</v>
      </c>
      <c r="CM8" s="59">
        <f t="shared" ref="CM8:CZ8" si="112">(CM3&lt;=$G$8)*1</f>
        <v>0</v>
      </c>
      <c r="CN8" s="59">
        <f t="shared" si="112"/>
        <v>0</v>
      </c>
      <c r="CO8" s="59">
        <f t="shared" si="112"/>
        <v>0</v>
      </c>
      <c r="CP8" s="59">
        <f t="shared" si="112"/>
        <v>0</v>
      </c>
      <c r="CQ8" s="59">
        <f t="shared" si="112"/>
        <v>0</v>
      </c>
      <c r="CR8" s="59">
        <f t="shared" si="112"/>
        <v>0</v>
      </c>
      <c r="CS8" s="59">
        <f t="shared" si="112"/>
        <v>0</v>
      </c>
      <c r="CT8" s="59">
        <f t="shared" si="112"/>
        <v>0</v>
      </c>
      <c r="CU8" s="59">
        <f t="shared" si="112"/>
        <v>0</v>
      </c>
      <c r="CV8" s="59">
        <f t="shared" si="112"/>
        <v>0</v>
      </c>
      <c r="CW8" s="59">
        <f t="shared" si="112"/>
        <v>0</v>
      </c>
      <c r="CX8" s="59">
        <f t="shared" si="112"/>
        <v>0</v>
      </c>
      <c r="CY8" s="59">
        <f t="shared" si="112"/>
        <v>0</v>
      </c>
      <c r="CZ8" s="59">
        <f t="shared" si="112"/>
        <v>0</v>
      </c>
      <c r="DA8" s="59">
        <f t="shared" ref="DA8:DQ8" si="113">(DA3&lt;=$G$8)*1</f>
        <v>0</v>
      </c>
      <c r="DB8" s="59">
        <f t="shared" si="113"/>
        <v>0</v>
      </c>
      <c r="DC8" s="59">
        <f t="shared" si="113"/>
        <v>0</v>
      </c>
      <c r="DD8" s="59">
        <f t="shared" si="113"/>
        <v>0</v>
      </c>
      <c r="DE8" s="59">
        <f t="shared" si="113"/>
        <v>0</v>
      </c>
      <c r="DF8" s="59">
        <f t="shared" si="113"/>
        <v>0</v>
      </c>
      <c r="DG8" s="59">
        <f t="shared" si="113"/>
        <v>0</v>
      </c>
      <c r="DH8" s="59">
        <f t="shared" si="113"/>
        <v>0</v>
      </c>
      <c r="DI8" s="59">
        <f t="shared" si="113"/>
        <v>0</v>
      </c>
      <c r="DJ8" s="59">
        <f t="shared" si="113"/>
        <v>0</v>
      </c>
      <c r="DK8" s="59">
        <f t="shared" si="113"/>
        <v>0</v>
      </c>
      <c r="DL8" s="59">
        <f t="shared" si="113"/>
        <v>0</v>
      </c>
      <c r="DM8" s="59">
        <f t="shared" si="113"/>
        <v>0</v>
      </c>
      <c r="DN8" s="59">
        <f t="shared" si="113"/>
        <v>0</v>
      </c>
      <c r="DO8" s="59">
        <f t="shared" si="113"/>
        <v>0</v>
      </c>
      <c r="DP8" s="59">
        <f t="shared" si="113"/>
        <v>0</v>
      </c>
      <c r="DQ8" s="59">
        <f t="shared" si="113"/>
        <v>0</v>
      </c>
    </row>
    <row r="9" spans="1:1006" s="59" customFormat="1" x14ac:dyDescent="0.35">
      <c r="C9" s="59" t="s">
        <v>97</v>
      </c>
      <c r="F9" s="59" t="s">
        <v>78</v>
      </c>
      <c r="G9" s="62">
        <f>Assumptions!$F$9</f>
        <v>42370</v>
      </c>
      <c r="H9" s="62">
        <f>Assumptions!$F$14</f>
        <v>42522</v>
      </c>
      <c r="I9" s="59">
        <f t="shared" ref="I9:I10" si="114">SUM(K9:BR9)</f>
        <v>5</v>
      </c>
      <c r="K9" s="59">
        <f>AND(K$6&gt;=$G9,K$6&lt;$H9)*1</f>
        <v>0</v>
      </c>
      <c r="L9" s="59">
        <f t="shared" ref="L9:BS10" si="115">AND(L$6&gt;=$G9,L$6&lt;$H9)*1</f>
        <v>0</v>
      </c>
      <c r="M9" s="59">
        <f t="shared" si="115"/>
        <v>0</v>
      </c>
      <c r="N9" s="59">
        <f t="shared" si="115"/>
        <v>0</v>
      </c>
      <c r="O9" s="59">
        <f t="shared" si="115"/>
        <v>1</v>
      </c>
      <c r="P9" s="59">
        <f t="shared" si="115"/>
        <v>1</v>
      </c>
      <c r="Q9" s="59">
        <f t="shared" si="115"/>
        <v>1</v>
      </c>
      <c r="R9" s="59">
        <f t="shared" si="115"/>
        <v>1</v>
      </c>
      <c r="S9" s="59">
        <f t="shared" si="115"/>
        <v>1</v>
      </c>
      <c r="T9" s="59">
        <f t="shared" si="115"/>
        <v>0</v>
      </c>
      <c r="U9" s="59">
        <f t="shared" si="115"/>
        <v>0</v>
      </c>
      <c r="V9" s="59">
        <f t="shared" si="115"/>
        <v>0</v>
      </c>
      <c r="W9" s="59">
        <f t="shared" si="115"/>
        <v>0</v>
      </c>
      <c r="X9" s="59">
        <f t="shared" si="115"/>
        <v>0</v>
      </c>
      <c r="Y9" s="59">
        <f t="shared" si="115"/>
        <v>0</v>
      </c>
      <c r="Z9" s="59">
        <f t="shared" si="115"/>
        <v>0</v>
      </c>
      <c r="AA9" s="59">
        <f t="shared" si="115"/>
        <v>0</v>
      </c>
      <c r="AB9" s="59">
        <f t="shared" si="115"/>
        <v>0</v>
      </c>
      <c r="AC9" s="59">
        <f t="shared" si="115"/>
        <v>0</v>
      </c>
      <c r="AD9" s="59">
        <f t="shared" si="115"/>
        <v>0</v>
      </c>
      <c r="AE9" s="59">
        <f t="shared" si="115"/>
        <v>0</v>
      </c>
      <c r="AF9" s="59">
        <f t="shared" si="115"/>
        <v>0</v>
      </c>
      <c r="AG9" s="59">
        <f t="shared" si="115"/>
        <v>0</v>
      </c>
      <c r="AH9" s="59">
        <f t="shared" si="115"/>
        <v>0</v>
      </c>
      <c r="AI9" s="59">
        <f t="shared" si="115"/>
        <v>0</v>
      </c>
      <c r="AJ9" s="59">
        <f t="shared" si="115"/>
        <v>0</v>
      </c>
      <c r="AK9" s="59">
        <f t="shared" si="115"/>
        <v>0</v>
      </c>
      <c r="AL9" s="59">
        <f t="shared" si="115"/>
        <v>0</v>
      </c>
      <c r="AM9" s="59">
        <f t="shared" si="115"/>
        <v>0</v>
      </c>
      <c r="AN9" s="59">
        <f t="shared" si="115"/>
        <v>0</v>
      </c>
      <c r="AO9" s="59">
        <f t="shared" si="115"/>
        <v>0</v>
      </c>
      <c r="AP9" s="59">
        <f t="shared" si="115"/>
        <v>0</v>
      </c>
      <c r="AQ9" s="59">
        <f t="shared" si="115"/>
        <v>0</v>
      </c>
      <c r="AR9" s="59">
        <f t="shared" si="115"/>
        <v>0</v>
      </c>
      <c r="AS9" s="59">
        <f t="shared" si="115"/>
        <v>0</v>
      </c>
      <c r="AT9" s="59">
        <f t="shared" si="115"/>
        <v>0</v>
      </c>
      <c r="AU9" s="59">
        <f t="shared" si="115"/>
        <v>0</v>
      </c>
      <c r="AV9" s="59">
        <f t="shared" si="115"/>
        <v>0</v>
      </c>
      <c r="AW9" s="59">
        <f t="shared" si="115"/>
        <v>0</v>
      </c>
      <c r="AX9" s="59">
        <f t="shared" si="115"/>
        <v>0</v>
      </c>
      <c r="AY9" s="59">
        <f t="shared" si="115"/>
        <v>0</v>
      </c>
      <c r="AZ9" s="59">
        <f t="shared" si="115"/>
        <v>0</v>
      </c>
      <c r="BA9" s="59">
        <f t="shared" si="115"/>
        <v>0</v>
      </c>
      <c r="BB9" s="59">
        <f t="shared" si="115"/>
        <v>0</v>
      </c>
      <c r="BC9" s="59">
        <f t="shared" si="115"/>
        <v>0</v>
      </c>
      <c r="BD9" s="59">
        <f t="shared" si="115"/>
        <v>0</v>
      </c>
      <c r="BE9" s="59">
        <f t="shared" si="115"/>
        <v>0</v>
      </c>
      <c r="BF9" s="59">
        <f t="shared" si="115"/>
        <v>0</v>
      </c>
      <c r="BG9" s="59">
        <f t="shared" si="115"/>
        <v>0</v>
      </c>
      <c r="BH9" s="59">
        <f t="shared" si="115"/>
        <v>0</v>
      </c>
      <c r="BI9" s="59">
        <f t="shared" si="115"/>
        <v>0</v>
      </c>
      <c r="BJ9" s="59">
        <f t="shared" si="115"/>
        <v>0</v>
      </c>
      <c r="BK9" s="59">
        <f t="shared" si="115"/>
        <v>0</v>
      </c>
      <c r="BL9" s="59">
        <f t="shared" si="115"/>
        <v>0</v>
      </c>
      <c r="BM9" s="59">
        <f t="shared" si="115"/>
        <v>0</v>
      </c>
      <c r="BN9" s="59">
        <f t="shared" si="115"/>
        <v>0</v>
      </c>
      <c r="BO9" s="59">
        <f t="shared" si="115"/>
        <v>0</v>
      </c>
      <c r="BP9" s="59">
        <f t="shared" si="115"/>
        <v>0</v>
      </c>
      <c r="BQ9" s="59">
        <f t="shared" si="115"/>
        <v>0</v>
      </c>
      <c r="BR9" s="59">
        <f t="shared" si="115"/>
        <v>0</v>
      </c>
      <c r="BS9" s="59">
        <f t="shared" si="115"/>
        <v>0</v>
      </c>
      <c r="BT9" s="59">
        <f t="shared" ref="BS9:CM10" si="116">AND(BT$6&gt;=$G9,BT$6&lt;$H9)*1</f>
        <v>0</v>
      </c>
      <c r="BU9" s="59">
        <f t="shared" si="116"/>
        <v>0</v>
      </c>
      <c r="BV9" s="59">
        <f t="shared" si="116"/>
        <v>0</v>
      </c>
      <c r="BW9" s="59">
        <f t="shared" si="116"/>
        <v>0</v>
      </c>
      <c r="BX9" s="59">
        <f t="shared" si="116"/>
        <v>0</v>
      </c>
      <c r="BY9" s="59">
        <f t="shared" si="116"/>
        <v>0</v>
      </c>
      <c r="BZ9" s="59">
        <f t="shared" si="116"/>
        <v>0</v>
      </c>
      <c r="CA9" s="59">
        <f t="shared" si="116"/>
        <v>0</v>
      </c>
      <c r="CB9" s="59">
        <f t="shared" si="116"/>
        <v>0</v>
      </c>
      <c r="CC9" s="59">
        <f t="shared" si="116"/>
        <v>0</v>
      </c>
      <c r="CD9" s="59">
        <f t="shared" si="116"/>
        <v>0</v>
      </c>
      <c r="CE9" s="59">
        <f t="shared" si="116"/>
        <v>0</v>
      </c>
      <c r="CF9" s="59">
        <f t="shared" si="116"/>
        <v>0</v>
      </c>
      <c r="CG9" s="59">
        <f t="shared" si="116"/>
        <v>0</v>
      </c>
      <c r="CH9" s="59">
        <f t="shared" si="116"/>
        <v>0</v>
      </c>
      <c r="CI9" s="59">
        <f t="shared" si="116"/>
        <v>0</v>
      </c>
      <c r="CJ9" s="59">
        <f t="shared" si="116"/>
        <v>0</v>
      </c>
      <c r="CK9" s="59">
        <f t="shared" si="116"/>
        <v>0</v>
      </c>
      <c r="CL9" s="59">
        <f t="shared" si="116"/>
        <v>0</v>
      </c>
      <c r="CM9" s="59">
        <f t="shared" si="116"/>
        <v>0</v>
      </c>
      <c r="CN9" s="59">
        <f t="shared" ref="CM9:DB10" si="117">AND(CN$6&gt;=$G9,CN$6&lt;$H9)*1</f>
        <v>0</v>
      </c>
      <c r="CO9" s="59">
        <f t="shared" si="117"/>
        <v>0</v>
      </c>
      <c r="CP9" s="59">
        <f t="shared" si="117"/>
        <v>0</v>
      </c>
      <c r="CQ9" s="59">
        <f t="shared" si="117"/>
        <v>0</v>
      </c>
      <c r="CR9" s="59">
        <f t="shared" si="117"/>
        <v>0</v>
      </c>
      <c r="CS9" s="59">
        <f t="shared" si="117"/>
        <v>0</v>
      </c>
      <c r="CT9" s="59">
        <f t="shared" si="117"/>
        <v>0</v>
      </c>
      <c r="CU9" s="59">
        <f t="shared" si="117"/>
        <v>0</v>
      </c>
      <c r="CV9" s="59">
        <f t="shared" si="117"/>
        <v>0</v>
      </c>
      <c r="CW9" s="59">
        <f t="shared" si="117"/>
        <v>0</v>
      </c>
      <c r="CX9" s="59">
        <f t="shared" si="117"/>
        <v>0</v>
      </c>
      <c r="CY9" s="59">
        <f t="shared" si="117"/>
        <v>0</v>
      </c>
      <c r="CZ9" s="59">
        <f t="shared" si="117"/>
        <v>0</v>
      </c>
      <c r="DA9" s="59">
        <f t="shared" si="117"/>
        <v>0</v>
      </c>
      <c r="DB9" s="59">
        <f t="shared" si="117"/>
        <v>0</v>
      </c>
      <c r="DC9" s="59">
        <f t="shared" ref="DA9:DQ10" si="118">AND(DC$6&gt;=$G9,DC$6&lt;$H9)*1</f>
        <v>0</v>
      </c>
      <c r="DD9" s="59">
        <f t="shared" si="118"/>
        <v>0</v>
      </c>
      <c r="DE9" s="59">
        <f t="shared" si="118"/>
        <v>0</v>
      </c>
      <c r="DF9" s="59">
        <f t="shared" si="118"/>
        <v>0</v>
      </c>
      <c r="DG9" s="59">
        <f t="shared" si="118"/>
        <v>0</v>
      </c>
      <c r="DH9" s="59">
        <f t="shared" si="118"/>
        <v>0</v>
      </c>
      <c r="DI9" s="59">
        <f t="shared" si="118"/>
        <v>0</v>
      </c>
      <c r="DJ9" s="59">
        <f t="shared" si="118"/>
        <v>0</v>
      </c>
      <c r="DK9" s="59">
        <f t="shared" si="118"/>
        <v>0</v>
      </c>
      <c r="DL9" s="59">
        <f t="shared" si="118"/>
        <v>0</v>
      </c>
      <c r="DM9" s="59">
        <f t="shared" si="118"/>
        <v>0</v>
      </c>
      <c r="DN9" s="59">
        <f t="shared" si="118"/>
        <v>0</v>
      </c>
      <c r="DO9" s="59">
        <f t="shared" si="118"/>
        <v>0</v>
      </c>
      <c r="DP9" s="59">
        <f t="shared" si="118"/>
        <v>0</v>
      </c>
      <c r="DQ9" s="59">
        <f t="shared" si="118"/>
        <v>0</v>
      </c>
    </row>
    <row r="10" spans="1:1006" x14ac:dyDescent="0.35">
      <c r="C10" s="20" t="s">
        <v>98</v>
      </c>
      <c r="F10" s="20" t="s">
        <v>78</v>
      </c>
      <c r="G10" s="47">
        <f>Assumptions!$F$14</f>
        <v>42522</v>
      </c>
      <c r="H10" s="46">
        <f>Assumptions!$F$17</f>
        <v>51653</v>
      </c>
      <c r="I10" s="54">
        <f t="shared" si="114"/>
        <v>51</v>
      </c>
      <c r="K10" s="20">
        <f>AND(K$6&gt;=$G10,K$6&lt;$H10)*1</f>
        <v>0</v>
      </c>
      <c r="L10" s="20">
        <f t="shared" si="115"/>
        <v>0</v>
      </c>
      <c r="M10" s="20">
        <f t="shared" si="115"/>
        <v>0</v>
      </c>
      <c r="N10" s="20">
        <f t="shared" si="115"/>
        <v>0</v>
      </c>
      <c r="O10" s="20">
        <f t="shared" si="115"/>
        <v>0</v>
      </c>
      <c r="P10" s="20">
        <f t="shared" si="115"/>
        <v>0</v>
      </c>
      <c r="Q10" s="20">
        <f t="shared" si="115"/>
        <v>0</v>
      </c>
      <c r="R10" s="20">
        <f t="shared" si="115"/>
        <v>0</v>
      </c>
      <c r="S10" s="20">
        <f t="shared" si="115"/>
        <v>0</v>
      </c>
      <c r="T10" s="20">
        <f t="shared" si="115"/>
        <v>1</v>
      </c>
      <c r="U10" s="20">
        <f t="shared" si="115"/>
        <v>1</v>
      </c>
      <c r="V10" s="20">
        <f t="shared" si="115"/>
        <v>1</v>
      </c>
      <c r="W10" s="20">
        <f t="shared" si="115"/>
        <v>1</v>
      </c>
      <c r="X10" s="20">
        <f t="shared" si="115"/>
        <v>1</v>
      </c>
      <c r="Y10" s="20">
        <f t="shared" si="115"/>
        <v>1</v>
      </c>
      <c r="Z10" s="20">
        <f t="shared" si="115"/>
        <v>1</v>
      </c>
      <c r="AA10" s="20">
        <f t="shared" si="115"/>
        <v>1</v>
      </c>
      <c r="AB10" s="20">
        <f t="shared" si="115"/>
        <v>1</v>
      </c>
      <c r="AC10" s="20">
        <f t="shared" si="115"/>
        <v>1</v>
      </c>
      <c r="AD10" s="20">
        <f t="shared" si="115"/>
        <v>1</v>
      </c>
      <c r="AE10" s="20">
        <f t="shared" si="115"/>
        <v>1</v>
      </c>
      <c r="AF10" s="20">
        <f t="shared" si="115"/>
        <v>1</v>
      </c>
      <c r="AG10" s="20">
        <f t="shared" si="115"/>
        <v>1</v>
      </c>
      <c r="AH10" s="20">
        <f t="shared" si="115"/>
        <v>1</v>
      </c>
      <c r="AI10" s="20">
        <f t="shared" si="115"/>
        <v>1</v>
      </c>
      <c r="AJ10" s="20">
        <f t="shared" si="115"/>
        <v>1</v>
      </c>
      <c r="AK10" s="20">
        <f t="shared" si="115"/>
        <v>1</v>
      </c>
      <c r="AL10" s="20">
        <f t="shared" si="115"/>
        <v>1</v>
      </c>
      <c r="AM10" s="20">
        <f t="shared" si="115"/>
        <v>1</v>
      </c>
      <c r="AN10" s="20">
        <f t="shared" si="115"/>
        <v>1</v>
      </c>
      <c r="AO10" s="20">
        <f t="shared" si="115"/>
        <v>1</v>
      </c>
      <c r="AP10" s="20">
        <f t="shared" si="115"/>
        <v>1</v>
      </c>
      <c r="AQ10" s="20">
        <f t="shared" si="115"/>
        <v>1</v>
      </c>
      <c r="AR10" s="20">
        <f t="shared" si="115"/>
        <v>1</v>
      </c>
      <c r="AS10" s="20">
        <f t="shared" si="115"/>
        <v>1</v>
      </c>
      <c r="AT10" s="20">
        <f t="shared" si="115"/>
        <v>1</v>
      </c>
      <c r="AU10" s="20">
        <f t="shared" si="115"/>
        <v>1</v>
      </c>
      <c r="AV10" s="20">
        <f t="shared" si="115"/>
        <v>1</v>
      </c>
      <c r="AW10" s="20">
        <f t="shared" si="115"/>
        <v>1</v>
      </c>
      <c r="AX10" s="20">
        <f t="shared" si="115"/>
        <v>1</v>
      </c>
      <c r="AY10" s="20">
        <f t="shared" si="115"/>
        <v>1</v>
      </c>
      <c r="AZ10" s="20">
        <f t="shared" si="115"/>
        <v>1</v>
      </c>
      <c r="BA10" s="20">
        <f t="shared" si="115"/>
        <v>1</v>
      </c>
      <c r="BB10" s="20">
        <f t="shared" si="115"/>
        <v>1</v>
      </c>
      <c r="BC10" s="20">
        <f t="shared" si="115"/>
        <v>1</v>
      </c>
      <c r="BD10" s="20">
        <f t="shared" si="115"/>
        <v>1</v>
      </c>
      <c r="BE10" s="20">
        <f t="shared" si="115"/>
        <v>1</v>
      </c>
      <c r="BF10" s="20">
        <f t="shared" si="115"/>
        <v>1</v>
      </c>
      <c r="BG10" s="20">
        <f t="shared" si="115"/>
        <v>1</v>
      </c>
      <c r="BH10" s="20">
        <f t="shared" si="115"/>
        <v>1</v>
      </c>
      <c r="BI10" s="20">
        <f t="shared" si="115"/>
        <v>1</v>
      </c>
      <c r="BJ10" s="20">
        <f t="shared" si="115"/>
        <v>1</v>
      </c>
      <c r="BK10" s="20">
        <f t="shared" si="115"/>
        <v>1</v>
      </c>
      <c r="BL10" s="20">
        <f t="shared" si="115"/>
        <v>1</v>
      </c>
      <c r="BM10" s="20">
        <f t="shared" si="115"/>
        <v>1</v>
      </c>
      <c r="BN10" s="20">
        <f t="shared" si="115"/>
        <v>1</v>
      </c>
      <c r="BO10" s="20">
        <f t="shared" si="115"/>
        <v>1</v>
      </c>
      <c r="BP10" s="20">
        <f t="shared" si="115"/>
        <v>1</v>
      </c>
      <c r="BQ10" s="20">
        <f t="shared" si="115"/>
        <v>1</v>
      </c>
      <c r="BR10" s="20">
        <f t="shared" si="115"/>
        <v>1</v>
      </c>
      <c r="BS10" s="20">
        <f t="shared" si="116"/>
        <v>1</v>
      </c>
      <c r="BT10" s="20">
        <f t="shared" si="116"/>
        <v>1</v>
      </c>
      <c r="BU10" s="20">
        <f t="shared" si="116"/>
        <v>1</v>
      </c>
      <c r="BV10" s="20">
        <f t="shared" si="116"/>
        <v>1</v>
      </c>
      <c r="BW10" s="20">
        <f t="shared" si="116"/>
        <v>1</v>
      </c>
      <c r="BX10" s="20">
        <f t="shared" si="116"/>
        <v>1</v>
      </c>
      <c r="BY10" s="20">
        <f t="shared" si="116"/>
        <v>1</v>
      </c>
      <c r="BZ10" s="20">
        <f t="shared" si="116"/>
        <v>1</v>
      </c>
      <c r="CA10" s="20">
        <f t="shared" si="116"/>
        <v>1</v>
      </c>
      <c r="CB10" s="20">
        <f t="shared" si="116"/>
        <v>1</v>
      </c>
      <c r="CC10" s="20">
        <f t="shared" si="116"/>
        <v>1</v>
      </c>
      <c r="CD10" s="20">
        <f t="shared" si="116"/>
        <v>1</v>
      </c>
      <c r="CE10" s="20">
        <f t="shared" si="116"/>
        <v>1</v>
      </c>
      <c r="CF10" s="20">
        <f t="shared" si="116"/>
        <v>1</v>
      </c>
      <c r="CG10" s="20">
        <f t="shared" si="116"/>
        <v>1</v>
      </c>
      <c r="CH10" s="20">
        <f t="shared" si="116"/>
        <v>1</v>
      </c>
      <c r="CI10" s="20">
        <f t="shared" si="116"/>
        <v>1</v>
      </c>
      <c r="CJ10" s="20">
        <f t="shared" si="116"/>
        <v>1</v>
      </c>
      <c r="CK10" s="20">
        <f t="shared" si="116"/>
        <v>1</v>
      </c>
      <c r="CL10" s="20">
        <f t="shared" si="116"/>
        <v>1</v>
      </c>
      <c r="CM10" s="20">
        <f t="shared" si="117"/>
        <v>1</v>
      </c>
      <c r="CN10" s="20">
        <f t="shared" si="117"/>
        <v>1</v>
      </c>
      <c r="CO10" s="20">
        <f t="shared" si="117"/>
        <v>1</v>
      </c>
      <c r="CP10" s="20">
        <f t="shared" si="117"/>
        <v>1</v>
      </c>
      <c r="CQ10" s="20">
        <f t="shared" si="117"/>
        <v>1</v>
      </c>
      <c r="CR10" s="20">
        <f t="shared" si="117"/>
        <v>1</v>
      </c>
      <c r="CS10" s="20">
        <f t="shared" si="117"/>
        <v>1</v>
      </c>
      <c r="CT10" s="20">
        <f t="shared" si="117"/>
        <v>1</v>
      </c>
      <c r="CU10" s="20">
        <f t="shared" si="117"/>
        <v>1</v>
      </c>
      <c r="CV10" s="20">
        <f t="shared" si="117"/>
        <v>1</v>
      </c>
      <c r="CW10" s="20">
        <f t="shared" si="117"/>
        <v>1</v>
      </c>
      <c r="CX10" s="20">
        <f t="shared" si="117"/>
        <v>1</v>
      </c>
      <c r="CY10" s="20">
        <f t="shared" si="117"/>
        <v>1</v>
      </c>
      <c r="CZ10" s="20">
        <f t="shared" si="117"/>
        <v>1</v>
      </c>
      <c r="DA10" s="20">
        <f t="shared" si="118"/>
        <v>1</v>
      </c>
      <c r="DB10" s="20">
        <f t="shared" si="118"/>
        <v>1</v>
      </c>
      <c r="DC10" s="20">
        <f t="shared" si="118"/>
        <v>1</v>
      </c>
      <c r="DD10" s="20">
        <f t="shared" si="118"/>
        <v>1</v>
      </c>
      <c r="DE10" s="20">
        <f t="shared" si="118"/>
        <v>1</v>
      </c>
      <c r="DF10" s="20">
        <f t="shared" si="118"/>
        <v>1</v>
      </c>
      <c r="DG10" s="20">
        <f t="shared" si="118"/>
        <v>1</v>
      </c>
      <c r="DH10" s="20">
        <f t="shared" si="118"/>
        <v>1</v>
      </c>
      <c r="DI10" s="20">
        <f t="shared" si="118"/>
        <v>1</v>
      </c>
      <c r="DJ10" s="20">
        <f t="shared" si="118"/>
        <v>1</v>
      </c>
      <c r="DK10" s="20">
        <f t="shared" si="118"/>
        <v>1</v>
      </c>
      <c r="DL10" s="20">
        <f t="shared" si="118"/>
        <v>1</v>
      </c>
      <c r="DM10" s="20">
        <f t="shared" si="118"/>
        <v>1</v>
      </c>
      <c r="DN10" s="20">
        <f t="shared" si="118"/>
        <v>1</v>
      </c>
      <c r="DO10" s="20">
        <f t="shared" si="118"/>
        <v>1</v>
      </c>
      <c r="DP10" s="20">
        <f t="shared" si="118"/>
        <v>0</v>
      </c>
      <c r="DQ10" s="20">
        <f t="shared" si="118"/>
        <v>0</v>
      </c>
    </row>
    <row r="12" spans="1:1006" x14ac:dyDescent="0.35">
      <c r="B12" s="37" t="s">
        <v>20</v>
      </c>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c r="BT12" s="37"/>
      <c r="BU12" s="37"/>
      <c r="BV12" s="37"/>
      <c r="BW12" s="37"/>
      <c r="BX12" s="37"/>
      <c r="BY12" s="37"/>
      <c r="BZ12" s="37"/>
      <c r="CA12" s="37"/>
      <c r="CB12" s="37"/>
      <c r="CC12" s="37"/>
      <c r="CD12" s="37"/>
      <c r="CE12" s="37"/>
      <c r="CF12" s="37"/>
      <c r="CG12" s="37"/>
      <c r="CH12" s="37"/>
      <c r="CI12" s="37"/>
      <c r="CJ12" s="37"/>
      <c r="CK12" s="37"/>
      <c r="CL12" s="37"/>
      <c r="CM12" s="37"/>
      <c r="CN12" s="37"/>
      <c r="CO12" s="37"/>
      <c r="CP12" s="37"/>
      <c r="CQ12" s="37"/>
      <c r="CR12" s="37"/>
      <c r="CS12" s="37"/>
      <c r="CT12" s="37"/>
      <c r="CU12" s="37"/>
      <c r="CV12" s="37"/>
      <c r="CW12" s="37"/>
      <c r="CX12" s="37"/>
      <c r="CY12" s="37"/>
      <c r="CZ12" s="37"/>
      <c r="DA12" s="37"/>
      <c r="DB12" s="37"/>
      <c r="DC12" s="37"/>
      <c r="DD12" s="37"/>
      <c r="DE12" s="37"/>
      <c r="DF12" s="37"/>
      <c r="DG12" s="37"/>
      <c r="DH12" s="37"/>
      <c r="DI12" s="37"/>
      <c r="DJ12" s="37"/>
      <c r="DK12" s="37"/>
      <c r="DL12" s="37"/>
      <c r="DM12" s="37"/>
      <c r="DN12" s="37"/>
      <c r="DO12" s="37"/>
      <c r="DP12" s="37"/>
      <c r="DQ12" s="37"/>
      <c r="DR12" s="37"/>
      <c r="DS12" s="37"/>
      <c r="DT12" s="37"/>
      <c r="DU12" s="37"/>
      <c r="DV12" s="37"/>
      <c r="DW12" s="37"/>
      <c r="DX12" s="37"/>
      <c r="DY12" s="37"/>
      <c r="DZ12" s="37"/>
      <c r="EA12" s="37"/>
      <c r="EB12" s="37"/>
      <c r="EC12" s="37"/>
      <c r="ED12" s="37"/>
      <c r="EE12" s="37"/>
      <c r="EF12" s="37"/>
      <c r="EG12" s="37"/>
      <c r="EH12" s="37"/>
      <c r="EI12" s="37"/>
      <c r="EJ12" s="37"/>
      <c r="EK12" s="37"/>
      <c r="EL12" s="37"/>
      <c r="EM12" s="37"/>
      <c r="EN12" s="37"/>
      <c r="EO12" s="37"/>
      <c r="EP12" s="37"/>
      <c r="EQ12" s="37"/>
      <c r="ER12" s="37"/>
      <c r="ES12" s="37"/>
      <c r="ET12" s="37"/>
      <c r="EU12" s="37"/>
      <c r="EV12" s="37"/>
      <c r="EW12" s="37"/>
      <c r="EX12" s="37"/>
      <c r="EY12" s="37"/>
      <c r="EZ12" s="37"/>
      <c r="FA12" s="37"/>
      <c r="FB12" s="37"/>
      <c r="FC12" s="37"/>
      <c r="FD12" s="37"/>
      <c r="FE12" s="37"/>
      <c r="FF12" s="37"/>
      <c r="FG12" s="37"/>
      <c r="FH12" s="37"/>
      <c r="FI12" s="37"/>
      <c r="FJ12" s="37"/>
      <c r="FK12" s="37"/>
      <c r="FL12" s="37"/>
      <c r="FM12" s="37"/>
      <c r="FN12" s="37"/>
      <c r="FO12" s="37"/>
      <c r="FP12" s="37"/>
      <c r="FQ12" s="37"/>
      <c r="FR12" s="37"/>
      <c r="FS12" s="37"/>
      <c r="FT12" s="37"/>
      <c r="FU12" s="37"/>
      <c r="FV12" s="37"/>
      <c r="FW12" s="37"/>
      <c r="FX12" s="37"/>
      <c r="FY12" s="37"/>
      <c r="FZ12" s="37"/>
      <c r="GA12" s="37"/>
      <c r="GB12" s="37"/>
      <c r="GC12" s="37"/>
      <c r="GD12" s="37"/>
      <c r="GE12" s="37"/>
      <c r="GF12" s="37"/>
      <c r="GG12" s="37"/>
      <c r="GH12" s="37"/>
      <c r="GI12" s="37"/>
      <c r="GJ12" s="37"/>
      <c r="GK12" s="37"/>
      <c r="GL12" s="37"/>
      <c r="GM12" s="37"/>
      <c r="GN12" s="37"/>
      <c r="GO12" s="37"/>
      <c r="GP12" s="37"/>
      <c r="GQ12" s="37"/>
      <c r="GR12" s="37"/>
      <c r="GS12" s="37"/>
      <c r="GT12" s="37"/>
      <c r="GU12" s="37"/>
      <c r="GV12" s="37"/>
      <c r="GW12" s="37"/>
      <c r="GX12" s="37"/>
      <c r="GY12" s="37"/>
      <c r="GZ12" s="37"/>
      <c r="HA12" s="37"/>
      <c r="HB12" s="37"/>
      <c r="HC12" s="37"/>
      <c r="HD12" s="37"/>
      <c r="HE12" s="37"/>
      <c r="HF12" s="37"/>
      <c r="HG12" s="37"/>
      <c r="HH12" s="37"/>
      <c r="HI12" s="37"/>
      <c r="HJ12" s="37"/>
      <c r="HK12" s="37"/>
      <c r="HL12" s="37"/>
      <c r="HM12" s="37"/>
      <c r="HN12" s="37"/>
      <c r="HO12" s="37"/>
      <c r="HP12" s="37"/>
      <c r="HQ12" s="37"/>
      <c r="HR12" s="37"/>
      <c r="HS12" s="37"/>
      <c r="HT12" s="37"/>
      <c r="HU12" s="37"/>
      <c r="HV12" s="37"/>
      <c r="HW12" s="37"/>
      <c r="HX12" s="37"/>
      <c r="HY12" s="37"/>
      <c r="HZ12" s="37"/>
      <c r="IA12" s="37"/>
      <c r="IB12" s="37"/>
      <c r="IC12" s="37"/>
      <c r="ID12" s="37"/>
      <c r="IE12" s="37"/>
      <c r="IF12" s="37"/>
      <c r="IG12" s="37"/>
      <c r="IH12" s="37"/>
      <c r="II12" s="37"/>
      <c r="IJ12" s="37"/>
      <c r="IK12" s="37"/>
      <c r="IL12" s="37"/>
      <c r="IM12" s="37"/>
      <c r="IN12" s="37"/>
      <c r="IO12" s="37"/>
      <c r="IP12" s="37"/>
      <c r="IQ12" s="37"/>
      <c r="IR12" s="37"/>
      <c r="IS12" s="37"/>
      <c r="IT12" s="37"/>
      <c r="IU12" s="37"/>
      <c r="IV12" s="37"/>
      <c r="IW12" s="37"/>
      <c r="IX12" s="37"/>
      <c r="IY12" s="37"/>
      <c r="IZ12" s="37"/>
      <c r="JA12" s="37"/>
      <c r="JB12" s="37"/>
      <c r="JC12" s="37"/>
      <c r="JD12" s="37"/>
      <c r="JE12" s="37"/>
      <c r="JF12" s="37"/>
      <c r="JG12" s="37"/>
      <c r="JH12" s="37"/>
      <c r="JI12" s="37"/>
      <c r="JJ12" s="37"/>
      <c r="JK12" s="37"/>
      <c r="JL12" s="37"/>
      <c r="JM12" s="37"/>
      <c r="JN12" s="37"/>
      <c r="JO12" s="37"/>
      <c r="JP12" s="37"/>
      <c r="JQ12" s="37"/>
      <c r="JR12" s="37"/>
      <c r="JS12" s="37"/>
      <c r="JT12" s="37"/>
      <c r="JU12" s="37"/>
      <c r="JV12" s="37"/>
      <c r="JW12" s="37"/>
      <c r="JX12" s="37"/>
      <c r="JY12" s="37"/>
      <c r="JZ12" s="37"/>
      <c r="KA12" s="37"/>
      <c r="KB12" s="37"/>
      <c r="KC12" s="37"/>
      <c r="KD12" s="37"/>
      <c r="KE12" s="37"/>
      <c r="KF12" s="37"/>
      <c r="KG12" s="37"/>
      <c r="KH12" s="37"/>
      <c r="KI12" s="37"/>
      <c r="KJ12" s="37"/>
      <c r="KK12" s="37"/>
      <c r="KL12" s="37"/>
      <c r="KM12" s="37"/>
      <c r="KN12" s="37"/>
      <c r="KO12" s="37"/>
      <c r="KP12" s="37"/>
      <c r="KQ12" s="37"/>
      <c r="KR12" s="37"/>
      <c r="KS12" s="37"/>
      <c r="KT12" s="37"/>
      <c r="KU12" s="37"/>
      <c r="KV12" s="37"/>
      <c r="KW12" s="37"/>
      <c r="KX12" s="37"/>
      <c r="KY12" s="37"/>
      <c r="KZ12" s="37"/>
      <c r="LA12" s="37"/>
      <c r="LB12" s="37"/>
      <c r="LC12" s="37"/>
      <c r="LD12" s="37"/>
      <c r="LE12" s="37"/>
      <c r="LF12" s="37"/>
      <c r="LG12" s="37"/>
      <c r="LH12" s="37"/>
      <c r="LI12" s="37"/>
      <c r="LJ12" s="37"/>
      <c r="LK12" s="37"/>
      <c r="LL12" s="37"/>
      <c r="LM12" s="37"/>
      <c r="LN12" s="37"/>
      <c r="LO12" s="37"/>
      <c r="LP12" s="37"/>
      <c r="LQ12" s="37"/>
      <c r="LR12" s="37"/>
      <c r="LS12" s="37"/>
      <c r="LT12" s="37"/>
      <c r="LU12" s="37"/>
      <c r="LV12" s="37"/>
      <c r="LW12" s="37"/>
      <c r="LX12" s="37"/>
      <c r="LY12" s="37"/>
      <c r="LZ12" s="37"/>
      <c r="MA12" s="37"/>
      <c r="MB12" s="37"/>
      <c r="MC12" s="37"/>
      <c r="MD12" s="37"/>
      <c r="ME12" s="37"/>
      <c r="MF12" s="37"/>
      <c r="MG12" s="37"/>
      <c r="MH12" s="37"/>
      <c r="MI12" s="37"/>
      <c r="MJ12" s="37"/>
      <c r="MK12" s="37"/>
      <c r="ML12" s="37"/>
      <c r="MM12" s="37"/>
      <c r="MN12" s="37"/>
      <c r="MO12" s="37"/>
      <c r="MP12" s="37"/>
      <c r="MQ12" s="37"/>
      <c r="MR12" s="37"/>
      <c r="MS12" s="37"/>
      <c r="MT12" s="37"/>
      <c r="MU12" s="37"/>
      <c r="MV12" s="37"/>
      <c r="MW12" s="37"/>
      <c r="MX12" s="37"/>
      <c r="MY12" s="37"/>
      <c r="MZ12" s="37"/>
      <c r="NA12" s="37"/>
      <c r="NB12" s="37"/>
      <c r="NC12" s="37"/>
      <c r="ND12" s="37"/>
      <c r="NE12" s="37"/>
      <c r="NF12" s="37"/>
      <c r="NG12" s="37"/>
      <c r="NH12" s="37"/>
      <c r="NI12" s="37"/>
      <c r="NJ12" s="37"/>
      <c r="NK12" s="37"/>
      <c r="NL12" s="37"/>
      <c r="NM12" s="37"/>
      <c r="NN12" s="37"/>
      <c r="NO12" s="37"/>
      <c r="NP12" s="37"/>
      <c r="NQ12" s="37"/>
      <c r="NR12" s="37"/>
      <c r="NS12" s="37"/>
      <c r="NT12" s="37"/>
      <c r="NU12" s="37"/>
      <c r="NV12" s="37"/>
      <c r="NW12" s="37"/>
      <c r="NX12" s="37"/>
      <c r="NY12" s="37"/>
      <c r="NZ12" s="37"/>
      <c r="OA12" s="37"/>
      <c r="OB12" s="37"/>
      <c r="OC12" s="37"/>
      <c r="OD12" s="37"/>
      <c r="OE12" s="37"/>
      <c r="OF12" s="37"/>
      <c r="OG12" s="37"/>
      <c r="OH12" s="37"/>
      <c r="OI12" s="37"/>
      <c r="OJ12" s="37"/>
      <c r="OK12" s="37"/>
      <c r="OL12" s="37"/>
      <c r="OM12" s="37"/>
      <c r="ON12" s="37"/>
      <c r="OO12" s="37"/>
      <c r="OP12" s="37"/>
      <c r="OQ12" s="37"/>
      <c r="OR12" s="37"/>
      <c r="OS12" s="37"/>
      <c r="OT12" s="37"/>
      <c r="OU12" s="37"/>
      <c r="OV12" s="37"/>
      <c r="OW12" s="37"/>
      <c r="OX12" s="37"/>
      <c r="OY12" s="37"/>
      <c r="OZ12" s="37"/>
      <c r="PA12" s="37"/>
      <c r="PB12" s="37"/>
      <c r="PC12" s="37"/>
      <c r="PD12" s="37"/>
      <c r="PE12" s="37"/>
      <c r="PF12" s="37"/>
      <c r="PG12" s="37"/>
      <c r="PH12" s="37"/>
      <c r="PI12" s="37"/>
      <c r="PJ12" s="37"/>
      <c r="PK12" s="37"/>
      <c r="PL12" s="37"/>
      <c r="PM12" s="37"/>
      <c r="PN12" s="37"/>
      <c r="PO12" s="37"/>
      <c r="PP12" s="37"/>
      <c r="PQ12" s="37"/>
      <c r="PR12" s="37"/>
      <c r="PS12" s="37"/>
      <c r="PT12" s="37"/>
      <c r="PU12" s="37"/>
      <c r="PV12" s="37"/>
      <c r="PW12" s="37"/>
      <c r="PX12" s="37"/>
      <c r="PY12" s="37"/>
      <c r="PZ12" s="37"/>
      <c r="QA12" s="37"/>
      <c r="QB12" s="37"/>
      <c r="QC12" s="37"/>
      <c r="QD12" s="37"/>
      <c r="QE12" s="37"/>
      <c r="QF12" s="37"/>
      <c r="QG12" s="37"/>
      <c r="QH12" s="37"/>
      <c r="QI12" s="37"/>
      <c r="QJ12" s="37"/>
      <c r="QK12" s="37"/>
      <c r="QL12" s="37"/>
      <c r="QM12" s="37"/>
      <c r="QN12" s="37"/>
      <c r="QO12" s="37"/>
      <c r="QP12" s="37"/>
      <c r="QQ12" s="37"/>
      <c r="QR12" s="37"/>
      <c r="QS12" s="37"/>
      <c r="QT12" s="37"/>
      <c r="QU12" s="37"/>
      <c r="QV12" s="37"/>
      <c r="QW12" s="37"/>
      <c r="QX12" s="37"/>
      <c r="QY12" s="37"/>
      <c r="QZ12" s="37"/>
      <c r="RA12" s="37"/>
      <c r="RB12" s="37"/>
      <c r="RC12" s="37"/>
      <c r="RD12" s="37"/>
      <c r="RE12" s="37"/>
      <c r="RF12" s="37"/>
      <c r="RG12" s="37"/>
      <c r="RH12" s="37"/>
      <c r="RI12" s="37"/>
      <c r="RJ12" s="37"/>
      <c r="RK12" s="37"/>
      <c r="RL12" s="37"/>
      <c r="RM12" s="37"/>
      <c r="RN12" s="37"/>
      <c r="RO12" s="37"/>
      <c r="RP12" s="37"/>
      <c r="RQ12" s="37"/>
      <c r="RR12" s="37"/>
      <c r="RS12" s="37"/>
      <c r="RT12" s="37"/>
      <c r="RU12" s="37"/>
      <c r="RV12" s="37"/>
      <c r="RW12" s="37"/>
      <c r="RX12" s="37"/>
      <c r="RY12" s="37"/>
      <c r="RZ12" s="37"/>
      <c r="SA12" s="37"/>
      <c r="SB12" s="37"/>
      <c r="SC12" s="37"/>
      <c r="SD12" s="37"/>
      <c r="SE12" s="37"/>
      <c r="SF12" s="37"/>
      <c r="SG12" s="37"/>
      <c r="SH12" s="37"/>
      <c r="SI12" s="37"/>
      <c r="SJ12" s="37"/>
      <c r="SK12" s="37"/>
      <c r="SL12" s="37"/>
      <c r="SM12" s="37"/>
      <c r="SN12" s="37"/>
      <c r="SO12" s="37"/>
      <c r="SP12" s="37"/>
      <c r="SQ12" s="37"/>
      <c r="SR12" s="37"/>
      <c r="SS12" s="37"/>
      <c r="ST12" s="37"/>
      <c r="SU12" s="37"/>
      <c r="SV12" s="37"/>
      <c r="SW12" s="37"/>
      <c r="SX12" s="37"/>
      <c r="SY12" s="37"/>
      <c r="SZ12" s="37"/>
      <c r="TA12" s="37"/>
      <c r="TB12" s="37"/>
      <c r="TC12" s="37"/>
      <c r="TD12" s="37"/>
      <c r="TE12" s="37"/>
      <c r="TF12" s="37"/>
      <c r="TG12" s="37"/>
      <c r="TH12" s="37"/>
      <c r="TI12" s="37"/>
      <c r="TJ12" s="37"/>
      <c r="TK12" s="37"/>
      <c r="TL12" s="37"/>
      <c r="TM12" s="37"/>
      <c r="TN12" s="37"/>
      <c r="TO12" s="37"/>
      <c r="TP12" s="37"/>
      <c r="TQ12" s="37"/>
      <c r="TR12" s="37"/>
      <c r="TS12" s="37"/>
      <c r="TT12" s="37"/>
      <c r="TU12" s="37"/>
      <c r="TV12" s="37"/>
      <c r="TW12" s="37"/>
      <c r="TX12" s="37"/>
      <c r="TY12" s="37"/>
      <c r="TZ12" s="37"/>
      <c r="UA12" s="37"/>
      <c r="UB12" s="37"/>
      <c r="UC12" s="37"/>
      <c r="UD12" s="37"/>
      <c r="UE12" s="37"/>
      <c r="UF12" s="37"/>
      <c r="UG12" s="37"/>
      <c r="UH12" s="37"/>
      <c r="UI12" s="37"/>
      <c r="UJ12" s="37"/>
      <c r="UK12" s="37"/>
      <c r="UL12" s="37"/>
      <c r="UM12" s="37"/>
      <c r="UN12" s="37"/>
      <c r="UO12" s="37"/>
      <c r="UP12" s="37"/>
      <c r="UQ12" s="37"/>
      <c r="UR12" s="37"/>
      <c r="US12" s="37"/>
      <c r="UT12" s="37"/>
      <c r="UU12" s="37"/>
      <c r="UV12" s="37"/>
      <c r="UW12" s="37"/>
      <c r="UX12" s="37"/>
      <c r="UY12" s="37"/>
      <c r="UZ12" s="37"/>
      <c r="VA12" s="37"/>
      <c r="VB12" s="37"/>
      <c r="VC12" s="37"/>
      <c r="VD12" s="37"/>
      <c r="VE12" s="37"/>
      <c r="VF12" s="37"/>
      <c r="VG12" s="37"/>
      <c r="VH12" s="37"/>
      <c r="VI12" s="37"/>
      <c r="VJ12" s="37"/>
      <c r="VK12" s="37"/>
      <c r="VL12" s="37"/>
      <c r="VM12" s="37"/>
      <c r="VN12" s="37"/>
      <c r="VO12" s="37"/>
      <c r="VP12" s="37"/>
      <c r="VQ12" s="37"/>
      <c r="VR12" s="37"/>
      <c r="VS12" s="37"/>
      <c r="VT12" s="37"/>
      <c r="VU12" s="37"/>
      <c r="VV12" s="37"/>
      <c r="VW12" s="37"/>
      <c r="VX12" s="37"/>
      <c r="VY12" s="37"/>
      <c r="VZ12" s="37"/>
      <c r="WA12" s="37"/>
      <c r="WB12" s="37"/>
      <c r="WC12" s="37"/>
      <c r="WD12" s="37"/>
      <c r="WE12" s="37"/>
      <c r="WF12" s="37"/>
      <c r="WG12" s="37"/>
      <c r="WH12" s="37"/>
      <c r="WI12" s="37"/>
      <c r="WJ12" s="37"/>
      <c r="WK12" s="37"/>
      <c r="WL12" s="37"/>
      <c r="WM12" s="37"/>
      <c r="WN12" s="37"/>
      <c r="WO12" s="37"/>
      <c r="WP12" s="37"/>
      <c r="WQ12" s="37"/>
      <c r="WR12" s="37"/>
      <c r="WS12" s="37"/>
      <c r="WT12" s="37"/>
      <c r="WU12" s="37"/>
      <c r="WV12" s="37"/>
      <c r="WW12" s="37"/>
      <c r="WX12" s="37"/>
      <c r="WY12" s="37"/>
      <c r="WZ12" s="37"/>
      <c r="XA12" s="37"/>
      <c r="XB12" s="37"/>
      <c r="XC12" s="37"/>
      <c r="XD12" s="37"/>
      <c r="XE12" s="37"/>
      <c r="XF12" s="37"/>
      <c r="XG12" s="37"/>
      <c r="XH12" s="37"/>
      <c r="XI12" s="37"/>
      <c r="XJ12" s="37"/>
      <c r="XK12" s="37"/>
      <c r="XL12" s="37"/>
      <c r="XM12" s="37"/>
      <c r="XN12" s="37"/>
      <c r="XO12" s="37"/>
      <c r="XP12" s="37"/>
      <c r="XQ12" s="37"/>
      <c r="XR12" s="37"/>
      <c r="XS12" s="37"/>
      <c r="XT12" s="37"/>
      <c r="XU12" s="37"/>
      <c r="XV12" s="37"/>
      <c r="XW12" s="37"/>
      <c r="XX12" s="37"/>
      <c r="XY12" s="37"/>
      <c r="XZ12" s="37"/>
      <c r="YA12" s="37"/>
      <c r="YB12" s="37"/>
      <c r="YC12" s="37"/>
      <c r="YD12" s="37"/>
      <c r="YE12" s="37"/>
      <c r="YF12" s="37"/>
      <c r="YG12" s="37"/>
      <c r="YH12" s="37"/>
      <c r="YI12" s="37"/>
      <c r="YJ12" s="37"/>
      <c r="YK12" s="37"/>
      <c r="YL12" s="37"/>
      <c r="YM12" s="37"/>
      <c r="YN12" s="37"/>
      <c r="YO12" s="37"/>
      <c r="YP12" s="37"/>
      <c r="YQ12" s="37"/>
      <c r="YR12" s="37"/>
      <c r="YS12" s="37"/>
      <c r="YT12" s="37"/>
      <c r="YU12" s="37"/>
      <c r="YV12" s="37"/>
      <c r="YW12" s="37"/>
      <c r="YX12" s="37"/>
      <c r="YY12" s="37"/>
      <c r="YZ12" s="37"/>
      <c r="ZA12" s="37"/>
      <c r="ZB12" s="37"/>
      <c r="ZC12" s="37"/>
      <c r="ZD12" s="37"/>
      <c r="ZE12" s="37"/>
      <c r="ZF12" s="37"/>
      <c r="ZG12" s="37"/>
      <c r="ZH12" s="37"/>
      <c r="ZI12" s="37"/>
      <c r="ZJ12" s="37"/>
      <c r="ZK12" s="37"/>
      <c r="ZL12" s="37"/>
      <c r="ZM12" s="37"/>
      <c r="ZN12" s="37"/>
      <c r="ZO12" s="37"/>
      <c r="ZP12" s="37"/>
      <c r="ZQ12" s="37"/>
      <c r="ZR12" s="37"/>
      <c r="ZS12" s="37"/>
      <c r="ZT12" s="37"/>
      <c r="ZU12" s="37"/>
      <c r="ZV12" s="37"/>
      <c r="ZW12" s="37"/>
      <c r="ZX12" s="37"/>
      <c r="ZY12" s="37"/>
      <c r="ZZ12" s="37"/>
      <c r="AAA12" s="37"/>
      <c r="AAB12" s="37"/>
      <c r="AAC12" s="37"/>
      <c r="AAD12" s="37"/>
      <c r="AAE12" s="37"/>
      <c r="AAF12" s="37"/>
      <c r="AAG12" s="37"/>
      <c r="AAH12" s="37"/>
      <c r="AAI12" s="37"/>
      <c r="AAJ12" s="37"/>
      <c r="AAK12" s="37"/>
      <c r="AAL12" s="37"/>
      <c r="AAM12" s="37"/>
      <c r="AAN12" s="37"/>
      <c r="AAO12" s="37"/>
      <c r="AAP12" s="37"/>
      <c r="AAQ12" s="37"/>
      <c r="AAR12" s="37"/>
      <c r="AAS12" s="37"/>
      <c r="AAT12" s="37"/>
      <c r="AAU12" s="37"/>
      <c r="AAV12" s="37"/>
      <c r="AAW12" s="37"/>
      <c r="AAX12" s="37"/>
      <c r="AAY12" s="37"/>
      <c r="AAZ12" s="37"/>
      <c r="ABA12" s="37"/>
      <c r="ABB12" s="37"/>
      <c r="ABC12" s="37"/>
      <c r="ABD12" s="37"/>
      <c r="ABE12" s="37"/>
      <c r="ABF12" s="37"/>
      <c r="ABG12" s="37"/>
      <c r="ABH12" s="37"/>
      <c r="ABI12" s="37"/>
      <c r="ABJ12" s="37"/>
      <c r="ABK12" s="37"/>
      <c r="ABL12" s="37"/>
      <c r="ABM12" s="37"/>
      <c r="ABN12" s="37"/>
      <c r="ABO12" s="37"/>
      <c r="ABP12" s="37"/>
      <c r="ABQ12" s="37"/>
      <c r="ABR12" s="37"/>
      <c r="ABS12" s="37"/>
      <c r="ABT12" s="37"/>
      <c r="ABU12" s="37"/>
      <c r="ABV12" s="37"/>
      <c r="ABW12" s="37"/>
      <c r="ABX12" s="37"/>
      <c r="ABY12" s="37"/>
      <c r="ABZ12" s="37"/>
      <c r="ACA12" s="37"/>
      <c r="ACB12" s="37"/>
      <c r="ACC12" s="37"/>
      <c r="ACD12" s="37"/>
      <c r="ACE12" s="37"/>
      <c r="ACF12" s="37"/>
      <c r="ACG12" s="37"/>
      <c r="ACH12" s="37"/>
      <c r="ACI12" s="37"/>
      <c r="ACJ12" s="37"/>
      <c r="ACK12" s="37"/>
      <c r="ACL12" s="37"/>
      <c r="ACM12" s="37"/>
      <c r="ACN12" s="37"/>
      <c r="ACO12" s="37"/>
      <c r="ACP12" s="37"/>
      <c r="ACQ12" s="37"/>
      <c r="ACR12" s="37"/>
      <c r="ACS12" s="37"/>
      <c r="ACT12" s="37"/>
      <c r="ACU12" s="37"/>
      <c r="ACV12" s="37"/>
      <c r="ACW12" s="37"/>
      <c r="ACX12" s="37"/>
      <c r="ACY12" s="37"/>
      <c r="ACZ12" s="37"/>
      <c r="ADA12" s="37"/>
      <c r="ADB12" s="37"/>
      <c r="ADC12" s="37"/>
      <c r="ADD12" s="37"/>
      <c r="ADE12" s="37"/>
      <c r="ADF12" s="37"/>
      <c r="ADG12" s="37"/>
      <c r="ADH12" s="37"/>
      <c r="ADI12" s="37"/>
      <c r="ADJ12" s="37"/>
      <c r="ADK12" s="37"/>
      <c r="ADL12" s="37"/>
      <c r="ADM12" s="37"/>
      <c r="ADN12" s="37"/>
      <c r="ADO12" s="37"/>
      <c r="ADP12" s="37"/>
      <c r="ADQ12" s="37"/>
      <c r="ADR12" s="37"/>
      <c r="ADS12" s="37"/>
      <c r="ADT12" s="37"/>
      <c r="ADU12" s="37"/>
      <c r="ADV12" s="37"/>
      <c r="ADW12" s="37"/>
      <c r="ADX12" s="37"/>
      <c r="ADY12" s="37"/>
      <c r="ADZ12" s="37"/>
      <c r="AEA12" s="37"/>
      <c r="AEB12" s="37"/>
      <c r="AEC12" s="37"/>
      <c r="AED12" s="37"/>
      <c r="AEE12" s="37"/>
      <c r="AEF12" s="37"/>
      <c r="AEG12" s="37"/>
      <c r="AEH12" s="37"/>
      <c r="AEI12" s="37"/>
      <c r="AEJ12" s="37"/>
      <c r="AEK12" s="37"/>
      <c r="AEL12" s="37"/>
      <c r="AEM12" s="37"/>
      <c r="AEN12" s="37"/>
      <c r="AEO12" s="37"/>
      <c r="AEP12" s="37"/>
      <c r="AEQ12" s="37"/>
      <c r="AER12" s="37"/>
      <c r="AES12" s="37"/>
      <c r="AET12" s="37"/>
      <c r="AEU12" s="37"/>
      <c r="AEV12" s="37"/>
      <c r="AEW12" s="37"/>
      <c r="AEX12" s="37"/>
      <c r="AEY12" s="37"/>
      <c r="AEZ12" s="37"/>
      <c r="AFA12" s="37"/>
      <c r="AFB12" s="37"/>
      <c r="AFC12" s="37"/>
      <c r="AFD12" s="37"/>
      <c r="AFE12" s="37"/>
      <c r="AFF12" s="37"/>
      <c r="AFG12" s="37"/>
      <c r="AFH12" s="37"/>
      <c r="AFI12" s="37"/>
      <c r="AFJ12" s="37"/>
      <c r="AFK12" s="37"/>
      <c r="AFL12" s="37"/>
      <c r="AFM12" s="37"/>
      <c r="AFN12" s="37"/>
      <c r="AFO12" s="37"/>
      <c r="AFP12" s="37"/>
      <c r="AFQ12" s="37"/>
      <c r="AFR12" s="37"/>
      <c r="AFS12" s="37"/>
      <c r="AFT12" s="37"/>
      <c r="AFU12" s="37"/>
      <c r="AFV12" s="37"/>
      <c r="AFW12" s="37"/>
      <c r="AFX12" s="37"/>
      <c r="AFY12" s="37"/>
      <c r="AFZ12" s="37"/>
      <c r="AGA12" s="37"/>
      <c r="AGB12" s="37"/>
      <c r="AGC12" s="37"/>
      <c r="AGD12" s="37"/>
      <c r="AGE12" s="37"/>
      <c r="AGF12" s="37"/>
      <c r="AGG12" s="37"/>
      <c r="AGH12" s="37"/>
      <c r="AGI12" s="37"/>
      <c r="AGJ12" s="37"/>
      <c r="AGK12" s="37"/>
      <c r="AGL12" s="37"/>
      <c r="AGM12" s="37"/>
      <c r="AGN12" s="37"/>
      <c r="AGO12" s="37"/>
      <c r="AGP12" s="37"/>
      <c r="AGQ12" s="37"/>
      <c r="AGR12" s="37"/>
      <c r="AGS12" s="37"/>
      <c r="AGT12" s="37"/>
      <c r="AGU12" s="37"/>
      <c r="AGV12" s="37"/>
      <c r="AGW12" s="37"/>
      <c r="AGX12" s="37"/>
      <c r="AGY12" s="37"/>
      <c r="AGZ12" s="37"/>
      <c r="AHA12" s="37"/>
      <c r="AHB12" s="37"/>
      <c r="AHC12" s="37"/>
      <c r="AHD12" s="37"/>
      <c r="AHE12" s="37"/>
      <c r="AHF12" s="37"/>
      <c r="AHG12" s="37"/>
      <c r="AHH12" s="37"/>
      <c r="AHI12" s="37"/>
      <c r="AHJ12" s="37"/>
      <c r="AHK12" s="37"/>
      <c r="AHL12" s="37"/>
      <c r="AHM12" s="37"/>
      <c r="AHN12" s="37"/>
      <c r="AHO12" s="37"/>
      <c r="AHP12" s="37"/>
      <c r="AHQ12" s="37"/>
      <c r="AHR12" s="37"/>
      <c r="AHS12" s="37"/>
      <c r="AHT12" s="37"/>
      <c r="AHU12" s="37"/>
      <c r="AHV12" s="37"/>
      <c r="AHW12" s="37"/>
      <c r="AHX12" s="37"/>
      <c r="AHY12" s="37"/>
      <c r="AHZ12" s="37"/>
      <c r="AIA12" s="37"/>
      <c r="AIB12" s="37"/>
      <c r="AIC12" s="37"/>
      <c r="AID12" s="37"/>
      <c r="AIE12" s="37"/>
      <c r="AIF12" s="37"/>
      <c r="AIG12" s="37"/>
      <c r="AIH12" s="37"/>
      <c r="AII12" s="37"/>
      <c r="AIJ12" s="37"/>
      <c r="AIK12" s="37"/>
      <c r="AIL12" s="37"/>
      <c r="AIM12" s="37"/>
      <c r="AIN12" s="37"/>
      <c r="AIO12" s="37"/>
      <c r="AIP12" s="37"/>
      <c r="AIQ12" s="37"/>
      <c r="AIR12" s="37"/>
      <c r="AIS12" s="37"/>
      <c r="AIT12" s="37"/>
      <c r="AIU12" s="37"/>
      <c r="AIV12" s="37"/>
      <c r="AIW12" s="37"/>
      <c r="AIX12" s="37"/>
      <c r="AIY12" s="37"/>
      <c r="AIZ12" s="37"/>
      <c r="AJA12" s="37"/>
      <c r="AJB12" s="37"/>
      <c r="AJC12" s="37"/>
      <c r="AJD12" s="37"/>
      <c r="AJE12" s="37"/>
      <c r="AJF12" s="37"/>
      <c r="AJG12" s="37"/>
      <c r="AJH12" s="37"/>
      <c r="AJI12" s="37"/>
      <c r="AJJ12" s="37"/>
      <c r="AJK12" s="37"/>
      <c r="AJL12" s="37"/>
      <c r="AJM12" s="37"/>
      <c r="AJN12" s="37"/>
      <c r="AJO12" s="37"/>
      <c r="AJP12" s="37"/>
      <c r="AJQ12" s="37"/>
      <c r="AJR12" s="37"/>
      <c r="AJS12" s="37"/>
      <c r="AJT12" s="37"/>
      <c r="AJU12" s="37"/>
      <c r="AJV12" s="37"/>
      <c r="AJW12" s="37"/>
      <c r="AJX12" s="37"/>
      <c r="AJY12" s="37"/>
      <c r="AJZ12" s="37"/>
      <c r="AKA12" s="37"/>
      <c r="AKB12" s="37"/>
      <c r="AKC12" s="37"/>
      <c r="AKD12" s="37"/>
      <c r="AKE12" s="37"/>
      <c r="AKF12" s="37"/>
      <c r="AKG12" s="37"/>
      <c r="AKH12" s="37"/>
      <c r="AKI12" s="37"/>
      <c r="AKJ12" s="37"/>
      <c r="AKK12" s="37"/>
      <c r="AKL12" s="37"/>
      <c r="AKM12" s="37"/>
      <c r="AKN12" s="37"/>
      <c r="AKO12" s="37"/>
      <c r="AKP12" s="37"/>
      <c r="AKQ12" s="37"/>
      <c r="AKR12" s="37"/>
      <c r="AKS12" s="37"/>
      <c r="AKT12" s="37"/>
      <c r="AKU12" s="37"/>
      <c r="AKV12" s="37"/>
      <c r="AKW12" s="37"/>
      <c r="AKX12" s="37"/>
      <c r="AKY12" s="37"/>
      <c r="AKZ12" s="37"/>
      <c r="ALA12" s="37"/>
      <c r="ALB12" s="37"/>
      <c r="ALC12" s="37"/>
      <c r="ALD12" s="37"/>
      <c r="ALE12" s="37"/>
      <c r="ALF12" s="37"/>
      <c r="ALG12" s="37"/>
      <c r="ALH12" s="37"/>
      <c r="ALI12" s="37"/>
      <c r="ALJ12" s="37"/>
      <c r="ALK12" s="37"/>
      <c r="ALL12" s="37"/>
      <c r="ALM12" s="37"/>
      <c r="ALN12" s="37"/>
      <c r="ALO12" s="37"/>
      <c r="ALP12" s="37"/>
      <c r="ALQ12" s="37"/>
      <c r="ALR12" s="37"/>
    </row>
    <row r="13" spans="1:1006" x14ac:dyDescent="0.35">
      <c r="C13" s="20" t="s">
        <v>18</v>
      </c>
      <c r="F13" s="20" t="s">
        <v>86</v>
      </c>
      <c r="G13" s="45">
        <f>Assumptions!F20</f>
        <v>6000</v>
      </c>
      <c r="K13" s="20">
        <f>$G$13*K10</f>
        <v>0</v>
      </c>
      <c r="L13" s="20">
        <f t="shared" ref="L13:BR13" si="119">$G$13*L10</f>
        <v>0</v>
      </c>
      <c r="M13" s="20">
        <f t="shared" si="119"/>
        <v>0</v>
      </c>
      <c r="N13" s="20">
        <f t="shared" si="119"/>
        <v>0</v>
      </c>
      <c r="O13" s="20">
        <f t="shared" si="119"/>
        <v>0</v>
      </c>
      <c r="P13" s="20">
        <f t="shared" si="119"/>
        <v>0</v>
      </c>
      <c r="Q13" s="20">
        <f t="shared" si="119"/>
        <v>0</v>
      </c>
      <c r="R13" s="20">
        <f t="shared" si="119"/>
        <v>0</v>
      </c>
      <c r="S13" s="20">
        <f t="shared" si="119"/>
        <v>0</v>
      </c>
      <c r="T13" s="20">
        <f t="shared" si="119"/>
        <v>6000</v>
      </c>
      <c r="U13" s="20">
        <f t="shared" si="119"/>
        <v>6000</v>
      </c>
      <c r="V13" s="20">
        <f t="shared" si="119"/>
        <v>6000</v>
      </c>
      <c r="W13" s="20">
        <f t="shared" si="119"/>
        <v>6000</v>
      </c>
      <c r="X13" s="20">
        <f t="shared" si="119"/>
        <v>6000</v>
      </c>
      <c r="Y13" s="20">
        <f t="shared" si="119"/>
        <v>6000</v>
      </c>
      <c r="Z13" s="20">
        <f t="shared" si="119"/>
        <v>6000</v>
      </c>
      <c r="AA13" s="20">
        <f t="shared" si="119"/>
        <v>6000</v>
      </c>
      <c r="AB13" s="20">
        <f t="shared" si="119"/>
        <v>6000</v>
      </c>
      <c r="AC13" s="20">
        <f t="shared" si="119"/>
        <v>6000</v>
      </c>
      <c r="AD13" s="20">
        <f t="shared" si="119"/>
        <v>6000</v>
      </c>
      <c r="AE13" s="20">
        <f t="shared" si="119"/>
        <v>6000</v>
      </c>
      <c r="AF13" s="20">
        <f t="shared" si="119"/>
        <v>6000</v>
      </c>
      <c r="AG13" s="20">
        <f t="shared" si="119"/>
        <v>6000</v>
      </c>
      <c r="AH13" s="20">
        <f t="shared" si="119"/>
        <v>6000</v>
      </c>
      <c r="AI13" s="20">
        <f t="shared" si="119"/>
        <v>6000</v>
      </c>
      <c r="AJ13" s="20">
        <f t="shared" si="119"/>
        <v>6000</v>
      </c>
      <c r="AK13" s="20">
        <f t="shared" si="119"/>
        <v>6000</v>
      </c>
      <c r="AL13" s="20">
        <f t="shared" si="119"/>
        <v>6000</v>
      </c>
      <c r="AM13" s="20">
        <f t="shared" si="119"/>
        <v>6000</v>
      </c>
      <c r="AN13" s="20">
        <f t="shared" si="119"/>
        <v>6000</v>
      </c>
      <c r="AO13" s="20">
        <f t="shared" si="119"/>
        <v>6000</v>
      </c>
      <c r="AP13" s="20">
        <f t="shared" si="119"/>
        <v>6000</v>
      </c>
      <c r="AQ13" s="20">
        <f t="shared" si="119"/>
        <v>6000</v>
      </c>
      <c r="AR13" s="20">
        <f t="shared" si="119"/>
        <v>6000</v>
      </c>
      <c r="AS13" s="20">
        <f t="shared" si="119"/>
        <v>6000</v>
      </c>
      <c r="AT13" s="20">
        <f t="shared" si="119"/>
        <v>6000</v>
      </c>
      <c r="AU13" s="20">
        <f t="shared" si="119"/>
        <v>6000</v>
      </c>
      <c r="AV13" s="20">
        <f t="shared" si="119"/>
        <v>6000</v>
      </c>
      <c r="AW13" s="20">
        <f t="shared" si="119"/>
        <v>6000</v>
      </c>
      <c r="AX13" s="20">
        <f t="shared" si="119"/>
        <v>6000</v>
      </c>
      <c r="AY13" s="20">
        <f t="shared" si="119"/>
        <v>6000</v>
      </c>
      <c r="AZ13" s="20">
        <f t="shared" si="119"/>
        <v>6000</v>
      </c>
      <c r="BA13" s="20">
        <f t="shared" si="119"/>
        <v>6000</v>
      </c>
      <c r="BB13" s="20">
        <f t="shared" si="119"/>
        <v>6000</v>
      </c>
      <c r="BC13" s="20">
        <f t="shared" si="119"/>
        <v>6000</v>
      </c>
      <c r="BD13" s="20">
        <f t="shared" si="119"/>
        <v>6000</v>
      </c>
      <c r="BE13" s="20">
        <f t="shared" si="119"/>
        <v>6000</v>
      </c>
      <c r="BF13" s="20">
        <f t="shared" si="119"/>
        <v>6000</v>
      </c>
      <c r="BG13" s="20">
        <f t="shared" si="119"/>
        <v>6000</v>
      </c>
      <c r="BH13" s="20">
        <f t="shared" si="119"/>
        <v>6000</v>
      </c>
      <c r="BI13" s="20">
        <f t="shared" si="119"/>
        <v>6000</v>
      </c>
      <c r="BJ13" s="20">
        <f t="shared" si="119"/>
        <v>6000</v>
      </c>
      <c r="BK13" s="20">
        <f t="shared" si="119"/>
        <v>6000</v>
      </c>
      <c r="BL13" s="20">
        <f t="shared" si="119"/>
        <v>6000</v>
      </c>
      <c r="BM13" s="20">
        <f t="shared" si="119"/>
        <v>6000</v>
      </c>
      <c r="BN13" s="20">
        <f t="shared" si="119"/>
        <v>6000</v>
      </c>
      <c r="BO13" s="20">
        <f t="shared" si="119"/>
        <v>6000</v>
      </c>
      <c r="BP13" s="20">
        <f t="shared" si="119"/>
        <v>6000</v>
      </c>
      <c r="BQ13" s="20">
        <f t="shared" si="119"/>
        <v>6000</v>
      </c>
      <c r="BR13" s="20">
        <f t="shared" si="119"/>
        <v>6000</v>
      </c>
      <c r="BS13" s="20">
        <f t="shared" ref="BS13:CL13" si="120">$G$13*BS10</f>
        <v>6000</v>
      </c>
      <c r="BT13" s="20">
        <f t="shared" si="120"/>
        <v>6000</v>
      </c>
      <c r="BU13" s="20">
        <f t="shared" si="120"/>
        <v>6000</v>
      </c>
      <c r="BV13" s="20">
        <f t="shared" si="120"/>
        <v>6000</v>
      </c>
      <c r="BW13" s="20">
        <f t="shared" si="120"/>
        <v>6000</v>
      </c>
      <c r="BX13" s="20">
        <f t="shared" si="120"/>
        <v>6000</v>
      </c>
      <c r="BY13" s="20">
        <f t="shared" si="120"/>
        <v>6000</v>
      </c>
      <c r="BZ13" s="20">
        <f t="shared" si="120"/>
        <v>6000</v>
      </c>
      <c r="CA13" s="20">
        <f t="shared" si="120"/>
        <v>6000</v>
      </c>
      <c r="CB13" s="20">
        <f t="shared" si="120"/>
        <v>6000</v>
      </c>
      <c r="CC13" s="20">
        <f t="shared" si="120"/>
        <v>6000</v>
      </c>
      <c r="CD13" s="20">
        <f t="shared" si="120"/>
        <v>6000</v>
      </c>
      <c r="CE13" s="20">
        <f t="shared" si="120"/>
        <v>6000</v>
      </c>
      <c r="CF13" s="20">
        <f t="shared" si="120"/>
        <v>6000</v>
      </c>
      <c r="CG13" s="20">
        <f t="shared" si="120"/>
        <v>6000</v>
      </c>
      <c r="CH13" s="20">
        <f t="shared" si="120"/>
        <v>6000</v>
      </c>
      <c r="CI13" s="20">
        <f t="shared" si="120"/>
        <v>6000</v>
      </c>
      <c r="CJ13" s="20">
        <f t="shared" si="120"/>
        <v>6000</v>
      </c>
      <c r="CK13" s="20">
        <f t="shared" si="120"/>
        <v>6000</v>
      </c>
      <c r="CL13" s="20">
        <f t="shared" si="120"/>
        <v>6000</v>
      </c>
      <c r="CM13" s="20">
        <f t="shared" ref="CM13:CZ13" si="121">$G$13*CM10</f>
        <v>6000</v>
      </c>
      <c r="CN13" s="20">
        <f t="shared" si="121"/>
        <v>6000</v>
      </c>
      <c r="CO13" s="20">
        <f t="shared" si="121"/>
        <v>6000</v>
      </c>
      <c r="CP13" s="20">
        <f t="shared" si="121"/>
        <v>6000</v>
      </c>
      <c r="CQ13" s="20">
        <f t="shared" si="121"/>
        <v>6000</v>
      </c>
      <c r="CR13" s="20">
        <f t="shared" si="121"/>
        <v>6000</v>
      </c>
      <c r="CS13" s="20">
        <f t="shared" si="121"/>
        <v>6000</v>
      </c>
      <c r="CT13" s="20">
        <f t="shared" si="121"/>
        <v>6000</v>
      </c>
      <c r="CU13" s="20">
        <f t="shared" si="121"/>
        <v>6000</v>
      </c>
      <c r="CV13" s="20">
        <f t="shared" si="121"/>
        <v>6000</v>
      </c>
      <c r="CW13" s="20">
        <f t="shared" si="121"/>
        <v>6000</v>
      </c>
      <c r="CX13" s="20">
        <f t="shared" si="121"/>
        <v>6000</v>
      </c>
      <c r="CY13" s="20">
        <f t="shared" si="121"/>
        <v>6000</v>
      </c>
      <c r="CZ13" s="20">
        <f t="shared" si="121"/>
        <v>6000</v>
      </c>
      <c r="DA13" s="20">
        <f t="shared" ref="DA13:DQ13" si="122">$G$13*DA10</f>
        <v>6000</v>
      </c>
      <c r="DB13" s="20">
        <f t="shared" si="122"/>
        <v>6000</v>
      </c>
      <c r="DC13" s="20">
        <f t="shared" si="122"/>
        <v>6000</v>
      </c>
      <c r="DD13" s="20">
        <f t="shared" si="122"/>
        <v>6000</v>
      </c>
      <c r="DE13" s="20">
        <f t="shared" si="122"/>
        <v>6000</v>
      </c>
      <c r="DF13" s="20">
        <f t="shared" si="122"/>
        <v>6000</v>
      </c>
      <c r="DG13" s="20">
        <f t="shared" si="122"/>
        <v>6000</v>
      </c>
      <c r="DH13" s="20">
        <f t="shared" si="122"/>
        <v>6000</v>
      </c>
      <c r="DI13" s="20">
        <f t="shared" si="122"/>
        <v>6000</v>
      </c>
      <c r="DJ13" s="20">
        <f t="shared" si="122"/>
        <v>6000</v>
      </c>
      <c r="DK13" s="20">
        <f t="shared" si="122"/>
        <v>6000</v>
      </c>
      <c r="DL13" s="20">
        <f t="shared" si="122"/>
        <v>6000</v>
      </c>
      <c r="DM13" s="20">
        <f t="shared" si="122"/>
        <v>6000</v>
      </c>
      <c r="DN13" s="20">
        <f t="shared" si="122"/>
        <v>6000</v>
      </c>
      <c r="DO13" s="20">
        <f t="shared" si="122"/>
        <v>6000</v>
      </c>
      <c r="DP13" s="20">
        <f t="shared" si="122"/>
        <v>0</v>
      </c>
      <c r="DQ13" s="20">
        <f t="shared" si="122"/>
        <v>0</v>
      </c>
    </row>
    <row r="14" spans="1:1006" x14ac:dyDescent="0.35">
      <c r="C14" s="20" t="s">
        <v>167</v>
      </c>
      <c r="F14" s="20" t="s">
        <v>88</v>
      </c>
      <c r="G14" s="35">
        <f>Assumptions!F21</f>
        <v>5.0000000000000001E-3</v>
      </c>
      <c r="K14" s="22">
        <f>(1+$G$14)^(K5/12)-1</f>
        <v>4.1571484472902043E-4</v>
      </c>
      <c r="L14" s="22">
        <f t="shared" ref="L14:BR14" si="123">(1+$G$14)^(L5/12)-1</f>
        <v>4.1571484472902043E-4</v>
      </c>
      <c r="M14" s="22">
        <f t="shared" si="123"/>
        <v>4.1571484472902043E-4</v>
      </c>
      <c r="N14" s="22">
        <f t="shared" si="123"/>
        <v>4.1571484472902043E-4</v>
      </c>
      <c r="O14" s="22">
        <f t="shared" si="123"/>
        <v>4.1571484472902043E-4</v>
      </c>
      <c r="P14" s="22">
        <f t="shared" si="123"/>
        <v>4.1571484472902043E-4</v>
      </c>
      <c r="Q14" s="22">
        <f t="shared" si="123"/>
        <v>4.1571484472902043E-4</v>
      </c>
      <c r="R14" s="22">
        <f t="shared" si="123"/>
        <v>4.1571484472902043E-4</v>
      </c>
      <c r="S14" s="22">
        <f t="shared" si="123"/>
        <v>4.1571484472902043E-4</v>
      </c>
      <c r="T14" s="22">
        <f t="shared" si="123"/>
        <v>1.2476630625266605E-3</v>
      </c>
      <c r="U14" s="22">
        <f t="shared" si="123"/>
        <v>1.2476630625266605E-3</v>
      </c>
      <c r="V14" s="22">
        <f t="shared" si="123"/>
        <v>1.2476630625266605E-3</v>
      </c>
      <c r="W14" s="22">
        <f t="shared" si="123"/>
        <v>1.2476630625266605E-3</v>
      </c>
      <c r="X14" s="22">
        <f t="shared" si="123"/>
        <v>1.2476630625266605E-3</v>
      </c>
      <c r="Y14" s="22">
        <f t="shared" si="123"/>
        <v>1.2476630625266605E-3</v>
      </c>
      <c r="Z14" s="22">
        <f t="shared" si="123"/>
        <v>1.2476630625266605E-3</v>
      </c>
      <c r="AA14" s="22">
        <f t="shared" si="123"/>
        <v>1.2476630625266605E-3</v>
      </c>
      <c r="AB14" s="22">
        <f t="shared" si="123"/>
        <v>1.2476630625266605E-3</v>
      </c>
      <c r="AC14" s="22">
        <f t="shared" si="123"/>
        <v>1.2476630625266605E-3</v>
      </c>
      <c r="AD14" s="22">
        <f t="shared" si="123"/>
        <v>1.2476630625266605E-3</v>
      </c>
      <c r="AE14" s="22">
        <f t="shared" si="123"/>
        <v>1.2476630625266605E-3</v>
      </c>
      <c r="AF14" s="22">
        <f t="shared" si="123"/>
        <v>1.2476630625266605E-3</v>
      </c>
      <c r="AG14" s="22">
        <f t="shared" si="123"/>
        <v>1.2476630625266605E-3</v>
      </c>
      <c r="AH14" s="22">
        <f t="shared" si="123"/>
        <v>1.2476630625266605E-3</v>
      </c>
      <c r="AI14" s="22">
        <f t="shared" si="123"/>
        <v>1.2476630625266605E-3</v>
      </c>
      <c r="AJ14" s="22">
        <f t="shared" si="123"/>
        <v>1.2476630625266605E-3</v>
      </c>
      <c r="AK14" s="22">
        <f t="shared" si="123"/>
        <v>1.2476630625266605E-3</v>
      </c>
      <c r="AL14" s="22">
        <f t="shared" si="123"/>
        <v>1.2476630625266605E-3</v>
      </c>
      <c r="AM14" s="22">
        <f t="shared" si="123"/>
        <v>1.2476630625266605E-3</v>
      </c>
      <c r="AN14" s="22">
        <f t="shared" si="123"/>
        <v>1.2476630625266605E-3</v>
      </c>
      <c r="AO14" s="22">
        <f t="shared" si="123"/>
        <v>1.2476630625266605E-3</v>
      </c>
      <c r="AP14" s="22">
        <f t="shared" si="123"/>
        <v>1.2476630625266605E-3</v>
      </c>
      <c r="AQ14" s="22">
        <f t="shared" si="123"/>
        <v>1.2476630625266605E-3</v>
      </c>
      <c r="AR14" s="22">
        <f t="shared" si="123"/>
        <v>1.2476630625266605E-3</v>
      </c>
      <c r="AS14" s="22">
        <f t="shared" si="123"/>
        <v>1.2476630625266605E-3</v>
      </c>
      <c r="AT14" s="22">
        <f t="shared" si="123"/>
        <v>1.2476630625266605E-3</v>
      </c>
      <c r="AU14" s="22">
        <f t="shared" si="123"/>
        <v>1.2476630625266605E-3</v>
      </c>
      <c r="AV14" s="22">
        <f t="shared" si="123"/>
        <v>1.2476630625266605E-3</v>
      </c>
      <c r="AW14" s="22">
        <f t="shared" si="123"/>
        <v>1.2476630625266605E-3</v>
      </c>
      <c r="AX14" s="22">
        <f t="shared" si="123"/>
        <v>1.2476630625266605E-3</v>
      </c>
      <c r="AY14" s="22">
        <f t="shared" si="123"/>
        <v>1.2476630625266605E-3</v>
      </c>
      <c r="AZ14" s="22">
        <f t="shared" si="123"/>
        <v>1.2476630625266605E-3</v>
      </c>
      <c r="BA14" s="22">
        <f t="shared" si="123"/>
        <v>1.2476630625266605E-3</v>
      </c>
      <c r="BB14" s="22">
        <f t="shared" si="123"/>
        <v>1.2476630625266605E-3</v>
      </c>
      <c r="BC14" s="22">
        <f t="shared" si="123"/>
        <v>1.2476630625266605E-3</v>
      </c>
      <c r="BD14" s="22">
        <f t="shared" si="123"/>
        <v>1.2476630625266605E-3</v>
      </c>
      <c r="BE14" s="22">
        <f t="shared" si="123"/>
        <v>1.2476630625266605E-3</v>
      </c>
      <c r="BF14" s="22">
        <f t="shared" si="123"/>
        <v>1.2476630625266605E-3</v>
      </c>
      <c r="BG14" s="22">
        <f t="shared" si="123"/>
        <v>1.2476630625266605E-3</v>
      </c>
      <c r="BH14" s="22">
        <f t="shared" si="123"/>
        <v>1.2476630625266605E-3</v>
      </c>
      <c r="BI14" s="22">
        <f t="shared" si="123"/>
        <v>1.2476630625266605E-3</v>
      </c>
      <c r="BJ14" s="22">
        <f t="shared" si="123"/>
        <v>1.2476630625266605E-3</v>
      </c>
      <c r="BK14" s="22">
        <f t="shared" si="123"/>
        <v>1.2476630625266605E-3</v>
      </c>
      <c r="BL14" s="22">
        <f t="shared" si="123"/>
        <v>1.2476630625266605E-3</v>
      </c>
      <c r="BM14" s="22">
        <f t="shared" si="123"/>
        <v>1.2476630625266605E-3</v>
      </c>
      <c r="BN14" s="22">
        <f t="shared" si="123"/>
        <v>1.2476630625266605E-3</v>
      </c>
      <c r="BO14" s="22">
        <f t="shared" si="123"/>
        <v>1.2476630625266605E-3</v>
      </c>
      <c r="BP14" s="22">
        <f t="shared" si="123"/>
        <v>1.2476630625266605E-3</v>
      </c>
      <c r="BQ14" s="22">
        <f t="shared" si="123"/>
        <v>1.2476630625266605E-3</v>
      </c>
      <c r="BR14" s="22">
        <f t="shared" si="123"/>
        <v>1.2476630625266605E-3</v>
      </c>
      <c r="BS14" s="22">
        <f t="shared" ref="BS14:CL14" si="124">(1+$G$14)^(BS5/12)-1</f>
        <v>1.2476630625266605E-3</v>
      </c>
      <c r="BT14" s="22">
        <f t="shared" si="124"/>
        <v>1.2476630625266605E-3</v>
      </c>
      <c r="BU14" s="22">
        <f t="shared" si="124"/>
        <v>1.2476630625266605E-3</v>
      </c>
      <c r="BV14" s="22">
        <f t="shared" si="124"/>
        <v>1.2476630625266605E-3</v>
      </c>
      <c r="BW14" s="22">
        <f t="shared" si="124"/>
        <v>1.2476630625266605E-3</v>
      </c>
      <c r="BX14" s="22">
        <f t="shared" si="124"/>
        <v>1.2476630625266605E-3</v>
      </c>
      <c r="BY14" s="22">
        <f t="shared" si="124"/>
        <v>1.2476630625266605E-3</v>
      </c>
      <c r="BZ14" s="22">
        <f t="shared" si="124"/>
        <v>1.2476630625266605E-3</v>
      </c>
      <c r="CA14" s="22">
        <f t="shared" si="124"/>
        <v>1.2476630625266605E-3</v>
      </c>
      <c r="CB14" s="22">
        <f t="shared" si="124"/>
        <v>1.2476630625266605E-3</v>
      </c>
      <c r="CC14" s="22">
        <f t="shared" si="124"/>
        <v>1.2476630625266605E-3</v>
      </c>
      <c r="CD14" s="22">
        <f t="shared" si="124"/>
        <v>1.2476630625266605E-3</v>
      </c>
      <c r="CE14" s="22">
        <f t="shared" si="124"/>
        <v>1.2476630625266605E-3</v>
      </c>
      <c r="CF14" s="22">
        <f t="shared" si="124"/>
        <v>1.2476630625266605E-3</v>
      </c>
      <c r="CG14" s="22">
        <f t="shared" si="124"/>
        <v>1.2476630625266605E-3</v>
      </c>
      <c r="CH14" s="22">
        <f t="shared" si="124"/>
        <v>1.2476630625266605E-3</v>
      </c>
      <c r="CI14" s="22">
        <f t="shared" si="124"/>
        <v>1.2476630625266605E-3</v>
      </c>
      <c r="CJ14" s="22">
        <f t="shared" si="124"/>
        <v>1.2476630625266605E-3</v>
      </c>
      <c r="CK14" s="22">
        <f t="shared" si="124"/>
        <v>1.2476630625266605E-3</v>
      </c>
      <c r="CL14" s="22">
        <f t="shared" si="124"/>
        <v>1.2476630625266605E-3</v>
      </c>
      <c r="CM14" s="22">
        <f t="shared" ref="CM14:CZ14" si="125">(1+$G$14)^(CM5/12)-1</f>
        <v>1.2476630625266605E-3</v>
      </c>
      <c r="CN14" s="22">
        <f t="shared" si="125"/>
        <v>1.2476630625266605E-3</v>
      </c>
      <c r="CO14" s="22">
        <f t="shared" si="125"/>
        <v>1.2476630625266605E-3</v>
      </c>
      <c r="CP14" s="22">
        <f t="shared" si="125"/>
        <v>1.2476630625266605E-3</v>
      </c>
      <c r="CQ14" s="22">
        <f t="shared" si="125"/>
        <v>1.2476630625266605E-3</v>
      </c>
      <c r="CR14" s="22">
        <f t="shared" si="125"/>
        <v>1.2476630625266605E-3</v>
      </c>
      <c r="CS14" s="22">
        <f t="shared" si="125"/>
        <v>1.2476630625266605E-3</v>
      </c>
      <c r="CT14" s="22">
        <f t="shared" si="125"/>
        <v>1.2476630625266605E-3</v>
      </c>
      <c r="CU14" s="22">
        <f t="shared" si="125"/>
        <v>1.2476630625266605E-3</v>
      </c>
      <c r="CV14" s="22">
        <f t="shared" si="125"/>
        <v>1.2476630625266605E-3</v>
      </c>
      <c r="CW14" s="22">
        <f t="shared" si="125"/>
        <v>1.2476630625266605E-3</v>
      </c>
      <c r="CX14" s="22">
        <f t="shared" si="125"/>
        <v>1.2476630625266605E-3</v>
      </c>
      <c r="CY14" s="22">
        <f t="shared" si="125"/>
        <v>1.2476630625266605E-3</v>
      </c>
      <c r="CZ14" s="22">
        <f t="shared" si="125"/>
        <v>1.2476630625266605E-3</v>
      </c>
      <c r="DA14" s="22">
        <f t="shared" ref="DA14:DQ14" si="126">(1+$G$14)^(DA5/12)-1</f>
        <v>1.2476630625266605E-3</v>
      </c>
      <c r="DB14" s="22">
        <f t="shared" si="126"/>
        <v>1.2476630625266605E-3</v>
      </c>
      <c r="DC14" s="22">
        <f t="shared" si="126"/>
        <v>1.2476630625266605E-3</v>
      </c>
      <c r="DD14" s="22">
        <f t="shared" si="126"/>
        <v>1.2476630625266605E-3</v>
      </c>
      <c r="DE14" s="22">
        <f t="shared" si="126"/>
        <v>1.2476630625266605E-3</v>
      </c>
      <c r="DF14" s="22">
        <f t="shared" si="126"/>
        <v>1.2476630625266605E-3</v>
      </c>
      <c r="DG14" s="22">
        <f t="shared" si="126"/>
        <v>1.2476630625266605E-3</v>
      </c>
      <c r="DH14" s="22">
        <f t="shared" si="126"/>
        <v>1.2476630625266605E-3</v>
      </c>
      <c r="DI14" s="22">
        <f t="shared" si="126"/>
        <v>1.2476630625266605E-3</v>
      </c>
      <c r="DJ14" s="22">
        <f t="shared" si="126"/>
        <v>1.2476630625266605E-3</v>
      </c>
      <c r="DK14" s="22">
        <f t="shared" si="126"/>
        <v>1.2476630625266605E-3</v>
      </c>
      <c r="DL14" s="22">
        <f t="shared" si="126"/>
        <v>1.2476630625266605E-3</v>
      </c>
      <c r="DM14" s="22">
        <f t="shared" si="126"/>
        <v>1.2476630625266605E-3</v>
      </c>
      <c r="DN14" s="22">
        <f t="shared" si="126"/>
        <v>1.2476630625266605E-3</v>
      </c>
      <c r="DO14" s="22">
        <f t="shared" si="126"/>
        <v>1.2476630625266605E-3</v>
      </c>
      <c r="DP14" s="22">
        <f t="shared" si="126"/>
        <v>1.2476630625266605E-3</v>
      </c>
      <c r="DQ14" s="22">
        <f t="shared" si="126"/>
        <v>1.2476630625266605E-3</v>
      </c>
    </row>
    <row r="15" spans="1:1006" x14ac:dyDescent="0.35">
      <c r="C15" s="20" t="s">
        <v>47</v>
      </c>
      <c r="F15" s="20" t="s">
        <v>25</v>
      </c>
      <c r="J15" s="28">
        <v>1</v>
      </c>
      <c r="K15" s="25">
        <f>J15*(1+K14*K10)</f>
        <v>1</v>
      </c>
      <c r="L15" s="25">
        <f t="shared" ref="L15:BR15" si="127">K15*(1+L14*L10)</f>
        <v>1</v>
      </c>
      <c r="M15" s="25">
        <f t="shared" si="127"/>
        <v>1</v>
      </c>
      <c r="N15" s="25">
        <f t="shared" si="127"/>
        <v>1</v>
      </c>
      <c r="O15" s="25">
        <f t="shared" si="127"/>
        <v>1</v>
      </c>
      <c r="P15" s="25">
        <f t="shared" si="127"/>
        <v>1</v>
      </c>
      <c r="Q15" s="25">
        <f t="shared" si="127"/>
        <v>1</v>
      </c>
      <c r="R15" s="25">
        <f t="shared" si="127"/>
        <v>1</v>
      </c>
      <c r="S15" s="25">
        <f t="shared" si="127"/>
        <v>1</v>
      </c>
      <c r="T15" s="25">
        <f t="shared" si="127"/>
        <v>1.0012476630625267</v>
      </c>
      <c r="U15" s="25">
        <f t="shared" si="127"/>
        <v>1.0024968827881708</v>
      </c>
      <c r="V15" s="25">
        <f t="shared" si="127"/>
        <v>1.0037476611191238</v>
      </c>
      <c r="W15" s="25">
        <f t="shared" si="127"/>
        <v>1.0049999999999997</v>
      </c>
      <c r="X15" s="25">
        <f t="shared" si="127"/>
        <v>1.0062539013778389</v>
      </c>
      <c r="Y15" s="25">
        <f t="shared" si="127"/>
        <v>1.0075093672021114</v>
      </c>
      <c r="Z15" s="25">
        <f t="shared" si="127"/>
        <v>1.0087663994247191</v>
      </c>
      <c r="AA15" s="25">
        <f t="shared" si="127"/>
        <v>1.0100249999999993</v>
      </c>
      <c r="AB15" s="25">
        <f t="shared" si="127"/>
        <v>1.0112851708847277</v>
      </c>
      <c r="AC15" s="25">
        <f t="shared" si="127"/>
        <v>1.0125469140381216</v>
      </c>
      <c r="AD15" s="25">
        <f t="shared" si="127"/>
        <v>1.0138102314218422</v>
      </c>
      <c r="AE15" s="25">
        <f t="shared" si="127"/>
        <v>1.015075124999999</v>
      </c>
      <c r="AF15" s="25">
        <f t="shared" si="127"/>
        <v>1.0163415967391511</v>
      </c>
      <c r="AG15" s="25">
        <f t="shared" si="127"/>
        <v>1.0176096486083119</v>
      </c>
      <c r="AH15" s="25">
        <f t="shared" si="127"/>
        <v>1.0188792825789512</v>
      </c>
      <c r="AI15" s="25">
        <f t="shared" si="127"/>
        <v>1.0201505006249987</v>
      </c>
      <c r="AJ15" s="25">
        <f t="shared" si="127"/>
        <v>1.0214233047228465</v>
      </c>
      <c r="AK15" s="25">
        <f t="shared" si="127"/>
        <v>1.022697696851353</v>
      </c>
      <c r="AL15" s="25">
        <f t="shared" si="127"/>
        <v>1.0239736789918457</v>
      </c>
      <c r="AM15" s="25">
        <f t="shared" si="127"/>
        <v>1.0252512531281233</v>
      </c>
      <c r="AN15" s="25">
        <f t="shared" si="127"/>
        <v>1.0265304212464603</v>
      </c>
      <c r="AO15" s="25">
        <f t="shared" si="127"/>
        <v>1.0278111853356096</v>
      </c>
      <c r="AP15" s="25">
        <f t="shared" si="127"/>
        <v>1.0290935473868046</v>
      </c>
      <c r="AQ15" s="25">
        <f t="shared" si="127"/>
        <v>1.0303775093937637</v>
      </c>
      <c r="AR15" s="25">
        <f t="shared" si="127"/>
        <v>1.0316630733526926</v>
      </c>
      <c r="AS15" s="25">
        <f t="shared" si="127"/>
        <v>1.0329502412622875</v>
      </c>
      <c r="AT15" s="25">
        <f t="shared" si="127"/>
        <v>1.0342390151237384</v>
      </c>
      <c r="AU15" s="25">
        <f t="shared" si="127"/>
        <v>1.0355293969407322</v>
      </c>
      <c r="AV15" s="25">
        <f t="shared" si="127"/>
        <v>1.0368213887194557</v>
      </c>
      <c r="AW15" s="25">
        <f t="shared" si="127"/>
        <v>1.0381149924685986</v>
      </c>
      <c r="AX15" s="25">
        <f t="shared" si="127"/>
        <v>1.0394102101993568</v>
      </c>
      <c r="AY15" s="25">
        <f t="shared" si="127"/>
        <v>1.0407070439254356</v>
      </c>
      <c r="AZ15" s="25">
        <f t="shared" si="127"/>
        <v>1.0420054956630527</v>
      </c>
      <c r="BA15" s="25">
        <f t="shared" si="127"/>
        <v>1.0433055674309413</v>
      </c>
      <c r="BB15" s="25">
        <f t="shared" si="127"/>
        <v>1.0446072612503532</v>
      </c>
      <c r="BC15" s="25">
        <f t="shared" si="127"/>
        <v>1.0459105791450625</v>
      </c>
      <c r="BD15" s="25">
        <f t="shared" si="127"/>
        <v>1.0472155231413676</v>
      </c>
      <c r="BE15" s="25">
        <f t="shared" si="127"/>
        <v>1.0485220952680956</v>
      </c>
      <c r="BF15" s="25">
        <f t="shared" si="127"/>
        <v>1.0498302975566047</v>
      </c>
      <c r="BG15" s="25">
        <f t="shared" si="127"/>
        <v>1.0511401320407874</v>
      </c>
      <c r="BH15" s="25">
        <f t="shared" si="127"/>
        <v>1.0524516007570741</v>
      </c>
      <c r="BI15" s="25">
        <f t="shared" si="127"/>
        <v>1.0537647057444357</v>
      </c>
      <c r="BJ15" s="25">
        <f t="shared" si="127"/>
        <v>1.0550794490443873</v>
      </c>
      <c r="BK15" s="25">
        <f t="shared" si="127"/>
        <v>1.056395832700991</v>
      </c>
      <c r="BL15" s="25">
        <f t="shared" si="127"/>
        <v>1.0577138587608592</v>
      </c>
      <c r="BM15" s="25">
        <f t="shared" si="127"/>
        <v>1.0590335292731576</v>
      </c>
      <c r="BN15" s="25">
        <f t="shared" si="127"/>
        <v>1.0603548462896091</v>
      </c>
      <c r="BO15" s="25">
        <f t="shared" si="127"/>
        <v>1.0616778118644958</v>
      </c>
      <c r="BP15" s="25">
        <f t="shared" si="127"/>
        <v>1.0630024280546633</v>
      </c>
      <c r="BQ15" s="25">
        <f t="shared" si="127"/>
        <v>1.0643286969195231</v>
      </c>
      <c r="BR15" s="25">
        <f t="shared" si="127"/>
        <v>1.0656566205210567</v>
      </c>
      <c r="BS15" s="25">
        <f t="shared" ref="BS15" si="128">BR15*(1+BS14*BS10)</f>
        <v>1.0669862009238178</v>
      </c>
      <c r="BT15" s="25">
        <f t="shared" ref="BT15" si="129">BS15*(1+BT14*BT10)</f>
        <v>1.068317440194936</v>
      </c>
      <c r="BU15" s="25">
        <f t="shared" ref="BU15" si="130">BT15*(1+BU14*BU10)</f>
        <v>1.0696503404041202</v>
      </c>
      <c r="BV15" s="25">
        <f t="shared" ref="BV15" si="131">BU15*(1+BV14*BV10)</f>
        <v>1.0709849036236616</v>
      </c>
      <c r="BW15" s="25">
        <f t="shared" ref="BW15" si="132">BV15*(1+BW14*BW10)</f>
        <v>1.0723211319284365</v>
      </c>
      <c r="BX15" s="25">
        <f t="shared" ref="BX15" si="133">BW15*(1+BX14*BX10)</f>
        <v>1.0736590273959103</v>
      </c>
      <c r="BY15" s="25">
        <f t="shared" ref="BY15" si="134">BX15*(1+BY14*BY10)</f>
        <v>1.0749985921061405</v>
      </c>
      <c r="BZ15" s="25">
        <f t="shared" ref="BZ15" si="135">BY15*(1+BZ14*BZ10)</f>
        <v>1.0763398281417795</v>
      </c>
      <c r="CA15" s="25">
        <f t="shared" ref="CA15" si="136">BZ15*(1+CA14*CA10)</f>
        <v>1.0776827375880784</v>
      </c>
      <c r="CB15" s="25">
        <f t="shared" ref="CB15" si="137">CA15*(1+CB14*CB10)</f>
        <v>1.0790273225328897</v>
      </c>
      <c r="CC15" s="25">
        <f t="shared" ref="CC15" si="138">CB15*(1+CC14*CC10)</f>
        <v>1.0803735850666709</v>
      </c>
      <c r="CD15" s="25">
        <f t="shared" ref="CD15" si="139">CC15*(1+CD14*CD10)</f>
        <v>1.081721527282488</v>
      </c>
      <c r="CE15" s="25">
        <f t="shared" ref="CE15" si="140">CD15*(1+CE14*CE10)</f>
        <v>1.0830711512760183</v>
      </c>
      <c r="CF15" s="25">
        <f t="shared" ref="CF15" si="141">CE15*(1+CF14*CF10)</f>
        <v>1.0844224591455536</v>
      </c>
      <c r="CG15" s="25">
        <f t="shared" ref="CG15" si="142">CF15*(1+CG14*CG10)</f>
        <v>1.0857754529920038</v>
      </c>
      <c r="CH15" s="25">
        <f t="shared" ref="CH15" si="143">CG15*(1+CH14*CH10)</f>
        <v>1.0871301349189002</v>
      </c>
      <c r="CI15" s="25">
        <f t="shared" ref="CI15" si="144">CH15*(1+CI14*CI10)</f>
        <v>1.0884865070323981</v>
      </c>
      <c r="CJ15" s="25">
        <f t="shared" ref="CJ15" si="145">CI15*(1+CJ14*CJ10)</f>
        <v>1.0898445714412812</v>
      </c>
      <c r="CK15" s="25">
        <f t="shared" ref="CK15" si="146">CJ15*(1+CK14*CK10)</f>
        <v>1.0912043302569636</v>
      </c>
      <c r="CL15" s="25">
        <f t="shared" ref="CL15" si="147">CK15*(1+CL14*CL10)</f>
        <v>1.0925657855934943</v>
      </c>
      <c r="CM15" s="25">
        <f t="shared" ref="CM15" si="148">CL15*(1+CM14*CM10)</f>
        <v>1.0939289395675598</v>
      </c>
      <c r="CN15" s="25">
        <f t="shared" ref="CN15" si="149">CM15*(1+CN14*CN10)</f>
        <v>1.0952937942984873</v>
      </c>
      <c r="CO15" s="25">
        <f t="shared" ref="CO15" si="150">CN15*(1+CO14*CO10)</f>
        <v>1.0966603519082481</v>
      </c>
      <c r="CP15" s="25">
        <f t="shared" ref="CP15" si="151">CO15*(1+CP14*CP10)</f>
        <v>1.0980286145214615</v>
      </c>
      <c r="CQ15" s="25">
        <f t="shared" ref="CQ15" si="152">CP15*(1+CQ14*CQ10)</f>
        <v>1.0993985842653973</v>
      </c>
      <c r="CR15" s="25">
        <f t="shared" ref="CR15" si="153">CQ15*(1+CR14*CR10)</f>
        <v>1.1007702632699794</v>
      </c>
      <c r="CS15" s="25">
        <f t="shared" ref="CS15" si="154">CR15*(1+CS14*CS10)</f>
        <v>1.1021436536677891</v>
      </c>
      <c r="CT15" s="25">
        <f t="shared" ref="CT15" si="155">CS15*(1+CT14*CT10)</f>
        <v>1.1035187575940686</v>
      </c>
      <c r="CU15" s="25">
        <f t="shared" ref="CU15" si="156">CT15*(1+CU14*CU10)</f>
        <v>1.1048955771867239</v>
      </c>
      <c r="CV15" s="25">
        <f t="shared" ref="CV15" si="157">CU15*(1+CV14*CV10)</f>
        <v>1.1062741145863288</v>
      </c>
      <c r="CW15" s="25">
        <f t="shared" ref="CW15" si="158">CV15*(1+CW14*CW10)</f>
        <v>1.1076543719361276</v>
      </c>
      <c r="CX15" s="25">
        <f t="shared" ref="CX15" si="159">CW15*(1+CX14*CX10)</f>
        <v>1.1090363513820385</v>
      </c>
      <c r="CY15" s="25">
        <f t="shared" ref="CY15" si="160">CX15*(1+CY14*CY10)</f>
        <v>1.1104200550726573</v>
      </c>
      <c r="CZ15" s="25">
        <f t="shared" ref="CZ15" si="161">CY15*(1+CZ14*CZ10)</f>
        <v>1.1118054851592603</v>
      </c>
      <c r="DA15" s="25">
        <f t="shared" ref="DA15" si="162">CZ15*(1+DA14*DA10)</f>
        <v>1.113192643795808</v>
      </c>
      <c r="DB15" s="25">
        <f t="shared" ref="DB15" si="163">DA15*(1+DB14*DB10)</f>
        <v>1.1145815331389484</v>
      </c>
      <c r="DC15" s="25">
        <f t="shared" ref="DC15" si="164">DB15*(1+DC14*DC10)</f>
        <v>1.1159721553480202</v>
      </c>
      <c r="DD15" s="25">
        <f t="shared" ref="DD15" si="165">DC15*(1+DD14*DD10)</f>
        <v>1.1173645125850562</v>
      </c>
      <c r="DE15" s="25">
        <f t="shared" ref="DE15" si="166">DD15*(1+DE14*DE10)</f>
        <v>1.1187586070147866</v>
      </c>
      <c r="DF15" s="25">
        <f t="shared" ref="DF15" si="167">DE15*(1+DF14*DF10)</f>
        <v>1.1201544408046427</v>
      </c>
      <c r="DG15" s="25">
        <f t="shared" ref="DG15" si="168">DF15*(1+DG14*DG10)</f>
        <v>1.1215520161247599</v>
      </c>
      <c r="DH15" s="25">
        <f t="shared" ref="DH15" si="169">DG15*(1+DH14*DH10)</f>
        <v>1.122951335147981</v>
      </c>
      <c r="DI15" s="25">
        <f t="shared" ref="DI15" si="170">DH15*(1+DI14*DI10)</f>
        <v>1.1243524000498601</v>
      </c>
      <c r="DJ15" s="25">
        <f t="shared" ref="DJ15" si="171">DI15*(1+DJ14*DJ10)</f>
        <v>1.1257552130086657</v>
      </c>
      <c r="DK15" s="25">
        <f t="shared" ref="DK15" si="172">DJ15*(1+DK14*DK10)</f>
        <v>1.1271597762053833</v>
      </c>
      <c r="DL15" s="25">
        <f t="shared" ref="DL15" si="173">DK15*(1+DL14*DL10)</f>
        <v>1.1285660918237206</v>
      </c>
      <c r="DM15" s="25">
        <f t="shared" ref="DM15" si="174">DL15*(1+DM14*DM10)</f>
        <v>1.1299741620501091</v>
      </c>
      <c r="DN15" s="25">
        <f t="shared" ref="DN15" si="175">DM15*(1+DN14*DN10)</f>
        <v>1.1313839890737085</v>
      </c>
      <c r="DO15" s="25">
        <f t="shared" ref="DO15" si="176">DN15*(1+DO14*DO10)</f>
        <v>1.1327955750864098</v>
      </c>
      <c r="DP15" s="25">
        <f t="shared" ref="DP15" si="177">DO15*(1+DP14*DP10)</f>
        <v>1.1327955750864098</v>
      </c>
      <c r="DQ15" s="25">
        <f t="shared" ref="DQ15" si="178">DP15*(1+DQ14*DQ10)</f>
        <v>1.1327955750864098</v>
      </c>
    </row>
    <row r="16" spans="1:1006" x14ac:dyDescent="0.35">
      <c r="C16" s="20" t="s">
        <v>168</v>
      </c>
      <c r="F16" s="20" t="s">
        <v>86</v>
      </c>
      <c r="K16" s="20">
        <f>K13/K15</f>
        <v>0</v>
      </c>
      <c r="L16" s="20">
        <f t="shared" ref="L16:BR16" si="179">L13/L15</f>
        <v>0</v>
      </c>
      <c r="M16" s="20">
        <f t="shared" si="179"/>
        <v>0</v>
      </c>
      <c r="N16" s="20">
        <f t="shared" si="179"/>
        <v>0</v>
      </c>
      <c r="O16" s="20">
        <f t="shared" si="179"/>
        <v>0</v>
      </c>
      <c r="P16" s="20">
        <f t="shared" si="179"/>
        <v>0</v>
      </c>
      <c r="Q16" s="20">
        <f t="shared" si="179"/>
        <v>0</v>
      </c>
      <c r="R16" s="20">
        <f t="shared" si="179"/>
        <v>0</v>
      </c>
      <c r="S16" s="20">
        <f t="shared" si="179"/>
        <v>0</v>
      </c>
      <c r="T16" s="20">
        <f t="shared" si="179"/>
        <v>5992.5233499649203</v>
      </c>
      <c r="U16" s="20">
        <f t="shared" si="179"/>
        <v>5985.056016645799</v>
      </c>
      <c r="V16" s="20">
        <f t="shared" si="179"/>
        <v>5977.5979884329972</v>
      </c>
      <c r="W16" s="20">
        <f t="shared" si="179"/>
        <v>5970.1492537313452</v>
      </c>
      <c r="X16" s="20">
        <f t="shared" si="179"/>
        <v>5962.7098009601223</v>
      </c>
      <c r="Y16" s="20">
        <f t="shared" si="179"/>
        <v>5955.2796185530351</v>
      </c>
      <c r="Z16" s="20">
        <f t="shared" si="179"/>
        <v>5947.8586949582077</v>
      </c>
      <c r="AA16" s="20">
        <f t="shared" si="179"/>
        <v>5940.4470186381568</v>
      </c>
      <c r="AB16" s="20">
        <f t="shared" si="179"/>
        <v>5933.0445780697755</v>
      </c>
      <c r="AC16" s="20">
        <f t="shared" si="179"/>
        <v>5925.6513617443161</v>
      </c>
      <c r="AD16" s="20">
        <f t="shared" si="179"/>
        <v>5918.2673581673735</v>
      </c>
      <c r="AE16" s="20">
        <f t="shared" si="179"/>
        <v>5910.8925558588644</v>
      </c>
      <c r="AF16" s="20">
        <f t="shared" si="179"/>
        <v>5903.5269433530111</v>
      </c>
      <c r="AG16" s="20">
        <f t="shared" si="179"/>
        <v>5896.1705091983258</v>
      </c>
      <c r="AH16" s="20">
        <f t="shared" si="179"/>
        <v>5888.823241957587</v>
      </c>
      <c r="AI16" s="20">
        <f t="shared" si="179"/>
        <v>5881.4851302078268</v>
      </c>
      <c r="AJ16" s="20">
        <f t="shared" si="179"/>
        <v>5874.1561625403119</v>
      </c>
      <c r="AK16" s="20">
        <f t="shared" si="179"/>
        <v>5866.8363275605261</v>
      </c>
      <c r="AL16" s="20">
        <f t="shared" si="179"/>
        <v>5859.5256138881477</v>
      </c>
      <c r="AM16" s="20">
        <f t="shared" si="179"/>
        <v>5852.2240101570442</v>
      </c>
      <c r="AN16" s="20">
        <f t="shared" si="179"/>
        <v>5844.9315050152381</v>
      </c>
      <c r="AO16" s="20">
        <f t="shared" si="179"/>
        <v>5837.6480871249023</v>
      </c>
      <c r="AP16" s="20">
        <f t="shared" si="179"/>
        <v>5830.3737451623383</v>
      </c>
      <c r="AQ16" s="20">
        <f t="shared" si="179"/>
        <v>5823.108467817955</v>
      </c>
      <c r="AR16" s="20">
        <f t="shared" si="179"/>
        <v>5815.8522437962574</v>
      </c>
      <c r="AS16" s="20">
        <f t="shared" si="179"/>
        <v>5808.6050618158242</v>
      </c>
      <c r="AT16" s="20">
        <f t="shared" si="179"/>
        <v>5801.366910609293</v>
      </c>
      <c r="AU16" s="20">
        <f t="shared" si="179"/>
        <v>5794.1377789233402</v>
      </c>
      <c r="AV16" s="20">
        <f t="shared" si="179"/>
        <v>5786.9176555186659</v>
      </c>
      <c r="AW16" s="20">
        <f t="shared" si="179"/>
        <v>5779.7065291699764</v>
      </c>
      <c r="AX16" s="20">
        <f t="shared" si="179"/>
        <v>5772.5043886659651</v>
      </c>
      <c r="AY16" s="20">
        <f t="shared" si="179"/>
        <v>5765.311222809295</v>
      </c>
      <c r="AZ16" s="20">
        <f t="shared" si="179"/>
        <v>5758.1270204165849</v>
      </c>
      <c r="BA16" s="20">
        <f t="shared" si="179"/>
        <v>5750.9517703183865</v>
      </c>
      <c r="BB16" s="20">
        <f t="shared" si="179"/>
        <v>5743.7854613591708</v>
      </c>
      <c r="BC16" s="20">
        <f t="shared" si="179"/>
        <v>5736.6280823973102</v>
      </c>
      <c r="BD16" s="20">
        <f t="shared" si="179"/>
        <v>5729.4796223050616</v>
      </c>
      <c r="BE16" s="20">
        <f t="shared" si="179"/>
        <v>5722.3400699685453</v>
      </c>
      <c r="BF16" s="20">
        <f t="shared" si="179"/>
        <v>5715.209414287734</v>
      </c>
      <c r="BG16" s="20">
        <f t="shared" si="179"/>
        <v>5708.0876441764303</v>
      </c>
      <c r="BH16" s="20">
        <f t="shared" si="179"/>
        <v>5700.974748562252</v>
      </c>
      <c r="BI16" s="20">
        <f t="shared" si="179"/>
        <v>5693.8707163866147</v>
      </c>
      <c r="BJ16" s="20">
        <f t="shared" si="179"/>
        <v>5686.7755366047122</v>
      </c>
      <c r="BK16" s="20">
        <f t="shared" si="179"/>
        <v>5679.6891981855042</v>
      </c>
      <c r="BL16" s="20">
        <f t="shared" si="179"/>
        <v>5672.6116901116948</v>
      </c>
      <c r="BM16" s="20">
        <f t="shared" si="179"/>
        <v>5665.5430013797168</v>
      </c>
      <c r="BN16" s="20">
        <f t="shared" si="179"/>
        <v>5658.4831209997146</v>
      </c>
      <c r="BO16" s="20">
        <f t="shared" si="179"/>
        <v>5651.4320379955279</v>
      </c>
      <c r="BP16" s="20">
        <f t="shared" si="179"/>
        <v>5644.3897414046723</v>
      </c>
      <c r="BQ16" s="20">
        <f t="shared" si="179"/>
        <v>5637.3562202783269</v>
      </c>
      <c r="BR16" s="20">
        <f t="shared" si="179"/>
        <v>5630.3314636813102</v>
      </c>
      <c r="BS16" s="20">
        <f t="shared" ref="BS16" si="180">BS13/BS15</f>
        <v>5623.3154606920698</v>
      </c>
      <c r="BT16" s="20">
        <f t="shared" ref="BT16" si="181">BT13/BT15</f>
        <v>5616.3082004026628</v>
      </c>
      <c r="BU16" s="20">
        <f t="shared" ref="BU16" si="182">BU13/BU15</f>
        <v>5609.3096719187361</v>
      </c>
      <c r="BV16" s="20">
        <f t="shared" ref="BV16" si="183">BV13/BV15</f>
        <v>5602.3198643595151</v>
      </c>
      <c r="BW16" s="20">
        <f t="shared" ref="BW16" si="184">BW13/BW15</f>
        <v>5595.3387668577834</v>
      </c>
      <c r="BX16" s="20">
        <f t="shared" ref="BX16" si="185">BX13/BX15</f>
        <v>5588.3663685598649</v>
      </c>
      <c r="BY16" s="20">
        <f t="shared" ref="BY16" si="186">BY13/BY15</f>
        <v>5581.4026586256095</v>
      </c>
      <c r="BZ16" s="20">
        <f t="shared" ref="BZ16" si="187">BZ13/BZ15</f>
        <v>5574.4476262283752</v>
      </c>
      <c r="CA16" s="20">
        <f t="shared" ref="CA16" si="188">CA13/CA15</f>
        <v>5567.5012605550091</v>
      </c>
      <c r="CB16" s="20">
        <f t="shared" ref="CB16" si="189">CB13/CB15</f>
        <v>5560.5635508058367</v>
      </c>
      <c r="CC16" s="20">
        <f t="shared" ref="CC16" si="190">CC13/CC15</f>
        <v>5553.6344861946382</v>
      </c>
      <c r="CD16" s="20">
        <f t="shared" ref="CD16" si="191">CD13/CD15</f>
        <v>5546.7140559486334</v>
      </c>
      <c r="CE16" s="20">
        <f t="shared" ref="CE16" si="192">CE13/CE15</f>
        <v>5539.80224930847</v>
      </c>
      <c r="CF16" s="20">
        <f t="shared" ref="CF16" si="193">CF13/CF15</f>
        <v>5532.8990555281989</v>
      </c>
      <c r="CG16" s="20">
        <f t="shared" ref="CG16" si="194">CG13/CG15</f>
        <v>5526.0044638752643</v>
      </c>
      <c r="CH16" s="20">
        <f t="shared" ref="CH16" si="195">CH13/CH15</f>
        <v>5519.1184636304824</v>
      </c>
      <c r="CI16" s="20">
        <f t="shared" ref="CI16" si="196">CI13/CI15</f>
        <v>5512.2410440880312</v>
      </c>
      <c r="CJ16" s="20">
        <f t="shared" ref="CJ16" si="197">CJ13/CJ15</f>
        <v>5505.3721945554225</v>
      </c>
      <c r="CK16" s="20">
        <f t="shared" ref="CK16" si="198">CK13/CK15</f>
        <v>5498.5119043534978</v>
      </c>
      <c r="CL16" s="20">
        <f t="shared" ref="CL16" si="199">CL13/CL15</f>
        <v>5491.6601628164026</v>
      </c>
      <c r="CM16" s="20">
        <f t="shared" ref="CM16" si="200">CM13/CM15</f>
        <v>5484.8169592915747</v>
      </c>
      <c r="CN16" s="20">
        <f t="shared" ref="CN16" si="201">CN13/CN15</f>
        <v>5477.982283139725</v>
      </c>
      <c r="CO16" s="20">
        <f t="shared" ref="CO16" si="202">CO13/CO15</f>
        <v>5471.1561237348251</v>
      </c>
      <c r="CP16" s="20">
        <f t="shared" ref="CP16" si="203">CP13/CP15</f>
        <v>5464.3384704640839</v>
      </c>
      <c r="CQ16" s="20">
        <f t="shared" ref="CQ16" si="204">CQ13/CQ15</f>
        <v>5457.5293127279365</v>
      </c>
      <c r="CR16" s="20">
        <f t="shared" ref="CR16" si="205">CR13/CR15</f>
        <v>5450.7286399400264</v>
      </c>
      <c r="CS16" s="20">
        <f t="shared" ref="CS16" si="206">CS13/CS15</f>
        <v>5443.9364415271903</v>
      </c>
      <c r="CT16" s="20">
        <f t="shared" ref="CT16" si="207">CT13/CT15</f>
        <v>5437.152706929438</v>
      </c>
      <c r="CU16" s="20">
        <f t="shared" ref="CU16" si="208">CU13/CU15</f>
        <v>5430.3774255999388</v>
      </c>
      <c r="CV16" s="20">
        <f t="shared" ref="CV16" si="209">CV13/CV15</f>
        <v>5423.6105870050042</v>
      </c>
      <c r="CW16" s="20">
        <f t="shared" ref="CW16" si="210">CW13/CW15</f>
        <v>5416.8521806240724</v>
      </c>
      <c r="CX16" s="20">
        <f t="shared" ref="CX16" si="211">CX13/CX15</f>
        <v>5410.1021959496911</v>
      </c>
      <c r="CY16" s="20">
        <f t="shared" ref="CY16" si="212">CY13/CY15</f>
        <v>5403.360622487502</v>
      </c>
      <c r="CZ16" s="20">
        <f t="shared" ref="CZ16" si="213">CZ13/CZ15</f>
        <v>5396.6274497562235</v>
      </c>
      <c r="DA16" s="20">
        <f t="shared" ref="DA16" si="214">DA13/DA15</f>
        <v>5389.9026672876353</v>
      </c>
      <c r="DB16" s="20">
        <f t="shared" ref="DB16" si="215">DB13/DB15</f>
        <v>5383.1862646265599</v>
      </c>
      <c r="DC16" s="20">
        <f t="shared" ref="DC16" si="216">DC13/DC15</f>
        <v>5376.4782313308497</v>
      </c>
      <c r="DD16" s="20">
        <f t="shared" ref="DD16" si="217">DD13/DD15</f>
        <v>5369.7785569713687</v>
      </c>
      <c r="DE16" s="20">
        <f t="shared" ref="DE16" si="218">DE13/DE15</f>
        <v>5363.0872311319772</v>
      </c>
      <c r="DF16" s="20">
        <f t="shared" ref="DF16" si="219">DF13/DF15</f>
        <v>5356.4042434095145</v>
      </c>
      <c r="DG16" s="20">
        <f t="shared" ref="DG16" si="220">DG13/DG15</f>
        <v>5349.7295834137831</v>
      </c>
      <c r="DH16" s="20">
        <f t="shared" ref="DH16" si="221">DH13/DH15</f>
        <v>5343.0632407675339</v>
      </c>
      <c r="DI16" s="20">
        <f t="shared" ref="DI16" si="222">DI13/DI15</f>
        <v>5336.4052051064473</v>
      </c>
      <c r="DJ16" s="20">
        <f t="shared" ref="DJ16" si="223">DJ13/DJ15</f>
        <v>5329.7554660791202</v>
      </c>
      <c r="DK16" s="20">
        <f t="shared" ref="DK16" si="224">DK13/DK15</f>
        <v>5323.114013347049</v>
      </c>
      <c r="DL16" s="20">
        <f t="shared" ref="DL16" si="225">DL13/DL15</f>
        <v>5316.480836584612</v>
      </c>
      <c r="DM16" s="20">
        <f t="shared" ref="DM16" si="226">DM13/DM15</f>
        <v>5309.8559254790534</v>
      </c>
      <c r="DN16" s="20">
        <f t="shared" ref="DN16" si="227">DN13/DN15</f>
        <v>5303.2392697304704</v>
      </c>
      <c r="DO16" s="20">
        <f t="shared" ref="DO16" si="228">DO13/DO15</f>
        <v>5296.630859051792</v>
      </c>
      <c r="DP16" s="20">
        <f t="shared" ref="DP16" si="229">DP13/DP15</f>
        <v>0</v>
      </c>
      <c r="DQ16" s="20">
        <f t="shared" ref="DQ16" si="230">DQ13/DQ15</f>
        <v>0</v>
      </c>
    </row>
    <row r="18" spans="3:121" x14ac:dyDescent="0.35">
      <c r="C18" s="20" t="s">
        <v>169</v>
      </c>
      <c r="F18" s="20" t="s">
        <v>171</v>
      </c>
      <c r="G18" s="45">
        <f>Assumptions!E36</f>
        <v>1</v>
      </c>
      <c r="K18" s="20" t="b" cm="1">
        <f t="array" ref="K18">find_month(K$6,K$7,$G18)</f>
        <v>0</v>
      </c>
      <c r="L18" s="20" t="b" cm="1">
        <f t="array" ref="L18">find_month(L$6,L$7,$G18)</f>
        <v>0</v>
      </c>
      <c r="M18" s="20" t="b" cm="1">
        <f t="array" ref="M18">find_month(M$6,M$7,$G18)</f>
        <v>0</v>
      </c>
      <c r="N18" s="20" t="b" cm="1">
        <f t="array" ref="N18">find_month(N$6,N$7,$G18)</f>
        <v>0</v>
      </c>
      <c r="O18" s="20" t="b" cm="1">
        <f t="array" ref="O18">find_month(O$6,O$7,$G18)</f>
        <v>1</v>
      </c>
      <c r="P18" s="20" t="b" cm="1">
        <f t="array" ref="P18">find_month(P$6,P$7,$G18)</f>
        <v>0</v>
      </c>
      <c r="Q18" s="20" t="b" cm="1">
        <f t="array" ref="Q18">find_month(Q$6,Q$7,$G18)</f>
        <v>0</v>
      </c>
      <c r="R18" s="20" t="b" cm="1">
        <f t="array" ref="R18">find_month(R$6,R$7,$G18)</f>
        <v>0</v>
      </c>
      <c r="S18" s="20" t="b" cm="1">
        <f t="array" ref="S18">find_month(S$6,S$7,$G18)</f>
        <v>0</v>
      </c>
      <c r="T18" s="20" t="b" cm="1">
        <f t="array" ref="T18">find_month(T$6,T$7,$G18)</f>
        <v>0</v>
      </c>
      <c r="U18" s="20" t="b" cm="1">
        <f t="array" ref="U18">find_month(U$6,U$7,$G18)</f>
        <v>0</v>
      </c>
      <c r="V18" s="20" t="b" cm="1">
        <f t="array" ref="V18">find_month(V$6,V$7,$G18)</f>
        <v>1</v>
      </c>
      <c r="W18" s="20" t="b" cm="1">
        <f t="array" ref="W18">find_month(W$6,W$7,$G18)</f>
        <v>0</v>
      </c>
      <c r="X18" s="20" t="b" cm="1">
        <f t="array" ref="X18">find_month(X$6,X$7,$G18)</f>
        <v>0</v>
      </c>
      <c r="Y18" s="20" t="b" cm="1">
        <f t="array" ref="Y18">find_month(Y$6,Y$7,$G18)</f>
        <v>0</v>
      </c>
      <c r="Z18" s="20" t="b" cm="1">
        <f t="array" ref="Z18">find_month(Z$6,Z$7,$G18)</f>
        <v>1</v>
      </c>
      <c r="AA18" s="20" t="b" cm="1">
        <f t="array" ref="AA18">find_month(AA$6,AA$7,$G18)</f>
        <v>0</v>
      </c>
      <c r="AB18" s="20" t="b" cm="1">
        <f t="array" ref="AB18">find_month(AB$6,AB$7,$G18)</f>
        <v>0</v>
      </c>
      <c r="AC18" s="20" t="b" cm="1">
        <f t="array" ref="AC18">find_month(AC$6,AC$7,$G18)</f>
        <v>0</v>
      </c>
      <c r="AD18" s="20" t="b" cm="1">
        <f t="array" ref="AD18">find_month(AD$6,AD$7,$G18)</f>
        <v>1</v>
      </c>
      <c r="AE18" s="20" t="b" cm="1">
        <f t="array" ref="AE18">find_month(AE$6,AE$7,$G18)</f>
        <v>0</v>
      </c>
      <c r="AF18" s="20" t="b" cm="1">
        <f t="array" ref="AF18">find_month(AF$6,AF$7,$G18)</f>
        <v>0</v>
      </c>
      <c r="AG18" s="20" t="b" cm="1">
        <f t="array" ref="AG18">find_month(AG$6,AG$7,$G18)</f>
        <v>0</v>
      </c>
      <c r="AH18" s="20" t="b" cm="1">
        <f t="array" ref="AH18">find_month(AH$6,AH$7,$G18)</f>
        <v>1</v>
      </c>
      <c r="AI18" s="20" t="b" cm="1">
        <f t="array" ref="AI18">find_month(AI$6,AI$7,$G18)</f>
        <v>0</v>
      </c>
      <c r="AJ18" s="20" t="b" cm="1">
        <f t="array" ref="AJ18">find_month(AJ$6,AJ$7,$G18)</f>
        <v>0</v>
      </c>
      <c r="AK18" s="20" t="b" cm="1">
        <f t="array" ref="AK18">find_month(AK$6,AK$7,$G18)</f>
        <v>0</v>
      </c>
      <c r="AL18" s="20" t="b" cm="1">
        <f t="array" ref="AL18">find_month(AL$6,AL$7,$G18)</f>
        <v>1</v>
      </c>
      <c r="AM18" s="20" t="b" cm="1">
        <f t="array" ref="AM18">find_month(AM$6,AM$7,$G18)</f>
        <v>0</v>
      </c>
      <c r="AN18" s="20" t="b" cm="1">
        <f t="array" ref="AN18">find_month(AN$6,AN$7,$G18)</f>
        <v>0</v>
      </c>
      <c r="AO18" s="20" t="b" cm="1">
        <f t="array" ref="AO18">find_month(AO$6,AO$7,$G18)</f>
        <v>0</v>
      </c>
      <c r="AP18" s="20" t="b" cm="1">
        <f t="array" ref="AP18">find_month(AP$6,AP$7,$G18)</f>
        <v>1</v>
      </c>
      <c r="AQ18" s="20" t="b" cm="1">
        <f t="array" ref="AQ18">find_month(AQ$6,AQ$7,$G18)</f>
        <v>0</v>
      </c>
      <c r="AR18" s="20" t="b" cm="1">
        <f t="array" ref="AR18">find_month(AR$6,AR$7,$G18)</f>
        <v>0</v>
      </c>
      <c r="AS18" s="20" t="b" cm="1">
        <f t="array" ref="AS18">find_month(AS$6,AS$7,$G18)</f>
        <v>0</v>
      </c>
      <c r="AT18" s="20" t="b" cm="1">
        <f t="array" ref="AT18">find_month(AT$6,AT$7,$G18)</f>
        <v>1</v>
      </c>
      <c r="AU18" s="20" t="b" cm="1">
        <f t="array" ref="AU18">find_month(AU$6,AU$7,$G18)</f>
        <v>0</v>
      </c>
      <c r="AV18" s="20" t="b" cm="1">
        <f t="array" ref="AV18">find_month(AV$6,AV$7,$G18)</f>
        <v>0</v>
      </c>
      <c r="AW18" s="20" t="b" cm="1">
        <f t="array" ref="AW18">find_month(AW$6,AW$7,$G18)</f>
        <v>0</v>
      </c>
      <c r="AX18" s="20" t="b" cm="1">
        <f t="array" ref="AX18">find_month(AX$6,AX$7,$G18)</f>
        <v>1</v>
      </c>
      <c r="AY18" s="20" t="b" cm="1">
        <f t="array" ref="AY18">find_month(AY$6,AY$7,$G18)</f>
        <v>0</v>
      </c>
      <c r="AZ18" s="20" t="b" cm="1">
        <f t="array" ref="AZ18">find_month(AZ$6,AZ$7,$G18)</f>
        <v>0</v>
      </c>
      <c r="BA18" s="20" t="b" cm="1">
        <f t="array" ref="BA18">find_month(BA$6,BA$7,$G18)</f>
        <v>0</v>
      </c>
      <c r="BB18" s="20" t="b" cm="1">
        <f t="array" ref="BB18">find_month(BB$6,BB$7,$G18)</f>
        <v>1</v>
      </c>
      <c r="BC18" s="20" t="b" cm="1">
        <f t="array" ref="BC18">find_month(BC$6,BC$7,$G18)</f>
        <v>0</v>
      </c>
      <c r="BD18" s="20" t="b" cm="1">
        <f t="array" ref="BD18">find_month(BD$6,BD$7,$G18)</f>
        <v>0</v>
      </c>
      <c r="BE18" s="20" t="b" cm="1">
        <f t="array" ref="BE18">find_month(BE$6,BE$7,$G18)</f>
        <v>0</v>
      </c>
      <c r="BF18" s="20" t="b" cm="1">
        <f t="array" ref="BF18">find_month(BF$6,BF$7,$G18)</f>
        <v>1</v>
      </c>
      <c r="BG18" s="20" t="b" cm="1">
        <f t="array" ref="BG18">find_month(BG$6,BG$7,$G18)</f>
        <v>0</v>
      </c>
      <c r="BH18" s="20" t="b" cm="1">
        <f t="array" ref="BH18">find_month(BH$6,BH$7,$G18)</f>
        <v>0</v>
      </c>
      <c r="BI18" s="20" t="b" cm="1">
        <f t="array" ref="BI18">find_month(BI$6,BI$7,$G18)</f>
        <v>0</v>
      </c>
      <c r="BJ18" s="20" t="b" cm="1">
        <f t="array" ref="BJ18">find_month(BJ$6,BJ$7,$G18)</f>
        <v>1</v>
      </c>
      <c r="BK18" s="20" t="b" cm="1">
        <f t="array" ref="BK18">find_month(BK$6,BK$7,$G18)</f>
        <v>0</v>
      </c>
      <c r="BL18" s="20" t="b" cm="1">
        <f t="array" ref="BL18">find_month(BL$6,BL$7,$G18)</f>
        <v>0</v>
      </c>
      <c r="BM18" s="20" t="b" cm="1">
        <f t="array" ref="BM18">find_month(BM$6,BM$7,$G18)</f>
        <v>0</v>
      </c>
      <c r="BN18" s="20" t="b" cm="1">
        <f t="array" ref="BN18">find_month(BN$6,BN$7,$G18)</f>
        <v>1</v>
      </c>
      <c r="BO18" s="20" t="b" cm="1">
        <f t="array" ref="BO18">find_month(BO$6,BO$7,$G18)</f>
        <v>0</v>
      </c>
      <c r="BP18" s="20" t="b" cm="1">
        <f t="array" ref="BP18">find_month(BP$6,BP$7,$G18)</f>
        <v>0</v>
      </c>
      <c r="BQ18" s="20" t="b" cm="1">
        <f t="array" ref="BQ18">find_month(BQ$6,BQ$7,$G18)</f>
        <v>0</v>
      </c>
      <c r="BR18" s="20" t="b" cm="1">
        <f t="array" ref="BR18">find_month(BR$6,BR$7,$G18)</f>
        <v>1</v>
      </c>
      <c r="BS18" s="20" t="b" cm="1">
        <f t="array" ref="BS18">find_month(BS$6,BS$7,$G18)</f>
        <v>0</v>
      </c>
      <c r="BT18" s="20" t="b" cm="1">
        <f t="array" ref="BT18">find_month(BT$6,BT$7,$G18)</f>
        <v>0</v>
      </c>
      <c r="BU18" s="20" t="b" cm="1">
        <f t="array" ref="BU18">find_month(BU$6,BU$7,$G18)</f>
        <v>0</v>
      </c>
      <c r="BV18" s="20" t="b" cm="1">
        <f t="array" ref="BV18">find_month(BV$6,BV$7,$G18)</f>
        <v>1</v>
      </c>
      <c r="BW18" s="20" t="b" cm="1">
        <f t="array" ref="BW18">find_month(BW$6,BW$7,$G18)</f>
        <v>0</v>
      </c>
      <c r="BX18" s="20" t="b" cm="1">
        <f t="array" ref="BX18">find_month(BX$6,BX$7,$G18)</f>
        <v>0</v>
      </c>
      <c r="BY18" s="20" t="b" cm="1">
        <f t="array" ref="BY18">find_month(BY$6,BY$7,$G18)</f>
        <v>0</v>
      </c>
      <c r="BZ18" s="20" t="b" cm="1">
        <f t="array" ref="BZ18">find_month(BZ$6,BZ$7,$G18)</f>
        <v>1</v>
      </c>
      <c r="CA18" s="20" t="b" cm="1">
        <f t="array" ref="CA18">find_month(CA$6,CA$7,$G18)</f>
        <v>0</v>
      </c>
      <c r="CB18" s="20" t="b" cm="1">
        <f t="array" ref="CB18">find_month(CB$6,CB$7,$G18)</f>
        <v>0</v>
      </c>
      <c r="CC18" s="20" t="b" cm="1">
        <f t="array" ref="CC18">find_month(CC$6,CC$7,$G18)</f>
        <v>0</v>
      </c>
      <c r="CD18" s="20" t="b" cm="1">
        <f t="array" ref="CD18">find_month(CD$6,CD$7,$G18)</f>
        <v>1</v>
      </c>
      <c r="CE18" s="20" t="b" cm="1">
        <f t="array" ref="CE18">find_month(CE$6,CE$7,$G18)</f>
        <v>0</v>
      </c>
      <c r="CF18" s="20" t="b" cm="1">
        <f t="array" ref="CF18">find_month(CF$6,CF$7,$G18)</f>
        <v>0</v>
      </c>
      <c r="CG18" s="20" t="b" cm="1">
        <f t="array" ref="CG18">find_month(CG$6,CG$7,$G18)</f>
        <v>0</v>
      </c>
      <c r="CH18" s="20" t="b" cm="1">
        <f t="array" ref="CH18">find_month(CH$6,CH$7,$G18)</f>
        <v>1</v>
      </c>
      <c r="CI18" s="20" t="b" cm="1">
        <f t="array" ref="CI18">find_month(CI$6,CI$7,$G18)</f>
        <v>0</v>
      </c>
      <c r="CJ18" s="20" t="b" cm="1">
        <f t="array" ref="CJ18">find_month(CJ$6,CJ$7,$G18)</f>
        <v>0</v>
      </c>
      <c r="CK18" s="20" t="b" cm="1">
        <f t="array" ref="CK18">find_month(CK$6,CK$7,$G18)</f>
        <v>0</v>
      </c>
      <c r="CL18" s="20" t="b" cm="1">
        <f t="array" ref="CL18">find_month(CL$6,CL$7,$G18)</f>
        <v>1</v>
      </c>
      <c r="CM18" s="20" t="b" cm="1">
        <f t="array" ref="CM18">find_month(CM$6,CM$7,$G18)</f>
        <v>0</v>
      </c>
      <c r="CN18" s="20" t="b" cm="1">
        <f t="array" ref="CN18">find_month(CN$6,CN$7,$G18)</f>
        <v>0</v>
      </c>
      <c r="CO18" s="20" t="b" cm="1">
        <f t="array" ref="CO18">find_month(CO$6,CO$7,$G18)</f>
        <v>0</v>
      </c>
      <c r="CP18" s="20" t="b" cm="1">
        <f t="array" ref="CP18">find_month(CP$6,CP$7,$G18)</f>
        <v>1</v>
      </c>
      <c r="CQ18" s="20" t="b" cm="1">
        <f t="array" ref="CQ18">find_month(CQ$6,CQ$7,$G18)</f>
        <v>0</v>
      </c>
      <c r="CR18" s="20" t="b" cm="1">
        <f t="array" ref="CR18">find_month(CR$6,CR$7,$G18)</f>
        <v>0</v>
      </c>
      <c r="CS18" s="20" t="b" cm="1">
        <f t="array" ref="CS18">find_month(CS$6,CS$7,$G18)</f>
        <v>0</v>
      </c>
      <c r="CT18" s="20" t="b" cm="1">
        <f t="array" ref="CT18">find_month(CT$6,CT$7,$G18)</f>
        <v>1</v>
      </c>
      <c r="CU18" s="20" t="b" cm="1">
        <f t="array" ref="CU18">find_month(CU$6,CU$7,$G18)</f>
        <v>0</v>
      </c>
      <c r="CV18" s="20" t="b" cm="1">
        <f t="array" ref="CV18">find_month(CV$6,CV$7,$G18)</f>
        <v>0</v>
      </c>
      <c r="CW18" s="20" t="b" cm="1">
        <f t="array" ref="CW18">find_month(CW$6,CW$7,$G18)</f>
        <v>0</v>
      </c>
      <c r="CX18" s="20" t="b" cm="1">
        <f t="array" ref="CX18">find_month(CX$6,CX$7,$G18)</f>
        <v>1</v>
      </c>
      <c r="CY18" s="20" t="b" cm="1">
        <f t="array" ref="CY18">find_month(CY$6,CY$7,$G18)</f>
        <v>0</v>
      </c>
      <c r="CZ18" s="20" t="b" cm="1">
        <f t="array" ref="CZ18">find_month(CZ$6,CZ$7,$G18)</f>
        <v>0</v>
      </c>
      <c r="DA18" s="20" t="b" cm="1">
        <f t="array" ref="DA18">find_month(DA$6,DA$7,$G18)</f>
        <v>0</v>
      </c>
      <c r="DB18" s="20" t="b" cm="1">
        <f t="array" ref="DB18">find_month(DB$6,DB$7,$G18)</f>
        <v>1</v>
      </c>
      <c r="DC18" s="20" t="b" cm="1">
        <f t="array" ref="DC18">find_month(DC$6,DC$7,$G18)</f>
        <v>0</v>
      </c>
      <c r="DD18" s="20" t="b" cm="1">
        <f t="array" ref="DD18">find_month(DD$6,DD$7,$G18)</f>
        <v>0</v>
      </c>
      <c r="DE18" s="20" t="b" cm="1">
        <f t="array" ref="DE18">find_month(DE$6,DE$7,$G18)</f>
        <v>0</v>
      </c>
      <c r="DF18" s="20" t="b" cm="1">
        <f t="array" ref="DF18">find_month(DF$6,DF$7,$G18)</f>
        <v>1</v>
      </c>
      <c r="DG18" s="20" t="b" cm="1">
        <f t="array" ref="DG18">find_month(DG$6,DG$7,$G18)</f>
        <v>0</v>
      </c>
      <c r="DH18" s="20" t="b" cm="1">
        <f t="array" ref="DH18">find_month(DH$6,DH$7,$G18)</f>
        <v>0</v>
      </c>
      <c r="DI18" s="20" t="b" cm="1">
        <f t="array" ref="DI18">find_month(DI$6,DI$7,$G18)</f>
        <v>0</v>
      </c>
      <c r="DJ18" s="20" t="b" cm="1">
        <f t="array" ref="DJ18">find_month(DJ$6,DJ$7,$G18)</f>
        <v>1</v>
      </c>
      <c r="DK18" s="20" t="b" cm="1">
        <f t="array" ref="DK18">find_month(DK$6,DK$7,$G18)</f>
        <v>0</v>
      </c>
      <c r="DL18" s="20" t="b" cm="1">
        <f t="array" ref="DL18">find_month(DL$6,DL$7,$G18)</f>
        <v>0</v>
      </c>
      <c r="DM18" s="20" t="b" cm="1">
        <f t="array" ref="DM18">find_month(DM$6,DM$7,$G18)</f>
        <v>0</v>
      </c>
      <c r="DN18" s="20" t="b" cm="1">
        <f t="array" ref="DN18">find_month(DN$6,DN$7,$G18)</f>
        <v>1</v>
      </c>
      <c r="DO18" s="20" t="b" cm="1">
        <f t="array" ref="DO18">find_month(DO$6,DO$7,$G18)</f>
        <v>0</v>
      </c>
      <c r="DP18" s="20" t="b" cm="1">
        <f t="array" ref="DP18">find_month(DP$6,DP$7,$G18)</f>
        <v>0</v>
      </c>
      <c r="DQ18" s="20" t="b" cm="1">
        <f t="array" ref="DQ18">find_month(DQ$6,DQ$7,$G18)</f>
        <v>0</v>
      </c>
    </row>
    <row r="19" spans="3:121" x14ac:dyDescent="0.35">
      <c r="C19" s="20" t="s">
        <v>172</v>
      </c>
      <c r="F19" s="20" t="s">
        <v>171</v>
      </c>
      <c r="G19" s="45">
        <f>Assumptions!E37</f>
        <v>2</v>
      </c>
      <c r="K19" s="20" t="b" cm="1">
        <f t="array" ref="K19">find_month(K$6,K$7,$G19)</f>
        <v>0</v>
      </c>
      <c r="L19" s="20" t="b" cm="1">
        <f t="array" ref="L19">find_month(L$6,L$7,$G19)</f>
        <v>0</v>
      </c>
      <c r="M19" s="20" t="b" cm="1">
        <f t="array" ref="M19">find_month(M$6,M$7,$G19)</f>
        <v>0</v>
      </c>
      <c r="N19" s="20" t="b" cm="1">
        <f t="array" ref="N19">find_month(N$6,N$7,$G19)</f>
        <v>0</v>
      </c>
      <c r="O19" s="20" t="b" cm="1">
        <f t="array" ref="O19">find_month(O$6,O$7,$G19)</f>
        <v>0</v>
      </c>
      <c r="P19" s="20" t="b" cm="1">
        <f t="array" ref="P19">find_month(P$6,P$7,$G19)</f>
        <v>1</v>
      </c>
      <c r="Q19" s="20" t="b" cm="1">
        <f t="array" ref="Q19">find_month(Q$6,Q$7,$G19)</f>
        <v>0</v>
      </c>
      <c r="R19" s="20" t="b" cm="1">
        <f t="array" ref="R19">find_month(R$6,R$7,$G19)</f>
        <v>0</v>
      </c>
      <c r="S19" s="20" t="b" cm="1">
        <f t="array" ref="S19">find_month(S$6,S$7,$G19)</f>
        <v>0</v>
      </c>
      <c r="T19" s="20" t="b" cm="1">
        <f t="array" ref="T19">find_month(T$6,T$7,$G19)</f>
        <v>0</v>
      </c>
      <c r="U19" s="20" t="b" cm="1">
        <f t="array" ref="U19">find_month(U$6,U$7,$G19)</f>
        <v>0</v>
      </c>
      <c r="V19" s="20" t="b" cm="1">
        <f t="array" ref="V19">find_month(V$6,V$7,$G19)</f>
        <v>1</v>
      </c>
      <c r="W19" s="20" t="b" cm="1">
        <f t="array" ref="W19">find_month(W$6,W$7,$G19)</f>
        <v>0</v>
      </c>
      <c r="X19" s="20" t="b" cm="1">
        <f t="array" ref="X19">find_month(X$6,X$7,$G19)</f>
        <v>0</v>
      </c>
      <c r="Y19" s="20" t="b" cm="1">
        <f t="array" ref="Y19">find_month(Y$6,Y$7,$G19)</f>
        <v>0</v>
      </c>
      <c r="Z19" s="20" t="b" cm="1">
        <f t="array" ref="Z19">find_month(Z$6,Z$7,$G19)</f>
        <v>1</v>
      </c>
      <c r="AA19" s="20" t="b" cm="1">
        <f t="array" ref="AA19">find_month(AA$6,AA$7,$G19)</f>
        <v>0</v>
      </c>
      <c r="AB19" s="20" t="b" cm="1">
        <f t="array" ref="AB19">find_month(AB$6,AB$7,$G19)</f>
        <v>0</v>
      </c>
      <c r="AC19" s="20" t="b" cm="1">
        <f t="array" ref="AC19">find_month(AC$6,AC$7,$G19)</f>
        <v>0</v>
      </c>
      <c r="AD19" s="20" t="b" cm="1">
        <f t="array" ref="AD19">find_month(AD$6,AD$7,$G19)</f>
        <v>1</v>
      </c>
      <c r="AE19" s="20" t="b" cm="1">
        <f t="array" ref="AE19">find_month(AE$6,AE$7,$G19)</f>
        <v>0</v>
      </c>
      <c r="AF19" s="20" t="b" cm="1">
        <f t="array" ref="AF19">find_month(AF$6,AF$7,$G19)</f>
        <v>0</v>
      </c>
      <c r="AG19" s="20" t="b" cm="1">
        <f t="array" ref="AG19">find_month(AG$6,AG$7,$G19)</f>
        <v>0</v>
      </c>
      <c r="AH19" s="20" t="b" cm="1">
        <f t="array" ref="AH19">find_month(AH$6,AH$7,$G19)</f>
        <v>1</v>
      </c>
      <c r="AI19" s="20" t="b" cm="1">
        <f t="array" ref="AI19">find_month(AI$6,AI$7,$G19)</f>
        <v>0</v>
      </c>
      <c r="AJ19" s="20" t="b" cm="1">
        <f t="array" ref="AJ19">find_month(AJ$6,AJ$7,$G19)</f>
        <v>0</v>
      </c>
      <c r="AK19" s="20" t="b" cm="1">
        <f t="array" ref="AK19">find_month(AK$6,AK$7,$G19)</f>
        <v>0</v>
      </c>
      <c r="AL19" s="20" t="b" cm="1">
        <f t="array" ref="AL19">find_month(AL$6,AL$7,$G19)</f>
        <v>1</v>
      </c>
      <c r="AM19" s="20" t="b" cm="1">
        <f t="array" ref="AM19">find_month(AM$6,AM$7,$G19)</f>
        <v>0</v>
      </c>
      <c r="AN19" s="20" t="b" cm="1">
        <f t="array" ref="AN19">find_month(AN$6,AN$7,$G19)</f>
        <v>0</v>
      </c>
      <c r="AO19" s="20" t="b" cm="1">
        <f t="array" ref="AO19">find_month(AO$6,AO$7,$G19)</f>
        <v>0</v>
      </c>
      <c r="AP19" s="20" t="b" cm="1">
        <f t="array" ref="AP19">find_month(AP$6,AP$7,$G19)</f>
        <v>1</v>
      </c>
      <c r="AQ19" s="20" t="b" cm="1">
        <f t="array" ref="AQ19">find_month(AQ$6,AQ$7,$G19)</f>
        <v>0</v>
      </c>
      <c r="AR19" s="20" t="b" cm="1">
        <f t="array" ref="AR19">find_month(AR$6,AR$7,$G19)</f>
        <v>0</v>
      </c>
      <c r="AS19" s="20" t="b" cm="1">
        <f t="array" ref="AS19">find_month(AS$6,AS$7,$G19)</f>
        <v>0</v>
      </c>
      <c r="AT19" s="20" t="b" cm="1">
        <f t="array" ref="AT19">find_month(AT$6,AT$7,$G19)</f>
        <v>1</v>
      </c>
      <c r="AU19" s="20" t="b" cm="1">
        <f t="array" ref="AU19">find_month(AU$6,AU$7,$G19)</f>
        <v>0</v>
      </c>
      <c r="AV19" s="20" t="b" cm="1">
        <f t="array" ref="AV19">find_month(AV$6,AV$7,$G19)</f>
        <v>0</v>
      </c>
      <c r="AW19" s="20" t="b" cm="1">
        <f t="array" ref="AW19">find_month(AW$6,AW$7,$G19)</f>
        <v>0</v>
      </c>
      <c r="AX19" s="20" t="b" cm="1">
        <f t="array" ref="AX19">find_month(AX$6,AX$7,$G19)</f>
        <v>1</v>
      </c>
      <c r="AY19" s="20" t="b" cm="1">
        <f t="array" ref="AY19">find_month(AY$6,AY$7,$G19)</f>
        <v>0</v>
      </c>
      <c r="AZ19" s="20" t="b" cm="1">
        <f t="array" ref="AZ19">find_month(AZ$6,AZ$7,$G19)</f>
        <v>0</v>
      </c>
      <c r="BA19" s="20" t="b" cm="1">
        <f t="array" ref="BA19">find_month(BA$6,BA$7,$G19)</f>
        <v>0</v>
      </c>
      <c r="BB19" s="20" t="b" cm="1">
        <f t="array" ref="BB19">find_month(BB$6,BB$7,$G19)</f>
        <v>1</v>
      </c>
      <c r="BC19" s="20" t="b" cm="1">
        <f t="array" ref="BC19">find_month(BC$6,BC$7,$G19)</f>
        <v>0</v>
      </c>
      <c r="BD19" s="20" t="b" cm="1">
        <f t="array" ref="BD19">find_month(BD$6,BD$7,$G19)</f>
        <v>0</v>
      </c>
      <c r="BE19" s="20" t="b" cm="1">
        <f t="array" ref="BE19">find_month(BE$6,BE$7,$G19)</f>
        <v>0</v>
      </c>
      <c r="BF19" s="20" t="b" cm="1">
        <f t="array" ref="BF19">find_month(BF$6,BF$7,$G19)</f>
        <v>1</v>
      </c>
      <c r="BG19" s="20" t="b" cm="1">
        <f t="array" ref="BG19">find_month(BG$6,BG$7,$G19)</f>
        <v>0</v>
      </c>
      <c r="BH19" s="20" t="b" cm="1">
        <f t="array" ref="BH19">find_month(BH$6,BH$7,$G19)</f>
        <v>0</v>
      </c>
      <c r="BI19" s="20" t="b" cm="1">
        <f t="array" ref="BI19">find_month(BI$6,BI$7,$G19)</f>
        <v>0</v>
      </c>
      <c r="BJ19" s="20" t="b" cm="1">
        <f t="array" ref="BJ19">find_month(BJ$6,BJ$7,$G19)</f>
        <v>1</v>
      </c>
      <c r="BK19" s="20" t="b" cm="1">
        <f t="array" ref="BK19">find_month(BK$6,BK$7,$G19)</f>
        <v>0</v>
      </c>
      <c r="BL19" s="20" t="b" cm="1">
        <f t="array" ref="BL19">find_month(BL$6,BL$7,$G19)</f>
        <v>0</v>
      </c>
      <c r="BM19" s="20" t="b" cm="1">
        <f t="array" ref="BM19">find_month(BM$6,BM$7,$G19)</f>
        <v>0</v>
      </c>
      <c r="BN19" s="20" t="b" cm="1">
        <f t="array" ref="BN19">find_month(BN$6,BN$7,$G19)</f>
        <v>1</v>
      </c>
      <c r="BO19" s="20" t="b" cm="1">
        <f t="array" ref="BO19">find_month(BO$6,BO$7,$G19)</f>
        <v>0</v>
      </c>
      <c r="BP19" s="20" t="b" cm="1">
        <f t="array" ref="BP19">find_month(BP$6,BP$7,$G19)</f>
        <v>0</v>
      </c>
      <c r="BQ19" s="20" t="b" cm="1">
        <f t="array" ref="BQ19">find_month(BQ$6,BQ$7,$G19)</f>
        <v>0</v>
      </c>
      <c r="BR19" s="20" t="b" cm="1">
        <f t="array" ref="BR19">find_month(BR$6,BR$7,$G19)</f>
        <v>1</v>
      </c>
      <c r="BS19" s="20" t="b" cm="1">
        <f t="array" ref="BS19">find_month(BS$6,BS$7,$G19)</f>
        <v>0</v>
      </c>
      <c r="BT19" s="20" t="b" cm="1">
        <f t="array" ref="BT19">find_month(BT$6,BT$7,$G19)</f>
        <v>0</v>
      </c>
      <c r="BU19" s="20" t="b" cm="1">
        <f t="array" ref="BU19">find_month(BU$6,BU$7,$G19)</f>
        <v>0</v>
      </c>
      <c r="BV19" s="20" t="b" cm="1">
        <f t="array" ref="BV19">find_month(BV$6,BV$7,$G19)</f>
        <v>1</v>
      </c>
      <c r="BW19" s="20" t="b" cm="1">
        <f t="array" ref="BW19">find_month(BW$6,BW$7,$G19)</f>
        <v>0</v>
      </c>
      <c r="BX19" s="20" t="b" cm="1">
        <f t="array" ref="BX19">find_month(BX$6,BX$7,$G19)</f>
        <v>0</v>
      </c>
      <c r="BY19" s="20" t="b" cm="1">
        <f t="array" ref="BY19">find_month(BY$6,BY$7,$G19)</f>
        <v>0</v>
      </c>
      <c r="BZ19" s="20" t="b" cm="1">
        <f t="array" ref="BZ19">find_month(BZ$6,BZ$7,$G19)</f>
        <v>1</v>
      </c>
      <c r="CA19" s="20" t="b" cm="1">
        <f t="array" ref="CA19">find_month(CA$6,CA$7,$G19)</f>
        <v>0</v>
      </c>
      <c r="CB19" s="20" t="b" cm="1">
        <f t="array" ref="CB19">find_month(CB$6,CB$7,$G19)</f>
        <v>0</v>
      </c>
      <c r="CC19" s="20" t="b" cm="1">
        <f t="array" ref="CC19">find_month(CC$6,CC$7,$G19)</f>
        <v>0</v>
      </c>
      <c r="CD19" s="20" t="b" cm="1">
        <f t="array" ref="CD19">find_month(CD$6,CD$7,$G19)</f>
        <v>1</v>
      </c>
      <c r="CE19" s="20" t="b" cm="1">
        <f t="array" ref="CE19">find_month(CE$6,CE$7,$G19)</f>
        <v>0</v>
      </c>
      <c r="CF19" s="20" t="b" cm="1">
        <f t="array" ref="CF19">find_month(CF$6,CF$7,$G19)</f>
        <v>0</v>
      </c>
      <c r="CG19" s="20" t="b" cm="1">
        <f t="array" ref="CG19">find_month(CG$6,CG$7,$G19)</f>
        <v>0</v>
      </c>
      <c r="CH19" s="20" t="b" cm="1">
        <f t="array" ref="CH19">find_month(CH$6,CH$7,$G19)</f>
        <v>1</v>
      </c>
      <c r="CI19" s="20" t="b" cm="1">
        <f t="array" ref="CI19">find_month(CI$6,CI$7,$G19)</f>
        <v>0</v>
      </c>
      <c r="CJ19" s="20" t="b" cm="1">
        <f t="array" ref="CJ19">find_month(CJ$6,CJ$7,$G19)</f>
        <v>0</v>
      </c>
      <c r="CK19" s="20" t="b" cm="1">
        <f t="array" ref="CK19">find_month(CK$6,CK$7,$G19)</f>
        <v>0</v>
      </c>
      <c r="CL19" s="20" t="b" cm="1">
        <f t="array" ref="CL19">find_month(CL$6,CL$7,$G19)</f>
        <v>1</v>
      </c>
      <c r="CM19" s="20" t="b" cm="1">
        <f t="array" ref="CM19">find_month(CM$6,CM$7,$G19)</f>
        <v>0</v>
      </c>
      <c r="CN19" s="20" t="b" cm="1">
        <f t="array" ref="CN19">find_month(CN$6,CN$7,$G19)</f>
        <v>0</v>
      </c>
      <c r="CO19" s="20" t="b" cm="1">
        <f t="array" ref="CO19">find_month(CO$6,CO$7,$G19)</f>
        <v>0</v>
      </c>
      <c r="CP19" s="20" t="b" cm="1">
        <f t="array" ref="CP19">find_month(CP$6,CP$7,$G19)</f>
        <v>1</v>
      </c>
      <c r="CQ19" s="20" t="b" cm="1">
        <f t="array" ref="CQ19">find_month(CQ$6,CQ$7,$G19)</f>
        <v>0</v>
      </c>
      <c r="CR19" s="20" t="b" cm="1">
        <f t="array" ref="CR19">find_month(CR$6,CR$7,$G19)</f>
        <v>0</v>
      </c>
      <c r="CS19" s="20" t="b" cm="1">
        <f t="array" ref="CS19">find_month(CS$6,CS$7,$G19)</f>
        <v>0</v>
      </c>
      <c r="CT19" s="20" t="b" cm="1">
        <f t="array" ref="CT19">find_month(CT$6,CT$7,$G19)</f>
        <v>1</v>
      </c>
      <c r="CU19" s="20" t="b" cm="1">
        <f t="array" ref="CU19">find_month(CU$6,CU$7,$G19)</f>
        <v>0</v>
      </c>
      <c r="CV19" s="20" t="b" cm="1">
        <f t="array" ref="CV19">find_month(CV$6,CV$7,$G19)</f>
        <v>0</v>
      </c>
      <c r="CW19" s="20" t="b" cm="1">
        <f t="array" ref="CW19">find_month(CW$6,CW$7,$G19)</f>
        <v>0</v>
      </c>
      <c r="CX19" s="20" t="b" cm="1">
        <f t="array" ref="CX19">find_month(CX$6,CX$7,$G19)</f>
        <v>1</v>
      </c>
      <c r="CY19" s="20" t="b" cm="1">
        <f t="array" ref="CY19">find_month(CY$6,CY$7,$G19)</f>
        <v>0</v>
      </c>
      <c r="CZ19" s="20" t="b" cm="1">
        <f t="array" ref="CZ19">find_month(CZ$6,CZ$7,$G19)</f>
        <v>0</v>
      </c>
      <c r="DA19" s="20" t="b" cm="1">
        <f t="array" ref="DA19">find_month(DA$6,DA$7,$G19)</f>
        <v>0</v>
      </c>
      <c r="DB19" s="20" t="b" cm="1">
        <f t="array" ref="DB19">find_month(DB$6,DB$7,$G19)</f>
        <v>1</v>
      </c>
      <c r="DC19" s="20" t="b" cm="1">
        <f t="array" ref="DC19">find_month(DC$6,DC$7,$G19)</f>
        <v>0</v>
      </c>
      <c r="DD19" s="20" t="b" cm="1">
        <f t="array" ref="DD19">find_month(DD$6,DD$7,$G19)</f>
        <v>0</v>
      </c>
      <c r="DE19" s="20" t="b" cm="1">
        <f t="array" ref="DE19">find_month(DE$6,DE$7,$G19)</f>
        <v>0</v>
      </c>
      <c r="DF19" s="20" t="b" cm="1">
        <f t="array" ref="DF19">find_month(DF$6,DF$7,$G19)</f>
        <v>1</v>
      </c>
      <c r="DG19" s="20" t="b" cm="1">
        <f t="array" ref="DG19">find_month(DG$6,DG$7,$G19)</f>
        <v>0</v>
      </c>
      <c r="DH19" s="20" t="b" cm="1">
        <f t="array" ref="DH19">find_month(DH$6,DH$7,$G19)</f>
        <v>0</v>
      </c>
      <c r="DI19" s="20" t="b" cm="1">
        <f t="array" ref="DI19">find_month(DI$6,DI$7,$G19)</f>
        <v>0</v>
      </c>
      <c r="DJ19" s="20" t="b" cm="1">
        <f t="array" ref="DJ19">find_month(DJ$6,DJ$7,$G19)</f>
        <v>1</v>
      </c>
      <c r="DK19" s="20" t="b" cm="1">
        <f t="array" ref="DK19">find_month(DK$6,DK$7,$G19)</f>
        <v>0</v>
      </c>
      <c r="DL19" s="20" t="b" cm="1">
        <f t="array" ref="DL19">find_month(DL$6,DL$7,$G19)</f>
        <v>0</v>
      </c>
      <c r="DM19" s="20" t="b" cm="1">
        <f t="array" ref="DM19">find_month(DM$6,DM$7,$G19)</f>
        <v>0</v>
      </c>
      <c r="DN19" s="20" t="b" cm="1">
        <f t="array" ref="DN19">find_month(DN$6,DN$7,$G19)</f>
        <v>1</v>
      </c>
      <c r="DO19" s="20" t="b" cm="1">
        <f t="array" ref="DO19">find_month(DO$6,DO$7,$G19)</f>
        <v>0</v>
      </c>
      <c r="DP19" s="20" t="b" cm="1">
        <f t="array" ref="DP19">find_month(DP$6,DP$7,$G19)</f>
        <v>0</v>
      </c>
      <c r="DQ19" s="20" t="b" cm="1">
        <f t="array" ref="DQ19">find_month(DQ$6,DQ$7,$G19)</f>
        <v>0</v>
      </c>
    </row>
    <row r="20" spans="3:121" x14ac:dyDescent="0.35">
      <c r="C20" s="20" t="s">
        <v>173</v>
      </c>
      <c r="F20" s="20" t="s">
        <v>171</v>
      </c>
      <c r="G20" s="45">
        <f>Assumptions!E38</f>
        <v>3</v>
      </c>
      <c r="K20" s="20" t="b" cm="1">
        <f t="array" ref="K20">find_month(K$6,K$7,$G20)</f>
        <v>0</v>
      </c>
      <c r="L20" s="20" t="b" cm="1">
        <f t="array" ref="L20">find_month(L$6,L$7,$G20)</f>
        <v>0</v>
      </c>
      <c r="M20" s="20" t="b" cm="1">
        <f t="array" ref="M20">find_month(M$6,M$7,$G20)</f>
        <v>0</v>
      </c>
      <c r="N20" s="20" t="b" cm="1">
        <f t="array" ref="N20">find_month(N$6,N$7,$G20)</f>
        <v>0</v>
      </c>
      <c r="O20" s="20" t="b" cm="1">
        <f t="array" ref="O20">find_month(O$6,O$7,$G20)</f>
        <v>0</v>
      </c>
      <c r="P20" s="20" t="b" cm="1">
        <f t="array" ref="P20">find_month(P$6,P$7,$G20)</f>
        <v>0</v>
      </c>
      <c r="Q20" s="20" t="b" cm="1">
        <f t="array" ref="Q20">find_month(Q$6,Q$7,$G20)</f>
        <v>1</v>
      </c>
      <c r="R20" s="20" t="b" cm="1">
        <f t="array" ref="R20">find_month(R$6,R$7,$G20)</f>
        <v>0</v>
      </c>
      <c r="S20" s="20" t="b" cm="1">
        <f t="array" ref="S20">find_month(S$6,S$7,$G20)</f>
        <v>0</v>
      </c>
      <c r="T20" s="20" t="b" cm="1">
        <f t="array" ref="T20">find_month(T$6,T$7,$G20)</f>
        <v>0</v>
      </c>
      <c r="U20" s="20" t="b" cm="1">
        <f t="array" ref="U20">find_month(U$6,U$7,$G20)</f>
        <v>0</v>
      </c>
      <c r="V20" s="20" t="b" cm="1">
        <f t="array" ref="V20">find_month(V$6,V$7,$G20)</f>
        <v>0</v>
      </c>
      <c r="W20" s="20" t="b" cm="1">
        <f t="array" ref="W20">find_month(W$6,W$7,$G20)</f>
        <v>1</v>
      </c>
      <c r="X20" s="20" t="b" cm="1">
        <f t="array" ref="X20">find_month(X$6,X$7,$G20)</f>
        <v>0</v>
      </c>
      <c r="Y20" s="20" t="b" cm="1">
        <f t="array" ref="Y20">find_month(Y$6,Y$7,$G20)</f>
        <v>0</v>
      </c>
      <c r="Z20" s="20" t="b" cm="1">
        <f t="array" ref="Z20">find_month(Z$6,Z$7,$G20)</f>
        <v>0</v>
      </c>
      <c r="AA20" s="20" t="b" cm="1">
        <f t="array" ref="AA20">find_month(AA$6,AA$7,$G20)</f>
        <v>1</v>
      </c>
      <c r="AB20" s="20" t="b" cm="1">
        <f t="array" ref="AB20">find_month(AB$6,AB$7,$G20)</f>
        <v>0</v>
      </c>
      <c r="AC20" s="20" t="b" cm="1">
        <f t="array" ref="AC20">find_month(AC$6,AC$7,$G20)</f>
        <v>0</v>
      </c>
      <c r="AD20" s="20" t="b" cm="1">
        <f t="array" ref="AD20">find_month(AD$6,AD$7,$G20)</f>
        <v>0</v>
      </c>
      <c r="AE20" s="20" t="b" cm="1">
        <f t="array" ref="AE20">find_month(AE$6,AE$7,$G20)</f>
        <v>1</v>
      </c>
      <c r="AF20" s="20" t="b" cm="1">
        <f t="array" ref="AF20">find_month(AF$6,AF$7,$G20)</f>
        <v>0</v>
      </c>
      <c r="AG20" s="20" t="b" cm="1">
        <f t="array" ref="AG20">find_month(AG$6,AG$7,$G20)</f>
        <v>0</v>
      </c>
      <c r="AH20" s="20" t="b" cm="1">
        <f t="array" ref="AH20">find_month(AH$6,AH$7,$G20)</f>
        <v>0</v>
      </c>
      <c r="AI20" s="20" t="b" cm="1">
        <f t="array" ref="AI20">find_month(AI$6,AI$7,$G20)</f>
        <v>1</v>
      </c>
      <c r="AJ20" s="20" t="b" cm="1">
        <f t="array" ref="AJ20">find_month(AJ$6,AJ$7,$G20)</f>
        <v>0</v>
      </c>
      <c r="AK20" s="20" t="b" cm="1">
        <f t="array" ref="AK20">find_month(AK$6,AK$7,$G20)</f>
        <v>0</v>
      </c>
      <c r="AL20" s="20" t="b" cm="1">
        <f t="array" ref="AL20">find_month(AL$6,AL$7,$G20)</f>
        <v>0</v>
      </c>
      <c r="AM20" s="20" t="b" cm="1">
        <f t="array" ref="AM20">find_month(AM$6,AM$7,$G20)</f>
        <v>1</v>
      </c>
      <c r="AN20" s="20" t="b" cm="1">
        <f t="array" ref="AN20">find_month(AN$6,AN$7,$G20)</f>
        <v>0</v>
      </c>
      <c r="AO20" s="20" t="b" cm="1">
        <f t="array" ref="AO20">find_month(AO$6,AO$7,$G20)</f>
        <v>0</v>
      </c>
      <c r="AP20" s="20" t="b" cm="1">
        <f t="array" ref="AP20">find_month(AP$6,AP$7,$G20)</f>
        <v>0</v>
      </c>
      <c r="AQ20" s="20" t="b" cm="1">
        <f t="array" ref="AQ20">find_month(AQ$6,AQ$7,$G20)</f>
        <v>1</v>
      </c>
      <c r="AR20" s="20" t="b" cm="1">
        <f t="array" ref="AR20">find_month(AR$6,AR$7,$G20)</f>
        <v>0</v>
      </c>
      <c r="AS20" s="20" t="b" cm="1">
        <f t="array" ref="AS20">find_month(AS$6,AS$7,$G20)</f>
        <v>0</v>
      </c>
      <c r="AT20" s="20" t="b" cm="1">
        <f t="array" ref="AT20">find_month(AT$6,AT$7,$G20)</f>
        <v>0</v>
      </c>
      <c r="AU20" s="20" t="b" cm="1">
        <f t="array" ref="AU20">find_month(AU$6,AU$7,$G20)</f>
        <v>1</v>
      </c>
      <c r="AV20" s="20" t="b" cm="1">
        <f t="array" ref="AV20">find_month(AV$6,AV$7,$G20)</f>
        <v>0</v>
      </c>
      <c r="AW20" s="20" t="b" cm="1">
        <f t="array" ref="AW20">find_month(AW$6,AW$7,$G20)</f>
        <v>0</v>
      </c>
      <c r="AX20" s="20" t="b" cm="1">
        <f t="array" ref="AX20">find_month(AX$6,AX$7,$G20)</f>
        <v>0</v>
      </c>
      <c r="AY20" s="20" t="b" cm="1">
        <f t="array" ref="AY20">find_month(AY$6,AY$7,$G20)</f>
        <v>1</v>
      </c>
      <c r="AZ20" s="20" t="b" cm="1">
        <f t="array" ref="AZ20">find_month(AZ$6,AZ$7,$G20)</f>
        <v>0</v>
      </c>
      <c r="BA20" s="20" t="b" cm="1">
        <f t="array" ref="BA20">find_month(BA$6,BA$7,$G20)</f>
        <v>0</v>
      </c>
      <c r="BB20" s="20" t="b" cm="1">
        <f t="array" ref="BB20">find_month(BB$6,BB$7,$G20)</f>
        <v>0</v>
      </c>
      <c r="BC20" s="20" t="b" cm="1">
        <f t="array" ref="BC20">find_month(BC$6,BC$7,$G20)</f>
        <v>1</v>
      </c>
      <c r="BD20" s="20" t="b" cm="1">
        <f t="array" ref="BD20">find_month(BD$6,BD$7,$G20)</f>
        <v>0</v>
      </c>
      <c r="BE20" s="20" t="b" cm="1">
        <f t="array" ref="BE20">find_month(BE$6,BE$7,$G20)</f>
        <v>0</v>
      </c>
      <c r="BF20" s="20" t="b" cm="1">
        <f t="array" ref="BF20">find_month(BF$6,BF$7,$G20)</f>
        <v>0</v>
      </c>
      <c r="BG20" s="20" t="b" cm="1">
        <f t="array" ref="BG20">find_month(BG$6,BG$7,$G20)</f>
        <v>1</v>
      </c>
      <c r="BH20" s="20" t="b" cm="1">
        <f t="array" ref="BH20">find_month(BH$6,BH$7,$G20)</f>
        <v>0</v>
      </c>
      <c r="BI20" s="20" t="b" cm="1">
        <f t="array" ref="BI20">find_month(BI$6,BI$7,$G20)</f>
        <v>0</v>
      </c>
      <c r="BJ20" s="20" t="b" cm="1">
        <f t="array" ref="BJ20">find_month(BJ$6,BJ$7,$G20)</f>
        <v>0</v>
      </c>
      <c r="BK20" s="20" t="b" cm="1">
        <f t="array" ref="BK20">find_month(BK$6,BK$7,$G20)</f>
        <v>1</v>
      </c>
      <c r="BL20" s="20" t="b" cm="1">
        <f t="array" ref="BL20">find_month(BL$6,BL$7,$G20)</f>
        <v>0</v>
      </c>
      <c r="BM20" s="20" t="b" cm="1">
        <f t="array" ref="BM20">find_month(BM$6,BM$7,$G20)</f>
        <v>0</v>
      </c>
      <c r="BN20" s="20" t="b" cm="1">
        <f t="array" ref="BN20">find_month(BN$6,BN$7,$G20)</f>
        <v>0</v>
      </c>
      <c r="BO20" s="20" t="b" cm="1">
        <f t="array" ref="BO20">find_month(BO$6,BO$7,$G20)</f>
        <v>1</v>
      </c>
      <c r="BP20" s="20" t="b" cm="1">
        <f t="array" ref="BP20">find_month(BP$6,BP$7,$G20)</f>
        <v>0</v>
      </c>
      <c r="BQ20" s="20" t="b" cm="1">
        <f t="array" ref="BQ20">find_month(BQ$6,BQ$7,$G20)</f>
        <v>0</v>
      </c>
      <c r="BR20" s="20" t="b" cm="1">
        <f t="array" ref="BR20">find_month(BR$6,BR$7,$G20)</f>
        <v>0</v>
      </c>
      <c r="BS20" s="20" t="b" cm="1">
        <f t="array" ref="BS20">find_month(BS$6,BS$7,$G20)</f>
        <v>1</v>
      </c>
      <c r="BT20" s="20" t="b" cm="1">
        <f t="array" ref="BT20">find_month(BT$6,BT$7,$G20)</f>
        <v>0</v>
      </c>
      <c r="BU20" s="20" t="b" cm="1">
        <f t="array" ref="BU20">find_month(BU$6,BU$7,$G20)</f>
        <v>0</v>
      </c>
      <c r="BV20" s="20" t="b" cm="1">
        <f t="array" ref="BV20">find_month(BV$6,BV$7,$G20)</f>
        <v>0</v>
      </c>
      <c r="BW20" s="20" t="b" cm="1">
        <f t="array" ref="BW20">find_month(BW$6,BW$7,$G20)</f>
        <v>1</v>
      </c>
      <c r="BX20" s="20" t="b" cm="1">
        <f t="array" ref="BX20">find_month(BX$6,BX$7,$G20)</f>
        <v>0</v>
      </c>
      <c r="BY20" s="20" t="b" cm="1">
        <f t="array" ref="BY20">find_month(BY$6,BY$7,$G20)</f>
        <v>0</v>
      </c>
      <c r="BZ20" s="20" t="b" cm="1">
        <f t="array" ref="BZ20">find_month(BZ$6,BZ$7,$G20)</f>
        <v>0</v>
      </c>
      <c r="CA20" s="20" t="b" cm="1">
        <f t="array" ref="CA20">find_month(CA$6,CA$7,$G20)</f>
        <v>1</v>
      </c>
      <c r="CB20" s="20" t="b" cm="1">
        <f t="array" ref="CB20">find_month(CB$6,CB$7,$G20)</f>
        <v>0</v>
      </c>
      <c r="CC20" s="20" t="b" cm="1">
        <f t="array" ref="CC20">find_month(CC$6,CC$7,$G20)</f>
        <v>0</v>
      </c>
      <c r="CD20" s="20" t="b" cm="1">
        <f t="array" ref="CD20">find_month(CD$6,CD$7,$G20)</f>
        <v>0</v>
      </c>
      <c r="CE20" s="20" t="b" cm="1">
        <f t="array" ref="CE20">find_month(CE$6,CE$7,$G20)</f>
        <v>1</v>
      </c>
      <c r="CF20" s="20" t="b" cm="1">
        <f t="array" ref="CF20">find_month(CF$6,CF$7,$G20)</f>
        <v>0</v>
      </c>
      <c r="CG20" s="20" t="b" cm="1">
        <f t="array" ref="CG20">find_month(CG$6,CG$7,$G20)</f>
        <v>0</v>
      </c>
      <c r="CH20" s="20" t="b" cm="1">
        <f t="array" ref="CH20">find_month(CH$6,CH$7,$G20)</f>
        <v>0</v>
      </c>
      <c r="CI20" s="20" t="b" cm="1">
        <f t="array" ref="CI20">find_month(CI$6,CI$7,$G20)</f>
        <v>1</v>
      </c>
      <c r="CJ20" s="20" t="b" cm="1">
        <f t="array" ref="CJ20">find_month(CJ$6,CJ$7,$G20)</f>
        <v>0</v>
      </c>
      <c r="CK20" s="20" t="b" cm="1">
        <f t="array" ref="CK20">find_month(CK$6,CK$7,$G20)</f>
        <v>0</v>
      </c>
      <c r="CL20" s="20" t="b" cm="1">
        <f t="array" ref="CL20">find_month(CL$6,CL$7,$G20)</f>
        <v>0</v>
      </c>
      <c r="CM20" s="20" t="b" cm="1">
        <f t="array" ref="CM20">find_month(CM$6,CM$7,$G20)</f>
        <v>1</v>
      </c>
      <c r="CN20" s="20" t="b" cm="1">
        <f t="array" ref="CN20">find_month(CN$6,CN$7,$G20)</f>
        <v>0</v>
      </c>
      <c r="CO20" s="20" t="b" cm="1">
        <f t="array" ref="CO20">find_month(CO$6,CO$7,$G20)</f>
        <v>0</v>
      </c>
      <c r="CP20" s="20" t="b" cm="1">
        <f t="array" ref="CP20">find_month(CP$6,CP$7,$G20)</f>
        <v>0</v>
      </c>
      <c r="CQ20" s="20" t="b" cm="1">
        <f t="array" ref="CQ20">find_month(CQ$6,CQ$7,$G20)</f>
        <v>1</v>
      </c>
      <c r="CR20" s="20" t="b" cm="1">
        <f t="array" ref="CR20">find_month(CR$6,CR$7,$G20)</f>
        <v>0</v>
      </c>
      <c r="CS20" s="20" t="b" cm="1">
        <f t="array" ref="CS20">find_month(CS$6,CS$7,$G20)</f>
        <v>0</v>
      </c>
      <c r="CT20" s="20" t="b" cm="1">
        <f t="array" ref="CT20">find_month(CT$6,CT$7,$G20)</f>
        <v>0</v>
      </c>
      <c r="CU20" s="20" t="b" cm="1">
        <f t="array" ref="CU20">find_month(CU$6,CU$7,$G20)</f>
        <v>1</v>
      </c>
      <c r="CV20" s="20" t="b" cm="1">
        <f t="array" ref="CV20">find_month(CV$6,CV$7,$G20)</f>
        <v>0</v>
      </c>
      <c r="CW20" s="20" t="b" cm="1">
        <f t="array" ref="CW20">find_month(CW$6,CW$7,$G20)</f>
        <v>0</v>
      </c>
      <c r="CX20" s="20" t="b" cm="1">
        <f t="array" ref="CX20">find_month(CX$6,CX$7,$G20)</f>
        <v>0</v>
      </c>
      <c r="CY20" s="20" t="b" cm="1">
        <f t="array" ref="CY20">find_month(CY$6,CY$7,$G20)</f>
        <v>1</v>
      </c>
      <c r="CZ20" s="20" t="b" cm="1">
        <f t="array" ref="CZ20">find_month(CZ$6,CZ$7,$G20)</f>
        <v>0</v>
      </c>
      <c r="DA20" s="20" t="b" cm="1">
        <f t="array" ref="DA20">find_month(DA$6,DA$7,$G20)</f>
        <v>0</v>
      </c>
      <c r="DB20" s="20" t="b" cm="1">
        <f t="array" ref="DB20">find_month(DB$6,DB$7,$G20)</f>
        <v>0</v>
      </c>
      <c r="DC20" s="20" t="b" cm="1">
        <f t="array" ref="DC20">find_month(DC$6,DC$7,$G20)</f>
        <v>1</v>
      </c>
      <c r="DD20" s="20" t="b" cm="1">
        <f t="array" ref="DD20">find_month(DD$6,DD$7,$G20)</f>
        <v>0</v>
      </c>
      <c r="DE20" s="20" t="b" cm="1">
        <f t="array" ref="DE20">find_month(DE$6,DE$7,$G20)</f>
        <v>0</v>
      </c>
      <c r="DF20" s="20" t="b" cm="1">
        <f t="array" ref="DF20">find_month(DF$6,DF$7,$G20)</f>
        <v>0</v>
      </c>
      <c r="DG20" s="20" t="b" cm="1">
        <f t="array" ref="DG20">find_month(DG$6,DG$7,$G20)</f>
        <v>1</v>
      </c>
      <c r="DH20" s="20" t="b" cm="1">
        <f t="array" ref="DH20">find_month(DH$6,DH$7,$G20)</f>
        <v>0</v>
      </c>
      <c r="DI20" s="20" t="b" cm="1">
        <f t="array" ref="DI20">find_month(DI$6,DI$7,$G20)</f>
        <v>0</v>
      </c>
      <c r="DJ20" s="20" t="b" cm="1">
        <f t="array" ref="DJ20">find_month(DJ$6,DJ$7,$G20)</f>
        <v>0</v>
      </c>
      <c r="DK20" s="20" t="b" cm="1">
        <f t="array" ref="DK20">find_month(DK$6,DK$7,$G20)</f>
        <v>1</v>
      </c>
      <c r="DL20" s="20" t="b" cm="1">
        <f t="array" ref="DL20">find_month(DL$6,DL$7,$G20)</f>
        <v>0</v>
      </c>
      <c r="DM20" s="20" t="b" cm="1">
        <f t="array" ref="DM20">find_month(DM$6,DM$7,$G20)</f>
        <v>0</v>
      </c>
      <c r="DN20" s="20" t="b" cm="1">
        <f t="array" ref="DN20">find_month(DN$6,DN$7,$G20)</f>
        <v>0</v>
      </c>
      <c r="DO20" s="20" t="b" cm="1">
        <f t="array" ref="DO20">find_month(DO$6,DO$7,$G20)</f>
        <v>1</v>
      </c>
      <c r="DP20" s="20" t="b" cm="1">
        <f t="array" ref="DP20">find_month(DP$6,DP$7,$G20)</f>
        <v>0</v>
      </c>
      <c r="DQ20" s="20" t="b" cm="1">
        <f t="array" ref="DQ20">find_month(DQ$6,DQ$7,$G20)</f>
        <v>0</v>
      </c>
    </row>
    <row r="21" spans="3:121" x14ac:dyDescent="0.35">
      <c r="C21" s="20" t="s">
        <v>174</v>
      </c>
      <c r="F21" s="20" t="s">
        <v>171</v>
      </c>
      <c r="G21" s="45">
        <f>Assumptions!E39</f>
        <v>4</v>
      </c>
      <c r="K21" s="20" t="b" cm="1">
        <f t="array" ref="K21">find_month(K$6,K$7,$G21)</f>
        <v>0</v>
      </c>
      <c r="L21" s="20" t="b" cm="1">
        <f t="array" ref="L21">find_month(L$6,L$7,$G21)</f>
        <v>0</v>
      </c>
      <c r="M21" s="20" t="b" cm="1">
        <f t="array" ref="M21">find_month(M$6,M$7,$G21)</f>
        <v>0</v>
      </c>
      <c r="N21" s="20" t="b" cm="1">
        <f t="array" ref="N21">find_month(N$6,N$7,$G21)</f>
        <v>0</v>
      </c>
      <c r="O21" s="20" t="b" cm="1">
        <f t="array" ref="O21">find_month(O$6,O$7,$G21)</f>
        <v>0</v>
      </c>
      <c r="P21" s="20" t="b" cm="1">
        <f t="array" ref="P21">find_month(P$6,P$7,$G21)</f>
        <v>0</v>
      </c>
      <c r="Q21" s="20" t="b" cm="1">
        <f t="array" ref="Q21">find_month(Q$6,Q$7,$G21)</f>
        <v>0</v>
      </c>
      <c r="R21" s="20" t="b" cm="1">
        <f t="array" ref="R21">find_month(R$6,R$7,$G21)</f>
        <v>1</v>
      </c>
      <c r="S21" s="20" t="b" cm="1">
        <f t="array" ref="S21">find_month(S$6,S$7,$G21)</f>
        <v>0</v>
      </c>
      <c r="T21" s="20" t="b" cm="1">
        <f t="array" ref="T21">find_month(T$6,T$7,$G21)</f>
        <v>0</v>
      </c>
      <c r="U21" s="20" t="b" cm="1">
        <f t="array" ref="U21">find_month(U$6,U$7,$G21)</f>
        <v>0</v>
      </c>
      <c r="V21" s="20" t="b" cm="1">
        <f t="array" ref="V21">find_month(V$6,V$7,$G21)</f>
        <v>0</v>
      </c>
      <c r="W21" s="20" t="b" cm="1">
        <f t="array" ref="W21">find_month(W$6,W$7,$G21)</f>
        <v>1</v>
      </c>
      <c r="X21" s="20" t="b" cm="1">
        <f t="array" ref="X21">find_month(X$6,X$7,$G21)</f>
        <v>0</v>
      </c>
      <c r="Y21" s="20" t="b" cm="1">
        <f t="array" ref="Y21">find_month(Y$6,Y$7,$G21)</f>
        <v>0</v>
      </c>
      <c r="Z21" s="20" t="b" cm="1">
        <f t="array" ref="Z21">find_month(Z$6,Z$7,$G21)</f>
        <v>0</v>
      </c>
      <c r="AA21" s="20" t="b" cm="1">
        <f t="array" ref="AA21">find_month(AA$6,AA$7,$G21)</f>
        <v>1</v>
      </c>
      <c r="AB21" s="20" t="b" cm="1">
        <f t="array" ref="AB21">find_month(AB$6,AB$7,$G21)</f>
        <v>0</v>
      </c>
      <c r="AC21" s="20" t="b" cm="1">
        <f t="array" ref="AC21">find_month(AC$6,AC$7,$G21)</f>
        <v>0</v>
      </c>
      <c r="AD21" s="20" t="b" cm="1">
        <f t="array" ref="AD21">find_month(AD$6,AD$7,$G21)</f>
        <v>0</v>
      </c>
      <c r="AE21" s="20" t="b" cm="1">
        <f t="array" ref="AE21">find_month(AE$6,AE$7,$G21)</f>
        <v>1</v>
      </c>
      <c r="AF21" s="20" t="b" cm="1">
        <f t="array" ref="AF21">find_month(AF$6,AF$7,$G21)</f>
        <v>0</v>
      </c>
      <c r="AG21" s="20" t="b" cm="1">
        <f t="array" ref="AG21">find_month(AG$6,AG$7,$G21)</f>
        <v>0</v>
      </c>
      <c r="AH21" s="20" t="b" cm="1">
        <f t="array" ref="AH21">find_month(AH$6,AH$7,$G21)</f>
        <v>0</v>
      </c>
      <c r="AI21" s="20" t="b" cm="1">
        <f t="array" ref="AI21">find_month(AI$6,AI$7,$G21)</f>
        <v>1</v>
      </c>
      <c r="AJ21" s="20" t="b" cm="1">
        <f t="array" ref="AJ21">find_month(AJ$6,AJ$7,$G21)</f>
        <v>0</v>
      </c>
      <c r="AK21" s="20" t="b" cm="1">
        <f t="array" ref="AK21">find_month(AK$6,AK$7,$G21)</f>
        <v>0</v>
      </c>
      <c r="AL21" s="20" t="b" cm="1">
        <f t="array" ref="AL21">find_month(AL$6,AL$7,$G21)</f>
        <v>0</v>
      </c>
      <c r="AM21" s="20" t="b" cm="1">
        <f t="array" ref="AM21">find_month(AM$6,AM$7,$G21)</f>
        <v>1</v>
      </c>
      <c r="AN21" s="20" t="b" cm="1">
        <f t="array" ref="AN21">find_month(AN$6,AN$7,$G21)</f>
        <v>0</v>
      </c>
      <c r="AO21" s="20" t="b" cm="1">
        <f t="array" ref="AO21">find_month(AO$6,AO$7,$G21)</f>
        <v>0</v>
      </c>
      <c r="AP21" s="20" t="b" cm="1">
        <f t="array" ref="AP21">find_month(AP$6,AP$7,$G21)</f>
        <v>0</v>
      </c>
      <c r="AQ21" s="20" t="b" cm="1">
        <f t="array" ref="AQ21">find_month(AQ$6,AQ$7,$G21)</f>
        <v>1</v>
      </c>
      <c r="AR21" s="20" t="b" cm="1">
        <f t="array" ref="AR21">find_month(AR$6,AR$7,$G21)</f>
        <v>0</v>
      </c>
      <c r="AS21" s="20" t="b" cm="1">
        <f t="array" ref="AS21">find_month(AS$6,AS$7,$G21)</f>
        <v>0</v>
      </c>
      <c r="AT21" s="20" t="b" cm="1">
        <f t="array" ref="AT21">find_month(AT$6,AT$7,$G21)</f>
        <v>0</v>
      </c>
      <c r="AU21" s="20" t="b" cm="1">
        <f t="array" ref="AU21">find_month(AU$6,AU$7,$G21)</f>
        <v>1</v>
      </c>
      <c r="AV21" s="20" t="b" cm="1">
        <f t="array" ref="AV21">find_month(AV$6,AV$7,$G21)</f>
        <v>0</v>
      </c>
      <c r="AW21" s="20" t="b" cm="1">
        <f t="array" ref="AW21">find_month(AW$6,AW$7,$G21)</f>
        <v>0</v>
      </c>
      <c r="AX21" s="20" t="b" cm="1">
        <f t="array" ref="AX21">find_month(AX$6,AX$7,$G21)</f>
        <v>0</v>
      </c>
      <c r="AY21" s="20" t="b" cm="1">
        <f t="array" ref="AY21">find_month(AY$6,AY$7,$G21)</f>
        <v>1</v>
      </c>
      <c r="AZ21" s="20" t="b" cm="1">
        <f t="array" ref="AZ21">find_month(AZ$6,AZ$7,$G21)</f>
        <v>0</v>
      </c>
      <c r="BA21" s="20" t="b" cm="1">
        <f t="array" ref="BA21">find_month(BA$6,BA$7,$G21)</f>
        <v>0</v>
      </c>
      <c r="BB21" s="20" t="b" cm="1">
        <f t="array" ref="BB21">find_month(BB$6,BB$7,$G21)</f>
        <v>0</v>
      </c>
      <c r="BC21" s="20" t="b" cm="1">
        <f t="array" ref="BC21">find_month(BC$6,BC$7,$G21)</f>
        <v>1</v>
      </c>
      <c r="BD21" s="20" t="b" cm="1">
        <f t="array" ref="BD21">find_month(BD$6,BD$7,$G21)</f>
        <v>0</v>
      </c>
      <c r="BE21" s="20" t="b" cm="1">
        <f t="array" ref="BE21">find_month(BE$6,BE$7,$G21)</f>
        <v>0</v>
      </c>
      <c r="BF21" s="20" t="b" cm="1">
        <f t="array" ref="BF21">find_month(BF$6,BF$7,$G21)</f>
        <v>0</v>
      </c>
      <c r="BG21" s="20" t="b" cm="1">
        <f t="array" ref="BG21">find_month(BG$6,BG$7,$G21)</f>
        <v>1</v>
      </c>
      <c r="BH21" s="20" t="b" cm="1">
        <f t="array" ref="BH21">find_month(BH$6,BH$7,$G21)</f>
        <v>0</v>
      </c>
      <c r="BI21" s="20" t="b" cm="1">
        <f t="array" ref="BI21">find_month(BI$6,BI$7,$G21)</f>
        <v>0</v>
      </c>
      <c r="BJ21" s="20" t="b" cm="1">
        <f t="array" ref="BJ21">find_month(BJ$6,BJ$7,$G21)</f>
        <v>0</v>
      </c>
      <c r="BK21" s="20" t="b" cm="1">
        <f t="array" ref="BK21">find_month(BK$6,BK$7,$G21)</f>
        <v>1</v>
      </c>
      <c r="BL21" s="20" t="b" cm="1">
        <f t="array" ref="BL21">find_month(BL$6,BL$7,$G21)</f>
        <v>0</v>
      </c>
      <c r="BM21" s="20" t="b" cm="1">
        <f t="array" ref="BM21">find_month(BM$6,BM$7,$G21)</f>
        <v>0</v>
      </c>
      <c r="BN21" s="20" t="b" cm="1">
        <f t="array" ref="BN21">find_month(BN$6,BN$7,$G21)</f>
        <v>0</v>
      </c>
      <c r="BO21" s="20" t="b" cm="1">
        <f t="array" ref="BO21">find_month(BO$6,BO$7,$G21)</f>
        <v>1</v>
      </c>
      <c r="BP21" s="20" t="b" cm="1">
        <f t="array" ref="BP21">find_month(BP$6,BP$7,$G21)</f>
        <v>0</v>
      </c>
      <c r="BQ21" s="20" t="b" cm="1">
        <f t="array" ref="BQ21">find_month(BQ$6,BQ$7,$G21)</f>
        <v>0</v>
      </c>
      <c r="BR21" s="20" t="b" cm="1">
        <f t="array" ref="BR21">find_month(BR$6,BR$7,$G21)</f>
        <v>0</v>
      </c>
      <c r="BS21" s="20" t="b" cm="1">
        <f t="array" ref="BS21">find_month(BS$6,BS$7,$G21)</f>
        <v>1</v>
      </c>
      <c r="BT21" s="20" t="b" cm="1">
        <f t="array" ref="BT21">find_month(BT$6,BT$7,$G21)</f>
        <v>0</v>
      </c>
      <c r="BU21" s="20" t="b" cm="1">
        <f t="array" ref="BU21">find_month(BU$6,BU$7,$G21)</f>
        <v>0</v>
      </c>
      <c r="BV21" s="20" t="b" cm="1">
        <f t="array" ref="BV21">find_month(BV$6,BV$7,$G21)</f>
        <v>0</v>
      </c>
      <c r="BW21" s="20" t="b" cm="1">
        <f t="array" ref="BW21">find_month(BW$6,BW$7,$G21)</f>
        <v>1</v>
      </c>
      <c r="BX21" s="20" t="b" cm="1">
        <f t="array" ref="BX21">find_month(BX$6,BX$7,$G21)</f>
        <v>0</v>
      </c>
      <c r="BY21" s="20" t="b" cm="1">
        <f t="array" ref="BY21">find_month(BY$6,BY$7,$G21)</f>
        <v>0</v>
      </c>
      <c r="BZ21" s="20" t="b" cm="1">
        <f t="array" ref="BZ21">find_month(BZ$6,BZ$7,$G21)</f>
        <v>0</v>
      </c>
      <c r="CA21" s="20" t="b" cm="1">
        <f t="array" ref="CA21">find_month(CA$6,CA$7,$G21)</f>
        <v>1</v>
      </c>
      <c r="CB21" s="20" t="b" cm="1">
        <f t="array" ref="CB21">find_month(CB$6,CB$7,$G21)</f>
        <v>0</v>
      </c>
      <c r="CC21" s="20" t="b" cm="1">
        <f t="array" ref="CC21">find_month(CC$6,CC$7,$G21)</f>
        <v>0</v>
      </c>
      <c r="CD21" s="20" t="b" cm="1">
        <f t="array" ref="CD21">find_month(CD$6,CD$7,$G21)</f>
        <v>0</v>
      </c>
      <c r="CE21" s="20" t="b" cm="1">
        <f t="array" ref="CE21">find_month(CE$6,CE$7,$G21)</f>
        <v>1</v>
      </c>
      <c r="CF21" s="20" t="b" cm="1">
        <f t="array" ref="CF21">find_month(CF$6,CF$7,$G21)</f>
        <v>0</v>
      </c>
      <c r="CG21" s="20" t="b" cm="1">
        <f t="array" ref="CG21">find_month(CG$6,CG$7,$G21)</f>
        <v>0</v>
      </c>
      <c r="CH21" s="20" t="b" cm="1">
        <f t="array" ref="CH21">find_month(CH$6,CH$7,$G21)</f>
        <v>0</v>
      </c>
      <c r="CI21" s="20" t="b" cm="1">
        <f t="array" ref="CI21">find_month(CI$6,CI$7,$G21)</f>
        <v>1</v>
      </c>
      <c r="CJ21" s="20" t="b" cm="1">
        <f t="array" ref="CJ21">find_month(CJ$6,CJ$7,$G21)</f>
        <v>0</v>
      </c>
      <c r="CK21" s="20" t="b" cm="1">
        <f t="array" ref="CK21">find_month(CK$6,CK$7,$G21)</f>
        <v>0</v>
      </c>
      <c r="CL21" s="20" t="b" cm="1">
        <f t="array" ref="CL21">find_month(CL$6,CL$7,$G21)</f>
        <v>0</v>
      </c>
      <c r="CM21" s="20" t="b" cm="1">
        <f t="array" ref="CM21">find_month(CM$6,CM$7,$G21)</f>
        <v>1</v>
      </c>
      <c r="CN21" s="20" t="b" cm="1">
        <f t="array" ref="CN21">find_month(CN$6,CN$7,$G21)</f>
        <v>0</v>
      </c>
      <c r="CO21" s="20" t="b" cm="1">
        <f t="array" ref="CO21">find_month(CO$6,CO$7,$G21)</f>
        <v>0</v>
      </c>
      <c r="CP21" s="20" t="b" cm="1">
        <f t="array" ref="CP21">find_month(CP$6,CP$7,$G21)</f>
        <v>0</v>
      </c>
      <c r="CQ21" s="20" t="b" cm="1">
        <f t="array" ref="CQ21">find_month(CQ$6,CQ$7,$G21)</f>
        <v>1</v>
      </c>
      <c r="CR21" s="20" t="b" cm="1">
        <f t="array" ref="CR21">find_month(CR$6,CR$7,$G21)</f>
        <v>0</v>
      </c>
      <c r="CS21" s="20" t="b" cm="1">
        <f t="array" ref="CS21">find_month(CS$6,CS$7,$G21)</f>
        <v>0</v>
      </c>
      <c r="CT21" s="20" t="b" cm="1">
        <f t="array" ref="CT21">find_month(CT$6,CT$7,$G21)</f>
        <v>0</v>
      </c>
      <c r="CU21" s="20" t="b" cm="1">
        <f t="array" ref="CU21">find_month(CU$6,CU$7,$G21)</f>
        <v>1</v>
      </c>
      <c r="CV21" s="20" t="b" cm="1">
        <f t="array" ref="CV21">find_month(CV$6,CV$7,$G21)</f>
        <v>0</v>
      </c>
      <c r="CW21" s="20" t="b" cm="1">
        <f t="array" ref="CW21">find_month(CW$6,CW$7,$G21)</f>
        <v>0</v>
      </c>
      <c r="CX21" s="20" t="b" cm="1">
        <f t="array" ref="CX21">find_month(CX$6,CX$7,$G21)</f>
        <v>0</v>
      </c>
      <c r="CY21" s="20" t="b" cm="1">
        <f t="array" ref="CY21">find_month(CY$6,CY$7,$G21)</f>
        <v>1</v>
      </c>
      <c r="CZ21" s="20" t="b" cm="1">
        <f t="array" ref="CZ21">find_month(CZ$6,CZ$7,$G21)</f>
        <v>0</v>
      </c>
      <c r="DA21" s="20" t="b" cm="1">
        <f t="array" ref="DA21">find_month(DA$6,DA$7,$G21)</f>
        <v>0</v>
      </c>
      <c r="DB21" s="20" t="b" cm="1">
        <f t="array" ref="DB21">find_month(DB$6,DB$7,$G21)</f>
        <v>0</v>
      </c>
      <c r="DC21" s="20" t="b" cm="1">
        <f t="array" ref="DC21">find_month(DC$6,DC$7,$G21)</f>
        <v>1</v>
      </c>
      <c r="DD21" s="20" t="b" cm="1">
        <f t="array" ref="DD21">find_month(DD$6,DD$7,$G21)</f>
        <v>0</v>
      </c>
      <c r="DE21" s="20" t="b" cm="1">
        <f t="array" ref="DE21">find_month(DE$6,DE$7,$G21)</f>
        <v>0</v>
      </c>
      <c r="DF21" s="20" t="b" cm="1">
        <f t="array" ref="DF21">find_month(DF$6,DF$7,$G21)</f>
        <v>0</v>
      </c>
      <c r="DG21" s="20" t="b" cm="1">
        <f t="array" ref="DG21">find_month(DG$6,DG$7,$G21)</f>
        <v>1</v>
      </c>
      <c r="DH21" s="20" t="b" cm="1">
        <f t="array" ref="DH21">find_month(DH$6,DH$7,$G21)</f>
        <v>0</v>
      </c>
      <c r="DI21" s="20" t="b" cm="1">
        <f t="array" ref="DI21">find_month(DI$6,DI$7,$G21)</f>
        <v>0</v>
      </c>
      <c r="DJ21" s="20" t="b" cm="1">
        <f t="array" ref="DJ21">find_month(DJ$6,DJ$7,$G21)</f>
        <v>0</v>
      </c>
      <c r="DK21" s="20" t="b" cm="1">
        <f t="array" ref="DK21">find_month(DK$6,DK$7,$G21)</f>
        <v>1</v>
      </c>
      <c r="DL21" s="20" t="b" cm="1">
        <f t="array" ref="DL21">find_month(DL$6,DL$7,$G21)</f>
        <v>0</v>
      </c>
      <c r="DM21" s="20" t="b" cm="1">
        <f t="array" ref="DM21">find_month(DM$6,DM$7,$G21)</f>
        <v>0</v>
      </c>
      <c r="DN21" s="20" t="b" cm="1">
        <f t="array" ref="DN21">find_month(DN$6,DN$7,$G21)</f>
        <v>0</v>
      </c>
      <c r="DO21" s="20" t="b" cm="1">
        <f t="array" ref="DO21">find_month(DO$6,DO$7,$G21)</f>
        <v>1</v>
      </c>
      <c r="DP21" s="20" t="b" cm="1">
        <f t="array" ref="DP21">find_month(DP$6,DP$7,$G21)</f>
        <v>0</v>
      </c>
      <c r="DQ21" s="20" t="b" cm="1">
        <f t="array" ref="DQ21">find_month(DQ$6,DQ$7,$G21)</f>
        <v>0</v>
      </c>
    </row>
    <row r="22" spans="3:121" x14ac:dyDescent="0.35">
      <c r="C22" s="20" t="s">
        <v>175</v>
      </c>
      <c r="F22" s="20" t="s">
        <v>171</v>
      </c>
      <c r="G22" s="45">
        <f>Assumptions!E40</f>
        <v>5</v>
      </c>
      <c r="K22" s="20" t="b" cm="1">
        <f t="array" ref="K22">find_month(K$6,K$7,$G22)</f>
        <v>0</v>
      </c>
      <c r="L22" s="20" t="b" cm="1">
        <f t="array" ref="L22">find_month(L$6,L$7,$G22)</f>
        <v>0</v>
      </c>
      <c r="M22" s="20" t="b" cm="1">
        <f t="array" ref="M22">find_month(M$6,M$7,$G22)</f>
        <v>0</v>
      </c>
      <c r="N22" s="20" t="b" cm="1">
        <f t="array" ref="N22">find_month(N$6,N$7,$G22)</f>
        <v>0</v>
      </c>
      <c r="O22" s="20" t="b" cm="1">
        <f t="array" ref="O22">find_month(O$6,O$7,$G22)</f>
        <v>0</v>
      </c>
      <c r="P22" s="20" t="b" cm="1">
        <f t="array" ref="P22">find_month(P$6,P$7,$G22)</f>
        <v>0</v>
      </c>
      <c r="Q22" s="20" t="b" cm="1">
        <f t="array" ref="Q22">find_month(Q$6,Q$7,$G22)</f>
        <v>0</v>
      </c>
      <c r="R22" s="20" t="b" cm="1">
        <f t="array" ref="R22">find_month(R$6,R$7,$G22)</f>
        <v>0</v>
      </c>
      <c r="S22" s="20" t="b" cm="1">
        <f t="array" ref="S22">find_month(S$6,S$7,$G22)</f>
        <v>1</v>
      </c>
      <c r="T22" s="20" t="b" cm="1">
        <f t="array" ref="T22">find_month(T$6,T$7,$G22)</f>
        <v>0</v>
      </c>
      <c r="U22" s="20" t="b" cm="1">
        <f t="array" ref="U22">find_month(U$6,U$7,$G22)</f>
        <v>0</v>
      </c>
      <c r="V22" s="20" t="b" cm="1">
        <f t="array" ref="V22">find_month(V$6,V$7,$G22)</f>
        <v>0</v>
      </c>
      <c r="W22" s="20" t="b" cm="1">
        <f t="array" ref="W22">find_month(W$6,W$7,$G22)</f>
        <v>1</v>
      </c>
      <c r="X22" s="20" t="b" cm="1">
        <f t="array" ref="X22">find_month(X$6,X$7,$G22)</f>
        <v>0</v>
      </c>
      <c r="Y22" s="20" t="b" cm="1">
        <f t="array" ref="Y22">find_month(Y$6,Y$7,$G22)</f>
        <v>0</v>
      </c>
      <c r="Z22" s="20" t="b" cm="1">
        <f t="array" ref="Z22">find_month(Z$6,Z$7,$G22)</f>
        <v>0</v>
      </c>
      <c r="AA22" s="20" t="b" cm="1">
        <f t="array" ref="AA22">find_month(AA$6,AA$7,$G22)</f>
        <v>1</v>
      </c>
      <c r="AB22" s="20" t="b" cm="1">
        <f t="array" ref="AB22">find_month(AB$6,AB$7,$G22)</f>
        <v>0</v>
      </c>
      <c r="AC22" s="20" t="b" cm="1">
        <f t="array" ref="AC22">find_month(AC$6,AC$7,$G22)</f>
        <v>0</v>
      </c>
      <c r="AD22" s="20" t="b" cm="1">
        <f t="array" ref="AD22">find_month(AD$6,AD$7,$G22)</f>
        <v>0</v>
      </c>
      <c r="AE22" s="20" t="b" cm="1">
        <f t="array" ref="AE22">find_month(AE$6,AE$7,$G22)</f>
        <v>1</v>
      </c>
      <c r="AF22" s="20" t="b" cm="1">
        <f t="array" ref="AF22">find_month(AF$6,AF$7,$G22)</f>
        <v>0</v>
      </c>
      <c r="AG22" s="20" t="b" cm="1">
        <f t="array" ref="AG22">find_month(AG$6,AG$7,$G22)</f>
        <v>0</v>
      </c>
      <c r="AH22" s="20" t="b" cm="1">
        <f t="array" ref="AH22">find_month(AH$6,AH$7,$G22)</f>
        <v>0</v>
      </c>
      <c r="AI22" s="20" t="b" cm="1">
        <f t="array" ref="AI22">find_month(AI$6,AI$7,$G22)</f>
        <v>1</v>
      </c>
      <c r="AJ22" s="20" t="b" cm="1">
        <f t="array" ref="AJ22">find_month(AJ$6,AJ$7,$G22)</f>
        <v>0</v>
      </c>
      <c r="AK22" s="20" t="b" cm="1">
        <f t="array" ref="AK22">find_month(AK$6,AK$7,$G22)</f>
        <v>0</v>
      </c>
      <c r="AL22" s="20" t="b" cm="1">
        <f t="array" ref="AL22">find_month(AL$6,AL$7,$G22)</f>
        <v>0</v>
      </c>
      <c r="AM22" s="20" t="b" cm="1">
        <f t="array" ref="AM22">find_month(AM$6,AM$7,$G22)</f>
        <v>1</v>
      </c>
      <c r="AN22" s="20" t="b" cm="1">
        <f t="array" ref="AN22">find_month(AN$6,AN$7,$G22)</f>
        <v>0</v>
      </c>
      <c r="AO22" s="20" t="b" cm="1">
        <f t="array" ref="AO22">find_month(AO$6,AO$7,$G22)</f>
        <v>0</v>
      </c>
      <c r="AP22" s="20" t="b" cm="1">
        <f t="array" ref="AP22">find_month(AP$6,AP$7,$G22)</f>
        <v>0</v>
      </c>
      <c r="AQ22" s="20" t="b" cm="1">
        <f t="array" ref="AQ22">find_month(AQ$6,AQ$7,$G22)</f>
        <v>1</v>
      </c>
      <c r="AR22" s="20" t="b" cm="1">
        <f t="array" ref="AR22">find_month(AR$6,AR$7,$G22)</f>
        <v>0</v>
      </c>
      <c r="AS22" s="20" t="b" cm="1">
        <f t="array" ref="AS22">find_month(AS$6,AS$7,$G22)</f>
        <v>0</v>
      </c>
      <c r="AT22" s="20" t="b" cm="1">
        <f t="array" ref="AT22">find_month(AT$6,AT$7,$G22)</f>
        <v>0</v>
      </c>
      <c r="AU22" s="20" t="b" cm="1">
        <f t="array" ref="AU22">find_month(AU$6,AU$7,$G22)</f>
        <v>1</v>
      </c>
      <c r="AV22" s="20" t="b" cm="1">
        <f t="array" ref="AV22">find_month(AV$6,AV$7,$G22)</f>
        <v>0</v>
      </c>
      <c r="AW22" s="20" t="b" cm="1">
        <f t="array" ref="AW22">find_month(AW$6,AW$7,$G22)</f>
        <v>0</v>
      </c>
      <c r="AX22" s="20" t="b" cm="1">
        <f t="array" ref="AX22">find_month(AX$6,AX$7,$G22)</f>
        <v>0</v>
      </c>
      <c r="AY22" s="20" t="b" cm="1">
        <f t="array" ref="AY22">find_month(AY$6,AY$7,$G22)</f>
        <v>1</v>
      </c>
      <c r="AZ22" s="20" t="b" cm="1">
        <f t="array" ref="AZ22">find_month(AZ$6,AZ$7,$G22)</f>
        <v>0</v>
      </c>
      <c r="BA22" s="20" t="b" cm="1">
        <f t="array" ref="BA22">find_month(BA$6,BA$7,$G22)</f>
        <v>0</v>
      </c>
      <c r="BB22" s="20" t="b" cm="1">
        <f t="array" ref="BB22">find_month(BB$6,BB$7,$G22)</f>
        <v>0</v>
      </c>
      <c r="BC22" s="20" t="b" cm="1">
        <f t="array" ref="BC22">find_month(BC$6,BC$7,$G22)</f>
        <v>1</v>
      </c>
      <c r="BD22" s="20" t="b" cm="1">
        <f t="array" ref="BD22">find_month(BD$6,BD$7,$G22)</f>
        <v>0</v>
      </c>
      <c r="BE22" s="20" t="b" cm="1">
        <f t="array" ref="BE22">find_month(BE$6,BE$7,$G22)</f>
        <v>0</v>
      </c>
      <c r="BF22" s="20" t="b" cm="1">
        <f t="array" ref="BF22">find_month(BF$6,BF$7,$G22)</f>
        <v>0</v>
      </c>
      <c r="BG22" s="20" t="b" cm="1">
        <f t="array" ref="BG22">find_month(BG$6,BG$7,$G22)</f>
        <v>1</v>
      </c>
      <c r="BH22" s="20" t="b" cm="1">
        <f t="array" ref="BH22">find_month(BH$6,BH$7,$G22)</f>
        <v>0</v>
      </c>
      <c r="BI22" s="20" t="b" cm="1">
        <f t="array" ref="BI22">find_month(BI$6,BI$7,$G22)</f>
        <v>0</v>
      </c>
      <c r="BJ22" s="20" t="b" cm="1">
        <f t="array" ref="BJ22">find_month(BJ$6,BJ$7,$G22)</f>
        <v>0</v>
      </c>
      <c r="BK22" s="20" t="b" cm="1">
        <f t="array" ref="BK22">find_month(BK$6,BK$7,$G22)</f>
        <v>1</v>
      </c>
      <c r="BL22" s="20" t="b" cm="1">
        <f t="array" ref="BL22">find_month(BL$6,BL$7,$G22)</f>
        <v>0</v>
      </c>
      <c r="BM22" s="20" t="b" cm="1">
        <f t="array" ref="BM22">find_month(BM$6,BM$7,$G22)</f>
        <v>0</v>
      </c>
      <c r="BN22" s="20" t="b" cm="1">
        <f t="array" ref="BN22">find_month(BN$6,BN$7,$G22)</f>
        <v>0</v>
      </c>
      <c r="BO22" s="20" t="b" cm="1">
        <f t="array" ref="BO22">find_month(BO$6,BO$7,$G22)</f>
        <v>1</v>
      </c>
      <c r="BP22" s="20" t="b" cm="1">
        <f t="array" ref="BP22">find_month(BP$6,BP$7,$G22)</f>
        <v>0</v>
      </c>
      <c r="BQ22" s="20" t="b" cm="1">
        <f t="array" ref="BQ22">find_month(BQ$6,BQ$7,$G22)</f>
        <v>0</v>
      </c>
      <c r="BR22" s="20" t="b" cm="1">
        <f t="array" ref="BR22">find_month(BR$6,BR$7,$G22)</f>
        <v>0</v>
      </c>
      <c r="BS22" s="20" t="b" cm="1">
        <f t="array" ref="BS22">find_month(BS$6,BS$7,$G22)</f>
        <v>1</v>
      </c>
      <c r="BT22" s="20" t="b" cm="1">
        <f t="array" ref="BT22">find_month(BT$6,BT$7,$G22)</f>
        <v>0</v>
      </c>
      <c r="BU22" s="20" t="b" cm="1">
        <f t="array" ref="BU22">find_month(BU$6,BU$7,$G22)</f>
        <v>0</v>
      </c>
      <c r="BV22" s="20" t="b" cm="1">
        <f t="array" ref="BV22">find_month(BV$6,BV$7,$G22)</f>
        <v>0</v>
      </c>
      <c r="BW22" s="20" t="b" cm="1">
        <f t="array" ref="BW22">find_month(BW$6,BW$7,$G22)</f>
        <v>1</v>
      </c>
      <c r="BX22" s="20" t="b" cm="1">
        <f t="array" ref="BX22">find_month(BX$6,BX$7,$G22)</f>
        <v>0</v>
      </c>
      <c r="BY22" s="20" t="b" cm="1">
        <f t="array" ref="BY22">find_month(BY$6,BY$7,$G22)</f>
        <v>0</v>
      </c>
      <c r="BZ22" s="20" t="b" cm="1">
        <f t="array" ref="BZ22">find_month(BZ$6,BZ$7,$G22)</f>
        <v>0</v>
      </c>
      <c r="CA22" s="20" t="b" cm="1">
        <f t="array" ref="CA22">find_month(CA$6,CA$7,$G22)</f>
        <v>1</v>
      </c>
      <c r="CB22" s="20" t="b" cm="1">
        <f t="array" ref="CB22">find_month(CB$6,CB$7,$G22)</f>
        <v>0</v>
      </c>
      <c r="CC22" s="20" t="b" cm="1">
        <f t="array" ref="CC22">find_month(CC$6,CC$7,$G22)</f>
        <v>0</v>
      </c>
      <c r="CD22" s="20" t="b" cm="1">
        <f t="array" ref="CD22">find_month(CD$6,CD$7,$G22)</f>
        <v>0</v>
      </c>
      <c r="CE22" s="20" t="b" cm="1">
        <f t="array" ref="CE22">find_month(CE$6,CE$7,$G22)</f>
        <v>1</v>
      </c>
      <c r="CF22" s="20" t="b" cm="1">
        <f t="array" ref="CF22">find_month(CF$6,CF$7,$G22)</f>
        <v>0</v>
      </c>
      <c r="CG22" s="20" t="b" cm="1">
        <f t="array" ref="CG22">find_month(CG$6,CG$7,$G22)</f>
        <v>0</v>
      </c>
      <c r="CH22" s="20" t="b" cm="1">
        <f t="array" ref="CH22">find_month(CH$6,CH$7,$G22)</f>
        <v>0</v>
      </c>
      <c r="CI22" s="20" t="b" cm="1">
        <f t="array" ref="CI22">find_month(CI$6,CI$7,$G22)</f>
        <v>1</v>
      </c>
      <c r="CJ22" s="20" t="b" cm="1">
        <f t="array" ref="CJ22">find_month(CJ$6,CJ$7,$G22)</f>
        <v>0</v>
      </c>
      <c r="CK22" s="20" t="b" cm="1">
        <f t="array" ref="CK22">find_month(CK$6,CK$7,$G22)</f>
        <v>0</v>
      </c>
      <c r="CL22" s="20" t="b" cm="1">
        <f t="array" ref="CL22">find_month(CL$6,CL$7,$G22)</f>
        <v>0</v>
      </c>
      <c r="CM22" s="20" t="b" cm="1">
        <f t="array" ref="CM22">find_month(CM$6,CM$7,$G22)</f>
        <v>1</v>
      </c>
      <c r="CN22" s="20" t="b" cm="1">
        <f t="array" ref="CN22">find_month(CN$6,CN$7,$G22)</f>
        <v>0</v>
      </c>
      <c r="CO22" s="20" t="b" cm="1">
        <f t="array" ref="CO22">find_month(CO$6,CO$7,$G22)</f>
        <v>0</v>
      </c>
      <c r="CP22" s="20" t="b" cm="1">
        <f t="array" ref="CP22">find_month(CP$6,CP$7,$G22)</f>
        <v>0</v>
      </c>
      <c r="CQ22" s="20" t="b" cm="1">
        <f t="array" ref="CQ22">find_month(CQ$6,CQ$7,$G22)</f>
        <v>1</v>
      </c>
      <c r="CR22" s="20" t="b" cm="1">
        <f t="array" ref="CR22">find_month(CR$6,CR$7,$G22)</f>
        <v>0</v>
      </c>
      <c r="CS22" s="20" t="b" cm="1">
        <f t="array" ref="CS22">find_month(CS$6,CS$7,$G22)</f>
        <v>0</v>
      </c>
      <c r="CT22" s="20" t="b" cm="1">
        <f t="array" ref="CT22">find_month(CT$6,CT$7,$G22)</f>
        <v>0</v>
      </c>
      <c r="CU22" s="20" t="b" cm="1">
        <f t="array" ref="CU22">find_month(CU$6,CU$7,$G22)</f>
        <v>1</v>
      </c>
      <c r="CV22" s="20" t="b" cm="1">
        <f t="array" ref="CV22">find_month(CV$6,CV$7,$G22)</f>
        <v>0</v>
      </c>
      <c r="CW22" s="20" t="b" cm="1">
        <f t="array" ref="CW22">find_month(CW$6,CW$7,$G22)</f>
        <v>0</v>
      </c>
      <c r="CX22" s="20" t="b" cm="1">
        <f t="array" ref="CX22">find_month(CX$6,CX$7,$G22)</f>
        <v>0</v>
      </c>
      <c r="CY22" s="20" t="b" cm="1">
        <f t="array" ref="CY22">find_month(CY$6,CY$7,$G22)</f>
        <v>1</v>
      </c>
      <c r="CZ22" s="20" t="b" cm="1">
        <f t="array" ref="CZ22">find_month(CZ$6,CZ$7,$G22)</f>
        <v>0</v>
      </c>
      <c r="DA22" s="20" t="b" cm="1">
        <f t="array" ref="DA22">find_month(DA$6,DA$7,$G22)</f>
        <v>0</v>
      </c>
      <c r="DB22" s="20" t="b" cm="1">
        <f t="array" ref="DB22">find_month(DB$6,DB$7,$G22)</f>
        <v>0</v>
      </c>
      <c r="DC22" s="20" t="b" cm="1">
        <f t="array" ref="DC22">find_month(DC$6,DC$7,$G22)</f>
        <v>1</v>
      </c>
      <c r="DD22" s="20" t="b" cm="1">
        <f t="array" ref="DD22">find_month(DD$6,DD$7,$G22)</f>
        <v>0</v>
      </c>
      <c r="DE22" s="20" t="b" cm="1">
        <f t="array" ref="DE22">find_month(DE$6,DE$7,$G22)</f>
        <v>0</v>
      </c>
      <c r="DF22" s="20" t="b" cm="1">
        <f t="array" ref="DF22">find_month(DF$6,DF$7,$G22)</f>
        <v>0</v>
      </c>
      <c r="DG22" s="20" t="b" cm="1">
        <f t="array" ref="DG22">find_month(DG$6,DG$7,$G22)</f>
        <v>1</v>
      </c>
      <c r="DH22" s="20" t="b" cm="1">
        <f t="array" ref="DH22">find_month(DH$6,DH$7,$G22)</f>
        <v>0</v>
      </c>
      <c r="DI22" s="20" t="b" cm="1">
        <f t="array" ref="DI22">find_month(DI$6,DI$7,$G22)</f>
        <v>0</v>
      </c>
      <c r="DJ22" s="20" t="b" cm="1">
        <f t="array" ref="DJ22">find_month(DJ$6,DJ$7,$G22)</f>
        <v>0</v>
      </c>
      <c r="DK22" s="20" t="b" cm="1">
        <f t="array" ref="DK22">find_month(DK$6,DK$7,$G22)</f>
        <v>1</v>
      </c>
      <c r="DL22" s="20" t="b" cm="1">
        <f t="array" ref="DL22">find_month(DL$6,DL$7,$G22)</f>
        <v>0</v>
      </c>
      <c r="DM22" s="20" t="b" cm="1">
        <f t="array" ref="DM22">find_month(DM$6,DM$7,$G22)</f>
        <v>0</v>
      </c>
      <c r="DN22" s="20" t="b" cm="1">
        <f t="array" ref="DN22">find_month(DN$6,DN$7,$G22)</f>
        <v>0</v>
      </c>
      <c r="DO22" s="20" t="b" cm="1">
        <f t="array" ref="DO22">find_month(DO$6,DO$7,$G22)</f>
        <v>1</v>
      </c>
      <c r="DP22" s="20" t="b" cm="1">
        <f t="array" ref="DP22">find_month(DP$6,DP$7,$G22)</f>
        <v>0</v>
      </c>
      <c r="DQ22" s="20" t="b" cm="1">
        <f t="array" ref="DQ22">find_month(DQ$6,DQ$7,$G22)</f>
        <v>0</v>
      </c>
    </row>
    <row r="23" spans="3:121" x14ac:dyDescent="0.35">
      <c r="C23" s="20" t="s">
        <v>176</v>
      </c>
      <c r="F23" s="20" t="s">
        <v>171</v>
      </c>
      <c r="G23" s="45">
        <f>Assumptions!E41</f>
        <v>6</v>
      </c>
      <c r="K23" s="20" t="b" cm="1">
        <f t="array" ref="K23">find_month(K$6,K$7,$G23)</f>
        <v>0</v>
      </c>
      <c r="L23" s="20" t="b" cm="1">
        <f t="array" ref="L23">find_month(L$6,L$7,$G23)</f>
        <v>0</v>
      </c>
      <c r="M23" s="20" t="b" cm="1">
        <f t="array" ref="M23">find_month(M$6,M$7,$G23)</f>
        <v>0</v>
      </c>
      <c r="N23" s="20" t="b" cm="1">
        <f t="array" ref="N23">find_month(N$6,N$7,$G23)</f>
        <v>0</v>
      </c>
      <c r="O23" s="20" t="b" cm="1">
        <f t="array" ref="O23">find_month(O$6,O$7,$G23)</f>
        <v>0</v>
      </c>
      <c r="P23" s="20" t="b" cm="1">
        <f t="array" ref="P23">find_month(P$6,P$7,$G23)</f>
        <v>0</v>
      </c>
      <c r="Q23" s="20" t="b" cm="1">
        <f t="array" ref="Q23">find_month(Q$6,Q$7,$G23)</f>
        <v>0</v>
      </c>
      <c r="R23" s="20" t="b" cm="1">
        <f t="array" ref="R23">find_month(R$6,R$7,$G23)</f>
        <v>0</v>
      </c>
      <c r="S23" s="20" t="b" cm="1">
        <f t="array" ref="S23">find_month(S$6,S$7,$G23)</f>
        <v>0</v>
      </c>
      <c r="T23" s="20" t="b" cm="1">
        <f t="array" ref="T23">find_month(T$6,T$7,$G23)</f>
        <v>1</v>
      </c>
      <c r="U23" s="20" t="b" cm="1">
        <f t="array" ref="U23">find_month(U$6,U$7,$G23)</f>
        <v>0</v>
      </c>
      <c r="V23" s="20" t="b" cm="1">
        <f t="array" ref="V23">find_month(V$6,V$7,$G23)</f>
        <v>0</v>
      </c>
      <c r="W23" s="20" t="b" cm="1">
        <f t="array" ref="W23">find_month(W$6,W$7,$G23)</f>
        <v>0</v>
      </c>
      <c r="X23" s="20" t="b" cm="1">
        <f t="array" ref="X23">find_month(X$6,X$7,$G23)</f>
        <v>1</v>
      </c>
      <c r="Y23" s="20" t="b" cm="1">
        <f t="array" ref="Y23">find_month(Y$6,Y$7,$G23)</f>
        <v>0</v>
      </c>
      <c r="Z23" s="20" t="b" cm="1">
        <f t="array" ref="Z23">find_month(Z$6,Z$7,$G23)</f>
        <v>0</v>
      </c>
      <c r="AA23" s="20" t="b" cm="1">
        <f t="array" ref="AA23">find_month(AA$6,AA$7,$G23)</f>
        <v>0</v>
      </c>
      <c r="AB23" s="20" t="b" cm="1">
        <f t="array" ref="AB23">find_month(AB$6,AB$7,$G23)</f>
        <v>1</v>
      </c>
      <c r="AC23" s="20" t="b" cm="1">
        <f t="array" ref="AC23">find_month(AC$6,AC$7,$G23)</f>
        <v>0</v>
      </c>
      <c r="AD23" s="20" t="b" cm="1">
        <f t="array" ref="AD23">find_month(AD$6,AD$7,$G23)</f>
        <v>0</v>
      </c>
      <c r="AE23" s="20" t="b" cm="1">
        <f t="array" ref="AE23">find_month(AE$6,AE$7,$G23)</f>
        <v>0</v>
      </c>
      <c r="AF23" s="20" t="b" cm="1">
        <f t="array" ref="AF23">find_month(AF$6,AF$7,$G23)</f>
        <v>1</v>
      </c>
      <c r="AG23" s="20" t="b" cm="1">
        <f t="array" ref="AG23">find_month(AG$6,AG$7,$G23)</f>
        <v>0</v>
      </c>
      <c r="AH23" s="20" t="b" cm="1">
        <f t="array" ref="AH23">find_month(AH$6,AH$7,$G23)</f>
        <v>0</v>
      </c>
      <c r="AI23" s="20" t="b" cm="1">
        <f t="array" ref="AI23">find_month(AI$6,AI$7,$G23)</f>
        <v>0</v>
      </c>
      <c r="AJ23" s="20" t="b" cm="1">
        <f t="array" ref="AJ23">find_month(AJ$6,AJ$7,$G23)</f>
        <v>1</v>
      </c>
      <c r="AK23" s="20" t="b" cm="1">
        <f t="array" ref="AK23">find_month(AK$6,AK$7,$G23)</f>
        <v>0</v>
      </c>
      <c r="AL23" s="20" t="b" cm="1">
        <f t="array" ref="AL23">find_month(AL$6,AL$7,$G23)</f>
        <v>0</v>
      </c>
      <c r="AM23" s="20" t="b" cm="1">
        <f t="array" ref="AM23">find_month(AM$6,AM$7,$G23)</f>
        <v>0</v>
      </c>
      <c r="AN23" s="20" t="b" cm="1">
        <f t="array" ref="AN23">find_month(AN$6,AN$7,$G23)</f>
        <v>1</v>
      </c>
      <c r="AO23" s="20" t="b" cm="1">
        <f t="array" ref="AO23">find_month(AO$6,AO$7,$G23)</f>
        <v>0</v>
      </c>
      <c r="AP23" s="20" t="b" cm="1">
        <f t="array" ref="AP23">find_month(AP$6,AP$7,$G23)</f>
        <v>0</v>
      </c>
      <c r="AQ23" s="20" t="b" cm="1">
        <f t="array" ref="AQ23">find_month(AQ$6,AQ$7,$G23)</f>
        <v>0</v>
      </c>
      <c r="AR23" s="20" t="b" cm="1">
        <f t="array" ref="AR23">find_month(AR$6,AR$7,$G23)</f>
        <v>1</v>
      </c>
      <c r="AS23" s="20" t="b" cm="1">
        <f t="array" ref="AS23">find_month(AS$6,AS$7,$G23)</f>
        <v>0</v>
      </c>
      <c r="AT23" s="20" t="b" cm="1">
        <f t="array" ref="AT23">find_month(AT$6,AT$7,$G23)</f>
        <v>0</v>
      </c>
      <c r="AU23" s="20" t="b" cm="1">
        <f t="array" ref="AU23">find_month(AU$6,AU$7,$G23)</f>
        <v>0</v>
      </c>
      <c r="AV23" s="20" t="b" cm="1">
        <f t="array" ref="AV23">find_month(AV$6,AV$7,$G23)</f>
        <v>1</v>
      </c>
      <c r="AW23" s="20" t="b" cm="1">
        <f t="array" ref="AW23">find_month(AW$6,AW$7,$G23)</f>
        <v>0</v>
      </c>
      <c r="AX23" s="20" t="b" cm="1">
        <f t="array" ref="AX23">find_month(AX$6,AX$7,$G23)</f>
        <v>0</v>
      </c>
      <c r="AY23" s="20" t="b" cm="1">
        <f t="array" ref="AY23">find_month(AY$6,AY$7,$G23)</f>
        <v>0</v>
      </c>
      <c r="AZ23" s="20" t="b" cm="1">
        <f t="array" ref="AZ23">find_month(AZ$6,AZ$7,$G23)</f>
        <v>1</v>
      </c>
      <c r="BA23" s="20" t="b" cm="1">
        <f t="array" ref="BA23">find_month(BA$6,BA$7,$G23)</f>
        <v>0</v>
      </c>
      <c r="BB23" s="20" t="b" cm="1">
        <f t="array" ref="BB23">find_month(BB$6,BB$7,$G23)</f>
        <v>0</v>
      </c>
      <c r="BC23" s="20" t="b" cm="1">
        <f t="array" ref="BC23">find_month(BC$6,BC$7,$G23)</f>
        <v>0</v>
      </c>
      <c r="BD23" s="20" t="b" cm="1">
        <f t="array" ref="BD23">find_month(BD$6,BD$7,$G23)</f>
        <v>1</v>
      </c>
      <c r="BE23" s="20" t="b" cm="1">
        <f t="array" ref="BE23">find_month(BE$6,BE$7,$G23)</f>
        <v>0</v>
      </c>
      <c r="BF23" s="20" t="b" cm="1">
        <f t="array" ref="BF23">find_month(BF$6,BF$7,$G23)</f>
        <v>0</v>
      </c>
      <c r="BG23" s="20" t="b" cm="1">
        <f t="array" ref="BG23">find_month(BG$6,BG$7,$G23)</f>
        <v>0</v>
      </c>
      <c r="BH23" s="20" t="b" cm="1">
        <f t="array" ref="BH23">find_month(BH$6,BH$7,$G23)</f>
        <v>1</v>
      </c>
      <c r="BI23" s="20" t="b" cm="1">
        <f t="array" ref="BI23">find_month(BI$6,BI$7,$G23)</f>
        <v>0</v>
      </c>
      <c r="BJ23" s="20" t="b" cm="1">
        <f t="array" ref="BJ23">find_month(BJ$6,BJ$7,$G23)</f>
        <v>0</v>
      </c>
      <c r="BK23" s="20" t="b" cm="1">
        <f t="array" ref="BK23">find_month(BK$6,BK$7,$G23)</f>
        <v>0</v>
      </c>
      <c r="BL23" s="20" t="b" cm="1">
        <f t="array" ref="BL23">find_month(BL$6,BL$7,$G23)</f>
        <v>1</v>
      </c>
      <c r="BM23" s="20" t="b" cm="1">
        <f t="array" ref="BM23">find_month(BM$6,BM$7,$G23)</f>
        <v>0</v>
      </c>
      <c r="BN23" s="20" t="b" cm="1">
        <f t="array" ref="BN23">find_month(BN$6,BN$7,$G23)</f>
        <v>0</v>
      </c>
      <c r="BO23" s="20" t="b" cm="1">
        <f t="array" ref="BO23">find_month(BO$6,BO$7,$G23)</f>
        <v>0</v>
      </c>
      <c r="BP23" s="20" t="b" cm="1">
        <f t="array" ref="BP23">find_month(BP$6,BP$7,$G23)</f>
        <v>1</v>
      </c>
      <c r="BQ23" s="20" t="b" cm="1">
        <f t="array" ref="BQ23">find_month(BQ$6,BQ$7,$G23)</f>
        <v>0</v>
      </c>
      <c r="BR23" s="20" t="b" cm="1">
        <f t="array" ref="BR23">find_month(BR$6,BR$7,$G23)</f>
        <v>0</v>
      </c>
      <c r="BS23" s="20" t="b" cm="1">
        <f t="array" ref="BS23">find_month(BS$6,BS$7,$G23)</f>
        <v>0</v>
      </c>
      <c r="BT23" s="20" t="b" cm="1">
        <f t="array" ref="BT23">find_month(BT$6,BT$7,$G23)</f>
        <v>1</v>
      </c>
      <c r="BU23" s="20" t="b" cm="1">
        <f t="array" ref="BU23">find_month(BU$6,BU$7,$G23)</f>
        <v>0</v>
      </c>
      <c r="BV23" s="20" t="b" cm="1">
        <f t="array" ref="BV23">find_month(BV$6,BV$7,$G23)</f>
        <v>0</v>
      </c>
      <c r="BW23" s="20" t="b" cm="1">
        <f t="array" ref="BW23">find_month(BW$6,BW$7,$G23)</f>
        <v>0</v>
      </c>
      <c r="BX23" s="20" t="b" cm="1">
        <f t="array" ref="BX23">find_month(BX$6,BX$7,$G23)</f>
        <v>1</v>
      </c>
      <c r="BY23" s="20" t="b" cm="1">
        <f t="array" ref="BY23">find_month(BY$6,BY$7,$G23)</f>
        <v>0</v>
      </c>
      <c r="BZ23" s="20" t="b" cm="1">
        <f t="array" ref="BZ23">find_month(BZ$6,BZ$7,$G23)</f>
        <v>0</v>
      </c>
      <c r="CA23" s="20" t="b" cm="1">
        <f t="array" ref="CA23">find_month(CA$6,CA$7,$G23)</f>
        <v>0</v>
      </c>
      <c r="CB23" s="20" t="b" cm="1">
        <f t="array" ref="CB23">find_month(CB$6,CB$7,$G23)</f>
        <v>1</v>
      </c>
      <c r="CC23" s="20" t="b" cm="1">
        <f t="array" ref="CC23">find_month(CC$6,CC$7,$G23)</f>
        <v>0</v>
      </c>
      <c r="CD23" s="20" t="b" cm="1">
        <f t="array" ref="CD23">find_month(CD$6,CD$7,$G23)</f>
        <v>0</v>
      </c>
      <c r="CE23" s="20" t="b" cm="1">
        <f t="array" ref="CE23">find_month(CE$6,CE$7,$G23)</f>
        <v>0</v>
      </c>
      <c r="CF23" s="20" t="b" cm="1">
        <f t="array" ref="CF23">find_month(CF$6,CF$7,$G23)</f>
        <v>1</v>
      </c>
      <c r="CG23" s="20" t="b" cm="1">
        <f t="array" ref="CG23">find_month(CG$6,CG$7,$G23)</f>
        <v>0</v>
      </c>
      <c r="CH23" s="20" t="b" cm="1">
        <f t="array" ref="CH23">find_month(CH$6,CH$7,$G23)</f>
        <v>0</v>
      </c>
      <c r="CI23" s="20" t="b" cm="1">
        <f t="array" ref="CI23">find_month(CI$6,CI$7,$G23)</f>
        <v>0</v>
      </c>
      <c r="CJ23" s="20" t="b" cm="1">
        <f t="array" ref="CJ23">find_month(CJ$6,CJ$7,$G23)</f>
        <v>1</v>
      </c>
      <c r="CK23" s="20" t="b" cm="1">
        <f t="array" ref="CK23">find_month(CK$6,CK$7,$G23)</f>
        <v>0</v>
      </c>
      <c r="CL23" s="20" t="b" cm="1">
        <f t="array" ref="CL23">find_month(CL$6,CL$7,$G23)</f>
        <v>0</v>
      </c>
      <c r="CM23" s="20" t="b" cm="1">
        <f t="array" ref="CM23">find_month(CM$6,CM$7,$G23)</f>
        <v>0</v>
      </c>
      <c r="CN23" s="20" t="b" cm="1">
        <f t="array" ref="CN23">find_month(CN$6,CN$7,$G23)</f>
        <v>1</v>
      </c>
      <c r="CO23" s="20" t="b" cm="1">
        <f t="array" ref="CO23">find_month(CO$6,CO$7,$G23)</f>
        <v>0</v>
      </c>
      <c r="CP23" s="20" t="b" cm="1">
        <f t="array" ref="CP23">find_month(CP$6,CP$7,$G23)</f>
        <v>0</v>
      </c>
      <c r="CQ23" s="20" t="b" cm="1">
        <f t="array" ref="CQ23">find_month(CQ$6,CQ$7,$G23)</f>
        <v>0</v>
      </c>
      <c r="CR23" s="20" t="b" cm="1">
        <f t="array" ref="CR23">find_month(CR$6,CR$7,$G23)</f>
        <v>1</v>
      </c>
      <c r="CS23" s="20" t="b" cm="1">
        <f t="array" ref="CS23">find_month(CS$6,CS$7,$G23)</f>
        <v>0</v>
      </c>
      <c r="CT23" s="20" t="b" cm="1">
        <f t="array" ref="CT23">find_month(CT$6,CT$7,$G23)</f>
        <v>0</v>
      </c>
      <c r="CU23" s="20" t="b" cm="1">
        <f t="array" ref="CU23">find_month(CU$6,CU$7,$G23)</f>
        <v>0</v>
      </c>
      <c r="CV23" s="20" t="b" cm="1">
        <f t="array" ref="CV23">find_month(CV$6,CV$7,$G23)</f>
        <v>1</v>
      </c>
      <c r="CW23" s="20" t="b" cm="1">
        <f t="array" ref="CW23">find_month(CW$6,CW$7,$G23)</f>
        <v>0</v>
      </c>
      <c r="CX23" s="20" t="b" cm="1">
        <f t="array" ref="CX23">find_month(CX$6,CX$7,$G23)</f>
        <v>0</v>
      </c>
      <c r="CY23" s="20" t="b" cm="1">
        <f t="array" ref="CY23">find_month(CY$6,CY$7,$G23)</f>
        <v>0</v>
      </c>
      <c r="CZ23" s="20" t="b" cm="1">
        <f t="array" ref="CZ23">find_month(CZ$6,CZ$7,$G23)</f>
        <v>1</v>
      </c>
      <c r="DA23" s="20" t="b" cm="1">
        <f t="array" ref="DA23">find_month(DA$6,DA$7,$G23)</f>
        <v>0</v>
      </c>
      <c r="DB23" s="20" t="b" cm="1">
        <f t="array" ref="DB23">find_month(DB$6,DB$7,$G23)</f>
        <v>0</v>
      </c>
      <c r="DC23" s="20" t="b" cm="1">
        <f t="array" ref="DC23">find_month(DC$6,DC$7,$G23)</f>
        <v>0</v>
      </c>
      <c r="DD23" s="20" t="b" cm="1">
        <f t="array" ref="DD23">find_month(DD$6,DD$7,$G23)</f>
        <v>1</v>
      </c>
      <c r="DE23" s="20" t="b" cm="1">
        <f t="array" ref="DE23">find_month(DE$6,DE$7,$G23)</f>
        <v>0</v>
      </c>
      <c r="DF23" s="20" t="b" cm="1">
        <f t="array" ref="DF23">find_month(DF$6,DF$7,$G23)</f>
        <v>0</v>
      </c>
      <c r="DG23" s="20" t="b" cm="1">
        <f t="array" ref="DG23">find_month(DG$6,DG$7,$G23)</f>
        <v>0</v>
      </c>
      <c r="DH23" s="20" t="b" cm="1">
        <f t="array" ref="DH23">find_month(DH$6,DH$7,$G23)</f>
        <v>1</v>
      </c>
      <c r="DI23" s="20" t="b" cm="1">
        <f t="array" ref="DI23">find_month(DI$6,DI$7,$G23)</f>
        <v>0</v>
      </c>
      <c r="DJ23" s="20" t="b" cm="1">
        <f t="array" ref="DJ23">find_month(DJ$6,DJ$7,$G23)</f>
        <v>0</v>
      </c>
      <c r="DK23" s="20" t="b" cm="1">
        <f t="array" ref="DK23">find_month(DK$6,DK$7,$G23)</f>
        <v>0</v>
      </c>
      <c r="DL23" s="20" t="b" cm="1">
        <f t="array" ref="DL23">find_month(DL$6,DL$7,$G23)</f>
        <v>1</v>
      </c>
      <c r="DM23" s="20" t="b" cm="1">
        <f t="array" ref="DM23">find_month(DM$6,DM$7,$G23)</f>
        <v>0</v>
      </c>
      <c r="DN23" s="20" t="b" cm="1">
        <f t="array" ref="DN23">find_month(DN$6,DN$7,$G23)</f>
        <v>0</v>
      </c>
      <c r="DO23" s="20" t="b" cm="1">
        <f t="array" ref="DO23">find_month(DO$6,DO$7,$G23)</f>
        <v>0</v>
      </c>
      <c r="DP23" s="20" t="b" cm="1">
        <f t="array" ref="DP23">find_month(DP$6,DP$7,$G23)</f>
        <v>1</v>
      </c>
      <c r="DQ23" s="20" t="b" cm="1">
        <f t="array" ref="DQ23">find_month(DQ$6,DQ$7,$G23)</f>
        <v>0</v>
      </c>
    </row>
    <row r="24" spans="3:121" x14ac:dyDescent="0.35">
      <c r="C24" s="20" t="s">
        <v>177</v>
      </c>
      <c r="F24" s="20" t="s">
        <v>171</v>
      </c>
      <c r="G24" s="45">
        <f>Assumptions!E42</f>
        <v>7</v>
      </c>
      <c r="K24" s="20" t="b" cm="1">
        <f t="array" ref="K24">find_month(K$6,K$7,$G24)</f>
        <v>0</v>
      </c>
      <c r="L24" s="20" t="b" cm="1">
        <f t="array" ref="L24">find_month(L$6,L$7,$G24)</f>
        <v>0</v>
      </c>
      <c r="M24" s="20" t="b" cm="1">
        <f t="array" ref="M24">find_month(M$6,M$7,$G24)</f>
        <v>0</v>
      </c>
      <c r="N24" s="20" t="b" cm="1">
        <f t="array" ref="N24">find_month(N$6,N$7,$G24)</f>
        <v>0</v>
      </c>
      <c r="O24" s="20" t="b" cm="1">
        <f t="array" ref="O24">find_month(O$6,O$7,$G24)</f>
        <v>0</v>
      </c>
      <c r="P24" s="20" t="b" cm="1">
        <f t="array" ref="P24">find_month(P$6,P$7,$G24)</f>
        <v>0</v>
      </c>
      <c r="Q24" s="20" t="b" cm="1">
        <f t="array" ref="Q24">find_month(Q$6,Q$7,$G24)</f>
        <v>0</v>
      </c>
      <c r="R24" s="20" t="b" cm="1">
        <f t="array" ref="R24">find_month(R$6,R$7,$G24)</f>
        <v>0</v>
      </c>
      <c r="S24" s="20" t="b" cm="1">
        <f t="array" ref="S24">find_month(S$6,S$7,$G24)</f>
        <v>0</v>
      </c>
      <c r="T24" s="20" t="b" cm="1">
        <f t="array" ref="T24">find_month(T$6,T$7,$G24)</f>
        <v>1</v>
      </c>
      <c r="U24" s="20" t="b" cm="1">
        <f t="array" ref="U24">find_month(U$6,U$7,$G24)</f>
        <v>0</v>
      </c>
      <c r="V24" s="20" t="b" cm="1">
        <f t="array" ref="V24">find_month(V$6,V$7,$G24)</f>
        <v>0</v>
      </c>
      <c r="W24" s="20" t="b" cm="1">
        <f t="array" ref="W24">find_month(W$6,W$7,$G24)</f>
        <v>0</v>
      </c>
      <c r="X24" s="20" t="b" cm="1">
        <f t="array" ref="X24">find_month(X$6,X$7,$G24)</f>
        <v>1</v>
      </c>
      <c r="Y24" s="20" t="b" cm="1">
        <f t="array" ref="Y24">find_month(Y$6,Y$7,$G24)</f>
        <v>0</v>
      </c>
      <c r="Z24" s="20" t="b" cm="1">
        <f t="array" ref="Z24">find_month(Z$6,Z$7,$G24)</f>
        <v>0</v>
      </c>
      <c r="AA24" s="20" t="b" cm="1">
        <f t="array" ref="AA24">find_month(AA$6,AA$7,$G24)</f>
        <v>0</v>
      </c>
      <c r="AB24" s="20" t="b" cm="1">
        <f t="array" ref="AB24">find_month(AB$6,AB$7,$G24)</f>
        <v>1</v>
      </c>
      <c r="AC24" s="20" t="b" cm="1">
        <f t="array" ref="AC24">find_month(AC$6,AC$7,$G24)</f>
        <v>0</v>
      </c>
      <c r="AD24" s="20" t="b" cm="1">
        <f t="array" ref="AD24">find_month(AD$6,AD$7,$G24)</f>
        <v>0</v>
      </c>
      <c r="AE24" s="20" t="b" cm="1">
        <f t="array" ref="AE24">find_month(AE$6,AE$7,$G24)</f>
        <v>0</v>
      </c>
      <c r="AF24" s="20" t="b" cm="1">
        <f t="array" ref="AF24">find_month(AF$6,AF$7,$G24)</f>
        <v>1</v>
      </c>
      <c r="AG24" s="20" t="b" cm="1">
        <f t="array" ref="AG24">find_month(AG$6,AG$7,$G24)</f>
        <v>0</v>
      </c>
      <c r="AH24" s="20" t="b" cm="1">
        <f t="array" ref="AH24">find_month(AH$6,AH$7,$G24)</f>
        <v>0</v>
      </c>
      <c r="AI24" s="20" t="b" cm="1">
        <f t="array" ref="AI24">find_month(AI$6,AI$7,$G24)</f>
        <v>0</v>
      </c>
      <c r="AJ24" s="20" t="b" cm="1">
        <f t="array" ref="AJ24">find_month(AJ$6,AJ$7,$G24)</f>
        <v>1</v>
      </c>
      <c r="AK24" s="20" t="b" cm="1">
        <f t="array" ref="AK24">find_month(AK$6,AK$7,$G24)</f>
        <v>0</v>
      </c>
      <c r="AL24" s="20" t="b" cm="1">
        <f t="array" ref="AL24">find_month(AL$6,AL$7,$G24)</f>
        <v>0</v>
      </c>
      <c r="AM24" s="20" t="b" cm="1">
        <f t="array" ref="AM24">find_month(AM$6,AM$7,$G24)</f>
        <v>0</v>
      </c>
      <c r="AN24" s="20" t="b" cm="1">
        <f t="array" ref="AN24">find_month(AN$6,AN$7,$G24)</f>
        <v>1</v>
      </c>
      <c r="AO24" s="20" t="b" cm="1">
        <f t="array" ref="AO24">find_month(AO$6,AO$7,$G24)</f>
        <v>0</v>
      </c>
      <c r="AP24" s="20" t="b" cm="1">
        <f t="array" ref="AP24">find_month(AP$6,AP$7,$G24)</f>
        <v>0</v>
      </c>
      <c r="AQ24" s="20" t="b" cm="1">
        <f t="array" ref="AQ24">find_month(AQ$6,AQ$7,$G24)</f>
        <v>0</v>
      </c>
      <c r="AR24" s="20" t="b" cm="1">
        <f t="array" ref="AR24">find_month(AR$6,AR$7,$G24)</f>
        <v>1</v>
      </c>
      <c r="AS24" s="20" t="b" cm="1">
        <f t="array" ref="AS24">find_month(AS$6,AS$7,$G24)</f>
        <v>0</v>
      </c>
      <c r="AT24" s="20" t="b" cm="1">
        <f t="array" ref="AT24">find_month(AT$6,AT$7,$G24)</f>
        <v>0</v>
      </c>
      <c r="AU24" s="20" t="b" cm="1">
        <f t="array" ref="AU24">find_month(AU$6,AU$7,$G24)</f>
        <v>0</v>
      </c>
      <c r="AV24" s="20" t="b" cm="1">
        <f t="array" ref="AV24">find_month(AV$6,AV$7,$G24)</f>
        <v>1</v>
      </c>
      <c r="AW24" s="20" t="b" cm="1">
        <f t="array" ref="AW24">find_month(AW$6,AW$7,$G24)</f>
        <v>0</v>
      </c>
      <c r="AX24" s="20" t="b" cm="1">
        <f t="array" ref="AX24">find_month(AX$6,AX$7,$G24)</f>
        <v>0</v>
      </c>
      <c r="AY24" s="20" t="b" cm="1">
        <f t="array" ref="AY24">find_month(AY$6,AY$7,$G24)</f>
        <v>0</v>
      </c>
      <c r="AZ24" s="20" t="b" cm="1">
        <f t="array" ref="AZ24">find_month(AZ$6,AZ$7,$G24)</f>
        <v>1</v>
      </c>
      <c r="BA24" s="20" t="b" cm="1">
        <f t="array" ref="BA24">find_month(BA$6,BA$7,$G24)</f>
        <v>0</v>
      </c>
      <c r="BB24" s="20" t="b" cm="1">
        <f t="array" ref="BB24">find_month(BB$6,BB$7,$G24)</f>
        <v>0</v>
      </c>
      <c r="BC24" s="20" t="b" cm="1">
        <f t="array" ref="BC24">find_month(BC$6,BC$7,$G24)</f>
        <v>0</v>
      </c>
      <c r="BD24" s="20" t="b" cm="1">
        <f t="array" ref="BD24">find_month(BD$6,BD$7,$G24)</f>
        <v>1</v>
      </c>
      <c r="BE24" s="20" t="b" cm="1">
        <f t="array" ref="BE24">find_month(BE$6,BE$7,$G24)</f>
        <v>0</v>
      </c>
      <c r="BF24" s="20" t="b" cm="1">
        <f t="array" ref="BF24">find_month(BF$6,BF$7,$G24)</f>
        <v>0</v>
      </c>
      <c r="BG24" s="20" t="b" cm="1">
        <f t="array" ref="BG24">find_month(BG$6,BG$7,$G24)</f>
        <v>0</v>
      </c>
      <c r="BH24" s="20" t="b" cm="1">
        <f t="array" ref="BH24">find_month(BH$6,BH$7,$G24)</f>
        <v>1</v>
      </c>
      <c r="BI24" s="20" t="b" cm="1">
        <f t="array" ref="BI24">find_month(BI$6,BI$7,$G24)</f>
        <v>0</v>
      </c>
      <c r="BJ24" s="20" t="b" cm="1">
        <f t="array" ref="BJ24">find_month(BJ$6,BJ$7,$G24)</f>
        <v>0</v>
      </c>
      <c r="BK24" s="20" t="b" cm="1">
        <f t="array" ref="BK24">find_month(BK$6,BK$7,$G24)</f>
        <v>0</v>
      </c>
      <c r="BL24" s="20" t="b" cm="1">
        <f t="array" ref="BL24">find_month(BL$6,BL$7,$G24)</f>
        <v>1</v>
      </c>
      <c r="BM24" s="20" t="b" cm="1">
        <f t="array" ref="BM24">find_month(BM$6,BM$7,$G24)</f>
        <v>0</v>
      </c>
      <c r="BN24" s="20" t="b" cm="1">
        <f t="array" ref="BN24">find_month(BN$6,BN$7,$G24)</f>
        <v>0</v>
      </c>
      <c r="BO24" s="20" t="b" cm="1">
        <f t="array" ref="BO24">find_month(BO$6,BO$7,$G24)</f>
        <v>0</v>
      </c>
      <c r="BP24" s="20" t="b" cm="1">
        <f t="array" ref="BP24">find_month(BP$6,BP$7,$G24)</f>
        <v>1</v>
      </c>
      <c r="BQ24" s="20" t="b" cm="1">
        <f t="array" ref="BQ24">find_month(BQ$6,BQ$7,$G24)</f>
        <v>0</v>
      </c>
      <c r="BR24" s="20" t="b" cm="1">
        <f t="array" ref="BR24">find_month(BR$6,BR$7,$G24)</f>
        <v>0</v>
      </c>
      <c r="BS24" s="20" t="b" cm="1">
        <f t="array" ref="BS24">find_month(BS$6,BS$7,$G24)</f>
        <v>0</v>
      </c>
      <c r="BT24" s="20" t="b" cm="1">
        <f t="array" ref="BT24">find_month(BT$6,BT$7,$G24)</f>
        <v>1</v>
      </c>
      <c r="BU24" s="20" t="b" cm="1">
        <f t="array" ref="BU24">find_month(BU$6,BU$7,$G24)</f>
        <v>0</v>
      </c>
      <c r="BV24" s="20" t="b" cm="1">
        <f t="array" ref="BV24">find_month(BV$6,BV$7,$G24)</f>
        <v>0</v>
      </c>
      <c r="BW24" s="20" t="b" cm="1">
        <f t="array" ref="BW24">find_month(BW$6,BW$7,$G24)</f>
        <v>0</v>
      </c>
      <c r="BX24" s="20" t="b" cm="1">
        <f t="array" ref="BX24">find_month(BX$6,BX$7,$G24)</f>
        <v>1</v>
      </c>
      <c r="BY24" s="20" t="b" cm="1">
        <f t="array" ref="BY24">find_month(BY$6,BY$7,$G24)</f>
        <v>0</v>
      </c>
      <c r="BZ24" s="20" t="b" cm="1">
        <f t="array" ref="BZ24">find_month(BZ$6,BZ$7,$G24)</f>
        <v>0</v>
      </c>
      <c r="CA24" s="20" t="b" cm="1">
        <f t="array" ref="CA24">find_month(CA$6,CA$7,$G24)</f>
        <v>0</v>
      </c>
      <c r="CB24" s="20" t="b" cm="1">
        <f t="array" ref="CB24">find_month(CB$6,CB$7,$G24)</f>
        <v>1</v>
      </c>
      <c r="CC24" s="20" t="b" cm="1">
        <f t="array" ref="CC24">find_month(CC$6,CC$7,$G24)</f>
        <v>0</v>
      </c>
      <c r="CD24" s="20" t="b" cm="1">
        <f t="array" ref="CD24">find_month(CD$6,CD$7,$G24)</f>
        <v>0</v>
      </c>
      <c r="CE24" s="20" t="b" cm="1">
        <f t="array" ref="CE24">find_month(CE$6,CE$7,$G24)</f>
        <v>0</v>
      </c>
      <c r="CF24" s="20" t="b" cm="1">
        <f t="array" ref="CF24">find_month(CF$6,CF$7,$G24)</f>
        <v>1</v>
      </c>
      <c r="CG24" s="20" t="b" cm="1">
        <f t="array" ref="CG24">find_month(CG$6,CG$7,$G24)</f>
        <v>0</v>
      </c>
      <c r="CH24" s="20" t="b" cm="1">
        <f t="array" ref="CH24">find_month(CH$6,CH$7,$G24)</f>
        <v>0</v>
      </c>
      <c r="CI24" s="20" t="b" cm="1">
        <f t="array" ref="CI24">find_month(CI$6,CI$7,$G24)</f>
        <v>0</v>
      </c>
      <c r="CJ24" s="20" t="b" cm="1">
        <f t="array" ref="CJ24">find_month(CJ$6,CJ$7,$G24)</f>
        <v>1</v>
      </c>
      <c r="CK24" s="20" t="b" cm="1">
        <f t="array" ref="CK24">find_month(CK$6,CK$7,$G24)</f>
        <v>0</v>
      </c>
      <c r="CL24" s="20" t="b" cm="1">
        <f t="array" ref="CL24">find_month(CL$6,CL$7,$G24)</f>
        <v>0</v>
      </c>
      <c r="CM24" s="20" t="b" cm="1">
        <f t="array" ref="CM24">find_month(CM$6,CM$7,$G24)</f>
        <v>0</v>
      </c>
      <c r="CN24" s="20" t="b" cm="1">
        <f t="array" ref="CN24">find_month(CN$6,CN$7,$G24)</f>
        <v>1</v>
      </c>
      <c r="CO24" s="20" t="b" cm="1">
        <f t="array" ref="CO24">find_month(CO$6,CO$7,$G24)</f>
        <v>0</v>
      </c>
      <c r="CP24" s="20" t="b" cm="1">
        <f t="array" ref="CP24">find_month(CP$6,CP$7,$G24)</f>
        <v>0</v>
      </c>
      <c r="CQ24" s="20" t="b" cm="1">
        <f t="array" ref="CQ24">find_month(CQ$6,CQ$7,$G24)</f>
        <v>0</v>
      </c>
      <c r="CR24" s="20" t="b" cm="1">
        <f t="array" ref="CR24">find_month(CR$6,CR$7,$G24)</f>
        <v>1</v>
      </c>
      <c r="CS24" s="20" t="b" cm="1">
        <f t="array" ref="CS24">find_month(CS$6,CS$7,$G24)</f>
        <v>0</v>
      </c>
      <c r="CT24" s="20" t="b" cm="1">
        <f t="array" ref="CT24">find_month(CT$6,CT$7,$G24)</f>
        <v>0</v>
      </c>
      <c r="CU24" s="20" t="b" cm="1">
        <f t="array" ref="CU24">find_month(CU$6,CU$7,$G24)</f>
        <v>0</v>
      </c>
      <c r="CV24" s="20" t="b" cm="1">
        <f t="array" ref="CV24">find_month(CV$6,CV$7,$G24)</f>
        <v>1</v>
      </c>
      <c r="CW24" s="20" t="b" cm="1">
        <f t="array" ref="CW24">find_month(CW$6,CW$7,$G24)</f>
        <v>0</v>
      </c>
      <c r="CX24" s="20" t="b" cm="1">
        <f t="array" ref="CX24">find_month(CX$6,CX$7,$G24)</f>
        <v>0</v>
      </c>
      <c r="CY24" s="20" t="b" cm="1">
        <f t="array" ref="CY24">find_month(CY$6,CY$7,$G24)</f>
        <v>0</v>
      </c>
      <c r="CZ24" s="20" t="b" cm="1">
        <f t="array" ref="CZ24">find_month(CZ$6,CZ$7,$G24)</f>
        <v>1</v>
      </c>
      <c r="DA24" s="20" t="b" cm="1">
        <f t="array" ref="DA24">find_month(DA$6,DA$7,$G24)</f>
        <v>0</v>
      </c>
      <c r="DB24" s="20" t="b" cm="1">
        <f t="array" ref="DB24">find_month(DB$6,DB$7,$G24)</f>
        <v>0</v>
      </c>
      <c r="DC24" s="20" t="b" cm="1">
        <f t="array" ref="DC24">find_month(DC$6,DC$7,$G24)</f>
        <v>0</v>
      </c>
      <c r="DD24" s="20" t="b" cm="1">
        <f t="array" ref="DD24">find_month(DD$6,DD$7,$G24)</f>
        <v>1</v>
      </c>
      <c r="DE24" s="20" t="b" cm="1">
        <f t="array" ref="DE24">find_month(DE$6,DE$7,$G24)</f>
        <v>0</v>
      </c>
      <c r="DF24" s="20" t="b" cm="1">
        <f t="array" ref="DF24">find_month(DF$6,DF$7,$G24)</f>
        <v>0</v>
      </c>
      <c r="DG24" s="20" t="b" cm="1">
        <f t="array" ref="DG24">find_month(DG$6,DG$7,$G24)</f>
        <v>0</v>
      </c>
      <c r="DH24" s="20" t="b" cm="1">
        <f t="array" ref="DH24">find_month(DH$6,DH$7,$G24)</f>
        <v>1</v>
      </c>
      <c r="DI24" s="20" t="b" cm="1">
        <f t="array" ref="DI24">find_month(DI$6,DI$7,$G24)</f>
        <v>0</v>
      </c>
      <c r="DJ24" s="20" t="b" cm="1">
        <f t="array" ref="DJ24">find_month(DJ$6,DJ$7,$G24)</f>
        <v>0</v>
      </c>
      <c r="DK24" s="20" t="b" cm="1">
        <f t="array" ref="DK24">find_month(DK$6,DK$7,$G24)</f>
        <v>0</v>
      </c>
      <c r="DL24" s="20" t="b" cm="1">
        <f t="array" ref="DL24">find_month(DL$6,DL$7,$G24)</f>
        <v>1</v>
      </c>
      <c r="DM24" s="20" t="b" cm="1">
        <f t="array" ref="DM24">find_month(DM$6,DM$7,$G24)</f>
        <v>0</v>
      </c>
      <c r="DN24" s="20" t="b" cm="1">
        <f t="array" ref="DN24">find_month(DN$6,DN$7,$G24)</f>
        <v>0</v>
      </c>
      <c r="DO24" s="20" t="b" cm="1">
        <f t="array" ref="DO24">find_month(DO$6,DO$7,$G24)</f>
        <v>0</v>
      </c>
      <c r="DP24" s="20" t="b" cm="1">
        <f t="array" ref="DP24">find_month(DP$6,DP$7,$G24)</f>
        <v>1</v>
      </c>
      <c r="DQ24" s="20" t="b" cm="1">
        <f t="array" ref="DQ24">find_month(DQ$6,DQ$7,$G24)</f>
        <v>0</v>
      </c>
    </row>
    <row r="25" spans="3:121" x14ac:dyDescent="0.35">
      <c r="C25" s="20" t="s">
        <v>178</v>
      </c>
      <c r="F25" s="20" t="s">
        <v>171</v>
      </c>
      <c r="G25" s="45">
        <f>Assumptions!E43</f>
        <v>8</v>
      </c>
      <c r="K25" s="20" t="b" cm="1">
        <f t="array" ref="K25">find_month(K$6,K$7,$G25)</f>
        <v>0</v>
      </c>
      <c r="L25" s="20" t="b" cm="1">
        <f t="array" ref="L25">find_month(L$6,L$7,$G25)</f>
        <v>0</v>
      </c>
      <c r="M25" s="20" t="b" cm="1">
        <f t="array" ref="M25">find_month(M$6,M$7,$G25)</f>
        <v>0</v>
      </c>
      <c r="N25" s="20" t="b" cm="1">
        <f t="array" ref="N25">find_month(N$6,N$7,$G25)</f>
        <v>0</v>
      </c>
      <c r="O25" s="20" t="b" cm="1">
        <f t="array" ref="O25">find_month(O$6,O$7,$G25)</f>
        <v>0</v>
      </c>
      <c r="P25" s="20" t="b" cm="1">
        <f t="array" ref="P25">find_month(P$6,P$7,$G25)</f>
        <v>0</v>
      </c>
      <c r="Q25" s="20" t="b" cm="1">
        <f t="array" ref="Q25">find_month(Q$6,Q$7,$G25)</f>
        <v>0</v>
      </c>
      <c r="R25" s="20" t="b" cm="1">
        <f t="array" ref="R25">find_month(R$6,R$7,$G25)</f>
        <v>0</v>
      </c>
      <c r="S25" s="20" t="b" cm="1">
        <f t="array" ref="S25">find_month(S$6,S$7,$G25)</f>
        <v>0</v>
      </c>
      <c r="T25" s="20" t="b" cm="1">
        <f t="array" ref="T25">find_month(T$6,T$7,$G25)</f>
        <v>1</v>
      </c>
      <c r="U25" s="20" t="b" cm="1">
        <f t="array" ref="U25">find_month(U$6,U$7,$G25)</f>
        <v>0</v>
      </c>
      <c r="V25" s="20" t="b" cm="1">
        <f t="array" ref="V25">find_month(V$6,V$7,$G25)</f>
        <v>0</v>
      </c>
      <c r="W25" s="20" t="b" cm="1">
        <f t="array" ref="W25">find_month(W$6,W$7,$G25)</f>
        <v>0</v>
      </c>
      <c r="X25" s="20" t="b" cm="1">
        <f t="array" ref="X25">find_month(X$6,X$7,$G25)</f>
        <v>1</v>
      </c>
      <c r="Y25" s="20" t="b" cm="1">
        <f t="array" ref="Y25">find_month(Y$6,Y$7,$G25)</f>
        <v>0</v>
      </c>
      <c r="Z25" s="20" t="b" cm="1">
        <f t="array" ref="Z25">find_month(Z$6,Z$7,$G25)</f>
        <v>0</v>
      </c>
      <c r="AA25" s="20" t="b" cm="1">
        <f t="array" ref="AA25">find_month(AA$6,AA$7,$G25)</f>
        <v>0</v>
      </c>
      <c r="AB25" s="20" t="b" cm="1">
        <f t="array" ref="AB25">find_month(AB$6,AB$7,$G25)</f>
        <v>1</v>
      </c>
      <c r="AC25" s="20" t="b" cm="1">
        <f t="array" ref="AC25">find_month(AC$6,AC$7,$G25)</f>
        <v>0</v>
      </c>
      <c r="AD25" s="20" t="b" cm="1">
        <f t="array" ref="AD25">find_month(AD$6,AD$7,$G25)</f>
        <v>0</v>
      </c>
      <c r="AE25" s="20" t="b" cm="1">
        <f t="array" ref="AE25">find_month(AE$6,AE$7,$G25)</f>
        <v>0</v>
      </c>
      <c r="AF25" s="20" t="b" cm="1">
        <f t="array" ref="AF25">find_month(AF$6,AF$7,$G25)</f>
        <v>1</v>
      </c>
      <c r="AG25" s="20" t="b" cm="1">
        <f t="array" ref="AG25">find_month(AG$6,AG$7,$G25)</f>
        <v>0</v>
      </c>
      <c r="AH25" s="20" t="b" cm="1">
        <f t="array" ref="AH25">find_month(AH$6,AH$7,$G25)</f>
        <v>0</v>
      </c>
      <c r="AI25" s="20" t="b" cm="1">
        <f t="array" ref="AI25">find_month(AI$6,AI$7,$G25)</f>
        <v>0</v>
      </c>
      <c r="AJ25" s="20" t="b" cm="1">
        <f t="array" ref="AJ25">find_month(AJ$6,AJ$7,$G25)</f>
        <v>1</v>
      </c>
      <c r="AK25" s="20" t="b" cm="1">
        <f t="array" ref="AK25">find_month(AK$6,AK$7,$G25)</f>
        <v>0</v>
      </c>
      <c r="AL25" s="20" t="b" cm="1">
        <f t="array" ref="AL25">find_month(AL$6,AL$7,$G25)</f>
        <v>0</v>
      </c>
      <c r="AM25" s="20" t="b" cm="1">
        <f t="array" ref="AM25">find_month(AM$6,AM$7,$G25)</f>
        <v>0</v>
      </c>
      <c r="AN25" s="20" t="b" cm="1">
        <f t="array" ref="AN25">find_month(AN$6,AN$7,$G25)</f>
        <v>1</v>
      </c>
      <c r="AO25" s="20" t="b" cm="1">
        <f t="array" ref="AO25">find_month(AO$6,AO$7,$G25)</f>
        <v>0</v>
      </c>
      <c r="AP25" s="20" t="b" cm="1">
        <f t="array" ref="AP25">find_month(AP$6,AP$7,$G25)</f>
        <v>0</v>
      </c>
      <c r="AQ25" s="20" t="b" cm="1">
        <f t="array" ref="AQ25">find_month(AQ$6,AQ$7,$G25)</f>
        <v>0</v>
      </c>
      <c r="AR25" s="20" t="b" cm="1">
        <f t="array" ref="AR25">find_month(AR$6,AR$7,$G25)</f>
        <v>1</v>
      </c>
      <c r="AS25" s="20" t="b" cm="1">
        <f t="array" ref="AS25">find_month(AS$6,AS$7,$G25)</f>
        <v>0</v>
      </c>
      <c r="AT25" s="20" t="b" cm="1">
        <f t="array" ref="AT25">find_month(AT$6,AT$7,$G25)</f>
        <v>0</v>
      </c>
      <c r="AU25" s="20" t="b" cm="1">
        <f t="array" ref="AU25">find_month(AU$6,AU$7,$G25)</f>
        <v>0</v>
      </c>
      <c r="AV25" s="20" t="b" cm="1">
        <f t="array" ref="AV25">find_month(AV$6,AV$7,$G25)</f>
        <v>1</v>
      </c>
      <c r="AW25" s="20" t="b" cm="1">
        <f t="array" ref="AW25">find_month(AW$6,AW$7,$G25)</f>
        <v>0</v>
      </c>
      <c r="AX25" s="20" t="b" cm="1">
        <f t="array" ref="AX25">find_month(AX$6,AX$7,$G25)</f>
        <v>0</v>
      </c>
      <c r="AY25" s="20" t="b" cm="1">
        <f t="array" ref="AY25">find_month(AY$6,AY$7,$G25)</f>
        <v>0</v>
      </c>
      <c r="AZ25" s="20" t="b" cm="1">
        <f t="array" ref="AZ25">find_month(AZ$6,AZ$7,$G25)</f>
        <v>1</v>
      </c>
      <c r="BA25" s="20" t="b" cm="1">
        <f t="array" ref="BA25">find_month(BA$6,BA$7,$G25)</f>
        <v>0</v>
      </c>
      <c r="BB25" s="20" t="b" cm="1">
        <f t="array" ref="BB25">find_month(BB$6,BB$7,$G25)</f>
        <v>0</v>
      </c>
      <c r="BC25" s="20" t="b" cm="1">
        <f t="array" ref="BC25">find_month(BC$6,BC$7,$G25)</f>
        <v>0</v>
      </c>
      <c r="BD25" s="20" t="b" cm="1">
        <f t="array" ref="BD25">find_month(BD$6,BD$7,$G25)</f>
        <v>1</v>
      </c>
      <c r="BE25" s="20" t="b" cm="1">
        <f t="array" ref="BE25">find_month(BE$6,BE$7,$G25)</f>
        <v>0</v>
      </c>
      <c r="BF25" s="20" t="b" cm="1">
        <f t="array" ref="BF25">find_month(BF$6,BF$7,$G25)</f>
        <v>0</v>
      </c>
      <c r="BG25" s="20" t="b" cm="1">
        <f t="array" ref="BG25">find_month(BG$6,BG$7,$G25)</f>
        <v>0</v>
      </c>
      <c r="BH25" s="20" t="b" cm="1">
        <f t="array" ref="BH25">find_month(BH$6,BH$7,$G25)</f>
        <v>1</v>
      </c>
      <c r="BI25" s="20" t="b" cm="1">
        <f t="array" ref="BI25">find_month(BI$6,BI$7,$G25)</f>
        <v>0</v>
      </c>
      <c r="BJ25" s="20" t="b" cm="1">
        <f t="array" ref="BJ25">find_month(BJ$6,BJ$7,$G25)</f>
        <v>0</v>
      </c>
      <c r="BK25" s="20" t="b" cm="1">
        <f t="array" ref="BK25">find_month(BK$6,BK$7,$G25)</f>
        <v>0</v>
      </c>
      <c r="BL25" s="20" t="b" cm="1">
        <f t="array" ref="BL25">find_month(BL$6,BL$7,$G25)</f>
        <v>1</v>
      </c>
      <c r="BM25" s="20" t="b" cm="1">
        <f t="array" ref="BM25">find_month(BM$6,BM$7,$G25)</f>
        <v>0</v>
      </c>
      <c r="BN25" s="20" t="b" cm="1">
        <f t="array" ref="BN25">find_month(BN$6,BN$7,$G25)</f>
        <v>0</v>
      </c>
      <c r="BO25" s="20" t="b" cm="1">
        <f t="array" ref="BO25">find_month(BO$6,BO$7,$G25)</f>
        <v>0</v>
      </c>
      <c r="BP25" s="20" t="b" cm="1">
        <f t="array" ref="BP25">find_month(BP$6,BP$7,$G25)</f>
        <v>1</v>
      </c>
      <c r="BQ25" s="20" t="b" cm="1">
        <f t="array" ref="BQ25">find_month(BQ$6,BQ$7,$G25)</f>
        <v>0</v>
      </c>
      <c r="BR25" s="20" t="b" cm="1">
        <f t="array" ref="BR25">find_month(BR$6,BR$7,$G25)</f>
        <v>0</v>
      </c>
      <c r="BS25" s="20" t="b" cm="1">
        <f t="array" ref="BS25">find_month(BS$6,BS$7,$G25)</f>
        <v>0</v>
      </c>
      <c r="BT25" s="20" t="b" cm="1">
        <f t="array" ref="BT25">find_month(BT$6,BT$7,$G25)</f>
        <v>1</v>
      </c>
      <c r="BU25" s="20" t="b" cm="1">
        <f t="array" ref="BU25">find_month(BU$6,BU$7,$G25)</f>
        <v>0</v>
      </c>
      <c r="BV25" s="20" t="b" cm="1">
        <f t="array" ref="BV25">find_month(BV$6,BV$7,$G25)</f>
        <v>0</v>
      </c>
      <c r="BW25" s="20" t="b" cm="1">
        <f t="array" ref="BW25">find_month(BW$6,BW$7,$G25)</f>
        <v>0</v>
      </c>
      <c r="BX25" s="20" t="b" cm="1">
        <f t="array" ref="BX25">find_month(BX$6,BX$7,$G25)</f>
        <v>1</v>
      </c>
      <c r="BY25" s="20" t="b" cm="1">
        <f t="array" ref="BY25">find_month(BY$6,BY$7,$G25)</f>
        <v>0</v>
      </c>
      <c r="BZ25" s="20" t="b" cm="1">
        <f t="array" ref="BZ25">find_month(BZ$6,BZ$7,$G25)</f>
        <v>0</v>
      </c>
      <c r="CA25" s="20" t="b" cm="1">
        <f t="array" ref="CA25">find_month(CA$6,CA$7,$G25)</f>
        <v>0</v>
      </c>
      <c r="CB25" s="20" t="b" cm="1">
        <f t="array" ref="CB25">find_month(CB$6,CB$7,$G25)</f>
        <v>1</v>
      </c>
      <c r="CC25" s="20" t="b" cm="1">
        <f t="array" ref="CC25">find_month(CC$6,CC$7,$G25)</f>
        <v>0</v>
      </c>
      <c r="CD25" s="20" t="b" cm="1">
        <f t="array" ref="CD25">find_month(CD$6,CD$7,$G25)</f>
        <v>0</v>
      </c>
      <c r="CE25" s="20" t="b" cm="1">
        <f t="array" ref="CE25">find_month(CE$6,CE$7,$G25)</f>
        <v>0</v>
      </c>
      <c r="CF25" s="20" t="b" cm="1">
        <f t="array" ref="CF25">find_month(CF$6,CF$7,$G25)</f>
        <v>1</v>
      </c>
      <c r="CG25" s="20" t="b" cm="1">
        <f t="array" ref="CG25">find_month(CG$6,CG$7,$G25)</f>
        <v>0</v>
      </c>
      <c r="CH25" s="20" t="b" cm="1">
        <f t="array" ref="CH25">find_month(CH$6,CH$7,$G25)</f>
        <v>0</v>
      </c>
      <c r="CI25" s="20" t="b" cm="1">
        <f t="array" ref="CI25">find_month(CI$6,CI$7,$G25)</f>
        <v>0</v>
      </c>
      <c r="CJ25" s="20" t="b" cm="1">
        <f t="array" ref="CJ25">find_month(CJ$6,CJ$7,$G25)</f>
        <v>1</v>
      </c>
      <c r="CK25" s="20" t="b" cm="1">
        <f t="array" ref="CK25">find_month(CK$6,CK$7,$G25)</f>
        <v>0</v>
      </c>
      <c r="CL25" s="20" t="b" cm="1">
        <f t="array" ref="CL25">find_month(CL$6,CL$7,$G25)</f>
        <v>0</v>
      </c>
      <c r="CM25" s="20" t="b" cm="1">
        <f t="array" ref="CM25">find_month(CM$6,CM$7,$G25)</f>
        <v>0</v>
      </c>
      <c r="CN25" s="20" t="b" cm="1">
        <f t="array" ref="CN25">find_month(CN$6,CN$7,$G25)</f>
        <v>1</v>
      </c>
      <c r="CO25" s="20" t="b" cm="1">
        <f t="array" ref="CO25">find_month(CO$6,CO$7,$G25)</f>
        <v>0</v>
      </c>
      <c r="CP25" s="20" t="b" cm="1">
        <f t="array" ref="CP25">find_month(CP$6,CP$7,$G25)</f>
        <v>0</v>
      </c>
      <c r="CQ25" s="20" t="b" cm="1">
        <f t="array" ref="CQ25">find_month(CQ$6,CQ$7,$G25)</f>
        <v>0</v>
      </c>
      <c r="CR25" s="20" t="b" cm="1">
        <f t="array" ref="CR25">find_month(CR$6,CR$7,$G25)</f>
        <v>1</v>
      </c>
      <c r="CS25" s="20" t="b" cm="1">
        <f t="array" ref="CS25">find_month(CS$6,CS$7,$G25)</f>
        <v>0</v>
      </c>
      <c r="CT25" s="20" t="b" cm="1">
        <f t="array" ref="CT25">find_month(CT$6,CT$7,$G25)</f>
        <v>0</v>
      </c>
      <c r="CU25" s="20" t="b" cm="1">
        <f t="array" ref="CU25">find_month(CU$6,CU$7,$G25)</f>
        <v>0</v>
      </c>
      <c r="CV25" s="20" t="b" cm="1">
        <f t="array" ref="CV25">find_month(CV$6,CV$7,$G25)</f>
        <v>1</v>
      </c>
      <c r="CW25" s="20" t="b" cm="1">
        <f t="array" ref="CW25">find_month(CW$6,CW$7,$G25)</f>
        <v>0</v>
      </c>
      <c r="CX25" s="20" t="b" cm="1">
        <f t="array" ref="CX25">find_month(CX$6,CX$7,$G25)</f>
        <v>0</v>
      </c>
      <c r="CY25" s="20" t="b" cm="1">
        <f t="array" ref="CY25">find_month(CY$6,CY$7,$G25)</f>
        <v>0</v>
      </c>
      <c r="CZ25" s="20" t="b" cm="1">
        <f t="array" ref="CZ25">find_month(CZ$6,CZ$7,$G25)</f>
        <v>1</v>
      </c>
      <c r="DA25" s="20" t="b" cm="1">
        <f t="array" ref="DA25">find_month(DA$6,DA$7,$G25)</f>
        <v>0</v>
      </c>
      <c r="DB25" s="20" t="b" cm="1">
        <f t="array" ref="DB25">find_month(DB$6,DB$7,$G25)</f>
        <v>0</v>
      </c>
      <c r="DC25" s="20" t="b" cm="1">
        <f t="array" ref="DC25">find_month(DC$6,DC$7,$G25)</f>
        <v>0</v>
      </c>
      <c r="DD25" s="20" t="b" cm="1">
        <f t="array" ref="DD25">find_month(DD$6,DD$7,$G25)</f>
        <v>1</v>
      </c>
      <c r="DE25" s="20" t="b" cm="1">
        <f t="array" ref="DE25">find_month(DE$6,DE$7,$G25)</f>
        <v>0</v>
      </c>
      <c r="DF25" s="20" t="b" cm="1">
        <f t="array" ref="DF25">find_month(DF$6,DF$7,$G25)</f>
        <v>0</v>
      </c>
      <c r="DG25" s="20" t="b" cm="1">
        <f t="array" ref="DG25">find_month(DG$6,DG$7,$G25)</f>
        <v>0</v>
      </c>
      <c r="DH25" s="20" t="b" cm="1">
        <f t="array" ref="DH25">find_month(DH$6,DH$7,$G25)</f>
        <v>1</v>
      </c>
      <c r="DI25" s="20" t="b" cm="1">
        <f t="array" ref="DI25">find_month(DI$6,DI$7,$G25)</f>
        <v>0</v>
      </c>
      <c r="DJ25" s="20" t="b" cm="1">
        <f t="array" ref="DJ25">find_month(DJ$6,DJ$7,$G25)</f>
        <v>0</v>
      </c>
      <c r="DK25" s="20" t="b" cm="1">
        <f t="array" ref="DK25">find_month(DK$6,DK$7,$G25)</f>
        <v>0</v>
      </c>
      <c r="DL25" s="20" t="b" cm="1">
        <f t="array" ref="DL25">find_month(DL$6,DL$7,$G25)</f>
        <v>1</v>
      </c>
      <c r="DM25" s="20" t="b" cm="1">
        <f t="array" ref="DM25">find_month(DM$6,DM$7,$G25)</f>
        <v>0</v>
      </c>
      <c r="DN25" s="20" t="b" cm="1">
        <f t="array" ref="DN25">find_month(DN$6,DN$7,$G25)</f>
        <v>0</v>
      </c>
      <c r="DO25" s="20" t="b" cm="1">
        <f t="array" ref="DO25">find_month(DO$6,DO$7,$G25)</f>
        <v>0</v>
      </c>
      <c r="DP25" s="20" t="b" cm="1">
        <f t="array" ref="DP25">find_month(DP$6,DP$7,$G25)</f>
        <v>1</v>
      </c>
      <c r="DQ25" s="20" t="b" cm="1">
        <f t="array" ref="DQ25">find_month(DQ$6,DQ$7,$G25)</f>
        <v>0</v>
      </c>
    </row>
    <row r="26" spans="3:121" x14ac:dyDescent="0.35">
      <c r="C26" s="20" t="s">
        <v>179</v>
      </c>
      <c r="F26" s="20" t="s">
        <v>171</v>
      </c>
      <c r="G26" s="45">
        <f>Assumptions!E44</f>
        <v>9</v>
      </c>
      <c r="K26" s="20" t="b" cm="1">
        <f t="array" ref="K26">find_month(K$6,K$7,$G26)</f>
        <v>1</v>
      </c>
      <c r="L26" s="20" t="b" cm="1">
        <f t="array" ref="L26">find_month(L$6,L$7,$G26)</f>
        <v>0</v>
      </c>
      <c r="M26" s="20" t="b" cm="1">
        <f t="array" ref="M26">find_month(M$6,M$7,$G26)</f>
        <v>0</v>
      </c>
      <c r="N26" s="20" t="b" cm="1">
        <f t="array" ref="N26">find_month(N$6,N$7,$G26)</f>
        <v>0</v>
      </c>
      <c r="O26" s="20" t="b" cm="1">
        <f t="array" ref="O26">find_month(O$6,O$7,$G26)</f>
        <v>0</v>
      </c>
      <c r="P26" s="20" t="b" cm="1">
        <f t="array" ref="P26">find_month(P$6,P$7,$G26)</f>
        <v>0</v>
      </c>
      <c r="Q26" s="20" t="b" cm="1">
        <f t="array" ref="Q26">find_month(Q$6,Q$7,$G26)</f>
        <v>0</v>
      </c>
      <c r="R26" s="20" t="b" cm="1">
        <f t="array" ref="R26">find_month(R$6,R$7,$G26)</f>
        <v>0</v>
      </c>
      <c r="S26" s="20" t="b" cm="1">
        <f t="array" ref="S26">find_month(S$6,S$7,$G26)</f>
        <v>0</v>
      </c>
      <c r="T26" s="20" t="b" cm="1">
        <f t="array" ref="T26">find_month(T$6,T$7,$G26)</f>
        <v>0</v>
      </c>
      <c r="U26" s="20" t="b" cm="1">
        <f t="array" ref="U26">find_month(U$6,U$7,$G26)</f>
        <v>1</v>
      </c>
      <c r="V26" s="20" t="b" cm="1">
        <f t="array" ref="V26">find_month(V$6,V$7,$G26)</f>
        <v>0</v>
      </c>
      <c r="W26" s="20" t="b" cm="1">
        <f t="array" ref="W26">find_month(W$6,W$7,$G26)</f>
        <v>0</v>
      </c>
      <c r="X26" s="20" t="b" cm="1">
        <f t="array" ref="X26">find_month(X$6,X$7,$G26)</f>
        <v>0</v>
      </c>
      <c r="Y26" s="20" t="b" cm="1">
        <f t="array" ref="Y26">find_month(Y$6,Y$7,$G26)</f>
        <v>1</v>
      </c>
      <c r="Z26" s="20" t="b" cm="1">
        <f t="array" ref="Z26">find_month(Z$6,Z$7,$G26)</f>
        <v>0</v>
      </c>
      <c r="AA26" s="20" t="b" cm="1">
        <f t="array" ref="AA26">find_month(AA$6,AA$7,$G26)</f>
        <v>0</v>
      </c>
      <c r="AB26" s="20" t="b" cm="1">
        <f t="array" ref="AB26">find_month(AB$6,AB$7,$G26)</f>
        <v>0</v>
      </c>
      <c r="AC26" s="20" t="b" cm="1">
        <f t="array" ref="AC26">find_month(AC$6,AC$7,$G26)</f>
        <v>1</v>
      </c>
      <c r="AD26" s="20" t="b" cm="1">
        <f t="array" ref="AD26">find_month(AD$6,AD$7,$G26)</f>
        <v>0</v>
      </c>
      <c r="AE26" s="20" t="b" cm="1">
        <f t="array" ref="AE26">find_month(AE$6,AE$7,$G26)</f>
        <v>0</v>
      </c>
      <c r="AF26" s="20" t="b" cm="1">
        <f t="array" ref="AF26">find_month(AF$6,AF$7,$G26)</f>
        <v>0</v>
      </c>
      <c r="AG26" s="20" t="b" cm="1">
        <f t="array" ref="AG26">find_month(AG$6,AG$7,$G26)</f>
        <v>1</v>
      </c>
      <c r="AH26" s="20" t="b" cm="1">
        <f t="array" ref="AH26">find_month(AH$6,AH$7,$G26)</f>
        <v>0</v>
      </c>
      <c r="AI26" s="20" t="b" cm="1">
        <f t="array" ref="AI26">find_month(AI$6,AI$7,$G26)</f>
        <v>0</v>
      </c>
      <c r="AJ26" s="20" t="b" cm="1">
        <f t="array" ref="AJ26">find_month(AJ$6,AJ$7,$G26)</f>
        <v>0</v>
      </c>
      <c r="AK26" s="20" t="b" cm="1">
        <f t="array" ref="AK26">find_month(AK$6,AK$7,$G26)</f>
        <v>1</v>
      </c>
      <c r="AL26" s="20" t="b" cm="1">
        <f t="array" ref="AL26">find_month(AL$6,AL$7,$G26)</f>
        <v>0</v>
      </c>
      <c r="AM26" s="20" t="b" cm="1">
        <f t="array" ref="AM26">find_month(AM$6,AM$7,$G26)</f>
        <v>0</v>
      </c>
      <c r="AN26" s="20" t="b" cm="1">
        <f t="array" ref="AN26">find_month(AN$6,AN$7,$G26)</f>
        <v>0</v>
      </c>
      <c r="AO26" s="20" t="b" cm="1">
        <f t="array" ref="AO26">find_month(AO$6,AO$7,$G26)</f>
        <v>1</v>
      </c>
      <c r="AP26" s="20" t="b" cm="1">
        <f t="array" ref="AP26">find_month(AP$6,AP$7,$G26)</f>
        <v>0</v>
      </c>
      <c r="AQ26" s="20" t="b" cm="1">
        <f t="array" ref="AQ26">find_month(AQ$6,AQ$7,$G26)</f>
        <v>0</v>
      </c>
      <c r="AR26" s="20" t="b" cm="1">
        <f t="array" ref="AR26">find_month(AR$6,AR$7,$G26)</f>
        <v>0</v>
      </c>
      <c r="AS26" s="20" t="b" cm="1">
        <f t="array" ref="AS26">find_month(AS$6,AS$7,$G26)</f>
        <v>1</v>
      </c>
      <c r="AT26" s="20" t="b" cm="1">
        <f t="array" ref="AT26">find_month(AT$6,AT$7,$G26)</f>
        <v>0</v>
      </c>
      <c r="AU26" s="20" t="b" cm="1">
        <f t="array" ref="AU26">find_month(AU$6,AU$7,$G26)</f>
        <v>0</v>
      </c>
      <c r="AV26" s="20" t="b" cm="1">
        <f t="array" ref="AV26">find_month(AV$6,AV$7,$G26)</f>
        <v>0</v>
      </c>
      <c r="AW26" s="20" t="b" cm="1">
        <f t="array" ref="AW26">find_month(AW$6,AW$7,$G26)</f>
        <v>1</v>
      </c>
      <c r="AX26" s="20" t="b" cm="1">
        <f t="array" ref="AX26">find_month(AX$6,AX$7,$G26)</f>
        <v>0</v>
      </c>
      <c r="AY26" s="20" t="b" cm="1">
        <f t="array" ref="AY26">find_month(AY$6,AY$7,$G26)</f>
        <v>0</v>
      </c>
      <c r="AZ26" s="20" t="b" cm="1">
        <f t="array" ref="AZ26">find_month(AZ$6,AZ$7,$G26)</f>
        <v>0</v>
      </c>
      <c r="BA26" s="20" t="b" cm="1">
        <f t="array" ref="BA26">find_month(BA$6,BA$7,$G26)</f>
        <v>1</v>
      </c>
      <c r="BB26" s="20" t="b" cm="1">
        <f t="array" ref="BB26">find_month(BB$6,BB$7,$G26)</f>
        <v>0</v>
      </c>
      <c r="BC26" s="20" t="b" cm="1">
        <f t="array" ref="BC26">find_month(BC$6,BC$7,$G26)</f>
        <v>0</v>
      </c>
      <c r="BD26" s="20" t="b" cm="1">
        <f t="array" ref="BD26">find_month(BD$6,BD$7,$G26)</f>
        <v>0</v>
      </c>
      <c r="BE26" s="20" t="b" cm="1">
        <f t="array" ref="BE26">find_month(BE$6,BE$7,$G26)</f>
        <v>1</v>
      </c>
      <c r="BF26" s="20" t="b" cm="1">
        <f t="array" ref="BF26">find_month(BF$6,BF$7,$G26)</f>
        <v>0</v>
      </c>
      <c r="BG26" s="20" t="b" cm="1">
        <f t="array" ref="BG26">find_month(BG$6,BG$7,$G26)</f>
        <v>0</v>
      </c>
      <c r="BH26" s="20" t="b" cm="1">
        <f t="array" ref="BH26">find_month(BH$6,BH$7,$G26)</f>
        <v>0</v>
      </c>
      <c r="BI26" s="20" t="b" cm="1">
        <f t="array" ref="BI26">find_month(BI$6,BI$7,$G26)</f>
        <v>1</v>
      </c>
      <c r="BJ26" s="20" t="b" cm="1">
        <f t="array" ref="BJ26">find_month(BJ$6,BJ$7,$G26)</f>
        <v>0</v>
      </c>
      <c r="BK26" s="20" t="b" cm="1">
        <f t="array" ref="BK26">find_month(BK$6,BK$7,$G26)</f>
        <v>0</v>
      </c>
      <c r="BL26" s="20" t="b" cm="1">
        <f t="array" ref="BL26">find_month(BL$6,BL$7,$G26)</f>
        <v>0</v>
      </c>
      <c r="BM26" s="20" t="b" cm="1">
        <f t="array" ref="BM26">find_month(BM$6,BM$7,$G26)</f>
        <v>1</v>
      </c>
      <c r="BN26" s="20" t="b" cm="1">
        <f t="array" ref="BN26">find_month(BN$6,BN$7,$G26)</f>
        <v>0</v>
      </c>
      <c r="BO26" s="20" t="b" cm="1">
        <f t="array" ref="BO26">find_month(BO$6,BO$7,$G26)</f>
        <v>0</v>
      </c>
      <c r="BP26" s="20" t="b" cm="1">
        <f t="array" ref="BP26">find_month(BP$6,BP$7,$G26)</f>
        <v>0</v>
      </c>
      <c r="BQ26" s="20" t="b" cm="1">
        <f t="array" ref="BQ26">find_month(BQ$6,BQ$7,$G26)</f>
        <v>1</v>
      </c>
      <c r="BR26" s="20" t="b" cm="1">
        <f t="array" ref="BR26">find_month(BR$6,BR$7,$G26)</f>
        <v>0</v>
      </c>
      <c r="BS26" s="20" t="b" cm="1">
        <f t="array" ref="BS26">find_month(BS$6,BS$7,$G26)</f>
        <v>0</v>
      </c>
      <c r="BT26" s="20" t="b" cm="1">
        <f t="array" ref="BT26">find_month(BT$6,BT$7,$G26)</f>
        <v>0</v>
      </c>
      <c r="BU26" s="20" t="b" cm="1">
        <f t="array" ref="BU26">find_month(BU$6,BU$7,$G26)</f>
        <v>1</v>
      </c>
      <c r="BV26" s="20" t="b" cm="1">
        <f t="array" ref="BV26">find_month(BV$6,BV$7,$G26)</f>
        <v>0</v>
      </c>
      <c r="BW26" s="20" t="b" cm="1">
        <f t="array" ref="BW26">find_month(BW$6,BW$7,$G26)</f>
        <v>0</v>
      </c>
      <c r="BX26" s="20" t="b" cm="1">
        <f t="array" ref="BX26">find_month(BX$6,BX$7,$G26)</f>
        <v>0</v>
      </c>
      <c r="BY26" s="20" t="b" cm="1">
        <f t="array" ref="BY26">find_month(BY$6,BY$7,$G26)</f>
        <v>1</v>
      </c>
      <c r="BZ26" s="20" t="b" cm="1">
        <f t="array" ref="BZ26">find_month(BZ$6,BZ$7,$G26)</f>
        <v>0</v>
      </c>
      <c r="CA26" s="20" t="b" cm="1">
        <f t="array" ref="CA26">find_month(CA$6,CA$7,$G26)</f>
        <v>0</v>
      </c>
      <c r="CB26" s="20" t="b" cm="1">
        <f t="array" ref="CB26">find_month(CB$6,CB$7,$G26)</f>
        <v>0</v>
      </c>
      <c r="CC26" s="20" t="b" cm="1">
        <f t="array" ref="CC26">find_month(CC$6,CC$7,$G26)</f>
        <v>1</v>
      </c>
      <c r="CD26" s="20" t="b" cm="1">
        <f t="array" ref="CD26">find_month(CD$6,CD$7,$G26)</f>
        <v>0</v>
      </c>
      <c r="CE26" s="20" t="b" cm="1">
        <f t="array" ref="CE26">find_month(CE$6,CE$7,$G26)</f>
        <v>0</v>
      </c>
      <c r="CF26" s="20" t="b" cm="1">
        <f t="array" ref="CF26">find_month(CF$6,CF$7,$G26)</f>
        <v>0</v>
      </c>
      <c r="CG26" s="20" t="b" cm="1">
        <f t="array" ref="CG26">find_month(CG$6,CG$7,$G26)</f>
        <v>1</v>
      </c>
      <c r="CH26" s="20" t="b" cm="1">
        <f t="array" ref="CH26">find_month(CH$6,CH$7,$G26)</f>
        <v>0</v>
      </c>
      <c r="CI26" s="20" t="b" cm="1">
        <f t="array" ref="CI26">find_month(CI$6,CI$7,$G26)</f>
        <v>0</v>
      </c>
      <c r="CJ26" s="20" t="b" cm="1">
        <f t="array" ref="CJ26">find_month(CJ$6,CJ$7,$G26)</f>
        <v>0</v>
      </c>
      <c r="CK26" s="20" t="b" cm="1">
        <f t="array" ref="CK26">find_month(CK$6,CK$7,$G26)</f>
        <v>1</v>
      </c>
      <c r="CL26" s="20" t="b" cm="1">
        <f t="array" ref="CL26">find_month(CL$6,CL$7,$G26)</f>
        <v>0</v>
      </c>
      <c r="CM26" s="20" t="b" cm="1">
        <f t="array" ref="CM26">find_month(CM$6,CM$7,$G26)</f>
        <v>0</v>
      </c>
      <c r="CN26" s="20" t="b" cm="1">
        <f t="array" ref="CN26">find_month(CN$6,CN$7,$G26)</f>
        <v>0</v>
      </c>
      <c r="CO26" s="20" t="b" cm="1">
        <f t="array" ref="CO26">find_month(CO$6,CO$7,$G26)</f>
        <v>1</v>
      </c>
      <c r="CP26" s="20" t="b" cm="1">
        <f t="array" ref="CP26">find_month(CP$6,CP$7,$G26)</f>
        <v>0</v>
      </c>
      <c r="CQ26" s="20" t="b" cm="1">
        <f t="array" ref="CQ26">find_month(CQ$6,CQ$7,$G26)</f>
        <v>0</v>
      </c>
      <c r="CR26" s="20" t="b" cm="1">
        <f t="array" ref="CR26">find_month(CR$6,CR$7,$G26)</f>
        <v>0</v>
      </c>
      <c r="CS26" s="20" t="b" cm="1">
        <f t="array" ref="CS26">find_month(CS$6,CS$7,$G26)</f>
        <v>1</v>
      </c>
      <c r="CT26" s="20" t="b" cm="1">
        <f t="array" ref="CT26">find_month(CT$6,CT$7,$G26)</f>
        <v>0</v>
      </c>
      <c r="CU26" s="20" t="b" cm="1">
        <f t="array" ref="CU26">find_month(CU$6,CU$7,$G26)</f>
        <v>0</v>
      </c>
      <c r="CV26" s="20" t="b" cm="1">
        <f t="array" ref="CV26">find_month(CV$6,CV$7,$G26)</f>
        <v>0</v>
      </c>
      <c r="CW26" s="20" t="b" cm="1">
        <f t="array" ref="CW26">find_month(CW$6,CW$7,$G26)</f>
        <v>1</v>
      </c>
      <c r="CX26" s="20" t="b" cm="1">
        <f t="array" ref="CX26">find_month(CX$6,CX$7,$G26)</f>
        <v>0</v>
      </c>
      <c r="CY26" s="20" t="b" cm="1">
        <f t="array" ref="CY26">find_month(CY$6,CY$7,$G26)</f>
        <v>0</v>
      </c>
      <c r="CZ26" s="20" t="b" cm="1">
        <f t="array" ref="CZ26">find_month(CZ$6,CZ$7,$G26)</f>
        <v>0</v>
      </c>
      <c r="DA26" s="20" t="b" cm="1">
        <f t="array" ref="DA26">find_month(DA$6,DA$7,$G26)</f>
        <v>1</v>
      </c>
      <c r="DB26" s="20" t="b" cm="1">
        <f t="array" ref="DB26">find_month(DB$6,DB$7,$G26)</f>
        <v>0</v>
      </c>
      <c r="DC26" s="20" t="b" cm="1">
        <f t="array" ref="DC26">find_month(DC$6,DC$7,$G26)</f>
        <v>0</v>
      </c>
      <c r="DD26" s="20" t="b" cm="1">
        <f t="array" ref="DD26">find_month(DD$6,DD$7,$G26)</f>
        <v>0</v>
      </c>
      <c r="DE26" s="20" t="b" cm="1">
        <f t="array" ref="DE26">find_month(DE$6,DE$7,$G26)</f>
        <v>1</v>
      </c>
      <c r="DF26" s="20" t="b" cm="1">
        <f t="array" ref="DF26">find_month(DF$6,DF$7,$G26)</f>
        <v>0</v>
      </c>
      <c r="DG26" s="20" t="b" cm="1">
        <f t="array" ref="DG26">find_month(DG$6,DG$7,$G26)</f>
        <v>0</v>
      </c>
      <c r="DH26" s="20" t="b" cm="1">
        <f t="array" ref="DH26">find_month(DH$6,DH$7,$G26)</f>
        <v>0</v>
      </c>
      <c r="DI26" s="20" t="b" cm="1">
        <f t="array" ref="DI26">find_month(DI$6,DI$7,$G26)</f>
        <v>1</v>
      </c>
      <c r="DJ26" s="20" t="b" cm="1">
        <f t="array" ref="DJ26">find_month(DJ$6,DJ$7,$G26)</f>
        <v>0</v>
      </c>
      <c r="DK26" s="20" t="b" cm="1">
        <f t="array" ref="DK26">find_month(DK$6,DK$7,$G26)</f>
        <v>0</v>
      </c>
      <c r="DL26" s="20" t="b" cm="1">
        <f t="array" ref="DL26">find_month(DL$6,DL$7,$G26)</f>
        <v>0</v>
      </c>
      <c r="DM26" s="20" t="b" cm="1">
        <f t="array" ref="DM26">find_month(DM$6,DM$7,$G26)</f>
        <v>1</v>
      </c>
      <c r="DN26" s="20" t="b" cm="1">
        <f t="array" ref="DN26">find_month(DN$6,DN$7,$G26)</f>
        <v>0</v>
      </c>
      <c r="DO26" s="20" t="b" cm="1">
        <f t="array" ref="DO26">find_month(DO$6,DO$7,$G26)</f>
        <v>0</v>
      </c>
      <c r="DP26" s="20" t="b" cm="1">
        <f t="array" ref="DP26">find_month(DP$6,DP$7,$G26)</f>
        <v>0</v>
      </c>
      <c r="DQ26" s="20" t="b" cm="1">
        <f t="array" ref="DQ26">find_month(DQ$6,DQ$7,$G26)</f>
        <v>1</v>
      </c>
    </row>
    <row r="27" spans="3:121" x14ac:dyDescent="0.35">
      <c r="C27" s="20" t="s">
        <v>180</v>
      </c>
      <c r="F27" s="20" t="s">
        <v>171</v>
      </c>
      <c r="G27" s="45">
        <f>Assumptions!E45</f>
        <v>10</v>
      </c>
      <c r="K27" s="20" t="b" cm="1">
        <f t="array" ref="K27">find_month(K$6,K$7,$G27)</f>
        <v>0</v>
      </c>
      <c r="L27" s="20" t="b" cm="1">
        <f t="array" ref="L27">find_month(L$6,L$7,$G27)</f>
        <v>1</v>
      </c>
      <c r="M27" s="20" t="b" cm="1">
        <f t="array" ref="M27">find_month(M$6,M$7,$G27)</f>
        <v>0</v>
      </c>
      <c r="N27" s="20" t="b" cm="1">
        <f t="array" ref="N27">find_month(N$6,N$7,$G27)</f>
        <v>0</v>
      </c>
      <c r="O27" s="20" t="b" cm="1">
        <f t="array" ref="O27">find_month(O$6,O$7,$G27)</f>
        <v>0</v>
      </c>
      <c r="P27" s="20" t="b" cm="1">
        <f t="array" ref="P27">find_month(P$6,P$7,$G27)</f>
        <v>0</v>
      </c>
      <c r="Q27" s="20" t="b" cm="1">
        <f t="array" ref="Q27">find_month(Q$6,Q$7,$G27)</f>
        <v>0</v>
      </c>
      <c r="R27" s="20" t="b" cm="1">
        <f t="array" ref="R27">find_month(R$6,R$7,$G27)</f>
        <v>0</v>
      </c>
      <c r="S27" s="20" t="b" cm="1">
        <f t="array" ref="S27">find_month(S$6,S$7,$G27)</f>
        <v>0</v>
      </c>
      <c r="T27" s="20" t="b" cm="1">
        <f t="array" ref="T27">find_month(T$6,T$7,$G27)</f>
        <v>0</v>
      </c>
      <c r="U27" s="20" t="b" cm="1">
        <f t="array" ref="U27">find_month(U$6,U$7,$G27)</f>
        <v>1</v>
      </c>
      <c r="V27" s="20" t="b" cm="1">
        <f t="array" ref="V27">find_month(V$6,V$7,$G27)</f>
        <v>0</v>
      </c>
      <c r="W27" s="20" t="b" cm="1">
        <f t="array" ref="W27">find_month(W$6,W$7,$G27)</f>
        <v>0</v>
      </c>
      <c r="X27" s="20" t="b" cm="1">
        <f t="array" ref="X27">find_month(X$6,X$7,$G27)</f>
        <v>0</v>
      </c>
      <c r="Y27" s="20" t="b" cm="1">
        <f t="array" ref="Y27">find_month(Y$6,Y$7,$G27)</f>
        <v>1</v>
      </c>
      <c r="Z27" s="20" t="b" cm="1">
        <f t="array" ref="Z27">find_month(Z$6,Z$7,$G27)</f>
        <v>0</v>
      </c>
      <c r="AA27" s="20" t="b" cm="1">
        <f t="array" ref="AA27">find_month(AA$6,AA$7,$G27)</f>
        <v>0</v>
      </c>
      <c r="AB27" s="20" t="b" cm="1">
        <f t="array" ref="AB27">find_month(AB$6,AB$7,$G27)</f>
        <v>0</v>
      </c>
      <c r="AC27" s="20" t="b" cm="1">
        <f t="array" ref="AC27">find_month(AC$6,AC$7,$G27)</f>
        <v>1</v>
      </c>
      <c r="AD27" s="20" t="b" cm="1">
        <f t="array" ref="AD27">find_month(AD$6,AD$7,$G27)</f>
        <v>0</v>
      </c>
      <c r="AE27" s="20" t="b" cm="1">
        <f t="array" ref="AE27">find_month(AE$6,AE$7,$G27)</f>
        <v>0</v>
      </c>
      <c r="AF27" s="20" t="b" cm="1">
        <f t="array" ref="AF27">find_month(AF$6,AF$7,$G27)</f>
        <v>0</v>
      </c>
      <c r="AG27" s="20" t="b" cm="1">
        <f t="array" ref="AG27">find_month(AG$6,AG$7,$G27)</f>
        <v>1</v>
      </c>
      <c r="AH27" s="20" t="b" cm="1">
        <f t="array" ref="AH27">find_month(AH$6,AH$7,$G27)</f>
        <v>0</v>
      </c>
      <c r="AI27" s="20" t="b" cm="1">
        <f t="array" ref="AI27">find_month(AI$6,AI$7,$G27)</f>
        <v>0</v>
      </c>
      <c r="AJ27" s="20" t="b" cm="1">
        <f t="array" ref="AJ27">find_month(AJ$6,AJ$7,$G27)</f>
        <v>0</v>
      </c>
      <c r="AK27" s="20" t="b" cm="1">
        <f t="array" ref="AK27">find_month(AK$6,AK$7,$G27)</f>
        <v>1</v>
      </c>
      <c r="AL27" s="20" t="b" cm="1">
        <f t="array" ref="AL27">find_month(AL$6,AL$7,$G27)</f>
        <v>0</v>
      </c>
      <c r="AM27" s="20" t="b" cm="1">
        <f t="array" ref="AM27">find_month(AM$6,AM$7,$G27)</f>
        <v>0</v>
      </c>
      <c r="AN27" s="20" t="b" cm="1">
        <f t="array" ref="AN27">find_month(AN$6,AN$7,$G27)</f>
        <v>0</v>
      </c>
      <c r="AO27" s="20" t="b" cm="1">
        <f t="array" ref="AO27">find_month(AO$6,AO$7,$G27)</f>
        <v>1</v>
      </c>
      <c r="AP27" s="20" t="b" cm="1">
        <f t="array" ref="AP27">find_month(AP$6,AP$7,$G27)</f>
        <v>0</v>
      </c>
      <c r="AQ27" s="20" t="b" cm="1">
        <f t="array" ref="AQ27">find_month(AQ$6,AQ$7,$G27)</f>
        <v>0</v>
      </c>
      <c r="AR27" s="20" t="b" cm="1">
        <f t="array" ref="AR27">find_month(AR$6,AR$7,$G27)</f>
        <v>0</v>
      </c>
      <c r="AS27" s="20" t="b" cm="1">
        <f t="array" ref="AS27">find_month(AS$6,AS$7,$G27)</f>
        <v>1</v>
      </c>
      <c r="AT27" s="20" t="b" cm="1">
        <f t="array" ref="AT27">find_month(AT$6,AT$7,$G27)</f>
        <v>0</v>
      </c>
      <c r="AU27" s="20" t="b" cm="1">
        <f t="array" ref="AU27">find_month(AU$6,AU$7,$G27)</f>
        <v>0</v>
      </c>
      <c r="AV27" s="20" t="b" cm="1">
        <f t="array" ref="AV27">find_month(AV$6,AV$7,$G27)</f>
        <v>0</v>
      </c>
      <c r="AW27" s="20" t="b" cm="1">
        <f t="array" ref="AW27">find_month(AW$6,AW$7,$G27)</f>
        <v>1</v>
      </c>
      <c r="AX27" s="20" t="b" cm="1">
        <f t="array" ref="AX27">find_month(AX$6,AX$7,$G27)</f>
        <v>0</v>
      </c>
      <c r="AY27" s="20" t="b" cm="1">
        <f t="array" ref="AY27">find_month(AY$6,AY$7,$G27)</f>
        <v>0</v>
      </c>
      <c r="AZ27" s="20" t="b" cm="1">
        <f t="array" ref="AZ27">find_month(AZ$6,AZ$7,$G27)</f>
        <v>0</v>
      </c>
      <c r="BA27" s="20" t="b" cm="1">
        <f t="array" ref="BA27">find_month(BA$6,BA$7,$G27)</f>
        <v>1</v>
      </c>
      <c r="BB27" s="20" t="b" cm="1">
        <f t="array" ref="BB27">find_month(BB$6,BB$7,$G27)</f>
        <v>0</v>
      </c>
      <c r="BC27" s="20" t="b" cm="1">
        <f t="array" ref="BC27">find_month(BC$6,BC$7,$G27)</f>
        <v>0</v>
      </c>
      <c r="BD27" s="20" t="b" cm="1">
        <f t="array" ref="BD27">find_month(BD$6,BD$7,$G27)</f>
        <v>0</v>
      </c>
      <c r="BE27" s="20" t="b" cm="1">
        <f t="array" ref="BE27">find_month(BE$6,BE$7,$G27)</f>
        <v>1</v>
      </c>
      <c r="BF27" s="20" t="b" cm="1">
        <f t="array" ref="BF27">find_month(BF$6,BF$7,$G27)</f>
        <v>0</v>
      </c>
      <c r="BG27" s="20" t="b" cm="1">
        <f t="array" ref="BG27">find_month(BG$6,BG$7,$G27)</f>
        <v>0</v>
      </c>
      <c r="BH27" s="20" t="b" cm="1">
        <f t="array" ref="BH27">find_month(BH$6,BH$7,$G27)</f>
        <v>0</v>
      </c>
      <c r="BI27" s="20" t="b" cm="1">
        <f t="array" ref="BI27">find_month(BI$6,BI$7,$G27)</f>
        <v>1</v>
      </c>
      <c r="BJ27" s="20" t="b" cm="1">
        <f t="array" ref="BJ27">find_month(BJ$6,BJ$7,$G27)</f>
        <v>0</v>
      </c>
      <c r="BK27" s="20" t="b" cm="1">
        <f t="array" ref="BK27">find_month(BK$6,BK$7,$G27)</f>
        <v>0</v>
      </c>
      <c r="BL27" s="20" t="b" cm="1">
        <f t="array" ref="BL27">find_month(BL$6,BL$7,$G27)</f>
        <v>0</v>
      </c>
      <c r="BM27" s="20" t="b" cm="1">
        <f t="array" ref="BM27">find_month(BM$6,BM$7,$G27)</f>
        <v>1</v>
      </c>
      <c r="BN27" s="20" t="b" cm="1">
        <f t="array" ref="BN27">find_month(BN$6,BN$7,$G27)</f>
        <v>0</v>
      </c>
      <c r="BO27" s="20" t="b" cm="1">
        <f t="array" ref="BO27">find_month(BO$6,BO$7,$G27)</f>
        <v>0</v>
      </c>
      <c r="BP27" s="20" t="b" cm="1">
        <f t="array" ref="BP27">find_month(BP$6,BP$7,$G27)</f>
        <v>0</v>
      </c>
      <c r="BQ27" s="20" t="b" cm="1">
        <f t="array" ref="BQ27">find_month(BQ$6,BQ$7,$G27)</f>
        <v>1</v>
      </c>
      <c r="BR27" s="20" t="b" cm="1">
        <f t="array" ref="BR27">find_month(BR$6,BR$7,$G27)</f>
        <v>0</v>
      </c>
      <c r="BS27" s="20" t="b" cm="1">
        <f t="array" ref="BS27">find_month(BS$6,BS$7,$G27)</f>
        <v>0</v>
      </c>
      <c r="BT27" s="20" t="b" cm="1">
        <f t="array" ref="BT27">find_month(BT$6,BT$7,$G27)</f>
        <v>0</v>
      </c>
      <c r="BU27" s="20" t="b" cm="1">
        <f t="array" ref="BU27">find_month(BU$6,BU$7,$G27)</f>
        <v>1</v>
      </c>
      <c r="BV27" s="20" t="b" cm="1">
        <f t="array" ref="BV27">find_month(BV$6,BV$7,$G27)</f>
        <v>0</v>
      </c>
      <c r="BW27" s="20" t="b" cm="1">
        <f t="array" ref="BW27">find_month(BW$6,BW$7,$G27)</f>
        <v>0</v>
      </c>
      <c r="BX27" s="20" t="b" cm="1">
        <f t="array" ref="BX27">find_month(BX$6,BX$7,$G27)</f>
        <v>0</v>
      </c>
      <c r="BY27" s="20" t="b" cm="1">
        <f t="array" ref="BY27">find_month(BY$6,BY$7,$G27)</f>
        <v>1</v>
      </c>
      <c r="BZ27" s="20" t="b" cm="1">
        <f t="array" ref="BZ27">find_month(BZ$6,BZ$7,$G27)</f>
        <v>0</v>
      </c>
      <c r="CA27" s="20" t="b" cm="1">
        <f t="array" ref="CA27">find_month(CA$6,CA$7,$G27)</f>
        <v>0</v>
      </c>
      <c r="CB27" s="20" t="b" cm="1">
        <f t="array" ref="CB27">find_month(CB$6,CB$7,$G27)</f>
        <v>0</v>
      </c>
      <c r="CC27" s="20" t="b" cm="1">
        <f t="array" ref="CC27">find_month(CC$6,CC$7,$G27)</f>
        <v>1</v>
      </c>
      <c r="CD27" s="20" t="b" cm="1">
        <f t="array" ref="CD27">find_month(CD$6,CD$7,$G27)</f>
        <v>0</v>
      </c>
      <c r="CE27" s="20" t="b" cm="1">
        <f t="array" ref="CE27">find_month(CE$6,CE$7,$G27)</f>
        <v>0</v>
      </c>
      <c r="CF27" s="20" t="b" cm="1">
        <f t="array" ref="CF27">find_month(CF$6,CF$7,$G27)</f>
        <v>0</v>
      </c>
      <c r="CG27" s="20" t="b" cm="1">
        <f t="array" ref="CG27">find_month(CG$6,CG$7,$G27)</f>
        <v>1</v>
      </c>
      <c r="CH27" s="20" t="b" cm="1">
        <f t="array" ref="CH27">find_month(CH$6,CH$7,$G27)</f>
        <v>0</v>
      </c>
      <c r="CI27" s="20" t="b" cm="1">
        <f t="array" ref="CI27">find_month(CI$6,CI$7,$G27)</f>
        <v>0</v>
      </c>
      <c r="CJ27" s="20" t="b" cm="1">
        <f t="array" ref="CJ27">find_month(CJ$6,CJ$7,$G27)</f>
        <v>0</v>
      </c>
      <c r="CK27" s="20" t="b" cm="1">
        <f t="array" ref="CK27">find_month(CK$6,CK$7,$G27)</f>
        <v>1</v>
      </c>
      <c r="CL27" s="20" t="b" cm="1">
        <f t="array" ref="CL27">find_month(CL$6,CL$7,$G27)</f>
        <v>0</v>
      </c>
      <c r="CM27" s="20" t="b" cm="1">
        <f t="array" ref="CM27">find_month(CM$6,CM$7,$G27)</f>
        <v>0</v>
      </c>
      <c r="CN27" s="20" t="b" cm="1">
        <f t="array" ref="CN27">find_month(CN$6,CN$7,$G27)</f>
        <v>0</v>
      </c>
      <c r="CO27" s="20" t="b" cm="1">
        <f t="array" ref="CO27">find_month(CO$6,CO$7,$G27)</f>
        <v>1</v>
      </c>
      <c r="CP27" s="20" t="b" cm="1">
        <f t="array" ref="CP27">find_month(CP$6,CP$7,$G27)</f>
        <v>0</v>
      </c>
      <c r="CQ27" s="20" t="b" cm="1">
        <f t="array" ref="CQ27">find_month(CQ$6,CQ$7,$G27)</f>
        <v>0</v>
      </c>
      <c r="CR27" s="20" t="b" cm="1">
        <f t="array" ref="CR27">find_month(CR$6,CR$7,$G27)</f>
        <v>0</v>
      </c>
      <c r="CS27" s="20" t="b" cm="1">
        <f t="array" ref="CS27">find_month(CS$6,CS$7,$G27)</f>
        <v>1</v>
      </c>
      <c r="CT27" s="20" t="b" cm="1">
        <f t="array" ref="CT27">find_month(CT$6,CT$7,$G27)</f>
        <v>0</v>
      </c>
      <c r="CU27" s="20" t="b" cm="1">
        <f t="array" ref="CU27">find_month(CU$6,CU$7,$G27)</f>
        <v>0</v>
      </c>
      <c r="CV27" s="20" t="b" cm="1">
        <f t="array" ref="CV27">find_month(CV$6,CV$7,$G27)</f>
        <v>0</v>
      </c>
      <c r="CW27" s="20" t="b" cm="1">
        <f t="array" ref="CW27">find_month(CW$6,CW$7,$G27)</f>
        <v>1</v>
      </c>
      <c r="CX27" s="20" t="b" cm="1">
        <f t="array" ref="CX27">find_month(CX$6,CX$7,$G27)</f>
        <v>0</v>
      </c>
      <c r="CY27" s="20" t="b" cm="1">
        <f t="array" ref="CY27">find_month(CY$6,CY$7,$G27)</f>
        <v>0</v>
      </c>
      <c r="CZ27" s="20" t="b" cm="1">
        <f t="array" ref="CZ27">find_month(CZ$6,CZ$7,$G27)</f>
        <v>0</v>
      </c>
      <c r="DA27" s="20" t="b" cm="1">
        <f t="array" ref="DA27">find_month(DA$6,DA$7,$G27)</f>
        <v>1</v>
      </c>
      <c r="DB27" s="20" t="b" cm="1">
        <f t="array" ref="DB27">find_month(DB$6,DB$7,$G27)</f>
        <v>0</v>
      </c>
      <c r="DC27" s="20" t="b" cm="1">
        <f t="array" ref="DC27">find_month(DC$6,DC$7,$G27)</f>
        <v>0</v>
      </c>
      <c r="DD27" s="20" t="b" cm="1">
        <f t="array" ref="DD27">find_month(DD$6,DD$7,$G27)</f>
        <v>0</v>
      </c>
      <c r="DE27" s="20" t="b" cm="1">
        <f t="array" ref="DE27">find_month(DE$6,DE$7,$G27)</f>
        <v>1</v>
      </c>
      <c r="DF27" s="20" t="b" cm="1">
        <f t="array" ref="DF27">find_month(DF$6,DF$7,$G27)</f>
        <v>0</v>
      </c>
      <c r="DG27" s="20" t="b" cm="1">
        <f t="array" ref="DG27">find_month(DG$6,DG$7,$G27)</f>
        <v>0</v>
      </c>
      <c r="DH27" s="20" t="b" cm="1">
        <f t="array" ref="DH27">find_month(DH$6,DH$7,$G27)</f>
        <v>0</v>
      </c>
      <c r="DI27" s="20" t="b" cm="1">
        <f t="array" ref="DI27">find_month(DI$6,DI$7,$G27)</f>
        <v>1</v>
      </c>
      <c r="DJ27" s="20" t="b" cm="1">
        <f t="array" ref="DJ27">find_month(DJ$6,DJ$7,$G27)</f>
        <v>0</v>
      </c>
      <c r="DK27" s="20" t="b" cm="1">
        <f t="array" ref="DK27">find_month(DK$6,DK$7,$G27)</f>
        <v>0</v>
      </c>
      <c r="DL27" s="20" t="b" cm="1">
        <f t="array" ref="DL27">find_month(DL$6,DL$7,$G27)</f>
        <v>0</v>
      </c>
      <c r="DM27" s="20" t="b" cm="1">
        <f t="array" ref="DM27">find_month(DM$6,DM$7,$G27)</f>
        <v>1</v>
      </c>
      <c r="DN27" s="20" t="b" cm="1">
        <f t="array" ref="DN27">find_month(DN$6,DN$7,$G27)</f>
        <v>0</v>
      </c>
      <c r="DO27" s="20" t="b" cm="1">
        <f t="array" ref="DO27">find_month(DO$6,DO$7,$G27)</f>
        <v>0</v>
      </c>
      <c r="DP27" s="20" t="b" cm="1">
        <f t="array" ref="DP27">find_month(DP$6,DP$7,$G27)</f>
        <v>0</v>
      </c>
      <c r="DQ27" s="20" t="b" cm="1">
        <f t="array" ref="DQ27">find_month(DQ$6,DQ$7,$G27)</f>
        <v>1</v>
      </c>
    </row>
    <row r="28" spans="3:121" x14ac:dyDescent="0.35">
      <c r="C28" s="20" t="s">
        <v>181</v>
      </c>
      <c r="F28" s="20" t="s">
        <v>171</v>
      </c>
      <c r="G28" s="45">
        <f>Assumptions!E46</f>
        <v>11</v>
      </c>
      <c r="K28" s="20" t="b" cm="1">
        <f t="array" ref="K28">find_month(K$6,K$7,$G28)</f>
        <v>0</v>
      </c>
      <c r="L28" s="20" t="b" cm="1">
        <f t="array" ref="L28">find_month(L$6,L$7,$G28)</f>
        <v>0</v>
      </c>
      <c r="M28" s="20" t="b" cm="1">
        <f t="array" ref="M28">find_month(M$6,M$7,$G28)</f>
        <v>1</v>
      </c>
      <c r="N28" s="20" t="b" cm="1">
        <f t="array" ref="N28">find_month(N$6,N$7,$G28)</f>
        <v>0</v>
      </c>
      <c r="O28" s="20" t="b" cm="1">
        <f t="array" ref="O28">find_month(O$6,O$7,$G28)</f>
        <v>0</v>
      </c>
      <c r="P28" s="20" t="b" cm="1">
        <f t="array" ref="P28">find_month(P$6,P$7,$G28)</f>
        <v>0</v>
      </c>
      <c r="Q28" s="20" t="b" cm="1">
        <f t="array" ref="Q28">find_month(Q$6,Q$7,$G28)</f>
        <v>0</v>
      </c>
      <c r="R28" s="20" t="b" cm="1">
        <f t="array" ref="R28">find_month(R$6,R$7,$G28)</f>
        <v>0</v>
      </c>
      <c r="S28" s="20" t="b" cm="1">
        <f t="array" ref="S28">find_month(S$6,S$7,$G28)</f>
        <v>0</v>
      </c>
      <c r="T28" s="20" t="b" cm="1">
        <f t="array" ref="T28">find_month(T$6,T$7,$G28)</f>
        <v>0</v>
      </c>
      <c r="U28" s="20" t="b" cm="1">
        <f t="array" ref="U28">find_month(U$6,U$7,$G28)</f>
        <v>1</v>
      </c>
      <c r="V28" s="20" t="b" cm="1">
        <f t="array" ref="V28">find_month(V$6,V$7,$G28)</f>
        <v>0</v>
      </c>
      <c r="W28" s="20" t="b" cm="1">
        <f t="array" ref="W28">find_month(W$6,W$7,$G28)</f>
        <v>0</v>
      </c>
      <c r="X28" s="20" t="b" cm="1">
        <f t="array" ref="X28">find_month(X$6,X$7,$G28)</f>
        <v>0</v>
      </c>
      <c r="Y28" s="20" t="b" cm="1">
        <f t="array" ref="Y28">find_month(Y$6,Y$7,$G28)</f>
        <v>1</v>
      </c>
      <c r="Z28" s="20" t="b" cm="1">
        <f t="array" ref="Z28">find_month(Z$6,Z$7,$G28)</f>
        <v>0</v>
      </c>
      <c r="AA28" s="20" t="b" cm="1">
        <f t="array" ref="AA28">find_month(AA$6,AA$7,$G28)</f>
        <v>0</v>
      </c>
      <c r="AB28" s="20" t="b" cm="1">
        <f t="array" ref="AB28">find_month(AB$6,AB$7,$G28)</f>
        <v>0</v>
      </c>
      <c r="AC28" s="20" t="b" cm="1">
        <f t="array" ref="AC28">find_month(AC$6,AC$7,$G28)</f>
        <v>1</v>
      </c>
      <c r="AD28" s="20" t="b" cm="1">
        <f t="array" ref="AD28">find_month(AD$6,AD$7,$G28)</f>
        <v>0</v>
      </c>
      <c r="AE28" s="20" t="b" cm="1">
        <f t="array" ref="AE28">find_month(AE$6,AE$7,$G28)</f>
        <v>0</v>
      </c>
      <c r="AF28" s="20" t="b" cm="1">
        <f t="array" ref="AF28">find_month(AF$6,AF$7,$G28)</f>
        <v>0</v>
      </c>
      <c r="AG28" s="20" t="b" cm="1">
        <f t="array" ref="AG28">find_month(AG$6,AG$7,$G28)</f>
        <v>1</v>
      </c>
      <c r="AH28" s="20" t="b" cm="1">
        <f t="array" ref="AH28">find_month(AH$6,AH$7,$G28)</f>
        <v>0</v>
      </c>
      <c r="AI28" s="20" t="b" cm="1">
        <f t="array" ref="AI28">find_month(AI$6,AI$7,$G28)</f>
        <v>0</v>
      </c>
      <c r="AJ28" s="20" t="b" cm="1">
        <f t="array" ref="AJ28">find_month(AJ$6,AJ$7,$G28)</f>
        <v>0</v>
      </c>
      <c r="AK28" s="20" t="b" cm="1">
        <f t="array" ref="AK28">find_month(AK$6,AK$7,$G28)</f>
        <v>1</v>
      </c>
      <c r="AL28" s="20" t="b" cm="1">
        <f t="array" ref="AL28">find_month(AL$6,AL$7,$G28)</f>
        <v>0</v>
      </c>
      <c r="AM28" s="20" t="b" cm="1">
        <f t="array" ref="AM28">find_month(AM$6,AM$7,$G28)</f>
        <v>0</v>
      </c>
      <c r="AN28" s="20" t="b" cm="1">
        <f t="array" ref="AN28">find_month(AN$6,AN$7,$G28)</f>
        <v>0</v>
      </c>
      <c r="AO28" s="20" t="b" cm="1">
        <f t="array" ref="AO28">find_month(AO$6,AO$7,$G28)</f>
        <v>1</v>
      </c>
      <c r="AP28" s="20" t="b" cm="1">
        <f t="array" ref="AP28">find_month(AP$6,AP$7,$G28)</f>
        <v>0</v>
      </c>
      <c r="AQ28" s="20" t="b" cm="1">
        <f t="array" ref="AQ28">find_month(AQ$6,AQ$7,$G28)</f>
        <v>0</v>
      </c>
      <c r="AR28" s="20" t="b" cm="1">
        <f t="array" ref="AR28">find_month(AR$6,AR$7,$G28)</f>
        <v>0</v>
      </c>
      <c r="AS28" s="20" t="b" cm="1">
        <f t="array" ref="AS28">find_month(AS$6,AS$7,$G28)</f>
        <v>1</v>
      </c>
      <c r="AT28" s="20" t="b" cm="1">
        <f t="array" ref="AT28">find_month(AT$6,AT$7,$G28)</f>
        <v>0</v>
      </c>
      <c r="AU28" s="20" t="b" cm="1">
        <f t="array" ref="AU28">find_month(AU$6,AU$7,$G28)</f>
        <v>0</v>
      </c>
      <c r="AV28" s="20" t="b" cm="1">
        <f t="array" ref="AV28">find_month(AV$6,AV$7,$G28)</f>
        <v>0</v>
      </c>
      <c r="AW28" s="20" t="b" cm="1">
        <f t="array" ref="AW28">find_month(AW$6,AW$7,$G28)</f>
        <v>1</v>
      </c>
      <c r="AX28" s="20" t="b" cm="1">
        <f t="array" ref="AX28">find_month(AX$6,AX$7,$G28)</f>
        <v>0</v>
      </c>
      <c r="AY28" s="20" t="b" cm="1">
        <f t="array" ref="AY28">find_month(AY$6,AY$7,$G28)</f>
        <v>0</v>
      </c>
      <c r="AZ28" s="20" t="b" cm="1">
        <f t="array" ref="AZ28">find_month(AZ$6,AZ$7,$G28)</f>
        <v>0</v>
      </c>
      <c r="BA28" s="20" t="b" cm="1">
        <f t="array" ref="BA28">find_month(BA$6,BA$7,$G28)</f>
        <v>1</v>
      </c>
      <c r="BB28" s="20" t="b" cm="1">
        <f t="array" ref="BB28">find_month(BB$6,BB$7,$G28)</f>
        <v>0</v>
      </c>
      <c r="BC28" s="20" t="b" cm="1">
        <f t="array" ref="BC28">find_month(BC$6,BC$7,$G28)</f>
        <v>0</v>
      </c>
      <c r="BD28" s="20" t="b" cm="1">
        <f t="array" ref="BD28">find_month(BD$6,BD$7,$G28)</f>
        <v>0</v>
      </c>
      <c r="BE28" s="20" t="b" cm="1">
        <f t="array" ref="BE28">find_month(BE$6,BE$7,$G28)</f>
        <v>1</v>
      </c>
      <c r="BF28" s="20" t="b" cm="1">
        <f t="array" ref="BF28">find_month(BF$6,BF$7,$G28)</f>
        <v>0</v>
      </c>
      <c r="BG28" s="20" t="b" cm="1">
        <f t="array" ref="BG28">find_month(BG$6,BG$7,$G28)</f>
        <v>0</v>
      </c>
      <c r="BH28" s="20" t="b" cm="1">
        <f t="array" ref="BH28">find_month(BH$6,BH$7,$G28)</f>
        <v>0</v>
      </c>
      <c r="BI28" s="20" t="b" cm="1">
        <f t="array" ref="BI28">find_month(BI$6,BI$7,$G28)</f>
        <v>1</v>
      </c>
      <c r="BJ28" s="20" t="b" cm="1">
        <f t="array" ref="BJ28">find_month(BJ$6,BJ$7,$G28)</f>
        <v>0</v>
      </c>
      <c r="BK28" s="20" t="b" cm="1">
        <f t="array" ref="BK28">find_month(BK$6,BK$7,$G28)</f>
        <v>0</v>
      </c>
      <c r="BL28" s="20" t="b" cm="1">
        <f t="array" ref="BL28">find_month(BL$6,BL$7,$G28)</f>
        <v>0</v>
      </c>
      <c r="BM28" s="20" t="b" cm="1">
        <f t="array" ref="BM28">find_month(BM$6,BM$7,$G28)</f>
        <v>1</v>
      </c>
      <c r="BN28" s="20" t="b" cm="1">
        <f t="array" ref="BN28">find_month(BN$6,BN$7,$G28)</f>
        <v>0</v>
      </c>
      <c r="BO28" s="20" t="b" cm="1">
        <f t="array" ref="BO28">find_month(BO$6,BO$7,$G28)</f>
        <v>0</v>
      </c>
      <c r="BP28" s="20" t="b" cm="1">
        <f t="array" ref="BP28">find_month(BP$6,BP$7,$G28)</f>
        <v>0</v>
      </c>
      <c r="BQ28" s="20" t="b" cm="1">
        <f t="array" ref="BQ28">find_month(BQ$6,BQ$7,$G28)</f>
        <v>1</v>
      </c>
      <c r="BR28" s="20" t="b" cm="1">
        <f t="array" ref="BR28">find_month(BR$6,BR$7,$G28)</f>
        <v>0</v>
      </c>
      <c r="BS28" s="20" t="b" cm="1">
        <f t="array" ref="BS28">find_month(BS$6,BS$7,$G28)</f>
        <v>0</v>
      </c>
      <c r="BT28" s="20" t="b" cm="1">
        <f t="array" ref="BT28">find_month(BT$6,BT$7,$G28)</f>
        <v>0</v>
      </c>
      <c r="BU28" s="20" t="b" cm="1">
        <f t="array" ref="BU28">find_month(BU$6,BU$7,$G28)</f>
        <v>1</v>
      </c>
      <c r="BV28" s="20" t="b" cm="1">
        <f t="array" ref="BV28">find_month(BV$6,BV$7,$G28)</f>
        <v>0</v>
      </c>
      <c r="BW28" s="20" t="b" cm="1">
        <f t="array" ref="BW28">find_month(BW$6,BW$7,$G28)</f>
        <v>0</v>
      </c>
      <c r="BX28" s="20" t="b" cm="1">
        <f t="array" ref="BX28">find_month(BX$6,BX$7,$G28)</f>
        <v>0</v>
      </c>
      <c r="BY28" s="20" t="b" cm="1">
        <f t="array" ref="BY28">find_month(BY$6,BY$7,$G28)</f>
        <v>1</v>
      </c>
      <c r="BZ28" s="20" t="b" cm="1">
        <f t="array" ref="BZ28">find_month(BZ$6,BZ$7,$G28)</f>
        <v>0</v>
      </c>
      <c r="CA28" s="20" t="b" cm="1">
        <f t="array" ref="CA28">find_month(CA$6,CA$7,$G28)</f>
        <v>0</v>
      </c>
      <c r="CB28" s="20" t="b" cm="1">
        <f t="array" ref="CB28">find_month(CB$6,CB$7,$G28)</f>
        <v>0</v>
      </c>
      <c r="CC28" s="20" t="b" cm="1">
        <f t="array" ref="CC28">find_month(CC$6,CC$7,$G28)</f>
        <v>1</v>
      </c>
      <c r="CD28" s="20" t="b" cm="1">
        <f t="array" ref="CD28">find_month(CD$6,CD$7,$G28)</f>
        <v>0</v>
      </c>
      <c r="CE28" s="20" t="b" cm="1">
        <f t="array" ref="CE28">find_month(CE$6,CE$7,$G28)</f>
        <v>0</v>
      </c>
      <c r="CF28" s="20" t="b" cm="1">
        <f t="array" ref="CF28">find_month(CF$6,CF$7,$G28)</f>
        <v>0</v>
      </c>
      <c r="CG28" s="20" t="b" cm="1">
        <f t="array" ref="CG28">find_month(CG$6,CG$7,$G28)</f>
        <v>1</v>
      </c>
      <c r="CH28" s="20" t="b" cm="1">
        <f t="array" ref="CH28">find_month(CH$6,CH$7,$G28)</f>
        <v>0</v>
      </c>
      <c r="CI28" s="20" t="b" cm="1">
        <f t="array" ref="CI28">find_month(CI$6,CI$7,$G28)</f>
        <v>0</v>
      </c>
      <c r="CJ28" s="20" t="b" cm="1">
        <f t="array" ref="CJ28">find_month(CJ$6,CJ$7,$G28)</f>
        <v>0</v>
      </c>
      <c r="CK28" s="20" t="b" cm="1">
        <f t="array" ref="CK28">find_month(CK$6,CK$7,$G28)</f>
        <v>1</v>
      </c>
      <c r="CL28" s="20" t="b" cm="1">
        <f t="array" ref="CL28">find_month(CL$6,CL$7,$G28)</f>
        <v>0</v>
      </c>
      <c r="CM28" s="20" t="b" cm="1">
        <f t="array" ref="CM28">find_month(CM$6,CM$7,$G28)</f>
        <v>0</v>
      </c>
      <c r="CN28" s="20" t="b" cm="1">
        <f t="array" ref="CN28">find_month(CN$6,CN$7,$G28)</f>
        <v>0</v>
      </c>
      <c r="CO28" s="20" t="b" cm="1">
        <f t="array" ref="CO28">find_month(CO$6,CO$7,$G28)</f>
        <v>1</v>
      </c>
      <c r="CP28" s="20" t="b" cm="1">
        <f t="array" ref="CP28">find_month(CP$6,CP$7,$G28)</f>
        <v>0</v>
      </c>
      <c r="CQ28" s="20" t="b" cm="1">
        <f t="array" ref="CQ28">find_month(CQ$6,CQ$7,$G28)</f>
        <v>0</v>
      </c>
      <c r="CR28" s="20" t="b" cm="1">
        <f t="array" ref="CR28">find_month(CR$6,CR$7,$G28)</f>
        <v>0</v>
      </c>
      <c r="CS28" s="20" t="b" cm="1">
        <f t="array" ref="CS28">find_month(CS$6,CS$7,$G28)</f>
        <v>1</v>
      </c>
      <c r="CT28" s="20" t="b" cm="1">
        <f t="array" ref="CT28">find_month(CT$6,CT$7,$G28)</f>
        <v>0</v>
      </c>
      <c r="CU28" s="20" t="b" cm="1">
        <f t="array" ref="CU28">find_month(CU$6,CU$7,$G28)</f>
        <v>0</v>
      </c>
      <c r="CV28" s="20" t="b" cm="1">
        <f t="array" ref="CV28">find_month(CV$6,CV$7,$G28)</f>
        <v>0</v>
      </c>
      <c r="CW28" s="20" t="b" cm="1">
        <f t="array" ref="CW28">find_month(CW$6,CW$7,$G28)</f>
        <v>1</v>
      </c>
      <c r="CX28" s="20" t="b" cm="1">
        <f t="array" ref="CX28">find_month(CX$6,CX$7,$G28)</f>
        <v>0</v>
      </c>
      <c r="CY28" s="20" t="b" cm="1">
        <f t="array" ref="CY28">find_month(CY$6,CY$7,$G28)</f>
        <v>0</v>
      </c>
      <c r="CZ28" s="20" t="b" cm="1">
        <f t="array" ref="CZ28">find_month(CZ$6,CZ$7,$G28)</f>
        <v>0</v>
      </c>
      <c r="DA28" s="20" t="b" cm="1">
        <f t="array" ref="DA28">find_month(DA$6,DA$7,$G28)</f>
        <v>1</v>
      </c>
      <c r="DB28" s="20" t="b" cm="1">
        <f t="array" ref="DB28">find_month(DB$6,DB$7,$G28)</f>
        <v>0</v>
      </c>
      <c r="DC28" s="20" t="b" cm="1">
        <f t="array" ref="DC28">find_month(DC$6,DC$7,$G28)</f>
        <v>0</v>
      </c>
      <c r="DD28" s="20" t="b" cm="1">
        <f t="array" ref="DD28">find_month(DD$6,DD$7,$G28)</f>
        <v>0</v>
      </c>
      <c r="DE28" s="20" t="b" cm="1">
        <f t="array" ref="DE28">find_month(DE$6,DE$7,$G28)</f>
        <v>1</v>
      </c>
      <c r="DF28" s="20" t="b" cm="1">
        <f t="array" ref="DF28">find_month(DF$6,DF$7,$G28)</f>
        <v>0</v>
      </c>
      <c r="DG28" s="20" t="b" cm="1">
        <f t="array" ref="DG28">find_month(DG$6,DG$7,$G28)</f>
        <v>0</v>
      </c>
      <c r="DH28" s="20" t="b" cm="1">
        <f t="array" ref="DH28">find_month(DH$6,DH$7,$G28)</f>
        <v>0</v>
      </c>
      <c r="DI28" s="20" t="b" cm="1">
        <f t="array" ref="DI28">find_month(DI$6,DI$7,$G28)</f>
        <v>1</v>
      </c>
      <c r="DJ28" s="20" t="b" cm="1">
        <f t="array" ref="DJ28">find_month(DJ$6,DJ$7,$G28)</f>
        <v>0</v>
      </c>
      <c r="DK28" s="20" t="b" cm="1">
        <f t="array" ref="DK28">find_month(DK$6,DK$7,$G28)</f>
        <v>0</v>
      </c>
      <c r="DL28" s="20" t="b" cm="1">
        <f t="array" ref="DL28">find_month(DL$6,DL$7,$G28)</f>
        <v>0</v>
      </c>
      <c r="DM28" s="20" t="b" cm="1">
        <f t="array" ref="DM28">find_month(DM$6,DM$7,$G28)</f>
        <v>1</v>
      </c>
      <c r="DN28" s="20" t="b" cm="1">
        <f t="array" ref="DN28">find_month(DN$6,DN$7,$G28)</f>
        <v>0</v>
      </c>
      <c r="DO28" s="20" t="b" cm="1">
        <f t="array" ref="DO28">find_month(DO$6,DO$7,$G28)</f>
        <v>0</v>
      </c>
      <c r="DP28" s="20" t="b" cm="1">
        <f t="array" ref="DP28">find_month(DP$6,DP$7,$G28)</f>
        <v>0</v>
      </c>
      <c r="DQ28" s="20" t="b" cm="1">
        <f t="array" ref="DQ28">find_month(DQ$6,DQ$7,$G28)</f>
        <v>1</v>
      </c>
    </row>
    <row r="29" spans="3:121" x14ac:dyDescent="0.35">
      <c r="C29" s="20" t="s">
        <v>182</v>
      </c>
      <c r="F29" s="20" t="s">
        <v>171</v>
      </c>
      <c r="G29" s="45">
        <f>Assumptions!E47</f>
        <v>12</v>
      </c>
      <c r="K29" s="20" t="b" cm="1">
        <f t="array" ref="K29">find_month(K$6,K$7,$G29)</f>
        <v>0</v>
      </c>
      <c r="L29" s="20" t="b" cm="1">
        <f t="array" ref="L29">find_month(L$6,L$7,$G29)</f>
        <v>0</v>
      </c>
      <c r="M29" s="20" t="b" cm="1">
        <f t="array" ref="M29">find_month(M$6,M$7,$G29)</f>
        <v>0</v>
      </c>
      <c r="N29" s="20" t="b" cm="1">
        <f t="array" ref="N29">find_month(N$6,N$7,$G29)</f>
        <v>1</v>
      </c>
      <c r="O29" s="20" t="b" cm="1">
        <f t="array" ref="O29">find_month(O$6,O$7,$G29)</f>
        <v>0</v>
      </c>
      <c r="P29" s="20" t="b" cm="1">
        <f t="array" ref="P29">find_month(P$6,P$7,$G29)</f>
        <v>0</v>
      </c>
      <c r="Q29" s="20" t="b" cm="1">
        <f t="array" ref="Q29">find_month(Q$6,Q$7,$G29)</f>
        <v>0</v>
      </c>
      <c r="R29" s="20" t="b" cm="1">
        <f t="array" ref="R29">find_month(R$6,R$7,$G29)</f>
        <v>0</v>
      </c>
      <c r="S29" s="20" t="b" cm="1">
        <f t="array" ref="S29">find_month(S$6,S$7,$G29)</f>
        <v>0</v>
      </c>
      <c r="T29" s="20" t="b" cm="1">
        <f t="array" ref="T29">find_month(T$6,T$7,$G29)</f>
        <v>0</v>
      </c>
      <c r="U29" s="20" t="b" cm="1">
        <f t="array" ref="U29">find_month(U$6,U$7,$G29)</f>
        <v>0</v>
      </c>
      <c r="V29" s="20" t="b" cm="1">
        <f t="array" ref="V29">find_month(V$6,V$7,$G29)</f>
        <v>1</v>
      </c>
      <c r="W29" s="20" t="b" cm="1">
        <f t="array" ref="W29">find_month(W$6,W$7,$G29)</f>
        <v>0</v>
      </c>
      <c r="X29" s="20" t="b" cm="1">
        <f t="array" ref="X29">find_month(X$6,X$7,$G29)</f>
        <v>0</v>
      </c>
      <c r="Y29" s="20" t="b" cm="1">
        <f t="array" ref="Y29">find_month(Y$6,Y$7,$G29)</f>
        <v>0</v>
      </c>
      <c r="Z29" s="20" t="b" cm="1">
        <f t="array" ref="Z29">find_month(Z$6,Z$7,$G29)</f>
        <v>1</v>
      </c>
      <c r="AA29" s="20" t="b" cm="1">
        <f t="array" ref="AA29">find_month(AA$6,AA$7,$G29)</f>
        <v>0</v>
      </c>
      <c r="AB29" s="20" t="b" cm="1">
        <f t="array" ref="AB29">find_month(AB$6,AB$7,$G29)</f>
        <v>0</v>
      </c>
      <c r="AC29" s="20" t="b" cm="1">
        <f t="array" ref="AC29">find_month(AC$6,AC$7,$G29)</f>
        <v>0</v>
      </c>
      <c r="AD29" s="20" t="b" cm="1">
        <f t="array" ref="AD29">find_month(AD$6,AD$7,$G29)</f>
        <v>1</v>
      </c>
      <c r="AE29" s="20" t="b" cm="1">
        <f t="array" ref="AE29">find_month(AE$6,AE$7,$G29)</f>
        <v>0</v>
      </c>
      <c r="AF29" s="20" t="b" cm="1">
        <f t="array" ref="AF29">find_month(AF$6,AF$7,$G29)</f>
        <v>0</v>
      </c>
      <c r="AG29" s="20" t="b" cm="1">
        <f t="array" ref="AG29">find_month(AG$6,AG$7,$G29)</f>
        <v>0</v>
      </c>
      <c r="AH29" s="20" t="b" cm="1">
        <f t="array" ref="AH29">find_month(AH$6,AH$7,$G29)</f>
        <v>1</v>
      </c>
      <c r="AI29" s="20" t="b" cm="1">
        <f t="array" ref="AI29">find_month(AI$6,AI$7,$G29)</f>
        <v>0</v>
      </c>
      <c r="AJ29" s="20" t="b" cm="1">
        <f t="array" ref="AJ29">find_month(AJ$6,AJ$7,$G29)</f>
        <v>0</v>
      </c>
      <c r="AK29" s="20" t="b" cm="1">
        <f t="array" ref="AK29">find_month(AK$6,AK$7,$G29)</f>
        <v>0</v>
      </c>
      <c r="AL29" s="20" t="b" cm="1">
        <f t="array" ref="AL29">find_month(AL$6,AL$7,$G29)</f>
        <v>1</v>
      </c>
      <c r="AM29" s="20" t="b" cm="1">
        <f t="array" ref="AM29">find_month(AM$6,AM$7,$G29)</f>
        <v>0</v>
      </c>
      <c r="AN29" s="20" t="b" cm="1">
        <f t="array" ref="AN29">find_month(AN$6,AN$7,$G29)</f>
        <v>0</v>
      </c>
      <c r="AO29" s="20" t="b" cm="1">
        <f t="array" ref="AO29">find_month(AO$6,AO$7,$G29)</f>
        <v>0</v>
      </c>
      <c r="AP29" s="20" t="b" cm="1">
        <f t="array" ref="AP29">find_month(AP$6,AP$7,$G29)</f>
        <v>1</v>
      </c>
      <c r="AQ29" s="20" t="b" cm="1">
        <f t="array" ref="AQ29">find_month(AQ$6,AQ$7,$G29)</f>
        <v>0</v>
      </c>
      <c r="AR29" s="20" t="b" cm="1">
        <f t="array" ref="AR29">find_month(AR$6,AR$7,$G29)</f>
        <v>0</v>
      </c>
      <c r="AS29" s="20" t="b" cm="1">
        <f t="array" ref="AS29">find_month(AS$6,AS$7,$G29)</f>
        <v>0</v>
      </c>
      <c r="AT29" s="20" t="b" cm="1">
        <f t="array" ref="AT29">find_month(AT$6,AT$7,$G29)</f>
        <v>1</v>
      </c>
      <c r="AU29" s="20" t="b" cm="1">
        <f t="array" ref="AU29">find_month(AU$6,AU$7,$G29)</f>
        <v>0</v>
      </c>
      <c r="AV29" s="20" t="b" cm="1">
        <f t="array" ref="AV29">find_month(AV$6,AV$7,$G29)</f>
        <v>0</v>
      </c>
      <c r="AW29" s="20" t="b" cm="1">
        <f t="array" ref="AW29">find_month(AW$6,AW$7,$G29)</f>
        <v>0</v>
      </c>
      <c r="AX29" s="20" t="b" cm="1">
        <f t="array" ref="AX29">find_month(AX$6,AX$7,$G29)</f>
        <v>1</v>
      </c>
      <c r="AY29" s="20" t="b" cm="1">
        <f t="array" ref="AY29">find_month(AY$6,AY$7,$G29)</f>
        <v>0</v>
      </c>
      <c r="AZ29" s="20" t="b" cm="1">
        <f t="array" ref="AZ29">find_month(AZ$6,AZ$7,$G29)</f>
        <v>0</v>
      </c>
      <c r="BA29" s="20" t="b" cm="1">
        <f t="array" ref="BA29">find_month(BA$6,BA$7,$G29)</f>
        <v>0</v>
      </c>
      <c r="BB29" s="20" t="b" cm="1">
        <f t="array" ref="BB29">find_month(BB$6,BB$7,$G29)</f>
        <v>1</v>
      </c>
      <c r="BC29" s="20" t="b" cm="1">
        <f t="array" ref="BC29">find_month(BC$6,BC$7,$G29)</f>
        <v>0</v>
      </c>
      <c r="BD29" s="20" t="b" cm="1">
        <f t="array" ref="BD29">find_month(BD$6,BD$7,$G29)</f>
        <v>0</v>
      </c>
      <c r="BE29" s="20" t="b" cm="1">
        <f t="array" ref="BE29">find_month(BE$6,BE$7,$G29)</f>
        <v>0</v>
      </c>
      <c r="BF29" s="20" t="b" cm="1">
        <f t="array" ref="BF29">find_month(BF$6,BF$7,$G29)</f>
        <v>1</v>
      </c>
      <c r="BG29" s="20" t="b" cm="1">
        <f t="array" ref="BG29">find_month(BG$6,BG$7,$G29)</f>
        <v>0</v>
      </c>
      <c r="BH29" s="20" t="b" cm="1">
        <f t="array" ref="BH29">find_month(BH$6,BH$7,$G29)</f>
        <v>0</v>
      </c>
      <c r="BI29" s="20" t="b" cm="1">
        <f t="array" ref="BI29">find_month(BI$6,BI$7,$G29)</f>
        <v>0</v>
      </c>
      <c r="BJ29" s="20" t="b" cm="1">
        <f t="array" ref="BJ29">find_month(BJ$6,BJ$7,$G29)</f>
        <v>1</v>
      </c>
      <c r="BK29" s="20" t="b" cm="1">
        <f t="array" ref="BK29">find_month(BK$6,BK$7,$G29)</f>
        <v>0</v>
      </c>
      <c r="BL29" s="20" t="b" cm="1">
        <f t="array" ref="BL29">find_month(BL$6,BL$7,$G29)</f>
        <v>0</v>
      </c>
      <c r="BM29" s="20" t="b" cm="1">
        <f t="array" ref="BM29">find_month(BM$6,BM$7,$G29)</f>
        <v>0</v>
      </c>
      <c r="BN29" s="20" t="b" cm="1">
        <f t="array" ref="BN29">find_month(BN$6,BN$7,$G29)</f>
        <v>1</v>
      </c>
      <c r="BO29" s="20" t="b" cm="1">
        <f t="array" ref="BO29">find_month(BO$6,BO$7,$G29)</f>
        <v>0</v>
      </c>
      <c r="BP29" s="20" t="b" cm="1">
        <f t="array" ref="BP29">find_month(BP$6,BP$7,$G29)</f>
        <v>0</v>
      </c>
      <c r="BQ29" s="20" t="b" cm="1">
        <f t="array" ref="BQ29">find_month(BQ$6,BQ$7,$G29)</f>
        <v>0</v>
      </c>
      <c r="BR29" s="20" t="b" cm="1">
        <f t="array" ref="BR29">find_month(BR$6,BR$7,$G29)</f>
        <v>1</v>
      </c>
      <c r="BS29" s="20" t="b" cm="1">
        <f t="array" ref="BS29">find_month(BS$6,BS$7,$G29)</f>
        <v>0</v>
      </c>
      <c r="BT29" s="20" t="b" cm="1">
        <f t="array" ref="BT29">find_month(BT$6,BT$7,$G29)</f>
        <v>0</v>
      </c>
      <c r="BU29" s="20" t="b" cm="1">
        <f t="array" ref="BU29">find_month(BU$6,BU$7,$G29)</f>
        <v>0</v>
      </c>
      <c r="BV29" s="20" t="b" cm="1">
        <f t="array" ref="BV29">find_month(BV$6,BV$7,$G29)</f>
        <v>1</v>
      </c>
      <c r="BW29" s="20" t="b" cm="1">
        <f t="array" ref="BW29">find_month(BW$6,BW$7,$G29)</f>
        <v>0</v>
      </c>
      <c r="BX29" s="20" t="b" cm="1">
        <f t="array" ref="BX29">find_month(BX$6,BX$7,$G29)</f>
        <v>0</v>
      </c>
      <c r="BY29" s="20" t="b" cm="1">
        <f t="array" ref="BY29">find_month(BY$6,BY$7,$G29)</f>
        <v>0</v>
      </c>
      <c r="BZ29" s="20" t="b" cm="1">
        <f t="array" ref="BZ29">find_month(BZ$6,BZ$7,$G29)</f>
        <v>1</v>
      </c>
      <c r="CA29" s="20" t="b" cm="1">
        <f t="array" ref="CA29">find_month(CA$6,CA$7,$G29)</f>
        <v>0</v>
      </c>
      <c r="CB29" s="20" t="b" cm="1">
        <f t="array" ref="CB29">find_month(CB$6,CB$7,$G29)</f>
        <v>0</v>
      </c>
      <c r="CC29" s="20" t="b" cm="1">
        <f t="array" ref="CC29">find_month(CC$6,CC$7,$G29)</f>
        <v>0</v>
      </c>
      <c r="CD29" s="20" t="b" cm="1">
        <f t="array" ref="CD29">find_month(CD$6,CD$7,$G29)</f>
        <v>1</v>
      </c>
      <c r="CE29" s="20" t="b" cm="1">
        <f t="array" ref="CE29">find_month(CE$6,CE$7,$G29)</f>
        <v>0</v>
      </c>
      <c r="CF29" s="20" t="b" cm="1">
        <f t="array" ref="CF29">find_month(CF$6,CF$7,$G29)</f>
        <v>0</v>
      </c>
      <c r="CG29" s="20" t="b" cm="1">
        <f t="array" ref="CG29">find_month(CG$6,CG$7,$G29)</f>
        <v>0</v>
      </c>
      <c r="CH29" s="20" t="b" cm="1">
        <f t="array" ref="CH29">find_month(CH$6,CH$7,$G29)</f>
        <v>1</v>
      </c>
      <c r="CI29" s="20" t="b" cm="1">
        <f t="array" ref="CI29">find_month(CI$6,CI$7,$G29)</f>
        <v>0</v>
      </c>
      <c r="CJ29" s="20" t="b" cm="1">
        <f t="array" ref="CJ29">find_month(CJ$6,CJ$7,$G29)</f>
        <v>0</v>
      </c>
      <c r="CK29" s="20" t="b" cm="1">
        <f t="array" ref="CK29">find_month(CK$6,CK$7,$G29)</f>
        <v>0</v>
      </c>
      <c r="CL29" s="20" t="b" cm="1">
        <f t="array" ref="CL29">find_month(CL$6,CL$7,$G29)</f>
        <v>1</v>
      </c>
      <c r="CM29" s="20" t="b" cm="1">
        <f t="array" ref="CM29">find_month(CM$6,CM$7,$G29)</f>
        <v>0</v>
      </c>
      <c r="CN29" s="20" t="b" cm="1">
        <f t="array" ref="CN29">find_month(CN$6,CN$7,$G29)</f>
        <v>0</v>
      </c>
      <c r="CO29" s="20" t="b" cm="1">
        <f t="array" ref="CO29">find_month(CO$6,CO$7,$G29)</f>
        <v>0</v>
      </c>
      <c r="CP29" s="20" t="b" cm="1">
        <f t="array" ref="CP29">find_month(CP$6,CP$7,$G29)</f>
        <v>1</v>
      </c>
      <c r="CQ29" s="20" t="b" cm="1">
        <f t="array" ref="CQ29">find_month(CQ$6,CQ$7,$G29)</f>
        <v>0</v>
      </c>
      <c r="CR29" s="20" t="b" cm="1">
        <f t="array" ref="CR29">find_month(CR$6,CR$7,$G29)</f>
        <v>0</v>
      </c>
      <c r="CS29" s="20" t="b" cm="1">
        <f t="array" ref="CS29">find_month(CS$6,CS$7,$G29)</f>
        <v>0</v>
      </c>
      <c r="CT29" s="20" t="b" cm="1">
        <f t="array" ref="CT29">find_month(CT$6,CT$7,$G29)</f>
        <v>1</v>
      </c>
      <c r="CU29" s="20" t="b" cm="1">
        <f t="array" ref="CU29">find_month(CU$6,CU$7,$G29)</f>
        <v>0</v>
      </c>
      <c r="CV29" s="20" t="b" cm="1">
        <f t="array" ref="CV29">find_month(CV$6,CV$7,$G29)</f>
        <v>0</v>
      </c>
      <c r="CW29" s="20" t="b" cm="1">
        <f t="array" ref="CW29">find_month(CW$6,CW$7,$G29)</f>
        <v>0</v>
      </c>
      <c r="CX29" s="20" t="b" cm="1">
        <f t="array" ref="CX29">find_month(CX$6,CX$7,$G29)</f>
        <v>1</v>
      </c>
      <c r="CY29" s="20" t="b" cm="1">
        <f t="array" ref="CY29">find_month(CY$6,CY$7,$G29)</f>
        <v>0</v>
      </c>
      <c r="CZ29" s="20" t="b" cm="1">
        <f t="array" ref="CZ29">find_month(CZ$6,CZ$7,$G29)</f>
        <v>0</v>
      </c>
      <c r="DA29" s="20" t="b" cm="1">
        <f t="array" ref="DA29">find_month(DA$6,DA$7,$G29)</f>
        <v>0</v>
      </c>
      <c r="DB29" s="20" t="b" cm="1">
        <f t="array" ref="DB29">find_month(DB$6,DB$7,$G29)</f>
        <v>1</v>
      </c>
      <c r="DC29" s="20" t="b" cm="1">
        <f t="array" ref="DC29">find_month(DC$6,DC$7,$G29)</f>
        <v>0</v>
      </c>
      <c r="DD29" s="20" t="b" cm="1">
        <f t="array" ref="DD29">find_month(DD$6,DD$7,$G29)</f>
        <v>0</v>
      </c>
      <c r="DE29" s="20" t="b" cm="1">
        <f t="array" ref="DE29">find_month(DE$6,DE$7,$G29)</f>
        <v>0</v>
      </c>
      <c r="DF29" s="20" t="b" cm="1">
        <f t="array" ref="DF29">find_month(DF$6,DF$7,$G29)</f>
        <v>1</v>
      </c>
      <c r="DG29" s="20" t="b" cm="1">
        <f t="array" ref="DG29">find_month(DG$6,DG$7,$G29)</f>
        <v>0</v>
      </c>
      <c r="DH29" s="20" t="b" cm="1">
        <f t="array" ref="DH29">find_month(DH$6,DH$7,$G29)</f>
        <v>0</v>
      </c>
      <c r="DI29" s="20" t="b" cm="1">
        <f t="array" ref="DI29">find_month(DI$6,DI$7,$G29)</f>
        <v>0</v>
      </c>
      <c r="DJ29" s="20" t="b" cm="1">
        <f t="array" ref="DJ29">find_month(DJ$6,DJ$7,$G29)</f>
        <v>1</v>
      </c>
      <c r="DK29" s="20" t="b" cm="1">
        <f t="array" ref="DK29">find_month(DK$6,DK$7,$G29)</f>
        <v>0</v>
      </c>
      <c r="DL29" s="20" t="b" cm="1">
        <f t="array" ref="DL29">find_month(DL$6,DL$7,$G29)</f>
        <v>0</v>
      </c>
      <c r="DM29" s="20" t="b" cm="1">
        <f t="array" ref="DM29">find_month(DM$6,DM$7,$G29)</f>
        <v>0</v>
      </c>
      <c r="DN29" s="20" t="b" cm="1">
        <f t="array" ref="DN29">find_month(DN$6,DN$7,$G29)</f>
        <v>1</v>
      </c>
      <c r="DO29" s="20" t="b" cm="1">
        <f t="array" ref="DO29">find_month(DO$6,DO$7,$G29)</f>
        <v>0</v>
      </c>
      <c r="DP29" s="20" t="b" cm="1">
        <f t="array" ref="DP29">find_month(DP$6,DP$7,$G29)</f>
        <v>0</v>
      </c>
      <c r="DQ29" s="20" t="b" cm="1">
        <f t="array" ref="DQ29">find_month(DQ$6,DQ$7,$G29)</f>
        <v>0</v>
      </c>
    </row>
    <row r="31" spans="3:121" x14ac:dyDescent="0.35">
      <c r="C31" s="20" t="s">
        <v>184</v>
      </c>
      <c r="F31" s="20" t="s">
        <v>48</v>
      </c>
      <c r="G31" s="35">
        <f>Assumptions!J36</f>
        <v>0.15966290322580642</v>
      </c>
      <c r="H31" s="45">
        <f>Assumptions!I36</f>
        <v>744</v>
      </c>
      <c r="I31" s="54">
        <f>SUM(K31:BR31)</f>
        <v>8960.3766153746765</v>
      </c>
      <c r="K31" s="20">
        <f>$G31*$H31*K18*K$16/1000</f>
        <v>0</v>
      </c>
      <c r="L31" s="20">
        <f>$G31*$H31*L18*L$16/1000</f>
        <v>0</v>
      </c>
      <c r="M31" s="20">
        <f t="shared" ref="M31:BX31" si="231">$G31*$H31*M18*M$16/1000</f>
        <v>0</v>
      </c>
      <c r="N31" s="20">
        <f t="shared" si="231"/>
        <v>0</v>
      </c>
      <c r="O31" s="20">
        <f t="shared" si="231"/>
        <v>0</v>
      </c>
      <c r="P31" s="20">
        <f t="shared" si="231"/>
        <v>0</v>
      </c>
      <c r="Q31" s="20">
        <f t="shared" si="231"/>
        <v>0</v>
      </c>
      <c r="R31" s="20">
        <f t="shared" si="231"/>
        <v>0</v>
      </c>
      <c r="S31" s="20">
        <f t="shared" si="231"/>
        <v>0</v>
      </c>
      <c r="T31" s="20">
        <f t="shared" si="231"/>
        <v>0</v>
      </c>
      <c r="U31" s="20">
        <f t="shared" si="231"/>
        <v>0</v>
      </c>
      <c r="V31" s="20">
        <f t="shared" si="231"/>
        <v>710.07408296756489</v>
      </c>
      <c r="W31" s="20">
        <f t="shared" si="231"/>
        <v>0</v>
      </c>
      <c r="X31" s="20">
        <f t="shared" si="231"/>
        <v>0</v>
      </c>
      <c r="Y31" s="20">
        <f t="shared" si="231"/>
        <v>0</v>
      </c>
      <c r="Z31" s="20">
        <f t="shared" si="231"/>
        <v>706.54137608712938</v>
      </c>
      <c r="AA31" s="20">
        <f t="shared" si="231"/>
        <v>0</v>
      </c>
      <c r="AB31" s="20">
        <f t="shared" si="231"/>
        <v>0</v>
      </c>
      <c r="AC31" s="20">
        <f t="shared" si="231"/>
        <v>0</v>
      </c>
      <c r="AD31" s="20">
        <f t="shared" si="231"/>
        <v>703.02624486281559</v>
      </c>
      <c r="AE31" s="20">
        <f t="shared" si="231"/>
        <v>0</v>
      </c>
      <c r="AF31" s="20">
        <f t="shared" si="231"/>
        <v>0</v>
      </c>
      <c r="AG31" s="20">
        <f t="shared" si="231"/>
        <v>0</v>
      </c>
      <c r="AH31" s="20">
        <f t="shared" si="231"/>
        <v>699.52860185354814</v>
      </c>
      <c r="AI31" s="20">
        <f t="shared" si="231"/>
        <v>0</v>
      </c>
      <c r="AJ31" s="20">
        <f t="shared" si="231"/>
        <v>0</v>
      </c>
      <c r="AK31" s="20">
        <f t="shared" si="231"/>
        <v>0</v>
      </c>
      <c r="AL31" s="20">
        <f t="shared" si="231"/>
        <v>696.04836005328184</v>
      </c>
      <c r="AM31" s="20">
        <f t="shared" si="231"/>
        <v>0</v>
      </c>
      <c r="AN31" s="20">
        <f t="shared" si="231"/>
        <v>0</v>
      </c>
      <c r="AO31" s="20">
        <f t="shared" si="231"/>
        <v>0</v>
      </c>
      <c r="AP31" s="20">
        <f t="shared" si="231"/>
        <v>692.58543288883789</v>
      </c>
      <c r="AQ31" s="20">
        <f t="shared" si="231"/>
        <v>0</v>
      </c>
      <c r="AR31" s="20">
        <f t="shared" si="231"/>
        <v>0</v>
      </c>
      <c r="AS31" s="20">
        <f t="shared" si="231"/>
        <v>0</v>
      </c>
      <c r="AT31" s="20">
        <f t="shared" si="231"/>
        <v>689.13973421774938</v>
      </c>
      <c r="AU31" s="20">
        <f t="shared" si="231"/>
        <v>0</v>
      </c>
      <c r="AV31" s="20">
        <f t="shared" si="231"/>
        <v>0</v>
      </c>
      <c r="AW31" s="20">
        <f t="shared" si="231"/>
        <v>0</v>
      </c>
      <c r="AX31" s="20">
        <f t="shared" si="231"/>
        <v>685.71117832611901</v>
      </c>
      <c r="AY31" s="20">
        <f t="shared" si="231"/>
        <v>0</v>
      </c>
      <c r="AZ31" s="20">
        <f t="shared" si="231"/>
        <v>0</v>
      </c>
      <c r="BA31" s="20">
        <f t="shared" si="231"/>
        <v>0</v>
      </c>
      <c r="BB31" s="20">
        <f t="shared" si="231"/>
        <v>682.29967992648665</v>
      </c>
      <c r="BC31" s="20">
        <f t="shared" si="231"/>
        <v>0</v>
      </c>
      <c r="BD31" s="20">
        <f t="shared" si="231"/>
        <v>0</v>
      </c>
      <c r="BE31" s="20">
        <f t="shared" si="231"/>
        <v>0</v>
      </c>
      <c r="BF31" s="20">
        <f t="shared" si="231"/>
        <v>678.90515415570837</v>
      </c>
      <c r="BG31" s="20">
        <f t="shared" si="231"/>
        <v>0</v>
      </c>
      <c r="BH31" s="20">
        <f t="shared" si="231"/>
        <v>0</v>
      </c>
      <c r="BI31" s="20">
        <f t="shared" si="231"/>
        <v>0</v>
      </c>
      <c r="BJ31" s="20">
        <f t="shared" si="231"/>
        <v>675.52751657284432</v>
      </c>
      <c r="BK31" s="20">
        <f t="shared" si="231"/>
        <v>0</v>
      </c>
      <c r="BL31" s="20">
        <f t="shared" si="231"/>
        <v>0</v>
      </c>
      <c r="BM31" s="20">
        <f t="shared" si="231"/>
        <v>0</v>
      </c>
      <c r="BN31" s="20">
        <f t="shared" si="231"/>
        <v>672.16668315705908</v>
      </c>
      <c r="BO31" s="20">
        <f t="shared" si="231"/>
        <v>0</v>
      </c>
      <c r="BP31" s="20">
        <f t="shared" si="231"/>
        <v>0</v>
      </c>
      <c r="BQ31" s="20">
        <f t="shared" si="231"/>
        <v>0</v>
      </c>
      <c r="BR31" s="20">
        <f t="shared" si="231"/>
        <v>668.82257030553171</v>
      </c>
      <c r="BS31" s="20">
        <f t="shared" si="231"/>
        <v>0</v>
      </c>
      <c r="BT31" s="20">
        <f t="shared" si="231"/>
        <v>0</v>
      </c>
      <c r="BU31" s="20">
        <f t="shared" si="231"/>
        <v>0</v>
      </c>
      <c r="BV31" s="20">
        <f t="shared" si="231"/>
        <v>665.49509483137513</v>
      </c>
      <c r="BW31" s="20">
        <f t="shared" si="231"/>
        <v>0</v>
      </c>
      <c r="BX31" s="20">
        <f t="shared" si="231"/>
        <v>0</v>
      </c>
      <c r="BY31" s="20">
        <f t="shared" ref="BY31:DQ31" si="232">$G31*$H31*BY18*BY$16/1000</f>
        <v>0</v>
      </c>
      <c r="BZ31" s="20">
        <f t="shared" si="232"/>
        <v>662.18417396156758</v>
      </c>
      <c r="CA31" s="20">
        <f t="shared" si="232"/>
        <v>0</v>
      </c>
      <c r="CB31" s="20">
        <f t="shared" si="232"/>
        <v>0</v>
      </c>
      <c r="CC31" s="20">
        <f t="shared" si="232"/>
        <v>0</v>
      </c>
      <c r="CD31" s="20">
        <f t="shared" si="232"/>
        <v>658.88972533489334</v>
      </c>
      <c r="CE31" s="20">
        <f t="shared" si="232"/>
        <v>0</v>
      </c>
      <c r="CF31" s="20">
        <f t="shared" si="232"/>
        <v>0</v>
      </c>
      <c r="CG31" s="20">
        <f t="shared" si="232"/>
        <v>0</v>
      </c>
      <c r="CH31" s="20">
        <f t="shared" si="232"/>
        <v>655.61166699989394</v>
      </c>
      <c r="CI31" s="20">
        <f t="shared" si="232"/>
        <v>0</v>
      </c>
      <c r="CJ31" s="20">
        <f t="shared" si="232"/>
        <v>0</v>
      </c>
      <c r="CK31" s="20">
        <f t="shared" si="232"/>
        <v>0</v>
      </c>
      <c r="CL31" s="20">
        <f t="shared" si="232"/>
        <v>652.34991741283</v>
      </c>
      <c r="CM31" s="20">
        <f t="shared" si="232"/>
        <v>0</v>
      </c>
      <c r="CN31" s="20">
        <f t="shared" si="232"/>
        <v>0</v>
      </c>
      <c r="CO31" s="20">
        <f t="shared" si="232"/>
        <v>0</v>
      </c>
      <c r="CP31" s="20">
        <f t="shared" si="232"/>
        <v>649.10439543565201</v>
      </c>
      <c r="CQ31" s="20">
        <f t="shared" si="232"/>
        <v>0</v>
      </c>
      <c r="CR31" s="20">
        <f t="shared" si="232"/>
        <v>0</v>
      </c>
      <c r="CS31" s="20">
        <f t="shared" si="232"/>
        <v>0</v>
      </c>
      <c r="CT31" s="20">
        <f t="shared" si="232"/>
        <v>645.87502033398232</v>
      </c>
      <c r="CU31" s="20">
        <f t="shared" si="232"/>
        <v>0</v>
      </c>
      <c r="CV31" s="20">
        <f t="shared" si="232"/>
        <v>0</v>
      </c>
      <c r="CW31" s="20">
        <f t="shared" si="232"/>
        <v>0</v>
      </c>
      <c r="CX31" s="20">
        <f t="shared" si="232"/>
        <v>642.66171177510694</v>
      </c>
      <c r="CY31" s="20">
        <f t="shared" si="232"/>
        <v>0</v>
      </c>
      <c r="CZ31" s="20">
        <f t="shared" si="232"/>
        <v>0</v>
      </c>
      <c r="DA31" s="20">
        <f t="shared" si="232"/>
        <v>0</v>
      </c>
      <c r="DB31" s="20">
        <f t="shared" si="232"/>
        <v>639.46438982597726</v>
      </c>
      <c r="DC31" s="20">
        <f t="shared" si="232"/>
        <v>0</v>
      </c>
      <c r="DD31" s="20">
        <f t="shared" si="232"/>
        <v>0</v>
      </c>
      <c r="DE31" s="20">
        <f t="shared" si="232"/>
        <v>0</v>
      </c>
      <c r="DF31" s="20">
        <f t="shared" si="232"/>
        <v>636.28297495122138</v>
      </c>
      <c r="DG31" s="20">
        <f t="shared" si="232"/>
        <v>0</v>
      </c>
      <c r="DH31" s="20">
        <f t="shared" si="232"/>
        <v>0</v>
      </c>
      <c r="DI31" s="20">
        <f t="shared" si="232"/>
        <v>0</v>
      </c>
      <c r="DJ31" s="20">
        <f t="shared" si="232"/>
        <v>633.11738801116564</v>
      </c>
      <c r="DK31" s="20">
        <f t="shared" si="232"/>
        <v>0</v>
      </c>
      <c r="DL31" s="20">
        <f t="shared" si="232"/>
        <v>0</v>
      </c>
      <c r="DM31" s="20">
        <f t="shared" si="232"/>
        <v>0</v>
      </c>
      <c r="DN31" s="20">
        <f t="shared" si="232"/>
        <v>629.96755025986658</v>
      </c>
      <c r="DO31" s="20">
        <f t="shared" si="232"/>
        <v>0</v>
      </c>
      <c r="DP31" s="20">
        <f t="shared" si="232"/>
        <v>0</v>
      </c>
      <c r="DQ31" s="20">
        <f t="shared" si="232"/>
        <v>0</v>
      </c>
    </row>
    <row r="32" spans="3:121" x14ac:dyDescent="0.35">
      <c r="C32" s="20" t="s">
        <v>185</v>
      </c>
      <c r="F32" s="20" t="s">
        <v>48</v>
      </c>
      <c r="G32" s="35">
        <f>Assumptions!J37</f>
        <v>0.20623124999999995</v>
      </c>
      <c r="H32" s="45">
        <f>Assumptions!I37</f>
        <v>672</v>
      </c>
      <c r="I32" s="54">
        <f t="shared" ref="I32:I43" si="233">SUM(K32:BR32)</f>
        <v>10453.772717937123</v>
      </c>
      <c r="K32" s="20">
        <f>$G32*$H32*K19*K$16/1000</f>
        <v>0</v>
      </c>
      <c r="L32" s="20">
        <f t="shared" ref="L32:BW36" si="234">$G32*$H32*L19*L$16/1000</f>
        <v>0</v>
      </c>
      <c r="M32" s="20">
        <f t="shared" si="234"/>
        <v>0</v>
      </c>
      <c r="N32" s="20">
        <f t="shared" si="234"/>
        <v>0</v>
      </c>
      <c r="O32" s="20">
        <f t="shared" si="234"/>
        <v>0</v>
      </c>
      <c r="P32" s="20">
        <f t="shared" si="234"/>
        <v>0</v>
      </c>
      <c r="Q32" s="20">
        <f t="shared" si="234"/>
        <v>0</v>
      </c>
      <c r="R32" s="20">
        <f t="shared" si="234"/>
        <v>0</v>
      </c>
      <c r="S32" s="20">
        <f t="shared" si="234"/>
        <v>0</v>
      </c>
      <c r="T32" s="20">
        <f t="shared" si="234"/>
        <v>0</v>
      </c>
      <c r="U32" s="20">
        <f t="shared" si="234"/>
        <v>0</v>
      </c>
      <c r="V32" s="20">
        <f t="shared" si="234"/>
        <v>828.41976346215893</v>
      </c>
      <c r="W32" s="20">
        <f t="shared" si="234"/>
        <v>0</v>
      </c>
      <c r="X32" s="20">
        <f t="shared" si="234"/>
        <v>0</v>
      </c>
      <c r="Y32" s="20">
        <f t="shared" si="234"/>
        <v>0</v>
      </c>
      <c r="Z32" s="20">
        <f t="shared" si="234"/>
        <v>824.29827210165092</v>
      </c>
      <c r="AA32" s="20">
        <f t="shared" si="234"/>
        <v>0</v>
      </c>
      <c r="AB32" s="20">
        <f t="shared" si="234"/>
        <v>0</v>
      </c>
      <c r="AC32" s="20">
        <f t="shared" si="234"/>
        <v>0</v>
      </c>
      <c r="AD32" s="20">
        <f t="shared" si="234"/>
        <v>820.19728567328491</v>
      </c>
      <c r="AE32" s="20">
        <f t="shared" si="234"/>
        <v>0</v>
      </c>
      <c r="AF32" s="20">
        <f t="shared" si="234"/>
        <v>0</v>
      </c>
      <c r="AG32" s="20">
        <f t="shared" si="234"/>
        <v>0</v>
      </c>
      <c r="AH32" s="20">
        <f t="shared" si="234"/>
        <v>816.11670216247273</v>
      </c>
      <c r="AI32" s="20">
        <f t="shared" si="234"/>
        <v>0</v>
      </c>
      <c r="AJ32" s="20">
        <f t="shared" si="234"/>
        <v>0</v>
      </c>
      <c r="AK32" s="20">
        <f t="shared" si="234"/>
        <v>0</v>
      </c>
      <c r="AL32" s="20">
        <f t="shared" si="234"/>
        <v>812.05642006216215</v>
      </c>
      <c r="AM32" s="20">
        <f t="shared" si="234"/>
        <v>0</v>
      </c>
      <c r="AN32" s="20">
        <f t="shared" si="234"/>
        <v>0</v>
      </c>
      <c r="AO32" s="20">
        <f t="shared" si="234"/>
        <v>0</v>
      </c>
      <c r="AP32" s="20">
        <f t="shared" si="234"/>
        <v>808.01633837031079</v>
      </c>
      <c r="AQ32" s="20">
        <f t="shared" si="234"/>
        <v>0</v>
      </c>
      <c r="AR32" s="20">
        <f t="shared" si="234"/>
        <v>0</v>
      </c>
      <c r="AS32" s="20">
        <f t="shared" si="234"/>
        <v>0</v>
      </c>
      <c r="AT32" s="20">
        <f t="shared" si="234"/>
        <v>803.99635658737418</v>
      </c>
      <c r="AU32" s="20">
        <f t="shared" si="234"/>
        <v>0</v>
      </c>
      <c r="AV32" s="20">
        <f t="shared" si="234"/>
        <v>0</v>
      </c>
      <c r="AW32" s="20">
        <f t="shared" si="234"/>
        <v>0</v>
      </c>
      <c r="AX32" s="20">
        <f t="shared" si="234"/>
        <v>799.99637471380538</v>
      </c>
      <c r="AY32" s="20">
        <f t="shared" si="234"/>
        <v>0</v>
      </c>
      <c r="AZ32" s="20">
        <f t="shared" si="234"/>
        <v>0</v>
      </c>
      <c r="BA32" s="20">
        <f t="shared" si="234"/>
        <v>0</v>
      </c>
      <c r="BB32" s="20">
        <f t="shared" si="234"/>
        <v>796.01629324756789</v>
      </c>
      <c r="BC32" s="20">
        <f t="shared" si="234"/>
        <v>0</v>
      </c>
      <c r="BD32" s="20">
        <f t="shared" si="234"/>
        <v>0</v>
      </c>
      <c r="BE32" s="20">
        <f t="shared" si="234"/>
        <v>0</v>
      </c>
      <c r="BF32" s="20">
        <f t="shared" si="234"/>
        <v>792.05601318165975</v>
      </c>
      <c r="BG32" s="20">
        <f t="shared" si="234"/>
        <v>0</v>
      </c>
      <c r="BH32" s="20">
        <f t="shared" si="234"/>
        <v>0</v>
      </c>
      <c r="BI32" s="20">
        <f t="shared" si="234"/>
        <v>0</v>
      </c>
      <c r="BJ32" s="20">
        <f t="shared" si="234"/>
        <v>788.11543600165169</v>
      </c>
      <c r="BK32" s="20">
        <f t="shared" si="234"/>
        <v>0</v>
      </c>
      <c r="BL32" s="20">
        <f t="shared" si="234"/>
        <v>0</v>
      </c>
      <c r="BM32" s="20">
        <f t="shared" si="234"/>
        <v>0</v>
      </c>
      <c r="BN32" s="20">
        <f t="shared" si="234"/>
        <v>784.19446368323565</v>
      </c>
      <c r="BO32" s="20">
        <f t="shared" si="234"/>
        <v>0</v>
      </c>
      <c r="BP32" s="20">
        <f t="shared" si="234"/>
        <v>0</v>
      </c>
      <c r="BQ32" s="20">
        <f t="shared" si="234"/>
        <v>0</v>
      </c>
      <c r="BR32" s="20">
        <f t="shared" si="234"/>
        <v>780.29299868978717</v>
      </c>
      <c r="BS32" s="20">
        <f t="shared" si="234"/>
        <v>0</v>
      </c>
      <c r="BT32" s="20">
        <f t="shared" si="234"/>
        <v>0</v>
      </c>
      <c r="BU32" s="20">
        <f t="shared" si="234"/>
        <v>0</v>
      </c>
      <c r="BV32" s="20">
        <f t="shared" si="234"/>
        <v>776.41094396993776</v>
      </c>
      <c r="BW32" s="20">
        <f t="shared" si="234"/>
        <v>0</v>
      </c>
      <c r="BX32" s="20">
        <f t="shared" ref="BX32:DQ35" si="235">$G32*$H32*BX19*BX$16/1000</f>
        <v>0</v>
      </c>
      <c r="BY32" s="20">
        <f t="shared" si="235"/>
        <v>0</v>
      </c>
      <c r="BZ32" s="20">
        <f t="shared" si="235"/>
        <v>772.5482029551622</v>
      </c>
      <c r="CA32" s="20">
        <f t="shared" si="235"/>
        <v>0</v>
      </c>
      <c r="CB32" s="20">
        <f t="shared" si="235"/>
        <v>0</v>
      </c>
      <c r="CC32" s="20">
        <f t="shared" si="235"/>
        <v>0</v>
      </c>
      <c r="CD32" s="20">
        <f t="shared" si="235"/>
        <v>768.70467955737547</v>
      </c>
      <c r="CE32" s="20">
        <f t="shared" si="235"/>
        <v>0</v>
      </c>
      <c r="CF32" s="20">
        <f t="shared" si="235"/>
        <v>0</v>
      </c>
      <c r="CG32" s="20">
        <f t="shared" si="235"/>
        <v>0</v>
      </c>
      <c r="CH32" s="20">
        <f t="shared" si="235"/>
        <v>764.88027816654301</v>
      </c>
      <c r="CI32" s="20">
        <f t="shared" si="235"/>
        <v>0</v>
      </c>
      <c r="CJ32" s="20">
        <f t="shared" si="235"/>
        <v>0</v>
      </c>
      <c r="CK32" s="20">
        <f t="shared" si="235"/>
        <v>0</v>
      </c>
      <c r="CL32" s="20">
        <f t="shared" si="235"/>
        <v>761.07490364830176</v>
      </c>
      <c r="CM32" s="20">
        <f t="shared" si="235"/>
        <v>0</v>
      </c>
      <c r="CN32" s="20">
        <f t="shared" si="235"/>
        <v>0</v>
      </c>
      <c r="CO32" s="20">
        <f t="shared" si="235"/>
        <v>0</v>
      </c>
      <c r="CP32" s="20">
        <f t="shared" si="235"/>
        <v>757.28846134159403</v>
      </c>
      <c r="CQ32" s="20">
        <f t="shared" si="235"/>
        <v>0</v>
      </c>
      <c r="CR32" s="20">
        <f t="shared" si="235"/>
        <v>0</v>
      </c>
      <c r="CS32" s="20">
        <f t="shared" si="235"/>
        <v>0</v>
      </c>
      <c r="CT32" s="20">
        <f t="shared" si="235"/>
        <v>753.52085705631259</v>
      </c>
      <c r="CU32" s="20">
        <f t="shared" si="235"/>
        <v>0</v>
      </c>
      <c r="CV32" s="20">
        <f t="shared" si="235"/>
        <v>0</v>
      </c>
      <c r="CW32" s="20">
        <f t="shared" si="235"/>
        <v>0</v>
      </c>
      <c r="CX32" s="20">
        <f t="shared" si="235"/>
        <v>749.77199707095815</v>
      </c>
      <c r="CY32" s="20">
        <f t="shared" si="235"/>
        <v>0</v>
      </c>
      <c r="CZ32" s="20">
        <f t="shared" si="235"/>
        <v>0</v>
      </c>
      <c r="DA32" s="20">
        <f t="shared" si="235"/>
        <v>0</v>
      </c>
      <c r="DB32" s="20">
        <f t="shared" si="235"/>
        <v>746.04178813030671</v>
      </c>
      <c r="DC32" s="20">
        <f t="shared" si="235"/>
        <v>0</v>
      </c>
      <c r="DD32" s="20">
        <f t="shared" si="235"/>
        <v>0</v>
      </c>
      <c r="DE32" s="20">
        <f t="shared" si="235"/>
        <v>0</v>
      </c>
      <c r="DF32" s="20">
        <f t="shared" si="235"/>
        <v>742.33013744309164</v>
      </c>
      <c r="DG32" s="20">
        <f t="shared" si="235"/>
        <v>0</v>
      </c>
      <c r="DH32" s="20">
        <f t="shared" si="235"/>
        <v>0</v>
      </c>
      <c r="DI32" s="20">
        <f t="shared" si="235"/>
        <v>0</v>
      </c>
      <c r="DJ32" s="20">
        <f t="shared" si="235"/>
        <v>738.63695267969331</v>
      </c>
      <c r="DK32" s="20">
        <f t="shared" si="235"/>
        <v>0</v>
      </c>
      <c r="DL32" s="20">
        <f t="shared" si="235"/>
        <v>0</v>
      </c>
      <c r="DM32" s="20">
        <f t="shared" si="235"/>
        <v>0</v>
      </c>
      <c r="DN32" s="20">
        <f t="shared" si="235"/>
        <v>734.96214196984442</v>
      </c>
      <c r="DO32" s="20">
        <f t="shared" si="235"/>
        <v>0</v>
      </c>
      <c r="DP32" s="20">
        <f t="shared" si="235"/>
        <v>0</v>
      </c>
      <c r="DQ32" s="20">
        <f t="shared" si="235"/>
        <v>0</v>
      </c>
    </row>
    <row r="33" spans="2:1006" x14ac:dyDescent="0.35">
      <c r="C33" s="20" t="s">
        <v>186</v>
      </c>
      <c r="F33" s="20" t="s">
        <v>48</v>
      </c>
      <c r="G33" s="35">
        <f>Assumptions!J38</f>
        <v>0.26314811827956985</v>
      </c>
      <c r="H33" s="45">
        <f>Assumptions!I38</f>
        <v>744</v>
      </c>
      <c r="I33" s="54">
        <f t="shared" si="233"/>
        <v>13648.680490151208</v>
      </c>
      <c r="K33" s="20">
        <f t="shared" ref="K33:Z42" si="236">$G33*$H33*K20*K$16/1000</f>
        <v>0</v>
      </c>
      <c r="L33" s="20">
        <f t="shared" si="236"/>
        <v>0</v>
      </c>
      <c r="M33" s="20">
        <f t="shared" si="236"/>
        <v>0</v>
      </c>
      <c r="N33" s="20">
        <f t="shared" si="236"/>
        <v>0</v>
      </c>
      <c r="O33" s="20">
        <f t="shared" si="236"/>
        <v>0</v>
      </c>
      <c r="P33" s="20">
        <f t="shared" si="236"/>
        <v>0</v>
      </c>
      <c r="Q33" s="20">
        <f t="shared" si="236"/>
        <v>0</v>
      </c>
      <c r="R33" s="20">
        <f t="shared" si="236"/>
        <v>0</v>
      </c>
      <c r="S33" s="20">
        <f t="shared" si="236"/>
        <v>0</v>
      </c>
      <c r="T33" s="20">
        <f t="shared" si="236"/>
        <v>0</v>
      </c>
      <c r="U33" s="20">
        <f t="shared" si="236"/>
        <v>0</v>
      </c>
      <c r="V33" s="20">
        <f t="shared" si="236"/>
        <v>0</v>
      </c>
      <c r="W33" s="20">
        <f t="shared" si="236"/>
        <v>1168.8489552238807</v>
      </c>
      <c r="X33" s="20">
        <f t="shared" si="236"/>
        <v>0</v>
      </c>
      <c r="Y33" s="20">
        <f t="shared" si="236"/>
        <v>0</v>
      </c>
      <c r="Z33" s="20">
        <f t="shared" si="236"/>
        <v>0</v>
      </c>
      <c r="AA33" s="20">
        <f t="shared" si="234"/>
        <v>1163.0337862924191</v>
      </c>
      <c r="AB33" s="20">
        <f t="shared" si="234"/>
        <v>0</v>
      </c>
      <c r="AC33" s="20">
        <f t="shared" si="234"/>
        <v>0</v>
      </c>
      <c r="AD33" s="20">
        <f t="shared" si="234"/>
        <v>0</v>
      </c>
      <c r="AE33" s="20">
        <f t="shared" si="234"/>
        <v>1157.2475485496711</v>
      </c>
      <c r="AF33" s="20">
        <f t="shared" si="234"/>
        <v>0</v>
      </c>
      <c r="AG33" s="20">
        <f t="shared" si="234"/>
        <v>0</v>
      </c>
      <c r="AH33" s="20">
        <f t="shared" si="234"/>
        <v>0</v>
      </c>
      <c r="AI33" s="20">
        <f t="shared" si="234"/>
        <v>1151.4900980593745</v>
      </c>
      <c r="AJ33" s="20">
        <f t="shared" si="234"/>
        <v>0</v>
      </c>
      <c r="AK33" s="20">
        <f t="shared" si="234"/>
        <v>0</v>
      </c>
      <c r="AL33" s="20">
        <f t="shared" si="234"/>
        <v>0</v>
      </c>
      <c r="AM33" s="20">
        <f t="shared" si="234"/>
        <v>1145.7612916013682</v>
      </c>
      <c r="AN33" s="20">
        <f t="shared" si="234"/>
        <v>0</v>
      </c>
      <c r="AO33" s="20">
        <f t="shared" si="234"/>
        <v>0</v>
      </c>
      <c r="AP33" s="20">
        <f t="shared" si="234"/>
        <v>0</v>
      </c>
      <c r="AQ33" s="20">
        <f t="shared" si="234"/>
        <v>1140.0609866680281</v>
      </c>
      <c r="AR33" s="20">
        <f t="shared" si="234"/>
        <v>0</v>
      </c>
      <c r="AS33" s="20">
        <f t="shared" si="234"/>
        <v>0</v>
      </c>
      <c r="AT33" s="20">
        <f t="shared" si="234"/>
        <v>0</v>
      </c>
      <c r="AU33" s="20">
        <f t="shared" si="234"/>
        <v>1134.3890414607249</v>
      </c>
      <c r="AV33" s="20">
        <f t="shared" si="234"/>
        <v>0</v>
      </c>
      <c r="AW33" s="20">
        <f t="shared" si="234"/>
        <v>0</v>
      </c>
      <c r="AX33" s="20">
        <f t="shared" si="234"/>
        <v>0</v>
      </c>
      <c r="AY33" s="20">
        <f t="shared" si="234"/>
        <v>1128.7453148862937</v>
      </c>
      <c r="AZ33" s="20">
        <f t="shared" si="234"/>
        <v>0</v>
      </c>
      <c r="BA33" s="20">
        <f t="shared" si="234"/>
        <v>0</v>
      </c>
      <c r="BB33" s="20">
        <f t="shared" si="234"/>
        <v>0</v>
      </c>
      <c r="BC33" s="20">
        <f t="shared" si="234"/>
        <v>1123.1296665535265</v>
      </c>
      <c r="BD33" s="20">
        <f t="shared" si="234"/>
        <v>0</v>
      </c>
      <c r="BE33" s="20">
        <f t="shared" si="234"/>
        <v>0</v>
      </c>
      <c r="BF33" s="20">
        <f t="shared" si="234"/>
        <v>0</v>
      </c>
      <c r="BG33" s="20">
        <f t="shared" si="234"/>
        <v>1117.5419567696786</v>
      </c>
      <c r="BH33" s="20">
        <f t="shared" si="234"/>
        <v>0</v>
      </c>
      <c r="BI33" s="20">
        <f t="shared" si="234"/>
        <v>0</v>
      </c>
      <c r="BJ33" s="20">
        <f t="shared" si="234"/>
        <v>0</v>
      </c>
      <c r="BK33" s="20">
        <f t="shared" si="234"/>
        <v>1111.9820465369937</v>
      </c>
      <c r="BL33" s="20">
        <f t="shared" si="234"/>
        <v>0</v>
      </c>
      <c r="BM33" s="20">
        <f t="shared" si="234"/>
        <v>0</v>
      </c>
      <c r="BN33" s="20">
        <f t="shared" si="234"/>
        <v>0</v>
      </c>
      <c r="BO33" s="20">
        <f t="shared" si="234"/>
        <v>1106.4497975492477</v>
      </c>
      <c r="BP33" s="20">
        <f t="shared" si="234"/>
        <v>0</v>
      </c>
      <c r="BQ33" s="20">
        <f t="shared" si="234"/>
        <v>0</v>
      </c>
      <c r="BR33" s="20">
        <f t="shared" si="234"/>
        <v>0</v>
      </c>
      <c r="BS33" s="20">
        <f t="shared" si="234"/>
        <v>1100.9450721883068</v>
      </c>
      <c r="BT33" s="20">
        <f t="shared" si="234"/>
        <v>0</v>
      </c>
      <c r="BU33" s="20">
        <f t="shared" si="234"/>
        <v>0</v>
      </c>
      <c r="BV33" s="20">
        <f t="shared" si="234"/>
        <v>0</v>
      </c>
      <c r="BW33" s="20">
        <f t="shared" si="234"/>
        <v>1095.4677335207036</v>
      </c>
      <c r="BX33" s="20">
        <f t="shared" si="235"/>
        <v>0</v>
      </c>
      <c r="BY33" s="20">
        <f t="shared" si="235"/>
        <v>0</v>
      </c>
      <c r="BZ33" s="20">
        <f t="shared" si="235"/>
        <v>0</v>
      </c>
      <c r="CA33" s="20">
        <f t="shared" si="235"/>
        <v>1090.0176452942328</v>
      </c>
      <c r="CB33" s="20">
        <f t="shared" si="235"/>
        <v>0</v>
      </c>
      <c r="CC33" s="20">
        <f t="shared" si="235"/>
        <v>0</v>
      </c>
      <c r="CD33" s="20">
        <f t="shared" si="235"/>
        <v>0</v>
      </c>
      <c r="CE33" s="20">
        <f t="shared" si="235"/>
        <v>1084.5946719345604</v>
      </c>
      <c r="CF33" s="20">
        <f t="shared" si="235"/>
        <v>0</v>
      </c>
      <c r="CG33" s="20">
        <f t="shared" si="235"/>
        <v>0</v>
      </c>
      <c r="CH33" s="20">
        <f t="shared" si="235"/>
        <v>0</v>
      </c>
      <c r="CI33" s="20">
        <f t="shared" si="235"/>
        <v>1079.1986785418515</v>
      </c>
      <c r="CJ33" s="20">
        <f t="shared" si="235"/>
        <v>0</v>
      </c>
      <c r="CK33" s="20">
        <f t="shared" si="235"/>
        <v>0</v>
      </c>
      <c r="CL33" s="20">
        <f t="shared" si="235"/>
        <v>0</v>
      </c>
      <c r="CM33" s="20">
        <f t="shared" si="235"/>
        <v>1073.8295308874146</v>
      </c>
      <c r="CN33" s="20">
        <f t="shared" si="235"/>
        <v>0</v>
      </c>
      <c r="CO33" s="20">
        <f t="shared" si="235"/>
        <v>0</v>
      </c>
      <c r="CP33" s="20">
        <f t="shared" si="235"/>
        <v>0</v>
      </c>
      <c r="CQ33" s="20">
        <f t="shared" si="235"/>
        <v>1068.4870954103633</v>
      </c>
      <c r="CR33" s="20">
        <f t="shared" si="235"/>
        <v>0</v>
      </c>
      <c r="CS33" s="20">
        <f t="shared" si="235"/>
        <v>0</v>
      </c>
      <c r="CT33" s="20">
        <f t="shared" si="235"/>
        <v>0</v>
      </c>
      <c r="CU33" s="20">
        <f t="shared" si="235"/>
        <v>1063.171239214292</v>
      </c>
      <c r="CV33" s="20">
        <f t="shared" si="235"/>
        <v>0</v>
      </c>
      <c r="CW33" s="20">
        <f t="shared" si="235"/>
        <v>0</v>
      </c>
      <c r="CX33" s="20">
        <f t="shared" si="235"/>
        <v>0</v>
      </c>
      <c r="CY33" s="20">
        <f t="shared" si="235"/>
        <v>1057.8818300639723</v>
      </c>
      <c r="CZ33" s="20">
        <f t="shared" si="235"/>
        <v>0</v>
      </c>
      <c r="DA33" s="20">
        <f t="shared" si="235"/>
        <v>0</v>
      </c>
      <c r="DB33" s="20">
        <f t="shared" si="235"/>
        <v>0</v>
      </c>
      <c r="DC33" s="20">
        <f t="shared" si="235"/>
        <v>1052.6187363820625</v>
      </c>
      <c r="DD33" s="20">
        <f t="shared" si="235"/>
        <v>0</v>
      </c>
      <c r="DE33" s="20">
        <f t="shared" si="235"/>
        <v>0</v>
      </c>
      <c r="DF33" s="20">
        <f t="shared" si="235"/>
        <v>0</v>
      </c>
      <c r="DG33" s="20">
        <f t="shared" si="235"/>
        <v>1047.3818272458336</v>
      </c>
      <c r="DH33" s="20">
        <f t="shared" si="235"/>
        <v>0</v>
      </c>
      <c r="DI33" s="20">
        <f t="shared" si="235"/>
        <v>0</v>
      </c>
      <c r="DJ33" s="20">
        <f t="shared" si="235"/>
        <v>0</v>
      </c>
      <c r="DK33" s="20">
        <f t="shared" si="235"/>
        <v>1042.1709723839144</v>
      </c>
      <c r="DL33" s="20">
        <f t="shared" si="235"/>
        <v>0</v>
      </c>
      <c r="DM33" s="20">
        <f t="shared" si="235"/>
        <v>0</v>
      </c>
      <c r="DN33" s="20">
        <f t="shared" si="235"/>
        <v>0</v>
      </c>
      <c r="DO33" s="20">
        <f t="shared" si="235"/>
        <v>1036.9860421730496</v>
      </c>
      <c r="DP33" s="20">
        <f t="shared" si="235"/>
        <v>0</v>
      </c>
      <c r="DQ33" s="20">
        <f t="shared" si="235"/>
        <v>0</v>
      </c>
    </row>
    <row r="34" spans="2:1006" x14ac:dyDescent="0.35">
      <c r="C34" s="20" t="s">
        <v>187</v>
      </c>
      <c r="F34" s="20" t="s">
        <v>48</v>
      </c>
      <c r="G34" s="35">
        <f>Assumptions!J39</f>
        <v>0.2871961111111111</v>
      </c>
      <c r="H34" s="45">
        <f>Assumptions!I39</f>
        <v>720</v>
      </c>
      <c r="I34" s="54">
        <f t="shared" si="233"/>
        <v>14415.460292968692</v>
      </c>
      <c r="K34" s="20">
        <f t="shared" si="236"/>
        <v>0</v>
      </c>
      <c r="L34" s="20">
        <f t="shared" si="236"/>
        <v>0</v>
      </c>
      <c r="M34" s="20">
        <f t="shared" si="236"/>
        <v>0</v>
      </c>
      <c r="N34" s="20">
        <f t="shared" si="236"/>
        <v>0</v>
      </c>
      <c r="O34" s="20">
        <f t="shared" si="236"/>
        <v>0</v>
      </c>
      <c r="P34" s="20">
        <f t="shared" si="236"/>
        <v>0</v>
      </c>
      <c r="Q34" s="20">
        <f t="shared" si="236"/>
        <v>0</v>
      </c>
      <c r="R34" s="20">
        <f t="shared" si="236"/>
        <v>0</v>
      </c>
      <c r="S34" s="20">
        <f t="shared" si="236"/>
        <v>0</v>
      </c>
      <c r="T34" s="20">
        <f t="shared" si="236"/>
        <v>0</v>
      </c>
      <c r="U34" s="20">
        <f t="shared" si="236"/>
        <v>0</v>
      </c>
      <c r="V34" s="20">
        <f t="shared" si="236"/>
        <v>0</v>
      </c>
      <c r="W34" s="20">
        <f t="shared" si="236"/>
        <v>1234.514626865672</v>
      </c>
      <c r="X34" s="20">
        <f t="shared" si="236"/>
        <v>0</v>
      </c>
      <c r="Y34" s="20">
        <f t="shared" si="236"/>
        <v>0</v>
      </c>
      <c r="Z34" s="20">
        <f t="shared" si="236"/>
        <v>0</v>
      </c>
      <c r="AA34" s="20">
        <f t="shared" si="234"/>
        <v>1228.3727630504204</v>
      </c>
      <c r="AB34" s="20">
        <f t="shared" si="234"/>
        <v>0</v>
      </c>
      <c r="AC34" s="20">
        <f t="shared" si="234"/>
        <v>0</v>
      </c>
      <c r="AD34" s="20">
        <f t="shared" si="234"/>
        <v>0</v>
      </c>
      <c r="AE34" s="20">
        <f t="shared" si="234"/>
        <v>1222.2614557715629</v>
      </c>
      <c r="AF34" s="20">
        <f t="shared" si="234"/>
        <v>0</v>
      </c>
      <c r="AG34" s="20">
        <f t="shared" si="234"/>
        <v>0</v>
      </c>
      <c r="AH34" s="20">
        <f t="shared" si="234"/>
        <v>0</v>
      </c>
      <c r="AI34" s="20">
        <f t="shared" si="234"/>
        <v>1216.1805530065305</v>
      </c>
      <c r="AJ34" s="20">
        <f t="shared" si="234"/>
        <v>0</v>
      </c>
      <c r="AK34" s="20">
        <f t="shared" si="234"/>
        <v>0</v>
      </c>
      <c r="AL34" s="20">
        <f t="shared" si="234"/>
        <v>0</v>
      </c>
      <c r="AM34" s="20">
        <f t="shared" si="234"/>
        <v>1210.1299034890856</v>
      </c>
      <c r="AN34" s="20">
        <f t="shared" si="234"/>
        <v>0</v>
      </c>
      <c r="AO34" s="20">
        <f t="shared" si="234"/>
        <v>0</v>
      </c>
      <c r="AP34" s="20">
        <f t="shared" si="234"/>
        <v>0</v>
      </c>
      <c r="AQ34" s="20">
        <f t="shared" si="234"/>
        <v>1204.109356705558</v>
      </c>
      <c r="AR34" s="20">
        <f t="shared" si="234"/>
        <v>0</v>
      </c>
      <c r="AS34" s="20">
        <f t="shared" si="234"/>
        <v>0</v>
      </c>
      <c r="AT34" s="20">
        <f t="shared" si="234"/>
        <v>0</v>
      </c>
      <c r="AU34" s="20">
        <f t="shared" si="234"/>
        <v>1198.1187628911027</v>
      </c>
      <c r="AV34" s="20">
        <f t="shared" si="234"/>
        <v>0</v>
      </c>
      <c r="AW34" s="20">
        <f t="shared" si="234"/>
        <v>0</v>
      </c>
      <c r="AX34" s="20">
        <f t="shared" si="234"/>
        <v>0</v>
      </c>
      <c r="AY34" s="20">
        <f t="shared" si="234"/>
        <v>1192.1579730259734</v>
      </c>
      <c r="AZ34" s="20">
        <f t="shared" si="234"/>
        <v>0</v>
      </c>
      <c r="BA34" s="20">
        <f t="shared" si="234"/>
        <v>0</v>
      </c>
      <c r="BB34" s="20">
        <f t="shared" si="234"/>
        <v>0</v>
      </c>
      <c r="BC34" s="20">
        <f t="shared" si="234"/>
        <v>1186.2268388318148</v>
      </c>
      <c r="BD34" s="20">
        <f t="shared" si="234"/>
        <v>0</v>
      </c>
      <c r="BE34" s="20">
        <f t="shared" si="234"/>
        <v>0</v>
      </c>
      <c r="BF34" s="20">
        <f t="shared" si="234"/>
        <v>0</v>
      </c>
      <c r="BG34" s="20">
        <f t="shared" si="234"/>
        <v>1180.3252127679752</v>
      </c>
      <c r="BH34" s="20">
        <f t="shared" si="234"/>
        <v>0</v>
      </c>
      <c r="BI34" s="20">
        <f t="shared" si="234"/>
        <v>0</v>
      </c>
      <c r="BJ34" s="20">
        <f t="shared" si="234"/>
        <v>0</v>
      </c>
      <c r="BK34" s="20">
        <f t="shared" si="234"/>
        <v>1174.4529480278363</v>
      </c>
      <c r="BL34" s="20">
        <f t="shared" si="234"/>
        <v>0</v>
      </c>
      <c r="BM34" s="20">
        <f t="shared" si="234"/>
        <v>0</v>
      </c>
      <c r="BN34" s="20">
        <f t="shared" si="234"/>
        <v>0</v>
      </c>
      <c r="BO34" s="20">
        <f t="shared" si="234"/>
        <v>1168.6098985351607</v>
      </c>
      <c r="BP34" s="20">
        <f t="shared" si="234"/>
        <v>0</v>
      </c>
      <c r="BQ34" s="20">
        <f t="shared" si="234"/>
        <v>0</v>
      </c>
      <c r="BR34" s="20">
        <f t="shared" si="234"/>
        <v>0</v>
      </c>
      <c r="BS34" s="20">
        <f t="shared" si="234"/>
        <v>1162.7959189404589</v>
      </c>
      <c r="BT34" s="20">
        <f t="shared" si="234"/>
        <v>0</v>
      </c>
      <c r="BU34" s="20">
        <f t="shared" si="234"/>
        <v>0</v>
      </c>
      <c r="BV34" s="20">
        <f t="shared" si="234"/>
        <v>0</v>
      </c>
      <c r="BW34" s="20">
        <f t="shared" si="234"/>
        <v>1157.0108646173726</v>
      </c>
      <c r="BX34" s="20">
        <f t="shared" si="235"/>
        <v>0</v>
      </c>
      <c r="BY34" s="20">
        <f t="shared" si="235"/>
        <v>0</v>
      </c>
      <c r="BZ34" s="20">
        <f t="shared" si="235"/>
        <v>0</v>
      </c>
      <c r="CA34" s="20">
        <f t="shared" si="235"/>
        <v>1151.2545916590775</v>
      </c>
      <c r="CB34" s="20">
        <f t="shared" si="235"/>
        <v>0</v>
      </c>
      <c r="CC34" s="20">
        <f t="shared" si="235"/>
        <v>0</v>
      </c>
      <c r="CD34" s="20">
        <f t="shared" si="235"/>
        <v>0</v>
      </c>
      <c r="CE34" s="20">
        <f t="shared" si="235"/>
        <v>1145.5269568747044</v>
      </c>
      <c r="CF34" s="20">
        <f t="shared" si="235"/>
        <v>0</v>
      </c>
      <c r="CG34" s="20">
        <f t="shared" si="235"/>
        <v>0</v>
      </c>
      <c r="CH34" s="20">
        <f t="shared" si="235"/>
        <v>0</v>
      </c>
      <c r="CI34" s="20">
        <f t="shared" si="235"/>
        <v>1139.827817785776</v>
      </c>
      <c r="CJ34" s="20">
        <f t="shared" si="235"/>
        <v>0</v>
      </c>
      <c r="CK34" s="20">
        <f t="shared" si="235"/>
        <v>0</v>
      </c>
      <c r="CL34" s="20">
        <f t="shared" si="235"/>
        <v>0</v>
      </c>
      <c r="CM34" s="20">
        <f t="shared" si="235"/>
        <v>1134.1570326226629</v>
      </c>
      <c r="CN34" s="20">
        <f t="shared" si="235"/>
        <v>0</v>
      </c>
      <c r="CO34" s="20">
        <f t="shared" si="235"/>
        <v>0</v>
      </c>
      <c r="CP34" s="20">
        <f t="shared" si="235"/>
        <v>0</v>
      </c>
      <c r="CQ34" s="20">
        <f t="shared" si="235"/>
        <v>1128.5144603210579</v>
      </c>
      <c r="CR34" s="20">
        <f t="shared" si="235"/>
        <v>0</v>
      </c>
      <c r="CS34" s="20">
        <f t="shared" si="235"/>
        <v>0</v>
      </c>
      <c r="CT34" s="20">
        <f t="shared" si="235"/>
        <v>0</v>
      </c>
      <c r="CU34" s="20">
        <f t="shared" si="235"/>
        <v>1122.8999605184661</v>
      </c>
      <c r="CV34" s="20">
        <f t="shared" si="235"/>
        <v>0</v>
      </c>
      <c r="CW34" s="20">
        <f t="shared" si="235"/>
        <v>0</v>
      </c>
      <c r="CX34" s="20">
        <f t="shared" si="235"/>
        <v>0</v>
      </c>
      <c r="CY34" s="20">
        <f t="shared" si="235"/>
        <v>1117.3133935507126</v>
      </c>
      <c r="CZ34" s="20">
        <f t="shared" si="235"/>
        <v>0</v>
      </c>
      <c r="DA34" s="20">
        <f t="shared" si="235"/>
        <v>0</v>
      </c>
      <c r="DB34" s="20">
        <f t="shared" si="235"/>
        <v>0</v>
      </c>
      <c r="DC34" s="20">
        <f t="shared" si="235"/>
        <v>1111.7546204484706</v>
      </c>
      <c r="DD34" s="20">
        <f t="shared" si="235"/>
        <v>0</v>
      </c>
      <c r="DE34" s="20">
        <f t="shared" si="235"/>
        <v>0</v>
      </c>
      <c r="DF34" s="20">
        <f t="shared" si="235"/>
        <v>0</v>
      </c>
      <c r="DG34" s="20">
        <f t="shared" si="235"/>
        <v>1106.2235029338021</v>
      </c>
      <c r="DH34" s="20">
        <f t="shared" si="235"/>
        <v>0</v>
      </c>
      <c r="DI34" s="20">
        <f t="shared" si="235"/>
        <v>0</v>
      </c>
      <c r="DJ34" s="20">
        <f t="shared" si="235"/>
        <v>0</v>
      </c>
      <c r="DK34" s="20">
        <f t="shared" si="235"/>
        <v>1100.7199034167188</v>
      </c>
      <c r="DL34" s="20">
        <f t="shared" si="235"/>
        <v>0</v>
      </c>
      <c r="DM34" s="20">
        <f t="shared" si="235"/>
        <v>0</v>
      </c>
      <c r="DN34" s="20">
        <f t="shared" si="235"/>
        <v>0</v>
      </c>
      <c r="DO34" s="20">
        <f t="shared" si="235"/>
        <v>1095.2436849917603</v>
      </c>
      <c r="DP34" s="20">
        <f t="shared" si="235"/>
        <v>0</v>
      </c>
      <c r="DQ34" s="20">
        <f t="shared" si="235"/>
        <v>0</v>
      </c>
    </row>
    <row r="35" spans="2:1006" x14ac:dyDescent="0.35">
      <c r="C35" s="20" t="s">
        <v>188</v>
      </c>
      <c r="F35" s="20" t="s">
        <v>48</v>
      </c>
      <c r="G35" s="35">
        <f>Assumptions!J40</f>
        <v>0.31341236559139779</v>
      </c>
      <c r="H35" s="45">
        <f>Assumptions!I40</f>
        <v>744</v>
      </c>
      <c r="I35" s="54">
        <f t="shared" si="233"/>
        <v>16255.73181973065</v>
      </c>
      <c r="K35" s="20">
        <f t="shared" si="236"/>
        <v>0</v>
      </c>
      <c r="L35" s="20">
        <f t="shared" si="236"/>
        <v>0</v>
      </c>
      <c r="M35" s="20">
        <f t="shared" si="236"/>
        <v>0</v>
      </c>
      <c r="N35" s="20">
        <f t="shared" si="236"/>
        <v>0</v>
      </c>
      <c r="O35" s="20">
        <f t="shared" si="236"/>
        <v>0</v>
      </c>
      <c r="P35" s="20">
        <f t="shared" si="236"/>
        <v>0</v>
      </c>
      <c r="Q35" s="20">
        <f t="shared" si="236"/>
        <v>0</v>
      </c>
      <c r="R35" s="20">
        <f t="shared" si="236"/>
        <v>0</v>
      </c>
      <c r="S35" s="20">
        <f t="shared" si="236"/>
        <v>0</v>
      </c>
      <c r="T35" s="20">
        <f t="shared" si="236"/>
        <v>0</v>
      </c>
      <c r="U35" s="20">
        <f t="shared" si="236"/>
        <v>0</v>
      </c>
      <c r="V35" s="20">
        <f t="shared" si="236"/>
        <v>0</v>
      </c>
      <c r="W35" s="20">
        <f t="shared" si="236"/>
        <v>1392.1122388059705</v>
      </c>
      <c r="X35" s="20">
        <f t="shared" si="236"/>
        <v>0</v>
      </c>
      <c r="Y35" s="20">
        <f t="shared" si="236"/>
        <v>0</v>
      </c>
      <c r="Z35" s="20">
        <f t="shared" si="236"/>
        <v>0</v>
      </c>
      <c r="AA35" s="20">
        <f t="shared" si="234"/>
        <v>1385.1863072696228</v>
      </c>
      <c r="AB35" s="20">
        <f t="shared" si="234"/>
        <v>0</v>
      </c>
      <c r="AC35" s="20">
        <f t="shared" si="234"/>
        <v>0</v>
      </c>
      <c r="AD35" s="20">
        <f t="shared" si="234"/>
        <v>0</v>
      </c>
      <c r="AE35" s="20">
        <f t="shared" si="234"/>
        <v>1378.294833104103</v>
      </c>
      <c r="AF35" s="20">
        <f t="shared" si="234"/>
        <v>0</v>
      </c>
      <c r="AG35" s="20">
        <f t="shared" si="234"/>
        <v>0</v>
      </c>
      <c r="AH35" s="20">
        <f t="shared" si="234"/>
        <v>0</v>
      </c>
      <c r="AI35" s="20">
        <f t="shared" si="234"/>
        <v>1371.4376448797045</v>
      </c>
      <c r="AJ35" s="20">
        <f t="shared" si="234"/>
        <v>0</v>
      </c>
      <c r="AK35" s="20">
        <f t="shared" si="234"/>
        <v>0</v>
      </c>
      <c r="AL35" s="20">
        <f t="shared" si="234"/>
        <v>0</v>
      </c>
      <c r="AM35" s="20">
        <f t="shared" si="234"/>
        <v>1364.6145720196073</v>
      </c>
      <c r="AN35" s="20">
        <f t="shared" si="234"/>
        <v>0</v>
      </c>
      <c r="AO35" s="20">
        <f t="shared" si="234"/>
        <v>0</v>
      </c>
      <c r="AP35" s="20">
        <f t="shared" si="234"/>
        <v>0</v>
      </c>
      <c r="AQ35" s="20">
        <f t="shared" si="234"/>
        <v>1357.8254447956292</v>
      </c>
      <c r="AR35" s="20">
        <f t="shared" si="234"/>
        <v>0</v>
      </c>
      <c r="AS35" s="20">
        <f t="shared" si="234"/>
        <v>0</v>
      </c>
      <c r="AT35" s="20">
        <f t="shared" si="234"/>
        <v>0</v>
      </c>
      <c r="AU35" s="20">
        <f t="shared" si="234"/>
        <v>1351.0700943240095</v>
      </c>
      <c r="AV35" s="20">
        <f t="shared" si="234"/>
        <v>0</v>
      </c>
      <c r="AW35" s="20">
        <f t="shared" si="234"/>
        <v>0</v>
      </c>
      <c r="AX35" s="20">
        <f t="shared" si="234"/>
        <v>0</v>
      </c>
      <c r="AY35" s="20">
        <f t="shared" si="234"/>
        <v>1344.3483525612037</v>
      </c>
      <c r="AZ35" s="20">
        <f t="shared" si="234"/>
        <v>0</v>
      </c>
      <c r="BA35" s="20">
        <f t="shared" si="234"/>
        <v>0</v>
      </c>
      <c r="BB35" s="20">
        <f t="shared" si="234"/>
        <v>0</v>
      </c>
      <c r="BC35" s="20">
        <f t="shared" si="234"/>
        <v>1337.6600522997057</v>
      </c>
      <c r="BD35" s="20">
        <f t="shared" si="234"/>
        <v>0</v>
      </c>
      <c r="BE35" s="20">
        <f t="shared" si="234"/>
        <v>0</v>
      </c>
      <c r="BF35" s="20">
        <f t="shared" si="234"/>
        <v>0</v>
      </c>
      <c r="BG35" s="20">
        <f t="shared" si="234"/>
        <v>1331.005027163887</v>
      </c>
      <c r="BH35" s="20">
        <f t="shared" si="234"/>
        <v>0</v>
      </c>
      <c r="BI35" s="20">
        <f t="shared" si="234"/>
        <v>0</v>
      </c>
      <c r="BJ35" s="20">
        <f t="shared" si="234"/>
        <v>0</v>
      </c>
      <c r="BK35" s="20">
        <f t="shared" si="234"/>
        <v>1324.3831116058579</v>
      </c>
      <c r="BL35" s="20">
        <f t="shared" si="234"/>
        <v>0</v>
      </c>
      <c r="BM35" s="20">
        <f t="shared" si="234"/>
        <v>0</v>
      </c>
      <c r="BN35" s="20">
        <f t="shared" si="234"/>
        <v>0</v>
      </c>
      <c r="BO35" s="20">
        <f t="shared" si="234"/>
        <v>1317.7941409013513</v>
      </c>
      <c r="BP35" s="20">
        <f t="shared" si="234"/>
        <v>0</v>
      </c>
      <c r="BQ35" s="20">
        <f t="shared" si="234"/>
        <v>0</v>
      </c>
      <c r="BR35" s="20">
        <f t="shared" si="234"/>
        <v>0</v>
      </c>
      <c r="BS35" s="20">
        <f t="shared" si="234"/>
        <v>1311.2379511456238</v>
      </c>
      <c r="BT35" s="20">
        <f t="shared" si="234"/>
        <v>0</v>
      </c>
      <c r="BU35" s="20">
        <f t="shared" si="234"/>
        <v>0</v>
      </c>
      <c r="BV35" s="20">
        <f t="shared" si="234"/>
        <v>0</v>
      </c>
      <c r="BW35" s="20">
        <f t="shared" si="234"/>
        <v>1304.7143792493773</v>
      </c>
      <c r="BX35" s="20">
        <f t="shared" si="235"/>
        <v>0</v>
      </c>
      <c r="BY35" s="20">
        <f t="shared" si="235"/>
        <v>0</v>
      </c>
      <c r="BZ35" s="20">
        <f t="shared" si="235"/>
        <v>0</v>
      </c>
      <c r="CA35" s="20">
        <f t="shared" si="235"/>
        <v>1298.2232629347041</v>
      </c>
      <c r="CB35" s="20">
        <f t="shared" si="235"/>
        <v>0</v>
      </c>
      <c r="CC35" s="20">
        <f t="shared" si="235"/>
        <v>0</v>
      </c>
      <c r="CD35" s="20">
        <f t="shared" si="235"/>
        <v>0</v>
      </c>
      <c r="CE35" s="20">
        <f t="shared" si="235"/>
        <v>1291.7644407310497</v>
      </c>
      <c r="CF35" s="20">
        <f t="shared" si="235"/>
        <v>0</v>
      </c>
      <c r="CG35" s="20">
        <f t="shared" si="235"/>
        <v>0</v>
      </c>
      <c r="CH35" s="20">
        <f t="shared" si="235"/>
        <v>0</v>
      </c>
      <c r="CI35" s="20">
        <f t="shared" si="235"/>
        <v>1285.3377519711942</v>
      </c>
      <c r="CJ35" s="20">
        <f t="shared" si="235"/>
        <v>0</v>
      </c>
      <c r="CK35" s="20">
        <f t="shared" si="235"/>
        <v>0</v>
      </c>
      <c r="CL35" s="20">
        <f t="shared" si="235"/>
        <v>0</v>
      </c>
      <c r="CM35" s="20">
        <f t="shared" si="235"/>
        <v>1278.9430367872581</v>
      </c>
      <c r="CN35" s="20">
        <f t="shared" si="235"/>
        <v>0</v>
      </c>
      <c r="CO35" s="20">
        <f t="shared" si="235"/>
        <v>0</v>
      </c>
      <c r="CP35" s="20">
        <f t="shared" si="235"/>
        <v>0</v>
      </c>
      <c r="CQ35" s="20">
        <f t="shared" si="235"/>
        <v>1272.5801361067249</v>
      </c>
      <c r="CR35" s="20">
        <f t="shared" si="235"/>
        <v>0</v>
      </c>
      <c r="CS35" s="20">
        <f t="shared" si="235"/>
        <v>0</v>
      </c>
      <c r="CT35" s="20">
        <f t="shared" si="235"/>
        <v>0</v>
      </c>
      <c r="CU35" s="20">
        <f t="shared" si="235"/>
        <v>1266.2488916484829</v>
      </c>
      <c r="CV35" s="20">
        <f t="shared" si="235"/>
        <v>0</v>
      </c>
      <c r="CW35" s="20">
        <f t="shared" si="235"/>
        <v>0</v>
      </c>
      <c r="CX35" s="20">
        <f t="shared" si="235"/>
        <v>0</v>
      </c>
      <c r="CY35" s="20">
        <f t="shared" si="235"/>
        <v>1259.9491459188885</v>
      </c>
      <c r="CZ35" s="20">
        <f t="shared" si="235"/>
        <v>0</v>
      </c>
      <c r="DA35" s="20">
        <f t="shared" si="235"/>
        <v>0</v>
      </c>
      <c r="DB35" s="20">
        <f t="shared" si="235"/>
        <v>0</v>
      </c>
      <c r="DC35" s="20">
        <f t="shared" si="235"/>
        <v>1253.6807422078498</v>
      </c>
      <c r="DD35" s="20">
        <f t="shared" si="235"/>
        <v>0</v>
      </c>
      <c r="DE35" s="20">
        <f t="shared" si="235"/>
        <v>0</v>
      </c>
      <c r="DF35" s="20">
        <f t="shared" si="235"/>
        <v>0</v>
      </c>
      <c r="DG35" s="20">
        <f t="shared" si="235"/>
        <v>1247.4435245849256</v>
      </c>
      <c r="DH35" s="20">
        <f t="shared" si="235"/>
        <v>0</v>
      </c>
      <c r="DI35" s="20">
        <f t="shared" si="235"/>
        <v>0</v>
      </c>
      <c r="DJ35" s="20">
        <f t="shared" si="235"/>
        <v>0</v>
      </c>
      <c r="DK35" s="20">
        <f t="shared" si="235"/>
        <v>1241.2373378954487</v>
      </c>
      <c r="DL35" s="20">
        <f t="shared" si="235"/>
        <v>0</v>
      </c>
      <c r="DM35" s="20">
        <f t="shared" si="235"/>
        <v>0</v>
      </c>
      <c r="DN35" s="20">
        <f t="shared" si="235"/>
        <v>0</v>
      </c>
      <c r="DO35" s="20">
        <f t="shared" si="235"/>
        <v>1235.0620277566659</v>
      </c>
      <c r="DP35" s="20">
        <f t="shared" si="235"/>
        <v>0</v>
      </c>
      <c r="DQ35" s="20">
        <f t="shared" si="235"/>
        <v>0</v>
      </c>
    </row>
    <row r="36" spans="2:1006" x14ac:dyDescent="0.35">
      <c r="C36" s="20" t="s">
        <v>189</v>
      </c>
      <c r="F36" s="20" t="s">
        <v>48</v>
      </c>
      <c r="G36" s="35">
        <f>Assumptions!J41</f>
        <v>0.33302527777777774</v>
      </c>
      <c r="H36" s="45">
        <f>Assumptions!I41</f>
        <v>720</v>
      </c>
      <c r="I36" s="54">
        <f t="shared" si="233"/>
        <v>18131.846466329695</v>
      </c>
      <c r="K36" s="20">
        <f t="shared" si="236"/>
        <v>0</v>
      </c>
      <c r="L36" s="20">
        <f t="shared" si="236"/>
        <v>0</v>
      </c>
      <c r="M36" s="20">
        <f t="shared" si="236"/>
        <v>0</v>
      </c>
      <c r="N36" s="20">
        <f t="shared" si="236"/>
        <v>0</v>
      </c>
      <c r="O36" s="20">
        <f t="shared" si="236"/>
        <v>0</v>
      </c>
      <c r="P36" s="20">
        <f t="shared" si="236"/>
        <v>0</v>
      </c>
      <c r="Q36" s="20">
        <f t="shared" si="236"/>
        <v>0</v>
      </c>
      <c r="R36" s="20">
        <f t="shared" si="236"/>
        <v>0</v>
      </c>
      <c r="S36" s="20">
        <f t="shared" si="236"/>
        <v>0</v>
      </c>
      <c r="T36" s="20">
        <f t="shared" si="236"/>
        <v>1436.8764623125585</v>
      </c>
      <c r="U36" s="20">
        <f t="shared" si="236"/>
        <v>0</v>
      </c>
      <c r="V36" s="20">
        <f t="shared" si="236"/>
        <v>0</v>
      </c>
      <c r="W36" s="20">
        <f t="shared" si="236"/>
        <v>0</v>
      </c>
      <c r="X36" s="20">
        <f t="shared" si="236"/>
        <v>1429.7278231965763</v>
      </c>
      <c r="Y36" s="20">
        <f t="shared" si="236"/>
        <v>0</v>
      </c>
      <c r="Z36" s="20">
        <f t="shared" si="236"/>
        <v>0</v>
      </c>
      <c r="AA36" s="20">
        <f t="shared" si="234"/>
        <v>0</v>
      </c>
      <c r="AB36" s="20">
        <f t="shared" si="234"/>
        <v>1422.6147494493302</v>
      </c>
      <c r="AC36" s="20">
        <f t="shared" si="234"/>
        <v>0</v>
      </c>
      <c r="AD36" s="20">
        <f t="shared" si="234"/>
        <v>0</v>
      </c>
      <c r="AE36" s="20">
        <f t="shared" si="234"/>
        <v>0</v>
      </c>
      <c r="AF36" s="20">
        <f t="shared" si="234"/>
        <v>1415.537064128687</v>
      </c>
      <c r="AG36" s="20">
        <f t="shared" si="234"/>
        <v>0</v>
      </c>
      <c r="AH36" s="20">
        <f t="shared" si="234"/>
        <v>0</v>
      </c>
      <c r="AI36" s="20">
        <f t="shared" si="234"/>
        <v>0</v>
      </c>
      <c r="AJ36" s="20">
        <f t="shared" si="234"/>
        <v>1408.4945911728232</v>
      </c>
      <c r="AK36" s="20">
        <f t="shared" si="234"/>
        <v>0</v>
      </c>
      <c r="AL36" s="20">
        <f t="shared" si="234"/>
        <v>0</v>
      </c>
      <c r="AM36" s="20">
        <f t="shared" si="234"/>
        <v>0</v>
      </c>
      <c r="AN36" s="20">
        <f t="shared" si="234"/>
        <v>1401.4871553958444</v>
      </c>
      <c r="AO36" s="20">
        <f t="shared" si="234"/>
        <v>0</v>
      </c>
      <c r="AP36" s="20">
        <f t="shared" si="234"/>
        <v>0</v>
      </c>
      <c r="AQ36" s="20">
        <f t="shared" si="234"/>
        <v>0</v>
      </c>
      <c r="AR36" s="20">
        <f t="shared" si="234"/>
        <v>1394.5145824834276</v>
      </c>
      <c r="AS36" s="20">
        <f t="shared" si="234"/>
        <v>0</v>
      </c>
      <c r="AT36" s="20">
        <f t="shared" si="234"/>
        <v>0</v>
      </c>
      <c r="AU36" s="20">
        <f t="shared" si="234"/>
        <v>0</v>
      </c>
      <c r="AV36" s="20">
        <f t="shared" si="234"/>
        <v>1387.5766989884855</v>
      </c>
      <c r="AW36" s="20">
        <f t="shared" si="234"/>
        <v>0</v>
      </c>
      <c r="AX36" s="20">
        <f t="shared" si="234"/>
        <v>0</v>
      </c>
      <c r="AY36" s="20">
        <f t="shared" si="234"/>
        <v>0</v>
      </c>
      <c r="AZ36" s="20">
        <f t="shared" si="234"/>
        <v>1380.6733323268518</v>
      </c>
      <c r="BA36" s="20">
        <f t="shared" si="234"/>
        <v>0</v>
      </c>
      <c r="BB36" s="20">
        <f t="shared" si="234"/>
        <v>0</v>
      </c>
      <c r="BC36" s="20">
        <f t="shared" si="234"/>
        <v>0</v>
      </c>
      <c r="BD36" s="20">
        <f t="shared" si="234"/>
        <v>1373.8043107729873</v>
      </c>
      <c r="BE36" s="20">
        <f t="shared" si="234"/>
        <v>0</v>
      </c>
      <c r="BF36" s="20">
        <f t="shared" si="234"/>
        <v>0</v>
      </c>
      <c r="BG36" s="20">
        <f t="shared" si="234"/>
        <v>0</v>
      </c>
      <c r="BH36" s="20">
        <f t="shared" si="234"/>
        <v>1366.9694634557093</v>
      </c>
      <c r="BI36" s="20">
        <f t="shared" si="234"/>
        <v>0</v>
      </c>
      <c r="BJ36" s="20">
        <f t="shared" si="234"/>
        <v>0</v>
      </c>
      <c r="BK36" s="20">
        <f t="shared" si="234"/>
        <v>0</v>
      </c>
      <c r="BL36" s="20">
        <f t="shared" si="234"/>
        <v>1360.1686203539398</v>
      </c>
      <c r="BM36" s="20">
        <f t="shared" si="234"/>
        <v>0</v>
      </c>
      <c r="BN36" s="20">
        <f t="shared" si="234"/>
        <v>0</v>
      </c>
      <c r="BO36" s="20">
        <f t="shared" si="234"/>
        <v>0</v>
      </c>
      <c r="BP36" s="20">
        <f t="shared" si="234"/>
        <v>1353.4016122924777</v>
      </c>
      <c r="BQ36" s="20">
        <f t="shared" si="234"/>
        <v>0</v>
      </c>
      <c r="BR36" s="20">
        <f t="shared" si="234"/>
        <v>0</v>
      </c>
      <c r="BS36" s="20">
        <f t="shared" ref="BS36:DQ39" si="237">$G36*$H36*BS23*BS$16/1000</f>
        <v>0</v>
      </c>
      <c r="BT36" s="20">
        <f t="shared" si="237"/>
        <v>1346.6682709377897</v>
      </c>
      <c r="BU36" s="20">
        <f t="shared" si="237"/>
        <v>0</v>
      </c>
      <c r="BV36" s="20">
        <f t="shared" si="237"/>
        <v>0</v>
      </c>
      <c r="BW36" s="20">
        <f t="shared" si="237"/>
        <v>0</v>
      </c>
      <c r="BX36" s="20">
        <f t="shared" si="237"/>
        <v>1339.9684287938207</v>
      </c>
      <c r="BY36" s="20">
        <f t="shared" si="237"/>
        <v>0</v>
      </c>
      <c r="BZ36" s="20">
        <f t="shared" si="237"/>
        <v>0</v>
      </c>
      <c r="CA36" s="20">
        <f t="shared" si="237"/>
        <v>0</v>
      </c>
      <c r="CB36" s="20">
        <f t="shared" si="237"/>
        <v>1333.3019191978319</v>
      </c>
      <c r="CC36" s="20">
        <f t="shared" si="237"/>
        <v>0</v>
      </c>
      <c r="CD36" s="20">
        <f t="shared" si="237"/>
        <v>0</v>
      </c>
      <c r="CE36" s="20">
        <f t="shared" si="237"/>
        <v>0</v>
      </c>
      <c r="CF36" s="20">
        <f t="shared" si="237"/>
        <v>1326.6685763162513</v>
      </c>
      <c r="CG36" s="20">
        <f t="shared" si="237"/>
        <v>0</v>
      </c>
      <c r="CH36" s="20">
        <f t="shared" si="237"/>
        <v>0</v>
      </c>
      <c r="CI36" s="20">
        <f t="shared" si="237"/>
        <v>0</v>
      </c>
      <c r="CJ36" s="20">
        <f t="shared" si="237"/>
        <v>1320.0682351405487</v>
      </c>
      <c r="CK36" s="20">
        <f t="shared" si="237"/>
        <v>0</v>
      </c>
      <c r="CL36" s="20">
        <f t="shared" si="237"/>
        <v>0</v>
      </c>
      <c r="CM36" s="20">
        <f t="shared" si="237"/>
        <v>0</v>
      </c>
      <c r="CN36" s="20">
        <f t="shared" si="237"/>
        <v>1313.5007314831334</v>
      </c>
      <c r="CO36" s="20">
        <f t="shared" si="237"/>
        <v>0</v>
      </c>
      <c r="CP36" s="20">
        <f t="shared" si="237"/>
        <v>0</v>
      </c>
      <c r="CQ36" s="20">
        <f t="shared" si="237"/>
        <v>0</v>
      </c>
      <c r="CR36" s="20">
        <f t="shared" si="237"/>
        <v>1306.9659019732676</v>
      </c>
      <c r="CS36" s="20">
        <f t="shared" si="237"/>
        <v>0</v>
      </c>
      <c r="CT36" s="20">
        <f t="shared" si="237"/>
        <v>0</v>
      </c>
      <c r="CU36" s="20">
        <f t="shared" si="237"/>
        <v>0</v>
      </c>
      <c r="CV36" s="20">
        <f t="shared" si="237"/>
        <v>1300.4635840530032</v>
      </c>
      <c r="CW36" s="20">
        <f t="shared" si="237"/>
        <v>0</v>
      </c>
      <c r="CX36" s="20">
        <f t="shared" si="237"/>
        <v>0</v>
      </c>
      <c r="CY36" s="20">
        <f t="shared" si="237"/>
        <v>0</v>
      </c>
      <c r="CZ36" s="20">
        <f t="shared" si="237"/>
        <v>1293.9936159731376</v>
      </c>
      <c r="DA36" s="20">
        <f t="shared" si="237"/>
        <v>0</v>
      </c>
      <c r="DB36" s="20">
        <f t="shared" si="237"/>
        <v>0</v>
      </c>
      <c r="DC36" s="20">
        <f t="shared" si="237"/>
        <v>0</v>
      </c>
      <c r="DD36" s="20">
        <f t="shared" si="237"/>
        <v>1287.5558367891922</v>
      </c>
      <c r="DE36" s="20">
        <f t="shared" si="237"/>
        <v>0</v>
      </c>
      <c r="DF36" s="20">
        <f t="shared" si="237"/>
        <v>0</v>
      </c>
      <c r="DG36" s="20">
        <f t="shared" si="237"/>
        <v>0</v>
      </c>
      <c r="DH36" s="20">
        <f t="shared" si="237"/>
        <v>1281.1500863574056</v>
      </c>
      <c r="DI36" s="20">
        <f t="shared" si="237"/>
        <v>0</v>
      </c>
      <c r="DJ36" s="20">
        <f t="shared" si="237"/>
        <v>0</v>
      </c>
      <c r="DK36" s="20">
        <f t="shared" si="237"/>
        <v>0</v>
      </c>
      <c r="DL36" s="20">
        <f t="shared" si="237"/>
        <v>1274.7762053307522</v>
      </c>
      <c r="DM36" s="20">
        <f t="shared" si="237"/>
        <v>0</v>
      </c>
      <c r="DN36" s="20">
        <f t="shared" si="237"/>
        <v>0</v>
      </c>
      <c r="DO36" s="20">
        <f t="shared" si="237"/>
        <v>0</v>
      </c>
      <c r="DP36" s="20">
        <f t="shared" si="237"/>
        <v>0</v>
      </c>
      <c r="DQ36" s="20">
        <f t="shared" si="237"/>
        <v>0</v>
      </c>
    </row>
    <row r="37" spans="2:1006" x14ac:dyDescent="0.35">
      <c r="C37" s="20" t="s">
        <v>190</v>
      </c>
      <c r="F37" s="20" t="s">
        <v>48</v>
      </c>
      <c r="G37" s="35">
        <f>Assumptions!J42</f>
        <v>0.35480645161290314</v>
      </c>
      <c r="H37" s="45">
        <f>Assumptions!I42</f>
        <v>744</v>
      </c>
      <c r="I37" s="54">
        <f t="shared" si="233"/>
        <v>19961.66583449141</v>
      </c>
      <c r="K37" s="20">
        <f t="shared" si="236"/>
        <v>0</v>
      </c>
      <c r="L37" s="20">
        <f t="shared" si="236"/>
        <v>0</v>
      </c>
      <c r="M37" s="20">
        <f t="shared" si="236"/>
        <v>0</v>
      </c>
      <c r="N37" s="20">
        <f t="shared" si="236"/>
        <v>0</v>
      </c>
      <c r="O37" s="20">
        <f t="shared" si="236"/>
        <v>0</v>
      </c>
      <c r="P37" s="20">
        <f t="shared" si="236"/>
        <v>0</v>
      </c>
      <c r="Q37" s="20">
        <f t="shared" si="236"/>
        <v>0</v>
      </c>
      <c r="R37" s="20">
        <f t="shared" si="236"/>
        <v>0</v>
      </c>
      <c r="S37" s="20">
        <f t="shared" si="236"/>
        <v>0</v>
      </c>
      <c r="T37" s="20">
        <f t="shared" si="236"/>
        <v>1581.8823438303393</v>
      </c>
      <c r="U37" s="20">
        <f t="shared" si="236"/>
        <v>0</v>
      </c>
      <c r="V37" s="20">
        <f t="shared" si="236"/>
        <v>0</v>
      </c>
      <c r="W37" s="20">
        <f t="shared" si="236"/>
        <v>0</v>
      </c>
      <c r="X37" s="20">
        <f t="shared" si="236"/>
        <v>1574.012282418249</v>
      </c>
      <c r="Y37" s="20">
        <f t="shared" si="236"/>
        <v>0</v>
      </c>
      <c r="Z37" s="20">
        <f t="shared" si="236"/>
        <v>0</v>
      </c>
      <c r="AA37" s="20">
        <f t="shared" ref="AA37:CL40" si="238">$G37*$H37*AA24*AA$16/1000</f>
        <v>0</v>
      </c>
      <c r="AB37" s="20">
        <f t="shared" si="238"/>
        <v>1566.1813755405467</v>
      </c>
      <c r="AC37" s="20">
        <f t="shared" si="238"/>
        <v>0</v>
      </c>
      <c r="AD37" s="20">
        <f t="shared" si="238"/>
        <v>0</v>
      </c>
      <c r="AE37" s="20">
        <f t="shared" si="238"/>
        <v>0</v>
      </c>
      <c r="AF37" s="20">
        <f t="shared" si="238"/>
        <v>1558.3894283985542</v>
      </c>
      <c r="AG37" s="20">
        <f t="shared" si="238"/>
        <v>0</v>
      </c>
      <c r="AH37" s="20">
        <f t="shared" si="238"/>
        <v>0</v>
      </c>
      <c r="AI37" s="20">
        <f t="shared" si="238"/>
        <v>0</v>
      </c>
      <c r="AJ37" s="20">
        <f t="shared" si="238"/>
        <v>1550.6362471627413</v>
      </c>
      <c r="AK37" s="20">
        <f t="shared" si="238"/>
        <v>0</v>
      </c>
      <c r="AL37" s="20">
        <f t="shared" si="238"/>
        <v>0</v>
      </c>
      <c r="AM37" s="20">
        <f t="shared" si="238"/>
        <v>0</v>
      </c>
      <c r="AN37" s="20">
        <f t="shared" si="238"/>
        <v>1542.9216389679023</v>
      </c>
      <c r="AO37" s="20">
        <f t="shared" si="238"/>
        <v>0</v>
      </c>
      <c r="AP37" s="20">
        <f t="shared" si="238"/>
        <v>0</v>
      </c>
      <c r="AQ37" s="20">
        <f t="shared" si="238"/>
        <v>0</v>
      </c>
      <c r="AR37" s="20">
        <f t="shared" si="238"/>
        <v>1535.2454119083604</v>
      </c>
      <c r="AS37" s="20">
        <f t="shared" si="238"/>
        <v>0</v>
      </c>
      <c r="AT37" s="20">
        <f t="shared" si="238"/>
        <v>0</v>
      </c>
      <c r="AU37" s="20">
        <f t="shared" si="238"/>
        <v>0</v>
      </c>
      <c r="AV37" s="20">
        <f t="shared" si="238"/>
        <v>1527.6073750331952</v>
      </c>
      <c r="AW37" s="20">
        <f t="shared" si="238"/>
        <v>0</v>
      </c>
      <c r="AX37" s="20">
        <f t="shared" si="238"/>
        <v>0</v>
      </c>
      <c r="AY37" s="20">
        <f t="shared" si="238"/>
        <v>0</v>
      </c>
      <c r="AZ37" s="20">
        <f t="shared" si="238"/>
        <v>1520.0073383414881</v>
      </c>
      <c r="BA37" s="20">
        <f t="shared" si="238"/>
        <v>0</v>
      </c>
      <c r="BB37" s="20">
        <f t="shared" si="238"/>
        <v>0</v>
      </c>
      <c r="BC37" s="20">
        <f t="shared" si="238"/>
        <v>0</v>
      </c>
      <c r="BD37" s="20">
        <f t="shared" si="238"/>
        <v>1512.4451127776006</v>
      </c>
      <c r="BE37" s="20">
        <f t="shared" si="238"/>
        <v>0</v>
      </c>
      <c r="BF37" s="20">
        <f t="shared" si="238"/>
        <v>0</v>
      </c>
      <c r="BG37" s="20">
        <f t="shared" si="238"/>
        <v>0</v>
      </c>
      <c r="BH37" s="20">
        <f t="shared" si="238"/>
        <v>1504.9205102264689</v>
      </c>
      <c r="BI37" s="20">
        <f t="shared" si="238"/>
        <v>0</v>
      </c>
      <c r="BJ37" s="20">
        <f t="shared" si="238"/>
        <v>0</v>
      </c>
      <c r="BK37" s="20">
        <f t="shared" si="238"/>
        <v>0</v>
      </c>
      <c r="BL37" s="20">
        <f t="shared" si="238"/>
        <v>1497.4333435089243</v>
      </c>
      <c r="BM37" s="20">
        <f t="shared" si="238"/>
        <v>0</v>
      </c>
      <c r="BN37" s="20">
        <f t="shared" si="238"/>
        <v>0</v>
      </c>
      <c r="BO37" s="20">
        <f t="shared" si="238"/>
        <v>0</v>
      </c>
      <c r="BP37" s="20">
        <f t="shared" si="238"/>
        <v>1489.9834263770395</v>
      </c>
      <c r="BQ37" s="20">
        <f t="shared" si="238"/>
        <v>0</v>
      </c>
      <c r="BR37" s="20">
        <f t="shared" si="238"/>
        <v>0</v>
      </c>
      <c r="BS37" s="20">
        <f t="shared" si="238"/>
        <v>0</v>
      </c>
      <c r="BT37" s="20">
        <f t="shared" si="238"/>
        <v>1482.570573509493</v>
      </c>
      <c r="BU37" s="20">
        <f t="shared" si="238"/>
        <v>0</v>
      </c>
      <c r="BV37" s="20">
        <f t="shared" si="238"/>
        <v>0</v>
      </c>
      <c r="BW37" s="20">
        <f t="shared" si="238"/>
        <v>0</v>
      </c>
      <c r="BX37" s="20">
        <f t="shared" si="238"/>
        <v>1475.1946005069585</v>
      </c>
      <c r="BY37" s="20">
        <f t="shared" si="238"/>
        <v>0</v>
      </c>
      <c r="BZ37" s="20">
        <f t="shared" si="238"/>
        <v>0</v>
      </c>
      <c r="CA37" s="20">
        <f t="shared" si="238"/>
        <v>0</v>
      </c>
      <c r="CB37" s="20">
        <f t="shared" si="238"/>
        <v>1467.8553238875211</v>
      </c>
      <c r="CC37" s="20">
        <f t="shared" si="238"/>
        <v>0</v>
      </c>
      <c r="CD37" s="20">
        <f t="shared" si="238"/>
        <v>0</v>
      </c>
      <c r="CE37" s="20">
        <f t="shared" si="238"/>
        <v>0</v>
      </c>
      <c r="CF37" s="20">
        <f t="shared" si="238"/>
        <v>1460.5525610821114</v>
      </c>
      <c r="CG37" s="20">
        <f t="shared" si="238"/>
        <v>0</v>
      </c>
      <c r="CH37" s="20">
        <f t="shared" si="238"/>
        <v>0</v>
      </c>
      <c r="CI37" s="20">
        <f t="shared" si="238"/>
        <v>0</v>
      </c>
      <c r="CJ37" s="20">
        <f t="shared" si="238"/>
        <v>1453.286130429962</v>
      </c>
      <c r="CK37" s="20">
        <f t="shared" si="238"/>
        <v>0</v>
      </c>
      <c r="CL37" s="20">
        <f t="shared" si="238"/>
        <v>0</v>
      </c>
      <c r="CM37" s="20">
        <f t="shared" si="237"/>
        <v>0</v>
      </c>
      <c r="CN37" s="20">
        <f t="shared" si="237"/>
        <v>1446.0558511740917</v>
      </c>
      <c r="CO37" s="20">
        <f t="shared" si="237"/>
        <v>0</v>
      </c>
      <c r="CP37" s="20">
        <f t="shared" si="237"/>
        <v>0</v>
      </c>
      <c r="CQ37" s="20">
        <f t="shared" si="237"/>
        <v>0</v>
      </c>
      <c r="CR37" s="20">
        <f t="shared" si="237"/>
        <v>1438.8615434568082</v>
      </c>
      <c r="CS37" s="20">
        <f t="shared" si="237"/>
        <v>0</v>
      </c>
      <c r="CT37" s="20">
        <f t="shared" si="237"/>
        <v>0</v>
      </c>
      <c r="CU37" s="20">
        <f t="shared" si="237"/>
        <v>0</v>
      </c>
      <c r="CV37" s="20">
        <f t="shared" si="237"/>
        <v>1431.7030283152326</v>
      </c>
      <c r="CW37" s="20">
        <f t="shared" si="237"/>
        <v>0</v>
      </c>
      <c r="CX37" s="20">
        <f t="shared" si="237"/>
        <v>0</v>
      </c>
      <c r="CY37" s="20">
        <f t="shared" si="237"/>
        <v>0</v>
      </c>
      <c r="CZ37" s="20">
        <f t="shared" si="237"/>
        <v>1424.5801276768486</v>
      </c>
      <c r="DA37" s="20">
        <f t="shared" si="237"/>
        <v>0</v>
      </c>
      <c r="DB37" s="20">
        <f t="shared" si="237"/>
        <v>0</v>
      </c>
      <c r="DC37" s="20">
        <f t="shared" si="237"/>
        <v>0</v>
      </c>
      <c r="DD37" s="20">
        <f t="shared" si="237"/>
        <v>1417.4926643550739</v>
      </c>
      <c r="DE37" s="20">
        <f t="shared" si="237"/>
        <v>0</v>
      </c>
      <c r="DF37" s="20">
        <f t="shared" si="237"/>
        <v>0</v>
      </c>
      <c r="DG37" s="20">
        <f t="shared" si="237"/>
        <v>0</v>
      </c>
      <c r="DH37" s="20">
        <f t="shared" si="237"/>
        <v>1410.4404620448502</v>
      </c>
      <c r="DI37" s="20">
        <f t="shared" si="237"/>
        <v>0</v>
      </c>
      <c r="DJ37" s="20">
        <f t="shared" si="237"/>
        <v>0</v>
      </c>
      <c r="DK37" s="20">
        <f t="shared" si="237"/>
        <v>0</v>
      </c>
      <c r="DL37" s="20">
        <f t="shared" si="237"/>
        <v>1403.4233453182592</v>
      </c>
      <c r="DM37" s="20">
        <f t="shared" si="237"/>
        <v>0</v>
      </c>
      <c r="DN37" s="20">
        <f t="shared" si="237"/>
        <v>0</v>
      </c>
      <c r="DO37" s="20">
        <f t="shared" si="237"/>
        <v>0</v>
      </c>
      <c r="DP37" s="20">
        <f t="shared" si="237"/>
        <v>0</v>
      </c>
      <c r="DQ37" s="20">
        <f t="shared" si="237"/>
        <v>0</v>
      </c>
    </row>
    <row r="38" spans="2:1006" x14ac:dyDescent="0.35">
      <c r="C38" s="20" t="s">
        <v>191</v>
      </c>
      <c r="F38" s="20" t="s">
        <v>48</v>
      </c>
      <c r="G38" s="35">
        <f>Assumptions!J43</f>
        <v>0.31636908602150532</v>
      </c>
      <c r="H38" s="45">
        <f>Assumptions!I43</f>
        <v>744</v>
      </c>
      <c r="I38" s="54">
        <f t="shared" si="233"/>
        <v>17799.15203575484</v>
      </c>
      <c r="K38" s="20">
        <f t="shared" si="236"/>
        <v>0</v>
      </c>
      <c r="L38" s="20">
        <f t="shared" si="236"/>
        <v>0</v>
      </c>
      <c r="M38" s="20">
        <f t="shared" si="236"/>
        <v>0</v>
      </c>
      <c r="N38" s="20">
        <f t="shared" si="236"/>
        <v>0</v>
      </c>
      <c r="O38" s="20">
        <f t="shared" si="236"/>
        <v>0</v>
      </c>
      <c r="P38" s="20">
        <f t="shared" si="236"/>
        <v>0</v>
      </c>
      <c r="Q38" s="20">
        <f t="shared" si="236"/>
        <v>0</v>
      </c>
      <c r="R38" s="20">
        <f t="shared" si="236"/>
        <v>0</v>
      </c>
      <c r="S38" s="20">
        <f t="shared" si="236"/>
        <v>0</v>
      </c>
      <c r="T38" s="20">
        <f t="shared" si="236"/>
        <v>1410.5117565820526</v>
      </c>
      <c r="U38" s="20">
        <f t="shared" si="236"/>
        <v>0</v>
      </c>
      <c r="V38" s="20">
        <f t="shared" si="236"/>
        <v>0</v>
      </c>
      <c r="W38" s="20">
        <f t="shared" si="236"/>
        <v>0</v>
      </c>
      <c r="X38" s="20">
        <f t="shared" si="236"/>
        <v>1403.4942851562719</v>
      </c>
      <c r="Y38" s="20">
        <f t="shared" si="236"/>
        <v>0</v>
      </c>
      <c r="Z38" s="20">
        <f t="shared" si="236"/>
        <v>0</v>
      </c>
      <c r="AA38" s="20">
        <f t="shared" si="238"/>
        <v>0</v>
      </c>
      <c r="AB38" s="20">
        <f t="shared" si="238"/>
        <v>1396.511726523654</v>
      </c>
      <c r="AC38" s="20">
        <f t="shared" si="238"/>
        <v>0</v>
      </c>
      <c r="AD38" s="20">
        <f t="shared" si="238"/>
        <v>0</v>
      </c>
      <c r="AE38" s="20">
        <f t="shared" si="238"/>
        <v>0</v>
      </c>
      <c r="AF38" s="20">
        <f t="shared" si="238"/>
        <v>1389.5639069887109</v>
      </c>
      <c r="AG38" s="20">
        <f t="shared" si="238"/>
        <v>0</v>
      </c>
      <c r="AH38" s="20">
        <f t="shared" si="238"/>
        <v>0</v>
      </c>
      <c r="AI38" s="20">
        <f t="shared" si="238"/>
        <v>0</v>
      </c>
      <c r="AJ38" s="20">
        <f t="shared" si="238"/>
        <v>1382.6506537201108</v>
      </c>
      <c r="AK38" s="20">
        <f t="shared" si="238"/>
        <v>0</v>
      </c>
      <c r="AL38" s="20">
        <f t="shared" si="238"/>
        <v>0</v>
      </c>
      <c r="AM38" s="20">
        <f t="shared" si="238"/>
        <v>0</v>
      </c>
      <c r="AN38" s="20">
        <f t="shared" si="238"/>
        <v>1375.7717947463793</v>
      </c>
      <c r="AO38" s="20">
        <f t="shared" si="238"/>
        <v>0</v>
      </c>
      <c r="AP38" s="20">
        <f t="shared" si="238"/>
        <v>0</v>
      </c>
      <c r="AQ38" s="20">
        <f t="shared" si="238"/>
        <v>0</v>
      </c>
      <c r="AR38" s="20">
        <f t="shared" si="238"/>
        <v>1368.9271589516215</v>
      </c>
      <c r="AS38" s="20">
        <f t="shared" si="238"/>
        <v>0</v>
      </c>
      <c r="AT38" s="20">
        <f t="shared" si="238"/>
        <v>0</v>
      </c>
      <c r="AU38" s="20">
        <f t="shared" si="238"/>
        <v>0</v>
      </c>
      <c r="AV38" s="20">
        <f t="shared" si="238"/>
        <v>1362.1165760712656</v>
      </c>
      <c r="AW38" s="20">
        <f t="shared" si="238"/>
        <v>0</v>
      </c>
      <c r="AX38" s="20">
        <f t="shared" si="238"/>
        <v>0</v>
      </c>
      <c r="AY38" s="20">
        <f t="shared" si="238"/>
        <v>0</v>
      </c>
      <c r="AZ38" s="20">
        <f t="shared" si="238"/>
        <v>1355.3398766878267</v>
      </c>
      <c r="BA38" s="20">
        <f t="shared" si="238"/>
        <v>0</v>
      </c>
      <c r="BB38" s="20">
        <f t="shared" si="238"/>
        <v>0</v>
      </c>
      <c r="BC38" s="20">
        <f t="shared" si="238"/>
        <v>0</v>
      </c>
      <c r="BD38" s="20">
        <f t="shared" si="238"/>
        <v>1348.5968922266939</v>
      </c>
      <c r="BE38" s="20">
        <f t="shared" si="238"/>
        <v>0</v>
      </c>
      <c r="BF38" s="20">
        <f t="shared" si="238"/>
        <v>0</v>
      </c>
      <c r="BG38" s="20">
        <f t="shared" si="238"/>
        <v>0</v>
      </c>
      <c r="BH38" s="20">
        <f t="shared" si="238"/>
        <v>1341.8874549519346</v>
      </c>
      <c r="BI38" s="20">
        <f t="shared" si="238"/>
        <v>0</v>
      </c>
      <c r="BJ38" s="20">
        <f t="shared" si="238"/>
        <v>0</v>
      </c>
      <c r="BK38" s="20">
        <f t="shared" si="238"/>
        <v>0</v>
      </c>
      <c r="BL38" s="20">
        <f t="shared" si="238"/>
        <v>1335.2113979621242</v>
      </c>
      <c r="BM38" s="20">
        <f t="shared" si="238"/>
        <v>0</v>
      </c>
      <c r="BN38" s="20">
        <f t="shared" si="238"/>
        <v>0</v>
      </c>
      <c r="BO38" s="20">
        <f t="shared" si="238"/>
        <v>0</v>
      </c>
      <c r="BP38" s="20">
        <f t="shared" si="238"/>
        <v>1328.5685551861934</v>
      </c>
      <c r="BQ38" s="20">
        <f t="shared" si="238"/>
        <v>0</v>
      </c>
      <c r="BR38" s="20">
        <f t="shared" si="238"/>
        <v>0</v>
      </c>
      <c r="BS38" s="20">
        <f t="shared" si="238"/>
        <v>0</v>
      </c>
      <c r="BT38" s="20">
        <f t="shared" si="238"/>
        <v>1321.9587613792978</v>
      </c>
      <c r="BU38" s="20">
        <f t="shared" si="238"/>
        <v>0</v>
      </c>
      <c r="BV38" s="20">
        <f t="shared" si="238"/>
        <v>0</v>
      </c>
      <c r="BW38" s="20">
        <f t="shared" si="238"/>
        <v>0</v>
      </c>
      <c r="BX38" s="20">
        <f t="shared" si="238"/>
        <v>1315.3818521187047</v>
      </c>
      <c r="BY38" s="20">
        <f t="shared" si="238"/>
        <v>0</v>
      </c>
      <c r="BZ38" s="20">
        <f t="shared" si="238"/>
        <v>0</v>
      </c>
      <c r="CA38" s="20">
        <f t="shared" si="238"/>
        <v>0</v>
      </c>
      <c r="CB38" s="20">
        <f t="shared" si="238"/>
        <v>1308.8376637997064</v>
      </c>
      <c r="CC38" s="20">
        <f t="shared" si="238"/>
        <v>0</v>
      </c>
      <c r="CD38" s="20">
        <f t="shared" si="238"/>
        <v>0</v>
      </c>
      <c r="CE38" s="20">
        <f t="shared" si="238"/>
        <v>0</v>
      </c>
      <c r="CF38" s="20">
        <f t="shared" si="238"/>
        <v>1302.3260336315495</v>
      </c>
      <c r="CG38" s="20">
        <f t="shared" si="238"/>
        <v>0</v>
      </c>
      <c r="CH38" s="20">
        <f t="shared" si="238"/>
        <v>0</v>
      </c>
      <c r="CI38" s="20">
        <f t="shared" si="238"/>
        <v>0</v>
      </c>
      <c r="CJ38" s="20">
        <f t="shared" si="238"/>
        <v>1295.8467996333825</v>
      </c>
      <c r="CK38" s="20">
        <f t="shared" si="238"/>
        <v>0</v>
      </c>
      <c r="CL38" s="20">
        <f t="shared" si="238"/>
        <v>0</v>
      </c>
      <c r="CM38" s="20">
        <f t="shared" si="237"/>
        <v>0</v>
      </c>
      <c r="CN38" s="20">
        <f t="shared" si="237"/>
        <v>1289.3998006302318</v>
      </c>
      <c r="CO38" s="20">
        <f t="shared" si="237"/>
        <v>0</v>
      </c>
      <c r="CP38" s="20">
        <f t="shared" si="237"/>
        <v>0</v>
      </c>
      <c r="CQ38" s="20">
        <f t="shared" si="237"/>
        <v>0</v>
      </c>
      <c r="CR38" s="20">
        <f t="shared" si="237"/>
        <v>1282.9848762489871</v>
      </c>
      <c r="CS38" s="20">
        <f t="shared" si="237"/>
        <v>0</v>
      </c>
      <c r="CT38" s="20">
        <f t="shared" si="237"/>
        <v>0</v>
      </c>
      <c r="CU38" s="20">
        <f t="shared" si="237"/>
        <v>0</v>
      </c>
      <c r="CV38" s="20">
        <f t="shared" si="237"/>
        <v>1276.6018669144157</v>
      </c>
      <c r="CW38" s="20">
        <f t="shared" si="237"/>
        <v>0</v>
      </c>
      <c r="CX38" s="20">
        <f t="shared" si="237"/>
        <v>0</v>
      </c>
      <c r="CY38" s="20">
        <f t="shared" si="237"/>
        <v>0</v>
      </c>
      <c r="CZ38" s="20">
        <f t="shared" si="237"/>
        <v>1270.2506138451899</v>
      </c>
      <c r="DA38" s="20">
        <f t="shared" si="237"/>
        <v>0</v>
      </c>
      <c r="DB38" s="20">
        <f t="shared" si="237"/>
        <v>0</v>
      </c>
      <c r="DC38" s="20">
        <f t="shared" si="237"/>
        <v>0</v>
      </c>
      <c r="DD38" s="20">
        <f t="shared" si="237"/>
        <v>1263.9309590499408</v>
      </c>
      <c r="DE38" s="20">
        <f t="shared" si="237"/>
        <v>0</v>
      </c>
      <c r="DF38" s="20">
        <f t="shared" si="237"/>
        <v>0</v>
      </c>
      <c r="DG38" s="20">
        <f t="shared" si="237"/>
        <v>0</v>
      </c>
      <c r="DH38" s="20">
        <f t="shared" si="237"/>
        <v>1257.6427453233248</v>
      </c>
      <c r="DI38" s="20">
        <f t="shared" si="237"/>
        <v>0</v>
      </c>
      <c r="DJ38" s="20">
        <f t="shared" si="237"/>
        <v>0</v>
      </c>
      <c r="DK38" s="20">
        <f t="shared" si="237"/>
        <v>0</v>
      </c>
      <c r="DL38" s="20">
        <f t="shared" si="237"/>
        <v>1251.3858162421145</v>
      </c>
      <c r="DM38" s="20">
        <f t="shared" si="237"/>
        <v>0</v>
      </c>
      <c r="DN38" s="20">
        <f t="shared" si="237"/>
        <v>0</v>
      </c>
      <c r="DO38" s="20">
        <f t="shared" si="237"/>
        <v>0</v>
      </c>
      <c r="DP38" s="20">
        <f t="shared" si="237"/>
        <v>0</v>
      </c>
      <c r="DQ38" s="20">
        <f t="shared" si="237"/>
        <v>0</v>
      </c>
    </row>
    <row r="39" spans="2:1006" x14ac:dyDescent="0.35">
      <c r="C39" s="20" t="s">
        <v>192</v>
      </c>
      <c r="F39" s="20" t="s">
        <v>48</v>
      </c>
      <c r="G39" s="35">
        <f>Assumptions!J44</f>
        <v>0.28872374999999995</v>
      </c>
      <c r="H39" s="45">
        <f>Assumptions!I44</f>
        <v>720</v>
      </c>
      <c r="I39" s="54">
        <f t="shared" si="233"/>
        <v>15700.223256032014</v>
      </c>
      <c r="K39" s="20">
        <f t="shared" si="236"/>
        <v>0</v>
      </c>
      <c r="L39" s="20">
        <f t="shared" si="236"/>
        <v>0</v>
      </c>
      <c r="M39" s="20">
        <f t="shared" si="236"/>
        <v>0</v>
      </c>
      <c r="N39" s="20">
        <f t="shared" si="236"/>
        <v>0</v>
      </c>
      <c r="O39" s="20">
        <f t="shared" si="236"/>
        <v>0</v>
      </c>
      <c r="P39" s="20">
        <f t="shared" si="236"/>
        <v>0</v>
      </c>
      <c r="Q39" s="20">
        <f t="shared" si="236"/>
        <v>0</v>
      </c>
      <c r="R39" s="20">
        <f t="shared" si="236"/>
        <v>0</v>
      </c>
      <c r="S39" s="20">
        <f t="shared" si="236"/>
        <v>0</v>
      </c>
      <c r="T39" s="20">
        <f t="shared" si="236"/>
        <v>0</v>
      </c>
      <c r="U39" s="20">
        <f t="shared" si="236"/>
        <v>1244.1800283019465</v>
      </c>
      <c r="V39" s="20">
        <f t="shared" si="236"/>
        <v>0</v>
      </c>
      <c r="W39" s="20">
        <f t="shared" si="236"/>
        <v>0</v>
      </c>
      <c r="X39" s="20">
        <f t="shared" si="236"/>
        <v>0</v>
      </c>
      <c r="Y39" s="20">
        <f t="shared" si="236"/>
        <v>1237.990077912385</v>
      </c>
      <c r="Z39" s="20">
        <f t="shared" si="236"/>
        <v>0</v>
      </c>
      <c r="AA39" s="20">
        <f t="shared" si="238"/>
        <v>0</v>
      </c>
      <c r="AB39" s="20">
        <f t="shared" si="238"/>
        <v>0</v>
      </c>
      <c r="AC39" s="20">
        <f t="shared" si="238"/>
        <v>1231.8309232959061</v>
      </c>
      <c r="AD39" s="20">
        <f t="shared" si="238"/>
        <v>0</v>
      </c>
      <c r="AE39" s="20">
        <f t="shared" si="238"/>
        <v>0</v>
      </c>
      <c r="AF39" s="20">
        <f t="shared" si="238"/>
        <v>0</v>
      </c>
      <c r="AG39" s="20">
        <f t="shared" si="238"/>
        <v>1225.7024112397078</v>
      </c>
      <c r="AH39" s="20">
        <f t="shared" si="238"/>
        <v>0</v>
      </c>
      <c r="AI39" s="20">
        <f t="shared" si="238"/>
        <v>0</v>
      </c>
      <c r="AJ39" s="20">
        <f t="shared" si="238"/>
        <v>0</v>
      </c>
      <c r="AK39" s="20">
        <f t="shared" si="238"/>
        <v>1219.6043892932423</v>
      </c>
      <c r="AL39" s="20">
        <f t="shared" si="238"/>
        <v>0</v>
      </c>
      <c r="AM39" s="20">
        <f t="shared" si="238"/>
        <v>0</v>
      </c>
      <c r="AN39" s="20">
        <f t="shared" si="238"/>
        <v>0</v>
      </c>
      <c r="AO39" s="20">
        <f t="shared" si="238"/>
        <v>1213.5367057644203</v>
      </c>
      <c r="AP39" s="20">
        <f t="shared" si="238"/>
        <v>0</v>
      </c>
      <c r="AQ39" s="20">
        <f t="shared" si="238"/>
        <v>0</v>
      </c>
      <c r="AR39" s="20">
        <f t="shared" si="238"/>
        <v>0</v>
      </c>
      <c r="AS39" s="20">
        <f t="shared" si="238"/>
        <v>1207.4992097158413</v>
      </c>
      <c r="AT39" s="20">
        <f t="shared" si="238"/>
        <v>0</v>
      </c>
      <c r="AU39" s="20">
        <f t="shared" si="238"/>
        <v>0</v>
      </c>
      <c r="AV39" s="20">
        <f t="shared" si="238"/>
        <v>0</v>
      </c>
      <c r="AW39" s="20">
        <f t="shared" si="238"/>
        <v>1201.4917509610364</v>
      </c>
      <c r="AX39" s="20">
        <f t="shared" si="238"/>
        <v>0</v>
      </c>
      <c r="AY39" s="20">
        <f t="shared" si="238"/>
        <v>0</v>
      </c>
      <c r="AZ39" s="20">
        <f t="shared" si="238"/>
        <v>0</v>
      </c>
      <c r="BA39" s="20">
        <f t="shared" si="238"/>
        <v>1195.514180060733</v>
      </c>
      <c r="BB39" s="20">
        <f t="shared" si="238"/>
        <v>0</v>
      </c>
      <c r="BC39" s="20">
        <f t="shared" si="238"/>
        <v>0</v>
      </c>
      <c r="BD39" s="20">
        <f t="shared" si="238"/>
        <v>0</v>
      </c>
      <c r="BE39" s="20">
        <f t="shared" si="238"/>
        <v>1189.5663483191379</v>
      </c>
      <c r="BF39" s="20">
        <f t="shared" si="238"/>
        <v>0</v>
      </c>
      <c r="BG39" s="20">
        <f t="shared" si="238"/>
        <v>0</v>
      </c>
      <c r="BH39" s="20">
        <f t="shared" si="238"/>
        <v>0</v>
      </c>
      <c r="BI39" s="20">
        <f t="shared" si="238"/>
        <v>1183.6481077802373</v>
      </c>
      <c r="BJ39" s="20">
        <f t="shared" si="238"/>
        <v>0</v>
      </c>
      <c r="BK39" s="20">
        <f t="shared" si="238"/>
        <v>0</v>
      </c>
      <c r="BL39" s="20">
        <f t="shared" si="238"/>
        <v>0</v>
      </c>
      <c r="BM39" s="20">
        <f t="shared" si="238"/>
        <v>1177.7593112241168</v>
      </c>
      <c r="BN39" s="20">
        <f t="shared" si="238"/>
        <v>0</v>
      </c>
      <c r="BO39" s="20">
        <f t="shared" si="238"/>
        <v>0</v>
      </c>
      <c r="BP39" s="20">
        <f t="shared" si="238"/>
        <v>0</v>
      </c>
      <c r="BQ39" s="20">
        <f t="shared" si="238"/>
        <v>1171.8998121633006</v>
      </c>
      <c r="BR39" s="20">
        <f t="shared" si="238"/>
        <v>0</v>
      </c>
      <c r="BS39" s="20">
        <f t="shared" si="238"/>
        <v>0</v>
      </c>
      <c r="BT39" s="20">
        <f t="shared" si="238"/>
        <v>0</v>
      </c>
      <c r="BU39" s="20">
        <f t="shared" si="238"/>
        <v>1166.0694648391056</v>
      </c>
      <c r="BV39" s="20">
        <f t="shared" si="238"/>
        <v>0</v>
      </c>
      <c r="BW39" s="20">
        <f t="shared" si="238"/>
        <v>0</v>
      </c>
      <c r="BX39" s="20">
        <f t="shared" si="238"/>
        <v>0</v>
      </c>
      <c r="BY39" s="20">
        <f t="shared" si="238"/>
        <v>1160.2681242180158</v>
      </c>
      <c r="BZ39" s="20">
        <f t="shared" si="238"/>
        <v>0</v>
      </c>
      <c r="CA39" s="20">
        <f t="shared" si="238"/>
        <v>0</v>
      </c>
      <c r="CB39" s="20">
        <f t="shared" si="238"/>
        <v>0</v>
      </c>
      <c r="CC39" s="20">
        <f t="shared" si="238"/>
        <v>1154.4956459880759</v>
      </c>
      <c r="CD39" s="20">
        <f t="shared" si="238"/>
        <v>0</v>
      </c>
      <c r="CE39" s="20">
        <f t="shared" si="238"/>
        <v>0</v>
      </c>
      <c r="CF39" s="20">
        <f t="shared" si="238"/>
        <v>0</v>
      </c>
      <c r="CG39" s="20">
        <f t="shared" si="238"/>
        <v>1148.7518865553</v>
      </c>
      <c r="CH39" s="20">
        <f t="shared" si="238"/>
        <v>0</v>
      </c>
      <c r="CI39" s="20">
        <f t="shared" si="238"/>
        <v>0</v>
      </c>
      <c r="CJ39" s="20">
        <f t="shared" si="238"/>
        <v>0</v>
      </c>
      <c r="CK39" s="20">
        <f t="shared" si="238"/>
        <v>1143.0367030400996</v>
      </c>
      <c r="CL39" s="20">
        <f t="shared" si="238"/>
        <v>0</v>
      </c>
      <c r="CM39" s="20">
        <f t="shared" si="237"/>
        <v>0</v>
      </c>
      <c r="CN39" s="20">
        <f t="shared" si="237"/>
        <v>0</v>
      </c>
      <c r="CO39" s="20">
        <f t="shared" si="237"/>
        <v>1137.3499532737312</v>
      </c>
      <c r="CP39" s="20">
        <f t="shared" si="237"/>
        <v>0</v>
      </c>
      <c r="CQ39" s="20">
        <f t="shared" si="237"/>
        <v>0</v>
      </c>
      <c r="CR39" s="20">
        <f t="shared" si="237"/>
        <v>0</v>
      </c>
      <c r="CS39" s="20">
        <f t="shared" si="237"/>
        <v>1131.6914957947577</v>
      </c>
      <c r="CT39" s="20">
        <f t="shared" si="237"/>
        <v>0</v>
      </c>
      <c r="CU39" s="20">
        <f t="shared" si="237"/>
        <v>0</v>
      </c>
      <c r="CV39" s="20">
        <f t="shared" si="237"/>
        <v>0</v>
      </c>
      <c r="CW39" s="20">
        <f t="shared" si="237"/>
        <v>1126.0611898455306</v>
      </c>
      <c r="CX39" s="20">
        <f t="shared" si="237"/>
        <v>0</v>
      </c>
      <c r="CY39" s="20">
        <f t="shared" si="237"/>
        <v>0</v>
      </c>
      <c r="CZ39" s="20">
        <f t="shared" si="237"/>
        <v>0</v>
      </c>
      <c r="DA39" s="20">
        <f t="shared" si="237"/>
        <v>1120.4588953686873</v>
      </c>
      <c r="DB39" s="20">
        <f t="shared" si="237"/>
        <v>0</v>
      </c>
      <c r="DC39" s="20">
        <f t="shared" si="237"/>
        <v>0</v>
      </c>
      <c r="DD39" s="20">
        <f t="shared" si="237"/>
        <v>0</v>
      </c>
      <c r="DE39" s="20">
        <f t="shared" si="237"/>
        <v>1114.8844730036694</v>
      </c>
      <c r="DF39" s="20">
        <f t="shared" si="237"/>
        <v>0</v>
      </c>
      <c r="DG39" s="20">
        <f t="shared" si="237"/>
        <v>0</v>
      </c>
      <c r="DH39" s="20">
        <f t="shared" si="237"/>
        <v>0</v>
      </c>
      <c r="DI39" s="20">
        <f t="shared" si="237"/>
        <v>1109.3377840832536</v>
      </c>
      <c r="DJ39" s="20">
        <f t="shared" si="237"/>
        <v>0</v>
      </c>
      <c r="DK39" s="20">
        <f t="shared" si="237"/>
        <v>0</v>
      </c>
      <c r="DL39" s="20">
        <f t="shared" si="237"/>
        <v>0</v>
      </c>
      <c r="DM39" s="20">
        <f t="shared" si="237"/>
        <v>1103.8186906301034</v>
      </c>
      <c r="DN39" s="20">
        <f t="shared" si="237"/>
        <v>0</v>
      </c>
      <c r="DO39" s="20">
        <f t="shared" si="237"/>
        <v>0</v>
      </c>
      <c r="DP39" s="20">
        <f t="shared" si="237"/>
        <v>0</v>
      </c>
      <c r="DQ39" s="20">
        <f t="shared" si="237"/>
        <v>0</v>
      </c>
    </row>
    <row r="40" spans="2:1006" x14ac:dyDescent="0.35">
      <c r="C40" s="20" t="s">
        <v>193</v>
      </c>
      <c r="F40" s="20" t="s">
        <v>48</v>
      </c>
      <c r="G40" s="35">
        <f>Assumptions!J45</f>
        <v>0.21140551075268812</v>
      </c>
      <c r="H40" s="45">
        <f>Assumptions!I45</f>
        <v>744</v>
      </c>
      <c r="I40" s="54">
        <f t="shared" si="233"/>
        <v>11879.004897421044</v>
      </c>
      <c r="K40" s="20">
        <f t="shared" si="236"/>
        <v>0</v>
      </c>
      <c r="L40" s="20">
        <f t="shared" si="236"/>
        <v>0</v>
      </c>
      <c r="M40" s="20">
        <f t="shared" si="236"/>
        <v>0</v>
      </c>
      <c r="N40" s="20">
        <f t="shared" si="236"/>
        <v>0</v>
      </c>
      <c r="O40" s="20">
        <f t="shared" si="236"/>
        <v>0</v>
      </c>
      <c r="P40" s="20">
        <f t="shared" si="236"/>
        <v>0</v>
      </c>
      <c r="Q40" s="20">
        <f t="shared" si="236"/>
        <v>0</v>
      </c>
      <c r="R40" s="20">
        <f t="shared" si="236"/>
        <v>0</v>
      </c>
      <c r="S40" s="20">
        <f t="shared" si="236"/>
        <v>0</v>
      </c>
      <c r="T40" s="20">
        <f t="shared" si="236"/>
        <v>0</v>
      </c>
      <c r="U40" s="20">
        <f t="shared" si="236"/>
        <v>941.36372511734589</v>
      </c>
      <c r="V40" s="20">
        <f t="shared" si="236"/>
        <v>0</v>
      </c>
      <c r="W40" s="20">
        <f t="shared" si="236"/>
        <v>0</v>
      </c>
      <c r="X40" s="20">
        <f t="shared" si="236"/>
        <v>0</v>
      </c>
      <c r="Y40" s="20">
        <f t="shared" si="236"/>
        <v>936.68032349984685</v>
      </c>
      <c r="Z40" s="20">
        <f t="shared" si="236"/>
        <v>0</v>
      </c>
      <c r="AA40" s="20">
        <f t="shared" si="238"/>
        <v>0</v>
      </c>
      <c r="AB40" s="20">
        <f t="shared" si="238"/>
        <v>0</v>
      </c>
      <c r="AC40" s="20">
        <f t="shared" si="238"/>
        <v>932.02022238790778</v>
      </c>
      <c r="AD40" s="20">
        <f t="shared" si="238"/>
        <v>0</v>
      </c>
      <c r="AE40" s="20">
        <f t="shared" si="238"/>
        <v>0</v>
      </c>
      <c r="AF40" s="20">
        <f t="shared" si="238"/>
        <v>0</v>
      </c>
      <c r="AG40" s="20">
        <f t="shared" si="238"/>
        <v>927.3833058586149</v>
      </c>
      <c r="AH40" s="20">
        <f t="shared" si="238"/>
        <v>0</v>
      </c>
      <c r="AI40" s="20">
        <f t="shared" si="238"/>
        <v>0</v>
      </c>
      <c r="AJ40" s="20">
        <f t="shared" si="238"/>
        <v>0</v>
      </c>
      <c r="AK40" s="20">
        <f t="shared" si="238"/>
        <v>922.76945856578652</v>
      </c>
      <c r="AL40" s="20">
        <f t="shared" si="238"/>
        <v>0</v>
      </c>
      <c r="AM40" s="20">
        <f t="shared" si="238"/>
        <v>0</v>
      </c>
      <c r="AN40" s="20">
        <f t="shared" si="238"/>
        <v>0</v>
      </c>
      <c r="AO40" s="20">
        <f t="shared" si="238"/>
        <v>918.17856573710105</v>
      </c>
      <c r="AP40" s="20">
        <f t="shared" si="238"/>
        <v>0</v>
      </c>
      <c r="AQ40" s="20">
        <f t="shared" si="238"/>
        <v>0</v>
      </c>
      <c r="AR40" s="20">
        <f t="shared" si="238"/>
        <v>0</v>
      </c>
      <c r="AS40" s="20">
        <f t="shared" si="238"/>
        <v>913.61051317124497</v>
      </c>
      <c r="AT40" s="20">
        <f t="shared" si="238"/>
        <v>0</v>
      </c>
      <c r="AU40" s="20">
        <f t="shared" si="238"/>
        <v>0</v>
      </c>
      <c r="AV40" s="20">
        <f t="shared" si="238"/>
        <v>0</v>
      </c>
      <c r="AW40" s="20">
        <f t="shared" si="238"/>
        <v>909.06518723506997</v>
      </c>
      <c r="AX40" s="20">
        <f t="shared" si="238"/>
        <v>0</v>
      </c>
      <c r="AY40" s="20">
        <f t="shared" si="238"/>
        <v>0</v>
      </c>
      <c r="AZ40" s="20">
        <f t="shared" si="238"/>
        <v>0</v>
      </c>
      <c r="BA40" s="20">
        <f t="shared" si="238"/>
        <v>904.54247486076645</v>
      </c>
      <c r="BB40" s="20">
        <f t="shared" si="238"/>
        <v>0</v>
      </c>
      <c r="BC40" s="20">
        <f t="shared" si="238"/>
        <v>0</v>
      </c>
      <c r="BD40" s="20">
        <f t="shared" si="238"/>
        <v>0</v>
      </c>
      <c r="BE40" s="20">
        <f t="shared" si="238"/>
        <v>900.04226354305149</v>
      </c>
      <c r="BF40" s="20">
        <f t="shared" si="238"/>
        <v>0</v>
      </c>
      <c r="BG40" s="20">
        <f t="shared" si="238"/>
        <v>0</v>
      </c>
      <c r="BH40" s="20">
        <f t="shared" si="238"/>
        <v>0</v>
      </c>
      <c r="BI40" s="20">
        <f t="shared" si="238"/>
        <v>895.56444133637001</v>
      </c>
      <c r="BJ40" s="20">
        <f t="shared" si="238"/>
        <v>0</v>
      </c>
      <c r="BK40" s="20">
        <f t="shared" si="238"/>
        <v>0</v>
      </c>
      <c r="BL40" s="20">
        <f t="shared" si="238"/>
        <v>0</v>
      </c>
      <c r="BM40" s="20">
        <f t="shared" si="238"/>
        <v>891.10889685210941</v>
      </c>
      <c r="BN40" s="20">
        <f t="shared" si="238"/>
        <v>0</v>
      </c>
      <c r="BO40" s="20">
        <f t="shared" si="238"/>
        <v>0</v>
      </c>
      <c r="BP40" s="20">
        <f t="shared" si="238"/>
        <v>0</v>
      </c>
      <c r="BQ40" s="20">
        <f t="shared" si="238"/>
        <v>886.67551925583064</v>
      </c>
      <c r="BR40" s="20">
        <f t="shared" si="238"/>
        <v>0</v>
      </c>
      <c r="BS40" s="20">
        <f t="shared" si="238"/>
        <v>0</v>
      </c>
      <c r="BT40" s="20">
        <f t="shared" si="238"/>
        <v>0</v>
      </c>
      <c r="BU40" s="20">
        <f t="shared" si="238"/>
        <v>882.26419826450854</v>
      </c>
      <c r="BV40" s="20">
        <f t="shared" si="238"/>
        <v>0</v>
      </c>
      <c r="BW40" s="20">
        <f t="shared" si="238"/>
        <v>0</v>
      </c>
      <c r="BX40" s="20">
        <f t="shared" si="238"/>
        <v>0</v>
      </c>
      <c r="BY40" s="20">
        <f t="shared" si="238"/>
        <v>877.87482414378985</v>
      </c>
      <c r="BZ40" s="20">
        <f t="shared" si="238"/>
        <v>0</v>
      </c>
      <c r="CA40" s="20">
        <f t="shared" si="238"/>
        <v>0</v>
      </c>
      <c r="CB40" s="20">
        <f t="shared" si="238"/>
        <v>0</v>
      </c>
      <c r="CC40" s="20">
        <f t="shared" si="238"/>
        <v>873.50728770526382</v>
      </c>
      <c r="CD40" s="20">
        <f t="shared" si="238"/>
        <v>0</v>
      </c>
      <c r="CE40" s="20">
        <f t="shared" si="238"/>
        <v>0</v>
      </c>
      <c r="CF40" s="20">
        <f t="shared" si="238"/>
        <v>0</v>
      </c>
      <c r="CG40" s="20">
        <f t="shared" si="238"/>
        <v>869.16148030374552</v>
      </c>
      <c r="CH40" s="20">
        <f t="shared" si="238"/>
        <v>0</v>
      </c>
      <c r="CI40" s="20">
        <f t="shared" si="238"/>
        <v>0</v>
      </c>
      <c r="CJ40" s="20">
        <f t="shared" si="238"/>
        <v>0</v>
      </c>
      <c r="CK40" s="20">
        <f t="shared" si="238"/>
        <v>864.83729383457273</v>
      </c>
      <c r="CL40" s="20">
        <f t="shared" ref="CL40:DQ42" si="239">$G40*$H40*CL27*CL$16/1000</f>
        <v>0</v>
      </c>
      <c r="CM40" s="20">
        <f t="shared" si="239"/>
        <v>0</v>
      </c>
      <c r="CN40" s="20">
        <f t="shared" si="239"/>
        <v>0</v>
      </c>
      <c r="CO40" s="20">
        <f t="shared" si="239"/>
        <v>860.53462073091839</v>
      </c>
      <c r="CP40" s="20">
        <f t="shared" si="239"/>
        <v>0</v>
      </c>
      <c r="CQ40" s="20">
        <f t="shared" si="239"/>
        <v>0</v>
      </c>
      <c r="CR40" s="20">
        <f t="shared" si="239"/>
        <v>0</v>
      </c>
      <c r="CS40" s="20">
        <f t="shared" si="239"/>
        <v>856.25335396111302</v>
      </c>
      <c r="CT40" s="20">
        <f t="shared" si="239"/>
        <v>0</v>
      </c>
      <c r="CU40" s="20">
        <f t="shared" si="239"/>
        <v>0</v>
      </c>
      <c r="CV40" s="20">
        <f t="shared" si="239"/>
        <v>0</v>
      </c>
      <c r="CW40" s="20">
        <f t="shared" si="239"/>
        <v>851.99338702598345</v>
      </c>
      <c r="CX40" s="20">
        <f t="shared" si="239"/>
        <v>0</v>
      </c>
      <c r="CY40" s="20">
        <f t="shared" si="239"/>
        <v>0</v>
      </c>
      <c r="CZ40" s="20">
        <f t="shared" si="239"/>
        <v>0</v>
      </c>
      <c r="DA40" s="20">
        <f t="shared" si="239"/>
        <v>847.75461395620266</v>
      </c>
      <c r="DB40" s="20">
        <f t="shared" si="239"/>
        <v>0</v>
      </c>
      <c r="DC40" s="20">
        <f t="shared" si="239"/>
        <v>0</v>
      </c>
      <c r="DD40" s="20">
        <f t="shared" si="239"/>
        <v>0</v>
      </c>
      <c r="DE40" s="20">
        <f t="shared" si="239"/>
        <v>843.53692930965462</v>
      </c>
      <c r="DF40" s="20">
        <f t="shared" si="239"/>
        <v>0</v>
      </c>
      <c r="DG40" s="20">
        <f t="shared" si="239"/>
        <v>0</v>
      </c>
      <c r="DH40" s="20">
        <f t="shared" si="239"/>
        <v>0</v>
      </c>
      <c r="DI40" s="20">
        <f t="shared" si="239"/>
        <v>839.340228168811</v>
      </c>
      <c r="DJ40" s="20">
        <f t="shared" si="239"/>
        <v>0</v>
      </c>
      <c r="DK40" s="20">
        <f t="shared" si="239"/>
        <v>0</v>
      </c>
      <c r="DL40" s="20">
        <f t="shared" si="239"/>
        <v>0</v>
      </c>
      <c r="DM40" s="20">
        <f t="shared" si="239"/>
        <v>835.16440613812051</v>
      </c>
      <c r="DN40" s="20">
        <f t="shared" si="239"/>
        <v>0</v>
      </c>
      <c r="DO40" s="20">
        <f t="shared" si="239"/>
        <v>0</v>
      </c>
      <c r="DP40" s="20">
        <f t="shared" si="239"/>
        <v>0</v>
      </c>
      <c r="DQ40" s="20">
        <f t="shared" si="239"/>
        <v>0</v>
      </c>
    </row>
    <row r="41" spans="2:1006" x14ac:dyDescent="0.35">
      <c r="C41" s="20" t="s">
        <v>183</v>
      </c>
      <c r="F41" s="20" t="s">
        <v>48</v>
      </c>
      <c r="G41" s="35">
        <f>Assumptions!J46</f>
        <v>0.14970861111111108</v>
      </c>
      <c r="H41" s="45">
        <f>Assumptions!I46</f>
        <v>720</v>
      </c>
      <c r="I41" s="54">
        <f t="shared" si="233"/>
        <v>8140.8565031277103</v>
      </c>
      <c r="K41" s="20">
        <f t="shared" si="236"/>
        <v>0</v>
      </c>
      <c r="L41" s="20">
        <f t="shared" si="236"/>
        <v>0</v>
      </c>
      <c r="M41" s="20">
        <f t="shared" si="236"/>
        <v>0</v>
      </c>
      <c r="N41" s="20">
        <f t="shared" si="236"/>
        <v>0</v>
      </c>
      <c r="O41" s="20">
        <f t="shared" si="236"/>
        <v>0</v>
      </c>
      <c r="P41" s="20">
        <f t="shared" si="236"/>
        <v>0</v>
      </c>
      <c r="Q41" s="20">
        <f t="shared" si="236"/>
        <v>0</v>
      </c>
      <c r="R41" s="20">
        <f t="shared" si="236"/>
        <v>0</v>
      </c>
      <c r="S41" s="20">
        <f t="shared" si="236"/>
        <v>0</v>
      </c>
      <c r="T41" s="20">
        <f t="shared" si="236"/>
        <v>0</v>
      </c>
      <c r="U41" s="20">
        <f t="shared" si="236"/>
        <v>645.13038504545386</v>
      </c>
      <c r="V41" s="20">
        <f t="shared" si="236"/>
        <v>0</v>
      </c>
      <c r="W41" s="20">
        <f t="shared" si="236"/>
        <v>0</v>
      </c>
      <c r="X41" s="20">
        <f t="shared" si="236"/>
        <v>0</v>
      </c>
      <c r="Y41" s="20">
        <f t="shared" si="236"/>
        <v>641.92078113975526</v>
      </c>
      <c r="Z41" s="20">
        <f t="shared" si="236"/>
        <v>0</v>
      </c>
      <c r="AA41" s="20">
        <f t="shared" ref="AA41:CL42" si="240">$G41*$H41*AA28*AA$16/1000</f>
        <v>0</v>
      </c>
      <c r="AB41" s="20">
        <f t="shared" si="240"/>
        <v>0</v>
      </c>
      <c r="AC41" s="20">
        <f t="shared" si="240"/>
        <v>638.72714541269215</v>
      </c>
      <c r="AD41" s="20">
        <f t="shared" si="240"/>
        <v>0</v>
      </c>
      <c r="AE41" s="20">
        <f t="shared" si="240"/>
        <v>0</v>
      </c>
      <c r="AF41" s="20">
        <f t="shared" si="240"/>
        <v>0</v>
      </c>
      <c r="AG41" s="20">
        <f t="shared" si="240"/>
        <v>635.54939842058923</v>
      </c>
      <c r="AH41" s="20">
        <f t="shared" si="240"/>
        <v>0</v>
      </c>
      <c r="AI41" s="20">
        <f t="shared" si="240"/>
        <v>0</v>
      </c>
      <c r="AJ41" s="20">
        <f t="shared" si="240"/>
        <v>0</v>
      </c>
      <c r="AK41" s="20">
        <f t="shared" si="240"/>
        <v>632.3874611150145</v>
      </c>
      <c r="AL41" s="20">
        <f t="shared" si="240"/>
        <v>0</v>
      </c>
      <c r="AM41" s="20">
        <f t="shared" si="240"/>
        <v>0</v>
      </c>
      <c r="AN41" s="20">
        <f t="shared" si="240"/>
        <v>0</v>
      </c>
      <c r="AO41" s="20">
        <f t="shared" si="240"/>
        <v>629.2412548408106</v>
      </c>
      <c r="AP41" s="20">
        <f t="shared" si="240"/>
        <v>0</v>
      </c>
      <c r="AQ41" s="20">
        <f t="shared" si="240"/>
        <v>0</v>
      </c>
      <c r="AR41" s="20">
        <f t="shared" si="240"/>
        <v>0</v>
      </c>
      <c r="AS41" s="20">
        <f t="shared" si="240"/>
        <v>626.11070133413989</v>
      </c>
      <c r="AT41" s="20">
        <f t="shared" si="240"/>
        <v>0</v>
      </c>
      <c r="AU41" s="20">
        <f t="shared" si="240"/>
        <v>0</v>
      </c>
      <c r="AV41" s="20">
        <f t="shared" si="240"/>
        <v>0</v>
      </c>
      <c r="AW41" s="20">
        <f t="shared" si="240"/>
        <v>622.9957227205374</v>
      </c>
      <c r="AX41" s="20">
        <f t="shared" si="240"/>
        <v>0</v>
      </c>
      <c r="AY41" s="20">
        <f t="shared" si="240"/>
        <v>0</v>
      </c>
      <c r="AZ41" s="20">
        <f t="shared" si="240"/>
        <v>0</v>
      </c>
      <c r="BA41" s="20">
        <f t="shared" si="240"/>
        <v>619.89624151297289</v>
      </c>
      <c r="BB41" s="20">
        <f t="shared" si="240"/>
        <v>0</v>
      </c>
      <c r="BC41" s="20">
        <f t="shared" si="240"/>
        <v>0</v>
      </c>
      <c r="BD41" s="20">
        <f t="shared" si="240"/>
        <v>0</v>
      </c>
      <c r="BE41" s="20">
        <f t="shared" si="240"/>
        <v>616.81218060992342</v>
      </c>
      <c r="BF41" s="20">
        <f t="shared" si="240"/>
        <v>0</v>
      </c>
      <c r="BG41" s="20">
        <f t="shared" si="240"/>
        <v>0</v>
      </c>
      <c r="BH41" s="20">
        <f t="shared" si="240"/>
        <v>0</v>
      </c>
      <c r="BI41" s="20">
        <f t="shared" si="240"/>
        <v>613.74346329345633</v>
      </c>
      <c r="BJ41" s="20">
        <f t="shared" si="240"/>
        <v>0</v>
      </c>
      <c r="BK41" s="20">
        <f t="shared" si="240"/>
        <v>0</v>
      </c>
      <c r="BL41" s="20">
        <f t="shared" si="240"/>
        <v>0</v>
      </c>
      <c r="BM41" s="20">
        <f t="shared" si="240"/>
        <v>610.69001322731981</v>
      </c>
      <c r="BN41" s="20">
        <f t="shared" si="240"/>
        <v>0</v>
      </c>
      <c r="BO41" s="20">
        <f t="shared" si="240"/>
        <v>0</v>
      </c>
      <c r="BP41" s="20">
        <f t="shared" si="240"/>
        <v>0</v>
      </c>
      <c r="BQ41" s="20">
        <f t="shared" si="240"/>
        <v>607.65175445504485</v>
      </c>
      <c r="BR41" s="20">
        <f t="shared" si="240"/>
        <v>0</v>
      </c>
      <c r="BS41" s="20">
        <f t="shared" si="240"/>
        <v>0</v>
      </c>
      <c r="BT41" s="20">
        <f t="shared" si="240"/>
        <v>0</v>
      </c>
      <c r="BU41" s="20">
        <f t="shared" si="240"/>
        <v>604.62861139805489</v>
      </c>
      <c r="BV41" s="20">
        <f t="shared" si="240"/>
        <v>0</v>
      </c>
      <c r="BW41" s="20">
        <f t="shared" si="240"/>
        <v>0</v>
      </c>
      <c r="BX41" s="20">
        <f t="shared" si="240"/>
        <v>0</v>
      </c>
      <c r="BY41" s="20">
        <f t="shared" si="240"/>
        <v>601.62050885378608</v>
      </c>
      <c r="BZ41" s="20">
        <f t="shared" si="240"/>
        <v>0</v>
      </c>
      <c r="CA41" s="20">
        <f t="shared" si="240"/>
        <v>0</v>
      </c>
      <c r="CB41" s="20">
        <f t="shared" si="240"/>
        <v>0</v>
      </c>
      <c r="CC41" s="20">
        <f t="shared" si="240"/>
        <v>598.62737199381718</v>
      </c>
      <c r="CD41" s="20">
        <f t="shared" si="240"/>
        <v>0</v>
      </c>
      <c r="CE41" s="20">
        <f t="shared" si="240"/>
        <v>0</v>
      </c>
      <c r="CF41" s="20">
        <f t="shared" si="240"/>
        <v>0</v>
      </c>
      <c r="CG41" s="20">
        <f t="shared" si="240"/>
        <v>595.64912636200745</v>
      </c>
      <c r="CH41" s="20">
        <f t="shared" si="240"/>
        <v>0</v>
      </c>
      <c r="CI41" s="20">
        <f t="shared" si="240"/>
        <v>0</v>
      </c>
      <c r="CJ41" s="20">
        <f t="shared" si="240"/>
        <v>0</v>
      </c>
      <c r="CK41" s="20">
        <f t="shared" si="240"/>
        <v>592.68569787264425</v>
      </c>
      <c r="CL41" s="20">
        <f t="shared" si="240"/>
        <v>0</v>
      </c>
      <c r="CM41" s="20">
        <f t="shared" si="239"/>
        <v>0</v>
      </c>
      <c r="CN41" s="20">
        <f t="shared" si="239"/>
        <v>0</v>
      </c>
      <c r="CO41" s="20">
        <f t="shared" si="239"/>
        <v>589.73701280860143</v>
      </c>
      <c r="CP41" s="20">
        <f t="shared" si="239"/>
        <v>0</v>
      </c>
      <c r="CQ41" s="20">
        <f t="shared" si="239"/>
        <v>0</v>
      </c>
      <c r="CR41" s="20">
        <f t="shared" si="239"/>
        <v>0</v>
      </c>
      <c r="CS41" s="20">
        <f t="shared" si="239"/>
        <v>586.80299781950396</v>
      </c>
      <c r="CT41" s="20">
        <f t="shared" si="239"/>
        <v>0</v>
      </c>
      <c r="CU41" s="20">
        <f t="shared" si="239"/>
        <v>0</v>
      </c>
      <c r="CV41" s="20">
        <f t="shared" si="239"/>
        <v>0</v>
      </c>
      <c r="CW41" s="20">
        <f t="shared" si="239"/>
        <v>583.88357991990483</v>
      </c>
      <c r="CX41" s="20">
        <f t="shared" si="239"/>
        <v>0</v>
      </c>
      <c r="CY41" s="20">
        <f t="shared" si="239"/>
        <v>0</v>
      </c>
      <c r="CZ41" s="20">
        <f t="shared" si="239"/>
        <v>0</v>
      </c>
      <c r="DA41" s="20">
        <f t="shared" si="239"/>
        <v>580.9786864874676</v>
      </c>
      <c r="DB41" s="20">
        <f t="shared" si="239"/>
        <v>0</v>
      </c>
      <c r="DC41" s="20">
        <f t="shared" si="239"/>
        <v>0</v>
      </c>
      <c r="DD41" s="20">
        <f t="shared" si="239"/>
        <v>0</v>
      </c>
      <c r="DE41" s="20">
        <f t="shared" si="239"/>
        <v>578.08824526116189</v>
      </c>
      <c r="DF41" s="20">
        <f t="shared" si="239"/>
        <v>0</v>
      </c>
      <c r="DG41" s="20">
        <f t="shared" si="239"/>
        <v>0</v>
      </c>
      <c r="DH41" s="20">
        <f t="shared" si="239"/>
        <v>0</v>
      </c>
      <c r="DI41" s="20">
        <f t="shared" si="239"/>
        <v>575.2121843394649</v>
      </c>
      <c r="DJ41" s="20">
        <f t="shared" si="239"/>
        <v>0</v>
      </c>
      <c r="DK41" s="20">
        <f t="shared" si="239"/>
        <v>0</v>
      </c>
      <c r="DL41" s="20">
        <f t="shared" si="239"/>
        <v>0</v>
      </c>
      <c r="DM41" s="20">
        <f t="shared" si="239"/>
        <v>572.35043217857219</v>
      </c>
      <c r="DN41" s="20">
        <f t="shared" si="239"/>
        <v>0</v>
      </c>
      <c r="DO41" s="20">
        <f t="shared" si="239"/>
        <v>0</v>
      </c>
      <c r="DP41" s="20">
        <f t="shared" si="239"/>
        <v>0</v>
      </c>
      <c r="DQ41" s="20">
        <f t="shared" si="239"/>
        <v>0</v>
      </c>
    </row>
    <row r="42" spans="2:1006" x14ac:dyDescent="0.35">
      <c r="C42" s="20" t="s">
        <v>194</v>
      </c>
      <c r="F42" s="20" t="s">
        <v>48</v>
      </c>
      <c r="G42" s="35">
        <f>Assumptions!J47</f>
        <v>0.12713897849462363</v>
      </c>
      <c r="H42" s="45">
        <f>Assumptions!I47</f>
        <v>744</v>
      </c>
      <c r="I42" s="54">
        <f t="shared" si="233"/>
        <v>7135.1147122427974</v>
      </c>
      <c r="K42" s="20">
        <f t="shared" si="236"/>
        <v>0</v>
      </c>
      <c r="L42" s="20">
        <f t="shared" si="236"/>
        <v>0</v>
      </c>
      <c r="M42" s="20">
        <f t="shared" si="236"/>
        <v>0</v>
      </c>
      <c r="N42" s="20">
        <f t="shared" si="236"/>
        <v>0</v>
      </c>
      <c r="O42" s="20">
        <f t="shared" si="236"/>
        <v>0</v>
      </c>
      <c r="P42" s="20">
        <f t="shared" si="236"/>
        <v>0</v>
      </c>
      <c r="Q42" s="20">
        <f t="shared" si="236"/>
        <v>0</v>
      </c>
      <c r="R42" s="20">
        <f t="shared" si="236"/>
        <v>0</v>
      </c>
      <c r="S42" s="20">
        <f t="shared" si="236"/>
        <v>0</v>
      </c>
      <c r="T42" s="20">
        <f t="shared" si="236"/>
        <v>0</v>
      </c>
      <c r="U42" s="20">
        <f t="shared" si="236"/>
        <v>0</v>
      </c>
      <c r="V42" s="20">
        <f t="shared" si="236"/>
        <v>565.42936236306093</v>
      </c>
      <c r="W42" s="20">
        <f t="shared" si="236"/>
        <v>0</v>
      </c>
      <c r="X42" s="20">
        <f t="shared" si="236"/>
        <v>0</v>
      </c>
      <c r="Y42" s="20">
        <f t="shared" si="236"/>
        <v>0</v>
      </c>
      <c r="Z42" s="20">
        <f t="shared" si="236"/>
        <v>562.61628095826973</v>
      </c>
      <c r="AA42" s="20">
        <f t="shared" si="240"/>
        <v>0</v>
      </c>
      <c r="AB42" s="20">
        <f t="shared" si="240"/>
        <v>0</v>
      </c>
      <c r="AC42" s="20">
        <f t="shared" si="240"/>
        <v>0</v>
      </c>
      <c r="AD42" s="20">
        <f t="shared" si="240"/>
        <v>559.81719498335315</v>
      </c>
      <c r="AE42" s="20">
        <f t="shared" si="240"/>
        <v>0</v>
      </c>
      <c r="AF42" s="20">
        <f t="shared" si="240"/>
        <v>0</v>
      </c>
      <c r="AG42" s="20">
        <f t="shared" si="240"/>
        <v>0</v>
      </c>
      <c r="AH42" s="20">
        <f t="shared" si="240"/>
        <v>557.03203480930677</v>
      </c>
      <c r="AI42" s="20">
        <f t="shared" si="240"/>
        <v>0</v>
      </c>
      <c r="AJ42" s="20">
        <f t="shared" si="240"/>
        <v>0</v>
      </c>
      <c r="AK42" s="20">
        <f t="shared" si="240"/>
        <v>0</v>
      </c>
      <c r="AL42" s="20">
        <f t="shared" si="240"/>
        <v>554.26073115353927</v>
      </c>
      <c r="AM42" s="20">
        <f t="shared" si="240"/>
        <v>0</v>
      </c>
      <c r="AN42" s="20">
        <f t="shared" si="240"/>
        <v>0</v>
      </c>
      <c r="AO42" s="20">
        <f t="shared" si="240"/>
        <v>0</v>
      </c>
      <c r="AP42" s="20">
        <f t="shared" si="240"/>
        <v>551.50321507814863</v>
      </c>
      <c r="AQ42" s="20">
        <f t="shared" si="240"/>
        <v>0</v>
      </c>
      <c r="AR42" s="20">
        <f t="shared" si="240"/>
        <v>0</v>
      </c>
      <c r="AS42" s="20">
        <f t="shared" si="240"/>
        <v>0</v>
      </c>
      <c r="AT42" s="20">
        <f t="shared" si="240"/>
        <v>548.75941798820782</v>
      </c>
      <c r="AU42" s="20">
        <f t="shared" si="240"/>
        <v>0</v>
      </c>
      <c r="AV42" s="20">
        <f t="shared" si="240"/>
        <v>0</v>
      </c>
      <c r="AW42" s="20">
        <f t="shared" si="240"/>
        <v>0</v>
      </c>
      <c r="AX42" s="20">
        <f t="shared" si="240"/>
        <v>546.02927163005756</v>
      </c>
      <c r="AY42" s="20">
        <f t="shared" si="240"/>
        <v>0</v>
      </c>
      <c r="AZ42" s="20">
        <f t="shared" si="240"/>
        <v>0</v>
      </c>
      <c r="BA42" s="20">
        <f t="shared" si="240"/>
        <v>0</v>
      </c>
      <c r="BB42" s="20">
        <f t="shared" si="240"/>
        <v>543.31270808960971</v>
      </c>
      <c r="BC42" s="20">
        <f t="shared" si="240"/>
        <v>0</v>
      </c>
      <c r="BD42" s="20">
        <f t="shared" si="240"/>
        <v>0</v>
      </c>
      <c r="BE42" s="20">
        <f t="shared" si="240"/>
        <v>0</v>
      </c>
      <c r="BF42" s="20">
        <f t="shared" si="240"/>
        <v>540.60965979065668</v>
      </c>
      <c r="BG42" s="20">
        <f t="shared" si="240"/>
        <v>0</v>
      </c>
      <c r="BH42" s="20">
        <f t="shared" si="240"/>
        <v>0</v>
      </c>
      <c r="BI42" s="20">
        <f t="shared" si="240"/>
        <v>0</v>
      </c>
      <c r="BJ42" s="20">
        <f t="shared" si="240"/>
        <v>537.92005949319082</v>
      </c>
      <c r="BK42" s="20">
        <f t="shared" si="240"/>
        <v>0</v>
      </c>
      <c r="BL42" s="20">
        <f t="shared" si="240"/>
        <v>0</v>
      </c>
      <c r="BM42" s="20">
        <f t="shared" si="240"/>
        <v>0</v>
      </c>
      <c r="BN42" s="20">
        <f t="shared" si="240"/>
        <v>535.24384029173234</v>
      </c>
      <c r="BO42" s="20">
        <f t="shared" si="240"/>
        <v>0</v>
      </c>
      <c r="BP42" s="20">
        <f t="shared" si="240"/>
        <v>0</v>
      </c>
      <c r="BQ42" s="20">
        <f t="shared" si="240"/>
        <v>0</v>
      </c>
      <c r="BR42" s="20">
        <f t="shared" si="240"/>
        <v>532.58093561366422</v>
      </c>
      <c r="BS42" s="20">
        <f t="shared" si="240"/>
        <v>0</v>
      </c>
      <c r="BT42" s="20">
        <f t="shared" si="240"/>
        <v>0</v>
      </c>
      <c r="BU42" s="20">
        <f t="shared" si="240"/>
        <v>0</v>
      </c>
      <c r="BV42" s="20">
        <f t="shared" si="240"/>
        <v>529.9312792175765</v>
      </c>
      <c r="BW42" s="20">
        <f t="shared" si="240"/>
        <v>0</v>
      </c>
      <c r="BX42" s="20">
        <f t="shared" si="240"/>
        <v>0</v>
      </c>
      <c r="BY42" s="20">
        <f t="shared" si="240"/>
        <v>0</v>
      </c>
      <c r="BZ42" s="20">
        <f t="shared" si="240"/>
        <v>527.29480519161859</v>
      </c>
      <c r="CA42" s="20">
        <f t="shared" si="240"/>
        <v>0</v>
      </c>
      <c r="CB42" s="20">
        <f t="shared" si="240"/>
        <v>0</v>
      </c>
      <c r="CC42" s="20">
        <f t="shared" si="240"/>
        <v>0</v>
      </c>
      <c r="CD42" s="20">
        <f t="shared" si="240"/>
        <v>524.67144795185948</v>
      </c>
      <c r="CE42" s="20">
        <f t="shared" si="240"/>
        <v>0</v>
      </c>
      <c r="CF42" s="20">
        <f t="shared" si="240"/>
        <v>0</v>
      </c>
      <c r="CG42" s="20">
        <f t="shared" si="240"/>
        <v>0</v>
      </c>
      <c r="CH42" s="20">
        <f t="shared" si="240"/>
        <v>522.0611422406563</v>
      </c>
      <c r="CI42" s="20">
        <f t="shared" si="240"/>
        <v>0</v>
      </c>
      <c r="CJ42" s="20">
        <f t="shared" si="240"/>
        <v>0</v>
      </c>
      <c r="CK42" s="20">
        <f t="shared" si="240"/>
        <v>0</v>
      </c>
      <c r="CL42" s="20">
        <f t="shared" si="240"/>
        <v>519.46382312503135</v>
      </c>
      <c r="CM42" s="20">
        <f t="shared" si="239"/>
        <v>0</v>
      </c>
      <c r="CN42" s="20">
        <f t="shared" si="239"/>
        <v>0</v>
      </c>
      <c r="CO42" s="20">
        <f t="shared" si="239"/>
        <v>0</v>
      </c>
      <c r="CP42" s="20">
        <f t="shared" si="239"/>
        <v>516.87942599505618</v>
      </c>
      <c r="CQ42" s="20">
        <f t="shared" si="239"/>
        <v>0</v>
      </c>
      <c r="CR42" s="20">
        <f t="shared" si="239"/>
        <v>0</v>
      </c>
      <c r="CS42" s="20">
        <f t="shared" si="239"/>
        <v>0</v>
      </c>
      <c r="CT42" s="20">
        <f t="shared" si="239"/>
        <v>514.30788656224513</v>
      </c>
      <c r="CU42" s="20">
        <f t="shared" si="239"/>
        <v>0</v>
      </c>
      <c r="CV42" s="20">
        <f t="shared" si="239"/>
        <v>0</v>
      </c>
      <c r="CW42" s="20">
        <f t="shared" si="239"/>
        <v>0</v>
      </c>
      <c r="CX42" s="20">
        <f t="shared" si="239"/>
        <v>511.74914085795552</v>
      </c>
      <c r="CY42" s="20">
        <f t="shared" si="239"/>
        <v>0</v>
      </c>
      <c r="CZ42" s="20">
        <f t="shared" si="239"/>
        <v>0</v>
      </c>
      <c r="DA42" s="20">
        <f t="shared" si="239"/>
        <v>0</v>
      </c>
      <c r="DB42" s="20">
        <f t="shared" si="239"/>
        <v>509.20312523179666</v>
      </c>
      <c r="DC42" s="20">
        <f t="shared" si="239"/>
        <v>0</v>
      </c>
      <c r="DD42" s="20">
        <f t="shared" si="239"/>
        <v>0</v>
      </c>
      <c r="DE42" s="20">
        <f t="shared" si="239"/>
        <v>0</v>
      </c>
      <c r="DF42" s="20">
        <f t="shared" si="239"/>
        <v>506.66977635004662</v>
      </c>
      <c r="DG42" s="20">
        <f t="shared" si="239"/>
        <v>0</v>
      </c>
      <c r="DH42" s="20">
        <f t="shared" si="239"/>
        <v>0</v>
      </c>
      <c r="DI42" s="20">
        <f t="shared" si="239"/>
        <v>0</v>
      </c>
      <c r="DJ42" s="20">
        <f t="shared" si="239"/>
        <v>504.14903119407637</v>
      </c>
      <c r="DK42" s="20">
        <f t="shared" si="239"/>
        <v>0</v>
      </c>
      <c r="DL42" s="20">
        <f t="shared" si="239"/>
        <v>0</v>
      </c>
      <c r="DM42" s="20">
        <f t="shared" si="239"/>
        <v>0</v>
      </c>
      <c r="DN42" s="20">
        <f t="shared" si="239"/>
        <v>501.64082705878269</v>
      </c>
      <c r="DO42" s="20">
        <f t="shared" si="239"/>
        <v>0</v>
      </c>
      <c r="DP42" s="20">
        <f t="shared" si="239"/>
        <v>0</v>
      </c>
      <c r="DQ42" s="20">
        <f t="shared" si="239"/>
        <v>0</v>
      </c>
    </row>
    <row r="43" spans="2:1006" ht="15" thickBot="1" x14ac:dyDescent="0.4">
      <c r="D43" s="38" t="s">
        <v>195</v>
      </c>
      <c r="E43" s="39"/>
      <c r="F43" s="39" t="s">
        <v>48</v>
      </c>
      <c r="G43" s="39"/>
      <c r="H43" s="39"/>
      <c r="I43" s="55">
        <f t="shared" si="233"/>
        <v>162481.88564156185</v>
      </c>
      <c r="J43" s="39"/>
      <c r="K43" s="39">
        <f>SUM(K31:K42)</f>
        <v>0</v>
      </c>
      <c r="L43" s="39">
        <f t="shared" ref="L43:BR43" si="241">SUM(L31:L42)</f>
        <v>0</v>
      </c>
      <c r="M43" s="39">
        <f t="shared" si="241"/>
        <v>0</v>
      </c>
      <c r="N43" s="39">
        <f t="shared" si="241"/>
        <v>0</v>
      </c>
      <c r="O43" s="39">
        <f t="shared" si="241"/>
        <v>0</v>
      </c>
      <c r="P43" s="39">
        <f t="shared" si="241"/>
        <v>0</v>
      </c>
      <c r="Q43" s="39">
        <f t="shared" si="241"/>
        <v>0</v>
      </c>
      <c r="R43" s="39">
        <f t="shared" si="241"/>
        <v>0</v>
      </c>
      <c r="S43" s="39">
        <f t="shared" si="241"/>
        <v>0</v>
      </c>
      <c r="T43" s="39">
        <f t="shared" si="241"/>
        <v>4429.2705627249507</v>
      </c>
      <c r="U43" s="39">
        <f t="shared" si="241"/>
        <v>2830.6741384647462</v>
      </c>
      <c r="V43" s="39">
        <f t="shared" si="241"/>
        <v>2103.9232087927849</v>
      </c>
      <c r="W43" s="39">
        <f t="shared" si="241"/>
        <v>3795.4758208955227</v>
      </c>
      <c r="X43" s="39">
        <f t="shared" si="241"/>
        <v>4407.2343907710974</v>
      </c>
      <c r="Y43" s="39">
        <f t="shared" si="241"/>
        <v>2816.591182551987</v>
      </c>
      <c r="Z43" s="39">
        <f t="shared" si="241"/>
        <v>2093.45592914705</v>
      </c>
      <c r="AA43" s="39">
        <f t="shared" si="241"/>
        <v>3776.5928566124626</v>
      </c>
      <c r="AB43" s="39">
        <f t="shared" si="241"/>
        <v>4385.3078515135312</v>
      </c>
      <c r="AC43" s="39">
        <f t="shared" si="241"/>
        <v>2802.5782910965063</v>
      </c>
      <c r="AD43" s="39">
        <f t="shared" si="241"/>
        <v>2083.0407255194536</v>
      </c>
      <c r="AE43" s="39">
        <f t="shared" si="241"/>
        <v>3757.803837425337</v>
      </c>
      <c r="AF43" s="39">
        <f t="shared" si="241"/>
        <v>4363.490399515952</v>
      </c>
      <c r="AG43" s="39">
        <f t="shared" si="241"/>
        <v>2788.6351155189118</v>
      </c>
      <c r="AH43" s="39">
        <f t="shared" si="241"/>
        <v>2072.6773388253278</v>
      </c>
      <c r="AI43" s="39">
        <f t="shared" si="241"/>
        <v>3739.1082959456098</v>
      </c>
      <c r="AJ43" s="39">
        <f t="shared" si="241"/>
        <v>4341.7814920556757</v>
      </c>
      <c r="AK43" s="39">
        <f t="shared" si="241"/>
        <v>2774.7613089740435</v>
      </c>
      <c r="AL43" s="39">
        <f t="shared" si="241"/>
        <v>2062.3655112689835</v>
      </c>
      <c r="AM43" s="39">
        <f t="shared" si="241"/>
        <v>3720.5057671100612</v>
      </c>
      <c r="AN43" s="39">
        <f t="shared" si="241"/>
        <v>4320.1805891101267</v>
      </c>
      <c r="AO43" s="39">
        <f t="shared" si="241"/>
        <v>2760.9565263423319</v>
      </c>
      <c r="AP43" s="39">
        <f t="shared" si="241"/>
        <v>2052.1049863372973</v>
      </c>
      <c r="AQ43" s="39">
        <f t="shared" si="241"/>
        <v>3701.9957881692153</v>
      </c>
      <c r="AR43" s="39">
        <f t="shared" si="241"/>
        <v>4298.6871533434096</v>
      </c>
      <c r="AS43" s="39">
        <f t="shared" si="241"/>
        <v>2747.220424221226</v>
      </c>
      <c r="AT43" s="39">
        <f t="shared" si="241"/>
        <v>2041.8955087933314</v>
      </c>
      <c r="AU43" s="39">
        <f t="shared" si="241"/>
        <v>3683.5778986758373</v>
      </c>
      <c r="AV43" s="39">
        <f t="shared" si="241"/>
        <v>4277.3006500929459</v>
      </c>
      <c r="AW43" s="39">
        <f t="shared" si="241"/>
        <v>2733.5526609166436</v>
      </c>
      <c r="AX43" s="39">
        <f t="shared" si="241"/>
        <v>2031.7368246699818</v>
      </c>
      <c r="AY43" s="39">
        <f t="shared" si="241"/>
        <v>3665.2516404734706</v>
      </c>
      <c r="AZ43" s="39">
        <f t="shared" si="241"/>
        <v>4256.0205473561673</v>
      </c>
      <c r="BA43" s="39">
        <f t="shared" si="241"/>
        <v>2719.9528964344727</v>
      </c>
      <c r="BB43" s="39">
        <f t="shared" si="241"/>
        <v>2021.6286812636642</v>
      </c>
      <c r="BC43" s="39">
        <f t="shared" si="241"/>
        <v>3647.0165576850468</v>
      </c>
      <c r="BD43" s="39">
        <f t="shared" si="241"/>
        <v>4234.8463157772821</v>
      </c>
      <c r="BE43" s="39">
        <f t="shared" si="241"/>
        <v>2706.4207924721127</v>
      </c>
      <c r="BF43" s="39">
        <f t="shared" si="241"/>
        <v>2011.5708271280248</v>
      </c>
      <c r="BG43" s="39">
        <f t="shared" si="241"/>
        <v>3628.8721967015408</v>
      </c>
      <c r="BH43" s="39">
        <f t="shared" si="241"/>
        <v>4213.7774286341128</v>
      </c>
      <c r="BI43" s="39">
        <f t="shared" si="241"/>
        <v>2692.9560124100635</v>
      </c>
      <c r="BJ43" s="39">
        <f t="shared" si="241"/>
        <v>2001.5630120676869</v>
      </c>
      <c r="BK43" s="39">
        <f t="shared" si="241"/>
        <v>3610.8181061706882</v>
      </c>
      <c r="BL43" s="39">
        <f t="shared" si="241"/>
        <v>4192.8133618249885</v>
      </c>
      <c r="BM43" s="39">
        <f t="shared" si="241"/>
        <v>2679.5582213035464</v>
      </c>
      <c r="BN43" s="39">
        <f t="shared" si="241"/>
        <v>1991.604987132027</v>
      </c>
      <c r="BO43" s="39">
        <f t="shared" si="241"/>
        <v>3592.8538369857597</v>
      </c>
      <c r="BP43" s="39">
        <f t="shared" si="241"/>
        <v>4171.953593855711</v>
      </c>
      <c r="BQ43" s="39">
        <f t="shared" si="241"/>
        <v>2666.2270858741758</v>
      </c>
      <c r="BR43" s="39">
        <f t="shared" si="241"/>
        <v>1981.6965046089831</v>
      </c>
      <c r="BS43" s="39">
        <f t="shared" ref="BS43" si="242">SUM(BS31:BS42)</f>
        <v>3574.9789422743897</v>
      </c>
      <c r="BT43" s="39">
        <f t="shared" ref="BT43" si="243">SUM(BT31:BT42)</f>
        <v>4151.1976058265809</v>
      </c>
      <c r="BU43" s="39">
        <f t="shared" ref="BU43" si="244">SUM(BU31:BU42)</f>
        <v>2652.9622745016691</v>
      </c>
      <c r="BV43" s="39">
        <f t="shared" ref="BV43" si="245">SUM(BV31:BV42)</f>
        <v>1971.8373180188894</v>
      </c>
      <c r="BW43" s="39">
        <f t="shared" ref="BW43" si="246">SUM(BW31:BW42)</f>
        <v>3557.1929773874535</v>
      </c>
      <c r="BX43" s="39">
        <f t="shared" ref="BX43" si="247">SUM(BX31:BX42)</f>
        <v>4130.5448814194842</v>
      </c>
      <c r="BY43" s="39">
        <f t="shared" ref="BY43" si="248">SUM(BY31:BY42)</f>
        <v>2639.7634572155921</v>
      </c>
      <c r="BZ43" s="39">
        <f t="shared" ref="BZ43" si="249">SUM(BZ31:BZ42)</f>
        <v>1962.0271821083484</v>
      </c>
      <c r="CA43" s="39">
        <f t="shared" ref="CA43" si="250">SUM(CA31:CA42)</f>
        <v>3539.4954998880144</v>
      </c>
      <c r="CB43" s="39">
        <f t="shared" ref="CB43" si="251">SUM(CB31:CB42)</f>
        <v>4109.9949068850592</v>
      </c>
      <c r="CC43" s="39">
        <f t="shared" ref="CC43" si="252">SUM(CC31:CC42)</f>
        <v>2626.630305687157</v>
      </c>
      <c r="CD43" s="39">
        <f t="shared" ref="CD43" si="253">SUM(CD31:CD42)</f>
        <v>1952.2658528441284</v>
      </c>
      <c r="CE43" s="39">
        <f t="shared" ref="CE43" si="254">SUM(CE31:CE42)</f>
        <v>3521.8860695403146</v>
      </c>
      <c r="CF43" s="39">
        <f t="shared" ref="CF43" si="255">SUM(CF31:CF42)</f>
        <v>4089.5471710299125</v>
      </c>
      <c r="CG43" s="39">
        <f t="shared" ref="CG43" si="256">SUM(CG31:CG42)</f>
        <v>2613.562493221053</v>
      </c>
      <c r="CH43" s="39">
        <f t="shared" ref="CH43" si="257">SUM(CH31:CH42)</f>
        <v>1942.5530874070932</v>
      </c>
      <c r="CI43" s="39">
        <f t="shared" ref="CI43" si="258">SUM(CI31:CI42)</f>
        <v>3504.3642482988216</v>
      </c>
      <c r="CJ43" s="39">
        <f t="shared" ref="CJ43" si="259">SUM(CJ31:CJ42)</f>
        <v>4069.2011652038932</v>
      </c>
      <c r="CK43" s="39">
        <f t="shared" ref="CK43" si="260">SUM(CK31:CK42)</f>
        <v>2600.5596947473164</v>
      </c>
      <c r="CL43" s="39">
        <f t="shared" ref="CL43" si="261">SUM(CL31:CL42)</f>
        <v>1932.8886441861632</v>
      </c>
      <c r="CM43" s="39">
        <f t="shared" ref="CM43" si="262">SUM(CM31:CM42)</f>
        <v>3486.929600297336</v>
      </c>
      <c r="CN43" s="39">
        <f t="shared" ref="CN43" si="263">SUM(CN31:CN42)</f>
        <v>4048.9563832874569</v>
      </c>
      <c r="CO43" s="39">
        <f t="shared" ref="CO43" si="264">SUM(CO31:CO42)</f>
        <v>2587.6215868132508</v>
      </c>
      <c r="CP43" s="39">
        <f t="shared" ref="CP43" si="265">SUM(CP31:CP42)</f>
        <v>1923.2722827723021</v>
      </c>
      <c r="CQ43" s="39">
        <f t="shared" ref="CQ43" si="266">SUM(CQ31:CQ42)</f>
        <v>3469.5816918381461</v>
      </c>
      <c r="CR43" s="39">
        <f t="shared" ref="CR43" si="267">SUM(CR31:CR42)</f>
        <v>4028.8123216790627</v>
      </c>
      <c r="CS43" s="39">
        <f t="shared" ref="CS43" si="268">SUM(CS31:CS42)</f>
        <v>2574.7478475753746</v>
      </c>
      <c r="CT43" s="39">
        <f t="shared" ref="CT43" si="269">SUM(CT31:CT42)</f>
        <v>1913.7037639525402</v>
      </c>
      <c r="CU43" s="39">
        <f t="shared" ref="CU43" si="270">SUM(CU31:CU42)</f>
        <v>3452.3200913812407</v>
      </c>
      <c r="CV43" s="39">
        <f t="shared" ref="CV43" si="271">SUM(CV31:CV42)</f>
        <v>4008.7684792826512</v>
      </c>
      <c r="CW43" s="39">
        <f t="shared" ref="CW43" si="272">SUM(CW31:CW42)</f>
        <v>2561.9381567914188</v>
      </c>
      <c r="CX43" s="39">
        <f t="shared" ref="CX43" si="273">SUM(CX31:CX42)</f>
        <v>1904.1828497040208</v>
      </c>
      <c r="CY43" s="39">
        <f t="shared" ref="CY43" si="274">SUM(CY31:CY42)</f>
        <v>3435.1443695335734</v>
      </c>
      <c r="CZ43" s="39">
        <f t="shared" ref="CZ43" si="275">SUM(CZ31:CZ42)</f>
        <v>3988.8243574951762</v>
      </c>
      <c r="DA43" s="39">
        <f t="shared" ref="DA43" si="276">SUM(DA31:DA42)</f>
        <v>2549.1921958123576</v>
      </c>
      <c r="DB43" s="39">
        <f t="shared" ref="DB43" si="277">SUM(DB31:DB42)</f>
        <v>1894.7093031880804</v>
      </c>
      <c r="DC43" s="39">
        <f t="shared" ref="DC43" si="278">SUM(DC31:DC42)</f>
        <v>3418.0540990383834</v>
      </c>
      <c r="DD43" s="39">
        <f t="shared" ref="DD43" si="279">SUM(DD31:DD42)</f>
        <v>3968.9794601942067</v>
      </c>
      <c r="DE43" s="39">
        <f t="shared" ref="DE43" si="280">SUM(DE31:DE42)</f>
        <v>2536.5096475744858</v>
      </c>
      <c r="DF43" s="39">
        <f t="shared" ref="DF43" si="281">SUM(DF31:DF42)</f>
        <v>1885.2828887443598</v>
      </c>
      <c r="DG43" s="39">
        <f t="shared" ref="DG43" si="282">SUM(DG31:DG42)</f>
        <v>3401.0488547645609</v>
      </c>
      <c r="DH43" s="39">
        <f t="shared" ref="DH43" si="283">SUM(DH31:DH42)</f>
        <v>3949.2332937255806</v>
      </c>
      <c r="DI43" s="39">
        <f t="shared" ref="DI43" si="284">SUM(DI31:DI42)</f>
        <v>2523.8901965915293</v>
      </c>
      <c r="DJ43" s="39">
        <f t="shared" ref="DJ43" si="285">SUM(DJ31:DJ42)</f>
        <v>1875.9033718849353</v>
      </c>
      <c r="DK43" s="39">
        <f t="shared" ref="DK43" si="286">SUM(DK31:DK42)</f>
        <v>3384.1282136960817</v>
      </c>
      <c r="DL43" s="39">
        <f t="shared" ref="DL43" si="287">SUM(DL31:DL42)</f>
        <v>3929.5853668911259</v>
      </c>
      <c r="DM43" s="39">
        <f t="shared" ref="DM43" si="288">SUM(DM31:DM42)</f>
        <v>2511.3335289467959</v>
      </c>
      <c r="DN43" s="39">
        <f t="shared" ref="DN43" si="289">SUM(DN31:DN42)</f>
        <v>1866.5705192884936</v>
      </c>
      <c r="DO43" s="39">
        <f t="shared" ref="DO43" si="290">SUM(DO31:DO42)</f>
        <v>3367.2917549214758</v>
      </c>
      <c r="DP43" s="39">
        <f t="shared" ref="DP43" si="291">SUM(DP31:DP42)</f>
        <v>0</v>
      </c>
      <c r="DQ43" s="39">
        <f t="shared" ref="DQ43" si="292">SUM(DQ31:DQ42)</f>
        <v>0</v>
      </c>
    </row>
    <row r="45" spans="2:1006" x14ac:dyDescent="0.35">
      <c r="B45" s="37" t="s">
        <v>29</v>
      </c>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37"/>
      <c r="CN45" s="37"/>
      <c r="CO45" s="37"/>
      <c r="CP45" s="37"/>
      <c r="CQ45" s="37"/>
      <c r="CR45" s="37"/>
      <c r="CS45" s="37"/>
      <c r="CT45" s="37"/>
      <c r="CU45" s="37"/>
      <c r="CV45" s="37"/>
      <c r="CW45" s="37"/>
      <c r="CX45" s="37"/>
      <c r="CY45" s="37"/>
      <c r="CZ45" s="37"/>
      <c r="DA45" s="37"/>
      <c r="DB45" s="37"/>
      <c r="DC45" s="37"/>
      <c r="DD45" s="37"/>
      <c r="DE45" s="37"/>
      <c r="DF45" s="37"/>
      <c r="DG45" s="37"/>
      <c r="DH45" s="37"/>
      <c r="DI45" s="37"/>
      <c r="DJ45" s="37"/>
      <c r="DK45" s="37"/>
      <c r="DL45" s="37"/>
      <c r="DM45" s="37"/>
      <c r="DN45" s="37"/>
      <c r="DO45" s="37"/>
      <c r="DP45" s="37"/>
      <c r="DQ45" s="37"/>
      <c r="DR45" s="37"/>
      <c r="DS45" s="37"/>
      <c r="DT45" s="37"/>
      <c r="DU45" s="37"/>
      <c r="DV45" s="37"/>
      <c r="DW45" s="37"/>
      <c r="DX45" s="37"/>
      <c r="DY45" s="37"/>
      <c r="DZ45" s="37"/>
      <c r="EA45" s="37"/>
      <c r="EB45" s="37"/>
      <c r="EC45" s="37"/>
      <c r="ED45" s="37"/>
      <c r="EE45" s="37"/>
      <c r="EF45" s="37"/>
      <c r="EG45" s="37"/>
      <c r="EH45" s="37"/>
      <c r="EI45" s="37"/>
      <c r="EJ45" s="37"/>
      <c r="EK45" s="37"/>
      <c r="EL45" s="37"/>
      <c r="EM45" s="37"/>
      <c r="EN45" s="37"/>
      <c r="EO45" s="37"/>
      <c r="EP45" s="37"/>
      <c r="EQ45" s="37"/>
      <c r="ER45" s="37"/>
      <c r="ES45" s="37"/>
      <c r="ET45" s="37"/>
      <c r="EU45" s="37"/>
      <c r="EV45" s="37"/>
      <c r="EW45" s="37"/>
      <c r="EX45" s="37"/>
      <c r="EY45" s="37"/>
      <c r="EZ45" s="37"/>
      <c r="FA45" s="37"/>
      <c r="FB45" s="37"/>
      <c r="FC45" s="37"/>
      <c r="FD45" s="37"/>
      <c r="FE45" s="37"/>
      <c r="FF45" s="37"/>
      <c r="FG45" s="37"/>
      <c r="FH45" s="37"/>
      <c r="FI45" s="37"/>
      <c r="FJ45" s="37"/>
      <c r="FK45" s="37"/>
      <c r="FL45" s="37"/>
      <c r="FM45" s="37"/>
      <c r="FN45" s="37"/>
      <c r="FO45" s="37"/>
      <c r="FP45" s="37"/>
      <c r="FQ45" s="37"/>
      <c r="FR45" s="37"/>
      <c r="FS45" s="37"/>
      <c r="FT45" s="37"/>
      <c r="FU45" s="37"/>
      <c r="FV45" s="37"/>
      <c r="FW45" s="37"/>
      <c r="FX45" s="37"/>
      <c r="FY45" s="37"/>
      <c r="FZ45" s="37"/>
      <c r="GA45" s="37"/>
      <c r="GB45" s="37"/>
      <c r="GC45" s="37"/>
      <c r="GD45" s="37"/>
      <c r="GE45" s="37"/>
      <c r="GF45" s="37"/>
      <c r="GG45" s="37"/>
      <c r="GH45" s="37"/>
      <c r="GI45" s="37"/>
      <c r="GJ45" s="37"/>
      <c r="GK45" s="37"/>
      <c r="GL45" s="37"/>
      <c r="GM45" s="37"/>
      <c r="GN45" s="37"/>
      <c r="GO45" s="37"/>
      <c r="GP45" s="37"/>
      <c r="GQ45" s="37"/>
      <c r="GR45" s="37"/>
      <c r="GS45" s="37"/>
      <c r="GT45" s="37"/>
      <c r="GU45" s="37"/>
      <c r="GV45" s="37"/>
      <c r="GW45" s="37"/>
      <c r="GX45" s="37"/>
      <c r="GY45" s="37"/>
      <c r="GZ45" s="37"/>
      <c r="HA45" s="37"/>
      <c r="HB45" s="37"/>
      <c r="HC45" s="37"/>
      <c r="HD45" s="37"/>
      <c r="HE45" s="37"/>
      <c r="HF45" s="37"/>
      <c r="HG45" s="37"/>
      <c r="HH45" s="37"/>
      <c r="HI45" s="37"/>
      <c r="HJ45" s="37"/>
      <c r="HK45" s="37"/>
      <c r="HL45" s="37"/>
      <c r="HM45" s="37"/>
      <c r="HN45" s="37"/>
      <c r="HO45" s="37"/>
      <c r="HP45" s="37"/>
      <c r="HQ45" s="37"/>
      <c r="HR45" s="37"/>
      <c r="HS45" s="37"/>
      <c r="HT45" s="37"/>
      <c r="HU45" s="37"/>
      <c r="HV45" s="37"/>
      <c r="HW45" s="37"/>
      <c r="HX45" s="37"/>
      <c r="HY45" s="37"/>
      <c r="HZ45" s="37"/>
      <c r="IA45" s="37"/>
      <c r="IB45" s="37"/>
      <c r="IC45" s="37"/>
      <c r="ID45" s="37"/>
      <c r="IE45" s="37"/>
      <c r="IF45" s="37"/>
      <c r="IG45" s="37"/>
      <c r="IH45" s="37"/>
      <c r="II45" s="37"/>
      <c r="IJ45" s="37"/>
      <c r="IK45" s="37"/>
      <c r="IL45" s="37"/>
      <c r="IM45" s="37"/>
      <c r="IN45" s="37"/>
      <c r="IO45" s="37"/>
      <c r="IP45" s="37"/>
      <c r="IQ45" s="37"/>
      <c r="IR45" s="37"/>
      <c r="IS45" s="37"/>
      <c r="IT45" s="37"/>
      <c r="IU45" s="37"/>
      <c r="IV45" s="37"/>
      <c r="IW45" s="37"/>
      <c r="IX45" s="37"/>
      <c r="IY45" s="37"/>
      <c r="IZ45" s="37"/>
      <c r="JA45" s="37"/>
      <c r="JB45" s="37"/>
      <c r="JC45" s="37"/>
      <c r="JD45" s="37"/>
      <c r="JE45" s="37"/>
      <c r="JF45" s="37"/>
      <c r="JG45" s="37"/>
      <c r="JH45" s="37"/>
      <c r="JI45" s="37"/>
      <c r="JJ45" s="37"/>
      <c r="JK45" s="37"/>
      <c r="JL45" s="37"/>
      <c r="JM45" s="37"/>
      <c r="JN45" s="37"/>
      <c r="JO45" s="37"/>
      <c r="JP45" s="37"/>
      <c r="JQ45" s="37"/>
      <c r="JR45" s="37"/>
      <c r="JS45" s="37"/>
      <c r="JT45" s="37"/>
      <c r="JU45" s="37"/>
      <c r="JV45" s="37"/>
      <c r="JW45" s="37"/>
      <c r="JX45" s="37"/>
      <c r="JY45" s="37"/>
      <c r="JZ45" s="37"/>
      <c r="KA45" s="37"/>
      <c r="KB45" s="37"/>
      <c r="KC45" s="37"/>
      <c r="KD45" s="37"/>
      <c r="KE45" s="37"/>
      <c r="KF45" s="37"/>
      <c r="KG45" s="37"/>
      <c r="KH45" s="37"/>
      <c r="KI45" s="37"/>
      <c r="KJ45" s="37"/>
      <c r="KK45" s="37"/>
      <c r="KL45" s="37"/>
      <c r="KM45" s="37"/>
      <c r="KN45" s="37"/>
      <c r="KO45" s="37"/>
      <c r="KP45" s="37"/>
      <c r="KQ45" s="37"/>
      <c r="KR45" s="37"/>
      <c r="KS45" s="37"/>
      <c r="KT45" s="37"/>
      <c r="KU45" s="37"/>
      <c r="KV45" s="37"/>
      <c r="KW45" s="37"/>
      <c r="KX45" s="37"/>
      <c r="KY45" s="37"/>
      <c r="KZ45" s="37"/>
      <c r="LA45" s="37"/>
      <c r="LB45" s="37"/>
      <c r="LC45" s="37"/>
      <c r="LD45" s="37"/>
      <c r="LE45" s="37"/>
      <c r="LF45" s="37"/>
      <c r="LG45" s="37"/>
      <c r="LH45" s="37"/>
      <c r="LI45" s="37"/>
      <c r="LJ45" s="37"/>
      <c r="LK45" s="37"/>
      <c r="LL45" s="37"/>
      <c r="LM45" s="37"/>
      <c r="LN45" s="37"/>
      <c r="LO45" s="37"/>
      <c r="LP45" s="37"/>
      <c r="LQ45" s="37"/>
      <c r="LR45" s="37"/>
      <c r="LS45" s="37"/>
      <c r="LT45" s="37"/>
      <c r="LU45" s="37"/>
      <c r="LV45" s="37"/>
      <c r="LW45" s="37"/>
      <c r="LX45" s="37"/>
      <c r="LY45" s="37"/>
      <c r="LZ45" s="37"/>
      <c r="MA45" s="37"/>
      <c r="MB45" s="37"/>
      <c r="MC45" s="37"/>
      <c r="MD45" s="37"/>
      <c r="ME45" s="37"/>
      <c r="MF45" s="37"/>
      <c r="MG45" s="37"/>
      <c r="MH45" s="37"/>
      <c r="MI45" s="37"/>
      <c r="MJ45" s="37"/>
      <c r="MK45" s="37"/>
      <c r="ML45" s="37"/>
      <c r="MM45" s="37"/>
      <c r="MN45" s="37"/>
      <c r="MO45" s="37"/>
      <c r="MP45" s="37"/>
      <c r="MQ45" s="37"/>
      <c r="MR45" s="37"/>
      <c r="MS45" s="37"/>
      <c r="MT45" s="37"/>
      <c r="MU45" s="37"/>
      <c r="MV45" s="37"/>
      <c r="MW45" s="37"/>
      <c r="MX45" s="37"/>
      <c r="MY45" s="37"/>
      <c r="MZ45" s="37"/>
      <c r="NA45" s="37"/>
      <c r="NB45" s="37"/>
      <c r="NC45" s="37"/>
      <c r="ND45" s="37"/>
      <c r="NE45" s="37"/>
      <c r="NF45" s="37"/>
      <c r="NG45" s="37"/>
      <c r="NH45" s="37"/>
      <c r="NI45" s="37"/>
      <c r="NJ45" s="37"/>
      <c r="NK45" s="37"/>
      <c r="NL45" s="37"/>
      <c r="NM45" s="37"/>
      <c r="NN45" s="37"/>
      <c r="NO45" s="37"/>
      <c r="NP45" s="37"/>
      <c r="NQ45" s="37"/>
      <c r="NR45" s="37"/>
      <c r="NS45" s="37"/>
      <c r="NT45" s="37"/>
      <c r="NU45" s="37"/>
      <c r="NV45" s="37"/>
      <c r="NW45" s="37"/>
      <c r="NX45" s="37"/>
      <c r="NY45" s="37"/>
      <c r="NZ45" s="37"/>
      <c r="OA45" s="37"/>
      <c r="OB45" s="37"/>
      <c r="OC45" s="37"/>
      <c r="OD45" s="37"/>
      <c r="OE45" s="37"/>
      <c r="OF45" s="37"/>
      <c r="OG45" s="37"/>
      <c r="OH45" s="37"/>
      <c r="OI45" s="37"/>
      <c r="OJ45" s="37"/>
      <c r="OK45" s="37"/>
      <c r="OL45" s="37"/>
      <c r="OM45" s="37"/>
      <c r="ON45" s="37"/>
      <c r="OO45" s="37"/>
      <c r="OP45" s="37"/>
      <c r="OQ45" s="37"/>
      <c r="OR45" s="37"/>
      <c r="OS45" s="37"/>
      <c r="OT45" s="37"/>
      <c r="OU45" s="37"/>
      <c r="OV45" s="37"/>
      <c r="OW45" s="37"/>
      <c r="OX45" s="37"/>
      <c r="OY45" s="37"/>
      <c r="OZ45" s="37"/>
      <c r="PA45" s="37"/>
      <c r="PB45" s="37"/>
      <c r="PC45" s="37"/>
      <c r="PD45" s="37"/>
      <c r="PE45" s="37"/>
      <c r="PF45" s="37"/>
      <c r="PG45" s="37"/>
      <c r="PH45" s="37"/>
      <c r="PI45" s="37"/>
      <c r="PJ45" s="37"/>
      <c r="PK45" s="37"/>
      <c r="PL45" s="37"/>
      <c r="PM45" s="37"/>
      <c r="PN45" s="37"/>
      <c r="PO45" s="37"/>
      <c r="PP45" s="37"/>
      <c r="PQ45" s="37"/>
      <c r="PR45" s="37"/>
      <c r="PS45" s="37"/>
      <c r="PT45" s="37"/>
      <c r="PU45" s="37"/>
      <c r="PV45" s="37"/>
      <c r="PW45" s="37"/>
      <c r="PX45" s="37"/>
      <c r="PY45" s="37"/>
      <c r="PZ45" s="37"/>
      <c r="QA45" s="37"/>
      <c r="QB45" s="37"/>
      <c r="QC45" s="37"/>
      <c r="QD45" s="37"/>
      <c r="QE45" s="37"/>
      <c r="QF45" s="37"/>
      <c r="QG45" s="37"/>
      <c r="QH45" s="37"/>
      <c r="QI45" s="37"/>
      <c r="QJ45" s="37"/>
      <c r="QK45" s="37"/>
      <c r="QL45" s="37"/>
      <c r="QM45" s="37"/>
      <c r="QN45" s="37"/>
      <c r="QO45" s="37"/>
      <c r="QP45" s="37"/>
      <c r="QQ45" s="37"/>
      <c r="QR45" s="37"/>
      <c r="QS45" s="37"/>
      <c r="QT45" s="37"/>
      <c r="QU45" s="37"/>
      <c r="QV45" s="37"/>
      <c r="QW45" s="37"/>
      <c r="QX45" s="37"/>
      <c r="QY45" s="37"/>
      <c r="QZ45" s="37"/>
      <c r="RA45" s="37"/>
      <c r="RB45" s="37"/>
      <c r="RC45" s="37"/>
      <c r="RD45" s="37"/>
      <c r="RE45" s="37"/>
      <c r="RF45" s="37"/>
      <c r="RG45" s="37"/>
      <c r="RH45" s="37"/>
      <c r="RI45" s="37"/>
      <c r="RJ45" s="37"/>
      <c r="RK45" s="37"/>
      <c r="RL45" s="37"/>
      <c r="RM45" s="37"/>
      <c r="RN45" s="37"/>
      <c r="RO45" s="37"/>
      <c r="RP45" s="37"/>
      <c r="RQ45" s="37"/>
      <c r="RR45" s="37"/>
      <c r="RS45" s="37"/>
      <c r="RT45" s="37"/>
      <c r="RU45" s="37"/>
      <c r="RV45" s="37"/>
      <c r="RW45" s="37"/>
      <c r="RX45" s="37"/>
      <c r="RY45" s="37"/>
      <c r="RZ45" s="37"/>
      <c r="SA45" s="37"/>
      <c r="SB45" s="37"/>
      <c r="SC45" s="37"/>
      <c r="SD45" s="37"/>
      <c r="SE45" s="37"/>
      <c r="SF45" s="37"/>
      <c r="SG45" s="37"/>
      <c r="SH45" s="37"/>
      <c r="SI45" s="37"/>
      <c r="SJ45" s="37"/>
      <c r="SK45" s="37"/>
      <c r="SL45" s="37"/>
      <c r="SM45" s="37"/>
      <c r="SN45" s="37"/>
      <c r="SO45" s="37"/>
      <c r="SP45" s="37"/>
      <c r="SQ45" s="37"/>
      <c r="SR45" s="37"/>
      <c r="SS45" s="37"/>
      <c r="ST45" s="37"/>
      <c r="SU45" s="37"/>
      <c r="SV45" s="37"/>
      <c r="SW45" s="37"/>
      <c r="SX45" s="37"/>
      <c r="SY45" s="37"/>
      <c r="SZ45" s="37"/>
      <c r="TA45" s="37"/>
      <c r="TB45" s="37"/>
      <c r="TC45" s="37"/>
      <c r="TD45" s="37"/>
      <c r="TE45" s="37"/>
      <c r="TF45" s="37"/>
      <c r="TG45" s="37"/>
      <c r="TH45" s="37"/>
      <c r="TI45" s="37"/>
      <c r="TJ45" s="37"/>
      <c r="TK45" s="37"/>
      <c r="TL45" s="37"/>
      <c r="TM45" s="37"/>
      <c r="TN45" s="37"/>
      <c r="TO45" s="37"/>
      <c r="TP45" s="37"/>
      <c r="TQ45" s="37"/>
      <c r="TR45" s="37"/>
      <c r="TS45" s="37"/>
      <c r="TT45" s="37"/>
      <c r="TU45" s="37"/>
      <c r="TV45" s="37"/>
      <c r="TW45" s="37"/>
      <c r="TX45" s="37"/>
      <c r="TY45" s="37"/>
      <c r="TZ45" s="37"/>
      <c r="UA45" s="37"/>
      <c r="UB45" s="37"/>
      <c r="UC45" s="37"/>
      <c r="UD45" s="37"/>
      <c r="UE45" s="37"/>
      <c r="UF45" s="37"/>
      <c r="UG45" s="37"/>
      <c r="UH45" s="37"/>
      <c r="UI45" s="37"/>
      <c r="UJ45" s="37"/>
      <c r="UK45" s="37"/>
      <c r="UL45" s="37"/>
      <c r="UM45" s="37"/>
      <c r="UN45" s="37"/>
      <c r="UO45" s="37"/>
      <c r="UP45" s="37"/>
      <c r="UQ45" s="37"/>
      <c r="UR45" s="37"/>
      <c r="US45" s="37"/>
      <c r="UT45" s="37"/>
      <c r="UU45" s="37"/>
      <c r="UV45" s="37"/>
      <c r="UW45" s="37"/>
      <c r="UX45" s="37"/>
      <c r="UY45" s="37"/>
      <c r="UZ45" s="37"/>
      <c r="VA45" s="37"/>
      <c r="VB45" s="37"/>
      <c r="VC45" s="37"/>
      <c r="VD45" s="37"/>
      <c r="VE45" s="37"/>
      <c r="VF45" s="37"/>
      <c r="VG45" s="37"/>
      <c r="VH45" s="37"/>
      <c r="VI45" s="37"/>
      <c r="VJ45" s="37"/>
      <c r="VK45" s="37"/>
      <c r="VL45" s="37"/>
      <c r="VM45" s="37"/>
      <c r="VN45" s="37"/>
      <c r="VO45" s="37"/>
      <c r="VP45" s="37"/>
      <c r="VQ45" s="37"/>
      <c r="VR45" s="37"/>
      <c r="VS45" s="37"/>
      <c r="VT45" s="37"/>
      <c r="VU45" s="37"/>
      <c r="VV45" s="37"/>
      <c r="VW45" s="37"/>
      <c r="VX45" s="37"/>
      <c r="VY45" s="37"/>
      <c r="VZ45" s="37"/>
      <c r="WA45" s="37"/>
      <c r="WB45" s="37"/>
      <c r="WC45" s="37"/>
      <c r="WD45" s="37"/>
      <c r="WE45" s="37"/>
      <c r="WF45" s="37"/>
      <c r="WG45" s="37"/>
      <c r="WH45" s="37"/>
      <c r="WI45" s="37"/>
      <c r="WJ45" s="37"/>
      <c r="WK45" s="37"/>
      <c r="WL45" s="37"/>
      <c r="WM45" s="37"/>
      <c r="WN45" s="37"/>
      <c r="WO45" s="37"/>
      <c r="WP45" s="37"/>
      <c r="WQ45" s="37"/>
      <c r="WR45" s="37"/>
      <c r="WS45" s="37"/>
      <c r="WT45" s="37"/>
      <c r="WU45" s="37"/>
      <c r="WV45" s="37"/>
      <c r="WW45" s="37"/>
      <c r="WX45" s="37"/>
      <c r="WY45" s="37"/>
      <c r="WZ45" s="37"/>
      <c r="XA45" s="37"/>
      <c r="XB45" s="37"/>
      <c r="XC45" s="37"/>
      <c r="XD45" s="37"/>
      <c r="XE45" s="37"/>
      <c r="XF45" s="37"/>
      <c r="XG45" s="37"/>
      <c r="XH45" s="37"/>
      <c r="XI45" s="37"/>
      <c r="XJ45" s="37"/>
      <c r="XK45" s="37"/>
      <c r="XL45" s="37"/>
      <c r="XM45" s="37"/>
      <c r="XN45" s="37"/>
      <c r="XO45" s="37"/>
      <c r="XP45" s="37"/>
      <c r="XQ45" s="37"/>
      <c r="XR45" s="37"/>
      <c r="XS45" s="37"/>
      <c r="XT45" s="37"/>
      <c r="XU45" s="37"/>
      <c r="XV45" s="37"/>
      <c r="XW45" s="37"/>
      <c r="XX45" s="37"/>
      <c r="XY45" s="37"/>
      <c r="XZ45" s="37"/>
      <c r="YA45" s="37"/>
      <c r="YB45" s="37"/>
      <c r="YC45" s="37"/>
      <c r="YD45" s="37"/>
      <c r="YE45" s="37"/>
      <c r="YF45" s="37"/>
      <c r="YG45" s="37"/>
      <c r="YH45" s="37"/>
      <c r="YI45" s="37"/>
      <c r="YJ45" s="37"/>
      <c r="YK45" s="37"/>
      <c r="YL45" s="37"/>
      <c r="YM45" s="37"/>
      <c r="YN45" s="37"/>
      <c r="YO45" s="37"/>
      <c r="YP45" s="37"/>
      <c r="YQ45" s="37"/>
      <c r="YR45" s="37"/>
      <c r="YS45" s="37"/>
      <c r="YT45" s="37"/>
      <c r="YU45" s="37"/>
      <c r="YV45" s="37"/>
      <c r="YW45" s="37"/>
      <c r="YX45" s="37"/>
      <c r="YY45" s="37"/>
      <c r="YZ45" s="37"/>
      <c r="ZA45" s="37"/>
      <c r="ZB45" s="37"/>
      <c r="ZC45" s="37"/>
      <c r="ZD45" s="37"/>
      <c r="ZE45" s="37"/>
      <c r="ZF45" s="37"/>
      <c r="ZG45" s="37"/>
      <c r="ZH45" s="37"/>
      <c r="ZI45" s="37"/>
      <c r="ZJ45" s="37"/>
      <c r="ZK45" s="37"/>
      <c r="ZL45" s="37"/>
      <c r="ZM45" s="37"/>
      <c r="ZN45" s="37"/>
      <c r="ZO45" s="37"/>
      <c r="ZP45" s="37"/>
      <c r="ZQ45" s="37"/>
      <c r="ZR45" s="37"/>
      <c r="ZS45" s="37"/>
      <c r="ZT45" s="37"/>
      <c r="ZU45" s="37"/>
      <c r="ZV45" s="37"/>
      <c r="ZW45" s="37"/>
      <c r="ZX45" s="37"/>
      <c r="ZY45" s="37"/>
      <c r="ZZ45" s="37"/>
      <c r="AAA45" s="37"/>
      <c r="AAB45" s="37"/>
      <c r="AAC45" s="37"/>
      <c r="AAD45" s="37"/>
      <c r="AAE45" s="37"/>
      <c r="AAF45" s="37"/>
      <c r="AAG45" s="37"/>
      <c r="AAH45" s="37"/>
      <c r="AAI45" s="37"/>
      <c r="AAJ45" s="37"/>
      <c r="AAK45" s="37"/>
      <c r="AAL45" s="37"/>
      <c r="AAM45" s="37"/>
      <c r="AAN45" s="37"/>
      <c r="AAO45" s="37"/>
      <c r="AAP45" s="37"/>
      <c r="AAQ45" s="37"/>
      <c r="AAR45" s="37"/>
      <c r="AAS45" s="37"/>
      <c r="AAT45" s="37"/>
      <c r="AAU45" s="37"/>
      <c r="AAV45" s="37"/>
      <c r="AAW45" s="37"/>
      <c r="AAX45" s="37"/>
      <c r="AAY45" s="37"/>
      <c r="AAZ45" s="37"/>
      <c r="ABA45" s="37"/>
      <c r="ABB45" s="37"/>
      <c r="ABC45" s="37"/>
      <c r="ABD45" s="37"/>
      <c r="ABE45" s="37"/>
      <c r="ABF45" s="37"/>
      <c r="ABG45" s="37"/>
      <c r="ABH45" s="37"/>
      <c r="ABI45" s="37"/>
      <c r="ABJ45" s="37"/>
      <c r="ABK45" s="37"/>
      <c r="ABL45" s="37"/>
      <c r="ABM45" s="37"/>
      <c r="ABN45" s="37"/>
      <c r="ABO45" s="37"/>
      <c r="ABP45" s="37"/>
      <c r="ABQ45" s="37"/>
      <c r="ABR45" s="37"/>
      <c r="ABS45" s="37"/>
      <c r="ABT45" s="37"/>
      <c r="ABU45" s="37"/>
      <c r="ABV45" s="37"/>
      <c r="ABW45" s="37"/>
      <c r="ABX45" s="37"/>
      <c r="ABY45" s="37"/>
      <c r="ABZ45" s="37"/>
      <c r="ACA45" s="37"/>
      <c r="ACB45" s="37"/>
      <c r="ACC45" s="37"/>
      <c r="ACD45" s="37"/>
      <c r="ACE45" s="37"/>
      <c r="ACF45" s="37"/>
      <c r="ACG45" s="37"/>
      <c r="ACH45" s="37"/>
      <c r="ACI45" s="37"/>
      <c r="ACJ45" s="37"/>
      <c r="ACK45" s="37"/>
      <c r="ACL45" s="37"/>
      <c r="ACM45" s="37"/>
      <c r="ACN45" s="37"/>
      <c r="ACO45" s="37"/>
      <c r="ACP45" s="37"/>
      <c r="ACQ45" s="37"/>
      <c r="ACR45" s="37"/>
      <c r="ACS45" s="37"/>
      <c r="ACT45" s="37"/>
      <c r="ACU45" s="37"/>
      <c r="ACV45" s="37"/>
      <c r="ACW45" s="37"/>
      <c r="ACX45" s="37"/>
      <c r="ACY45" s="37"/>
      <c r="ACZ45" s="37"/>
      <c r="ADA45" s="37"/>
      <c r="ADB45" s="37"/>
      <c r="ADC45" s="37"/>
      <c r="ADD45" s="37"/>
      <c r="ADE45" s="37"/>
      <c r="ADF45" s="37"/>
      <c r="ADG45" s="37"/>
      <c r="ADH45" s="37"/>
      <c r="ADI45" s="37"/>
      <c r="ADJ45" s="37"/>
      <c r="ADK45" s="37"/>
      <c r="ADL45" s="37"/>
      <c r="ADM45" s="37"/>
      <c r="ADN45" s="37"/>
      <c r="ADO45" s="37"/>
      <c r="ADP45" s="37"/>
      <c r="ADQ45" s="37"/>
      <c r="ADR45" s="37"/>
      <c r="ADS45" s="37"/>
      <c r="ADT45" s="37"/>
      <c r="ADU45" s="37"/>
      <c r="ADV45" s="37"/>
      <c r="ADW45" s="37"/>
      <c r="ADX45" s="37"/>
      <c r="ADY45" s="37"/>
      <c r="ADZ45" s="37"/>
      <c r="AEA45" s="37"/>
      <c r="AEB45" s="37"/>
      <c r="AEC45" s="37"/>
      <c r="AED45" s="37"/>
      <c r="AEE45" s="37"/>
      <c r="AEF45" s="37"/>
      <c r="AEG45" s="37"/>
      <c r="AEH45" s="37"/>
      <c r="AEI45" s="37"/>
      <c r="AEJ45" s="37"/>
      <c r="AEK45" s="37"/>
      <c r="AEL45" s="37"/>
      <c r="AEM45" s="37"/>
      <c r="AEN45" s="37"/>
      <c r="AEO45" s="37"/>
      <c r="AEP45" s="37"/>
      <c r="AEQ45" s="37"/>
      <c r="AER45" s="37"/>
      <c r="AES45" s="37"/>
      <c r="AET45" s="37"/>
      <c r="AEU45" s="37"/>
      <c r="AEV45" s="37"/>
      <c r="AEW45" s="37"/>
      <c r="AEX45" s="37"/>
      <c r="AEY45" s="37"/>
      <c r="AEZ45" s="37"/>
      <c r="AFA45" s="37"/>
      <c r="AFB45" s="37"/>
      <c r="AFC45" s="37"/>
      <c r="AFD45" s="37"/>
      <c r="AFE45" s="37"/>
      <c r="AFF45" s="37"/>
      <c r="AFG45" s="37"/>
      <c r="AFH45" s="37"/>
      <c r="AFI45" s="37"/>
      <c r="AFJ45" s="37"/>
      <c r="AFK45" s="37"/>
      <c r="AFL45" s="37"/>
      <c r="AFM45" s="37"/>
      <c r="AFN45" s="37"/>
      <c r="AFO45" s="37"/>
      <c r="AFP45" s="37"/>
      <c r="AFQ45" s="37"/>
      <c r="AFR45" s="37"/>
      <c r="AFS45" s="37"/>
      <c r="AFT45" s="37"/>
      <c r="AFU45" s="37"/>
      <c r="AFV45" s="37"/>
      <c r="AFW45" s="37"/>
      <c r="AFX45" s="37"/>
      <c r="AFY45" s="37"/>
      <c r="AFZ45" s="37"/>
      <c r="AGA45" s="37"/>
      <c r="AGB45" s="37"/>
      <c r="AGC45" s="37"/>
      <c r="AGD45" s="37"/>
      <c r="AGE45" s="37"/>
      <c r="AGF45" s="37"/>
      <c r="AGG45" s="37"/>
      <c r="AGH45" s="37"/>
      <c r="AGI45" s="37"/>
      <c r="AGJ45" s="37"/>
      <c r="AGK45" s="37"/>
      <c r="AGL45" s="37"/>
      <c r="AGM45" s="37"/>
      <c r="AGN45" s="37"/>
      <c r="AGO45" s="37"/>
      <c r="AGP45" s="37"/>
      <c r="AGQ45" s="37"/>
      <c r="AGR45" s="37"/>
      <c r="AGS45" s="37"/>
      <c r="AGT45" s="37"/>
      <c r="AGU45" s="37"/>
      <c r="AGV45" s="37"/>
      <c r="AGW45" s="37"/>
      <c r="AGX45" s="37"/>
      <c r="AGY45" s="37"/>
      <c r="AGZ45" s="37"/>
      <c r="AHA45" s="37"/>
      <c r="AHB45" s="37"/>
      <c r="AHC45" s="37"/>
      <c r="AHD45" s="37"/>
      <c r="AHE45" s="37"/>
      <c r="AHF45" s="37"/>
      <c r="AHG45" s="37"/>
      <c r="AHH45" s="37"/>
      <c r="AHI45" s="37"/>
      <c r="AHJ45" s="37"/>
      <c r="AHK45" s="37"/>
      <c r="AHL45" s="37"/>
      <c r="AHM45" s="37"/>
      <c r="AHN45" s="37"/>
      <c r="AHO45" s="37"/>
      <c r="AHP45" s="37"/>
      <c r="AHQ45" s="37"/>
      <c r="AHR45" s="37"/>
      <c r="AHS45" s="37"/>
      <c r="AHT45" s="37"/>
      <c r="AHU45" s="37"/>
      <c r="AHV45" s="37"/>
      <c r="AHW45" s="37"/>
      <c r="AHX45" s="37"/>
      <c r="AHY45" s="37"/>
      <c r="AHZ45" s="37"/>
      <c r="AIA45" s="37"/>
      <c r="AIB45" s="37"/>
      <c r="AIC45" s="37"/>
      <c r="AID45" s="37"/>
      <c r="AIE45" s="37"/>
      <c r="AIF45" s="37"/>
      <c r="AIG45" s="37"/>
      <c r="AIH45" s="37"/>
      <c r="AII45" s="37"/>
      <c r="AIJ45" s="37"/>
      <c r="AIK45" s="37"/>
      <c r="AIL45" s="37"/>
      <c r="AIM45" s="37"/>
      <c r="AIN45" s="37"/>
      <c r="AIO45" s="37"/>
      <c r="AIP45" s="37"/>
      <c r="AIQ45" s="37"/>
      <c r="AIR45" s="37"/>
      <c r="AIS45" s="37"/>
      <c r="AIT45" s="37"/>
      <c r="AIU45" s="37"/>
      <c r="AIV45" s="37"/>
      <c r="AIW45" s="37"/>
      <c r="AIX45" s="37"/>
      <c r="AIY45" s="37"/>
      <c r="AIZ45" s="37"/>
      <c r="AJA45" s="37"/>
      <c r="AJB45" s="37"/>
      <c r="AJC45" s="37"/>
      <c r="AJD45" s="37"/>
      <c r="AJE45" s="37"/>
      <c r="AJF45" s="37"/>
      <c r="AJG45" s="37"/>
      <c r="AJH45" s="37"/>
      <c r="AJI45" s="37"/>
      <c r="AJJ45" s="37"/>
      <c r="AJK45" s="37"/>
      <c r="AJL45" s="37"/>
      <c r="AJM45" s="37"/>
      <c r="AJN45" s="37"/>
      <c r="AJO45" s="37"/>
      <c r="AJP45" s="37"/>
      <c r="AJQ45" s="37"/>
      <c r="AJR45" s="37"/>
      <c r="AJS45" s="37"/>
      <c r="AJT45" s="37"/>
      <c r="AJU45" s="37"/>
      <c r="AJV45" s="37"/>
      <c r="AJW45" s="37"/>
      <c r="AJX45" s="37"/>
      <c r="AJY45" s="37"/>
      <c r="AJZ45" s="37"/>
      <c r="AKA45" s="37"/>
      <c r="AKB45" s="37"/>
      <c r="AKC45" s="37"/>
      <c r="AKD45" s="37"/>
      <c r="AKE45" s="37"/>
      <c r="AKF45" s="37"/>
      <c r="AKG45" s="37"/>
      <c r="AKH45" s="37"/>
      <c r="AKI45" s="37"/>
      <c r="AKJ45" s="37"/>
      <c r="AKK45" s="37"/>
      <c r="AKL45" s="37"/>
      <c r="AKM45" s="37"/>
      <c r="AKN45" s="37"/>
      <c r="AKO45" s="37"/>
      <c r="AKP45" s="37"/>
      <c r="AKQ45" s="37"/>
      <c r="AKR45" s="37"/>
      <c r="AKS45" s="37"/>
      <c r="AKT45" s="37"/>
      <c r="AKU45" s="37"/>
      <c r="AKV45" s="37"/>
      <c r="AKW45" s="37"/>
      <c r="AKX45" s="37"/>
      <c r="AKY45" s="37"/>
      <c r="AKZ45" s="37"/>
      <c r="ALA45" s="37"/>
      <c r="ALB45" s="37"/>
      <c r="ALC45" s="37"/>
      <c r="ALD45" s="37"/>
      <c r="ALE45" s="37"/>
      <c r="ALF45" s="37"/>
      <c r="ALG45" s="37"/>
      <c r="ALH45" s="37"/>
      <c r="ALI45" s="37"/>
      <c r="ALJ45" s="37"/>
      <c r="ALK45" s="37"/>
      <c r="ALL45" s="37"/>
      <c r="ALM45" s="37"/>
      <c r="ALN45" s="37"/>
      <c r="ALO45" s="37"/>
      <c r="ALP45" s="37"/>
      <c r="ALQ45" s="37"/>
      <c r="ALR45" s="37"/>
    </row>
    <row r="46" spans="2:1006" x14ac:dyDescent="0.35">
      <c r="D46" s="25" t="s">
        <v>196</v>
      </c>
    </row>
    <row r="47" spans="2:1006" x14ac:dyDescent="0.35">
      <c r="E47" s="25" t="s">
        <v>130</v>
      </c>
      <c r="F47" s="20" t="s">
        <v>129</v>
      </c>
      <c r="G47" s="45">
        <f>Assumptions!H64</f>
        <v>90000</v>
      </c>
      <c r="H47" s="22">
        <f>1/$I$8</f>
        <v>0.25</v>
      </c>
      <c r="I47" s="54">
        <f>SUM(K47:DQ47)</f>
        <v>90000</v>
      </c>
      <c r="K47" s="20">
        <f>$G47*$H47*K$8</f>
        <v>22500</v>
      </c>
      <c r="L47" s="20">
        <f t="shared" ref="L47:BS50" si="293">$G47*$H47*L$8</f>
        <v>22500</v>
      </c>
      <c r="M47" s="20">
        <f t="shared" si="293"/>
        <v>22500</v>
      </c>
      <c r="N47" s="20">
        <f t="shared" si="293"/>
        <v>22500</v>
      </c>
      <c r="O47" s="20">
        <f t="shared" si="293"/>
        <v>0</v>
      </c>
      <c r="P47" s="20">
        <f t="shared" si="293"/>
        <v>0</v>
      </c>
      <c r="Q47" s="20">
        <f t="shared" si="293"/>
        <v>0</v>
      </c>
      <c r="R47" s="20">
        <f t="shared" si="293"/>
        <v>0</v>
      </c>
      <c r="S47" s="20">
        <f t="shared" si="293"/>
        <v>0</v>
      </c>
      <c r="T47" s="20">
        <f t="shared" si="293"/>
        <v>0</v>
      </c>
      <c r="U47" s="20">
        <f t="shared" si="293"/>
        <v>0</v>
      </c>
      <c r="V47" s="20">
        <f t="shared" si="293"/>
        <v>0</v>
      </c>
      <c r="W47" s="20">
        <f t="shared" si="293"/>
        <v>0</v>
      </c>
      <c r="X47" s="20">
        <f t="shared" si="293"/>
        <v>0</v>
      </c>
      <c r="Y47" s="20">
        <f t="shared" si="293"/>
        <v>0</v>
      </c>
      <c r="Z47" s="20">
        <f t="shared" si="293"/>
        <v>0</v>
      </c>
      <c r="AA47" s="20">
        <f t="shared" si="293"/>
        <v>0</v>
      </c>
      <c r="AB47" s="20">
        <f t="shared" si="293"/>
        <v>0</v>
      </c>
      <c r="AC47" s="20">
        <f t="shared" si="293"/>
        <v>0</v>
      </c>
      <c r="AD47" s="20">
        <f t="shared" si="293"/>
        <v>0</v>
      </c>
      <c r="AE47" s="20">
        <f t="shared" si="293"/>
        <v>0</v>
      </c>
      <c r="AF47" s="20">
        <f t="shared" si="293"/>
        <v>0</v>
      </c>
      <c r="AG47" s="20">
        <f t="shared" si="293"/>
        <v>0</v>
      </c>
      <c r="AH47" s="20">
        <f t="shared" si="293"/>
        <v>0</v>
      </c>
      <c r="AI47" s="20">
        <f t="shared" si="293"/>
        <v>0</v>
      </c>
      <c r="AJ47" s="20">
        <f t="shared" si="293"/>
        <v>0</v>
      </c>
      <c r="AK47" s="20">
        <f t="shared" si="293"/>
        <v>0</v>
      </c>
      <c r="AL47" s="20">
        <f t="shared" si="293"/>
        <v>0</v>
      </c>
      <c r="AM47" s="20">
        <f t="shared" si="293"/>
        <v>0</v>
      </c>
      <c r="AN47" s="20">
        <f t="shared" si="293"/>
        <v>0</v>
      </c>
      <c r="AO47" s="20">
        <f t="shared" si="293"/>
        <v>0</v>
      </c>
      <c r="AP47" s="20">
        <f t="shared" si="293"/>
        <v>0</v>
      </c>
      <c r="AQ47" s="20">
        <f t="shared" si="293"/>
        <v>0</v>
      </c>
      <c r="AR47" s="20">
        <f t="shared" si="293"/>
        <v>0</v>
      </c>
      <c r="AS47" s="20">
        <f t="shared" si="293"/>
        <v>0</v>
      </c>
      <c r="AT47" s="20">
        <f t="shared" si="293"/>
        <v>0</v>
      </c>
      <c r="AU47" s="20">
        <f t="shared" si="293"/>
        <v>0</v>
      </c>
      <c r="AV47" s="20">
        <f t="shared" si="293"/>
        <v>0</v>
      </c>
      <c r="AW47" s="20">
        <f t="shared" si="293"/>
        <v>0</v>
      </c>
      <c r="AX47" s="20">
        <f t="shared" si="293"/>
        <v>0</v>
      </c>
      <c r="AY47" s="20">
        <f t="shared" si="293"/>
        <v>0</v>
      </c>
      <c r="AZ47" s="20">
        <f t="shared" si="293"/>
        <v>0</v>
      </c>
      <c r="BA47" s="20">
        <f t="shared" si="293"/>
        <v>0</v>
      </c>
      <c r="BB47" s="20">
        <f t="shared" si="293"/>
        <v>0</v>
      </c>
      <c r="BC47" s="20">
        <f t="shared" si="293"/>
        <v>0</v>
      </c>
      <c r="BD47" s="20">
        <f t="shared" si="293"/>
        <v>0</v>
      </c>
      <c r="BE47" s="20">
        <f t="shared" si="293"/>
        <v>0</v>
      </c>
      <c r="BF47" s="20">
        <f t="shared" si="293"/>
        <v>0</v>
      </c>
      <c r="BG47" s="20">
        <f t="shared" si="293"/>
        <v>0</v>
      </c>
      <c r="BH47" s="20">
        <f t="shared" si="293"/>
        <v>0</v>
      </c>
      <c r="BI47" s="20">
        <f t="shared" si="293"/>
        <v>0</v>
      </c>
      <c r="BJ47" s="20">
        <f t="shared" si="293"/>
        <v>0</v>
      </c>
      <c r="BK47" s="20">
        <f t="shared" si="293"/>
        <v>0</v>
      </c>
      <c r="BL47" s="20">
        <f t="shared" si="293"/>
        <v>0</v>
      </c>
      <c r="BM47" s="20">
        <f t="shared" si="293"/>
        <v>0</v>
      </c>
      <c r="BN47" s="20">
        <f t="shared" si="293"/>
        <v>0</v>
      </c>
      <c r="BO47" s="20">
        <f t="shared" si="293"/>
        <v>0</v>
      </c>
      <c r="BP47" s="20">
        <f t="shared" si="293"/>
        <v>0</v>
      </c>
      <c r="BQ47" s="20">
        <f t="shared" si="293"/>
        <v>0</v>
      </c>
      <c r="BR47" s="20">
        <f t="shared" si="293"/>
        <v>0</v>
      </c>
      <c r="BS47" s="20">
        <f t="shared" si="293"/>
        <v>0</v>
      </c>
      <c r="BT47" s="20">
        <f t="shared" ref="BS47:CM50" si="294">$G47*$H47*BT$8</f>
        <v>0</v>
      </c>
      <c r="BU47" s="20">
        <f t="shared" si="294"/>
        <v>0</v>
      </c>
      <c r="BV47" s="20">
        <f t="shared" si="294"/>
        <v>0</v>
      </c>
      <c r="BW47" s="20">
        <f t="shared" si="294"/>
        <v>0</v>
      </c>
      <c r="BX47" s="20">
        <f t="shared" si="294"/>
        <v>0</v>
      </c>
      <c r="BY47" s="20">
        <f t="shared" si="294"/>
        <v>0</v>
      </c>
      <c r="BZ47" s="20">
        <f t="shared" si="294"/>
        <v>0</v>
      </c>
      <c r="CA47" s="20">
        <f t="shared" si="294"/>
        <v>0</v>
      </c>
      <c r="CB47" s="20">
        <f t="shared" si="294"/>
        <v>0</v>
      </c>
      <c r="CC47" s="20">
        <f t="shared" si="294"/>
        <v>0</v>
      </c>
      <c r="CD47" s="20">
        <f t="shared" si="294"/>
        <v>0</v>
      </c>
      <c r="CE47" s="20">
        <f t="shared" si="294"/>
        <v>0</v>
      </c>
      <c r="CF47" s="20">
        <f t="shared" si="294"/>
        <v>0</v>
      </c>
      <c r="CG47" s="20">
        <f t="shared" si="294"/>
        <v>0</v>
      </c>
      <c r="CH47" s="20">
        <f t="shared" si="294"/>
        <v>0</v>
      </c>
      <c r="CI47" s="20">
        <f t="shared" si="294"/>
        <v>0</v>
      </c>
      <c r="CJ47" s="20">
        <f t="shared" si="294"/>
        <v>0</v>
      </c>
      <c r="CK47" s="20">
        <f t="shared" si="294"/>
        <v>0</v>
      </c>
      <c r="CL47" s="20">
        <f t="shared" si="294"/>
        <v>0</v>
      </c>
      <c r="CM47" s="20">
        <f t="shared" si="294"/>
        <v>0</v>
      </c>
      <c r="CN47" s="20">
        <f t="shared" ref="CM47:DB50" si="295">$G47*$H47*CN$8</f>
        <v>0</v>
      </c>
      <c r="CO47" s="20">
        <f t="shared" si="295"/>
        <v>0</v>
      </c>
      <c r="CP47" s="20">
        <f t="shared" si="295"/>
        <v>0</v>
      </c>
      <c r="CQ47" s="20">
        <f t="shared" si="295"/>
        <v>0</v>
      </c>
      <c r="CR47" s="20">
        <f t="shared" si="295"/>
        <v>0</v>
      </c>
      <c r="CS47" s="20">
        <f t="shared" si="295"/>
        <v>0</v>
      </c>
      <c r="CT47" s="20">
        <f t="shared" si="295"/>
        <v>0</v>
      </c>
      <c r="CU47" s="20">
        <f t="shared" si="295"/>
        <v>0</v>
      </c>
      <c r="CV47" s="20">
        <f t="shared" si="295"/>
        <v>0</v>
      </c>
      <c r="CW47" s="20">
        <f t="shared" si="295"/>
        <v>0</v>
      </c>
      <c r="CX47" s="20">
        <f t="shared" si="295"/>
        <v>0</v>
      </c>
      <c r="CY47" s="20">
        <f t="shared" si="295"/>
        <v>0</v>
      </c>
      <c r="CZ47" s="20">
        <f t="shared" si="295"/>
        <v>0</v>
      </c>
      <c r="DA47" s="20">
        <f t="shared" si="295"/>
        <v>0</v>
      </c>
      <c r="DB47" s="20">
        <f t="shared" si="295"/>
        <v>0</v>
      </c>
      <c r="DC47" s="20">
        <f t="shared" ref="DA47:DQ50" si="296">$G47*$H47*DC$8</f>
        <v>0</v>
      </c>
      <c r="DD47" s="20">
        <f t="shared" si="296"/>
        <v>0</v>
      </c>
      <c r="DE47" s="20">
        <f t="shared" si="296"/>
        <v>0</v>
      </c>
      <c r="DF47" s="20">
        <f t="shared" si="296"/>
        <v>0</v>
      </c>
      <c r="DG47" s="20">
        <f t="shared" si="296"/>
        <v>0</v>
      </c>
      <c r="DH47" s="20">
        <f t="shared" si="296"/>
        <v>0</v>
      </c>
      <c r="DI47" s="20">
        <f t="shared" si="296"/>
        <v>0</v>
      </c>
      <c r="DJ47" s="20">
        <f t="shared" si="296"/>
        <v>0</v>
      </c>
      <c r="DK47" s="20">
        <f t="shared" si="296"/>
        <v>0</v>
      </c>
      <c r="DL47" s="20">
        <f t="shared" si="296"/>
        <v>0</v>
      </c>
      <c r="DM47" s="20">
        <f t="shared" si="296"/>
        <v>0</v>
      </c>
      <c r="DN47" s="20">
        <f t="shared" si="296"/>
        <v>0</v>
      </c>
      <c r="DO47" s="20">
        <f t="shared" si="296"/>
        <v>0</v>
      </c>
      <c r="DP47" s="20">
        <f t="shared" si="296"/>
        <v>0</v>
      </c>
      <c r="DQ47" s="20">
        <f t="shared" si="296"/>
        <v>0</v>
      </c>
    </row>
    <row r="48" spans="2:1006" x14ac:dyDescent="0.35">
      <c r="E48" s="25" t="s">
        <v>131</v>
      </c>
      <c r="F48" s="20" t="s">
        <v>129</v>
      </c>
      <c r="G48" s="45">
        <f>Assumptions!H65</f>
        <v>30000</v>
      </c>
      <c r="H48" s="22">
        <f t="shared" ref="H48:H50" si="297">1/$I$8</f>
        <v>0.25</v>
      </c>
      <c r="I48" s="54">
        <f t="shared" ref="I48:I50" si="298">SUM(K48:DQ48)</f>
        <v>30000</v>
      </c>
      <c r="K48" s="20">
        <f t="shared" ref="K48:Z50" si="299">$G48*$H48*K$8</f>
        <v>7500</v>
      </c>
      <c r="L48" s="20">
        <f t="shared" si="299"/>
        <v>7500</v>
      </c>
      <c r="M48" s="20">
        <f t="shared" si="299"/>
        <v>7500</v>
      </c>
      <c r="N48" s="20">
        <f t="shared" si="299"/>
        <v>7500</v>
      </c>
      <c r="O48" s="20">
        <f t="shared" si="299"/>
        <v>0</v>
      </c>
      <c r="P48" s="20">
        <f t="shared" si="299"/>
        <v>0</v>
      </c>
      <c r="Q48" s="20">
        <f t="shared" si="299"/>
        <v>0</v>
      </c>
      <c r="R48" s="20">
        <f t="shared" si="299"/>
        <v>0</v>
      </c>
      <c r="S48" s="20">
        <f t="shared" si="299"/>
        <v>0</v>
      </c>
      <c r="T48" s="20">
        <f t="shared" si="299"/>
        <v>0</v>
      </c>
      <c r="U48" s="20">
        <f t="shared" si="299"/>
        <v>0</v>
      </c>
      <c r="V48" s="20">
        <f t="shared" si="299"/>
        <v>0</v>
      </c>
      <c r="W48" s="20">
        <f t="shared" si="299"/>
        <v>0</v>
      </c>
      <c r="X48" s="20">
        <f t="shared" si="299"/>
        <v>0</v>
      </c>
      <c r="Y48" s="20">
        <f t="shared" si="299"/>
        <v>0</v>
      </c>
      <c r="Z48" s="20">
        <f t="shared" si="299"/>
        <v>0</v>
      </c>
      <c r="AA48" s="20">
        <f t="shared" si="293"/>
        <v>0</v>
      </c>
      <c r="AB48" s="20">
        <f t="shared" si="293"/>
        <v>0</v>
      </c>
      <c r="AC48" s="20">
        <f t="shared" si="293"/>
        <v>0</v>
      </c>
      <c r="AD48" s="20">
        <f t="shared" si="293"/>
        <v>0</v>
      </c>
      <c r="AE48" s="20">
        <f t="shared" si="293"/>
        <v>0</v>
      </c>
      <c r="AF48" s="20">
        <f t="shared" si="293"/>
        <v>0</v>
      </c>
      <c r="AG48" s="20">
        <f t="shared" si="293"/>
        <v>0</v>
      </c>
      <c r="AH48" s="20">
        <f t="shared" si="293"/>
        <v>0</v>
      </c>
      <c r="AI48" s="20">
        <f t="shared" si="293"/>
        <v>0</v>
      </c>
      <c r="AJ48" s="20">
        <f t="shared" si="293"/>
        <v>0</v>
      </c>
      <c r="AK48" s="20">
        <f t="shared" si="293"/>
        <v>0</v>
      </c>
      <c r="AL48" s="20">
        <f t="shared" si="293"/>
        <v>0</v>
      </c>
      <c r="AM48" s="20">
        <f t="shared" si="293"/>
        <v>0</v>
      </c>
      <c r="AN48" s="20">
        <f t="shared" si="293"/>
        <v>0</v>
      </c>
      <c r="AO48" s="20">
        <f t="shared" si="293"/>
        <v>0</v>
      </c>
      <c r="AP48" s="20">
        <f t="shared" si="293"/>
        <v>0</v>
      </c>
      <c r="AQ48" s="20">
        <f t="shared" si="293"/>
        <v>0</v>
      </c>
      <c r="AR48" s="20">
        <f t="shared" si="293"/>
        <v>0</v>
      </c>
      <c r="AS48" s="20">
        <f t="shared" si="293"/>
        <v>0</v>
      </c>
      <c r="AT48" s="20">
        <f t="shared" si="293"/>
        <v>0</v>
      </c>
      <c r="AU48" s="20">
        <f t="shared" si="293"/>
        <v>0</v>
      </c>
      <c r="AV48" s="20">
        <f t="shared" si="293"/>
        <v>0</v>
      </c>
      <c r="AW48" s="20">
        <f t="shared" si="293"/>
        <v>0</v>
      </c>
      <c r="AX48" s="20">
        <f t="shared" si="293"/>
        <v>0</v>
      </c>
      <c r="AY48" s="20">
        <f t="shared" si="293"/>
        <v>0</v>
      </c>
      <c r="AZ48" s="20">
        <f t="shared" si="293"/>
        <v>0</v>
      </c>
      <c r="BA48" s="20">
        <f t="shared" si="293"/>
        <v>0</v>
      </c>
      <c r="BB48" s="20">
        <f t="shared" si="293"/>
        <v>0</v>
      </c>
      <c r="BC48" s="20">
        <f t="shared" si="293"/>
        <v>0</v>
      </c>
      <c r="BD48" s="20">
        <f t="shared" si="293"/>
        <v>0</v>
      </c>
      <c r="BE48" s="20">
        <f t="shared" si="293"/>
        <v>0</v>
      </c>
      <c r="BF48" s="20">
        <f t="shared" si="293"/>
        <v>0</v>
      </c>
      <c r="BG48" s="20">
        <f t="shared" si="293"/>
        <v>0</v>
      </c>
      <c r="BH48" s="20">
        <f t="shared" si="293"/>
        <v>0</v>
      </c>
      <c r="BI48" s="20">
        <f t="shared" si="293"/>
        <v>0</v>
      </c>
      <c r="BJ48" s="20">
        <f t="shared" si="293"/>
        <v>0</v>
      </c>
      <c r="BK48" s="20">
        <f t="shared" si="293"/>
        <v>0</v>
      </c>
      <c r="BL48" s="20">
        <f t="shared" si="293"/>
        <v>0</v>
      </c>
      <c r="BM48" s="20">
        <f t="shared" si="293"/>
        <v>0</v>
      </c>
      <c r="BN48" s="20">
        <f t="shared" si="293"/>
        <v>0</v>
      </c>
      <c r="BO48" s="20">
        <f t="shared" si="293"/>
        <v>0</v>
      </c>
      <c r="BP48" s="20">
        <f t="shared" si="293"/>
        <v>0</v>
      </c>
      <c r="BQ48" s="20">
        <f t="shared" si="293"/>
        <v>0</v>
      </c>
      <c r="BR48" s="20">
        <f t="shared" si="293"/>
        <v>0</v>
      </c>
      <c r="BS48" s="20">
        <f t="shared" si="294"/>
        <v>0</v>
      </c>
      <c r="BT48" s="20">
        <f t="shared" si="294"/>
        <v>0</v>
      </c>
      <c r="BU48" s="20">
        <f t="shared" si="294"/>
        <v>0</v>
      </c>
      <c r="BV48" s="20">
        <f t="shared" si="294"/>
        <v>0</v>
      </c>
      <c r="BW48" s="20">
        <f t="shared" si="294"/>
        <v>0</v>
      </c>
      <c r="BX48" s="20">
        <f t="shared" si="294"/>
        <v>0</v>
      </c>
      <c r="BY48" s="20">
        <f t="shared" si="294"/>
        <v>0</v>
      </c>
      <c r="BZ48" s="20">
        <f t="shared" si="294"/>
        <v>0</v>
      </c>
      <c r="CA48" s="20">
        <f t="shared" si="294"/>
        <v>0</v>
      </c>
      <c r="CB48" s="20">
        <f t="shared" si="294"/>
        <v>0</v>
      </c>
      <c r="CC48" s="20">
        <f t="shared" si="294"/>
        <v>0</v>
      </c>
      <c r="CD48" s="20">
        <f t="shared" si="294"/>
        <v>0</v>
      </c>
      <c r="CE48" s="20">
        <f t="shared" si="294"/>
        <v>0</v>
      </c>
      <c r="CF48" s="20">
        <f t="shared" si="294"/>
        <v>0</v>
      </c>
      <c r="CG48" s="20">
        <f t="shared" si="294"/>
        <v>0</v>
      </c>
      <c r="CH48" s="20">
        <f t="shared" si="294"/>
        <v>0</v>
      </c>
      <c r="CI48" s="20">
        <f t="shared" si="294"/>
        <v>0</v>
      </c>
      <c r="CJ48" s="20">
        <f t="shared" si="294"/>
        <v>0</v>
      </c>
      <c r="CK48" s="20">
        <f t="shared" si="294"/>
        <v>0</v>
      </c>
      <c r="CL48" s="20">
        <f t="shared" si="294"/>
        <v>0</v>
      </c>
      <c r="CM48" s="20">
        <f t="shared" si="295"/>
        <v>0</v>
      </c>
      <c r="CN48" s="20">
        <f t="shared" si="295"/>
        <v>0</v>
      </c>
      <c r="CO48" s="20">
        <f t="shared" si="295"/>
        <v>0</v>
      </c>
      <c r="CP48" s="20">
        <f t="shared" si="295"/>
        <v>0</v>
      </c>
      <c r="CQ48" s="20">
        <f t="shared" si="295"/>
        <v>0</v>
      </c>
      <c r="CR48" s="20">
        <f t="shared" si="295"/>
        <v>0</v>
      </c>
      <c r="CS48" s="20">
        <f t="shared" si="295"/>
        <v>0</v>
      </c>
      <c r="CT48" s="20">
        <f t="shared" si="295"/>
        <v>0</v>
      </c>
      <c r="CU48" s="20">
        <f t="shared" si="295"/>
        <v>0</v>
      </c>
      <c r="CV48" s="20">
        <f t="shared" si="295"/>
        <v>0</v>
      </c>
      <c r="CW48" s="20">
        <f t="shared" si="295"/>
        <v>0</v>
      </c>
      <c r="CX48" s="20">
        <f t="shared" si="295"/>
        <v>0</v>
      </c>
      <c r="CY48" s="20">
        <f t="shared" si="295"/>
        <v>0</v>
      </c>
      <c r="CZ48" s="20">
        <f t="shared" si="295"/>
        <v>0</v>
      </c>
      <c r="DA48" s="20">
        <f t="shared" si="296"/>
        <v>0</v>
      </c>
      <c r="DB48" s="20">
        <f t="shared" si="296"/>
        <v>0</v>
      </c>
      <c r="DC48" s="20">
        <f t="shared" si="296"/>
        <v>0</v>
      </c>
      <c r="DD48" s="20">
        <f t="shared" si="296"/>
        <v>0</v>
      </c>
      <c r="DE48" s="20">
        <f t="shared" si="296"/>
        <v>0</v>
      </c>
      <c r="DF48" s="20">
        <f t="shared" si="296"/>
        <v>0</v>
      </c>
      <c r="DG48" s="20">
        <f t="shared" si="296"/>
        <v>0</v>
      </c>
      <c r="DH48" s="20">
        <f t="shared" si="296"/>
        <v>0</v>
      </c>
      <c r="DI48" s="20">
        <f t="shared" si="296"/>
        <v>0</v>
      </c>
      <c r="DJ48" s="20">
        <f t="shared" si="296"/>
        <v>0</v>
      </c>
      <c r="DK48" s="20">
        <f t="shared" si="296"/>
        <v>0</v>
      </c>
      <c r="DL48" s="20">
        <f t="shared" si="296"/>
        <v>0</v>
      </c>
      <c r="DM48" s="20">
        <f t="shared" si="296"/>
        <v>0</v>
      </c>
      <c r="DN48" s="20">
        <f t="shared" si="296"/>
        <v>0</v>
      </c>
      <c r="DO48" s="20">
        <f t="shared" si="296"/>
        <v>0</v>
      </c>
      <c r="DP48" s="20">
        <f t="shared" si="296"/>
        <v>0</v>
      </c>
      <c r="DQ48" s="20">
        <f t="shared" si="296"/>
        <v>0</v>
      </c>
    </row>
    <row r="49" spans="4:121" x14ac:dyDescent="0.35">
      <c r="E49" s="25" t="s">
        <v>132</v>
      </c>
      <c r="F49" s="20" t="s">
        <v>129</v>
      </c>
      <c r="G49" s="45">
        <f>Assumptions!H66</f>
        <v>18000</v>
      </c>
      <c r="H49" s="22">
        <f t="shared" si="297"/>
        <v>0.25</v>
      </c>
      <c r="I49" s="54">
        <f t="shared" si="298"/>
        <v>18000</v>
      </c>
      <c r="K49" s="20">
        <f t="shared" si="299"/>
        <v>4500</v>
      </c>
      <c r="L49" s="20">
        <f t="shared" si="299"/>
        <v>4500</v>
      </c>
      <c r="M49" s="20">
        <f t="shared" si="299"/>
        <v>4500</v>
      </c>
      <c r="N49" s="20">
        <f t="shared" si="299"/>
        <v>4500</v>
      </c>
      <c r="O49" s="20">
        <f t="shared" si="299"/>
        <v>0</v>
      </c>
      <c r="P49" s="20">
        <f t="shared" si="299"/>
        <v>0</v>
      </c>
      <c r="Q49" s="20">
        <f t="shared" si="299"/>
        <v>0</v>
      </c>
      <c r="R49" s="20">
        <f t="shared" si="299"/>
        <v>0</v>
      </c>
      <c r="S49" s="20">
        <f t="shared" si="299"/>
        <v>0</v>
      </c>
      <c r="T49" s="20">
        <f t="shared" si="299"/>
        <v>0</v>
      </c>
      <c r="U49" s="20">
        <f t="shared" si="299"/>
        <v>0</v>
      </c>
      <c r="V49" s="20">
        <f t="shared" si="299"/>
        <v>0</v>
      </c>
      <c r="W49" s="20">
        <f t="shared" si="299"/>
        <v>0</v>
      </c>
      <c r="X49" s="20">
        <f t="shared" si="299"/>
        <v>0</v>
      </c>
      <c r="Y49" s="20">
        <f t="shared" si="299"/>
        <v>0</v>
      </c>
      <c r="Z49" s="20">
        <f t="shared" si="299"/>
        <v>0</v>
      </c>
      <c r="AA49" s="20">
        <f t="shared" si="293"/>
        <v>0</v>
      </c>
      <c r="AB49" s="20">
        <f t="shared" si="293"/>
        <v>0</v>
      </c>
      <c r="AC49" s="20">
        <f t="shared" si="293"/>
        <v>0</v>
      </c>
      <c r="AD49" s="20">
        <f t="shared" si="293"/>
        <v>0</v>
      </c>
      <c r="AE49" s="20">
        <f t="shared" si="293"/>
        <v>0</v>
      </c>
      <c r="AF49" s="20">
        <f t="shared" si="293"/>
        <v>0</v>
      </c>
      <c r="AG49" s="20">
        <f t="shared" si="293"/>
        <v>0</v>
      </c>
      <c r="AH49" s="20">
        <f t="shared" si="293"/>
        <v>0</v>
      </c>
      <c r="AI49" s="20">
        <f t="shared" si="293"/>
        <v>0</v>
      </c>
      <c r="AJ49" s="20">
        <f t="shared" si="293"/>
        <v>0</v>
      </c>
      <c r="AK49" s="20">
        <f t="shared" si="293"/>
        <v>0</v>
      </c>
      <c r="AL49" s="20">
        <f t="shared" si="293"/>
        <v>0</v>
      </c>
      <c r="AM49" s="20">
        <f t="shared" si="293"/>
        <v>0</v>
      </c>
      <c r="AN49" s="20">
        <f t="shared" si="293"/>
        <v>0</v>
      </c>
      <c r="AO49" s="20">
        <f t="shared" si="293"/>
        <v>0</v>
      </c>
      <c r="AP49" s="20">
        <f t="shared" si="293"/>
        <v>0</v>
      </c>
      <c r="AQ49" s="20">
        <f t="shared" si="293"/>
        <v>0</v>
      </c>
      <c r="AR49" s="20">
        <f t="shared" si="293"/>
        <v>0</v>
      </c>
      <c r="AS49" s="20">
        <f t="shared" si="293"/>
        <v>0</v>
      </c>
      <c r="AT49" s="20">
        <f t="shared" si="293"/>
        <v>0</v>
      </c>
      <c r="AU49" s="20">
        <f t="shared" si="293"/>
        <v>0</v>
      </c>
      <c r="AV49" s="20">
        <f t="shared" si="293"/>
        <v>0</v>
      </c>
      <c r="AW49" s="20">
        <f t="shared" si="293"/>
        <v>0</v>
      </c>
      <c r="AX49" s="20">
        <f t="shared" si="293"/>
        <v>0</v>
      </c>
      <c r="AY49" s="20">
        <f t="shared" si="293"/>
        <v>0</v>
      </c>
      <c r="AZ49" s="20">
        <f t="shared" si="293"/>
        <v>0</v>
      </c>
      <c r="BA49" s="20">
        <f t="shared" si="293"/>
        <v>0</v>
      </c>
      <c r="BB49" s="20">
        <f t="shared" si="293"/>
        <v>0</v>
      </c>
      <c r="BC49" s="20">
        <f t="shared" si="293"/>
        <v>0</v>
      </c>
      <c r="BD49" s="20">
        <f t="shared" si="293"/>
        <v>0</v>
      </c>
      <c r="BE49" s="20">
        <f t="shared" si="293"/>
        <v>0</v>
      </c>
      <c r="BF49" s="20">
        <f t="shared" si="293"/>
        <v>0</v>
      </c>
      <c r="BG49" s="20">
        <f t="shared" si="293"/>
        <v>0</v>
      </c>
      <c r="BH49" s="20">
        <f t="shared" si="293"/>
        <v>0</v>
      </c>
      <c r="BI49" s="20">
        <f t="shared" si="293"/>
        <v>0</v>
      </c>
      <c r="BJ49" s="20">
        <f t="shared" si="293"/>
        <v>0</v>
      </c>
      <c r="BK49" s="20">
        <f t="shared" si="293"/>
        <v>0</v>
      </c>
      <c r="BL49" s="20">
        <f t="shared" si="293"/>
        <v>0</v>
      </c>
      <c r="BM49" s="20">
        <f t="shared" si="293"/>
        <v>0</v>
      </c>
      <c r="BN49" s="20">
        <f t="shared" si="293"/>
        <v>0</v>
      </c>
      <c r="BO49" s="20">
        <f t="shared" si="293"/>
        <v>0</v>
      </c>
      <c r="BP49" s="20">
        <f t="shared" si="293"/>
        <v>0</v>
      </c>
      <c r="BQ49" s="20">
        <f t="shared" si="293"/>
        <v>0</v>
      </c>
      <c r="BR49" s="20">
        <f t="shared" si="293"/>
        <v>0</v>
      </c>
      <c r="BS49" s="20">
        <f t="shared" si="294"/>
        <v>0</v>
      </c>
      <c r="BT49" s="20">
        <f t="shared" si="294"/>
        <v>0</v>
      </c>
      <c r="BU49" s="20">
        <f t="shared" si="294"/>
        <v>0</v>
      </c>
      <c r="BV49" s="20">
        <f t="shared" si="294"/>
        <v>0</v>
      </c>
      <c r="BW49" s="20">
        <f t="shared" si="294"/>
        <v>0</v>
      </c>
      <c r="BX49" s="20">
        <f t="shared" si="294"/>
        <v>0</v>
      </c>
      <c r="BY49" s="20">
        <f t="shared" si="294"/>
        <v>0</v>
      </c>
      <c r="BZ49" s="20">
        <f t="shared" si="294"/>
        <v>0</v>
      </c>
      <c r="CA49" s="20">
        <f t="shared" si="294"/>
        <v>0</v>
      </c>
      <c r="CB49" s="20">
        <f t="shared" si="294"/>
        <v>0</v>
      </c>
      <c r="CC49" s="20">
        <f t="shared" si="294"/>
        <v>0</v>
      </c>
      <c r="CD49" s="20">
        <f t="shared" si="294"/>
        <v>0</v>
      </c>
      <c r="CE49" s="20">
        <f t="shared" si="294"/>
        <v>0</v>
      </c>
      <c r="CF49" s="20">
        <f t="shared" si="294"/>
        <v>0</v>
      </c>
      <c r="CG49" s="20">
        <f t="shared" si="294"/>
        <v>0</v>
      </c>
      <c r="CH49" s="20">
        <f t="shared" si="294"/>
        <v>0</v>
      </c>
      <c r="CI49" s="20">
        <f t="shared" si="294"/>
        <v>0</v>
      </c>
      <c r="CJ49" s="20">
        <f t="shared" si="294"/>
        <v>0</v>
      </c>
      <c r="CK49" s="20">
        <f t="shared" si="294"/>
        <v>0</v>
      </c>
      <c r="CL49" s="20">
        <f t="shared" si="294"/>
        <v>0</v>
      </c>
      <c r="CM49" s="20">
        <f t="shared" si="295"/>
        <v>0</v>
      </c>
      <c r="CN49" s="20">
        <f t="shared" si="295"/>
        <v>0</v>
      </c>
      <c r="CO49" s="20">
        <f t="shared" si="295"/>
        <v>0</v>
      </c>
      <c r="CP49" s="20">
        <f t="shared" si="295"/>
        <v>0</v>
      </c>
      <c r="CQ49" s="20">
        <f t="shared" si="295"/>
        <v>0</v>
      </c>
      <c r="CR49" s="20">
        <f t="shared" si="295"/>
        <v>0</v>
      </c>
      <c r="CS49" s="20">
        <f t="shared" si="295"/>
        <v>0</v>
      </c>
      <c r="CT49" s="20">
        <f t="shared" si="295"/>
        <v>0</v>
      </c>
      <c r="CU49" s="20">
        <f t="shared" si="295"/>
        <v>0</v>
      </c>
      <c r="CV49" s="20">
        <f t="shared" si="295"/>
        <v>0</v>
      </c>
      <c r="CW49" s="20">
        <f t="shared" si="295"/>
        <v>0</v>
      </c>
      <c r="CX49" s="20">
        <f t="shared" si="295"/>
        <v>0</v>
      </c>
      <c r="CY49" s="20">
        <f t="shared" si="295"/>
        <v>0</v>
      </c>
      <c r="CZ49" s="20">
        <f t="shared" si="295"/>
        <v>0</v>
      </c>
      <c r="DA49" s="20">
        <f t="shared" si="296"/>
        <v>0</v>
      </c>
      <c r="DB49" s="20">
        <f t="shared" si="296"/>
        <v>0</v>
      </c>
      <c r="DC49" s="20">
        <f t="shared" si="296"/>
        <v>0</v>
      </c>
      <c r="DD49" s="20">
        <f t="shared" si="296"/>
        <v>0</v>
      </c>
      <c r="DE49" s="20">
        <f t="shared" si="296"/>
        <v>0</v>
      </c>
      <c r="DF49" s="20">
        <f t="shared" si="296"/>
        <v>0</v>
      </c>
      <c r="DG49" s="20">
        <f t="shared" si="296"/>
        <v>0</v>
      </c>
      <c r="DH49" s="20">
        <f t="shared" si="296"/>
        <v>0</v>
      </c>
      <c r="DI49" s="20">
        <f t="shared" si="296"/>
        <v>0</v>
      </c>
      <c r="DJ49" s="20">
        <f t="shared" si="296"/>
        <v>0</v>
      </c>
      <c r="DK49" s="20">
        <f t="shared" si="296"/>
        <v>0</v>
      </c>
      <c r="DL49" s="20">
        <f t="shared" si="296"/>
        <v>0</v>
      </c>
      <c r="DM49" s="20">
        <f t="shared" si="296"/>
        <v>0</v>
      </c>
      <c r="DN49" s="20">
        <f t="shared" si="296"/>
        <v>0</v>
      </c>
      <c r="DO49" s="20">
        <f t="shared" si="296"/>
        <v>0</v>
      </c>
      <c r="DP49" s="20">
        <f t="shared" si="296"/>
        <v>0</v>
      </c>
      <c r="DQ49" s="20">
        <f t="shared" si="296"/>
        <v>0</v>
      </c>
    </row>
    <row r="50" spans="4:121" x14ac:dyDescent="0.35">
      <c r="E50" s="25" t="s">
        <v>133</v>
      </c>
      <c r="F50" s="20" t="s">
        <v>129</v>
      </c>
      <c r="G50" s="45">
        <f>Assumptions!H67</f>
        <v>24000</v>
      </c>
      <c r="H50" s="22">
        <f t="shared" si="297"/>
        <v>0.25</v>
      </c>
      <c r="I50" s="54">
        <f t="shared" si="298"/>
        <v>24000</v>
      </c>
      <c r="K50" s="20">
        <f t="shared" si="299"/>
        <v>6000</v>
      </c>
      <c r="L50" s="20">
        <f t="shared" si="299"/>
        <v>6000</v>
      </c>
      <c r="M50" s="20">
        <f t="shared" si="299"/>
        <v>6000</v>
      </c>
      <c r="N50" s="20">
        <f t="shared" si="299"/>
        <v>6000</v>
      </c>
      <c r="O50" s="20">
        <f t="shared" si="299"/>
        <v>0</v>
      </c>
      <c r="P50" s="20">
        <f t="shared" si="299"/>
        <v>0</v>
      </c>
      <c r="Q50" s="20">
        <f t="shared" si="299"/>
        <v>0</v>
      </c>
      <c r="R50" s="20">
        <f t="shared" si="299"/>
        <v>0</v>
      </c>
      <c r="S50" s="20">
        <f t="shared" si="299"/>
        <v>0</v>
      </c>
      <c r="T50" s="20">
        <f t="shared" si="299"/>
        <v>0</v>
      </c>
      <c r="U50" s="20">
        <f t="shared" si="299"/>
        <v>0</v>
      </c>
      <c r="V50" s="20">
        <f t="shared" si="299"/>
        <v>0</v>
      </c>
      <c r="W50" s="20">
        <f t="shared" si="299"/>
        <v>0</v>
      </c>
      <c r="X50" s="20">
        <f t="shared" si="299"/>
        <v>0</v>
      </c>
      <c r="Y50" s="20">
        <f t="shared" si="299"/>
        <v>0</v>
      </c>
      <c r="Z50" s="20">
        <f t="shared" si="299"/>
        <v>0</v>
      </c>
      <c r="AA50" s="20">
        <f t="shared" si="293"/>
        <v>0</v>
      </c>
      <c r="AB50" s="20">
        <f t="shared" si="293"/>
        <v>0</v>
      </c>
      <c r="AC50" s="20">
        <f t="shared" si="293"/>
        <v>0</v>
      </c>
      <c r="AD50" s="20">
        <f t="shared" si="293"/>
        <v>0</v>
      </c>
      <c r="AE50" s="20">
        <f t="shared" si="293"/>
        <v>0</v>
      </c>
      <c r="AF50" s="20">
        <f t="shared" si="293"/>
        <v>0</v>
      </c>
      <c r="AG50" s="20">
        <f t="shared" si="293"/>
        <v>0</v>
      </c>
      <c r="AH50" s="20">
        <f t="shared" si="293"/>
        <v>0</v>
      </c>
      <c r="AI50" s="20">
        <f t="shared" si="293"/>
        <v>0</v>
      </c>
      <c r="AJ50" s="20">
        <f t="shared" si="293"/>
        <v>0</v>
      </c>
      <c r="AK50" s="20">
        <f t="shared" si="293"/>
        <v>0</v>
      </c>
      <c r="AL50" s="20">
        <f t="shared" si="293"/>
        <v>0</v>
      </c>
      <c r="AM50" s="20">
        <f t="shared" si="293"/>
        <v>0</v>
      </c>
      <c r="AN50" s="20">
        <f t="shared" si="293"/>
        <v>0</v>
      </c>
      <c r="AO50" s="20">
        <f t="shared" si="293"/>
        <v>0</v>
      </c>
      <c r="AP50" s="20">
        <f t="shared" si="293"/>
        <v>0</v>
      </c>
      <c r="AQ50" s="20">
        <f t="shared" si="293"/>
        <v>0</v>
      </c>
      <c r="AR50" s="20">
        <f t="shared" si="293"/>
        <v>0</v>
      </c>
      <c r="AS50" s="20">
        <f t="shared" si="293"/>
        <v>0</v>
      </c>
      <c r="AT50" s="20">
        <f t="shared" si="293"/>
        <v>0</v>
      </c>
      <c r="AU50" s="20">
        <f t="shared" si="293"/>
        <v>0</v>
      </c>
      <c r="AV50" s="20">
        <f t="shared" si="293"/>
        <v>0</v>
      </c>
      <c r="AW50" s="20">
        <f t="shared" si="293"/>
        <v>0</v>
      </c>
      <c r="AX50" s="20">
        <f t="shared" si="293"/>
        <v>0</v>
      </c>
      <c r="AY50" s="20">
        <f t="shared" si="293"/>
        <v>0</v>
      </c>
      <c r="AZ50" s="20">
        <f t="shared" si="293"/>
        <v>0</v>
      </c>
      <c r="BA50" s="20">
        <f t="shared" si="293"/>
        <v>0</v>
      </c>
      <c r="BB50" s="20">
        <f t="shared" si="293"/>
        <v>0</v>
      </c>
      <c r="BC50" s="20">
        <f t="shared" si="293"/>
        <v>0</v>
      </c>
      <c r="BD50" s="20">
        <f t="shared" si="293"/>
        <v>0</v>
      </c>
      <c r="BE50" s="20">
        <f t="shared" si="293"/>
        <v>0</v>
      </c>
      <c r="BF50" s="20">
        <f t="shared" si="293"/>
        <v>0</v>
      </c>
      <c r="BG50" s="20">
        <f t="shared" si="293"/>
        <v>0</v>
      </c>
      <c r="BH50" s="20">
        <f t="shared" si="293"/>
        <v>0</v>
      </c>
      <c r="BI50" s="20">
        <f t="shared" si="293"/>
        <v>0</v>
      </c>
      <c r="BJ50" s="20">
        <f t="shared" si="293"/>
        <v>0</v>
      </c>
      <c r="BK50" s="20">
        <f t="shared" si="293"/>
        <v>0</v>
      </c>
      <c r="BL50" s="20">
        <f t="shared" si="293"/>
        <v>0</v>
      </c>
      <c r="BM50" s="20">
        <f t="shared" si="293"/>
        <v>0</v>
      </c>
      <c r="BN50" s="20">
        <f t="shared" si="293"/>
        <v>0</v>
      </c>
      <c r="BO50" s="20">
        <f t="shared" si="293"/>
        <v>0</v>
      </c>
      <c r="BP50" s="20">
        <f t="shared" si="293"/>
        <v>0</v>
      </c>
      <c r="BQ50" s="20">
        <f t="shared" si="293"/>
        <v>0</v>
      </c>
      <c r="BR50" s="20">
        <f t="shared" si="293"/>
        <v>0</v>
      </c>
      <c r="BS50" s="20">
        <f t="shared" si="294"/>
        <v>0</v>
      </c>
      <c r="BT50" s="20">
        <f t="shared" si="294"/>
        <v>0</v>
      </c>
      <c r="BU50" s="20">
        <f t="shared" si="294"/>
        <v>0</v>
      </c>
      <c r="BV50" s="20">
        <f t="shared" si="294"/>
        <v>0</v>
      </c>
      <c r="BW50" s="20">
        <f t="shared" si="294"/>
        <v>0</v>
      </c>
      <c r="BX50" s="20">
        <f t="shared" si="294"/>
        <v>0</v>
      </c>
      <c r="BY50" s="20">
        <f t="shared" si="294"/>
        <v>0</v>
      </c>
      <c r="BZ50" s="20">
        <f t="shared" si="294"/>
        <v>0</v>
      </c>
      <c r="CA50" s="20">
        <f t="shared" si="294"/>
        <v>0</v>
      </c>
      <c r="CB50" s="20">
        <f t="shared" si="294"/>
        <v>0</v>
      </c>
      <c r="CC50" s="20">
        <f t="shared" si="294"/>
        <v>0</v>
      </c>
      <c r="CD50" s="20">
        <f t="shared" si="294"/>
        <v>0</v>
      </c>
      <c r="CE50" s="20">
        <f t="shared" si="294"/>
        <v>0</v>
      </c>
      <c r="CF50" s="20">
        <f t="shared" si="294"/>
        <v>0</v>
      </c>
      <c r="CG50" s="20">
        <f t="shared" si="294"/>
        <v>0</v>
      </c>
      <c r="CH50" s="20">
        <f t="shared" si="294"/>
        <v>0</v>
      </c>
      <c r="CI50" s="20">
        <f t="shared" si="294"/>
        <v>0</v>
      </c>
      <c r="CJ50" s="20">
        <f t="shared" si="294"/>
        <v>0</v>
      </c>
      <c r="CK50" s="20">
        <f t="shared" si="294"/>
        <v>0</v>
      </c>
      <c r="CL50" s="20">
        <f t="shared" si="294"/>
        <v>0</v>
      </c>
      <c r="CM50" s="20">
        <f t="shared" si="295"/>
        <v>0</v>
      </c>
      <c r="CN50" s="20">
        <f t="shared" si="295"/>
        <v>0</v>
      </c>
      <c r="CO50" s="20">
        <f t="shared" si="295"/>
        <v>0</v>
      </c>
      <c r="CP50" s="20">
        <f t="shared" si="295"/>
        <v>0</v>
      </c>
      <c r="CQ50" s="20">
        <f t="shared" si="295"/>
        <v>0</v>
      </c>
      <c r="CR50" s="20">
        <f t="shared" si="295"/>
        <v>0</v>
      </c>
      <c r="CS50" s="20">
        <f t="shared" si="295"/>
        <v>0</v>
      </c>
      <c r="CT50" s="20">
        <f t="shared" si="295"/>
        <v>0</v>
      </c>
      <c r="CU50" s="20">
        <f t="shared" si="295"/>
        <v>0</v>
      </c>
      <c r="CV50" s="20">
        <f t="shared" si="295"/>
        <v>0</v>
      </c>
      <c r="CW50" s="20">
        <f t="shared" si="295"/>
        <v>0</v>
      </c>
      <c r="CX50" s="20">
        <f t="shared" si="295"/>
        <v>0</v>
      </c>
      <c r="CY50" s="20">
        <f t="shared" si="295"/>
        <v>0</v>
      </c>
      <c r="CZ50" s="20">
        <f t="shared" si="295"/>
        <v>0</v>
      </c>
      <c r="DA50" s="20">
        <f t="shared" si="296"/>
        <v>0</v>
      </c>
      <c r="DB50" s="20">
        <f t="shared" si="296"/>
        <v>0</v>
      </c>
      <c r="DC50" s="20">
        <f t="shared" si="296"/>
        <v>0</v>
      </c>
      <c r="DD50" s="20">
        <f t="shared" si="296"/>
        <v>0</v>
      </c>
      <c r="DE50" s="20">
        <f t="shared" si="296"/>
        <v>0</v>
      </c>
      <c r="DF50" s="20">
        <f t="shared" si="296"/>
        <v>0</v>
      </c>
      <c r="DG50" s="20">
        <f t="shared" si="296"/>
        <v>0</v>
      </c>
      <c r="DH50" s="20">
        <f t="shared" si="296"/>
        <v>0</v>
      </c>
      <c r="DI50" s="20">
        <f t="shared" si="296"/>
        <v>0</v>
      </c>
      <c r="DJ50" s="20">
        <f t="shared" si="296"/>
        <v>0</v>
      </c>
      <c r="DK50" s="20">
        <f t="shared" si="296"/>
        <v>0</v>
      </c>
      <c r="DL50" s="20">
        <f t="shared" si="296"/>
        <v>0</v>
      </c>
      <c r="DM50" s="20">
        <f t="shared" si="296"/>
        <v>0</v>
      </c>
      <c r="DN50" s="20">
        <f t="shared" si="296"/>
        <v>0</v>
      </c>
      <c r="DO50" s="20">
        <f t="shared" si="296"/>
        <v>0</v>
      </c>
      <c r="DP50" s="20">
        <f t="shared" si="296"/>
        <v>0</v>
      </c>
      <c r="DQ50" s="20">
        <f t="shared" si="296"/>
        <v>0</v>
      </c>
    </row>
    <row r="51" spans="4:121" ht="15" thickBot="1" x14ac:dyDescent="0.4">
      <c r="E51" s="40" t="s">
        <v>4</v>
      </c>
      <c r="F51" s="39" t="s">
        <v>129</v>
      </c>
      <c r="G51" s="39"/>
      <c r="H51" s="39"/>
      <c r="I51" s="55">
        <f>SUM(K51:BR51)</f>
        <v>162000</v>
      </c>
      <c r="J51" s="39"/>
      <c r="K51" s="39">
        <f>SUM(K47:K50)</f>
        <v>40500</v>
      </c>
      <c r="L51" s="39">
        <f t="shared" ref="L51:BR51" si="300">SUM(L47:L50)</f>
        <v>40500</v>
      </c>
      <c r="M51" s="39">
        <f t="shared" si="300"/>
        <v>40500</v>
      </c>
      <c r="N51" s="39">
        <f t="shared" si="300"/>
        <v>40500</v>
      </c>
      <c r="O51" s="39">
        <f t="shared" si="300"/>
        <v>0</v>
      </c>
      <c r="P51" s="39">
        <f t="shared" si="300"/>
        <v>0</v>
      </c>
      <c r="Q51" s="39">
        <f t="shared" si="300"/>
        <v>0</v>
      </c>
      <c r="R51" s="39">
        <f t="shared" si="300"/>
        <v>0</v>
      </c>
      <c r="S51" s="39">
        <f t="shared" si="300"/>
        <v>0</v>
      </c>
      <c r="T51" s="39">
        <f t="shared" si="300"/>
        <v>0</v>
      </c>
      <c r="U51" s="39">
        <f t="shared" si="300"/>
        <v>0</v>
      </c>
      <c r="V51" s="39">
        <f t="shared" si="300"/>
        <v>0</v>
      </c>
      <c r="W51" s="39">
        <f t="shared" si="300"/>
        <v>0</v>
      </c>
      <c r="X51" s="39">
        <f t="shared" si="300"/>
        <v>0</v>
      </c>
      <c r="Y51" s="39">
        <f t="shared" si="300"/>
        <v>0</v>
      </c>
      <c r="Z51" s="39">
        <f t="shared" si="300"/>
        <v>0</v>
      </c>
      <c r="AA51" s="39">
        <f t="shared" si="300"/>
        <v>0</v>
      </c>
      <c r="AB51" s="39">
        <f t="shared" si="300"/>
        <v>0</v>
      </c>
      <c r="AC51" s="39">
        <f t="shared" si="300"/>
        <v>0</v>
      </c>
      <c r="AD51" s="39">
        <f t="shared" si="300"/>
        <v>0</v>
      </c>
      <c r="AE51" s="39">
        <f t="shared" si="300"/>
        <v>0</v>
      </c>
      <c r="AF51" s="39">
        <f t="shared" si="300"/>
        <v>0</v>
      </c>
      <c r="AG51" s="39">
        <f t="shared" si="300"/>
        <v>0</v>
      </c>
      <c r="AH51" s="39">
        <f t="shared" si="300"/>
        <v>0</v>
      </c>
      <c r="AI51" s="39">
        <f t="shared" si="300"/>
        <v>0</v>
      </c>
      <c r="AJ51" s="39">
        <f t="shared" si="300"/>
        <v>0</v>
      </c>
      <c r="AK51" s="39">
        <f t="shared" si="300"/>
        <v>0</v>
      </c>
      <c r="AL51" s="39">
        <f t="shared" si="300"/>
        <v>0</v>
      </c>
      <c r="AM51" s="39">
        <f t="shared" si="300"/>
        <v>0</v>
      </c>
      <c r="AN51" s="39">
        <f t="shared" si="300"/>
        <v>0</v>
      </c>
      <c r="AO51" s="39">
        <f t="shared" si="300"/>
        <v>0</v>
      </c>
      <c r="AP51" s="39">
        <f t="shared" si="300"/>
        <v>0</v>
      </c>
      <c r="AQ51" s="39">
        <f t="shared" si="300"/>
        <v>0</v>
      </c>
      <c r="AR51" s="39">
        <f t="shared" si="300"/>
        <v>0</v>
      </c>
      <c r="AS51" s="39">
        <f t="shared" si="300"/>
        <v>0</v>
      </c>
      <c r="AT51" s="39">
        <f t="shared" si="300"/>
        <v>0</v>
      </c>
      <c r="AU51" s="39">
        <f t="shared" si="300"/>
        <v>0</v>
      </c>
      <c r="AV51" s="39">
        <f t="shared" si="300"/>
        <v>0</v>
      </c>
      <c r="AW51" s="39">
        <f t="shared" si="300"/>
        <v>0</v>
      </c>
      <c r="AX51" s="39">
        <f t="shared" si="300"/>
        <v>0</v>
      </c>
      <c r="AY51" s="39">
        <f t="shared" si="300"/>
        <v>0</v>
      </c>
      <c r="AZ51" s="39">
        <f t="shared" si="300"/>
        <v>0</v>
      </c>
      <c r="BA51" s="39">
        <f t="shared" si="300"/>
        <v>0</v>
      </c>
      <c r="BB51" s="39">
        <f t="shared" si="300"/>
        <v>0</v>
      </c>
      <c r="BC51" s="39">
        <f t="shared" si="300"/>
        <v>0</v>
      </c>
      <c r="BD51" s="39">
        <f t="shared" si="300"/>
        <v>0</v>
      </c>
      <c r="BE51" s="39">
        <f t="shared" si="300"/>
        <v>0</v>
      </c>
      <c r="BF51" s="39">
        <f t="shared" si="300"/>
        <v>0</v>
      </c>
      <c r="BG51" s="39">
        <f t="shared" si="300"/>
        <v>0</v>
      </c>
      <c r="BH51" s="39">
        <f t="shared" si="300"/>
        <v>0</v>
      </c>
      <c r="BI51" s="39">
        <f t="shared" si="300"/>
        <v>0</v>
      </c>
      <c r="BJ51" s="39">
        <f t="shared" si="300"/>
        <v>0</v>
      </c>
      <c r="BK51" s="39">
        <f t="shared" si="300"/>
        <v>0</v>
      </c>
      <c r="BL51" s="39">
        <f t="shared" si="300"/>
        <v>0</v>
      </c>
      <c r="BM51" s="39">
        <f t="shared" si="300"/>
        <v>0</v>
      </c>
      <c r="BN51" s="39">
        <f t="shared" si="300"/>
        <v>0</v>
      </c>
      <c r="BO51" s="39">
        <f t="shared" si="300"/>
        <v>0</v>
      </c>
      <c r="BP51" s="39">
        <f t="shared" si="300"/>
        <v>0</v>
      </c>
      <c r="BQ51" s="39">
        <f t="shared" si="300"/>
        <v>0</v>
      </c>
      <c r="BR51" s="39">
        <f t="shared" si="300"/>
        <v>0</v>
      </c>
      <c r="BS51" s="39">
        <f t="shared" ref="BS51" si="301">SUM(BS47:BS50)</f>
        <v>0</v>
      </c>
      <c r="BT51" s="39">
        <f t="shared" ref="BT51" si="302">SUM(BT47:BT50)</f>
        <v>0</v>
      </c>
      <c r="BU51" s="39">
        <f t="shared" ref="BU51" si="303">SUM(BU47:BU50)</f>
        <v>0</v>
      </c>
      <c r="BV51" s="39">
        <f t="shared" ref="BV51" si="304">SUM(BV47:BV50)</f>
        <v>0</v>
      </c>
      <c r="BW51" s="39">
        <f t="shared" ref="BW51" si="305">SUM(BW47:BW50)</f>
        <v>0</v>
      </c>
      <c r="BX51" s="39">
        <f t="shared" ref="BX51" si="306">SUM(BX47:BX50)</f>
        <v>0</v>
      </c>
      <c r="BY51" s="39">
        <f t="shared" ref="BY51" si="307">SUM(BY47:BY50)</f>
        <v>0</v>
      </c>
      <c r="BZ51" s="39">
        <f t="shared" ref="BZ51" si="308">SUM(BZ47:BZ50)</f>
        <v>0</v>
      </c>
      <c r="CA51" s="39">
        <f t="shared" ref="CA51" si="309">SUM(CA47:CA50)</f>
        <v>0</v>
      </c>
      <c r="CB51" s="39">
        <f t="shared" ref="CB51" si="310">SUM(CB47:CB50)</f>
        <v>0</v>
      </c>
      <c r="CC51" s="39">
        <f t="shared" ref="CC51" si="311">SUM(CC47:CC50)</f>
        <v>0</v>
      </c>
      <c r="CD51" s="39">
        <f t="shared" ref="CD51" si="312">SUM(CD47:CD50)</f>
        <v>0</v>
      </c>
      <c r="CE51" s="39">
        <f t="shared" ref="CE51" si="313">SUM(CE47:CE50)</f>
        <v>0</v>
      </c>
      <c r="CF51" s="39">
        <f t="shared" ref="CF51" si="314">SUM(CF47:CF50)</f>
        <v>0</v>
      </c>
      <c r="CG51" s="39">
        <f t="shared" ref="CG51" si="315">SUM(CG47:CG50)</f>
        <v>0</v>
      </c>
      <c r="CH51" s="39">
        <f t="shared" ref="CH51" si="316">SUM(CH47:CH50)</f>
        <v>0</v>
      </c>
      <c r="CI51" s="39">
        <f t="shared" ref="CI51" si="317">SUM(CI47:CI50)</f>
        <v>0</v>
      </c>
      <c r="CJ51" s="39">
        <f t="shared" ref="CJ51" si="318">SUM(CJ47:CJ50)</f>
        <v>0</v>
      </c>
      <c r="CK51" s="39">
        <f t="shared" ref="CK51" si="319">SUM(CK47:CK50)</f>
        <v>0</v>
      </c>
      <c r="CL51" s="39">
        <f t="shared" ref="CL51" si="320">SUM(CL47:CL50)</f>
        <v>0</v>
      </c>
      <c r="CM51" s="39">
        <f t="shared" ref="CM51" si="321">SUM(CM47:CM50)</f>
        <v>0</v>
      </c>
      <c r="CN51" s="39">
        <f t="shared" ref="CN51" si="322">SUM(CN47:CN50)</f>
        <v>0</v>
      </c>
      <c r="CO51" s="39">
        <f t="shared" ref="CO51" si="323">SUM(CO47:CO50)</f>
        <v>0</v>
      </c>
      <c r="CP51" s="39">
        <f t="shared" ref="CP51" si="324">SUM(CP47:CP50)</f>
        <v>0</v>
      </c>
      <c r="CQ51" s="39">
        <f t="shared" ref="CQ51" si="325">SUM(CQ47:CQ50)</f>
        <v>0</v>
      </c>
      <c r="CR51" s="39">
        <f t="shared" ref="CR51" si="326">SUM(CR47:CR50)</f>
        <v>0</v>
      </c>
      <c r="CS51" s="39">
        <f t="shared" ref="CS51" si="327">SUM(CS47:CS50)</f>
        <v>0</v>
      </c>
      <c r="CT51" s="39">
        <f t="shared" ref="CT51" si="328">SUM(CT47:CT50)</f>
        <v>0</v>
      </c>
      <c r="CU51" s="39">
        <f t="shared" ref="CU51" si="329">SUM(CU47:CU50)</f>
        <v>0</v>
      </c>
      <c r="CV51" s="39">
        <f t="shared" ref="CV51" si="330">SUM(CV47:CV50)</f>
        <v>0</v>
      </c>
      <c r="CW51" s="39">
        <f t="shared" ref="CW51" si="331">SUM(CW47:CW50)</f>
        <v>0</v>
      </c>
      <c r="CX51" s="39">
        <f t="shared" ref="CX51" si="332">SUM(CX47:CX50)</f>
        <v>0</v>
      </c>
      <c r="CY51" s="39">
        <f t="shared" ref="CY51" si="333">SUM(CY47:CY50)</f>
        <v>0</v>
      </c>
      <c r="CZ51" s="39">
        <f t="shared" ref="CZ51" si="334">SUM(CZ47:CZ50)</f>
        <v>0</v>
      </c>
      <c r="DA51" s="39">
        <f t="shared" ref="DA51" si="335">SUM(DA47:DA50)</f>
        <v>0</v>
      </c>
      <c r="DB51" s="39">
        <f t="shared" ref="DB51" si="336">SUM(DB47:DB50)</f>
        <v>0</v>
      </c>
      <c r="DC51" s="39">
        <f t="shared" ref="DC51" si="337">SUM(DC47:DC50)</f>
        <v>0</v>
      </c>
      <c r="DD51" s="39">
        <f t="shared" ref="DD51" si="338">SUM(DD47:DD50)</f>
        <v>0</v>
      </c>
      <c r="DE51" s="39">
        <f t="shared" ref="DE51" si="339">SUM(DE47:DE50)</f>
        <v>0</v>
      </c>
      <c r="DF51" s="39">
        <f t="shared" ref="DF51" si="340">SUM(DF47:DF50)</f>
        <v>0</v>
      </c>
      <c r="DG51" s="39">
        <f t="shared" ref="DG51" si="341">SUM(DG47:DG50)</f>
        <v>0</v>
      </c>
      <c r="DH51" s="39">
        <f t="shared" ref="DH51" si="342">SUM(DH47:DH50)</f>
        <v>0</v>
      </c>
      <c r="DI51" s="39">
        <f t="shared" ref="DI51" si="343">SUM(DI47:DI50)</f>
        <v>0</v>
      </c>
      <c r="DJ51" s="39">
        <f t="shared" ref="DJ51" si="344">SUM(DJ47:DJ50)</f>
        <v>0</v>
      </c>
      <c r="DK51" s="39">
        <f t="shared" ref="DK51" si="345">SUM(DK47:DK50)</f>
        <v>0</v>
      </c>
      <c r="DL51" s="39">
        <f t="shared" ref="DL51" si="346">SUM(DL47:DL50)</f>
        <v>0</v>
      </c>
      <c r="DM51" s="39">
        <f t="shared" ref="DM51" si="347">SUM(DM47:DM50)</f>
        <v>0</v>
      </c>
      <c r="DN51" s="39">
        <f t="shared" ref="DN51" si="348">SUM(DN47:DN50)</f>
        <v>0</v>
      </c>
      <c r="DO51" s="39">
        <f t="shared" ref="DO51" si="349">SUM(DO47:DO50)</f>
        <v>0</v>
      </c>
      <c r="DP51" s="39">
        <f t="shared" ref="DP51" si="350">SUM(DP47:DP50)</f>
        <v>0</v>
      </c>
      <c r="DQ51" s="39">
        <f t="shared" ref="DQ51" si="351">SUM(DQ47:DQ50)</f>
        <v>0</v>
      </c>
    </row>
    <row r="53" spans="4:121" x14ac:dyDescent="0.35">
      <c r="D53" s="25" t="s">
        <v>0</v>
      </c>
    </row>
    <row r="54" spans="4:121" x14ac:dyDescent="0.35">
      <c r="E54" s="20" t="s">
        <v>111</v>
      </c>
      <c r="F54" s="20" t="s">
        <v>129</v>
      </c>
      <c r="G54" s="45">
        <f>Assumptions!H54</f>
        <v>1140000</v>
      </c>
      <c r="H54" s="22">
        <f>1/$I$9</f>
        <v>0.2</v>
      </c>
      <c r="I54" s="54">
        <f>SUM(K54:DQ54)</f>
        <v>1140000</v>
      </c>
      <c r="K54" s="20">
        <f>$G54*$H54*K$9</f>
        <v>0</v>
      </c>
      <c r="L54" s="20">
        <f t="shared" ref="L54:BW58" si="352">$G54*$H54*L$9</f>
        <v>0</v>
      </c>
      <c r="M54" s="20">
        <f t="shared" si="352"/>
        <v>0</v>
      </c>
      <c r="N54" s="20">
        <f t="shared" si="352"/>
        <v>0</v>
      </c>
      <c r="O54" s="20">
        <f t="shared" si="352"/>
        <v>228000</v>
      </c>
      <c r="P54" s="20">
        <f t="shared" si="352"/>
        <v>228000</v>
      </c>
      <c r="Q54" s="20">
        <f t="shared" si="352"/>
        <v>228000</v>
      </c>
      <c r="R54" s="20">
        <f t="shared" si="352"/>
        <v>228000</v>
      </c>
      <c r="S54" s="20">
        <f t="shared" si="352"/>
        <v>228000</v>
      </c>
      <c r="T54" s="20">
        <f t="shared" si="352"/>
        <v>0</v>
      </c>
      <c r="U54" s="20">
        <f t="shared" si="352"/>
        <v>0</v>
      </c>
      <c r="V54" s="20">
        <f t="shared" si="352"/>
        <v>0</v>
      </c>
      <c r="W54" s="20">
        <f t="shared" si="352"/>
        <v>0</v>
      </c>
      <c r="X54" s="20">
        <f t="shared" si="352"/>
        <v>0</v>
      </c>
      <c r="Y54" s="20">
        <f t="shared" si="352"/>
        <v>0</v>
      </c>
      <c r="Z54" s="20">
        <f t="shared" si="352"/>
        <v>0</v>
      </c>
      <c r="AA54" s="20">
        <f t="shared" si="352"/>
        <v>0</v>
      </c>
      <c r="AB54" s="20">
        <f t="shared" si="352"/>
        <v>0</v>
      </c>
      <c r="AC54" s="20">
        <f t="shared" si="352"/>
        <v>0</v>
      </c>
      <c r="AD54" s="20">
        <f t="shared" si="352"/>
        <v>0</v>
      </c>
      <c r="AE54" s="20">
        <f t="shared" si="352"/>
        <v>0</v>
      </c>
      <c r="AF54" s="20">
        <f t="shared" si="352"/>
        <v>0</v>
      </c>
      <c r="AG54" s="20">
        <f t="shared" si="352"/>
        <v>0</v>
      </c>
      <c r="AH54" s="20">
        <f t="shared" si="352"/>
        <v>0</v>
      </c>
      <c r="AI54" s="20">
        <f t="shared" si="352"/>
        <v>0</v>
      </c>
      <c r="AJ54" s="20">
        <f t="shared" si="352"/>
        <v>0</v>
      </c>
      <c r="AK54" s="20">
        <f t="shared" si="352"/>
        <v>0</v>
      </c>
      <c r="AL54" s="20">
        <f t="shared" si="352"/>
        <v>0</v>
      </c>
      <c r="AM54" s="20">
        <f t="shared" si="352"/>
        <v>0</v>
      </c>
      <c r="AN54" s="20">
        <f t="shared" si="352"/>
        <v>0</v>
      </c>
      <c r="AO54" s="20">
        <f t="shared" si="352"/>
        <v>0</v>
      </c>
      <c r="AP54" s="20">
        <f t="shared" si="352"/>
        <v>0</v>
      </c>
      <c r="AQ54" s="20">
        <f t="shared" si="352"/>
        <v>0</v>
      </c>
      <c r="AR54" s="20">
        <f t="shared" si="352"/>
        <v>0</v>
      </c>
      <c r="AS54" s="20">
        <f t="shared" si="352"/>
        <v>0</v>
      </c>
      <c r="AT54" s="20">
        <f t="shared" si="352"/>
        <v>0</v>
      </c>
      <c r="AU54" s="20">
        <f t="shared" si="352"/>
        <v>0</v>
      </c>
      <c r="AV54" s="20">
        <f t="shared" si="352"/>
        <v>0</v>
      </c>
      <c r="AW54" s="20">
        <f t="shared" si="352"/>
        <v>0</v>
      </c>
      <c r="AX54" s="20">
        <f t="shared" si="352"/>
        <v>0</v>
      </c>
      <c r="AY54" s="20">
        <f t="shared" si="352"/>
        <v>0</v>
      </c>
      <c r="AZ54" s="20">
        <f t="shared" si="352"/>
        <v>0</v>
      </c>
      <c r="BA54" s="20">
        <f t="shared" si="352"/>
        <v>0</v>
      </c>
      <c r="BB54" s="20">
        <f t="shared" si="352"/>
        <v>0</v>
      </c>
      <c r="BC54" s="20">
        <f t="shared" si="352"/>
        <v>0</v>
      </c>
      <c r="BD54" s="20">
        <f t="shared" si="352"/>
        <v>0</v>
      </c>
      <c r="BE54" s="20">
        <f t="shared" si="352"/>
        <v>0</v>
      </c>
      <c r="BF54" s="20">
        <f t="shared" si="352"/>
        <v>0</v>
      </c>
      <c r="BG54" s="20">
        <f t="shared" si="352"/>
        <v>0</v>
      </c>
      <c r="BH54" s="20">
        <f t="shared" si="352"/>
        <v>0</v>
      </c>
      <c r="BI54" s="20">
        <f t="shared" si="352"/>
        <v>0</v>
      </c>
      <c r="BJ54" s="20">
        <f t="shared" si="352"/>
        <v>0</v>
      </c>
      <c r="BK54" s="20">
        <f t="shared" si="352"/>
        <v>0</v>
      </c>
      <c r="BL54" s="20">
        <f t="shared" si="352"/>
        <v>0</v>
      </c>
      <c r="BM54" s="20">
        <f t="shared" si="352"/>
        <v>0</v>
      </c>
      <c r="BN54" s="20">
        <f t="shared" si="352"/>
        <v>0</v>
      </c>
      <c r="BO54" s="20">
        <f t="shared" si="352"/>
        <v>0</v>
      </c>
      <c r="BP54" s="20">
        <f t="shared" si="352"/>
        <v>0</v>
      </c>
      <c r="BQ54" s="20">
        <f t="shared" si="352"/>
        <v>0</v>
      </c>
      <c r="BR54" s="20">
        <f t="shared" si="352"/>
        <v>0</v>
      </c>
      <c r="BS54" s="20">
        <f t="shared" si="352"/>
        <v>0</v>
      </c>
      <c r="BT54" s="20">
        <f t="shared" si="352"/>
        <v>0</v>
      </c>
      <c r="BU54" s="20">
        <f t="shared" si="352"/>
        <v>0</v>
      </c>
      <c r="BV54" s="20">
        <f t="shared" si="352"/>
        <v>0</v>
      </c>
      <c r="BW54" s="20">
        <f t="shared" si="352"/>
        <v>0</v>
      </c>
      <c r="BX54" s="20">
        <f t="shared" ref="BX54:DA57" si="353">$G54*$H54*BX$9</f>
        <v>0</v>
      </c>
      <c r="BY54" s="20">
        <f t="shared" si="353"/>
        <v>0</v>
      </c>
      <c r="BZ54" s="20">
        <f t="shared" si="353"/>
        <v>0</v>
      </c>
      <c r="CA54" s="20">
        <f t="shared" si="353"/>
        <v>0</v>
      </c>
      <c r="CB54" s="20">
        <f t="shared" si="353"/>
        <v>0</v>
      </c>
      <c r="CC54" s="20">
        <f t="shared" si="353"/>
        <v>0</v>
      </c>
      <c r="CD54" s="20">
        <f t="shared" si="353"/>
        <v>0</v>
      </c>
      <c r="CE54" s="20">
        <f t="shared" si="353"/>
        <v>0</v>
      </c>
      <c r="CF54" s="20">
        <f t="shared" si="353"/>
        <v>0</v>
      </c>
      <c r="CG54" s="20">
        <f t="shared" si="353"/>
        <v>0</v>
      </c>
      <c r="CH54" s="20">
        <f t="shared" si="353"/>
        <v>0</v>
      </c>
      <c r="CI54" s="20">
        <f t="shared" si="353"/>
        <v>0</v>
      </c>
      <c r="CJ54" s="20">
        <f t="shared" si="353"/>
        <v>0</v>
      </c>
      <c r="CK54" s="20">
        <f t="shared" si="353"/>
        <v>0</v>
      </c>
      <c r="CL54" s="20">
        <f t="shared" si="353"/>
        <v>0</v>
      </c>
      <c r="CM54" s="20">
        <f t="shared" si="353"/>
        <v>0</v>
      </c>
      <c r="CN54" s="20">
        <f t="shared" si="353"/>
        <v>0</v>
      </c>
      <c r="CO54" s="20">
        <f t="shared" si="353"/>
        <v>0</v>
      </c>
      <c r="CP54" s="20">
        <f t="shared" si="353"/>
        <v>0</v>
      </c>
      <c r="CQ54" s="20">
        <f t="shared" si="353"/>
        <v>0</v>
      </c>
      <c r="CR54" s="20">
        <f t="shared" si="353"/>
        <v>0</v>
      </c>
      <c r="CS54" s="20">
        <f t="shared" si="353"/>
        <v>0</v>
      </c>
      <c r="CT54" s="20">
        <f t="shared" si="353"/>
        <v>0</v>
      </c>
      <c r="CU54" s="20">
        <f t="shared" si="353"/>
        <v>0</v>
      </c>
      <c r="CV54" s="20">
        <f t="shared" si="353"/>
        <v>0</v>
      </c>
      <c r="CW54" s="20">
        <f t="shared" si="353"/>
        <v>0</v>
      </c>
      <c r="CX54" s="20">
        <f t="shared" si="353"/>
        <v>0</v>
      </c>
      <c r="CY54" s="20">
        <f t="shared" si="353"/>
        <v>0</v>
      </c>
      <c r="CZ54" s="20">
        <f t="shared" si="353"/>
        <v>0</v>
      </c>
      <c r="DA54" s="20">
        <f t="shared" si="353"/>
        <v>0</v>
      </c>
      <c r="DB54" s="20">
        <f t="shared" ref="DA54:DQ61" si="354">$G54*$H54*DB$9</f>
        <v>0</v>
      </c>
      <c r="DC54" s="20">
        <f t="shared" si="354"/>
        <v>0</v>
      </c>
      <c r="DD54" s="20">
        <f t="shared" si="354"/>
        <v>0</v>
      </c>
      <c r="DE54" s="20">
        <f t="shared" si="354"/>
        <v>0</v>
      </c>
      <c r="DF54" s="20">
        <f t="shared" si="354"/>
        <v>0</v>
      </c>
      <c r="DG54" s="20">
        <f t="shared" si="354"/>
        <v>0</v>
      </c>
      <c r="DH54" s="20">
        <f t="shared" si="354"/>
        <v>0</v>
      </c>
      <c r="DI54" s="20">
        <f t="shared" si="354"/>
        <v>0</v>
      </c>
      <c r="DJ54" s="20">
        <f t="shared" si="354"/>
        <v>0</v>
      </c>
      <c r="DK54" s="20">
        <f t="shared" si="354"/>
        <v>0</v>
      </c>
      <c r="DL54" s="20">
        <f t="shared" si="354"/>
        <v>0</v>
      </c>
      <c r="DM54" s="20">
        <f t="shared" si="354"/>
        <v>0</v>
      </c>
      <c r="DN54" s="20">
        <f t="shared" si="354"/>
        <v>0</v>
      </c>
      <c r="DO54" s="20">
        <f t="shared" si="354"/>
        <v>0</v>
      </c>
      <c r="DP54" s="20">
        <f t="shared" si="354"/>
        <v>0</v>
      </c>
      <c r="DQ54" s="20">
        <f t="shared" si="354"/>
        <v>0</v>
      </c>
    </row>
    <row r="55" spans="4:121" x14ac:dyDescent="0.35">
      <c r="E55" s="20" t="s">
        <v>144</v>
      </c>
      <c r="F55" s="20" t="s">
        <v>129</v>
      </c>
      <c r="G55" s="45">
        <f>Assumptions!H55</f>
        <v>2040000</v>
      </c>
      <c r="H55" s="22">
        <f t="shared" ref="H55:H61" si="355">1/$I$9</f>
        <v>0.2</v>
      </c>
      <c r="I55" s="54">
        <f t="shared" ref="I55:I60" si="356">SUM(K55:DQ55)</f>
        <v>2040000</v>
      </c>
      <c r="K55" s="20">
        <f t="shared" ref="K55:Z61" si="357">$G55*$H55*K$9</f>
        <v>0</v>
      </c>
      <c r="L55" s="20">
        <f t="shared" si="357"/>
        <v>0</v>
      </c>
      <c r="M55" s="20">
        <f t="shared" si="357"/>
        <v>0</v>
      </c>
      <c r="N55" s="20">
        <f t="shared" si="357"/>
        <v>0</v>
      </c>
      <c r="O55" s="20">
        <f t="shared" si="357"/>
        <v>408000</v>
      </c>
      <c r="P55" s="20">
        <f t="shared" si="357"/>
        <v>408000</v>
      </c>
      <c r="Q55" s="20">
        <f t="shared" si="357"/>
        <v>408000</v>
      </c>
      <c r="R55" s="20">
        <f t="shared" si="357"/>
        <v>408000</v>
      </c>
      <c r="S55" s="20">
        <f t="shared" si="357"/>
        <v>408000</v>
      </c>
      <c r="T55" s="20">
        <f t="shared" si="357"/>
        <v>0</v>
      </c>
      <c r="U55" s="20">
        <f t="shared" si="357"/>
        <v>0</v>
      </c>
      <c r="V55" s="20">
        <f t="shared" si="357"/>
        <v>0</v>
      </c>
      <c r="W55" s="20">
        <f t="shared" si="357"/>
        <v>0</v>
      </c>
      <c r="X55" s="20">
        <f t="shared" si="357"/>
        <v>0</v>
      </c>
      <c r="Y55" s="20">
        <f t="shared" si="357"/>
        <v>0</v>
      </c>
      <c r="Z55" s="20">
        <f t="shared" si="357"/>
        <v>0</v>
      </c>
      <c r="AA55" s="20">
        <f t="shared" si="352"/>
        <v>0</v>
      </c>
      <c r="AB55" s="20">
        <f t="shared" si="352"/>
        <v>0</v>
      </c>
      <c r="AC55" s="20">
        <f t="shared" si="352"/>
        <v>0</v>
      </c>
      <c r="AD55" s="20">
        <f t="shared" si="352"/>
        <v>0</v>
      </c>
      <c r="AE55" s="20">
        <f t="shared" si="352"/>
        <v>0</v>
      </c>
      <c r="AF55" s="20">
        <f t="shared" si="352"/>
        <v>0</v>
      </c>
      <c r="AG55" s="20">
        <f t="shared" si="352"/>
        <v>0</v>
      </c>
      <c r="AH55" s="20">
        <f t="shared" si="352"/>
        <v>0</v>
      </c>
      <c r="AI55" s="20">
        <f t="shared" si="352"/>
        <v>0</v>
      </c>
      <c r="AJ55" s="20">
        <f t="shared" si="352"/>
        <v>0</v>
      </c>
      <c r="AK55" s="20">
        <f t="shared" si="352"/>
        <v>0</v>
      </c>
      <c r="AL55" s="20">
        <f t="shared" si="352"/>
        <v>0</v>
      </c>
      <c r="AM55" s="20">
        <f t="shared" si="352"/>
        <v>0</v>
      </c>
      <c r="AN55" s="20">
        <f t="shared" si="352"/>
        <v>0</v>
      </c>
      <c r="AO55" s="20">
        <f t="shared" si="352"/>
        <v>0</v>
      </c>
      <c r="AP55" s="20">
        <f t="shared" si="352"/>
        <v>0</v>
      </c>
      <c r="AQ55" s="20">
        <f t="shared" si="352"/>
        <v>0</v>
      </c>
      <c r="AR55" s="20">
        <f t="shared" si="352"/>
        <v>0</v>
      </c>
      <c r="AS55" s="20">
        <f t="shared" si="352"/>
        <v>0</v>
      </c>
      <c r="AT55" s="20">
        <f t="shared" si="352"/>
        <v>0</v>
      </c>
      <c r="AU55" s="20">
        <f t="shared" si="352"/>
        <v>0</v>
      </c>
      <c r="AV55" s="20">
        <f t="shared" si="352"/>
        <v>0</v>
      </c>
      <c r="AW55" s="20">
        <f t="shared" si="352"/>
        <v>0</v>
      </c>
      <c r="AX55" s="20">
        <f t="shared" si="352"/>
        <v>0</v>
      </c>
      <c r="AY55" s="20">
        <f t="shared" si="352"/>
        <v>0</v>
      </c>
      <c r="AZ55" s="20">
        <f t="shared" si="352"/>
        <v>0</v>
      </c>
      <c r="BA55" s="20">
        <f t="shared" si="352"/>
        <v>0</v>
      </c>
      <c r="BB55" s="20">
        <f t="shared" si="352"/>
        <v>0</v>
      </c>
      <c r="BC55" s="20">
        <f t="shared" si="352"/>
        <v>0</v>
      </c>
      <c r="BD55" s="20">
        <f t="shared" si="352"/>
        <v>0</v>
      </c>
      <c r="BE55" s="20">
        <f t="shared" si="352"/>
        <v>0</v>
      </c>
      <c r="BF55" s="20">
        <f t="shared" si="352"/>
        <v>0</v>
      </c>
      <c r="BG55" s="20">
        <f t="shared" si="352"/>
        <v>0</v>
      </c>
      <c r="BH55" s="20">
        <f t="shared" si="352"/>
        <v>0</v>
      </c>
      <c r="BI55" s="20">
        <f t="shared" si="352"/>
        <v>0</v>
      </c>
      <c r="BJ55" s="20">
        <f t="shared" si="352"/>
        <v>0</v>
      </c>
      <c r="BK55" s="20">
        <f t="shared" si="352"/>
        <v>0</v>
      </c>
      <c r="BL55" s="20">
        <f t="shared" si="352"/>
        <v>0</v>
      </c>
      <c r="BM55" s="20">
        <f t="shared" si="352"/>
        <v>0</v>
      </c>
      <c r="BN55" s="20">
        <f t="shared" si="352"/>
        <v>0</v>
      </c>
      <c r="BO55" s="20">
        <f t="shared" si="352"/>
        <v>0</v>
      </c>
      <c r="BP55" s="20">
        <f t="shared" si="352"/>
        <v>0</v>
      </c>
      <c r="BQ55" s="20">
        <f t="shared" si="352"/>
        <v>0</v>
      </c>
      <c r="BR55" s="20">
        <f t="shared" si="352"/>
        <v>0</v>
      </c>
      <c r="BS55" s="20">
        <f t="shared" si="352"/>
        <v>0</v>
      </c>
      <c r="BT55" s="20">
        <f t="shared" si="352"/>
        <v>0</v>
      </c>
      <c r="BU55" s="20">
        <f t="shared" si="352"/>
        <v>0</v>
      </c>
      <c r="BV55" s="20">
        <f t="shared" si="352"/>
        <v>0</v>
      </c>
      <c r="BW55" s="20">
        <f t="shared" si="352"/>
        <v>0</v>
      </c>
      <c r="BX55" s="20">
        <f t="shared" si="353"/>
        <v>0</v>
      </c>
      <c r="BY55" s="20">
        <f t="shared" si="353"/>
        <v>0</v>
      </c>
      <c r="BZ55" s="20">
        <f t="shared" si="353"/>
        <v>0</v>
      </c>
      <c r="CA55" s="20">
        <f t="shared" si="353"/>
        <v>0</v>
      </c>
      <c r="CB55" s="20">
        <f t="shared" si="353"/>
        <v>0</v>
      </c>
      <c r="CC55" s="20">
        <f t="shared" si="353"/>
        <v>0</v>
      </c>
      <c r="CD55" s="20">
        <f t="shared" si="353"/>
        <v>0</v>
      </c>
      <c r="CE55" s="20">
        <f t="shared" si="353"/>
        <v>0</v>
      </c>
      <c r="CF55" s="20">
        <f t="shared" si="353"/>
        <v>0</v>
      </c>
      <c r="CG55" s="20">
        <f t="shared" si="353"/>
        <v>0</v>
      </c>
      <c r="CH55" s="20">
        <f t="shared" si="353"/>
        <v>0</v>
      </c>
      <c r="CI55" s="20">
        <f t="shared" si="353"/>
        <v>0</v>
      </c>
      <c r="CJ55" s="20">
        <f t="shared" si="353"/>
        <v>0</v>
      </c>
      <c r="CK55" s="20">
        <f t="shared" si="353"/>
        <v>0</v>
      </c>
      <c r="CL55" s="20">
        <f t="shared" si="353"/>
        <v>0</v>
      </c>
      <c r="CM55" s="20">
        <f t="shared" si="353"/>
        <v>0</v>
      </c>
      <c r="CN55" s="20">
        <f t="shared" si="353"/>
        <v>0</v>
      </c>
      <c r="CO55" s="20">
        <f t="shared" si="353"/>
        <v>0</v>
      </c>
      <c r="CP55" s="20">
        <f t="shared" si="353"/>
        <v>0</v>
      </c>
      <c r="CQ55" s="20">
        <f t="shared" si="353"/>
        <v>0</v>
      </c>
      <c r="CR55" s="20">
        <f t="shared" si="353"/>
        <v>0</v>
      </c>
      <c r="CS55" s="20">
        <f t="shared" si="353"/>
        <v>0</v>
      </c>
      <c r="CT55" s="20">
        <f t="shared" si="353"/>
        <v>0</v>
      </c>
      <c r="CU55" s="20">
        <f t="shared" si="353"/>
        <v>0</v>
      </c>
      <c r="CV55" s="20">
        <f t="shared" si="353"/>
        <v>0</v>
      </c>
      <c r="CW55" s="20">
        <f t="shared" si="353"/>
        <v>0</v>
      </c>
      <c r="CX55" s="20">
        <f t="shared" si="353"/>
        <v>0</v>
      </c>
      <c r="CY55" s="20">
        <f t="shared" si="353"/>
        <v>0</v>
      </c>
      <c r="CZ55" s="20">
        <f t="shared" si="353"/>
        <v>0</v>
      </c>
      <c r="DA55" s="20">
        <f t="shared" si="354"/>
        <v>0</v>
      </c>
      <c r="DB55" s="20">
        <f t="shared" si="354"/>
        <v>0</v>
      </c>
      <c r="DC55" s="20">
        <f t="shared" si="354"/>
        <v>0</v>
      </c>
      <c r="DD55" s="20">
        <f t="shared" si="354"/>
        <v>0</v>
      </c>
      <c r="DE55" s="20">
        <f t="shared" si="354"/>
        <v>0</v>
      </c>
      <c r="DF55" s="20">
        <f t="shared" si="354"/>
        <v>0</v>
      </c>
      <c r="DG55" s="20">
        <f t="shared" si="354"/>
        <v>0</v>
      </c>
      <c r="DH55" s="20">
        <f t="shared" si="354"/>
        <v>0</v>
      </c>
      <c r="DI55" s="20">
        <f t="shared" si="354"/>
        <v>0</v>
      </c>
      <c r="DJ55" s="20">
        <f t="shared" si="354"/>
        <v>0</v>
      </c>
      <c r="DK55" s="20">
        <f t="shared" si="354"/>
        <v>0</v>
      </c>
      <c r="DL55" s="20">
        <f t="shared" si="354"/>
        <v>0</v>
      </c>
      <c r="DM55" s="20">
        <f t="shared" si="354"/>
        <v>0</v>
      </c>
      <c r="DN55" s="20">
        <f t="shared" si="354"/>
        <v>0</v>
      </c>
      <c r="DO55" s="20">
        <f t="shared" si="354"/>
        <v>0</v>
      </c>
      <c r="DP55" s="20">
        <f t="shared" si="354"/>
        <v>0</v>
      </c>
      <c r="DQ55" s="20">
        <f t="shared" si="354"/>
        <v>0</v>
      </c>
    </row>
    <row r="56" spans="4:121" x14ac:dyDescent="0.35">
      <c r="E56" s="20" t="s">
        <v>146</v>
      </c>
      <c r="F56" s="20" t="s">
        <v>129</v>
      </c>
      <c r="G56" s="45">
        <f>Assumptions!H56</f>
        <v>600000</v>
      </c>
      <c r="H56" s="22">
        <f t="shared" si="355"/>
        <v>0.2</v>
      </c>
      <c r="I56" s="54">
        <f t="shared" si="356"/>
        <v>600000</v>
      </c>
      <c r="K56" s="20">
        <f t="shared" si="357"/>
        <v>0</v>
      </c>
      <c r="L56" s="20">
        <f t="shared" si="357"/>
        <v>0</v>
      </c>
      <c r="M56" s="20">
        <f t="shared" si="357"/>
        <v>0</v>
      </c>
      <c r="N56" s="20">
        <f t="shared" si="357"/>
        <v>0</v>
      </c>
      <c r="O56" s="20">
        <f t="shared" si="357"/>
        <v>120000</v>
      </c>
      <c r="P56" s="20">
        <f t="shared" si="357"/>
        <v>120000</v>
      </c>
      <c r="Q56" s="20">
        <f t="shared" si="357"/>
        <v>120000</v>
      </c>
      <c r="R56" s="20">
        <f t="shared" si="357"/>
        <v>120000</v>
      </c>
      <c r="S56" s="20">
        <f t="shared" si="357"/>
        <v>120000</v>
      </c>
      <c r="T56" s="20">
        <f t="shared" si="357"/>
        <v>0</v>
      </c>
      <c r="U56" s="20">
        <f t="shared" si="357"/>
        <v>0</v>
      </c>
      <c r="V56" s="20">
        <f t="shared" si="357"/>
        <v>0</v>
      </c>
      <c r="W56" s="20">
        <f t="shared" si="357"/>
        <v>0</v>
      </c>
      <c r="X56" s="20">
        <f t="shared" si="357"/>
        <v>0</v>
      </c>
      <c r="Y56" s="20">
        <f t="shared" si="357"/>
        <v>0</v>
      </c>
      <c r="Z56" s="20">
        <f t="shared" si="357"/>
        <v>0</v>
      </c>
      <c r="AA56" s="20">
        <f t="shared" si="352"/>
        <v>0</v>
      </c>
      <c r="AB56" s="20">
        <f t="shared" si="352"/>
        <v>0</v>
      </c>
      <c r="AC56" s="20">
        <f t="shared" si="352"/>
        <v>0</v>
      </c>
      <c r="AD56" s="20">
        <f t="shared" si="352"/>
        <v>0</v>
      </c>
      <c r="AE56" s="20">
        <f t="shared" si="352"/>
        <v>0</v>
      </c>
      <c r="AF56" s="20">
        <f t="shared" si="352"/>
        <v>0</v>
      </c>
      <c r="AG56" s="20">
        <f t="shared" si="352"/>
        <v>0</v>
      </c>
      <c r="AH56" s="20">
        <f t="shared" si="352"/>
        <v>0</v>
      </c>
      <c r="AI56" s="20">
        <f t="shared" si="352"/>
        <v>0</v>
      </c>
      <c r="AJ56" s="20">
        <f t="shared" si="352"/>
        <v>0</v>
      </c>
      <c r="AK56" s="20">
        <f t="shared" si="352"/>
        <v>0</v>
      </c>
      <c r="AL56" s="20">
        <f t="shared" si="352"/>
        <v>0</v>
      </c>
      <c r="AM56" s="20">
        <f t="shared" si="352"/>
        <v>0</v>
      </c>
      <c r="AN56" s="20">
        <f t="shared" si="352"/>
        <v>0</v>
      </c>
      <c r="AO56" s="20">
        <f t="shared" si="352"/>
        <v>0</v>
      </c>
      <c r="AP56" s="20">
        <f t="shared" si="352"/>
        <v>0</v>
      </c>
      <c r="AQ56" s="20">
        <f t="shared" si="352"/>
        <v>0</v>
      </c>
      <c r="AR56" s="20">
        <f t="shared" si="352"/>
        <v>0</v>
      </c>
      <c r="AS56" s="20">
        <f t="shared" si="352"/>
        <v>0</v>
      </c>
      <c r="AT56" s="20">
        <f t="shared" si="352"/>
        <v>0</v>
      </c>
      <c r="AU56" s="20">
        <f t="shared" si="352"/>
        <v>0</v>
      </c>
      <c r="AV56" s="20">
        <f t="shared" si="352"/>
        <v>0</v>
      </c>
      <c r="AW56" s="20">
        <f t="shared" si="352"/>
        <v>0</v>
      </c>
      <c r="AX56" s="20">
        <f t="shared" si="352"/>
        <v>0</v>
      </c>
      <c r="AY56" s="20">
        <f t="shared" si="352"/>
        <v>0</v>
      </c>
      <c r="AZ56" s="20">
        <f t="shared" si="352"/>
        <v>0</v>
      </c>
      <c r="BA56" s="20">
        <f t="shared" si="352"/>
        <v>0</v>
      </c>
      <c r="BB56" s="20">
        <f t="shared" si="352"/>
        <v>0</v>
      </c>
      <c r="BC56" s="20">
        <f t="shared" si="352"/>
        <v>0</v>
      </c>
      <c r="BD56" s="20">
        <f t="shared" si="352"/>
        <v>0</v>
      </c>
      <c r="BE56" s="20">
        <f t="shared" si="352"/>
        <v>0</v>
      </c>
      <c r="BF56" s="20">
        <f t="shared" si="352"/>
        <v>0</v>
      </c>
      <c r="BG56" s="20">
        <f t="shared" si="352"/>
        <v>0</v>
      </c>
      <c r="BH56" s="20">
        <f t="shared" si="352"/>
        <v>0</v>
      </c>
      <c r="BI56" s="20">
        <f t="shared" si="352"/>
        <v>0</v>
      </c>
      <c r="BJ56" s="20">
        <f t="shared" si="352"/>
        <v>0</v>
      </c>
      <c r="BK56" s="20">
        <f t="shared" si="352"/>
        <v>0</v>
      </c>
      <c r="BL56" s="20">
        <f t="shared" si="352"/>
        <v>0</v>
      </c>
      <c r="BM56" s="20">
        <f t="shared" si="352"/>
        <v>0</v>
      </c>
      <c r="BN56" s="20">
        <f t="shared" si="352"/>
        <v>0</v>
      </c>
      <c r="BO56" s="20">
        <f t="shared" si="352"/>
        <v>0</v>
      </c>
      <c r="BP56" s="20">
        <f t="shared" si="352"/>
        <v>0</v>
      </c>
      <c r="BQ56" s="20">
        <f t="shared" si="352"/>
        <v>0</v>
      </c>
      <c r="BR56" s="20">
        <f t="shared" si="352"/>
        <v>0</v>
      </c>
      <c r="BS56" s="20">
        <f t="shared" si="352"/>
        <v>0</v>
      </c>
      <c r="BT56" s="20">
        <f t="shared" si="352"/>
        <v>0</v>
      </c>
      <c r="BU56" s="20">
        <f t="shared" si="352"/>
        <v>0</v>
      </c>
      <c r="BV56" s="20">
        <f t="shared" si="352"/>
        <v>0</v>
      </c>
      <c r="BW56" s="20">
        <f t="shared" si="352"/>
        <v>0</v>
      </c>
      <c r="BX56" s="20">
        <f t="shared" si="353"/>
        <v>0</v>
      </c>
      <c r="BY56" s="20">
        <f t="shared" si="353"/>
        <v>0</v>
      </c>
      <c r="BZ56" s="20">
        <f t="shared" si="353"/>
        <v>0</v>
      </c>
      <c r="CA56" s="20">
        <f t="shared" si="353"/>
        <v>0</v>
      </c>
      <c r="CB56" s="20">
        <f t="shared" si="353"/>
        <v>0</v>
      </c>
      <c r="CC56" s="20">
        <f t="shared" si="353"/>
        <v>0</v>
      </c>
      <c r="CD56" s="20">
        <f t="shared" si="353"/>
        <v>0</v>
      </c>
      <c r="CE56" s="20">
        <f t="shared" si="353"/>
        <v>0</v>
      </c>
      <c r="CF56" s="20">
        <f t="shared" si="353"/>
        <v>0</v>
      </c>
      <c r="CG56" s="20">
        <f t="shared" si="353"/>
        <v>0</v>
      </c>
      <c r="CH56" s="20">
        <f t="shared" si="353"/>
        <v>0</v>
      </c>
      <c r="CI56" s="20">
        <f t="shared" si="353"/>
        <v>0</v>
      </c>
      <c r="CJ56" s="20">
        <f t="shared" si="353"/>
        <v>0</v>
      </c>
      <c r="CK56" s="20">
        <f t="shared" si="353"/>
        <v>0</v>
      </c>
      <c r="CL56" s="20">
        <f t="shared" si="353"/>
        <v>0</v>
      </c>
      <c r="CM56" s="20">
        <f t="shared" si="353"/>
        <v>0</v>
      </c>
      <c r="CN56" s="20">
        <f t="shared" si="353"/>
        <v>0</v>
      </c>
      <c r="CO56" s="20">
        <f t="shared" si="353"/>
        <v>0</v>
      </c>
      <c r="CP56" s="20">
        <f t="shared" si="353"/>
        <v>0</v>
      </c>
      <c r="CQ56" s="20">
        <f t="shared" si="353"/>
        <v>0</v>
      </c>
      <c r="CR56" s="20">
        <f t="shared" si="353"/>
        <v>0</v>
      </c>
      <c r="CS56" s="20">
        <f t="shared" si="353"/>
        <v>0</v>
      </c>
      <c r="CT56" s="20">
        <f t="shared" si="353"/>
        <v>0</v>
      </c>
      <c r="CU56" s="20">
        <f t="shared" si="353"/>
        <v>0</v>
      </c>
      <c r="CV56" s="20">
        <f t="shared" si="353"/>
        <v>0</v>
      </c>
      <c r="CW56" s="20">
        <f t="shared" si="353"/>
        <v>0</v>
      </c>
      <c r="CX56" s="20">
        <f t="shared" si="353"/>
        <v>0</v>
      </c>
      <c r="CY56" s="20">
        <f t="shared" si="353"/>
        <v>0</v>
      </c>
      <c r="CZ56" s="20">
        <f t="shared" si="353"/>
        <v>0</v>
      </c>
      <c r="DA56" s="20">
        <f t="shared" si="354"/>
        <v>0</v>
      </c>
      <c r="DB56" s="20">
        <f t="shared" si="354"/>
        <v>0</v>
      </c>
      <c r="DC56" s="20">
        <f t="shared" si="354"/>
        <v>0</v>
      </c>
      <c r="DD56" s="20">
        <f t="shared" si="354"/>
        <v>0</v>
      </c>
      <c r="DE56" s="20">
        <f t="shared" si="354"/>
        <v>0</v>
      </c>
      <c r="DF56" s="20">
        <f t="shared" si="354"/>
        <v>0</v>
      </c>
      <c r="DG56" s="20">
        <f t="shared" si="354"/>
        <v>0</v>
      </c>
      <c r="DH56" s="20">
        <f t="shared" si="354"/>
        <v>0</v>
      </c>
      <c r="DI56" s="20">
        <f t="shared" si="354"/>
        <v>0</v>
      </c>
      <c r="DJ56" s="20">
        <f t="shared" si="354"/>
        <v>0</v>
      </c>
      <c r="DK56" s="20">
        <f t="shared" si="354"/>
        <v>0</v>
      </c>
      <c r="DL56" s="20">
        <f t="shared" si="354"/>
        <v>0</v>
      </c>
      <c r="DM56" s="20">
        <f t="shared" si="354"/>
        <v>0</v>
      </c>
      <c r="DN56" s="20">
        <f t="shared" si="354"/>
        <v>0</v>
      </c>
      <c r="DO56" s="20">
        <f t="shared" si="354"/>
        <v>0</v>
      </c>
      <c r="DP56" s="20">
        <f t="shared" si="354"/>
        <v>0</v>
      </c>
      <c r="DQ56" s="20">
        <f t="shared" si="354"/>
        <v>0</v>
      </c>
    </row>
    <row r="57" spans="4:121" x14ac:dyDescent="0.35">
      <c r="E57" s="20" t="s">
        <v>112</v>
      </c>
      <c r="F57" s="20" t="s">
        <v>129</v>
      </c>
      <c r="G57" s="45">
        <f>Assumptions!H57</f>
        <v>180000</v>
      </c>
      <c r="H57" s="22">
        <f t="shared" si="355"/>
        <v>0.2</v>
      </c>
      <c r="I57" s="54">
        <f t="shared" si="356"/>
        <v>180000</v>
      </c>
      <c r="K57" s="20">
        <f t="shared" si="357"/>
        <v>0</v>
      </c>
      <c r="L57" s="20">
        <f t="shared" si="357"/>
        <v>0</v>
      </c>
      <c r="M57" s="20">
        <f t="shared" si="357"/>
        <v>0</v>
      </c>
      <c r="N57" s="20">
        <f t="shared" si="357"/>
        <v>0</v>
      </c>
      <c r="O57" s="20">
        <f t="shared" si="357"/>
        <v>36000</v>
      </c>
      <c r="P57" s="20">
        <f t="shared" si="357"/>
        <v>36000</v>
      </c>
      <c r="Q57" s="20">
        <f t="shared" si="357"/>
        <v>36000</v>
      </c>
      <c r="R57" s="20">
        <f t="shared" si="357"/>
        <v>36000</v>
      </c>
      <c r="S57" s="20">
        <f t="shared" si="357"/>
        <v>36000</v>
      </c>
      <c r="T57" s="20">
        <f t="shared" si="357"/>
        <v>0</v>
      </c>
      <c r="U57" s="20">
        <f t="shared" si="357"/>
        <v>0</v>
      </c>
      <c r="V57" s="20">
        <f t="shared" si="357"/>
        <v>0</v>
      </c>
      <c r="W57" s="20">
        <f t="shared" si="357"/>
        <v>0</v>
      </c>
      <c r="X57" s="20">
        <f t="shared" si="357"/>
        <v>0</v>
      </c>
      <c r="Y57" s="20">
        <f t="shared" si="357"/>
        <v>0</v>
      </c>
      <c r="Z57" s="20">
        <f t="shared" si="357"/>
        <v>0</v>
      </c>
      <c r="AA57" s="20">
        <f t="shared" si="352"/>
        <v>0</v>
      </c>
      <c r="AB57" s="20">
        <f t="shared" si="352"/>
        <v>0</v>
      </c>
      <c r="AC57" s="20">
        <f t="shared" si="352"/>
        <v>0</v>
      </c>
      <c r="AD57" s="20">
        <f t="shared" si="352"/>
        <v>0</v>
      </c>
      <c r="AE57" s="20">
        <f t="shared" si="352"/>
        <v>0</v>
      </c>
      <c r="AF57" s="20">
        <f t="shared" si="352"/>
        <v>0</v>
      </c>
      <c r="AG57" s="20">
        <f t="shared" si="352"/>
        <v>0</v>
      </c>
      <c r="AH57" s="20">
        <f t="shared" si="352"/>
        <v>0</v>
      </c>
      <c r="AI57" s="20">
        <f t="shared" si="352"/>
        <v>0</v>
      </c>
      <c r="AJ57" s="20">
        <f t="shared" si="352"/>
        <v>0</v>
      </c>
      <c r="AK57" s="20">
        <f t="shared" si="352"/>
        <v>0</v>
      </c>
      <c r="AL57" s="20">
        <f t="shared" si="352"/>
        <v>0</v>
      </c>
      <c r="AM57" s="20">
        <f t="shared" si="352"/>
        <v>0</v>
      </c>
      <c r="AN57" s="20">
        <f t="shared" si="352"/>
        <v>0</v>
      </c>
      <c r="AO57" s="20">
        <f t="shared" si="352"/>
        <v>0</v>
      </c>
      <c r="AP57" s="20">
        <f t="shared" si="352"/>
        <v>0</v>
      </c>
      <c r="AQ57" s="20">
        <f t="shared" si="352"/>
        <v>0</v>
      </c>
      <c r="AR57" s="20">
        <f t="shared" si="352"/>
        <v>0</v>
      </c>
      <c r="AS57" s="20">
        <f t="shared" si="352"/>
        <v>0</v>
      </c>
      <c r="AT57" s="20">
        <f t="shared" si="352"/>
        <v>0</v>
      </c>
      <c r="AU57" s="20">
        <f t="shared" si="352"/>
        <v>0</v>
      </c>
      <c r="AV57" s="20">
        <f t="shared" si="352"/>
        <v>0</v>
      </c>
      <c r="AW57" s="20">
        <f t="shared" si="352"/>
        <v>0</v>
      </c>
      <c r="AX57" s="20">
        <f t="shared" si="352"/>
        <v>0</v>
      </c>
      <c r="AY57" s="20">
        <f t="shared" si="352"/>
        <v>0</v>
      </c>
      <c r="AZ57" s="20">
        <f t="shared" si="352"/>
        <v>0</v>
      </c>
      <c r="BA57" s="20">
        <f t="shared" si="352"/>
        <v>0</v>
      </c>
      <c r="BB57" s="20">
        <f t="shared" si="352"/>
        <v>0</v>
      </c>
      <c r="BC57" s="20">
        <f t="shared" si="352"/>
        <v>0</v>
      </c>
      <c r="BD57" s="20">
        <f t="shared" si="352"/>
        <v>0</v>
      </c>
      <c r="BE57" s="20">
        <f t="shared" si="352"/>
        <v>0</v>
      </c>
      <c r="BF57" s="20">
        <f t="shared" si="352"/>
        <v>0</v>
      </c>
      <c r="BG57" s="20">
        <f t="shared" si="352"/>
        <v>0</v>
      </c>
      <c r="BH57" s="20">
        <f t="shared" si="352"/>
        <v>0</v>
      </c>
      <c r="BI57" s="20">
        <f t="shared" si="352"/>
        <v>0</v>
      </c>
      <c r="BJ57" s="20">
        <f t="shared" si="352"/>
        <v>0</v>
      </c>
      <c r="BK57" s="20">
        <f t="shared" si="352"/>
        <v>0</v>
      </c>
      <c r="BL57" s="20">
        <f t="shared" si="352"/>
        <v>0</v>
      </c>
      <c r="BM57" s="20">
        <f t="shared" si="352"/>
        <v>0</v>
      </c>
      <c r="BN57" s="20">
        <f t="shared" si="352"/>
        <v>0</v>
      </c>
      <c r="BO57" s="20">
        <f t="shared" si="352"/>
        <v>0</v>
      </c>
      <c r="BP57" s="20">
        <f t="shared" si="352"/>
        <v>0</v>
      </c>
      <c r="BQ57" s="20">
        <f t="shared" si="352"/>
        <v>0</v>
      </c>
      <c r="BR57" s="20">
        <f t="shared" si="352"/>
        <v>0</v>
      </c>
      <c r="BS57" s="20">
        <f t="shared" si="352"/>
        <v>0</v>
      </c>
      <c r="BT57" s="20">
        <f t="shared" si="352"/>
        <v>0</v>
      </c>
      <c r="BU57" s="20">
        <f t="shared" si="352"/>
        <v>0</v>
      </c>
      <c r="BV57" s="20">
        <f t="shared" si="352"/>
        <v>0</v>
      </c>
      <c r="BW57" s="20">
        <f t="shared" si="352"/>
        <v>0</v>
      </c>
      <c r="BX57" s="20">
        <f t="shared" si="353"/>
        <v>0</v>
      </c>
      <c r="BY57" s="20">
        <f t="shared" si="353"/>
        <v>0</v>
      </c>
      <c r="BZ57" s="20">
        <f t="shared" si="353"/>
        <v>0</v>
      </c>
      <c r="CA57" s="20">
        <f t="shared" si="353"/>
        <v>0</v>
      </c>
      <c r="CB57" s="20">
        <f t="shared" si="353"/>
        <v>0</v>
      </c>
      <c r="CC57" s="20">
        <f t="shared" si="353"/>
        <v>0</v>
      </c>
      <c r="CD57" s="20">
        <f t="shared" si="353"/>
        <v>0</v>
      </c>
      <c r="CE57" s="20">
        <f t="shared" si="353"/>
        <v>0</v>
      </c>
      <c r="CF57" s="20">
        <f t="shared" si="353"/>
        <v>0</v>
      </c>
      <c r="CG57" s="20">
        <f t="shared" si="353"/>
        <v>0</v>
      </c>
      <c r="CH57" s="20">
        <f t="shared" si="353"/>
        <v>0</v>
      </c>
      <c r="CI57" s="20">
        <f t="shared" si="353"/>
        <v>0</v>
      </c>
      <c r="CJ57" s="20">
        <f t="shared" si="353"/>
        <v>0</v>
      </c>
      <c r="CK57" s="20">
        <f t="shared" si="353"/>
        <v>0</v>
      </c>
      <c r="CL57" s="20">
        <f t="shared" si="353"/>
        <v>0</v>
      </c>
      <c r="CM57" s="20">
        <f t="shared" si="353"/>
        <v>0</v>
      </c>
      <c r="CN57" s="20">
        <f t="shared" si="353"/>
        <v>0</v>
      </c>
      <c r="CO57" s="20">
        <f t="shared" si="353"/>
        <v>0</v>
      </c>
      <c r="CP57" s="20">
        <f t="shared" si="353"/>
        <v>0</v>
      </c>
      <c r="CQ57" s="20">
        <f t="shared" si="353"/>
        <v>0</v>
      </c>
      <c r="CR57" s="20">
        <f t="shared" si="353"/>
        <v>0</v>
      </c>
      <c r="CS57" s="20">
        <f t="shared" si="353"/>
        <v>0</v>
      </c>
      <c r="CT57" s="20">
        <f t="shared" si="353"/>
        <v>0</v>
      </c>
      <c r="CU57" s="20">
        <f t="shared" si="353"/>
        <v>0</v>
      </c>
      <c r="CV57" s="20">
        <f t="shared" si="353"/>
        <v>0</v>
      </c>
      <c r="CW57" s="20">
        <f t="shared" si="353"/>
        <v>0</v>
      </c>
      <c r="CX57" s="20">
        <f t="shared" si="353"/>
        <v>0</v>
      </c>
      <c r="CY57" s="20">
        <f t="shared" si="353"/>
        <v>0</v>
      </c>
      <c r="CZ57" s="20">
        <f t="shared" si="353"/>
        <v>0</v>
      </c>
      <c r="DA57" s="20">
        <f t="shared" si="354"/>
        <v>0</v>
      </c>
      <c r="DB57" s="20">
        <f t="shared" si="354"/>
        <v>0</v>
      </c>
      <c r="DC57" s="20">
        <f t="shared" si="354"/>
        <v>0</v>
      </c>
      <c r="DD57" s="20">
        <f t="shared" si="354"/>
        <v>0</v>
      </c>
      <c r="DE57" s="20">
        <f t="shared" si="354"/>
        <v>0</v>
      </c>
      <c r="DF57" s="20">
        <f t="shared" si="354"/>
        <v>0</v>
      </c>
      <c r="DG57" s="20">
        <f t="shared" si="354"/>
        <v>0</v>
      </c>
      <c r="DH57" s="20">
        <f t="shared" si="354"/>
        <v>0</v>
      </c>
      <c r="DI57" s="20">
        <f t="shared" si="354"/>
        <v>0</v>
      </c>
      <c r="DJ57" s="20">
        <f t="shared" si="354"/>
        <v>0</v>
      </c>
      <c r="DK57" s="20">
        <f t="shared" si="354"/>
        <v>0</v>
      </c>
      <c r="DL57" s="20">
        <f t="shared" si="354"/>
        <v>0</v>
      </c>
      <c r="DM57" s="20">
        <f t="shared" si="354"/>
        <v>0</v>
      </c>
      <c r="DN57" s="20">
        <f t="shared" si="354"/>
        <v>0</v>
      </c>
      <c r="DO57" s="20">
        <f t="shared" si="354"/>
        <v>0</v>
      </c>
      <c r="DP57" s="20">
        <f t="shared" si="354"/>
        <v>0</v>
      </c>
      <c r="DQ57" s="20">
        <f t="shared" si="354"/>
        <v>0</v>
      </c>
    </row>
    <row r="58" spans="4:121" x14ac:dyDescent="0.35">
      <c r="E58" s="20" t="s">
        <v>113</v>
      </c>
      <c r="F58" s="20" t="s">
        <v>129</v>
      </c>
      <c r="G58" s="45">
        <f>Assumptions!H58</f>
        <v>0</v>
      </c>
      <c r="H58" s="22">
        <f t="shared" si="355"/>
        <v>0.2</v>
      </c>
      <c r="I58" s="54">
        <f t="shared" si="356"/>
        <v>0</v>
      </c>
      <c r="K58" s="20">
        <f t="shared" si="357"/>
        <v>0</v>
      </c>
      <c r="L58" s="20">
        <f t="shared" si="357"/>
        <v>0</v>
      </c>
      <c r="M58" s="20">
        <f t="shared" si="357"/>
        <v>0</v>
      </c>
      <c r="N58" s="20">
        <f t="shared" si="357"/>
        <v>0</v>
      </c>
      <c r="O58" s="20">
        <f t="shared" si="357"/>
        <v>0</v>
      </c>
      <c r="P58" s="20">
        <f t="shared" si="357"/>
        <v>0</v>
      </c>
      <c r="Q58" s="20">
        <f t="shared" si="357"/>
        <v>0</v>
      </c>
      <c r="R58" s="20">
        <f t="shared" si="357"/>
        <v>0</v>
      </c>
      <c r="S58" s="20">
        <f t="shared" si="357"/>
        <v>0</v>
      </c>
      <c r="T58" s="20">
        <f t="shared" si="357"/>
        <v>0</v>
      </c>
      <c r="U58" s="20">
        <f t="shared" si="357"/>
        <v>0</v>
      </c>
      <c r="V58" s="20">
        <f t="shared" si="357"/>
        <v>0</v>
      </c>
      <c r="W58" s="20">
        <f t="shared" si="357"/>
        <v>0</v>
      </c>
      <c r="X58" s="20">
        <f t="shared" si="357"/>
        <v>0</v>
      </c>
      <c r="Y58" s="20">
        <f t="shared" si="357"/>
        <v>0</v>
      </c>
      <c r="Z58" s="20">
        <f t="shared" si="357"/>
        <v>0</v>
      </c>
      <c r="AA58" s="20">
        <f t="shared" si="352"/>
        <v>0</v>
      </c>
      <c r="AB58" s="20">
        <f t="shared" si="352"/>
        <v>0</v>
      </c>
      <c r="AC58" s="20">
        <f t="shared" si="352"/>
        <v>0</v>
      </c>
      <c r="AD58" s="20">
        <f t="shared" si="352"/>
        <v>0</v>
      </c>
      <c r="AE58" s="20">
        <f t="shared" si="352"/>
        <v>0</v>
      </c>
      <c r="AF58" s="20">
        <f t="shared" si="352"/>
        <v>0</v>
      </c>
      <c r="AG58" s="20">
        <f t="shared" si="352"/>
        <v>0</v>
      </c>
      <c r="AH58" s="20">
        <f t="shared" si="352"/>
        <v>0</v>
      </c>
      <c r="AI58" s="20">
        <f t="shared" si="352"/>
        <v>0</v>
      </c>
      <c r="AJ58" s="20">
        <f t="shared" si="352"/>
        <v>0</v>
      </c>
      <c r="AK58" s="20">
        <f t="shared" si="352"/>
        <v>0</v>
      </c>
      <c r="AL58" s="20">
        <f t="shared" si="352"/>
        <v>0</v>
      </c>
      <c r="AM58" s="20">
        <f t="shared" si="352"/>
        <v>0</v>
      </c>
      <c r="AN58" s="20">
        <f t="shared" si="352"/>
        <v>0</v>
      </c>
      <c r="AO58" s="20">
        <f t="shared" si="352"/>
        <v>0</v>
      </c>
      <c r="AP58" s="20">
        <f t="shared" si="352"/>
        <v>0</v>
      </c>
      <c r="AQ58" s="20">
        <f t="shared" si="352"/>
        <v>0</v>
      </c>
      <c r="AR58" s="20">
        <f t="shared" si="352"/>
        <v>0</v>
      </c>
      <c r="AS58" s="20">
        <f t="shared" si="352"/>
        <v>0</v>
      </c>
      <c r="AT58" s="20">
        <f t="shared" si="352"/>
        <v>0</v>
      </c>
      <c r="AU58" s="20">
        <f t="shared" si="352"/>
        <v>0</v>
      </c>
      <c r="AV58" s="20">
        <f t="shared" si="352"/>
        <v>0</v>
      </c>
      <c r="AW58" s="20">
        <f t="shared" si="352"/>
        <v>0</v>
      </c>
      <c r="AX58" s="20">
        <f t="shared" si="352"/>
        <v>0</v>
      </c>
      <c r="AY58" s="20">
        <f t="shared" si="352"/>
        <v>0</v>
      </c>
      <c r="AZ58" s="20">
        <f t="shared" si="352"/>
        <v>0</v>
      </c>
      <c r="BA58" s="20">
        <f t="shared" si="352"/>
        <v>0</v>
      </c>
      <c r="BB58" s="20">
        <f t="shared" si="352"/>
        <v>0</v>
      </c>
      <c r="BC58" s="20">
        <f t="shared" si="352"/>
        <v>0</v>
      </c>
      <c r="BD58" s="20">
        <f t="shared" si="352"/>
        <v>0</v>
      </c>
      <c r="BE58" s="20">
        <f t="shared" si="352"/>
        <v>0</v>
      </c>
      <c r="BF58" s="20">
        <f t="shared" si="352"/>
        <v>0</v>
      </c>
      <c r="BG58" s="20">
        <f t="shared" si="352"/>
        <v>0</v>
      </c>
      <c r="BH58" s="20">
        <f t="shared" si="352"/>
        <v>0</v>
      </c>
      <c r="BI58" s="20">
        <f t="shared" si="352"/>
        <v>0</v>
      </c>
      <c r="BJ58" s="20">
        <f t="shared" si="352"/>
        <v>0</v>
      </c>
      <c r="BK58" s="20">
        <f t="shared" si="352"/>
        <v>0</v>
      </c>
      <c r="BL58" s="20">
        <f t="shared" si="352"/>
        <v>0</v>
      </c>
      <c r="BM58" s="20">
        <f t="shared" si="352"/>
        <v>0</v>
      </c>
      <c r="BN58" s="20">
        <f t="shared" si="352"/>
        <v>0</v>
      </c>
      <c r="BO58" s="20">
        <f t="shared" si="352"/>
        <v>0</v>
      </c>
      <c r="BP58" s="20">
        <f t="shared" si="352"/>
        <v>0</v>
      </c>
      <c r="BQ58" s="20">
        <f t="shared" si="352"/>
        <v>0</v>
      </c>
      <c r="BR58" s="20">
        <f t="shared" si="352"/>
        <v>0</v>
      </c>
      <c r="BS58" s="20">
        <f t="shared" ref="BS58:DA61" si="358">$G58*$H58*BS$9</f>
        <v>0</v>
      </c>
      <c r="BT58" s="20">
        <f t="shared" si="358"/>
        <v>0</v>
      </c>
      <c r="BU58" s="20">
        <f t="shared" si="358"/>
        <v>0</v>
      </c>
      <c r="BV58" s="20">
        <f t="shared" si="358"/>
        <v>0</v>
      </c>
      <c r="BW58" s="20">
        <f t="shared" si="358"/>
        <v>0</v>
      </c>
      <c r="BX58" s="20">
        <f t="shared" si="358"/>
        <v>0</v>
      </c>
      <c r="BY58" s="20">
        <f t="shared" si="358"/>
        <v>0</v>
      </c>
      <c r="BZ58" s="20">
        <f t="shared" si="358"/>
        <v>0</v>
      </c>
      <c r="CA58" s="20">
        <f t="shared" si="358"/>
        <v>0</v>
      </c>
      <c r="CB58" s="20">
        <f t="shared" si="358"/>
        <v>0</v>
      </c>
      <c r="CC58" s="20">
        <f t="shared" si="358"/>
        <v>0</v>
      </c>
      <c r="CD58" s="20">
        <f t="shared" si="358"/>
        <v>0</v>
      </c>
      <c r="CE58" s="20">
        <f t="shared" si="358"/>
        <v>0</v>
      </c>
      <c r="CF58" s="20">
        <f t="shared" si="358"/>
        <v>0</v>
      </c>
      <c r="CG58" s="20">
        <f t="shared" si="358"/>
        <v>0</v>
      </c>
      <c r="CH58" s="20">
        <f t="shared" si="358"/>
        <v>0</v>
      </c>
      <c r="CI58" s="20">
        <f t="shared" si="358"/>
        <v>0</v>
      </c>
      <c r="CJ58" s="20">
        <f t="shared" si="358"/>
        <v>0</v>
      </c>
      <c r="CK58" s="20">
        <f t="shared" si="358"/>
        <v>0</v>
      </c>
      <c r="CL58" s="20">
        <f t="shared" si="358"/>
        <v>0</v>
      </c>
      <c r="CM58" s="20">
        <f t="shared" si="358"/>
        <v>0</v>
      </c>
      <c r="CN58" s="20">
        <f t="shared" si="358"/>
        <v>0</v>
      </c>
      <c r="CO58" s="20">
        <f t="shared" si="358"/>
        <v>0</v>
      </c>
      <c r="CP58" s="20">
        <f t="shared" si="358"/>
        <v>0</v>
      </c>
      <c r="CQ58" s="20">
        <f t="shared" si="358"/>
        <v>0</v>
      </c>
      <c r="CR58" s="20">
        <f t="shared" si="358"/>
        <v>0</v>
      </c>
      <c r="CS58" s="20">
        <f t="shared" si="358"/>
        <v>0</v>
      </c>
      <c r="CT58" s="20">
        <f t="shared" si="358"/>
        <v>0</v>
      </c>
      <c r="CU58" s="20">
        <f t="shared" si="358"/>
        <v>0</v>
      </c>
      <c r="CV58" s="20">
        <f t="shared" si="358"/>
        <v>0</v>
      </c>
      <c r="CW58" s="20">
        <f t="shared" si="358"/>
        <v>0</v>
      </c>
      <c r="CX58" s="20">
        <f t="shared" si="358"/>
        <v>0</v>
      </c>
      <c r="CY58" s="20">
        <f t="shared" si="358"/>
        <v>0</v>
      </c>
      <c r="CZ58" s="20">
        <f t="shared" si="358"/>
        <v>0</v>
      </c>
      <c r="DA58" s="20">
        <f t="shared" si="358"/>
        <v>0</v>
      </c>
      <c r="DB58" s="20">
        <f t="shared" si="354"/>
        <v>0</v>
      </c>
      <c r="DC58" s="20">
        <f t="shared" si="354"/>
        <v>0</v>
      </c>
      <c r="DD58" s="20">
        <f t="shared" si="354"/>
        <v>0</v>
      </c>
      <c r="DE58" s="20">
        <f t="shared" si="354"/>
        <v>0</v>
      </c>
      <c r="DF58" s="20">
        <f t="shared" si="354"/>
        <v>0</v>
      </c>
      <c r="DG58" s="20">
        <f t="shared" si="354"/>
        <v>0</v>
      </c>
      <c r="DH58" s="20">
        <f t="shared" si="354"/>
        <v>0</v>
      </c>
      <c r="DI58" s="20">
        <f t="shared" si="354"/>
        <v>0</v>
      </c>
      <c r="DJ58" s="20">
        <f t="shared" si="354"/>
        <v>0</v>
      </c>
      <c r="DK58" s="20">
        <f t="shared" si="354"/>
        <v>0</v>
      </c>
      <c r="DL58" s="20">
        <f t="shared" si="354"/>
        <v>0</v>
      </c>
      <c r="DM58" s="20">
        <f t="shared" si="354"/>
        <v>0</v>
      </c>
      <c r="DN58" s="20">
        <f t="shared" si="354"/>
        <v>0</v>
      </c>
      <c r="DO58" s="20">
        <f t="shared" si="354"/>
        <v>0</v>
      </c>
      <c r="DP58" s="20">
        <f t="shared" si="354"/>
        <v>0</v>
      </c>
      <c r="DQ58" s="20">
        <f t="shared" si="354"/>
        <v>0</v>
      </c>
    </row>
    <row r="59" spans="4:121" x14ac:dyDescent="0.35">
      <c r="E59" s="20" t="s">
        <v>199</v>
      </c>
      <c r="F59" s="20" t="s">
        <v>129</v>
      </c>
      <c r="G59" s="45">
        <f>Assumptions!H59</f>
        <v>0</v>
      </c>
      <c r="H59" s="22">
        <f t="shared" si="355"/>
        <v>0.2</v>
      </c>
      <c r="I59" s="54">
        <f t="shared" si="356"/>
        <v>0</v>
      </c>
      <c r="K59" s="20">
        <f t="shared" si="357"/>
        <v>0</v>
      </c>
      <c r="L59" s="20">
        <f t="shared" si="357"/>
        <v>0</v>
      </c>
      <c r="M59" s="20">
        <f t="shared" si="357"/>
        <v>0</v>
      </c>
      <c r="N59" s="20">
        <f t="shared" si="357"/>
        <v>0</v>
      </c>
      <c r="O59" s="20">
        <f t="shared" si="357"/>
        <v>0</v>
      </c>
      <c r="P59" s="20">
        <f t="shared" si="357"/>
        <v>0</v>
      </c>
      <c r="Q59" s="20">
        <f t="shared" si="357"/>
        <v>0</v>
      </c>
      <c r="R59" s="20">
        <f t="shared" si="357"/>
        <v>0</v>
      </c>
      <c r="S59" s="20">
        <f t="shared" si="357"/>
        <v>0</v>
      </c>
      <c r="T59" s="20">
        <f t="shared" si="357"/>
        <v>0</v>
      </c>
      <c r="U59" s="20">
        <f t="shared" si="357"/>
        <v>0</v>
      </c>
      <c r="V59" s="20">
        <f t="shared" si="357"/>
        <v>0</v>
      </c>
      <c r="W59" s="20">
        <f t="shared" si="357"/>
        <v>0</v>
      </c>
      <c r="X59" s="20">
        <f t="shared" si="357"/>
        <v>0</v>
      </c>
      <c r="Y59" s="20">
        <f t="shared" si="357"/>
        <v>0</v>
      </c>
      <c r="Z59" s="20">
        <f t="shared" si="357"/>
        <v>0</v>
      </c>
      <c r="AA59" s="20">
        <f t="shared" ref="AA59:CL61" si="359">$G59*$H59*AA$9</f>
        <v>0</v>
      </c>
      <c r="AB59" s="20">
        <f t="shared" si="359"/>
        <v>0</v>
      </c>
      <c r="AC59" s="20">
        <f t="shared" si="359"/>
        <v>0</v>
      </c>
      <c r="AD59" s="20">
        <f t="shared" si="359"/>
        <v>0</v>
      </c>
      <c r="AE59" s="20">
        <f t="shared" si="359"/>
        <v>0</v>
      </c>
      <c r="AF59" s="20">
        <f t="shared" si="359"/>
        <v>0</v>
      </c>
      <c r="AG59" s="20">
        <f t="shared" si="359"/>
        <v>0</v>
      </c>
      <c r="AH59" s="20">
        <f t="shared" si="359"/>
        <v>0</v>
      </c>
      <c r="AI59" s="20">
        <f t="shared" si="359"/>
        <v>0</v>
      </c>
      <c r="AJ59" s="20">
        <f t="shared" si="359"/>
        <v>0</v>
      </c>
      <c r="AK59" s="20">
        <f t="shared" si="359"/>
        <v>0</v>
      </c>
      <c r="AL59" s="20">
        <f t="shared" si="359"/>
        <v>0</v>
      </c>
      <c r="AM59" s="20">
        <f t="shared" si="359"/>
        <v>0</v>
      </c>
      <c r="AN59" s="20">
        <f t="shared" si="359"/>
        <v>0</v>
      </c>
      <c r="AO59" s="20">
        <f t="shared" si="359"/>
        <v>0</v>
      </c>
      <c r="AP59" s="20">
        <f t="shared" si="359"/>
        <v>0</v>
      </c>
      <c r="AQ59" s="20">
        <f t="shared" si="359"/>
        <v>0</v>
      </c>
      <c r="AR59" s="20">
        <f t="shared" si="359"/>
        <v>0</v>
      </c>
      <c r="AS59" s="20">
        <f t="shared" si="359"/>
        <v>0</v>
      </c>
      <c r="AT59" s="20">
        <f t="shared" si="359"/>
        <v>0</v>
      </c>
      <c r="AU59" s="20">
        <f t="shared" si="359"/>
        <v>0</v>
      </c>
      <c r="AV59" s="20">
        <f t="shared" si="359"/>
        <v>0</v>
      </c>
      <c r="AW59" s="20">
        <f t="shared" si="359"/>
        <v>0</v>
      </c>
      <c r="AX59" s="20">
        <f t="shared" si="359"/>
        <v>0</v>
      </c>
      <c r="AY59" s="20">
        <f t="shared" si="359"/>
        <v>0</v>
      </c>
      <c r="AZ59" s="20">
        <f t="shared" si="359"/>
        <v>0</v>
      </c>
      <c r="BA59" s="20">
        <f t="shared" si="359"/>
        <v>0</v>
      </c>
      <c r="BB59" s="20">
        <f t="shared" si="359"/>
        <v>0</v>
      </c>
      <c r="BC59" s="20">
        <f t="shared" si="359"/>
        <v>0</v>
      </c>
      <c r="BD59" s="20">
        <f t="shared" si="359"/>
        <v>0</v>
      </c>
      <c r="BE59" s="20">
        <f t="shared" si="359"/>
        <v>0</v>
      </c>
      <c r="BF59" s="20">
        <f t="shared" si="359"/>
        <v>0</v>
      </c>
      <c r="BG59" s="20">
        <f t="shared" si="359"/>
        <v>0</v>
      </c>
      <c r="BH59" s="20">
        <f t="shared" si="359"/>
        <v>0</v>
      </c>
      <c r="BI59" s="20">
        <f t="shared" si="359"/>
        <v>0</v>
      </c>
      <c r="BJ59" s="20">
        <f t="shared" si="359"/>
        <v>0</v>
      </c>
      <c r="BK59" s="20">
        <f t="shared" si="359"/>
        <v>0</v>
      </c>
      <c r="BL59" s="20">
        <f t="shared" si="359"/>
        <v>0</v>
      </c>
      <c r="BM59" s="20">
        <f t="shared" si="359"/>
        <v>0</v>
      </c>
      <c r="BN59" s="20">
        <f t="shared" si="359"/>
        <v>0</v>
      </c>
      <c r="BO59" s="20">
        <f t="shared" si="359"/>
        <v>0</v>
      </c>
      <c r="BP59" s="20">
        <f t="shared" si="359"/>
        <v>0</v>
      </c>
      <c r="BQ59" s="20">
        <f t="shared" si="359"/>
        <v>0</v>
      </c>
      <c r="BR59" s="20">
        <f t="shared" si="359"/>
        <v>0</v>
      </c>
      <c r="BS59" s="20">
        <f t="shared" si="359"/>
        <v>0</v>
      </c>
      <c r="BT59" s="20">
        <f t="shared" si="359"/>
        <v>0</v>
      </c>
      <c r="BU59" s="20">
        <f t="shared" si="359"/>
        <v>0</v>
      </c>
      <c r="BV59" s="20">
        <f t="shared" si="359"/>
        <v>0</v>
      </c>
      <c r="BW59" s="20">
        <f t="shared" si="359"/>
        <v>0</v>
      </c>
      <c r="BX59" s="20">
        <f t="shared" si="359"/>
        <v>0</v>
      </c>
      <c r="BY59" s="20">
        <f t="shared" si="359"/>
        <v>0</v>
      </c>
      <c r="BZ59" s="20">
        <f t="shared" si="359"/>
        <v>0</v>
      </c>
      <c r="CA59" s="20">
        <f t="shared" si="359"/>
        <v>0</v>
      </c>
      <c r="CB59" s="20">
        <f t="shared" si="359"/>
        <v>0</v>
      </c>
      <c r="CC59" s="20">
        <f t="shared" si="359"/>
        <v>0</v>
      </c>
      <c r="CD59" s="20">
        <f t="shared" si="359"/>
        <v>0</v>
      </c>
      <c r="CE59" s="20">
        <f t="shared" si="359"/>
        <v>0</v>
      </c>
      <c r="CF59" s="20">
        <f t="shared" si="359"/>
        <v>0</v>
      </c>
      <c r="CG59" s="20">
        <f t="shared" si="359"/>
        <v>0</v>
      </c>
      <c r="CH59" s="20">
        <f t="shared" si="359"/>
        <v>0</v>
      </c>
      <c r="CI59" s="20">
        <f t="shared" si="359"/>
        <v>0</v>
      </c>
      <c r="CJ59" s="20">
        <f t="shared" si="359"/>
        <v>0</v>
      </c>
      <c r="CK59" s="20">
        <f t="shared" si="359"/>
        <v>0</v>
      </c>
      <c r="CL59" s="20">
        <f t="shared" si="359"/>
        <v>0</v>
      </c>
      <c r="CM59" s="20">
        <f t="shared" si="358"/>
        <v>0</v>
      </c>
      <c r="CN59" s="20">
        <f t="shared" si="358"/>
        <v>0</v>
      </c>
      <c r="CO59" s="20">
        <f t="shared" si="358"/>
        <v>0</v>
      </c>
      <c r="CP59" s="20">
        <f t="shared" si="358"/>
        <v>0</v>
      </c>
      <c r="CQ59" s="20">
        <f t="shared" si="358"/>
        <v>0</v>
      </c>
      <c r="CR59" s="20">
        <f t="shared" si="358"/>
        <v>0</v>
      </c>
      <c r="CS59" s="20">
        <f t="shared" si="358"/>
        <v>0</v>
      </c>
      <c r="CT59" s="20">
        <f t="shared" si="358"/>
        <v>0</v>
      </c>
      <c r="CU59" s="20">
        <f t="shared" si="358"/>
        <v>0</v>
      </c>
      <c r="CV59" s="20">
        <f t="shared" si="358"/>
        <v>0</v>
      </c>
      <c r="CW59" s="20">
        <f t="shared" si="358"/>
        <v>0</v>
      </c>
      <c r="CX59" s="20">
        <f t="shared" si="358"/>
        <v>0</v>
      </c>
      <c r="CY59" s="20">
        <f t="shared" si="358"/>
        <v>0</v>
      </c>
      <c r="CZ59" s="20">
        <f t="shared" si="358"/>
        <v>0</v>
      </c>
      <c r="DA59" s="20">
        <f t="shared" si="354"/>
        <v>0</v>
      </c>
      <c r="DB59" s="20">
        <f t="shared" si="354"/>
        <v>0</v>
      </c>
      <c r="DC59" s="20">
        <f t="shared" si="354"/>
        <v>0</v>
      </c>
      <c r="DD59" s="20">
        <f t="shared" si="354"/>
        <v>0</v>
      </c>
      <c r="DE59" s="20">
        <f t="shared" si="354"/>
        <v>0</v>
      </c>
      <c r="DF59" s="20">
        <f t="shared" si="354"/>
        <v>0</v>
      </c>
      <c r="DG59" s="20">
        <f t="shared" si="354"/>
        <v>0</v>
      </c>
      <c r="DH59" s="20">
        <f t="shared" si="354"/>
        <v>0</v>
      </c>
      <c r="DI59" s="20">
        <f t="shared" si="354"/>
        <v>0</v>
      </c>
      <c r="DJ59" s="20">
        <f t="shared" si="354"/>
        <v>0</v>
      </c>
      <c r="DK59" s="20">
        <f t="shared" si="354"/>
        <v>0</v>
      </c>
      <c r="DL59" s="20">
        <f t="shared" si="354"/>
        <v>0</v>
      </c>
      <c r="DM59" s="20">
        <f t="shared" si="354"/>
        <v>0</v>
      </c>
      <c r="DN59" s="20">
        <f t="shared" si="354"/>
        <v>0</v>
      </c>
      <c r="DO59" s="20">
        <f t="shared" si="354"/>
        <v>0</v>
      </c>
      <c r="DP59" s="20">
        <f t="shared" si="354"/>
        <v>0</v>
      </c>
      <c r="DQ59" s="20">
        <f t="shared" si="354"/>
        <v>0</v>
      </c>
    </row>
    <row r="60" spans="4:121" x14ac:dyDescent="0.35">
      <c r="E60" s="20" t="s">
        <v>114</v>
      </c>
      <c r="F60" s="20" t="s">
        <v>129</v>
      </c>
      <c r="G60" s="45">
        <f>Assumptions!H60</f>
        <v>480000</v>
      </c>
      <c r="H60" s="22">
        <f t="shared" si="355"/>
        <v>0.2</v>
      </c>
      <c r="I60" s="54">
        <f t="shared" si="356"/>
        <v>480000</v>
      </c>
      <c r="K60" s="20">
        <f t="shared" si="357"/>
        <v>0</v>
      </c>
      <c r="L60" s="20">
        <f t="shared" si="357"/>
        <v>0</v>
      </c>
      <c r="M60" s="20">
        <f t="shared" si="357"/>
        <v>0</v>
      </c>
      <c r="N60" s="20">
        <f t="shared" si="357"/>
        <v>0</v>
      </c>
      <c r="O60" s="20">
        <f t="shared" si="357"/>
        <v>96000</v>
      </c>
      <c r="P60" s="20">
        <f t="shared" si="357"/>
        <v>96000</v>
      </c>
      <c r="Q60" s="20">
        <f t="shared" si="357"/>
        <v>96000</v>
      </c>
      <c r="R60" s="20">
        <f t="shared" si="357"/>
        <v>96000</v>
      </c>
      <c r="S60" s="20">
        <f t="shared" si="357"/>
        <v>96000</v>
      </c>
      <c r="T60" s="20">
        <f t="shared" si="357"/>
        <v>0</v>
      </c>
      <c r="U60" s="20">
        <f t="shared" si="357"/>
        <v>0</v>
      </c>
      <c r="V60" s="20">
        <f t="shared" si="357"/>
        <v>0</v>
      </c>
      <c r="W60" s="20">
        <f t="shared" si="357"/>
        <v>0</v>
      </c>
      <c r="X60" s="20">
        <f t="shared" si="357"/>
        <v>0</v>
      </c>
      <c r="Y60" s="20">
        <f t="shared" si="357"/>
        <v>0</v>
      </c>
      <c r="Z60" s="20">
        <f t="shared" si="357"/>
        <v>0</v>
      </c>
      <c r="AA60" s="20">
        <f t="shared" si="359"/>
        <v>0</v>
      </c>
      <c r="AB60" s="20">
        <f t="shared" si="359"/>
        <v>0</v>
      </c>
      <c r="AC60" s="20">
        <f t="shared" si="359"/>
        <v>0</v>
      </c>
      <c r="AD60" s="20">
        <f t="shared" si="359"/>
        <v>0</v>
      </c>
      <c r="AE60" s="20">
        <f t="shared" si="359"/>
        <v>0</v>
      </c>
      <c r="AF60" s="20">
        <f t="shared" si="359"/>
        <v>0</v>
      </c>
      <c r="AG60" s="20">
        <f t="shared" si="359"/>
        <v>0</v>
      </c>
      <c r="AH60" s="20">
        <f t="shared" si="359"/>
        <v>0</v>
      </c>
      <c r="AI60" s="20">
        <f t="shared" si="359"/>
        <v>0</v>
      </c>
      <c r="AJ60" s="20">
        <f t="shared" si="359"/>
        <v>0</v>
      </c>
      <c r="AK60" s="20">
        <f t="shared" si="359"/>
        <v>0</v>
      </c>
      <c r="AL60" s="20">
        <f t="shared" si="359"/>
        <v>0</v>
      </c>
      <c r="AM60" s="20">
        <f t="shared" si="359"/>
        <v>0</v>
      </c>
      <c r="AN60" s="20">
        <f t="shared" si="359"/>
        <v>0</v>
      </c>
      <c r="AO60" s="20">
        <f t="shared" si="359"/>
        <v>0</v>
      </c>
      <c r="AP60" s="20">
        <f t="shared" si="359"/>
        <v>0</v>
      </c>
      <c r="AQ60" s="20">
        <f t="shared" si="359"/>
        <v>0</v>
      </c>
      <c r="AR60" s="20">
        <f t="shared" si="359"/>
        <v>0</v>
      </c>
      <c r="AS60" s="20">
        <f t="shared" si="359"/>
        <v>0</v>
      </c>
      <c r="AT60" s="20">
        <f t="shared" si="359"/>
        <v>0</v>
      </c>
      <c r="AU60" s="20">
        <f t="shared" si="359"/>
        <v>0</v>
      </c>
      <c r="AV60" s="20">
        <f t="shared" si="359"/>
        <v>0</v>
      </c>
      <c r="AW60" s="20">
        <f t="shared" si="359"/>
        <v>0</v>
      </c>
      <c r="AX60" s="20">
        <f t="shared" si="359"/>
        <v>0</v>
      </c>
      <c r="AY60" s="20">
        <f t="shared" si="359"/>
        <v>0</v>
      </c>
      <c r="AZ60" s="20">
        <f t="shared" si="359"/>
        <v>0</v>
      </c>
      <c r="BA60" s="20">
        <f t="shared" si="359"/>
        <v>0</v>
      </c>
      <c r="BB60" s="20">
        <f t="shared" si="359"/>
        <v>0</v>
      </c>
      <c r="BC60" s="20">
        <f t="shared" si="359"/>
        <v>0</v>
      </c>
      <c r="BD60" s="20">
        <f t="shared" si="359"/>
        <v>0</v>
      </c>
      <c r="BE60" s="20">
        <f t="shared" si="359"/>
        <v>0</v>
      </c>
      <c r="BF60" s="20">
        <f t="shared" si="359"/>
        <v>0</v>
      </c>
      <c r="BG60" s="20">
        <f t="shared" si="359"/>
        <v>0</v>
      </c>
      <c r="BH60" s="20">
        <f t="shared" si="359"/>
        <v>0</v>
      </c>
      <c r="BI60" s="20">
        <f t="shared" si="359"/>
        <v>0</v>
      </c>
      <c r="BJ60" s="20">
        <f t="shared" si="359"/>
        <v>0</v>
      </c>
      <c r="BK60" s="20">
        <f t="shared" si="359"/>
        <v>0</v>
      </c>
      <c r="BL60" s="20">
        <f t="shared" si="359"/>
        <v>0</v>
      </c>
      <c r="BM60" s="20">
        <f t="shared" si="359"/>
        <v>0</v>
      </c>
      <c r="BN60" s="20">
        <f t="shared" si="359"/>
        <v>0</v>
      </c>
      <c r="BO60" s="20">
        <f t="shared" si="359"/>
        <v>0</v>
      </c>
      <c r="BP60" s="20">
        <f t="shared" si="359"/>
        <v>0</v>
      </c>
      <c r="BQ60" s="20">
        <f t="shared" si="359"/>
        <v>0</v>
      </c>
      <c r="BR60" s="20">
        <f t="shared" si="359"/>
        <v>0</v>
      </c>
      <c r="BS60" s="20">
        <f t="shared" si="359"/>
        <v>0</v>
      </c>
      <c r="BT60" s="20">
        <f t="shared" si="359"/>
        <v>0</v>
      </c>
      <c r="BU60" s="20">
        <f t="shared" si="359"/>
        <v>0</v>
      </c>
      <c r="BV60" s="20">
        <f t="shared" si="359"/>
        <v>0</v>
      </c>
      <c r="BW60" s="20">
        <f t="shared" si="359"/>
        <v>0</v>
      </c>
      <c r="BX60" s="20">
        <f t="shared" si="359"/>
        <v>0</v>
      </c>
      <c r="BY60" s="20">
        <f t="shared" si="359"/>
        <v>0</v>
      </c>
      <c r="BZ60" s="20">
        <f t="shared" si="359"/>
        <v>0</v>
      </c>
      <c r="CA60" s="20">
        <f t="shared" si="359"/>
        <v>0</v>
      </c>
      <c r="CB60" s="20">
        <f t="shared" si="359"/>
        <v>0</v>
      </c>
      <c r="CC60" s="20">
        <f t="shared" si="359"/>
        <v>0</v>
      </c>
      <c r="CD60" s="20">
        <f t="shared" si="359"/>
        <v>0</v>
      </c>
      <c r="CE60" s="20">
        <f t="shared" si="359"/>
        <v>0</v>
      </c>
      <c r="CF60" s="20">
        <f t="shared" si="359"/>
        <v>0</v>
      </c>
      <c r="CG60" s="20">
        <f t="shared" si="359"/>
        <v>0</v>
      </c>
      <c r="CH60" s="20">
        <f t="shared" si="359"/>
        <v>0</v>
      </c>
      <c r="CI60" s="20">
        <f t="shared" si="359"/>
        <v>0</v>
      </c>
      <c r="CJ60" s="20">
        <f t="shared" si="359"/>
        <v>0</v>
      </c>
      <c r="CK60" s="20">
        <f t="shared" si="359"/>
        <v>0</v>
      </c>
      <c r="CL60" s="20">
        <f t="shared" si="359"/>
        <v>0</v>
      </c>
      <c r="CM60" s="20">
        <f t="shared" si="358"/>
        <v>0</v>
      </c>
      <c r="CN60" s="20">
        <f t="shared" si="358"/>
        <v>0</v>
      </c>
      <c r="CO60" s="20">
        <f t="shared" si="358"/>
        <v>0</v>
      </c>
      <c r="CP60" s="20">
        <f t="shared" si="358"/>
        <v>0</v>
      </c>
      <c r="CQ60" s="20">
        <f t="shared" si="358"/>
        <v>0</v>
      </c>
      <c r="CR60" s="20">
        <f t="shared" si="358"/>
        <v>0</v>
      </c>
      <c r="CS60" s="20">
        <f t="shared" si="358"/>
        <v>0</v>
      </c>
      <c r="CT60" s="20">
        <f t="shared" si="358"/>
        <v>0</v>
      </c>
      <c r="CU60" s="20">
        <f t="shared" si="358"/>
        <v>0</v>
      </c>
      <c r="CV60" s="20">
        <f t="shared" si="358"/>
        <v>0</v>
      </c>
      <c r="CW60" s="20">
        <f t="shared" si="358"/>
        <v>0</v>
      </c>
      <c r="CX60" s="20">
        <f t="shared" si="358"/>
        <v>0</v>
      </c>
      <c r="CY60" s="20">
        <f t="shared" si="358"/>
        <v>0</v>
      </c>
      <c r="CZ60" s="20">
        <f t="shared" si="358"/>
        <v>0</v>
      </c>
      <c r="DA60" s="20">
        <f t="shared" si="354"/>
        <v>0</v>
      </c>
      <c r="DB60" s="20">
        <f t="shared" si="354"/>
        <v>0</v>
      </c>
      <c r="DC60" s="20">
        <f t="shared" si="354"/>
        <v>0</v>
      </c>
      <c r="DD60" s="20">
        <f t="shared" si="354"/>
        <v>0</v>
      </c>
      <c r="DE60" s="20">
        <f t="shared" si="354"/>
        <v>0</v>
      </c>
      <c r="DF60" s="20">
        <f t="shared" si="354"/>
        <v>0</v>
      </c>
      <c r="DG60" s="20">
        <f t="shared" si="354"/>
        <v>0</v>
      </c>
      <c r="DH60" s="20">
        <f t="shared" si="354"/>
        <v>0</v>
      </c>
      <c r="DI60" s="20">
        <f t="shared" si="354"/>
        <v>0</v>
      </c>
      <c r="DJ60" s="20">
        <f t="shared" si="354"/>
        <v>0</v>
      </c>
      <c r="DK60" s="20">
        <f t="shared" si="354"/>
        <v>0</v>
      </c>
      <c r="DL60" s="20">
        <f t="shared" si="354"/>
        <v>0</v>
      </c>
      <c r="DM60" s="20">
        <f t="shared" si="354"/>
        <v>0</v>
      </c>
      <c r="DN60" s="20">
        <f t="shared" si="354"/>
        <v>0</v>
      </c>
      <c r="DO60" s="20">
        <f t="shared" si="354"/>
        <v>0</v>
      </c>
      <c r="DP60" s="20">
        <f t="shared" si="354"/>
        <v>0</v>
      </c>
      <c r="DQ60" s="20">
        <f t="shared" si="354"/>
        <v>0</v>
      </c>
    </row>
    <row r="61" spans="4:121" ht="15" thickBot="1" x14ac:dyDescent="0.4">
      <c r="E61" s="39" t="s">
        <v>4</v>
      </c>
      <c r="F61" s="39" t="s">
        <v>129</v>
      </c>
      <c r="G61" s="48">
        <f>Assumptions!H61</f>
        <v>4440000</v>
      </c>
      <c r="H61" s="41">
        <f t="shared" si="355"/>
        <v>0.2</v>
      </c>
      <c r="I61" s="55">
        <f>SUM(K61:DQ61)</f>
        <v>4440000</v>
      </c>
      <c r="J61" s="39"/>
      <c r="K61" s="39">
        <f t="shared" si="357"/>
        <v>0</v>
      </c>
      <c r="L61" s="39">
        <f t="shared" si="357"/>
        <v>0</v>
      </c>
      <c r="M61" s="39">
        <f t="shared" si="357"/>
        <v>0</v>
      </c>
      <c r="N61" s="39">
        <f t="shared" si="357"/>
        <v>0</v>
      </c>
      <c r="O61" s="39">
        <f t="shared" si="357"/>
        <v>888000</v>
      </c>
      <c r="P61" s="39">
        <f t="shared" si="357"/>
        <v>888000</v>
      </c>
      <c r="Q61" s="39">
        <f t="shared" si="357"/>
        <v>888000</v>
      </c>
      <c r="R61" s="39">
        <f t="shared" si="357"/>
        <v>888000</v>
      </c>
      <c r="S61" s="39">
        <f t="shared" si="357"/>
        <v>888000</v>
      </c>
      <c r="T61" s="39">
        <f t="shared" si="357"/>
        <v>0</v>
      </c>
      <c r="U61" s="39">
        <f t="shared" si="357"/>
        <v>0</v>
      </c>
      <c r="V61" s="39">
        <f t="shared" si="357"/>
        <v>0</v>
      </c>
      <c r="W61" s="39">
        <f t="shared" si="357"/>
        <v>0</v>
      </c>
      <c r="X61" s="39">
        <f t="shared" si="357"/>
        <v>0</v>
      </c>
      <c r="Y61" s="39">
        <f t="shared" si="357"/>
        <v>0</v>
      </c>
      <c r="Z61" s="39">
        <f t="shared" si="357"/>
        <v>0</v>
      </c>
      <c r="AA61" s="39">
        <f t="shared" si="359"/>
        <v>0</v>
      </c>
      <c r="AB61" s="39">
        <f t="shared" si="359"/>
        <v>0</v>
      </c>
      <c r="AC61" s="39">
        <f t="shared" si="359"/>
        <v>0</v>
      </c>
      <c r="AD61" s="39">
        <f t="shared" si="359"/>
        <v>0</v>
      </c>
      <c r="AE61" s="39">
        <f t="shared" si="359"/>
        <v>0</v>
      </c>
      <c r="AF61" s="39">
        <f t="shared" si="359"/>
        <v>0</v>
      </c>
      <c r="AG61" s="39">
        <f t="shared" si="359"/>
        <v>0</v>
      </c>
      <c r="AH61" s="39">
        <f t="shared" si="359"/>
        <v>0</v>
      </c>
      <c r="AI61" s="39">
        <f t="shared" si="359"/>
        <v>0</v>
      </c>
      <c r="AJ61" s="39">
        <f t="shared" si="359"/>
        <v>0</v>
      </c>
      <c r="AK61" s="39">
        <f t="shared" si="359"/>
        <v>0</v>
      </c>
      <c r="AL61" s="39">
        <f t="shared" si="359"/>
        <v>0</v>
      </c>
      <c r="AM61" s="39">
        <f t="shared" si="359"/>
        <v>0</v>
      </c>
      <c r="AN61" s="39">
        <f t="shared" si="359"/>
        <v>0</v>
      </c>
      <c r="AO61" s="39">
        <f t="shared" si="359"/>
        <v>0</v>
      </c>
      <c r="AP61" s="39">
        <f t="shared" si="359"/>
        <v>0</v>
      </c>
      <c r="AQ61" s="39">
        <f t="shared" si="359"/>
        <v>0</v>
      </c>
      <c r="AR61" s="39">
        <f t="shared" si="359"/>
        <v>0</v>
      </c>
      <c r="AS61" s="39">
        <f t="shared" si="359"/>
        <v>0</v>
      </c>
      <c r="AT61" s="39">
        <f t="shared" si="359"/>
        <v>0</v>
      </c>
      <c r="AU61" s="39">
        <f t="shared" si="359"/>
        <v>0</v>
      </c>
      <c r="AV61" s="39">
        <f t="shared" si="359"/>
        <v>0</v>
      </c>
      <c r="AW61" s="39">
        <f t="shared" si="359"/>
        <v>0</v>
      </c>
      <c r="AX61" s="39">
        <f t="shared" si="359"/>
        <v>0</v>
      </c>
      <c r="AY61" s="39">
        <f t="shared" si="359"/>
        <v>0</v>
      </c>
      <c r="AZ61" s="39">
        <f t="shared" si="359"/>
        <v>0</v>
      </c>
      <c r="BA61" s="39">
        <f t="shared" si="359"/>
        <v>0</v>
      </c>
      <c r="BB61" s="39">
        <f t="shared" si="359"/>
        <v>0</v>
      </c>
      <c r="BC61" s="39">
        <f t="shared" si="359"/>
        <v>0</v>
      </c>
      <c r="BD61" s="39">
        <f t="shared" si="359"/>
        <v>0</v>
      </c>
      <c r="BE61" s="39">
        <f t="shared" si="359"/>
        <v>0</v>
      </c>
      <c r="BF61" s="39">
        <f t="shared" si="359"/>
        <v>0</v>
      </c>
      <c r="BG61" s="39">
        <f t="shared" si="359"/>
        <v>0</v>
      </c>
      <c r="BH61" s="39">
        <f t="shared" si="359"/>
        <v>0</v>
      </c>
      <c r="BI61" s="39">
        <f t="shared" si="359"/>
        <v>0</v>
      </c>
      <c r="BJ61" s="39">
        <f t="shared" si="359"/>
        <v>0</v>
      </c>
      <c r="BK61" s="39">
        <f t="shared" si="359"/>
        <v>0</v>
      </c>
      <c r="BL61" s="39">
        <f t="shared" si="359"/>
        <v>0</v>
      </c>
      <c r="BM61" s="39">
        <f t="shared" si="359"/>
        <v>0</v>
      </c>
      <c r="BN61" s="39">
        <f t="shared" si="359"/>
        <v>0</v>
      </c>
      <c r="BO61" s="39">
        <f t="shared" si="359"/>
        <v>0</v>
      </c>
      <c r="BP61" s="39">
        <f t="shared" si="359"/>
        <v>0</v>
      </c>
      <c r="BQ61" s="39">
        <f t="shared" si="359"/>
        <v>0</v>
      </c>
      <c r="BR61" s="39">
        <f t="shared" si="359"/>
        <v>0</v>
      </c>
      <c r="BS61" s="39">
        <f t="shared" si="359"/>
        <v>0</v>
      </c>
      <c r="BT61" s="39">
        <f t="shared" si="359"/>
        <v>0</v>
      </c>
      <c r="BU61" s="39">
        <f t="shared" si="359"/>
        <v>0</v>
      </c>
      <c r="BV61" s="39">
        <f t="shared" si="359"/>
        <v>0</v>
      </c>
      <c r="BW61" s="39">
        <f t="shared" si="359"/>
        <v>0</v>
      </c>
      <c r="BX61" s="39">
        <f t="shared" si="359"/>
        <v>0</v>
      </c>
      <c r="BY61" s="39">
        <f t="shared" si="359"/>
        <v>0</v>
      </c>
      <c r="BZ61" s="39">
        <f t="shared" si="359"/>
        <v>0</v>
      </c>
      <c r="CA61" s="39">
        <f t="shared" si="359"/>
        <v>0</v>
      </c>
      <c r="CB61" s="39">
        <f t="shared" si="359"/>
        <v>0</v>
      </c>
      <c r="CC61" s="39">
        <f t="shared" si="359"/>
        <v>0</v>
      </c>
      <c r="CD61" s="39">
        <f t="shared" si="359"/>
        <v>0</v>
      </c>
      <c r="CE61" s="39">
        <f t="shared" si="359"/>
        <v>0</v>
      </c>
      <c r="CF61" s="39">
        <f t="shared" si="359"/>
        <v>0</v>
      </c>
      <c r="CG61" s="39">
        <f t="shared" si="359"/>
        <v>0</v>
      </c>
      <c r="CH61" s="39">
        <f t="shared" si="359"/>
        <v>0</v>
      </c>
      <c r="CI61" s="39">
        <f t="shared" si="359"/>
        <v>0</v>
      </c>
      <c r="CJ61" s="39">
        <f t="shared" si="359"/>
        <v>0</v>
      </c>
      <c r="CK61" s="39">
        <f t="shared" si="359"/>
        <v>0</v>
      </c>
      <c r="CL61" s="39">
        <f t="shared" si="359"/>
        <v>0</v>
      </c>
      <c r="CM61" s="39">
        <f t="shared" si="358"/>
        <v>0</v>
      </c>
      <c r="CN61" s="39">
        <f t="shared" si="358"/>
        <v>0</v>
      </c>
      <c r="CO61" s="39">
        <f t="shared" si="358"/>
        <v>0</v>
      </c>
      <c r="CP61" s="39">
        <f t="shared" si="358"/>
        <v>0</v>
      </c>
      <c r="CQ61" s="39">
        <f t="shared" si="358"/>
        <v>0</v>
      </c>
      <c r="CR61" s="39">
        <f t="shared" si="358"/>
        <v>0</v>
      </c>
      <c r="CS61" s="39">
        <f t="shared" si="358"/>
        <v>0</v>
      </c>
      <c r="CT61" s="39">
        <f t="shared" si="358"/>
        <v>0</v>
      </c>
      <c r="CU61" s="39">
        <f t="shared" si="358"/>
        <v>0</v>
      </c>
      <c r="CV61" s="39">
        <f t="shared" si="358"/>
        <v>0</v>
      </c>
      <c r="CW61" s="39">
        <f t="shared" si="358"/>
        <v>0</v>
      </c>
      <c r="CX61" s="39">
        <f t="shared" si="358"/>
        <v>0</v>
      </c>
      <c r="CY61" s="39">
        <f t="shared" si="358"/>
        <v>0</v>
      </c>
      <c r="CZ61" s="39">
        <f t="shared" si="358"/>
        <v>0</v>
      </c>
      <c r="DA61" s="39">
        <f t="shared" si="354"/>
        <v>0</v>
      </c>
      <c r="DB61" s="39">
        <f t="shared" si="354"/>
        <v>0</v>
      </c>
      <c r="DC61" s="39">
        <f t="shared" si="354"/>
        <v>0</v>
      </c>
      <c r="DD61" s="39">
        <f t="shared" si="354"/>
        <v>0</v>
      </c>
      <c r="DE61" s="39">
        <f t="shared" si="354"/>
        <v>0</v>
      </c>
      <c r="DF61" s="39">
        <f t="shared" si="354"/>
        <v>0</v>
      </c>
      <c r="DG61" s="39">
        <f t="shared" si="354"/>
        <v>0</v>
      </c>
      <c r="DH61" s="39">
        <f t="shared" si="354"/>
        <v>0</v>
      </c>
      <c r="DI61" s="39">
        <f t="shared" si="354"/>
        <v>0</v>
      </c>
      <c r="DJ61" s="39">
        <f t="shared" si="354"/>
        <v>0</v>
      </c>
      <c r="DK61" s="39">
        <f t="shared" si="354"/>
        <v>0</v>
      </c>
      <c r="DL61" s="39">
        <f t="shared" si="354"/>
        <v>0</v>
      </c>
      <c r="DM61" s="39">
        <f t="shared" si="354"/>
        <v>0</v>
      </c>
      <c r="DN61" s="39">
        <f t="shared" si="354"/>
        <v>0</v>
      </c>
      <c r="DO61" s="39">
        <f t="shared" si="354"/>
        <v>0</v>
      </c>
      <c r="DP61" s="39">
        <f t="shared" si="354"/>
        <v>0</v>
      </c>
      <c r="DQ61" s="39">
        <f t="shared" si="354"/>
        <v>0</v>
      </c>
    </row>
    <row r="63" spans="4:121" ht="15" thickBot="1" x14ac:dyDescent="0.4">
      <c r="E63" s="42" t="s">
        <v>229</v>
      </c>
      <c r="F63" s="42" t="s">
        <v>129</v>
      </c>
      <c r="G63" s="42"/>
      <c r="H63" s="42"/>
      <c r="I63" s="56">
        <f>SUM(K63:DQ63)</f>
        <v>4602000</v>
      </c>
      <c r="J63" s="42"/>
      <c r="K63" s="42">
        <f>K51+K61</f>
        <v>40500</v>
      </c>
      <c r="L63" s="42">
        <f t="shared" ref="L63:BW63" si="360">L51+L61</f>
        <v>40500</v>
      </c>
      <c r="M63" s="42">
        <f t="shared" si="360"/>
        <v>40500</v>
      </c>
      <c r="N63" s="42">
        <f t="shared" si="360"/>
        <v>40500</v>
      </c>
      <c r="O63" s="42">
        <f t="shared" si="360"/>
        <v>888000</v>
      </c>
      <c r="P63" s="42">
        <f t="shared" si="360"/>
        <v>888000</v>
      </c>
      <c r="Q63" s="42">
        <f t="shared" si="360"/>
        <v>888000</v>
      </c>
      <c r="R63" s="42">
        <f t="shared" si="360"/>
        <v>888000</v>
      </c>
      <c r="S63" s="42">
        <f t="shared" si="360"/>
        <v>888000</v>
      </c>
      <c r="T63" s="42">
        <f t="shared" si="360"/>
        <v>0</v>
      </c>
      <c r="U63" s="42">
        <f t="shared" si="360"/>
        <v>0</v>
      </c>
      <c r="V63" s="42">
        <f t="shared" si="360"/>
        <v>0</v>
      </c>
      <c r="W63" s="42">
        <f t="shared" si="360"/>
        <v>0</v>
      </c>
      <c r="X63" s="42">
        <f t="shared" si="360"/>
        <v>0</v>
      </c>
      <c r="Y63" s="42">
        <f t="shared" si="360"/>
        <v>0</v>
      </c>
      <c r="Z63" s="42">
        <f t="shared" si="360"/>
        <v>0</v>
      </c>
      <c r="AA63" s="42">
        <f t="shared" si="360"/>
        <v>0</v>
      </c>
      <c r="AB63" s="42">
        <f t="shared" si="360"/>
        <v>0</v>
      </c>
      <c r="AC63" s="42">
        <f t="shared" si="360"/>
        <v>0</v>
      </c>
      <c r="AD63" s="42">
        <f t="shared" si="360"/>
        <v>0</v>
      </c>
      <c r="AE63" s="42">
        <f t="shared" si="360"/>
        <v>0</v>
      </c>
      <c r="AF63" s="42">
        <f t="shared" si="360"/>
        <v>0</v>
      </c>
      <c r="AG63" s="42">
        <f t="shared" si="360"/>
        <v>0</v>
      </c>
      <c r="AH63" s="42">
        <f t="shared" si="360"/>
        <v>0</v>
      </c>
      <c r="AI63" s="42">
        <f t="shared" si="360"/>
        <v>0</v>
      </c>
      <c r="AJ63" s="42">
        <f t="shared" si="360"/>
        <v>0</v>
      </c>
      <c r="AK63" s="42">
        <f t="shared" si="360"/>
        <v>0</v>
      </c>
      <c r="AL63" s="42">
        <f t="shared" si="360"/>
        <v>0</v>
      </c>
      <c r="AM63" s="42">
        <f t="shared" si="360"/>
        <v>0</v>
      </c>
      <c r="AN63" s="42">
        <f t="shared" si="360"/>
        <v>0</v>
      </c>
      <c r="AO63" s="42">
        <f t="shared" si="360"/>
        <v>0</v>
      </c>
      <c r="AP63" s="42">
        <f t="shared" si="360"/>
        <v>0</v>
      </c>
      <c r="AQ63" s="42">
        <f t="shared" si="360"/>
        <v>0</v>
      </c>
      <c r="AR63" s="42">
        <f t="shared" si="360"/>
        <v>0</v>
      </c>
      <c r="AS63" s="42">
        <f t="shared" si="360"/>
        <v>0</v>
      </c>
      <c r="AT63" s="42">
        <f t="shared" si="360"/>
        <v>0</v>
      </c>
      <c r="AU63" s="42">
        <f t="shared" si="360"/>
        <v>0</v>
      </c>
      <c r="AV63" s="42">
        <f t="shared" si="360"/>
        <v>0</v>
      </c>
      <c r="AW63" s="42">
        <f t="shared" si="360"/>
        <v>0</v>
      </c>
      <c r="AX63" s="42">
        <f t="shared" si="360"/>
        <v>0</v>
      </c>
      <c r="AY63" s="42">
        <f t="shared" si="360"/>
        <v>0</v>
      </c>
      <c r="AZ63" s="42">
        <f t="shared" si="360"/>
        <v>0</v>
      </c>
      <c r="BA63" s="42">
        <f t="shared" si="360"/>
        <v>0</v>
      </c>
      <c r="BB63" s="42">
        <f t="shared" si="360"/>
        <v>0</v>
      </c>
      <c r="BC63" s="42">
        <f t="shared" si="360"/>
        <v>0</v>
      </c>
      <c r="BD63" s="42">
        <f t="shared" si="360"/>
        <v>0</v>
      </c>
      <c r="BE63" s="42">
        <f t="shared" si="360"/>
        <v>0</v>
      </c>
      <c r="BF63" s="42">
        <f t="shared" si="360"/>
        <v>0</v>
      </c>
      <c r="BG63" s="42">
        <f t="shared" si="360"/>
        <v>0</v>
      </c>
      <c r="BH63" s="42">
        <f t="shared" si="360"/>
        <v>0</v>
      </c>
      <c r="BI63" s="42">
        <f t="shared" si="360"/>
        <v>0</v>
      </c>
      <c r="BJ63" s="42">
        <f t="shared" si="360"/>
        <v>0</v>
      </c>
      <c r="BK63" s="42">
        <f t="shared" si="360"/>
        <v>0</v>
      </c>
      <c r="BL63" s="42">
        <f t="shared" si="360"/>
        <v>0</v>
      </c>
      <c r="BM63" s="42">
        <f t="shared" si="360"/>
        <v>0</v>
      </c>
      <c r="BN63" s="42">
        <f t="shared" si="360"/>
        <v>0</v>
      </c>
      <c r="BO63" s="42">
        <f t="shared" si="360"/>
        <v>0</v>
      </c>
      <c r="BP63" s="42">
        <f t="shared" si="360"/>
        <v>0</v>
      </c>
      <c r="BQ63" s="42">
        <f t="shared" si="360"/>
        <v>0</v>
      </c>
      <c r="BR63" s="42">
        <f t="shared" si="360"/>
        <v>0</v>
      </c>
      <c r="BS63" s="42">
        <f t="shared" si="360"/>
        <v>0</v>
      </c>
      <c r="BT63" s="42">
        <f t="shared" si="360"/>
        <v>0</v>
      </c>
      <c r="BU63" s="42">
        <f t="shared" si="360"/>
        <v>0</v>
      </c>
      <c r="BV63" s="42">
        <f t="shared" si="360"/>
        <v>0</v>
      </c>
      <c r="BW63" s="42">
        <f t="shared" si="360"/>
        <v>0</v>
      </c>
      <c r="BX63" s="42">
        <f t="shared" ref="BX63:DQ63" si="361">BX51+BX61</f>
        <v>0</v>
      </c>
      <c r="BY63" s="42">
        <f t="shared" si="361"/>
        <v>0</v>
      </c>
      <c r="BZ63" s="42">
        <f t="shared" si="361"/>
        <v>0</v>
      </c>
      <c r="CA63" s="42">
        <f t="shared" si="361"/>
        <v>0</v>
      </c>
      <c r="CB63" s="42">
        <f t="shared" si="361"/>
        <v>0</v>
      </c>
      <c r="CC63" s="42">
        <f t="shared" si="361"/>
        <v>0</v>
      </c>
      <c r="CD63" s="42">
        <f t="shared" si="361"/>
        <v>0</v>
      </c>
      <c r="CE63" s="42">
        <f t="shared" si="361"/>
        <v>0</v>
      </c>
      <c r="CF63" s="42">
        <f t="shared" si="361"/>
        <v>0</v>
      </c>
      <c r="CG63" s="42">
        <f t="shared" si="361"/>
        <v>0</v>
      </c>
      <c r="CH63" s="42">
        <f t="shared" si="361"/>
        <v>0</v>
      </c>
      <c r="CI63" s="42">
        <f t="shared" si="361"/>
        <v>0</v>
      </c>
      <c r="CJ63" s="42">
        <f t="shared" si="361"/>
        <v>0</v>
      </c>
      <c r="CK63" s="42">
        <f t="shared" si="361"/>
        <v>0</v>
      </c>
      <c r="CL63" s="42">
        <f t="shared" si="361"/>
        <v>0</v>
      </c>
      <c r="CM63" s="42">
        <f t="shared" si="361"/>
        <v>0</v>
      </c>
      <c r="CN63" s="42">
        <f t="shared" si="361"/>
        <v>0</v>
      </c>
      <c r="CO63" s="42">
        <f t="shared" si="361"/>
        <v>0</v>
      </c>
      <c r="CP63" s="42">
        <f t="shared" si="361"/>
        <v>0</v>
      </c>
      <c r="CQ63" s="42">
        <f t="shared" si="361"/>
        <v>0</v>
      </c>
      <c r="CR63" s="42">
        <f t="shared" si="361"/>
        <v>0</v>
      </c>
      <c r="CS63" s="42">
        <f t="shared" si="361"/>
        <v>0</v>
      </c>
      <c r="CT63" s="42">
        <f t="shared" si="361"/>
        <v>0</v>
      </c>
      <c r="CU63" s="42">
        <f t="shared" si="361"/>
        <v>0</v>
      </c>
      <c r="CV63" s="42">
        <f t="shared" si="361"/>
        <v>0</v>
      </c>
      <c r="CW63" s="42">
        <f t="shared" si="361"/>
        <v>0</v>
      </c>
      <c r="CX63" s="42">
        <f t="shared" si="361"/>
        <v>0</v>
      </c>
      <c r="CY63" s="42">
        <f t="shared" si="361"/>
        <v>0</v>
      </c>
      <c r="CZ63" s="42">
        <f t="shared" si="361"/>
        <v>0</v>
      </c>
      <c r="DA63" s="42">
        <f t="shared" si="361"/>
        <v>0</v>
      </c>
      <c r="DB63" s="42">
        <f t="shared" si="361"/>
        <v>0</v>
      </c>
      <c r="DC63" s="42">
        <f t="shared" si="361"/>
        <v>0</v>
      </c>
      <c r="DD63" s="42">
        <f t="shared" si="361"/>
        <v>0</v>
      </c>
      <c r="DE63" s="42">
        <f t="shared" si="361"/>
        <v>0</v>
      </c>
      <c r="DF63" s="42">
        <f t="shared" si="361"/>
        <v>0</v>
      </c>
      <c r="DG63" s="42">
        <f t="shared" si="361"/>
        <v>0</v>
      </c>
      <c r="DH63" s="42">
        <f t="shared" si="361"/>
        <v>0</v>
      </c>
      <c r="DI63" s="42">
        <f t="shared" si="361"/>
        <v>0</v>
      </c>
      <c r="DJ63" s="42">
        <f t="shared" si="361"/>
        <v>0</v>
      </c>
      <c r="DK63" s="42">
        <f t="shared" si="361"/>
        <v>0</v>
      </c>
      <c r="DL63" s="42">
        <f t="shared" si="361"/>
        <v>0</v>
      </c>
      <c r="DM63" s="42">
        <f t="shared" si="361"/>
        <v>0</v>
      </c>
      <c r="DN63" s="42">
        <f t="shared" si="361"/>
        <v>0</v>
      </c>
      <c r="DO63" s="42">
        <f t="shared" si="361"/>
        <v>0</v>
      </c>
      <c r="DP63" s="42">
        <f t="shared" si="361"/>
        <v>0</v>
      </c>
      <c r="DQ63" s="42">
        <f t="shared" si="361"/>
        <v>0</v>
      </c>
    </row>
    <row r="64" spans="4:121" ht="15" thickTop="1" x14ac:dyDescent="0.35"/>
    <row r="65" spans="2:1006" x14ac:dyDescent="0.35">
      <c r="B65" s="37" t="s">
        <v>201</v>
      </c>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c r="AV65" s="37"/>
      <c r="AW65" s="37"/>
      <c r="AX65" s="37"/>
      <c r="AY65" s="37"/>
      <c r="AZ65" s="37"/>
      <c r="BA65" s="37"/>
      <c r="BB65" s="37"/>
      <c r="BC65" s="37"/>
      <c r="BD65" s="37"/>
      <c r="BE65" s="37"/>
      <c r="BF65" s="37"/>
      <c r="BG65" s="37"/>
      <c r="BH65" s="37"/>
      <c r="BI65" s="37"/>
      <c r="BJ65" s="37"/>
      <c r="BK65" s="37"/>
      <c r="BL65" s="37"/>
      <c r="BM65" s="37"/>
      <c r="BN65" s="37"/>
      <c r="BO65" s="37"/>
      <c r="BP65" s="37"/>
      <c r="BQ65" s="37"/>
      <c r="BR65" s="37"/>
      <c r="BS65" s="37"/>
      <c r="BT65" s="37"/>
      <c r="BU65" s="37"/>
      <c r="BV65" s="37"/>
      <c r="BW65" s="37"/>
      <c r="BX65" s="37"/>
      <c r="BY65" s="37"/>
      <c r="BZ65" s="37"/>
      <c r="CA65" s="37"/>
      <c r="CB65" s="37"/>
      <c r="CC65" s="37"/>
      <c r="CD65" s="37"/>
      <c r="CE65" s="37"/>
      <c r="CF65" s="37"/>
      <c r="CG65" s="37"/>
      <c r="CH65" s="37"/>
      <c r="CI65" s="37"/>
      <c r="CJ65" s="37"/>
      <c r="CK65" s="37"/>
      <c r="CL65" s="37"/>
      <c r="CM65" s="37"/>
      <c r="CN65" s="37"/>
      <c r="CO65" s="37"/>
      <c r="CP65" s="37"/>
      <c r="CQ65" s="37"/>
      <c r="CR65" s="37"/>
      <c r="CS65" s="37"/>
      <c r="CT65" s="37"/>
      <c r="CU65" s="37"/>
      <c r="CV65" s="37"/>
      <c r="CW65" s="37"/>
      <c r="CX65" s="37"/>
      <c r="CY65" s="37"/>
      <c r="CZ65" s="37"/>
      <c r="DA65" s="37"/>
      <c r="DB65" s="37"/>
      <c r="DC65" s="37"/>
      <c r="DD65" s="37"/>
      <c r="DE65" s="37"/>
      <c r="DF65" s="37"/>
      <c r="DG65" s="37"/>
      <c r="DH65" s="37"/>
      <c r="DI65" s="37"/>
      <c r="DJ65" s="37"/>
      <c r="DK65" s="37"/>
      <c r="DL65" s="37"/>
      <c r="DM65" s="37"/>
      <c r="DN65" s="37"/>
      <c r="DO65" s="37"/>
      <c r="DP65" s="37"/>
      <c r="DQ65" s="37"/>
      <c r="DR65" s="37"/>
      <c r="DS65" s="37"/>
      <c r="DT65" s="37"/>
      <c r="DU65" s="37"/>
      <c r="DV65" s="37"/>
      <c r="DW65" s="37"/>
      <c r="DX65" s="37"/>
      <c r="DY65" s="37"/>
      <c r="DZ65" s="37"/>
      <c r="EA65" s="37"/>
      <c r="EB65" s="37"/>
      <c r="EC65" s="37"/>
      <c r="ED65" s="37"/>
      <c r="EE65" s="37"/>
      <c r="EF65" s="37"/>
      <c r="EG65" s="37"/>
      <c r="EH65" s="37"/>
      <c r="EI65" s="37"/>
      <c r="EJ65" s="37"/>
      <c r="EK65" s="37"/>
      <c r="EL65" s="37"/>
      <c r="EM65" s="37"/>
      <c r="EN65" s="37"/>
      <c r="EO65" s="37"/>
      <c r="EP65" s="37"/>
      <c r="EQ65" s="37"/>
      <c r="ER65" s="37"/>
      <c r="ES65" s="37"/>
      <c r="ET65" s="37"/>
      <c r="EU65" s="37"/>
      <c r="EV65" s="37"/>
      <c r="EW65" s="37"/>
      <c r="EX65" s="37"/>
      <c r="EY65" s="37"/>
      <c r="EZ65" s="37"/>
      <c r="FA65" s="37"/>
      <c r="FB65" s="37"/>
      <c r="FC65" s="37"/>
      <c r="FD65" s="37"/>
      <c r="FE65" s="37"/>
      <c r="FF65" s="37"/>
      <c r="FG65" s="37"/>
      <c r="FH65" s="37"/>
      <c r="FI65" s="37"/>
      <c r="FJ65" s="37"/>
      <c r="FK65" s="37"/>
      <c r="FL65" s="37"/>
      <c r="FM65" s="37"/>
      <c r="FN65" s="37"/>
      <c r="FO65" s="37"/>
      <c r="FP65" s="37"/>
      <c r="FQ65" s="37"/>
      <c r="FR65" s="37"/>
      <c r="FS65" s="37"/>
      <c r="FT65" s="37"/>
      <c r="FU65" s="37"/>
      <c r="FV65" s="37"/>
      <c r="FW65" s="37"/>
      <c r="FX65" s="37"/>
      <c r="FY65" s="37"/>
      <c r="FZ65" s="37"/>
      <c r="GA65" s="37"/>
      <c r="GB65" s="37"/>
      <c r="GC65" s="37"/>
      <c r="GD65" s="37"/>
      <c r="GE65" s="37"/>
      <c r="GF65" s="37"/>
      <c r="GG65" s="37"/>
      <c r="GH65" s="37"/>
      <c r="GI65" s="37"/>
      <c r="GJ65" s="37"/>
      <c r="GK65" s="37"/>
      <c r="GL65" s="37"/>
      <c r="GM65" s="37"/>
      <c r="GN65" s="37"/>
      <c r="GO65" s="37"/>
      <c r="GP65" s="37"/>
      <c r="GQ65" s="37"/>
      <c r="GR65" s="37"/>
      <c r="GS65" s="37"/>
      <c r="GT65" s="37"/>
      <c r="GU65" s="37"/>
      <c r="GV65" s="37"/>
      <c r="GW65" s="37"/>
      <c r="GX65" s="37"/>
      <c r="GY65" s="37"/>
      <c r="GZ65" s="37"/>
      <c r="HA65" s="37"/>
      <c r="HB65" s="37"/>
      <c r="HC65" s="37"/>
      <c r="HD65" s="37"/>
      <c r="HE65" s="37"/>
      <c r="HF65" s="37"/>
      <c r="HG65" s="37"/>
      <c r="HH65" s="37"/>
      <c r="HI65" s="37"/>
      <c r="HJ65" s="37"/>
      <c r="HK65" s="37"/>
      <c r="HL65" s="37"/>
      <c r="HM65" s="37"/>
      <c r="HN65" s="37"/>
      <c r="HO65" s="37"/>
      <c r="HP65" s="37"/>
      <c r="HQ65" s="37"/>
      <c r="HR65" s="37"/>
      <c r="HS65" s="37"/>
      <c r="HT65" s="37"/>
      <c r="HU65" s="37"/>
      <c r="HV65" s="37"/>
      <c r="HW65" s="37"/>
      <c r="HX65" s="37"/>
      <c r="HY65" s="37"/>
      <c r="HZ65" s="37"/>
      <c r="IA65" s="37"/>
      <c r="IB65" s="37"/>
      <c r="IC65" s="37"/>
      <c r="ID65" s="37"/>
      <c r="IE65" s="37"/>
      <c r="IF65" s="37"/>
      <c r="IG65" s="37"/>
      <c r="IH65" s="37"/>
      <c r="II65" s="37"/>
      <c r="IJ65" s="37"/>
      <c r="IK65" s="37"/>
      <c r="IL65" s="37"/>
      <c r="IM65" s="37"/>
      <c r="IN65" s="37"/>
      <c r="IO65" s="37"/>
      <c r="IP65" s="37"/>
      <c r="IQ65" s="37"/>
      <c r="IR65" s="37"/>
      <c r="IS65" s="37"/>
      <c r="IT65" s="37"/>
      <c r="IU65" s="37"/>
      <c r="IV65" s="37"/>
      <c r="IW65" s="37"/>
      <c r="IX65" s="37"/>
      <c r="IY65" s="37"/>
      <c r="IZ65" s="37"/>
      <c r="JA65" s="37"/>
      <c r="JB65" s="37"/>
      <c r="JC65" s="37"/>
      <c r="JD65" s="37"/>
      <c r="JE65" s="37"/>
      <c r="JF65" s="37"/>
      <c r="JG65" s="37"/>
      <c r="JH65" s="37"/>
      <c r="JI65" s="37"/>
      <c r="JJ65" s="37"/>
      <c r="JK65" s="37"/>
      <c r="JL65" s="37"/>
      <c r="JM65" s="37"/>
      <c r="JN65" s="37"/>
      <c r="JO65" s="37"/>
      <c r="JP65" s="37"/>
      <c r="JQ65" s="37"/>
      <c r="JR65" s="37"/>
      <c r="JS65" s="37"/>
      <c r="JT65" s="37"/>
      <c r="JU65" s="37"/>
      <c r="JV65" s="37"/>
      <c r="JW65" s="37"/>
      <c r="JX65" s="37"/>
      <c r="JY65" s="37"/>
      <c r="JZ65" s="37"/>
      <c r="KA65" s="37"/>
      <c r="KB65" s="37"/>
      <c r="KC65" s="37"/>
      <c r="KD65" s="37"/>
      <c r="KE65" s="37"/>
      <c r="KF65" s="37"/>
      <c r="KG65" s="37"/>
      <c r="KH65" s="37"/>
      <c r="KI65" s="37"/>
      <c r="KJ65" s="37"/>
      <c r="KK65" s="37"/>
      <c r="KL65" s="37"/>
      <c r="KM65" s="37"/>
      <c r="KN65" s="37"/>
      <c r="KO65" s="37"/>
      <c r="KP65" s="37"/>
      <c r="KQ65" s="37"/>
      <c r="KR65" s="37"/>
      <c r="KS65" s="37"/>
      <c r="KT65" s="37"/>
      <c r="KU65" s="37"/>
      <c r="KV65" s="37"/>
      <c r="KW65" s="37"/>
      <c r="KX65" s="37"/>
      <c r="KY65" s="37"/>
      <c r="KZ65" s="37"/>
      <c r="LA65" s="37"/>
      <c r="LB65" s="37"/>
      <c r="LC65" s="37"/>
      <c r="LD65" s="37"/>
      <c r="LE65" s="37"/>
      <c r="LF65" s="37"/>
      <c r="LG65" s="37"/>
      <c r="LH65" s="37"/>
      <c r="LI65" s="37"/>
      <c r="LJ65" s="37"/>
      <c r="LK65" s="37"/>
      <c r="LL65" s="37"/>
      <c r="LM65" s="37"/>
      <c r="LN65" s="37"/>
      <c r="LO65" s="37"/>
      <c r="LP65" s="37"/>
      <c r="LQ65" s="37"/>
      <c r="LR65" s="37"/>
      <c r="LS65" s="37"/>
      <c r="LT65" s="37"/>
      <c r="LU65" s="37"/>
      <c r="LV65" s="37"/>
      <c r="LW65" s="37"/>
      <c r="LX65" s="37"/>
      <c r="LY65" s="37"/>
      <c r="LZ65" s="37"/>
      <c r="MA65" s="37"/>
      <c r="MB65" s="37"/>
      <c r="MC65" s="37"/>
      <c r="MD65" s="37"/>
      <c r="ME65" s="37"/>
      <c r="MF65" s="37"/>
      <c r="MG65" s="37"/>
      <c r="MH65" s="37"/>
      <c r="MI65" s="37"/>
      <c r="MJ65" s="37"/>
      <c r="MK65" s="37"/>
      <c r="ML65" s="37"/>
      <c r="MM65" s="37"/>
      <c r="MN65" s="37"/>
      <c r="MO65" s="37"/>
      <c r="MP65" s="37"/>
      <c r="MQ65" s="37"/>
      <c r="MR65" s="37"/>
      <c r="MS65" s="37"/>
      <c r="MT65" s="37"/>
      <c r="MU65" s="37"/>
      <c r="MV65" s="37"/>
      <c r="MW65" s="37"/>
      <c r="MX65" s="37"/>
      <c r="MY65" s="37"/>
      <c r="MZ65" s="37"/>
      <c r="NA65" s="37"/>
      <c r="NB65" s="37"/>
      <c r="NC65" s="37"/>
      <c r="ND65" s="37"/>
      <c r="NE65" s="37"/>
      <c r="NF65" s="37"/>
      <c r="NG65" s="37"/>
      <c r="NH65" s="37"/>
      <c r="NI65" s="37"/>
      <c r="NJ65" s="37"/>
      <c r="NK65" s="37"/>
      <c r="NL65" s="37"/>
      <c r="NM65" s="37"/>
      <c r="NN65" s="37"/>
      <c r="NO65" s="37"/>
      <c r="NP65" s="37"/>
      <c r="NQ65" s="37"/>
      <c r="NR65" s="37"/>
      <c r="NS65" s="37"/>
      <c r="NT65" s="37"/>
      <c r="NU65" s="37"/>
      <c r="NV65" s="37"/>
      <c r="NW65" s="37"/>
      <c r="NX65" s="37"/>
      <c r="NY65" s="37"/>
      <c r="NZ65" s="37"/>
      <c r="OA65" s="37"/>
      <c r="OB65" s="37"/>
      <c r="OC65" s="37"/>
      <c r="OD65" s="37"/>
      <c r="OE65" s="37"/>
      <c r="OF65" s="37"/>
      <c r="OG65" s="37"/>
      <c r="OH65" s="37"/>
      <c r="OI65" s="37"/>
      <c r="OJ65" s="37"/>
      <c r="OK65" s="37"/>
      <c r="OL65" s="37"/>
      <c r="OM65" s="37"/>
      <c r="ON65" s="37"/>
      <c r="OO65" s="37"/>
      <c r="OP65" s="37"/>
      <c r="OQ65" s="37"/>
      <c r="OR65" s="37"/>
      <c r="OS65" s="37"/>
      <c r="OT65" s="37"/>
      <c r="OU65" s="37"/>
      <c r="OV65" s="37"/>
      <c r="OW65" s="37"/>
      <c r="OX65" s="37"/>
      <c r="OY65" s="37"/>
      <c r="OZ65" s="37"/>
      <c r="PA65" s="37"/>
      <c r="PB65" s="37"/>
      <c r="PC65" s="37"/>
      <c r="PD65" s="37"/>
      <c r="PE65" s="37"/>
      <c r="PF65" s="37"/>
      <c r="PG65" s="37"/>
      <c r="PH65" s="37"/>
      <c r="PI65" s="37"/>
      <c r="PJ65" s="37"/>
      <c r="PK65" s="37"/>
      <c r="PL65" s="37"/>
      <c r="PM65" s="37"/>
      <c r="PN65" s="37"/>
      <c r="PO65" s="37"/>
      <c r="PP65" s="37"/>
      <c r="PQ65" s="37"/>
      <c r="PR65" s="37"/>
      <c r="PS65" s="37"/>
      <c r="PT65" s="37"/>
      <c r="PU65" s="37"/>
      <c r="PV65" s="37"/>
      <c r="PW65" s="37"/>
      <c r="PX65" s="37"/>
      <c r="PY65" s="37"/>
      <c r="PZ65" s="37"/>
      <c r="QA65" s="37"/>
      <c r="QB65" s="37"/>
      <c r="QC65" s="37"/>
      <c r="QD65" s="37"/>
      <c r="QE65" s="37"/>
      <c r="QF65" s="37"/>
      <c r="QG65" s="37"/>
      <c r="QH65" s="37"/>
      <c r="QI65" s="37"/>
      <c r="QJ65" s="37"/>
      <c r="QK65" s="37"/>
      <c r="QL65" s="37"/>
      <c r="QM65" s="37"/>
      <c r="QN65" s="37"/>
      <c r="QO65" s="37"/>
      <c r="QP65" s="37"/>
      <c r="QQ65" s="37"/>
      <c r="QR65" s="37"/>
      <c r="QS65" s="37"/>
      <c r="QT65" s="37"/>
      <c r="QU65" s="37"/>
      <c r="QV65" s="37"/>
      <c r="QW65" s="37"/>
      <c r="QX65" s="37"/>
      <c r="QY65" s="37"/>
      <c r="QZ65" s="37"/>
      <c r="RA65" s="37"/>
      <c r="RB65" s="37"/>
      <c r="RC65" s="37"/>
      <c r="RD65" s="37"/>
      <c r="RE65" s="37"/>
      <c r="RF65" s="37"/>
      <c r="RG65" s="37"/>
      <c r="RH65" s="37"/>
      <c r="RI65" s="37"/>
      <c r="RJ65" s="37"/>
      <c r="RK65" s="37"/>
      <c r="RL65" s="37"/>
      <c r="RM65" s="37"/>
      <c r="RN65" s="37"/>
      <c r="RO65" s="37"/>
      <c r="RP65" s="37"/>
      <c r="RQ65" s="37"/>
      <c r="RR65" s="37"/>
      <c r="RS65" s="37"/>
      <c r="RT65" s="37"/>
      <c r="RU65" s="37"/>
      <c r="RV65" s="37"/>
      <c r="RW65" s="37"/>
      <c r="RX65" s="37"/>
      <c r="RY65" s="37"/>
      <c r="RZ65" s="37"/>
      <c r="SA65" s="37"/>
      <c r="SB65" s="37"/>
      <c r="SC65" s="37"/>
      <c r="SD65" s="37"/>
      <c r="SE65" s="37"/>
      <c r="SF65" s="37"/>
      <c r="SG65" s="37"/>
      <c r="SH65" s="37"/>
      <c r="SI65" s="37"/>
      <c r="SJ65" s="37"/>
      <c r="SK65" s="37"/>
      <c r="SL65" s="37"/>
      <c r="SM65" s="37"/>
      <c r="SN65" s="37"/>
      <c r="SO65" s="37"/>
      <c r="SP65" s="37"/>
      <c r="SQ65" s="37"/>
      <c r="SR65" s="37"/>
      <c r="SS65" s="37"/>
      <c r="ST65" s="37"/>
      <c r="SU65" s="37"/>
      <c r="SV65" s="37"/>
      <c r="SW65" s="37"/>
      <c r="SX65" s="37"/>
      <c r="SY65" s="37"/>
      <c r="SZ65" s="37"/>
      <c r="TA65" s="37"/>
      <c r="TB65" s="37"/>
      <c r="TC65" s="37"/>
      <c r="TD65" s="37"/>
      <c r="TE65" s="37"/>
      <c r="TF65" s="37"/>
      <c r="TG65" s="37"/>
      <c r="TH65" s="37"/>
      <c r="TI65" s="37"/>
      <c r="TJ65" s="37"/>
      <c r="TK65" s="37"/>
      <c r="TL65" s="37"/>
      <c r="TM65" s="37"/>
      <c r="TN65" s="37"/>
      <c r="TO65" s="37"/>
      <c r="TP65" s="37"/>
      <c r="TQ65" s="37"/>
      <c r="TR65" s="37"/>
      <c r="TS65" s="37"/>
      <c r="TT65" s="37"/>
      <c r="TU65" s="37"/>
      <c r="TV65" s="37"/>
      <c r="TW65" s="37"/>
      <c r="TX65" s="37"/>
      <c r="TY65" s="37"/>
      <c r="TZ65" s="37"/>
      <c r="UA65" s="37"/>
      <c r="UB65" s="37"/>
      <c r="UC65" s="37"/>
      <c r="UD65" s="37"/>
      <c r="UE65" s="37"/>
      <c r="UF65" s="37"/>
      <c r="UG65" s="37"/>
      <c r="UH65" s="37"/>
      <c r="UI65" s="37"/>
      <c r="UJ65" s="37"/>
      <c r="UK65" s="37"/>
      <c r="UL65" s="37"/>
      <c r="UM65" s="37"/>
      <c r="UN65" s="37"/>
      <c r="UO65" s="37"/>
      <c r="UP65" s="37"/>
      <c r="UQ65" s="37"/>
      <c r="UR65" s="37"/>
      <c r="US65" s="37"/>
      <c r="UT65" s="37"/>
      <c r="UU65" s="37"/>
      <c r="UV65" s="37"/>
      <c r="UW65" s="37"/>
      <c r="UX65" s="37"/>
      <c r="UY65" s="37"/>
      <c r="UZ65" s="37"/>
      <c r="VA65" s="37"/>
      <c r="VB65" s="37"/>
      <c r="VC65" s="37"/>
      <c r="VD65" s="37"/>
      <c r="VE65" s="37"/>
      <c r="VF65" s="37"/>
      <c r="VG65" s="37"/>
      <c r="VH65" s="37"/>
      <c r="VI65" s="37"/>
      <c r="VJ65" s="37"/>
      <c r="VK65" s="37"/>
      <c r="VL65" s="37"/>
      <c r="VM65" s="37"/>
      <c r="VN65" s="37"/>
      <c r="VO65" s="37"/>
      <c r="VP65" s="37"/>
      <c r="VQ65" s="37"/>
      <c r="VR65" s="37"/>
      <c r="VS65" s="37"/>
      <c r="VT65" s="37"/>
      <c r="VU65" s="37"/>
      <c r="VV65" s="37"/>
      <c r="VW65" s="37"/>
      <c r="VX65" s="37"/>
      <c r="VY65" s="37"/>
      <c r="VZ65" s="37"/>
      <c r="WA65" s="37"/>
      <c r="WB65" s="37"/>
      <c r="WC65" s="37"/>
      <c r="WD65" s="37"/>
      <c r="WE65" s="37"/>
      <c r="WF65" s="37"/>
      <c r="WG65" s="37"/>
      <c r="WH65" s="37"/>
      <c r="WI65" s="37"/>
      <c r="WJ65" s="37"/>
      <c r="WK65" s="37"/>
      <c r="WL65" s="37"/>
      <c r="WM65" s="37"/>
      <c r="WN65" s="37"/>
      <c r="WO65" s="37"/>
      <c r="WP65" s="37"/>
      <c r="WQ65" s="37"/>
      <c r="WR65" s="37"/>
      <c r="WS65" s="37"/>
      <c r="WT65" s="37"/>
      <c r="WU65" s="37"/>
      <c r="WV65" s="37"/>
      <c r="WW65" s="37"/>
      <c r="WX65" s="37"/>
      <c r="WY65" s="37"/>
      <c r="WZ65" s="37"/>
      <c r="XA65" s="37"/>
      <c r="XB65" s="37"/>
      <c r="XC65" s="37"/>
      <c r="XD65" s="37"/>
      <c r="XE65" s="37"/>
      <c r="XF65" s="37"/>
      <c r="XG65" s="37"/>
      <c r="XH65" s="37"/>
      <c r="XI65" s="37"/>
      <c r="XJ65" s="37"/>
      <c r="XK65" s="37"/>
      <c r="XL65" s="37"/>
      <c r="XM65" s="37"/>
      <c r="XN65" s="37"/>
      <c r="XO65" s="37"/>
      <c r="XP65" s="37"/>
      <c r="XQ65" s="37"/>
      <c r="XR65" s="37"/>
      <c r="XS65" s="37"/>
      <c r="XT65" s="37"/>
      <c r="XU65" s="37"/>
      <c r="XV65" s="37"/>
      <c r="XW65" s="37"/>
      <c r="XX65" s="37"/>
      <c r="XY65" s="37"/>
      <c r="XZ65" s="37"/>
      <c r="YA65" s="37"/>
      <c r="YB65" s="37"/>
      <c r="YC65" s="37"/>
      <c r="YD65" s="37"/>
      <c r="YE65" s="37"/>
      <c r="YF65" s="37"/>
      <c r="YG65" s="37"/>
      <c r="YH65" s="37"/>
      <c r="YI65" s="37"/>
      <c r="YJ65" s="37"/>
      <c r="YK65" s="37"/>
      <c r="YL65" s="37"/>
      <c r="YM65" s="37"/>
      <c r="YN65" s="37"/>
      <c r="YO65" s="37"/>
      <c r="YP65" s="37"/>
      <c r="YQ65" s="37"/>
      <c r="YR65" s="37"/>
      <c r="YS65" s="37"/>
      <c r="YT65" s="37"/>
      <c r="YU65" s="37"/>
      <c r="YV65" s="37"/>
      <c r="YW65" s="37"/>
      <c r="YX65" s="37"/>
      <c r="YY65" s="37"/>
      <c r="YZ65" s="37"/>
      <c r="ZA65" s="37"/>
      <c r="ZB65" s="37"/>
      <c r="ZC65" s="37"/>
      <c r="ZD65" s="37"/>
      <c r="ZE65" s="37"/>
      <c r="ZF65" s="37"/>
      <c r="ZG65" s="37"/>
      <c r="ZH65" s="37"/>
      <c r="ZI65" s="37"/>
      <c r="ZJ65" s="37"/>
      <c r="ZK65" s="37"/>
      <c r="ZL65" s="37"/>
      <c r="ZM65" s="37"/>
      <c r="ZN65" s="37"/>
      <c r="ZO65" s="37"/>
      <c r="ZP65" s="37"/>
      <c r="ZQ65" s="37"/>
      <c r="ZR65" s="37"/>
      <c r="ZS65" s="37"/>
      <c r="ZT65" s="37"/>
      <c r="ZU65" s="37"/>
      <c r="ZV65" s="37"/>
      <c r="ZW65" s="37"/>
      <c r="ZX65" s="37"/>
      <c r="ZY65" s="37"/>
      <c r="ZZ65" s="37"/>
      <c r="AAA65" s="37"/>
      <c r="AAB65" s="37"/>
      <c r="AAC65" s="37"/>
      <c r="AAD65" s="37"/>
      <c r="AAE65" s="37"/>
      <c r="AAF65" s="37"/>
      <c r="AAG65" s="37"/>
      <c r="AAH65" s="37"/>
      <c r="AAI65" s="37"/>
      <c r="AAJ65" s="37"/>
      <c r="AAK65" s="37"/>
      <c r="AAL65" s="37"/>
      <c r="AAM65" s="37"/>
      <c r="AAN65" s="37"/>
      <c r="AAO65" s="37"/>
      <c r="AAP65" s="37"/>
      <c r="AAQ65" s="37"/>
      <c r="AAR65" s="37"/>
      <c r="AAS65" s="37"/>
      <c r="AAT65" s="37"/>
      <c r="AAU65" s="37"/>
      <c r="AAV65" s="37"/>
      <c r="AAW65" s="37"/>
      <c r="AAX65" s="37"/>
      <c r="AAY65" s="37"/>
      <c r="AAZ65" s="37"/>
      <c r="ABA65" s="37"/>
      <c r="ABB65" s="37"/>
      <c r="ABC65" s="37"/>
      <c r="ABD65" s="37"/>
      <c r="ABE65" s="37"/>
      <c r="ABF65" s="37"/>
      <c r="ABG65" s="37"/>
      <c r="ABH65" s="37"/>
      <c r="ABI65" s="37"/>
      <c r="ABJ65" s="37"/>
      <c r="ABK65" s="37"/>
      <c r="ABL65" s="37"/>
      <c r="ABM65" s="37"/>
      <c r="ABN65" s="37"/>
      <c r="ABO65" s="37"/>
      <c r="ABP65" s="37"/>
      <c r="ABQ65" s="37"/>
      <c r="ABR65" s="37"/>
      <c r="ABS65" s="37"/>
      <c r="ABT65" s="37"/>
      <c r="ABU65" s="37"/>
      <c r="ABV65" s="37"/>
      <c r="ABW65" s="37"/>
      <c r="ABX65" s="37"/>
      <c r="ABY65" s="37"/>
      <c r="ABZ65" s="37"/>
      <c r="ACA65" s="37"/>
      <c r="ACB65" s="37"/>
      <c r="ACC65" s="37"/>
      <c r="ACD65" s="37"/>
      <c r="ACE65" s="37"/>
      <c r="ACF65" s="37"/>
      <c r="ACG65" s="37"/>
      <c r="ACH65" s="37"/>
      <c r="ACI65" s="37"/>
      <c r="ACJ65" s="37"/>
      <c r="ACK65" s="37"/>
      <c r="ACL65" s="37"/>
      <c r="ACM65" s="37"/>
      <c r="ACN65" s="37"/>
      <c r="ACO65" s="37"/>
      <c r="ACP65" s="37"/>
      <c r="ACQ65" s="37"/>
      <c r="ACR65" s="37"/>
      <c r="ACS65" s="37"/>
      <c r="ACT65" s="37"/>
      <c r="ACU65" s="37"/>
      <c r="ACV65" s="37"/>
      <c r="ACW65" s="37"/>
      <c r="ACX65" s="37"/>
      <c r="ACY65" s="37"/>
      <c r="ACZ65" s="37"/>
      <c r="ADA65" s="37"/>
      <c r="ADB65" s="37"/>
      <c r="ADC65" s="37"/>
      <c r="ADD65" s="37"/>
      <c r="ADE65" s="37"/>
      <c r="ADF65" s="37"/>
      <c r="ADG65" s="37"/>
      <c r="ADH65" s="37"/>
      <c r="ADI65" s="37"/>
      <c r="ADJ65" s="37"/>
      <c r="ADK65" s="37"/>
      <c r="ADL65" s="37"/>
      <c r="ADM65" s="37"/>
      <c r="ADN65" s="37"/>
      <c r="ADO65" s="37"/>
      <c r="ADP65" s="37"/>
      <c r="ADQ65" s="37"/>
      <c r="ADR65" s="37"/>
      <c r="ADS65" s="37"/>
      <c r="ADT65" s="37"/>
      <c r="ADU65" s="37"/>
      <c r="ADV65" s="37"/>
      <c r="ADW65" s="37"/>
      <c r="ADX65" s="37"/>
      <c r="ADY65" s="37"/>
      <c r="ADZ65" s="37"/>
      <c r="AEA65" s="37"/>
      <c r="AEB65" s="37"/>
      <c r="AEC65" s="37"/>
      <c r="AED65" s="37"/>
      <c r="AEE65" s="37"/>
      <c r="AEF65" s="37"/>
      <c r="AEG65" s="37"/>
      <c r="AEH65" s="37"/>
      <c r="AEI65" s="37"/>
      <c r="AEJ65" s="37"/>
      <c r="AEK65" s="37"/>
      <c r="AEL65" s="37"/>
      <c r="AEM65" s="37"/>
      <c r="AEN65" s="37"/>
      <c r="AEO65" s="37"/>
      <c r="AEP65" s="37"/>
      <c r="AEQ65" s="37"/>
      <c r="AER65" s="37"/>
      <c r="AES65" s="37"/>
      <c r="AET65" s="37"/>
      <c r="AEU65" s="37"/>
      <c r="AEV65" s="37"/>
      <c r="AEW65" s="37"/>
      <c r="AEX65" s="37"/>
      <c r="AEY65" s="37"/>
      <c r="AEZ65" s="37"/>
      <c r="AFA65" s="37"/>
      <c r="AFB65" s="37"/>
      <c r="AFC65" s="37"/>
      <c r="AFD65" s="37"/>
      <c r="AFE65" s="37"/>
      <c r="AFF65" s="37"/>
      <c r="AFG65" s="37"/>
      <c r="AFH65" s="37"/>
      <c r="AFI65" s="37"/>
      <c r="AFJ65" s="37"/>
      <c r="AFK65" s="37"/>
      <c r="AFL65" s="37"/>
      <c r="AFM65" s="37"/>
      <c r="AFN65" s="37"/>
      <c r="AFO65" s="37"/>
      <c r="AFP65" s="37"/>
      <c r="AFQ65" s="37"/>
      <c r="AFR65" s="37"/>
      <c r="AFS65" s="37"/>
      <c r="AFT65" s="37"/>
      <c r="AFU65" s="37"/>
      <c r="AFV65" s="37"/>
      <c r="AFW65" s="37"/>
      <c r="AFX65" s="37"/>
      <c r="AFY65" s="37"/>
      <c r="AFZ65" s="37"/>
      <c r="AGA65" s="37"/>
      <c r="AGB65" s="37"/>
      <c r="AGC65" s="37"/>
      <c r="AGD65" s="37"/>
      <c r="AGE65" s="37"/>
      <c r="AGF65" s="37"/>
      <c r="AGG65" s="37"/>
      <c r="AGH65" s="37"/>
      <c r="AGI65" s="37"/>
      <c r="AGJ65" s="37"/>
      <c r="AGK65" s="37"/>
      <c r="AGL65" s="37"/>
      <c r="AGM65" s="37"/>
      <c r="AGN65" s="37"/>
      <c r="AGO65" s="37"/>
      <c r="AGP65" s="37"/>
      <c r="AGQ65" s="37"/>
      <c r="AGR65" s="37"/>
      <c r="AGS65" s="37"/>
      <c r="AGT65" s="37"/>
      <c r="AGU65" s="37"/>
      <c r="AGV65" s="37"/>
      <c r="AGW65" s="37"/>
      <c r="AGX65" s="37"/>
      <c r="AGY65" s="37"/>
      <c r="AGZ65" s="37"/>
      <c r="AHA65" s="37"/>
      <c r="AHB65" s="37"/>
      <c r="AHC65" s="37"/>
      <c r="AHD65" s="37"/>
      <c r="AHE65" s="37"/>
      <c r="AHF65" s="37"/>
      <c r="AHG65" s="37"/>
      <c r="AHH65" s="37"/>
      <c r="AHI65" s="37"/>
      <c r="AHJ65" s="37"/>
      <c r="AHK65" s="37"/>
      <c r="AHL65" s="37"/>
      <c r="AHM65" s="37"/>
      <c r="AHN65" s="37"/>
      <c r="AHO65" s="37"/>
      <c r="AHP65" s="37"/>
      <c r="AHQ65" s="37"/>
      <c r="AHR65" s="37"/>
      <c r="AHS65" s="37"/>
      <c r="AHT65" s="37"/>
      <c r="AHU65" s="37"/>
      <c r="AHV65" s="37"/>
      <c r="AHW65" s="37"/>
      <c r="AHX65" s="37"/>
      <c r="AHY65" s="37"/>
      <c r="AHZ65" s="37"/>
      <c r="AIA65" s="37"/>
      <c r="AIB65" s="37"/>
      <c r="AIC65" s="37"/>
      <c r="AID65" s="37"/>
      <c r="AIE65" s="37"/>
      <c r="AIF65" s="37"/>
      <c r="AIG65" s="37"/>
      <c r="AIH65" s="37"/>
      <c r="AII65" s="37"/>
      <c r="AIJ65" s="37"/>
      <c r="AIK65" s="37"/>
      <c r="AIL65" s="37"/>
      <c r="AIM65" s="37"/>
      <c r="AIN65" s="37"/>
      <c r="AIO65" s="37"/>
      <c r="AIP65" s="37"/>
      <c r="AIQ65" s="37"/>
      <c r="AIR65" s="37"/>
      <c r="AIS65" s="37"/>
      <c r="AIT65" s="37"/>
      <c r="AIU65" s="37"/>
      <c r="AIV65" s="37"/>
      <c r="AIW65" s="37"/>
      <c r="AIX65" s="37"/>
      <c r="AIY65" s="37"/>
      <c r="AIZ65" s="37"/>
      <c r="AJA65" s="37"/>
      <c r="AJB65" s="37"/>
      <c r="AJC65" s="37"/>
      <c r="AJD65" s="37"/>
      <c r="AJE65" s="37"/>
      <c r="AJF65" s="37"/>
      <c r="AJG65" s="37"/>
      <c r="AJH65" s="37"/>
      <c r="AJI65" s="37"/>
      <c r="AJJ65" s="37"/>
      <c r="AJK65" s="37"/>
      <c r="AJL65" s="37"/>
      <c r="AJM65" s="37"/>
      <c r="AJN65" s="37"/>
      <c r="AJO65" s="37"/>
      <c r="AJP65" s="37"/>
      <c r="AJQ65" s="37"/>
      <c r="AJR65" s="37"/>
      <c r="AJS65" s="37"/>
      <c r="AJT65" s="37"/>
      <c r="AJU65" s="37"/>
      <c r="AJV65" s="37"/>
      <c r="AJW65" s="37"/>
      <c r="AJX65" s="37"/>
      <c r="AJY65" s="37"/>
      <c r="AJZ65" s="37"/>
      <c r="AKA65" s="37"/>
      <c r="AKB65" s="37"/>
      <c r="AKC65" s="37"/>
      <c r="AKD65" s="37"/>
      <c r="AKE65" s="37"/>
      <c r="AKF65" s="37"/>
      <c r="AKG65" s="37"/>
      <c r="AKH65" s="37"/>
      <c r="AKI65" s="37"/>
      <c r="AKJ65" s="37"/>
      <c r="AKK65" s="37"/>
      <c r="AKL65" s="37"/>
      <c r="AKM65" s="37"/>
      <c r="AKN65" s="37"/>
      <c r="AKO65" s="37"/>
      <c r="AKP65" s="37"/>
      <c r="AKQ65" s="37"/>
      <c r="AKR65" s="37"/>
      <c r="AKS65" s="37"/>
      <c r="AKT65" s="37"/>
      <c r="AKU65" s="37"/>
      <c r="AKV65" s="37"/>
      <c r="AKW65" s="37"/>
      <c r="AKX65" s="37"/>
      <c r="AKY65" s="37"/>
      <c r="AKZ65" s="37"/>
      <c r="ALA65" s="37"/>
      <c r="ALB65" s="37"/>
      <c r="ALC65" s="37"/>
      <c r="ALD65" s="37"/>
      <c r="ALE65" s="37"/>
      <c r="ALF65" s="37"/>
      <c r="ALG65" s="37"/>
      <c r="ALH65" s="37"/>
      <c r="ALI65" s="37"/>
      <c r="ALJ65" s="37"/>
      <c r="ALK65" s="37"/>
      <c r="ALL65" s="37"/>
      <c r="ALM65" s="37"/>
      <c r="ALN65" s="37"/>
      <c r="ALO65" s="37"/>
      <c r="ALP65" s="37"/>
      <c r="ALQ65" s="37"/>
      <c r="ALR65" s="37"/>
    </row>
    <row r="66" spans="2:1006" x14ac:dyDescent="0.35">
      <c r="D66" s="25" t="s">
        <v>202</v>
      </c>
    </row>
    <row r="67" spans="2:1006" x14ac:dyDescent="0.35">
      <c r="D67" s="25"/>
      <c r="E67" s="20" t="s">
        <v>206</v>
      </c>
      <c r="F67" s="20" t="s">
        <v>78</v>
      </c>
      <c r="G67" s="46">
        <f>Assumptions!H72</f>
        <v>42522</v>
      </c>
      <c r="K67" s="20" t="b">
        <f>K6&gt;=$G$67</f>
        <v>0</v>
      </c>
      <c r="L67" s="20" t="b">
        <f t="shared" ref="L67:BW67" si="362">L6&gt;=$G$67</f>
        <v>0</v>
      </c>
      <c r="M67" s="20" t="b">
        <f t="shared" si="362"/>
        <v>0</v>
      </c>
      <c r="N67" s="20" t="b">
        <f t="shared" si="362"/>
        <v>0</v>
      </c>
      <c r="O67" s="20" t="b">
        <f t="shared" si="362"/>
        <v>0</v>
      </c>
      <c r="P67" s="20" t="b">
        <f t="shared" si="362"/>
        <v>0</v>
      </c>
      <c r="Q67" s="20" t="b">
        <f t="shared" si="362"/>
        <v>0</v>
      </c>
      <c r="R67" s="20" t="b">
        <f t="shared" si="362"/>
        <v>0</v>
      </c>
      <c r="S67" s="20" t="b">
        <f t="shared" si="362"/>
        <v>0</v>
      </c>
      <c r="T67" s="20" t="b">
        <f t="shared" si="362"/>
        <v>1</v>
      </c>
      <c r="U67" s="20" t="b">
        <f t="shared" si="362"/>
        <v>1</v>
      </c>
      <c r="V67" s="20" t="b">
        <f t="shared" si="362"/>
        <v>1</v>
      </c>
      <c r="W67" s="20" t="b">
        <f t="shared" si="362"/>
        <v>1</v>
      </c>
      <c r="X67" s="20" t="b">
        <f t="shared" si="362"/>
        <v>1</v>
      </c>
      <c r="Y67" s="20" t="b">
        <f t="shared" si="362"/>
        <v>1</v>
      </c>
      <c r="Z67" s="20" t="b">
        <f t="shared" si="362"/>
        <v>1</v>
      </c>
      <c r="AA67" s="20" t="b">
        <f t="shared" si="362"/>
        <v>1</v>
      </c>
      <c r="AB67" s="20" t="b">
        <f t="shared" si="362"/>
        <v>1</v>
      </c>
      <c r="AC67" s="20" t="b">
        <f t="shared" si="362"/>
        <v>1</v>
      </c>
      <c r="AD67" s="20" t="b">
        <f t="shared" si="362"/>
        <v>1</v>
      </c>
      <c r="AE67" s="20" t="b">
        <f t="shared" si="362"/>
        <v>1</v>
      </c>
      <c r="AF67" s="20" t="b">
        <f t="shared" si="362"/>
        <v>1</v>
      </c>
      <c r="AG67" s="20" t="b">
        <f t="shared" si="362"/>
        <v>1</v>
      </c>
      <c r="AH67" s="20" t="b">
        <f t="shared" si="362"/>
        <v>1</v>
      </c>
      <c r="AI67" s="20" t="b">
        <f t="shared" si="362"/>
        <v>1</v>
      </c>
      <c r="AJ67" s="20" t="b">
        <f t="shared" si="362"/>
        <v>1</v>
      </c>
      <c r="AK67" s="20" t="b">
        <f t="shared" si="362"/>
        <v>1</v>
      </c>
      <c r="AL67" s="20" t="b">
        <f t="shared" si="362"/>
        <v>1</v>
      </c>
      <c r="AM67" s="20" t="b">
        <f t="shared" si="362"/>
        <v>1</v>
      </c>
      <c r="AN67" s="20" t="b">
        <f t="shared" si="362"/>
        <v>1</v>
      </c>
      <c r="AO67" s="20" t="b">
        <f t="shared" si="362"/>
        <v>1</v>
      </c>
      <c r="AP67" s="20" t="b">
        <f t="shared" si="362"/>
        <v>1</v>
      </c>
      <c r="AQ67" s="20" t="b">
        <f t="shared" si="362"/>
        <v>1</v>
      </c>
      <c r="AR67" s="20" t="b">
        <f t="shared" si="362"/>
        <v>1</v>
      </c>
      <c r="AS67" s="20" t="b">
        <f t="shared" si="362"/>
        <v>1</v>
      </c>
      <c r="AT67" s="20" t="b">
        <f t="shared" si="362"/>
        <v>1</v>
      </c>
      <c r="AU67" s="20" t="b">
        <f t="shared" si="362"/>
        <v>1</v>
      </c>
      <c r="AV67" s="20" t="b">
        <f t="shared" si="362"/>
        <v>1</v>
      </c>
      <c r="AW67" s="20" t="b">
        <f t="shared" si="362"/>
        <v>1</v>
      </c>
      <c r="AX67" s="20" t="b">
        <f t="shared" si="362"/>
        <v>1</v>
      </c>
      <c r="AY67" s="20" t="b">
        <f t="shared" si="362"/>
        <v>1</v>
      </c>
      <c r="AZ67" s="20" t="b">
        <f t="shared" si="362"/>
        <v>1</v>
      </c>
      <c r="BA67" s="20" t="b">
        <f t="shared" si="362"/>
        <v>1</v>
      </c>
      <c r="BB67" s="20" t="b">
        <f t="shared" si="362"/>
        <v>1</v>
      </c>
      <c r="BC67" s="20" t="b">
        <f t="shared" si="362"/>
        <v>1</v>
      </c>
      <c r="BD67" s="20" t="b">
        <f t="shared" si="362"/>
        <v>1</v>
      </c>
      <c r="BE67" s="20" t="b">
        <f t="shared" si="362"/>
        <v>1</v>
      </c>
      <c r="BF67" s="20" t="b">
        <f t="shared" si="362"/>
        <v>1</v>
      </c>
      <c r="BG67" s="20" t="b">
        <f t="shared" si="362"/>
        <v>1</v>
      </c>
      <c r="BH67" s="20" t="b">
        <f t="shared" si="362"/>
        <v>1</v>
      </c>
      <c r="BI67" s="20" t="b">
        <f t="shared" si="362"/>
        <v>1</v>
      </c>
      <c r="BJ67" s="20" t="b">
        <f t="shared" si="362"/>
        <v>1</v>
      </c>
      <c r="BK67" s="20" t="b">
        <f t="shared" si="362"/>
        <v>1</v>
      </c>
      <c r="BL67" s="20" t="b">
        <f t="shared" si="362"/>
        <v>1</v>
      </c>
      <c r="BM67" s="20" t="b">
        <f t="shared" si="362"/>
        <v>1</v>
      </c>
      <c r="BN67" s="20" t="b">
        <f t="shared" si="362"/>
        <v>1</v>
      </c>
      <c r="BO67" s="20" t="b">
        <f t="shared" si="362"/>
        <v>1</v>
      </c>
      <c r="BP67" s="20" t="b">
        <f t="shared" si="362"/>
        <v>1</v>
      </c>
      <c r="BQ67" s="20" t="b">
        <f t="shared" si="362"/>
        <v>1</v>
      </c>
      <c r="BR67" s="20" t="b">
        <f t="shared" si="362"/>
        <v>1</v>
      </c>
      <c r="BS67" s="20" t="b">
        <f t="shared" si="362"/>
        <v>1</v>
      </c>
      <c r="BT67" s="20" t="b">
        <f t="shared" si="362"/>
        <v>1</v>
      </c>
      <c r="BU67" s="20" t="b">
        <f t="shared" si="362"/>
        <v>1</v>
      </c>
      <c r="BV67" s="20" t="b">
        <f t="shared" si="362"/>
        <v>1</v>
      </c>
      <c r="BW67" s="20" t="b">
        <f t="shared" si="362"/>
        <v>1</v>
      </c>
      <c r="BX67" s="20" t="b">
        <f t="shared" ref="BX67:CZ67" si="363">BX6&gt;=$G$67</f>
        <v>1</v>
      </c>
      <c r="BY67" s="20" t="b">
        <f t="shared" si="363"/>
        <v>1</v>
      </c>
      <c r="BZ67" s="20" t="b">
        <f t="shared" si="363"/>
        <v>1</v>
      </c>
      <c r="CA67" s="20" t="b">
        <f t="shared" si="363"/>
        <v>1</v>
      </c>
      <c r="CB67" s="20" t="b">
        <f t="shared" si="363"/>
        <v>1</v>
      </c>
      <c r="CC67" s="20" t="b">
        <f t="shared" si="363"/>
        <v>1</v>
      </c>
      <c r="CD67" s="20" t="b">
        <f t="shared" si="363"/>
        <v>1</v>
      </c>
      <c r="CE67" s="20" t="b">
        <f t="shared" si="363"/>
        <v>1</v>
      </c>
      <c r="CF67" s="20" t="b">
        <f t="shared" si="363"/>
        <v>1</v>
      </c>
      <c r="CG67" s="20" t="b">
        <f t="shared" si="363"/>
        <v>1</v>
      </c>
      <c r="CH67" s="20" t="b">
        <f t="shared" si="363"/>
        <v>1</v>
      </c>
      <c r="CI67" s="20" t="b">
        <f t="shared" si="363"/>
        <v>1</v>
      </c>
      <c r="CJ67" s="20" t="b">
        <f t="shared" si="363"/>
        <v>1</v>
      </c>
      <c r="CK67" s="20" t="b">
        <f t="shared" si="363"/>
        <v>1</v>
      </c>
      <c r="CL67" s="20" t="b">
        <f t="shared" si="363"/>
        <v>1</v>
      </c>
      <c r="CM67" s="20" t="b">
        <f t="shared" si="363"/>
        <v>1</v>
      </c>
      <c r="CN67" s="20" t="b">
        <f t="shared" si="363"/>
        <v>1</v>
      </c>
      <c r="CO67" s="20" t="b">
        <f t="shared" si="363"/>
        <v>1</v>
      </c>
      <c r="CP67" s="20" t="b">
        <f t="shared" si="363"/>
        <v>1</v>
      </c>
      <c r="CQ67" s="20" t="b">
        <f t="shared" si="363"/>
        <v>1</v>
      </c>
      <c r="CR67" s="20" t="b">
        <f t="shared" si="363"/>
        <v>1</v>
      </c>
      <c r="CS67" s="20" t="b">
        <f t="shared" si="363"/>
        <v>1</v>
      </c>
      <c r="CT67" s="20" t="b">
        <f t="shared" si="363"/>
        <v>1</v>
      </c>
      <c r="CU67" s="20" t="b">
        <f t="shared" si="363"/>
        <v>1</v>
      </c>
      <c r="CV67" s="20" t="b">
        <f t="shared" si="363"/>
        <v>1</v>
      </c>
      <c r="CW67" s="20" t="b">
        <f t="shared" si="363"/>
        <v>1</v>
      </c>
      <c r="CX67" s="20" t="b">
        <f t="shared" si="363"/>
        <v>1</v>
      </c>
      <c r="CY67" s="20" t="b">
        <f t="shared" si="363"/>
        <v>1</v>
      </c>
      <c r="CZ67" s="20" t="b">
        <f t="shared" si="363"/>
        <v>1</v>
      </c>
      <c r="DA67" s="20" t="b">
        <f t="shared" ref="DA67:DQ67" si="364">DA6&gt;=$G$67</f>
        <v>1</v>
      </c>
      <c r="DB67" s="20" t="b">
        <f t="shared" si="364"/>
        <v>1</v>
      </c>
      <c r="DC67" s="20" t="b">
        <f t="shared" si="364"/>
        <v>1</v>
      </c>
      <c r="DD67" s="20" t="b">
        <f t="shared" si="364"/>
        <v>1</v>
      </c>
      <c r="DE67" s="20" t="b">
        <f t="shared" si="364"/>
        <v>1</v>
      </c>
      <c r="DF67" s="20" t="b">
        <f t="shared" si="364"/>
        <v>1</v>
      </c>
      <c r="DG67" s="20" t="b">
        <f t="shared" si="364"/>
        <v>1</v>
      </c>
      <c r="DH67" s="20" t="b">
        <f t="shared" si="364"/>
        <v>1</v>
      </c>
      <c r="DI67" s="20" t="b">
        <f t="shared" si="364"/>
        <v>1</v>
      </c>
      <c r="DJ67" s="20" t="b">
        <f t="shared" si="364"/>
        <v>1</v>
      </c>
      <c r="DK67" s="20" t="b">
        <f t="shared" si="364"/>
        <v>1</v>
      </c>
      <c r="DL67" s="20" t="b">
        <f t="shared" si="364"/>
        <v>1</v>
      </c>
      <c r="DM67" s="20" t="b">
        <f t="shared" si="364"/>
        <v>1</v>
      </c>
      <c r="DN67" s="20" t="b">
        <f t="shared" si="364"/>
        <v>1</v>
      </c>
      <c r="DO67" s="20" t="b">
        <f t="shared" si="364"/>
        <v>1</v>
      </c>
      <c r="DP67" s="20" t="b">
        <f t="shared" si="364"/>
        <v>1</v>
      </c>
      <c r="DQ67" s="20" t="b">
        <f t="shared" si="364"/>
        <v>1</v>
      </c>
    </row>
    <row r="68" spans="2:1006" x14ac:dyDescent="0.35">
      <c r="D68" s="25"/>
      <c r="E68" s="20" t="s">
        <v>212</v>
      </c>
      <c r="F68" s="20" t="s">
        <v>88</v>
      </c>
      <c r="G68" s="35">
        <f>Assumptions!G72</f>
        <v>1.4999999999999999E-2</v>
      </c>
      <c r="K68" s="22">
        <f>(1+$G68)^(K$5/12)-1</f>
        <v>1.2414877164492744E-3</v>
      </c>
      <c r="L68" s="22">
        <f t="shared" ref="L68:BW70" si="365">(1+$G68)^(L$5/12)-1</f>
        <v>1.2414877164492744E-3</v>
      </c>
      <c r="M68" s="22">
        <f t="shared" si="365"/>
        <v>1.2414877164492744E-3</v>
      </c>
      <c r="N68" s="22">
        <f t="shared" si="365"/>
        <v>1.2414877164492744E-3</v>
      </c>
      <c r="O68" s="22">
        <f t="shared" si="365"/>
        <v>1.2414877164492744E-3</v>
      </c>
      <c r="P68" s="22">
        <f t="shared" si="365"/>
        <v>1.2414877164492744E-3</v>
      </c>
      <c r="Q68" s="22">
        <f t="shared" si="365"/>
        <v>1.2414877164492744E-3</v>
      </c>
      <c r="R68" s="22">
        <f t="shared" si="365"/>
        <v>1.2414877164492744E-3</v>
      </c>
      <c r="S68" s="22">
        <f t="shared" si="365"/>
        <v>1.2414877164492744E-3</v>
      </c>
      <c r="T68" s="22">
        <f t="shared" si="365"/>
        <v>3.7290889380929837E-3</v>
      </c>
      <c r="U68" s="22">
        <f t="shared" si="365"/>
        <v>3.7290889380929837E-3</v>
      </c>
      <c r="V68" s="22">
        <f t="shared" si="365"/>
        <v>3.7290889380929837E-3</v>
      </c>
      <c r="W68" s="22">
        <f t="shared" si="365"/>
        <v>3.7290889380929837E-3</v>
      </c>
      <c r="X68" s="22">
        <f t="shared" si="365"/>
        <v>3.7290889380929837E-3</v>
      </c>
      <c r="Y68" s="22">
        <f t="shared" si="365"/>
        <v>3.7290889380929837E-3</v>
      </c>
      <c r="Z68" s="22">
        <f t="shared" si="365"/>
        <v>3.7290889380929837E-3</v>
      </c>
      <c r="AA68" s="22">
        <f t="shared" si="365"/>
        <v>3.7290889380929837E-3</v>
      </c>
      <c r="AB68" s="22">
        <f t="shared" si="365"/>
        <v>3.7290889380929837E-3</v>
      </c>
      <c r="AC68" s="22">
        <f t="shared" si="365"/>
        <v>3.7290889380929837E-3</v>
      </c>
      <c r="AD68" s="22">
        <f t="shared" si="365"/>
        <v>3.7290889380929837E-3</v>
      </c>
      <c r="AE68" s="22">
        <f t="shared" si="365"/>
        <v>3.7290889380929837E-3</v>
      </c>
      <c r="AF68" s="22">
        <f t="shared" si="365"/>
        <v>3.7290889380929837E-3</v>
      </c>
      <c r="AG68" s="22">
        <f t="shared" si="365"/>
        <v>3.7290889380929837E-3</v>
      </c>
      <c r="AH68" s="22">
        <f t="shared" si="365"/>
        <v>3.7290889380929837E-3</v>
      </c>
      <c r="AI68" s="22">
        <f t="shared" si="365"/>
        <v>3.7290889380929837E-3</v>
      </c>
      <c r="AJ68" s="22">
        <f t="shared" si="365"/>
        <v>3.7290889380929837E-3</v>
      </c>
      <c r="AK68" s="22">
        <f t="shared" si="365"/>
        <v>3.7290889380929837E-3</v>
      </c>
      <c r="AL68" s="22">
        <f t="shared" si="365"/>
        <v>3.7290889380929837E-3</v>
      </c>
      <c r="AM68" s="22">
        <f t="shared" si="365"/>
        <v>3.7290889380929837E-3</v>
      </c>
      <c r="AN68" s="22">
        <f t="shared" si="365"/>
        <v>3.7290889380929837E-3</v>
      </c>
      <c r="AO68" s="22">
        <f t="shared" si="365"/>
        <v>3.7290889380929837E-3</v>
      </c>
      <c r="AP68" s="22">
        <f t="shared" si="365"/>
        <v>3.7290889380929837E-3</v>
      </c>
      <c r="AQ68" s="22">
        <f t="shared" si="365"/>
        <v>3.7290889380929837E-3</v>
      </c>
      <c r="AR68" s="22">
        <f t="shared" si="365"/>
        <v>3.7290889380929837E-3</v>
      </c>
      <c r="AS68" s="22">
        <f t="shared" si="365"/>
        <v>3.7290889380929837E-3</v>
      </c>
      <c r="AT68" s="22">
        <f t="shared" si="365"/>
        <v>3.7290889380929837E-3</v>
      </c>
      <c r="AU68" s="22">
        <f t="shared" si="365"/>
        <v>3.7290889380929837E-3</v>
      </c>
      <c r="AV68" s="22">
        <f t="shared" si="365"/>
        <v>3.7290889380929837E-3</v>
      </c>
      <c r="AW68" s="22">
        <f t="shared" si="365"/>
        <v>3.7290889380929837E-3</v>
      </c>
      <c r="AX68" s="22">
        <f t="shared" si="365"/>
        <v>3.7290889380929837E-3</v>
      </c>
      <c r="AY68" s="22">
        <f t="shared" si="365"/>
        <v>3.7290889380929837E-3</v>
      </c>
      <c r="AZ68" s="22">
        <f t="shared" si="365"/>
        <v>3.7290889380929837E-3</v>
      </c>
      <c r="BA68" s="22">
        <f t="shared" si="365"/>
        <v>3.7290889380929837E-3</v>
      </c>
      <c r="BB68" s="22">
        <f t="shared" si="365"/>
        <v>3.7290889380929837E-3</v>
      </c>
      <c r="BC68" s="22">
        <f t="shared" si="365"/>
        <v>3.7290889380929837E-3</v>
      </c>
      <c r="BD68" s="22">
        <f t="shared" si="365"/>
        <v>3.7290889380929837E-3</v>
      </c>
      <c r="BE68" s="22">
        <f t="shared" si="365"/>
        <v>3.7290889380929837E-3</v>
      </c>
      <c r="BF68" s="22">
        <f t="shared" si="365"/>
        <v>3.7290889380929837E-3</v>
      </c>
      <c r="BG68" s="22">
        <f t="shared" si="365"/>
        <v>3.7290889380929837E-3</v>
      </c>
      <c r="BH68" s="22">
        <f t="shared" si="365"/>
        <v>3.7290889380929837E-3</v>
      </c>
      <c r="BI68" s="22">
        <f t="shared" si="365"/>
        <v>3.7290889380929837E-3</v>
      </c>
      <c r="BJ68" s="22">
        <f t="shared" si="365"/>
        <v>3.7290889380929837E-3</v>
      </c>
      <c r="BK68" s="22">
        <f t="shared" si="365"/>
        <v>3.7290889380929837E-3</v>
      </c>
      <c r="BL68" s="22">
        <f t="shared" si="365"/>
        <v>3.7290889380929837E-3</v>
      </c>
      <c r="BM68" s="22">
        <f t="shared" si="365"/>
        <v>3.7290889380929837E-3</v>
      </c>
      <c r="BN68" s="22">
        <f t="shared" si="365"/>
        <v>3.7290889380929837E-3</v>
      </c>
      <c r="BO68" s="22">
        <f t="shared" si="365"/>
        <v>3.7290889380929837E-3</v>
      </c>
      <c r="BP68" s="22">
        <f t="shared" si="365"/>
        <v>3.7290889380929837E-3</v>
      </c>
      <c r="BQ68" s="22">
        <f t="shared" si="365"/>
        <v>3.7290889380929837E-3</v>
      </c>
      <c r="BR68" s="22">
        <f t="shared" si="365"/>
        <v>3.7290889380929837E-3</v>
      </c>
      <c r="BS68" s="22">
        <f t="shared" si="365"/>
        <v>3.7290889380929837E-3</v>
      </c>
      <c r="BT68" s="22">
        <f t="shared" si="365"/>
        <v>3.7290889380929837E-3</v>
      </c>
      <c r="BU68" s="22">
        <f t="shared" si="365"/>
        <v>3.7290889380929837E-3</v>
      </c>
      <c r="BV68" s="22">
        <f t="shared" si="365"/>
        <v>3.7290889380929837E-3</v>
      </c>
      <c r="BW68" s="22">
        <f t="shared" si="365"/>
        <v>3.7290889380929837E-3</v>
      </c>
      <c r="BX68" s="22">
        <f t="shared" ref="BX68:DA70" si="366">(1+$G68)^(BX$5/12)-1</f>
        <v>3.7290889380929837E-3</v>
      </c>
      <c r="BY68" s="22">
        <f t="shared" si="366"/>
        <v>3.7290889380929837E-3</v>
      </c>
      <c r="BZ68" s="22">
        <f t="shared" si="366"/>
        <v>3.7290889380929837E-3</v>
      </c>
      <c r="CA68" s="22">
        <f t="shared" si="366"/>
        <v>3.7290889380929837E-3</v>
      </c>
      <c r="CB68" s="22">
        <f t="shared" si="366"/>
        <v>3.7290889380929837E-3</v>
      </c>
      <c r="CC68" s="22">
        <f t="shared" si="366"/>
        <v>3.7290889380929837E-3</v>
      </c>
      <c r="CD68" s="22">
        <f t="shared" si="366"/>
        <v>3.7290889380929837E-3</v>
      </c>
      <c r="CE68" s="22">
        <f t="shared" si="366"/>
        <v>3.7290889380929837E-3</v>
      </c>
      <c r="CF68" s="22">
        <f t="shared" si="366"/>
        <v>3.7290889380929837E-3</v>
      </c>
      <c r="CG68" s="22">
        <f t="shared" si="366"/>
        <v>3.7290889380929837E-3</v>
      </c>
      <c r="CH68" s="22">
        <f t="shared" si="366"/>
        <v>3.7290889380929837E-3</v>
      </c>
      <c r="CI68" s="22">
        <f t="shared" si="366"/>
        <v>3.7290889380929837E-3</v>
      </c>
      <c r="CJ68" s="22">
        <f t="shared" si="366"/>
        <v>3.7290889380929837E-3</v>
      </c>
      <c r="CK68" s="22">
        <f t="shared" si="366"/>
        <v>3.7290889380929837E-3</v>
      </c>
      <c r="CL68" s="22">
        <f t="shared" si="366"/>
        <v>3.7290889380929837E-3</v>
      </c>
      <c r="CM68" s="22">
        <f t="shared" si="366"/>
        <v>3.7290889380929837E-3</v>
      </c>
      <c r="CN68" s="22">
        <f t="shared" si="366"/>
        <v>3.7290889380929837E-3</v>
      </c>
      <c r="CO68" s="22">
        <f t="shared" si="366"/>
        <v>3.7290889380929837E-3</v>
      </c>
      <c r="CP68" s="22">
        <f t="shared" si="366"/>
        <v>3.7290889380929837E-3</v>
      </c>
      <c r="CQ68" s="22">
        <f t="shared" si="366"/>
        <v>3.7290889380929837E-3</v>
      </c>
      <c r="CR68" s="22">
        <f t="shared" si="366"/>
        <v>3.7290889380929837E-3</v>
      </c>
      <c r="CS68" s="22">
        <f t="shared" si="366"/>
        <v>3.7290889380929837E-3</v>
      </c>
      <c r="CT68" s="22">
        <f t="shared" si="366"/>
        <v>3.7290889380929837E-3</v>
      </c>
      <c r="CU68" s="22">
        <f t="shared" si="366"/>
        <v>3.7290889380929837E-3</v>
      </c>
      <c r="CV68" s="22">
        <f t="shared" si="366"/>
        <v>3.7290889380929837E-3</v>
      </c>
      <c r="CW68" s="22">
        <f t="shared" si="366"/>
        <v>3.7290889380929837E-3</v>
      </c>
      <c r="CX68" s="22">
        <f t="shared" si="366"/>
        <v>3.7290889380929837E-3</v>
      </c>
      <c r="CY68" s="22">
        <f t="shared" si="366"/>
        <v>3.7290889380929837E-3</v>
      </c>
      <c r="CZ68" s="22">
        <f t="shared" si="366"/>
        <v>3.7290889380929837E-3</v>
      </c>
      <c r="DA68" s="22">
        <f t="shared" si="366"/>
        <v>3.7290889380929837E-3</v>
      </c>
      <c r="DB68" s="22">
        <f t="shared" ref="DA68:DQ70" si="367">(1+$G68)^(DB$5/12)-1</f>
        <v>3.7290889380929837E-3</v>
      </c>
      <c r="DC68" s="22">
        <f t="shared" si="367"/>
        <v>3.7290889380929837E-3</v>
      </c>
      <c r="DD68" s="22">
        <f t="shared" si="367"/>
        <v>3.7290889380929837E-3</v>
      </c>
      <c r="DE68" s="22">
        <f t="shared" si="367"/>
        <v>3.7290889380929837E-3</v>
      </c>
      <c r="DF68" s="22">
        <f t="shared" si="367"/>
        <v>3.7290889380929837E-3</v>
      </c>
      <c r="DG68" s="22">
        <f t="shared" si="367"/>
        <v>3.7290889380929837E-3</v>
      </c>
      <c r="DH68" s="22">
        <f t="shared" si="367"/>
        <v>3.7290889380929837E-3</v>
      </c>
      <c r="DI68" s="22">
        <f t="shared" si="367"/>
        <v>3.7290889380929837E-3</v>
      </c>
      <c r="DJ68" s="22">
        <f t="shared" si="367"/>
        <v>3.7290889380929837E-3</v>
      </c>
      <c r="DK68" s="22">
        <f t="shared" si="367"/>
        <v>3.7290889380929837E-3</v>
      </c>
      <c r="DL68" s="22">
        <f t="shared" si="367"/>
        <v>3.7290889380929837E-3</v>
      </c>
      <c r="DM68" s="22">
        <f t="shared" si="367"/>
        <v>3.7290889380929837E-3</v>
      </c>
      <c r="DN68" s="22">
        <f t="shared" si="367"/>
        <v>3.7290889380929837E-3</v>
      </c>
      <c r="DO68" s="22">
        <f t="shared" si="367"/>
        <v>3.7290889380929837E-3</v>
      </c>
      <c r="DP68" s="22">
        <f t="shared" si="367"/>
        <v>3.7290889380929837E-3</v>
      </c>
      <c r="DQ68" s="22">
        <f t="shared" si="367"/>
        <v>3.7290889380929837E-3</v>
      </c>
    </row>
    <row r="69" spans="2:1006" x14ac:dyDescent="0.35">
      <c r="D69" s="25"/>
      <c r="E69" s="20" t="s">
        <v>213</v>
      </c>
      <c r="F69" s="20" t="s">
        <v>88</v>
      </c>
      <c r="G69" s="35">
        <f>Assumptions!G74</f>
        <v>5.0000000000000001E-3</v>
      </c>
      <c r="K69" s="22">
        <f t="shared" ref="K69:Z70" si="368">(1+$G69)^(K$5/12)-1</f>
        <v>4.1571484472902043E-4</v>
      </c>
      <c r="L69" s="22">
        <f t="shared" si="368"/>
        <v>4.1571484472902043E-4</v>
      </c>
      <c r="M69" s="22">
        <f t="shared" si="368"/>
        <v>4.1571484472902043E-4</v>
      </c>
      <c r="N69" s="22">
        <f t="shared" si="368"/>
        <v>4.1571484472902043E-4</v>
      </c>
      <c r="O69" s="22">
        <f t="shared" si="368"/>
        <v>4.1571484472902043E-4</v>
      </c>
      <c r="P69" s="22">
        <f t="shared" si="368"/>
        <v>4.1571484472902043E-4</v>
      </c>
      <c r="Q69" s="22">
        <f t="shared" si="368"/>
        <v>4.1571484472902043E-4</v>
      </c>
      <c r="R69" s="22">
        <f t="shared" si="368"/>
        <v>4.1571484472902043E-4</v>
      </c>
      <c r="S69" s="22">
        <f t="shared" si="368"/>
        <v>4.1571484472902043E-4</v>
      </c>
      <c r="T69" s="22">
        <f t="shared" si="368"/>
        <v>1.2476630625266605E-3</v>
      </c>
      <c r="U69" s="22">
        <f t="shared" si="368"/>
        <v>1.2476630625266605E-3</v>
      </c>
      <c r="V69" s="22">
        <f t="shared" si="368"/>
        <v>1.2476630625266605E-3</v>
      </c>
      <c r="W69" s="22">
        <f t="shared" si="368"/>
        <v>1.2476630625266605E-3</v>
      </c>
      <c r="X69" s="22">
        <f t="shared" si="368"/>
        <v>1.2476630625266605E-3</v>
      </c>
      <c r="Y69" s="22">
        <f t="shared" si="368"/>
        <v>1.2476630625266605E-3</v>
      </c>
      <c r="Z69" s="22">
        <f t="shared" si="368"/>
        <v>1.2476630625266605E-3</v>
      </c>
      <c r="AA69" s="22">
        <f t="shared" si="365"/>
        <v>1.2476630625266605E-3</v>
      </c>
      <c r="AB69" s="22">
        <f t="shared" si="365"/>
        <v>1.2476630625266605E-3</v>
      </c>
      <c r="AC69" s="22">
        <f t="shared" si="365"/>
        <v>1.2476630625266605E-3</v>
      </c>
      <c r="AD69" s="22">
        <f t="shared" si="365"/>
        <v>1.2476630625266605E-3</v>
      </c>
      <c r="AE69" s="22">
        <f t="shared" si="365"/>
        <v>1.2476630625266605E-3</v>
      </c>
      <c r="AF69" s="22">
        <f t="shared" si="365"/>
        <v>1.2476630625266605E-3</v>
      </c>
      <c r="AG69" s="22">
        <f t="shared" si="365"/>
        <v>1.2476630625266605E-3</v>
      </c>
      <c r="AH69" s="22">
        <f t="shared" si="365"/>
        <v>1.2476630625266605E-3</v>
      </c>
      <c r="AI69" s="22">
        <f t="shared" si="365"/>
        <v>1.2476630625266605E-3</v>
      </c>
      <c r="AJ69" s="22">
        <f t="shared" si="365"/>
        <v>1.2476630625266605E-3</v>
      </c>
      <c r="AK69" s="22">
        <f t="shared" si="365"/>
        <v>1.2476630625266605E-3</v>
      </c>
      <c r="AL69" s="22">
        <f t="shared" si="365"/>
        <v>1.2476630625266605E-3</v>
      </c>
      <c r="AM69" s="22">
        <f t="shared" si="365"/>
        <v>1.2476630625266605E-3</v>
      </c>
      <c r="AN69" s="22">
        <f t="shared" si="365"/>
        <v>1.2476630625266605E-3</v>
      </c>
      <c r="AO69" s="22">
        <f t="shared" si="365"/>
        <v>1.2476630625266605E-3</v>
      </c>
      <c r="AP69" s="22">
        <f t="shared" si="365"/>
        <v>1.2476630625266605E-3</v>
      </c>
      <c r="AQ69" s="22">
        <f t="shared" si="365"/>
        <v>1.2476630625266605E-3</v>
      </c>
      <c r="AR69" s="22">
        <f t="shared" si="365"/>
        <v>1.2476630625266605E-3</v>
      </c>
      <c r="AS69" s="22">
        <f t="shared" si="365"/>
        <v>1.2476630625266605E-3</v>
      </c>
      <c r="AT69" s="22">
        <f t="shared" si="365"/>
        <v>1.2476630625266605E-3</v>
      </c>
      <c r="AU69" s="22">
        <f t="shared" si="365"/>
        <v>1.2476630625266605E-3</v>
      </c>
      <c r="AV69" s="22">
        <f t="shared" si="365"/>
        <v>1.2476630625266605E-3</v>
      </c>
      <c r="AW69" s="22">
        <f t="shared" si="365"/>
        <v>1.2476630625266605E-3</v>
      </c>
      <c r="AX69" s="22">
        <f t="shared" si="365"/>
        <v>1.2476630625266605E-3</v>
      </c>
      <c r="AY69" s="22">
        <f t="shared" si="365"/>
        <v>1.2476630625266605E-3</v>
      </c>
      <c r="AZ69" s="22">
        <f t="shared" si="365"/>
        <v>1.2476630625266605E-3</v>
      </c>
      <c r="BA69" s="22">
        <f t="shared" si="365"/>
        <v>1.2476630625266605E-3</v>
      </c>
      <c r="BB69" s="22">
        <f t="shared" si="365"/>
        <v>1.2476630625266605E-3</v>
      </c>
      <c r="BC69" s="22">
        <f t="shared" si="365"/>
        <v>1.2476630625266605E-3</v>
      </c>
      <c r="BD69" s="22">
        <f t="shared" si="365"/>
        <v>1.2476630625266605E-3</v>
      </c>
      <c r="BE69" s="22">
        <f t="shared" si="365"/>
        <v>1.2476630625266605E-3</v>
      </c>
      <c r="BF69" s="22">
        <f t="shared" si="365"/>
        <v>1.2476630625266605E-3</v>
      </c>
      <c r="BG69" s="22">
        <f t="shared" si="365"/>
        <v>1.2476630625266605E-3</v>
      </c>
      <c r="BH69" s="22">
        <f t="shared" si="365"/>
        <v>1.2476630625266605E-3</v>
      </c>
      <c r="BI69" s="22">
        <f t="shared" si="365"/>
        <v>1.2476630625266605E-3</v>
      </c>
      <c r="BJ69" s="22">
        <f t="shared" si="365"/>
        <v>1.2476630625266605E-3</v>
      </c>
      <c r="BK69" s="22">
        <f t="shared" si="365"/>
        <v>1.2476630625266605E-3</v>
      </c>
      <c r="BL69" s="22">
        <f t="shared" si="365"/>
        <v>1.2476630625266605E-3</v>
      </c>
      <c r="BM69" s="22">
        <f t="shared" si="365"/>
        <v>1.2476630625266605E-3</v>
      </c>
      <c r="BN69" s="22">
        <f t="shared" si="365"/>
        <v>1.2476630625266605E-3</v>
      </c>
      <c r="BO69" s="22">
        <f t="shared" si="365"/>
        <v>1.2476630625266605E-3</v>
      </c>
      <c r="BP69" s="22">
        <f t="shared" si="365"/>
        <v>1.2476630625266605E-3</v>
      </c>
      <c r="BQ69" s="22">
        <f t="shared" si="365"/>
        <v>1.2476630625266605E-3</v>
      </c>
      <c r="BR69" s="22">
        <f t="shared" si="365"/>
        <v>1.2476630625266605E-3</v>
      </c>
      <c r="BS69" s="22">
        <f t="shared" si="365"/>
        <v>1.2476630625266605E-3</v>
      </c>
      <c r="BT69" s="22">
        <f t="shared" si="365"/>
        <v>1.2476630625266605E-3</v>
      </c>
      <c r="BU69" s="22">
        <f t="shared" si="365"/>
        <v>1.2476630625266605E-3</v>
      </c>
      <c r="BV69" s="22">
        <f t="shared" si="365"/>
        <v>1.2476630625266605E-3</v>
      </c>
      <c r="BW69" s="22">
        <f t="shared" si="365"/>
        <v>1.2476630625266605E-3</v>
      </c>
      <c r="BX69" s="22">
        <f t="shared" si="366"/>
        <v>1.2476630625266605E-3</v>
      </c>
      <c r="BY69" s="22">
        <f t="shared" si="366"/>
        <v>1.2476630625266605E-3</v>
      </c>
      <c r="BZ69" s="22">
        <f t="shared" si="366"/>
        <v>1.2476630625266605E-3</v>
      </c>
      <c r="CA69" s="22">
        <f t="shared" si="366"/>
        <v>1.2476630625266605E-3</v>
      </c>
      <c r="CB69" s="22">
        <f t="shared" si="366"/>
        <v>1.2476630625266605E-3</v>
      </c>
      <c r="CC69" s="22">
        <f t="shared" si="366"/>
        <v>1.2476630625266605E-3</v>
      </c>
      <c r="CD69" s="22">
        <f t="shared" si="366"/>
        <v>1.2476630625266605E-3</v>
      </c>
      <c r="CE69" s="22">
        <f t="shared" si="366"/>
        <v>1.2476630625266605E-3</v>
      </c>
      <c r="CF69" s="22">
        <f t="shared" si="366"/>
        <v>1.2476630625266605E-3</v>
      </c>
      <c r="CG69" s="22">
        <f t="shared" si="366"/>
        <v>1.2476630625266605E-3</v>
      </c>
      <c r="CH69" s="22">
        <f t="shared" si="366"/>
        <v>1.2476630625266605E-3</v>
      </c>
      <c r="CI69" s="22">
        <f t="shared" si="366"/>
        <v>1.2476630625266605E-3</v>
      </c>
      <c r="CJ69" s="22">
        <f t="shared" si="366"/>
        <v>1.2476630625266605E-3</v>
      </c>
      <c r="CK69" s="22">
        <f t="shared" si="366"/>
        <v>1.2476630625266605E-3</v>
      </c>
      <c r="CL69" s="22">
        <f t="shared" si="366"/>
        <v>1.2476630625266605E-3</v>
      </c>
      <c r="CM69" s="22">
        <f t="shared" si="366"/>
        <v>1.2476630625266605E-3</v>
      </c>
      <c r="CN69" s="22">
        <f t="shared" si="366"/>
        <v>1.2476630625266605E-3</v>
      </c>
      <c r="CO69" s="22">
        <f t="shared" si="366"/>
        <v>1.2476630625266605E-3</v>
      </c>
      <c r="CP69" s="22">
        <f t="shared" si="366"/>
        <v>1.2476630625266605E-3</v>
      </c>
      <c r="CQ69" s="22">
        <f t="shared" si="366"/>
        <v>1.2476630625266605E-3</v>
      </c>
      <c r="CR69" s="22">
        <f t="shared" si="366"/>
        <v>1.2476630625266605E-3</v>
      </c>
      <c r="CS69" s="22">
        <f t="shared" si="366"/>
        <v>1.2476630625266605E-3</v>
      </c>
      <c r="CT69" s="22">
        <f t="shared" si="366"/>
        <v>1.2476630625266605E-3</v>
      </c>
      <c r="CU69" s="22">
        <f t="shared" si="366"/>
        <v>1.2476630625266605E-3</v>
      </c>
      <c r="CV69" s="22">
        <f t="shared" si="366"/>
        <v>1.2476630625266605E-3</v>
      </c>
      <c r="CW69" s="22">
        <f t="shared" si="366"/>
        <v>1.2476630625266605E-3</v>
      </c>
      <c r="CX69" s="22">
        <f t="shared" si="366"/>
        <v>1.2476630625266605E-3</v>
      </c>
      <c r="CY69" s="22">
        <f t="shared" si="366"/>
        <v>1.2476630625266605E-3</v>
      </c>
      <c r="CZ69" s="22">
        <f t="shared" si="366"/>
        <v>1.2476630625266605E-3</v>
      </c>
      <c r="DA69" s="22">
        <f t="shared" si="367"/>
        <v>1.2476630625266605E-3</v>
      </c>
      <c r="DB69" s="22">
        <f t="shared" si="367"/>
        <v>1.2476630625266605E-3</v>
      </c>
      <c r="DC69" s="22">
        <f t="shared" si="367"/>
        <v>1.2476630625266605E-3</v>
      </c>
      <c r="DD69" s="22">
        <f t="shared" si="367"/>
        <v>1.2476630625266605E-3</v>
      </c>
      <c r="DE69" s="22">
        <f t="shared" si="367"/>
        <v>1.2476630625266605E-3</v>
      </c>
      <c r="DF69" s="22">
        <f t="shared" si="367"/>
        <v>1.2476630625266605E-3</v>
      </c>
      <c r="DG69" s="22">
        <f t="shared" si="367"/>
        <v>1.2476630625266605E-3</v>
      </c>
      <c r="DH69" s="22">
        <f t="shared" si="367"/>
        <v>1.2476630625266605E-3</v>
      </c>
      <c r="DI69" s="22">
        <f t="shared" si="367"/>
        <v>1.2476630625266605E-3</v>
      </c>
      <c r="DJ69" s="22">
        <f t="shared" si="367"/>
        <v>1.2476630625266605E-3</v>
      </c>
      <c r="DK69" s="22">
        <f t="shared" si="367"/>
        <v>1.2476630625266605E-3</v>
      </c>
      <c r="DL69" s="22">
        <f t="shared" si="367"/>
        <v>1.2476630625266605E-3</v>
      </c>
      <c r="DM69" s="22">
        <f t="shared" si="367"/>
        <v>1.2476630625266605E-3</v>
      </c>
      <c r="DN69" s="22">
        <f t="shared" si="367"/>
        <v>1.2476630625266605E-3</v>
      </c>
      <c r="DO69" s="22">
        <f t="shared" si="367"/>
        <v>1.2476630625266605E-3</v>
      </c>
      <c r="DP69" s="22">
        <f t="shared" si="367"/>
        <v>1.2476630625266605E-3</v>
      </c>
      <c r="DQ69" s="22">
        <f t="shared" si="367"/>
        <v>1.2476630625266605E-3</v>
      </c>
    </row>
    <row r="70" spans="2:1006" x14ac:dyDescent="0.35">
      <c r="D70" s="25"/>
      <c r="E70" s="20" t="s">
        <v>214</v>
      </c>
      <c r="F70" s="20" t="s">
        <v>88</v>
      </c>
      <c r="G70" s="35">
        <f>Assumptions!G75</f>
        <v>0</v>
      </c>
      <c r="K70" s="22">
        <f t="shared" si="368"/>
        <v>0</v>
      </c>
      <c r="L70" s="22">
        <f t="shared" si="368"/>
        <v>0</v>
      </c>
      <c r="M70" s="22">
        <f t="shared" si="368"/>
        <v>0</v>
      </c>
      <c r="N70" s="22">
        <f t="shared" si="368"/>
        <v>0</v>
      </c>
      <c r="O70" s="22">
        <f t="shared" si="368"/>
        <v>0</v>
      </c>
      <c r="P70" s="22">
        <f t="shared" si="368"/>
        <v>0</v>
      </c>
      <c r="Q70" s="22">
        <f t="shared" si="368"/>
        <v>0</v>
      </c>
      <c r="R70" s="22">
        <f t="shared" si="368"/>
        <v>0</v>
      </c>
      <c r="S70" s="22">
        <f t="shared" si="368"/>
        <v>0</v>
      </c>
      <c r="T70" s="22">
        <f t="shared" si="368"/>
        <v>0</v>
      </c>
      <c r="U70" s="22">
        <f t="shared" si="368"/>
        <v>0</v>
      </c>
      <c r="V70" s="22">
        <f t="shared" si="368"/>
        <v>0</v>
      </c>
      <c r="W70" s="22">
        <f t="shared" si="368"/>
        <v>0</v>
      </c>
      <c r="X70" s="22">
        <f t="shared" si="368"/>
        <v>0</v>
      </c>
      <c r="Y70" s="22">
        <f t="shared" si="368"/>
        <v>0</v>
      </c>
      <c r="Z70" s="22">
        <f t="shared" si="368"/>
        <v>0</v>
      </c>
      <c r="AA70" s="22">
        <f t="shared" si="365"/>
        <v>0</v>
      </c>
      <c r="AB70" s="22">
        <f t="shared" si="365"/>
        <v>0</v>
      </c>
      <c r="AC70" s="22">
        <f t="shared" si="365"/>
        <v>0</v>
      </c>
      <c r="AD70" s="22">
        <f t="shared" si="365"/>
        <v>0</v>
      </c>
      <c r="AE70" s="22">
        <f t="shared" si="365"/>
        <v>0</v>
      </c>
      <c r="AF70" s="22">
        <f t="shared" si="365"/>
        <v>0</v>
      </c>
      <c r="AG70" s="22">
        <f t="shared" si="365"/>
        <v>0</v>
      </c>
      <c r="AH70" s="22">
        <f t="shared" si="365"/>
        <v>0</v>
      </c>
      <c r="AI70" s="22">
        <f t="shared" si="365"/>
        <v>0</v>
      </c>
      <c r="AJ70" s="22">
        <f t="shared" si="365"/>
        <v>0</v>
      </c>
      <c r="AK70" s="22">
        <f t="shared" si="365"/>
        <v>0</v>
      </c>
      <c r="AL70" s="22">
        <f t="shared" si="365"/>
        <v>0</v>
      </c>
      <c r="AM70" s="22">
        <f t="shared" si="365"/>
        <v>0</v>
      </c>
      <c r="AN70" s="22">
        <f t="shared" si="365"/>
        <v>0</v>
      </c>
      <c r="AO70" s="22">
        <f t="shared" si="365"/>
        <v>0</v>
      </c>
      <c r="AP70" s="22">
        <f t="shared" si="365"/>
        <v>0</v>
      </c>
      <c r="AQ70" s="22">
        <f t="shared" si="365"/>
        <v>0</v>
      </c>
      <c r="AR70" s="22">
        <f t="shared" si="365"/>
        <v>0</v>
      </c>
      <c r="AS70" s="22">
        <f t="shared" si="365"/>
        <v>0</v>
      </c>
      <c r="AT70" s="22">
        <f t="shared" si="365"/>
        <v>0</v>
      </c>
      <c r="AU70" s="22">
        <f t="shared" si="365"/>
        <v>0</v>
      </c>
      <c r="AV70" s="22">
        <f t="shared" si="365"/>
        <v>0</v>
      </c>
      <c r="AW70" s="22">
        <f t="shared" si="365"/>
        <v>0</v>
      </c>
      <c r="AX70" s="22">
        <f t="shared" si="365"/>
        <v>0</v>
      </c>
      <c r="AY70" s="22">
        <f t="shared" si="365"/>
        <v>0</v>
      </c>
      <c r="AZ70" s="22">
        <f t="shared" si="365"/>
        <v>0</v>
      </c>
      <c r="BA70" s="22">
        <f t="shared" si="365"/>
        <v>0</v>
      </c>
      <c r="BB70" s="22">
        <f t="shared" si="365"/>
        <v>0</v>
      </c>
      <c r="BC70" s="22">
        <f t="shared" si="365"/>
        <v>0</v>
      </c>
      <c r="BD70" s="22">
        <f t="shared" si="365"/>
        <v>0</v>
      </c>
      <c r="BE70" s="22">
        <f t="shared" si="365"/>
        <v>0</v>
      </c>
      <c r="BF70" s="22">
        <f t="shared" si="365"/>
        <v>0</v>
      </c>
      <c r="BG70" s="22">
        <f t="shared" si="365"/>
        <v>0</v>
      </c>
      <c r="BH70" s="22">
        <f t="shared" si="365"/>
        <v>0</v>
      </c>
      <c r="BI70" s="22">
        <f t="shared" si="365"/>
        <v>0</v>
      </c>
      <c r="BJ70" s="22">
        <f t="shared" si="365"/>
        <v>0</v>
      </c>
      <c r="BK70" s="22">
        <f t="shared" si="365"/>
        <v>0</v>
      </c>
      <c r="BL70" s="22">
        <f t="shared" si="365"/>
        <v>0</v>
      </c>
      <c r="BM70" s="22">
        <f t="shared" si="365"/>
        <v>0</v>
      </c>
      <c r="BN70" s="22">
        <f t="shared" si="365"/>
        <v>0</v>
      </c>
      <c r="BO70" s="22">
        <f t="shared" si="365"/>
        <v>0</v>
      </c>
      <c r="BP70" s="22">
        <f t="shared" si="365"/>
        <v>0</v>
      </c>
      <c r="BQ70" s="22">
        <f t="shared" si="365"/>
        <v>0</v>
      </c>
      <c r="BR70" s="22">
        <f t="shared" si="365"/>
        <v>0</v>
      </c>
      <c r="BS70" s="22">
        <f t="shared" si="365"/>
        <v>0</v>
      </c>
      <c r="BT70" s="22">
        <f t="shared" si="365"/>
        <v>0</v>
      </c>
      <c r="BU70" s="22">
        <f t="shared" si="365"/>
        <v>0</v>
      </c>
      <c r="BV70" s="22">
        <f t="shared" si="365"/>
        <v>0</v>
      </c>
      <c r="BW70" s="22">
        <f t="shared" si="365"/>
        <v>0</v>
      </c>
      <c r="BX70" s="22">
        <f t="shared" si="366"/>
        <v>0</v>
      </c>
      <c r="BY70" s="22">
        <f t="shared" si="366"/>
        <v>0</v>
      </c>
      <c r="BZ70" s="22">
        <f t="shared" si="366"/>
        <v>0</v>
      </c>
      <c r="CA70" s="22">
        <f t="shared" si="366"/>
        <v>0</v>
      </c>
      <c r="CB70" s="22">
        <f t="shared" si="366"/>
        <v>0</v>
      </c>
      <c r="CC70" s="22">
        <f t="shared" si="366"/>
        <v>0</v>
      </c>
      <c r="CD70" s="22">
        <f t="shared" si="366"/>
        <v>0</v>
      </c>
      <c r="CE70" s="22">
        <f t="shared" si="366"/>
        <v>0</v>
      </c>
      <c r="CF70" s="22">
        <f t="shared" si="366"/>
        <v>0</v>
      </c>
      <c r="CG70" s="22">
        <f t="shared" si="366"/>
        <v>0</v>
      </c>
      <c r="CH70" s="22">
        <f t="shared" si="366"/>
        <v>0</v>
      </c>
      <c r="CI70" s="22">
        <f t="shared" si="366"/>
        <v>0</v>
      </c>
      <c r="CJ70" s="22">
        <f t="shared" si="366"/>
        <v>0</v>
      </c>
      <c r="CK70" s="22">
        <f t="shared" si="366"/>
        <v>0</v>
      </c>
      <c r="CL70" s="22">
        <f t="shared" si="366"/>
        <v>0</v>
      </c>
      <c r="CM70" s="22">
        <f t="shared" si="366"/>
        <v>0</v>
      </c>
      <c r="CN70" s="22">
        <f t="shared" si="366"/>
        <v>0</v>
      </c>
      <c r="CO70" s="22">
        <f t="shared" si="366"/>
        <v>0</v>
      </c>
      <c r="CP70" s="22">
        <f t="shared" si="366"/>
        <v>0</v>
      </c>
      <c r="CQ70" s="22">
        <f t="shared" si="366"/>
        <v>0</v>
      </c>
      <c r="CR70" s="22">
        <f t="shared" si="366"/>
        <v>0</v>
      </c>
      <c r="CS70" s="22">
        <f t="shared" si="366"/>
        <v>0</v>
      </c>
      <c r="CT70" s="22">
        <f t="shared" si="366"/>
        <v>0</v>
      </c>
      <c r="CU70" s="22">
        <f t="shared" si="366"/>
        <v>0</v>
      </c>
      <c r="CV70" s="22">
        <f t="shared" si="366"/>
        <v>0</v>
      </c>
      <c r="CW70" s="22">
        <f t="shared" si="366"/>
        <v>0</v>
      </c>
      <c r="CX70" s="22">
        <f t="shared" si="366"/>
        <v>0</v>
      </c>
      <c r="CY70" s="22">
        <f t="shared" si="366"/>
        <v>0</v>
      </c>
      <c r="CZ70" s="22">
        <f t="shared" si="366"/>
        <v>0</v>
      </c>
      <c r="DA70" s="22">
        <f t="shared" si="367"/>
        <v>0</v>
      </c>
      <c r="DB70" s="22">
        <f t="shared" si="367"/>
        <v>0</v>
      </c>
      <c r="DC70" s="22">
        <f t="shared" si="367"/>
        <v>0</v>
      </c>
      <c r="DD70" s="22">
        <f t="shared" si="367"/>
        <v>0</v>
      </c>
      <c r="DE70" s="22">
        <f t="shared" si="367"/>
        <v>0</v>
      </c>
      <c r="DF70" s="22">
        <f t="shared" si="367"/>
        <v>0</v>
      </c>
      <c r="DG70" s="22">
        <f t="shared" si="367"/>
        <v>0</v>
      </c>
      <c r="DH70" s="22">
        <f t="shared" si="367"/>
        <v>0</v>
      </c>
      <c r="DI70" s="22">
        <f t="shared" si="367"/>
        <v>0</v>
      </c>
      <c r="DJ70" s="22">
        <f t="shared" si="367"/>
        <v>0</v>
      </c>
      <c r="DK70" s="22">
        <f t="shared" si="367"/>
        <v>0</v>
      </c>
      <c r="DL70" s="22">
        <f t="shared" si="367"/>
        <v>0</v>
      </c>
      <c r="DM70" s="22">
        <f t="shared" si="367"/>
        <v>0</v>
      </c>
      <c r="DN70" s="22">
        <f t="shared" si="367"/>
        <v>0</v>
      </c>
      <c r="DO70" s="22">
        <f t="shared" si="367"/>
        <v>0</v>
      </c>
      <c r="DP70" s="22">
        <f t="shared" si="367"/>
        <v>0</v>
      </c>
      <c r="DQ70" s="22">
        <f t="shared" si="367"/>
        <v>0</v>
      </c>
    </row>
    <row r="71" spans="2:1006" x14ac:dyDescent="0.35">
      <c r="D71" s="25"/>
      <c r="G71" s="27"/>
    </row>
    <row r="72" spans="2:1006" x14ac:dyDescent="0.35">
      <c r="E72" s="20" t="s">
        <v>55</v>
      </c>
      <c r="F72" s="20" t="s">
        <v>25</v>
      </c>
      <c r="J72" s="28">
        <v>1</v>
      </c>
      <c r="K72" s="43">
        <f>J72*(1+K68*K$67)</f>
        <v>1</v>
      </c>
      <c r="L72" s="43">
        <f t="shared" ref="L72:BW74" si="369">K72*(1+L68*L$67)</f>
        <v>1</v>
      </c>
      <c r="M72" s="43">
        <f t="shared" si="369"/>
        <v>1</v>
      </c>
      <c r="N72" s="43">
        <f t="shared" si="369"/>
        <v>1</v>
      </c>
      <c r="O72" s="43">
        <f t="shared" si="369"/>
        <v>1</v>
      </c>
      <c r="P72" s="43">
        <f t="shared" si="369"/>
        <v>1</v>
      </c>
      <c r="Q72" s="43">
        <f t="shared" si="369"/>
        <v>1</v>
      </c>
      <c r="R72" s="43">
        <f t="shared" si="369"/>
        <v>1</v>
      </c>
      <c r="S72" s="43">
        <f t="shared" si="369"/>
        <v>1</v>
      </c>
      <c r="T72" s="43">
        <f t="shared" si="369"/>
        <v>1.003729088938093</v>
      </c>
      <c r="U72" s="43">
        <f t="shared" si="369"/>
        <v>1.0074720839804943</v>
      </c>
      <c r="V72" s="43">
        <f t="shared" si="369"/>
        <v>1.0112290369843033</v>
      </c>
      <c r="W72" s="43">
        <f t="shared" si="369"/>
        <v>1.0149999999999999</v>
      </c>
      <c r="X72" s="43">
        <f t="shared" si="369"/>
        <v>1.0187850252721642</v>
      </c>
      <c r="Y72" s="43">
        <f t="shared" si="369"/>
        <v>1.0225841652402015</v>
      </c>
      <c r="Z72" s="43">
        <f t="shared" si="369"/>
        <v>1.0263974725390677</v>
      </c>
      <c r="AA72" s="43">
        <f t="shared" si="369"/>
        <v>1.0302249999999997</v>
      </c>
      <c r="AB72" s="43">
        <f t="shared" si="369"/>
        <v>1.0340668006512466</v>
      </c>
      <c r="AC72" s="43">
        <f t="shared" si="369"/>
        <v>1.0379229277188042</v>
      </c>
      <c r="AD72" s="43">
        <f t="shared" si="369"/>
        <v>1.0417934346271536</v>
      </c>
      <c r="AE72" s="43">
        <f t="shared" si="369"/>
        <v>1.0456783749999996</v>
      </c>
      <c r="AF72" s="43">
        <f t="shared" si="369"/>
        <v>1.0495778026610152</v>
      </c>
      <c r="AG72" s="43">
        <f t="shared" si="369"/>
        <v>1.0534917716345864</v>
      </c>
      <c r="AH72" s="43">
        <f t="shared" si="369"/>
        <v>1.0574203361465608</v>
      </c>
      <c r="AI72" s="43">
        <f t="shared" si="369"/>
        <v>1.0613635506249994</v>
      </c>
      <c r="AJ72" s="43">
        <f t="shared" si="369"/>
        <v>1.0653214697009301</v>
      </c>
      <c r="AK72" s="43">
        <f t="shared" si="369"/>
        <v>1.0692941482091047</v>
      </c>
      <c r="AL72" s="43">
        <f t="shared" si="369"/>
        <v>1.0732816411887589</v>
      </c>
      <c r="AM72" s="43">
        <f t="shared" si="369"/>
        <v>1.0772840038843743</v>
      </c>
      <c r="AN72" s="43">
        <f t="shared" si="369"/>
        <v>1.081301291746444</v>
      </c>
      <c r="AO72" s="43">
        <f t="shared" si="369"/>
        <v>1.0853335604322414</v>
      </c>
      <c r="AP72" s="43">
        <f t="shared" si="369"/>
        <v>1.0893808658065904</v>
      </c>
      <c r="AQ72" s="43">
        <f t="shared" si="369"/>
        <v>1.0934432639426399</v>
      </c>
      <c r="AR72" s="43">
        <f t="shared" si="369"/>
        <v>1.0975208111226407</v>
      </c>
      <c r="AS72" s="43">
        <f t="shared" si="369"/>
        <v>1.101613563838725</v>
      </c>
      <c r="AT72" s="43">
        <f t="shared" si="369"/>
        <v>1.1057215787936892</v>
      </c>
      <c r="AU72" s="43">
        <f t="shared" si="369"/>
        <v>1.1098449129017793</v>
      </c>
      <c r="AV72" s="43">
        <f t="shared" si="369"/>
        <v>1.1139836232894802</v>
      </c>
      <c r="AW72" s="43">
        <f t="shared" si="369"/>
        <v>1.1181377672963058</v>
      </c>
      <c r="AX72" s="43">
        <f t="shared" si="369"/>
        <v>1.1223074024755944</v>
      </c>
      <c r="AY72" s="43">
        <f t="shared" si="369"/>
        <v>1.1264925865953059</v>
      </c>
      <c r="AZ72" s="43">
        <f t="shared" si="369"/>
        <v>1.1306933776388222</v>
      </c>
      <c r="BA72" s="43">
        <f t="shared" si="369"/>
        <v>1.1349098338057502</v>
      </c>
      <c r="BB72" s="43">
        <f t="shared" si="369"/>
        <v>1.1391420135127281</v>
      </c>
      <c r="BC72" s="43">
        <f t="shared" si="369"/>
        <v>1.1433899753942354</v>
      </c>
      <c r="BD72" s="43">
        <f t="shared" si="369"/>
        <v>1.1476537783034044</v>
      </c>
      <c r="BE72" s="43">
        <f t="shared" si="369"/>
        <v>1.1519334813128363</v>
      </c>
      <c r="BF72" s="43">
        <f t="shared" si="369"/>
        <v>1.1562291437154191</v>
      </c>
      <c r="BG72" s="43">
        <f t="shared" si="369"/>
        <v>1.160540825025149</v>
      </c>
      <c r="BH72" s="43">
        <f t="shared" si="369"/>
        <v>1.1648685849779556</v>
      </c>
      <c r="BI72" s="43">
        <f t="shared" si="369"/>
        <v>1.169212483532529</v>
      </c>
      <c r="BJ72" s="43">
        <f t="shared" si="369"/>
        <v>1.1735725808711504</v>
      </c>
      <c r="BK72" s="43">
        <f t="shared" si="369"/>
        <v>1.1779489374005261</v>
      </c>
      <c r="BL72" s="43">
        <f t="shared" si="369"/>
        <v>1.1823416137526248</v>
      </c>
      <c r="BM72" s="43">
        <f t="shared" si="369"/>
        <v>1.1867506707855167</v>
      </c>
      <c r="BN72" s="43">
        <f t="shared" si="369"/>
        <v>1.1911761695842173</v>
      </c>
      <c r="BO72" s="43">
        <f t="shared" si="369"/>
        <v>1.1956181714615339</v>
      </c>
      <c r="BP72" s="43">
        <f t="shared" si="369"/>
        <v>1.2000767379589141</v>
      </c>
      <c r="BQ72" s="43">
        <f t="shared" si="369"/>
        <v>1.2045519308472994</v>
      </c>
      <c r="BR72" s="43">
        <f t="shared" si="369"/>
        <v>1.2090438121279805</v>
      </c>
      <c r="BS72" s="43">
        <f t="shared" si="369"/>
        <v>1.2135524440334566</v>
      </c>
      <c r="BT72" s="43">
        <f t="shared" si="369"/>
        <v>1.2180778890282975</v>
      </c>
      <c r="BU72" s="43">
        <f t="shared" si="369"/>
        <v>1.2226202098100085</v>
      </c>
      <c r="BV72" s="43">
        <f t="shared" si="369"/>
        <v>1.2271794693098999</v>
      </c>
      <c r="BW72" s="43">
        <f t="shared" si="369"/>
        <v>1.2317557306939582</v>
      </c>
      <c r="BX72" s="43">
        <f t="shared" ref="BX72:CZ74" si="370">BW72*(1+BX68*BX$67)</f>
        <v>1.2363490573637217</v>
      </c>
      <c r="BY72" s="43">
        <f t="shared" si="370"/>
        <v>1.2409595129571585</v>
      </c>
      <c r="BZ72" s="43">
        <f t="shared" si="370"/>
        <v>1.2455871613495482</v>
      </c>
      <c r="CA72" s="43">
        <f t="shared" si="370"/>
        <v>1.2502320666543674</v>
      </c>
      <c r="CB72" s="43">
        <f t="shared" si="370"/>
        <v>1.2548942932241773</v>
      </c>
      <c r="CC72" s="43">
        <f t="shared" si="370"/>
        <v>1.2595739056515156</v>
      </c>
      <c r="CD72" s="43">
        <f t="shared" si="370"/>
        <v>1.2642709687697913</v>
      </c>
      <c r="CE72" s="43">
        <f t="shared" si="370"/>
        <v>1.2689855476541827</v>
      </c>
      <c r="CF72" s="43">
        <f t="shared" si="370"/>
        <v>1.2737177076225399</v>
      </c>
      <c r="CG72" s="43">
        <f t="shared" si="370"/>
        <v>1.2784675142362882</v>
      </c>
      <c r="CH72" s="43">
        <f t="shared" si="370"/>
        <v>1.283235033301338</v>
      </c>
      <c r="CI72" s="43">
        <f t="shared" si="370"/>
        <v>1.2880203308689955</v>
      </c>
      <c r="CJ72" s="43">
        <f t="shared" si="370"/>
        <v>1.292823473236878</v>
      </c>
      <c r="CK72" s="43">
        <f t="shared" si="370"/>
        <v>1.2976445269498325</v>
      </c>
      <c r="CL72" s="43">
        <f t="shared" si="370"/>
        <v>1.3024835588008581</v>
      </c>
      <c r="CM72" s="43">
        <f t="shared" si="370"/>
        <v>1.3073406358320303</v>
      </c>
      <c r="CN72" s="43">
        <f t="shared" si="370"/>
        <v>1.312215825335431</v>
      </c>
      <c r="CO72" s="43">
        <f t="shared" si="370"/>
        <v>1.3171091948540798</v>
      </c>
      <c r="CP72" s="43">
        <f t="shared" si="370"/>
        <v>1.3220208121828707</v>
      </c>
      <c r="CQ72" s="43">
        <f t="shared" si="370"/>
        <v>1.3269507453695106</v>
      </c>
      <c r="CR72" s="43">
        <f t="shared" si="370"/>
        <v>1.3318990627154623</v>
      </c>
      <c r="CS72" s="43">
        <f t="shared" si="370"/>
        <v>1.336865832776891</v>
      </c>
      <c r="CT72" s="43">
        <f t="shared" si="370"/>
        <v>1.3418511243656137</v>
      </c>
      <c r="CU72" s="43">
        <f t="shared" si="370"/>
        <v>1.3468550065500531</v>
      </c>
      <c r="CV72" s="43">
        <f t="shared" si="370"/>
        <v>1.351877548656194</v>
      </c>
      <c r="CW72" s="43">
        <f t="shared" si="370"/>
        <v>1.356918820268544</v>
      </c>
      <c r="CX72" s="43">
        <f t="shared" si="370"/>
        <v>1.3619788912310977</v>
      </c>
      <c r="CY72" s="43">
        <f t="shared" si="370"/>
        <v>1.3670578316483037</v>
      </c>
      <c r="CZ72" s="43">
        <f t="shared" si="370"/>
        <v>1.3721557118860368</v>
      </c>
      <c r="DA72" s="43">
        <f t="shared" ref="DA72:DQ72" si="371">CZ72*(1+DA68*DA$67)</f>
        <v>1.3772726025725721</v>
      </c>
      <c r="DB72" s="43">
        <f t="shared" si="371"/>
        <v>1.382408574599564</v>
      </c>
      <c r="DC72" s="43">
        <f t="shared" si="371"/>
        <v>1.3875636991230282</v>
      </c>
      <c r="DD72" s="43">
        <f t="shared" si="371"/>
        <v>1.3927380475643274</v>
      </c>
      <c r="DE72" s="43">
        <f t="shared" si="371"/>
        <v>1.3979316916111608</v>
      </c>
      <c r="DF72" s="43">
        <f t="shared" si="371"/>
        <v>1.4031447032185576</v>
      </c>
      <c r="DG72" s="43">
        <f t="shared" si="371"/>
        <v>1.4083771546098736</v>
      </c>
      <c r="DH72" s="43">
        <f t="shared" si="371"/>
        <v>1.413629118277792</v>
      </c>
      <c r="DI72" s="43">
        <f t="shared" si="371"/>
        <v>1.4189006669853279</v>
      </c>
      <c r="DJ72" s="43">
        <f t="shared" si="371"/>
        <v>1.4241918737668358</v>
      </c>
      <c r="DK72" s="43">
        <f t="shared" si="371"/>
        <v>1.4295028119290216</v>
      </c>
      <c r="DL72" s="43">
        <f t="shared" si="371"/>
        <v>1.4348335550519589</v>
      </c>
      <c r="DM72" s="43">
        <f t="shared" si="371"/>
        <v>1.4401841769901078</v>
      </c>
      <c r="DN72" s="43">
        <f t="shared" si="371"/>
        <v>1.4455547518733383</v>
      </c>
      <c r="DO72" s="43">
        <f t="shared" si="371"/>
        <v>1.4509453541079569</v>
      </c>
      <c r="DP72" s="43">
        <f t="shared" si="371"/>
        <v>1.4563560583777382</v>
      </c>
      <c r="DQ72" s="43">
        <f t="shared" si="371"/>
        <v>1.4617869396449592</v>
      </c>
    </row>
    <row r="73" spans="2:1006" x14ac:dyDescent="0.35">
      <c r="E73" s="20" t="s">
        <v>203</v>
      </c>
      <c r="F73" s="20" t="s">
        <v>25</v>
      </c>
      <c r="J73" s="28">
        <v>1</v>
      </c>
      <c r="K73" s="43">
        <f t="shared" ref="K73:Z74" si="372">J73*(1+K69*K$67)</f>
        <v>1</v>
      </c>
      <c r="L73" s="43">
        <f t="shared" si="372"/>
        <v>1</v>
      </c>
      <c r="M73" s="43">
        <f t="shared" si="372"/>
        <v>1</v>
      </c>
      <c r="N73" s="43">
        <f t="shared" si="372"/>
        <v>1</v>
      </c>
      <c r="O73" s="43">
        <f t="shared" si="372"/>
        <v>1</v>
      </c>
      <c r="P73" s="43">
        <f t="shared" si="372"/>
        <v>1</v>
      </c>
      <c r="Q73" s="43">
        <f t="shared" si="372"/>
        <v>1</v>
      </c>
      <c r="R73" s="43">
        <f t="shared" si="372"/>
        <v>1</v>
      </c>
      <c r="S73" s="43">
        <f t="shared" si="372"/>
        <v>1</v>
      </c>
      <c r="T73" s="43">
        <f t="shared" si="372"/>
        <v>1.0012476630625267</v>
      </c>
      <c r="U73" s="43">
        <f t="shared" si="372"/>
        <v>1.0024968827881708</v>
      </c>
      <c r="V73" s="43">
        <f t="shared" si="372"/>
        <v>1.0037476611191238</v>
      </c>
      <c r="W73" s="43">
        <f t="shared" si="372"/>
        <v>1.0049999999999997</v>
      </c>
      <c r="X73" s="43">
        <f t="shared" si="372"/>
        <v>1.0062539013778389</v>
      </c>
      <c r="Y73" s="43">
        <f t="shared" si="372"/>
        <v>1.0075093672021114</v>
      </c>
      <c r="Z73" s="43">
        <f t="shared" si="372"/>
        <v>1.0087663994247191</v>
      </c>
      <c r="AA73" s="43">
        <f t="shared" si="369"/>
        <v>1.0100249999999993</v>
      </c>
      <c r="AB73" s="43">
        <f t="shared" si="369"/>
        <v>1.0112851708847277</v>
      </c>
      <c r="AC73" s="43">
        <f t="shared" si="369"/>
        <v>1.0125469140381216</v>
      </c>
      <c r="AD73" s="43">
        <f t="shared" si="369"/>
        <v>1.0138102314218422</v>
      </c>
      <c r="AE73" s="43">
        <f t="shared" si="369"/>
        <v>1.015075124999999</v>
      </c>
      <c r="AF73" s="43">
        <f t="shared" si="369"/>
        <v>1.0163415967391511</v>
      </c>
      <c r="AG73" s="43">
        <f t="shared" si="369"/>
        <v>1.0176096486083119</v>
      </c>
      <c r="AH73" s="43">
        <f t="shared" si="369"/>
        <v>1.0188792825789512</v>
      </c>
      <c r="AI73" s="43">
        <f t="shared" si="369"/>
        <v>1.0201505006249987</v>
      </c>
      <c r="AJ73" s="43">
        <f t="shared" si="369"/>
        <v>1.0214233047228465</v>
      </c>
      <c r="AK73" s="43">
        <f t="shared" si="369"/>
        <v>1.022697696851353</v>
      </c>
      <c r="AL73" s="43">
        <f t="shared" si="369"/>
        <v>1.0239736789918457</v>
      </c>
      <c r="AM73" s="43">
        <f t="shared" si="369"/>
        <v>1.0252512531281233</v>
      </c>
      <c r="AN73" s="43">
        <f t="shared" si="369"/>
        <v>1.0265304212464603</v>
      </c>
      <c r="AO73" s="43">
        <f t="shared" si="369"/>
        <v>1.0278111853356096</v>
      </c>
      <c r="AP73" s="43">
        <f t="shared" si="369"/>
        <v>1.0290935473868046</v>
      </c>
      <c r="AQ73" s="43">
        <f t="shared" si="369"/>
        <v>1.0303775093937637</v>
      </c>
      <c r="AR73" s="43">
        <f t="shared" si="369"/>
        <v>1.0316630733526926</v>
      </c>
      <c r="AS73" s="43">
        <f t="shared" si="369"/>
        <v>1.0329502412622875</v>
      </c>
      <c r="AT73" s="43">
        <f t="shared" si="369"/>
        <v>1.0342390151237384</v>
      </c>
      <c r="AU73" s="43">
        <f t="shared" si="369"/>
        <v>1.0355293969407322</v>
      </c>
      <c r="AV73" s="43">
        <f t="shared" si="369"/>
        <v>1.0368213887194557</v>
      </c>
      <c r="AW73" s="43">
        <f t="shared" si="369"/>
        <v>1.0381149924685986</v>
      </c>
      <c r="AX73" s="43">
        <f t="shared" si="369"/>
        <v>1.0394102101993568</v>
      </c>
      <c r="AY73" s="43">
        <f t="shared" si="369"/>
        <v>1.0407070439254356</v>
      </c>
      <c r="AZ73" s="43">
        <f t="shared" si="369"/>
        <v>1.0420054956630527</v>
      </c>
      <c r="BA73" s="43">
        <f t="shared" si="369"/>
        <v>1.0433055674309413</v>
      </c>
      <c r="BB73" s="43">
        <f t="shared" si="369"/>
        <v>1.0446072612503532</v>
      </c>
      <c r="BC73" s="43">
        <f t="shared" si="369"/>
        <v>1.0459105791450625</v>
      </c>
      <c r="BD73" s="43">
        <f t="shared" si="369"/>
        <v>1.0472155231413676</v>
      </c>
      <c r="BE73" s="43">
        <f t="shared" si="369"/>
        <v>1.0485220952680956</v>
      </c>
      <c r="BF73" s="43">
        <f t="shared" si="369"/>
        <v>1.0498302975566047</v>
      </c>
      <c r="BG73" s="43">
        <f t="shared" si="369"/>
        <v>1.0511401320407874</v>
      </c>
      <c r="BH73" s="43">
        <f t="shared" si="369"/>
        <v>1.0524516007570741</v>
      </c>
      <c r="BI73" s="43">
        <f t="shared" si="369"/>
        <v>1.0537647057444357</v>
      </c>
      <c r="BJ73" s="43">
        <f t="shared" si="369"/>
        <v>1.0550794490443873</v>
      </c>
      <c r="BK73" s="43">
        <f t="shared" si="369"/>
        <v>1.056395832700991</v>
      </c>
      <c r="BL73" s="43">
        <f t="shared" si="369"/>
        <v>1.0577138587608592</v>
      </c>
      <c r="BM73" s="43">
        <f t="shared" si="369"/>
        <v>1.0590335292731576</v>
      </c>
      <c r="BN73" s="43">
        <f t="shared" si="369"/>
        <v>1.0603548462896091</v>
      </c>
      <c r="BO73" s="43">
        <f t="shared" si="369"/>
        <v>1.0616778118644958</v>
      </c>
      <c r="BP73" s="43">
        <f t="shared" si="369"/>
        <v>1.0630024280546633</v>
      </c>
      <c r="BQ73" s="43">
        <f t="shared" si="369"/>
        <v>1.0643286969195231</v>
      </c>
      <c r="BR73" s="43">
        <f t="shared" si="369"/>
        <v>1.0656566205210567</v>
      </c>
      <c r="BS73" s="43">
        <f t="shared" si="369"/>
        <v>1.0669862009238178</v>
      </c>
      <c r="BT73" s="43">
        <f t="shared" si="369"/>
        <v>1.068317440194936</v>
      </c>
      <c r="BU73" s="43">
        <f t="shared" si="369"/>
        <v>1.0696503404041202</v>
      </c>
      <c r="BV73" s="43">
        <f t="shared" si="369"/>
        <v>1.0709849036236616</v>
      </c>
      <c r="BW73" s="43">
        <f t="shared" si="369"/>
        <v>1.0723211319284365</v>
      </c>
      <c r="BX73" s="43">
        <f t="shared" si="370"/>
        <v>1.0736590273959103</v>
      </c>
      <c r="BY73" s="43">
        <f t="shared" si="370"/>
        <v>1.0749985921061405</v>
      </c>
      <c r="BZ73" s="43">
        <f t="shared" si="370"/>
        <v>1.0763398281417795</v>
      </c>
      <c r="CA73" s="43">
        <f t="shared" si="370"/>
        <v>1.0776827375880784</v>
      </c>
      <c r="CB73" s="43">
        <f t="shared" si="370"/>
        <v>1.0790273225328897</v>
      </c>
      <c r="CC73" s="43">
        <f t="shared" si="370"/>
        <v>1.0803735850666709</v>
      </c>
      <c r="CD73" s="43">
        <f t="shared" si="370"/>
        <v>1.081721527282488</v>
      </c>
      <c r="CE73" s="43">
        <f t="shared" si="370"/>
        <v>1.0830711512760183</v>
      </c>
      <c r="CF73" s="43">
        <f t="shared" si="370"/>
        <v>1.0844224591455536</v>
      </c>
      <c r="CG73" s="43">
        <f t="shared" si="370"/>
        <v>1.0857754529920038</v>
      </c>
      <c r="CH73" s="43">
        <f t="shared" si="370"/>
        <v>1.0871301349189002</v>
      </c>
      <c r="CI73" s="43">
        <f t="shared" si="370"/>
        <v>1.0884865070323981</v>
      </c>
      <c r="CJ73" s="43">
        <f t="shared" si="370"/>
        <v>1.0898445714412812</v>
      </c>
      <c r="CK73" s="43">
        <f t="shared" si="370"/>
        <v>1.0912043302569636</v>
      </c>
      <c r="CL73" s="43">
        <f t="shared" si="370"/>
        <v>1.0925657855934943</v>
      </c>
      <c r="CM73" s="43">
        <f t="shared" si="370"/>
        <v>1.0939289395675598</v>
      </c>
      <c r="CN73" s="43">
        <f t="shared" si="370"/>
        <v>1.0952937942984873</v>
      </c>
      <c r="CO73" s="43">
        <f t="shared" si="370"/>
        <v>1.0966603519082481</v>
      </c>
      <c r="CP73" s="43">
        <f t="shared" si="370"/>
        <v>1.0980286145214615</v>
      </c>
      <c r="CQ73" s="43">
        <f t="shared" si="370"/>
        <v>1.0993985842653973</v>
      </c>
      <c r="CR73" s="43">
        <f t="shared" si="370"/>
        <v>1.1007702632699794</v>
      </c>
      <c r="CS73" s="43">
        <f t="shared" si="370"/>
        <v>1.1021436536677891</v>
      </c>
      <c r="CT73" s="43">
        <f t="shared" si="370"/>
        <v>1.1035187575940686</v>
      </c>
      <c r="CU73" s="43">
        <f t="shared" si="370"/>
        <v>1.1048955771867239</v>
      </c>
      <c r="CV73" s="43">
        <f t="shared" si="370"/>
        <v>1.1062741145863288</v>
      </c>
      <c r="CW73" s="43">
        <f t="shared" si="370"/>
        <v>1.1076543719361276</v>
      </c>
      <c r="CX73" s="43">
        <f t="shared" si="370"/>
        <v>1.1090363513820385</v>
      </c>
      <c r="CY73" s="43">
        <f t="shared" si="370"/>
        <v>1.1104200550726573</v>
      </c>
      <c r="CZ73" s="43">
        <f t="shared" si="370"/>
        <v>1.1118054851592603</v>
      </c>
      <c r="DA73" s="43">
        <f t="shared" ref="DA73:DQ73" si="373">CZ73*(1+DA69*DA$67)</f>
        <v>1.113192643795808</v>
      </c>
      <c r="DB73" s="43">
        <f t="shared" si="373"/>
        <v>1.1145815331389484</v>
      </c>
      <c r="DC73" s="43">
        <f t="shared" si="373"/>
        <v>1.1159721553480202</v>
      </c>
      <c r="DD73" s="43">
        <f t="shared" si="373"/>
        <v>1.1173645125850562</v>
      </c>
      <c r="DE73" s="43">
        <f t="shared" si="373"/>
        <v>1.1187586070147866</v>
      </c>
      <c r="DF73" s="43">
        <f t="shared" si="373"/>
        <v>1.1201544408046427</v>
      </c>
      <c r="DG73" s="43">
        <f t="shared" si="373"/>
        <v>1.1215520161247599</v>
      </c>
      <c r="DH73" s="43">
        <f t="shared" si="373"/>
        <v>1.122951335147981</v>
      </c>
      <c r="DI73" s="43">
        <f t="shared" si="373"/>
        <v>1.1243524000498601</v>
      </c>
      <c r="DJ73" s="43">
        <f t="shared" si="373"/>
        <v>1.1257552130086657</v>
      </c>
      <c r="DK73" s="43">
        <f t="shared" si="373"/>
        <v>1.1271597762053833</v>
      </c>
      <c r="DL73" s="43">
        <f t="shared" si="373"/>
        <v>1.1285660918237206</v>
      </c>
      <c r="DM73" s="43">
        <f t="shared" si="373"/>
        <v>1.1299741620501091</v>
      </c>
      <c r="DN73" s="43">
        <f t="shared" si="373"/>
        <v>1.1313839890737085</v>
      </c>
      <c r="DO73" s="43">
        <f t="shared" si="373"/>
        <v>1.1327955750864098</v>
      </c>
      <c r="DP73" s="43">
        <f t="shared" si="373"/>
        <v>1.1342089222828389</v>
      </c>
      <c r="DQ73" s="43">
        <f t="shared" si="373"/>
        <v>1.1356240328603593</v>
      </c>
    </row>
    <row r="74" spans="2:1006" x14ac:dyDescent="0.35">
      <c r="E74" s="20" t="s">
        <v>204</v>
      </c>
      <c r="F74" s="20" t="s">
        <v>25</v>
      </c>
      <c r="J74" s="28">
        <v>1</v>
      </c>
      <c r="K74" s="43">
        <f t="shared" si="372"/>
        <v>1</v>
      </c>
      <c r="L74" s="43">
        <f t="shared" si="372"/>
        <v>1</v>
      </c>
      <c r="M74" s="43">
        <f t="shared" si="372"/>
        <v>1</v>
      </c>
      <c r="N74" s="43">
        <f t="shared" si="372"/>
        <v>1</v>
      </c>
      <c r="O74" s="43">
        <f t="shared" si="372"/>
        <v>1</v>
      </c>
      <c r="P74" s="43">
        <f t="shared" si="372"/>
        <v>1</v>
      </c>
      <c r="Q74" s="43">
        <f t="shared" si="372"/>
        <v>1</v>
      </c>
      <c r="R74" s="43">
        <f t="shared" si="372"/>
        <v>1</v>
      </c>
      <c r="S74" s="43">
        <f t="shared" si="372"/>
        <v>1</v>
      </c>
      <c r="T74" s="43">
        <f t="shared" si="372"/>
        <v>1</v>
      </c>
      <c r="U74" s="43">
        <f t="shared" si="372"/>
        <v>1</v>
      </c>
      <c r="V74" s="43">
        <f t="shared" si="372"/>
        <v>1</v>
      </c>
      <c r="W74" s="43">
        <f t="shared" si="372"/>
        <v>1</v>
      </c>
      <c r="X74" s="43">
        <f t="shared" si="372"/>
        <v>1</v>
      </c>
      <c r="Y74" s="43">
        <f t="shared" si="372"/>
        <v>1</v>
      </c>
      <c r="Z74" s="43">
        <f t="shared" si="372"/>
        <v>1</v>
      </c>
      <c r="AA74" s="43">
        <f t="shared" si="369"/>
        <v>1</v>
      </c>
      <c r="AB74" s="43">
        <f t="shared" si="369"/>
        <v>1</v>
      </c>
      <c r="AC74" s="43">
        <f t="shared" si="369"/>
        <v>1</v>
      </c>
      <c r="AD74" s="43">
        <f t="shared" si="369"/>
        <v>1</v>
      </c>
      <c r="AE74" s="43">
        <f t="shared" si="369"/>
        <v>1</v>
      </c>
      <c r="AF74" s="43">
        <f t="shared" si="369"/>
        <v>1</v>
      </c>
      <c r="AG74" s="43">
        <f t="shared" si="369"/>
        <v>1</v>
      </c>
      <c r="AH74" s="43">
        <f t="shared" si="369"/>
        <v>1</v>
      </c>
      <c r="AI74" s="43">
        <f t="shared" si="369"/>
        <v>1</v>
      </c>
      <c r="AJ74" s="43">
        <f t="shared" si="369"/>
        <v>1</v>
      </c>
      <c r="AK74" s="43">
        <f t="shared" si="369"/>
        <v>1</v>
      </c>
      <c r="AL74" s="43">
        <f t="shared" si="369"/>
        <v>1</v>
      </c>
      <c r="AM74" s="43">
        <f t="shared" si="369"/>
        <v>1</v>
      </c>
      <c r="AN74" s="43">
        <f t="shared" si="369"/>
        <v>1</v>
      </c>
      <c r="AO74" s="43">
        <f t="shared" si="369"/>
        <v>1</v>
      </c>
      <c r="AP74" s="43">
        <f t="shared" si="369"/>
        <v>1</v>
      </c>
      <c r="AQ74" s="43">
        <f t="shared" si="369"/>
        <v>1</v>
      </c>
      <c r="AR74" s="43">
        <f t="shared" si="369"/>
        <v>1</v>
      </c>
      <c r="AS74" s="43">
        <f t="shared" si="369"/>
        <v>1</v>
      </c>
      <c r="AT74" s="43">
        <f t="shared" si="369"/>
        <v>1</v>
      </c>
      <c r="AU74" s="43">
        <f t="shared" si="369"/>
        <v>1</v>
      </c>
      <c r="AV74" s="43">
        <f t="shared" si="369"/>
        <v>1</v>
      </c>
      <c r="AW74" s="43">
        <f t="shared" si="369"/>
        <v>1</v>
      </c>
      <c r="AX74" s="43">
        <f t="shared" si="369"/>
        <v>1</v>
      </c>
      <c r="AY74" s="43">
        <f t="shared" si="369"/>
        <v>1</v>
      </c>
      <c r="AZ74" s="43">
        <f t="shared" si="369"/>
        <v>1</v>
      </c>
      <c r="BA74" s="43">
        <f t="shared" si="369"/>
        <v>1</v>
      </c>
      <c r="BB74" s="43">
        <f t="shared" si="369"/>
        <v>1</v>
      </c>
      <c r="BC74" s="43">
        <f t="shared" si="369"/>
        <v>1</v>
      </c>
      <c r="BD74" s="43">
        <f t="shared" si="369"/>
        <v>1</v>
      </c>
      <c r="BE74" s="43">
        <f t="shared" si="369"/>
        <v>1</v>
      </c>
      <c r="BF74" s="43">
        <f t="shared" si="369"/>
        <v>1</v>
      </c>
      <c r="BG74" s="43">
        <f t="shared" si="369"/>
        <v>1</v>
      </c>
      <c r="BH74" s="43">
        <f t="shared" si="369"/>
        <v>1</v>
      </c>
      <c r="BI74" s="43">
        <f t="shared" si="369"/>
        <v>1</v>
      </c>
      <c r="BJ74" s="43">
        <f t="shared" si="369"/>
        <v>1</v>
      </c>
      <c r="BK74" s="43">
        <f t="shared" si="369"/>
        <v>1</v>
      </c>
      <c r="BL74" s="43">
        <f t="shared" si="369"/>
        <v>1</v>
      </c>
      <c r="BM74" s="43">
        <f t="shared" si="369"/>
        <v>1</v>
      </c>
      <c r="BN74" s="43">
        <f t="shared" si="369"/>
        <v>1</v>
      </c>
      <c r="BO74" s="43">
        <f t="shared" si="369"/>
        <v>1</v>
      </c>
      <c r="BP74" s="43">
        <f t="shared" si="369"/>
        <v>1</v>
      </c>
      <c r="BQ74" s="43">
        <f t="shared" si="369"/>
        <v>1</v>
      </c>
      <c r="BR74" s="43">
        <f t="shared" si="369"/>
        <v>1</v>
      </c>
      <c r="BS74" s="43">
        <f t="shared" si="369"/>
        <v>1</v>
      </c>
      <c r="BT74" s="43">
        <f t="shared" si="369"/>
        <v>1</v>
      </c>
      <c r="BU74" s="43">
        <f t="shared" si="369"/>
        <v>1</v>
      </c>
      <c r="BV74" s="43">
        <f t="shared" si="369"/>
        <v>1</v>
      </c>
      <c r="BW74" s="43">
        <f t="shared" si="369"/>
        <v>1</v>
      </c>
      <c r="BX74" s="43">
        <f t="shared" si="370"/>
        <v>1</v>
      </c>
      <c r="BY74" s="43">
        <f t="shared" si="370"/>
        <v>1</v>
      </c>
      <c r="BZ74" s="43">
        <f t="shared" si="370"/>
        <v>1</v>
      </c>
      <c r="CA74" s="43">
        <f t="shared" si="370"/>
        <v>1</v>
      </c>
      <c r="CB74" s="43">
        <f t="shared" si="370"/>
        <v>1</v>
      </c>
      <c r="CC74" s="43">
        <f t="shared" si="370"/>
        <v>1</v>
      </c>
      <c r="CD74" s="43">
        <f t="shared" si="370"/>
        <v>1</v>
      </c>
      <c r="CE74" s="43">
        <f t="shared" si="370"/>
        <v>1</v>
      </c>
      <c r="CF74" s="43">
        <f t="shared" si="370"/>
        <v>1</v>
      </c>
      <c r="CG74" s="43">
        <f t="shared" si="370"/>
        <v>1</v>
      </c>
      <c r="CH74" s="43">
        <f t="shared" si="370"/>
        <v>1</v>
      </c>
      <c r="CI74" s="43">
        <f t="shared" si="370"/>
        <v>1</v>
      </c>
      <c r="CJ74" s="43">
        <f t="shared" si="370"/>
        <v>1</v>
      </c>
      <c r="CK74" s="43">
        <f t="shared" si="370"/>
        <v>1</v>
      </c>
      <c r="CL74" s="43">
        <f t="shared" si="370"/>
        <v>1</v>
      </c>
      <c r="CM74" s="43">
        <f t="shared" si="370"/>
        <v>1</v>
      </c>
      <c r="CN74" s="43">
        <f t="shared" si="370"/>
        <v>1</v>
      </c>
      <c r="CO74" s="43">
        <f t="shared" si="370"/>
        <v>1</v>
      </c>
      <c r="CP74" s="43">
        <f t="shared" si="370"/>
        <v>1</v>
      </c>
      <c r="CQ74" s="43">
        <f t="shared" si="370"/>
        <v>1</v>
      </c>
      <c r="CR74" s="43">
        <f t="shared" si="370"/>
        <v>1</v>
      </c>
      <c r="CS74" s="43">
        <f t="shared" si="370"/>
        <v>1</v>
      </c>
      <c r="CT74" s="43">
        <f t="shared" si="370"/>
        <v>1</v>
      </c>
      <c r="CU74" s="43">
        <f t="shared" si="370"/>
        <v>1</v>
      </c>
      <c r="CV74" s="43">
        <f t="shared" si="370"/>
        <v>1</v>
      </c>
      <c r="CW74" s="43">
        <f t="shared" si="370"/>
        <v>1</v>
      </c>
      <c r="CX74" s="43">
        <f t="shared" si="370"/>
        <v>1</v>
      </c>
      <c r="CY74" s="43">
        <f t="shared" si="370"/>
        <v>1</v>
      </c>
      <c r="CZ74" s="43">
        <f t="shared" si="370"/>
        <v>1</v>
      </c>
      <c r="DA74" s="43">
        <f t="shared" ref="DA74:DQ74" si="374">CZ74*(1+DA70*DA$67)</f>
        <v>1</v>
      </c>
      <c r="DB74" s="43">
        <f t="shared" si="374"/>
        <v>1</v>
      </c>
      <c r="DC74" s="43">
        <f t="shared" si="374"/>
        <v>1</v>
      </c>
      <c r="DD74" s="43">
        <f t="shared" si="374"/>
        <v>1</v>
      </c>
      <c r="DE74" s="43">
        <f t="shared" si="374"/>
        <v>1</v>
      </c>
      <c r="DF74" s="43">
        <f t="shared" si="374"/>
        <v>1</v>
      </c>
      <c r="DG74" s="43">
        <f t="shared" si="374"/>
        <v>1</v>
      </c>
      <c r="DH74" s="43">
        <f t="shared" si="374"/>
        <v>1</v>
      </c>
      <c r="DI74" s="43">
        <f t="shared" si="374"/>
        <v>1</v>
      </c>
      <c r="DJ74" s="43">
        <f t="shared" si="374"/>
        <v>1</v>
      </c>
      <c r="DK74" s="43">
        <f t="shared" si="374"/>
        <v>1</v>
      </c>
      <c r="DL74" s="43">
        <f t="shared" si="374"/>
        <v>1</v>
      </c>
      <c r="DM74" s="43">
        <f t="shared" si="374"/>
        <v>1</v>
      </c>
      <c r="DN74" s="43">
        <f t="shared" si="374"/>
        <v>1</v>
      </c>
      <c r="DO74" s="43">
        <f t="shared" si="374"/>
        <v>1</v>
      </c>
      <c r="DP74" s="43">
        <f t="shared" si="374"/>
        <v>1</v>
      </c>
      <c r="DQ74" s="43">
        <f t="shared" si="374"/>
        <v>1</v>
      </c>
    </row>
    <row r="76" spans="2:1006" x14ac:dyDescent="0.35">
      <c r="D76" s="20" t="s">
        <v>215</v>
      </c>
      <c r="F76" s="20" t="s">
        <v>60</v>
      </c>
      <c r="H76" s="20">
        <f>H5</f>
        <v>3</v>
      </c>
    </row>
    <row r="77" spans="2:1006" x14ac:dyDescent="0.35">
      <c r="E77" s="20" t="s">
        <v>136</v>
      </c>
      <c r="F77" s="20" t="s">
        <v>101</v>
      </c>
      <c r="G77" s="49">
        <f>Assumptions!F72</f>
        <v>5</v>
      </c>
      <c r="H77" s="25">
        <f>G77/12*$H$76</f>
        <v>1.25</v>
      </c>
      <c r="K77" s="43">
        <f t="shared" ref="K77:T78" si="375">$G77*K$5/12*K$72</f>
        <v>0.41666666666666669</v>
      </c>
      <c r="L77" s="43">
        <f t="shared" si="375"/>
        <v>0.41666666666666669</v>
      </c>
      <c r="M77" s="43">
        <f t="shared" si="375"/>
        <v>0.41666666666666669</v>
      </c>
      <c r="N77" s="43">
        <f t="shared" si="375"/>
        <v>0.41666666666666669</v>
      </c>
      <c r="O77" s="43">
        <f t="shared" si="375"/>
        <v>0.41666666666666669</v>
      </c>
      <c r="P77" s="43">
        <f t="shared" si="375"/>
        <v>0.41666666666666669</v>
      </c>
      <c r="Q77" s="43">
        <f t="shared" si="375"/>
        <v>0.41666666666666669</v>
      </c>
      <c r="R77" s="43">
        <f t="shared" si="375"/>
        <v>0.41666666666666669</v>
      </c>
      <c r="S77" s="43">
        <f t="shared" si="375"/>
        <v>0.41666666666666669</v>
      </c>
      <c r="T77" s="43">
        <f t="shared" si="375"/>
        <v>1.2546613611726163</v>
      </c>
      <c r="U77" s="43">
        <f t="shared" ref="U77:AD78" si="376">$G77*U$5/12*U$72</f>
        <v>1.2593401049756179</v>
      </c>
      <c r="V77" s="43">
        <f t="shared" si="376"/>
        <v>1.2640362962303793</v>
      </c>
      <c r="W77" s="43">
        <f t="shared" si="376"/>
        <v>1.2687499999999998</v>
      </c>
      <c r="X77" s="43">
        <f t="shared" si="376"/>
        <v>1.2734812815902052</v>
      </c>
      <c r="Y77" s="43">
        <f t="shared" si="376"/>
        <v>1.2782302065502518</v>
      </c>
      <c r="Z77" s="43">
        <f t="shared" si="376"/>
        <v>1.2829968406738346</v>
      </c>
      <c r="AA77" s="43">
        <f t="shared" si="376"/>
        <v>1.2877812499999997</v>
      </c>
      <c r="AB77" s="43">
        <f t="shared" si="376"/>
        <v>1.2925835008140583</v>
      </c>
      <c r="AC77" s="43">
        <f t="shared" si="376"/>
        <v>1.2974036596485052</v>
      </c>
      <c r="AD77" s="43">
        <f t="shared" si="376"/>
        <v>1.3022417932839421</v>
      </c>
      <c r="AE77" s="43">
        <f t="shared" ref="AE77:AN78" si="377">$G77*AE$5/12*AE$72</f>
        <v>1.3070979687499995</v>
      </c>
      <c r="AF77" s="43">
        <f t="shared" si="377"/>
        <v>1.311972253326269</v>
      </c>
      <c r="AG77" s="43">
        <f t="shared" si="377"/>
        <v>1.3168647145432331</v>
      </c>
      <c r="AH77" s="43">
        <f t="shared" si="377"/>
        <v>1.321775420183201</v>
      </c>
      <c r="AI77" s="43">
        <f t="shared" si="377"/>
        <v>1.3267044382812494</v>
      </c>
      <c r="AJ77" s="43">
        <f t="shared" si="377"/>
        <v>1.3316518371261625</v>
      </c>
      <c r="AK77" s="43">
        <f t="shared" si="377"/>
        <v>1.3366176852613809</v>
      </c>
      <c r="AL77" s="43">
        <f t="shared" si="377"/>
        <v>1.3416020514859486</v>
      </c>
      <c r="AM77" s="43">
        <f t="shared" si="377"/>
        <v>1.3466050048554679</v>
      </c>
      <c r="AN77" s="43">
        <f t="shared" si="377"/>
        <v>1.3516266146830549</v>
      </c>
      <c r="AO77" s="43">
        <f t="shared" ref="AO77:AX78" si="378">$G77*AO$5/12*AO$72</f>
        <v>1.3566669505403017</v>
      </c>
      <c r="AP77" s="43">
        <f t="shared" si="378"/>
        <v>1.361726082258238</v>
      </c>
      <c r="AQ77" s="43">
        <f t="shared" si="378"/>
        <v>1.3668040799282999</v>
      </c>
      <c r="AR77" s="43">
        <f t="shared" si="378"/>
        <v>1.3719010139033008</v>
      </c>
      <c r="AS77" s="43">
        <f t="shared" si="378"/>
        <v>1.3770169547984064</v>
      </c>
      <c r="AT77" s="43">
        <f t="shared" si="378"/>
        <v>1.3821519734921115</v>
      </c>
      <c r="AU77" s="43">
        <f t="shared" si="378"/>
        <v>1.3873061411272243</v>
      </c>
      <c r="AV77" s="43">
        <f t="shared" si="378"/>
        <v>1.3924795291118501</v>
      </c>
      <c r="AW77" s="43">
        <f t="shared" si="378"/>
        <v>1.3976722091203821</v>
      </c>
      <c r="AX77" s="43">
        <f t="shared" si="378"/>
        <v>1.4028842530944929</v>
      </c>
      <c r="AY77" s="43">
        <f t="shared" ref="AY77:BH78" si="379">$G77*AY$5/12*AY$72</f>
        <v>1.4081157332441325</v>
      </c>
      <c r="AZ77" s="43">
        <f t="shared" si="379"/>
        <v>1.4133667220485278</v>
      </c>
      <c r="BA77" s="43">
        <f t="shared" si="379"/>
        <v>1.4186372922571877</v>
      </c>
      <c r="BB77" s="43">
        <f t="shared" si="379"/>
        <v>1.4239275168909102</v>
      </c>
      <c r="BC77" s="43">
        <f t="shared" si="379"/>
        <v>1.4292374692427943</v>
      </c>
      <c r="BD77" s="43">
        <f t="shared" si="379"/>
        <v>1.4345672228792554</v>
      </c>
      <c r="BE77" s="43">
        <f t="shared" si="379"/>
        <v>1.4399168516410454</v>
      </c>
      <c r="BF77" s="43">
        <f t="shared" si="379"/>
        <v>1.4452864296442738</v>
      </c>
      <c r="BG77" s="43">
        <f t="shared" si="379"/>
        <v>1.4506760312814362</v>
      </c>
      <c r="BH77" s="43">
        <f t="shared" si="379"/>
        <v>1.4560857312224447</v>
      </c>
      <c r="BI77" s="43">
        <f t="shared" ref="BI77:BR78" si="380">$G77*BI$5/12*BI$72</f>
        <v>1.4615156044156614</v>
      </c>
      <c r="BJ77" s="43">
        <f t="shared" si="380"/>
        <v>1.4669657260889379</v>
      </c>
      <c r="BK77" s="43">
        <f t="shared" si="380"/>
        <v>1.4724361717506576</v>
      </c>
      <c r="BL77" s="43">
        <f t="shared" si="380"/>
        <v>1.477927017190781</v>
      </c>
      <c r="BM77" s="43">
        <f t="shared" si="380"/>
        <v>1.4834383384818959</v>
      </c>
      <c r="BN77" s="43">
        <f t="shared" si="380"/>
        <v>1.4889702119802717</v>
      </c>
      <c r="BO77" s="43">
        <f t="shared" si="380"/>
        <v>1.4945227143269175</v>
      </c>
      <c r="BP77" s="43">
        <f t="shared" si="380"/>
        <v>1.5000959224486428</v>
      </c>
      <c r="BQ77" s="43">
        <f t="shared" si="380"/>
        <v>1.5056899135591242</v>
      </c>
      <c r="BR77" s="43">
        <f t="shared" si="380"/>
        <v>1.5113047651599756</v>
      </c>
      <c r="BS77" s="43">
        <f t="shared" ref="BS77:CB78" si="381">$G77*BS$5/12*BS$72</f>
        <v>1.5169405550418209</v>
      </c>
      <c r="BT77" s="43">
        <f t="shared" si="381"/>
        <v>1.5225973612853718</v>
      </c>
      <c r="BU77" s="43">
        <f t="shared" si="381"/>
        <v>1.5282752622625106</v>
      </c>
      <c r="BV77" s="43">
        <f t="shared" si="381"/>
        <v>1.5339743366373748</v>
      </c>
      <c r="BW77" s="43">
        <f t="shared" si="381"/>
        <v>1.5396946633674478</v>
      </c>
      <c r="BX77" s="43">
        <f t="shared" si="381"/>
        <v>1.5454363217046521</v>
      </c>
      <c r="BY77" s="43">
        <f t="shared" si="381"/>
        <v>1.5511993911964481</v>
      </c>
      <c r="BZ77" s="43">
        <f t="shared" si="381"/>
        <v>1.5569839516869353</v>
      </c>
      <c r="CA77" s="43">
        <f t="shared" si="381"/>
        <v>1.5627900833179593</v>
      </c>
      <c r="CB77" s="43">
        <f t="shared" si="381"/>
        <v>1.5686178665302217</v>
      </c>
      <c r="CC77" s="43">
        <f t="shared" ref="CC77:CL78" si="382">$G77*CC$5/12*CC$72</f>
        <v>1.5744673820643946</v>
      </c>
      <c r="CD77" s="43">
        <f t="shared" si="382"/>
        <v>1.5803387109622391</v>
      </c>
      <c r="CE77" s="43">
        <f t="shared" si="382"/>
        <v>1.5862319345677283</v>
      </c>
      <c r="CF77" s="43">
        <f t="shared" si="382"/>
        <v>1.5921471345281748</v>
      </c>
      <c r="CG77" s="43">
        <f t="shared" si="382"/>
        <v>1.5980843927953603</v>
      </c>
      <c r="CH77" s="43">
        <f t="shared" si="382"/>
        <v>1.6040437916266725</v>
      </c>
      <c r="CI77" s="43">
        <f t="shared" si="382"/>
        <v>1.6100254135862444</v>
      </c>
      <c r="CJ77" s="43">
        <f t="shared" si="382"/>
        <v>1.6160293415460973</v>
      </c>
      <c r="CK77" s="43">
        <f t="shared" si="382"/>
        <v>1.6220556586872905</v>
      </c>
      <c r="CL77" s="43">
        <f t="shared" si="382"/>
        <v>1.6281044485010727</v>
      </c>
      <c r="CM77" s="43">
        <f t="shared" ref="CM77:CV78" si="383">$G77*CM$5/12*CM$72</f>
        <v>1.6341757947900379</v>
      </c>
      <c r="CN77" s="43">
        <f t="shared" si="383"/>
        <v>1.6402697816692888</v>
      </c>
      <c r="CO77" s="43">
        <f t="shared" si="383"/>
        <v>1.6463864935675998</v>
      </c>
      <c r="CP77" s="43">
        <f t="shared" si="383"/>
        <v>1.6525260152285883</v>
      </c>
      <c r="CQ77" s="43">
        <f t="shared" si="383"/>
        <v>1.6586884317118882</v>
      </c>
      <c r="CR77" s="43">
        <f t="shared" si="383"/>
        <v>1.6648738283943278</v>
      </c>
      <c r="CS77" s="43">
        <f t="shared" si="383"/>
        <v>1.6710822909711136</v>
      </c>
      <c r="CT77" s="43">
        <f t="shared" si="383"/>
        <v>1.6773139054570172</v>
      </c>
      <c r="CU77" s="43">
        <f t="shared" si="383"/>
        <v>1.6835687581875662</v>
      </c>
      <c r="CV77" s="43">
        <f t="shared" si="383"/>
        <v>1.6898469358202426</v>
      </c>
      <c r="CW77" s="43">
        <f t="shared" ref="CW77:DF78" si="384">$G77*CW$5/12*CW$72</f>
        <v>1.6961485253356801</v>
      </c>
      <c r="CX77" s="43">
        <f t="shared" si="384"/>
        <v>1.7024736140388721</v>
      </c>
      <c r="CY77" s="43">
        <f t="shared" si="384"/>
        <v>1.7088222895603797</v>
      </c>
      <c r="CZ77" s="43">
        <f t="shared" si="384"/>
        <v>1.7151946398575459</v>
      </c>
      <c r="DA77" s="43">
        <f t="shared" si="384"/>
        <v>1.7215907532157151</v>
      </c>
      <c r="DB77" s="43">
        <f t="shared" si="384"/>
        <v>1.7280107182494551</v>
      </c>
      <c r="DC77" s="43">
        <f t="shared" si="384"/>
        <v>1.7344546239037852</v>
      </c>
      <c r="DD77" s="43">
        <f t="shared" si="384"/>
        <v>1.7409225594554092</v>
      </c>
      <c r="DE77" s="43">
        <f t="shared" si="384"/>
        <v>1.7474146145139511</v>
      </c>
      <c r="DF77" s="43">
        <f t="shared" si="384"/>
        <v>1.7539308790231969</v>
      </c>
      <c r="DG77" s="43">
        <f t="shared" ref="DG77:DQ78" si="385">$G77*DG$5/12*DG$72</f>
        <v>1.7604714432623418</v>
      </c>
      <c r="DH77" s="43">
        <f t="shared" si="385"/>
        <v>1.7670363978472401</v>
      </c>
      <c r="DI77" s="43">
        <f t="shared" si="385"/>
        <v>1.7736258337316599</v>
      </c>
      <c r="DJ77" s="43">
        <f t="shared" si="385"/>
        <v>1.7802398422085446</v>
      </c>
      <c r="DK77" s="43">
        <f t="shared" si="385"/>
        <v>1.7868785149112769</v>
      </c>
      <c r="DL77" s="43">
        <f t="shared" si="385"/>
        <v>1.7935419438149487</v>
      </c>
      <c r="DM77" s="43">
        <f t="shared" si="385"/>
        <v>1.8002302212376349</v>
      </c>
      <c r="DN77" s="43">
        <f t="shared" si="385"/>
        <v>1.8069434398416728</v>
      </c>
      <c r="DO77" s="43">
        <f t="shared" si="385"/>
        <v>1.8136816926349462</v>
      </c>
      <c r="DP77" s="43">
        <f t="shared" si="385"/>
        <v>1.8204450729721726</v>
      </c>
      <c r="DQ77" s="43">
        <f t="shared" si="385"/>
        <v>1.827233674556199</v>
      </c>
    </row>
    <row r="78" spans="2:1006" x14ac:dyDescent="0.35">
      <c r="E78" s="20" t="s">
        <v>137</v>
      </c>
      <c r="F78" s="20" t="s">
        <v>101</v>
      </c>
      <c r="G78" s="49">
        <f>Assumptions!F73</f>
        <v>0</v>
      </c>
      <c r="H78" s="25">
        <f t="shared" ref="H78:H84" si="386">G78/12*$H$76</f>
        <v>0</v>
      </c>
      <c r="K78" s="43">
        <f t="shared" si="375"/>
        <v>0</v>
      </c>
      <c r="L78" s="43">
        <f t="shared" si="375"/>
        <v>0</v>
      </c>
      <c r="M78" s="43">
        <f t="shared" si="375"/>
        <v>0</v>
      </c>
      <c r="N78" s="43">
        <f t="shared" si="375"/>
        <v>0</v>
      </c>
      <c r="O78" s="43">
        <f t="shared" si="375"/>
        <v>0</v>
      </c>
      <c r="P78" s="43">
        <f t="shared" si="375"/>
        <v>0</v>
      </c>
      <c r="Q78" s="43">
        <f t="shared" si="375"/>
        <v>0</v>
      </c>
      <c r="R78" s="43">
        <f t="shared" si="375"/>
        <v>0</v>
      </c>
      <c r="S78" s="43">
        <f t="shared" si="375"/>
        <v>0</v>
      </c>
      <c r="T78" s="43">
        <f t="shared" si="375"/>
        <v>0</v>
      </c>
      <c r="U78" s="43">
        <f t="shared" si="376"/>
        <v>0</v>
      </c>
      <c r="V78" s="43">
        <f t="shared" si="376"/>
        <v>0</v>
      </c>
      <c r="W78" s="43">
        <f t="shared" si="376"/>
        <v>0</v>
      </c>
      <c r="X78" s="43">
        <f t="shared" si="376"/>
        <v>0</v>
      </c>
      <c r="Y78" s="43">
        <f t="shared" si="376"/>
        <v>0</v>
      </c>
      <c r="Z78" s="43">
        <f t="shared" si="376"/>
        <v>0</v>
      </c>
      <c r="AA78" s="43">
        <f t="shared" si="376"/>
        <v>0</v>
      </c>
      <c r="AB78" s="43">
        <f t="shared" si="376"/>
        <v>0</v>
      </c>
      <c r="AC78" s="43">
        <f t="shared" si="376"/>
        <v>0</v>
      </c>
      <c r="AD78" s="43">
        <f t="shared" si="376"/>
        <v>0</v>
      </c>
      <c r="AE78" s="43">
        <f t="shared" si="377"/>
        <v>0</v>
      </c>
      <c r="AF78" s="43">
        <f t="shared" si="377"/>
        <v>0</v>
      </c>
      <c r="AG78" s="43">
        <f t="shared" si="377"/>
        <v>0</v>
      </c>
      <c r="AH78" s="43">
        <f t="shared" si="377"/>
        <v>0</v>
      </c>
      <c r="AI78" s="43">
        <f t="shared" si="377"/>
        <v>0</v>
      </c>
      <c r="AJ78" s="43">
        <f t="shared" si="377"/>
        <v>0</v>
      </c>
      <c r="AK78" s="43">
        <f t="shared" si="377"/>
        <v>0</v>
      </c>
      <c r="AL78" s="43">
        <f t="shared" si="377"/>
        <v>0</v>
      </c>
      <c r="AM78" s="43">
        <f t="shared" si="377"/>
        <v>0</v>
      </c>
      <c r="AN78" s="43">
        <f t="shared" si="377"/>
        <v>0</v>
      </c>
      <c r="AO78" s="43">
        <f t="shared" si="378"/>
        <v>0</v>
      </c>
      <c r="AP78" s="43">
        <f t="shared" si="378"/>
        <v>0</v>
      </c>
      <c r="AQ78" s="43">
        <f t="shared" si="378"/>
        <v>0</v>
      </c>
      <c r="AR78" s="43">
        <f t="shared" si="378"/>
        <v>0</v>
      </c>
      <c r="AS78" s="43">
        <f t="shared" si="378"/>
        <v>0</v>
      </c>
      <c r="AT78" s="43">
        <f t="shared" si="378"/>
        <v>0</v>
      </c>
      <c r="AU78" s="43">
        <f t="shared" si="378"/>
        <v>0</v>
      </c>
      <c r="AV78" s="43">
        <f t="shared" si="378"/>
        <v>0</v>
      </c>
      <c r="AW78" s="43">
        <f t="shared" si="378"/>
        <v>0</v>
      </c>
      <c r="AX78" s="43">
        <f t="shared" si="378"/>
        <v>0</v>
      </c>
      <c r="AY78" s="43">
        <f t="shared" si="379"/>
        <v>0</v>
      </c>
      <c r="AZ78" s="43">
        <f t="shared" si="379"/>
        <v>0</v>
      </c>
      <c r="BA78" s="43">
        <f t="shared" si="379"/>
        <v>0</v>
      </c>
      <c r="BB78" s="43">
        <f t="shared" si="379"/>
        <v>0</v>
      </c>
      <c r="BC78" s="43">
        <f t="shared" si="379"/>
        <v>0</v>
      </c>
      <c r="BD78" s="43">
        <f t="shared" si="379"/>
        <v>0</v>
      </c>
      <c r="BE78" s="43">
        <f t="shared" si="379"/>
        <v>0</v>
      </c>
      <c r="BF78" s="43">
        <f t="shared" si="379"/>
        <v>0</v>
      </c>
      <c r="BG78" s="43">
        <f t="shared" si="379"/>
        <v>0</v>
      </c>
      <c r="BH78" s="43">
        <f t="shared" si="379"/>
        <v>0</v>
      </c>
      <c r="BI78" s="43">
        <f t="shared" si="380"/>
        <v>0</v>
      </c>
      <c r="BJ78" s="43">
        <f t="shared" si="380"/>
        <v>0</v>
      </c>
      <c r="BK78" s="43">
        <f t="shared" si="380"/>
        <v>0</v>
      </c>
      <c r="BL78" s="43">
        <f t="shared" si="380"/>
        <v>0</v>
      </c>
      <c r="BM78" s="43">
        <f t="shared" si="380"/>
        <v>0</v>
      </c>
      <c r="BN78" s="43">
        <f t="shared" si="380"/>
        <v>0</v>
      </c>
      <c r="BO78" s="43">
        <f t="shared" si="380"/>
        <v>0</v>
      </c>
      <c r="BP78" s="43">
        <f t="shared" si="380"/>
        <v>0</v>
      </c>
      <c r="BQ78" s="43">
        <f t="shared" si="380"/>
        <v>0</v>
      </c>
      <c r="BR78" s="43">
        <f t="shared" si="380"/>
        <v>0</v>
      </c>
      <c r="BS78" s="43">
        <f t="shared" si="381"/>
        <v>0</v>
      </c>
      <c r="BT78" s="43">
        <f t="shared" si="381"/>
        <v>0</v>
      </c>
      <c r="BU78" s="43">
        <f t="shared" si="381"/>
        <v>0</v>
      </c>
      <c r="BV78" s="43">
        <f t="shared" si="381"/>
        <v>0</v>
      </c>
      <c r="BW78" s="43">
        <f t="shared" si="381"/>
        <v>0</v>
      </c>
      <c r="BX78" s="43">
        <f t="shared" si="381"/>
        <v>0</v>
      </c>
      <c r="BY78" s="43">
        <f t="shared" si="381"/>
        <v>0</v>
      </c>
      <c r="BZ78" s="43">
        <f t="shared" si="381"/>
        <v>0</v>
      </c>
      <c r="CA78" s="43">
        <f t="shared" si="381"/>
        <v>0</v>
      </c>
      <c r="CB78" s="43">
        <f t="shared" si="381"/>
        <v>0</v>
      </c>
      <c r="CC78" s="43">
        <f t="shared" si="382"/>
        <v>0</v>
      </c>
      <c r="CD78" s="43">
        <f t="shared" si="382"/>
        <v>0</v>
      </c>
      <c r="CE78" s="43">
        <f t="shared" si="382"/>
        <v>0</v>
      </c>
      <c r="CF78" s="43">
        <f t="shared" si="382"/>
        <v>0</v>
      </c>
      <c r="CG78" s="43">
        <f t="shared" si="382"/>
        <v>0</v>
      </c>
      <c r="CH78" s="43">
        <f t="shared" si="382"/>
        <v>0</v>
      </c>
      <c r="CI78" s="43">
        <f t="shared" si="382"/>
        <v>0</v>
      </c>
      <c r="CJ78" s="43">
        <f t="shared" si="382"/>
        <v>0</v>
      </c>
      <c r="CK78" s="43">
        <f t="shared" si="382"/>
        <v>0</v>
      </c>
      <c r="CL78" s="43">
        <f t="shared" si="382"/>
        <v>0</v>
      </c>
      <c r="CM78" s="43">
        <f t="shared" si="383"/>
        <v>0</v>
      </c>
      <c r="CN78" s="43">
        <f t="shared" si="383"/>
        <v>0</v>
      </c>
      <c r="CO78" s="43">
        <f t="shared" si="383"/>
        <v>0</v>
      </c>
      <c r="CP78" s="43">
        <f t="shared" si="383"/>
        <v>0</v>
      </c>
      <c r="CQ78" s="43">
        <f t="shared" si="383"/>
        <v>0</v>
      </c>
      <c r="CR78" s="43">
        <f t="shared" si="383"/>
        <v>0</v>
      </c>
      <c r="CS78" s="43">
        <f t="shared" si="383"/>
        <v>0</v>
      </c>
      <c r="CT78" s="43">
        <f t="shared" si="383"/>
        <v>0</v>
      </c>
      <c r="CU78" s="43">
        <f t="shared" si="383"/>
        <v>0</v>
      </c>
      <c r="CV78" s="43">
        <f t="shared" si="383"/>
        <v>0</v>
      </c>
      <c r="CW78" s="43">
        <f t="shared" si="384"/>
        <v>0</v>
      </c>
      <c r="CX78" s="43">
        <f t="shared" si="384"/>
        <v>0</v>
      </c>
      <c r="CY78" s="43">
        <f t="shared" si="384"/>
        <v>0</v>
      </c>
      <c r="CZ78" s="43">
        <f t="shared" si="384"/>
        <v>0</v>
      </c>
      <c r="DA78" s="43">
        <f t="shared" si="384"/>
        <v>0</v>
      </c>
      <c r="DB78" s="43">
        <f t="shared" si="384"/>
        <v>0</v>
      </c>
      <c r="DC78" s="43">
        <f t="shared" si="384"/>
        <v>0</v>
      </c>
      <c r="DD78" s="43">
        <f t="shared" si="384"/>
        <v>0</v>
      </c>
      <c r="DE78" s="43">
        <f t="shared" si="384"/>
        <v>0</v>
      </c>
      <c r="DF78" s="43">
        <f t="shared" si="384"/>
        <v>0</v>
      </c>
      <c r="DG78" s="43">
        <f t="shared" si="385"/>
        <v>0</v>
      </c>
      <c r="DH78" s="43">
        <f t="shared" si="385"/>
        <v>0</v>
      </c>
      <c r="DI78" s="43">
        <f t="shared" si="385"/>
        <v>0</v>
      </c>
      <c r="DJ78" s="43">
        <f t="shared" si="385"/>
        <v>0</v>
      </c>
      <c r="DK78" s="43">
        <f t="shared" si="385"/>
        <v>0</v>
      </c>
      <c r="DL78" s="43">
        <f t="shared" si="385"/>
        <v>0</v>
      </c>
      <c r="DM78" s="43">
        <f t="shared" si="385"/>
        <v>0</v>
      </c>
      <c r="DN78" s="43">
        <f t="shared" si="385"/>
        <v>0</v>
      </c>
      <c r="DO78" s="43">
        <f t="shared" si="385"/>
        <v>0</v>
      </c>
      <c r="DP78" s="43">
        <f t="shared" si="385"/>
        <v>0</v>
      </c>
      <c r="DQ78" s="43">
        <f t="shared" si="385"/>
        <v>0</v>
      </c>
    </row>
    <row r="79" spans="2:1006" x14ac:dyDescent="0.35">
      <c r="E79" s="20" t="s">
        <v>138</v>
      </c>
      <c r="F79" s="20" t="s">
        <v>101</v>
      </c>
      <c r="G79" s="49">
        <f>Assumptions!F74</f>
        <v>4.5</v>
      </c>
      <c r="H79" s="25">
        <f t="shared" si="386"/>
        <v>1.125</v>
      </c>
      <c r="K79" s="43">
        <f>$G79*K$5/12*K$73</f>
        <v>0.375</v>
      </c>
      <c r="L79" s="43">
        <f t="shared" ref="L79:BW79" si="387">$G79*L$5/12*L$73</f>
        <v>0.375</v>
      </c>
      <c r="M79" s="43">
        <f t="shared" si="387"/>
        <v>0.375</v>
      </c>
      <c r="N79" s="43">
        <f t="shared" si="387"/>
        <v>0.375</v>
      </c>
      <c r="O79" s="43">
        <f t="shared" si="387"/>
        <v>0.375</v>
      </c>
      <c r="P79" s="43">
        <f t="shared" si="387"/>
        <v>0.375</v>
      </c>
      <c r="Q79" s="43">
        <f t="shared" si="387"/>
        <v>0.375</v>
      </c>
      <c r="R79" s="43">
        <f t="shared" si="387"/>
        <v>0.375</v>
      </c>
      <c r="S79" s="43">
        <f t="shared" si="387"/>
        <v>0.375</v>
      </c>
      <c r="T79" s="43">
        <f t="shared" si="387"/>
        <v>1.1264036209453425</v>
      </c>
      <c r="U79" s="43">
        <f t="shared" si="387"/>
        <v>1.1278089931366921</v>
      </c>
      <c r="V79" s="43">
        <f t="shared" si="387"/>
        <v>1.1292161187590144</v>
      </c>
      <c r="W79" s="43">
        <f t="shared" si="387"/>
        <v>1.1306249999999995</v>
      </c>
      <c r="X79" s="43">
        <f t="shared" si="387"/>
        <v>1.1320356390500688</v>
      </c>
      <c r="Y79" s="43">
        <f t="shared" si="387"/>
        <v>1.1334480381023753</v>
      </c>
      <c r="Z79" s="43">
        <f t="shared" si="387"/>
        <v>1.134862199352809</v>
      </c>
      <c r="AA79" s="43">
        <f t="shared" si="387"/>
        <v>1.1362781249999991</v>
      </c>
      <c r="AB79" s="43">
        <f t="shared" si="387"/>
        <v>1.1376958172453187</v>
      </c>
      <c r="AC79" s="43">
        <f t="shared" si="387"/>
        <v>1.1391152782928868</v>
      </c>
      <c r="AD79" s="43">
        <f t="shared" si="387"/>
        <v>1.1405365103495726</v>
      </c>
      <c r="AE79" s="43">
        <f t="shared" si="387"/>
        <v>1.1419595156249989</v>
      </c>
      <c r="AF79" s="43">
        <f t="shared" si="387"/>
        <v>1.143384296331545</v>
      </c>
      <c r="AG79" s="43">
        <f t="shared" si="387"/>
        <v>1.144810854684351</v>
      </c>
      <c r="AH79" s="43">
        <f t="shared" si="387"/>
        <v>1.14623919290132</v>
      </c>
      <c r="AI79" s="43">
        <f t="shared" si="387"/>
        <v>1.1476693132031235</v>
      </c>
      <c r="AJ79" s="43">
        <f t="shared" si="387"/>
        <v>1.1491012178132023</v>
      </c>
      <c r="AK79" s="43">
        <f t="shared" si="387"/>
        <v>1.1505349089577721</v>
      </c>
      <c r="AL79" s="43">
        <f t="shared" si="387"/>
        <v>1.1519703888658264</v>
      </c>
      <c r="AM79" s="43">
        <f t="shared" si="387"/>
        <v>1.1534076597691387</v>
      </c>
      <c r="AN79" s="43">
        <f t="shared" si="387"/>
        <v>1.1548467239022679</v>
      </c>
      <c r="AO79" s="43">
        <f t="shared" si="387"/>
        <v>1.1562875835025608</v>
      </c>
      <c r="AP79" s="43">
        <f t="shared" si="387"/>
        <v>1.1577302408101551</v>
      </c>
      <c r="AQ79" s="43">
        <f t="shared" si="387"/>
        <v>1.1591746980679842</v>
      </c>
      <c r="AR79" s="43">
        <f t="shared" si="387"/>
        <v>1.1606209575217792</v>
      </c>
      <c r="AS79" s="43">
        <f t="shared" si="387"/>
        <v>1.1620690214200735</v>
      </c>
      <c r="AT79" s="43">
        <f t="shared" si="387"/>
        <v>1.1635188920142057</v>
      </c>
      <c r="AU79" s="43">
        <f t="shared" si="387"/>
        <v>1.1649705715583236</v>
      </c>
      <c r="AV79" s="43">
        <f t="shared" si="387"/>
        <v>1.1664240623093878</v>
      </c>
      <c r="AW79" s="43">
        <f t="shared" si="387"/>
        <v>1.1678793665271734</v>
      </c>
      <c r="AX79" s="43">
        <f t="shared" si="387"/>
        <v>1.1693364864742763</v>
      </c>
      <c r="AY79" s="43">
        <f t="shared" si="387"/>
        <v>1.1707954244161149</v>
      </c>
      <c r="AZ79" s="43">
        <f t="shared" si="387"/>
        <v>1.1722561826209343</v>
      </c>
      <c r="BA79" s="43">
        <f t="shared" si="387"/>
        <v>1.173718763359809</v>
      </c>
      <c r="BB79" s="43">
        <f t="shared" si="387"/>
        <v>1.1751831689066474</v>
      </c>
      <c r="BC79" s="43">
        <f t="shared" si="387"/>
        <v>1.1766494015381952</v>
      </c>
      <c r="BD79" s="43">
        <f t="shared" si="387"/>
        <v>1.1781174635340386</v>
      </c>
      <c r="BE79" s="43">
        <f t="shared" si="387"/>
        <v>1.1795873571766076</v>
      </c>
      <c r="BF79" s="43">
        <f t="shared" si="387"/>
        <v>1.1810590847511804</v>
      </c>
      <c r="BG79" s="43">
        <f t="shared" si="387"/>
        <v>1.1825326485458858</v>
      </c>
      <c r="BH79" s="43">
        <f t="shared" si="387"/>
        <v>1.1840080508517083</v>
      </c>
      <c r="BI79" s="43">
        <f t="shared" si="387"/>
        <v>1.1854852939624902</v>
      </c>
      <c r="BJ79" s="43">
        <f t="shared" si="387"/>
        <v>1.1869643801749357</v>
      </c>
      <c r="BK79" s="43">
        <f t="shared" si="387"/>
        <v>1.1884453117886149</v>
      </c>
      <c r="BL79" s="43">
        <f t="shared" si="387"/>
        <v>1.1899280911059666</v>
      </c>
      <c r="BM79" s="43">
        <f t="shared" si="387"/>
        <v>1.1914127204323024</v>
      </c>
      <c r="BN79" s="43">
        <f t="shared" si="387"/>
        <v>1.1928992020758102</v>
      </c>
      <c r="BO79" s="43">
        <f t="shared" si="387"/>
        <v>1.1943875383475577</v>
      </c>
      <c r="BP79" s="43">
        <f t="shared" si="387"/>
        <v>1.1958777315614961</v>
      </c>
      <c r="BQ79" s="43">
        <f t="shared" si="387"/>
        <v>1.1973697840344635</v>
      </c>
      <c r="BR79" s="43">
        <f t="shared" si="387"/>
        <v>1.1988636980861889</v>
      </c>
      <c r="BS79" s="43">
        <f t="shared" si="387"/>
        <v>1.200359476039295</v>
      </c>
      <c r="BT79" s="43">
        <f t="shared" si="387"/>
        <v>1.2018571202193029</v>
      </c>
      <c r="BU79" s="43">
        <f t="shared" si="387"/>
        <v>1.2033566329546352</v>
      </c>
      <c r="BV79" s="43">
        <f t="shared" si="387"/>
        <v>1.2048580165766194</v>
      </c>
      <c r="BW79" s="43">
        <f t="shared" si="387"/>
        <v>1.2063612734194911</v>
      </c>
      <c r="BX79" s="43">
        <f t="shared" ref="BX79:DQ79" si="388">$G79*BX$5/12*BX$73</f>
        <v>1.2078664058203992</v>
      </c>
      <c r="BY79" s="43">
        <f t="shared" si="388"/>
        <v>1.2093734161194081</v>
      </c>
      <c r="BZ79" s="43">
        <f t="shared" si="388"/>
        <v>1.210882306659502</v>
      </c>
      <c r="CA79" s="43">
        <f t="shared" si="388"/>
        <v>1.2123930797865883</v>
      </c>
      <c r="CB79" s="43">
        <f t="shared" si="388"/>
        <v>1.2139057378495008</v>
      </c>
      <c r="CC79" s="43">
        <f t="shared" si="388"/>
        <v>1.2154202832000047</v>
      </c>
      <c r="CD79" s="43">
        <f t="shared" si="388"/>
        <v>1.216936718192799</v>
      </c>
      <c r="CE79" s="43">
        <f t="shared" si="388"/>
        <v>1.2184550451855205</v>
      </c>
      <c r="CF79" s="43">
        <f t="shared" si="388"/>
        <v>1.2199752665387478</v>
      </c>
      <c r="CG79" s="43">
        <f t="shared" si="388"/>
        <v>1.2214973846160042</v>
      </c>
      <c r="CH79" s="43">
        <f t="shared" si="388"/>
        <v>1.2230214017837628</v>
      </c>
      <c r="CI79" s="43">
        <f t="shared" si="388"/>
        <v>1.2245473204114479</v>
      </c>
      <c r="CJ79" s="43">
        <f t="shared" si="388"/>
        <v>1.2260751428714414</v>
      </c>
      <c r="CK79" s="43">
        <f t="shared" si="388"/>
        <v>1.2276048715390842</v>
      </c>
      <c r="CL79" s="43">
        <f t="shared" si="388"/>
        <v>1.2291365087926811</v>
      </c>
      <c r="CM79" s="43">
        <f t="shared" si="388"/>
        <v>1.2306700570135047</v>
      </c>
      <c r="CN79" s="43">
        <f t="shared" si="388"/>
        <v>1.2322055185857983</v>
      </c>
      <c r="CO79" s="43">
        <f t="shared" si="388"/>
        <v>1.2337428958967791</v>
      </c>
      <c r="CP79" s="43">
        <f t="shared" si="388"/>
        <v>1.2352821913366441</v>
      </c>
      <c r="CQ79" s="43">
        <f t="shared" si="388"/>
        <v>1.236823407298572</v>
      </c>
      <c r="CR79" s="43">
        <f t="shared" si="388"/>
        <v>1.2383665461787268</v>
      </c>
      <c r="CS79" s="43">
        <f t="shared" si="388"/>
        <v>1.2399116103762626</v>
      </c>
      <c r="CT79" s="43">
        <f t="shared" si="388"/>
        <v>1.2414586022933272</v>
      </c>
      <c r="CU79" s="43">
        <f t="shared" si="388"/>
        <v>1.2430075243350645</v>
      </c>
      <c r="CV79" s="43">
        <f t="shared" si="388"/>
        <v>1.24455837890962</v>
      </c>
      <c r="CW79" s="43">
        <f t="shared" si="388"/>
        <v>1.2461111684281436</v>
      </c>
      <c r="CX79" s="43">
        <f t="shared" si="388"/>
        <v>1.2476658953047932</v>
      </c>
      <c r="CY79" s="43">
        <f t="shared" si="388"/>
        <v>1.2492225619567394</v>
      </c>
      <c r="CZ79" s="43">
        <f t="shared" si="388"/>
        <v>1.2507811708041678</v>
      </c>
      <c r="DA79" s="43">
        <f t="shared" si="388"/>
        <v>1.2523417242702839</v>
      </c>
      <c r="DB79" s="43">
        <f t="shared" si="388"/>
        <v>1.253904224781317</v>
      </c>
      <c r="DC79" s="43">
        <f t="shared" si="388"/>
        <v>1.2554686747665227</v>
      </c>
      <c r="DD79" s="43">
        <f t="shared" si="388"/>
        <v>1.2570350766581881</v>
      </c>
      <c r="DE79" s="43">
        <f t="shared" si="388"/>
        <v>1.2586034328916349</v>
      </c>
      <c r="DF79" s="43">
        <f t="shared" si="388"/>
        <v>1.2601737459052229</v>
      </c>
      <c r="DG79" s="43">
        <f t="shared" si="388"/>
        <v>1.2617460181403548</v>
      </c>
      <c r="DH79" s="43">
        <f t="shared" si="388"/>
        <v>1.2633202520414786</v>
      </c>
      <c r="DI79" s="43">
        <f t="shared" si="388"/>
        <v>1.2648964500560926</v>
      </c>
      <c r="DJ79" s="43">
        <f t="shared" si="388"/>
        <v>1.266474614634749</v>
      </c>
      <c r="DK79" s="43">
        <f t="shared" si="388"/>
        <v>1.2680547482310562</v>
      </c>
      <c r="DL79" s="43">
        <f t="shared" si="388"/>
        <v>1.2696368533016857</v>
      </c>
      <c r="DM79" s="43">
        <f t="shared" si="388"/>
        <v>1.2712209323063728</v>
      </c>
      <c r="DN79" s="43">
        <f t="shared" si="388"/>
        <v>1.272806987707922</v>
      </c>
      <c r="DO79" s="43">
        <f t="shared" si="388"/>
        <v>1.2743950219722111</v>
      </c>
      <c r="DP79" s="43">
        <f t="shared" si="388"/>
        <v>1.2759850375681938</v>
      </c>
      <c r="DQ79" s="43">
        <f t="shared" si="388"/>
        <v>1.2775770369679043</v>
      </c>
    </row>
    <row r="80" spans="2:1006" x14ac:dyDescent="0.35">
      <c r="E80" s="20" t="s">
        <v>9</v>
      </c>
      <c r="F80" s="20" t="s">
        <v>101</v>
      </c>
      <c r="G80" s="49">
        <f>Assumptions!F75</f>
        <v>2.8</v>
      </c>
      <c r="H80" s="25">
        <f t="shared" si="386"/>
        <v>0.7</v>
      </c>
      <c r="K80" s="43">
        <f>$G80*K$5/12*K74</f>
        <v>0.23333333333333331</v>
      </c>
      <c r="L80" s="43">
        <f t="shared" ref="L80:BW80" si="389">$G80*L$5/12*L74</f>
        <v>0.23333333333333331</v>
      </c>
      <c r="M80" s="43">
        <f t="shared" si="389"/>
        <v>0.23333333333333331</v>
      </c>
      <c r="N80" s="43">
        <f t="shared" si="389"/>
        <v>0.23333333333333331</v>
      </c>
      <c r="O80" s="43">
        <f t="shared" si="389"/>
        <v>0.23333333333333331</v>
      </c>
      <c r="P80" s="43">
        <f t="shared" si="389"/>
        <v>0.23333333333333331</v>
      </c>
      <c r="Q80" s="43">
        <f t="shared" si="389"/>
        <v>0.23333333333333331</v>
      </c>
      <c r="R80" s="43">
        <f t="shared" si="389"/>
        <v>0.23333333333333331</v>
      </c>
      <c r="S80" s="43">
        <f t="shared" si="389"/>
        <v>0.23333333333333331</v>
      </c>
      <c r="T80" s="43">
        <f t="shared" si="389"/>
        <v>0.69999999999999984</v>
      </c>
      <c r="U80" s="43">
        <f t="shared" si="389"/>
        <v>0.69999999999999984</v>
      </c>
      <c r="V80" s="43">
        <f t="shared" si="389"/>
        <v>0.69999999999999984</v>
      </c>
      <c r="W80" s="43">
        <f t="shared" si="389"/>
        <v>0.69999999999999984</v>
      </c>
      <c r="X80" s="43">
        <f t="shared" si="389"/>
        <v>0.69999999999999984</v>
      </c>
      <c r="Y80" s="43">
        <f t="shared" si="389"/>
        <v>0.69999999999999984</v>
      </c>
      <c r="Z80" s="43">
        <f t="shared" si="389"/>
        <v>0.69999999999999984</v>
      </c>
      <c r="AA80" s="43">
        <f t="shared" si="389"/>
        <v>0.69999999999999984</v>
      </c>
      <c r="AB80" s="43">
        <f t="shared" si="389"/>
        <v>0.69999999999999984</v>
      </c>
      <c r="AC80" s="43">
        <f t="shared" si="389"/>
        <v>0.69999999999999984</v>
      </c>
      <c r="AD80" s="43">
        <f t="shared" si="389"/>
        <v>0.69999999999999984</v>
      </c>
      <c r="AE80" s="43">
        <f t="shared" si="389"/>
        <v>0.69999999999999984</v>
      </c>
      <c r="AF80" s="43">
        <f t="shared" si="389"/>
        <v>0.69999999999999984</v>
      </c>
      <c r="AG80" s="43">
        <f t="shared" si="389"/>
        <v>0.69999999999999984</v>
      </c>
      <c r="AH80" s="43">
        <f t="shared" si="389"/>
        <v>0.69999999999999984</v>
      </c>
      <c r="AI80" s="43">
        <f t="shared" si="389"/>
        <v>0.69999999999999984</v>
      </c>
      <c r="AJ80" s="43">
        <f t="shared" si="389"/>
        <v>0.69999999999999984</v>
      </c>
      <c r="AK80" s="43">
        <f t="shared" si="389"/>
        <v>0.69999999999999984</v>
      </c>
      <c r="AL80" s="43">
        <f t="shared" si="389"/>
        <v>0.69999999999999984</v>
      </c>
      <c r="AM80" s="43">
        <f t="shared" si="389"/>
        <v>0.69999999999999984</v>
      </c>
      <c r="AN80" s="43">
        <f t="shared" si="389"/>
        <v>0.69999999999999984</v>
      </c>
      <c r="AO80" s="43">
        <f t="shared" si="389"/>
        <v>0.69999999999999984</v>
      </c>
      <c r="AP80" s="43">
        <f t="shared" si="389"/>
        <v>0.69999999999999984</v>
      </c>
      <c r="AQ80" s="43">
        <f t="shared" si="389"/>
        <v>0.69999999999999984</v>
      </c>
      <c r="AR80" s="43">
        <f t="shared" si="389"/>
        <v>0.69999999999999984</v>
      </c>
      <c r="AS80" s="43">
        <f t="shared" si="389"/>
        <v>0.69999999999999984</v>
      </c>
      <c r="AT80" s="43">
        <f t="shared" si="389"/>
        <v>0.69999999999999984</v>
      </c>
      <c r="AU80" s="43">
        <f t="shared" si="389"/>
        <v>0.69999999999999984</v>
      </c>
      <c r="AV80" s="43">
        <f t="shared" si="389"/>
        <v>0.69999999999999984</v>
      </c>
      <c r="AW80" s="43">
        <f t="shared" si="389"/>
        <v>0.69999999999999984</v>
      </c>
      <c r="AX80" s="43">
        <f t="shared" si="389"/>
        <v>0.69999999999999984</v>
      </c>
      <c r="AY80" s="43">
        <f t="shared" si="389"/>
        <v>0.69999999999999984</v>
      </c>
      <c r="AZ80" s="43">
        <f t="shared" si="389"/>
        <v>0.69999999999999984</v>
      </c>
      <c r="BA80" s="43">
        <f t="shared" si="389"/>
        <v>0.69999999999999984</v>
      </c>
      <c r="BB80" s="43">
        <f t="shared" si="389"/>
        <v>0.69999999999999984</v>
      </c>
      <c r="BC80" s="43">
        <f t="shared" si="389"/>
        <v>0.69999999999999984</v>
      </c>
      <c r="BD80" s="43">
        <f t="shared" si="389"/>
        <v>0.69999999999999984</v>
      </c>
      <c r="BE80" s="43">
        <f t="shared" si="389"/>
        <v>0.69999999999999984</v>
      </c>
      <c r="BF80" s="43">
        <f t="shared" si="389"/>
        <v>0.69999999999999984</v>
      </c>
      <c r="BG80" s="43">
        <f t="shared" si="389"/>
        <v>0.69999999999999984</v>
      </c>
      <c r="BH80" s="43">
        <f t="shared" si="389"/>
        <v>0.69999999999999984</v>
      </c>
      <c r="BI80" s="43">
        <f t="shared" si="389"/>
        <v>0.69999999999999984</v>
      </c>
      <c r="BJ80" s="43">
        <f t="shared" si="389"/>
        <v>0.69999999999999984</v>
      </c>
      <c r="BK80" s="43">
        <f t="shared" si="389"/>
        <v>0.69999999999999984</v>
      </c>
      <c r="BL80" s="43">
        <f t="shared" si="389"/>
        <v>0.69999999999999984</v>
      </c>
      <c r="BM80" s="43">
        <f t="shared" si="389"/>
        <v>0.69999999999999984</v>
      </c>
      <c r="BN80" s="43">
        <f t="shared" si="389"/>
        <v>0.69999999999999984</v>
      </c>
      <c r="BO80" s="43">
        <f t="shared" si="389"/>
        <v>0.69999999999999984</v>
      </c>
      <c r="BP80" s="43">
        <f t="shared" si="389"/>
        <v>0.69999999999999984</v>
      </c>
      <c r="BQ80" s="43">
        <f t="shared" si="389"/>
        <v>0.69999999999999984</v>
      </c>
      <c r="BR80" s="43">
        <f t="shared" si="389"/>
        <v>0.69999999999999984</v>
      </c>
      <c r="BS80" s="43">
        <f t="shared" si="389"/>
        <v>0.69999999999999984</v>
      </c>
      <c r="BT80" s="43">
        <f t="shared" si="389"/>
        <v>0.69999999999999984</v>
      </c>
      <c r="BU80" s="43">
        <f t="shared" si="389"/>
        <v>0.69999999999999984</v>
      </c>
      <c r="BV80" s="43">
        <f t="shared" si="389"/>
        <v>0.69999999999999984</v>
      </c>
      <c r="BW80" s="43">
        <f t="shared" si="389"/>
        <v>0.69999999999999984</v>
      </c>
      <c r="BX80" s="43">
        <f t="shared" ref="BX80:CZ80" si="390">$G80*BX$5/12*BX74</f>
        <v>0.69999999999999984</v>
      </c>
      <c r="BY80" s="43">
        <f t="shared" si="390"/>
        <v>0.69999999999999984</v>
      </c>
      <c r="BZ80" s="43">
        <f t="shared" si="390"/>
        <v>0.69999999999999984</v>
      </c>
      <c r="CA80" s="43">
        <f t="shared" si="390"/>
        <v>0.69999999999999984</v>
      </c>
      <c r="CB80" s="43">
        <f t="shared" si="390"/>
        <v>0.69999999999999984</v>
      </c>
      <c r="CC80" s="43">
        <f t="shared" si="390"/>
        <v>0.69999999999999984</v>
      </c>
      <c r="CD80" s="43">
        <f t="shared" si="390"/>
        <v>0.69999999999999984</v>
      </c>
      <c r="CE80" s="43">
        <f t="shared" si="390"/>
        <v>0.69999999999999984</v>
      </c>
      <c r="CF80" s="43">
        <f t="shared" si="390"/>
        <v>0.69999999999999984</v>
      </c>
      <c r="CG80" s="43">
        <f t="shared" si="390"/>
        <v>0.69999999999999984</v>
      </c>
      <c r="CH80" s="43">
        <f t="shared" si="390"/>
        <v>0.69999999999999984</v>
      </c>
      <c r="CI80" s="43">
        <f t="shared" si="390"/>
        <v>0.69999999999999984</v>
      </c>
      <c r="CJ80" s="43">
        <f t="shared" si="390"/>
        <v>0.69999999999999984</v>
      </c>
      <c r="CK80" s="43">
        <f t="shared" si="390"/>
        <v>0.69999999999999984</v>
      </c>
      <c r="CL80" s="43">
        <f t="shared" si="390"/>
        <v>0.69999999999999984</v>
      </c>
      <c r="CM80" s="43">
        <f t="shared" si="390"/>
        <v>0.69999999999999984</v>
      </c>
      <c r="CN80" s="43">
        <f t="shared" si="390"/>
        <v>0.69999999999999984</v>
      </c>
      <c r="CO80" s="43">
        <f t="shared" si="390"/>
        <v>0.69999999999999984</v>
      </c>
      <c r="CP80" s="43">
        <f t="shared" si="390"/>
        <v>0.69999999999999984</v>
      </c>
      <c r="CQ80" s="43">
        <f t="shared" si="390"/>
        <v>0.69999999999999984</v>
      </c>
      <c r="CR80" s="43">
        <f t="shared" si="390"/>
        <v>0.69999999999999984</v>
      </c>
      <c r="CS80" s="43">
        <f t="shared" si="390"/>
        <v>0.69999999999999984</v>
      </c>
      <c r="CT80" s="43">
        <f t="shared" si="390"/>
        <v>0.69999999999999984</v>
      </c>
      <c r="CU80" s="43">
        <f t="shared" si="390"/>
        <v>0.69999999999999984</v>
      </c>
      <c r="CV80" s="43">
        <f t="shared" si="390"/>
        <v>0.69999999999999984</v>
      </c>
      <c r="CW80" s="43">
        <f t="shared" si="390"/>
        <v>0.69999999999999984</v>
      </c>
      <c r="CX80" s="43">
        <f t="shared" si="390"/>
        <v>0.69999999999999984</v>
      </c>
      <c r="CY80" s="43">
        <f t="shared" si="390"/>
        <v>0.69999999999999984</v>
      </c>
      <c r="CZ80" s="43">
        <f t="shared" si="390"/>
        <v>0.69999999999999984</v>
      </c>
      <c r="DA80" s="43">
        <f t="shared" ref="DA80:DQ80" si="391">$G80*DA$5/12*DA74</f>
        <v>0.69999999999999984</v>
      </c>
      <c r="DB80" s="43">
        <f t="shared" si="391"/>
        <v>0.69999999999999984</v>
      </c>
      <c r="DC80" s="43">
        <f t="shared" si="391"/>
        <v>0.69999999999999984</v>
      </c>
      <c r="DD80" s="43">
        <f t="shared" si="391"/>
        <v>0.69999999999999984</v>
      </c>
      <c r="DE80" s="43">
        <f t="shared" si="391"/>
        <v>0.69999999999999984</v>
      </c>
      <c r="DF80" s="43">
        <f t="shared" si="391"/>
        <v>0.69999999999999984</v>
      </c>
      <c r="DG80" s="43">
        <f t="shared" si="391"/>
        <v>0.69999999999999984</v>
      </c>
      <c r="DH80" s="43">
        <f t="shared" si="391"/>
        <v>0.69999999999999984</v>
      </c>
      <c r="DI80" s="43">
        <f t="shared" si="391"/>
        <v>0.69999999999999984</v>
      </c>
      <c r="DJ80" s="43">
        <f t="shared" si="391"/>
        <v>0.69999999999999984</v>
      </c>
      <c r="DK80" s="43">
        <f t="shared" si="391"/>
        <v>0.69999999999999984</v>
      </c>
      <c r="DL80" s="43">
        <f t="shared" si="391"/>
        <v>0.69999999999999984</v>
      </c>
      <c r="DM80" s="43">
        <f t="shared" si="391"/>
        <v>0.69999999999999984</v>
      </c>
      <c r="DN80" s="43">
        <f t="shared" si="391"/>
        <v>0.69999999999999984</v>
      </c>
      <c r="DO80" s="43">
        <f t="shared" si="391"/>
        <v>0.69999999999999984</v>
      </c>
      <c r="DP80" s="43">
        <f t="shared" si="391"/>
        <v>0.69999999999999984</v>
      </c>
      <c r="DQ80" s="43">
        <f t="shared" si="391"/>
        <v>0.69999999999999984</v>
      </c>
    </row>
    <row r="81" spans="4:121" x14ac:dyDescent="0.35">
      <c r="E81" s="20" t="s">
        <v>140</v>
      </c>
      <c r="F81" s="20" t="s">
        <v>103</v>
      </c>
      <c r="G81" s="50">
        <f>Assumptions!F76</f>
        <v>30000</v>
      </c>
      <c r="H81" s="23">
        <f t="shared" si="386"/>
        <v>7500</v>
      </c>
      <c r="K81" s="23">
        <f>$G81*K$5/12</f>
        <v>2500</v>
      </c>
      <c r="L81" s="23">
        <f t="shared" ref="L81:BW81" si="392">$G81*L$5/12</f>
        <v>2500</v>
      </c>
      <c r="M81" s="23">
        <f t="shared" si="392"/>
        <v>2500</v>
      </c>
      <c r="N81" s="23">
        <f t="shared" si="392"/>
        <v>2500</v>
      </c>
      <c r="O81" s="23">
        <f t="shared" si="392"/>
        <v>2500</v>
      </c>
      <c r="P81" s="23">
        <f t="shared" si="392"/>
        <v>2500</v>
      </c>
      <c r="Q81" s="23">
        <f t="shared" si="392"/>
        <v>2500</v>
      </c>
      <c r="R81" s="23">
        <f t="shared" si="392"/>
        <v>2500</v>
      </c>
      <c r="S81" s="23">
        <f t="shared" si="392"/>
        <v>2500</v>
      </c>
      <c r="T81" s="23">
        <f t="shared" si="392"/>
        <v>7500</v>
      </c>
      <c r="U81" s="23">
        <f t="shared" si="392"/>
        <v>7500</v>
      </c>
      <c r="V81" s="23">
        <f t="shared" si="392"/>
        <v>7500</v>
      </c>
      <c r="W81" s="23">
        <f t="shared" si="392"/>
        <v>7500</v>
      </c>
      <c r="X81" s="23">
        <f t="shared" si="392"/>
        <v>7500</v>
      </c>
      <c r="Y81" s="23">
        <f t="shared" si="392"/>
        <v>7500</v>
      </c>
      <c r="Z81" s="23">
        <f t="shared" si="392"/>
        <v>7500</v>
      </c>
      <c r="AA81" s="23">
        <f t="shared" si="392"/>
        <v>7500</v>
      </c>
      <c r="AB81" s="23">
        <f t="shared" si="392"/>
        <v>7500</v>
      </c>
      <c r="AC81" s="23">
        <f t="shared" si="392"/>
        <v>7500</v>
      </c>
      <c r="AD81" s="23">
        <f t="shared" si="392"/>
        <v>7500</v>
      </c>
      <c r="AE81" s="23">
        <f t="shared" si="392"/>
        <v>7500</v>
      </c>
      <c r="AF81" s="23">
        <f t="shared" si="392"/>
        <v>7500</v>
      </c>
      <c r="AG81" s="23">
        <f t="shared" si="392"/>
        <v>7500</v>
      </c>
      <c r="AH81" s="23">
        <f t="shared" si="392"/>
        <v>7500</v>
      </c>
      <c r="AI81" s="23">
        <f t="shared" si="392"/>
        <v>7500</v>
      </c>
      <c r="AJ81" s="23">
        <f t="shared" si="392"/>
        <v>7500</v>
      </c>
      <c r="AK81" s="23">
        <f t="shared" si="392"/>
        <v>7500</v>
      </c>
      <c r="AL81" s="23">
        <f t="shared" si="392"/>
        <v>7500</v>
      </c>
      <c r="AM81" s="23">
        <f t="shared" si="392"/>
        <v>7500</v>
      </c>
      <c r="AN81" s="23">
        <f t="shared" si="392"/>
        <v>7500</v>
      </c>
      <c r="AO81" s="23">
        <f t="shared" si="392"/>
        <v>7500</v>
      </c>
      <c r="AP81" s="23">
        <f t="shared" si="392"/>
        <v>7500</v>
      </c>
      <c r="AQ81" s="23">
        <f t="shared" si="392"/>
        <v>7500</v>
      </c>
      <c r="AR81" s="23">
        <f t="shared" si="392"/>
        <v>7500</v>
      </c>
      <c r="AS81" s="23">
        <f t="shared" si="392"/>
        <v>7500</v>
      </c>
      <c r="AT81" s="23">
        <f t="shared" si="392"/>
        <v>7500</v>
      </c>
      <c r="AU81" s="23">
        <f t="shared" si="392"/>
        <v>7500</v>
      </c>
      <c r="AV81" s="23">
        <f t="shared" si="392"/>
        <v>7500</v>
      </c>
      <c r="AW81" s="23">
        <f t="shared" si="392"/>
        <v>7500</v>
      </c>
      <c r="AX81" s="23">
        <f t="shared" si="392"/>
        <v>7500</v>
      </c>
      <c r="AY81" s="23">
        <f t="shared" si="392"/>
        <v>7500</v>
      </c>
      <c r="AZ81" s="23">
        <f t="shared" si="392"/>
        <v>7500</v>
      </c>
      <c r="BA81" s="23">
        <f t="shared" si="392"/>
        <v>7500</v>
      </c>
      <c r="BB81" s="23">
        <f t="shared" si="392"/>
        <v>7500</v>
      </c>
      <c r="BC81" s="23">
        <f t="shared" si="392"/>
        <v>7500</v>
      </c>
      <c r="BD81" s="23">
        <f t="shared" si="392"/>
        <v>7500</v>
      </c>
      <c r="BE81" s="23">
        <f t="shared" si="392"/>
        <v>7500</v>
      </c>
      <c r="BF81" s="23">
        <f t="shared" si="392"/>
        <v>7500</v>
      </c>
      <c r="BG81" s="23">
        <f t="shared" si="392"/>
        <v>7500</v>
      </c>
      <c r="BH81" s="23">
        <f t="shared" si="392"/>
        <v>7500</v>
      </c>
      <c r="BI81" s="23">
        <f t="shared" si="392"/>
        <v>7500</v>
      </c>
      <c r="BJ81" s="23">
        <f t="shared" si="392"/>
        <v>7500</v>
      </c>
      <c r="BK81" s="23">
        <f t="shared" si="392"/>
        <v>7500</v>
      </c>
      <c r="BL81" s="23">
        <f t="shared" si="392"/>
        <v>7500</v>
      </c>
      <c r="BM81" s="23">
        <f t="shared" si="392"/>
        <v>7500</v>
      </c>
      <c r="BN81" s="23">
        <f t="shared" si="392"/>
        <v>7500</v>
      </c>
      <c r="BO81" s="23">
        <f t="shared" si="392"/>
        <v>7500</v>
      </c>
      <c r="BP81" s="23">
        <f t="shared" si="392"/>
        <v>7500</v>
      </c>
      <c r="BQ81" s="23">
        <f t="shared" si="392"/>
        <v>7500</v>
      </c>
      <c r="BR81" s="23">
        <f t="shared" si="392"/>
        <v>7500</v>
      </c>
      <c r="BS81" s="23">
        <f t="shared" si="392"/>
        <v>7500</v>
      </c>
      <c r="BT81" s="23">
        <f t="shared" si="392"/>
        <v>7500</v>
      </c>
      <c r="BU81" s="23">
        <f t="shared" si="392"/>
        <v>7500</v>
      </c>
      <c r="BV81" s="23">
        <f t="shared" si="392"/>
        <v>7500</v>
      </c>
      <c r="BW81" s="23">
        <f t="shared" si="392"/>
        <v>7500</v>
      </c>
      <c r="BX81" s="23">
        <f t="shared" ref="BX81:DQ81" si="393">$G81*BX$5/12</f>
        <v>7500</v>
      </c>
      <c r="BY81" s="23">
        <f t="shared" si="393"/>
        <v>7500</v>
      </c>
      <c r="BZ81" s="23">
        <f t="shared" si="393"/>
        <v>7500</v>
      </c>
      <c r="CA81" s="23">
        <f t="shared" si="393"/>
        <v>7500</v>
      </c>
      <c r="CB81" s="23">
        <f t="shared" si="393"/>
        <v>7500</v>
      </c>
      <c r="CC81" s="23">
        <f t="shared" si="393"/>
        <v>7500</v>
      </c>
      <c r="CD81" s="23">
        <f t="shared" si="393"/>
        <v>7500</v>
      </c>
      <c r="CE81" s="23">
        <f t="shared" si="393"/>
        <v>7500</v>
      </c>
      <c r="CF81" s="23">
        <f t="shared" si="393"/>
        <v>7500</v>
      </c>
      <c r="CG81" s="23">
        <f t="shared" si="393"/>
        <v>7500</v>
      </c>
      <c r="CH81" s="23">
        <f t="shared" si="393"/>
        <v>7500</v>
      </c>
      <c r="CI81" s="23">
        <f t="shared" si="393"/>
        <v>7500</v>
      </c>
      <c r="CJ81" s="23">
        <f t="shared" si="393"/>
        <v>7500</v>
      </c>
      <c r="CK81" s="23">
        <f t="shared" si="393"/>
        <v>7500</v>
      </c>
      <c r="CL81" s="23">
        <f t="shared" si="393"/>
        <v>7500</v>
      </c>
      <c r="CM81" s="23">
        <f t="shared" si="393"/>
        <v>7500</v>
      </c>
      <c r="CN81" s="23">
        <f t="shared" si="393"/>
        <v>7500</v>
      </c>
      <c r="CO81" s="23">
        <f t="shared" si="393"/>
        <v>7500</v>
      </c>
      <c r="CP81" s="23">
        <f t="shared" si="393"/>
        <v>7500</v>
      </c>
      <c r="CQ81" s="23">
        <f t="shared" si="393"/>
        <v>7500</v>
      </c>
      <c r="CR81" s="23">
        <f t="shared" si="393"/>
        <v>7500</v>
      </c>
      <c r="CS81" s="23">
        <f t="shared" si="393"/>
        <v>7500</v>
      </c>
      <c r="CT81" s="23">
        <f t="shared" si="393"/>
        <v>7500</v>
      </c>
      <c r="CU81" s="23">
        <f t="shared" si="393"/>
        <v>7500</v>
      </c>
      <c r="CV81" s="23">
        <f t="shared" si="393"/>
        <v>7500</v>
      </c>
      <c r="CW81" s="23">
        <f t="shared" si="393"/>
        <v>7500</v>
      </c>
      <c r="CX81" s="23">
        <f t="shared" si="393"/>
        <v>7500</v>
      </c>
      <c r="CY81" s="23">
        <f t="shared" si="393"/>
        <v>7500</v>
      </c>
      <c r="CZ81" s="23">
        <f t="shared" si="393"/>
        <v>7500</v>
      </c>
      <c r="DA81" s="23">
        <f t="shared" si="393"/>
        <v>7500</v>
      </c>
      <c r="DB81" s="23">
        <f t="shared" si="393"/>
        <v>7500</v>
      </c>
      <c r="DC81" s="23">
        <f t="shared" si="393"/>
        <v>7500</v>
      </c>
      <c r="DD81" s="23">
        <f t="shared" si="393"/>
        <v>7500</v>
      </c>
      <c r="DE81" s="23">
        <f t="shared" si="393"/>
        <v>7500</v>
      </c>
      <c r="DF81" s="23">
        <f t="shared" si="393"/>
        <v>7500</v>
      </c>
      <c r="DG81" s="23">
        <f t="shared" si="393"/>
        <v>7500</v>
      </c>
      <c r="DH81" s="23">
        <f t="shared" si="393"/>
        <v>7500</v>
      </c>
      <c r="DI81" s="23">
        <f t="shared" si="393"/>
        <v>7500</v>
      </c>
      <c r="DJ81" s="23">
        <f t="shared" si="393"/>
        <v>7500</v>
      </c>
      <c r="DK81" s="23">
        <f t="shared" si="393"/>
        <v>7500</v>
      </c>
      <c r="DL81" s="23">
        <f t="shared" si="393"/>
        <v>7500</v>
      </c>
      <c r="DM81" s="23">
        <f t="shared" si="393"/>
        <v>7500</v>
      </c>
      <c r="DN81" s="23">
        <f t="shared" si="393"/>
        <v>7500</v>
      </c>
      <c r="DO81" s="23">
        <f t="shared" si="393"/>
        <v>7500</v>
      </c>
      <c r="DP81" s="23">
        <f t="shared" si="393"/>
        <v>7500</v>
      </c>
      <c r="DQ81" s="23">
        <f t="shared" si="393"/>
        <v>7500</v>
      </c>
    </row>
    <row r="82" spans="4:121" x14ac:dyDescent="0.35">
      <c r="E82" s="20" t="s">
        <v>141</v>
      </c>
      <c r="F82" s="20" t="s">
        <v>103</v>
      </c>
      <c r="G82" s="49">
        <f>Assumptions!F77</f>
        <v>0</v>
      </c>
      <c r="H82" s="25">
        <f t="shared" si="386"/>
        <v>0</v>
      </c>
      <c r="K82" s="43">
        <f t="shared" ref="K82:T83" si="394">$G82*K$5/12*K$72</f>
        <v>0</v>
      </c>
      <c r="L82" s="43">
        <f t="shared" si="394"/>
        <v>0</v>
      </c>
      <c r="M82" s="43">
        <f t="shared" si="394"/>
        <v>0</v>
      </c>
      <c r="N82" s="43">
        <f t="shared" si="394"/>
        <v>0</v>
      </c>
      <c r="O82" s="43">
        <f t="shared" si="394"/>
        <v>0</v>
      </c>
      <c r="P82" s="43">
        <f t="shared" si="394"/>
        <v>0</v>
      </c>
      <c r="Q82" s="43">
        <f t="shared" si="394"/>
        <v>0</v>
      </c>
      <c r="R82" s="43">
        <f t="shared" si="394"/>
        <v>0</v>
      </c>
      <c r="S82" s="43">
        <f t="shared" si="394"/>
        <v>0</v>
      </c>
      <c r="T82" s="43">
        <f t="shared" si="394"/>
        <v>0</v>
      </c>
      <c r="U82" s="43">
        <f t="shared" ref="U82:AD83" si="395">$G82*U$5/12*U$72</f>
        <v>0</v>
      </c>
      <c r="V82" s="43">
        <f t="shared" si="395"/>
        <v>0</v>
      </c>
      <c r="W82" s="43">
        <f t="shared" si="395"/>
        <v>0</v>
      </c>
      <c r="X82" s="43">
        <f t="shared" si="395"/>
        <v>0</v>
      </c>
      <c r="Y82" s="43">
        <f t="shared" si="395"/>
        <v>0</v>
      </c>
      <c r="Z82" s="43">
        <f t="shared" si="395"/>
        <v>0</v>
      </c>
      <c r="AA82" s="43">
        <f t="shared" si="395"/>
        <v>0</v>
      </c>
      <c r="AB82" s="43">
        <f t="shared" si="395"/>
        <v>0</v>
      </c>
      <c r="AC82" s="43">
        <f t="shared" si="395"/>
        <v>0</v>
      </c>
      <c r="AD82" s="43">
        <f t="shared" si="395"/>
        <v>0</v>
      </c>
      <c r="AE82" s="43">
        <f t="shared" ref="AE82:AN83" si="396">$G82*AE$5/12*AE$72</f>
        <v>0</v>
      </c>
      <c r="AF82" s="43">
        <f t="shared" si="396"/>
        <v>0</v>
      </c>
      <c r="AG82" s="43">
        <f t="shared" si="396"/>
        <v>0</v>
      </c>
      <c r="AH82" s="43">
        <f t="shared" si="396"/>
        <v>0</v>
      </c>
      <c r="AI82" s="43">
        <f t="shared" si="396"/>
        <v>0</v>
      </c>
      <c r="AJ82" s="43">
        <f t="shared" si="396"/>
        <v>0</v>
      </c>
      <c r="AK82" s="43">
        <f t="shared" si="396"/>
        <v>0</v>
      </c>
      <c r="AL82" s="43">
        <f t="shared" si="396"/>
        <v>0</v>
      </c>
      <c r="AM82" s="43">
        <f t="shared" si="396"/>
        <v>0</v>
      </c>
      <c r="AN82" s="43">
        <f t="shared" si="396"/>
        <v>0</v>
      </c>
      <c r="AO82" s="43">
        <f t="shared" ref="AO82:AX83" si="397">$G82*AO$5/12*AO$72</f>
        <v>0</v>
      </c>
      <c r="AP82" s="43">
        <f t="shared" si="397"/>
        <v>0</v>
      </c>
      <c r="AQ82" s="43">
        <f t="shared" si="397"/>
        <v>0</v>
      </c>
      <c r="AR82" s="43">
        <f t="shared" si="397"/>
        <v>0</v>
      </c>
      <c r="AS82" s="43">
        <f t="shared" si="397"/>
        <v>0</v>
      </c>
      <c r="AT82" s="43">
        <f t="shared" si="397"/>
        <v>0</v>
      </c>
      <c r="AU82" s="43">
        <f t="shared" si="397"/>
        <v>0</v>
      </c>
      <c r="AV82" s="43">
        <f t="shared" si="397"/>
        <v>0</v>
      </c>
      <c r="AW82" s="43">
        <f t="shared" si="397"/>
        <v>0</v>
      </c>
      <c r="AX82" s="43">
        <f t="shared" si="397"/>
        <v>0</v>
      </c>
      <c r="AY82" s="43">
        <f t="shared" ref="AY82:BH83" si="398">$G82*AY$5/12*AY$72</f>
        <v>0</v>
      </c>
      <c r="AZ82" s="43">
        <f t="shared" si="398"/>
        <v>0</v>
      </c>
      <c r="BA82" s="43">
        <f t="shared" si="398"/>
        <v>0</v>
      </c>
      <c r="BB82" s="43">
        <f t="shared" si="398"/>
        <v>0</v>
      </c>
      <c r="BC82" s="43">
        <f t="shared" si="398"/>
        <v>0</v>
      </c>
      <c r="BD82" s="43">
        <f t="shared" si="398"/>
        <v>0</v>
      </c>
      <c r="BE82" s="43">
        <f t="shared" si="398"/>
        <v>0</v>
      </c>
      <c r="BF82" s="43">
        <f t="shared" si="398"/>
        <v>0</v>
      </c>
      <c r="BG82" s="43">
        <f t="shared" si="398"/>
        <v>0</v>
      </c>
      <c r="BH82" s="43">
        <f t="shared" si="398"/>
        <v>0</v>
      </c>
      <c r="BI82" s="43">
        <f t="shared" ref="BI82:BR83" si="399">$G82*BI$5/12*BI$72</f>
        <v>0</v>
      </c>
      <c r="BJ82" s="43">
        <f t="shared" si="399"/>
        <v>0</v>
      </c>
      <c r="BK82" s="43">
        <f t="shared" si="399"/>
        <v>0</v>
      </c>
      <c r="BL82" s="43">
        <f t="shared" si="399"/>
        <v>0</v>
      </c>
      <c r="BM82" s="43">
        <f t="shared" si="399"/>
        <v>0</v>
      </c>
      <c r="BN82" s="43">
        <f t="shared" si="399"/>
        <v>0</v>
      </c>
      <c r="BO82" s="43">
        <f t="shared" si="399"/>
        <v>0</v>
      </c>
      <c r="BP82" s="43">
        <f t="shared" si="399"/>
        <v>0</v>
      </c>
      <c r="BQ82" s="43">
        <f t="shared" si="399"/>
        <v>0</v>
      </c>
      <c r="BR82" s="43">
        <f t="shared" si="399"/>
        <v>0</v>
      </c>
      <c r="BS82" s="43">
        <f t="shared" ref="BS82:CB83" si="400">$G82*BS$5/12*BS$72</f>
        <v>0</v>
      </c>
      <c r="BT82" s="43">
        <f t="shared" si="400"/>
        <v>0</v>
      </c>
      <c r="BU82" s="43">
        <f t="shared" si="400"/>
        <v>0</v>
      </c>
      <c r="BV82" s="43">
        <f t="shared" si="400"/>
        <v>0</v>
      </c>
      <c r="BW82" s="43">
        <f t="shared" si="400"/>
        <v>0</v>
      </c>
      <c r="BX82" s="43">
        <f t="shared" si="400"/>
        <v>0</v>
      </c>
      <c r="BY82" s="43">
        <f t="shared" si="400"/>
        <v>0</v>
      </c>
      <c r="BZ82" s="43">
        <f t="shared" si="400"/>
        <v>0</v>
      </c>
      <c r="CA82" s="43">
        <f t="shared" si="400"/>
        <v>0</v>
      </c>
      <c r="CB82" s="43">
        <f t="shared" si="400"/>
        <v>0</v>
      </c>
      <c r="CC82" s="43">
        <f t="shared" ref="CC82:CL83" si="401">$G82*CC$5/12*CC$72</f>
        <v>0</v>
      </c>
      <c r="CD82" s="43">
        <f t="shared" si="401"/>
        <v>0</v>
      </c>
      <c r="CE82" s="43">
        <f t="shared" si="401"/>
        <v>0</v>
      </c>
      <c r="CF82" s="43">
        <f t="shared" si="401"/>
        <v>0</v>
      </c>
      <c r="CG82" s="43">
        <f t="shared" si="401"/>
        <v>0</v>
      </c>
      <c r="CH82" s="43">
        <f t="shared" si="401"/>
        <v>0</v>
      </c>
      <c r="CI82" s="43">
        <f t="shared" si="401"/>
        <v>0</v>
      </c>
      <c r="CJ82" s="43">
        <f t="shared" si="401"/>
        <v>0</v>
      </c>
      <c r="CK82" s="43">
        <f t="shared" si="401"/>
        <v>0</v>
      </c>
      <c r="CL82" s="43">
        <f t="shared" si="401"/>
        <v>0</v>
      </c>
      <c r="CM82" s="43">
        <f t="shared" ref="CM82:CV83" si="402">$G82*CM$5/12*CM$72</f>
        <v>0</v>
      </c>
      <c r="CN82" s="43">
        <f t="shared" si="402"/>
        <v>0</v>
      </c>
      <c r="CO82" s="43">
        <f t="shared" si="402"/>
        <v>0</v>
      </c>
      <c r="CP82" s="43">
        <f t="shared" si="402"/>
        <v>0</v>
      </c>
      <c r="CQ82" s="43">
        <f t="shared" si="402"/>
        <v>0</v>
      </c>
      <c r="CR82" s="43">
        <f t="shared" si="402"/>
        <v>0</v>
      </c>
      <c r="CS82" s="43">
        <f t="shared" si="402"/>
        <v>0</v>
      </c>
      <c r="CT82" s="43">
        <f t="shared" si="402"/>
        <v>0</v>
      </c>
      <c r="CU82" s="43">
        <f t="shared" si="402"/>
        <v>0</v>
      </c>
      <c r="CV82" s="43">
        <f t="shared" si="402"/>
        <v>0</v>
      </c>
      <c r="CW82" s="43">
        <f t="shared" ref="CW82:DF83" si="403">$G82*CW$5/12*CW$72</f>
        <v>0</v>
      </c>
      <c r="CX82" s="43">
        <f t="shared" si="403"/>
        <v>0</v>
      </c>
      <c r="CY82" s="43">
        <f t="shared" si="403"/>
        <v>0</v>
      </c>
      <c r="CZ82" s="43">
        <f t="shared" si="403"/>
        <v>0</v>
      </c>
      <c r="DA82" s="43">
        <f t="shared" si="403"/>
        <v>0</v>
      </c>
      <c r="DB82" s="43">
        <f t="shared" si="403"/>
        <v>0</v>
      </c>
      <c r="DC82" s="43">
        <f t="shared" si="403"/>
        <v>0</v>
      </c>
      <c r="DD82" s="43">
        <f t="shared" si="403"/>
        <v>0</v>
      </c>
      <c r="DE82" s="43">
        <f t="shared" si="403"/>
        <v>0</v>
      </c>
      <c r="DF82" s="43">
        <f t="shared" si="403"/>
        <v>0</v>
      </c>
      <c r="DG82" s="43">
        <f t="shared" ref="DG82:DQ83" si="404">$G82*DG$5/12*DG$72</f>
        <v>0</v>
      </c>
      <c r="DH82" s="43">
        <f t="shared" si="404"/>
        <v>0</v>
      </c>
      <c r="DI82" s="43">
        <f t="shared" si="404"/>
        <v>0</v>
      </c>
      <c r="DJ82" s="43">
        <f t="shared" si="404"/>
        <v>0</v>
      </c>
      <c r="DK82" s="43">
        <f t="shared" si="404"/>
        <v>0</v>
      </c>
      <c r="DL82" s="43">
        <f t="shared" si="404"/>
        <v>0</v>
      </c>
      <c r="DM82" s="43">
        <f t="shared" si="404"/>
        <v>0</v>
      </c>
      <c r="DN82" s="43">
        <f t="shared" si="404"/>
        <v>0</v>
      </c>
      <c r="DO82" s="43">
        <f t="shared" si="404"/>
        <v>0</v>
      </c>
      <c r="DP82" s="43">
        <f t="shared" si="404"/>
        <v>0</v>
      </c>
      <c r="DQ82" s="43">
        <f t="shared" si="404"/>
        <v>0</v>
      </c>
    </row>
    <row r="83" spans="4:121" x14ac:dyDescent="0.35">
      <c r="E83" s="20" t="s">
        <v>139</v>
      </c>
      <c r="F83" s="20" t="s">
        <v>103</v>
      </c>
      <c r="G83" s="49">
        <f>Assumptions!F78</f>
        <v>0</v>
      </c>
      <c r="H83" s="25">
        <f t="shared" si="386"/>
        <v>0</v>
      </c>
      <c r="K83" s="43">
        <f t="shared" si="394"/>
        <v>0</v>
      </c>
      <c r="L83" s="43">
        <f t="shared" si="394"/>
        <v>0</v>
      </c>
      <c r="M83" s="43">
        <f t="shared" si="394"/>
        <v>0</v>
      </c>
      <c r="N83" s="43">
        <f t="shared" si="394"/>
        <v>0</v>
      </c>
      <c r="O83" s="43">
        <f t="shared" si="394"/>
        <v>0</v>
      </c>
      <c r="P83" s="43">
        <f t="shared" si="394"/>
        <v>0</v>
      </c>
      <c r="Q83" s="43">
        <f t="shared" si="394"/>
        <v>0</v>
      </c>
      <c r="R83" s="43">
        <f t="shared" si="394"/>
        <v>0</v>
      </c>
      <c r="S83" s="43">
        <f t="shared" si="394"/>
        <v>0</v>
      </c>
      <c r="T83" s="43">
        <f t="shared" si="394"/>
        <v>0</v>
      </c>
      <c r="U83" s="43">
        <f t="shared" si="395"/>
        <v>0</v>
      </c>
      <c r="V83" s="43">
        <f t="shared" si="395"/>
        <v>0</v>
      </c>
      <c r="W83" s="43">
        <f t="shared" si="395"/>
        <v>0</v>
      </c>
      <c r="X83" s="43">
        <f t="shared" si="395"/>
        <v>0</v>
      </c>
      <c r="Y83" s="43">
        <f t="shared" si="395"/>
        <v>0</v>
      </c>
      <c r="Z83" s="43">
        <f t="shared" si="395"/>
        <v>0</v>
      </c>
      <c r="AA83" s="43">
        <f t="shared" si="395"/>
        <v>0</v>
      </c>
      <c r="AB83" s="43">
        <f t="shared" si="395"/>
        <v>0</v>
      </c>
      <c r="AC83" s="43">
        <f t="shared" si="395"/>
        <v>0</v>
      </c>
      <c r="AD83" s="43">
        <f t="shared" si="395"/>
        <v>0</v>
      </c>
      <c r="AE83" s="43">
        <f t="shared" si="396"/>
        <v>0</v>
      </c>
      <c r="AF83" s="43">
        <f t="shared" si="396"/>
        <v>0</v>
      </c>
      <c r="AG83" s="43">
        <f t="shared" si="396"/>
        <v>0</v>
      </c>
      <c r="AH83" s="43">
        <f t="shared" si="396"/>
        <v>0</v>
      </c>
      <c r="AI83" s="43">
        <f t="shared" si="396"/>
        <v>0</v>
      </c>
      <c r="AJ83" s="43">
        <f t="shared" si="396"/>
        <v>0</v>
      </c>
      <c r="AK83" s="43">
        <f t="shared" si="396"/>
        <v>0</v>
      </c>
      <c r="AL83" s="43">
        <f t="shared" si="396"/>
        <v>0</v>
      </c>
      <c r="AM83" s="43">
        <f t="shared" si="396"/>
        <v>0</v>
      </c>
      <c r="AN83" s="43">
        <f t="shared" si="396"/>
        <v>0</v>
      </c>
      <c r="AO83" s="43">
        <f t="shared" si="397"/>
        <v>0</v>
      </c>
      <c r="AP83" s="43">
        <f t="shared" si="397"/>
        <v>0</v>
      </c>
      <c r="AQ83" s="43">
        <f t="shared" si="397"/>
        <v>0</v>
      </c>
      <c r="AR83" s="43">
        <f t="shared" si="397"/>
        <v>0</v>
      </c>
      <c r="AS83" s="43">
        <f t="shared" si="397"/>
        <v>0</v>
      </c>
      <c r="AT83" s="43">
        <f t="shared" si="397"/>
        <v>0</v>
      </c>
      <c r="AU83" s="43">
        <f t="shared" si="397"/>
        <v>0</v>
      </c>
      <c r="AV83" s="43">
        <f t="shared" si="397"/>
        <v>0</v>
      </c>
      <c r="AW83" s="43">
        <f t="shared" si="397"/>
        <v>0</v>
      </c>
      <c r="AX83" s="43">
        <f t="shared" si="397"/>
        <v>0</v>
      </c>
      <c r="AY83" s="43">
        <f t="shared" si="398"/>
        <v>0</v>
      </c>
      <c r="AZ83" s="43">
        <f t="shared" si="398"/>
        <v>0</v>
      </c>
      <c r="BA83" s="43">
        <f t="shared" si="398"/>
        <v>0</v>
      </c>
      <c r="BB83" s="43">
        <f t="shared" si="398"/>
        <v>0</v>
      </c>
      <c r="BC83" s="43">
        <f t="shared" si="398"/>
        <v>0</v>
      </c>
      <c r="BD83" s="43">
        <f t="shared" si="398"/>
        <v>0</v>
      </c>
      <c r="BE83" s="43">
        <f t="shared" si="398"/>
        <v>0</v>
      </c>
      <c r="BF83" s="43">
        <f t="shared" si="398"/>
        <v>0</v>
      </c>
      <c r="BG83" s="43">
        <f t="shared" si="398"/>
        <v>0</v>
      </c>
      <c r="BH83" s="43">
        <f t="shared" si="398"/>
        <v>0</v>
      </c>
      <c r="BI83" s="43">
        <f t="shared" si="399"/>
        <v>0</v>
      </c>
      <c r="BJ83" s="43">
        <f t="shared" si="399"/>
        <v>0</v>
      </c>
      <c r="BK83" s="43">
        <f t="shared" si="399"/>
        <v>0</v>
      </c>
      <c r="BL83" s="43">
        <f t="shared" si="399"/>
        <v>0</v>
      </c>
      <c r="BM83" s="43">
        <f t="shared" si="399"/>
        <v>0</v>
      </c>
      <c r="BN83" s="43">
        <f t="shared" si="399"/>
        <v>0</v>
      </c>
      <c r="BO83" s="43">
        <f t="shared" si="399"/>
        <v>0</v>
      </c>
      <c r="BP83" s="43">
        <f t="shared" si="399"/>
        <v>0</v>
      </c>
      <c r="BQ83" s="43">
        <f t="shared" si="399"/>
        <v>0</v>
      </c>
      <c r="BR83" s="43">
        <f t="shared" si="399"/>
        <v>0</v>
      </c>
      <c r="BS83" s="43">
        <f t="shared" si="400"/>
        <v>0</v>
      </c>
      <c r="BT83" s="43">
        <f t="shared" si="400"/>
        <v>0</v>
      </c>
      <c r="BU83" s="43">
        <f t="shared" si="400"/>
        <v>0</v>
      </c>
      <c r="BV83" s="43">
        <f t="shared" si="400"/>
        <v>0</v>
      </c>
      <c r="BW83" s="43">
        <f t="shared" si="400"/>
        <v>0</v>
      </c>
      <c r="BX83" s="43">
        <f t="shared" si="400"/>
        <v>0</v>
      </c>
      <c r="BY83" s="43">
        <f t="shared" si="400"/>
        <v>0</v>
      </c>
      <c r="BZ83" s="43">
        <f t="shared" si="400"/>
        <v>0</v>
      </c>
      <c r="CA83" s="43">
        <f t="shared" si="400"/>
        <v>0</v>
      </c>
      <c r="CB83" s="43">
        <f t="shared" si="400"/>
        <v>0</v>
      </c>
      <c r="CC83" s="43">
        <f t="shared" si="401"/>
        <v>0</v>
      </c>
      <c r="CD83" s="43">
        <f t="shared" si="401"/>
        <v>0</v>
      </c>
      <c r="CE83" s="43">
        <f t="shared" si="401"/>
        <v>0</v>
      </c>
      <c r="CF83" s="43">
        <f t="shared" si="401"/>
        <v>0</v>
      </c>
      <c r="CG83" s="43">
        <f t="shared" si="401"/>
        <v>0</v>
      </c>
      <c r="CH83" s="43">
        <f t="shared" si="401"/>
        <v>0</v>
      </c>
      <c r="CI83" s="43">
        <f t="shared" si="401"/>
        <v>0</v>
      </c>
      <c r="CJ83" s="43">
        <f t="shared" si="401"/>
        <v>0</v>
      </c>
      <c r="CK83" s="43">
        <f t="shared" si="401"/>
        <v>0</v>
      </c>
      <c r="CL83" s="43">
        <f t="shared" si="401"/>
        <v>0</v>
      </c>
      <c r="CM83" s="43">
        <f t="shared" si="402"/>
        <v>0</v>
      </c>
      <c r="CN83" s="43">
        <f t="shared" si="402"/>
        <v>0</v>
      </c>
      <c r="CO83" s="43">
        <f t="shared" si="402"/>
        <v>0</v>
      </c>
      <c r="CP83" s="43">
        <f t="shared" si="402"/>
        <v>0</v>
      </c>
      <c r="CQ83" s="43">
        <f t="shared" si="402"/>
        <v>0</v>
      </c>
      <c r="CR83" s="43">
        <f t="shared" si="402"/>
        <v>0</v>
      </c>
      <c r="CS83" s="43">
        <f t="shared" si="402"/>
        <v>0</v>
      </c>
      <c r="CT83" s="43">
        <f t="shared" si="402"/>
        <v>0</v>
      </c>
      <c r="CU83" s="43">
        <f t="shared" si="402"/>
        <v>0</v>
      </c>
      <c r="CV83" s="43">
        <f t="shared" si="402"/>
        <v>0</v>
      </c>
      <c r="CW83" s="43">
        <f t="shared" si="403"/>
        <v>0</v>
      </c>
      <c r="CX83" s="43">
        <f t="shared" si="403"/>
        <v>0</v>
      </c>
      <c r="CY83" s="43">
        <f t="shared" si="403"/>
        <v>0</v>
      </c>
      <c r="CZ83" s="43">
        <f t="shared" si="403"/>
        <v>0</v>
      </c>
      <c r="DA83" s="43">
        <f t="shared" si="403"/>
        <v>0</v>
      </c>
      <c r="DB83" s="43">
        <f t="shared" si="403"/>
        <v>0</v>
      </c>
      <c r="DC83" s="43">
        <f t="shared" si="403"/>
        <v>0</v>
      </c>
      <c r="DD83" s="43">
        <f t="shared" si="403"/>
        <v>0</v>
      </c>
      <c r="DE83" s="43">
        <f t="shared" si="403"/>
        <v>0</v>
      </c>
      <c r="DF83" s="43">
        <f t="shared" si="403"/>
        <v>0</v>
      </c>
      <c r="DG83" s="43">
        <f t="shared" si="404"/>
        <v>0</v>
      </c>
      <c r="DH83" s="43">
        <f t="shared" si="404"/>
        <v>0</v>
      </c>
      <c r="DI83" s="43">
        <f t="shared" si="404"/>
        <v>0</v>
      </c>
      <c r="DJ83" s="43">
        <f t="shared" si="404"/>
        <v>0</v>
      </c>
      <c r="DK83" s="43">
        <f t="shared" si="404"/>
        <v>0</v>
      </c>
      <c r="DL83" s="43">
        <f t="shared" si="404"/>
        <v>0</v>
      </c>
      <c r="DM83" s="43">
        <f t="shared" si="404"/>
        <v>0</v>
      </c>
      <c r="DN83" s="43">
        <f t="shared" si="404"/>
        <v>0</v>
      </c>
      <c r="DO83" s="43">
        <f t="shared" si="404"/>
        <v>0</v>
      </c>
      <c r="DP83" s="43">
        <f t="shared" si="404"/>
        <v>0</v>
      </c>
      <c r="DQ83" s="43">
        <f t="shared" si="404"/>
        <v>0</v>
      </c>
    </row>
    <row r="84" spans="4:121" x14ac:dyDescent="0.35">
      <c r="E84" s="20" t="s">
        <v>223</v>
      </c>
      <c r="F84" s="20" t="s">
        <v>19</v>
      </c>
      <c r="G84" s="49">
        <f>Assumptions!F79</f>
        <v>0</v>
      </c>
      <c r="H84" s="25">
        <f t="shared" si="386"/>
        <v>0</v>
      </c>
      <c r="K84" s="43">
        <f t="shared" ref="K84:AP84" si="405">$G84*K$5/12*K$72</f>
        <v>0</v>
      </c>
      <c r="L84" s="43">
        <f t="shared" si="405"/>
        <v>0</v>
      </c>
      <c r="M84" s="43">
        <f t="shared" si="405"/>
        <v>0</v>
      </c>
      <c r="N84" s="43">
        <f t="shared" si="405"/>
        <v>0</v>
      </c>
      <c r="O84" s="43">
        <f t="shared" si="405"/>
        <v>0</v>
      </c>
      <c r="P84" s="43">
        <f t="shared" si="405"/>
        <v>0</v>
      </c>
      <c r="Q84" s="43">
        <f t="shared" si="405"/>
        <v>0</v>
      </c>
      <c r="R84" s="43">
        <f t="shared" si="405"/>
        <v>0</v>
      </c>
      <c r="S84" s="43">
        <f t="shared" si="405"/>
        <v>0</v>
      </c>
      <c r="T84" s="43">
        <f t="shared" si="405"/>
        <v>0</v>
      </c>
      <c r="U84" s="43">
        <f t="shared" si="405"/>
        <v>0</v>
      </c>
      <c r="V84" s="43">
        <f t="shared" si="405"/>
        <v>0</v>
      </c>
      <c r="W84" s="43">
        <f t="shared" si="405"/>
        <v>0</v>
      </c>
      <c r="X84" s="43">
        <f t="shared" si="405"/>
        <v>0</v>
      </c>
      <c r="Y84" s="43">
        <f t="shared" si="405"/>
        <v>0</v>
      </c>
      <c r="Z84" s="43">
        <f t="shared" si="405"/>
        <v>0</v>
      </c>
      <c r="AA84" s="43">
        <f t="shared" si="405"/>
        <v>0</v>
      </c>
      <c r="AB84" s="43">
        <f t="shared" si="405"/>
        <v>0</v>
      </c>
      <c r="AC84" s="43">
        <f t="shared" si="405"/>
        <v>0</v>
      </c>
      <c r="AD84" s="43">
        <f t="shared" si="405"/>
        <v>0</v>
      </c>
      <c r="AE84" s="43">
        <f t="shared" si="405"/>
        <v>0</v>
      </c>
      <c r="AF84" s="43">
        <f t="shared" si="405"/>
        <v>0</v>
      </c>
      <c r="AG84" s="43">
        <f t="shared" si="405"/>
        <v>0</v>
      </c>
      <c r="AH84" s="43">
        <f t="shared" si="405"/>
        <v>0</v>
      </c>
      <c r="AI84" s="43">
        <f t="shared" si="405"/>
        <v>0</v>
      </c>
      <c r="AJ84" s="43">
        <f t="shared" si="405"/>
        <v>0</v>
      </c>
      <c r="AK84" s="43">
        <f t="shared" si="405"/>
        <v>0</v>
      </c>
      <c r="AL84" s="43">
        <f t="shared" si="405"/>
        <v>0</v>
      </c>
      <c r="AM84" s="43">
        <f t="shared" si="405"/>
        <v>0</v>
      </c>
      <c r="AN84" s="43">
        <f t="shared" si="405"/>
        <v>0</v>
      </c>
      <c r="AO84" s="43">
        <f t="shared" si="405"/>
        <v>0</v>
      </c>
      <c r="AP84" s="43">
        <f t="shared" si="405"/>
        <v>0</v>
      </c>
      <c r="AQ84" s="43">
        <f t="shared" ref="AQ84:BU84" si="406">$G84*AQ$5/12*AQ$72</f>
        <v>0</v>
      </c>
      <c r="AR84" s="43">
        <f t="shared" si="406"/>
        <v>0</v>
      </c>
      <c r="AS84" s="43">
        <f t="shared" si="406"/>
        <v>0</v>
      </c>
      <c r="AT84" s="43">
        <f t="shared" si="406"/>
        <v>0</v>
      </c>
      <c r="AU84" s="43">
        <f t="shared" si="406"/>
        <v>0</v>
      </c>
      <c r="AV84" s="43">
        <f t="shared" si="406"/>
        <v>0</v>
      </c>
      <c r="AW84" s="43">
        <f t="shared" si="406"/>
        <v>0</v>
      </c>
      <c r="AX84" s="43">
        <f t="shared" si="406"/>
        <v>0</v>
      </c>
      <c r="AY84" s="43">
        <f t="shared" si="406"/>
        <v>0</v>
      </c>
      <c r="AZ84" s="43">
        <f t="shared" si="406"/>
        <v>0</v>
      </c>
      <c r="BA84" s="43">
        <f t="shared" si="406"/>
        <v>0</v>
      </c>
      <c r="BB84" s="43">
        <f t="shared" si="406"/>
        <v>0</v>
      </c>
      <c r="BC84" s="43">
        <f t="shared" si="406"/>
        <v>0</v>
      </c>
      <c r="BD84" s="43">
        <f t="shared" si="406"/>
        <v>0</v>
      </c>
      <c r="BE84" s="43">
        <f t="shared" si="406"/>
        <v>0</v>
      </c>
      <c r="BF84" s="43">
        <f t="shared" si="406"/>
        <v>0</v>
      </c>
      <c r="BG84" s="43">
        <f t="shared" si="406"/>
        <v>0</v>
      </c>
      <c r="BH84" s="43">
        <f t="shared" si="406"/>
        <v>0</v>
      </c>
      <c r="BI84" s="43">
        <f t="shared" si="406"/>
        <v>0</v>
      </c>
      <c r="BJ84" s="43">
        <f t="shared" si="406"/>
        <v>0</v>
      </c>
      <c r="BK84" s="43">
        <f t="shared" si="406"/>
        <v>0</v>
      </c>
      <c r="BL84" s="43">
        <f t="shared" si="406"/>
        <v>0</v>
      </c>
      <c r="BM84" s="43">
        <f t="shared" si="406"/>
        <v>0</v>
      </c>
      <c r="BN84" s="43">
        <f t="shared" si="406"/>
        <v>0</v>
      </c>
      <c r="BO84" s="43">
        <f t="shared" si="406"/>
        <v>0</v>
      </c>
      <c r="BP84" s="43">
        <f t="shared" si="406"/>
        <v>0</v>
      </c>
      <c r="BQ84" s="43">
        <f t="shared" si="406"/>
        <v>0</v>
      </c>
      <c r="BR84" s="43">
        <f t="shared" si="406"/>
        <v>0</v>
      </c>
      <c r="BS84" s="43">
        <f t="shared" si="406"/>
        <v>0</v>
      </c>
      <c r="BT84" s="43">
        <f t="shared" si="406"/>
        <v>0</v>
      </c>
      <c r="BU84" s="43">
        <f t="shared" si="406"/>
        <v>0</v>
      </c>
      <c r="BV84" s="43">
        <f t="shared" ref="BV84:BW84" si="407">$G84*BV$5/12*BV$72</f>
        <v>0</v>
      </c>
      <c r="BW84" s="43">
        <f t="shared" si="407"/>
        <v>0</v>
      </c>
      <c r="BX84" s="43">
        <f t="shared" ref="BX84:DQ84" si="408">$G84*BX$5/12*BX$72</f>
        <v>0</v>
      </c>
      <c r="BY84" s="43">
        <f t="shared" si="408"/>
        <v>0</v>
      </c>
      <c r="BZ84" s="43">
        <f t="shared" si="408"/>
        <v>0</v>
      </c>
      <c r="CA84" s="43">
        <f t="shared" si="408"/>
        <v>0</v>
      </c>
      <c r="CB84" s="43">
        <f t="shared" si="408"/>
        <v>0</v>
      </c>
      <c r="CC84" s="43">
        <f t="shared" si="408"/>
        <v>0</v>
      </c>
      <c r="CD84" s="43">
        <f t="shared" si="408"/>
        <v>0</v>
      </c>
      <c r="CE84" s="43">
        <f t="shared" si="408"/>
        <v>0</v>
      </c>
      <c r="CF84" s="43">
        <f t="shared" si="408"/>
        <v>0</v>
      </c>
      <c r="CG84" s="43">
        <f t="shared" si="408"/>
        <v>0</v>
      </c>
      <c r="CH84" s="43">
        <f t="shared" si="408"/>
        <v>0</v>
      </c>
      <c r="CI84" s="43">
        <f t="shared" si="408"/>
        <v>0</v>
      </c>
      <c r="CJ84" s="43">
        <f t="shared" si="408"/>
        <v>0</v>
      </c>
      <c r="CK84" s="43">
        <f t="shared" si="408"/>
        <v>0</v>
      </c>
      <c r="CL84" s="43">
        <f t="shared" si="408"/>
        <v>0</v>
      </c>
      <c r="CM84" s="43">
        <f t="shared" si="408"/>
        <v>0</v>
      </c>
      <c r="CN84" s="43">
        <f t="shared" si="408"/>
        <v>0</v>
      </c>
      <c r="CO84" s="43">
        <f t="shared" si="408"/>
        <v>0</v>
      </c>
      <c r="CP84" s="43">
        <f t="shared" si="408"/>
        <v>0</v>
      </c>
      <c r="CQ84" s="43">
        <f t="shared" si="408"/>
        <v>0</v>
      </c>
      <c r="CR84" s="43">
        <f t="shared" si="408"/>
        <v>0</v>
      </c>
      <c r="CS84" s="43">
        <f t="shared" si="408"/>
        <v>0</v>
      </c>
      <c r="CT84" s="43">
        <f t="shared" si="408"/>
        <v>0</v>
      </c>
      <c r="CU84" s="43">
        <f t="shared" si="408"/>
        <v>0</v>
      </c>
      <c r="CV84" s="43">
        <f t="shared" si="408"/>
        <v>0</v>
      </c>
      <c r="CW84" s="43">
        <f t="shared" si="408"/>
        <v>0</v>
      </c>
      <c r="CX84" s="43">
        <f t="shared" si="408"/>
        <v>0</v>
      </c>
      <c r="CY84" s="43">
        <f t="shared" si="408"/>
        <v>0</v>
      </c>
      <c r="CZ84" s="43">
        <f t="shared" si="408"/>
        <v>0</v>
      </c>
      <c r="DA84" s="43">
        <f t="shared" si="408"/>
        <v>0</v>
      </c>
      <c r="DB84" s="43">
        <f t="shared" si="408"/>
        <v>0</v>
      </c>
      <c r="DC84" s="43">
        <f t="shared" si="408"/>
        <v>0</v>
      </c>
      <c r="DD84" s="43">
        <f t="shared" si="408"/>
        <v>0</v>
      </c>
      <c r="DE84" s="43">
        <f t="shared" si="408"/>
        <v>0</v>
      </c>
      <c r="DF84" s="43">
        <f t="shared" si="408"/>
        <v>0</v>
      </c>
      <c r="DG84" s="43">
        <f t="shared" si="408"/>
        <v>0</v>
      </c>
      <c r="DH84" s="43">
        <f t="shared" si="408"/>
        <v>0</v>
      </c>
      <c r="DI84" s="43">
        <f t="shared" si="408"/>
        <v>0</v>
      </c>
      <c r="DJ84" s="43">
        <f t="shared" si="408"/>
        <v>0</v>
      </c>
      <c r="DK84" s="43">
        <f t="shared" si="408"/>
        <v>0</v>
      </c>
      <c r="DL84" s="43">
        <f t="shared" si="408"/>
        <v>0</v>
      </c>
      <c r="DM84" s="43">
        <f t="shared" si="408"/>
        <v>0</v>
      </c>
      <c r="DN84" s="43">
        <f t="shared" si="408"/>
        <v>0</v>
      </c>
      <c r="DO84" s="43">
        <f t="shared" si="408"/>
        <v>0</v>
      </c>
      <c r="DP84" s="43">
        <f t="shared" si="408"/>
        <v>0</v>
      </c>
      <c r="DQ84" s="43">
        <f t="shared" si="408"/>
        <v>0</v>
      </c>
    </row>
    <row r="85" spans="4:121" x14ac:dyDescent="0.35">
      <c r="G85" s="25"/>
      <c r="H85" s="25"/>
    </row>
    <row r="86" spans="4:121" x14ac:dyDescent="0.35">
      <c r="D86" s="20" t="s">
        <v>225</v>
      </c>
      <c r="F86" s="20" t="s">
        <v>60</v>
      </c>
      <c r="G86" s="25"/>
      <c r="H86" s="25"/>
    </row>
    <row r="87" spans="4:121" x14ac:dyDescent="0.35">
      <c r="E87" s="20" t="s">
        <v>219</v>
      </c>
      <c r="F87" s="20" t="s">
        <v>109</v>
      </c>
      <c r="G87" s="25"/>
      <c r="H87" s="25"/>
      <c r="K87" s="20">
        <f>K13</f>
        <v>0</v>
      </c>
      <c r="L87" s="20">
        <f t="shared" ref="L87:BW87" si="409">L13</f>
        <v>0</v>
      </c>
      <c r="M87" s="20">
        <f t="shared" si="409"/>
        <v>0</v>
      </c>
      <c r="N87" s="20">
        <f t="shared" si="409"/>
        <v>0</v>
      </c>
      <c r="O87" s="20">
        <f t="shared" si="409"/>
        <v>0</v>
      </c>
      <c r="P87" s="20">
        <f t="shared" si="409"/>
        <v>0</v>
      </c>
      <c r="Q87" s="20">
        <f t="shared" si="409"/>
        <v>0</v>
      </c>
      <c r="R87" s="20">
        <f t="shared" si="409"/>
        <v>0</v>
      </c>
      <c r="S87" s="20">
        <f t="shared" si="409"/>
        <v>0</v>
      </c>
      <c r="T87" s="20">
        <f t="shared" si="409"/>
        <v>6000</v>
      </c>
      <c r="U87" s="20">
        <f t="shared" si="409"/>
        <v>6000</v>
      </c>
      <c r="V87" s="20">
        <f t="shared" si="409"/>
        <v>6000</v>
      </c>
      <c r="W87" s="20">
        <f t="shared" si="409"/>
        <v>6000</v>
      </c>
      <c r="X87" s="20">
        <f t="shared" si="409"/>
        <v>6000</v>
      </c>
      <c r="Y87" s="20">
        <f t="shared" si="409"/>
        <v>6000</v>
      </c>
      <c r="Z87" s="20">
        <f t="shared" si="409"/>
        <v>6000</v>
      </c>
      <c r="AA87" s="20">
        <f t="shared" si="409"/>
        <v>6000</v>
      </c>
      <c r="AB87" s="20">
        <f t="shared" si="409"/>
        <v>6000</v>
      </c>
      <c r="AC87" s="20">
        <f t="shared" si="409"/>
        <v>6000</v>
      </c>
      <c r="AD87" s="20">
        <f t="shared" si="409"/>
        <v>6000</v>
      </c>
      <c r="AE87" s="20">
        <f t="shared" si="409"/>
        <v>6000</v>
      </c>
      <c r="AF87" s="20">
        <f t="shared" si="409"/>
        <v>6000</v>
      </c>
      <c r="AG87" s="20">
        <f t="shared" si="409"/>
        <v>6000</v>
      </c>
      <c r="AH87" s="20">
        <f t="shared" si="409"/>
        <v>6000</v>
      </c>
      <c r="AI87" s="20">
        <f t="shared" si="409"/>
        <v>6000</v>
      </c>
      <c r="AJ87" s="20">
        <f t="shared" si="409"/>
        <v>6000</v>
      </c>
      <c r="AK87" s="20">
        <f t="shared" si="409"/>
        <v>6000</v>
      </c>
      <c r="AL87" s="20">
        <f t="shared" si="409"/>
        <v>6000</v>
      </c>
      <c r="AM87" s="20">
        <f t="shared" si="409"/>
        <v>6000</v>
      </c>
      <c r="AN87" s="20">
        <f t="shared" si="409"/>
        <v>6000</v>
      </c>
      <c r="AO87" s="20">
        <f t="shared" si="409"/>
        <v>6000</v>
      </c>
      <c r="AP87" s="20">
        <f t="shared" si="409"/>
        <v>6000</v>
      </c>
      <c r="AQ87" s="20">
        <f t="shared" si="409"/>
        <v>6000</v>
      </c>
      <c r="AR87" s="20">
        <f t="shared" si="409"/>
        <v>6000</v>
      </c>
      <c r="AS87" s="20">
        <f t="shared" si="409"/>
        <v>6000</v>
      </c>
      <c r="AT87" s="20">
        <f t="shared" si="409"/>
        <v>6000</v>
      </c>
      <c r="AU87" s="20">
        <f t="shared" si="409"/>
        <v>6000</v>
      </c>
      <c r="AV87" s="20">
        <f t="shared" si="409"/>
        <v>6000</v>
      </c>
      <c r="AW87" s="20">
        <f t="shared" si="409"/>
        <v>6000</v>
      </c>
      <c r="AX87" s="20">
        <f t="shared" si="409"/>
        <v>6000</v>
      </c>
      <c r="AY87" s="20">
        <f t="shared" si="409"/>
        <v>6000</v>
      </c>
      <c r="AZ87" s="20">
        <f t="shared" si="409"/>
        <v>6000</v>
      </c>
      <c r="BA87" s="20">
        <f t="shared" si="409"/>
        <v>6000</v>
      </c>
      <c r="BB87" s="20">
        <f t="shared" si="409"/>
        <v>6000</v>
      </c>
      <c r="BC87" s="20">
        <f t="shared" si="409"/>
        <v>6000</v>
      </c>
      <c r="BD87" s="20">
        <f t="shared" si="409"/>
        <v>6000</v>
      </c>
      <c r="BE87" s="20">
        <f t="shared" si="409"/>
        <v>6000</v>
      </c>
      <c r="BF87" s="20">
        <f t="shared" si="409"/>
        <v>6000</v>
      </c>
      <c r="BG87" s="20">
        <f t="shared" si="409"/>
        <v>6000</v>
      </c>
      <c r="BH87" s="20">
        <f t="shared" si="409"/>
        <v>6000</v>
      </c>
      <c r="BI87" s="20">
        <f t="shared" si="409"/>
        <v>6000</v>
      </c>
      <c r="BJ87" s="20">
        <f t="shared" si="409"/>
        <v>6000</v>
      </c>
      <c r="BK87" s="20">
        <f t="shared" si="409"/>
        <v>6000</v>
      </c>
      <c r="BL87" s="20">
        <f t="shared" si="409"/>
        <v>6000</v>
      </c>
      <c r="BM87" s="20">
        <f t="shared" si="409"/>
        <v>6000</v>
      </c>
      <c r="BN87" s="20">
        <f t="shared" si="409"/>
        <v>6000</v>
      </c>
      <c r="BO87" s="20">
        <f t="shared" si="409"/>
        <v>6000</v>
      </c>
      <c r="BP87" s="20">
        <f t="shared" si="409"/>
        <v>6000</v>
      </c>
      <c r="BQ87" s="20">
        <f t="shared" si="409"/>
        <v>6000</v>
      </c>
      <c r="BR87" s="20">
        <f t="shared" si="409"/>
        <v>6000</v>
      </c>
      <c r="BS87" s="20">
        <f t="shared" si="409"/>
        <v>6000</v>
      </c>
      <c r="BT87" s="20">
        <f t="shared" si="409"/>
        <v>6000</v>
      </c>
      <c r="BU87" s="20">
        <f t="shared" si="409"/>
        <v>6000</v>
      </c>
      <c r="BV87" s="20">
        <f t="shared" si="409"/>
        <v>6000</v>
      </c>
      <c r="BW87" s="20">
        <f t="shared" si="409"/>
        <v>6000</v>
      </c>
      <c r="BX87" s="20">
        <f t="shared" ref="BX87:CZ87" si="410">BX13</f>
        <v>6000</v>
      </c>
      <c r="BY87" s="20">
        <f t="shared" si="410"/>
        <v>6000</v>
      </c>
      <c r="BZ87" s="20">
        <f t="shared" si="410"/>
        <v>6000</v>
      </c>
      <c r="CA87" s="20">
        <f t="shared" si="410"/>
        <v>6000</v>
      </c>
      <c r="CB87" s="20">
        <f t="shared" si="410"/>
        <v>6000</v>
      </c>
      <c r="CC87" s="20">
        <f t="shared" si="410"/>
        <v>6000</v>
      </c>
      <c r="CD87" s="20">
        <f t="shared" si="410"/>
        <v>6000</v>
      </c>
      <c r="CE87" s="20">
        <f t="shared" si="410"/>
        <v>6000</v>
      </c>
      <c r="CF87" s="20">
        <f t="shared" si="410"/>
        <v>6000</v>
      </c>
      <c r="CG87" s="20">
        <f t="shared" si="410"/>
        <v>6000</v>
      </c>
      <c r="CH87" s="20">
        <f t="shared" si="410"/>
        <v>6000</v>
      </c>
      <c r="CI87" s="20">
        <f t="shared" si="410"/>
        <v>6000</v>
      </c>
      <c r="CJ87" s="20">
        <f t="shared" si="410"/>
        <v>6000</v>
      </c>
      <c r="CK87" s="20">
        <f t="shared" si="410"/>
        <v>6000</v>
      </c>
      <c r="CL87" s="20">
        <f t="shared" si="410"/>
        <v>6000</v>
      </c>
      <c r="CM87" s="20">
        <f t="shared" si="410"/>
        <v>6000</v>
      </c>
      <c r="CN87" s="20">
        <f t="shared" si="410"/>
        <v>6000</v>
      </c>
      <c r="CO87" s="20">
        <f t="shared" si="410"/>
        <v>6000</v>
      </c>
      <c r="CP87" s="20">
        <f t="shared" si="410"/>
        <v>6000</v>
      </c>
      <c r="CQ87" s="20">
        <f t="shared" si="410"/>
        <v>6000</v>
      </c>
      <c r="CR87" s="20">
        <f t="shared" si="410"/>
        <v>6000</v>
      </c>
      <c r="CS87" s="20">
        <f t="shared" si="410"/>
        <v>6000</v>
      </c>
      <c r="CT87" s="20">
        <f t="shared" si="410"/>
        <v>6000</v>
      </c>
      <c r="CU87" s="20">
        <f t="shared" si="410"/>
        <v>6000</v>
      </c>
      <c r="CV87" s="20">
        <f t="shared" si="410"/>
        <v>6000</v>
      </c>
      <c r="CW87" s="20">
        <f t="shared" si="410"/>
        <v>6000</v>
      </c>
      <c r="CX87" s="20">
        <f t="shared" si="410"/>
        <v>6000</v>
      </c>
      <c r="CY87" s="20">
        <f t="shared" si="410"/>
        <v>6000</v>
      </c>
      <c r="CZ87" s="20">
        <f t="shared" si="410"/>
        <v>6000</v>
      </c>
      <c r="DA87" s="20">
        <f t="shared" ref="DA87:DQ87" si="411">DA13</f>
        <v>6000</v>
      </c>
      <c r="DB87" s="20">
        <f t="shared" si="411"/>
        <v>6000</v>
      </c>
      <c r="DC87" s="20">
        <f t="shared" si="411"/>
        <v>6000</v>
      </c>
      <c r="DD87" s="20">
        <f t="shared" si="411"/>
        <v>6000</v>
      </c>
      <c r="DE87" s="20">
        <f t="shared" si="411"/>
        <v>6000</v>
      </c>
      <c r="DF87" s="20">
        <f t="shared" si="411"/>
        <v>6000</v>
      </c>
      <c r="DG87" s="20">
        <f t="shared" si="411"/>
        <v>6000</v>
      </c>
      <c r="DH87" s="20">
        <f t="shared" si="411"/>
        <v>6000</v>
      </c>
      <c r="DI87" s="20">
        <f t="shared" si="411"/>
        <v>6000</v>
      </c>
      <c r="DJ87" s="20">
        <f t="shared" si="411"/>
        <v>6000</v>
      </c>
      <c r="DK87" s="20">
        <f t="shared" si="411"/>
        <v>6000</v>
      </c>
      <c r="DL87" s="20">
        <f t="shared" si="411"/>
        <v>6000</v>
      </c>
      <c r="DM87" s="20">
        <f t="shared" si="411"/>
        <v>6000</v>
      </c>
      <c r="DN87" s="20">
        <f t="shared" si="411"/>
        <v>6000</v>
      </c>
      <c r="DO87" s="20">
        <f t="shared" si="411"/>
        <v>6000</v>
      </c>
      <c r="DP87" s="20">
        <f t="shared" si="411"/>
        <v>0</v>
      </c>
      <c r="DQ87" s="20">
        <f t="shared" si="411"/>
        <v>0</v>
      </c>
    </row>
    <row r="88" spans="4:121" x14ac:dyDescent="0.35">
      <c r="E88" s="20" t="s">
        <v>136</v>
      </c>
      <c r="F88" s="20" t="s">
        <v>129</v>
      </c>
      <c r="G88" s="25"/>
      <c r="H88" s="25"/>
      <c r="I88" s="54">
        <f>SUM(K88:DQ88)</f>
        <v>910330.19784541684</v>
      </c>
      <c r="K88" s="20">
        <f>K$87*K77</f>
        <v>0</v>
      </c>
      <c r="L88" s="20">
        <f t="shared" ref="L88:BW91" si="412">L$87*L77</f>
        <v>0</v>
      </c>
      <c r="M88" s="20">
        <f t="shared" si="412"/>
        <v>0</v>
      </c>
      <c r="N88" s="20">
        <f t="shared" si="412"/>
        <v>0</v>
      </c>
      <c r="O88" s="20">
        <f t="shared" si="412"/>
        <v>0</v>
      </c>
      <c r="P88" s="20">
        <f t="shared" si="412"/>
        <v>0</v>
      </c>
      <c r="Q88" s="20">
        <f t="shared" si="412"/>
        <v>0</v>
      </c>
      <c r="R88" s="20">
        <f t="shared" si="412"/>
        <v>0</v>
      </c>
      <c r="S88" s="20">
        <f t="shared" si="412"/>
        <v>0</v>
      </c>
      <c r="T88" s="20">
        <f t="shared" si="412"/>
        <v>7527.9681670356977</v>
      </c>
      <c r="U88" s="20">
        <f t="shared" si="412"/>
        <v>7556.0406298537073</v>
      </c>
      <c r="V88" s="20">
        <f t="shared" si="412"/>
        <v>7584.2177773822759</v>
      </c>
      <c r="W88" s="20">
        <f t="shared" si="412"/>
        <v>7612.4999999999991</v>
      </c>
      <c r="X88" s="20">
        <f t="shared" si="412"/>
        <v>7640.8876895412313</v>
      </c>
      <c r="Y88" s="20">
        <f t="shared" si="412"/>
        <v>7669.3812393015105</v>
      </c>
      <c r="Z88" s="20">
        <f t="shared" si="412"/>
        <v>7697.9810440430074</v>
      </c>
      <c r="AA88" s="20">
        <f t="shared" si="412"/>
        <v>7726.6874999999982</v>
      </c>
      <c r="AB88" s="20">
        <f t="shared" si="412"/>
        <v>7755.5010048843496</v>
      </c>
      <c r="AC88" s="20">
        <f t="shared" si="412"/>
        <v>7784.4219578910315</v>
      </c>
      <c r="AD88" s="20">
        <f t="shared" si="412"/>
        <v>7813.4507597036527</v>
      </c>
      <c r="AE88" s="20">
        <f t="shared" si="412"/>
        <v>7842.5878124999972</v>
      </c>
      <c r="AF88" s="20">
        <f t="shared" si="412"/>
        <v>7871.833519957614</v>
      </c>
      <c r="AG88" s="20">
        <f t="shared" si="412"/>
        <v>7901.1882872593987</v>
      </c>
      <c r="AH88" s="20">
        <f t="shared" si="412"/>
        <v>7930.6525210992058</v>
      </c>
      <c r="AI88" s="20">
        <f t="shared" si="412"/>
        <v>7960.2266296874968</v>
      </c>
      <c r="AJ88" s="20">
        <f t="shared" si="412"/>
        <v>7989.9110227569754</v>
      </c>
      <c r="AK88" s="20">
        <f t="shared" si="412"/>
        <v>8019.7061115682855</v>
      </c>
      <c r="AL88" s="20">
        <f t="shared" si="412"/>
        <v>8049.6123089156918</v>
      </c>
      <c r="AM88" s="20">
        <f t="shared" si="412"/>
        <v>8079.6300291328071</v>
      </c>
      <c r="AN88" s="20">
        <f t="shared" si="412"/>
        <v>8109.7596880983292</v>
      </c>
      <c r="AO88" s="20">
        <f t="shared" si="412"/>
        <v>8140.00170324181</v>
      </c>
      <c r="AP88" s="20">
        <f t="shared" si="412"/>
        <v>8170.3564935494278</v>
      </c>
      <c r="AQ88" s="20">
        <f t="shared" si="412"/>
        <v>8200.8244795697992</v>
      </c>
      <c r="AR88" s="20">
        <f t="shared" si="412"/>
        <v>8231.4060834198044</v>
      </c>
      <c r="AS88" s="20">
        <f t="shared" si="412"/>
        <v>8262.1017287904378</v>
      </c>
      <c r="AT88" s="20">
        <f t="shared" si="412"/>
        <v>8292.9118409526691</v>
      </c>
      <c r="AU88" s="20">
        <f t="shared" si="412"/>
        <v>8323.8368467633463</v>
      </c>
      <c r="AV88" s="20">
        <f t="shared" si="412"/>
        <v>8354.8771746711009</v>
      </c>
      <c r="AW88" s="20">
        <f t="shared" si="412"/>
        <v>8386.0332547222933</v>
      </c>
      <c r="AX88" s="20">
        <f t="shared" si="412"/>
        <v>8417.3055185669582</v>
      </c>
      <c r="AY88" s="20">
        <f t="shared" si="412"/>
        <v>8448.6943994647954</v>
      </c>
      <c r="AZ88" s="20">
        <f t="shared" si="412"/>
        <v>8480.200332291166</v>
      </c>
      <c r="BA88" s="20">
        <f t="shared" si="412"/>
        <v>8511.8237535431253</v>
      </c>
      <c r="BB88" s="20">
        <f t="shared" si="412"/>
        <v>8543.5651013454608</v>
      </c>
      <c r="BC88" s="20">
        <f t="shared" si="412"/>
        <v>8575.4248154567649</v>
      </c>
      <c r="BD88" s="20">
        <f t="shared" si="412"/>
        <v>8607.403337275533</v>
      </c>
      <c r="BE88" s="20">
        <f t="shared" si="412"/>
        <v>8639.5011098462728</v>
      </c>
      <c r="BF88" s="20">
        <f t="shared" si="412"/>
        <v>8671.7185778656421</v>
      </c>
      <c r="BG88" s="20">
        <f t="shared" si="412"/>
        <v>8704.0561876886168</v>
      </c>
      <c r="BH88" s="20">
        <f t="shared" si="412"/>
        <v>8736.5143873346678</v>
      </c>
      <c r="BI88" s="20">
        <f t="shared" si="412"/>
        <v>8769.0936264939683</v>
      </c>
      <c r="BJ88" s="20">
        <f t="shared" si="412"/>
        <v>8801.7943565336282</v>
      </c>
      <c r="BK88" s="20">
        <f t="shared" si="412"/>
        <v>8834.617030503945</v>
      </c>
      <c r="BL88" s="20">
        <f t="shared" si="412"/>
        <v>8867.5621031446863</v>
      </c>
      <c r="BM88" s="20">
        <f t="shared" si="412"/>
        <v>8900.630030891376</v>
      </c>
      <c r="BN88" s="20">
        <f t="shared" si="412"/>
        <v>8933.8212718816303</v>
      </c>
      <c r="BO88" s="20">
        <f t="shared" si="412"/>
        <v>8967.1362859615056</v>
      </c>
      <c r="BP88" s="20">
        <f t="shared" si="412"/>
        <v>9000.5755346918559</v>
      </c>
      <c r="BQ88" s="20">
        <f t="shared" si="412"/>
        <v>9034.1394813547449</v>
      </c>
      <c r="BR88" s="20">
        <f t="shared" si="412"/>
        <v>9067.8285909598526</v>
      </c>
      <c r="BS88" s="20">
        <f t="shared" si="412"/>
        <v>9101.6433302509249</v>
      </c>
      <c r="BT88" s="20">
        <f t="shared" si="412"/>
        <v>9135.5841677122316</v>
      </c>
      <c r="BU88" s="20">
        <f t="shared" si="412"/>
        <v>9169.6515735750636</v>
      </c>
      <c r="BV88" s="20">
        <f t="shared" si="412"/>
        <v>9203.8460198242483</v>
      </c>
      <c r="BW88" s="20">
        <f t="shared" si="412"/>
        <v>9238.1679802046874</v>
      </c>
      <c r="BX88" s="20">
        <f t="shared" ref="BX88:CZ91" si="413">BX$87*BX77</f>
        <v>9272.6179302279124</v>
      </c>
      <c r="BY88" s="20">
        <f t="shared" si="413"/>
        <v>9307.1963471786894</v>
      </c>
      <c r="BZ88" s="20">
        <f t="shared" si="413"/>
        <v>9341.9037101216109</v>
      </c>
      <c r="CA88" s="20">
        <f t="shared" si="413"/>
        <v>9376.7404999077553</v>
      </c>
      <c r="CB88" s="20">
        <f t="shared" si="413"/>
        <v>9411.70719918133</v>
      </c>
      <c r="CC88" s="20">
        <f t="shared" si="413"/>
        <v>9446.8042923863686</v>
      </c>
      <c r="CD88" s="20">
        <f t="shared" si="413"/>
        <v>9482.0322657734341</v>
      </c>
      <c r="CE88" s="20">
        <f t="shared" si="413"/>
        <v>9517.3916074063691</v>
      </c>
      <c r="CF88" s="20">
        <f t="shared" si="413"/>
        <v>9552.8828071690496</v>
      </c>
      <c r="CG88" s="20">
        <f t="shared" si="413"/>
        <v>9588.5063567721627</v>
      </c>
      <c r="CH88" s="20">
        <f t="shared" si="413"/>
        <v>9624.2627497600351</v>
      </c>
      <c r="CI88" s="20">
        <f t="shared" si="413"/>
        <v>9660.1524815174671</v>
      </c>
      <c r="CJ88" s="20">
        <f t="shared" si="413"/>
        <v>9696.1760492765843</v>
      </c>
      <c r="CK88" s="20">
        <f t="shared" si="413"/>
        <v>9732.3339521237431</v>
      </c>
      <c r="CL88" s="20">
        <f t="shared" si="413"/>
        <v>9768.6266910064369</v>
      </c>
      <c r="CM88" s="20">
        <f t="shared" si="413"/>
        <v>9805.0547687402268</v>
      </c>
      <c r="CN88" s="20">
        <f t="shared" si="413"/>
        <v>9841.6186900157336</v>
      </c>
      <c r="CO88" s="20">
        <f t="shared" si="413"/>
        <v>9878.3189614055991</v>
      </c>
      <c r="CP88" s="20">
        <f t="shared" si="413"/>
        <v>9915.1560913715293</v>
      </c>
      <c r="CQ88" s="20">
        <f t="shared" si="413"/>
        <v>9952.1305902713284</v>
      </c>
      <c r="CR88" s="20">
        <f t="shared" si="413"/>
        <v>9989.2429703659673</v>
      </c>
      <c r="CS88" s="20">
        <f t="shared" si="413"/>
        <v>10026.493745826681</v>
      </c>
      <c r="CT88" s="20">
        <f t="shared" si="413"/>
        <v>10063.883432742103</v>
      </c>
      <c r="CU88" s="20">
        <f t="shared" si="413"/>
        <v>10101.412549125398</v>
      </c>
      <c r="CV88" s="20">
        <f t="shared" si="413"/>
        <v>10139.081614921455</v>
      </c>
      <c r="CW88" s="20">
        <f t="shared" si="413"/>
        <v>10176.891152014081</v>
      </c>
      <c r="CX88" s="20">
        <f t="shared" si="413"/>
        <v>10214.841684233232</v>
      </c>
      <c r="CY88" s="20">
        <f t="shared" si="413"/>
        <v>10252.933737362278</v>
      </c>
      <c r="CZ88" s="20">
        <f t="shared" si="413"/>
        <v>10291.167839145275</v>
      </c>
      <c r="DA88" s="20">
        <f t="shared" ref="DA88:DQ88" si="414">DA$87*DA77</f>
        <v>10329.54451929429</v>
      </c>
      <c r="DB88" s="20">
        <f t="shared" si="414"/>
        <v>10368.064309496731</v>
      </c>
      <c r="DC88" s="20">
        <f t="shared" si="414"/>
        <v>10406.727743422711</v>
      </c>
      <c r="DD88" s="20">
        <f t="shared" si="414"/>
        <v>10445.535356732455</v>
      </c>
      <c r="DE88" s="20">
        <f t="shared" si="414"/>
        <v>10484.487687083707</v>
      </c>
      <c r="DF88" s="20">
        <f t="shared" si="414"/>
        <v>10523.585274139181</v>
      </c>
      <c r="DG88" s="20">
        <f t="shared" si="414"/>
        <v>10562.828659574052</v>
      </c>
      <c r="DH88" s="20">
        <f t="shared" si="414"/>
        <v>10602.21838708344</v>
      </c>
      <c r="DI88" s="20">
        <f t="shared" si="414"/>
        <v>10641.75500238996</v>
      </c>
      <c r="DJ88" s="20">
        <f t="shared" si="414"/>
        <v>10681.439053251268</v>
      </c>
      <c r="DK88" s="20">
        <f t="shared" si="414"/>
        <v>10721.271089467662</v>
      </c>
      <c r="DL88" s="20">
        <f t="shared" si="414"/>
        <v>10761.251662889692</v>
      </c>
      <c r="DM88" s="20">
        <f t="shared" si="414"/>
        <v>10801.38132742581</v>
      </c>
      <c r="DN88" s="20">
        <f t="shared" si="414"/>
        <v>10841.660639050036</v>
      </c>
      <c r="DO88" s="20">
        <f t="shared" si="414"/>
        <v>10882.090155809678</v>
      </c>
      <c r="DP88" s="20">
        <f t="shared" si="414"/>
        <v>0</v>
      </c>
      <c r="DQ88" s="20">
        <f t="shared" si="414"/>
        <v>0</v>
      </c>
    </row>
    <row r="89" spans="4:121" x14ac:dyDescent="0.35">
      <c r="E89" s="20" t="s">
        <v>137</v>
      </c>
      <c r="F89" s="20" t="s">
        <v>129</v>
      </c>
      <c r="G89" s="25"/>
      <c r="H89" s="25"/>
      <c r="I89" s="54">
        <f t="shared" ref="I89:I95" si="415">SUM(K89:DQ89)</f>
        <v>0</v>
      </c>
      <c r="K89" s="20">
        <f t="shared" ref="K89:Z91" si="416">K$87*K78</f>
        <v>0</v>
      </c>
      <c r="L89" s="20">
        <f t="shared" si="416"/>
        <v>0</v>
      </c>
      <c r="M89" s="20">
        <f t="shared" si="416"/>
        <v>0</v>
      </c>
      <c r="N89" s="20">
        <f t="shared" si="416"/>
        <v>0</v>
      </c>
      <c r="O89" s="20">
        <f t="shared" si="416"/>
        <v>0</v>
      </c>
      <c r="P89" s="20">
        <f t="shared" si="416"/>
        <v>0</v>
      </c>
      <c r="Q89" s="20">
        <f t="shared" si="416"/>
        <v>0</v>
      </c>
      <c r="R89" s="20">
        <f t="shared" si="416"/>
        <v>0</v>
      </c>
      <c r="S89" s="20">
        <f t="shared" si="416"/>
        <v>0</v>
      </c>
      <c r="T89" s="20">
        <f t="shared" si="416"/>
        <v>0</v>
      </c>
      <c r="U89" s="20">
        <f t="shared" si="416"/>
        <v>0</v>
      </c>
      <c r="V89" s="20">
        <f t="shared" si="416"/>
        <v>0</v>
      </c>
      <c r="W89" s="20">
        <f t="shared" si="416"/>
        <v>0</v>
      </c>
      <c r="X89" s="20">
        <f t="shared" si="416"/>
        <v>0</v>
      </c>
      <c r="Y89" s="20">
        <f t="shared" si="416"/>
        <v>0</v>
      </c>
      <c r="Z89" s="20">
        <f t="shared" si="416"/>
        <v>0</v>
      </c>
      <c r="AA89" s="20">
        <f t="shared" si="412"/>
        <v>0</v>
      </c>
      <c r="AB89" s="20">
        <f t="shared" si="412"/>
        <v>0</v>
      </c>
      <c r="AC89" s="20">
        <f t="shared" si="412"/>
        <v>0</v>
      </c>
      <c r="AD89" s="20">
        <f t="shared" si="412"/>
        <v>0</v>
      </c>
      <c r="AE89" s="20">
        <f t="shared" si="412"/>
        <v>0</v>
      </c>
      <c r="AF89" s="20">
        <f t="shared" si="412"/>
        <v>0</v>
      </c>
      <c r="AG89" s="20">
        <f t="shared" si="412"/>
        <v>0</v>
      </c>
      <c r="AH89" s="20">
        <f t="shared" si="412"/>
        <v>0</v>
      </c>
      <c r="AI89" s="20">
        <f t="shared" si="412"/>
        <v>0</v>
      </c>
      <c r="AJ89" s="20">
        <f t="shared" si="412"/>
        <v>0</v>
      </c>
      <c r="AK89" s="20">
        <f t="shared" si="412"/>
        <v>0</v>
      </c>
      <c r="AL89" s="20">
        <f t="shared" si="412"/>
        <v>0</v>
      </c>
      <c r="AM89" s="20">
        <f t="shared" si="412"/>
        <v>0</v>
      </c>
      <c r="AN89" s="20">
        <f t="shared" si="412"/>
        <v>0</v>
      </c>
      <c r="AO89" s="20">
        <f t="shared" si="412"/>
        <v>0</v>
      </c>
      <c r="AP89" s="20">
        <f t="shared" si="412"/>
        <v>0</v>
      </c>
      <c r="AQ89" s="20">
        <f t="shared" si="412"/>
        <v>0</v>
      </c>
      <c r="AR89" s="20">
        <f t="shared" si="412"/>
        <v>0</v>
      </c>
      <c r="AS89" s="20">
        <f t="shared" si="412"/>
        <v>0</v>
      </c>
      <c r="AT89" s="20">
        <f t="shared" si="412"/>
        <v>0</v>
      </c>
      <c r="AU89" s="20">
        <f t="shared" si="412"/>
        <v>0</v>
      </c>
      <c r="AV89" s="20">
        <f t="shared" si="412"/>
        <v>0</v>
      </c>
      <c r="AW89" s="20">
        <f t="shared" si="412"/>
        <v>0</v>
      </c>
      <c r="AX89" s="20">
        <f t="shared" si="412"/>
        <v>0</v>
      </c>
      <c r="AY89" s="20">
        <f t="shared" si="412"/>
        <v>0</v>
      </c>
      <c r="AZ89" s="20">
        <f t="shared" si="412"/>
        <v>0</v>
      </c>
      <c r="BA89" s="20">
        <f t="shared" si="412"/>
        <v>0</v>
      </c>
      <c r="BB89" s="20">
        <f t="shared" si="412"/>
        <v>0</v>
      </c>
      <c r="BC89" s="20">
        <f t="shared" si="412"/>
        <v>0</v>
      </c>
      <c r="BD89" s="20">
        <f t="shared" si="412"/>
        <v>0</v>
      </c>
      <c r="BE89" s="20">
        <f t="shared" si="412"/>
        <v>0</v>
      </c>
      <c r="BF89" s="20">
        <f t="shared" si="412"/>
        <v>0</v>
      </c>
      <c r="BG89" s="20">
        <f t="shared" si="412"/>
        <v>0</v>
      </c>
      <c r="BH89" s="20">
        <f t="shared" si="412"/>
        <v>0</v>
      </c>
      <c r="BI89" s="20">
        <f t="shared" si="412"/>
        <v>0</v>
      </c>
      <c r="BJ89" s="20">
        <f t="shared" si="412"/>
        <v>0</v>
      </c>
      <c r="BK89" s="20">
        <f t="shared" si="412"/>
        <v>0</v>
      </c>
      <c r="BL89" s="20">
        <f t="shared" si="412"/>
        <v>0</v>
      </c>
      <c r="BM89" s="20">
        <f t="shared" si="412"/>
        <v>0</v>
      </c>
      <c r="BN89" s="20">
        <f t="shared" si="412"/>
        <v>0</v>
      </c>
      <c r="BO89" s="20">
        <f t="shared" si="412"/>
        <v>0</v>
      </c>
      <c r="BP89" s="20">
        <f t="shared" si="412"/>
        <v>0</v>
      </c>
      <c r="BQ89" s="20">
        <f t="shared" si="412"/>
        <v>0</v>
      </c>
      <c r="BR89" s="20">
        <f t="shared" si="412"/>
        <v>0</v>
      </c>
      <c r="BS89" s="20">
        <f t="shared" si="412"/>
        <v>0</v>
      </c>
      <c r="BT89" s="20">
        <f t="shared" si="412"/>
        <v>0</v>
      </c>
      <c r="BU89" s="20">
        <f t="shared" si="412"/>
        <v>0</v>
      </c>
      <c r="BV89" s="20">
        <f t="shared" si="412"/>
        <v>0</v>
      </c>
      <c r="BW89" s="20">
        <f t="shared" si="412"/>
        <v>0</v>
      </c>
      <c r="BX89" s="20">
        <f t="shared" si="413"/>
        <v>0</v>
      </c>
      <c r="BY89" s="20">
        <f t="shared" si="413"/>
        <v>0</v>
      </c>
      <c r="BZ89" s="20">
        <f t="shared" si="413"/>
        <v>0</v>
      </c>
      <c r="CA89" s="20">
        <f t="shared" si="413"/>
        <v>0</v>
      </c>
      <c r="CB89" s="20">
        <f t="shared" si="413"/>
        <v>0</v>
      </c>
      <c r="CC89" s="20">
        <f t="shared" si="413"/>
        <v>0</v>
      </c>
      <c r="CD89" s="20">
        <f t="shared" si="413"/>
        <v>0</v>
      </c>
      <c r="CE89" s="20">
        <f t="shared" si="413"/>
        <v>0</v>
      </c>
      <c r="CF89" s="20">
        <f t="shared" si="413"/>
        <v>0</v>
      </c>
      <c r="CG89" s="20">
        <f t="shared" si="413"/>
        <v>0</v>
      </c>
      <c r="CH89" s="20">
        <f t="shared" si="413"/>
        <v>0</v>
      </c>
      <c r="CI89" s="20">
        <f t="shared" si="413"/>
        <v>0</v>
      </c>
      <c r="CJ89" s="20">
        <f t="shared" si="413"/>
        <v>0</v>
      </c>
      <c r="CK89" s="20">
        <f t="shared" si="413"/>
        <v>0</v>
      </c>
      <c r="CL89" s="20">
        <f t="shared" si="413"/>
        <v>0</v>
      </c>
      <c r="CM89" s="20">
        <f t="shared" si="413"/>
        <v>0</v>
      </c>
      <c r="CN89" s="20">
        <f t="shared" si="413"/>
        <v>0</v>
      </c>
      <c r="CO89" s="20">
        <f t="shared" si="413"/>
        <v>0</v>
      </c>
      <c r="CP89" s="20">
        <f t="shared" si="413"/>
        <v>0</v>
      </c>
      <c r="CQ89" s="20">
        <f t="shared" si="413"/>
        <v>0</v>
      </c>
      <c r="CR89" s="20">
        <f t="shared" si="413"/>
        <v>0</v>
      </c>
      <c r="CS89" s="20">
        <f t="shared" si="413"/>
        <v>0</v>
      </c>
      <c r="CT89" s="20">
        <f t="shared" si="413"/>
        <v>0</v>
      </c>
      <c r="CU89" s="20">
        <f t="shared" si="413"/>
        <v>0</v>
      </c>
      <c r="CV89" s="20">
        <f t="shared" si="413"/>
        <v>0</v>
      </c>
      <c r="CW89" s="20">
        <f t="shared" si="413"/>
        <v>0</v>
      </c>
      <c r="CX89" s="20">
        <f t="shared" si="413"/>
        <v>0</v>
      </c>
      <c r="CY89" s="20">
        <f t="shared" si="413"/>
        <v>0</v>
      </c>
      <c r="CZ89" s="20">
        <f t="shared" si="413"/>
        <v>0</v>
      </c>
      <c r="DA89" s="20">
        <f t="shared" ref="DA89:DQ89" si="417">DA$87*DA78</f>
        <v>0</v>
      </c>
      <c r="DB89" s="20">
        <f t="shared" si="417"/>
        <v>0</v>
      </c>
      <c r="DC89" s="20">
        <f t="shared" si="417"/>
        <v>0</v>
      </c>
      <c r="DD89" s="20">
        <f t="shared" si="417"/>
        <v>0</v>
      </c>
      <c r="DE89" s="20">
        <f t="shared" si="417"/>
        <v>0</v>
      </c>
      <c r="DF89" s="20">
        <f t="shared" si="417"/>
        <v>0</v>
      </c>
      <c r="DG89" s="20">
        <f t="shared" si="417"/>
        <v>0</v>
      </c>
      <c r="DH89" s="20">
        <f t="shared" si="417"/>
        <v>0</v>
      </c>
      <c r="DI89" s="20">
        <f t="shared" si="417"/>
        <v>0</v>
      </c>
      <c r="DJ89" s="20">
        <f t="shared" si="417"/>
        <v>0</v>
      </c>
      <c r="DK89" s="20">
        <f t="shared" si="417"/>
        <v>0</v>
      </c>
      <c r="DL89" s="20">
        <f t="shared" si="417"/>
        <v>0</v>
      </c>
      <c r="DM89" s="20">
        <f t="shared" si="417"/>
        <v>0</v>
      </c>
      <c r="DN89" s="20">
        <f t="shared" si="417"/>
        <v>0</v>
      </c>
      <c r="DO89" s="20">
        <f t="shared" si="417"/>
        <v>0</v>
      </c>
      <c r="DP89" s="20">
        <f t="shared" si="417"/>
        <v>0</v>
      </c>
      <c r="DQ89" s="20">
        <f t="shared" si="417"/>
        <v>0</v>
      </c>
    </row>
    <row r="90" spans="4:121" x14ac:dyDescent="0.35">
      <c r="E90" s="20" t="s">
        <v>138</v>
      </c>
      <c r="F90" s="20" t="s">
        <v>129</v>
      </c>
      <c r="G90" s="25"/>
      <c r="H90" s="25"/>
      <c r="I90" s="54">
        <f t="shared" si="415"/>
        <v>719335.63370834372</v>
      </c>
      <c r="K90" s="20">
        <f t="shared" si="416"/>
        <v>0</v>
      </c>
      <c r="L90" s="20">
        <f t="shared" si="416"/>
        <v>0</v>
      </c>
      <c r="M90" s="20">
        <f t="shared" si="416"/>
        <v>0</v>
      </c>
      <c r="N90" s="20">
        <f t="shared" si="416"/>
        <v>0</v>
      </c>
      <c r="O90" s="20">
        <f t="shared" si="416"/>
        <v>0</v>
      </c>
      <c r="P90" s="20">
        <f t="shared" si="416"/>
        <v>0</v>
      </c>
      <c r="Q90" s="20">
        <f t="shared" si="416"/>
        <v>0</v>
      </c>
      <c r="R90" s="20">
        <f t="shared" si="416"/>
        <v>0</v>
      </c>
      <c r="S90" s="20">
        <f t="shared" si="416"/>
        <v>0</v>
      </c>
      <c r="T90" s="20">
        <f t="shared" si="416"/>
        <v>6758.4217256720549</v>
      </c>
      <c r="U90" s="20">
        <f t="shared" si="416"/>
        <v>6766.8539588201529</v>
      </c>
      <c r="V90" s="20">
        <f t="shared" si="416"/>
        <v>6775.2967125540863</v>
      </c>
      <c r="W90" s="20">
        <f t="shared" si="416"/>
        <v>6783.7499999999973</v>
      </c>
      <c r="X90" s="20">
        <f t="shared" si="416"/>
        <v>6792.2138343004126</v>
      </c>
      <c r="Y90" s="20">
        <f t="shared" si="416"/>
        <v>6800.6882286142518</v>
      </c>
      <c r="Z90" s="20">
        <f t="shared" si="416"/>
        <v>6809.1731961168534</v>
      </c>
      <c r="AA90" s="20">
        <f t="shared" si="412"/>
        <v>6817.6687499999953</v>
      </c>
      <c r="AB90" s="20">
        <f t="shared" si="412"/>
        <v>6826.1749034719123</v>
      </c>
      <c r="AC90" s="20">
        <f t="shared" si="412"/>
        <v>6834.6916697573206</v>
      </c>
      <c r="AD90" s="20">
        <f t="shared" si="412"/>
        <v>6843.2190620974352</v>
      </c>
      <c r="AE90" s="20">
        <f t="shared" si="412"/>
        <v>6851.7570937499931</v>
      </c>
      <c r="AF90" s="20">
        <f t="shared" si="412"/>
        <v>6860.3057779892706</v>
      </c>
      <c r="AG90" s="20">
        <f t="shared" si="412"/>
        <v>6868.8651281061057</v>
      </c>
      <c r="AH90" s="20">
        <f t="shared" si="412"/>
        <v>6877.4351574079201</v>
      </c>
      <c r="AI90" s="20">
        <f t="shared" si="412"/>
        <v>6886.0158792187412</v>
      </c>
      <c r="AJ90" s="20">
        <f t="shared" si="412"/>
        <v>6894.6073068792139</v>
      </c>
      <c r="AK90" s="20">
        <f t="shared" si="412"/>
        <v>6903.2094537466328</v>
      </c>
      <c r="AL90" s="20">
        <f t="shared" si="412"/>
        <v>6911.8223331949584</v>
      </c>
      <c r="AM90" s="20">
        <f t="shared" si="412"/>
        <v>6920.4459586148323</v>
      </c>
      <c r="AN90" s="20">
        <f t="shared" si="412"/>
        <v>6929.0803434136078</v>
      </c>
      <c r="AO90" s="20">
        <f t="shared" si="412"/>
        <v>6937.7255010153649</v>
      </c>
      <c r="AP90" s="20">
        <f t="shared" si="412"/>
        <v>6946.3814448609301</v>
      </c>
      <c r="AQ90" s="20">
        <f t="shared" si="412"/>
        <v>6955.0481884079054</v>
      </c>
      <c r="AR90" s="20">
        <f t="shared" si="412"/>
        <v>6963.725745130675</v>
      </c>
      <c r="AS90" s="20">
        <f t="shared" si="412"/>
        <v>6972.4141285204414</v>
      </c>
      <c r="AT90" s="20">
        <f t="shared" si="412"/>
        <v>6981.1133520852336</v>
      </c>
      <c r="AU90" s="20">
        <f t="shared" si="412"/>
        <v>6989.8234293499418</v>
      </c>
      <c r="AV90" s="20">
        <f t="shared" si="412"/>
        <v>6998.5443738563263</v>
      </c>
      <c r="AW90" s="20">
        <f t="shared" si="412"/>
        <v>7007.2761991630405</v>
      </c>
      <c r="AX90" s="20">
        <f t="shared" si="412"/>
        <v>7016.0189188456579</v>
      </c>
      <c r="AY90" s="20">
        <f t="shared" si="412"/>
        <v>7024.7725464966898</v>
      </c>
      <c r="AZ90" s="20">
        <f t="shared" si="412"/>
        <v>7033.5370957256064</v>
      </c>
      <c r="BA90" s="20">
        <f t="shared" si="412"/>
        <v>7042.312580158854</v>
      </c>
      <c r="BB90" s="20">
        <f t="shared" si="412"/>
        <v>7051.0990134398844</v>
      </c>
      <c r="BC90" s="20">
        <f t="shared" si="412"/>
        <v>7059.8964092291708</v>
      </c>
      <c r="BD90" s="20">
        <f t="shared" si="412"/>
        <v>7068.704781204231</v>
      </c>
      <c r="BE90" s="20">
        <f t="shared" si="412"/>
        <v>7077.5241430596452</v>
      </c>
      <c r="BF90" s="20">
        <f t="shared" si="412"/>
        <v>7086.3545085070818</v>
      </c>
      <c r="BG90" s="20">
        <f t="shared" si="412"/>
        <v>7095.1958912753144</v>
      </c>
      <c r="BH90" s="20">
        <f t="shared" si="412"/>
        <v>7104.0483051102501</v>
      </c>
      <c r="BI90" s="20">
        <f t="shared" si="412"/>
        <v>7112.9117637749414</v>
      </c>
      <c r="BJ90" s="20">
        <f t="shared" si="412"/>
        <v>7121.7862810496135</v>
      </c>
      <c r="BK90" s="20">
        <f t="shared" si="412"/>
        <v>7130.6718707316895</v>
      </c>
      <c r="BL90" s="20">
        <f t="shared" si="412"/>
        <v>7139.5685466358</v>
      </c>
      <c r="BM90" s="20">
        <f t="shared" si="412"/>
        <v>7148.4763225938141</v>
      </c>
      <c r="BN90" s="20">
        <f t="shared" si="412"/>
        <v>7157.3952124548614</v>
      </c>
      <c r="BO90" s="20">
        <f t="shared" si="412"/>
        <v>7166.3252300853464</v>
      </c>
      <c r="BP90" s="20">
        <f t="shared" si="412"/>
        <v>7175.2663893689769</v>
      </c>
      <c r="BQ90" s="20">
        <f t="shared" si="412"/>
        <v>7184.2187042067808</v>
      </c>
      <c r="BR90" s="20">
        <f t="shared" si="412"/>
        <v>7193.182188517133</v>
      </c>
      <c r="BS90" s="20">
        <f t="shared" si="412"/>
        <v>7202.1568562357706</v>
      </c>
      <c r="BT90" s="20">
        <f t="shared" si="412"/>
        <v>7211.1427213158177</v>
      </c>
      <c r="BU90" s="20">
        <f t="shared" si="412"/>
        <v>7220.1397977278111</v>
      </c>
      <c r="BV90" s="20">
        <f t="shared" si="412"/>
        <v>7229.1480994597159</v>
      </c>
      <c r="BW90" s="20">
        <f t="shared" si="412"/>
        <v>7238.1676405169464</v>
      </c>
      <c r="BX90" s="20">
        <f t="shared" si="413"/>
        <v>7247.1984349223949</v>
      </c>
      <c r="BY90" s="20">
        <f t="shared" si="413"/>
        <v>7256.2404967164484</v>
      </c>
      <c r="BZ90" s="20">
        <f t="shared" si="413"/>
        <v>7265.2938399570121</v>
      </c>
      <c r="CA90" s="20">
        <f t="shared" si="413"/>
        <v>7274.3584787195296</v>
      </c>
      <c r="CB90" s="20">
        <f t="shared" si="413"/>
        <v>7283.434427097005</v>
      </c>
      <c r="CC90" s="20">
        <f t="shared" si="413"/>
        <v>7292.5216992000287</v>
      </c>
      <c r="CD90" s="20">
        <f t="shared" si="413"/>
        <v>7301.6203091567941</v>
      </c>
      <c r="CE90" s="20">
        <f t="shared" si="413"/>
        <v>7310.7302711131233</v>
      </c>
      <c r="CF90" s="20">
        <f t="shared" si="413"/>
        <v>7319.8515992324865</v>
      </c>
      <c r="CG90" s="20">
        <f t="shared" si="413"/>
        <v>7328.9843076960251</v>
      </c>
      <c r="CH90" s="20">
        <f t="shared" si="413"/>
        <v>7338.1284107025767</v>
      </c>
      <c r="CI90" s="20">
        <f t="shared" si="413"/>
        <v>7347.2839224686868</v>
      </c>
      <c r="CJ90" s="20">
        <f t="shared" si="413"/>
        <v>7356.4508572286486</v>
      </c>
      <c r="CK90" s="20">
        <f t="shared" si="413"/>
        <v>7365.6292292345051</v>
      </c>
      <c r="CL90" s="20">
        <f t="shared" si="413"/>
        <v>7374.8190527560864</v>
      </c>
      <c r="CM90" s="20">
        <f t="shared" si="413"/>
        <v>7384.0203420810285</v>
      </c>
      <c r="CN90" s="20">
        <f t="shared" si="413"/>
        <v>7393.2331115147899</v>
      </c>
      <c r="CO90" s="20">
        <f t="shared" si="413"/>
        <v>7402.4573753806744</v>
      </c>
      <c r="CP90" s="20">
        <f t="shared" si="413"/>
        <v>7411.6931480198646</v>
      </c>
      <c r="CQ90" s="20">
        <f t="shared" si="413"/>
        <v>7420.9404437914318</v>
      </c>
      <c r="CR90" s="20">
        <f t="shared" si="413"/>
        <v>7430.1992770723609</v>
      </c>
      <c r="CS90" s="20">
        <f t="shared" si="413"/>
        <v>7439.4696622575757</v>
      </c>
      <c r="CT90" s="20">
        <f t="shared" si="413"/>
        <v>7448.7516137599632</v>
      </c>
      <c r="CU90" s="20">
        <f t="shared" si="413"/>
        <v>7458.0451460103868</v>
      </c>
      <c r="CV90" s="20">
        <f t="shared" si="413"/>
        <v>7467.3502734577196</v>
      </c>
      <c r="CW90" s="20">
        <f t="shared" si="413"/>
        <v>7476.6670105688618</v>
      </c>
      <c r="CX90" s="20">
        <f t="shared" si="413"/>
        <v>7485.9953718287597</v>
      </c>
      <c r="CY90" s="20">
        <f t="shared" si="413"/>
        <v>7495.3353717404361</v>
      </c>
      <c r="CZ90" s="20">
        <f t="shared" si="413"/>
        <v>7504.687024825007</v>
      </c>
      <c r="DA90" s="20">
        <f t="shared" ref="DA90:DQ90" si="418">DA$87*DA79</f>
        <v>7514.0503456217029</v>
      </c>
      <c r="DB90" s="20">
        <f t="shared" si="418"/>
        <v>7523.4253486879024</v>
      </c>
      <c r="DC90" s="20">
        <f t="shared" si="418"/>
        <v>7532.8120485991358</v>
      </c>
      <c r="DD90" s="20">
        <f t="shared" si="418"/>
        <v>7542.2104599491286</v>
      </c>
      <c r="DE90" s="20">
        <f t="shared" si="418"/>
        <v>7551.620597349809</v>
      </c>
      <c r="DF90" s="20">
        <f t="shared" si="418"/>
        <v>7561.0424754313372</v>
      </c>
      <c r="DG90" s="20">
        <f t="shared" si="418"/>
        <v>7570.4761088421292</v>
      </c>
      <c r="DH90" s="20">
        <f t="shared" si="418"/>
        <v>7579.9215122488713</v>
      </c>
      <c r="DI90" s="20">
        <f t="shared" si="418"/>
        <v>7589.378700336556</v>
      </c>
      <c r="DJ90" s="20">
        <f t="shared" si="418"/>
        <v>7598.8476878084939</v>
      </c>
      <c r="DK90" s="20">
        <f t="shared" si="418"/>
        <v>7608.3284893863374</v>
      </c>
      <c r="DL90" s="20">
        <f t="shared" si="418"/>
        <v>7617.8211198101144</v>
      </c>
      <c r="DM90" s="20">
        <f t="shared" si="418"/>
        <v>7627.3255938382363</v>
      </c>
      <c r="DN90" s="20">
        <f t="shared" si="418"/>
        <v>7636.8419262475318</v>
      </c>
      <c r="DO90" s="20">
        <f t="shared" si="418"/>
        <v>7646.3701318332669</v>
      </c>
      <c r="DP90" s="20">
        <f t="shared" si="418"/>
        <v>0</v>
      </c>
      <c r="DQ90" s="20">
        <f t="shared" si="418"/>
        <v>0</v>
      </c>
    </row>
    <row r="91" spans="4:121" x14ac:dyDescent="0.35">
      <c r="E91" s="20" t="s">
        <v>9</v>
      </c>
      <c r="F91" s="20" t="s">
        <v>129</v>
      </c>
      <c r="G91" s="25"/>
      <c r="H91" s="25"/>
      <c r="I91" s="54">
        <f t="shared" si="415"/>
        <v>419999.99999999994</v>
      </c>
      <c r="K91" s="20">
        <f t="shared" si="416"/>
        <v>0</v>
      </c>
      <c r="L91" s="20">
        <f t="shared" si="416"/>
        <v>0</v>
      </c>
      <c r="M91" s="20">
        <f t="shared" si="416"/>
        <v>0</v>
      </c>
      <c r="N91" s="20">
        <f t="shared" si="416"/>
        <v>0</v>
      </c>
      <c r="O91" s="20">
        <f t="shared" si="416"/>
        <v>0</v>
      </c>
      <c r="P91" s="20">
        <f t="shared" si="416"/>
        <v>0</v>
      </c>
      <c r="Q91" s="20">
        <f t="shared" si="416"/>
        <v>0</v>
      </c>
      <c r="R91" s="20">
        <f t="shared" si="416"/>
        <v>0</v>
      </c>
      <c r="S91" s="20">
        <f t="shared" si="416"/>
        <v>0</v>
      </c>
      <c r="T91" s="20">
        <f t="shared" si="416"/>
        <v>4199.9999999999991</v>
      </c>
      <c r="U91" s="20">
        <f t="shared" si="416"/>
        <v>4199.9999999999991</v>
      </c>
      <c r="V91" s="20">
        <f t="shared" si="416"/>
        <v>4199.9999999999991</v>
      </c>
      <c r="W91" s="20">
        <f t="shared" si="416"/>
        <v>4199.9999999999991</v>
      </c>
      <c r="X91" s="20">
        <f t="shared" si="416"/>
        <v>4199.9999999999991</v>
      </c>
      <c r="Y91" s="20">
        <f t="shared" si="416"/>
        <v>4199.9999999999991</v>
      </c>
      <c r="Z91" s="20">
        <f t="shared" si="416"/>
        <v>4199.9999999999991</v>
      </c>
      <c r="AA91" s="20">
        <f t="shared" si="412"/>
        <v>4199.9999999999991</v>
      </c>
      <c r="AB91" s="20">
        <f t="shared" si="412"/>
        <v>4199.9999999999991</v>
      </c>
      <c r="AC91" s="20">
        <f t="shared" si="412"/>
        <v>4199.9999999999991</v>
      </c>
      <c r="AD91" s="20">
        <f t="shared" si="412"/>
        <v>4199.9999999999991</v>
      </c>
      <c r="AE91" s="20">
        <f t="shared" si="412"/>
        <v>4199.9999999999991</v>
      </c>
      <c r="AF91" s="20">
        <f t="shared" si="412"/>
        <v>4199.9999999999991</v>
      </c>
      <c r="AG91" s="20">
        <f t="shared" si="412"/>
        <v>4199.9999999999991</v>
      </c>
      <c r="AH91" s="20">
        <f t="shared" si="412"/>
        <v>4199.9999999999991</v>
      </c>
      <c r="AI91" s="20">
        <f t="shared" si="412"/>
        <v>4199.9999999999991</v>
      </c>
      <c r="AJ91" s="20">
        <f t="shared" si="412"/>
        <v>4199.9999999999991</v>
      </c>
      <c r="AK91" s="20">
        <f t="shared" si="412"/>
        <v>4199.9999999999991</v>
      </c>
      <c r="AL91" s="20">
        <f t="shared" si="412"/>
        <v>4199.9999999999991</v>
      </c>
      <c r="AM91" s="20">
        <f t="shared" si="412"/>
        <v>4199.9999999999991</v>
      </c>
      <c r="AN91" s="20">
        <f t="shared" si="412"/>
        <v>4199.9999999999991</v>
      </c>
      <c r="AO91" s="20">
        <f t="shared" si="412"/>
        <v>4199.9999999999991</v>
      </c>
      <c r="AP91" s="20">
        <f t="shared" si="412"/>
        <v>4199.9999999999991</v>
      </c>
      <c r="AQ91" s="20">
        <f t="shared" si="412"/>
        <v>4199.9999999999991</v>
      </c>
      <c r="AR91" s="20">
        <f t="shared" si="412"/>
        <v>4199.9999999999991</v>
      </c>
      <c r="AS91" s="20">
        <f t="shared" si="412"/>
        <v>4199.9999999999991</v>
      </c>
      <c r="AT91" s="20">
        <f t="shared" si="412"/>
        <v>4199.9999999999991</v>
      </c>
      <c r="AU91" s="20">
        <f t="shared" si="412"/>
        <v>4199.9999999999991</v>
      </c>
      <c r="AV91" s="20">
        <f t="shared" si="412"/>
        <v>4199.9999999999991</v>
      </c>
      <c r="AW91" s="20">
        <f t="shared" si="412"/>
        <v>4199.9999999999991</v>
      </c>
      <c r="AX91" s="20">
        <f t="shared" si="412"/>
        <v>4199.9999999999991</v>
      </c>
      <c r="AY91" s="20">
        <f t="shared" si="412"/>
        <v>4199.9999999999991</v>
      </c>
      <c r="AZ91" s="20">
        <f t="shared" si="412"/>
        <v>4199.9999999999991</v>
      </c>
      <c r="BA91" s="20">
        <f t="shared" si="412"/>
        <v>4199.9999999999991</v>
      </c>
      <c r="BB91" s="20">
        <f t="shared" si="412"/>
        <v>4199.9999999999991</v>
      </c>
      <c r="BC91" s="20">
        <f t="shared" si="412"/>
        <v>4199.9999999999991</v>
      </c>
      <c r="BD91" s="20">
        <f t="shared" si="412"/>
        <v>4199.9999999999991</v>
      </c>
      <c r="BE91" s="20">
        <f t="shared" si="412"/>
        <v>4199.9999999999991</v>
      </c>
      <c r="BF91" s="20">
        <f t="shared" si="412"/>
        <v>4199.9999999999991</v>
      </c>
      <c r="BG91" s="20">
        <f t="shared" si="412"/>
        <v>4199.9999999999991</v>
      </c>
      <c r="BH91" s="20">
        <f t="shared" si="412"/>
        <v>4199.9999999999991</v>
      </c>
      <c r="BI91" s="20">
        <f t="shared" si="412"/>
        <v>4199.9999999999991</v>
      </c>
      <c r="BJ91" s="20">
        <f t="shared" si="412"/>
        <v>4199.9999999999991</v>
      </c>
      <c r="BK91" s="20">
        <f t="shared" si="412"/>
        <v>4199.9999999999991</v>
      </c>
      <c r="BL91" s="20">
        <f t="shared" si="412"/>
        <v>4199.9999999999991</v>
      </c>
      <c r="BM91" s="20">
        <f t="shared" si="412"/>
        <v>4199.9999999999991</v>
      </c>
      <c r="BN91" s="20">
        <f t="shared" si="412"/>
        <v>4199.9999999999991</v>
      </c>
      <c r="BO91" s="20">
        <f t="shared" si="412"/>
        <v>4199.9999999999991</v>
      </c>
      <c r="BP91" s="20">
        <f t="shared" si="412"/>
        <v>4199.9999999999991</v>
      </c>
      <c r="BQ91" s="20">
        <f t="shared" si="412"/>
        <v>4199.9999999999991</v>
      </c>
      <c r="BR91" s="20">
        <f t="shared" si="412"/>
        <v>4199.9999999999991</v>
      </c>
      <c r="BS91" s="20">
        <f t="shared" si="412"/>
        <v>4199.9999999999991</v>
      </c>
      <c r="BT91" s="20">
        <f t="shared" si="412"/>
        <v>4199.9999999999991</v>
      </c>
      <c r="BU91" s="20">
        <f t="shared" si="412"/>
        <v>4199.9999999999991</v>
      </c>
      <c r="BV91" s="20">
        <f t="shared" si="412"/>
        <v>4199.9999999999991</v>
      </c>
      <c r="BW91" s="20">
        <f t="shared" si="412"/>
        <v>4199.9999999999991</v>
      </c>
      <c r="BX91" s="20">
        <f t="shared" si="413"/>
        <v>4199.9999999999991</v>
      </c>
      <c r="BY91" s="20">
        <f t="shared" si="413"/>
        <v>4199.9999999999991</v>
      </c>
      <c r="BZ91" s="20">
        <f t="shared" si="413"/>
        <v>4199.9999999999991</v>
      </c>
      <c r="CA91" s="20">
        <f t="shared" si="413"/>
        <v>4199.9999999999991</v>
      </c>
      <c r="CB91" s="20">
        <f t="shared" si="413"/>
        <v>4199.9999999999991</v>
      </c>
      <c r="CC91" s="20">
        <f t="shared" si="413"/>
        <v>4199.9999999999991</v>
      </c>
      <c r="CD91" s="20">
        <f t="shared" si="413"/>
        <v>4199.9999999999991</v>
      </c>
      <c r="CE91" s="20">
        <f t="shared" si="413"/>
        <v>4199.9999999999991</v>
      </c>
      <c r="CF91" s="20">
        <f t="shared" si="413"/>
        <v>4199.9999999999991</v>
      </c>
      <c r="CG91" s="20">
        <f t="shared" si="413"/>
        <v>4199.9999999999991</v>
      </c>
      <c r="CH91" s="20">
        <f t="shared" si="413"/>
        <v>4199.9999999999991</v>
      </c>
      <c r="CI91" s="20">
        <f t="shared" si="413"/>
        <v>4199.9999999999991</v>
      </c>
      <c r="CJ91" s="20">
        <f t="shared" si="413"/>
        <v>4199.9999999999991</v>
      </c>
      <c r="CK91" s="20">
        <f t="shared" si="413"/>
        <v>4199.9999999999991</v>
      </c>
      <c r="CL91" s="20">
        <f t="shared" si="413"/>
        <v>4199.9999999999991</v>
      </c>
      <c r="CM91" s="20">
        <f t="shared" si="413"/>
        <v>4199.9999999999991</v>
      </c>
      <c r="CN91" s="20">
        <f t="shared" si="413"/>
        <v>4199.9999999999991</v>
      </c>
      <c r="CO91" s="20">
        <f t="shared" si="413"/>
        <v>4199.9999999999991</v>
      </c>
      <c r="CP91" s="20">
        <f t="shared" si="413"/>
        <v>4199.9999999999991</v>
      </c>
      <c r="CQ91" s="20">
        <f t="shared" si="413"/>
        <v>4199.9999999999991</v>
      </c>
      <c r="CR91" s="20">
        <f t="shared" si="413"/>
        <v>4199.9999999999991</v>
      </c>
      <c r="CS91" s="20">
        <f t="shared" si="413"/>
        <v>4199.9999999999991</v>
      </c>
      <c r="CT91" s="20">
        <f t="shared" si="413"/>
        <v>4199.9999999999991</v>
      </c>
      <c r="CU91" s="20">
        <f t="shared" si="413"/>
        <v>4199.9999999999991</v>
      </c>
      <c r="CV91" s="20">
        <f t="shared" si="413"/>
        <v>4199.9999999999991</v>
      </c>
      <c r="CW91" s="20">
        <f t="shared" si="413"/>
        <v>4199.9999999999991</v>
      </c>
      <c r="CX91" s="20">
        <f t="shared" si="413"/>
        <v>4199.9999999999991</v>
      </c>
      <c r="CY91" s="20">
        <f t="shared" si="413"/>
        <v>4199.9999999999991</v>
      </c>
      <c r="CZ91" s="20">
        <f t="shared" si="413"/>
        <v>4199.9999999999991</v>
      </c>
      <c r="DA91" s="20">
        <f t="shared" ref="DA91:DQ91" si="419">DA$87*DA80</f>
        <v>4199.9999999999991</v>
      </c>
      <c r="DB91" s="20">
        <f t="shared" si="419"/>
        <v>4199.9999999999991</v>
      </c>
      <c r="DC91" s="20">
        <f t="shared" si="419"/>
        <v>4199.9999999999991</v>
      </c>
      <c r="DD91" s="20">
        <f t="shared" si="419"/>
        <v>4199.9999999999991</v>
      </c>
      <c r="DE91" s="20">
        <f t="shared" si="419"/>
        <v>4199.9999999999991</v>
      </c>
      <c r="DF91" s="20">
        <f t="shared" si="419"/>
        <v>4199.9999999999991</v>
      </c>
      <c r="DG91" s="20">
        <f t="shared" si="419"/>
        <v>4199.9999999999991</v>
      </c>
      <c r="DH91" s="20">
        <f t="shared" si="419"/>
        <v>4199.9999999999991</v>
      </c>
      <c r="DI91" s="20">
        <f t="shared" si="419"/>
        <v>4199.9999999999991</v>
      </c>
      <c r="DJ91" s="20">
        <f t="shared" si="419"/>
        <v>4199.9999999999991</v>
      </c>
      <c r="DK91" s="20">
        <f t="shared" si="419"/>
        <v>4199.9999999999991</v>
      </c>
      <c r="DL91" s="20">
        <f t="shared" si="419"/>
        <v>4199.9999999999991</v>
      </c>
      <c r="DM91" s="20">
        <f t="shared" si="419"/>
        <v>4199.9999999999991</v>
      </c>
      <c r="DN91" s="20">
        <f t="shared" si="419"/>
        <v>4199.9999999999991</v>
      </c>
      <c r="DO91" s="20">
        <f t="shared" si="419"/>
        <v>4199.9999999999991</v>
      </c>
      <c r="DP91" s="20">
        <f t="shared" si="419"/>
        <v>0</v>
      </c>
      <c r="DQ91" s="20">
        <f t="shared" si="419"/>
        <v>0</v>
      </c>
    </row>
    <row r="92" spans="4:121" x14ac:dyDescent="0.35">
      <c r="E92" s="20" t="s">
        <v>140</v>
      </c>
      <c r="F92" s="20" t="s">
        <v>129</v>
      </c>
      <c r="G92" s="25"/>
      <c r="H92" s="25"/>
      <c r="I92" s="54">
        <f t="shared" si="415"/>
        <v>750000</v>
      </c>
      <c r="K92" s="20">
        <f>K81*K10</f>
        <v>0</v>
      </c>
      <c r="L92" s="20">
        <f t="shared" ref="L92:BW92" si="420">L81*L10</f>
        <v>0</v>
      </c>
      <c r="M92" s="20">
        <f t="shared" si="420"/>
        <v>0</v>
      </c>
      <c r="N92" s="20">
        <f t="shared" si="420"/>
        <v>0</v>
      </c>
      <c r="O92" s="20">
        <f t="shared" si="420"/>
        <v>0</v>
      </c>
      <c r="P92" s="20">
        <f t="shared" si="420"/>
        <v>0</v>
      </c>
      <c r="Q92" s="20">
        <f t="shared" si="420"/>
        <v>0</v>
      </c>
      <c r="R92" s="20">
        <f t="shared" si="420"/>
        <v>0</v>
      </c>
      <c r="S92" s="20">
        <f t="shared" si="420"/>
        <v>0</v>
      </c>
      <c r="T92" s="20">
        <f t="shared" si="420"/>
        <v>7500</v>
      </c>
      <c r="U92" s="20">
        <f t="shared" si="420"/>
        <v>7500</v>
      </c>
      <c r="V92" s="20">
        <f t="shared" si="420"/>
        <v>7500</v>
      </c>
      <c r="W92" s="20">
        <f t="shared" si="420"/>
        <v>7500</v>
      </c>
      <c r="X92" s="20">
        <f t="shared" si="420"/>
        <v>7500</v>
      </c>
      <c r="Y92" s="20">
        <f t="shared" si="420"/>
        <v>7500</v>
      </c>
      <c r="Z92" s="20">
        <f t="shared" si="420"/>
        <v>7500</v>
      </c>
      <c r="AA92" s="20">
        <f t="shared" si="420"/>
        <v>7500</v>
      </c>
      <c r="AB92" s="20">
        <f t="shared" si="420"/>
        <v>7500</v>
      </c>
      <c r="AC92" s="20">
        <f t="shared" si="420"/>
        <v>7500</v>
      </c>
      <c r="AD92" s="20">
        <f t="shared" si="420"/>
        <v>7500</v>
      </c>
      <c r="AE92" s="20">
        <f t="shared" si="420"/>
        <v>7500</v>
      </c>
      <c r="AF92" s="20">
        <f t="shared" si="420"/>
        <v>7500</v>
      </c>
      <c r="AG92" s="20">
        <f t="shared" si="420"/>
        <v>7500</v>
      </c>
      <c r="AH92" s="20">
        <f t="shared" si="420"/>
        <v>7500</v>
      </c>
      <c r="AI92" s="20">
        <f t="shared" si="420"/>
        <v>7500</v>
      </c>
      <c r="AJ92" s="20">
        <f t="shared" si="420"/>
        <v>7500</v>
      </c>
      <c r="AK92" s="20">
        <f t="shared" si="420"/>
        <v>7500</v>
      </c>
      <c r="AL92" s="20">
        <f t="shared" si="420"/>
        <v>7500</v>
      </c>
      <c r="AM92" s="20">
        <f t="shared" si="420"/>
        <v>7500</v>
      </c>
      <c r="AN92" s="20">
        <f t="shared" si="420"/>
        <v>7500</v>
      </c>
      <c r="AO92" s="20">
        <f t="shared" si="420"/>
        <v>7500</v>
      </c>
      <c r="AP92" s="20">
        <f t="shared" si="420"/>
        <v>7500</v>
      </c>
      <c r="AQ92" s="20">
        <f t="shared" si="420"/>
        <v>7500</v>
      </c>
      <c r="AR92" s="20">
        <f t="shared" si="420"/>
        <v>7500</v>
      </c>
      <c r="AS92" s="20">
        <f t="shared" si="420"/>
        <v>7500</v>
      </c>
      <c r="AT92" s="20">
        <f t="shared" si="420"/>
        <v>7500</v>
      </c>
      <c r="AU92" s="20">
        <f t="shared" si="420"/>
        <v>7500</v>
      </c>
      <c r="AV92" s="20">
        <f t="shared" si="420"/>
        <v>7500</v>
      </c>
      <c r="AW92" s="20">
        <f t="shared" si="420"/>
        <v>7500</v>
      </c>
      <c r="AX92" s="20">
        <f t="shared" si="420"/>
        <v>7500</v>
      </c>
      <c r="AY92" s="20">
        <f t="shared" si="420"/>
        <v>7500</v>
      </c>
      <c r="AZ92" s="20">
        <f t="shared" si="420"/>
        <v>7500</v>
      </c>
      <c r="BA92" s="20">
        <f t="shared" si="420"/>
        <v>7500</v>
      </c>
      <c r="BB92" s="20">
        <f t="shared" si="420"/>
        <v>7500</v>
      </c>
      <c r="BC92" s="20">
        <f t="shared" si="420"/>
        <v>7500</v>
      </c>
      <c r="BD92" s="20">
        <f t="shared" si="420"/>
        <v>7500</v>
      </c>
      <c r="BE92" s="20">
        <f t="shared" si="420"/>
        <v>7500</v>
      </c>
      <c r="BF92" s="20">
        <f t="shared" si="420"/>
        <v>7500</v>
      </c>
      <c r="BG92" s="20">
        <f t="shared" si="420"/>
        <v>7500</v>
      </c>
      <c r="BH92" s="20">
        <f t="shared" si="420"/>
        <v>7500</v>
      </c>
      <c r="BI92" s="20">
        <f t="shared" si="420"/>
        <v>7500</v>
      </c>
      <c r="BJ92" s="20">
        <f t="shared" si="420"/>
        <v>7500</v>
      </c>
      <c r="BK92" s="20">
        <f t="shared" si="420"/>
        <v>7500</v>
      </c>
      <c r="BL92" s="20">
        <f t="shared" si="420"/>
        <v>7500</v>
      </c>
      <c r="BM92" s="20">
        <f t="shared" si="420"/>
        <v>7500</v>
      </c>
      <c r="BN92" s="20">
        <f t="shared" si="420"/>
        <v>7500</v>
      </c>
      <c r="BO92" s="20">
        <f t="shared" si="420"/>
        <v>7500</v>
      </c>
      <c r="BP92" s="20">
        <f t="shared" si="420"/>
        <v>7500</v>
      </c>
      <c r="BQ92" s="20">
        <f t="shared" si="420"/>
        <v>7500</v>
      </c>
      <c r="BR92" s="20">
        <f t="shared" si="420"/>
        <v>7500</v>
      </c>
      <c r="BS92" s="20">
        <f t="shared" si="420"/>
        <v>7500</v>
      </c>
      <c r="BT92" s="20">
        <f t="shared" si="420"/>
        <v>7500</v>
      </c>
      <c r="BU92" s="20">
        <f t="shared" si="420"/>
        <v>7500</v>
      </c>
      <c r="BV92" s="20">
        <f t="shared" si="420"/>
        <v>7500</v>
      </c>
      <c r="BW92" s="20">
        <f t="shared" si="420"/>
        <v>7500</v>
      </c>
      <c r="BX92" s="20">
        <f t="shared" ref="BX92:CZ92" si="421">BX81*BX10</f>
        <v>7500</v>
      </c>
      <c r="BY92" s="20">
        <f t="shared" si="421"/>
        <v>7500</v>
      </c>
      <c r="BZ92" s="20">
        <f t="shared" si="421"/>
        <v>7500</v>
      </c>
      <c r="CA92" s="20">
        <f t="shared" si="421"/>
        <v>7500</v>
      </c>
      <c r="CB92" s="20">
        <f t="shared" si="421"/>
        <v>7500</v>
      </c>
      <c r="CC92" s="20">
        <f t="shared" si="421"/>
        <v>7500</v>
      </c>
      <c r="CD92" s="20">
        <f t="shared" si="421"/>
        <v>7500</v>
      </c>
      <c r="CE92" s="20">
        <f t="shared" si="421"/>
        <v>7500</v>
      </c>
      <c r="CF92" s="20">
        <f t="shared" si="421"/>
        <v>7500</v>
      </c>
      <c r="CG92" s="20">
        <f t="shared" si="421"/>
        <v>7500</v>
      </c>
      <c r="CH92" s="20">
        <f t="shared" si="421"/>
        <v>7500</v>
      </c>
      <c r="CI92" s="20">
        <f t="shared" si="421"/>
        <v>7500</v>
      </c>
      <c r="CJ92" s="20">
        <f t="shared" si="421"/>
        <v>7500</v>
      </c>
      <c r="CK92" s="20">
        <f t="shared" si="421"/>
        <v>7500</v>
      </c>
      <c r="CL92" s="20">
        <f t="shared" si="421"/>
        <v>7500</v>
      </c>
      <c r="CM92" s="20">
        <f t="shared" si="421"/>
        <v>7500</v>
      </c>
      <c r="CN92" s="20">
        <f t="shared" si="421"/>
        <v>7500</v>
      </c>
      <c r="CO92" s="20">
        <f t="shared" si="421"/>
        <v>7500</v>
      </c>
      <c r="CP92" s="20">
        <f t="shared" si="421"/>
        <v>7500</v>
      </c>
      <c r="CQ92" s="20">
        <f t="shared" si="421"/>
        <v>7500</v>
      </c>
      <c r="CR92" s="20">
        <f t="shared" si="421"/>
        <v>7500</v>
      </c>
      <c r="CS92" s="20">
        <f t="shared" si="421"/>
        <v>7500</v>
      </c>
      <c r="CT92" s="20">
        <f t="shared" si="421"/>
        <v>7500</v>
      </c>
      <c r="CU92" s="20">
        <f t="shared" si="421"/>
        <v>7500</v>
      </c>
      <c r="CV92" s="20">
        <f t="shared" si="421"/>
        <v>7500</v>
      </c>
      <c r="CW92" s="20">
        <f t="shared" si="421"/>
        <v>7500</v>
      </c>
      <c r="CX92" s="20">
        <f t="shared" si="421"/>
        <v>7500</v>
      </c>
      <c r="CY92" s="20">
        <f t="shared" si="421"/>
        <v>7500</v>
      </c>
      <c r="CZ92" s="20">
        <f t="shared" si="421"/>
        <v>7500</v>
      </c>
      <c r="DA92" s="20">
        <f t="shared" ref="DA92:DQ92" si="422">DA81*DA10</f>
        <v>7500</v>
      </c>
      <c r="DB92" s="20">
        <f t="shared" si="422"/>
        <v>7500</v>
      </c>
      <c r="DC92" s="20">
        <f t="shared" si="422"/>
        <v>7500</v>
      </c>
      <c r="DD92" s="20">
        <f t="shared" si="422"/>
        <v>7500</v>
      </c>
      <c r="DE92" s="20">
        <f t="shared" si="422"/>
        <v>7500</v>
      </c>
      <c r="DF92" s="20">
        <f t="shared" si="422"/>
        <v>7500</v>
      </c>
      <c r="DG92" s="20">
        <f t="shared" si="422"/>
        <v>7500</v>
      </c>
      <c r="DH92" s="20">
        <f t="shared" si="422"/>
        <v>7500</v>
      </c>
      <c r="DI92" s="20">
        <f t="shared" si="422"/>
        <v>7500</v>
      </c>
      <c r="DJ92" s="20">
        <f t="shared" si="422"/>
        <v>7500</v>
      </c>
      <c r="DK92" s="20">
        <f t="shared" si="422"/>
        <v>7500</v>
      </c>
      <c r="DL92" s="20">
        <f t="shared" si="422"/>
        <v>7500</v>
      </c>
      <c r="DM92" s="20">
        <f t="shared" si="422"/>
        <v>7500</v>
      </c>
      <c r="DN92" s="20">
        <f t="shared" si="422"/>
        <v>7500</v>
      </c>
      <c r="DO92" s="20">
        <f t="shared" si="422"/>
        <v>7500</v>
      </c>
      <c r="DP92" s="20">
        <f t="shared" si="422"/>
        <v>0</v>
      </c>
      <c r="DQ92" s="20">
        <f t="shared" si="422"/>
        <v>0</v>
      </c>
    </row>
    <row r="93" spans="4:121" x14ac:dyDescent="0.35">
      <c r="E93" s="20" t="s">
        <v>141</v>
      </c>
      <c r="F93" s="20" t="s">
        <v>129</v>
      </c>
      <c r="G93" s="25"/>
      <c r="H93" s="25"/>
      <c r="I93" s="54">
        <f t="shared" si="415"/>
        <v>0</v>
      </c>
      <c r="K93" s="20">
        <f>K82*K10</f>
        <v>0</v>
      </c>
      <c r="L93" s="20">
        <f t="shared" ref="L93:BW93" si="423">L82*L10</f>
        <v>0</v>
      </c>
      <c r="M93" s="20">
        <f t="shared" si="423"/>
        <v>0</v>
      </c>
      <c r="N93" s="20">
        <f t="shared" si="423"/>
        <v>0</v>
      </c>
      <c r="O93" s="20">
        <f t="shared" si="423"/>
        <v>0</v>
      </c>
      <c r="P93" s="20">
        <f t="shared" si="423"/>
        <v>0</v>
      </c>
      <c r="Q93" s="20">
        <f t="shared" si="423"/>
        <v>0</v>
      </c>
      <c r="R93" s="20">
        <f t="shared" si="423"/>
        <v>0</v>
      </c>
      <c r="S93" s="20">
        <f t="shared" si="423"/>
        <v>0</v>
      </c>
      <c r="T93" s="20">
        <f t="shared" si="423"/>
        <v>0</v>
      </c>
      <c r="U93" s="20">
        <f t="shared" si="423"/>
        <v>0</v>
      </c>
      <c r="V93" s="20">
        <f t="shared" si="423"/>
        <v>0</v>
      </c>
      <c r="W93" s="20">
        <f t="shared" si="423"/>
        <v>0</v>
      </c>
      <c r="X93" s="20">
        <f t="shared" si="423"/>
        <v>0</v>
      </c>
      <c r="Y93" s="20">
        <f t="shared" si="423"/>
        <v>0</v>
      </c>
      <c r="Z93" s="20">
        <f t="shared" si="423"/>
        <v>0</v>
      </c>
      <c r="AA93" s="20">
        <f t="shared" si="423"/>
        <v>0</v>
      </c>
      <c r="AB93" s="20">
        <f t="shared" si="423"/>
        <v>0</v>
      </c>
      <c r="AC93" s="20">
        <f t="shared" si="423"/>
        <v>0</v>
      </c>
      <c r="AD93" s="20">
        <f t="shared" si="423"/>
        <v>0</v>
      </c>
      <c r="AE93" s="20">
        <f t="shared" si="423"/>
        <v>0</v>
      </c>
      <c r="AF93" s="20">
        <f t="shared" si="423"/>
        <v>0</v>
      </c>
      <c r="AG93" s="20">
        <f t="shared" si="423"/>
        <v>0</v>
      </c>
      <c r="AH93" s="20">
        <f t="shared" si="423"/>
        <v>0</v>
      </c>
      <c r="AI93" s="20">
        <f t="shared" si="423"/>
        <v>0</v>
      </c>
      <c r="AJ93" s="20">
        <f t="shared" si="423"/>
        <v>0</v>
      </c>
      <c r="AK93" s="20">
        <f t="shared" si="423"/>
        <v>0</v>
      </c>
      <c r="AL93" s="20">
        <f t="shared" si="423"/>
        <v>0</v>
      </c>
      <c r="AM93" s="20">
        <f t="shared" si="423"/>
        <v>0</v>
      </c>
      <c r="AN93" s="20">
        <f t="shared" si="423"/>
        <v>0</v>
      </c>
      <c r="AO93" s="20">
        <f t="shared" si="423"/>
        <v>0</v>
      </c>
      <c r="AP93" s="20">
        <f t="shared" si="423"/>
        <v>0</v>
      </c>
      <c r="AQ93" s="20">
        <f t="shared" si="423"/>
        <v>0</v>
      </c>
      <c r="AR93" s="20">
        <f t="shared" si="423"/>
        <v>0</v>
      </c>
      <c r="AS93" s="20">
        <f t="shared" si="423"/>
        <v>0</v>
      </c>
      <c r="AT93" s="20">
        <f t="shared" si="423"/>
        <v>0</v>
      </c>
      <c r="AU93" s="20">
        <f t="shared" si="423"/>
        <v>0</v>
      </c>
      <c r="AV93" s="20">
        <f t="shared" si="423"/>
        <v>0</v>
      </c>
      <c r="AW93" s="20">
        <f t="shared" si="423"/>
        <v>0</v>
      </c>
      <c r="AX93" s="20">
        <f t="shared" si="423"/>
        <v>0</v>
      </c>
      <c r="AY93" s="20">
        <f t="shared" si="423"/>
        <v>0</v>
      </c>
      <c r="AZ93" s="20">
        <f t="shared" si="423"/>
        <v>0</v>
      </c>
      <c r="BA93" s="20">
        <f t="shared" si="423"/>
        <v>0</v>
      </c>
      <c r="BB93" s="20">
        <f t="shared" si="423"/>
        <v>0</v>
      </c>
      <c r="BC93" s="20">
        <f t="shared" si="423"/>
        <v>0</v>
      </c>
      <c r="BD93" s="20">
        <f t="shared" si="423"/>
        <v>0</v>
      </c>
      <c r="BE93" s="20">
        <f t="shared" si="423"/>
        <v>0</v>
      </c>
      <c r="BF93" s="20">
        <f t="shared" si="423"/>
        <v>0</v>
      </c>
      <c r="BG93" s="20">
        <f t="shared" si="423"/>
        <v>0</v>
      </c>
      <c r="BH93" s="20">
        <f t="shared" si="423"/>
        <v>0</v>
      </c>
      <c r="BI93" s="20">
        <f t="shared" si="423"/>
        <v>0</v>
      </c>
      <c r="BJ93" s="20">
        <f t="shared" si="423"/>
        <v>0</v>
      </c>
      <c r="BK93" s="20">
        <f t="shared" si="423"/>
        <v>0</v>
      </c>
      <c r="BL93" s="20">
        <f t="shared" si="423"/>
        <v>0</v>
      </c>
      <c r="BM93" s="20">
        <f t="shared" si="423"/>
        <v>0</v>
      </c>
      <c r="BN93" s="20">
        <f t="shared" si="423"/>
        <v>0</v>
      </c>
      <c r="BO93" s="20">
        <f t="shared" si="423"/>
        <v>0</v>
      </c>
      <c r="BP93" s="20">
        <f t="shared" si="423"/>
        <v>0</v>
      </c>
      <c r="BQ93" s="20">
        <f t="shared" si="423"/>
        <v>0</v>
      </c>
      <c r="BR93" s="20">
        <f t="shared" si="423"/>
        <v>0</v>
      </c>
      <c r="BS93" s="20">
        <f t="shared" si="423"/>
        <v>0</v>
      </c>
      <c r="BT93" s="20">
        <f t="shared" si="423"/>
        <v>0</v>
      </c>
      <c r="BU93" s="20">
        <f t="shared" si="423"/>
        <v>0</v>
      </c>
      <c r="BV93" s="20">
        <f t="shared" si="423"/>
        <v>0</v>
      </c>
      <c r="BW93" s="20">
        <f t="shared" si="423"/>
        <v>0</v>
      </c>
      <c r="BX93" s="20">
        <f t="shared" ref="BX93:CZ93" si="424">BX82*BX10</f>
        <v>0</v>
      </c>
      <c r="BY93" s="20">
        <f t="shared" si="424"/>
        <v>0</v>
      </c>
      <c r="BZ93" s="20">
        <f t="shared" si="424"/>
        <v>0</v>
      </c>
      <c r="CA93" s="20">
        <f t="shared" si="424"/>
        <v>0</v>
      </c>
      <c r="CB93" s="20">
        <f t="shared" si="424"/>
        <v>0</v>
      </c>
      <c r="CC93" s="20">
        <f t="shared" si="424"/>
        <v>0</v>
      </c>
      <c r="CD93" s="20">
        <f t="shared" si="424"/>
        <v>0</v>
      </c>
      <c r="CE93" s="20">
        <f t="shared" si="424"/>
        <v>0</v>
      </c>
      <c r="CF93" s="20">
        <f t="shared" si="424"/>
        <v>0</v>
      </c>
      <c r="CG93" s="20">
        <f t="shared" si="424"/>
        <v>0</v>
      </c>
      <c r="CH93" s="20">
        <f t="shared" si="424"/>
        <v>0</v>
      </c>
      <c r="CI93" s="20">
        <f t="shared" si="424"/>
        <v>0</v>
      </c>
      <c r="CJ93" s="20">
        <f t="shared" si="424"/>
        <v>0</v>
      </c>
      <c r="CK93" s="20">
        <f t="shared" si="424"/>
        <v>0</v>
      </c>
      <c r="CL93" s="20">
        <f t="shared" si="424"/>
        <v>0</v>
      </c>
      <c r="CM93" s="20">
        <f t="shared" si="424"/>
        <v>0</v>
      </c>
      <c r="CN93" s="20">
        <f t="shared" si="424"/>
        <v>0</v>
      </c>
      <c r="CO93" s="20">
        <f t="shared" si="424"/>
        <v>0</v>
      </c>
      <c r="CP93" s="20">
        <f t="shared" si="424"/>
        <v>0</v>
      </c>
      <c r="CQ93" s="20">
        <f t="shared" si="424"/>
        <v>0</v>
      </c>
      <c r="CR93" s="20">
        <f t="shared" si="424"/>
        <v>0</v>
      </c>
      <c r="CS93" s="20">
        <f t="shared" si="424"/>
        <v>0</v>
      </c>
      <c r="CT93" s="20">
        <f t="shared" si="424"/>
        <v>0</v>
      </c>
      <c r="CU93" s="20">
        <f t="shared" si="424"/>
        <v>0</v>
      </c>
      <c r="CV93" s="20">
        <f t="shared" si="424"/>
        <v>0</v>
      </c>
      <c r="CW93" s="20">
        <f t="shared" si="424"/>
        <v>0</v>
      </c>
      <c r="CX93" s="20">
        <f t="shared" si="424"/>
        <v>0</v>
      </c>
      <c r="CY93" s="20">
        <f t="shared" si="424"/>
        <v>0</v>
      </c>
      <c r="CZ93" s="20">
        <f t="shared" si="424"/>
        <v>0</v>
      </c>
      <c r="DA93" s="20">
        <f t="shared" ref="DA93:DQ93" si="425">DA82*DA10</f>
        <v>0</v>
      </c>
      <c r="DB93" s="20">
        <f t="shared" si="425"/>
        <v>0</v>
      </c>
      <c r="DC93" s="20">
        <f t="shared" si="425"/>
        <v>0</v>
      </c>
      <c r="DD93" s="20">
        <f t="shared" si="425"/>
        <v>0</v>
      </c>
      <c r="DE93" s="20">
        <f t="shared" si="425"/>
        <v>0</v>
      </c>
      <c r="DF93" s="20">
        <f t="shared" si="425"/>
        <v>0</v>
      </c>
      <c r="DG93" s="20">
        <f t="shared" si="425"/>
        <v>0</v>
      </c>
      <c r="DH93" s="20">
        <f t="shared" si="425"/>
        <v>0</v>
      </c>
      <c r="DI93" s="20">
        <f t="shared" si="425"/>
        <v>0</v>
      </c>
      <c r="DJ93" s="20">
        <f t="shared" si="425"/>
        <v>0</v>
      </c>
      <c r="DK93" s="20">
        <f t="shared" si="425"/>
        <v>0</v>
      </c>
      <c r="DL93" s="20">
        <f t="shared" si="425"/>
        <v>0</v>
      </c>
      <c r="DM93" s="20">
        <f t="shared" si="425"/>
        <v>0</v>
      </c>
      <c r="DN93" s="20">
        <f t="shared" si="425"/>
        <v>0</v>
      </c>
      <c r="DO93" s="20">
        <f t="shared" si="425"/>
        <v>0</v>
      </c>
      <c r="DP93" s="20">
        <f t="shared" si="425"/>
        <v>0</v>
      </c>
      <c r="DQ93" s="20">
        <f t="shared" si="425"/>
        <v>0</v>
      </c>
    </row>
    <row r="94" spans="4:121" x14ac:dyDescent="0.35">
      <c r="E94" s="20" t="s">
        <v>139</v>
      </c>
      <c r="F94" s="20" t="s">
        <v>129</v>
      </c>
      <c r="G94" s="25"/>
      <c r="H94" s="25"/>
      <c r="I94" s="54">
        <f t="shared" si="415"/>
        <v>0</v>
      </c>
      <c r="K94" s="20">
        <f>K83</f>
        <v>0</v>
      </c>
      <c r="L94" s="20">
        <f t="shared" ref="L94:BW94" si="426">L83</f>
        <v>0</v>
      </c>
      <c r="M94" s="20">
        <f t="shared" si="426"/>
        <v>0</v>
      </c>
      <c r="N94" s="20">
        <f t="shared" si="426"/>
        <v>0</v>
      </c>
      <c r="O94" s="20">
        <f t="shared" si="426"/>
        <v>0</v>
      </c>
      <c r="P94" s="20">
        <f t="shared" si="426"/>
        <v>0</v>
      </c>
      <c r="Q94" s="20">
        <f t="shared" si="426"/>
        <v>0</v>
      </c>
      <c r="R94" s="20">
        <f t="shared" si="426"/>
        <v>0</v>
      </c>
      <c r="S94" s="20">
        <f t="shared" si="426"/>
        <v>0</v>
      </c>
      <c r="T94" s="20">
        <f t="shared" si="426"/>
        <v>0</v>
      </c>
      <c r="U94" s="20">
        <f t="shared" si="426"/>
        <v>0</v>
      </c>
      <c r="V94" s="20">
        <f t="shared" si="426"/>
        <v>0</v>
      </c>
      <c r="W94" s="20">
        <f t="shared" si="426"/>
        <v>0</v>
      </c>
      <c r="X94" s="20">
        <f t="shared" si="426"/>
        <v>0</v>
      </c>
      <c r="Y94" s="20">
        <f t="shared" si="426"/>
        <v>0</v>
      </c>
      <c r="Z94" s="20">
        <f t="shared" si="426"/>
        <v>0</v>
      </c>
      <c r="AA94" s="20">
        <f t="shared" si="426"/>
        <v>0</v>
      </c>
      <c r="AB94" s="20">
        <f t="shared" si="426"/>
        <v>0</v>
      </c>
      <c r="AC94" s="20">
        <f t="shared" si="426"/>
        <v>0</v>
      </c>
      <c r="AD94" s="20">
        <f t="shared" si="426"/>
        <v>0</v>
      </c>
      <c r="AE94" s="20">
        <f t="shared" si="426"/>
        <v>0</v>
      </c>
      <c r="AF94" s="20">
        <f t="shared" si="426"/>
        <v>0</v>
      </c>
      <c r="AG94" s="20">
        <f t="shared" si="426"/>
        <v>0</v>
      </c>
      <c r="AH94" s="20">
        <f t="shared" si="426"/>
        <v>0</v>
      </c>
      <c r="AI94" s="20">
        <f t="shared" si="426"/>
        <v>0</v>
      </c>
      <c r="AJ94" s="20">
        <f t="shared" si="426"/>
        <v>0</v>
      </c>
      <c r="AK94" s="20">
        <f t="shared" si="426"/>
        <v>0</v>
      </c>
      <c r="AL94" s="20">
        <f t="shared" si="426"/>
        <v>0</v>
      </c>
      <c r="AM94" s="20">
        <f t="shared" si="426"/>
        <v>0</v>
      </c>
      <c r="AN94" s="20">
        <f t="shared" si="426"/>
        <v>0</v>
      </c>
      <c r="AO94" s="20">
        <f t="shared" si="426"/>
        <v>0</v>
      </c>
      <c r="AP94" s="20">
        <f t="shared" si="426"/>
        <v>0</v>
      </c>
      <c r="AQ94" s="20">
        <f t="shared" si="426"/>
        <v>0</v>
      </c>
      <c r="AR94" s="20">
        <f t="shared" si="426"/>
        <v>0</v>
      </c>
      <c r="AS94" s="20">
        <f t="shared" si="426"/>
        <v>0</v>
      </c>
      <c r="AT94" s="20">
        <f t="shared" si="426"/>
        <v>0</v>
      </c>
      <c r="AU94" s="20">
        <f t="shared" si="426"/>
        <v>0</v>
      </c>
      <c r="AV94" s="20">
        <f t="shared" si="426"/>
        <v>0</v>
      </c>
      <c r="AW94" s="20">
        <f t="shared" si="426"/>
        <v>0</v>
      </c>
      <c r="AX94" s="20">
        <f t="shared" si="426"/>
        <v>0</v>
      </c>
      <c r="AY94" s="20">
        <f t="shared" si="426"/>
        <v>0</v>
      </c>
      <c r="AZ94" s="20">
        <f t="shared" si="426"/>
        <v>0</v>
      </c>
      <c r="BA94" s="20">
        <f t="shared" si="426"/>
        <v>0</v>
      </c>
      <c r="BB94" s="20">
        <f t="shared" si="426"/>
        <v>0</v>
      </c>
      <c r="BC94" s="20">
        <f t="shared" si="426"/>
        <v>0</v>
      </c>
      <c r="BD94" s="20">
        <f t="shared" si="426"/>
        <v>0</v>
      </c>
      <c r="BE94" s="20">
        <f t="shared" si="426"/>
        <v>0</v>
      </c>
      <c r="BF94" s="20">
        <f t="shared" si="426"/>
        <v>0</v>
      </c>
      <c r="BG94" s="20">
        <f t="shared" si="426"/>
        <v>0</v>
      </c>
      <c r="BH94" s="20">
        <f t="shared" si="426"/>
        <v>0</v>
      </c>
      <c r="BI94" s="20">
        <f t="shared" si="426"/>
        <v>0</v>
      </c>
      <c r="BJ94" s="20">
        <f t="shared" si="426"/>
        <v>0</v>
      </c>
      <c r="BK94" s="20">
        <f t="shared" si="426"/>
        <v>0</v>
      </c>
      <c r="BL94" s="20">
        <f t="shared" si="426"/>
        <v>0</v>
      </c>
      <c r="BM94" s="20">
        <f t="shared" si="426"/>
        <v>0</v>
      </c>
      <c r="BN94" s="20">
        <f t="shared" si="426"/>
        <v>0</v>
      </c>
      <c r="BO94" s="20">
        <f t="shared" si="426"/>
        <v>0</v>
      </c>
      <c r="BP94" s="20">
        <f t="shared" si="426"/>
        <v>0</v>
      </c>
      <c r="BQ94" s="20">
        <f t="shared" si="426"/>
        <v>0</v>
      </c>
      <c r="BR94" s="20">
        <f t="shared" si="426"/>
        <v>0</v>
      </c>
      <c r="BS94" s="20">
        <f t="shared" si="426"/>
        <v>0</v>
      </c>
      <c r="BT94" s="20">
        <f t="shared" si="426"/>
        <v>0</v>
      </c>
      <c r="BU94" s="20">
        <f t="shared" si="426"/>
        <v>0</v>
      </c>
      <c r="BV94" s="20">
        <f t="shared" si="426"/>
        <v>0</v>
      </c>
      <c r="BW94" s="20">
        <f t="shared" si="426"/>
        <v>0</v>
      </c>
      <c r="BX94" s="20">
        <f t="shared" ref="BX94:CZ94" si="427">BX83</f>
        <v>0</v>
      </c>
      <c r="BY94" s="20">
        <f t="shared" si="427"/>
        <v>0</v>
      </c>
      <c r="BZ94" s="20">
        <f t="shared" si="427"/>
        <v>0</v>
      </c>
      <c r="CA94" s="20">
        <f t="shared" si="427"/>
        <v>0</v>
      </c>
      <c r="CB94" s="20">
        <f t="shared" si="427"/>
        <v>0</v>
      </c>
      <c r="CC94" s="20">
        <f t="shared" si="427"/>
        <v>0</v>
      </c>
      <c r="CD94" s="20">
        <f t="shared" si="427"/>
        <v>0</v>
      </c>
      <c r="CE94" s="20">
        <f t="shared" si="427"/>
        <v>0</v>
      </c>
      <c r="CF94" s="20">
        <f t="shared" si="427"/>
        <v>0</v>
      </c>
      <c r="CG94" s="20">
        <f t="shared" si="427"/>
        <v>0</v>
      </c>
      <c r="CH94" s="20">
        <f t="shared" si="427"/>
        <v>0</v>
      </c>
      <c r="CI94" s="20">
        <f t="shared" si="427"/>
        <v>0</v>
      </c>
      <c r="CJ94" s="20">
        <f t="shared" si="427"/>
        <v>0</v>
      </c>
      <c r="CK94" s="20">
        <f t="shared" si="427"/>
        <v>0</v>
      </c>
      <c r="CL94" s="20">
        <f t="shared" si="427"/>
        <v>0</v>
      </c>
      <c r="CM94" s="20">
        <f t="shared" si="427"/>
        <v>0</v>
      </c>
      <c r="CN94" s="20">
        <f t="shared" si="427"/>
        <v>0</v>
      </c>
      <c r="CO94" s="20">
        <f t="shared" si="427"/>
        <v>0</v>
      </c>
      <c r="CP94" s="20">
        <f t="shared" si="427"/>
        <v>0</v>
      </c>
      <c r="CQ94" s="20">
        <f t="shared" si="427"/>
        <v>0</v>
      </c>
      <c r="CR94" s="20">
        <f t="shared" si="427"/>
        <v>0</v>
      </c>
      <c r="CS94" s="20">
        <f t="shared" si="427"/>
        <v>0</v>
      </c>
      <c r="CT94" s="20">
        <f t="shared" si="427"/>
        <v>0</v>
      </c>
      <c r="CU94" s="20">
        <f t="shared" si="427"/>
        <v>0</v>
      </c>
      <c r="CV94" s="20">
        <f t="shared" si="427"/>
        <v>0</v>
      </c>
      <c r="CW94" s="20">
        <f t="shared" si="427"/>
        <v>0</v>
      </c>
      <c r="CX94" s="20">
        <f t="shared" si="427"/>
        <v>0</v>
      </c>
      <c r="CY94" s="20">
        <f t="shared" si="427"/>
        <v>0</v>
      </c>
      <c r="CZ94" s="20">
        <f t="shared" si="427"/>
        <v>0</v>
      </c>
      <c r="DA94" s="20">
        <f t="shared" ref="DA94:DQ94" si="428">DA83</f>
        <v>0</v>
      </c>
      <c r="DB94" s="20">
        <f t="shared" si="428"/>
        <v>0</v>
      </c>
      <c r="DC94" s="20">
        <f t="shared" si="428"/>
        <v>0</v>
      </c>
      <c r="DD94" s="20">
        <f t="shared" si="428"/>
        <v>0</v>
      </c>
      <c r="DE94" s="20">
        <f t="shared" si="428"/>
        <v>0</v>
      </c>
      <c r="DF94" s="20">
        <f t="shared" si="428"/>
        <v>0</v>
      </c>
      <c r="DG94" s="20">
        <f t="shared" si="428"/>
        <v>0</v>
      </c>
      <c r="DH94" s="20">
        <f t="shared" si="428"/>
        <v>0</v>
      </c>
      <c r="DI94" s="20">
        <f t="shared" si="428"/>
        <v>0</v>
      </c>
      <c r="DJ94" s="20">
        <f t="shared" si="428"/>
        <v>0</v>
      </c>
      <c r="DK94" s="20">
        <f t="shared" si="428"/>
        <v>0</v>
      </c>
      <c r="DL94" s="20">
        <f t="shared" si="428"/>
        <v>0</v>
      </c>
      <c r="DM94" s="20">
        <f t="shared" si="428"/>
        <v>0</v>
      </c>
      <c r="DN94" s="20">
        <f t="shared" si="428"/>
        <v>0</v>
      </c>
      <c r="DO94" s="20">
        <f t="shared" si="428"/>
        <v>0</v>
      </c>
      <c r="DP94" s="20">
        <f t="shared" si="428"/>
        <v>0</v>
      </c>
      <c r="DQ94" s="20">
        <f t="shared" si="428"/>
        <v>0</v>
      </c>
    </row>
    <row r="95" spans="4:121" x14ac:dyDescent="0.35">
      <c r="E95" s="20" t="s">
        <v>223</v>
      </c>
      <c r="F95" s="20" t="s">
        <v>129</v>
      </c>
      <c r="G95" s="25"/>
      <c r="H95" s="25"/>
      <c r="I95" s="54">
        <f t="shared" si="415"/>
        <v>0</v>
      </c>
      <c r="K95" s="20">
        <f>K84</f>
        <v>0</v>
      </c>
      <c r="L95" s="20">
        <f t="shared" ref="L95:BW95" si="429">L84</f>
        <v>0</v>
      </c>
      <c r="M95" s="20">
        <f t="shared" si="429"/>
        <v>0</v>
      </c>
      <c r="N95" s="20">
        <f t="shared" si="429"/>
        <v>0</v>
      </c>
      <c r="O95" s="20">
        <f t="shared" si="429"/>
        <v>0</v>
      </c>
      <c r="P95" s="20">
        <f t="shared" si="429"/>
        <v>0</v>
      </c>
      <c r="Q95" s="20">
        <f t="shared" si="429"/>
        <v>0</v>
      </c>
      <c r="R95" s="20">
        <f t="shared" si="429"/>
        <v>0</v>
      </c>
      <c r="S95" s="20">
        <f t="shared" si="429"/>
        <v>0</v>
      </c>
      <c r="T95" s="20">
        <f t="shared" si="429"/>
        <v>0</v>
      </c>
      <c r="U95" s="20">
        <f t="shared" si="429"/>
        <v>0</v>
      </c>
      <c r="V95" s="20">
        <f t="shared" si="429"/>
        <v>0</v>
      </c>
      <c r="W95" s="20">
        <f t="shared" si="429"/>
        <v>0</v>
      </c>
      <c r="X95" s="20">
        <f t="shared" si="429"/>
        <v>0</v>
      </c>
      <c r="Y95" s="20">
        <f t="shared" si="429"/>
        <v>0</v>
      </c>
      <c r="Z95" s="20">
        <f t="shared" si="429"/>
        <v>0</v>
      </c>
      <c r="AA95" s="20">
        <f t="shared" si="429"/>
        <v>0</v>
      </c>
      <c r="AB95" s="20">
        <f t="shared" si="429"/>
        <v>0</v>
      </c>
      <c r="AC95" s="20">
        <f t="shared" si="429"/>
        <v>0</v>
      </c>
      <c r="AD95" s="20">
        <f t="shared" si="429"/>
        <v>0</v>
      </c>
      <c r="AE95" s="20">
        <f t="shared" si="429"/>
        <v>0</v>
      </c>
      <c r="AF95" s="20">
        <f t="shared" si="429"/>
        <v>0</v>
      </c>
      <c r="AG95" s="20">
        <f t="shared" si="429"/>
        <v>0</v>
      </c>
      <c r="AH95" s="20">
        <f t="shared" si="429"/>
        <v>0</v>
      </c>
      <c r="AI95" s="20">
        <f t="shared" si="429"/>
        <v>0</v>
      </c>
      <c r="AJ95" s="20">
        <f t="shared" si="429"/>
        <v>0</v>
      </c>
      <c r="AK95" s="20">
        <f t="shared" si="429"/>
        <v>0</v>
      </c>
      <c r="AL95" s="20">
        <f t="shared" si="429"/>
        <v>0</v>
      </c>
      <c r="AM95" s="20">
        <f t="shared" si="429"/>
        <v>0</v>
      </c>
      <c r="AN95" s="20">
        <f t="shared" si="429"/>
        <v>0</v>
      </c>
      <c r="AO95" s="20">
        <f t="shared" si="429"/>
        <v>0</v>
      </c>
      <c r="AP95" s="20">
        <f t="shared" si="429"/>
        <v>0</v>
      </c>
      <c r="AQ95" s="20">
        <f t="shared" si="429"/>
        <v>0</v>
      </c>
      <c r="AR95" s="20">
        <f t="shared" si="429"/>
        <v>0</v>
      </c>
      <c r="AS95" s="20">
        <f t="shared" si="429"/>
        <v>0</v>
      </c>
      <c r="AT95" s="20">
        <f t="shared" si="429"/>
        <v>0</v>
      </c>
      <c r="AU95" s="20">
        <f t="shared" si="429"/>
        <v>0</v>
      </c>
      <c r="AV95" s="20">
        <f t="shared" si="429"/>
        <v>0</v>
      </c>
      <c r="AW95" s="20">
        <f t="shared" si="429"/>
        <v>0</v>
      </c>
      <c r="AX95" s="20">
        <f t="shared" si="429"/>
        <v>0</v>
      </c>
      <c r="AY95" s="20">
        <f t="shared" si="429"/>
        <v>0</v>
      </c>
      <c r="AZ95" s="20">
        <f t="shared" si="429"/>
        <v>0</v>
      </c>
      <c r="BA95" s="20">
        <f t="shared" si="429"/>
        <v>0</v>
      </c>
      <c r="BB95" s="20">
        <f t="shared" si="429"/>
        <v>0</v>
      </c>
      <c r="BC95" s="20">
        <f t="shared" si="429"/>
        <v>0</v>
      </c>
      <c r="BD95" s="20">
        <f t="shared" si="429"/>
        <v>0</v>
      </c>
      <c r="BE95" s="20">
        <f t="shared" si="429"/>
        <v>0</v>
      </c>
      <c r="BF95" s="20">
        <f t="shared" si="429"/>
        <v>0</v>
      </c>
      <c r="BG95" s="20">
        <f t="shared" si="429"/>
        <v>0</v>
      </c>
      <c r="BH95" s="20">
        <f t="shared" si="429"/>
        <v>0</v>
      </c>
      <c r="BI95" s="20">
        <f t="shared" si="429"/>
        <v>0</v>
      </c>
      <c r="BJ95" s="20">
        <f t="shared" si="429"/>
        <v>0</v>
      </c>
      <c r="BK95" s="20">
        <f t="shared" si="429"/>
        <v>0</v>
      </c>
      <c r="BL95" s="20">
        <f t="shared" si="429"/>
        <v>0</v>
      </c>
      <c r="BM95" s="20">
        <f t="shared" si="429"/>
        <v>0</v>
      </c>
      <c r="BN95" s="20">
        <f t="shared" si="429"/>
        <v>0</v>
      </c>
      <c r="BO95" s="20">
        <f t="shared" si="429"/>
        <v>0</v>
      </c>
      <c r="BP95" s="20">
        <f t="shared" si="429"/>
        <v>0</v>
      </c>
      <c r="BQ95" s="20">
        <f t="shared" si="429"/>
        <v>0</v>
      </c>
      <c r="BR95" s="20">
        <f t="shared" si="429"/>
        <v>0</v>
      </c>
      <c r="BS95" s="20">
        <f t="shared" si="429"/>
        <v>0</v>
      </c>
      <c r="BT95" s="20">
        <f t="shared" si="429"/>
        <v>0</v>
      </c>
      <c r="BU95" s="20">
        <f t="shared" si="429"/>
        <v>0</v>
      </c>
      <c r="BV95" s="20">
        <f t="shared" si="429"/>
        <v>0</v>
      </c>
      <c r="BW95" s="20">
        <f t="shared" si="429"/>
        <v>0</v>
      </c>
      <c r="BX95" s="20">
        <f t="shared" ref="BX95:CZ95" si="430">BX84</f>
        <v>0</v>
      </c>
      <c r="BY95" s="20">
        <f t="shared" si="430"/>
        <v>0</v>
      </c>
      <c r="BZ95" s="20">
        <f t="shared" si="430"/>
        <v>0</v>
      </c>
      <c r="CA95" s="20">
        <f t="shared" si="430"/>
        <v>0</v>
      </c>
      <c r="CB95" s="20">
        <f t="shared" si="430"/>
        <v>0</v>
      </c>
      <c r="CC95" s="20">
        <f t="shared" si="430"/>
        <v>0</v>
      </c>
      <c r="CD95" s="20">
        <f t="shared" si="430"/>
        <v>0</v>
      </c>
      <c r="CE95" s="20">
        <f t="shared" si="430"/>
        <v>0</v>
      </c>
      <c r="CF95" s="20">
        <f t="shared" si="430"/>
        <v>0</v>
      </c>
      <c r="CG95" s="20">
        <f t="shared" si="430"/>
        <v>0</v>
      </c>
      <c r="CH95" s="20">
        <f t="shared" si="430"/>
        <v>0</v>
      </c>
      <c r="CI95" s="20">
        <f t="shared" si="430"/>
        <v>0</v>
      </c>
      <c r="CJ95" s="20">
        <f t="shared" si="430"/>
        <v>0</v>
      </c>
      <c r="CK95" s="20">
        <f t="shared" si="430"/>
        <v>0</v>
      </c>
      <c r="CL95" s="20">
        <f t="shared" si="430"/>
        <v>0</v>
      </c>
      <c r="CM95" s="20">
        <f t="shared" si="430"/>
        <v>0</v>
      </c>
      <c r="CN95" s="20">
        <f t="shared" si="430"/>
        <v>0</v>
      </c>
      <c r="CO95" s="20">
        <f t="shared" si="430"/>
        <v>0</v>
      </c>
      <c r="CP95" s="20">
        <f t="shared" si="430"/>
        <v>0</v>
      </c>
      <c r="CQ95" s="20">
        <f t="shared" si="430"/>
        <v>0</v>
      </c>
      <c r="CR95" s="20">
        <f t="shared" si="430"/>
        <v>0</v>
      </c>
      <c r="CS95" s="20">
        <f t="shared" si="430"/>
        <v>0</v>
      </c>
      <c r="CT95" s="20">
        <f t="shared" si="430"/>
        <v>0</v>
      </c>
      <c r="CU95" s="20">
        <f t="shared" si="430"/>
        <v>0</v>
      </c>
      <c r="CV95" s="20">
        <f t="shared" si="430"/>
        <v>0</v>
      </c>
      <c r="CW95" s="20">
        <f t="shared" si="430"/>
        <v>0</v>
      </c>
      <c r="CX95" s="20">
        <f t="shared" si="430"/>
        <v>0</v>
      </c>
      <c r="CY95" s="20">
        <f t="shared" si="430"/>
        <v>0</v>
      </c>
      <c r="CZ95" s="20">
        <f t="shared" si="430"/>
        <v>0</v>
      </c>
      <c r="DA95" s="20">
        <f t="shared" ref="DA95:DQ95" si="431">DA84</f>
        <v>0</v>
      </c>
      <c r="DB95" s="20">
        <f t="shared" si="431"/>
        <v>0</v>
      </c>
      <c r="DC95" s="20">
        <f t="shared" si="431"/>
        <v>0</v>
      </c>
      <c r="DD95" s="20">
        <f t="shared" si="431"/>
        <v>0</v>
      </c>
      <c r="DE95" s="20">
        <f t="shared" si="431"/>
        <v>0</v>
      </c>
      <c r="DF95" s="20">
        <f t="shared" si="431"/>
        <v>0</v>
      </c>
      <c r="DG95" s="20">
        <f t="shared" si="431"/>
        <v>0</v>
      </c>
      <c r="DH95" s="20">
        <f t="shared" si="431"/>
        <v>0</v>
      </c>
      <c r="DI95" s="20">
        <f t="shared" si="431"/>
        <v>0</v>
      </c>
      <c r="DJ95" s="20">
        <f t="shared" si="431"/>
        <v>0</v>
      </c>
      <c r="DK95" s="20">
        <f t="shared" si="431"/>
        <v>0</v>
      </c>
      <c r="DL95" s="20">
        <f t="shared" si="431"/>
        <v>0</v>
      </c>
      <c r="DM95" s="20">
        <f t="shared" si="431"/>
        <v>0</v>
      </c>
      <c r="DN95" s="20">
        <f t="shared" si="431"/>
        <v>0</v>
      </c>
      <c r="DO95" s="20">
        <f t="shared" si="431"/>
        <v>0</v>
      </c>
      <c r="DP95" s="20">
        <f t="shared" si="431"/>
        <v>0</v>
      </c>
      <c r="DQ95" s="20">
        <f t="shared" si="431"/>
        <v>0</v>
      </c>
    </row>
    <row r="96" spans="4:121" ht="15" thickBot="1" x14ac:dyDescent="0.4">
      <c r="E96" s="39" t="s">
        <v>220</v>
      </c>
      <c r="F96" s="39" t="s">
        <v>129</v>
      </c>
      <c r="G96" s="40"/>
      <c r="H96" s="40"/>
      <c r="I96" s="55">
        <f>SUM(K96:DQ96)</f>
        <v>3399665.8315537609</v>
      </c>
      <c r="J96" s="39"/>
      <c r="K96" s="39">
        <f>SUM(K87:K95)</f>
        <v>0</v>
      </c>
      <c r="L96" s="39">
        <f t="shared" ref="L96:BW96" si="432">SUM(L87:L95)</f>
        <v>0</v>
      </c>
      <c r="M96" s="39">
        <f t="shared" si="432"/>
        <v>0</v>
      </c>
      <c r="N96" s="39">
        <f t="shared" si="432"/>
        <v>0</v>
      </c>
      <c r="O96" s="39">
        <f t="shared" si="432"/>
        <v>0</v>
      </c>
      <c r="P96" s="39">
        <f t="shared" si="432"/>
        <v>0</v>
      </c>
      <c r="Q96" s="39">
        <f t="shared" si="432"/>
        <v>0</v>
      </c>
      <c r="R96" s="39">
        <f t="shared" si="432"/>
        <v>0</v>
      </c>
      <c r="S96" s="39">
        <f t="shared" si="432"/>
        <v>0</v>
      </c>
      <c r="T96" s="39">
        <f t="shared" si="432"/>
        <v>31986.389892707753</v>
      </c>
      <c r="U96" s="39">
        <f t="shared" si="432"/>
        <v>32022.894588673858</v>
      </c>
      <c r="V96" s="39">
        <f t="shared" si="432"/>
        <v>32059.514489936362</v>
      </c>
      <c r="W96" s="39">
        <f t="shared" si="432"/>
        <v>32096.249999999996</v>
      </c>
      <c r="X96" s="39">
        <f t="shared" si="432"/>
        <v>32133.101523841644</v>
      </c>
      <c r="Y96" s="39">
        <f t="shared" si="432"/>
        <v>32170.06946791576</v>
      </c>
      <c r="Z96" s="39">
        <f t="shared" si="432"/>
        <v>32207.154240159864</v>
      </c>
      <c r="AA96" s="39">
        <f t="shared" si="432"/>
        <v>32244.356249999993</v>
      </c>
      <c r="AB96" s="39">
        <f t="shared" si="432"/>
        <v>32281.675908356265</v>
      </c>
      <c r="AC96" s="39">
        <f t="shared" si="432"/>
        <v>32319.113627648352</v>
      </c>
      <c r="AD96" s="39">
        <f t="shared" si="432"/>
        <v>32356.66982180109</v>
      </c>
      <c r="AE96" s="39">
        <f t="shared" si="432"/>
        <v>32394.344906249993</v>
      </c>
      <c r="AF96" s="39">
        <f t="shared" si="432"/>
        <v>32432.139297946884</v>
      </c>
      <c r="AG96" s="39">
        <f t="shared" si="432"/>
        <v>32470.053415365506</v>
      </c>
      <c r="AH96" s="39">
        <f t="shared" si="432"/>
        <v>32508.087678507127</v>
      </c>
      <c r="AI96" s="39">
        <f t="shared" si="432"/>
        <v>32546.242508906238</v>
      </c>
      <c r="AJ96" s="39">
        <f t="shared" si="432"/>
        <v>32584.51832963619</v>
      </c>
      <c r="AK96" s="39">
        <f t="shared" si="432"/>
        <v>32622.915565314917</v>
      </c>
      <c r="AL96" s="39">
        <f t="shared" si="432"/>
        <v>32661.434642110649</v>
      </c>
      <c r="AM96" s="39">
        <f t="shared" si="432"/>
        <v>32700.075987747641</v>
      </c>
      <c r="AN96" s="39">
        <f t="shared" si="432"/>
        <v>32738.840031511936</v>
      </c>
      <c r="AO96" s="39">
        <f t="shared" si="432"/>
        <v>32777.727204257171</v>
      </c>
      <c r="AP96" s="39">
        <f t="shared" si="432"/>
        <v>32816.737938410355</v>
      </c>
      <c r="AQ96" s="39">
        <f t="shared" si="432"/>
        <v>32855.872667977703</v>
      </c>
      <c r="AR96" s="39">
        <f t="shared" si="432"/>
        <v>32895.131828550482</v>
      </c>
      <c r="AS96" s="39">
        <f t="shared" si="432"/>
        <v>32934.515857310878</v>
      </c>
      <c r="AT96" s="39">
        <f t="shared" si="432"/>
        <v>32974.025193037902</v>
      </c>
      <c r="AU96" s="39">
        <f t="shared" si="432"/>
        <v>33013.660276113289</v>
      </c>
      <c r="AV96" s="39">
        <f t="shared" si="432"/>
        <v>33053.421548527425</v>
      </c>
      <c r="AW96" s="39">
        <f t="shared" si="432"/>
        <v>33093.309453885333</v>
      </c>
      <c r="AX96" s="39">
        <f t="shared" si="432"/>
        <v>33133.324437412615</v>
      </c>
      <c r="AY96" s="39">
        <f t="shared" si="432"/>
        <v>33173.466945961482</v>
      </c>
      <c r="AZ96" s="39">
        <f t="shared" si="432"/>
        <v>33213.737428016771</v>
      </c>
      <c r="BA96" s="39">
        <f t="shared" si="432"/>
        <v>33254.136333701979</v>
      </c>
      <c r="BB96" s="39">
        <f t="shared" si="432"/>
        <v>33294.664114785344</v>
      </c>
      <c r="BC96" s="39">
        <f t="shared" si="432"/>
        <v>33335.321224685933</v>
      </c>
      <c r="BD96" s="39">
        <f t="shared" si="432"/>
        <v>33376.108118479766</v>
      </c>
      <c r="BE96" s="39">
        <f t="shared" si="432"/>
        <v>33417.025252905922</v>
      </c>
      <c r="BF96" s="39">
        <f t="shared" si="432"/>
        <v>33458.073086372722</v>
      </c>
      <c r="BG96" s="39">
        <f t="shared" si="432"/>
        <v>33499.252078963931</v>
      </c>
      <c r="BH96" s="39">
        <f t="shared" si="432"/>
        <v>33540.562692444917</v>
      </c>
      <c r="BI96" s="39">
        <f t="shared" si="432"/>
        <v>33582.005390268911</v>
      </c>
      <c r="BJ96" s="39">
        <f t="shared" si="432"/>
        <v>33623.58063758324</v>
      </c>
      <c r="BK96" s="39">
        <f t="shared" si="432"/>
        <v>33665.288901235632</v>
      </c>
      <c r="BL96" s="39">
        <f t="shared" si="432"/>
        <v>33707.130649780491</v>
      </c>
      <c r="BM96" s="39">
        <f t="shared" si="432"/>
        <v>33749.106353485186</v>
      </c>
      <c r="BN96" s="39">
        <f t="shared" si="432"/>
        <v>33791.216484336488</v>
      </c>
      <c r="BO96" s="39">
        <f t="shared" si="432"/>
        <v>33833.461516046853</v>
      </c>
      <c r="BP96" s="39">
        <f t="shared" si="432"/>
        <v>33875.841924060835</v>
      </c>
      <c r="BQ96" s="39">
        <f t="shared" si="432"/>
        <v>33918.358185561527</v>
      </c>
      <c r="BR96" s="39">
        <f t="shared" si="432"/>
        <v>33961.010779476986</v>
      </c>
      <c r="BS96" s="39">
        <f t="shared" si="432"/>
        <v>34003.800186486696</v>
      </c>
      <c r="BT96" s="39">
        <f t="shared" si="432"/>
        <v>34046.726889028054</v>
      </c>
      <c r="BU96" s="39">
        <f t="shared" si="432"/>
        <v>34089.791371302876</v>
      </c>
      <c r="BV96" s="39">
        <f t="shared" si="432"/>
        <v>34132.994119283961</v>
      </c>
      <c r="BW96" s="39">
        <f t="shared" si="432"/>
        <v>34176.335620721635</v>
      </c>
      <c r="BX96" s="39">
        <f t="shared" ref="BX96:CZ96" si="433">SUM(BX87:BX95)</f>
        <v>34219.816365150306</v>
      </c>
      <c r="BY96" s="39">
        <f t="shared" si="433"/>
        <v>34263.436843895135</v>
      </c>
      <c r="BZ96" s="39">
        <f t="shared" si="433"/>
        <v>34307.197550078621</v>
      </c>
      <c r="CA96" s="39">
        <f t="shared" si="433"/>
        <v>34351.098978627284</v>
      </c>
      <c r="CB96" s="39">
        <f t="shared" si="433"/>
        <v>34395.141626278331</v>
      </c>
      <c r="CC96" s="39">
        <f t="shared" si="433"/>
        <v>34439.325991586396</v>
      </c>
      <c r="CD96" s="39">
        <f t="shared" si="433"/>
        <v>34483.652574930224</v>
      </c>
      <c r="CE96" s="39">
        <f t="shared" si="433"/>
        <v>34528.121878519494</v>
      </c>
      <c r="CF96" s="39">
        <f t="shared" si="433"/>
        <v>34572.734406401534</v>
      </c>
      <c r="CG96" s="39">
        <f t="shared" si="433"/>
        <v>34617.490664468191</v>
      </c>
      <c r="CH96" s="39">
        <f t="shared" si="433"/>
        <v>34662.391160462612</v>
      </c>
      <c r="CI96" s="39">
        <f t="shared" si="433"/>
        <v>34707.436403986154</v>
      </c>
      <c r="CJ96" s="39">
        <f t="shared" si="433"/>
        <v>34752.626906505233</v>
      </c>
      <c r="CK96" s="39">
        <f t="shared" si="433"/>
        <v>34797.963181358253</v>
      </c>
      <c r="CL96" s="39">
        <f t="shared" si="433"/>
        <v>34843.445743762524</v>
      </c>
      <c r="CM96" s="39">
        <f t="shared" si="433"/>
        <v>34889.075110821257</v>
      </c>
      <c r="CN96" s="39">
        <f t="shared" si="433"/>
        <v>34934.851801530524</v>
      </c>
      <c r="CO96" s="39">
        <f t="shared" si="433"/>
        <v>34980.776336786272</v>
      </c>
      <c r="CP96" s="39">
        <f t="shared" si="433"/>
        <v>35026.849239391391</v>
      </c>
      <c r="CQ96" s="39">
        <f t="shared" si="433"/>
        <v>35073.071034062756</v>
      </c>
      <c r="CR96" s="39">
        <f t="shared" si="433"/>
        <v>35119.442247438332</v>
      </c>
      <c r="CS96" s="39">
        <f t="shared" si="433"/>
        <v>35165.963408084259</v>
      </c>
      <c r="CT96" s="39">
        <f t="shared" si="433"/>
        <v>35212.635046502066</v>
      </c>
      <c r="CU96" s="39">
        <f t="shared" si="433"/>
        <v>35259.457695135789</v>
      </c>
      <c r="CV96" s="39">
        <f t="shared" si="433"/>
        <v>35306.431888379171</v>
      </c>
      <c r="CW96" s="39">
        <f t="shared" si="433"/>
        <v>35353.558162582944</v>
      </c>
      <c r="CX96" s="39">
        <f t="shared" si="433"/>
        <v>35400.837056061995</v>
      </c>
      <c r="CY96" s="39">
        <f t="shared" si="433"/>
        <v>35448.269109102715</v>
      </c>
      <c r="CZ96" s="39">
        <f t="shared" si="433"/>
        <v>35495.854863970279</v>
      </c>
      <c r="DA96" s="39">
        <f t="shared" ref="DA96" si="434">SUM(DA87:DA95)</f>
        <v>35543.594864915991</v>
      </c>
      <c r="DB96" s="39">
        <f t="shared" ref="DB96" si="435">SUM(DB87:DB95)</f>
        <v>35591.489658184633</v>
      </c>
      <c r="DC96" s="39">
        <f t="shared" ref="DC96" si="436">SUM(DC87:DC95)</f>
        <v>35639.539792021846</v>
      </c>
      <c r="DD96" s="39">
        <f t="shared" ref="DD96" si="437">SUM(DD87:DD95)</f>
        <v>35687.745816681585</v>
      </c>
      <c r="DE96" s="39">
        <f t="shared" ref="DE96" si="438">SUM(DE87:DE95)</f>
        <v>35736.108284433518</v>
      </c>
      <c r="DF96" s="39">
        <f t="shared" ref="DF96" si="439">SUM(DF87:DF95)</f>
        <v>35784.627749570514</v>
      </c>
      <c r="DG96" s="39">
        <f t="shared" ref="DG96" si="440">SUM(DG87:DG95)</f>
        <v>35833.304768416179</v>
      </c>
      <c r="DH96" s="39">
        <f t="shared" ref="DH96" si="441">SUM(DH87:DH95)</f>
        <v>35882.139899332309</v>
      </c>
      <c r="DI96" s="39">
        <f t="shared" ref="DI96" si="442">SUM(DI87:DI95)</f>
        <v>35931.133702726518</v>
      </c>
      <c r="DJ96" s="39">
        <f t="shared" ref="DJ96" si="443">SUM(DJ87:DJ95)</f>
        <v>35980.286741059768</v>
      </c>
      <c r="DK96" s="39">
        <f t="shared" ref="DK96" si="444">SUM(DK87:DK95)</f>
        <v>36029.599578854002</v>
      </c>
      <c r="DL96" s="39">
        <f t="shared" ref="DL96" si="445">SUM(DL87:DL95)</f>
        <v>36079.072782699805</v>
      </c>
      <c r="DM96" s="39">
        <f t="shared" ref="DM96" si="446">SUM(DM87:DM95)</f>
        <v>36128.706921264049</v>
      </c>
      <c r="DN96" s="39">
        <f t="shared" ref="DN96" si="447">SUM(DN87:DN95)</f>
        <v>36178.502565297575</v>
      </c>
      <c r="DO96" s="39">
        <f t="shared" ref="DO96" si="448">SUM(DO87:DO95)</f>
        <v>36228.460287642942</v>
      </c>
      <c r="DP96" s="39">
        <f t="shared" ref="DP96" si="449">SUM(DP87:DP95)</f>
        <v>0</v>
      </c>
      <c r="DQ96" s="39">
        <f t="shared" ref="DQ96" si="450">SUM(DQ87:DQ95)</f>
        <v>0</v>
      </c>
    </row>
    <row r="97" spans="2:1006" x14ac:dyDescent="0.35">
      <c r="G97" s="25"/>
      <c r="H97" s="25"/>
    </row>
    <row r="98" spans="2:1006" x14ac:dyDescent="0.35">
      <c r="D98" s="20" t="s">
        <v>102</v>
      </c>
      <c r="G98" s="25"/>
      <c r="H98" s="25"/>
    </row>
    <row r="99" spans="2:1006" x14ac:dyDescent="0.35">
      <c r="E99" s="20" t="s">
        <v>218</v>
      </c>
      <c r="F99" s="20" t="s">
        <v>78</v>
      </c>
      <c r="G99" s="46">
        <f>Assumptions!F85</f>
        <v>71742</v>
      </c>
      <c r="H99" s="46">
        <f>Assumptions!F86</f>
        <v>71742</v>
      </c>
      <c r="K99" s="20" t="b">
        <f>OR(K6=$G$99,K6=$H$99)</f>
        <v>0</v>
      </c>
      <c r="L99" s="20" t="b">
        <f t="shared" ref="L99:BW99" si="451">OR(L6=$G$99,L6=$H$99)</f>
        <v>0</v>
      </c>
      <c r="M99" s="20" t="b">
        <f t="shared" si="451"/>
        <v>0</v>
      </c>
      <c r="N99" s="20" t="b">
        <f t="shared" si="451"/>
        <v>0</v>
      </c>
      <c r="O99" s="20" t="b">
        <f t="shared" si="451"/>
        <v>0</v>
      </c>
      <c r="P99" s="20" t="b">
        <f t="shared" si="451"/>
        <v>0</v>
      </c>
      <c r="Q99" s="20" t="b">
        <f t="shared" si="451"/>
        <v>0</v>
      </c>
      <c r="R99" s="20" t="b">
        <f t="shared" si="451"/>
        <v>0</v>
      </c>
      <c r="S99" s="20" t="b">
        <f t="shared" si="451"/>
        <v>0</v>
      </c>
      <c r="T99" s="20" t="b">
        <f t="shared" si="451"/>
        <v>0</v>
      </c>
      <c r="U99" s="20" t="b">
        <f t="shared" si="451"/>
        <v>0</v>
      </c>
      <c r="V99" s="20" t="b">
        <f t="shared" si="451"/>
        <v>0</v>
      </c>
      <c r="W99" s="20" t="b">
        <f t="shared" si="451"/>
        <v>0</v>
      </c>
      <c r="X99" s="20" t="b">
        <f t="shared" si="451"/>
        <v>0</v>
      </c>
      <c r="Y99" s="20" t="b">
        <f t="shared" si="451"/>
        <v>0</v>
      </c>
      <c r="Z99" s="20" t="b">
        <f t="shared" si="451"/>
        <v>0</v>
      </c>
      <c r="AA99" s="20" t="b">
        <f t="shared" si="451"/>
        <v>0</v>
      </c>
      <c r="AB99" s="20" t="b">
        <f t="shared" si="451"/>
        <v>0</v>
      </c>
      <c r="AC99" s="20" t="b">
        <f t="shared" si="451"/>
        <v>0</v>
      </c>
      <c r="AD99" s="20" t="b">
        <f t="shared" si="451"/>
        <v>0</v>
      </c>
      <c r="AE99" s="20" t="b">
        <f t="shared" si="451"/>
        <v>0</v>
      </c>
      <c r="AF99" s="20" t="b">
        <f t="shared" si="451"/>
        <v>0</v>
      </c>
      <c r="AG99" s="20" t="b">
        <f t="shared" si="451"/>
        <v>0</v>
      </c>
      <c r="AH99" s="20" t="b">
        <f t="shared" si="451"/>
        <v>0</v>
      </c>
      <c r="AI99" s="20" t="b">
        <f t="shared" si="451"/>
        <v>0</v>
      </c>
      <c r="AJ99" s="20" t="b">
        <f t="shared" si="451"/>
        <v>0</v>
      </c>
      <c r="AK99" s="20" t="b">
        <f t="shared" si="451"/>
        <v>0</v>
      </c>
      <c r="AL99" s="20" t="b">
        <f t="shared" si="451"/>
        <v>0</v>
      </c>
      <c r="AM99" s="20" t="b">
        <f t="shared" si="451"/>
        <v>0</v>
      </c>
      <c r="AN99" s="20" t="b">
        <f t="shared" si="451"/>
        <v>0</v>
      </c>
      <c r="AO99" s="20" t="b">
        <f t="shared" si="451"/>
        <v>0</v>
      </c>
      <c r="AP99" s="20" t="b">
        <f t="shared" si="451"/>
        <v>0</v>
      </c>
      <c r="AQ99" s="20" t="b">
        <f t="shared" si="451"/>
        <v>0</v>
      </c>
      <c r="AR99" s="20" t="b">
        <f t="shared" si="451"/>
        <v>0</v>
      </c>
      <c r="AS99" s="20" t="b">
        <f t="shared" si="451"/>
        <v>0</v>
      </c>
      <c r="AT99" s="20" t="b">
        <f t="shared" si="451"/>
        <v>0</v>
      </c>
      <c r="AU99" s="20" t="b">
        <f t="shared" si="451"/>
        <v>0</v>
      </c>
      <c r="AV99" s="20" t="b">
        <f t="shared" si="451"/>
        <v>0</v>
      </c>
      <c r="AW99" s="20" t="b">
        <f t="shared" si="451"/>
        <v>0</v>
      </c>
      <c r="AX99" s="20" t="b">
        <f t="shared" si="451"/>
        <v>0</v>
      </c>
      <c r="AY99" s="20" t="b">
        <f t="shared" si="451"/>
        <v>0</v>
      </c>
      <c r="AZ99" s="20" t="b">
        <f t="shared" si="451"/>
        <v>0</v>
      </c>
      <c r="BA99" s="20" t="b">
        <f t="shared" si="451"/>
        <v>0</v>
      </c>
      <c r="BB99" s="20" t="b">
        <f t="shared" si="451"/>
        <v>0</v>
      </c>
      <c r="BC99" s="20" t="b">
        <f t="shared" si="451"/>
        <v>0</v>
      </c>
      <c r="BD99" s="20" t="b">
        <f t="shared" si="451"/>
        <v>0</v>
      </c>
      <c r="BE99" s="20" t="b">
        <f t="shared" si="451"/>
        <v>0</v>
      </c>
      <c r="BF99" s="20" t="b">
        <f t="shared" si="451"/>
        <v>0</v>
      </c>
      <c r="BG99" s="20" t="b">
        <f t="shared" si="451"/>
        <v>0</v>
      </c>
      <c r="BH99" s="20" t="b">
        <f t="shared" si="451"/>
        <v>0</v>
      </c>
      <c r="BI99" s="20" t="b">
        <f t="shared" si="451"/>
        <v>0</v>
      </c>
      <c r="BJ99" s="20" t="b">
        <f t="shared" si="451"/>
        <v>0</v>
      </c>
      <c r="BK99" s="20" t="b">
        <f t="shared" si="451"/>
        <v>0</v>
      </c>
      <c r="BL99" s="20" t="b">
        <f t="shared" si="451"/>
        <v>0</v>
      </c>
      <c r="BM99" s="20" t="b">
        <f t="shared" si="451"/>
        <v>0</v>
      </c>
      <c r="BN99" s="20" t="b">
        <f t="shared" si="451"/>
        <v>0</v>
      </c>
      <c r="BO99" s="20" t="b">
        <f t="shared" si="451"/>
        <v>0</v>
      </c>
      <c r="BP99" s="20" t="b">
        <f t="shared" si="451"/>
        <v>0</v>
      </c>
      <c r="BQ99" s="20" t="b">
        <f t="shared" si="451"/>
        <v>0</v>
      </c>
      <c r="BR99" s="20" t="b">
        <f t="shared" si="451"/>
        <v>0</v>
      </c>
      <c r="BS99" s="20" t="b">
        <f t="shared" si="451"/>
        <v>0</v>
      </c>
      <c r="BT99" s="20" t="b">
        <f t="shared" si="451"/>
        <v>0</v>
      </c>
      <c r="BU99" s="20" t="b">
        <f t="shared" si="451"/>
        <v>0</v>
      </c>
      <c r="BV99" s="20" t="b">
        <f t="shared" si="451"/>
        <v>0</v>
      </c>
      <c r="BW99" s="20" t="b">
        <f t="shared" si="451"/>
        <v>0</v>
      </c>
      <c r="BX99" s="20" t="b">
        <f t="shared" ref="BX99:DQ99" si="452">OR(BX6=$G$99,BX6=$H$99)</f>
        <v>0</v>
      </c>
      <c r="BY99" s="20" t="b">
        <f t="shared" si="452"/>
        <v>0</v>
      </c>
      <c r="BZ99" s="20" t="b">
        <f t="shared" si="452"/>
        <v>0</v>
      </c>
      <c r="CA99" s="20" t="b">
        <f t="shared" si="452"/>
        <v>0</v>
      </c>
      <c r="CB99" s="20" t="b">
        <f t="shared" si="452"/>
        <v>0</v>
      </c>
      <c r="CC99" s="20" t="b">
        <f t="shared" si="452"/>
        <v>0</v>
      </c>
      <c r="CD99" s="20" t="b">
        <f t="shared" si="452"/>
        <v>0</v>
      </c>
      <c r="CE99" s="20" t="b">
        <f t="shared" si="452"/>
        <v>0</v>
      </c>
      <c r="CF99" s="20" t="b">
        <f t="shared" si="452"/>
        <v>0</v>
      </c>
      <c r="CG99" s="20" t="b">
        <f t="shared" si="452"/>
        <v>0</v>
      </c>
      <c r="CH99" s="20" t="b">
        <f t="shared" si="452"/>
        <v>0</v>
      </c>
      <c r="CI99" s="20" t="b">
        <f t="shared" si="452"/>
        <v>0</v>
      </c>
      <c r="CJ99" s="20" t="b">
        <f t="shared" si="452"/>
        <v>0</v>
      </c>
      <c r="CK99" s="20" t="b">
        <f t="shared" si="452"/>
        <v>0</v>
      </c>
      <c r="CL99" s="20" t="b">
        <f t="shared" si="452"/>
        <v>0</v>
      </c>
      <c r="CM99" s="20" t="b">
        <f t="shared" si="452"/>
        <v>0</v>
      </c>
      <c r="CN99" s="20" t="b">
        <f t="shared" si="452"/>
        <v>0</v>
      </c>
      <c r="CO99" s="20" t="b">
        <f t="shared" si="452"/>
        <v>0</v>
      </c>
      <c r="CP99" s="20" t="b">
        <f t="shared" si="452"/>
        <v>0</v>
      </c>
      <c r="CQ99" s="20" t="b">
        <f t="shared" si="452"/>
        <v>0</v>
      </c>
      <c r="CR99" s="20" t="b">
        <f t="shared" si="452"/>
        <v>0</v>
      </c>
      <c r="CS99" s="20" t="b">
        <f t="shared" si="452"/>
        <v>0</v>
      </c>
      <c r="CT99" s="20" t="b">
        <f t="shared" si="452"/>
        <v>0</v>
      </c>
      <c r="CU99" s="20" t="b">
        <f t="shared" si="452"/>
        <v>0</v>
      </c>
      <c r="CV99" s="20" t="b">
        <f t="shared" si="452"/>
        <v>0</v>
      </c>
      <c r="CW99" s="20" t="b">
        <f t="shared" si="452"/>
        <v>0</v>
      </c>
      <c r="CX99" s="20" t="b">
        <f t="shared" si="452"/>
        <v>0</v>
      </c>
      <c r="CY99" s="20" t="b">
        <f t="shared" si="452"/>
        <v>0</v>
      </c>
      <c r="CZ99" s="20" t="b">
        <f t="shared" si="452"/>
        <v>0</v>
      </c>
      <c r="DA99" s="20" t="b">
        <f t="shared" si="452"/>
        <v>0</v>
      </c>
      <c r="DB99" s="20" t="b">
        <f t="shared" si="452"/>
        <v>0</v>
      </c>
      <c r="DC99" s="20" t="b">
        <f t="shared" si="452"/>
        <v>0</v>
      </c>
      <c r="DD99" s="20" t="b">
        <f t="shared" si="452"/>
        <v>0</v>
      </c>
      <c r="DE99" s="20" t="b">
        <f t="shared" si="452"/>
        <v>0</v>
      </c>
      <c r="DF99" s="20" t="b">
        <f t="shared" si="452"/>
        <v>0</v>
      </c>
      <c r="DG99" s="20" t="b">
        <f t="shared" si="452"/>
        <v>0</v>
      </c>
      <c r="DH99" s="20" t="b">
        <f t="shared" si="452"/>
        <v>0</v>
      </c>
      <c r="DI99" s="20" t="b">
        <f t="shared" si="452"/>
        <v>0</v>
      </c>
      <c r="DJ99" s="20" t="b">
        <f t="shared" si="452"/>
        <v>0</v>
      </c>
      <c r="DK99" s="20" t="b">
        <f t="shared" si="452"/>
        <v>0</v>
      </c>
      <c r="DL99" s="20" t="b">
        <f t="shared" si="452"/>
        <v>0</v>
      </c>
      <c r="DM99" s="20" t="b">
        <f t="shared" si="452"/>
        <v>0</v>
      </c>
      <c r="DN99" s="20" t="b">
        <f t="shared" si="452"/>
        <v>0</v>
      </c>
      <c r="DO99" s="20" t="b">
        <f t="shared" si="452"/>
        <v>0</v>
      </c>
      <c r="DP99" s="20" t="b">
        <f t="shared" si="452"/>
        <v>0</v>
      </c>
      <c r="DQ99" s="20" t="b">
        <f t="shared" si="452"/>
        <v>0</v>
      </c>
    </row>
    <row r="100" spans="2:1006" x14ac:dyDescent="0.35">
      <c r="E100" s="20" t="s">
        <v>143</v>
      </c>
      <c r="F100" s="20" t="s">
        <v>129</v>
      </c>
      <c r="G100" s="49">
        <f>Assumptions!F88</f>
        <v>34</v>
      </c>
      <c r="I100" s="54">
        <f>SUM(K100:DQ100)</f>
        <v>0</v>
      </c>
      <c r="K100" s="20">
        <f>$G100*K$99*K87</f>
        <v>0</v>
      </c>
      <c r="L100" s="20">
        <f t="shared" ref="L100:BW100" si="453">$G100*L$99*L87</f>
        <v>0</v>
      </c>
      <c r="M100" s="20">
        <f t="shared" si="453"/>
        <v>0</v>
      </c>
      <c r="N100" s="20">
        <f t="shared" si="453"/>
        <v>0</v>
      </c>
      <c r="O100" s="20">
        <f t="shared" si="453"/>
        <v>0</v>
      </c>
      <c r="P100" s="20">
        <f t="shared" si="453"/>
        <v>0</v>
      </c>
      <c r="Q100" s="20">
        <f t="shared" si="453"/>
        <v>0</v>
      </c>
      <c r="R100" s="20">
        <f t="shared" si="453"/>
        <v>0</v>
      </c>
      <c r="S100" s="20">
        <f t="shared" si="453"/>
        <v>0</v>
      </c>
      <c r="T100" s="20">
        <f t="shared" si="453"/>
        <v>0</v>
      </c>
      <c r="U100" s="20">
        <f t="shared" si="453"/>
        <v>0</v>
      </c>
      <c r="V100" s="20">
        <f t="shared" si="453"/>
        <v>0</v>
      </c>
      <c r="W100" s="20">
        <f t="shared" si="453"/>
        <v>0</v>
      </c>
      <c r="X100" s="20">
        <f t="shared" si="453"/>
        <v>0</v>
      </c>
      <c r="Y100" s="20">
        <f t="shared" si="453"/>
        <v>0</v>
      </c>
      <c r="Z100" s="20">
        <f t="shared" si="453"/>
        <v>0</v>
      </c>
      <c r="AA100" s="20">
        <f t="shared" si="453"/>
        <v>0</v>
      </c>
      <c r="AB100" s="20">
        <f t="shared" si="453"/>
        <v>0</v>
      </c>
      <c r="AC100" s="20">
        <f t="shared" si="453"/>
        <v>0</v>
      </c>
      <c r="AD100" s="20">
        <f t="shared" si="453"/>
        <v>0</v>
      </c>
      <c r="AE100" s="20">
        <f t="shared" si="453"/>
        <v>0</v>
      </c>
      <c r="AF100" s="20">
        <f t="shared" si="453"/>
        <v>0</v>
      </c>
      <c r="AG100" s="20">
        <f t="shared" si="453"/>
        <v>0</v>
      </c>
      <c r="AH100" s="20">
        <f t="shared" si="453"/>
        <v>0</v>
      </c>
      <c r="AI100" s="20">
        <f t="shared" si="453"/>
        <v>0</v>
      </c>
      <c r="AJ100" s="20">
        <f t="shared" si="453"/>
        <v>0</v>
      </c>
      <c r="AK100" s="20">
        <f t="shared" si="453"/>
        <v>0</v>
      </c>
      <c r="AL100" s="20">
        <f t="shared" si="453"/>
        <v>0</v>
      </c>
      <c r="AM100" s="20">
        <f t="shared" si="453"/>
        <v>0</v>
      </c>
      <c r="AN100" s="20">
        <f t="shared" si="453"/>
        <v>0</v>
      </c>
      <c r="AO100" s="20">
        <f t="shared" si="453"/>
        <v>0</v>
      </c>
      <c r="AP100" s="20">
        <f t="shared" si="453"/>
        <v>0</v>
      </c>
      <c r="AQ100" s="20">
        <f t="shared" si="453"/>
        <v>0</v>
      </c>
      <c r="AR100" s="20">
        <f t="shared" si="453"/>
        <v>0</v>
      </c>
      <c r="AS100" s="20">
        <f t="shared" si="453"/>
        <v>0</v>
      </c>
      <c r="AT100" s="20">
        <f t="shared" si="453"/>
        <v>0</v>
      </c>
      <c r="AU100" s="20">
        <f t="shared" si="453"/>
        <v>0</v>
      </c>
      <c r="AV100" s="20">
        <f t="shared" si="453"/>
        <v>0</v>
      </c>
      <c r="AW100" s="20">
        <f t="shared" si="453"/>
        <v>0</v>
      </c>
      <c r="AX100" s="20">
        <f t="shared" si="453"/>
        <v>0</v>
      </c>
      <c r="AY100" s="20">
        <f t="shared" si="453"/>
        <v>0</v>
      </c>
      <c r="AZ100" s="20">
        <f t="shared" si="453"/>
        <v>0</v>
      </c>
      <c r="BA100" s="20">
        <f t="shared" si="453"/>
        <v>0</v>
      </c>
      <c r="BB100" s="20">
        <f t="shared" si="453"/>
        <v>0</v>
      </c>
      <c r="BC100" s="20">
        <f t="shared" si="453"/>
        <v>0</v>
      </c>
      <c r="BD100" s="20">
        <f t="shared" si="453"/>
        <v>0</v>
      </c>
      <c r="BE100" s="20">
        <f t="shared" si="453"/>
        <v>0</v>
      </c>
      <c r="BF100" s="20">
        <f t="shared" si="453"/>
        <v>0</v>
      </c>
      <c r="BG100" s="20">
        <f t="shared" si="453"/>
        <v>0</v>
      </c>
      <c r="BH100" s="20">
        <f t="shared" si="453"/>
        <v>0</v>
      </c>
      <c r="BI100" s="20">
        <f t="shared" si="453"/>
        <v>0</v>
      </c>
      <c r="BJ100" s="20">
        <f t="shared" si="453"/>
        <v>0</v>
      </c>
      <c r="BK100" s="20">
        <f t="shared" si="453"/>
        <v>0</v>
      </c>
      <c r="BL100" s="20">
        <f t="shared" si="453"/>
        <v>0</v>
      </c>
      <c r="BM100" s="20">
        <f t="shared" si="453"/>
        <v>0</v>
      </c>
      <c r="BN100" s="20">
        <f t="shared" si="453"/>
        <v>0</v>
      </c>
      <c r="BO100" s="20">
        <f t="shared" si="453"/>
        <v>0</v>
      </c>
      <c r="BP100" s="20">
        <f t="shared" si="453"/>
        <v>0</v>
      </c>
      <c r="BQ100" s="20">
        <f t="shared" si="453"/>
        <v>0</v>
      </c>
      <c r="BR100" s="20">
        <f t="shared" si="453"/>
        <v>0</v>
      </c>
      <c r="BS100" s="20">
        <f t="shared" si="453"/>
        <v>0</v>
      </c>
      <c r="BT100" s="20">
        <f t="shared" si="453"/>
        <v>0</v>
      </c>
      <c r="BU100" s="20">
        <f t="shared" si="453"/>
        <v>0</v>
      </c>
      <c r="BV100" s="20">
        <f t="shared" si="453"/>
        <v>0</v>
      </c>
      <c r="BW100" s="20">
        <f t="shared" si="453"/>
        <v>0</v>
      </c>
      <c r="BX100" s="20">
        <f t="shared" ref="BX100:DQ100" si="454">$G100*BX$99*BX87</f>
        <v>0</v>
      </c>
      <c r="BY100" s="20">
        <f t="shared" si="454"/>
        <v>0</v>
      </c>
      <c r="BZ100" s="20">
        <f t="shared" si="454"/>
        <v>0</v>
      </c>
      <c r="CA100" s="20">
        <f t="shared" si="454"/>
        <v>0</v>
      </c>
      <c r="CB100" s="20">
        <f t="shared" si="454"/>
        <v>0</v>
      </c>
      <c r="CC100" s="20">
        <f t="shared" si="454"/>
        <v>0</v>
      </c>
      <c r="CD100" s="20">
        <f t="shared" si="454"/>
        <v>0</v>
      </c>
      <c r="CE100" s="20">
        <f t="shared" si="454"/>
        <v>0</v>
      </c>
      <c r="CF100" s="20">
        <f t="shared" si="454"/>
        <v>0</v>
      </c>
      <c r="CG100" s="20">
        <f t="shared" si="454"/>
        <v>0</v>
      </c>
      <c r="CH100" s="20">
        <f t="shared" si="454"/>
        <v>0</v>
      </c>
      <c r="CI100" s="20">
        <f t="shared" si="454"/>
        <v>0</v>
      </c>
      <c r="CJ100" s="20">
        <f t="shared" si="454"/>
        <v>0</v>
      </c>
      <c r="CK100" s="20">
        <f t="shared" si="454"/>
        <v>0</v>
      </c>
      <c r="CL100" s="20">
        <f t="shared" si="454"/>
        <v>0</v>
      </c>
      <c r="CM100" s="20">
        <f t="shared" si="454"/>
        <v>0</v>
      </c>
      <c r="CN100" s="20">
        <f t="shared" si="454"/>
        <v>0</v>
      </c>
      <c r="CO100" s="20">
        <f t="shared" si="454"/>
        <v>0</v>
      </c>
      <c r="CP100" s="20">
        <f t="shared" si="454"/>
        <v>0</v>
      </c>
      <c r="CQ100" s="20">
        <f t="shared" si="454"/>
        <v>0</v>
      </c>
      <c r="CR100" s="20">
        <f t="shared" si="454"/>
        <v>0</v>
      </c>
      <c r="CS100" s="20">
        <f t="shared" si="454"/>
        <v>0</v>
      </c>
      <c r="CT100" s="20">
        <f t="shared" si="454"/>
        <v>0</v>
      </c>
      <c r="CU100" s="20">
        <f t="shared" si="454"/>
        <v>0</v>
      </c>
      <c r="CV100" s="20">
        <f t="shared" si="454"/>
        <v>0</v>
      </c>
      <c r="CW100" s="20">
        <f t="shared" si="454"/>
        <v>0</v>
      </c>
      <c r="CX100" s="20">
        <f t="shared" si="454"/>
        <v>0</v>
      </c>
      <c r="CY100" s="20">
        <f t="shared" si="454"/>
        <v>0</v>
      </c>
      <c r="CZ100" s="20">
        <f t="shared" si="454"/>
        <v>0</v>
      </c>
      <c r="DA100" s="20">
        <f t="shared" si="454"/>
        <v>0</v>
      </c>
      <c r="DB100" s="20">
        <f t="shared" si="454"/>
        <v>0</v>
      </c>
      <c r="DC100" s="20">
        <f t="shared" si="454"/>
        <v>0</v>
      </c>
      <c r="DD100" s="20">
        <f t="shared" si="454"/>
        <v>0</v>
      </c>
      <c r="DE100" s="20">
        <f t="shared" si="454"/>
        <v>0</v>
      </c>
      <c r="DF100" s="20">
        <f t="shared" si="454"/>
        <v>0</v>
      </c>
      <c r="DG100" s="20">
        <f t="shared" si="454"/>
        <v>0</v>
      </c>
      <c r="DH100" s="20">
        <f t="shared" si="454"/>
        <v>0</v>
      </c>
      <c r="DI100" s="20">
        <f t="shared" si="454"/>
        <v>0</v>
      </c>
      <c r="DJ100" s="20">
        <f t="shared" si="454"/>
        <v>0</v>
      </c>
      <c r="DK100" s="20">
        <f t="shared" si="454"/>
        <v>0</v>
      </c>
      <c r="DL100" s="20">
        <f t="shared" si="454"/>
        <v>0</v>
      </c>
      <c r="DM100" s="20">
        <f t="shared" si="454"/>
        <v>0</v>
      </c>
      <c r="DN100" s="20">
        <f t="shared" si="454"/>
        <v>0</v>
      </c>
      <c r="DO100" s="20">
        <f t="shared" si="454"/>
        <v>0</v>
      </c>
      <c r="DP100" s="20">
        <f t="shared" si="454"/>
        <v>0</v>
      </c>
      <c r="DQ100" s="20">
        <f t="shared" si="454"/>
        <v>0</v>
      </c>
    </row>
    <row r="101" spans="2:1006" x14ac:dyDescent="0.35">
      <c r="E101" s="20" t="s">
        <v>142</v>
      </c>
      <c r="F101" s="20" t="s">
        <v>129</v>
      </c>
      <c r="G101" s="49">
        <f>Assumptions!F89</f>
        <v>25</v>
      </c>
      <c r="I101" s="54">
        <f>SUM(K101:DQ101)</f>
        <v>0</v>
      </c>
      <c r="K101" s="20">
        <f>$G101*K$99*K87</f>
        <v>0</v>
      </c>
      <c r="L101" s="20">
        <f t="shared" ref="L101:BW101" si="455">$G101*L$99*L87</f>
        <v>0</v>
      </c>
      <c r="M101" s="20">
        <f t="shared" si="455"/>
        <v>0</v>
      </c>
      <c r="N101" s="20">
        <f t="shared" si="455"/>
        <v>0</v>
      </c>
      <c r="O101" s="20">
        <f t="shared" si="455"/>
        <v>0</v>
      </c>
      <c r="P101" s="20">
        <f t="shared" si="455"/>
        <v>0</v>
      </c>
      <c r="Q101" s="20">
        <f t="shared" si="455"/>
        <v>0</v>
      </c>
      <c r="R101" s="20">
        <f t="shared" si="455"/>
        <v>0</v>
      </c>
      <c r="S101" s="20">
        <f t="shared" si="455"/>
        <v>0</v>
      </c>
      <c r="T101" s="20">
        <f t="shared" si="455"/>
        <v>0</v>
      </c>
      <c r="U101" s="20">
        <f t="shared" si="455"/>
        <v>0</v>
      </c>
      <c r="V101" s="20">
        <f t="shared" si="455"/>
        <v>0</v>
      </c>
      <c r="W101" s="20">
        <f t="shared" si="455"/>
        <v>0</v>
      </c>
      <c r="X101" s="20">
        <f t="shared" si="455"/>
        <v>0</v>
      </c>
      <c r="Y101" s="20">
        <f t="shared" si="455"/>
        <v>0</v>
      </c>
      <c r="Z101" s="20">
        <f t="shared" si="455"/>
        <v>0</v>
      </c>
      <c r="AA101" s="20">
        <f t="shared" si="455"/>
        <v>0</v>
      </c>
      <c r="AB101" s="20">
        <f t="shared" si="455"/>
        <v>0</v>
      </c>
      <c r="AC101" s="20">
        <f t="shared" si="455"/>
        <v>0</v>
      </c>
      <c r="AD101" s="20">
        <f t="shared" si="455"/>
        <v>0</v>
      </c>
      <c r="AE101" s="20">
        <f t="shared" si="455"/>
        <v>0</v>
      </c>
      <c r="AF101" s="20">
        <f t="shared" si="455"/>
        <v>0</v>
      </c>
      <c r="AG101" s="20">
        <f t="shared" si="455"/>
        <v>0</v>
      </c>
      <c r="AH101" s="20">
        <f t="shared" si="455"/>
        <v>0</v>
      </c>
      <c r="AI101" s="20">
        <f t="shared" si="455"/>
        <v>0</v>
      </c>
      <c r="AJ101" s="20">
        <f t="shared" si="455"/>
        <v>0</v>
      </c>
      <c r="AK101" s="20">
        <f t="shared" si="455"/>
        <v>0</v>
      </c>
      <c r="AL101" s="20">
        <f t="shared" si="455"/>
        <v>0</v>
      </c>
      <c r="AM101" s="20">
        <f t="shared" si="455"/>
        <v>0</v>
      </c>
      <c r="AN101" s="20">
        <f t="shared" si="455"/>
        <v>0</v>
      </c>
      <c r="AO101" s="20">
        <f t="shared" si="455"/>
        <v>0</v>
      </c>
      <c r="AP101" s="20">
        <f t="shared" si="455"/>
        <v>0</v>
      </c>
      <c r="AQ101" s="20">
        <f t="shared" si="455"/>
        <v>0</v>
      </c>
      <c r="AR101" s="20">
        <f t="shared" si="455"/>
        <v>0</v>
      </c>
      <c r="AS101" s="20">
        <f t="shared" si="455"/>
        <v>0</v>
      </c>
      <c r="AT101" s="20">
        <f t="shared" si="455"/>
        <v>0</v>
      </c>
      <c r="AU101" s="20">
        <f t="shared" si="455"/>
        <v>0</v>
      </c>
      <c r="AV101" s="20">
        <f t="shared" si="455"/>
        <v>0</v>
      </c>
      <c r="AW101" s="20">
        <f t="shared" si="455"/>
        <v>0</v>
      </c>
      <c r="AX101" s="20">
        <f t="shared" si="455"/>
        <v>0</v>
      </c>
      <c r="AY101" s="20">
        <f t="shared" si="455"/>
        <v>0</v>
      </c>
      <c r="AZ101" s="20">
        <f t="shared" si="455"/>
        <v>0</v>
      </c>
      <c r="BA101" s="20">
        <f t="shared" si="455"/>
        <v>0</v>
      </c>
      <c r="BB101" s="20">
        <f t="shared" si="455"/>
        <v>0</v>
      </c>
      <c r="BC101" s="20">
        <f t="shared" si="455"/>
        <v>0</v>
      </c>
      <c r="BD101" s="20">
        <f t="shared" si="455"/>
        <v>0</v>
      </c>
      <c r="BE101" s="20">
        <f t="shared" si="455"/>
        <v>0</v>
      </c>
      <c r="BF101" s="20">
        <f t="shared" si="455"/>
        <v>0</v>
      </c>
      <c r="BG101" s="20">
        <f t="shared" si="455"/>
        <v>0</v>
      </c>
      <c r="BH101" s="20">
        <f t="shared" si="455"/>
        <v>0</v>
      </c>
      <c r="BI101" s="20">
        <f t="shared" si="455"/>
        <v>0</v>
      </c>
      <c r="BJ101" s="20">
        <f t="shared" si="455"/>
        <v>0</v>
      </c>
      <c r="BK101" s="20">
        <f t="shared" si="455"/>
        <v>0</v>
      </c>
      <c r="BL101" s="20">
        <f t="shared" si="455"/>
        <v>0</v>
      </c>
      <c r="BM101" s="20">
        <f t="shared" si="455"/>
        <v>0</v>
      </c>
      <c r="BN101" s="20">
        <f t="shared" si="455"/>
        <v>0</v>
      </c>
      <c r="BO101" s="20">
        <f t="shared" si="455"/>
        <v>0</v>
      </c>
      <c r="BP101" s="20">
        <f t="shared" si="455"/>
        <v>0</v>
      </c>
      <c r="BQ101" s="20">
        <f t="shared" si="455"/>
        <v>0</v>
      </c>
      <c r="BR101" s="20">
        <f t="shared" si="455"/>
        <v>0</v>
      </c>
      <c r="BS101" s="20">
        <f t="shared" si="455"/>
        <v>0</v>
      </c>
      <c r="BT101" s="20">
        <f t="shared" si="455"/>
        <v>0</v>
      </c>
      <c r="BU101" s="20">
        <f t="shared" si="455"/>
        <v>0</v>
      </c>
      <c r="BV101" s="20">
        <f t="shared" si="455"/>
        <v>0</v>
      </c>
      <c r="BW101" s="20">
        <f t="shared" si="455"/>
        <v>0</v>
      </c>
      <c r="BX101" s="20">
        <f t="shared" ref="BX101:DQ101" si="456">$G101*BX$99*BX87</f>
        <v>0</v>
      </c>
      <c r="BY101" s="20">
        <f t="shared" si="456"/>
        <v>0</v>
      </c>
      <c r="BZ101" s="20">
        <f t="shared" si="456"/>
        <v>0</v>
      </c>
      <c r="CA101" s="20">
        <f t="shared" si="456"/>
        <v>0</v>
      </c>
      <c r="CB101" s="20">
        <f t="shared" si="456"/>
        <v>0</v>
      </c>
      <c r="CC101" s="20">
        <f t="shared" si="456"/>
        <v>0</v>
      </c>
      <c r="CD101" s="20">
        <f t="shared" si="456"/>
        <v>0</v>
      </c>
      <c r="CE101" s="20">
        <f t="shared" si="456"/>
        <v>0</v>
      </c>
      <c r="CF101" s="20">
        <f t="shared" si="456"/>
        <v>0</v>
      </c>
      <c r="CG101" s="20">
        <f t="shared" si="456"/>
        <v>0</v>
      </c>
      <c r="CH101" s="20">
        <f t="shared" si="456"/>
        <v>0</v>
      </c>
      <c r="CI101" s="20">
        <f t="shared" si="456"/>
        <v>0</v>
      </c>
      <c r="CJ101" s="20">
        <f t="shared" si="456"/>
        <v>0</v>
      </c>
      <c r="CK101" s="20">
        <f t="shared" si="456"/>
        <v>0</v>
      </c>
      <c r="CL101" s="20">
        <f t="shared" si="456"/>
        <v>0</v>
      </c>
      <c r="CM101" s="20">
        <f t="shared" si="456"/>
        <v>0</v>
      </c>
      <c r="CN101" s="20">
        <f t="shared" si="456"/>
        <v>0</v>
      </c>
      <c r="CO101" s="20">
        <f t="shared" si="456"/>
        <v>0</v>
      </c>
      <c r="CP101" s="20">
        <f t="shared" si="456"/>
        <v>0</v>
      </c>
      <c r="CQ101" s="20">
        <f t="shared" si="456"/>
        <v>0</v>
      </c>
      <c r="CR101" s="20">
        <f t="shared" si="456"/>
        <v>0</v>
      </c>
      <c r="CS101" s="20">
        <f t="shared" si="456"/>
        <v>0</v>
      </c>
      <c r="CT101" s="20">
        <f t="shared" si="456"/>
        <v>0</v>
      </c>
      <c r="CU101" s="20">
        <f t="shared" si="456"/>
        <v>0</v>
      </c>
      <c r="CV101" s="20">
        <f t="shared" si="456"/>
        <v>0</v>
      </c>
      <c r="CW101" s="20">
        <f t="shared" si="456"/>
        <v>0</v>
      </c>
      <c r="CX101" s="20">
        <f t="shared" si="456"/>
        <v>0</v>
      </c>
      <c r="CY101" s="20">
        <f t="shared" si="456"/>
        <v>0</v>
      </c>
      <c r="CZ101" s="20">
        <f t="shared" si="456"/>
        <v>0</v>
      </c>
      <c r="DA101" s="20">
        <f t="shared" si="456"/>
        <v>0</v>
      </c>
      <c r="DB101" s="20">
        <f t="shared" si="456"/>
        <v>0</v>
      </c>
      <c r="DC101" s="20">
        <f t="shared" si="456"/>
        <v>0</v>
      </c>
      <c r="DD101" s="20">
        <f t="shared" si="456"/>
        <v>0</v>
      </c>
      <c r="DE101" s="20">
        <f t="shared" si="456"/>
        <v>0</v>
      </c>
      <c r="DF101" s="20">
        <f t="shared" si="456"/>
        <v>0</v>
      </c>
      <c r="DG101" s="20">
        <f t="shared" si="456"/>
        <v>0</v>
      </c>
      <c r="DH101" s="20">
        <f t="shared" si="456"/>
        <v>0</v>
      </c>
      <c r="DI101" s="20">
        <f t="shared" si="456"/>
        <v>0</v>
      </c>
      <c r="DJ101" s="20">
        <f t="shared" si="456"/>
        <v>0</v>
      </c>
      <c r="DK101" s="20">
        <f t="shared" si="456"/>
        <v>0</v>
      </c>
      <c r="DL101" s="20">
        <f t="shared" si="456"/>
        <v>0</v>
      </c>
      <c r="DM101" s="20">
        <f t="shared" si="456"/>
        <v>0</v>
      </c>
      <c r="DN101" s="20">
        <f t="shared" si="456"/>
        <v>0</v>
      </c>
      <c r="DO101" s="20">
        <f t="shared" si="456"/>
        <v>0</v>
      </c>
      <c r="DP101" s="20">
        <f t="shared" si="456"/>
        <v>0</v>
      </c>
      <c r="DQ101" s="20">
        <f t="shared" si="456"/>
        <v>0</v>
      </c>
    </row>
    <row r="102" spans="2:1006" ht="15" thickBot="1" x14ac:dyDescent="0.4">
      <c r="E102" s="39" t="s">
        <v>224</v>
      </c>
      <c r="F102" s="39" t="s">
        <v>129</v>
      </c>
      <c r="G102" s="39"/>
      <c r="H102" s="39"/>
      <c r="I102" s="55">
        <f>SUM(K102:DQ102)</f>
        <v>0</v>
      </c>
      <c r="J102" s="39"/>
      <c r="K102" s="39">
        <f>SUM(K100:K101)</f>
        <v>0</v>
      </c>
      <c r="L102" s="39">
        <f t="shared" ref="L102:BW102" si="457">SUM(L100:L101)</f>
        <v>0</v>
      </c>
      <c r="M102" s="39">
        <f t="shared" si="457"/>
        <v>0</v>
      </c>
      <c r="N102" s="39">
        <f t="shared" si="457"/>
        <v>0</v>
      </c>
      <c r="O102" s="39">
        <f t="shared" si="457"/>
        <v>0</v>
      </c>
      <c r="P102" s="39">
        <f t="shared" si="457"/>
        <v>0</v>
      </c>
      <c r="Q102" s="39">
        <f t="shared" si="457"/>
        <v>0</v>
      </c>
      <c r="R102" s="39">
        <f t="shared" si="457"/>
        <v>0</v>
      </c>
      <c r="S102" s="39">
        <f t="shared" si="457"/>
        <v>0</v>
      </c>
      <c r="T102" s="39">
        <f t="shared" si="457"/>
        <v>0</v>
      </c>
      <c r="U102" s="39">
        <f t="shared" si="457"/>
        <v>0</v>
      </c>
      <c r="V102" s="39">
        <f t="shared" si="457"/>
        <v>0</v>
      </c>
      <c r="W102" s="39">
        <f t="shared" si="457"/>
        <v>0</v>
      </c>
      <c r="X102" s="39">
        <f t="shared" si="457"/>
        <v>0</v>
      </c>
      <c r="Y102" s="39">
        <f t="shared" si="457"/>
        <v>0</v>
      </c>
      <c r="Z102" s="39">
        <f t="shared" si="457"/>
        <v>0</v>
      </c>
      <c r="AA102" s="39">
        <f t="shared" si="457"/>
        <v>0</v>
      </c>
      <c r="AB102" s="39">
        <f t="shared" si="457"/>
        <v>0</v>
      </c>
      <c r="AC102" s="39">
        <f t="shared" si="457"/>
        <v>0</v>
      </c>
      <c r="AD102" s="39">
        <f t="shared" si="457"/>
        <v>0</v>
      </c>
      <c r="AE102" s="39">
        <f t="shared" si="457"/>
        <v>0</v>
      </c>
      <c r="AF102" s="39">
        <f t="shared" si="457"/>
        <v>0</v>
      </c>
      <c r="AG102" s="39">
        <f t="shared" si="457"/>
        <v>0</v>
      </c>
      <c r="AH102" s="39">
        <f t="shared" si="457"/>
        <v>0</v>
      </c>
      <c r="AI102" s="39">
        <f t="shared" si="457"/>
        <v>0</v>
      </c>
      <c r="AJ102" s="39">
        <f t="shared" si="457"/>
        <v>0</v>
      </c>
      <c r="AK102" s="39">
        <f t="shared" si="457"/>
        <v>0</v>
      </c>
      <c r="AL102" s="39">
        <f t="shared" si="457"/>
        <v>0</v>
      </c>
      <c r="AM102" s="39">
        <f t="shared" si="457"/>
        <v>0</v>
      </c>
      <c r="AN102" s="39">
        <f t="shared" si="457"/>
        <v>0</v>
      </c>
      <c r="AO102" s="39">
        <f t="shared" si="457"/>
        <v>0</v>
      </c>
      <c r="AP102" s="39">
        <f t="shared" si="457"/>
        <v>0</v>
      </c>
      <c r="AQ102" s="39">
        <f t="shared" si="457"/>
        <v>0</v>
      </c>
      <c r="AR102" s="39">
        <f t="shared" si="457"/>
        <v>0</v>
      </c>
      <c r="AS102" s="39">
        <f t="shared" si="457"/>
        <v>0</v>
      </c>
      <c r="AT102" s="39">
        <f t="shared" si="457"/>
        <v>0</v>
      </c>
      <c r="AU102" s="39">
        <f t="shared" si="457"/>
        <v>0</v>
      </c>
      <c r="AV102" s="39">
        <f t="shared" si="457"/>
        <v>0</v>
      </c>
      <c r="AW102" s="39">
        <f t="shared" si="457"/>
        <v>0</v>
      </c>
      <c r="AX102" s="39">
        <f t="shared" si="457"/>
        <v>0</v>
      </c>
      <c r="AY102" s="39">
        <f t="shared" si="457"/>
        <v>0</v>
      </c>
      <c r="AZ102" s="39">
        <f t="shared" si="457"/>
        <v>0</v>
      </c>
      <c r="BA102" s="39">
        <f t="shared" si="457"/>
        <v>0</v>
      </c>
      <c r="BB102" s="39">
        <f t="shared" si="457"/>
        <v>0</v>
      </c>
      <c r="BC102" s="39">
        <f t="shared" si="457"/>
        <v>0</v>
      </c>
      <c r="BD102" s="39">
        <f t="shared" si="457"/>
        <v>0</v>
      </c>
      <c r="BE102" s="39">
        <f t="shared" si="457"/>
        <v>0</v>
      </c>
      <c r="BF102" s="39">
        <f t="shared" si="457"/>
        <v>0</v>
      </c>
      <c r="BG102" s="39">
        <f t="shared" si="457"/>
        <v>0</v>
      </c>
      <c r="BH102" s="39">
        <f t="shared" si="457"/>
        <v>0</v>
      </c>
      <c r="BI102" s="39">
        <f t="shared" si="457"/>
        <v>0</v>
      </c>
      <c r="BJ102" s="39">
        <f t="shared" si="457"/>
        <v>0</v>
      </c>
      <c r="BK102" s="39">
        <f t="shared" si="457"/>
        <v>0</v>
      </c>
      <c r="BL102" s="39">
        <f t="shared" si="457"/>
        <v>0</v>
      </c>
      <c r="BM102" s="39">
        <f t="shared" si="457"/>
        <v>0</v>
      </c>
      <c r="BN102" s="39">
        <f t="shared" si="457"/>
        <v>0</v>
      </c>
      <c r="BO102" s="39">
        <f t="shared" si="457"/>
        <v>0</v>
      </c>
      <c r="BP102" s="39">
        <f t="shared" si="457"/>
        <v>0</v>
      </c>
      <c r="BQ102" s="39">
        <f t="shared" si="457"/>
        <v>0</v>
      </c>
      <c r="BR102" s="39">
        <f t="shared" si="457"/>
        <v>0</v>
      </c>
      <c r="BS102" s="39">
        <f t="shared" si="457"/>
        <v>0</v>
      </c>
      <c r="BT102" s="39">
        <f t="shared" si="457"/>
        <v>0</v>
      </c>
      <c r="BU102" s="39">
        <f t="shared" si="457"/>
        <v>0</v>
      </c>
      <c r="BV102" s="39">
        <f t="shared" si="457"/>
        <v>0</v>
      </c>
      <c r="BW102" s="39">
        <f t="shared" si="457"/>
        <v>0</v>
      </c>
      <c r="BX102" s="39">
        <f t="shared" ref="BX102:DQ102" si="458">SUM(BX100:BX101)</f>
        <v>0</v>
      </c>
      <c r="BY102" s="39">
        <f t="shared" si="458"/>
        <v>0</v>
      </c>
      <c r="BZ102" s="39">
        <f t="shared" si="458"/>
        <v>0</v>
      </c>
      <c r="CA102" s="39">
        <f t="shared" si="458"/>
        <v>0</v>
      </c>
      <c r="CB102" s="39">
        <f t="shared" si="458"/>
        <v>0</v>
      </c>
      <c r="CC102" s="39">
        <f t="shared" si="458"/>
        <v>0</v>
      </c>
      <c r="CD102" s="39">
        <f t="shared" si="458"/>
        <v>0</v>
      </c>
      <c r="CE102" s="39">
        <f t="shared" si="458"/>
        <v>0</v>
      </c>
      <c r="CF102" s="39">
        <f t="shared" si="458"/>
        <v>0</v>
      </c>
      <c r="CG102" s="39">
        <f t="shared" si="458"/>
        <v>0</v>
      </c>
      <c r="CH102" s="39">
        <f t="shared" si="458"/>
        <v>0</v>
      </c>
      <c r="CI102" s="39">
        <f t="shared" si="458"/>
        <v>0</v>
      </c>
      <c r="CJ102" s="39">
        <f t="shared" si="458"/>
        <v>0</v>
      </c>
      <c r="CK102" s="39">
        <f t="shared" si="458"/>
        <v>0</v>
      </c>
      <c r="CL102" s="39">
        <f t="shared" si="458"/>
        <v>0</v>
      </c>
      <c r="CM102" s="39">
        <f t="shared" si="458"/>
        <v>0</v>
      </c>
      <c r="CN102" s="39">
        <f t="shared" si="458"/>
        <v>0</v>
      </c>
      <c r="CO102" s="39">
        <f t="shared" si="458"/>
        <v>0</v>
      </c>
      <c r="CP102" s="39">
        <f t="shared" si="458"/>
        <v>0</v>
      </c>
      <c r="CQ102" s="39">
        <f t="shared" si="458"/>
        <v>0</v>
      </c>
      <c r="CR102" s="39">
        <f t="shared" si="458"/>
        <v>0</v>
      </c>
      <c r="CS102" s="39">
        <f t="shared" si="458"/>
        <v>0</v>
      </c>
      <c r="CT102" s="39">
        <f t="shared" si="458"/>
        <v>0</v>
      </c>
      <c r="CU102" s="39">
        <f t="shared" si="458"/>
        <v>0</v>
      </c>
      <c r="CV102" s="39">
        <f t="shared" si="458"/>
        <v>0</v>
      </c>
      <c r="CW102" s="39">
        <f t="shared" si="458"/>
        <v>0</v>
      </c>
      <c r="CX102" s="39">
        <f t="shared" si="458"/>
        <v>0</v>
      </c>
      <c r="CY102" s="39">
        <f t="shared" si="458"/>
        <v>0</v>
      </c>
      <c r="CZ102" s="39">
        <f t="shared" si="458"/>
        <v>0</v>
      </c>
      <c r="DA102" s="39">
        <f t="shared" si="458"/>
        <v>0</v>
      </c>
      <c r="DB102" s="39">
        <f t="shared" si="458"/>
        <v>0</v>
      </c>
      <c r="DC102" s="39">
        <f t="shared" si="458"/>
        <v>0</v>
      </c>
      <c r="DD102" s="39">
        <f t="shared" si="458"/>
        <v>0</v>
      </c>
      <c r="DE102" s="39">
        <f t="shared" si="458"/>
        <v>0</v>
      </c>
      <c r="DF102" s="39">
        <f t="shared" si="458"/>
        <v>0</v>
      </c>
      <c r="DG102" s="39">
        <f t="shared" si="458"/>
        <v>0</v>
      </c>
      <c r="DH102" s="39">
        <f t="shared" si="458"/>
        <v>0</v>
      </c>
      <c r="DI102" s="39">
        <f t="shared" si="458"/>
        <v>0</v>
      </c>
      <c r="DJ102" s="39">
        <f t="shared" si="458"/>
        <v>0</v>
      </c>
      <c r="DK102" s="39">
        <f t="shared" si="458"/>
        <v>0</v>
      </c>
      <c r="DL102" s="39">
        <f t="shared" si="458"/>
        <v>0</v>
      </c>
      <c r="DM102" s="39">
        <f t="shared" si="458"/>
        <v>0</v>
      </c>
      <c r="DN102" s="39">
        <f t="shared" si="458"/>
        <v>0</v>
      </c>
      <c r="DO102" s="39">
        <f t="shared" si="458"/>
        <v>0</v>
      </c>
      <c r="DP102" s="39">
        <f t="shared" si="458"/>
        <v>0</v>
      </c>
      <c r="DQ102" s="39">
        <f t="shared" si="458"/>
        <v>0</v>
      </c>
    </row>
    <row r="104" spans="2:1006" ht="15" thickBot="1" x14ac:dyDescent="0.4">
      <c r="E104" s="42" t="s">
        <v>230</v>
      </c>
      <c r="F104" s="42" t="s">
        <v>129</v>
      </c>
      <c r="G104" s="42"/>
      <c r="H104" s="42"/>
      <c r="I104" s="42"/>
      <c r="J104" s="42"/>
      <c r="K104" s="42">
        <f>K102+K96</f>
        <v>0</v>
      </c>
      <c r="L104" s="42">
        <f t="shared" ref="L104:BW104" si="459">L102+L96</f>
        <v>0</v>
      </c>
      <c r="M104" s="42">
        <f t="shared" si="459"/>
        <v>0</v>
      </c>
      <c r="N104" s="42">
        <f t="shared" si="459"/>
        <v>0</v>
      </c>
      <c r="O104" s="42">
        <f t="shared" si="459"/>
        <v>0</v>
      </c>
      <c r="P104" s="42">
        <f t="shared" si="459"/>
        <v>0</v>
      </c>
      <c r="Q104" s="42">
        <f t="shared" si="459"/>
        <v>0</v>
      </c>
      <c r="R104" s="42">
        <f t="shared" si="459"/>
        <v>0</v>
      </c>
      <c r="S104" s="42">
        <f t="shared" si="459"/>
        <v>0</v>
      </c>
      <c r="T104" s="42">
        <f t="shared" si="459"/>
        <v>31986.389892707753</v>
      </c>
      <c r="U104" s="42">
        <f t="shared" si="459"/>
        <v>32022.894588673858</v>
      </c>
      <c r="V104" s="42">
        <f t="shared" si="459"/>
        <v>32059.514489936362</v>
      </c>
      <c r="W104" s="42">
        <f t="shared" si="459"/>
        <v>32096.249999999996</v>
      </c>
      <c r="X104" s="42">
        <f t="shared" si="459"/>
        <v>32133.101523841644</v>
      </c>
      <c r="Y104" s="42">
        <f t="shared" si="459"/>
        <v>32170.06946791576</v>
      </c>
      <c r="Z104" s="42">
        <f t="shared" si="459"/>
        <v>32207.154240159864</v>
      </c>
      <c r="AA104" s="42">
        <f t="shared" si="459"/>
        <v>32244.356249999993</v>
      </c>
      <c r="AB104" s="42">
        <f t="shared" si="459"/>
        <v>32281.675908356265</v>
      </c>
      <c r="AC104" s="42">
        <f t="shared" si="459"/>
        <v>32319.113627648352</v>
      </c>
      <c r="AD104" s="42">
        <f t="shared" si="459"/>
        <v>32356.66982180109</v>
      </c>
      <c r="AE104" s="42">
        <f t="shared" si="459"/>
        <v>32394.344906249993</v>
      </c>
      <c r="AF104" s="42">
        <f t="shared" si="459"/>
        <v>32432.139297946884</v>
      </c>
      <c r="AG104" s="42">
        <f t="shared" si="459"/>
        <v>32470.053415365506</v>
      </c>
      <c r="AH104" s="42">
        <f t="shared" si="459"/>
        <v>32508.087678507127</v>
      </c>
      <c r="AI104" s="42">
        <f t="shared" si="459"/>
        <v>32546.242508906238</v>
      </c>
      <c r="AJ104" s="42">
        <f t="shared" si="459"/>
        <v>32584.51832963619</v>
      </c>
      <c r="AK104" s="42">
        <f t="shared" si="459"/>
        <v>32622.915565314917</v>
      </c>
      <c r="AL104" s="42">
        <f t="shared" si="459"/>
        <v>32661.434642110649</v>
      </c>
      <c r="AM104" s="42">
        <f t="shared" si="459"/>
        <v>32700.075987747641</v>
      </c>
      <c r="AN104" s="42">
        <f t="shared" si="459"/>
        <v>32738.840031511936</v>
      </c>
      <c r="AO104" s="42">
        <f t="shared" si="459"/>
        <v>32777.727204257171</v>
      </c>
      <c r="AP104" s="42">
        <f t="shared" si="459"/>
        <v>32816.737938410355</v>
      </c>
      <c r="AQ104" s="42">
        <f t="shared" si="459"/>
        <v>32855.872667977703</v>
      </c>
      <c r="AR104" s="42">
        <f t="shared" si="459"/>
        <v>32895.131828550482</v>
      </c>
      <c r="AS104" s="42">
        <f t="shared" si="459"/>
        <v>32934.515857310878</v>
      </c>
      <c r="AT104" s="42">
        <f t="shared" si="459"/>
        <v>32974.025193037902</v>
      </c>
      <c r="AU104" s="42">
        <f t="shared" si="459"/>
        <v>33013.660276113289</v>
      </c>
      <c r="AV104" s="42">
        <f t="shared" si="459"/>
        <v>33053.421548527425</v>
      </c>
      <c r="AW104" s="42">
        <f t="shared" si="459"/>
        <v>33093.309453885333</v>
      </c>
      <c r="AX104" s="42">
        <f t="shared" si="459"/>
        <v>33133.324437412615</v>
      </c>
      <c r="AY104" s="42">
        <f t="shared" si="459"/>
        <v>33173.466945961482</v>
      </c>
      <c r="AZ104" s="42">
        <f t="shared" si="459"/>
        <v>33213.737428016771</v>
      </c>
      <c r="BA104" s="42">
        <f t="shared" si="459"/>
        <v>33254.136333701979</v>
      </c>
      <c r="BB104" s="42">
        <f t="shared" si="459"/>
        <v>33294.664114785344</v>
      </c>
      <c r="BC104" s="42">
        <f t="shared" si="459"/>
        <v>33335.321224685933</v>
      </c>
      <c r="BD104" s="42">
        <f t="shared" si="459"/>
        <v>33376.108118479766</v>
      </c>
      <c r="BE104" s="42">
        <f t="shared" si="459"/>
        <v>33417.025252905922</v>
      </c>
      <c r="BF104" s="42">
        <f t="shared" si="459"/>
        <v>33458.073086372722</v>
      </c>
      <c r="BG104" s="42">
        <f t="shared" si="459"/>
        <v>33499.252078963931</v>
      </c>
      <c r="BH104" s="42">
        <f t="shared" si="459"/>
        <v>33540.562692444917</v>
      </c>
      <c r="BI104" s="42">
        <f t="shared" si="459"/>
        <v>33582.005390268911</v>
      </c>
      <c r="BJ104" s="42">
        <f t="shared" si="459"/>
        <v>33623.58063758324</v>
      </c>
      <c r="BK104" s="42">
        <f t="shared" si="459"/>
        <v>33665.288901235632</v>
      </c>
      <c r="BL104" s="42">
        <f t="shared" si="459"/>
        <v>33707.130649780491</v>
      </c>
      <c r="BM104" s="42">
        <f t="shared" si="459"/>
        <v>33749.106353485186</v>
      </c>
      <c r="BN104" s="42">
        <f t="shared" si="459"/>
        <v>33791.216484336488</v>
      </c>
      <c r="BO104" s="42">
        <f t="shared" si="459"/>
        <v>33833.461516046853</v>
      </c>
      <c r="BP104" s="42">
        <f t="shared" si="459"/>
        <v>33875.841924060835</v>
      </c>
      <c r="BQ104" s="42">
        <f t="shared" si="459"/>
        <v>33918.358185561527</v>
      </c>
      <c r="BR104" s="42">
        <f t="shared" si="459"/>
        <v>33961.010779476986</v>
      </c>
      <c r="BS104" s="42">
        <f t="shared" si="459"/>
        <v>34003.800186486696</v>
      </c>
      <c r="BT104" s="42">
        <f t="shared" si="459"/>
        <v>34046.726889028054</v>
      </c>
      <c r="BU104" s="42">
        <f t="shared" si="459"/>
        <v>34089.791371302876</v>
      </c>
      <c r="BV104" s="42">
        <f t="shared" si="459"/>
        <v>34132.994119283961</v>
      </c>
      <c r="BW104" s="42">
        <f t="shared" si="459"/>
        <v>34176.335620721635</v>
      </c>
      <c r="BX104" s="42">
        <f t="shared" ref="BX104:DQ104" si="460">BX102+BX96</f>
        <v>34219.816365150306</v>
      </c>
      <c r="BY104" s="42">
        <f t="shared" si="460"/>
        <v>34263.436843895135</v>
      </c>
      <c r="BZ104" s="42">
        <f t="shared" si="460"/>
        <v>34307.197550078621</v>
      </c>
      <c r="CA104" s="42">
        <f t="shared" si="460"/>
        <v>34351.098978627284</v>
      </c>
      <c r="CB104" s="42">
        <f t="shared" si="460"/>
        <v>34395.141626278331</v>
      </c>
      <c r="CC104" s="42">
        <f t="shared" si="460"/>
        <v>34439.325991586396</v>
      </c>
      <c r="CD104" s="42">
        <f t="shared" si="460"/>
        <v>34483.652574930224</v>
      </c>
      <c r="CE104" s="42">
        <f t="shared" si="460"/>
        <v>34528.121878519494</v>
      </c>
      <c r="CF104" s="42">
        <f t="shared" si="460"/>
        <v>34572.734406401534</v>
      </c>
      <c r="CG104" s="42">
        <f t="shared" si="460"/>
        <v>34617.490664468191</v>
      </c>
      <c r="CH104" s="42">
        <f t="shared" si="460"/>
        <v>34662.391160462612</v>
      </c>
      <c r="CI104" s="42">
        <f t="shared" si="460"/>
        <v>34707.436403986154</v>
      </c>
      <c r="CJ104" s="42">
        <f t="shared" si="460"/>
        <v>34752.626906505233</v>
      </c>
      <c r="CK104" s="42">
        <f t="shared" si="460"/>
        <v>34797.963181358253</v>
      </c>
      <c r="CL104" s="42">
        <f t="shared" si="460"/>
        <v>34843.445743762524</v>
      </c>
      <c r="CM104" s="42">
        <f t="shared" si="460"/>
        <v>34889.075110821257</v>
      </c>
      <c r="CN104" s="42">
        <f t="shared" si="460"/>
        <v>34934.851801530524</v>
      </c>
      <c r="CO104" s="42">
        <f t="shared" si="460"/>
        <v>34980.776336786272</v>
      </c>
      <c r="CP104" s="42">
        <f t="shared" si="460"/>
        <v>35026.849239391391</v>
      </c>
      <c r="CQ104" s="42">
        <f t="shared" si="460"/>
        <v>35073.071034062756</v>
      </c>
      <c r="CR104" s="42">
        <f t="shared" si="460"/>
        <v>35119.442247438332</v>
      </c>
      <c r="CS104" s="42">
        <f t="shared" si="460"/>
        <v>35165.963408084259</v>
      </c>
      <c r="CT104" s="42">
        <f t="shared" si="460"/>
        <v>35212.635046502066</v>
      </c>
      <c r="CU104" s="42">
        <f t="shared" si="460"/>
        <v>35259.457695135789</v>
      </c>
      <c r="CV104" s="42">
        <f t="shared" si="460"/>
        <v>35306.431888379171</v>
      </c>
      <c r="CW104" s="42">
        <f t="shared" si="460"/>
        <v>35353.558162582944</v>
      </c>
      <c r="CX104" s="42">
        <f t="shared" si="460"/>
        <v>35400.837056061995</v>
      </c>
      <c r="CY104" s="42">
        <f t="shared" si="460"/>
        <v>35448.269109102715</v>
      </c>
      <c r="CZ104" s="42">
        <f t="shared" si="460"/>
        <v>35495.854863970279</v>
      </c>
      <c r="DA104" s="42">
        <f t="shared" si="460"/>
        <v>35543.594864915991</v>
      </c>
      <c r="DB104" s="42">
        <f t="shared" si="460"/>
        <v>35591.489658184633</v>
      </c>
      <c r="DC104" s="42">
        <f t="shared" si="460"/>
        <v>35639.539792021846</v>
      </c>
      <c r="DD104" s="42">
        <f t="shared" si="460"/>
        <v>35687.745816681585</v>
      </c>
      <c r="DE104" s="42">
        <f t="shared" si="460"/>
        <v>35736.108284433518</v>
      </c>
      <c r="DF104" s="42">
        <f t="shared" si="460"/>
        <v>35784.627749570514</v>
      </c>
      <c r="DG104" s="42">
        <f t="shared" si="460"/>
        <v>35833.304768416179</v>
      </c>
      <c r="DH104" s="42">
        <f t="shared" si="460"/>
        <v>35882.139899332309</v>
      </c>
      <c r="DI104" s="42">
        <f t="shared" si="460"/>
        <v>35931.133702726518</v>
      </c>
      <c r="DJ104" s="42">
        <f t="shared" si="460"/>
        <v>35980.286741059768</v>
      </c>
      <c r="DK104" s="42">
        <f t="shared" si="460"/>
        <v>36029.599578854002</v>
      </c>
      <c r="DL104" s="42">
        <f t="shared" si="460"/>
        <v>36079.072782699805</v>
      </c>
      <c r="DM104" s="42">
        <f t="shared" si="460"/>
        <v>36128.706921264049</v>
      </c>
      <c r="DN104" s="42">
        <f t="shared" si="460"/>
        <v>36178.502565297575</v>
      </c>
      <c r="DO104" s="42">
        <f t="shared" si="460"/>
        <v>36228.460287642942</v>
      </c>
      <c r="DP104" s="42">
        <f t="shared" si="460"/>
        <v>0</v>
      </c>
      <c r="DQ104" s="42">
        <f t="shared" si="460"/>
        <v>0</v>
      </c>
    </row>
    <row r="105" spans="2:1006" ht="15" thickTop="1" x14ac:dyDescent="0.35"/>
    <row r="106" spans="2:1006" x14ac:dyDescent="0.35">
      <c r="B106" s="37" t="s">
        <v>26</v>
      </c>
      <c r="C106" s="37"/>
      <c r="D106" s="37"/>
      <c r="E106" s="37"/>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c r="BT106" s="37"/>
      <c r="BU106" s="37"/>
      <c r="BV106" s="37"/>
      <c r="BW106" s="37"/>
      <c r="BX106" s="37"/>
      <c r="BY106" s="37"/>
      <c r="BZ106" s="37"/>
      <c r="CA106" s="37"/>
      <c r="CB106" s="37"/>
      <c r="CC106" s="37"/>
      <c r="CD106" s="37"/>
      <c r="CE106" s="37"/>
      <c r="CF106" s="37"/>
      <c r="CG106" s="37"/>
      <c r="CH106" s="37"/>
      <c r="CI106" s="37"/>
      <c r="CJ106" s="37"/>
      <c r="CK106" s="37"/>
      <c r="CL106" s="37"/>
      <c r="CM106" s="37"/>
      <c r="CN106" s="37"/>
      <c r="CO106" s="37"/>
      <c r="CP106" s="37"/>
      <c r="CQ106" s="37"/>
      <c r="CR106" s="37"/>
      <c r="CS106" s="37"/>
      <c r="CT106" s="37"/>
      <c r="CU106" s="37"/>
      <c r="CV106" s="37"/>
      <c r="CW106" s="37"/>
      <c r="CX106" s="37"/>
      <c r="CY106" s="37"/>
      <c r="CZ106" s="37"/>
      <c r="DA106" s="37"/>
      <c r="DB106" s="37"/>
      <c r="DC106" s="37"/>
      <c r="DD106" s="37"/>
      <c r="DE106" s="37"/>
      <c r="DF106" s="37"/>
      <c r="DG106" s="37"/>
      <c r="DH106" s="37"/>
      <c r="DI106" s="37"/>
      <c r="DJ106" s="37"/>
      <c r="DK106" s="37"/>
      <c r="DL106" s="37"/>
      <c r="DM106" s="37"/>
      <c r="DN106" s="37"/>
      <c r="DO106" s="37"/>
      <c r="DP106" s="37"/>
      <c r="DQ106" s="37"/>
      <c r="DR106" s="37"/>
      <c r="DS106" s="37"/>
      <c r="DT106" s="37"/>
      <c r="DU106" s="37"/>
      <c r="DV106" s="37"/>
      <c r="DW106" s="37"/>
      <c r="DX106" s="37"/>
      <c r="DY106" s="37"/>
      <c r="DZ106" s="37"/>
      <c r="EA106" s="37"/>
      <c r="EB106" s="37"/>
      <c r="EC106" s="37"/>
      <c r="ED106" s="37"/>
      <c r="EE106" s="37"/>
      <c r="EF106" s="37"/>
      <c r="EG106" s="37"/>
      <c r="EH106" s="37"/>
      <c r="EI106" s="37"/>
      <c r="EJ106" s="37"/>
      <c r="EK106" s="37"/>
      <c r="EL106" s="37"/>
      <c r="EM106" s="37"/>
      <c r="EN106" s="37"/>
      <c r="EO106" s="37"/>
      <c r="EP106" s="37"/>
      <c r="EQ106" s="37"/>
      <c r="ER106" s="37"/>
      <c r="ES106" s="37"/>
      <c r="ET106" s="37"/>
      <c r="EU106" s="37"/>
      <c r="EV106" s="37"/>
      <c r="EW106" s="37"/>
      <c r="EX106" s="37"/>
      <c r="EY106" s="37"/>
      <c r="EZ106" s="37"/>
      <c r="FA106" s="37"/>
      <c r="FB106" s="37"/>
      <c r="FC106" s="37"/>
      <c r="FD106" s="37"/>
      <c r="FE106" s="37"/>
      <c r="FF106" s="37"/>
      <c r="FG106" s="37"/>
      <c r="FH106" s="37"/>
      <c r="FI106" s="37"/>
      <c r="FJ106" s="37"/>
      <c r="FK106" s="37"/>
      <c r="FL106" s="37"/>
      <c r="FM106" s="37"/>
      <c r="FN106" s="37"/>
      <c r="FO106" s="37"/>
      <c r="FP106" s="37"/>
      <c r="FQ106" s="37"/>
      <c r="FR106" s="37"/>
      <c r="FS106" s="37"/>
      <c r="FT106" s="37"/>
      <c r="FU106" s="37"/>
      <c r="FV106" s="37"/>
      <c r="FW106" s="37"/>
      <c r="FX106" s="37"/>
      <c r="FY106" s="37"/>
      <c r="FZ106" s="37"/>
      <c r="GA106" s="37"/>
      <c r="GB106" s="37"/>
      <c r="GC106" s="37"/>
      <c r="GD106" s="37"/>
      <c r="GE106" s="37"/>
      <c r="GF106" s="37"/>
      <c r="GG106" s="37"/>
      <c r="GH106" s="37"/>
      <c r="GI106" s="37"/>
      <c r="GJ106" s="37"/>
      <c r="GK106" s="37"/>
      <c r="GL106" s="37"/>
      <c r="GM106" s="37"/>
      <c r="GN106" s="37"/>
      <c r="GO106" s="37"/>
      <c r="GP106" s="37"/>
      <c r="GQ106" s="37"/>
      <c r="GR106" s="37"/>
      <c r="GS106" s="37"/>
      <c r="GT106" s="37"/>
      <c r="GU106" s="37"/>
      <c r="GV106" s="37"/>
      <c r="GW106" s="37"/>
      <c r="GX106" s="37"/>
      <c r="GY106" s="37"/>
      <c r="GZ106" s="37"/>
      <c r="HA106" s="37"/>
      <c r="HB106" s="37"/>
      <c r="HC106" s="37"/>
      <c r="HD106" s="37"/>
      <c r="HE106" s="37"/>
      <c r="HF106" s="37"/>
      <c r="HG106" s="37"/>
      <c r="HH106" s="37"/>
      <c r="HI106" s="37"/>
      <c r="HJ106" s="37"/>
      <c r="HK106" s="37"/>
      <c r="HL106" s="37"/>
      <c r="HM106" s="37"/>
      <c r="HN106" s="37"/>
      <c r="HO106" s="37"/>
      <c r="HP106" s="37"/>
      <c r="HQ106" s="37"/>
      <c r="HR106" s="37"/>
      <c r="HS106" s="37"/>
      <c r="HT106" s="37"/>
      <c r="HU106" s="37"/>
      <c r="HV106" s="37"/>
      <c r="HW106" s="37"/>
      <c r="HX106" s="37"/>
      <c r="HY106" s="37"/>
      <c r="HZ106" s="37"/>
      <c r="IA106" s="37"/>
      <c r="IB106" s="37"/>
      <c r="IC106" s="37"/>
      <c r="ID106" s="37"/>
      <c r="IE106" s="37"/>
      <c r="IF106" s="37"/>
      <c r="IG106" s="37"/>
      <c r="IH106" s="37"/>
      <c r="II106" s="37"/>
      <c r="IJ106" s="37"/>
      <c r="IK106" s="37"/>
      <c r="IL106" s="37"/>
      <c r="IM106" s="37"/>
      <c r="IN106" s="37"/>
      <c r="IO106" s="37"/>
      <c r="IP106" s="37"/>
      <c r="IQ106" s="37"/>
      <c r="IR106" s="37"/>
      <c r="IS106" s="37"/>
      <c r="IT106" s="37"/>
      <c r="IU106" s="37"/>
      <c r="IV106" s="37"/>
      <c r="IW106" s="37"/>
      <c r="IX106" s="37"/>
      <c r="IY106" s="37"/>
      <c r="IZ106" s="37"/>
      <c r="JA106" s="37"/>
      <c r="JB106" s="37"/>
      <c r="JC106" s="37"/>
      <c r="JD106" s="37"/>
      <c r="JE106" s="37"/>
      <c r="JF106" s="37"/>
      <c r="JG106" s="37"/>
      <c r="JH106" s="37"/>
      <c r="JI106" s="37"/>
      <c r="JJ106" s="37"/>
      <c r="JK106" s="37"/>
      <c r="JL106" s="37"/>
      <c r="JM106" s="37"/>
      <c r="JN106" s="37"/>
      <c r="JO106" s="37"/>
      <c r="JP106" s="37"/>
      <c r="JQ106" s="37"/>
      <c r="JR106" s="37"/>
      <c r="JS106" s="37"/>
      <c r="JT106" s="37"/>
      <c r="JU106" s="37"/>
      <c r="JV106" s="37"/>
      <c r="JW106" s="37"/>
      <c r="JX106" s="37"/>
      <c r="JY106" s="37"/>
      <c r="JZ106" s="37"/>
      <c r="KA106" s="37"/>
      <c r="KB106" s="37"/>
      <c r="KC106" s="37"/>
      <c r="KD106" s="37"/>
      <c r="KE106" s="37"/>
      <c r="KF106" s="37"/>
      <c r="KG106" s="37"/>
      <c r="KH106" s="37"/>
      <c r="KI106" s="37"/>
      <c r="KJ106" s="37"/>
      <c r="KK106" s="37"/>
      <c r="KL106" s="37"/>
      <c r="KM106" s="37"/>
      <c r="KN106" s="37"/>
      <c r="KO106" s="37"/>
      <c r="KP106" s="37"/>
      <c r="KQ106" s="37"/>
      <c r="KR106" s="37"/>
      <c r="KS106" s="37"/>
      <c r="KT106" s="37"/>
      <c r="KU106" s="37"/>
      <c r="KV106" s="37"/>
      <c r="KW106" s="37"/>
      <c r="KX106" s="37"/>
      <c r="KY106" s="37"/>
      <c r="KZ106" s="37"/>
      <c r="LA106" s="37"/>
      <c r="LB106" s="37"/>
      <c r="LC106" s="37"/>
      <c r="LD106" s="37"/>
      <c r="LE106" s="37"/>
      <c r="LF106" s="37"/>
      <c r="LG106" s="37"/>
      <c r="LH106" s="37"/>
      <c r="LI106" s="37"/>
      <c r="LJ106" s="37"/>
      <c r="LK106" s="37"/>
      <c r="LL106" s="37"/>
      <c r="LM106" s="37"/>
      <c r="LN106" s="37"/>
      <c r="LO106" s="37"/>
      <c r="LP106" s="37"/>
      <c r="LQ106" s="37"/>
      <c r="LR106" s="37"/>
      <c r="LS106" s="37"/>
      <c r="LT106" s="37"/>
      <c r="LU106" s="37"/>
      <c r="LV106" s="37"/>
      <c r="LW106" s="37"/>
      <c r="LX106" s="37"/>
      <c r="LY106" s="37"/>
      <c r="LZ106" s="37"/>
      <c r="MA106" s="37"/>
      <c r="MB106" s="37"/>
      <c r="MC106" s="37"/>
      <c r="MD106" s="37"/>
      <c r="ME106" s="37"/>
      <c r="MF106" s="37"/>
      <c r="MG106" s="37"/>
      <c r="MH106" s="37"/>
      <c r="MI106" s="37"/>
      <c r="MJ106" s="37"/>
      <c r="MK106" s="37"/>
      <c r="ML106" s="37"/>
      <c r="MM106" s="37"/>
      <c r="MN106" s="37"/>
      <c r="MO106" s="37"/>
      <c r="MP106" s="37"/>
      <c r="MQ106" s="37"/>
      <c r="MR106" s="37"/>
      <c r="MS106" s="37"/>
      <c r="MT106" s="37"/>
      <c r="MU106" s="37"/>
      <c r="MV106" s="37"/>
      <c r="MW106" s="37"/>
      <c r="MX106" s="37"/>
      <c r="MY106" s="37"/>
      <c r="MZ106" s="37"/>
      <c r="NA106" s="37"/>
      <c r="NB106" s="37"/>
      <c r="NC106" s="37"/>
      <c r="ND106" s="37"/>
      <c r="NE106" s="37"/>
      <c r="NF106" s="37"/>
      <c r="NG106" s="37"/>
      <c r="NH106" s="37"/>
      <c r="NI106" s="37"/>
      <c r="NJ106" s="37"/>
      <c r="NK106" s="37"/>
      <c r="NL106" s="37"/>
      <c r="NM106" s="37"/>
      <c r="NN106" s="37"/>
      <c r="NO106" s="37"/>
      <c r="NP106" s="37"/>
      <c r="NQ106" s="37"/>
      <c r="NR106" s="37"/>
      <c r="NS106" s="37"/>
      <c r="NT106" s="37"/>
      <c r="NU106" s="37"/>
      <c r="NV106" s="37"/>
      <c r="NW106" s="37"/>
      <c r="NX106" s="37"/>
      <c r="NY106" s="37"/>
      <c r="NZ106" s="37"/>
      <c r="OA106" s="37"/>
      <c r="OB106" s="37"/>
      <c r="OC106" s="37"/>
      <c r="OD106" s="37"/>
      <c r="OE106" s="37"/>
      <c r="OF106" s="37"/>
      <c r="OG106" s="37"/>
      <c r="OH106" s="37"/>
      <c r="OI106" s="37"/>
      <c r="OJ106" s="37"/>
      <c r="OK106" s="37"/>
      <c r="OL106" s="37"/>
      <c r="OM106" s="37"/>
      <c r="ON106" s="37"/>
      <c r="OO106" s="37"/>
      <c r="OP106" s="37"/>
      <c r="OQ106" s="37"/>
      <c r="OR106" s="37"/>
      <c r="OS106" s="37"/>
      <c r="OT106" s="37"/>
      <c r="OU106" s="37"/>
      <c r="OV106" s="37"/>
      <c r="OW106" s="37"/>
      <c r="OX106" s="37"/>
      <c r="OY106" s="37"/>
      <c r="OZ106" s="37"/>
      <c r="PA106" s="37"/>
      <c r="PB106" s="37"/>
      <c r="PC106" s="37"/>
      <c r="PD106" s="37"/>
      <c r="PE106" s="37"/>
      <c r="PF106" s="37"/>
      <c r="PG106" s="37"/>
      <c r="PH106" s="37"/>
      <c r="PI106" s="37"/>
      <c r="PJ106" s="37"/>
      <c r="PK106" s="37"/>
      <c r="PL106" s="37"/>
      <c r="PM106" s="37"/>
      <c r="PN106" s="37"/>
      <c r="PO106" s="37"/>
      <c r="PP106" s="37"/>
      <c r="PQ106" s="37"/>
      <c r="PR106" s="37"/>
      <c r="PS106" s="37"/>
      <c r="PT106" s="37"/>
      <c r="PU106" s="37"/>
      <c r="PV106" s="37"/>
      <c r="PW106" s="37"/>
      <c r="PX106" s="37"/>
      <c r="PY106" s="37"/>
      <c r="PZ106" s="37"/>
      <c r="QA106" s="37"/>
      <c r="QB106" s="37"/>
      <c r="QC106" s="37"/>
      <c r="QD106" s="37"/>
      <c r="QE106" s="37"/>
      <c r="QF106" s="37"/>
      <c r="QG106" s="37"/>
      <c r="QH106" s="37"/>
      <c r="QI106" s="37"/>
      <c r="QJ106" s="37"/>
      <c r="QK106" s="37"/>
      <c r="QL106" s="37"/>
      <c r="QM106" s="37"/>
      <c r="QN106" s="37"/>
      <c r="QO106" s="37"/>
      <c r="QP106" s="37"/>
      <c r="QQ106" s="37"/>
      <c r="QR106" s="37"/>
      <c r="QS106" s="37"/>
      <c r="QT106" s="37"/>
      <c r="QU106" s="37"/>
      <c r="QV106" s="37"/>
      <c r="QW106" s="37"/>
      <c r="QX106" s="37"/>
      <c r="QY106" s="37"/>
      <c r="QZ106" s="37"/>
      <c r="RA106" s="37"/>
      <c r="RB106" s="37"/>
      <c r="RC106" s="37"/>
      <c r="RD106" s="37"/>
      <c r="RE106" s="37"/>
      <c r="RF106" s="37"/>
      <c r="RG106" s="37"/>
      <c r="RH106" s="37"/>
      <c r="RI106" s="37"/>
      <c r="RJ106" s="37"/>
      <c r="RK106" s="37"/>
      <c r="RL106" s="37"/>
      <c r="RM106" s="37"/>
      <c r="RN106" s="37"/>
      <c r="RO106" s="37"/>
      <c r="RP106" s="37"/>
      <c r="RQ106" s="37"/>
      <c r="RR106" s="37"/>
      <c r="RS106" s="37"/>
      <c r="RT106" s="37"/>
      <c r="RU106" s="37"/>
      <c r="RV106" s="37"/>
      <c r="RW106" s="37"/>
      <c r="RX106" s="37"/>
      <c r="RY106" s="37"/>
      <c r="RZ106" s="37"/>
      <c r="SA106" s="37"/>
      <c r="SB106" s="37"/>
      <c r="SC106" s="37"/>
      <c r="SD106" s="37"/>
      <c r="SE106" s="37"/>
      <c r="SF106" s="37"/>
      <c r="SG106" s="37"/>
      <c r="SH106" s="37"/>
      <c r="SI106" s="37"/>
      <c r="SJ106" s="37"/>
      <c r="SK106" s="37"/>
      <c r="SL106" s="37"/>
      <c r="SM106" s="37"/>
      <c r="SN106" s="37"/>
      <c r="SO106" s="37"/>
      <c r="SP106" s="37"/>
      <c r="SQ106" s="37"/>
      <c r="SR106" s="37"/>
      <c r="SS106" s="37"/>
      <c r="ST106" s="37"/>
      <c r="SU106" s="37"/>
      <c r="SV106" s="37"/>
      <c r="SW106" s="37"/>
      <c r="SX106" s="37"/>
      <c r="SY106" s="37"/>
      <c r="SZ106" s="37"/>
      <c r="TA106" s="37"/>
      <c r="TB106" s="37"/>
      <c r="TC106" s="37"/>
      <c r="TD106" s="37"/>
      <c r="TE106" s="37"/>
      <c r="TF106" s="37"/>
      <c r="TG106" s="37"/>
      <c r="TH106" s="37"/>
      <c r="TI106" s="37"/>
      <c r="TJ106" s="37"/>
      <c r="TK106" s="37"/>
      <c r="TL106" s="37"/>
      <c r="TM106" s="37"/>
      <c r="TN106" s="37"/>
      <c r="TO106" s="37"/>
      <c r="TP106" s="37"/>
      <c r="TQ106" s="37"/>
      <c r="TR106" s="37"/>
      <c r="TS106" s="37"/>
      <c r="TT106" s="37"/>
      <c r="TU106" s="37"/>
      <c r="TV106" s="37"/>
      <c r="TW106" s="37"/>
      <c r="TX106" s="37"/>
      <c r="TY106" s="37"/>
      <c r="TZ106" s="37"/>
      <c r="UA106" s="37"/>
      <c r="UB106" s="37"/>
      <c r="UC106" s="37"/>
      <c r="UD106" s="37"/>
      <c r="UE106" s="37"/>
      <c r="UF106" s="37"/>
      <c r="UG106" s="37"/>
      <c r="UH106" s="37"/>
      <c r="UI106" s="37"/>
      <c r="UJ106" s="37"/>
      <c r="UK106" s="37"/>
      <c r="UL106" s="37"/>
      <c r="UM106" s="37"/>
      <c r="UN106" s="37"/>
      <c r="UO106" s="37"/>
      <c r="UP106" s="37"/>
      <c r="UQ106" s="37"/>
      <c r="UR106" s="37"/>
      <c r="US106" s="37"/>
      <c r="UT106" s="37"/>
      <c r="UU106" s="37"/>
      <c r="UV106" s="37"/>
      <c r="UW106" s="37"/>
      <c r="UX106" s="37"/>
      <c r="UY106" s="37"/>
      <c r="UZ106" s="37"/>
      <c r="VA106" s="37"/>
      <c r="VB106" s="37"/>
      <c r="VC106" s="37"/>
      <c r="VD106" s="37"/>
      <c r="VE106" s="37"/>
      <c r="VF106" s="37"/>
      <c r="VG106" s="37"/>
      <c r="VH106" s="37"/>
      <c r="VI106" s="37"/>
      <c r="VJ106" s="37"/>
      <c r="VK106" s="37"/>
      <c r="VL106" s="37"/>
      <c r="VM106" s="37"/>
      <c r="VN106" s="37"/>
      <c r="VO106" s="37"/>
      <c r="VP106" s="37"/>
      <c r="VQ106" s="37"/>
      <c r="VR106" s="37"/>
      <c r="VS106" s="37"/>
      <c r="VT106" s="37"/>
      <c r="VU106" s="37"/>
      <c r="VV106" s="37"/>
      <c r="VW106" s="37"/>
      <c r="VX106" s="37"/>
      <c r="VY106" s="37"/>
      <c r="VZ106" s="37"/>
      <c r="WA106" s="37"/>
      <c r="WB106" s="37"/>
      <c r="WC106" s="37"/>
      <c r="WD106" s="37"/>
      <c r="WE106" s="37"/>
      <c r="WF106" s="37"/>
      <c r="WG106" s="37"/>
      <c r="WH106" s="37"/>
      <c r="WI106" s="37"/>
      <c r="WJ106" s="37"/>
      <c r="WK106" s="37"/>
      <c r="WL106" s="37"/>
      <c r="WM106" s="37"/>
      <c r="WN106" s="37"/>
      <c r="WO106" s="37"/>
      <c r="WP106" s="37"/>
      <c r="WQ106" s="37"/>
      <c r="WR106" s="37"/>
      <c r="WS106" s="37"/>
      <c r="WT106" s="37"/>
      <c r="WU106" s="37"/>
      <c r="WV106" s="37"/>
      <c r="WW106" s="37"/>
      <c r="WX106" s="37"/>
      <c r="WY106" s="37"/>
      <c r="WZ106" s="37"/>
      <c r="XA106" s="37"/>
      <c r="XB106" s="37"/>
      <c r="XC106" s="37"/>
      <c r="XD106" s="37"/>
      <c r="XE106" s="37"/>
      <c r="XF106" s="37"/>
      <c r="XG106" s="37"/>
      <c r="XH106" s="37"/>
      <c r="XI106" s="37"/>
      <c r="XJ106" s="37"/>
      <c r="XK106" s="37"/>
      <c r="XL106" s="37"/>
      <c r="XM106" s="37"/>
      <c r="XN106" s="37"/>
      <c r="XO106" s="37"/>
      <c r="XP106" s="37"/>
      <c r="XQ106" s="37"/>
      <c r="XR106" s="37"/>
      <c r="XS106" s="37"/>
      <c r="XT106" s="37"/>
      <c r="XU106" s="37"/>
      <c r="XV106" s="37"/>
      <c r="XW106" s="37"/>
      <c r="XX106" s="37"/>
      <c r="XY106" s="37"/>
      <c r="XZ106" s="37"/>
      <c r="YA106" s="37"/>
      <c r="YB106" s="37"/>
      <c r="YC106" s="37"/>
      <c r="YD106" s="37"/>
      <c r="YE106" s="37"/>
      <c r="YF106" s="37"/>
      <c r="YG106" s="37"/>
      <c r="YH106" s="37"/>
      <c r="YI106" s="37"/>
      <c r="YJ106" s="37"/>
      <c r="YK106" s="37"/>
      <c r="YL106" s="37"/>
      <c r="YM106" s="37"/>
      <c r="YN106" s="37"/>
      <c r="YO106" s="37"/>
      <c r="YP106" s="37"/>
      <c r="YQ106" s="37"/>
      <c r="YR106" s="37"/>
      <c r="YS106" s="37"/>
      <c r="YT106" s="37"/>
      <c r="YU106" s="37"/>
      <c r="YV106" s="37"/>
      <c r="YW106" s="37"/>
      <c r="YX106" s="37"/>
      <c r="YY106" s="37"/>
      <c r="YZ106" s="37"/>
      <c r="ZA106" s="37"/>
      <c r="ZB106" s="37"/>
      <c r="ZC106" s="37"/>
      <c r="ZD106" s="37"/>
      <c r="ZE106" s="37"/>
      <c r="ZF106" s="37"/>
      <c r="ZG106" s="37"/>
      <c r="ZH106" s="37"/>
      <c r="ZI106" s="37"/>
      <c r="ZJ106" s="37"/>
      <c r="ZK106" s="37"/>
      <c r="ZL106" s="37"/>
      <c r="ZM106" s="37"/>
      <c r="ZN106" s="37"/>
      <c r="ZO106" s="37"/>
      <c r="ZP106" s="37"/>
      <c r="ZQ106" s="37"/>
      <c r="ZR106" s="37"/>
      <c r="ZS106" s="37"/>
      <c r="ZT106" s="37"/>
      <c r="ZU106" s="37"/>
      <c r="ZV106" s="37"/>
      <c r="ZW106" s="37"/>
      <c r="ZX106" s="37"/>
      <c r="ZY106" s="37"/>
      <c r="ZZ106" s="37"/>
      <c r="AAA106" s="37"/>
      <c r="AAB106" s="37"/>
      <c r="AAC106" s="37"/>
      <c r="AAD106" s="37"/>
      <c r="AAE106" s="37"/>
      <c r="AAF106" s="37"/>
      <c r="AAG106" s="37"/>
      <c r="AAH106" s="37"/>
      <c r="AAI106" s="37"/>
      <c r="AAJ106" s="37"/>
      <c r="AAK106" s="37"/>
      <c r="AAL106" s="37"/>
      <c r="AAM106" s="37"/>
      <c r="AAN106" s="37"/>
      <c r="AAO106" s="37"/>
      <c r="AAP106" s="37"/>
      <c r="AAQ106" s="37"/>
      <c r="AAR106" s="37"/>
      <c r="AAS106" s="37"/>
      <c r="AAT106" s="37"/>
      <c r="AAU106" s="37"/>
      <c r="AAV106" s="37"/>
      <c r="AAW106" s="37"/>
      <c r="AAX106" s="37"/>
      <c r="AAY106" s="37"/>
      <c r="AAZ106" s="37"/>
      <c r="ABA106" s="37"/>
      <c r="ABB106" s="37"/>
      <c r="ABC106" s="37"/>
      <c r="ABD106" s="37"/>
      <c r="ABE106" s="37"/>
      <c r="ABF106" s="37"/>
      <c r="ABG106" s="37"/>
      <c r="ABH106" s="37"/>
      <c r="ABI106" s="37"/>
      <c r="ABJ106" s="37"/>
      <c r="ABK106" s="37"/>
      <c r="ABL106" s="37"/>
      <c r="ABM106" s="37"/>
      <c r="ABN106" s="37"/>
      <c r="ABO106" s="37"/>
      <c r="ABP106" s="37"/>
      <c r="ABQ106" s="37"/>
      <c r="ABR106" s="37"/>
      <c r="ABS106" s="37"/>
      <c r="ABT106" s="37"/>
      <c r="ABU106" s="37"/>
      <c r="ABV106" s="37"/>
      <c r="ABW106" s="37"/>
      <c r="ABX106" s="37"/>
      <c r="ABY106" s="37"/>
      <c r="ABZ106" s="37"/>
      <c r="ACA106" s="37"/>
      <c r="ACB106" s="37"/>
      <c r="ACC106" s="37"/>
      <c r="ACD106" s="37"/>
      <c r="ACE106" s="37"/>
      <c r="ACF106" s="37"/>
      <c r="ACG106" s="37"/>
      <c r="ACH106" s="37"/>
      <c r="ACI106" s="37"/>
      <c r="ACJ106" s="37"/>
      <c r="ACK106" s="37"/>
      <c r="ACL106" s="37"/>
      <c r="ACM106" s="37"/>
      <c r="ACN106" s="37"/>
      <c r="ACO106" s="37"/>
      <c r="ACP106" s="37"/>
      <c r="ACQ106" s="37"/>
      <c r="ACR106" s="37"/>
      <c r="ACS106" s="37"/>
      <c r="ACT106" s="37"/>
      <c r="ACU106" s="37"/>
      <c r="ACV106" s="37"/>
      <c r="ACW106" s="37"/>
      <c r="ACX106" s="37"/>
      <c r="ACY106" s="37"/>
      <c r="ACZ106" s="37"/>
      <c r="ADA106" s="37"/>
      <c r="ADB106" s="37"/>
      <c r="ADC106" s="37"/>
      <c r="ADD106" s="37"/>
      <c r="ADE106" s="37"/>
      <c r="ADF106" s="37"/>
      <c r="ADG106" s="37"/>
      <c r="ADH106" s="37"/>
      <c r="ADI106" s="37"/>
      <c r="ADJ106" s="37"/>
      <c r="ADK106" s="37"/>
      <c r="ADL106" s="37"/>
      <c r="ADM106" s="37"/>
      <c r="ADN106" s="37"/>
      <c r="ADO106" s="37"/>
      <c r="ADP106" s="37"/>
      <c r="ADQ106" s="37"/>
      <c r="ADR106" s="37"/>
      <c r="ADS106" s="37"/>
      <c r="ADT106" s="37"/>
      <c r="ADU106" s="37"/>
      <c r="ADV106" s="37"/>
      <c r="ADW106" s="37"/>
      <c r="ADX106" s="37"/>
      <c r="ADY106" s="37"/>
      <c r="ADZ106" s="37"/>
      <c r="AEA106" s="37"/>
      <c r="AEB106" s="37"/>
      <c r="AEC106" s="37"/>
      <c r="AED106" s="37"/>
      <c r="AEE106" s="37"/>
      <c r="AEF106" s="37"/>
      <c r="AEG106" s="37"/>
      <c r="AEH106" s="37"/>
      <c r="AEI106" s="37"/>
      <c r="AEJ106" s="37"/>
      <c r="AEK106" s="37"/>
      <c r="AEL106" s="37"/>
      <c r="AEM106" s="37"/>
      <c r="AEN106" s="37"/>
      <c r="AEO106" s="37"/>
      <c r="AEP106" s="37"/>
      <c r="AEQ106" s="37"/>
      <c r="AER106" s="37"/>
      <c r="AES106" s="37"/>
      <c r="AET106" s="37"/>
      <c r="AEU106" s="37"/>
      <c r="AEV106" s="37"/>
      <c r="AEW106" s="37"/>
      <c r="AEX106" s="37"/>
      <c r="AEY106" s="37"/>
      <c r="AEZ106" s="37"/>
      <c r="AFA106" s="37"/>
      <c r="AFB106" s="37"/>
      <c r="AFC106" s="37"/>
      <c r="AFD106" s="37"/>
      <c r="AFE106" s="37"/>
      <c r="AFF106" s="37"/>
      <c r="AFG106" s="37"/>
      <c r="AFH106" s="37"/>
      <c r="AFI106" s="37"/>
      <c r="AFJ106" s="37"/>
      <c r="AFK106" s="37"/>
      <c r="AFL106" s="37"/>
      <c r="AFM106" s="37"/>
      <c r="AFN106" s="37"/>
      <c r="AFO106" s="37"/>
      <c r="AFP106" s="37"/>
      <c r="AFQ106" s="37"/>
      <c r="AFR106" s="37"/>
      <c r="AFS106" s="37"/>
      <c r="AFT106" s="37"/>
      <c r="AFU106" s="37"/>
      <c r="AFV106" s="37"/>
      <c r="AFW106" s="37"/>
      <c r="AFX106" s="37"/>
      <c r="AFY106" s="37"/>
      <c r="AFZ106" s="37"/>
      <c r="AGA106" s="37"/>
      <c r="AGB106" s="37"/>
      <c r="AGC106" s="37"/>
      <c r="AGD106" s="37"/>
      <c r="AGE106" s="37"/>
      <c r="AGF106" s="37"/>
      <c r="AGG106" s="37"/>
      <c r="AGH106" s="37"/>
      <c r="AGI106" s="37"/>
      <c r="AGJ106" s="37"/>
      <c r="AGK106" s="37"/>
      <c r="AGL106" s="37"/>
      <c r="AGM106" s="37"/>
      <c r="AGN106" s="37"/>
      <c r="AGO106" s="37"/>
      <c r="AGP106" s="37"/>
      <c r="AGQ106" s="37"/>
      <c r="AGR106" s="37"/>
      <c r="AGS106" s="37"/>
      <c r="AGT106" s="37"/>
      <c r="AGU106" s="37"/>
      <c r="AGV106" s="37"/>
      <c r="AGW106" s="37"/>
      <c r="AGX106" s="37"/>
      <c r="AGY106" s="37"/>
      <c r="AGZ106" s="37"/>
      <c r="AHA106" s="37"/>
      <c r="AHB106" s="37"/>
      <c r="AHC106" s="37"/>
      <c r="AHD106" s="37"/>
      <c r="AHE106" s="37"/>
      <c r="AHF106" s="37"/>
      <c r="AHG106" s="37"/>
      <c r="AHH106" s="37"/>
      <c r="AHI106" s="37"/>
      <c r="AHJ106" s="37"/>
      <c r="AHK106" s="37"/>
      <c r="AHL106" s="37"/>
      <c r="AHM106" s="37"/>
      <c r="AHN106" s="37"/>
      <c r="AHO106" s="37"/>
      <c r="AHP106" s="37"/>
      <c r="AHQ106" s="37"/>
      <c r="AHR106" s="37"/>
      <c r="AHS106" s="37"/>
      <c r="AHT106" s="37"/>
      <c r="AHU106" s="37"/>
      <c r="AHV106" s="37"/>
      <c r="AHW106" s="37"/>
      <c r="AHX106" s="37"/>
      <c r="AHY106" s="37"/>
      <c r="AHZ106" s="37"/>
      <c r="AIA106" s="37"/>
      <c r="AIB106" s="37"/>
      <c r="AIC106" s="37"/>
      <c r="AID106" s="37"/>
      <c r="AIE106" s="37"/>
      <c r="AIF106" s="37"/>
      <c r="AIG106" s="37"/>
      <c r="AIH106" s="37"/>
      <c r="AII106" s="37"/>
      <c r="AIJ106" s="37"/>
      <c r="AIK106" s="37"/>
      <c r="AIL106" s="37"/>
      <c r="AIM106" s="37"/>
      <c r="AIN106" s="37"/>
      <c r="AIO106" s="37"/>
      <c r="AIP106" s="37"/>
      <c r="AIQ106" s="37"/>
      <c r="AIR106" s="37"/>
      <c r="AIS106" s="37"/>
      <c r="AIT106" s="37"/>
      <c r="AIU106" s="37"/>
      <c r="AIV106" s="37"/>
      <c r="AIW106" s="37"/>
      <c r="AIX106" s="37"/>
      <c r="AIY106" s="37"/>
      <c r="AIZ106" s="37"/>
      <c r="AJA106" s="37"/>
      <c r="AJB106" s="37"/>
      <c r="AJC106" s="37"/>
      <c r="AJD106" s="37"/>
      <c r="AJE106" s="37"/>
      <c r="AJF106" s="37"/>
      <c r="AJG106" s="37"/>
      <c r="AJH106" s="37"/>
      <c r="AJI106" s="37"/>
      <c r="AJJ106" s="37"/>
      <c r="AJK106" s="37"/>
      <c r="AJL106" s="37"/>
      <c r="AJM106" s="37"/>
      <c r="AJN106" s="37"/>
      <c r="AJO106" s="37"/>
      <c r="AJP106" s="37"/>
      <c r="AJQ106" s="37"/>
      <c r="AJR106" s="37"/>
      <c r="AJS106" s="37"/>
      <c r="AJT106" s="37"/>
      <c r="AJU106" s="37"/>
      <c r="AJV106" s="37"/>
      <c r="AJW106" s="37"/>
      <c r="AJX106" s="37"/>
      <c r="AJY106" s="37"/>
      <c r="AJZ106" s="37"/>
      <c r="AKA106" s="37"/>
      <c r="AKB106" s="37"/>
      <c r="AKC106" s="37"/>
      <c r="AKD106" s="37"/>
      <c r="AKE106" s="37"/>
      <c r="AKF106" s="37"/>
      <c r="AKG106" s="37"/>
      <c r="AKH106" s="37"/>
      <c r="AKI106" s="37"/>
      <c r="AKJ106" s="37"/>
      <c r="AKK106" s="37"/>
      <c r="AKL106" s="37"/>
      <c r="AKM106" s="37"/>
      <c r="AKN106" s="37"/>
      <c r="AKO106" s="37"/>
      <c r="AKP106" s="37"/>
      <c r="AKQ106" s="37"/>
      <c r="AKR106" s="37"/>
      <c r="AKS106" s="37"/>
      <c r="AKT106" s="37"/>
      <c r="AKU106" s="37"/>
      <c r="AKV106" s="37"/>
      <c r="AKW106" s="37"/>
      <c r="AKX106" s="37"/>
      <c r="AKY106" s="37"/>
      <c r="AKZ106" s="37"/>
      <c r="ALA106" s="37"/>
      <c r="ALB106" s="37"/>
      <c r="ALC106" s="37"/>
      <c r="ALD106" s="37"/>
      <c r="ALE106" s="37"/>
      <c r="ALF106" s="37"/>
      <c r="ALG106" s="37"/>
      <c r="ALH106" s="37"/>
      <c r="ALI106" s="37"/>
      <c r="ALJ106" s="37"/>
      <c r="ALK106" s="37"/>
      <c r="ALL106" s="37"/>
      <c r="ALM106" s="37"/>
      <c r="ALN106" s="37"/>
      <c r="ALO106" s="37"/>
      <c r="ALP106" s="37"/>
      <c r="ALQ106" s="37"/>
      <c r="ALR106" s="37"/>
    </row>
    <row r="107" spans="2:1006" x14ac:dyDescent="0.35">
      <c r="D107" s="20" t="s">
        <v>32</v>
      </c>
      <c r="F107" s="20" t="s">
        <v>32</v>
      </c>
      <c r="K107" s="26">
        <f>YEAR(K7)</f>
        <v>2015</v>
      </c>
      <c r="L107" s="26">
        <f t="shared" ref="L107:BW107" si="461">YEAR(L7)</f>
        <v>2015</v>
      </c>
      <c r="M107" s="26">
        <f t="shared" si="461"/>
        <v>2015</v>
      </c>
      <c r="N107" s="26">
        <f t="shared" si="461"/>
        <v>2015</v>
      </c>
      <c r="O107" s="26">
        <f t="shared" si="461"/>
        <v>2016</v>
      </c>
      <c r="P107" s="26">
        <f t="shared" si="461"/>
        <v>2016</v>
      </c>
      <c r="Q107" s="26">
        <f t="shared" si="461"/>
        <v>2016</v>
      </c>
      <c r="R107" s="26">
        <f t="shared" si="461"/>
        <v>2016</v>
      </c>
      <c r="S107" s="26">
        <f t="shared" si="461"/>
        <v>2016</v>
      </c>
      <c r="T107" s="26">
        <f t="shared" si="461"/>
        <v>2016</v>
      </c>
      <c r="U107" s="26">
        <f t="shared" si="461"/>
        <v>2016</v>
      </c>
      <c r="V107" s="26">
        <f t="shared" si="461"/>
        <v>2017</v>
      </c>
      <c r="W107" s="26">
        <f t="shared" si="461"/>
        <v>2017</v>
      </c>
      <c r="X107" s="26">
        <f t="shared" si="461"/>
        <v>2017</v>
      </c>
      <c r="Y107" s="26">
        <f t="shared" si="461"/>
        <v>2017</v>
      </c>
      <c r="Z107" s="26">
        <f t="shared" si="461"/>
        <v>2018</v>
      </c>
      <c r="AA107" s="26">
        <f t="shared" si="461"/>
        <v>2018</v>
      </c>
      <c r="AB107" s="26">
        <f t="shared" si="461"/>
        <v>2018</v>
      </c>
      <c r="AC107" s="26">
        <f t="shared" si="461"/>
        <v>2018</v>
      </c>
      <c r="AD107" s="26">
        <f t="shared" si="461"/>
        <v>2019</v>
      </c>
      <c r="AE107" s="26">
        <f t="shared" si="461"/>
        <v>2019</v>
      </c>
      <c r="AF107" s="26">
        <f t="shared" si="461"/>
        <v>2019</v>
      </c>
      <c r="AG107" s="26">
        <f t="shared" si="461"/>
        <v>2019</v>
      </c>
      <c r="AH107" s="26">
        <f t="shared" si="461"/>
        <v>2020</v>
      </c>
      <c r="AI107" s="26">
        <f t="shared" si="461"/>
        <v>2020</v>
      </c>
      <c r="AJ107" s="26">
        <f t="shared" si="461"/>
        <v>2020</v>
      </c>
      <c r="AK107" s="26">
        <f t="shared" si="461"/>
        <v>2020</v>
      </c>
      <c r="AL107" s="26">
        <f t="shared" si="461"/>
        <v>2021</v>
      </c>
      <c r="AM107" s="26">
        <f t="shared" si="461"/>
        <v>2021</v>
      </c>
      <c r="AN107" s="26">
        <f t="shared" si="461"/>
        <v>2021</v>
      </c>
      <c r="AO107" s="26">
        <f t="shared" si="461"/>
        <v>2021</v>
      </c>
      <c r="AP107" s="26">
        <f t="shared" si="461"/>
        <v>2022</v>
      </c>
      <c r="AQ107" s="26">
        <f t="shared" si="461"/>
        <v>2022</v>
      </c>
      <c r="AR107" s="26">
        <f t="shared" si="461"/>
        <v>2022</v>
      </c>
      <c r="AS107" s="26">
        <f t="shared" si="461"/>
        <v>2022</v>
      </c>
      <c r="AT107" s="26">
        <f t="shared" si="461"/>
        <v>2023</v>
      </c>
      <c r="AU107" s="26">
        <f t="shared" si="461"/>
        <v>2023</v>
      </c>
      <c r="AV107" s="26">
        <f t="shared" si="461"/>
        <v>2023</v>
      </c>
      <c r="AW107" s="26">
        <f t="shared" si="461"/>
        <v>2023</v>
      </c>
      <c r="AX107" s="26">
        <f t="shared" si="461"/>
        <v>2024</v>
      </c>
      <c r="AY107" s="26">
        <f t="shared" si="461"/>
        <v>2024</v>
      </c>
      <c r="AZ107" s="26">
        <f t="shared" si="461"/>
        <v>2024</v>
      </c>
      <c r="BA107" s="26">
        <f t="shared" si="461"/>
        <v>2024</v>
      </c>
      <c r="BB107" s="26">
        <f t="shared" si="461"/>
        <v>2025</v>
      </c>
      <c r="BC107" s="26">
        <f t="shared" si="461"/>
        <v>2025</v>
      </c>
      <c r="BD107" s="26">
        <f t="shared" si="461"/>
        <v>2025</v>
      </c>
      <c r="BE107" s="26">
        <f t="shared" si="461"/>
        <v>2025</v>
      </c>
      <c r="BF107" s="26">
        <f t="shared" si="461"/>
        <v>2026</v>
      </c>
      <c r="BG107" s="26">
        <f t="shared" si="461"/>
        <v>2026</v>
      </c>
      <c r="BH107" s="26">
        <f t="shared" si="461"/>
        <v>2026</v>
      </c>
      <c r="BI107" s="26">
        <f t="shared" si="461"/>
        <v>2026</v>
      </c>
      <c r="BJ107" s="26">
        <f t="shared" si="461"/>
        <v>2027</v>
      </c>
      <c r="BK107" s="26">
        <f t="shared" si="461"/>
        <v>2027</v>
      </c>
      <c r="BL107" s="26">
        <f t="shared" si="461"/>
        <v>2027</v>
      </c>
      <c r="BM107" s="26">
        <f t="shared" si="461"/>
        <v>2027</v>
      </c>
      <c r="BN107" s="26">
        <f t="shared" si="461"/>
        <v>2028</v>
      </c>
      <c r="BO107" s="26">
        <f t="shared" si="461"/>
        <v>2028</v>
      </c>
      <c r="BP107" s="26">
        <f t="shared" si="461"/>
        <v>2028</v>
      </c>
      <c r="BQ107" s="26">
        <f t="shared" si="461"/>
        <v>2028</v>
      </c>
      <c r="BR107" s="26">
        <f t="shared" si="461"/>
        <v>2029</v>
      </c>
      <c r="BS107" s="26">
        <f t="shared" si="461"/>
        <v>2029</v>
      </c>
      <c r="BT107" s="26">
        <f t="shared" si="461"/>
        <v>2029</v>
      </c>
      <c r="BU107" s="26">
        <f t="shared" si="461"/>
        <v>2029</v>
      </c>
      <c r="BV107" s="26">
        <f t="shared" si="461"/>
        <v>2030</v>
      </c>
      <c r="BW107" s="26">
        <f t="shared" si="461"/>
        <v>2030</v>
      </c>
      <c r="BX107" s="26">
        <f t="shared" ref="BX107:DQ107" si="462">YEAR(BX7)</f>
        <v>2030</v>
      </c>
      <c r="BY107" s="26">
        <f t="shared" si="462"/>
        <v>2030</v>
      </c>
      <c r="BZ107" s="26">
        <f t="shared" si="462"/>
        <v>2031</v>
      </c>
      <c r="CA107" s="26">
        <f t="shared" si="462"/>
        <v>2031</v>
      </c>
      <c r="CB107" s="26">
        <f t="shared" si="462"/>
        <v>2031</v>
      </c>
      <c r="CC107" s="26">
        <f t="shared" si="462"/>
        <v>2031</v>
      </c>
      <c r="CD107" s="26">
        <f t="shared" si="462"/>
        <v>2032</v>
      </c>
      <c r="CE107" s="26">
        <f t="shared" si="462"/>
        <v>2032</v>
      </c>
      <c r="CF107" s="26">
        <f t="shared" si="462"/>
        <v>2032</v>
      </c>
      <c r="CG107" s="26">
        <f t="shared" si="462"/>
        <v>2032</v>
      </c>
      <c r="CH107" s="26">
        <f t="shared" si="462"/>
        <v>2033</v>
      </c>
      <c r="CI107" s="26">
        <f t="shared" si="462"/>
        <v>2033</v>
      </c>
      <c r="CJ107" s="26">
        <f t="shared" si="462"/>
        <v>2033</v>
      </c>
      <c r="CK107" s="26">
        <f t="shared" si="462"/>
        <v>2033</v>
      </c>
      <c r="CL107" s="26">
        <f t="shared" si="462"/>
        <v>2034</v>
      </c>
      <c r="CM107" s="26">
        <f t="shared" si="462"/>
        <v>2034</v>
      </c>
      <c r="CN107" s="26">
        <f t="shared" si="462"/>
        <v>2034</v>
      </c>
      <c r="CO107" s="26">
        <f t="shared" si="462"/>
        <v>2034</v>
      </c>
      <c r="CP107" s="26">
        <f t="shared" si="462"/>
        <v>2035</v>
      </c>
      <c r="CQ107" s="26">
        <f t="shared" si="462"/>
        <v>2035</v>
      </c>
      <c r="CR107" s="26">
        <f t="shared" si="462"/>
        <v>2035</v>
      </c>
      <c r="CS107" s="26">
        <f t="shared" si="462"/>
        <v>2035</v>
      </c>
      <c r="CT107" s="26">
        <f t="shared" si="462"/>
        <v>2036</v>
      </c>
      <c r="CU107" s="26">
        <f t="shared" si="462"/>
        <v>2036</v>
      </c>
      <c r="CV107" s="26">
        <f t="shared" si="462"/>
        <v>2036</v>
      </c>
      <c r="CW107" s="26">
        <f t="shared" si="462"/>
        <v>2036</v>
      </c>
      <c r="CX107" s="26">
        <f t="shared" si="462"/>
        <v>2037</v>
      </c>
      <c r="CY107" s="26">
        <f t="shared" si="462"/>
        <v>2037</v>
      </c>
      <c r="CZ107" s="26">
        <f t="shared" si="462"/>
        <v>2037</v>
      </c>
      <c r="DA107" s="26">
        <f t="shared" si="462"/>
        <v>2037</v>
      </c>
      <c r="DB107" s="26">
        <f t="shared" si="462"/>
        <v>2038</v>
      </c>
      <c r="DC107" s="26">
        <f t="shared" si="462"/>
        <v>2038</v>
      </c>
      <c r="DD107" s="26">
        <f t="shared" si="462"/>
        <v>2038</v>
      </c>
      <c r="DE107" s="26">
        <f t="shared" si="462"/>
        <v>2038</v>
      </c>
      <c r="DF107" s="26">
        <f t="shared" si="462"/>
        <v>2039</v>
      </c>
      <c r="DG107" s="26">
        <f t="shared" si="462"/>
        <v>2039</v>
      </c>
      <c r="DH107" s="26">
        <f t="shared" si="462"/>
        <v>2039</v>
      </c>
      <c r="DI107" s="26">
        <f t="shared" si="462"/>
        <v>2039</v>
      </c>
      <c r="DJ107" s="26">
        <f t="shared" si="462"/>
        <v>2040</v>
      </c>
      <c r="DK107" s="26">
        <f t="shared" si="462"/>
        <v>2040</v>
      </c>
      <c r="DL107" s="26">
        <f t="shared" si="462"/>
        <v>2040</v>
      </c>
      <c r="DM107" s="26">
        <f t="shared" si="462"/>
        <v>2040</v>
      </c>
      <c r="DN107" s="26">
        <f t="shared" si="462"/>
        <v>2041</v>
      </c>
      <c r="DO107" s="26">
        <f t="shared" si="462"/>
        <v>2041</v>
      </c>
      <c r="DP107" s="26">
        <f t="shared" si="462"/>
        <v>2041</v>
      </c>
      <c r="DQ107" s="26">
        <f t="shared" si="462"/>
        <v>2041</v>
      </c>
    </row>
    <row r="108" spans="2:1006" x14ac:dyDescent="0.35">
      <c r="D108" s="20" t="s">
        <v>226</v>
      </c>
      <c r="F108" s="20" t="s">
        <v>161</v>
      </c>
      <c r="K108" s="49">
        <f>LOOKUP(K107,Assumptions!99:99,Assumptions!101:101)</f>
        <v>29.686499999999999</v>
      </c>
      <c r="L108" s="49">
        <f>LOOKUP(L107,Assumptions!99:99,Assumptions!101:101)</f>
        <v>29.686499999999999</v>
      </c>
      <c r="M108" s="49">
        <f>LOOKUP(M107,Assumptions!99:99,Assumptions!101:101)</f>
        <v>29.686499999999999</v>
      </c>
      <c r="N108" s="49">
        <f>LOOKUP(N107,Assumptions!99:99,Assumptions!101:101)</f>
        <v>29.686499999999999</v>
      </c>
      <c r="O108" s="49">
        <f>LOOKUP(O107,Assumptions!99:99,Assumptions!101:101)</f>
        <v>29.686499999999999</v>
      </c>
      <c r="P108" s="49">
        <f>LOOKUP(P107,Assumptions!99:99,Assumptions!101:101)</f>
        <v>29.686499999999999</v>
      </c>
      <c r="Q108" s="49">
        <f>LOOKUP(Q107,Assumptions!99:99,Assumptions!101:101)</f>
        <v>29.686499999999999</v>
      </c>
      <c r="R108" s="51">
        <f>LOOKUP(R107,Assumptions!99:99,Assumptions!101:101)</f>
        <v>29.686499999999999</v>
      </c>
      <c r="S108" s="51">
        <f>LOOKUP(S107,Assumptions!99:99,Assumptions!101:101)</f>
        <v>29.686499999999999</v>
      </c>
      <c r="T108" s="51">
        <f>LOOKUP(T107,Assumptions!99:99,Assumptions!101:101)</f>
        <v>29.686499999999999</v>
      </c>
      <c r="U108" s="51">
        <f>LOOKUP(U107,Assumptions!99:99,Assumptions!101:101)</f>
        <v>29.686499999999999</v>
      </c>
      <c r="V108" s="51">
        <f>LOOKUP(V107,Assumptions!99:99,Assumptions!101:101)</f>
        <v>29.686499999999999</v>
      </c>
      <c r="W108" s="51">
        <f>LOOKUP(W107,Assumptions!99:99,Assumptions!101:101)</f>
        <v>29.686499999999999</v>
      </c>
      <c r="X108" s="51">
        <f>LOOKUP(X107,Assumptions!99:99,Assumptions!101:101)</f>
        <v>29.686499999999999</v>
      </c>
      <c r="Y108" s="51">
        <f>LOOKUP(Y107,Assumptions!99:99,Assumptions!101:101)</f>
        <v>29.686499999999999</v>
      </c>
      <c r="Z108" s="51">
        <f>LOOKUP(Z107,Assumptions!99:99,Assumptions!101:101)</f>
        <v>29.686499999999999</v>
      </c>
      <c r="AA108" s="51">
        <f>LOOKUP(AA107,Assumptions!99:99,Assumptions!101:101)</f>
        <v>29.686499999999999</v>
      </c>
      <c r="AB108" s="51">
        <f>LOOKUP(AB107,Assumptions!99:99,Assumptions!101:101)</f>
        <v>29.686499999999999</v>
      </c>
      <c r="AC108" s="51">
        <f>LOOKUP(AC107,Assumptions!99:99,Assumptions!101:101)</f>
        <v>29.686499999999999</v>
      </c>
      <c r="AD108" s="51">
        <f>LOOKUP(AD107,Assumptions!99:99,Assumptions!101:101)</f>
        <v>30.699000000000002</v>
      </c>
      <c r="AE108" s="51">
        <f>LOOKUP(AE107,Assumptions!99:99,Assumptions!101:101)</f>
        <v>30.699000000000002</v>
      </c>
      <c r="AF108" s="51">
        <f>LOOKUP(AF107,Assumptions!99:99,Assumptions!101:101)</f>
        <v>30.699000000000002</v>
      </c>
      <c r="AG108" s="51">
        <f>LOOKUP(AG107,Assumptions!99:99,Assumptions!101:101)</f>
        <v>30.699000000000002</v>
      </c>
      <c r="AH108" s="51">
        <f>LOOKUP(AH107,Assumptions!99:99,Assumptions!101:101)</f>
        <v>31.401000000000003</v>
      </c>
      <c r="AI108" s="51">
        <f>LOOKUP(AI107,Assumptions!99:99,Assumptions!101:101)</f>
        <v>31.401000000000003</v>
      </c>
      <c r="AJ108" s="51">
        <f>LOOKUP(AJ107,Assumptions!99:99,Assumptions!101:101)</f>
        <v>31.401000000000003</v>
      </c>
      <c r="AK108" s="51">
        <f>LOOKUP(AK107,Assumptions!99:99,Assumptions!101:101)</f>
        <v>31.401000000000003</v>
      </c>
      <c r="AL108" s="51">
        <f>LOOKUP(AL107,Assumptions!99:99,Assumptions!101:101)</f>
        <v>31.536000000000001</v>
      </c>
      <c r="AM108" s="51">
        <f>LOOKUP(AM107,Assumptions!99:99,Assumptions!101:101)</f>
        <v>31.536000000000001</v>
      </c>
      <c r="AN108" s="51">
        <f>LOOKUP(AN107,Assumptions!99:99,Assumptions!101:101)</f>
        <v>31.536000000000001</v>
      </c>
      <c r="AO108" s="51">
        <f>LOOKUP(AO107,Assumptions!99:99,Assumptions!101:101)</f>
        <v>31.536000000000001</v>
      </c>
      <c r="AP108" s="51">
        <f>LOOKUP(AP107,Assumptions!99:99,Assumptions!101:101)</f>
        <v>33.844500000000004</v>
      </c>
      <c r="AQ108" s="51">
        <f>LOOKUP(AQ107,Assumptions!99:99,Assumptions!101:101)</f>
        <v>33.844500000000004</v>
      </c>
      <c r="AR108" s="51">
        <f>LOOKUP(AR107,Assumptions!99:99,Assumptions!101:101)</f>
        <v>33.844500000000004</v>
      </c>
      <c r="AS108" s="51">
        <f>LOOKUP(AS107,Assumptions!99:99,Assumptions!101:101)</f>
        <v>33.844500000000004</v>
      </c>
      <c r="AT108" s="51">
        <f>LOOKUP(AT107,Assumptions!99:99,Assumptions!101:101)</f>
        <v>37.894500000000001</v>
      </c>
      <c r="AU108" s="51">
        <f>LOOKUP(AU107,Assumptions!99:99,Assumptions!101:101)</f>
        <v>37.894500000000001</v>
      </c>
      <c r="AV108" s="51">
        <f>LOOKUP(AV107,Assumptions!99:99,Assumptions!101:101)</f>
        <v>37.894500000000001</v>
      </c>
      <c r="AW108" s="51">
        <f>LOOKUP(AW107,Assumptions!99:99,Assumptions!101:101)</f>
        <v>37.894500000000001</v>
      </c>
      <c r="AX108" s="51">
        <f>LOOKUP(AX107,Assumptions!99:99,Assumptions!101:101)</f>
        <v>39.109500000000004</v>
      </c>
      <c r="AY108" s="51">
        <f>LOOKUP(AY107,Assumptions!99:99,Assumptions!101:101)</f>
        <v>39.109500000000004</v>
      </c>
      <c r="AZ108" s="51">
        <f>LOOKUP(AZ107,Assumptions!99:99,Assumptions!101:101)</f>
        <v>39.109500000000004</v>
      </c>
      <c r="BA108" s="51">
        <f>LOOKUP(BA107,Assumptions!99:99,Assumptions!101:101)</f>
        <v>39.109500000000004</v>
      </c>
      <c r="BB108" s="51">
        <f>LOOKUP(BB107,Assumptions!99:99,Assumptions!101:101)</f>
        <v>39.312000000000005</v>
      </c>
      <c r="BC108" s="51">
        <f>LOOKUP(BC107,Assumptions!99:99,Assumptions!101:101)</f>
        <v>39.312000000000005</v>
      </c>
      <c r="BD108" s="51">
        <f>LOOKUP(BD107,Assumptions!99:99,Assumptions!101:101)</f>
        <v>39.312000000000005</v>
      </c>
      <c r="BE108" s="51">
        <f>LOOKUP(BE107,Assumptions!99:99,Assumptions!101:101)</f>
        <v>39.312000000000005</v>
      </c>
      <c r="BF108" s="51">
        <f>LOOKUP(BF107,Assumptions!99:99,Assumptions!101:101)</f>
        <v>41.107500000000002</v>
      </c>
      <c r="BG108" s="51">
        <f>LOOKUP(BG107,Assumptions!99:99,Assumptions!101:101)</f>
        <v>41.107500000000002</v>
      </c>
      <c r="BH108" s="51">
        <f>LOOKUP(BH107,Assumptions!99:99,Assumptions!101:101)</f>
        <v>41.107500000000002</v>
      </c>
      <c r="BI108" s="51">
        <f>LOOKUP(BI107,Assumptions!99:99,Assumptions!101:101)</f>
        <v>41.107500000000002</v>
      </c>
      <c r="BJ108" s="51">
        <f>LOOKUP(BJ107,Assumptions!99:99,Assumptions!101:101)</f>
        <v>43.267499999999998</v>
      </c>
      <c r="BK108" s="51">
        <f>LOOKUP(BK107,Assumptions!99:99,Assumptions!101:101)</f>
        <v>43.267499999999998</v>
      </c>
      <c r="BL108" s="51">
        <f>LOOKUP(BL107,Assumptions!99:99,Assumptions!101:101)</f>
        <v>43.267499999999998</v>
      </c>
      <c r="BM108" s="51">
        <f>LOOKUP(BM107,Assumptions!99:99,Assumptions!101:101)</f>
        <v>43.267499999999998</v>
      </c>
      <c r="BN108" s="51">
        <f>LOOKUP(BN107,Assumptions!99:99,Assumptions!101:101)</f>
        <v>46.129500000000007</v>
      </c>
      <c r="BO108" s="51">
        <f>LOOKUP(BO107,Assumptions!99:99,Assumptions!101:101)</f>
        <v>46.129500000000007</v>
      </c>
      <c r="BP108" s="51">
        <f>LOOKUP(BP107,Assumptions!99:99,Assumptions!101:101)</f>
        <v>46.129500000000007</v>
      </c>
      <c r="BQ108" s="51">
        <f>LOOKUP(BQ107,Assumptions!99:99,Assumptions!101:101)</f>
        <v>46.129500000000007</v>
      </c>
      <c r="BR108" s="51">
        <f>LOOKUP(BR107,Assumptions!99:99,Assumptions!101:101)</f>
        <v>48.829500000000003</v>
      </c>
      <c r="BS108" s="51">
        <f>LOOKUP(BS107,Assumptions!99:99,Assumptions!101:101)</f>
        <v>48.829500000000003</v>
      </c>
      <c r="BT108" s="51">
        <f>LOOKUP(BT107,Assumptions!99:99,Assumptions!101:101)</f>
        <v>48.829500000000003</v>
      </c>
      <c r="BU108" s="51">
        <f>LOOKUP(BU107,Assumptions!99:99,Assumptions!101:101)</f>
        <v>48.829500000000003</v>
      </c>
      <c r="BV108" s="51">
        <f>LOOKUP(BV107,Assumptions!99:99,Assumptions!101:101)</f>
        <v>50.652000000000008</v>
      </c>
      <c r="BW108" s="51">
        <f>LOOKUP(BW107,Assumptions!99:99,Assumptions!101:101)</f>
        <v>50.652000000000008</v>
      </c>
      <c r="BX108" s="51">
        <f>LOOKUP(BX107,Assumptions!99:99,Assumptions!101:101)</f>
        <v>50.652000000000008</v>
      </c>
      <c r="BY108" s="51">
        <f>LOOKUP(BY107,Assumptions!99:99,Assumptions!101:101)</f>
        <v>50.652000000000008</v>
      </c>
      <c r="BZ108" s="51">
        <f>LOOKUP(BZ107,Assumptions!99:99,Assumptions!101:101)</f>
        <v>51.637500000000003</v>
      </c>
      <c r="CA108" s="51">
        <f>LOOKUP(CA107,Assumptions!99:99,Assumptions!101:101)</f>
        <v>51.637500000000003</v>
      </c>
      <c r="CB108" s="51">
        <f>LOOKUP(CB107,Assumptions!99:99,Assumptions!101:101)</f>
        <v>51.637500000000003</v>
      </c>
      <c r="CC108" s="51">
        <f>LOOKUP(CC107,Assumptions!99:99,Assumptions!101:101)</f>
        <v>51.637500000000003</v>
      </c>
      <c r="CD108" s="51">
        <f>LOOKUP(CD107,Assumptions!99:99,Assumptions!101:101)</f>
        <v>54.513000000000005</v>
      </c>
      <c r="CE108" s="51">
        <f>LOOKUP(CE107,Assumptions!99:99,Assumptions!101:101)</f>
        <v>54.513000000000005</v>
      </c>
      <c r="CF108" s="51">
        <f>LOOKUP(CF107,Assumptions!99:99,Assumptions!101:101)</f>
        <v>54.513000000000005</v>
      </c>
      <c r="CG108" s="51">
        <f>LOOKUP(CG107,Assumptions!99:99,Assumptions!101:101)</f>
        <v>54.513000000000005</v>
      </c>
      <c r="CH108" s="51">
        <f>LOOKUP(CH107,Assumptions!99:99,Assumptions!101:101)</f>
        <v>56.375999999999998</v>
      </c>
      <c r="CI108" s="51">
        <f>LOOKUP(CI107,Assumptions!99:99,Assumptions!101:101)</f>
        <v>56.375999999999998</v>
      </c>
      <c r="CJ108" s="51">
        <f>LOOKUP(CJ107,Assumptions!99:99,Assumptions!101:101)</f>
        <v>56.375999999999998</v>
      </c>
      <c r="CK108" s="51">
        <f>LOOKUP(CK107,Assumptions!99:99,Assumptions!101:101)</f>
        <v>56.375999999999998</v>
      </c>
      <c r="CL108" s="51">
        <f>LOOKUP(CL107,Assumptions!99:99,Assumptions!101:101)</f>
        <v>60.493500000000004</v>
      </c>
      <c r="CM108" s="51">
        <f>LOOKUP(CM107,Assumptions!99:99,Assumptions!101:101)</f>
        <v>60.493500000000004</v>
      </c>
      <c r="CN108" s="51">
        <f>LOOKUP(CN107,Assumptions!99:99,Assumptions!101:101)</f>
        <v>60.493500000000004</v>
      </c>
      <c r="CO108" s="51">
        <f>LOOKUP(CO107,Assumptions!99:99,Assumptions!101:101)</f>
        <v>60.493500000000004</v>
      </c>
      <c r="CP108" s="51">
        <f>LOOKUP(CP107,Assumptions!99:99,Assumptions!101:101)</f>
        <v>63.922500000000007</v>
      </c>
      <c r="CQ108" s="51">
        <f>LOOKUP(CQ107,Assumptions!99:99,Assumptions!101:101)</f>
        <v>63.922500000000007</v>
      </c>
      <c r="CR108" s="51">
        <f>LOOKUP(CR107,Assumptions!99:99,Assumptions!101:101)</f>
        <v>63.922500000000007</v>
      </c>
      <c r="CS108" s="51">
        <f>LOOKUP(CS107,Assumptions!99:99,Assumptions!101:101)</f>
        <v>63.922500000000007</v>
      </c>
      <c r="CT108" s="51">
        <f>LOOKUP(CT107,Assumptions!99:99,Assumptions!101:101)</f>
        <v>67.715999999999994</v>
      </c>
      <c r="CU108" s="51">
        <f>LOOKUP(CU107,Assumptions!99:99,Assumptions!101:101)</f>
        <v>67.715999999999994</v>
      </c>
      <c r="CV108" s="51">
        <f>LOOKUP(CV107,Assumptions!99:99,Assumptions!101:101)</f>
        <v>67.715999999999994</v>
      </c>
      <c r="CW108" s="51">
        <f>LOOKUP(CW107,Assumptions!99:99,Assumptions!101:101)</f>
        <v>67.715999999999994</v>
      </c>
      <c r="CX108" s="51">
        <f>LOOKUP(CX107,Assumptions!99:99,Assumptions!101:101)</f>
        <v>71.320499999999996</v>
      </c>
      <c r="CY108" s="51">
        <f>LOOKUP(CY107,Assumptions!99:99,Assumptions!101:101)</f>
        <v>71.320499999999996</v>
      </c>
      <c r="CZ108" s="51">
        <f>LOOKUP(CZ107,Assumptions!99:99,Assumptions!101:101)</f>
        <v>71.320499999999996</v>
      </c>
      <c r="DA108" s="51">
        <f>LOOKUP(DA107,Assumptions!99:99,Assumptions!101:101)</f>
        <v>71.320499999999996</v>
      </c>
      <c r="DB108" s="51">
        <f>LOOKUP(DB107,Assumptions!99:99,Assumptions!101:101)</f>
        <v>72.373500000000007</v>
      </c>
      <c r="DC108" s="51">
        <f>LOOKUP(DC107,Assumptions!99:99,Assumptions!101:101)</f>
        <v>72.373500000000007</v>
      </c>
      <c r="DD108" s="51">
        <f>LOOKUP(DD107,Assumptions!99:99,Assumptions!101:101)</f>
        <v>72.373500000000007</v>
      </c>
      <c r="DE108" s="51">
        <f>LOOKUP(DE107,Assumptions!99:99,Assumptions!101:101)</f>
        <v>72.373500000000007</v>
      </c>
      <c r="DF108" s="51">
        <f>LOOKUP(DF107,Assumptions!99:99,Assumptions!101:101)</f>
        <v>72.954000000000008</v>
      </c>
      <c r="DG108" s="51">
        <f>LOOKUP(DG107,Assumptions!99:99,Assumptions!101:101)</f>
        <v>72.954000000000008</v>
      </c>
      <c r="DH108" s="51">
        <f>LOOKUP(DH107,Assumptions!99:99,Assumptions!101:101)</f>
        <v>72.954000000000008</v>
      </c>
      <c r="DI108" s="51">
        <f>LOOKUP(DI107,Assumptions!99:99,Assumptions!101:101)</f>
        <v>72.954000000000008</v>
      </c>
      <c r="DJ108" s="51">
        <f>LOOKUP(DJ107,Assumptions!99:99,Assumptions!101:101)</f>
        <v>73.602000000000004</v>
      </c>
      <c r="DK108" s="51">
        <f>LOOKUP(DK107,Assumptions!99:99,Assumptions!101:101)</f>
        <v>73.602000000000004</v>
      </c>
      <c r="DL108" s="51">
        <f>LOOKUP(DL107,Assumptions!99:99,Assumptions!101:101)</f>
        <v>73.602000000000004</v>
      </c>
      <c r="DM108" s="51">
        <f>LOOKUP(DM107,Assumptions!99:99,Assumptions!101:101)</f>
        <v>73.602000000000004</v>
      </c>
      <c r="DN108" s="51">
        <f>LOOKUP(DN107,Assumptions!99:99,Assumptions!101:101)</f>
        <v>74.763000000000005</v>
      </c>
      <c r="DO108" s="51">
        <f>LOOKUP(DO107,Assumptions!99:99,Assumptions!101:101)</f>
        <v>74.763000000000005</v>
      </c>
      <c r="DP108" s="51">
        <f>LOOKUP(DP107,Assumptions!99:99,Assumptions!101:101)</f>
        <v>74.763000000000005</v>
      </c>
      <c r="DQ108" s="51">
        <f>LOOKUP(DQ107,Assumptions!99:99,Assumptions!101:101)</f>
        <v>74.763000000000005</v>
      </c>
    </row>
    <row r="109" spans="2:1006" ht="15" thickBot="1" x14ac:dyDescent="0.4">
      <c r="D109" s="39" t="s">
        <v>233</v>
      </c>
      <c r="E109" s="39"/>
      <c r="F109" s="39" t="s">
        <v>129</v>
      </c>
      <c r="G109" s="39"/>
      <c r="H109" s="39"/>
      <c r="I109" s="39"/>
      <c r="J109" s="39"/>
      <c r="K109" s="44">
        <f>K108*K43</f>
        <v>0</v>
      </c>
      <c r="L109" s="44">
        <f t="shared" ref="L109:BW109" si="463">L108*L43</f>
        <v>0</v>
      </c>
      <c r="M109" s="44">
        <f t="shared" si="463"/>
        <v>0</v>
      </c>
      <c r="N109" s="44">
        <f t="shared" si="463"/>
        <v>0</v>
      </c>
      <c r="O109" s="44">
        <f t="shared" si="463"/>
        <v>0</v>
      </c>
      <c r="P109" s="44">
        <f t="shared" si="463"/>
        <v>0</v>
      </c>
      <c r="Q109" s="44">
        <f t="shared" si="463"/>
        <v>0</v>
      </c>
      <c r="R109" s="44">
        <f t="shared" si="463"/>
        <v>0</v>
      </c>
      <c r="S109" s="44">
        <f t="shared" si="463"/>
        <v>0</v>
      </c>
      <c r="T109" s="44">
        <f t="shared" si="463"/>
        <v>131489.54056033425</v>
      </c>
      <c r="U109" s="44">
        <f t="shared" si="463"/>
        <v>84032.807811533683</v>
      </c>
      <c r="V109" s="44">
        <f t="shared" si="463"/>
        <v>62458.116337827007</v>
      </c>
      <c r="W109" s="44">
        <f t="shared" si="463"/>
        <v>112674.39295701493</v>
      </c>
      <c r="X109" s="44">
        <f t="shared" si="463"/>
        <v>130835.36374162618</v>
      </c>
      <c r="Y109" s="44">
        <f t="shared" si="463"/>
        <v>83614.734140829562</v>
      </c>
      <c r="Z109" s="44">
        <f t="shared" si="463"/>
        <v>62147.379440623896</v>
      </c>
      <c r="AA109" s="44">
        <f t="shared" si="463"/>
        <v>112113.82383782587</v>
      </c>
      <c r="AB109" s="44">
        <f t="shared" si="463"/>
        <v>130184.44153395644</v>
      </c>
      <c r="AC109" s="44">
        <f t="shared" si="463"/>
        <v>83198.740438636436</v>
      </c>
      <c r="AD109" s="44">
        <f t="shared" si="463"/>
        <v>63947.267232721708</v>
      </c>
      <c r="AE109" s="44">
        <f t="shared" si="463"/>
        <v>115360.82000512042</v>
      </c>
      <c r="AF109" s="44">
        <f t="shared" si="463"/>
        <v>133954.79177474021</v>
      </c>
      <c r="AG109" s="44">
        <f t="shared" si="463"/>
        <v>85608.309411315073</v>
      </c>
      <c r="AH109" s="44">
        <f t="shared" si="463"/>
        <v>65084.14111645412</v>
      </c>
      <c r="AI109" s="44">
        <f t="shared" si="463"/>
        <v>117411.7396009881</v>
      </c>
      <c r="AJ109" s="44">
        <f t="shared" si="463"/>
        <v>136336.28063204029</v>
      </c>
      <c r="AK109" s="44">
        <f t="shared" si="463"/>
        <v>87130.279863093951</v>
      </c>
      <c r="AL109" s="44">
        <f t="shared" si="463"/>
        <v>65038.758763378668</v>
      </c>
      <c r="AM109" s="44">
        <f t="shared" si="463"/>
        <v>117329.86987158289</v>
      </c>
      <c r="AN109" s="44">
        <f t="shared" si="463"/>
        <v>136241.21505817695</v>
      </c>
      <c r="AO109" s="44">
        <f t="shared" si="463"/>
        <v>87069.525014731786</v>
      </c>
      <c r="AP109" s="44">
        <f t="shared" si="463"/>
        <v>69452.467210092669</v>
      </c>
      <c r="AQ109" s="44">
        <f t="shared" si="463"/>
        <v>125292.19645269302</v>
      </c>
      <c r="AR109" s="44">
        <f t="shared" si="463"/>
        <v>145486.91736133103</v>
      </c>
      <c r="AS109" s="44">
        <f t="shared" si="463"/>
        <v>92978.301647555301</v>
      </c>
      <c r="AT109" s="44">
        <f t="shared" si="463"/>
        <v>77376.609357968904</v>
      </c>
      <c r="AU109" s="44">
        <f t="shared" si="463"/>
        <v>139587.34268137152</v>
      </c>
      <c r="AV109" s="44">
        <f t="shared" si="463"/>
        <v>162086.16948494714</v>
      </c>
      <c r="AW109" s="44">
        <f t="shared" si="463"/>
        <v>103586.61130910575</v>
      </c>
      <c r="AX109" s="44">
        <f t="shared" si="463"/>
        <v>79460.21134443066</v>
      </c>
      <c r="AY109" s="44">
        <f t="shared" si="463"/>
        <v>143346.15903309721</v>
      </c>
      <c r="AZ109" s="44">
        <f t="shared" si="463"/>
        <v>166450.83559682604</v>
      </c>
      <c r="BA109" s="44">
        <f t="shared" si="463"/>
        <v>106375.99780310402</v>
      </c>
      <c r="BB109" s="44">
        <f t="shared" si="463"/>
        <v>79474.266717837178</v>
      </c>
      <c r="BC109" s="44">
        <f t="shared" si="463"/>
        <v>143371.51491571456</v>
      </c>
      <c r="BD109" s="44">
        <f t="shared" si="463"/>
        <v>166480.27836583654</v>
      </c>
      <c r="BE109" s="44">
        <f t="shared" si="463"/>
        <v>106394.81419366371</v>
      </c>
      <c r="BF109" s="44">
        <f t="shared" si="463"/>
        <v>82690.647776165279</v>
      </c>
      <c r="BG109" s="44">
        <f t="shared" si="463"/>
        <v>149173.8638259086</v>
      </c>
      <c r="BH109" s="44">
        <f t="shared" si="463"/>
        <v>173217.8556475768</v>
      </c>
      <c r="BI109" s="44">
        <f t="shared" si="463"/>
        <v>110700.68928014669</v>
      </c>
      <c r="BJ109" s="44">
        <f t="shared" si="463"/>
        <v>86602.627624638641</v>
      </c>
      <c r="BK109" s="44">
        <f t="shared" si="463"/>
        <v>156231.07240874023</v>
      </c>
      <c r="BL109" s="44">
        <f t="shared" si="463"/>
        <v>181412.55213276268</v>
      </c>
      <c r="BM109" s="44">
        <f t="shared" si="463"/>
        <v>115937.78534025118</v>
      </c>
      <c r="BN109" s="44">
        <f t="shared" si="463"/>
        <v>91871.74225390685</v>
      </c>
      <c r="BO109" s="44">
        <f t="shared" si="463"/>
        <v>165736.55107323462</v>
      </c>
      <c r="BP109" s="44">
        <f t="shared" si="463"/>
        <v>192450.13330776704</v>
      </c>
      <c r="BQ109" s="44">
        <f t="shared" si="463"/>
        <v>122991.72235783281</v>
      </c>
      <c r="BR109" s="44">
        <f t="shared" si="463"/>
        <v>96765.249471804345</v>
      </c>
      <c r="BS109" s="44">
        <f t="shared" si="463"/>
        <v>174564.43426178733</v>
      </c>
      <c r="BT109" s="44">
        <f t="shared" si="463"/>
        <v>202700.90349370905</v>
      </c>
      <c r="BU109" s="44">
        <f t="shared" si="463"/>
        <v>129542.82138277926</v>
      </c>
      <c r="BV109" s="44">
        <f t="shared" si="463"/>
        <v>99877.503832292801</v>
      </c>
      <c r="BW109" s="44">
        <f t="shared" si="463"/>
        <v>180178.93869062932</v>
      </c>
      <c r="BX109" s="44">
        <f t="shared" ref="BX109:DQ109" si="464">BX108*BX43</f>
        <v>209220.35933365976</v>
      </c>
      <c r="BY109" s="44">
        <f t="shared" si="464"/>
        <v>133709.29863488418</v>
      </c>
      <c r="BZ109" s="44">
        <f t="shared" si="464"/>
        <v>101314.17861611984</v>
      </c>
      <c r="CA109" s="44">
        <f t="shared" si="464"/>
        <v>182770.69887546735</v>
      </c>
      <c r="CB109" s="44">
        <f t="shared" si="464"/>
        <v>212229.86200427727</v>
      </c>
      <c r="CC109" s="44">
        <f t="shared" si="464"/>
        <v>135632.62240992059</v>
      </c>
      <c r="CD109" s="44">
        <f t="shared" si="464"/>
        <v>106423.86843609199</v>
      </c>
      <c r="CE109" s="44">
        <f t="shared" si="464"/>
        <v>191988.5753088512</v>
      </c>
      <c r="CF109" s="44">
        <f t="shared" si="464"/>
        <v>222933.48493435365</v>
      </c>
      <c r="CG109" s="44">
        <f t="shared" si="464"/>
        <v>142473.13219295928</v>
      </c>
      <c r="CH109" s="44">
        <f t="shared" si="464"/>
        <v>109513.37285566228</v>
      </c>
      <c r="CI109" s="44">
        <f t="shared" si="464"/>
        <v>197562.03886209437</v>
      </c>
      <c r="CJ109" s="44">
        <f t="shared" si="464"/>
        <v>229405.28488953467</v>
      </c>
      <c r="CK109" s="44">
        <f t="shared" si="464"/>
        <v>146609.1533510747</v>
      </c>
      <c r="CL109" s="44">
        <f t="shared" si="464"/>
        <v>116927.19919707568</v>
      </c>
      <c r="CM109" s="44">
        <f t="shared" si="464"/>
        <v>210936.57577558691</v>
      </c>
      <c r="CN109" s="44">
        <f t="shared" si="464"/>
        <v>244935.54297239979</v>
      </c>
      <c r="CO109" s="44">
        <f t="shared" si="464"/>
        <v>156534.28646188739</v>
      </c>
      <c r="CP109" s="44">
        <f t="shared" si="464"/>
        <v>122940.37249551249</v>
      </c>
      <c r="CQ109" s="44">
        <f t="shared" si="464"/>
        <v>221784.33569652392</v>
      </c>
      <c r="CR109" s="44">
        <f t="shared" si="464"/>
        <v>257531.75563252991</v>
      </c>
      <c r="CS109" s="44">
        <f t="shared" si="464"/>
        <v>164584.31928663689</v>
      </c>
      <c r="CT109" s="44">
        <f t="shared" si="464"/>
        <v>129588.3640798102</v>
      </c>
      <c r="CU109" s="44">
        <f t="shared" si="464"/>
        <v>233777.30730797208</v>
      </c>
      <c r="CV109" s="44">
        <f t="shared" si="464"/>
        <v>271457.76634310401</v>
      </c>
      <c r="CW109" s="44">
        <f t="shared" si="464"/>
        <v>173484.20422528771</v>
      </c>
      <c r="CX109" s="44">
        <f t="shared" si="464"/>
        <v>135807.27293231559</v>
      </c>
      <c r="CY109" s="44">
        <f t="shared" si="464"/>
        <v>244996.21400731921</v>
      </c>
      <c r="CZ109" s="44">
        <f t="shared" si="464"/>
        <v>284484.94758873468</v>
      </c>
      <c r="DA109" s="44">
        <f t="shared" si="464"/>
        <v>181809.66200143524</v>
      </c>
      <c r="DB109" s="44">
        <f t="shared" si="464"/>
        <v>137126.74375428256</v>
      </c>
      <c r="DC109" s="44">
        <f t="shared" si="464"/>
        <v>247376.53833675446</v>
      </c>
      <c r="DD109" s="44">
        <f t="shared" si="464"/>
        <v>287248.93496236543</v>
      </c>
      <c r="DE109" s="44">
        <f t="shared" si="464"/>
        <v>183576.08097873206</v>
      </c>
      <c r="DF109" s="44">
        <f t="shared" si="464"/>
        <v>137538.92786545603</v>
      </c>
      <c r="DG109" s="44">
        <f t="shared" si="464"/>
        <v>248120.1181504938</v>
      </c>
      <c r="DH109" s="44">
        <f t="shared" si="464"/>
        <v>288112.36571045604</v>
      </c>
      <c r="DI109" s="44">
        <f t="shared" si="464"/>
        <v>184127.88540213843</v>
      </c>
      <c r="DJ109" s="44">
        <f t="shared" si="464"/>
        <v>138070.23997747502</v>
      </c>
      <c r="DK109" s="44">
        <f t="shared" si="464"/>
        <v>249078.60478445902</v>
      </c>
      <c r="DL109" s="44">
        <f t="shared" si="464"/>
        <v>289225.34217392065</v>
      </c>
      <c r="DM109" s="44">
        <f t="shared" si="464"/>
        <v>184839.1703975421</v>
      </c>
      <c r="DN109" s="44">
        <f t="shared" si="464"/>
        <v>139550.41173356565</v>
      </c>
      <c r="DO109" s="44">
        <f t="shared" si="464"/>
        <v>251748.8334731943</v>
      </c>
      <c r="DP109" s="44">
        <f t="shared" si="464"/>
        <v>0</v>
      </c>
      <c r="DQ109" s="44">
        <f t="shared" si="464"/>
        <v>0</v>
      </c>
    </row>
    <row r="111" spans="2:1006" x14ac:dyDescent="0.35">
      <c r="E111" s="20" t="s">
        <v>35</v>
      </c>
      <c r="F111" s="20" t="s">
        <v>161</v>
      </c>
      <c r="K111" s="49">
        <f>LOOKUP(K$107,Assumptions!$112:$112,Assumptions!113:113)*K$108</f>
        <v>29.686499999999999</v>
      </c>
      <c r="L111" s="49">
        <f>LOOKUP(L$107,Assumptions!$112:$112,Assumptions!113:113)*L$108</f>
        <v>29.686499999999999</v>
      </c>
      <c r="M111" s="49">
        <f>LOOKUP(M$107,Assumptions!$112:$112,Assumptions!113:113)*M$108</f>
        <v>29.686499999999999</v>
      </c>
      <c r="N111" s="49">
        <f>LOOKUP(N$107,Assumptions!$112:$112,Assumptions!113:113)*N$108</f>
        <v>29.686499999999999</v>
      </c>
      <c r="O111" s="49">
        <f>LOOKUP(O$107,Assumptions!$112:$112,Assumptions!113:113)*O$108</f>
        <v>29.686499999999999</v>
      </c>
      <c r="P111" s="49">
        <f>LOOKUP(P$107,Assumptions!$112:$112,Assumptions!113:113)*P$108</f>
        <v>29.686499999999999</v>
      </c>
      <c r="Q111" s="49">
        <f>LOOKUP(Q$107,Assumptions!$112:$112,Assumptions!113:113)*Q$108</f>
        <v>29.686499999999999</v>
      </c>
      <c r="R111" s="49">
        <f>LOOKUP(R$107,Assumptions!$112:$112,Assumptions!113:113)*R$108</f>
        <v>29.686499999999999</v>
      </c>
      <c r="S111" s="49">
        <f>LOOKUP(S$107,Assumptions!$112:$112,Assumptions!113:113)*S$108</f>
        <v>29.686499999999999</v>
      </c>
      <c r="T111" s="49">
        <f>LOOKUP(T$107,Assumptions!$112:$112,Assumptions!113:113)*T$108</f>
        <v>29.686499999999999</v>
      </c>
      <c r="U111" s="49">
        <f>LOOKUP(U$107,Assumptions!$112:$112,Assumptions!113:113)*U$108</f>
        <v>29.686499999999999</v>
      </c>
      <c r="V111" s="49">
        <f>LOOKUP(V$107,Assumptions!$112:$112,Assumptions!113:113)*V$108</f>
        <v>29.686499999999999</v>
      </c>
      <c r="W111" s="49">
        <f>LOOKUP(W$107,Assumptions!$112:$112,Assumptions!113:113)*W$108</f>
        <v>29.686499999999999</v>
      </c>
      <c r="X111" s="49">
        <f>LOOKUP(X$107,Assumptions!$112:$112,Assumptions!113:113)*X$108</f>
        <v>29.686499999999999</v>
      </c>
      <c r="Y111" s="49">
        <f>LOOKUP(Y$107,Assumptions!$112:$112,Assumptions!113:113)*Y$108</f>
        <v>29.686499999999999</v>
      </c>
      <c r="Z111" s="49">
        <f>LOOKUP(Z$107,Assumptions!$112:$112,Assumptions!113:113)*Z$108</f>
        <v>29.686499999999999</v>
      </c>
      <c r="AA111" s="49">
        <f>LOOKUP(AA$107,Assumptions!$112:$112,Assumptions!113:113)*AA$108</f>
        <v>29.686499999999999</v>
      </c>
      <c r="AB111" s="49">
        <f>LOOKUP(AB$107,Assumptions!$112:$112,Assumptions!113:113)*AB$108</f>
        <v>29.686499999999999</v>
      </c>
      <c r="AC111" s="49">
        <f>LOOKUP(AC$107,Assumptions!$112:$112,Assumptions!113:113)*AC$108</f>
        <v>29.686499999999999</v>
      </c>
      <c r="AD111" s="49">
        <f>LOOKUP(AD$107,Assumptions!$112:$112,Assumptions!113:113)*AD$108</f>
        <v>30.699000000000002</v>
      </c>
      <c r="AE111" s="49">
        <f>LOOKUP(AE$107,Assumptions!$112:$112,Assumptions!113:113)*AE$108</f>
        <v>30.699000000000002</v>
      </c>
      <c r="AF111" s="49">
        <f>LOOKUP(AF$107,Assumptions!$112:$112,Assumptions!113:113)*AF$108</f>
        <v>30.699000000000002</v>
      </c>
      <c r="AG111" s="49">
        <f>LOOKUP(AG$107,Assumptions!$112:$112,Assumptions!113:113)*AG$108</f>
        <v>30.699000000000002</v>
      </c>
      <c r="AH111" s="49">
        <f>LOOKUP(AH$107,Assumptions!$112:$112,Assumptions!113:113)*AH$108</f>
        <v>31.401000000000003</v>
      </c>
      <c r="AI111" s="49">
        <f>LOOKUP(AI$107,Assumptions!$112:$112,Assumptions!113:113)*AI$108</f>
        <v>31.401000000000003</v>
      </c>
      <c r="AJ111" s="49">
        <f>LOOKUP(AJ$107,Assumptions!$112:$112,Assumptions!113:113)*AJ$108</f>
        <v>31.401000000000003</v>
      </c>
      <c r="AK111" s="49">
        <f>LOOKUP(AK$107,Assumptions!$112:$112,Assumptions!113:113)*AK$108</f>
        <v>31.401000000000003</v>
      </c>
      <c r="AL111" s="49">
        <f>LOOKUP(AL$107,Assumptions!$112:$112,Assumptions!113:113)*AL$108</f>
        <v>3.1536000000000004</v>
      </c>
      <c r="AM111" s="49">
        <f>LOOKUP(AM$107,Assumptions!$112:$112,Assumptions!113:113)*AM$108</f>
        <v>3.1536000000000004</v>
      </c>
      <c r="AN111" s="49">
        <f>LOOKUP(AN$107,Assumptions!$112:$112,Assumptions!113:113)*AN$108</f>
        <v>3.1536000000000004</v>
      </c>
      <c r="AO111" s="49">
        <f>LOOKUP(AO$107,Assumptions!$112:$112,Assumptions!113:113)*AO$108</f>
        <v>3.1536000000000004</v>
      </c>
      <c r="AP111" s="49">
        <f>LOOKUP(AP$107,Assumptions!$112:$112,Assumptions!113:113)*AP$108</f>
        <v>6.7689000000000012</v>
      </c>
      <c r="AQ111" s="49">
        <f>LOOKUP(AQ$107,Assumptions!$112:$112,Assumptions!113:113)*AQ$108</f>
        <v>6.7689000000000012</v>
      </c>
      <c r="AR111" s="49">
        <f>LOOKUP(AR$107,Assumptions!$112:$112,Assumptions!113:113)*AR$108</f>
        <v>6.7689000000000012</v>
      </c>
      <c r="AS111" s="49">
        <f>LOOKUP(AS$107,Assumptions!$112:$112,Assumptions!113:113)*AS$108</f>
        <v>6.7689000000000012</v>
      </c>
      <c r="AT111" s="49">
        <f>LOOKUP(AT$107,Assumptions!$112:$112,Assumptions!113:113)*AT$108</f>
        <v>17.052524999999999</v>
      </c>
      <c r="AU111" s="49">
        <f>LOOKUP(AU$107,Assumptions!$112:$112,Assumptions!113:113)*AU$108</f>
        <v>17.052524999999999</v>
      </c>
      <c r="AV111" s="49">
        <f>LOOKUP(AV$107,Assumptions!$112:$112,Assumptions!113:113)*AV$108</f>
        <v>17.052524999999999</v>
      </c>
      <c r="AW111" s="49">
        <f>LOOKUP(AW$107,Assumptions!$112:$112,Assumptions!113:113)*AW$108</f>
        <v>17.052524999999999</v>
      </c>
      <c r="AX111" s="49">
        <f>LOOKUP(AX$107,Assumptions!$112:$112,Assumptions!113:113)*AX$108</f>
        <v>39.109500000000004</v>
      </c>
      <c r="AY111" s="49">
        <f>LOOKUP(AY$107,Assumptions!$112:$112,Assumptions!113:113)*AY$108</f>
        <v>39.109500000000004</v>
      </c>
      <c r="AZ111" s="49">
        <f>LOOKUP(AZ$107,Assumptions!$112:$112,Assumptions!113:113)*AZ$108</f>
        <v>39.109500000000004</v>
      </c>
      <c r="BA111" s="49">
        <f>LOOKUP(BA$107,Assumptions!$112:$112,Assumptions!113:113)*BA$108</f>
        <v>39.109500000000004</v>
      </c>
      <c r="BB111" s="49">
        <f>LOOKUP(BB$107,Assumptions!$112:$112,Assumptions!113:113)*BB$108</f>
        <v>39.312000000000005</v>
      </c>
      <c r="BC111" s="49">
        <f>LOOKUP(BC$107,Assumptions!$112:$112,Assumptions!113:113)*BC$108</f>
        <v>39.312000000000005</v>
      </c>
      <c r="BD111" s="49">
        <f>LOOKUP(BD$107,Assumptions!$112:$112,Assumptions!113:113)*BD$108</f>
        <v>39.312000000000005</v>
      </c>
      <c r="BE111" s="49">
        <f>LOOKUP(BE$107,Assumptions!$112:$112,Assumptions!113:113)*BE$108</f>
        <v>39.312000000000005</v>
      </c>
      <c r="BF111" s="49">
        <f>LOOKUP(BF$107,Assumptions!$112:$112,Assumptions!113:113)*BF$108</f>
        <v>41.107500000000002</v>
      </c>
      <c r="BG111" s="49">
        <f>LOOKUP(BG$107,Assumptions!$112:$112,Assumptions!113:113)*BG$108</f>
        <v>41.107500000000002</v>
      </c>
      <c r="BH111" s="49">
        <f>LOOKUP(BH$107,Assumptions!$112:$112,Assumptions!113:113)*BH$108</f>
        <v>41.107500000000002</v>
      </c>
      <c r="BI111" s="49">
        <f>LOOKUP(BI$107,Assumptions!$112:$112,Assumptions!113:113)*BI$108</f>
        <v>41.107500000000002</v>
      </c>
      <c r="BJ111" s="49">
        <f>LOOKUP(BJ$107,Assumptions!$112:$112,Assumptions!113:113)*BJ$108</f>
        <v>43.267499999999998</v>
      </c>
      <c r="BK111" s="49">
        <f>LOOKUP(BK$107,Assumptions!$112:$112,Assumptions!113:113)*BK$108</f>
        <v>43.267499999999998</v>
      </c>
      <c r="BL111" s="49">
        <f>LOOKUP(BL$107,Assumptions!$112:$112,Assumptions!113:113)*BL$108</f>
        <v>43.267499999999998</v>
      </c>
      <c r="BM111" s="49">
        <f>LOOKUP(BM$107,Assumptions!$112:$112,Assumptions!113:113)*BM$108</f>
        <v>43.267499999999998</v>
      </c>
      <c r="BN111" s="49">
        <f>LOOKUP(BN$107,Assumptions!$112:$112,Assumptions!113:113)*BN$108</f>
        <v>46.129500000000007</v>
      </c>
      <c r="BO111" s="49">
        <f>LOOKUP(BO$107,Assumptions!$112:$112,Assumptions!113:113)*BO$108</f>
        <v>46.129500000000007</v>
      </c>
      <c r="BP111" s="49">
        <f>LOOKUP(BP$107,Assumptions!$112:$112,Assumptions!113:113)*BP$108</f>
        <v>46.129500000000007</v>
      </c>
      <c r="BQ111" s="49">
        <f>LOOKUP(BQ$107,Assumptions!$112:$112,Assumptions!113:113)*BQ$108</f>
        <v>46.129500000000007</v>
      </c>
      <c r="BR111" s="49">
        <f>LOOKUP(BR$107,Assumptions!$112:$112,Assumptions!113:113)*BR$108</f>
        <v>48.829500000000003</v>
      </c>
      <c r="BS111" s="49">
        <f>LOOKUP(BS$107,Assumptions!$112:$112,Assumptions!113:113)*BS$108</f>
        <v>48.829500000000003</v>
      </c>
      <c r="BT111" s="49">
        <f>LOOKUP(BT$107,Assumptions!$112:$112,Assumptions!113:113)*BT$108</f>
        <v>48.829500000000003</v>
      </c>
      <c r="BU111" s="49">
        <f>LOOKUP(BU$107,Assumptions!$112:$112,Assumptions!113:113)*BU$108</f>
        <v>48.829500000000003</v>
      </c>
      <c r="BV111" s="49">
        <f>LOOKUP(BV$107,Assumptions!$112:$112,Assumptions!113:113)*BV$108</f>
        <v>50.652000000000008</v>
      </c>
      <c r="BW111" s="49">
        <f>LOOKUP(BW$107,Assumptions!$112:$112,Assumptions!113:113)*BW$108</f>
        <v>50.652000000000008</v>
      </c>
      <c r="BX111" s="49">
        <f>LOOKUP(BX$107,Assumptions!$112:$112,Assumptions!113:113)*BX$108</f>
        <v>50.652000000000008</v>
      </c>
      <c r="BY111" s="49">
        <f>LOOKUP(BY$107,Assumptions!$112:$112,Assumptions!113:113)*BY$108</f>
        <v>50.652000000000008</v>
      </c>
      <c r="BZ111" s="49">
        <f>LOOKUP(BZ$107,Assumptions!$112:$112,Assumptions!113:113)*BZ$108</f>
        <v>51.637500000000003</v>
      </c>
      <c r="CA111" s="49">
        <f>LOOKUP(CA$107,Assumptions!$112:$112,Assumptions!113:113)*CA$108</f>
        <v>51.637500000000003</v>
      </c>
      <c r="CB111" s="49">
        <f>LOOKUP(CB$107,Assumptions!$112:$112,Assumptions!113:113)*CB$108</f>
        <v>51.637500000000003</v>
      </c>
      <c r="CC111" s="49">
        <f>LOOKUP(CC$107,Assumptions!$112:$112,Assumptions!113:113)*CC$108</f>
        <v>51.637500000000003</v>
      </c>
      <c r="CD111" s="49">
        <f>LOOKUP(CD$107,Assumptions!$112:$112,Assumptions!113:113)*CD$108</f>
        <v>54.513000000000005</v>
      </c>
      <c r="CE111" s="49">
        <f>LOOKUP(CE$107,Assumptions!$112:$112,Assumptions!113:113)*CE$108</f>
        <v>54.513000000000005</v>
      </c>
      <c r="CF111" s="49">
        <f>LOOKUP(CF$107,Assumptions!$112:$112,Assumptions!113:113)*CF$108</f>
        <v>54.513000000000005</v>
      </c>
      <c r="CG111" s="49">
        <f>LOOKUP(CG$107,Assumptions!$112:$112,Assumptions!113:113)*CG$108</f>
        <v>54.513000000000005</v>
      </c>
      <c r="CH111" s="49">
        <f>LOOKUP(CH$107,Assumptions!$112:$112,Assumptions!113:113)*CH$108</f>
        <v>56.375999999999998</v>
      </c>
      <c r="CI111" s="49">
        <f>LOOKUP(CI$107,Assumptions!$112:$112,Assumptions!113:113)*CI$108</f>
        <v>56.375999999999998</v>
      </c>
      <c r="CJ111" s="49">
        <f>LOOKUP(CJ$107,Assumptions!$112:$112,Assumptions!113:113)*CJ$108</f>
        <v>56.375999999999998</v>
      </c>
      <c r="CK111" s="49">
        <f>LOOKUP(CK$107,Assumptions!$112:$112,Assumptions!113:113)*CK$108</f>
        <v>56.375999999999998</v>
      </c>
      <c r="CL111" s="49">
        <f>LOOKUP(CL$107,Assumptions!$112:$112,Assumptions!113:113)*CL$108</f>
        <v>60.493500000000004</v>
      </c>
      <c r="CM111" s="49">
        <f>LOOKUP(CM$107,Assumptions!$112:$112,Assumptions!113:113)*CM$108</f>
        <v>60.493500000000004</v>
      </c>
      <c r="CN111" s="49">
        <f>LOOKUP(CN$107,Assumptions!$112:$112,Assumptions!113:113)*CN$108</f>
        <v>60.493500000000004</v>
      </c>
      <c r="CO111" s="49">
        <f>LOOKUP(CO$107,Assumptions!$112:$112,Assumptions!113:113)*CO$108</f>
        <v>60.493500000000004</v>
      </c>
      <c r="CP111" s="49">
        <f>LOOKUP(CP$107,Assumptions!$112:$112,Assumptions!113:113)*CP$108</f>
        <v>63.922500000000007</v>
      </c>
      <c r="CQ111" s="49">
        <f>LOOKUP(CQ$107,Assumptions!$112:$112,Assumptions!113:113)*CQ$108</f>
        <v>63.922500000000007</v>
      </c>
      <c r="CR111" s="49">
        <f>LOOKUP(CR$107,Assumptions!$112:$112,Assumptions!113:113)*CR$108</f>
        <v>63.922500000000007</v>
      </c>
      <c r="CS111" s="49">
        <f>LOOKUP(CS$107,Assumptions!$112:$112,Assumptions!113:113)*CS$108</f>
        <v>63.922500000000007</v>
      </c>
      <c r="CT111" s="49">
        <f>LOOKUP(CT$107,Assumptions!$112:$112,Assumptions!113:113)*CT$108</f>
        <v>67.715999999999994</v>
      </c>
      <c r="CU111" s="49">
        <f>LOOKUP(CU$107,Assumptions!$112:$112,Assumptions!113:113)*CU$108</f>
        <v>67.715999999999994</v>
      </c>
      <c r="CV111" s="49">
        <f>LOOKUP(CV$107,Assumptions!$112:$112,Assumptions!113:113)*CV$108</f>
        <v>67.715999999999994</v>
      </c>
      <c r="CW111" s="49">
        <f>LOOKUP(CW$107,Assumptions!$112:$112,Assumptions!113:113)*CW$108</f>
        <v>67.715999999999994</v>
      </c>
      <c r="CX111" s="49">
        <f>LOOKUP(CX$107,Assumptions!$112:$112,Assumptions!113:113)*CX$108</f>
        <v>71.320499999999996</v>
      </c>
      <c r="CY111" s="49">
        <f>LOOKUP(CY$107,Assumptions!$112:$112,Assumptions!113:113)*CY$108</f>
        <v>71.320499999999996</v>
      </c>
      <c r="CZ111" s="49">
        <f>LOOKUP(CZ$107,Assumptions!$112:$112,Assumptions!113:113)*CZ$108</f>
        <v>71.320499999999996</v>
      </c>
      <c r="DA111" s="49">
        <f>LOOKUP(DA$107,Assumptions!$112:$112,Assumptions!113:113)*DA$108</f>
        <v>71.320499999999996</v>
      </c>
      <c r="DB111" s="49">
        <f>LOOKUP(DB$107,Assumptions!$112:$112,Assumptions!113:113)*DB$108</f>
        <v>72.373500000000007</v>
      </c>
      <c r="DC111" s="49">
        <f>LOOKUP(DC$107,Assumptions!$112:$112,Assumptions!113:113)*DC$108</f>
        <v>72.373500000000007</v>
      </c>
      <c r="DD111" s="49">
        <f>LOOKUP(DD$107,Assumptions!$112:$112,Assumptions!113:113)*DD$108</f>
        <v>72.373500000000007</v>
      </c>
      <c r="DE111" s="49">
        <f>LOOKUP(DE$107,Assumptions!$112:$112,Assumptions!113:113)*DE$108</f>
        <v>72.373500000000007</v>
      </c>
      <c r="DF111" s="49">
        <f>LOOKUP(DF$107,Assumptions!$112:$112,Assumptions!113:113)*DF$108</f>
        <v>72.954000000000008</v>
      </c>
      <c r="DG111" s="49">
        <f>LOOKUP(DG$107,Assumptions!$112:$112,Assumptions!113:113)*DG$108</f>
        <v>72.954000000000008</v>
      </c>
      <c r="DH111" s="49">
        <f>LOOKUP(DH$107,Assumptions!$112:$112,Assumptions!113:113)*DH$108</f>
        <v>72.954000000000008</v>
      </c>
      <c r="DI111" s="49">
        <f>LOOKUP(DI$107,Assumptions!$112:$112,Assumptions!113:113)*DI$108</f>
        <v>72.954000000000008</v>
      </c>
      <c r="DJ111" s="49">
        <f>LOOKUP(DJ$107,Assumptions!$112:$112,Assumptions!113:113)*DJ$108</f>
        <v>73.602000000000004</v>
      </c>
      <c r="DK111" s="49">
        <f>LOOKUP(DK$107,Assumptions!$112:$112,Assumptions!113:113)*DK$108</f>
        <v>73.602000000000004</v>
      </c>
      <c r="DL111" s="49">
        <f>LOOKUP(DL$107,Assumptions!$112:$112,Assumptions!113:113)*DL$108</f>
        <v>73.602000000000004</v>
      </c>
      <c r="DM111" s="49">
        <f>LOOKUP(DM$107,Assumptions!$112:$112,Assumptions!113:113)*DM$108</f>
        <v>73.602000000000004</v>
      </c>
      <c r="DN111" s="49">
        <f>LOOKUP(DN$107,Assumptions!$112:$112,Assumptions!113:113)*DN$108</f>
        <v>74.763000000000005</v>
      </c>
      <c r="DO111" s="49">
        <f>LOOKUP(DO$107,Assumptions!$112:$112,Assumptions!113:113)*DO$108</f>
        <v>74.763000000000005</v>
      </c>
      <c r="DP111" s="49">
        <f>LOOKUP(DP$107,Assumptions!$112:$112,Assumptions!113:113)*DP$108</f>
        <v>74.763000000000005</v>
      </c>
      <c r="DQ111" s="49">
        <f>LOOKUP(DQ$107,Assumptions!$112:$112,Assumptions!113:113)*DQ$108</f>
        <v>74.763000000000005</v>
      </c>
    </row>
    <row r="112" spans="2:1006" x14ac:dyDescent="0.35">
      <c r="E112" s="20" t="s">
        <v>36</v>
      </c>
      <c r="F112" s="20" t="s">
        <v>161</v>
      </c>
      <c r="K112" s="49">
        <f>LOOKUP(K$107,Assumptions!$112:$112,Assumptions!114:114)*K$108</f>
        <v>29.686499999999999</v>
      </c>
      <c r="L112" s="49">
        <f>LOOKUP(L$107,Assumptions!$112:$112,Assumptions!114:114)*L$108</f>
        <v>29.686499999999999</v>
      </c>
      <c r="M112" s="49">
        <f>LOOKUP(M$107,Assumptions!$112:$112,Assumptions!114:114)*M$108</f>
        <v>29.686499999999999</v>
      </c>
      <c r="N112" s="49">
        <f>LOOKUP(N$107,Assumptions!$112:$112,Assumptions!114:114)*N$108</f>
        <v>29.686499999999999</v>
      </c>
      <c r="O112" s="49">
        <f>LOOKUP(O$107,Assumptions!$112:$112,Assumptions!114:114)*O$108</f>
        <v>29.686499999999999</v>
      </c>
      <c r="P112" s="49">
        <f>LOOKUP(P$107,Assumptions!$112:$112,Assumptions!114:114)*P$108</f>
        <v>29.686499999999999</v>
      </c>
      <c r="Q112" s="49">
        <f>LOOKUP(Q$107,Assumptions!$112:$112,Assumptions!114:114)*Q$108</f>
        <v>29.686499999999999</v>
      </c>
      <c r="R112" s="49">
        <f>LOOKUP(R$107,Assumptions!$112:$112,Assumptions!114:114)*R$108</f>
        <v>29.686499999999999</v>
      </c>
      <c r="S112" s="49">
        <f>LOOKUP(S$107,Assumptions!$112:$112,Assumptions!114:114)*S$108</f>
        <v>29.686499999999999</v>
      </c>
      <c r="T112" s="49">
        <f>LOOKUP(T$107,Assumptions!$112:$112,Assumptions!114:114)*T$108</f>
        <v>29.686499999999999</v>
      </c>
      <c r="U112" s="49">
        <f>LOOKUP(U$107,Assumptions!$112:$112,Assumptions!114:114)*U$108</f>
        <v>29.686499999999999</v>
      </c>
      <c r="V112" s="49">
        <f>LOOKUP(V$107,Assumptions!$112:$112,Assumptions!114:114)*V$108</f>
        <v>29.686499999999999</v>
      </c>
      <c r="W112" s="49">
        <f>LOOKUP(W$107,Assumptions!$112:$112,Assumptions!114:114)*W$108</f>
        <v>29.686499999999999</v>
      </c>
      <c r="X112" s="49">
        <f>LOOKUP(X$107,Assumptions!$112:$112,Assumptions!114:114)*X$108</f>
        <v>29.686499999999999</v>
      </c>
      <c r="Y112" s="49">
        <f>LOOKUP(Y$107,Assumptions!$112:$112,Assumptions!114:114)*Y$108</f>
        <v>29.686499999999999</v>
      </c>
      <c r="Z112" s="49">
        <f>LOOKUP(Z$107,Assumptions!$112:$112,Assumptions!114:114)*Z$108</f>
        <v>29.686499999999999</v>
      </c>
      <c r="AA112" s="49">
        <f>LOOKUP(AA$107,Assumptions!$112:$112,Assumptions!114:114)*AA$108</f>
        <v>29.686499999999999</v>
      </c>
      <c r="AB112" s="49">
        <f>LOOKUP(AB$107,Assumptions!$112:$112,Assumptions!114:114)*AB$108</f>
        <v>29.686499999999999</v>
      </c>
      <c r="AC112" s="49">
        <f>LOOKUP(AC$107,Assumptions!$112:$112,Assumptions!114:114)*AC$108</f>
        <v>29.686499999999999</v>
      </c>
      <c r="AD112" s="49">
        <f>LOOKUP(AD$107,Assumptions!$112:$112,Assumptions!114:114)*AD$108</f>
        <v>30.699000000000002</v>
      </c>
      <c r="AE112" s="49">
        <f>LOOKUP(AE$107,Assumptions!$112:$112,Assumptions!114:114)*AE$108</f>
        <v>30.699000000000002</v>
      </c>
      <c r="AF112" s="49">
        <f>LOOKUP(AF$107,Assumptions!$112:$112,Assumptions!114:114)*AF$108</f>
        <v>30.699000000000002</v>
      </c>
      <c r="AG112" s="49">
        <f>LOOKUP(AG$107,Assumptions!$112:$112,Assumptions!114:114)*AG$108</f>
        <v>30.699000000000002</v>
      </c>
      <c r="AH112" s="49">
        <f>LOOKUP(AH$107,Assumptions!$112:$112,Assumptions!114:114)*AH$108</f>
        <v>31.401000000000003</v>
      </c>
      <c r="AI112" s="49">
        <f>LOOKUP(AI$107,Assumptions!$112:$112,Assumptions!114:114)*AI$108</f>
        <v>31.401000000000003</v>
      </c>
      <c r="AJ112" s="49">
        <f>LOOKUP(AJ$107,Assumptions!$112:$112,Assumptions!114:114)*AJ$108</f>
        <v>31.401000000000003</v>
      </c>
      <c r="AK112" s="49">
        <f>LOOKUP(AK$107,Assumptions!$112:$112,Assumptions!114:114)*AK$108</f>
        <v>31.401000000000003</v>
      </c>
      <c r="AL112" s="49">
        <f>LOOKUP(AL$107,Assumptions!$112:$112,Assumptions!114:114)*AL$108</f>
        <v>3.1536000000000004</v>
      </c>
      <c r="AM112" s="49">
        <f>LOOKUP(AM$107,Assumptions!$112:$112,Assumptions!114:114)*AM$108</f>
        <v>3.1536000000000004</v>
      </c>
      <c r="AN112" s="49">
        <f>LOOKUP(AN$107,Assumptions!$112:$112,Assumptions!114:114)*AN$108</f>
        <v>3.1536000000000004</v>
      </c>
      <c r="AO112" s="49">
        <f>LOOKUP(AO$107,Assumptions!$112:$112,Assumptions!114:114)*AO$108</f>
        <v>3.1536000000000004</v>
      </c>
      <c r="AP112" s="49">
        <f>LOOKUP(AP$107,Assumptions!$112:$112,Assumptions!114:114)*AP$108</f>
        <v>6.7689000000000012</v>
      </c>
      <c r="AQ112" s="49">
        <f>LOOKUP(AQ$107,Assumptions!$112:$112,Assumptions!114:114)*AQ$108</f>
        <v>6.7689000000000012</v>
      </c>
      <c r="AR112" s="49">
        <f>LOOKUP(AR$107,Assumptions!$112:$112,Assumptions!114:114)*AR$108</f>
        <v>6.7689000000000012</v>
      </c>
      <c r="AS112" s="49">
        <f>LOOKUP(AS$107,Assumptions!$112:$112,Assumptions!114:114)*AS$108</f>
        <v>6.7689000000000012</v>
      </c>
      <c r="AT112" s="49">
        <f>LOOKUP(AT$107,Assumptions!$112:$112,Assumptions!114:114)*AT$108</f>
        <v>17.052524999999999</v>
      </c>
      <c r="AU112" s="49">
        <f>LOOKUP(AU$107,Assumptions!$112:$112,Assumptions!114:114)*AU$108</f>
        <v>17.052524999999999</v>
      </c>
      <c r="AV112" s="49">
        <f>LOOKUP(AV$107,Assumptions!$112:$112,Assumptions!114:114)*AV$108</f>
        <v>17.052524999999999</v>
      </c>
      <c r="AW112" s="49">
        <f>LOOKUP(AW$107,Assumptions!$112:$112,Assumptions!114:114)*AW$108</f>
        <v>17.052524999999999</v>
      </c>
      <c r="AX112" s="49">
        <f>LOOKUP(AX$107,Assumptions!$112:$112,Assumptions!114:114)*AX$108</f>
        <v>39.109500000000004</v>
      </c>
      <c r="AY112" s="49">
        <f>LOOKUP(AY$107,Assumptions!$112:$112,Assumptions!114:114)*AY$108</f>
        <v>39.109500000000004</v>
      </c>
      <c r="AZ112" s="49">
        <f>LOOKUP(AZ$107,Assumptions!$112:$112,Assumptions!114:114)*AZ$108</f>
        <v>39.109500000000004</v>
      </c>
      <c r="BA112" s="49">
        <f>LOOKUP(BA$107,Assumptions!$112:$112,Assumptions!114:114)*BA$108</f>
        <v>39.109500000000004</v>
      </c>
      <c r="BB112" s="49">
        <f>LOOKUP(BB$107,Assumptions!$112:$112,Assumptions!114:114)*BB$108</f>
        <v>39.312000000000005</v>
      </c>
      <c r="BC112" s="49">
        <f>LOOKUP(BC$107,Assumptions!$112:$112,Assumptions!114:114)*BC$108</f>
        <v>39.312000000000005</v>
      </c>
      <c r="BD112" s="49">
        <f>LOOKUP(BD$107,Assumptions!$112:$112,Assumptions!114:114)*BD$108</f>
        <v>39.312000000000005</v>
      </c>
      <c r="BE112" s="49">
        <f>LOOKUP(BE$107,Assumptions!$112:$112,Assumptions!114:114)*BE$108</f>
        <v>39.312000000000005</v>
      </c>
      <c r="BF112" s="49">
        <f>LOOKUP(BF$107,Assumptions!$112:$112,Assumptions!114:114)*BF$108</f>
        <v>41.107500000000002</v>
      </c>
      <c r="BG112" s="49">
        <f>LOOKUP(BG$107,Assumptions!$112:$112,Assumptions!114:114)*BG$108</f>
        <v>41.107500000000002</v>
      </c>
      <c r="BH112" s="49">
        <f>LOOKUP(BH$107,Assumptions!$112:$112,Assumptions!114:114)*BH$108</f>
        <v>41.107500000000002</v>
      </c>
      <c r="BI112" s="49">
        <f>LOOKUP(BI$107,Assumptions!$112:$112,Assumptions!114:114)*BI$108</f>
        <v>41.107500000000002</v>
      </c>
      <c r="BJ112" s="49">
        <f>LOOKUP(BJ$107,Assumptions!$112:$112,Assumptions!114:114)*BJ$108</f>
        <v>43.267499999999998</v>
      </c>
      <c r="BK112" s="49">
        <f>LOOKUP(BK$107,Assumptions!$112:$112,Assumptions!114:114)*BK$108</f>
        <v>43.267499999999998</v>
      </c>
      <c r="BL112" s="49">
        <f>LOOKUP(BL$107,Assumptions!$112:$112,Assumptions!114:114)*BL$108</f>
        <v>43.267499999999998</v>
      </c>
      <c r="BM112" s="49">
        <f>LOOKUP(BM$107,Assumptions!$112:$112,Assumptions!114:114)*BM$108</f>
        <v>43.267499999999998</v>
      </c>
      <c r="BN112" s="49">
        <f>LOOKUP(BN$107,Assumptions!$112:$112,Assumptions!114:114)*BN$108</f>
        <v>46.129500000000007</v>
      </c>
      <c r="BO112" s="49">
        <f>LOOKUP(BO$107,Assumptions!$112:$112,Assumptions!114:114)*BO$108</f>
        <v>46.129500000000007</v>
      </c>
      <c r="BP112" s="49">
        <f>LOOKUP(BP$107,Assumptions!$112:$112,Assumptions!114:114)*BP$108</f>
        <v>46.129500000000007</v>
      </c>
      <c r="BQ112" s="49">
        <f>LOOKUP(BQ$107,Assumptions!$112:$112,Assumptions!114:114)*BQ$108</f>
        <v>46.129500000000007</v>
      </c>
      <c r="BR112" s="49">
        <f>LOOKUP(BR$107,Assumptions!$112:$112,Assumptions!114:114)*BR$108</f>
        <v>48.829500000000003</v>
      </c>
      <c r="BS112" s="49">
        <f>LOOKUP(BS$107,Assumptions!$112:$112,Assumptions!114:114)*BS$108</f>
        <v>48.829500000000003</v>
      </c>
      <c r="BT112" s="49">
        <f>LOOKUP(BT$107,Assumptions!$112:$112,Assumptions!114:114)*BT$108</f>
        <v>48.829500000000003</v>
      </c>
      <c r="BU112" s="49">
        <f>LOOKUP(BU$107,Assumptions!$112:$112,Assumptions!114:114)*BU$108</f>
        <v>48.829500000000003</v>
      </c>
      <c r="BV112" s="49">
        <f>LOOKUP(BV$107,Assumptions!$112:$112,Assumptions!114:114)*BV$108</f>
        <v>50.652000000000008</v>
      </c>
      <c r="BW112" s="49">
        <f>LOOKUP(BW$107,Assumptions!$112:$112,Assumptions!114:114)*BW$108</f>
        <v>50.652000000000008</v>
      </c>
      <c r="BX112" s="49">
        <f>LOOKUP(BX$107,Assumptions!$112:$112,Assumptions!114:114)*BX$108</f>
        <v>50.652000000000008</v>
      </c>
      <c r="BY112" s="49">
        <f>LOOKUP(BY$107,Assumptions!$112:$112,Assumptions!114:114)*BY$108</f>
        <v>50.652000000000008</v>
      </c>
      <c r="BZ112" s="49">
        <f>LOOKUP(BZ$107,Assumptions!$112:$112,Assumptions!114:114)*BZ$108</f>
        <v>51.637500000000003</v>
      </c>
      <c r="CA112" s="49">
        <f>LOOKUP(CA$107,Assumptions!$112:$112,Assumptions!114:114)*CA$108</f>
        <v>51.637500000000003</v>
      </c>
      <c r="CB112" s="49">
        <f>LOOKUP(CB$107,Assumptions!$112:$112,Assumptions!114:114)*CB$108</f>
        <v>51.637500000000003</v>
      </c>
      <c r="CC112" s="49">
        <f>LOOKUP(CC$107,Assumptions!$112:$112,Assumptions!114:114)*CC$108</f>
        <v>51.637500000000003</v>
      </c>
      <c r="CD112" s="49">
        <f>LOOKUP(CD$107,Assumptions!$112:$112,Assumptions!114:114)*CD$108</f>
        <v>54.513000000000005</v>
      </c>
      <c r="CE112" s="49">
        <f>LOOKUP(CE$107,Assumptions!$112:$112,Assumptions!114:114)*CE$108</f>
        <v>54.513000000000005</v>
      </c>
      <c r="CF112" s="49">
        <f>LOOKUP(CF$107,Assumptions!$112:$112,Assumptions!114:114)*CF$108</f>
        <v>54.513000000000005</v>
      </c>
      <c r="CG112" s="49">
        <f>LOOKUP(CG$107,Assumptions!$112:$112,Assumptions!114:114)*CG$108</f>
        <v>54.513000000000005</v>
      </c>
      <c r="CH112" s="49">
        <f>LOOKUP(CH$107,Assumptions!$112:$112,Assumptions!114:114)*CH$108</f>
        <v>56.375999999999998</v>
      </c>
      <c r="CI112" s="49">
        <f>LOOKUP(CI$107,Assumptions!$112:$112,Assumptions!114:114)*CI$108</f>
        <v>56.375999999999998</v>
      </c>
      <c r="CJ112" s="49">
        <f>LOOKUP(CJ$107,Assumptions!$112:$112,Assumptions!114:114)*CJ$108</f>
        <v>56.375999999999998</v>
      </c>
      <c r="CK112" s="49">
        <f>LOOKUP(CK$107,Assumptions!$112:$112,Assumptions!114:114)*CK$108</f>
        <v>56.375999999999998</v>
      </c>
      <c r="CL112" s="49">
        <f>LOOKUP(CL$107,Assumptions!$112:$112,Assumptions!114:114)*CL$108</f>
        <v>60.493500000000004</v>
      </c>
      <c r="CM112" s="49">
        <f>LOOKUP(CM$107,Assumptions!$112:$112,Assumptions!114:114)*CM$108</f>
        <v>60.493500000000004</v>
      </c>
      <c r="CN112" s="49">
        <f>LOOKUP(CN$107,Assumptions!$112:$112,Assumptions!114:114)*CN$108</f>
        <v>60.493500000000004</v>
      </c>
      <c r="CO112" s="49">
        <f>LOOKUP(CO$107,Assumptions!$112:$112,Assumptions!114:114)*CO$108</f>
        <v>60.493500000000004</v>
      </c>
      <c r="CP112" s="49">
        <f>LOOKUP(CP$107,Assumptions!$112:$112,Assumptions!114:114)*CP$108</f>
        <v>63.922500000000007</v>
      </c>
      <c r="CQ112" s="49">
        <f>LOOKUP(CQ$107,Assumptions!$112:$112,Assumptions!114:114)*CQ$108</f>
        <v>63.922500000000007</v>
      </c>
      <c r="CR112" s="49">
        <f>LOOKUP(CR$107,Assumptions!$112:$112,Assumptions!114:114)*CR$108</f>
        <v>63.922500000000007</v>
      </c>
      <c r="CS112" s="49">
        <f>LOOKUP(CS$107,Assumptions!$112:$112,Assumptions!114:114)*CS$108</f>
        <v>63.922500000000007</v>
      </c>
      <c r="CT112" s="49">
        <f>LOOKUP(CT$107,Assumptions!$112:$112,Assumptions!114:114)*CT$108</f>
        <v>67.715999999999994</v>
      </c>
      <c r="CU112" s="49">
        <f>LOOKUP(CU$107,Assumptions!$112:$112,Assumptions!114:114)*CU$108</f>
        <v>67.715999999999994</v>
      </c>
      <c r="CV112" s="49">
        <f>LOOKUP(CV$107,Assumptions!$112:$112,Assumptions!114:114)*CV$108</f>
        <v>67.715999999999994</v>
      </c>
      <c r="CW112" s="49">
        <f>LOOKUP(CW$107,Assumptions!$112:$112,Assumptions!114:114)*CW$108</f>
        <v>67.715999999999994</v>
      </c>
      <c r="CX112" s="49">
        <f>LOOKUP(CX$107,Assumptions!$112:$112,Assumptions!114:114)*CX$108</f>
        <v>71.320499999999996</v>
      </c>
      <c r="CY112" s="49">
        <f>LOOKUP(CY$107,Assumptions!$112:$112,Assumptions!114:114)*CY$108</f>
        <v>71.320499999999996</v>
      </c>
      <c r="CZ112" s="49">
        <f>LOOKUP(CZ$107,Assumptions!$112:$112,Assumptions!114:114)*CZ$108</f>
        <v>71.320499999999996</v>
      </c>
      <c r="DA112" s="49">
        <f>LOOKUP(DA$107,Assumptions!$112:$112,Assumptions!114:114)*DA$108</f>
        <v>71.320499999999996</v>
      </c>
      <c r="DB112" s="49">
        <f>LOOKUP(DB$107,Assumptions!$112:$112,Assumptions!114:114)*DB$108</f>
        <v>72.373500000000007</v>
      </c>
      <c r="DC112" s="49">
        <f>LOOKUP(DC$107,Assumptions!$112:$112,Assumptions!114:114)*DC$108</f>
        <v>72.373500000000007</v>
      </c>
      <c r="DD112" s="49">
        <f>LOOKUP(DD$107,Assumptions!$112:$112,Assumptions!114:114)*DD$108</f>
        <v>72.373500000000007</v>
      </c>
      <c r="DE112" s="49">
        <f>LOOKUP(DE$107,Assumptions!$112:$112,Assumptions!114:114)*DE$108</f>
        <v>72.373500000000007</v>
      </c>
      <c r="DF112" s="49">
        <f>LOOKUP(DF$107,Assumptions!$112:$112,Assumptions!114:114)*DF$108</f>
        <v>72.954000000000008</v>
      </c>
      <c r="DG112" s="49">
        <f>LOOKUP(DG$107,Assumptions!$112:$112,Assumptions!114:114)*DG$108</f>
        <v>72.954000000000008</v>
      </c>
      <c r="DH112" s="49">
        <f>LOOKUP(DH$107,Assumptions!$112:$112,Assumptions!114:114)*DH$108</f>
        <v>72.954000000000008</v>
      </c>
      <c r="DI112" s="49">
        <f>LOOKUP(DI$107,Assumptions!$112:$112,Assumptions!114:114)*DI$108</f>
        <v>72.954000000000008</v>
      </c>
      <c r="DJ112" s="49">
        <f>LOOKUP(DJ$107,Assumptions!$112:$112,Assumptions!114:114)*DJ$108</f>
        <v>73.602000000000004</v>
      </c>
      <c r="DK112" s="49">
        <f>LOOKUP(DK$107,Assumptions!$112:$112,Assumptions!114:114)*DK$108</f>
        <v>73.602000000000004</v>
      </c>
      <c r="DL112" s="49">
        <f>LOOKUP(DL$107,Assumptions!$112:$112,Assumptions!114:114)*DL$108</f>
        <v>73.602000000000004</v>
      </c>
      <c r="DM112" s="49">
        <f>LOOKUP(DM$107,Assumptions!$112:$112,Assumptions!114:114)*DM$108</f>
        <v>73.602000000000004</v>
      </c>
      <c r="DN112" s="49">
        <f>LOOKUP(DN$107,Assumptions!$112:$112,Assumptions!114:114)*DN$108</f>
        <v>74.763000000000005</v>
      </c>
      <c r="DO112" s="49">
        <f>LOOKUP(DO$107,Assumptions!$112:$112,Assumptions!114:114)*DO$108</f>
        <v>74.763000000000005</v>
      </c>
      <c r="DP112" s="49">
        <f>LOOKUP(DP$107,Assumptions!$112:$112,Assumptions!114:114)*DP$108</f>
        <v>74.763000000000005</v>
      </c>
      <c r="DQ112" s="49">
        <f>LOOKUP(DQ$107,Assumptions!$112:$112,Assumptions!114:114)*DQ$108</f>
        <v>74.763000000000005</v>
      </c>
    </row>
    <row r="113" spans="4:121" x14ac:dyDescent="0.35">
      <c r="E113" s="20" t="s">
        <v>37</v>
      </c>
      <c r="F113" s="20" t="s">
        <v>161</v>
      </c>
      <c r="K113" s="49">
        <f>LOOKUP(K$107,Assumptions!$112:$112,Assumptions!115:115)*K$108</f>
        <v>29.686499999999999</v>
      </c>
      <c r="L113" s="49">
        <f>LOOKUP(L$107,Assumptions!$112:$112,Assumptions!115:115)*L$108</f>
        <v>29.686499999999999</v>
      </c>
      <c r="M113" s="49">
        <f>LOOKUP(M$107,Assumptions!$112:$112,Assumptions!115:115)*M$108</f>
        <v>29.686499999999999</v>
      </c>
      <c r="N113" s="49">
        <f>LOOKUP(N$107,Assumptions!$112:$112,Assumptions!115:115)*N$108</f>
        <v>29.686499999999999</v>
      </c>
      <c r="O113" s="49">
        <f>LOOKUP(O$107,Assumptions!$112:$112,Assumptions!115:115)*O$108</f>
        <v>29.686499999999999</v>
      </c>
      <c r="P113" s="49">
        <f>LOOKUP(P$107,Assumptions!$112:$112,Assumptions!115:115)*P$108</f>
        <v>29.686499999999999</v>
      </c>
      <c r="Q113" s="49">
        <f>LOOKUP(Q$107,Assumptions!$112:$112,Assumptions!115:115)*Q$108</f>
        <v>29.686499999999999</v>
      </c>
      <c r="R113" s="49">
        <f>LOOKUP(R$107,Assumptions!$112:$112,Assumptions!115:115)*R$108</f>
        <v>29.686499999999999</v>
      </c>
      <c r="S113" s="49">
        <f>LOOKUP(S$107,Assumptions!$112:$112,Assumptions!115:115)*S$108</f>
        <v>29.686499999999999</v>
      </c>
      <c r="T113" s="49">
        <f>LOOKUP(T$107,Assumptions!$112:$112,Assumptions!115:115)*T$108</f>
        <v>29.686499999999999</v>
      </c>
      <c r="U113" s="49">
        <f>LOOKUP(U$107,Assumptions!$112:$112,Assumptions!115:115)*U$108</f>
        <v>29.686499999999999</v>
      </c>
      <c r="V113" s="49">
        <f>LOOKUP(V$107,Assumptions!$112:$112,Assumptions!115:115)*V$108</f>
        <v>29.686499999999999</v>
      </c>
      <c r="W113" s="49">
        <f>LOOKUP(W$107,Assumptions!$112:$112,Assumptions!115:115)*W$108</f>
        <v>29.686499999999999</v>
      </c>
      <c r="X113" s="49">
        <f>LOOKUP(X$107,Assumptions!$112:$112,Assumptions!115:115)*X$108</f>
        <v>29.686499999999999</v>
      </c>
      <c r="Y113" s="49">
        <f>LOOKUP(Y$107,Assumptions!$112:$112,Assumptions!115:115)*Y$108</f>
        <v>29.686499999999999</v>
      </c>
      <c r="Z113" s="49">
        <f>LOOKUP(Z$107,Assumptions!$112:$112,Assumptions!115:115)*Z$108</f>
        <v>29.686499999999999</v>
      </c>
      <c r="AA113" s="49">
        <f>LOOKUP(AA$107,Assumptions!$112:$112,Assumptions!115:115)*AA$108</f>
        <v>29.686499999999999</v>
      </c>
      <c r="AB113" s="49">
        <f>LOOKUP(AB$107,Assumptions!$112:$112,Assumptions!115:115)*AB$108</f>
        <v>29.686499999999999</v>
      </c>
      <c r="AC113" s="49">
        <f>LOOKUP(AC$107,Assumptions!$112:$112,Assumptions!115:115)*AC$108</f>
        <v>29.686499999999999</v>
      </c>
      <c r="AD113" s="49">
        <f>LOOKUP(AD$107,Assumptions!$112:$112,Assumptions!115:115)*AD$108</f>
        <v>30.699000000000002</v>
      </c>
      <c r="AE113" s="49">
        <f>LOOKUP(AE$107,Assumptions!$112:$112,Assumptions!115:115)*AE$108</f>
        <v>30.699000000000002</v>
      </c>
      <c r="AF113" s="49">
        <f>LOOKUP(AF$107,Assumptions!$112:$112,Assumptions!115:115)*AF$108</f>
        <v>30.699000000000002</v>
      </c>
      <c r="AG113" s="49">
        <f>LOOKUP(AG$107,Assumptions!$112:$112,Assumptions!115:115)*AG$108</f>
        <v>30.699000000000002</v>
      </c>
      <c r="AH113" s="49">
        <f>LOOKUP(AH$107,Assumptions!$112:$112,Assumptions!115:115)*AH$108</f>
        <v>15.700500000000002</v>
      </c>
      <c r="AI113" s="49">
        <f>LOOKUP(AI$107,Assumptions!$112:$112,Assumptions!115:115)*AI$108</f>
        <v>15.700500000000002</v>
      </c>
      <c r="AJ113" s="49">
        <f>LOOKUP(AJ$107,Assumptions!$112:$112,Assumptions!115:115)*AJ$108</f>
        <v>15.700500000000002</v>
      </c>
      <c r="AK113" s="49">
        <f>LOOKUP(AK$107,Assumptions!$112:$112,Assumptions!115:115)*AK$108</f>
        <v>15.700500000000002</v>
      </c>
      <c r="AL113" s="49">
        <f>LOOKUP(AL$107,Assumptions!$112:$112,Assumptions!115:115)*AL$108</f>
        <v>3.1536000000000004</v>
      </c>
      <c r="AM113" s="49">
        <f>LOOKUP(AM$107,Assumptions!$112:$112,Assumptions!115:115)*AM$108</f>
        <v>3.1536000000000004</v>
      </c>
      <c r="AN113" s="49">
        <f>LOOKUP(AN$107,Assumptions!$112:$112,Assumptions!115:115)*AN$108</f>
        <v>3.1536000000000004</v>
      </c>
      <c r="AO113" s="49">
        <f>LOOKUP(AO$107,Assumptions!$112:$112,Assumptions!115:115)*AO$108</f>
        <v>3.1536000000000004</v>
      </c>
      <c r="AP113" s="49">
        <f>LOOKUP(AP$107,Assumptions!$112:$112,Assumptions!115:115)*AP$108</f>
        <v>6.7689000000000012</v>
      </c>
      <c r="AQ113" s="49">
        <f>LOOKUP(AQ$107,Assumptions!$112:$112,Assumptions!115:115)*AQ$108</f>
        <v>6.7689000000000012</v>
      </c>
      <c r="AR113" s="49">
        <f>LOOKUP(AR$107,Assumptions!$112:$112,Assumptions!115:115)*AR$108</f>
        <v>6.7689000000000012</v>
      </c>
      <c r="AS113" s="49">
        <f>LOOKUP(AS$107,Assumptions!$112:$112,Assumptions!115:115)*AS$108</f>
        <v>6.7689000000000012</v>
      </c>
      <c r="AT113" s="49">
        <f>LOOKUP(AT$107,Assumptions!$112:$112,Assumptions!115:115)*AT$108</f>
        <v>17.052524999999999</v>
      </c>
      <c r="AU113" s="49">
        <f>LOOKUP(AU$107,Assumptions!$112:$112,Assumptions!115:115)*AU$108</f>
        <v>17.052524999999999</v>
      </c>
      <c r="AV113" s="49">
        <f>LOOKUP(AV$107,Assumptions!$112:$112,Assumptions!115:115)*AV$108</f>
        <v>17.052524999999999</v>
      </c>
      <c r="AW113" s="49">
        <f>LOOKUP(AW$107,Assumptions!$112:$112,Assumptions!115:115)*AW$108</f>
        <v>17.052524999999999</v>
      </c>
      <c r="AX113" s="49">
        <f>LOOKUP(AX$107,Assumptions!$112:$112,Assumptions!115:115)*AX$108</f>
        <v>39.109500000000004</v>
      </c>
      <c r="AY113" s="49">
        <f>LOOKUP(AY$107,Assumptions!$112:$112,Assumptions!115:115)*AY$108</f>
        <v>39.109500000000004</v>
      </c>
      <c r="AZ113" s="49">
        <f>LOOKUP(AZ$107,Assumptions!$112:$112,Assumptions!115:115)*AZ$108</f>
        <v>39.109500000000004</v>
      </c>
      <c r="BA113" s="49">
        <f>LOOKUP(BA$107,Assumptions!$112:$112,Assumptions!115:115)*BA$108</f>
        <v>39.109500000000004</v>
      </c>
      <c r="BB113" s="49">
        <f>LOOKUP(BB$107,Assumptions!$112:$112,Assumptions!115:115)*BB$108</f>
        <v>39.312000000000005</v>
      </c>
      <c r="BC113" s="49">
        <f>LOOKUP(BC$107,Assumptions!$112:$112,Assumptions!115:115)*BC$108</f>
        <v>39.312000000000005</v>
      </c>
      <c r="BD113" s="49">
        <f>LOOKUP(BD$107,Assumptions!$112:$112,Assumptions!115:115)*BD$108</f>
        <v>39.312000000000005</v>
      </c>
      <c r="BE113" s="49">
        <f>LOOKUP(BE$107,Assumptions!$112:$112,Assumptions!115:115)*BE$108</f>
        <v>39.312000000000005</v>
      </c>
      <c r="BF113" s="49">
        <f>LOOKUP(BF$107,Assumptions!$112:$112,Assumptions!115:115)*BF$108</f>
        <v>41.107500000000002</v>
      </c>
      <c r="BG113" s="49">
        <f>LOOKUP(BG$107,Assumptions!$112:$112,Assumptions!115:115)*BG$108</f>
        <v>41.107500000000002</v>
      </c>
      <c r="BH113" s="49">
        <f>LOOKUP(BH$107,Assumptions!$112:$112,Assumptions!115:115)*BH$108</f>
        <v>41.107500000000002</v>
      </c>
      <c r="BI113" s="49">
        <f>LOOKUP(BI$107,Assumptions!$112:$112,Assumptions!115:115)*BI$108</f>
        <v>41.107500000000002</v>
      </c>
      <c r="BJ113" s="49">
        <f>LOOKUP(BJ$107,Assumptions!$112:$112,Assumptions!115:115)*BJ$108</f>
        <v>43.267499999999998</v>
      </c>
      <c r="BK113" s="49">
        <f>LOOKUP(BK$107,Assumptions!$112:$112,Assumptions!115:115)*BK$108</f>
        <v>43.267499999999998</v>
      </c>
      <c r="BL113" s="49">
        <f>LOOKUP(BL$107,Assumptions!$112:$112,Assumptions!115:115)*BL$108</f>
        <v>43.267499999999998</v>
      </c>
      <c r="BM113" s="49">
        <f>LOOKUP(BM$107,Assumptions!$112:$112,Assumptions!115:115)*BM$108</f>
        <v>43.267499999999998</v>
      </c>
      <c r="BN113" s="49">
        <f>LOOKUP(BN$107,Assumptions!$112:$112,Assumptions!115:115)*BN$108</f>
        <v>46.129500000000007</v>
      </c>
      <c r="BO113" s="49">
        <f>LOOKUP(BO$107,Assumptions!$112:$112,Assumptions!115:115)*BO$108</f>
        <v>46.129500000000007</v>
      </c>
      <c r="BP113" s="49">
        <f>LOOKUP(BP$107,Assumptions!$112:$112,Assumptions!115:115)*BP$108</f>
        <v>46.129500000000007</v>
      </c>
      <c r="BQ113" s="49">
        <f>LOOKUP(BQ$107,Assumptions!$112:$112,Assumptions!115:115)*BQ$108</f>
        <v>46.129500000000007</v>
      </c>
      <c r="BR113" s="49">
        <f>LOOKUP(BR$107,Assumptions!$112:$112,Assumptions!115:115)*BR$108</f>
        <v>48.829500000000003</v>
      </c>
      <c r="BS113" s="49">
        <f>LOOKUP(BS$107,Assumptions!$112:$112,Assumptions!115:115)*BS$108</f>
        <v>48.829500000000003</v>
      </c>
      <c r="BT113" s="49">
        <f>LOOKUP(BT$107,Assumptions!$112:$112,Assumptions!115:115)*BT$108</f>
        <v>48.829500000000003</v>
      </c>
      <c r="BU113" s="49">
        <f>LOOKUP(BU$107,Assumptions!$112:$112,Assumptions!115:115)*BU$108</f>
        <v>48.829500000000003</v>
      </c>
      <c r="BV113" s="49">
        <f>LOOKUP(BV$107,Assumptions!$112:$112,Assumptions!115:115)*BV$108</f>
        <v>50.652000000000008</v>
      </c>
      <c r="BW113" s="49">
        <f>LOOKUP(BW$107,Assumptions!$112:$112,Assumptions!115:115)*BW$108</f>
        <v>50.652000000000008</v>
      </c>
      <c r="BX113" s="49">
        <f>LOOKUP(BX$107,Assumptions!$112:$112,Assumptions!115:115)*BX$108</f>
        <v>50.652000000000008</v>
      </c>
      <c r="BY113" s="49">
        <f>LOOKUP(BY$107,Assumptions!$112:$112,Assumptions!115:115)*BY$108</f>
        <v>50.652000000000008</v>
      </c>
      <c r="BZ113" s="49">
        <f>LOOKUP(BZ$107,Assumptions!$112:$112,Assumptions!115:115)*BZ$108</f>
        <v>51.637500000000003</v>
      </c>
      <c r="CA113" s="49">
        <f>LOOKUP(CA$107,Assumptions!$112:$112,Assumptions!115:115)*CA$108</f>
        <v>51.637500000000003</v>
      </c>
      <c r="CB113" s="49">
        <f>LOOKUP(CB$107,Assumptions!$112:$112,Assumptions!115:115)*CB$108</f>
        <v>51.637500000000003</v>
      </c>
      <c r="CC113" s="49">
        <f>LOOKUP(CC$107,Assumptions!$112:$112,Assumptions!115:115)*CC$108</f>
        <v>51.637500000000003</v>
      </c>
      <c r="CD113" s="49">
        <f>LOOKUP(CD$107,Assumptions!$112:$112,Assumptions!115:115)*CD$108</f>
        <v>54.513000000000005</v>
      </c>
      <c r="CE113" s="49">
        <f>LOOKUP(CE$107,Assumptions!$112:$112,Assumptions!115:115)*CE$108</f>
        <v>54.513000000000005</v>
      </c>
      <c r="CF113" s="49">
        <f>LOOKUP(CF$107,Assumptions!$112:$112,Assumptions!115:115)*CF$108</f>
        <v>54.513000000000005</v>
      </c>
      <c r="CG113" s="49">
        <f>LOOKUP(CG$107,Assumptions!$112:$112,Assumptions!115:115)*CG$108</f>
        <v>54.513000000000005</v>
      </c>
      <c r="CH113" s="49">
        <f>LOOKUP(CH$107,Assumptions!$112:$112,Assumptions!115:115)*CH$108</f>
        <v>56.375999999999998</v>
      </c>
      <c r="CI113" s="49">
        <f>LOOKUP(CI$107,Assumptions!$112:$112,Assumptions!115:115)*CI$108</f>
        <v>56.375999999999998</v>
      </c>
      <c r="CJ113" s="49">
        <f>LOOKUP(CJ$107,Assumptions!$112:$112,Assumptions!115:115)*CJ$108</f>
        <v>56.375999999999998</v>
      </c>
      <c r="CK113" s="49">
        <f>LOOKUP(CK$107,Assumptions!$112:$112,Assumptions!115:115)*CK$108</f>
        <v>56.375999999999998</v>
      </c>
      <c r="CL113" s="49">
        <f>LOOKUP(CL$107,Assumptions!$112:$112,Assumptions!115:115)*CL$108</f>
        <v>60.493500000000004</v>
      </c>
      <c r="CM113" s="49">
        <f>LOOKUP(CM$107,Assumptions!$112:$112,Assumptions!115:115)*CM$108</f>
        <v>60.493500000000004</v>
      </c>
      <c r="CN113" s="49">
        <f>LOOKUP(CN$107,Assumptions!$112:$112,Assumptions!115:115)*CN$108</f>
        <v>60.493500000000004</v>
      </c>
      <c r="CO113" s="49">
        <f>LOOKUP(CO$107,Assumptions!$112:$112,Assumptions!115:115)*CO$108</f>
        <v>60.493500000000004</v>
      </c>
      <c r="CP113" s="49">
        <f>LOOKUP(CP$107,Assumptions!$112:$112,Assumptions!115:115)*CP$108</f>
        <v>63.922500000000007</v>
      </c>
      <c r="CQ113" s="49">
        <f>LOOKUP(CQ$107,Assumptions!$112:$112,Assumptions!115:115)*CQ$108</f>
        <v>63.922500000000007</v>
      </c>
      <c r="CR113" s="49">
        <f>LOOKUP(CR$107,Assumptions!$112:$112,Assumptions!115:115)*CR$108</f>
        <v>63.922500000000007</v>
      </c>
      <c r="CS113" s="49">
        <f>LOOKUP(CS$107,Assumptions!$112:$112,Assumptions!115:115)*CS$108</f>
        <v>63.922500000000007</v>
      </c>
      <c r="CT113" s="49">
        <f>LOOKUP(CT$107,Assumptions!$112:$112,Assumptions!115:115)*CT$108</f>
        <v>67.715999999999994</v>
      </c>
      <c r="CU113" s="49">
        <f>LOOKUP(CU$107,Assumptions!$112:$112,Assumptions!115:115)*CU$108</f>
        <v>67.715999999999994</v>
      </c>
      <c r="CV113" s="49">
        <f>LOOKUP(CV$107,Assumptions!$112:$112,Assumptions!115:115)*CV$108</f>
        <v>67.715999999999994</v>
      </c>
      <c r="CW113" s="49">
        <f>LOOKUP(CW$107,Assumptions!$112:$112,Assumptions!115:115)*CW$108</f>
        <v>67.715999999999994</v>
      </c>
      <c r="CX113" s="49">
        <f>LOOKUP(CX$107,Assumptions!$112:$112,Assumptions!115:115)*CX$108</f>
        <v>71.320499999999996</v>
      </c>
      <c r="CY113" s="49">
        <f>LOOKUP(CY$107,Assumptions!$112:$112,Assumptions!115:115)*CY$108</f>
        <v>71.320499999999996</v>
      </c>
      <c r="CZ113" s="49">
        <f>LOOKUP(CZ$107,Assumptions!$112:$112,Assumptions!115:115)*CZ$108</f>
        <v>71.320499999999996</v>
      </c>
      <c r="DA113" s="49">
        <f>LOOKUP(DA$107,Assumptions!$112:$112,Assumptions!115:115)*DA$108</f>
        <v>71.320499999999996</v>
      </c>
      <c r="DB113" s="49">
        <f>LOOKUP(DB$107,Assumptions!$112:$112,Assumptions!115:115)*DB$108</f>
        <v>72.373500000000007</v>
      </c>
      <c r="DC113" s="49">
        <f>LOOKUP(DC$107,Assumptions!$112:$112,Assumptions!115:115)*DC$108</f>
        <v>72.373500000000007</v>
      </c>
      <c r="DD113" s="49">
        <f>LOOKUP(DD$107,Assumptions!$112:$112,Assumptions!115:115)*DD$108</f>
        <v>72.373500000000007</v>
      </c>
      <c r="DE113" s="49">
        <f>LOOKUP(DE$107,Assumptions!$112:$112,Assumptions!115:115)*DE$108</f>
        <v>72.373500000000007</v>
      </c>
      <c r="DF113" s="49">
        <f>LOOKUP(DF$107,Assumptions!$112:$112,Assumptions!115:115)*DF$108</f>
        <v>72.954000000000008</v>
      </c>
      <c r="DG113" s="49">
        <f>LOOKUP(DG$107,Assumptions!$112:$112,Assumptions!115:115)*DG$108</f>
        <v>72.954000000000008</v>
      </c>
      <c r="DH113" s="49">
        <f>LOOKUP(DH$107,Assumptions!$112:$112,Assumptions!115:115)*DH$108</f>
        <v>72.954000000000008</v>
      </c>
      <c r="DI113" s="49">
        <f>LOOKUP(DI$107,Assumptions!$112:$112,Assumptions!115:115)*DI$108</f>
        <v>72.954000000000008</v>
      </c>
      <c r="DJ113" s="49">
        <f>LOOKUP(DJ$107,Assumptions!$112:$112,Assumptions!115:115)*DJ$108</f>
        <v>73.602000000000004</v>
      </c>
      <c r="DK113" s="49">
        <f>LOOKUP(DK$107,Assumptions!$112:$112,Assumptions!115:115)*DK$108</f>
        <v>73.602000000000004</v>
      </c>
      <c r="DL113" s="49">
        <f>LOOKUP(DL$107,Assumptions!$112:$112,Assumptions!115:115)*DL$108</f>
        <v>73.602000000000004</v>
      </c>
      <c r="DM113" s="49">
        <f>LOOKUP(DM$107,Assumptions!$112:$112,Assumptions!115:115)*DM$108</f>
        <v>73.602000000000004</v>
      </c>
      <c r="DN113" s="49">
        <f>LOOKUP(DN$107,Assumptions!$112:$112,Assumptions!115:115)*DN$108</f>
        <v>74.763000000000005</v>
      </c>
      <c r="DO113" s="49">
        <f>LOOKUP(DO$107,Assumptions!$112:$112,Assumptions!115:115)*DO$108</f>
        <v>74.763000000000005</v>
      </c>
      <c r="DP113" s="49">
        <f>LOOKUP(DP$107,Assumptions!$112:$112,Assumptions!115:115)*DP$108</f>
        <v>74.763000000000005</v>
      </c>
      <c r="DQ113" s="49">
        <f>LOOKUP(DQ$107,Assumptions!$112:$112,Assumptions!115:115)*DQ$108</f>
        <v>74.763000000000005</v>
      </c>
    </row>
    <row r="114" spans="4:121" x14ac:dyDescent="0.35">
      <c r="E114" s="20" t="s">
        <v>38</v>
      </c>
      <c r="F114" s="20" t="s">
        <v>161</v>
      </c>
      <c r="K114" s="49">
        <f>LOOKUP(K$107,Assumptions!$112:$112,Assumptions!116:116)*K$108</f>
        <v>29.686499999999999</v>
      </c>
      <c r="L114" s="49">
        <f>LOOKUP(L$107,Assumptions!$112:$112,Assumptions!116:116)*L$108</f>
        <v>29.686499999999999</v>
      </c>
      <c r="M114" s="49">
        <f>LOOKUP(M$107,Assumptions!$112:$112,Assumptions!116:116)*M$108</f>
        <v>29.686499999999999</v>
      </c>
      <c r="N114" s="49">
        <f>LOOKUP(N$107,Assumptions!$112:$112,Assumptions!116:116)*N$108</f>
        <v>29.686499999999999</v>
      </c>
      <c r="O114" s="49">
        <f>LOOKUP(O$107,Assumptions!$112:$112,Assumptions!116:116)*O$108</f>
        <v>29.686499999999999</v>
      </c>
      <c r="P114" s="49">
        <f>LOOKUP(P$107,Assumptions!$112:$112,Assumptions!116:116)*P$108</f>
        <v>29.686499999999999</v>
      </c>
      <c r="Q114" s="49">
        <f>LOOKUP(Q$107,Assumptions!$112:$112,Assumptions!116:116)*Q$108</f>
        <v>29.686499999999999</v>
      </c>
      <c r="R114" s="49">
        <f>LOOKUP(R$107,Assumptions!$112:$112,Assumptions!116:116)*R$108</f>
        <v>29.686499999999999</v>
      </c>
      <c r="S114" s="49">
        <f>LOOKUP(S$107,Assumptions!$112:$112,Assumptions!116:116)*S$108</f>
        <v>29.686499999999999</v>
      </c>
      <c r="T114" s="49">
        <f>LOOKUP(T$107,Assumptions!$112:$112,Assumptions!116:116)*T$108</f>
        <v>29.686499999999999</v>
      </c>
      <c r="U114" s="49">
        <f>LOOKUP(U$107,Assumptions!$112:$112,Assumptions!116:116)*U$108</f>
        <v>29.686499999999999</v>
      </c>
      <c r="V114" s="49">
        <f>LOOKUP(V$107,Assumptions!$112:$112,Assumptions!116:116)*V$108</f>
        <v>29.686499999999999</v>
      </c>
      <c r="W114" s="49">
        <f>LOOKUP(W$107,Assumptions!$112:$112,Assumptions!116:116)*W$108</f>
        <v>29.686499999999999</v>
      </c>
      <c r="X114" s="49">
        <f>LOOKUP(X$107,Assumptions!$112:$112,Assumptions!116:116)*X$108</f>
        <v>29.686499999999999</v>
      </c>
      <c r="Y114" s="49">
        <f>LOOKUP(Y$107,Assumptions!$112:$112,Assumptions!116:116)*Y$108</f>
        <v>29.686499999999999</v>
      </c>
      <c r="Z114" s="49">
        <f>LOOKUP(Z$107,Assumptions!$112:$112,Assumptions!116:116)*Z$108</f>
        <v>29.686499999999999</v>
      </c>
      <c r="AA114" s="49">
        <f>LOOKUP(AA$107,Assumptions!$112:$112,Assumptions!116:116)*AA$108</f>
        <v>29.686499999999999</v>
      </c>
      <c r="AB114" s="49">
        <f>LOOKUP(AB$107,Assumptions!$112:$112,Assumptions!116:116)*AB$108</f>
        <v>29.686499999999999</v>
      </c>
      <c r="AC114" s="49">
        <f>LOOKUP(AC$107,Assumptions!$112:$112,Assumptions!116:116)*AC$108</f>
        <v>29.686499999999999</v>
      </c>
      <c r="AD114" s="49">
        <f>LOOKUP(AD$107,Assumptions!$112:$112,Assumptions!116:116)*AD$108</f>
        <v>30.699000000000002</v>
      </c>
      <c r="AE114" s="49">
        <f>LOOKUP(AE$107,Assumptions!$112:$112,Assumptions!116:116)*AE$108</f>
        <v>30.699000000000002</v>
      </c>
      <c r="AF114" s="49">
        <f>LOOKUP(AF$107,Assumptions!$112:$112,Assumptions!116:116)*AF$108</f>
        <v>30.699000000000002</v>
      </c>
      <c r="AG114" s="49">
        <f>LOOKUP(AG$107,Assumptions!$112:$112,Assumptions!116:116)*AG$108</f>
        <v>30.699000000000002</v>
      </c>
      <c r="AH114" s="49">
        <f>LOOKUP(AH$107,Assumptions!$112:$112,Assumptions!116:116)*AH$108</f>
        <v>0.62802000000000013</v>
      </c>
      <c r="AI114" s="49">
        <f>LOOKUP(AI$107,Assumptions!$112:$112,Assumptions!116:116)*AI$108</f>
        <v>0.62802000000000013</v>
      </c>
      <c r="AJ114" s="49">
        <f>LOOKUP(AJ$107,Assumptions!$112:$112,Assumptions!116:116)*AJ$108</f>
        <v>0.62802000000000013</v>
      </c>
      <c r="AK114" s="49">
        <f>LOOKUP(AK$107,Assumptions!$112:$112,Assumptions!116:116)*AK$108</f>
        <v>0.62802000000000013</v>
      </c>
      <c r="AL114" s="49">
        <f>LOOKUP(AL$107,Assumptions!$112:$112,Assumptions!116:116)*AL$108</f>
        <v>3.1536000000000004</v>
      </c>
      <c r="AM114" s="49">
        <f>LOOKUP(AM$107,Assumptions!$112:$112,Assumptions!116:116)*AM$108</f>
        <v>3.1536000000000004</v>
      </c>
      <c r="AN114" s="49">
        <f>LOOKUP(AN$107,Assumptions!$112:$112,Assumptions!116:116)*AN$108</f>
        <v>3.1536000000000004</v>
      </c>
      <c r="AO114" s="49">
        <f>LOOKUP(AO$107,Assumptions!$112:$112,Assumptions!116:116)*AO$108</f>
        <v>3.1536000000000004</v>
      </c>
      <c r="AP114" s="49">
        <f>LOOKUP(AP$107,Assumptions!$112:$112,Assumptions!116:116)*AP$108</f>
        <v>6.7689000000000012</v>
      </c>
      <c r="AQ114" s="49">
        <f>LOOKUP(AQ$107,Assumptions!$112:$112,Assumptions!116:116)*AQ$108</f>
        <v>6.7689000000000012</v>
      </c>
      <c r="AR114" s="49">
        <f>LOOKUP(AR$107,Assumptions!$112:$112,Assumptions!116:116)*AR$108</f>
        <v>6.7689000000000012</v>
      </c>
      <c r="AS114" s="49">
        <f>LOOKUP(AS$107,Assumptions!$112:$112,Assumptions!116:116)*AS$108</f>
        <v>6.7689000000000012</v>
      </c>
      <c r="AT114" s="49">
        <f>LOOKUP(AT$107,Assumptions!$112:$112,Assumptions!116:116)*AT$108</f>
        <v>17.052524999999999</v>
      </c>
      <c r="AU114" s="49">
        <f>LOOKUP(AU$107,Assumptions!$112:$112,Assumptions!116:116)*AU$108</f>
        <v>17.052524999999999</v>
      </c>
      <c r="AV114" s="49">
        <f>LOOKUP(AV$107,Assumptions!$112:$112,Assumptions!116:116)*AV$108</f>
        <v>17.052524999999999</v>
      </c>
      <c r="AW114" s="49">
        <f>LOOKUP(AW$107,Assumptions!$112:$112,Assumptions!116:116)*AW$108</f>
        <v>17.052524999999999</v>
      </c>
      <c r="AX114" s="49">
        <f>LOOKUP(AX$107,Assumptions!$112:$112,Assumptions!116:116)*AX$108</f>
        <v>39.109500000000004</v>
      </c>
      <c r="AY114" s="49">
        <f>LOOKUP(AY$107,Assumptions!$112:$112,Assumptions!116:116)*AY$108</f>
        <v>39.109500000000004</v>
      </c>
      <c r="AZ114" s="49">
        <f>LOOKUP(AZ$107,Assumptions!$112:$112,Assumptions!116:116)*AZ$108</f>
        <v>39.109500000000004</v>
      </c>
      <c r="BA114" s="49">
        <f>LOOKUP(BA$107,Assumptions!$112:$112,Assumptions!116:116)*BA$108</f>
        <v>39.109500000000004</v>
      </c>
      <c r="BB114" s="49">
        <f>LOOKUP(BB$107,Assumptions!$112:$112,Assumptions!116:116)*BB$108</f>
        <v>39.312000000000005</v>
      </c>
      <c r="BC114" s="49">
        <f>LOOKUP(BC$107,Assumptions!$112:$112,Assumptions!116:116)*BC$108</f>
        <v>39.312000000000005</v>
      </c>
      <c r="BD114" s="49">
        <f>LOOKUP(BD$107,Assumptions!$112:$112,Assumptions!116:116)*BD$108</f>
        <v>39.312000000000005</v>
      </c>
      <c r="BE114" s="49">
        <f>LOOKUP(BE$107,Assumptions!$112:$112,Assumptions!116:116)*BE$108</f>
        <v>39.312000000000005</v>
      </c>
      <c r="BF114" s="49">
        <f>LOOKUP(BF$107,Assumptions!$112:$112,Assumptions!116:116)*BF$108</f>
        <v>41.107500000000002</v>
      </c>
      <c r="BG114" s="49">
        <f>LOOKUP(BG$107,Assumptions!$112:$112,Assumptions!116:116)*BG$108</f>
        <v>41.107500000000002</v>
      </c>
      <c r="BH114" s="49">
        <f>LOOKUP(BH$107,Assumptions!$112:$112,Assumptions!116:116)*BH$108</f>
        <v>41.107500000000002</v>
      </c>
      <c r="BI114" s="49">
        <f>LOOKUP(BI$107,Assumptions!$112:$112,Assumptions!116:116)*BI$108</f>
        <v>41.107500000000002</v>
      </c>
      <c r="BJ114" s="49">
        <f>LOOKUP(BJ$107,Assumptions!$112:$112,Assumptions!116:116)*BJ$108</f>
        <v>43.267499999999998</v>
      </c>
      <c r="BK114" s="49">
        <f>LOOKUP(BK$107,Assumptions!$112:$112,Assumptions!116:116)*BK$108</f>
        <v>43.267499999999998</v>
      </c>
      <c r="BL114" s="49">
        <f>LOOKUP(BL$107,Assumptions!$112:$112,Assumptions!116:116)*BL$108</f>
        <v>43.267499999999998</v>
      </c>
      <c r="BM114" s="49">
        <f>LOOKUP(BM$107,Assumptions!$112:$112,Assumptions!116:116)*BM$108</f>
        <v>43.267499999999998</v>
      </c>
      <c r="BN114" s="49">
        <f>LOOKUP(BN$107,Assumptions!$112:$112,Assumptions!116:116)*BN$108</f>
        <v>46.129500000000007</v>
      </c>
      <c r="BO114" s="49">
        <f>LOOKUP(BO$107,Assumptions!$112:$112,Assumptions!116:116)*BO$108</f>
        <v>46.129500000000007</v>
      </c>
      <c r="BP114" s="49">
        <f>LOOKUP(BP$107,Assumptions!$112:$112,Assumptions!116:116)*BP$108</f>
        <v>46.129500000000007</v>
      </c>
      <c r="BQ114" s="49">
        <f>LOOKUP(BQ$107,Assumptions!$112:$112,Assumptions!116:116)*BQ$108</f>
        <v>46.129500000000007</v>
      </c>
      <c r="BR114" s="49">
        <f>LOOKUP(BR$107,Assumptions!$112:$112,Assumptions!116:116)*BR$108</f>
        <v>48.829500000000003</v>
      </c>
      <c r="BS114" s="49">
        <f>LOOKUP(BS$107,Assumptions!$112:$112,Assumptions!116:116)*BS$108</f>
        <v>48.829500000000003</v>
      </c>
      <c r="BT114" s="49">
        <f>LOOKUP(BT$107,Assumptions!$112:$112,Assumptions!116:116)*BT$108</f>
        <v>48.829500000000003</v>
      </c>
      <c r="BU114" s="49">
        <f>LOOKUP(BU$107,Assumptions!$112:$112,Assumptions!116:116)*BU$108</f>
        <v>48.829500000000003</v>
      </c>
      <c r="BV114" s="49">
        <f>LOOKUP(BV$107,Assumptions!$112:$112,Assumptions!116:116)*BV$108</f>
        <v>50.652000000000008</v>
      </c>
      <c r="BW114" s="49">
        <f>LOOKUP(BW$107,Assumptions!$112:$112,Assumptions!116:116)*BW$108</f>
        <v>50.652000000000008</v>
      </c>
      <c r="BX114" s="49">
        <f>LOOKUP(BX$107,Assumptions!$112:$112,Assumptions!116:116)*BX$108</f>
        <v>50.652000000000008</v>
      </c>
      <c r="BY114" s="49">
        <f>LOOKUP(BY$107,Assumptions!$112:$112,Assumptions!116:116)*BY$108</f>
        <v>50.652000000000008</v>
      </c>
      <c r="BZ114" s="49">
        <f>LOOKUP(BZ$107,Assumptions!$112:$112,Assumptions!116:116)*BZ$108</f>
        <v>51.637500000000003</v>
      </c>
      <c r="CA114" s="49">
        <f>LOOKUP(CA$107,Assumptions!$112:$112,Assumptions!116:116)*CA$108</f>
        <v>51.637500000000003</v>
      </c>
      <c r="CB114" s="49">
        <f>LOOKUP(CB$107,Assumptions!$112:$112,Assumptions!116:116)*CB$108</f>
        <v>51.637500000000003</v>
      </c>
      <c r="CC114" s="49">
        <f>LOOKUP(CC$107,Assumptions!$112:$112,Assumptions!116:116)*CC$108</f>
        <v>51.637500000000003</v>
      </c>
      <c r="CD114" s="49">
        <f>LOOKUP(CD$107,Assumptions!$112:$112,Assumptions!116:116)*CD$108</f>
        <v>54.513000000000005</v>
      </c>
      <c r="CE114" s="49">
        <f>LOOKUP(CE$107,Assumptions!$112:$112,Assumptions!116:116)*CE$108</f>
        <v>54.513000000000005</v>
      </c>
      <c r="CF114" s="49">
        <f>LOOKUP(CF$107,Assumptions!$112:$112,Assumptions!116:116)*CF$108</f>
        <v>54.513000000000005</v>
      </c>
      <c r="CG114" s="49">
        <f>LOOKUP(CG$107,Assumptions!$112:$112,Assumptions!116:116)*CG$108</f>
        <v>54.513000000000005</v>
      </c>
      <c r="CH114" s="49">
        <f>LOOKUP(CH$107,Assumptions!$112:$112,Assumptions!116:116)*CH$108</f>
        <v>56.375999999999998</v>
      </c>
      <c r="CI114" s="49">
        <f>LOOKUP(CI$107,Assumptions!$112:$112,Assumptions!116:116)*CI$108</f>
        <v>56.375999999999998</v>
      </c>
      <c r="CJ114" s="49">
        <f>LOOKUP(CJ$107,Assumptions!$112:$112,Assumptions!116:116)*CJ$108</f>
        <v>56.375999999999998</v>
      </c>
      <c r="CK114" s="49">
        <f>LOOKUP(CK$107,Assumptions!$112:$112,Assumptions!116:116)*CK$108</f>
        <v>56.375999999999998</v>
      </c>
      <c r="CL114" s="49">
        <f>LOOKUP(CL$107,Assumptions!$112:$112,Assumptions!116:116)*CL$108</f>
        <v>60.493500000000004</v>
      </c>
      <c r="CM114" s="49">
        <f>LOOKUP(CM$107,Assumptions!$112:$112,Assumptions!116:116)*CM$108</f>
        <v>60.493500000000004</v>
      </c>
      <c r="CN114" s="49">
        <f>LOOKUP(CN$107,Assumptions!$112:$112,Assumptions!116:116)*CN$108</f>
        <v>60.493500000000004</v>
      </c>
      <c r="CO114" s="49">
        <f>LOOKUP(CO$107,Assumptions!$112:$112,Assumptions!116:116)*CO$108</f>
        <v>60.493500000000004</v>
      </c>
      <c r="CP114" s="49">
        <f>LOOKUP(CP$107,Assumptions!$112:$112,Assumptions!116:116)*CP$108</f>
        <v>63.922500000000007</v>
      </c>
      <c r="CQ114" s="49">
        <f>LOOKUP(CQ$107,Assumptions!$112:$112,Assumptions!116:116)*CQ$108</f>
        <v>63.922500000000007</v>
      </c>
      <c r="CR114" s="49">
        <f>LOOKUP(CR$107,Assumptions!$112:$112,Assumptions!116:116)*CR$108</f>
        <v>63.922500000000007</v>
      </c>
      <c r="CS114" s="49">
        <f>LOOKUP(CS$107,Assumptions!$112:$112,Assumptions!116:116)*CS$108</f>
        <v>63.922500000000007</v>
      </c>
      <c r="CT114" s="49">
        <f>LOOKUP(CT$107,Assumptions!$112:$112,Assumptions!116:116)*CT$108</f>
        <v>67.715999999999994</v>
      </c>
      <c r="CU114" s="49">
        <f>LOOKUP(CU$107,Assumptions!$112:$112,Assumptions!116:116)*CU$108</f>
        <v>67.715999999999994</v>
      </c>
      <c r="CV114" s="49">
        <f>LOOKUP(CV$107,Assumptions!$112:$112,Assumptions!116:116)*CV$108</f>
        <v>67.715999999999994</v>
      </c>
      <c r="CW114" s="49">
        <f>LOOKUP(CW$107,Assumptions!$112:$112,Assumptions!116:116)*CW$108</f>
        <v>67.715999999999994</v>
      </c>
      <c r="CX114" s="49">
        <f>LOOKUP(CX$107,Assumptions!$112:$112,Assumptions!116:116)*CX$108</f>
        <v>71.320499999999996</v>
      </c>
      <c r="CY114" s="49">
        <f>LOOKUP(CY$107,Assumptions!$112:$112,Assumptions!116:116)*CY$108</f>
        <v>71.320499999999996</v>
      </c>
      <c r="CZ114" s="49">
        <f>LOOKUP(CZ$107,Assumptions!$112:$112,Assumptions!116:116)*CZ$108</f>
        <v>71.320499999999996</v>
      </c>
      <c r="DA114" s="49">
        <f>LOOKUP(DA$107,Assumptions!$112:$112,Assumptions!116:116)*DA$108</f>
        <v>71.320499999999996</v>
      </c>
      <c r="DB114" s="49">
        <f>LOOKUP(DB$107,Assumptions!$112:$112,Assumptions!116:116)*DB$108</f>
        <v>72.373500000000007</v>
      </c>
      <c r="DC114" s="49">
        <f>LOOKUP(DC$107,Assumptions!$112:$112,Assumptions!116:116)*DC$108</f>
        <v>72.373500000000007</v>
      </c>
      <c r="DD114" s="49">
        <f>LOOKUP(DD$107,Assumptions!$112:$112,Assumptions!116:116)*DD$108</f>
        <v>72.373500000000007</v>
      </c>
      <c r="DE114" s="49">
        <f>LOOKUP(DE$107,Assumptions!$112:$112,Assumptions!116:116)*DE$108</f>
        <v>72.373500000000007</v>
      </c>
      <c r="DF114" s="49">
        <f>LOOKUP(DF$107,Assumptions!$112:$112,Assumptions!116:116)*DF$108</f>
        <v>72.954000000000008</v>
      </c>
      <c r="DG114" s="49">
        <f>LOOKUP(DG$107,Assumptions!$112:$112,Assumptions!116:116)*DG$108</f>
        <v>72.954000000000008</v>
      </c>
      <c r="DH114" s="49">
        <f>LOOKUP(DH$107,Assumptions!$112:$112,Assumptions!116:116)*DH$108</f>
        <v>72.954000000000008</v>
      </c>
      <c r="DI114" s="49">
        <f>LOOKUP(DI$107,Assumptions!$112:$112,Assumptions!116:116)*DI$108</f>
        <v>72.954000000000008</v>
      </c>
      <c r="DJ114" s="49">
        <f>LOOKUP(DJ$107,Assumptions!$112:$112,Assumptions!116:116)*DJ$108</f>
        <v>73.602000000000004</v>
      </c>
      <c r="DK114" s="49">
        <f>LOOKUP(DK$107,Assumptions!$112:$112,Assumptions!116:116)*DK$108</f>
        <v>73.602000000000004</v>
      </c>
      <c r="DL114" s="49">
        <f>LOOKUP(DL$107,Assumptions!$112:$112,Assumptions!116:116)*DL$108</f>
        <v>73.602000000000004</v>
      </c>
      <c r="DM114" s="49">
        <f>LOOKUP(DM$107,Assumptions!$112:$112,Assumptions!116:116)*DM$108</f>
        <v>73.602000000000004</v>
      </c>
      <c r="DN114" s="49">
        <f>LOOKUP(DN$107,Assumptions!$112:$112,Assumptions!116:116)*DN$108</f>
        <v>74.763000000000005</v>
      </c>
      <c r="DO114" s="49">
        <f>LOOKUP(DO$107,Assumptions!$112:$112,Assumptions!116:116)*DO$108</f>
        <v>74.763000000000005</v>
      </c>
      <c r="DP114" s="49">
        <f>LOOKUP(DP$107,Assumptions!$112:$112,Assumptions!116:116)*DP$108</f>
        <v>74.763000000000005</v>
      </c>
      <c r="DQ114" s="49">
        <f>LOOKUP(DQ$107,Assumptions!$112:$112,Assumptions!116:116)*DQ$108</f>
        <v>74.763000000000005</v>
      </c>
    </row>
    <row r="115" spans="4:121" x14ac:dyDescent="0.35">
      <c r="E115" s="20" t="s">
        <v>39</v>
      </c>
      <c r="F115" s="20" t="s">
        <v>161</v>
      </c>
      <c r="K115" s="49">
        <f>LOOKUP(K$107,Assumptions!$112:$112,Assumptions!117:117)*K$108</f>
        <v>29.686499999999999</v>
      </c>
      <c r="L115" s="49">
        <f>LOOKUP(L$107,Assumptions!$112:$112,Assumptions!117:117)*L$108</f>
        <v>29.686499999999999</v>
      </c>
      <c r="M115" s="49">
        <f>LOOKUP(M$107,Assumptions!$112:$112,Assumptions!117:117)*M$108</f>
        <v>29.686499999999999</v>
      </c>
      <c r="N115" s="49">
        <f>LOOKUP(N$107,Assumptions!$112:$112,Assumptions!117:117)*N$108</f>
        <v>29.686499999999999</v>
      </c>
      <c r="O115" s="49">
        <f>LOOKUP(O$107,Assumptions!$112:$112,Assumptions!117:117)*O$108</f>
        <v>29.686499999999999</v>
      </c>
      <c r="P115" s="49">
        <f>LOOKUP(P$107,Assumptions!$112:$112,Assumptions!117:117)*P$108</f>
        <v>29.686499999999999</v>
      </c>
      <c r="Q115" s="49">
        <f>LOOKUP(Q$107,Assumptions!$112:$112,Assumptions!117:117)*Q$108</f>
        <v>29.686499999999999</v>
      </c>
      <c r="R115" s="49">
        <f>LOOKUP(R$107,Assumptions!$112:$112,Assumptions!117:117)*R$108</f>
        <v>29.686499999999999</v>
      </c>
      <c r="S115" s="49">
        <f>LOOKUP(S$107,Assumptions!$112:$112,Assumptions!117:117)*S$108</f>
        <v>29.686499999999999</v>
      </c>
      <c r="T115" s="49">
        <f>LOOKUP(T$107,Assumptions!$112:$112,Assumptions!117:117)*T$108</f>
        <v>29.686499999999999</v>
      </c>
      <c r="U115" s="49">
        <f>LOOKUP(U$107,Assumptions!$112:$112,Assumptions!117:117)*U$108</f>
        <v>29.686499999999999</v>
      </c>
      <c r="V115" s="49">
        <f>LOOKUP(V$107,Assumptions!$112:$112,Assumptions!117:117)*V$108</f>
        <v>29.686499999999999</v>
      </c>
      <c r="W115" s="49">
        <f>LOOKUP(W$107,Assumptions!$112:$112,Assumptions!117:117)*W$108</f>
        <v>29.686499999999999</v>
      </c>
      <c r="X115" s="49">
        <f>LOOKUP(X$107,Assumptions!$112:$112,Assumptions!117:117)*X$108</f>
        <v>29.686499999999999</v>
      </c>
      <c r="Y115" s="49">
        <f>LOOKUP(Y$107,Assumptions!$112:$112,Assumptions!117:117)*Y$108</f>
        <v>29.686499999999999</v>
      </c>
      <c r="Z115" s="49">
        <f>LOOKUP(Z$107,Assumptions!$112:$112,Assumptions!117:117)*Z$108</f>
        <v>29.686499999999999</v>
      </c>
      <c r="AA115" s="49">
        <f>LOOKUP(AA$107,Assumptions!$112:$112,Assumptions!117:117)*AA$108</f>
        <v>29.686499999999999</v>
      </c>
      <c r="AB115" s="49">
        <f>LOOKUP(AB$107,Assumptions!$112:$112,Assumptions!117:117)*AB$108</f>
        <v>29.686499999999999</v>
      </c>
      <c r="AC115" s="49">
        <f>LOOKUP(AC$107,Assumptions!$112:$112,Assumptions!117:117)*AC$108</f>
        <v>29.686499999999999</v>
      </c>
      <c r="AD115" s="49">
        <f>LOOKUP(AD$107,Assumptions!$112:$112,Assumptions!117:117)*AD$108</f>
        <v>30.699000000000002</v>
      </c>
      <c r="AE115" s="49">
        <f>LOOKUP(AE$107,Assumptions!$112:$112,Assumptions!117:117)*AE$108</f>
        <v>30.699000000000002</v>
      </c>
      <c r="AF115" s="49">
        <f>LOOKUP(AF$107,Assumptions!$112:$112,Assumptions!117:117)*AF$108</f>
        <v>30.699000000000002</v>
      </c>
      <c r="AG115" s="49">
        <f>LOOKUP(AG$107,Assumptions!$112:$112,Assumptions!117:117)*AG$108</f>
        <v>30.699000000000002</v>
      </c>
      <c r="AH115" s="49">
        <f>LOOKUP(AH$107,Assumptions!$112:$112,Assumptions!117:117)*AH$108</f>
        <v>0.62802000000000013</v>
      </c>
      <c r="AI115" s="49">
        <f>LOOKUP(AI$107,Assumptions!$112:$112,Assumptions!117:117)*AI$108</f>
        <v>0.62802000000000013</v>
      </c>
      <c r="AJ115" s="49">
        <f>LOOKUP(AJ$107,Assumptions!$112:$112,Assumptions!117:117)*AJ$108</f>
        <v>0.62802000000000013</v>
      </c>
      <c r="AK115" s="49">
        <f>LOOKUP(AK$107,Assumptions!$112:$112,Assumptions!117:117)*AK$108</f>
        <v>0.62802000000000013</v>
      </c>
      <c r="AL115" s="49">
        <f>LOOKUP(AL$107,Assumptions!$112:$112,Assumptions!117:117)*AL$108</f>
        <v>3.1536000000000004</v>
      </c>
      <c r="AM115" s="49">
        <f>LOOKUP(AM$107,Assumptions!$112:$112,Assumptions!117:117)*AM$108</f>
        <v>3.1536000000000004</v>
      </c>
      <c r="AN115" s="49">
        <f>LOOKUP(AN$107,Assumptions!$112:$112,Assumptions!117:117)*AN$108</f>
        <v>3.1536000000000004</v>
      </c>
      <c r="AO115" s="49">
        <f>LOOKUP(AO$107,Assumptions!$112:$112,Assumptions!117:117)*AO$108</f>
        <v>3.1536000000000004</v>
      </c>
      <c r="AP115" s="49">
        <f>LOOKUP(AP$107,Assumptions!$112:$112,Assumptions!117:117)*AP$108</f>
        <v>6.7689000000000012</v>
      </c>
      <c r="AQ115" s="49">
        <f>LOOKUP(AQ$107,Assumptions!$112:$112,Assumptions!117:117)*AQ$108</f>
        <v>6.7689000000000012</v>
      </c>
      <c r="AR115" s="49">
        <f>LOOKUP(AR$107,Assumptions!$112:$112,Assumptions!117:117)*AR$108</f>
        <v>6.7689000000000012</v>
      </c>
      <c r="AS115" s="49">
        <f>LOOKUP(AS$107,Assumptions!$112:$112,Assumptions!117:117)*AS$108</f>
        <v>6.7689000000000012</v>
      </c>
      <c r="AT115" s="49">
        <f>LOOKUP(AT$107,Assumptions!$112:$112,Assumptions!117:117)*AT$108</f>
        <v>17.052524999999999</v>
      </c>
      <c r="AU115" s="49">
        <f>LOOKUP(AU$107,Assumptions!$112:$112,Assumptions!117:117)*AU$108</f>
        <v>17.052524999999999</v>
      </c>
      <c r="AV115" s="49">
        <f>LOOKUP(AV$107,Assumptions!$112:$112,Assumptions!117:117)*AV$108</f>
        <v>17.052524999999999</v>
      </c>
      <c r="AW115" s="49">
        <f>LOOKUP(AW$107,Assumptions!$112:$112,Assumptions!117:117)*AW$108</f>
        <v>17.052524999999999</v>
      </c>
      <c r="AX115" s="49">
        <f>LOOKUP(AX$107,Assumptions!$112:$112,Assumptions!117:117)*AX$108</f>
        <v>39.109500000000004</v>
      </c>
      <c r="AY115" s="49">
        <f>LOOKUP(AY$107,Assumptions!$112:$112,Assumptions!117:117)*AY$108</f>
        <v>39.109500000000004</v>
      </c>
      <c r="AZ115" s="49">
        <f>LOOKUP(AZ$107,Assumptions!$112:$112,Assumptions!117:117)*AZ$108</f>
        <v>39.109500000000004</v>
      </c>
      <c r="BA115" s="49">
        <f>LOOKUP(BA$107,Assumptions!$112:$112,Assumptions!117:117)*BA$108</f>
        <v>39.109500000000004</v>
      </c>
      <c r="BB115" s="49">
        <f>LOOKUP(BB$107,Assumptions!$112:$112,Assumptions!117:117)*BB$108</f>
        <v>39.312000000000005</v>
      </c>
      <c r="BC115" s="49">
        <f>LOOKUP(BC$107,Assumptions!$112:$112,Assumptions!117:117)*BC$108</f>
        <v>39.312000000000005</v>
      </c>
      <c r="BD115" s="49">
        <f>LOOKUP(BD$107,Assumptions!$112:$112,Assumptions!117:117)*BD$108</f>
        <v>39.312000000000005</v>
      </c>
      <c r="BE115" s="49">
        <f>LOOKUP(BE$107,Assumptions!$112:$112,Assumptions!117:117)*BE$108</f>
        <v>39.312000000000005</v>
      </c>
      <c r="BF115" s="49">
        <f>LOOKUP(BF$107,Assumptions!$112:$112,Assumptions!117:117)*BF$108</f>
        <v>41.107500000000002</v>
      </c>
      <c r="BG115" s="49">
        <f>LOOKUP(BG$107,Assumptions!$112:$112,Assumptions!117:117)*BG$108</f>
        <v>41.107500000000002</v>
      </c>
      <c r="BH115" s="49">
        <f>LOOKUP(BH$107,Assumptions!$112:$112,Assumptions!117:117)*BH$108</f>
        <v>41.107500000000002</v>
      </c>
      <c r="BI115" s="49">
        <f>LOOKUP(BI$107,Assumptions!$112:$112,Assumptions!117:117)*BI$108</f>
        <v>41.107500000000002</v>
      </c>
      <c r="BJ115" s="49">
        <f>LOOKUP(BJ$107,Assumptions!$112:$112,Assumptions!117:117)*BJ$108</f>
        <v>43.267499999999998</v>
      </c>
      <c r="BK115" s="49">
        <f>LOOKUP(BK$107,Assumptions!$112:$112,Assumptions!117:117)*BK$108</f>
        <v>43.267499999999998</v>
      </c>
      <c r="BL115" s="49">
        <f>LOOKUP(BL$107,Assumptions!$112:$112,Assumptions!117:117)*BL$108</f>
        <v>43.267499999999998</v>
      </c>
      <c r="BM115" s="49">
        <f>LOOKUP(BM$107,Assumptions!$112:$112,Assumptions!117:117)*BM$108</f>
        <v>43.267499999999998</v>
      </c>
      <c r="BN115" s="49">
        <f>LOOKUP(BN$107,Assumptions!$112:$112,Assumptions!117:117)*BN$108</f>
        <v>46.129500000000007</v>
      </c>
      <c r="BO115" s="49">
        <f>LOOKUP(BO$107,Assumptions!$112:$112,Assumptions!117:117)*BO$108</f>
        <v>46.129500000000007</v>
      </c>
      <c r="BP115" s="49">
        <f>LOOKUP(BP$107,Assumptions!$112:$112,Assumptions!117:117)*BP$108</f>
        <v>46.129500000000007</v>
      </c>
      <c r="BQ115" s="49">
        <f>LOOKUP(BQ$107,Assumptions!$112:$112,Assumptions!117:117)*BQ$108</f>
        <v>46.129500000000007</v>
      </c>
      <c r="BR115" s="49">
        <f>LOOKUP(BR$107,Assumptions!$112:$112,Assumptions!117:117)*BR$108</f>
        <v>48.829500000000003</v>
      </c>
      <c r="BS115" s="49">
        <f>LOOKUP(BS$107,Assumptions!$112:$112,Assumptions!117:117)*BS$108</f>
        <v>48.829500000000003</v>
      </c>
      <c r="BT115" s="49">
        <f>LOOKUP(BT$107,Assumptions!$112:$112,Assumptions!117:117)*BT$108</f>
        <v>48.829500000000003</v>
      </c>
      <c r="BU115" s="49">
        <f>LOOKUP(BU$107,Assumptions!$112:$112,Assumptions!117:117)*BU$108</f>
        <v>48.829500000000003</v>
      </c>
      <c r="BV115" s="49">
        <f>LOOKUP(BV$107,Assumptions!$112:$112,Assumptions!117:117)*BV$108</f>
        <v>50.652000000000008</v>
      </c>
      <c r="BW115" s="49">
        <f>LOOKUP(BW$107,Assumptions!$112:$112,Assumptions!117:117)*BW$108</f>
        <v>50.652000000000008</v>
      </c>
      <c r="BX115" s="49">
        <f>LOOKUP(BX$107,Assumptions!$112:$112,Assumptions!117:117)*BX$108</f>
        <v>50.652000000000008</v>
      </c>
      <c r="BY115" s="49">
        <f>LOOKUP(BY$107,Assumptions!$112:$112,Assumptions!117:117)*BY$108</f>
        <v>50.652000000000008</v>
      </c>
      <c r="BZ115" s="49">
        <f>LOOKUP(BZ$107,Assumptions!$112:$112,Assumptions!117:117)*BZ$108</f>
        <v>51.637500000000003</v>
      </c>
      <c r="CA115" s="49">
        <f>LOOKUP(CA$107,Assumptions!$112:$112,Assumptions!117:117)*CA$108</f>
        <v>51.637500000000003</v>
      </c>
      <c r="CB115" s="49">
        <f>LOOKUP(CB$107,Assumptions!$112:$112,Assumptions!117:117)*CB$108</f>
        <v>51.637500000000003</v>
      </c>
      <c r="CC115" s="49">
        <f>LOOKUP(CC$107,Assumptions!$112:$112,Assumptions!117:117)*CC$108</f>
        <v>51.637500000000003</v>
      </c>
      <c r="CD115" s="49">
        <f>LOOKUP(CD$107,Assumptions!$112:$112,Assumptions!117:117)*CD$108</f>
        <v>54.513000000000005</v>
      </c>
      <c r="CE115" s="49">
        <f>LOOKUP(CE$107,Assumptions!$112:$112,Assumptions!117:117)*CE$108</f>
        <v>54.513000000000005</v>
      </c>
      <c r="CF115" s="49">
        <f>LOOKUP(CF$107,Assumptions!$112:$112,Assumptions!117:117)*CF$108</f>
        <v>54.513000000000005</v>
      </c>
      <c r="CG115" s="49">
        <f>LOOKUP(CG$107,Assumptions!$112:$112,Assumptions!117:117)*CG$108</f>
        <v>54.513000000000005</v>
      </c>
      <c r="CH115" s="49">
        <f>LOOKUP(CH$107,Assumptions!$112:$112,Assumptions!117:117)*CH$108</f>
        <v>56.375999999999998</v>
      </c>
      <c r="CI115" s="49">
        <f>LOOKUP(CI$107,Assumptions!$112:$112,Assumptions!117:117)*CI$108</f>
        <v>56.375999999999998</v>
      </c>
      <c r="CJ115" s="49">
        <f>LOOKUP(CJ$107,Assumptions!$112:$112,Assumptions!117:117)*CJ$108</f>
        <v>56.375999999999998</v>
      </c>
      <c r="CK115" s="49">
        <f>LOOKUP(CK$107,Assumptions!$112:$112,Assumptions!117:117)*CK$108</f>
        <v>56.375999999999998</v>
      </c>
      <c r="CL115" s="49">
        <f>LOOKUP(CL$107,Assumptions!$112:$112,Assumptions!117:117)*CL$108</f>
        <v>60.493500000000004</v>
      </c>
      <c r="CM115" s="49">
        <f>LOOKUP(CM$107,Assumptions!$112:$112,Assumptions!117:117)*CM$108</f>
        <v>60.493500000000004</v>
      </c>
      <c r="CN115" s="49">
        <f>LOOKUP(CN$107,Assumptions!$112:$112,Assumptions!117:117)*CN$108</f>
        <v>60.493500000000004</v>
      </c>
      <c r="CO115" s="49">
        <f>LOOKUP(CO$107,Assumptions!$112:$112,Assumptions!117:117)*CO$108</f>
        <v>60.493500000000004</v>
      </c>
      <c r="CP115" s="49">
        <f>LOOKUP(CP$107,Assumptions!$112:$112,Assumptions!117:117)*CP$108</f>
        <v>63.922500000000007</v>
      </c>
      <c r="CQ115" s="49">
        <f>LOOKUP(CQ$107,Assumptions!$112:$112,Assumptions!117:117)*CQ$108</f>
        <v>63.922500000000007</v>
      </c>
      <c r="CR115" s="49">
        <f>LOOKUP(CR$107,Assumptions!$112:$112,Assumptions!117:117)*CR$108</f>
        <v>63.922500000000007</v>
      </c>
      <c r="CS115" s="49">
        <f>LOOKUP(CS$107,Assumptions!$112:$112,Assumptions!117:117)*CS$108</f>
        <v>63.922500000000007</v>
      </c>
      <c r="CT115" s="49">
        <f>LOOKUP(CT$107,Assumptions!$112:$112,Assumptions!117:117)*CT$108</f>
        <v>67.715999999999994</v>
      </c>
      <c r="CU115" s="49">
        <f>LOOKUP(CU$107,Assumptions!$112:$112,Assumptions!117:117)*CU$108</f>
        <v>67.715999999999994</v>
      </c>
      <c r="CV115" s="49">
        <f>LOOKUP(CV$107,Assumptions!$112:$112,Assumptions!117:117)*CV$108</f>
        <v>67.715999999999994</v>
      </c>
      <c r="CW115" s="49">
        <f>LOOKUP(CW$107,Assumptions!$112:$112,Assumptions!117:117)*CW$108</f>
        <v>67.715999999999994</v>
      </c>
      <c r="CX115" s="49">
        <f>LOOKUP(CX$107,Assumptions!$112:$112,Assumptions!117:117)*CX$108</f>
        <v>71.320499999999996</v>
      </c>
      <c r="CY115" s="49">
        <f>LOOKUP(CY$107,Assumptions!$112:$112,Assumptions!117:117)*CY$108</f>
        <v>71.320499999999996</v>
      </c>
      <c r="CZ115" s="49">
        <f>LOOKUP(CZ$107,Assumptions!$112:$112,Assumptions!117:117)*CZ$108</f>
        <v>71.320499999999996</v>
      </c>
      <c r="DA115" s="49">
        <f>LOOKUP(DA$107,Assumptions!$112:$112,Assumptions!117:117)*DA$108</f>
        <v>71.320499999999996</v>
      </c>
      <c r="DB115" s="49">
        <f>LOOKUP(DB$107,Assumptions!$112:$112,Assumptions!117:117)*DB$108</f>
        <v>72.373500000000007</v>
      </c>
      <c r="DC115" s="49">
        <f>LOOKUP(DC$107,Assumptions!$112:$112,Assumptions!117:117)*DC$108</f>
        <v>72.373500000000007</v>
      </c>
      <c r="DD115" s="49">
        <f>LOOKUP(DD$107,Assumptions!$112:$112,Assumptions!117:117)*DD$108</f>
        <v>72.373500000000007</v>
      </c>
      <c r="DE115" s="49">
        <f>LOOKUP(DE$107,Assumptions!$112:$112,Assumptions!117:117)*DE$108</f>
        <v>72.373500000000007</v>
      </c>
      <c r="DF115" s="49">
        <f>LOOKUP(DF$107,Assumptions!$112:$112,Assumptions!117:117)*DF$108</f>
        <v>72.954000000000008</v>
      </c>
      <c r="DG115" s="49">
        <f>LOOKUP(DG$107,Assumptions!$112:$112,Assumptions!117:117)*DG$108</f>
        <v>72.954000000000008</v>
      </c>
      <c r="DH115" s="49">
        <f>LOOKUP(DH$107,Assumptions!$112:$112,Assumptions!117:117)*DH$108</f>
        <v>72.954000000000008</v>
      </c>
      <c r="DI115" s="49">
        <f>LOOKUP(DI$107,Assumptions!$112:$112,Assumptions!117:117)*DI$108</f>
        <v>72.954000000000008</v>
      </c>
      <c r="DJ115" s="49">
        <f>LOOKUP(DJ$107,Assumptions!$112:$112,Assumptions!117:117)*DJ$108</f>
        <v>73.602000000000004</v>
      </c>
      <c r="DK115" s="49">
        <f>LOOKUP(DK$107,Assumptions!$112:$112,Assumptions!117:117)*DK$108</f>
        <v>73.602000000000004</v>
      </c>
      <c r="DL115" s="49">
        <f>LOOKUP(DL$107,Assumptions!$112:$112,Assumptions!117:117)*DL$108</f>
        <v>73.602000000000004</v>
      </c>
      <c r="DM115" s="49">
        <f>LOOKUP(DM$107,Assumptions!$112:$112,Assumptions!117:117)*DM$108</f>
        <v>73.602000000000004</v>
      </c>
      <c r="DN115" s="49">
        <f>LOOKUP(DN$107,Assumptions!$112:$112,Assumptions!117:117)*DN$108</f>
        <v>74.763000000000005</v>
      </c>
      <c r="DO115" s="49">
        <f>LOOKUP(DO$107,Assumptions!$112:$112,Assumptions!117:117)*DO$108</f>
        <v>74.763000000000005</v>
      </c>
      <c r="DP115" s="49">
        <f>LOOKUP(DP$107,Assumptions!$112:$112,Assumptions!117:117)*DP$108</f>
        <v>74.763000000000005</v>
      </c>
      <c r="DQ115" s="49">
        <f>LOOKUP(DQ$107,Assumptions!$112:$112,Assumptions!117:117)*DQ$108</f>
        <v>74.763000000000005</v>
      </c>
    </row>
    <row r="116" spans="4:121" x14ac:dyDescent="0.35">
      <c r="E116" s="20" t="s">
        <v>40</v>
      </c>
      <c r="F116" s="20" t="s">
        <v>161</v>
      </c>
      <c r="K116" s="49">
        <f>LOOKUP(K$107,Assumptions!$112:$112,Assumptions!118:118)*K$108</f>
        <v>29.686499999999999</v>
      </c>
      <c r="L116" s="49">
        <f>LOOKUP(L$107,Assumptions!$112:$112,Assumptions!118:118)*L$108</f>
        <v>29.686499999999999</v>
      </c>
      <c r="M116" s="49">
        <f>LOOKUP(M$107,Assumptions!$112:$112,Assumptions!118:118)*M$108</f>
        <v>29.686499999999999</v>
      </c>
      <c r="N116" s="49">
        <f>LOOKUP(N$107,Assumptions!$112:$112,Assumptions!118:118)*N$108</f>
        <v>29.686499999999999</v>
      </c>
      <c r="O116" s="49">
        <f>LOOKUP(O$107,Assumptions!$112:$112,Assumptions!118:118)*O$108</f>
        <v>29.686499999999999</v>
      </c>
      <c r="P116" s="49">
        <f>LOOKUP(P$107,Assumptions!$112:$112,Assumptions!118:118)*P$108</f>
        <v>29.686499999999999</v>
      </c>
      <c r="Q116" s="49">
        <f>LOOKUP(Q$107,Assumptions!$112:$112,Assumptions!118:118)*Q$108</f>
        <v>29.686499999999999</v>
      </c>
      <c r="R116" s="49">
        <f>LOOKUP(R$107,Assumptions!$112:$112,Assumptions!118:118)*R$108</f>
        <v>29.686499999999999</v>
      </c>
      <c r="S116" s="49">
        <f>LOOKUP(S$107,Assumptions!$112:$112,Assumptions!118:118)*S$108</f>
        <v>29.686499999999999</v>
      </c>
      <c r="T116" s="49">
        <f>LOOKUP(T$107,Assumptions!$112:$112,Assumptions!118:118)*T$108</f>
        <v>29.686499999999999</v>
      </c>
      <c r="U116" s="49">
        <f>LOOKUP(U$107,Assumptions!$112:$112,Assumptions!118:118)*U$108</f>
        <v>29.686499999999999</v>
      </c>
      <c r="V116" s="49">
        <f>LOOKUP(V$107,Assumptions!$112:$112,Assumptions!118:118)*V$108</f>
        <v>29.686499999999999</v>
      </c>
      <c r="W116" s="49">
        <f>LOOKUP(W$107,Assumptions!$112:$112,Assumptions!118:118)*W$108</f>
        <v>29.686499999999999</v>
      </c>
      <c r="X116" s="49">
        <f>LOOKUP(X$107,Assumptions!$112:$112,Assumptions!118:118)*X$108</f>
        <v>29.686499999999999</v>
      </c>
      <c r="Y116" s="49">
        <f>LOOKUP(Y$107,Assumptions!$112:$112,Assumptions!118:118)*Y$108</f>
        <v>29.686499999999999</v>
      </c>
      <c r="Z116" s="49">
        <f>LOOKUP(Z$107,Assumptions!$112:$112,Assumptions!118:118)*Z$108</f>
        <v>29.686499999999999</v>
      </c>
      <c r="AA116" s="49">
        <f>LOOKUP(AA$107,Assumptions!$112:$112,Assumptions!118:118)*AA$108</f>
        <v>29.686499999999999</v>
      </c>
      <c r="AB116" s="49">
        <f>LOOKUP(AB$107,Assumptions!$112:$112,Assumptions!118:118)*AB$108</f>
        <v>29.686499999999999</v>
      </c>
      <c r="AC116" s="49">
        <f>LOOKUP(AC$107,Assumptions!$112:$112,Assumptions!118:118)*AC$108</f>
        <v>29.686499999999999</v>
      </c>
      <c r="AD116" s="49">
        <f>LOOKUP(AD$107,Assumptions!$112:$112,Assumptions!118:118)*AD$108</f>
        <v>30.699000000000002</v>
      </c>
      <c r="AE116" s="49">
        <f>LOOKUP(AE$107,Assumptions!$112:$112,Assumptions!118:118)*AE$108</f>
        <v>30.699000000000002</v>
      </c>
      <c r="AF116" s="49">
        <f>LOOKUP(AF$107,Assumptions!$112:$112,Assumptions!118:118)*AF$108</f>
        <v>30.699000000000002</v>
      </c>
      <c r="AG116" s="49">
        <f>LOOKUP(AG$107,Assumptions!$112:$112,Assumptions!118:118)*AG$108</f>
        <v>30.699000000000002</v>
      </c>
      <c r="AH116" s="49">
        <f>LOOKUP(AH$107,Assumptions!$112:$112,Assumptions!118:118)*AH$108</f>
        <v>0.62802000000000013</v>
      </c>
      <c r="AI116" s="49">
        <f>LOOKUP(AI$107,Assumptions!$112:$112,Assumptions!118:118)*AI$108</f>
        <v>0.62802000000000013</v>
      </c>
      <c r="AJ116" s="49">
        <f>LOOKUP(AJ$107,Assumptions!$112:$112,Assumptions!118:118)*AJ$108</f>
        <v>0.62802000000000013</v>
      </c>
      <c r="AK116" s="49">
        <f>LOOKUP(AK$107,Assumptions!$112:$112,Assumptions!118:118)*AK$108</f>
        <v>0.62802000000000013</v>
      </c>
      <c r="AL116" s="49">
        <f>LOOKUP(AL$107,Assumptions!$112:$112,Assumptions!118:118)*AL$108</f>
        <v>3.1536000000000004</v>
      </c>
      <c r="AM116" s="49">
        <f>LOOKUP(AM$107,Assumptions!$112:$112,Assumptions!118:118)*AM$108</f>
        <v>3.1536000000000004</v>
      </c>
      <c r="AN116" s="49">
        <f>LOOKUP(AN$107,Assumptions!$112:$112,Assumptions!118:118)*AN$108</f>
        <v>3.1536000000000004</v>
      </c>
      <c r="AO116" s="49">
        <f>LOOKUP(AO$107,Assumptions!$112:$112,Assumptions!118:118)*AO$108</f>
        <v>3.1536000000000004</v>
      </c>
      <c r="AP116" s="49">
        <f>LOOKUP(AP$107,Assumptions!$112:$112,Assumptions!118:118)*AP$108</f>
        <v>6.7689000000000012</v>
      </c>
      <c r="AQ116" s="49">
        <f>LOOKUP(AQ$107,Assumptions!$112:$112,Assumptions!118:118)*AQ$108</f>
        <v>6.7689000000000012</v>
      </c>
      <c r="AR116" s="49">
        <f>LOOKUP(AR$107,Assumptions!$112:$112,Assumptions!118:118)*AR$108</f>
        <v>6.7689000000000012</v>
      </c>
      <c r="AS116" s="49">
        <f>LOOKUP(AS$107,Assumptions!$112:$112,Assumptions!118:118)*AS$108</f>
        <v>6.7689000000000012</v>
      </c>
      <c r="AT116" s="49">
        <f>LOOKUP(AT$107,Assumptions!$112:$112,Assumptions!118:118)*AT$108</f>
        <v>17.052524999999999</v>
      </c>
      <c r="AU116" s="49">
        <f>LOOKUP(AU$107,Assumptions!$112:$112,Assumptions!118:118)*AU$108</f>
        <v>17.052524999999999</v>
      </c>
      <c r="AV116" s="49">
        <f>LOOKUP(AV$107,Assumptions!$112:$112,Assumptions!118:118)*AV$108</f>
        <v>17.052524999999999</v>
      </c>
      <c r="AW116" s="49">
        <f>LOOKUP(AW$107,Assumptions!$112:$112,Assumptions!118:118)*AW$108</f>
        <v>17.052524999999999</v>
      </c>
      <c r="AX116" s="49">
        <f>LOOKUP(AX$107,Assumptions!$112:$112,Assumptions!118:118)*AX$108</f>
        <v>39.109500000000004</v>
      </c>
      <c r="AY116" s="49">
        <f>LOOKUP(AY$107,Assumptions!$112:$112,Assumptions!118:118)*AY$108</f>
        <v>39.109500000000004</v>
      </c>
      <c r="AZ116" s="49">
        <f>LOOKUP(AZ$107,Assumptions!$112:$112,Assumptions!118:118)*AZ$108</f>
        <v>39.109500000000004</v>
      </c>
      <c r="BA116" s="49">
        <f>LOOKUP(BA$107,Assumptions!$112:$112,Assumptions!118:118)*BA$108</f>
        <v>39.109500000000004</v>
      </c>
      <c r="BB116" s="49">
        <f>LOOKUP(BB$107,Assumptions!$112:$112,Assumptions!118:118)*BB$108</f>
        <v>39.312000000000005</v>
      </c>
      <c r="BC116" s="49">
        <f>LOOKUP(BC$107,Assumptions!$112:$112,Assumptions!118:118)*BC$108</f>
        <v>39.312000000000005</v>
      </c>
      <c r="BD116" s="49">
        <f>LOOKUP(BD$107,Assumptions!$112:$112,Assumptions!118:118)*BD$108</f>
        <v>39.312000000000005</v>
      </c>
      <c r="BE116" s="49">
        <f>LOOKUP(BE$107,Assumptions!$112:$112,Assumptions!118:118)*BE$108</f>
        <v>39.312000000000005</v>
      </c>
      <c r="BF116" s="49">
        <f>LOOKUP(BF$107,Assumptions!$112:$112,Assumptions!118:118)*BF$108</f>
        <v>41.107500000000002</v>
      </c>
      <c r="BG116" s="49">
        <f>LOOKUP(BG$107,Assumptions!$112:$112,Assumptions!118:118)*BG$108</f>
        <v>41.107500000000002</v>
      </c>
      <c r="BH116" s="49">
        <f>LOOKUP(BH$107,Assumptions!$112:$112,Assumptions!118:118)*BH$108</f>
        <v>41.107500000000002</v>
      </c>
      <c r="BI116" s="49">
        <f>LOOKUP(BI$107,Assumptions!$112:$112,Assumptions!118:118)*BI$108</f>
        <v>41.107500000000002</v>
      </c>
      <c r="BJ116" s="49">
        <f>LOOKUP(BJ$107,Assumptions!$112:$112,Assumptions!118:118)*BJ$108</f>
        <v>43.267499999999998</v>
      </c>
      <c r="BK116" s="49">
        <f>LOOKUP(BK$107,Assumptions!$112:$112,Assumptions!118:118)*BK$108</f>
        <v>43.267499999999998</v>
      </c>
      <c r="BL116" s="49">
        <f>LOOKUP(BL$107,Assumptions!$112:$112,Assumptions!118:118)*BL$108</f>
        <v>43.267499999999998</v>
      </c>
      <c r="BM116" s="49">
        <f>LOOKUP(BM$107,Assumptions!$112:$112,Assumptions!118:118)*BM$108</f>
        <v>43.267499999999998</v>
      </c>
      <c r="BN116" s="49">
        <f>LOOKUP(BN$107,Assumptions!$112:$112,Assumptions!118:118)*BN$108</f>
        <v>46.129500000000007</v>
      </c>
      <c r="BO116" s="49">
        <f>LOOKUP(BO$107,Assumptions!$112:$112,Assumptions!118:118)*BO$108</f>
        <v>46.129500000000007</v>
      </c>
      <c r="BP116" s="49">
        <f>LOOKUP(BP$107,Assumptions!$112:$112,Assumptions!118:118)*BP$108</f>
        <v>46.129500000000007</v>
      </c>
      <c r="BQ116" s="49">
        <f>LOOKUP(BQ$107,Assumptions!$112:$112,Assumptions!118:118)*BQ$108</f>
        <v>46.129500000000007</v>
      </c>
      <c r="BR116" s="49">
        <f>LOOKUP(BR$107,Assumptions!$112:$112,Assumptions!118:118)*BR$108</f>
        <v>48.829500000000003</v>
      </c>
      <c r="BS116" s="49">
        <f>LOOKUP(BS$107,Assumptions!$112:$112,Assumptions!118:118)*BS$108</f>
        <v>48.829500000000003</v>
      </c>
      <c r="BT116" s="49">
        <f>LOOKUP(BT$107,Assumptions!$112:$112,Assumptions!118:118)*BT$108</f>
        <v>48.829500000000003</v>
      </c>
      <c r="BU116" s="49">
        <f>LOOKUP(BU$107,Assumptions!$112:$112,Assumptions!118:118)*BU$108</f>
        <v>48.829500000000003</v>
      </c>
      <c r="BV116" s="49">
        <f>LOOKUP(BV$107,Assumptions!$112:$112,Assumptions!118:118)*BV$108</f>
        <v>50.652000000000008</v>
      </c>
      <c r="BW116" s="49">
        <f>LOOKUP(BW$107,Assumptions!$112:$112,Assumptions!118:118)*BW$108</f>
        <v>50.652000000000008</v>
      </c>
      <c r="BX116" s="49">
        <f>LOOKUP(BX$107,Assumptions!$112:$112,Assumptions!118:118)*BX$108</f>
        <v>50.652000000000008</v>
      </c>
      <c r="BY116" s="49">
        <f>LOOKUP(BY$107,Assumptions!$112:$112,Assumptions!118:118)*BY$108</f>
        <v>50.652000000000008</v>
      </c>
      <c r="BZ116" s="49">
        <f>LOOKUP(BZ$107,Assumptions!$112:$112,Assumptions!118:118)*BZ$108</f>
        <v>51.637500000000003</v>
      </c>
      <c r="CA116" s="49">
        <f>LOOKUP(CA$107,Assumptions!$112:$112,Assumptions!118:118)*CA$108</f>
        <v>51.637500000000003</v>
      </c>
      <c r="CB116" s="49">
        <f>LOOKUP(CB$107,Assumptions!$112:$112,Assumptions!118:118)*CB$108</f>
        <v>51.637500000000003</v>
      </c>
      <c r="CC116" s="49">
        <f>LOOKUP(CC$107,Assumptions!$112:$112,Assumptions!118:118)*CC$108</f>
        <v>51.637500000000003</v>
      </c>
      <c r="CD116" s="49">
        <f>LOOKUP(CD$107,Assumptions!$112:$112,Assumptions!118:118)*CD$108</f>
        <v>54.513000000000005</v>
      </c>
      <c r="CE116" s="49">
        <f>LOOKUP(CE$107,Assumptions!$112:$112,Assumptions!118:118)*CE$108</f>
        <v>54.513000000000005</v>
      </c>
      <c r="CF116" s="49">
        <f>LOOKUP(CF$107,Assumptions!$112:$112,Assumptions!118:118)*CF$108</f>
        <v>54.513000000000005</v>
      </c>
      <c r="CG116" s="49">
        <f>LOOKUP(CG$107,Assumptions!$112:$112,Assumptions!118:118)*CG$108</f>
        <v>54.513000000000005</v>
      </c>
      <c r="CH116" s="49">
        <f>LOOKUP(CH$107,Assumptions!$112:$112,Assumptions!118:118)*CH$108</f>
        <v>56.375999999999998</v>
      </c>
      <c r="CI116" s="49">
        <f>LOOKUP(CI$107,Assumptions!$112:$112,Assumptions!118:118)*CI$108</f>
        <v>56.375999999999998</v>
      </c>
      <c r="CJ116" s="49">
        <f>LOOKUP(CJ$107,Assumptions!$112:$112,Assumptions!118:118)*CJ$108</f>
        <v>56.375999999999998</v>
      </c>
      <c r="CK116" s="49">
        <f>LOOKUP(CK$107,Assumptions!$112:$112,Assumptions!118:118)*CK$108</f>
        <v>56.375999999999998</v>
      </c>
      <c r="CL116" s="49">
        <f>LOOKUP(CL$107,Assumptions!$112:$112,Assumptions!118:118)*CL$108</f>
        <v>60.493500000000004</v>
      </c>
      <c r="CM116" s="49">
        <f>LOOKUP(CM$107,Assumptions!$112:$112,Assumptions!118:118)*CM$108</f>
        <v>60.493500000000004</v>
      </c>
      <c r="CN116" s="49">
        <f>LOOKUP(CN$107,Assumptions!$112:$112,Assumptions!118:118)*CN$108</f>
        <v>60.493500000000004</v>
      </c>
      <c r="CO116" s="49">
        <f>LOOKUP(CO$107,Assumptions!$112:$112,Assumptions!118:118)*CO$108</f>
        <v>60.493500000000004</v>
      </c>
      <c r="CP116" s="49">
        <f>LOOKUP(CP$107,Assumptions!$112:$112,Assumptions!118:118)*CP$108</f>
        <v>63.922500000000007</v>
      </c>
      <c r="CQ116" s="49">
        <f>LOOKUP(CQ$107,Assumptions!$112:$112,Assumptions!118:118)*CQ$108</f>
        <v>63.922500000000007</v>
      </c>
      <c r="CR116" s="49">
        <f>LOOKUP(CR$107,Assumptions!$112:$112,Assumptions!118:118)*CR$108</f>
        <v>63.922500000000007</v>
      </c>
      <c r="CS116" s="49">
        <f>LOOKUP(CS$107,Assumptions!$112:$112,Assumptions!118:118)*CS$108</f>
        <v>63.922500000000007</v>
      </c>
      <c r="CT116" s="49">
        <f>LOOKUP(CT$107,Assumptions!$112:$112,Assumptions!118:118)*CT$108</f>
        <v>67.715999999999994</v>
      </c>
      <c r="CU116" s="49">
        <f>LOOKUP(CU$107,Assumptions!$112:$112,Assumptions!118:118)*CU$108</f>
        <v>67.715999999999994</v>
      </c>
      <c r="CV116" s="49">
        <f>LOOKUP(CV$107,Assumptions!$112:$112,Assumptions!118:118)*CV$108</f>
        <v>67.715999999999994</v>
      </c>
      <c r="CW116" s="49">
        <f>LOOKUP(CW$107,Assumptions!$112:$112,Assumptions!118:118)*CW$108</f>
        <v>67.715999999999994</v>
      </c>
      <c r="CX116" s="49">
        <f>LOOKUP(CX$107,Assumptions!$112:$112,Assumptions!118:118)*CX$108</f>
        <v>71.320499999999996</v>
      </c>
      <c r="CY116" s="49">
        <f>LOOKUP(CY$107,Assumptions!$112:$112,Assumptions!118:118)*CY$108</f>
        <v>71.320499999999996</v>
      </c>
      <c r="CZ116" s="49">
        <f>LOOKUP(CZ$107,Assumptions!$112:$112,Assumptions!118:118)*CZ$108</f>
        <v>71.320499999999996</v>
      </c>
      <c r="DA116" s="49">
        <f>LOOKUP(DA$107,Assumptions!$112:$112,Assumptions!118:118)*DA$108</f>
        <v>71.320499999999996</v>
      </c>
      <c r="DB116" s="49">
        <f>LOOKUP(DB$107,Assumptions!$112:$112,Assumptions!118:118)*DB$108</f>
        <v>72.373500000000007</v>
      </c>
      <c r="DC116" s="49">
        <f>LOOKUP(DC$107,Assumptions!$112:$112,Assumptions!118:118)*DC$108</f>
        <v>72.373500000000007</v>
      </c>
      <c r="DD116" s="49">
        <f>LOOKUP(DD$107,Assumptions!$112:$112,Assumptions!118:118)*DD$108</f>
        <v>72.373500000000007</v>
      </c>
      <c r="DE116" s="49">
        <f>LOOKUP(DE$107,Assumptions!$112:$112,Assumptions!118:118)*DE$108</f>
        <v>72.373500000000007</v>
      </c>
      <c r="DF116" s="49">
        <f>LOOKUP(DF$107,Assumptions!$112:$112,Assumptions!118:118)*DF$108</f>
        <v>72.954000000000008</v>
      </c>
      <c r="DG116" s="49">
        <f>LOOKUP(DG$107,Assumptions!$112:$112,Assumptions!118:118)*DG$108</f>
        <v>72.954000000000008</v>
      </c>
      <c r="DH116" s="49">
        <f>LOOKUP(DH$107,Assumptions!$112:$112,Assumptions!118:118)*DH$108</f>
        <v>72.954000000000008</v>
      </c>
      <c r="DI116" s="49">
        <f>LOOKUP(DI$107,Assumptions!$112:$112,Assumptions!118:118)*DI$108</f>
        <v>72.954000000000008</v>
      </c>
      <c r="DJ116" s="49">
        <f>LOOKUP(DJ$107,Assumptions!$112:$112,Assumptions!118:118)*DJ$108</f>
        <v>73.602000000000004</v>
      </c>
      <c r="DK116" s="49">
        <f>LOOKUP(DK$107,Assumptions!$112:$112,Assumptions!118:118)*DK$108</f>
        <v>73.602000000000004</v>
      </c>
      <c r="DL116" s="49">
        <f>LOOKUP(DL$107,Assumptions!$112:$112,Assumptions!118:118)*DL$108</f>
        <v>73.602000000000004</v>
      </c>
      <c r="DM116" s="49">
        <f>LOOKUP(DM$107,Assumptions!$112:$112,Assumptions!118:118)*DM$108</f>
        <v>73.602000000000004</v>
      </c>
      <c r="DN116" s="49">
        <f>LOOKUP(DN$107,Assumptions!$112:$112,Assumptions!118:118)*DN$108</f>
        <v>74.763000000000005</v>
      </c>
      <c r="DO116" s="49">
        <f>LOOKUP(DO$107,Assumptions!$112:$112,Assumptions!118:118)*DO$108</f>
        <v>74.763000000000005</v>
      </c>
      <c r="DP116" s="49">
        <f>LOOKUP(DP$107,Assumptions!$112:$112,Assumptions!118:118)*DP$108</f>
        <v>74.763000000000005</v>
      </c>
      <c r="DQ116" s="49">
        <f>LOOKUP(DQ$107,Assumptions!$112:$112,Assumptions!118:118)*DQ$108</f>
        <v>74.763000000000005</v>
      </c>
    </row>
    <row r="117" spans="4:121" x14ac:dyDescent="0.35">
      <c r="E117" s="20" t="s">
        <v>41</v>
      </c>
      <c r="F117" s="20" t="s">
        <v>161</v>
      </c>
      <c r="K117" s="49">
        <f>LOOKUP(K$107,Assumptions!$112:$112,Assumptions!119:119)*K$108</f>
        <v>29.686499999999999</v>
      </c>
      <c r="L117" s="49">
        <f>LOOKUP(L$107,Assumptions!$112:$112,Assumptions!119:119)*L$108</f>
        <v>29.686499999999999</v>
      </c>
      <c r="M117" s="49">
        <f>LOOKUP(M$107,Assumptions!$112:$112,Assumptions!119:119)*M$108</f>
        <v>29.686499999999999</v>
      </c>
      <c r="N117" s="49">
        <f>LOOKUP(N$107,Assumptions!$112:$112,Assumptions!119:119)*N$108</f>
        <v>29.686499999999999</v>
      </c>
      <c r="O117" s="49">
        <f>LOOKUP(O$107,Assumptions!$112:$112,Assumptions!119:119)*O$108</f>
        <v>29.686499999999999</v>
      </c>
      <c r="P117" s="49">
        <f>LOOKUP(P$107,Assumptions!$112:$112,Assumptions!119:119)*P$108</f>
        <v>29.686499999999999</v>
      </c>
      <c r="Q117" s="49">
        <f>LOOKUP(Q$107,Assumptions!$112:$112,Assumptions!119:119)*Q$108</f>
        <v>29.686499999999999</v>
      </c>
      <c r="R117" s="49">
        <f>LOOKUP(R$107,Assumptions!$112:$112,Assumptions!119:119)*R$108</f>
        <v>29.686499999999999</v>
      </c>
      <c r="S117" s="49">
        <f>LOOKUP(S$107,Assumptions!$112:$112,Assumptions!119:119)*S$108</f>
        <v>29.686499999999999</v>
      </c>
      <c r="T117" s="49">
        <f>LOOKUP(T$107,Assumptions!$112:$112,Assumptions!119:119)*T$108</f>
        <v>29.686499999999999</v>
      </c>
      <c r="U117" s="49">
        <f>LOOKUP(U$107,Assumptions!$112:$112,Assumptions!119:119)*U$108</f>
        <v>29.686499999999999</v>
      </c>
      <c r="V117" s="49">
        <f>LOOKUP(V$107,Assumptions!$112:$112,Assumptions!119:119)*V$108</f>
        <v>29.686499999999999</v>
      </c>
      <c r="W117" s="49">
        <f>LOOKUP(W$107,Assumptions!$112:$112,Assumptions!119:119)*W$108</f>
        <v>29.686499999999999</v>
      </c>
      <c r="X117" s="49">
        <f>LOOKUP(X$107,Assumptions!$112:$112,Assumptions!119:119)*X$108</f>
        <v>29.686499999999999</v>
      </c>
      <c r="Y117" s="49">
        <f>LOOKUP(Y$107,Assumptions!$112:$112,Assumptions!119:119)*Y$108</f>
        <v>29.686499999999999</v>
      </c>
      <c r="Z117" s="49">
        <f>LOOKUP(Z$107,Assumptions!$112:$112,Assumptions!119:119)*Z$108</f>
        <v>29.686499999999999</v>
      </c>
      <c r="AA117" s="49">
        <f>LOOKUP(AA$107,Assumptions!$112:$112,Assumptions!119:119)*AA$108</f>
        <v>29.686499999999999</v>
      </c>
      <c r="AB117" s="49">
        <f>LOOKUP(AB$107,Assumptions!$112:$112,Assumptions!119:119)*AB$108</f>
        <v>29.686499999999999</v>
      </c>
      <c r="AC117" s="49">
        <f>LOOKUP(AC$107,Assumptions!$112:$112,Assumptions!119:119)*AC$108</f>
        <v>29.686499999999999</v>
      </c>
      <c r="AD117" s="49">
        <f>LOOKUP(AD$107,Assumptions!$112:$112,Assumptions!119:119)*AD$108</f>
        <v>30.699000000000002</v>
      </c>
      <c r="AE117" s="49">
        <f>LOOKUP(AE$107,Assumptions!$112:$112,Assumptions!119:119)*AE$108</f>
        <v>30.699000000000002</v>
      </c>
      <c r="AF117" s="49">
        <f>LOOKUP(AF$107,Assumptions!$112:$112,Assumptions!119:119)*AF$108</f>
        <v>30.699000000000002</v>
      </c>
      <c r="AG117" s="49">
        <f>LOOKUP(AG$107,Assumptions!$112:$112,Assumptions!119:119)*AG$108</f>
        <v>30.699000000000002</v>
      </c>
      <c r="AH117" s="49">
        <f>LOOKUP(AH$107,Assumptions!$112:$112,Assumptions!119:119)*AH$108</f>
        <v>0.62802000000000013</v>
      </c>
      <c r="AI117" s="49">
        <f>LOOKUP(AI$107,Assumptions!$112:$112,Assumptions!119:119)*AI$108</f>
        <v>0.62802000000000013</v>
      </c>
      <c r="AJ117" s="49">
        <f>LOOKUP(AJ$107,Assumptions!$112:$112,Assumptions!119:119)*AJ$108</f>
        <v>0.62802000000000013</v>
      </c>
      <c r="AK117" s="49">
        <f>LOOKUP(AK$107,Assumptions!$112:$112,Assumptions!119:119)*AK$108</f>
        <v>0.62802000000000013</v>
      </c>
      <c r="AL117" s="49">
        <f>LOOKUP(AL$107,Assumptions!$112:$112,Assumptions!119:119)*AL$108</f>
        <v>3.1536000000000004</v>
      </c>
      <c r="AM117" s="49">
        <f>LOOKUP(AM$107,Assumptions!$112:$112,Assumptions!119:119)*AM$108</f>
        <v>3.1536000000000004</v>
      </c>
      <c r="AN117" s="49">
        <f>LOOKUP(AN$107,Assumptions!$112:$112,Assumptions!119:119)*AN$108</f>
        <v>3.1536000000000004</v>
      </c>
      <c r="AO117" s="49">
        <f>LOOKUP(AO$107,Assumptions!$112:$112,Assumptions!119:119)*AO$108</f>
        <v>3.1536000000000004</v>
      </c>
      <c r="AP117" s="49">
        <f>LOOKUP(AP$107,Assumptions!$112:$112,Assumptions!119:119)*AP$108</f>
        <v>10.153350000000001</v>
      </c>
      <c r="AQ117" s="49">
        <f>LOOKUP(AQ$107,Assumptions!$112:$112,Assumptions!119:119)*AQ$108</f>
        <v>10.153350000000001</v>
      </c>
      <c r="AR117" s="49">
        <f>LOOKUP(AR$107,Assumptions!$112:$112,Assumptions!119:119)*AR$108</f>
        <v>10.153350000000001</v>
      </c>
      <c r="AS117" s="49">
        <f>LOOKUP(AS$107,Assumptions!$112:$112,Assumptions!119:119)*AS$108</f>
        <v>10.153350000000001</v>
      </c>
      <c r="AT117" s="49">
        <f>LOOKUP(AT$107,Assumptions!$112:$112,Assumptions!119:119)*AT$108</f>
        <v>17.052524999999999</v>
      </c>
      <c r="AU117" s="49">
        <f>LOOKUP(AU$107,Assumptions!$112:$112,Assumptions!119:119)*AU$108</f>
        <v>17.052524999999999</v>
      </c>
      <c r="AV117" s="49">
        <f>LOOKUP(AV$107,Assumptions!$112:$112,Assumptions!119:119)*AV$108</f>
        <v>17.052524999999999</v>
      </c>
      <c r="AW117" s="49">
        <f>LOOKUP(AW$107,Assumptions!$112:$112,Assumptions!119:119)*AW$108</f>
        <v>17.052524999999999</v>
      </c>
      <c r="AX117" s="49">
        <f>LOOKUP(AX$107,Assumptions!$112:$112,Assumptions!119:119)*AX$108</f>
        <v>39.109500000000004</v>
      </c>
      <c r="AY117" s="49">
        <f>LOOKUP(AY$107,Assumptions!$112:$112,Assumptions!119:119)*AY$108</f>
        <v>39.109500000000004</v>
      </c>
      <c r="AZ117" s="49">
        <f>LOOKUP(AZ$107,Assumptions!$112:$112,Assumptions!119:119)*AZ$108</f>
        <v>39.109500000000004</v>
      </c>
      <c r="BA117" s="49">
        <f>LOOKUP(BA$107,Assumptions!$112:$112,Assumptions!119:119)*BA$108</f>
        <v>39.109500000000004</v>
      </c>
      <c r="BB117" s="49">
        <f>LOOKUP(BB$107,Assumptions!$112:$112,Assumptions!119:119)*BB$108</f>
        <v>39.312000000000005</v>
      </c>
      <c r="BC117" s="49">
        <f>LOOKUP(BC$107,Assumptions!$112:$112,Assumptions!119:119)*BC$108</f>
        <v>39.312000000000005</v>
      </c>
      <c r="BD117" s="49">
        <f>LOOKUP(BD$107,Assumptions!$112:$112,Assumptions!119:119)*BD$108</f>
        <v>39.312000000000005</v>
      </c>
      <c r="BE117" s="49">
        <f>LOOKUP(BE$107,Assumptions!$112:$112,Assumptions!119:119)*BE$108</f>
        <v>39.312000000000005</v>
      </c>
      <c r="BF117" s="49">
        <f>LOOKUP(BF$107,Assumptions!$112:$112,Assumptions!119:119)*BF$108</f>
        <v>41.107500000000002</v>
      </c>
      <c r="BG117" s="49">
        <f>LOOKUP(BG$107,Assumptions!$112:$112,Assumptions!119:119)*BG$108</f>
        <v>41.107500000000002</v>
      </c>
      <c r="BH117" s="49">
        <f>LOOKUP(BH$107,Assumptions!$112:$112,Assumptions!119:119)*BH$108</f>
        <v>41.107500000000002</v>
      </c>
      <c r="BI117" s="49">
        <f>LOOKUP(BI$107,Assumptions!$112:$112,Assumptions!119:119)*BI$108</f>
        <v>41.107500000000002</v>
      </c>
      <c r="BJ117" s="49">
        <f>LOOKUP(BJ$107,Assumptions!$112:$112,Assumptions!119:119)*BJ$108</f>
        <v>43.267499999999998</v>
      </c>
      <c r="BK117" s="49">
        <f>LOOKUP(BK$107,Assumptions!$112:$112,Assumptions!119:119)*BK$108</f>
        <v>43.267499999999998</v>
      </c>
      <c r="BL117" s="49">
        <f>LOOKUP(BL$107,Assumptions!$112:$112,Assumptions!119:119)*BL$108</f>
        <v>43.267499999999998</v>
      </c>
      <c r="BM117" s="49">
        <f>LOOKUP(BM$107,Assumptions!$112:$112,Assumptions!119:119)*BM$108</f>
        <v>43.267499999999998</v>
      </c>
      <c r="BN117" s="49">
        <f>LOOKUP(BN$107,Assumptions!$112:$112,Assumptions!119:119)*BN$108</f>
        <v>46.129500000000007</v>
      </c>
      <c r="BO117" s="49">
        <f>LOOKUP(BO$107,Assumptions!$112:$112,Assumptions!119:119)*BO$108</f>
        <v>46.129500000000007</v>
      </c>
      <c r="BP117" s="49">
        <f>LOOKUP(BP$107,Assumptions!$112:$112,Assumptions!119:119)*BP$108</f>
        <v>46.129500000000007</v>
      </c>
      <c r="BQ117" s="49">
        <f>LOOKUP(BQ$107,Assumptions!$112:$112,Assumptions!119:119)*BQ$108</f>
        <v>46.129500000000007</v>
      </c>
      <c r="BR117" s="49">
        <f>LOOKUP(BR$107,Assumptions!$112:$112,Assumptions!119:119)*BR$108</f>
        <v>48.829500000000003</v>
      </c>
      <c r="BS117" s="49">
        <f>LOOKUP(BS$107,Assumptions!$112:$112,Assumptions!119:119)*BS$108</f>
        <v>48.829500000000003</v>
      </c>
      <c r="BT117" s="49">
        <f>LOOKUP(BT$107,Assumptions!$112:$112,Assumptions!119:119)*BT$108</f>
        <v>48.829500000000003</v>
      </c>
      <c r="BU117" s="49">
        <f>LOOKUP(BU$107,Assumptions!$112:$112,Assumptions!119:119)*BU$108</f>
        <v>48.829500000000003</v>
      </c>
      <c r="BV117" s="49">
        <f>LOOKUP(BV$107,Assumptions!$112:$112,Assumptions!119:119)*BV$108</f>
        <v>50.652000000000008</v>
      </c>
      <c r="BW117" s="49">
        <f>LOOKUP(BW$107,Assumptions!$112:$112,Assumptions!119:119)*BW$108</f>
        <v>50.652000000000008</v>
      </c>
      <c r="BX117" s="49">
        <f>LOOKUP(BX$107,Assumptions!$112:$112,Assumptions!119:119)*BX$108</f>
        <v>50.652000000000008</v>
      </c>
      <c r="BY117" s="49">
        <f>LOOKUP(BY$107,Assumptions!$112:$112,Assumptions!119:119)*BY$108</f>
        <v>50.652000000000008</v>
      </c>
      <c r="BZ117" s="49">
        <f>LOOKUP(BZ$107,Assumptions!$112:$112,Assumptions!119:119)*BZ$108</f>
        <v>51.637500000000003</v>
      </c>
      <c r="CA117" s="49">
        <f>LOOKUP(CA$107,Assumptions!$112:$112,Assumptions!119:119)*CA$108</f>
        <v>51.637500000000003</v>
      </c>
      <c r="CB117" s="49">
        <f>LOOKUP(CB$107,Assumptions!$112:$112,Assumptions!119:119)*CB$108</f>
        <v>51.637500000000003</v>
      </c>
      <c r="CC117" s="49">
        <f>LOOKUP(CC$107,Assumptions!$112:$112,Assumptions!119:119)*CC$108</f>
        <v>51.637500000000003</v>
      </c>
      <c r="CD117" s="49">
        <f>LOOKUP(CD$107,Assumptions!$112:$112,Assumptions!119:119)*CD$108</f>
        <v>54.513000000000005</v>
      </c>
      <c r="CE117" s="49">
        <f>LOOKUP(CE$107,Assumptions!$112:$112,Assumptions!119:119)*CE$108</f>
        <v>54.513000000000005</v>
      </c>
      <c r="CF117" s="49">
        <f>LOOKUP(CF$107,Assumptions!$112:$112,Assumptions!119:119)*CF$108</f>
        <v>54.513000000000005</v>
      </c>
      <c r="CG117" s="49">
        <f>LOOKUP(CG$107,Assumptions!$112:$112,Assumptions!119:119)*CG$108</f>
        <v>54.513000000000005</v>
      </c>
      <c r="CH117" s="49">
        <f>LOOKUP(CH$107,Assumptions!$112:$112,Assumptions!119:119)*CH$108</f>
        <v>56.375999999999998</v>
      </c>
      <c r="CI117" s="49">
        <f>LOOKUP(CI$107,Assumptions!$112:$112,Assumptions!119:119)*CI$108</f>
        <v>56.375999999999998</v>
      </c>
      <c r="CJ117" s="49">
        <f>LOOKUP(CJ$107,Assumptions!$112:$112,Assumptions!119:119)*CJ$108</f>
        <v>56.375999999999998</v>
      </c>
      <c r="CK117" s="49">
        <f>LOOKUP(CK$107,Assumptions!$112:$112,Assumptions!119:119)*CK$108</f>
        <v>56.375999999999998</v>
      </c>
      <c r="CL117" s="49">
        <f>LOOKUP(CL$107,Assumptions!$112:$112,Assumptions!119:119)*CL$108</f>
        <v>60.493500000000004</v>
      </c>
      <c r="CM117" s="49">
        <f>LOOKUP(CM$107,Assumptions!$112:$112,Assumptions!119:119)*CM$108</f>
        <v>60.493500000000004</v>
      </c>
      <c r="CN117" s="49">
        <f>LOOKUP(CN$107,Assumptions!$112:$112,Assumptions!119:119)*CN$108</f>
        <v>60.493500000000004</v>
      </c>
      <c r="CO117" s="49">
        <f>LOOKUP(CO$107,Assumptions!$112:$112,Assumptions!119:119)*CO$108</f>
        <v>60.493500000000004</v>
      </c>
      <c r="CP117" s="49">
        <f>LOOKUP(CP$107,Assumptions!$112:$112,Assumptions!119:119)*CP$108</f>
        <v>63.922500000000007</v>
      </c>
      <c r="CQ117" s="49">
        <f>LOOKUP(CQ$107,Assumptions!$112:$112,Assumptions!119:119)*CQ$108</f>
        <v>63.922500000000007</v>
      </c>
      <c r="CR117" s="49">
        <f>LOOKUP(CR$107,Assumptions!$112:$112,Assumptions!119:119)*CR$108</f>
        <v>63.922500000000007</v>
      </c>
      <c r="CS117" s="49">
        <f>LOOKUP(CS$107,Assumptions!$112:$112,Assumptions!119:119)*CS$108</f>
        <v>63.922500000000007</v>
      </c>
      <c r="CT117" s="49">
        <f>LOOKUP(CT$107,Assumptions!$112:$112,Assumptions!119:119)*CT$108</f>
        <v>67.715999999999994</v>
      </c>
      <c r="CU117" s="49">
        <f>LOOKUP(CU$107,Assumptions!$112:$112,Assumptions!119:119)*CU$108</f>
        <v>67.715999999999994</v>
      </c>
      <c r="CV117" s="49">
        <f>LOOKUP(CV$107,Assumptions!$112:$112,Assumptions!119:119)*CV$108</f>
        <v>67.715999999999994</v>
      </c>
      <c r="CW117" s="49">
        <f>LOOKUP(CW$107,Assumptions!$112:$112,Assumptions!119:119)*CW$108</f>
        <v>67.715999999999994</v>
      </c>
      <c r="CX117" s="49">
        <f>LOOKUP(CX$107,Assumptions!$112:$112,Assumptions!119:119)*CX$108</f>
        <v>71.320499999999996</v>
      </c>
      <c r="CY117" s="49">
        <f>LOOKUP(CY$107,Assumptions!$112:$112,Assumptions!119:119)*CY$108</f>
        <v>71.320499999999996</v>
      </c>
      <c r="CZ117" s="49">
        <f>LOOKUP(CZ$107,Assumptions!$112:$112,Assumptions!119:119)*CZ$108</f>
        <v>71.320499999999996</v>
      </c>
      <c r="DA117" s="49">
        <f>LOOKUP(DA$107,Assumptions!$112:$112,Assumptions!119:119)*DA$108</f>
        <v>71.320499999999996</v>
      </c>
      <c r="DB117" s="49">
        <f>LOOKUP(DB$107,Assumptions!$112:$112,Assumptions!119:119)*DB$108</f>
        <v>72.373500000000007</v>
      </c>
      <c r="DC117" s="49">
        <f>LOOKUP(DC$107,Assumptions!$112:$112,Assumptions!119:119)*DC$108</f>
        <v>72.373500000000007</v>
      </c>
      <c r="DD117" s="49">
        <f>LOOKUP(DD$107,Assumptions!$112:$112,Assumptions!119:119)*DD$108</f>
        <v>72.373500000000007</v>
      </c>
      <c r="DE117" s="49">
        <f>LOOKUP(DE$107,Assumptions!$112:$112,Assumptions!119:119)*DE$108</f>
        <v>72.373500000000007</v>
      </c>
      <c r="DF117" s="49">
        <f>LOOKUP(DF$107,Assumptions!$112:$112,Assumptions!119:119)*DF$108</f>
        <v>72.954000000000008</v>
      </c>
      <c r="DG117" s="49">
        <f>LOOKUP(DG$107,Assumptions!$112:$112,Assumptions!119:119)*DG$108</f>
        <v>72.954000000000008</v>
      </c>
      <c r="DH117" s="49">
        <f>LOOKUP(DH$107,Assumptions!$112:$112,Assumptions!119:119)*DH$108</f>
        <v>72.954000000000008</v>
      </c>
      <c r="DI117" s="49">
        <f>LOOKUP(DI$107,Assumptions!$112:$112,Assumptions!119:119)*DI$108</f>
        <v>72.954000000000008</v>
      </c>
      <c r="DJ117" s="49">
        <f>LOOKUP(DJ$107,Assumptions!$112:$112,Assumptions!119:119)*DJ$108</f>
        <v>73.602000000000004</v>
      </c>
      <c r="DK117" s="49">
        <f>LOOKUP(DK$107,Assumptions!$112:$112,Assumptions!119:119)*DK$108</f>
        <v>73.602000000000004</v>
      </c>
      <c r="DL117" s="49">
        <f>LOOKUP(DL$107,Assumptions!$112:$112,Assumptions!119:119)*DL$108</f>
        <v>73.602000000000004</v>
      </c>
      <c r="DM117" s="49">
        <f>LOOKUP(DM$107,Assumptions!$112:$112,Assumptions!119:119)*DM$108</f>
        <v>73.602000000000004</v>
      </c>
      <c r="DN117" s="49">
        <f>LOOKUP(DN$107,Assumptions!$112:$112,Assumptions!119:119)*DN$108</f>
        <v>74.763000000000005</v>
      </c>
      <c r="DO117" s="49">
        <f>LOOKUP(DO$107,Assumptions!$112:$112,Assumptions!119:119)*DO$108</f>
        <v>74.763000000000005</v>
      </c>
      <c r="DP117" s="49">
        <f>LOOKUP(DP$107,Assumptions!$112:$112,Assumptions!119:119)*DP$108</f>
        <v>74.763000000000005</v>
      </c>
      <c r="DQ117" s="49">
        <f>LOOKUP(DQ$107,Assumptions!$112:$112,Assumptions!119:119)*DQ$108</f>
        <v>74.763000000000005</v>
      </c>
    </row>
    <row r="118" spans="4:121" x14ac:dyDescent="0.35">
      <c r="E118" s="20" t="s">
        <v>42</v>
      </c>
      <c r="F118" s="20" t="s">
        <v>161</v>
      </c>
      <c r="K118" s="49">
        <f>LOOKUP(K$107,Assumptions!$112:$112,Assumptions!120:120)*K$108</f>
        <v>29.686499999999999</v>
      </c>
      <c r="L118" s="49">
        <f>LOOKUP(L$107,Assumptions!$112:$112,Assumptions!120:120)*L$108</f>
        <v>29.686499999999999</v>
      </c>
      <c r="M118" s="49">
        <f>LOOKUP(M$107,Assumptions!$112:$112,Assumptions!120:120)*M$108</f>
        <v>29.686499999999999</v>
      </c>
      <c r="N118" s="49">
        <f>LOOKUP(N$107,Assumptions!$112:$112,Assumptions!120:120)*N$108</f>
        <v>29.686499999999999</v>
      </c>
      <c r="O118" s="49">
        <f>LOOKUP(O$107,Assumptions!$112:$112,Assumptions!120:120)*O$108</f>
        <v>29.686499999999999</v>
      </c>
      <c r="P118" s="49">
        <f>LOOKUP(P$107,Assumptions!$112:$112,Assumptions!120:120)*P$108</f>
        <v>29.686499999999999</v>
      </c>
      <c r="Q118" s="49">
        <f>LOOKUP(Q$107,Assumptions!$112:$112,Assumptions!120:120)*Q$108</f>
        <v>29.686499999999999</v>
      </c>
      <c r="R118" s="49">
        <f>LOOKUP(R$107,Assumptions!$112:$112,Assumptions!120:120)*R$108</f>
        <v>29.686499999999999</v>
      </c>
      <c r="S118" s="49">
        <f>LOOKUP(S$107,Assumptions!$112:$112,Assumptions!120:120)*S$108</f>
        <v>29.686499999999999</v>
      </c>
      <c r="T118" s="49">
        <f>LOOKUP(T$107,Assumptions!$112:$112,Assumptions!120:120)*T$108</f>
        <v>29.686499999999999</v>
      </c>
      <c r="U118" s="49">
        <f>LOOKUP(U$107,Assumptions!$112:$112,Assumptions!120:120)*U$108</f>
        <v>29.686499999999999</v>
      </c>
      <c r="V118" s="49">
        <f>LOOKUP(V$107,Assumptions!$112:$112,Assumptions!120:120)*V$108</f>
        <v>29.686499999999999</v>
      </c>
      <c r="W118" s="49">
        <f>LOOKUP(W$107,Assumptions!$112:$112,Assumptions!120:120)*W$108</f>
        <v>29.686499999999999</v>
      </c>
      <c r="X118" s="49">
        <f>LOOKUP(X$107,Assumptions!$112:$112,Assumptions!120:120)*X$108</f>
        <v>29.686499999999999</v>
      </c>
      <c r="Y118" s="49">
        <f>LOOKUP(Y$107,Assumptions!$112:$112,Assumptions!120:120)*Y$108</f>
        <v>29.686499999999999</v>
      </c>
      <c r="Z118" s="49">
        <f>LOOKUP(Z$107,Assumptions!$112:$112,Assumptions!120:120)*Z$108</f>
        <v>29.686499999999999</v>
      </c>
      <c r="AA118" s="49">
        <f>LOOKUP(AA$107,Assumptions!$112:$112,Assumptions!120:120)*AA$108</f>
        <v>29.686499999999999</v>
      </c>
      <c r="AB118" s="49">
        <f>LOOKUP(AB$107,Assumptions!$112:$112,Assumptions!120:120)*AB$108</f>
        <v>29.686499999999999</v>
      </c>
      <c r="AC118" s="49">
        <f>LOOKUP(AC$107,Assumptions!$112:$112,Assumptions!120:120)*AC$108</f>
        <v>29.686499999999999</v>
      </c>
      <c r="AD118" s="49">
        <f>LOOKUP(AD$107,Assumptions!$112:$112,Assumptions!120:120)*AD$108</f>
        <v>30.699000000000002</v>
      </c>
      <c r="AE118" s="49">
        <f>LOOKUP(AE$107,Assumptions!$112:$112,Assumptions!120:120)*AE$108</f>
        <v>30.699000000000002</v>
      </c>
      <c r="AF118" s="49">
        <f>LOOKUP(AF$107,Assumptions!$112:$112,Assumptions!120:120)*AF$108</f>
        <v>30.699000000000002</v>
      </c>
      <c r="AG118" s="49">
        <f>LOOKUP(AG$107,Assumptions!$112:$112,Assumptions!120:120)*AG$108</f>
        <v>30.699000000000002</v>
      </c>
      <c r="AH118" s="49">
        <f>LOOKUP(AH$107,Assumptions!$112:$112,Assumptions!120:120)*AH$108</f>
        <v>0.62802000000000013</v>
      </c>
      <c r="AI118" s="49">
        <f>LOOKUP(AI$107,Assumptions!$112:$112,Assumptions!120:120)*AI$108</f>
        <v>0.62802000000000013</v>
      </c>
      <c r="AJ118" s="49">
        <f>LOOKUP(AJ$107,Assumptions!$112:$112,Assumptions!120:120)*AJ$108</f>
        <v>0.62802000000000013</v>
      </c>
      <c r="AK118" s="49">
        <f>LOOKUP(AK$107,Assumptions!$112:$112,Assumptions!120:120)*AK$108</f>
        <v>0.62802000000000013</v>
      </c>
      <c r="AL118" s="49">
        <f>LOOKUP(AL$107,Assumptions!$112:$112,Assumptions!120:120)*AL$108</f>
        <v>3.1536000000000004</v>
      </c>
      <c r="AM118" s="49">
        <f>LOOKUP(AM$107,Assumptions!$112:$112,Assumptions!120:120)*AM$108</f>
        <v>3.1536000000000004</v>
      </c>
      <c r="AN118" s="49">
        <f>LOOKUP(AN$107,Assumptions!$112:$112,Assumptions!120:120)*AN$108</f>
        <v>3.1536000000000004</v>
      </c>
      <c r="AO118" s="49">
        <f>LOOKUP(AO$107,Assumptions!$112:$112,Assumptions!120:120)*AO$108</f>
        <v>3.1536000000000004</v>
      </c>
      <c r="AP118" s="49">
        <f>LOOKUP(AP$107,Assumptions!$112:$112,Assumptions!120:120)*AP$108</f>
        <v>10.153350000000001</v>
      </c>
      <c r="AQ118" s="49">
        <f>LOOKUP(AQ$107,Assumptions!$112:$112,Assumptions!120:120)*AQ$108</f>
        <v>10.153350000000001</v>
      </c>
      <c r="AR118" s="49">
        <f>LOOKUP(AR$107,Assumptions!$112:$112,Assumptions!120:120)*AR$108</f>
        <v>10.153350000000001</v>
      </c>
      <c r="AS118" s="49">
        <f>LOOKUP(AS$107,Assumptions!$112:$112,Assumptions!120:120)*AS$108</f>
        <v>10.153350000000001</v>
      </c>
      <c r="AT118" s="49">
        <f>LOOKUP(AT$107,Assumptions!$112:$112,Assumptions!120:120)*AT$108</f>
        <v>18.94725</v>
      </c>
      <c r="AU118" s="49">
        <f>LOOKUP(AU$107,Assumptions!$112:$112,Assumptions!120:120)*AU$108</f>
        <v>18.94725</v>
      </c>
      <c r="AV118" s="49">
        <f>LOOKUP(AV$107,Assumptions!$112:$112,Assumptions!120:120)*AV$108</f>
        <v>18.94725</v>
      </c>
      <c r="AW118" s="49">
        <f>LOOKUP(AW$107,Assumptions!$112:$112,Assumptions!120:120)*AW$108</f>
        <v>18.94725</v>
      </c>
      <c r="AX118" s="49">
        <f>LOOKUP(AX$107,Assumptions!$112:$112,Assumptions!120:120)*AX$108</f>
        <v>39.109500000000004</v>
      </c>
      <c r="AY118" s="49">
        <f>LOOKUP(AY$107,Assumptions!$112:$112,Assumptions!120:120)*AY$108</f>
        <v>39.109500000000004</v>
      </c>
      <c r="AZ118" s="49">
        <f>LOOKUP(AZ$107,Assumptions!$112:$112,Assumptions!120:120)*AZ$108</f>
        <v>39.109500000000004</v>
      </c>
      <c r="BA118" s="49">
        <f>LOOKUP(BA$107,Assumptions!$112:$112,Assumptions!120:120)*BA$108</f>
        <v>39.109500000000004</v>
      </c>
      <c r="BB118" s="49">
        <f>LOOKUP(BB$107,Assumptions!$112:$112,Assumptions!120:120)*BB$108</f>
        <v>39.312000000000005</v>
      </c>
      <c r="BC118" s="49">
        <f>LOOKUP(BC$107,Assumptions!$112:$112,Assumptions!120:120)*BC$108</f>
        <v>39.312000000000005</v>
      </c>
      <c r="BD118" s="49">
        <f>LOOKUP(BD$107,Assumptions!$112:$112,Assumptions!120:120)*BD$108</f>
        <v>39.312000000000005</v>
      </c>
      <c r="BE118" s="49">
        <f>LOOKUP(BE$107,Assumptions!$112:$112,Assumptions!120:120)*BE$108</f>
        <v>39.312000000000005</v>
      </c>
      <c r="BF118" s="49">
        <f>LOOKUP(BF$107,Assumptions!$112:$112,Assumptions!120:120)*BF$108</f>
        <v>41.107500000000002</v>
      </c>
      <c r="BG118" s="49">
        <f>LOOKUP(BG$107,Assumptions!$112:$112,Assumptions!120:120)*BG$108</f>
        <v>41.107500000000002</v>
      </c>
      <c r="BH118" s="49">
        <f>LOOKUP(BH$107,Assumptions!$112:$112,Assumptions!120:120)*BH$108</f>
        <v>41.107500000000002</v>
      </c>
      <c r="BI118" s="49">
        <f>LOOKUP(BI$107,Assumptions!$112:$112,Assumptions!120:120)*BI$108</f>
        <v>41.107500000000002</v>
      </c>
      <c r="BJ118" s="49">
        <f>LOOKUP(BJ$107,Assumptions!$112:$112,Assumptions!120:120)*BJ$108</f>
        <v>43.267499999999998</v>
      </c>
      <c r="BK118" s="49">
        <f>LOOKUP(BK$107,Assumptions!$112:$112,Assumptions!120:120)*BK$108</f>
        <v>43.267499999999998</v>
      </c>
      <c r="BL118" s="49">
        <f>LOOKUP(BL$107,Assumptions!$112:$112,Assumptions!120:120)*BL$108</f>
        <v>43.267499999999998</v>
      </c>
      <c r="BM118" s="49">
        <f>LOOKUP(BM$107,Assumptions!$112:$112,Assumptions!120:120)*BM$108</f>
        <v>43.267499999999998</v>
      </c>
      <c r="BN118" s="49">
        <f>LOOKUP(BN$107,Assumptions!$112:$112,Assumptions!120:120)*BN$108</f>
        <v>46.129500000000007</v>
      </c>
      <c r="BO118" s="49">
        <f>LOOKUP(BO$107,Assumptions!$112:$112,Assumptions!120:120)*BO$108</f>
        <v>46.129500000000007</v>
      </c>
      <c r="BP118" s="49">
        <f>LOOKUP(BP$107,Assumptions!$112:$112,Assumptions!120:120)*BP$108</f>
        <v>46.129500000000007</v>
      </c>
      <c r="BQ118" s="49">
        <f>LOOKUP(BQ$107,Assumptions!$112:$112,Assumptions!120:120)*BQ$108</f>
        <v>46.129500000000007</v>
      </c>
      <c r="BR118" s="49">
        <f>LOOKUP(BR$107,Assumptions!$112:$112,Assumptions!120:120)*BR$108</f>
        <v>48.829500000000003</v>
      </c>
      <c r="BS118" s="49">
        <f>LOOKUP(BS$107,Assumptions!$112:$112,Assumptions!120:120)*BS$108</f>
        <v>48.829500000000003</v>
      </c>
      <c r="BT118" s="49">
        <f>LOOKUP(BT$107,Assumptions!$112:$112,Assumptions!120:120)*BT$108</f>
        <v>48.829500000000003</v>
      </c>
      <c r="BU118" s="49">
        <f>LOOKUP(BU$107,Assumptions!$112:$112,Assumptions!120:120)*BU$108</f>
        <v>48.829500000000003</v>
      </c>
      <c r="BV118" s="49">
        <f>LOOKUP(BV$107,Assumptions!$112:$112,Assumptions!120:120)*BV$108</f>
        <v>50.652000000000008</v>
      </c>
      <c r="BW118" s="49">
        <f>LOOKUP(BW$107,Assumptions!$112:$112,Assumptions!120:120)*BW$108</f>
        <v>50.652000000000008</v>
      </c>
      <c r="BX118" s="49">
        <f>LOOKUP(BX$107,Assumptions!$112:$112,Assumptions!120:120)*BX$108</f>
        <v>50.652000000000008</v>
      </c>
      <c r="BY118" s="49">
        <f>LOOKUP(BY$107,Assumptions!$112:$112,Assumptions!120:120)*BY$108</f>
        <v>50.652000000000008</v>
      </c>
      <c r="BZ118" s="49">
        <f>LOOKUP(BZ$107,Assumptions!$112:$112,Assumptions!120:120)*BZ$108</f>
        <v>51.637500000000003</v>
      </c>
      <c r="CA118" s="49">
        <f>LOOKUP(CA$107,Assumptions!$112:$112,Assumptions!120:120)*CA$108</f>
        <v>51.637500000000003</v>
      </c>
      <c r="CB118" s="49">
        <f>LOOKUP(CB$107,Assumptions!$112:$112,Assumptions!120:120)*CB$108</f>
        <v>51.637500000000003</v>
      </c>
      <c r="CC118" s="49">
        <f>LOOKUP(CC$107,Assumptions!$112:$112,Assumptions!120:120)*CC$108</f>
        <v>51.637500000000003</v>
      </c>
      <c r="CD118" s="49">
        <f>LOOKUP(CD$107,Assumptions!$112:$112,Assumptions!120:120)*CD$108</f>
        <v>54.513000000000005</v>
      </c>
      <c r="CE118" s="49">
        <f>LOOKUP(CE$107,Assumptions!$112:$112,Assumptions!120:120)*CE$108</f>
        <v>54.513000000000005</v>
      </c>
      <c r="CF118" s="49">
        <f>LOOKUP(CF$107,Assumptions!$112:$112,Assumptions!120:120)*CF$108</f>
        <v>54.513000000000005</v>
      </c>
      <c r="CG118" s="49">
        <f>LOOKUP(CG$107,Assumptions!$112:$112,Assumptions!120:120)*CG$108</f>
        <v>54.513000000000005</v>
      </c>
      <c r="CH118" s="49">
        <f>LOOKUP(CH$107,Assumptions!$112:$112,Assumptions!120:120)*CH$108</f>
        <v>56.375999999999998</v>
      </c>
      <c r="CI118" s="49">
        <f>LOOKUP(CI$107,Assumptions!$112:$112,Assumptions!120:120)*CI$108</f>
        <v>56.375999999999998</v>
      </c>
      <c r="CJ118" s="49">
        <f>LOOKUP(CJ$107,Assumptions!$112:$112,Assumptions!120:120)*CJ$108</f>
        <v>56.375999999999998</v>
      </c>
      <c r="CK118" s="49">
        <f>LOOKUP(CK$107,Assumptions!$112:$112,Assumptions!120:120)*CK$108</f>
        <v>56.375999999999998</v>
      </c>
      <c r="CL118" s="49">
        <f>LOOKUP(CL$107,Assumptions!$112:$112,Assumptions!120:120)*CL$108</f>
        <v>60.493500000000004</v>
      </c>
      <c r="CM118" s="49">
        <f>LOOKUP(CM$107,Assumptions!$112:$112,Assumptions!120:120)*CM$108</f>
        <v>60.493500000000004</v>
      </c>
      <c r="CN118" s="49">
        <f>LOOKUP(CN$107,Assumptions!$112:$112,Assumptions!120:120)*CN$108</f>
        <v>60.493500000000004</v>
      </c>
      <c r="CO118" s="49">
        <f>LOOKUP(CO$107,Assumptions!$112:$112,Assumptions!120:120)*CO$108</f>
        <v>60.493500000000004</v>
      </c>
      <c r="CP118" s="49">
        <f>LOOKUP(CP$107,Assumptions!$112:$112,Assumptions!120:120)*CP$108</f>
        <v>63.922500000000007</v>
      </c>
      <c r="CQ118" s="49">
        <f>LOOKUP(CQ$107,Assumptions!$112:$112,Assumptions!120:120)*CQ$108</f>
        <v>63.922500000000007</v>
      </c>
      <c r="CR118" s="49">
        <f>LOOKUP(CR$107,Assumptions!$112:$112,Assumptions!120:120)*CR$108</f>
        <v>63.922500000000007</v>
      </c>
      <c r="CS118" s="49">
        <f>LOOKUP(CS$107,Assumptions!$112:$112,Assumptions!120:120)*CS$108</f>
        <v>63.922500000000007</v>
      </c>
      <c r="CT118" s="49">
        <f>LOOKUP(CT$107,Assumptions!$112:$112,Assumptions!120:120)*CT$108</f>
        <v>67.715999999999994</v>
      </c>
      <c r="CU118" s="49">
        <f>LOOKUP(CU$107,Assumptions!$112:$112,Assumptions!120:120)*CU$108</f>
        <v>67.715999999999994</v>
      </c>
      <c r="CV118" s="49">
        <f>LOOKUP(CV$107,Assumptions!$112:$112,Assumptions!120:120)*CV$108</f>
        <v>67.715999999999994</v>
      </c>
      <c r="CW118" s="49">
        <f>LOOKUP(CW$107,Assumptions!$112:$112,Assumptions!120:120)*CW$108</f>
        <v>67.715999999999994</v>
      </c>
      <c r="CX118" s="49">
        <f>LOOKUP(CX$107,Assumptions!$112:$112,Assumptions!120:120)*CX$108</f>
        <v>71.320499999999996</v>
      </c>
      <c r="CY118" s="49">
        <f>LOOKUP(CY$107,Assumptions!$112:$112,Assumptions!120:120)*CY$108</f>
        <v>71.320499999999996</v>
      </c>
      <c r="CZ118" s="49">
        <f>LOOKUP(CZ$107,Assumptions!$112:$112,Assumptions!120:120)*CZ$108</f>
        <v>71.320499999999996</v>
      </c>
      <c r="DA118" s="49">
        <f>LOOKUP(DA$107,Assumptions!$112:$112,Assumptions!120:120)*DA$108</f>
        <v>71.320499999999996</v>
      </c>
      <c r="DB118" s="49">
        <f>LOOKUP(DB$107,Assumptions!$112:$112,Assumptions!120:120)*DB$108</f>
        <v>72.373500000000007</v>
      </c>
      <c r="DC118" s="49">
        <f>LOOKUP(DC$107,Assumptions!$112:$112,Assumptions!120:120)*DC$108</f>
        <v>72.373500000000007</v>
      </c>
      <c r="DD118" s="49">
        <f>LOOKUP(DD$107,Assumptions!$112:$112,Assumptions!120:120)*DD$108</f>
        <v>72.373500000000007</v>
      </c>
      <c r="DE118" s="49">
        <f>LOOKUP(DE$107,Assumptions!$112:$112,Assumptions!120:120)*DE$108</f>
        <v>72.373500000000007</v>
      </c>
      <c r="DF118" s="49">
        <f>LOOKUP(DF$107,Assumptions!$112:$112,Assumptions!120:120)*DF$108</f>
        <v>72.954000000000008</v>
      </c>
      <c r="DG118" s="49">
        <f>LOOKUP(DG$107,Assumptions!$112:$112,Assumptions!120:120)*DG$108</f>
        <v>72.954000000000008</v>
      </c>
      <c r="DH118" s="49">
        <f>LOOKUP(DH$107,Assumptions!$112:$112,Assumptions!120:120)*DH$108</f>
        <v>72.954000000000008</v>
      </c>
      <c r="DI118" s="49">
        <f>LOOKUP(DI$107,Assumptions!$112:$112,Assumptions!120:120)*DI$108</f>
        <v>72.954000000000008</v>
      </c>
      <c r="DJ118" s="49">
        <f>LOOKUP(DJ$107,Assumptions!$112:$112,Assumptions!120:120)*DJ$108</f>
        <v>73.602000000000004</v>
      </c>
      <c r="DK118" s="49">
        <f>LOOKUP(DK$107,Assumptions!$112:$112,Assumptions!120:120)*DK$108</f>
        <v>73.602000000000004</v>
      </c>
      <c r="DL118" s="49">
        <f>LOOKUP(DL$107,Assumptions!$112:$112,Assumptions!120:120)*DL$108</f>
        <v>73.602000000000004</v>
      </c>
      <c r="DM118" s="49">
        <f>LOOKUP(DM$107,Assumptions!$112:$112,Assumptions!120:120)*DM$108</f>
        <v>73.602000000000004</v>
      </c>
      <c r="DN118" s="49">
        <f>LOOKUP(DN$107,Assumptions!$112:$112,Assumptions!120:120)*DN$108</f>
        <v>74.763000000000005</v>
      </c>
      <c r="DO118" s="49">
        <f>LOOKUP(DO$107,Assumptions!$112:$112,Assumptions!120:120)*DO$108</f>
        <v>74.763000000000005</v>
      </c>
      <c r="DP118" s="49">
        <f>LOOKUP(DP$107,Assumptions!$112:$112,Assumptions!120:120)*DP$108</f>
        <v>74.763000000000005</v>
      </c>
      <c r="DQ118" s="49">
        <f>LOOKUP(DQ$107,Assumptions!$112:$112,Assumptions!120:120)*DQ$108</f>
        <v>74.763000000000005</v>
      </c>
    </row>
    <row r="119" spans="4:121" x14ac:dyDescent="0.35">
      <c r="E119" s="20" t="s">
        <v>43</v>
      </c>
      <c r="F119" s="20" t="s">
        <v>161</v>
      </c>
      <c r="K119" s="49">
        <f>LOOKUP(K$107,Assumptions!$112:$112,Assumptions!121:121)*K$108</f>
        <v>29.686499999999999</v>
      </c>
      <c r="L119" s="49">
        <f>LOOKUP(L$107,Assumptions!$112:$112,Assumptions!121:121)*L$108</f>
        <v>29.686499999999999</v>
      </c>
      <c r="M119" s="49">
        <f>LOOKUP(M$107,Assumptions!$112:$112,Assumptions!121:121)*M$108</f>
        <v>29.686499999999999</v>
      </c>
      <c r="N119" s="49">
        <f>LOOKUP(N$107,Assumptions!$112:$112,Assumptions!121:121)*N$108</f>
        <v>29.686499999999999</v>
      </c>
      <c r="O119" s="49">
        <f>LOOKUP(O$107,Assumptions!$112:$112,Assumptions!121:121)*O$108</f>
        <v>29.686499999999999</v>
      </c>
      <c r="P119" s="49">
        <f>LOOKUP(P$107,Assumptions!$112:$112,Assumptions!121:121)*P$108</f>
        <v>29.686499999999999</v>
      </c>
      <c r="Q119" s="49">
        <f>LOOKUP(Q$107,Assumptions!$112:$112,Assumptions!121:121)*Q$108</f>
        <v>29.686499999999999</v>
      </c>
      <c r="R119" s="49">
        <f>LOOKUP(R$107,Assumptions!$112:$112,Assumptions!121:121)*R$108</f>
        <v>29.686499999999999</v>
      </c>
      <c r="S119" s="49">
        <f>LOOKUP(S$107,Assumptions!$112:$112,Assumptions!121:121)*S$108</f>
        <v>29.686499999999999</v>
      </c>
      <c r="T119" s="49">
        <f>LOOKUP(T$107,Assumptions!$112:$112,Assumptions!121:121)*T$108</f>
        <v>29.686499999999999</v>
      </c>
      <c r="U119" s="49">
        <f>LOOKUP(U$107,Assumptions!$112:$112,Assumptions!121:121)*U$108</f>
        <v>29.686499999999999</v>
      </c>
      <c r="V119" s="49">
        <f>LOOKUP(V$107,Assumptions!$112:$112,Assumptions!121:121)*V$108</f>
        <v>29.686499999999999</v>
      </c>
      <c r="W119" s="49">
        <f>LOOKUP(W$107,Assumptions!$112:$112,Assumptions!121:121)*W$108</f>
        <v>29.686499999999999</v>
      </c>
      <c r="X119" s="49">
        <f>LOOKUP(X$107,Assumptions!$112:$112,Assumptions!121:121)*X$108</f>
        <v>29.686499999999999</v>
      </c>
      <c r="Y119" s="49">
        <f>LOOKUP(Y$107,Assumptions!$112:$112,Assumptions!121:121)*Y$108</f>
        <v>29.686499999999999</v>
      </c>
      <c r="Z119" s="49">
        <f>LOOKUP(Z$107,Assumptions!$112:$112,Assumptions!121:121)*Z$108</f>
        <v>29.686499999999999</v>
      </c>
      <c r="AA119" s="49">
        <f>LOOKUP(AA$107,Assumptions!$112:$112,Assumptions!121:121)*AA$108</f>
        <v>29.686499999999999</v>
      </c>
      <c r="AB119" s="49">
        <f>LOOKUP(AB$107,Assumptions!$112:$112,Assumptions!121:121)*AB$108</f>
        <v>29.686499999999999</v>
      </c>
      <c r="AC119" s="49">
        <f>LOOKUP(AC$107,Assumptions!$112:$112,Assumptions!121:121)*AC$108</f>
        <v>29.686499999999999</v>
      </c>
      <c r="AD119" s="49">
        <f>LOOKUP(AD$107,Assumptions!$112:$112,Assumptions!121:121)*AD$108</f>
        <v>30.699000000000002</v>
      </c>
      <c r="AE119" s="49">
        <f>LOOKUP(AE$107,Assumptions!$112:$112,Assumptions!121:121)*AE$108</f>
        <v>30.699000000000002</v>
      </c>
      <c r="AF119" s="49">
        <f>LOOKUP(AF$107,Assumptions!$112:$112,Assumptions!121:121)*AF$108</f>
        <v>30.699000000000002</v>
      </c>
      <c r="AG119" s="49">
        <f>LOOKUP(AG$107,Assumptions!$112:$112,Assumptions!121:121)*AG$108</f>
        <v>30.699000000000002</v>
      </c>
      <c r="AH119" s="49">
        <f>LOOKUP(AH$107,Assumptions!$112:$112,Assumptions!121:121)*AH$108</f>
        <v>1.5700500000000002</v>
      </c>
      <c r="AI119" s="49">
        <f>LOOKUP(AI$107,Assumptions!$112:$112,Assumptions!121:121)*AI$108</f>
        <v>1.5700500000000002</v>
      </c>
      <c r="AJ119" s="49">
        <f>LOOKUP(AJ$107,Assumptions!$112:$112,Assumptions!121:121)*AJ$108</f>
        <v>1.5700500000000002</v>
      </c>
      <c r="AK119" s="49">
        <f>LOOKUP(AK$107,Assumptions!$112:$112,Assumptions!121:121)*AK$108</f>
        <v>1.5700500000000002</v>
      </c>
      <c r="AL119" s="49">
        <f>LOOKUP(AL$107,Assumptions!$112:$112,Assumptions!121:121)*AL$108</f>
        <v>4.7304000000000004</v>
      </c>
      <c r="AM119" s="49">
        <f>LOOKUP(AM$107,Assumptions!$112:$112,Assumptions!121:121)*AM$108</f>
        <v>4.7304000000000004</v>
      </c>
      <c r="AN119" s="49">
        <f>LOOKUP(AN$107,Assumptions!$112:$112,Assumptions!121:121)*AN$108</f>
        <v>4.7304000000000004</v>
      </c>
      <c r="AO119" s="49">
        <f>LOOKUP(AO$107,Assumptions!$112:$112,Assumptions!121:121)*AO$108</f>
        <v>4.7304000000000004</v>
      </c>
      <c r="AP119" s="49">
        <f>LOOKUP(AP$107,Assumptions!$112:$112,Assumptions!121:121)*AP$108</f>
        <v>10.153350000000001</v>
      </c>
      <c r="AQ119" s="49">
        <f>LOOKUP(AQ$107,Assumptions!$112:$112,Assumptions!121:121)*AQ$108</f>
        <v>10.153350000000001</v>
      </c>
      <c r="AR119" s="49">
        <f>LOOKUP(AR$107,Assumptions!$112:$112,Assumptions!121:121)*AR$108</f>
        <v>10.153350000000001</v>
      </c>
      <c r="AS119" s="49">
        <f>LOOKUP(AS$107,Assumptions!$112:$112,Assumptions!121:121)*AS$108</f>
        <v>10.153350000000001</v>
      </c>
      <c r="AT119" s="49">
        <f>LOOKUP(AT$107,Assumptions!$112:$112,Assumptions!121:121)*AT$108</f>
        <v>22.736699999999999</v>
      </c>
      <c r="AU119" s="49">
        <f>LOOKUP(AU$107,Assumptions!$112:$112,Assumptions!121:121)*AU$108</f>
        <v>22.736699999999999</v>
      </c>
      <c r="AV119" s="49">
        <f>LOOKUP(AV$107,Assumptions!$112:$112,Assumptions!121:121)*AV$108</f>
        <v>22.736699999999999</v>
      </c>
      <c r="AW119" s="49">
        <f>LOOKUP(AW$107,Assumptions!$112:$112,Assumptions!121:121)*AW$108</f>
        <v>22.736699999999999</v>
      </c>
      <c r="AX119" s="49">
        <f>LOOKUP(AX$107,Assumptions!$112:$112,Assumptions!121:121)*AX$108</f>
        <v>39.109500000000004</v>
      </c>
      <c r="AY119" s="49">
        <f>LOOKUP(AY$107,Assumptions!$112:$112,Assumptions!121:121)*AY$108</f>
        <v>39.109500000000004</v>
      </c>
      <c r="AZ119" s="49">
        <f>LOOKUP(AZ$107,Assumptions!$112:$112,Assumptions!121:121)*AZ$108</f>
        <v>39.109500000000004</v>
      </c>
      <c r="BA119" s="49">
        <f>LOOKUP(BA$107,Assumptions!$112:$112,Assumptions!121:121)*BA$108</f>
        <v>39.109500000000004</v>
      </c>
      <c r="BB119" s="49">
        <f>LOOKUP(BB$107,Assumptions!$112:$112,Assumptions!121:121)*BB$108</f>
        <v>39.312000000000005</v>
      </c>
      <c r="BC119" s="49">
        <f>LOOKUP(BC$107,Assumptions!$112:$112,Assumptions!121:121)*BC$108</f>
        <v>39.312000000000005</v>
      </c>
      <c r="BD119" s="49">
        <f>LOOKUP(BD$107,Assumptions!$112:$112,Assumptions!121:121)*BD$108</f>
        <v>39.312000000000005</v>
      </c>
      <c r="BE119" s="49">
        <f>LOOKUP(BE$107,Assumptions!$112:$112,Assumptions!121:121)*BE$108</f>
        <v>39.312000000000005</v>
      </c>
      <c r="BF119" s="49">
        <f>LOOKUP(BF$107,Assumptions!$112:$112,Assumptions!121:121)*BF$108</f>
        <v>41.107500000000002</v>
      </c>
      <c r="BG119" s="49">
        <f>LOOKUP(BG$107,Assumptions!$112:$112,Assumptions!121:121)*BG$108</f>
        <v>41.107500000000002</v>
      </c>
      <c r="BH119" s="49">
        <f>LOOKUP(BH$107,Assumptions!$112:$112,Assumptions!121:121)*BH$108</f>
        <v>41.107500000000002</v>
      </c>
      <c r="BI119" s="49">
        <f>LOOKUP(BI$107,Assumptions!$112:$112,Assumptions!121:121)*BI$108</f>
        <v>41.107500000000002</v>
      </c>
      <c r="BJ119" s="49">
        <f>LOOKUP(BJ$107,Assumptions!$112:$112,Assumptions!121:121)*BJ$108</f>
        <v>43.267499999999998</v>
      </c>
      <c r="BK119" s="49">
        <f>LOOKUP(BK$107,Assumptions!$112:$112,Assumptions!121:121)*BK$108</f>
        <v>43.267499999999998</v>
      </c>
      <c r="BL119" s="49">
        <f>LOOKUP(BL$107,Assumptions!$112:$112,Assumptions!121:121)*BL$108</f>
        <v>43.267499999999998</v>
      </c>
      <c r="BM119" s="49">
        <f>LOOKUP(BM$107,Assumptions!$112:$112,Assumptions!121:121)*BM$108</f>
        <v>43.267499999999998</v>
      </c>
      <c r="BN119" s="49">
        <f>LOOKUP(BN$107,Assumptions!$112:$112,Assumptions!121:121)*BN$108</f>
        <v>46.129500000000007</v>
      </c>
      <c r="BO119" s="49">
        <f>LOOKUP(BO$107,Assumptions!$112:$112,Assumptions!121:121)*BO$108</f>
        <v>46.129500000000007</v>
      </c>
      <c r="BP119" s="49">
        <f>LOOKUP(BP$107,Assumptions!$112:$112,Assumptions!121:121)*BP$108</f>
        <v>46.129500000000007</v>
      </c>
      <c r="BQ119" s="49">
        <f>LOOKUP(BQ$107,Assumptions!$112:$112,Assumptions!121:121)*BQ$108</f>
        <v>46.129500000000007</v>
      </c>
      <c r="BR119" s="49">
        <f>LOOKUP(BR$107,Assumptions!$112:$112,Assumptions!121:121)*BR$108</f>
        <v>48.829500000000003</v>
      </c>
      <c r="BS119" s="49">
        <f>LOOKUP(BS$107,Assumptions!$112:$112,Assumptions!121:121)*BS$108</f>
        <v>48.829500000000003</v>
      </c>
      <c r="BT119" s="49">
        <f>LOOKUP(BT$107,Assumptions!$112:$112,Assumptions!121:121)*BT$108</f>
        <v>48.829500000000003</v>
      </c>
      <c r="BU119" s="49">
        <f>LOOKUP(BU$107,Assumptions!$112:$112,Assumptions!121:121)*BU$108</f>
        <v>48.829500000000003</v>
      </c>
      <c r="BV119" s="49">
        <f>LOOKUP(BV$107,Assumptions!$112:$112,Assumptions!121:121)*BV$108</f>
        <v>50.652000000000008</v>
      </c>
      <c r="BW119" s="49">
        <f>LOOKUP(BW$107,Assumptions!$112:$112,Assumptions!121:121)*BW$108</f>
        <v>50.652000000000008</v>
      </c>
      <c r="BX119" s="49">
        <f>LOOKUP(BX$107,Assumptions!$112:$112,Assumptions!121:121)*BX$108</f>
        <v>50.652000000000008</v>
      </c>
      <c r="BY119" s="49">
        <f>LOOKUP(BY$107,Assumptions!$112:$112,Assumptions!121:121)*BY$108</f>
        <v>50.652000000000008</v>
      </c>
      <c r="BZ119" s="49">
        <f>LOOKUP(BZ$107,Assumptions!$112:$112,Assumptions!121:121)*BZ$108</f>
        <v>51.637500000000003</v>
      </c>
      <c r="CA119" s="49">
        <f>LOOKUP(CA$107,Assumptions!$112:$112,Assumptions!121:121)*CA$108</f>
        <v>51.637500000000003</v>
      </c>
      <c r="CB119" s="49">
        <f>LOOKUP(CB$107,Assumptions!$112:$112,Assumptions!121:121)*CB$108</f>
        <v>51.637500000000003</v>
      </c>
      <c r="CC119" s="49">
        <f>LOOKUP(CC$107,Assumptions!$112:$112,Assumptions!121:121)*CC$108</f>
        <v>51.637500000000003</v>
      </c>
      <c r="CD119" s="49">
        <f>LOOKUP(CD$107,Assumptions!$112:$112,Assumptions!121:121)*CD$108</f>
        <v>54.513000000000005</v>
      </c>
      <c r="CE119" s="49">
        <f>LOOKUP(CE$107,Assumptions!$112:$112,Assumptions!121:121)*CE$108</f>
        <v>54.513000000000005</v>
      </c>
      <c r="CF119" s="49">
        <f>LOOKUP(CF$107,Assumptions!$112:$112,Assumptions!121:121)*CF$108</f>
        <v>54.513000000000005</v>
      </c>
      <c r="CG119" s="49">
        <f>LOOKUP(CG$107,Assumptions!$112:$112,Assumptions!121:121)*CG$108</f>
        <v>54.513000000000005</v>
      </c>
      <c r="CH119" s="49">
        <f>LOOKUP(CH$107,Assumptions!$112:$112,Assumptions!121:121)*CH$108</f>
        <v>56.375999999999998</v>
      </c>
      <c r="CI119" s="49">
        <f>LOOKUP(CI$107,Assumptions!$112:$112,Assumptions!121:121)*CI$108</f>
        <v>56.375999999999998</v>
      </c>
      <c r="CJ119" s="49">
        <f>LOOKUP(CJ$107,Assumptions!$112:$112,Assumptions!121:121)*CJ$108</f>
        <v>56.375999999999998</v>
      </c>
      <c r="CK119" s="49">
        <f>LOOKUP(CK$107,Assumptions!$112:$112,Assumptions!121:121)*CK$108</f>
        <v>56.375999999999998</v>
      </c>
      <c r="CL119" s="49">
        <f>LOOKUP(CL$107,Assumptions!$112:$112,Assumptions!121:121)*CL$108</f>
        <v>60.493500000000004</v>
      </c>
      <c r="CM119" s="49">
        <f>LOOKUP(CM$107,Assumptions!$112:$112,Assumptions!121:121)*CM$108</f>
        <v>60.493500000000004</v>
      </c>
      <c r="CN119" s="49">
        <f>LOOKUP(CN$107,Assumptions!$112:$112,Assumptions!121:121)*CN$108</f>
        <v>60.493500000000004</v>
      </c>
      <c r="CO119" s="49">
        <f>LOOKUP(CO$107,Assumptions!$112:$112,Assumptions!121:121)*CO$108</f>
        <v>60.493500000000004</v>
      </c>
      <c r="CP119" s="49">
        <f>LOOKUP(CP$107,Assumptions!$112:$112,Assumptions!121:121)*CP$108</f>
        <v>63.922500000000007</v>
      </c>
      <c r="CQ119" s="49">
        <f>LOOKUP(CQ$107,Assumptions!$112:$112,Assumptions!121:121)*CQ$108</f>
        <v>63.922500000000007</v>
      </c>
      <c r="CR119" s="49">
        <f>LOOKUP(CR$107,Assumptions!$112:$112,Assumptions!121:121)*CR$108</f>
        <v>63.922500000000007</v>
      </c>
      <c r="CS119" s="49">
        <f>LOOKUP(CS$107,Assumptions!$112:$112,Assumptions!121:121)*CS$108</f>
        <v>63.922500000000007</v>
      </c>
      <c r="CT119" s="49">
        <f>LOOKUP(CT$107,Assumptions!$112:$112,Assumptions!121:121)*CT$108</f>
        <v>67.715999999999994</v>
      </c>
      <c r="CU119" s="49">
        <f>LOOKUP(CU$107,Assumptions!$112:$112,Assumptions!121:121)*CU$108</f>
        <v>67.715999999999994</v>
      </c>
      <c r="CV119" s="49">
        <f>LOOKUP(CV$107,Assumptions!$112:$112,Assumptions!121:121)*CV$108</f>
        <v>67.715999999999994</v>
      </c>
      <c r="CW119" s="49">
        <f>LOOKUP(CW$107,Assumptions!$112:$112,Assumptions!121:121)*CW$108</f>
        <v>67.715999999999994</v>
      </c>
      <c r="CX119" s="49">
        <f>LOOKUP(CX$107,Assumptions!$112:$112,Assumptions!121:121)*CX$108</f>
        <v>71.320499999999996</v>
      </c>
      <c r="CY119" s="49">
        <f>LOOKUP(CY$107,Assumptions!$112:$112,Assumptions!121:121)*CY$108</f>
        <v>71.320499999999996</v>
      </c>
      <c r="CZ119" s="49">
        <f>LOOKUP(CZ$107,Assumptions!$112:$112,Assumptions!121:121)*CZ$108</f>
        <v>71.320499999999996</v>
      </c>
      <c r="DA119" s="49">
        <f>LOOKUP(DA$107,Assumptions!$112:$112,Assumptions!121:121)*DA$108</f>
        <v>71.320499999999996</v>
      </c>
      <c r="DB119" s="49">
        <f>LOOKUP(DB$107,Assumptions!$112:$112,Assumptions!121:121)*DB$108</f>
        <v>72.373500000000007</v>
      </c>
      <c r="DC119" s="49">
        <f>LOOKUP(DC$107,Assumptions!$112:$112,Assumptions!121:121)*DC$108</f>
        <v>72.373500000000007</v>
      </c>
      <c r="DD119" s="49">
        <f>LOOKUP(DD$107,Assumptions!$112:$112,Assumptions!121:121)*DD$108</f>
        <v>72.373500000000007</v>
      </c>
      <c r="DE119" s="49">
        <f>LOOKUP(DE$107,Assumptions!$112:$112,Assumptions!121:121)*DE$108</f>
        <v>72.373500000000007</v>
      </c>
      <c r="DF119" s="49">
        <f>LOOKUP(DF$107,Assumptions!$112:$112,Assumptions!121:121)*DF$108</f>
        <v>72.954000000000008</v>
      </c>
      <c r="DG119" s="49">
        <f>LOOKUP(DG$107,Assumptions!$112:$112,Assumptions!121:121)*DG$108</f>
        <v>72.954000000000008</v>
      </c>
      <c r="DH119" s="49">
        <f>LOOKUP(DH$107,Assumptions!$112:$112,Assumptions!121:121)*DH$108</f>
        <v>72.954000000000008</v>
      </c>
      <c r="DI119" s="49">
        <f>LOOKUP(DI$107,Assumptions!$112:$112,Assumptions!121:121)*DI$108</f>
        <v>72.954000000000008</v>
      </c>
      <c r="DJ119" s="49">
        <f>LOOKUP(DJ$107,Assumptions!$112:$112,Assumptions!121:121)*DJ$108</f>
        <v>73.602000000000004</v>
      </c>
      <c r="DK119" s="49">
        <f>LOOKUP(DK$107,Assumptions!$112:$112,Assumptions!121:121)*DK$108</f>
        <v>73.602000000000004</v>
      </c>
      <c r="DL119" s="49">
        <f>LOOKUP(DL$107,Assumptions!$112:$112,Assumptions!121:121)*DL$108</f>
        <v>73.602000000000004</v>
      </c>
      <c r="DM119" s="49">
        <f>LOOKUP(DM$107,Assumptions!$112:$112,Assumptions!121:121)*DM$108</f>
        <v>73.602000000000004</v>
      </c>
      <c r="DN119" s="49">
        <f>LOOKUP(DN$107,Assumptions!$112:$112,Assumptions!121:121)*DN$108</f>
        <v>74.763000000000005</v>
      </c>
      <c r="DO119" s="49">
        <f>LOOKUP(DO$107,Assumptions!$112:$112,Assumptions!121:121)*DO$108</f>
        <v>74.763000000000005</v>
      </c>
      <c r="DP119" s="49">
        <f>LOOKUP(DP$107,Assumptions!$112:$112,Assumptions!121:121)*DP$108</f>
        <v>74.763000000000005</v>
      </c>
      <c r="DQ119" s="49">
        <f>LOOKUP(DQ$107,Assumptions!$112:$112,Assumptions!121:121)*DQ$108</f>
        <v>74.763000000000005</v>
      </c>
    </row>
    <row r="120" spans="4:121" x14ac:dyDescent="0.35">
      <c r="E120" s="20" t="s">
        <v>44</v>
      </c>
      <c r="F120" s="20" t="s">
        <v>161</v>
      </c>
      <c r="K120" s="49">
        <f>LOOKUP(K$107,Assumptions!$112:$112,Assumptions!122:122)*K$108</f>
        <v>29.686499999999999</v>
      </c>
      <c r="L120" s="49">
        <f>LOOKUP(L$107,Assumptions!$112:$112,Assumptions!122:122)*L$108</f>
        <v>29.686499999999999</v>
      </c>
      <c r="M120" s="49">
        <f>LOOKUP(M$107,Assumptions!$112:$112,Assumptions!122:122)*M$108</f>
        <v>29.686499999999999</v>
      </c>
      <c r="N120" s="49">
        <f>LOOKUP(N$107,Assumptions!$112:$112,Assumptions!122:122)*N$108</f>
        <v>29.686499999999999</v>
      </c>
      <c r="O120" s="49">
        <f>LOOKUP(O$107,Assumptions!$112:$112,Assumptions!122:122)*O$108</f>
        <v>29.686499999999999</v>
      </c>
      <c r="P120" s="49">
        <f>LOOKUP(P$107,Assumptions!$112:$112,Assumptions!122:122)*P$108</f>
        <v>29.686499999999999</v>
      </c>
      <c r="Q120" s="49">
        <f>LOOKUP(Q$107,Assumptions!$112:$112,Assumptions!122:122)*Q$108</f>
        <v>29.686499999999999</v>
      </c>
      <c r="R120" s="49">
        <f>LOOKUP(R$107,Assumptions!$112:$112,Assumptions!122:122)*R$108</f>
        <v>29.686499999999999</v>
      </c>
      <c r="S120" s="49">
        <f>LOOKUP(S$107,Assumptions!$112:$112,Assumptions!122:122)*S$108</f>
        <v>29.686499999999999</v>
      </c>
      <c r="T120" s="49">
        <f>LOOKUP(T$107,Assumptions!$112:$112,Assumptions!122:122)*T$108</f>
        <v>29.686499999999999</v>
      </c>
      <c r="U120" s="49">
        <f>LOOKUP(U$107,Assumptions!$112:$112,Assumptions!122:122)*U$108</f>
        <v>29.686499999999999</v>
      </c>
      <c r="V120" s="49">
        <f>LOOKUP(V$107,Assumptions!$112:$112,Assumptions!122:122)*V$108</f>
        <v>29.686499999999999</v>
      </c>
      <c r="W120" s="49">
        <f>LOOKUP(W$107,Assumptions!$112:$112,Assumptions!122:122)*W$108</f>
        <v>29.686499999999999</v>
      </c>
      <c r="X120" s="49">
        <f>LOOKUP(X$107,Assumptions!$112:$112,Assumptions!122:122)*X$108</f>
        <v>29.686499999999999</v>
      </c>
      <c r="Y120" s="49">
        <f>LOOKUP(Y$107,Assumptions!$112:$112,Assumptions!122:122)*Y$108</f>
        <v>29.686499999999999</v>
      </c>
      <c r="Z120" s="49">
        <f>LOOKUP(Z$107,Assumptions!$112:$112,Assumptions!122:122)*Z$108</f>
        <v>29.686499999999999</v>
      </c>
      <c r="AA120" s="49">
        <f>LOOKUP(AA$107,Assumptions!$112:$112,Assumptions!122:122)*AA$108</f>
        <v>29.686499999999999</v>
      </c>
      <c r="AB120" s="49">
        <f>LOOKUP(AB$107,Assumptions!$112:$112,Assumptions!122:122)*AB$108</f>
        <v>29.686499999999999</v>
      </c>
      <c r="AC120" s="49">
        <f>LOOKUP(AC$107,Assumptions!$112:$112,Assumptions!122:122)*AC$108</f>
        <v>29.686499999999999</v>
      </c>
      <c r="AD120" s="49">
        <f>LOOKUP(AD$107,Assumptions!$112:$112,Assumptions!122:122)*AD$108</f>
        <v>30.699000000000002</v>
      </c>
      <c r="AE120" s="49">
        <f>LOOKUP(AE$107,Assumptions!$112:$112,Assumptions!122:122)*AE$108</f>
        <v>30.699000000000002</v>
      </c>
      <c r="AF120" s="49">
        <f>LOOKUP(AF$107,Assumptions!$112:$112,Assumptions!122:122)*AF$108</f>
        <v>30.699000000000002</v>
      </c>
      <c r="AG120" s="49">
        <f>LOOKUP(AG$107,Assumptions!$112:$112,Assumptions!122:122)*AG$108</f>
        <v>30.699000000000002</v>
      </c>
      <c r="AH120" s="49">
        <f>LOOKUP(AH$107,Assumptions!$112:$112,Assumptions!122:122)*AH$108</f>
        <v>3.1401000000000003</v>
      </c>
      <c r="AI120" s="49">
        <f>LOOKUP(AI$107,Assumptions!$112:$112,Assumptions!122:122)*AI$108</f>
        <v>3.1401000000000003</v>
      </c>
      <c r="AJ120" s="49">
        <f>LOOKUP(AJ$107,Assumptions!$112:$112,Assumptions!122:122)*AJ$108</f>
        <v>3.1401000000000003</v>
      </c>
      <c r="AK120" s="49">
        <f>LOOKUP(AK$107,Assumptions!$112:$112,Assumptions!122:122)*AK$108</f>
        <v>3.1401000000000003</v>
      </c>
      <c r="AL120" s="49">
        <f>LOOKUP(AL$107,Assumptions!$112:$112,Assumptions!122:122)*AL$108</f>
        <v>4.7304000000000004</v>
      </c>
      <c r="AM120" s="49">
        <f>LOOKUP(AM$107,Assumptions!$112:$112,Assumptions!122:122)*AM$108</f>
        <v>4.7304000000000004</v>
      </c>
      <c r="AN120" s="49">
        <f>LOOKUP(AN$107,Assumptions!$112:$112,Assumptions!122:122)*AN$108</f>
        <v>4.7304000000000004</v>
      </c>
      <c r="AO120" s="49">
        <f>LOOKUP(AO$107,Assumptions!$112:$112,Assumptions!122:122)*AO$108</f>
        <v>4.7304000000000004</v>
      </c>
      <c r="AP120" s="49">
        <f>LOOKUP(AP$107,Assumptions!$112:$112,Assumptions!122:122)*AP$108</f>
        <v>10.153350000000001</v>
      </c>
      <c r="AQ120" s="49">
        <f>LOOKUP(AQ$107,Assumptions!$112:$112,Assumptions!122:122)*AQ$108</f>
        <v>10.153350000000001</v>
      </c>
      <c r="AR120" s="49">
        <f>LOOKUP(AR$107,Assumptions!$112:$112,Assumptions!122:122)*AR$108</f>
        <v>10.153350000000001</v>
      </c>
      <c r="AS120" s="49">
        <f>LOOKUP(AS$107,Assumptions!$112:$112,Assumptions!122:122)*AS$108</f>
        <v>10.153350000000001</v>
      </c>
      <c r="AT120" s="49">
        <f>LOOKUP(AT$107,Assumptions!$112:$112,Assumptions!122:122)*AT$108</f>
        <v>26.526149999999998</v>
      </c>
      <c r="AU120" s="49">
        <f>LOOKUP(AU$107,Assumptions!$112:$112,Assumptions!122:122)*AU$108</f>
        <v>26.526149999999998</v>
      </c>
      <c r="AV120" s="49">
        <f>LOOKUP(AV$107,Assumptions!$112:$112,Assumptions!122:122)*AV$108</f>
        <v>26.526149999999998</v>
      </c>
      <c r="AW120" s="49">
        <f>LOOKUP(AW$107,Assumptions!$112:$112,Assumptions!122:122)*AW$108</f>
        <v>26.526149999999998</v>
      </c>
      <c r="AX120" s="49">
        <f>LOOKUP(AX$107,Assumptions!$112:$112,Assumptions!122:122)*AX$108</f>
        <v>39.109500000000004</v>
      </c>
      <c r="AY120" s="49">
        <f>LOOKUP(AY$107,Assumptions!$112:$112,Assumptions!122:122)*AY$108</f>
        <v>39.109500000000004</v>
      </c>
      <c r="AZ120" s="49">
        <f>LOOKUP(AZ$107,Assumptions!$112:$112,Assumptions!122:122)*AZ$108</f>
        <v>39.109500000000004</v>
      </c>
      <c r="BA120" s="49">
        <f>LOOKUP(BA$107,Assumptions!$112:$112,Assumptions!122:122)*BA$108</f>
        <v>39.109500000000004</v>
      </c>
      <c r="BB120" s="49">
        <f>LOOKUP(BB$107,Assumptions!$112:$112,Assumptions!122:122)*BB$108</f>
        <v>39.312000000000005</v>
      </c>
      <c r="BC120" s="49">
        <f>LOOKUP(BC$107,Assumptions!$112:$112,Assumptions!122:122)*BC$108</f>
        <v>39.312000000000005</v>
      </c>
      <c r="BD120" s="49">
        <f>LOOKUP(BD$107,Assumptions!$112:$112,Assumptions!122:122)*BD$108</f>
        <v>39.312000000000005</v>
      </c>
      <c r="BE120" s="49">
        <f>LOOKUP(BE$107,Assumptions!$112:$112,Assumptions!122:122)*BE$108</f>
        <v>39.312000000000005</v>
      </c>
      <c r="BF120" s="49">
        <f>LOOKUP(BF$107,Assumptions!$112:$112,Assumptions!122:122)*BF$108</f>
        <v>41.107500000000002</v>
      </c>
      <c r="BG120" s="49">
        <f>LOOKUP(BG$107,Assumptions!$112:$112,Assumptions!122:122)*BG$108</f>
        <v>41.107500000000002</v>
      </c>
      <c r="BH120" s="49">
        <f>LOOKUP(BH$107,Assumptions!$112:$112,Assumptions!122:122)*BH$108</f>
        <v>41.107500000000002</v>
      </c>
      <c r="BI120" s="49">
        <f>LOOKUP(BI$107,Assumptions!$112:$112,Assumptions!122:122)*BI$108</f>
        <v>41.107500000000002</v>
      </c>
      <c r="BJ120" s="49">
        <f>LOOKUP(BJ$107,Assumptions!$112:$112,Assumptions!122:122)*BJ$108</f>
        <v>43.267499999999998</v>
      </c>
      <c r="BK120" s="49">
        <f>LOOKUP(BK$107,Assumptions!$112:$112,Assumptions!122:122)*BK$108</f>
        <v>43.267499999999998</v>
      </c>
      <c r="BL120" s="49">
        <f>LOOKUP(BL$107,Assumptions!$112:$112,Assumptions!122:122)*BL$108</f>
        <v>43.267499999999998</v>
      </c>
      <c r="BM120" s="49">
        <f>LOOKUP(BM$107,Assumptions!$112:$112,Assumptions!122:122)*BM$108</f>
        <v>43.267499999999998</v>
      </c>
      <c r="BN120" s="49">
        <f>LOOKUP(BN$107,Assumptions!$112:$112,Assumptions!122:122)*BN$108</f>
        <v>46.129500000000007</v>
      </c>
      <c r="BO120" s="49">
        <f>LOOKUP(BO$107,Assumptions!$112:$112,Assumptions!122:122)*BO$108</f>
        <v>46.129500000000007</v>
      </c>
      <c r="BP120" s="49">
        <f>LOOKUP(BP$107,Assumptions!$112:$112,Assumptions!122:122)*BP$108</f>
        <v>46.129500000000007</v>
      </c>
      <c r="BQ120" s="49">
        <f>LOOKUP(BQ$107,Assumptions!$112:$112,Assumptions!122:122)*BQ$108</f>
        <v>46.129500000000007</v>
      </c>
      <c r="BR120" s="49">
        <f>LOOKUP(BR$107,Assumptions!$112:$112,Assumptions!122:122)*BR$108</f>
        <v>48.829500000000003</v>
      </c>
      <c r="BS120" s="49">
        <f>LOOKUP(BS$107,Assumptions!$112:$112,Assumptions!122:122)*BS$108</f>
        <v>48.829500000000003</v>
      </c>
      <c r="BT120" s="49">
        <f>LOOKUP(BT$107,Assumptions!$112:$112,Assumptions!122:122)*BT$108</f>
        <v>48.829500000000003</v>
      </c>
      <c r="BU120" s="49">
        <f>LOOKUP(BU$107,Assumptions!$112:$112,Assumptions!122:122)*BU$108</f>
        <v>48.829500000000003</v>
      </c>
      <c r="BV120" s="49">
        <f>LOOKUP(BV$107,Assumptions!$112:$112,Assumptions!122:122)*BV$108</f>
        <v>50.652000000000008</v>
      </c>
      <c r="BW120" s="49">
        <f>LOOKUP(BW$107,Assumptions!$112:$112,Assumptions!122:122)*BW$108</f>
        <v>50.652000000000008</v>
      </c>
      <c r="BX120" s="49">
        <f>LOOKUP(BX$107,Assumptions!$112:$112,Assumptions!122:122)*BX$108</f>
        <v>50.652000000000008</v>
      </c>
      <c r="BY120" s="49">
        <f>LOOKUP(BY$107,Assumptions!$112:$112,Assumptions!122:122)*BY$108</f>
        <v>50.652000000000008</v>
      </c>
      <c r="BZ120" s="49">
        <f>LOOKUP(BZ$107,Assumptions!$112:$112,Assumptions!122:122)*BZ$108</f>
        <v>51.637500000000003</v>
      </c>
      <c r="CA120" s="49">
        <f>LOOKUP(CA$107,Assumptions!$112:$112,Assumptions!122:122)*CA$108</f>
        <v>51.637500000000003</v>
      </c>
      <c r="CB120" s="49">
        <f>LOOKUP(CB$107,Assumptions!$112:$112,Assumptions!122:122)*CB$108</f>
        <v>51.637500000000003</v>
      </c>
      <c r="CC120" s="49">
        <f>LOOKUP(CC$107,Assumptions!$112:$112,Assumptions!122:122)*CC$108</f>
        <v>51.637500000000003</v>
      </c>
      <c r="CD120" s="49">
        <f>LOOKUP(CD$107,Assumptions!$112:$112,Assumptions!122:122)*CD$108</f>
        <v>54.513000000000005</v>
      </c>
      <c r="CE120" s="49">
        <f>LOOKUP(CE$107,Assumptions!$112:$112,Assumptions!122:122)*CE$108</f>
        <v>54.513000000000005</v>
      </c>
      <c r="CF120" s="49">
        <f>LOOKUP(CF$107,Assumptions!$112:$112,Assumptions!122:122)*CF$108</f>
        <v>54.513000000000005</v>
      </c>
      <c r="CG120" s="49">
        <f>LOOKUP(CG$107,Assumptions!$112:$112,Assumptions!122:122)*CG$108</f>
        <v>54.513000000000005</v>
      </c>
      <c r="CH120" s="49">
        <f>LOOKUP(CH$107,Assumptions!$112:$112,Assumptions!122:122)*CH$108</f>
        <v>56.375999999999998</v>
      </c>
      <c r="CI120" s="49">
        <f>LOOKUP(CI$107,Assumptions!$112:$112,Assumptions!122:122)*CI$108</f>
        <v>56.375999999999998</v>
      </c>
      <c r="CJ120" s="49">
        <f>LOOKUP(CJ$107,Assumptions!$112:$112,Assumptions!122:122)*CJ$108</f>
        <v>56.375999999999998</v>
      </c>
      <c r="CK120" s="49">
        <f>LOOKUP(CK$107,Assumptions!$112:$112,Assumptions!122:122)*CK$108</f>
        <v>56.375999999999998</v>
      </c>
      <c r="CL120" s="49">
        <f>LOOKUP(CL$107,Assumptions!$112:$112,Assumptions!122:122)*CL$108</f>
        <v>60.493500000000004</v>
      </c>
      <c r="CM120" s="49">
        <f>LOOKUP(CM$107,Assumptions!$112:$112,Assumptions!122:122)*CM$108</f>
        <v>60.493500000000004</v>
      </c>
      <c r="CN120" s="49">
        <f>LOOKUP(CN$107,Assumptions!$112:$112,Assumptions!122:122)*CN$108</f>
        <v>60.493500000000004</v>
      </c>
      <c r="CO120" s="49">
        <f>LOOKUP(CO$107,Assumptions!$112:$112,Assumptions!122:122)*CO$108</f>
        <v>60.493500000000004</v>
      </c>
      <c r="CP120" s="49">
        <f>LOOKUP(CP$107,Assumptions!$112:$112,Assumptions!122:122)*CP$108</f>
        <v>63.922500000000007</v>
      </c>
      <c r="CQ120" s="49">
        <f>LOOKUP(CQ$107,Assumptions!$112:$112,Assumptions!122:122)*CQ$108</f>
        <v>63.922500000000007</v>
      </c>
      <c r="CR120" s="49">
        <f>LOOKUP(CR$107,Assumptions!$112:$112,Assumptions!122:122)*CR$108</f>
        <v>63.922500000000007</v>
      </c>
      <c r="CS120" s="49">
        <f>LOOKUP(CS$107,Assumptions!$112:$112,Assumptions!122:122)*CS$108</f>
        <v>63.922500000000007</v>
      </c>
      <c r="CT120" s="49">
        <f>LOOKUP(CT$107,Assumptions!$112:$112,Assumptions!122:122)*CT$108</f>
        <v>67.715999999999994</v>
      </c>
      <c r="CU120" s="49">
        <f>LOOKUP(CU$107,Assumptions!$112:$112,Assumptions!122:122)*CU$108</f>
        <v>67.715999999999994</v>
      </c>
      <c r="CV120" s="49">
        <f>LOOKUP(CV$107,Assumptions!$112:$112,Assumptions!122:122)*CV$108</f>
        <v>67.715999999999994</v>
      </c>
      <c r="CW120" s="49">
        <f>LOOKUP(CW$107,Assumptions!$112:$112,Assumptions!122:122)*CW$108</f>
        <v>67.715999999999994</v>
      </c>
      <c r="CX120" s="49">
        <f>LOOKUP(CX$107,Assumptions!$112:$112,Assumptions!122:122)*CX$108</f>
        <v>71.320499999999996</v>
      </c>
      <c r="CY120" s="49">
        <f>LOOKUP(CY$107,Assumptions!$112:$112,Assumptions!122:122)*CY$108</f>
        <v>71.320499999999996</v>
      </c>
      <c r="CZ120" s="49">
        <f>LOOKUP(CZ$107,Assumptions!$112:$112,Assumptions!122:122)*CZ$108</f>
        <v>71.320499999999996</v>
      </c>
      <c r="DA120" s="49">
        <f>LOOKUP(DA$107,Assumptions!$112:$112,Assumptions!122:122)*DA$108</f>
        <v>71.320499999999996</v>
      </c>
      <c r="DB120" s="49">
        <f>LOOKUP(DB$107,Assumptions!$112:$112,Assumptions!122:122)*DB$108</f>
        <v>72.373500000000007</v>
      </c>
      <c r="DC120" s="49">
        <f>LOOKUP(DC$107,Assumptions!$112:$112,Assumptions!122:122)*DC$108</f>
        <v>72.373500000000007</v>
      </c>
      <c r="DD120" s="49">
        <f>LOOKUP(DD$107,Assumptions!$112:$112,Assumptions!122:122)*DD$108</f>
        <v>72.373500000000007</v>
      </c>
      <c r="DE120" s="49">
        <f>LOOKUP(DE$107,Assumptions!$112:$112,Assumptions!122:122)*DE$108</f>
        <v>72.373500000000007</v>
      </c>
      <c r="DF120" s="49">
        <f>LOOKUP(DF$107,Assumptions!$112:$112,Assumptions!122:122)*DF$108</f>
        <v>72.954000000000008</v>
      </c>
      <c r="DG120" s="49">
        <f>LOOKUP(DG$107,Assumptions!$112:$112,Assumptions!122:122)*DG$108</f>
        <v>72.954000000000008</v>
      </c>
      <c r="DH120" s="49">
        <f>LOOKUP(DH$107,Assumptions!$112:$112,Assumptions!122:122)*DH$108</f>
        <v>72.954000000000008</v>
      </c>
      <c r="DI120" s="49">
        <f>LOOKUP(DI$107,Assumptions!$112:$112,Assumptions!122:122)*DI$108</f>
        <v>72.954000000000008</v>
      </c>
      <c r="DJ120" s="49">
        <f>LOOKUP(DJ$107,Assumptions!$112:$112,Assumptions!122:122)*DJ$108</f>
        <v>73.602000000000004</v>
      </c>
      <c r="DK120" s="49">
        <f>LOOKUP(DK$107,Assumptions!$112:$112,Assumptions!122:122)*DK$108</f>
        <v>73.602000000000004</v>
      </c>
      <c r="DL120" s="49">
        <f>LOOKUP(DL$107,Assumptions!$112:$112,Assumptions!122:122)*DL$108</f>
        <v>73.602000000000004</v>
      </c>
      <c r="DM120" s="49">
        <f>LOOKUP(DM$107,Assumptions!$112:$112,Assumptions!122:122)*DM$108</f>
        <v>73.602000000000004</v>
      </c>
      <c r="DN120" s="49">
        <f>LOOKUP(DN$107,Assumptions!$112:$112,Assumptions!122:122)*DN$108</f>
        <v>74.763000000000005</v>
      </c>
      <c r="DO120" s="49">
        <f>LOOKUP(DO$107,Assumptions!$112:$112,Assumptions!122:122)*DO$108</f>
        <v>74.763000000000005</v>
      </c>
      <c r="DP120" s="49">
        <f>LOOKUP(DP$107,Assumptions!$112:$112,Assumptions!122:122)*DP$108</f>
        <v>74.763000000000005</v>
      </c>
      <c r="DQ120" s="49">
        <f>LOOKUP(DQ$107,Assumptions!$112:$112,Assumptions!122:122)*DQ$108</f>
        <v>74.763000000000005</v>
      </c>
    </row>
    <row r="121" spans="4:121" x14ac:dyDescent="0.35">
      <c r="E121" s="20" t="s">
        <v>45</v>
      </c>
      <c r="F121" s="20" t="s">
        <v>161</v>
      </c>
      <c r="K121" s="49">
        <f>LOOKUP(K$107,Assumptions!$112:$112,Assumptions!123:123)*K$108</f>
        <v>29.686499999999999</v>
      </c>
      <c r="L121" s="49">
        <f>LOOKUP(L$107,Assumptions!$112:$112,Assumptions!123:123)*L$108</f>
        <v>29.686499999999999</v>
      </c>
      <c r="M121" s="49">
        <f>LOOKUP(M$107,Assumptions!$112:$112,Assumptions!123:123)*M$108</f>
        <v>29.686499999999999</v>
      </c>
      <c r="N121" s="49">
        <f>LOOKUP(N$107,Assumptions!$112:$112,Assumptions!123:123)*N$108</f>
        <v>29.686499999999999</v>
      </c>
      <c r="O121" s="49">
        <f>LOOKUP(O$107,Assumptions!$112:$112,Assumptions!123:123)*O$108</f>
        <v>29.686499999999999</v>
      </c>
      <c r="P121" s="49">
        <f>LOOKUP(P$107,Assumptions!$112:$112,Assumptions!123:123)*P$108</f>
        <v>29.686499999999999</v>
      </c>
      <c r="Q121" s="49">
        <f>LOOKUP(Q$107,Assumptions!$112:$112,Assumptions!123:123)*Q$108</f>
        <v>29.686499999999999</v>
      </c>
      <c r="R121" s="49">
        <f>LOOKUP(R$107,Assumptions!$112:$112,Assumptions!123:123)*R$108</f>
        <v>29.686499999999999</v>
      </c>
      <c r="S121" s="49">
        <f>LOOKUP(S$107,Assumptions!$112:$112,Assumptions!123:123)*S$108</f>
        <v>29.686499999999999</v>
      </c>
      <c r="T121" s="49">
        <f>LOOKUP(T$107,Assumptions!$112:$112,Assumptions!123:123)*T$108</f>
        <v>29.686499999999999</v>
      </c>
      <c r="U121" s="49">
        <f>LOOKUP(U$107,Assumptions!$112:$112,Assumptions!123:123)*U$108</f>
        <v>29.686499999999999</v>
      </c>
      <c r="V121" s="49">
        <f>LOOKUP(V$107,Assumptions!$112:$112,Assumptions!123:123)*V$108</f>
        <v>29.686499999999999</v>
      </c>
      <c r="W121" s="49">
        <f>LOOKUP(W$107,Assumptions!$112:$112,Assumptions!123:123)*W$108</f>
        <v>29.686499999999999</v>
      </c>
      <c r="X121" s="49">
        <f>LOOKUP(X$107,Assumptions!$112:$112,Assumptions!123:123)*X$108</f>
        <v>29.686499999999999</v>
      </c>
      <c r="Y121" s="49">
        <f>LOOKUP(Y$107,Assumptions!$112:$112,Assumptions!123:123)*Y$108</f>
        <v>29.686499999999999</v>
      </c>
      <c r="Z121" s="49">
        <f>LOOKUP(Z$107,Assumptions!$112:$112,Assumptions!123:123)*Z$108</f>
        <v>29.686499999999999</v>
      </c>
      <c r="AA121" s="49">
        <f>LOOKUP(AA$107,Assumptions!$112:$112,Assumptions!123:123)*AA$108</f>
        <v>29.686499999999999</v>
      </c>
      <c r="AB121" s="49">
        <f>LOOKUP(AB$107,Assumptions!$112:$112,Assumptions!123:123)*AB$108</f>
        <v>29.686499999999999</v>
      </c>
      <c r="AC121" s="49">
        <f>LOOKUP(AC$107,Assumptions!$112:$112,Assumptions!123:123)*AC$108</f>
        <v>29.686499999999999</v>
      </c>
      <c r="AD121" s="49">
        <f>LOOKUP(AD$107,Assumptions!$112:$112,Assumptions!123:123)*AD$108</f>
        <v>30.699000000000002</v>
      </c>
      <c r="AE121" s="49">
        <f>LOOKUP(AE$107,Assumptions!$112:$112,Assumptions!123:123)*AE$108</f>
        <v>30.699000000000002</v>
      </c>
      <c r="AF121" s="49">
        <f>LOOKUP(AF$107,Assumptions!$112:$112,Assumptions!123:123)*AF$108</f>
        <v>30.699000000000002</v>
      </c>
      <c r="AG121" s="49">
        <f>LOOKUP(AG$107,Assumptions!$112:$112,Assumptions!123:123)*AG$108</f>
        <v>30.699000000000002</v>
      </c>
      <c r="AH121" s="49">
        <f>LOOKUP(AH$107,Assumptions!$112:$112,Assumptions!123:123)*AH$108</f>
        <v>3.1401000000000003</v>
      </c>
      <c r="AI121" s="49">
        <f>LOOKUP(AI$107,Assumptions!$112:$112,Assumptions!123:123)*AI$108</f>
        <v>3.1401000000000003</v>
      </c>
      <c r="AJ121" s="49">
        <f>LOOKUP(AJ$107,Assumptions!$112:$112,Assumptions!123:123)*AJ$108</f>
        <v>3.1401000000000003</v>
      </c>
      <c r="AK121" s="49">
        <f>LOOKUP(AK$107,Assumptions!$112:$112,Assumptions!123:123)*AK$108</f>
        <v>3.1401000000000003</v>
      </c>
      <c r="AL121" s="49">
        <f>LOOKUP(AL$107,Assumptions!$112:$112,Assumptions!123:123)*AL$108</f>
        <v>4.7304000000000004</v>
      </c>
      <c r="AM121" s="49">
        <f>LOOKUP(AM$107,Assumptions!$112:$112,Assumptions!123:123)*AM$108</f>
        <v>4.7304000000000004</v>
      </c>
      <c r="AN121" s="49">
        <f>LOOKUP(AN$107,Assumptions!$112:$112,Assumptions!123:123)*AN$108</f>
        <v>4.7304000000000004</v>
      </c>
      <c r="AO121" s="49">
        <f>LOOKUP(AO$107,Assumptions!$112:$112,Assumptions!123:123)*AO$108</f>
        <v>4.7304000000000004</v>
      </c>
      <c r="AP121" s="49">
        <f>LOOKUP(AP$107,Assumptions!$112:$112,Assumptions!123:123)*AP$108</f>
        <v>13.537800000000002</v>
      </c>
      <c r="AQ121" s="49">
        <f>LOOKUP(AQ$107,Assumptions!$112:$112,Assumptions!123:123)*AQ$108</f>
        <v>13.537800000000002</v>
      </c>
      <c r="AR121" s="49">
        <f>LOOKUP(AR$107,Assumptions!$112:$112,Assumptions!123:123)*AR$108</f>
        <v>13.537800000000002</v>
      </c>
      <c r="AS121" s="49">
        <f>LOOKUP(AS$107,Assumptions!$112:$112,Assumptions!123:123)*AS$108</f>
        <v>13.537800000000002</v>
      </c>
      <c r="AT121" s="49">
        <f>LOOKUP(AT$107,Assumptions!$112:$112,Assumptions!123:123)*AT$108</f>
        <v>34.105049999999999</v>
      </c>
      <c r="AU121" s="49">
        <f>LOOKUP(AU$107,Assumptions!$112:$112,Assumptions!123:123)*AU$108</f>
        <v>34.105049999999999</v>
      </c>
      <c r="AV121" s="49">
        <f>LOOKUP(AV$107,Assumptions!$112:$112,Assumptions!123:123)*AV$108</f>
        <v>34.105049999999999</v>
      </c>
      <c r="AW121" s="49">
        <f>LOOKUP(AW$107,Assumptions!$112:$112,Assumptions!123:123)*AW$108</f>
        <v>34.105049999999999</v>
      </c>
      <c r="AX121" s="49">
        <f>LOOKUP(AX$107,Assumptions!$112:$112,Assumptions!123:123)*AX$108</f>
        <v>39.109500000000004</v>
      </c>
      <c r="AY121" s="49">
        <f>LOOKUP(AY$107,Assumptions!$112:$112,Assumptions!123:123)*AY$108</f>
        <v>39.109500000000004</v>
      </c>
      <c r="AZ121" s="49">
        <f>LOOKUP(AZ$107,Assumptions!$112:$112,Assumptions!123:123)*AZ$108</f>
        <v>39.109500000000004</v>
      </c>
      <c r="BA121" s="49">
        <f>LOOKUP(BA$107,Assumptions!$112:$112,Assumptions!123:123)*BA$108</f>
        <v>39.109500000000004</v>
      </c>
      <c r="BB121" s="49">
        <f>LOOKUP(BB$107,Assumptions!$112:$112,Assumptions!123:123)*BB$108</f>
        <v>39.312000000000005</v>
      </c>
      <c r="BC121" s="49">
        <f>LOOKUP(BC$107,Assumptions!$112:$112,Assumptions!123:123)*BC$108</f>
        <v>39.312000000000005</v>
      </c>
      <c r="BD121" s="49">
        <f>LOOKUP(BD$107,Assumptions!$112:$112,Assumptions!123:123)*BD$108</f>
        <v>39.312000000000005</v>
      </c>
      <c r="BE121" s="49">
        <f>LOOKUP(BE$107,Assumptions!$112:$112,Assumptions!123:123)*BE$108</f>
        <v>39.312000000000005</v>
      </c>
      <c r="BF121" s="49">
        <f>LOOKUP(BF$107,Assumptions!$112:$112,Assumptions!123:123)*BF$108</f>
        <v>41.107500000000002</v>
      </c>
      <c r="BG121" s="49">
        <f>LOOKUP(BG$107,Assumptions!$112:$112,Assumptions!123:123)*BG$108</f>
        <v>41.107500000000002</v>
      </c>
      <c r="BH121" s="49">
        <f>LOOKUP(BH$107,Assumptions!$112:$112,Assumptions!123:123)*BH$108</f>
        <v>41.107500000000002</v>
      </c>
      <c r="BI121" s="49">
        <f>LOOKUP(BI$107,Assumptions!$112:$112,Assumptions!123:123)*BI$108</f>
        <v>41.107500000000002</v>
      </c>
      <c r="BJ121" s="49">
        <f>LOOKUP(BJ$107,Assumptions!$112:$112,Assumptions!123:123)*BJ$108</f>
        <v>43.267499999999998</v>
      </c>
      <c r="BK121" s="49">
        <f>LOOKUP(BK$107,Assumptions!$112:$112,Assumptions!123:123)*BK$108</f>
        <v>43.267499999999998</v>
      </c>
      <c r="BL121" s="49">
        <f>LOOKUP(BL$107,Assumptions!$112:$112,Assumptions!123:123)*BL$108</f>
        <v>43.267499999999998</v>
      </c>
      <c r="BM121" s="49">
        <f>LOOKUP(BM$107,Assumptions!$112:$112,Assumptions!123:123)*BM$108</f>
        <v>43.267499999999998</v>
      </c>
      <c r="BN121" s="49">
        <f>LOOKUP(BN$107,Assumptions!$112:$112,Assumptions!123:123)*BN$108</f>
        <v>46.129500000000007</v>
      </c>
      <c r="BO121" s="49">
        <f>LOOKUP(BO$107,Assumptions!$112:$112,Assumptions!123:123)*BO$108</f>
        <v>46.129500000000007</v>
      </c>
      <c r="BP121" s="49">
        <f>LOOKUP(BP$107,Assumptions!$112:$112,Assumptions!123:123)*BP$108</f>
        <v>46.129500000000007</v>
      </c>
      <c r="BQ121" s="49">
        <f>LOOKUP(BQ$107,Assumptions!$112:$112,Assumptions!123:123)*BQ$108</f>
        <v>46.129500000000007</v>
      </c>
      <c r="BR121" s="49">
        <f>LOOKUP(BR$107,Assumptions!$112:$112,Assumptions!123:123)*BR$108</f>
        <v>48.829500000000003</v>
      </c>
      <c r="BS121" s="49">
        <f>LOOKUP(BS$107,Assumptions!$112:$112,Assumptions!123:123)*BS$108</f>
        <v>48.829500000000003</v>
      </c>
      <c r="BT121" s="49">
        <f>LOOKUP(BT$107,Assumptions!$112:$112,Assumptions!123:123)*BT$108</f>
        <v>48.829500000000003</v>
      </c>
      <c r="BU121" s="49">
        <f>LOOKUP(BU$107,Assumptions!$112:$112,Assumptions!123:123)*BU$108</f>
        <v>48.829500000000003</v>
      </c>
      <c r="BV121" s="49">
        <f>LOOKUP(BV$107,Assumptions!$112:$112,Assumptions!123:123)*BV$108</f>
        <v>50.652000000000008</v>
      </c>
      <c r="BW121" s="49">
        <f>LOOKUP(BW$107,Assumptions!$112:$112,Assumptions!123:123)*BW$108</f>
        <v>50.652000000000008</v>
      </c>
      <c r="BX121" s="49">
        <f>LOOKUP(BX$107,Assumptions!$112:$112,Assumptions!123:123)*BX$108</f>
        <v>50.652000000000008</v>
      </c>
      <c r="BY121" s="49">
        <f>LOOKUP(BY$107,Assumptions!$112:$112,Assumptions!123:123)*BY$108</f>
        <v>50.652000000000008</v>
      </c>
      <c r="BZ121" s="49">
        <f>LOOKUP(BZ$107,Assumptions!$112:$112,Assumptions!123:123)*BZ$108</f>
        <v>51.637500000000003</v>
      </c>
      <c r="CA121" s="49">
        <f>LOOKUP(CA$107,Assumptions!$112:$112,Assumptions!123:123)*CA$108</f>
        <v>51.637500000000003</v>
      </c>
      <c r="CB121" s="49">
        <f>LOOKUP(CB$107,Assumptions!$112:$112,Assumptions!123:123)*CB$108</f>
        <v>51.637500000000003</v>
      </c>
      <c r="CC121" s="49">
        <f>LOOKUP(CC$107,Assumptions!$112:$112,Assumptions!123:123)*CC$108</f>
        <v>51.637500000000003</v>
      </c>
      <c r="CD121" s="49">
        <f>LOOKUP(CD$107,Assumptions!$112:$112,Assumptions!123:123)*CD$108</f>
        <v>54.513000000000005</v>
      </c>
      <c r="CE121" s="49">
        <f>LOOKUP(CE$107,Assumptions!$112:$112,Assumptions!123:123)*CE$108</f>
        <v>54.513000000000005</v>
      </c>
      <c r="CF121" s="49">
        <f>LOOKUP(CF$107,Assumptions!$112:$112,Assumptions!123:123)*CF$108</f>
        <v>54.513000000000005</v>
      </c>
      <c r="CG121" s="49">
        <f>LOOKUP(CG$107,Assumptions!$112:$112,Assumptions!123:123)*CG$108</f>
        <v>54.513000000000005</v>
      </c>
      <c r="CH121" s="49">
        <f>LOOKUP(CH$107,Assumptions!$112:$112,Assumptions!123:123)*CH$108</f>
        <v>56.375999999999998</v>
      </c>
      <c r="CI121" s="49">
        <f>LOOKUP(CI$107,Assumptions!$112:$112,Assumptions!123:123)*CI$108</f>
        <v>56.375999999999998</v>
      </c>
      <c r="CJ121" s="49">
        <f>LOOKUP(CJ$107,Assumptions!$112:$112,Assumptions!123:123)*CJ$108</f>
        <v>56.375999999999998</v>
      </c>
      <c r="CK121" s="49">
        <f>LOOKUP(CK$107,Assumptions!$112:$112,Assumptions!123:123)*CK$108</f>
        <v>56.375999999999998</v>
      </c>
      <c r="CL121" s="49">
        <f>LOOKUP(CL$107,Assumptions!$112:$112,Assumptions!123:123)*CL$108</f>
        <v>60.493500000000004</v>
      </c>
      <c r="CM121" s="49">
        <f>LOOKUP(CM$107,Assumptions!$112:$112,Assumptions!123:123)*CM$108</f>
        <v>60.493500000000004</v>
      </c>
      <c r="CN121" s="49">
        <f>LOOKUP(CN$107,Assumptions!$112:$112,Assumptions!123:123)*CN$108</f>
        <v>60.493500000000004</v>
      </c>
      <c r="CO121" s="49">
        <f>LOOKUP(CO$107,Assumptions!$112:$112,Assumptions!123:123)*CO$108</f>
        <v>60.493500000000004</v>
      </c>
      <c r="CP121" s="49">
        <f>LOOKUP(CP$107,Assumptions!$112:$112,Assumptions!123:123)*CP$108</f>
        <v>63.922500000000007</v>
      </c>
      <c r="CQ121" s="49">
        <f>LOOKUP(CQ$107,Assumptions!$112:$112,Assumptions!123:123)*CQ$108</f>
        <v>63.922500000000007</v>
      </c>
      <c r="CR121" s="49">
        <f>LOOKUP(CR$107,Assumptions!$112:$112,Assumptions!123:123)*CR$108</f>
        <v>63.922500000000007</v>
      </c>
      <c r="CS121" s="49">
        <f>LOOKUP(CS$107,Assumptions!$112:$112,Assumptions!123:123)*CS$108</f>
        <v>63.922500000000007</v>
      </c>
      <c r="CT121" s="49">
        <f>LOOKUP(CT$107,Assumptions!$112:$112,Assumptions!123:123)*CT$108</f>
        <v>67.715999999999994</v>
      </c>
      <c r="CU121" s="49">
        <f>LOOKUP(CU$107,Assumptions!$112:$112,Assumptions!123:123)*CU$108</f>
        <v>67.715999999999994</v>
      </c>
      <c r="CV121" s="49">
        <f>LOOKUP(CV$107,Assumptions!$112:$112,Assumptions!123:123)*CV$108</f>
        <v>67.715999999999994</v>
      </c>
      <c r="CW121" s="49">
        <f>LOOKUP(CW$107,Assumptions!$112:$112,Assumptions!123:123)*CW$108</f>
        <v>67.715999999999994</v>
      </c>
      <c r="CX121" s="49">
        <f>LOOKUP(CX$107,Assumptions!$112:$112,Assumptions!123:123)*CX$108</f>
        <v>71.320499999999996</v>
      </c>
      <c r="CY121" s="49">
        <f>LOOKUP(CY$107,Assumptions!$112:$112,Assumptions!123:123)*CY$108</f>
        <v>71.320499999999996</v>
      </c>
      <c r="CZ121" s="49">
        <f>LOOKUP(CZ$107,Assumptions!$112:$112,Assumptions!123:123)*CZ$108</f>
        <v>71.320499999999996</v>
      </c>
      <c r="DA121" s="49">
        <f>LOOKUP(DA$107,Assumptions!$112:$112,Assumptions!123:123)*DA$108</f>
        <v>71.320499999999996</v>
      </c>
      <c r="DB121" s="49">
        <f>LOOKUP(DB$107,Assumptions!$112:$112,Assumptions!123:123)*DB$108</f>
        <v>72.373500000000007</v>
      </c>
      <c r="DC121" s="49">
        <f>LOOKUP(DC$107,Assumptions!$112:$112,Assumptions!123:123)*DC$108</f>
        <v>72.373500000000007</v>
      </c>
      <c r="DD121" s="49">
        <f>LOOKUP(DD$107,Assumptions!$112:$112,Assumptions!123:123)*DD$108</f>
        <v>72.373500000000007</v>
      </c>
      <c r="DE121" s="49">
        <f>LOOKUP(DE$107,Assumptions!$112:$112,Assumptions!123:123)*DE$108</f>
        <v>72.373500000000007</v>
      </c>
      <c r="DF121" s="49">
        <f>LOOKUP(DF$107,Assumptions!$112:$112,Assumptions!123:123)*DF$108</f>
        <v>72.954000000000008</v>
      </c>
      <c r="DG121" s="49">
        <f>LOOKUP(DG$107,Assumptions!$112:$112,Assumptions!123:123)*DG$108</f>
        <v>72.954000000000008</v>
      </c>
      <c r="DH121" s="49">
        <f>LOOKUP(DH$107,Assumptions!$112:$112,Assumptions!123:123)*DH$108</f>
        <v>72.954000000000008</v>
      </c>
      <c r="DI121" s="49">
        <f>LOOKUP(DI$107,Assumptions!$112:$112,Assumptions!123:123)*DI$108</f>
        <v>72.954000000000008</v>
      </c>
      <c r="DJ121" s="49">
        <f>LOOKUP(DJ$107,Assumptions!$112:$112,Assumptions!123:123)*DJ$108</f>
        <v>73.602000000000004</v>
      </c>
      <c r="DK121" s="49">
        <f>LOOKUP(DK$107,Assumptions!$112:$112,Assumptions!123:123)*DK$108</f>
        <v>73.602000000000004</v>
      </c>
      <c r="DL121" s="49">
        <f>LOOKUP(DL$107,Assumptions!$112:$112,Assumptions!123:123)*DL$108</f>
        <v>73.602000000000004</v>
      </c>
      <c r="DM121" s="49">
        <f>LOOKUP(DM$107,Assumptions!$112:$112,Assumptions!123:123)*DM$108</f>
        <v>73.602000000000004</v>
      </c>
      <c r="DN121" s="49">
        <f>LOOKUP(DN$107,Assumptions!$112:$112,Assumptions!123:123)*DN$108</f>
        <v>74.763000000000005</v>
      </c>
      <c r="DO121" s="49">
        <f>LOOKUP(DO$107,Assumptions!$112:$112,Assumptions!123:123)*DO$108</f>
        <v>74.763000000000005</v>
      </c>
      <c r="DP121" s="49">
        <f>LOOKUP(DP$107,Assumptions!$112:$112,Assumptions!123:123)*DP$108</f>
        <v>74.763000000000005</v>
      </c>
      <c r="DQ121" s="49">
        <f>LOOKUP(DQ$107,Assumptions!$112:$112,Assumptions!123:123)*DQ$108</f>
        <v>74.763000000000005</v>
      </c>
    </row>
    <row r="122" spans="4:121" x14ac:dyDescent="0.35">
      <c r="E122" s="20" t="s">
        <v>46</v>
      </c>
      <c r="F122" s="20" t="s">
        <v>161</v>
      </c>
      <c r="K122" s="49">
        <f>LOOKUP(K$107,Assumptions!$112:$112,Assumptions!124:124)*K$108</f>
        <v>29.686499999999999</v>
      </c>
      <c r="L122" s="49">
        <f>LOOKUP(L$107,Assumptions!$112:$112,Assumptions!124:124)*L$108</f>
        <v>29.686499999999999</v>
      </c>
      <c r="M122" s="49">
        <f>LOOKUP(M$107,Assumptions!$112:$112,Assumptions!124:124)*M$108</f>
        <v>29.686499999999999</v>
      </c>
      <c r="N122" s="49">
        <f>LOOKUP(N$107,Assumptions!$112:$112,Assumptions!124:124)*N$108</f>
        <v>29.686499999999999</v>
      </c>
      <c r="O122" s="49">
        <f>LOOKUP(O$107,Assumptions!$112:$112,Assumptions!124:124)*O$108</f>
        <v>29.686499999999999</v>
      </c>
      <c r="P122" s="49">
        <f>LOOKUP(P$107,Assumptions!$112:$112,Assumptions!124:124)*P$108</f>
        <v>29.686499999999999</v>
      </c>
      <c r="Q122" s="49">
        <f>LOOKUP(Q$107,Assumptions!$112:$112,Assumptions!124:124)*Q$108</f>
        <v>29.686499999999999</v>
      </c>
      <c r="R122" s="49">
        <f>LOOKUP(R$107,Assumptions!$112:$112,Assumptions!124:124)*R$108</f>
        <v>29.686499999999999</v>
      </c>
      <c r="S122" s="49">
        <f>LOOKUP(S$107,Assumptions!$112:$112,Assumptions!124:124)*S$108</f>
        <v>29.686499999999999</v>
      </c>
      <c r="T122" s="49">
        <f>LOOKUP(T$107,Assumptions!$112:$112,Assumptions!124:124)*T$108</f>
        <v>29.686499999999999</v>
      </c>
      <c r="U122" s="49">
        <f>LOOKUP(U$107,Assumptions!$112:$112,Assumptions!124:124)*U$108</f>
        <v>29.686499999999999</v>
      </c>
      <c r="V122" s="49">
        <f>LOOKUP(V$107,Assumptions!$112:$112,Assumptions!124:124)*V$108</f>
        <v>29.686499999999999</v>
      </c>
      <c r="W122" s="49">
        <f>LOOKUP(W$107,Assumptions!$112:$112,Assumptions!124:124)*W$108</f>
        <v>29.686499999999999</v>
      </c>
      <c r="X122" s="49">
        <f>LOOKUP(X$107,Assumptions!$112:$112,Assumptions!124:124)*X$108</f>
        <v>29.686499999999999</v>
      </c>
      <c r="Y122" s="49">
        <f>LOOKUP(Y$107,Assumptions!$112:$112,Assumptions!124:124)*Y$108</f>
        <v>29.686499999999999</v>
      </c>
      <c r="Z122" s="49">
        <f>LOOKUP(Z$107,Assumptions!$112:$112,Assumptions!124:124)*Z$108</f>
        <v>29.686499999999999</v>
      </c>
      <c r="AA122" s="49">
        <f>LOOKUP(AA$107,Assumptions!$112:$112,Assumptions!124:124)*AA$108</f>
        <v>29.686499999999999</v>
      </c>
      <c r="AB122" s="49">
        <f>LOOKUP(AB$107,Assumptions!$112:$112,Assumptions!124:124)*AB$108</f>
        <v>29.686499999999999</v>
      </c>
      <c r="AC122" s="49">
        <f>LOOKUP(AC$107,Assumptions!$112:$112,Assumptions!124:124)*AC$108</f>
        <v>29.686499999999999</v>
      </c>
      <c r="AD122" s="49">
        <f>LOOKUP(AD$107,Assumptions!$112:$112,Assumptions!124:124)*AD$108</f>
        <v>30.699000000000002</v>
      </c>
      <c r="AE122" s="49">
        <f>LOOKUP(AE$107,Assumptions!$112:$112,Assumptions!124:124)*AE$108</f>
        <v>30.699000000000002</v>
      </c>
      <c r="AF122" s="49">
        <f>LOOKUP(AF$107,Assumptions!$112:$112,Assumptions!124:124)*AF$108</f>
        <v>30.699000000000002</v>
      </c>
      <c r="AG122" s="49">
        <f>LOOKUP(AG$107,Assumptions!$112:$112,Assumptions!124:124)*AG$108</f>
        <v>30.699000000000002</v>
      </c>
      <c r="AH122" s="49">
        <f>LOOKUP(AH$107,Assumptions!$112:$112,Assumptions!124:124)*AH$108</f>
        <v>3.1401000000000003</v>
      </c>
      <c r="AI122" s="49">
        <f>LOOKUP(AI$107,Assumptions!$112:$112,Assumptions!124:124)*AI$108</f>
        <v>3.1401000000000003</v>
      </c>
      <c r="AJ122" s="49">
        <f>LOOKUP(AJ$107,Assumptions!$112:$112,Assumptions!124:124)*AJ$108</f>
        <v>3.1401000000000003</v>
      </c>
      <c r="AK122" s="49">
        <f>LOOKUP(AK$107,Assumptions!$112:$112,Assumptions!124:124)*AK$108</f>
        <v>3.1401000000000003</v>
      </c>
      <c r="AL122" s="49">
        <f>LOOKUP(AL$107,Assumptions!$112:$112,Assumptions!124:124)*AL$108</f>
        <v>4.7304000000000004</v>
      </c>
      <c r="AM122" s="49">
        <f>LOOKUP(AM$107,Assumptions!$112:$112,Assumptions!124:124)*AM$108</f>
        <v>4.7304000000000004</v>
      </c>
      <c r="AN122" s="49">
        <f>LOOKUP(AN$107,Assumptions!$112:$112,Assumptions!124:124)*AN$108</f>
        <v>4.7304000000000004</v>
      </c>
      <c r="AO122" s="49">
        <f>LOOKUP(AO$107,Assumptions!$112:$112,Assumptions!124:124)*AO$108</f>
        <v>4.7304000000000004</v>
      </c>
      <c r="AP122" s="49">
        <f>LOOKUP(AP$107,Assumptions!$112:$112,Assumptions!124:124)*AP$108</f>
        <v>13.537800000000002</v>
      </c>
      <c r="AQ122" s="49">
        <f>LOOKUP(AQ$107,Assumptions!$112:$112,Assumptions!124:124)*AQ$108</f>
        <v>13.537800000000002</v>
      </c>
      <c r="AR122" s="49">
        <f>LOOKUP(AR$107,Assumptions!$112:$112,Assumptions!124:124)*AR$108</f>
        <v>13.537800000000002</v>
      </c>
      <c r="AS122" s="49">
        <f>LOOKUP(AS$107,Assumptions!$112:$112,Assumptions!124:124)*AS$108</f>
        <v>13.537800000000002</v>
      </c>
      <c r="AT122" s="49">
        <f>LOOKUP(AT$107,Assumptions!$112:$112,Assumptions!124:124)*AT$108</f>
        <v>34.105049999999999</v>
      </c>
      <c r="AU122" s="49">
        <f>LOOKUP(AU$107,Assumptions!$112:$112,Assumptions!124:124)*AU$108</f>
        <v>34.105049999999999</v>
      </c>
      <c r="AV122" s="49">
        <f>LOOKUP(AV$107,Assumptions!$112:$112,Assumptions!124:124)*AV$108</f>
        <v>34.105049999999999</v>
      </c>
      <c r="AW122" s="49">
        <f>LOOKUP(AW$107,Assumptions!$112:$112,Assumptions!124:124)*AW$108</f>
        <v>34.105049999999999</v>
      </c>
      <c r="AX122" s="49">
        <f>LOOKUP(AX$107,Assumptions!$112:$112,Assumptions!124:124)*AX$108</f>
        <v>39.109500000000004</v>
      </c>
      <c r="AY122" s="49">
        <f>LOOKUP(AY$107,Assumptions!$112:$112,Assumptions!124:124)*AY$108</f>
        <v>39.109500000000004</v>
      </c>
      <c r="AZ122" s="49">
        <f>LOOKUP(AZ$107,Assumptions!$112:$112,Assumptions!124:124)*AZ$108</f>
        <v>39.109500000000004</v>
      </c>
      <c r="BA122" s="49">
        <f>LOOKUP(BA$107,Assumptions!$112:$112,Assumptions!124:124)*BA$108</f>
        <v>39.109500000000004</v>
      </c>
      <c r="BB122" s="49">
        <f>LOOKUP(BB$107,Assumptions!$112:$112,Assumptions!124:124)*BB$108</f>
        <v>39.312000000000005</v>
      </c>
      <c r="BC122" s="49">
        <f>LOOKUP(BC$107,Assumptions!$112:$112,Assumptions!124:124)*BC$108</f>
        <v>39.312000000000005</v>
      </c>
      <c r="BD122" s="49">
        <f>LOOKUP(BD$107,Assumptions!$112:$112,Assumptions!124:124)*BD$108</f>
        <v>39.312000000000005</v>
      </c>
      <c r="BE122" s="49">
        <f>LOOKUP(BE$107,Assumptions!$112:$112,Assumptions!124:124)*BE$108</f>
        <v>39.312000000000005</v>
      </c>
      <c r="BF122" s="49">
        <f>LOOKUP(BF$107,Assumptions!$112:$112,Assumptions!124:124)*BF$108</f>
        <v>41.107500000000002</v>
      </c>
      <c r="BG122" s="49">
        <f>LOOKUP(BG$107,Assumptions!$112:$112,Assumptions!124:124)*BG$108</f>
        <v>41.107500000000002</v>
      </c>
      <c r="BH122" s="49">
        <f>LOOKUP(BH$107,Assumptions!$112:$112,Assumptions!124:124)*BH$108</f>
        <v>41.107500000000002</v>
      </c>
      <c r="BI122" s="49">
        <f>LOOKUP(BI$107,Assumptions!$112:$112,Assumptions!124:124)*BI$108</f>
        <v>41.107500000000002</v>
      </c>
      <c r="BJ122" s="49">
        <f>LOOKUP(BJ$107,Assumptions!$112:$112,Assumptions!124:124)*BJ$108</f>
        <v>43.267499999999998</v>
      </c>
      <c r="BK122" s="49">
        <f>LOOKUP(BK$107,Assumptions!$112:$112,Assumptions!124:124)*BK$108</f>
        <v>43.267499999999998</v>
      </c>
      <c r="BL122" s="49">
        <f>LOOKUP(BL$107,Assumptions!$112:$112,Assumptions!124:124)*BL$108</f>
        <v>43.267499999999998</v>
      </c>
      <c r="BM122" s="49">
        <f>LOOKUP(BM$107,Assumptions!$112:$112,Assumptions!124:124)*BM$108</f>
        <v>43.267499999999998</v>
      </c>
      <c r="BN122" s="49">
        <f>LOOKUP(BN$107,Assumptions!$112:$112,Assumptions!124:124)*BN$108</f>
        <v>46.129500000000007</v>
      </c>
      <c r="BO122" s="49">
        <f>LOOKUP(BO$107,Assumptions!$112:$112,Assumptions!124:124)*BO$108</f>
        <v>46.129500000000007</v>
      </c>
      <c r="BP122" s="49">
        <f>LOOKUP(BP$107,Assumptions!$112:$112,Assumptions!124:124)*BP$108</f>
        <v>46.129500000000007</v>
      </c>
      <c r="BQ122" s="49">
        <f>LOOKUP(BQ$107,Assumptions!$112:$112,Assumptions!124:124)*BQ$108</f>
        <v>46.129500000000007</v>
      </c>
      <c r="BR122" s="49">
        <f>LOOKUP(BR$107,Assumptions!$112:$112,Assumptions!124:124)*BR$108</f>
        <v>48.829500000000003</v>
      </c>
      <c r="BS122" s="49">
        <f>LOOKUP(BS$107,Assumptions!$112:$112,Assumptions!124:124)*BS$108</f>
        <v>48.829500000000003</v>
      </c>
      <c r="BT122" s="49">
        <f>LOOKUP(BT$107,Assumptions!$112:$112,Assumptions!124:124)*BT$108</f>
        <v>48.829500000000003</v>
      </c>
      <c r="BU122" s="49">
        <f>LOOKUP(BU$107,Assumptions!$112:$112,Assumptions!124:124)*BU$108</f>
        <v>48.829500000000003</v>
      </c>
      <c r="BV122" s="49">
        <f>LOOKUP(BV$107,Assumptions!$112:$112,Assumptions!124:124)*BV$108</f>
        <v>50.652000000000008</v>
      </c>
      <c r="BW122" s="49">
        <f>LOOKUP(BW$107,Assumptions!$112:$112,Assumptions!124:124)*BW$108</f>
        <v>50.652000000000008</v>
      </c>
      <c r="BX122" s="49">
        <f>LOOKUP(BX$107,Assumptions!$112:$112,Assumptions!124:124)*BX$108</f>
        <v>50.652000000000008</v>
      </c>
      <c r="BY122" s="49">
        <f>LOOKUP(BY$107,Assumptions!$112:$112,Assumptions!124:124)*BY$108</f>
        <v>50.652000000000008</v>
      </c>
      <c r="BZ122" s="49">
        <f>LOOKUP(BZ$107,Assumptions!$112:$112,Assumptions!124:124)*BZ$108</f>
        <v>51.637500000000003</v>
      </c>
      <c r="CA122" s="49">
        <f>LOOKUP(CA$107,Assumptions!$112:$112,Assumptions!124:124)*CA$108</f>
        <v>51.637500000000003</v>
      </c>
      <c r="CB122" s="49">
        <f>LOOKUP(CB$107,Assumptions!$112:$112,Assumptions!124:124)*CB$108</f>
        <v>51.637500000000003</v>
      </c>
      <c r="CC122" s="49">
        <f>LOOKUP(CC$107,Assumptions!$112:$112,Assumptions!124:124)*CC$108</f>
        <v>51.637500000000003</v>
      </c>
      <c r="CD122" s="49">
        <f>LOOKUP(CD$107,Assumptions!$112:$112,Assumptions!124:124)*CD$108</f>
        <v>54.513000000000005</v>
      </c>
      <c r="CE122" s="49">
        <f>LOOKUP(CE$107,Assumptions!$112:$112,Assumptions!124:124)*CE$108</f>
        <v>54.513000000000005</v>
      </c>
      <c r="CF122" s="49">
        <f>LOOKUP(CF$107,Assumptions!$112:$112,Assumptions!124:124)*CF$108</f>
        <v>54.513000000000005</v>
      </c>
      <c r="CG122" s="49">
        <f>LOOKUP(CG$107,Assumptions!$112:$112,Assumptions!124:124)*CG$108</f>
        <v>54.513000000000005</v>
      </c>
      <c r="CH122" s="49">
        <f>LOOKUP(CH$107,Assumptions!$112:$112,Assumptions!124:124)*CH$108</f>
        <v>56.375999999999998</v>
      </c>
      <c r="CI122" s="49">
        <f>LOOKUP(CI$107,Assumptions!$112:$112,Assumptions!124:124)*CI$108</f>
        <v>56.375999999999998</v>
      </c>
      <c r="CJ122" s="49">
        <f>LOOKUP(CJ$107,Assumptions!$112:$112,Assumptions!124:124)*CJ$108</f>
        <v>56.375999999999998</v>
      </c>
      <c r="CK122" s="49">
        <f>LOOKUP(CK$107,Assumptions!$112:$112,Assumptions!124:124)*CK$108</f>
        <v>56.375999999999998</v>
      </c>
      <c r="CL122" s="49">
        <f>LOOKUP(CL$107,Assumptions!$112:$112,Assumptions!124:124)*CL$108</f>
        <v>60.493500000000004</v>
      </c>
      <c r="CM122" s="49">
        <f>LOOKUP(CM$107,Assumptions!$112:$112,Assumptions!124:124)*CM$108</f>
        <v>60.493500000000004</v>
      </c>
      <c r="CN122" s="49">
        <f>LOOKUP(CN$107,Assumptions!$112:$112,Assumptions!124:124)*CN$108</f>
        <v>60.493500000000004</v>
      </c>
      <c r="CO122" s="49">
        <f>LOOKUP(CO$107,Assumptions!$112:$112,Assumptions!124:124)*CO$108</f>
        <v>60.493500000000004</v>
      </c>
      <c r="CP122" s="49">
        <f>LOOKUP(CP$107,Assumptions!$112:$112,Assumptions!124:124)*CP$108</f>
        <v>63.922500000000007</v>
      </c>
      <c r="CQ122" s="49">
        <f>LOOKUP(CQ$107,Assumptions!$112:$112,Assumptions!124:124)*CQ$108</f>
        <v>63.922500000000007</v>
      </c>
      <c r="CR122" s="49">
        <f>LOOKUP(CR$107,Assumptions!$112:$112,Assumptions!124:124)*CR$108</f>
        <v>63.922500000000007</v>
      </c>
      <c r="CS122" s="49">
        <f>LOOKUP(CS$107,Assumptions!$112:$112,Assumptions!124:124)*CS$108</f>
        <v>63.922500000000007</v>
      </c>
      <c r="CT122" s="49">
        <f>LOOKUP(CT$107,Assumptions!$112:$112,Assumptions!124:124)*CT$108</f>
        <v>67.715999999999994</v>
      </c>
      <c r="CU122" s="49">
        <f>LOOKUP(CU$107,Assumptions!$112:$112,Assumptions!124:124)*CU$108</f>
        <v>67.715999999999994</v>
      </c>
      <c r="CV122" s="49">
        <f>LOOKUP(CV$107,Assumptions!$112:$112,Assumptions!124:124)*CV$108</f>
        <v>67.715999999999994</v>
      </c>
      <c r="CW122" s="49">
        <f>LOOKUP(CW$107,Assumptions!$112:$112,Assumptions!124:124)*CW$108</f>
        <v>67.715999999999994</v>
      </c>
      <c r="CX122" s="49">
        <f>LOOKUP(CX$107,Assumptions!$112:$112,Assumptions!124:124)*CX$108</f>
        <v>71.320499999999996</v>
      </c>
      <c r="CY122" s="49">
        <f>LOOKUP(CY$107,Assumptions!$112:$112,Assumptions!124:124)*CY$108</f>
        <v>71.320499999999996</v>
      </c>
      <c r="CZ122" s="49">
        <f>LOOKUP(CZ$107,Assumptions!$112:$112,Assumptions!124:124)*CZ$108</f>
        <v>71.320499999999996</v>
      </c>
      <c r="DA122" s="49">
        <f>LOOKUP(DA$107,Assumptions!$112:$112,Assumptions!124:124)*DA$108</f>
        <v>71.320499999999996</v>
      </c>
      <c r="DB122" s="49">
        <f>LOOKUP(DB$107,Assumptions!$112:$112,Assumptions!124:124)*DB$108</f>
        <v>72.373500000000007</v>
      </c>
      <c r="DC122" s="49">
        <f>LOOKUP(DC$107,Assumptions!$112:$112,Assumptions!124:124)*DC$108</f>
        <v>72.373500000000007</v>
      </c>
      <c r="DD122" s="49">
        <f>LOOKUP(DD$107,Assumptions!$112:$112,Assumptions!124:124)*DD$108</f>
        <v>72.373500000000007</v>
      </c>
      <c r="DE122" s="49">
        <f>LOOKUP(DE$107,Assumptions!$112:$112,Assumptions!124:124)*DE$108</f>
        <v>72.373500000000007</v>
      </c>
      <c r="DF122" s="49">
        <f>LOOKUP(DF$107,Assumptions!$112:$112,Assumptions!124:124)*DF$108</f>
        <v>72.954000000000008</v>
      </c>
      <c r="DG122" s="49">
        <f>LOOKUP(DG$107,Assumptions!$112:$112,Assumptions!124:124)*DG$108</f>
        <v>72.954000000000008</v>
      </c>
      <c r="DH122" s="49">
        <f>LOOKUP(DH$107,Assumptions!$112:$112,Assumptions!124:124)*DH$108</f>
        <v>72.954000000000008</v>
      </c>
      <c r="DI122" s="49">
        <f>LOOKUP(DI$107,Assumptions!$112:$112,Assumptions!124:124)*DI$108</f>
        <v>72.954000000000008</v>
      </c>
      <c r="DJ122" s="49">
        <f>LOOKUP(DJ$107,Assumptions!$112:$112,Assumptions!124:124)*DJ$108</f>
        <v>73.602000000000004</v>
      </c>
      <c r="DK122" s="49">
        <f>LOOKUP(DK$107,Assumptions!$112:$112,Assumptions!124:124)*DK$108</f>
        <v>73.602000000000004</v>
      </c>
      <c r="DL122" s="49">
        <f>LOOKUP(DL$107,Assumptions!$112:$112,Assumptions!124:124)*DL$108</f>
        <v>73.602000000000004</v>
      </c>
      <c r="DM122" s="49">
        <f>LOOKUP(DM$107,Assumptions!$112:$112,Assumptions!124:124)*DM$108</f>
        <v>73.602000000000004</v>
      </c>
      <c r="DN122" s="49">
        <f>LOOKUP(DN$107,Assumptions!$112:$112,Assumptions!124:124)*DN$108</f>
        <v>74.763000000000005</v>
      </c>
      <c r="DO122" s="49">
        <f>LOOKUP(DO$107,Assumptions!$112:$112,Assumptions!124:124)*DO$108</f>
        <v>74.763000000000005</v>
      </c>
      <c r="DP122" s="49">
        <f>LOOKUP(DP$107,Assumptions!$112:$112,Assumptions!124:124)*DP$108</f>
        <v>74.763000000000005</v>
      </c>
      <c r="DQ122" s="49">
        <f>LOOKUP(DQ$107,Assumptions!$112:$112,Assumptions!124:124)*DQ$108</f>
        <v>74.763000000000005</v>
      </c>
    </row>
    <row r="124" spans="4:121" x14ac:dyDescent="0.35">
      <c r="D124" s="20" t="s">
        <v>26</v>
      </c>
    </row>
    <row r="125" spans="4:121" x14ac:dyDescent="0.35">
      <c r="E125" s="20" t="s">
        <v>35</v>
      </c>
      <c r="F125" s="20" t="s">
        <v>129</v>
      </c>
      <c r="I125" s="54">
        <f>SUM(K125:DQ125)</f>
        <v>776382.95765976049</v>
      </c>
      <c r="K125" s="20">
        <f>K111*K31</f>
        <v>0</v>
      </c>
      <c r="L125" s="20">
        <f t="shared" ref="L125:AP125" si="465">L111*L31</f>
        <v>0</v>
      </c>
      <c r="M125" s="20">
        <f t="shared" si="465"/>
        <v>0</v>
      </c>
      <c r="N125" s="20">
        <f t="shared" si="465"/>
        <v>0</v>
      </c>
      <c r="O125" s="20">
        <f t="shared" si="465"/>
        <v>0</v>
      </c>
      <c r="P125" s="20">
        <f t="shared" si="465"/>
        <v>0</v>
      </c>
      <c r="Q125" s="20">
        <f t="shared" si="465"/>
        <v>0</v>
      </c>
      <c r="R125" s="20">
        <f t="shared" si="465"/>
        <v>0</v>
      </c>
      <c r="S125" s="20">
        <f t="shared" si="465"/>
        <v>0</v>
      </c>
      <c r="T125" s="20">
        <f t="shared" si="465"/>
        <v>0</v>
      </c>
      <c r="U125" s="20">
        <f t="shared" si="465"/>
        <v>0</v>
      </c>
      <c r="V125" s="20">
        <f t="shared" si="465"/>
        <v>21079.614264016614</v>
      </c>
      <c r="W125" s="20">
        <f t="shared" si="465"/>
        <v>0</v>
      </c>
      <c r="X125" s="20">
        <f t="shared" si="465"/>
        <v>0</v>
      </c>
      <c r="Y125" s="20">
        <f t="shared" si="465"/>
        <v>0</v>
      </c>
      <c r="Z125" s="20">
        <f t="shared" si="465"/>
        <v>20974.740561210565</v>
      </c>
      <c r="AA125" s="20">
        <f t="shared" si="465"/>
        <v>0</v>
      </c>
      <c r="AB125" s="20">
        <f t="shared" si="465"/>
        <v>0</v>
      </c>
      <c r="AC125" s="20">
        <f t="shared" si="465"/>
        <v>0</v>
      </c>
      <c r="AD125" s="20">
        <f t="shared" si="465"/>
        <v>21582.202691043578</v>
      </c>
      <c r="AE125" s="20">
        <f t="shared" si="465"/>
        <v>0</v>
      </c>
      <c r="AF125" s="20">
        <f t="shared" si="465"/>
        <v>0</v>
      </c>
      <c r="AG125" s="20">
        <f t="shared" si="465"/>
        <v>0</v>
      </c>
      <c r="AH125" s="20">
        <f t="shared" si="465"/>
        <v>21965.897626803267</v>
      </c>
      <c r="AI125" s="20">
        <f t="shared" si="465"/>
        <v>0</v>
      </c>
      <c r="AJ125" s="20">
        <f t="shared" si="465"/>
        <v>0</v>
      </c>
      <c r="AK125" s="20">
        <f t="shared" si="465"/>
        <v>0</v>
      </c>
      <c r="AL125" s="20">
        <f t="shared" si="465"/>
        <v>2195.0581082640297</v>
      </c>
      <c r="AM125" s="20">
        <f t="shared" si="465"/>
        <v>0</v>
      </c>
      <c r="AN125" s="20">
        <f t="shared" si="465"/>
        <v>0</v>
      </c>
      <c r="AO125" s="20">
        <f t="shared" si="465"/>
        <v>0</v>
      </c>
      <c r="AP125" s="20">
        <f t="shared" si="465"/>
        <v>4688.0415366812558</v>
      </c>
      <c r="AQ125" s="20">
        <f t="shared" ref="AQ125:BV125" si="466">AQ111*AQ31</f>
        <v>0</v>
      </c>
      <c r="AR125" s="20">
        <f t="shared" si="466"/>
        <v>0</v>
      </c>
      <c r="AS125" s="20">
        <f t="shared" si="466"/>
        <v>0</v>
      </c>
      <c r="AT125" s="20">
        <f t="shared" si="466"/>
        <v>11751.572546241527</v>
      </c>
      <c r="AU125" s="20">
        <f t="shared" si="466"/>
        <v>0</v>
      </c>
      <c r="AV125" s="20">
        <f t="shared" si="466"/>
        <v>0</v>
      </c>
      <c r="AW125" s="20">
        <f t="shared" si="466"/>
        <v>0</v>
      </c>
      <c r="AX125" s="20">
        <f t="shared" si="466"/>
        <v>26817.821328745355</v>
      </c>
      <c r="AY125" s="20">
        <f t="shared" si="466"/>
        <v>0</v>
      </c>
      <c r="AZ125" s="20">
        <f t="shared" si="466"/>
        <v>0</v>
      </c>
      <c r="BA125" s="20">
        <f t="shared" si="466"/>
        <v>0</v>
      </c>
      <c r="BB125" s="20">
        <f t="shared" si="466"/>
        <v>26822.565017270048</v>
      </c>
      <c r="BC125" s="20">
        <f t="shared" si="466"/>
        <v>0</v>
      </c>
      <c r="BD125" s="20">
        <f t="shared" si="466"/>
        <v>0</v>
      </c>
      <c r="BE125" s="20">
        <f t="shared" si="466"/>
        <v>0</v>
      </c>
      <c r="BF125" s="20">
        <f t="shared" si="466"/>
        <v>27908.093624455782</v>
      </c>
      <c r="BG125" s="20">
        <f t="shared" si="466"/>
        <v>0</v>
      </c>
      <c r="BH125" s="20">
        <f t="shared" si="466"/>
        <v>0</v>
      </c>
      <c r="BI125" s="20">
        <f t="shared" si="466"/>
        <v>0</v>
      </c>
      <c r="BJ125" s="20">
        <f t="shared" si="466"/>
        <v>29228.386823315541</v>
      </c>
      <c r="BK125" s="20">
        <f t="shared" si="466"/>
        <v>0</v>
      </c>
      <c r="BL125" s="20">
        <f t="shared" si="466"/>
        <v>0</v>
      </c>
      <c r="BM125" s="20">
        <f t="shared" si="466"/>
        <v>0</v>
      </c>
      <c r="BN125" s="20">
        <f t="shared" si="466"/>
        <v>31006.713010693562</v>
      </c>
      <c r="BO125" s="20">
        <f t="shared" si="466"/>
        <v>0</v>
      </c>
      <c r="BP125" s="20">
        <f t="shared" si="466"/>
        <v>0</v>
      </c>
      <c r="BQ125" s="20">
        <f t="shared" si="466"/>
        <v>0</v>
      </c>
      <c r="BR125" s="20">
        <f t="shared" si="466"/>
        <v>32658.271696733962</v>
      </c>
      <c r="BS125" s="20">
        <f t="shared" si="466"/>
        <v>0</v>
      </c>
      <c r="BT125" s="20">
        <f t="shared" si="466"/>
        <v>0</v>
      </c>
      <c r="BU125" s="20">
        <f t="shared" si="466"/>
        <v>0</v>
      </c>
      <c r="BV125" s="20">
        <f t="shared" si="466"/>
        <v>33708.657543398818</v>
      </c>
      <c r="BW125" s="20">
        <f t="shared" ref="BW125:DB125" si="467">BW111*BW31</f>
        <v>0</v>
      </c>
      <c r="BX125" s="20">
        <f t="shared" si="467"/>
        <v>0</v>
      </c>
      <c r="BY125" s="20">
        <f t="shared" si="467"/>
        <v>0</v>
      </c>
      <c r="BZ125" s="20">
        <f t="shared" si="467"/>
        <v>34193.535282940451</v>
      </c>
      <c r="CA125" s="20">
        <f t="shared" si="467"/>
        <v>0</v>
      </c>
      <c r="CB125" s="20">
        <f t="shared" si="467"/>
        <v>0</v>
      </c>
      <c r="CC125" s="20">
        <f t="shared" si="467"/>
        <v>0</v>
      </c>
      <c r="CD125" s="20">
        <f t="shared" si="467"/>
        <v>35918.055597181046</v>
      </c>
      <c r="CE125" s="20">
        <f t="shared" si="467"/>
        <v>0</v>
      </c>
      <c r="CF125" s="20">
        <f t="shared" si="467"/>
        <v>0</v>
      </c>
      <c r="CG125" s="20">
        <f t="shared" si="467"/>
        <v>0</v>
      </c>
      <c r="CH125" s="20">
        <f t="shared" si="467"/>
        <v>36960.763338786019</v>
      </c>
      <c r="CI125" s="20">
        <f t="shared" si="467"/>
        <v>0</v>
      </c>
      <c r="CJ125" s="20">
        <f t="shared" si="467"/>
        <v>0</v>
      </c>
      <c r="CK125" s="20">
        <f t="shared" si="467"/>
        <v>0</v>
      </c>
      <c r="CL125" s="20">
        <f t="shared" si="467"/>
        <v>39462.929729013034</v>
      </c>
      <c r="CM125" s="20">
        <f t="shared" si="467"/>
        <v>0</v>
      </c>
      <c r="CN125" s="20">
        <f t="shared" si="467"/>
        <v>0</v>
      </c>
      <c r="CO125" s="20">
        <f t="shared" si="467"/>
        <v>0</v>
      </c>
      <c r="CP125" s="20">
        <f t="shared" si="467"/>
        <v>41492.375717235467</v>
      </c>
      <c r="CQ125" s="20">
        <f t="shared" si="467"/>
        <v>0</v>
      </c>
      <c r="CR125" s="20">
        <f t="shared" si="467"/>
        <v>0</v>
      </c>
      <c r="CS125" s="20">
        <f t="shared" si="467"/>
        <v>0</v>
      </c>
      <c r="CT125" s="20">
        <f t="shared" si="467"/>
        <v>43736.072876935941</v>
      </c>
      <c r="CU125" s="20">
        <f t="shared" si="467"/>
        <v>0</v>
      </c>
      <c r="CV125" s="20">
        <f t="shared" si="467"/>
        <v>0</v>
      </c>
      <c r="CW125" s="20">
        <f t="shared" si="467"/>
        <v>0</v>
      </c>
      <c r="CX125" s="20">
        <f t="shared" si="467"/>
        <v>45834.954614656512</v>
      </c>
      <c r="CY125" s="20">
        <f t="shared" si="467"/>
        <v>0</v>
      </c>
      <c r="CZ125" s="20">
        <f t="shared" si="467"/>
        <v>0</v>
      </c>
      <c r="DA125" s="20">
        <f t="shared" si="467"/>
        <v>0</v>
      </c>
      <c r="DB125" s="20">
        <f t="shared" si="467"/>
        <v>46280.27601707037</v>
      </c>
      <c r="DC125" s="20">
        <f t="shared" ref="DC125:DQ125" si="468">DC111*DC31</f>
        <v>0</v>
      </c>
      <c r="DD125" s="20">
        <f t="shared" si="468"/>
        <v>0</v>
      </c>
      <c r="DE125" s="20">
        <f t="shared" si="468"/>
        <v>0</v>
      </c>
      <c r="DF125" s="20">
        <f t="shared" si="468"/>
        <v>46419.388154591412</v>
      </c>
      <c r="DG125" s="20">
        <f t="shared" si="468"/>
        <v>0</v>
      </c>
      <c r="DH125" s="20">
        <f t="shared" si="468"/>
        <v>0</v>
      </c>
      <c r="DI125" s="20">
        <f t="shared" si="468"/>
        <v>0</v>
      </c>
      <c r="DJ125" s="20">
        <f t="shared" si="468"/>
        <v>46598.705992397816</v>
      </c>
      <c r="DK125" s="20">
        <f t="shared" si="468"/>
        <v>0</v>
      </c>
      <c r="DL125" s="20">
        <f t="shared" si="468"/>
        <v>0</v>
      </c>
      <c r="DM125" s="20">
        <f t="shared" si="468"/>
        <v>0</v>
      </c>
      <c r="DN125" s="20">
        <f t="shared" si="468"/>
        <v>47098.26396007841</v>
      </c>
      <c r="DO125" s="20">
        <f t="shared" si="468"/>
        <v>0</v>
      </c>
      <c r="DP125" s="20">
        <f t="shared" si="468"/>
        <v>0</v>
      </c>
      <c r="DQ125" s="20">
        <f t="shared" si="468"/>
        <v>0</v>
      </c>
    </row>
    <row r="126" spans="4:121" x14ac:dyDescent="0.35">
      <c r="E126" s="20" t="s">
        <v>36</v>
      </c>
      <c r="F126" s="20" t="s">
        <v>129</v>
      </c>
      <c r="I126" s="54">
        <f t="shared" ref="I126:I136" si="469">SUM(K126:DQ126)</f>
        <v>905780.1172697203</v>
      </c>
      <c r="K126" s="20">
        <f t="shared" ref="K126:AP126" si="470">K112*K32</f>
        <v>0</v>
      </c>
      <c r="L126" s="20">
        <f t="shared" si="470"/>
        <v>0</v>
      </c>
      <c r="M126" s="20">
        <f t="shared" si="470"/>
        <v>0</v>
      </c>
      <c r="N126" s="20">
        <f t="shared" si="470"/>
        <v>0</v>
      </c>
      <c r="O126" s="20">
        <f t="shared" si="470"/>
        <v>0</v>
      </c>
      <c r="P126" s="20">
        <f t="shared" si="470"/>
        <v>0</v>
      </c>
      <c r="Q126" s="20">
        <f t="shared" si="470"/>
        <v>0</v>
      </c>
      <c r="R126" s="20">
        <f t="shared" si="470"/>
        <v>0</v>
      </c>
      <c r="S126" s="20">
        <f t="shared" si="470"/>
        <v>0</v>
      </c>
      <c r="T126" s="20">
        <f t="shared" si="470"/>
        <v>0</v>
      </c>
      <c r="U126" s="20">
        <f t="shared" si="470"/>
        <v>0</v>
      </c>
      <c r="V126" s="20">
        <f t="shared" si="470"/>
        <v>24592.88330801938</v>
      </c>
      <c r="W126" s="20">
        <f t="shared" si="470"/>
        <v>0</v>
      </c>
      <c r="X126" s="20">
        <f t="shared" si="470"/>
        <v>0</v>
      </c>
      <c r="Y126" s="20">
        <f t="shared" si="470"/>
        <v>0</v>
      </c>
      <c r="Z126" s="20">
        <f t="shared" si="470"/>
        <v>24470.53065474566</v>
      </c>
      <c r="AA126" s="20">
        <f t="shared" si="470"/>
        <v>0</v>
      </c>
      <c r="AB126" s="20">
        <f t="shared" si="470"/>
        <v>0</v>
      </c>
      <c r="AC126" s="20">
        <f t="shared" si="470"/>
        <v>0</v>
      </c>
      <c r="AD126" s="20">
        <f t="shared" si="470"/>
        <v>25179.236472884175</v>
      </c>
      <c r="AE126" s="20">
        <f t="shared" si="470"/>
        <v>0</v>
      </c>
      <c r="AF126" s="20">
        <f t="shared" si="470"/>
        <v>0</v>
      </c>
      <c r="AG126" s="20">
        <f t="shared" si="470"/>
        <v>0</v>
      </c>
      <c r="AH126" s="20">
        <f t="shared" si="470"/>
        <v>25626.880564603809</v>
      </c>
      <c r="AI126" s="20">
        <f t="shared" si="470"/>
        <v>0</v>
      </c>
      <c r="AJ126" s="20">
        <f t="shared" si="470"/>
        <v>0</v>
      </c>
      <c r="AK126" s="20">
        <f t="shared" si="470"/>
        <v>0</v>
      </c>
      <c r="AL126" s="20">
        <f t="shared" si="470"/>
        <v>2560.9011263080347</v>
      </c>
      <c r="AM126" s="20">
        <f t="shared" si="470"/>
        <v>0</v>
      </c>
      <c r="AN126" s="20">
        <f t="shared" si="470"/>
        <v>0</v>
      </c>
      <c r="AO126" s="20">
        <f t="shared" si="470"/>
        <v>0</v>
      </c>
      <c r="AP126" s="20">
        <f t="shared" si="470"/>
        <v>5469.3817927947975</v>
      </c>
      <c r="AQ126" s="20">
        <f t="shared" ref="AQ126:BV126" si="471">AQ112*AQ32</f>
        <v>0</v>
      </c>
      <c r="AR126" s="20">
        <f t="shared" si="471"/>
        <v>0</v>
      </c>
      <c r="AS126" s="20">
        <f t="shared" si="471"/>
        <v>0</v>
      </c>
      <c r="AT126" s="20">
        <f t="shared" si="471"/>
        <v>13710.167970615112</v>
      </c>
      <c r="AU126" s="20">
        <f t="shared" si="471"/>
        <v>0</v>
      </c>
      <c r="AV126" s="20">
        <f t="shared" si="471"/>
        <v>0</v>
      </c>
      <c r="AW126" s="20">
        <f t="shared" si="471"/>
        <v>0</v>
      </c>
      <c r="AX126" s="20">
        <f t="shared" si="471"/>
        <v>31287.458216869574</v>
      </c>
      <c r="AY126" s="20">
        <f t="shared" si="471"/>
        <v>0</v>
      </c>
      <c r="AZ126" s="20">
        <f t="shared" si="471"/>
        <v>0</v>
      </c>
      <c r="BA126" s="20">
        <f t="shared" si="471"/>
        <v>0</v>
      </c>
      <c r="BB126" s="20">
        <f t="shared" si="471"/>
        <v>31292.992520148393</v>
      </c>
      <c r="BC126" s="20">
        <f t="shared" si="471"/>
        <v>0</v>
      </c>
      <c r="BD126" s="20">
        <f t="shared" si="471"/>
        <v>0</v>
      </c>
      <c r="BE126" s="20">
        <f t="shared" si="471"/>
        <v>0</v>
      </c>
      <c r="BF126" s="20">
        <f t="shared" si="471"/>
        <v>32559.442561865078</v>
      </c>
      <c r="BG126" s="20">
        <f t="shared" si="471"/>
        <v>0</v>
      </c>
      <c r="BH126" s="20">
        <f t="shared" si="471"/>
        <v>0</v>
      </c>
      <c r="BI126" s="20">
        <f t="shared" si="471"/>
        <v>0</v>
      </c>
      <c r="BJ126" s="20">
        <f t="shared" si="471"/>
        <v>34099.784627201465</v>
      </c>
      <c r="BK126" s="20">
        <f t="shared" si="471"/>
        <v>0</v>
      </c>
      <c r="BL126" s="20">
        <f t="shared" si="471"/>
        <v>0</v>
      </c>
      <c r="BM126" s="20">
        <f t="shared" si="471"/>
        <v>0</v>
      </c>
      <c r="BN126" s="20">
        <f t="shared" si="471"/>
        <v>36174.498512475824</v>
      </c>
      <c r="BO126" s="20">
        <f t="shared" si="471"/>
        <v>0</v>
      </c>
      <c r="BP126" s="20">
        <f t="shared" si="471"/>
        <v>0</v>
      </c>
      <c r="BQ126" s="20">
        <f t="shared" si="471"/>
        <v>0</v>
      </c>
      <c r="BR126" s="20">
        <f t="shared" si="471"/>
        <v>38101.316979522962</v>
      </c>
      <c r="BS126" s="20">
        <f t="shared" si="471"/>
        <v>0</v>
      </c>
      <c r="BT126" s="20">
        <f t="shared" si="471"/>
        <v>0</v>
      </c>
      <c r="BU126" s="20">
        <f t="shared" si="471"/>
        <v>0</v>
      </c>
      <c r="BV126" s="20">
        <f t="shared" si="471"/>
        <v>39326.767133965295</v>
      </c>
      <c r="BW126" s="20">
        <f t="shared" ref="BW126:DB126" si="472">BW112*BW32</f>
        <v>0</v>
      </c>
      <c r="BX126" s="20">
        <f t="shared" si="472"/>
        <v>0</v>
      </c>
      <c r="BY126" s="20">
        <f t="shared" si="472"/>
        <v>0</v>
      </c>
      <c r="BZ126" s="20">
        <f t="shared" si="472"/>
        <v>39892.457830097192</v>
      </c>
      <c r="CA126" s="20">
        <f t="shared" si="472"/>
        <v>0</v>
      </c>
      <c r="CB126" s="20">
        <f t="shared" si="472"/>
        <v>0</v>
      </c>
      <c r="CC126" s="20">
        <f t="shared" si="472"/>
        <v>0</v>
      </c>
      <c r="CD126" s="20">
        <f t="shared" si="472"/>
        <v>41904.398196711212</v>
      </c>
      <c r="CE126" s="20">
        <f t="shared" si="472"/>
        <v>0</v>
      </c>
      <c r="CF126" s="20">
        <f t="shared" si="472"/>
        <v>0</v>
      </c>
      <c r="CG126" s="20">
        <f t="shared" si="472"/>
        <v>0</v>
      </c>
      <c r="CH126" s="20">
        <f t="shared" si="472"/>
        <v>43120.890561917025</v>
      </c>
      <c r="CI126" s="20">
        <f t="shared" si="472"/>
        <v>0</v>
      </c>
      <c r="CJ126" s="20">
        <f t="shared" si="472"/>
        <v>0</v>
      </c>
      <c r="CK126" s="20">
        <f t="shared" si="472"/>
        <v>0</v>
      </c>
      <c r="CL126" s="20">
        <f t="shared" si="472"/>
        <v>46040.084683848545</v>
      </c>
      <c r="CM126" s="20">
        <f t="shared" si="472"/>
        <v>0</v>
      </c>
      <c r="CN126" s="20">
        <f t="shared" si="472"/>
        <v>0</v>
      </c>
      <c r="CO126" s="20">
        <f t="shared" si="472"/>
        <v>0</v>
      </c>
      <c r="CP126" s="20">
        <f t="shared" si="472"/>
        <v>48407.77167010805</v>
      </c>
      <c r="CQ126" s="20">
        <f t="shared" si="472"/>
        <v>0</v>
      </c>
      <c r="CR126" s="20">
        <f t="shared" si="472"/>
        <v>0</v>
      </c>
      <c r="CS126" s="20">
        <f t="shared" si="472"/>
        <v>0</v>
      </c>
      <c r="CT126" s="20">
        <f t="shared" si="472"/>
        <v>51025.41835642526</v>
      </c>
      <c r="CU126" s="20">
        <f t="shared" si="472"/>
        <v>0</v>
      </c>
      <c r="CV126" s="20">
        <f t="shared" si="472"/>
        <v>0</v>
      </c>
      <c r="CW126" s="20">
        <f t="shared" si="472"/>
        <v>0</v>
      </c>
      <c r="CX126" s="20">
        <f t="shared" si="472"/>
        <v>53474.113717099266</v>
      </c>
      <c r="CY126" s="20">
        <f t="shared" si="472"/>
        <v>0</v>
      </c>
      <c r="CZ126" s="20">
        <f t="shared" si="472"/>
        <v>0</v>
      </c>
      <c r="DA126" s="20">
        <f t="shared" si="472"/>
        <v>0</v>
      </c>
      <c r="DB126" s="20">
        <f t="shared" si="472"/>
        <v>53993.65535324876</v>
      </c>
      <c r="DC126" s="20">
        <f t="shared" ref="DC126:DQ126" si="473">DC112*DC32</f>
        <v>0</v>
      </c>
      <c r="DD126" s="20">
        <f t="shared" si="473"/>
        <v>0</v>
      </c>
      <c r="DE126" s="20">
        <f t="shared" si="473"/>
        <v>0</v>
      </c>
      <c r="DF126" s="20">
        <f t="shared" si="473"/>
        <v>54155.952847023313</v>
      </c>
      <c r="DG126" s="20">
        <f t="shared" si="473"/>
        <v>0</v>
      </c>
      <c r="DH126" s="20">
        <f t="shared" si="473"/>
        <v>0</v>
      </c>
      <c r="DI126" s="20">
        <f t="shared" si="473"/>
        <v>0</v>
      </c>
      <c r="DJ126" s="20">
        <f t="shared" si="473"/>
        <v>54365.156991130789</v>
      </c>
      <c r="DK126" s="20">
        <f t="shared" si="473"/>
        <v>0</v>
      </c>
      <c r="DL126" s="20">
        <f t="shared" si="473"/>
        <v>0</v>
      </c>
      <c r="DM126" s="20">
        <f t="shared" si="473"/>
        <v>0</v>
      </c>
      <c r="DN126" s="20">
        <f t="shared" si="473"/>
        <v>54947.974620091481</v>
      </c>
      <c r="DO126" s="20">
        <f t="shared" si="473"/>
        <v>0</v>
      </c>
      <c r="DP126" s="20">
        <f t="shared" si="473"/>
        <v>0</v>
      </c>
      <c r="DQ126" s="20">
        <f t="shared" si="473"/>
        <v>0</v>
      </c>
    </row>
    <row r="127" spans="4:121" x14ac:dyDescent="0.35">
      <c r="E127" s="20" t="s">
        <v>37</v>
      </c>
      <c r="F127" s="20" t="s">
        <v>129</v>
      </c>
      <c r="I127" s="54">
        <f t="shared" si="469"/>
        <v>1259920.6507150906</v>
      </c>
      <c r="K127" s="20">
        <f t="shared" ref="K127:AP127" si="474">K113*K33</f>
        <v>0</v>
      </c>
      <c r="L127" s="20">
        <f t="shared" si="474"/>
        <v>0</v>
      </c>
      <c r="M127" s="20">
        <f t="shared" si="474"/>
        <v>0</v>
      </c>
      <c r="N127" s="20">
        <f t="shared" si="474"/>
        <v>0</v>
      </c>
      <c r="O127" s="20">
        <f t="shared" si="474"/>
        <v>0</v>
      </c>
      <c r="P127" s="20">
        <f t="shared" si="474"/>
        <v>0</v>
      </c>
      <c r="Q127" s="20">
        <f t="shared" si="474"/>
        <v>0</v>
      </c>
      <c r="R127" s="20">
        <f t="shared" si="474"/>
        <v>0</v>
      </c>
      <c r="S127" s="20">
        <f t="shared" si="474"/>
        <v>0</v>
      </c>
      <c r="T127" s="20">
        <f t="shared" si="474"/>
        <v>0</v>
      </c>
      <c r="U127" s="20">
        <f t="shared" si="474"/>
        <v>0</v>
      </c>
      <c r="V127" s="20">
        <f t="shared" si="474"/>
        <v>0</v>
      </c>
      <c r="W127" s="20">
        <f t="shared" si="474"/>
        <v>34699.034509253732</v>
      </c>
      <c r="X127" s="20">
        <f t="shared" si="474"/>
        <v>0</v>
      </c>
      <c r="Y127" s="20">
        <f t="shared" si="474"/>
        <v>0</v>
      </c>
      <c r="Z127" s="20">
        <f t="shared" si="474"/>
        <v>0</v>
      </c>
      <c r="AA127" s="20">
        <f t="shared" si="474"/>
        <v>34526.402496769901</v>
      </c>
      <c r="AB127" s="20">
        <f t="shared" si="474"/>
        <v>0</v>
      </c>
      <c r="AC127" s="20">
        <f t="shared" si="474"/>
        <v>0</v>
      </c>
      <c r="AD127" s="20">
        <f t="shared" si="474"/>
        <v>0</v>
      </c>
      <c r="AE127" s="20">
        <f t="shared" si="474"/>
        <v>35526.342492926356</v>
      </c>
      <c r="AF127" s="20">
        <f t="shared" si="474"/>
        <v>0</v>
      </c>
      <c r="AG127" s="20">
        <f t="shared" si="474"/>
        <v>0</v>
      </c>
      <c r="AH127" s="20">
        <f t="shared" si="474"/>
        <v>0</v>
      </c>
      <c r="AI127" s="20">
        <f t="shared" si="474"/>
        <v>18078.970284581213</v>
      </c>
      <c r="AJ127" s="20">
        <f t="shared" si="474"/>
        <v>0</v>
      </c>
      <c r="AK127" s="20">
        <f t="shared" si="474"/>
        <v>0</v>
      </c>
      <c r="AL127" s="20">
        <f t="shared" si="474"/>
        <v>0</v>
      </c>
      <c r="AM127" s="20">
        <f t="shared" si="474"/>
        <v>3613.2728091940753</v>
      </c>
      <c r="AN127" s="20">
        <f t="shared" si="474"/>
        <v>0</v>
      </c>
      <c r="AO127" s="20">
        <f t="shared" si="474"/>
        <v>0</v>
      </c>
      <c r="AP127" s="20">
        <f t="shared" si="474"/>
        <v>0</v>
      </c>
      <c r="AQ127" s="20">
        <f t="shared" ref="AQ127:BV127" si="475">AQ113*AQ33</f>
        <v>7716.9588126572171</v>
      </c>
      <c r="AR127" s="20">
        <f t="shared" si="475"/>
        <v>0</v>
      </c>
      <c r="AS127" s="20">
        <f t="shared" si="475"/>
        <v>0</v>
      </c>
      <c r="AT127" s="20">
        <f t="shared" si="475"/>
        <v>0</v>
      </c>
      <c r="AU127" s="20">
        <f t="shared" si="475"/>
        <v>19344.197489235048</v>
      </c>
      <c r="AV127" s="20">
        <f t="shared" si="475"/>
        <v>0</v>
      </c>
      <c r="AW127" s="20">
        <f t="shared" si="475"/>
        <v>0</v>
      </c>
      <c r="AX127" s="20">
        <f t="shared" si="475"/>
        <v>0</v>
      </c>
      <c r="AY127" s="20">
        <f t="shared" si="475"/>
        <v>44144.664892545508</v>
      </c>
      <c r="AZ127" s="20">
        <f t="shared" si="475"/>
        <v>0</v>
      </c>
      <c r="BA127" s="20">
        <f t="shared" si="475"/>
        <v>0</v>
      </c>
      <c r="BB127" s="20">
        <f t="shared" si="475"/>
        <v>0</v>
      </c>
      <c r="BC127" s="20">
        <f t="shared" si="475"/>
        <v>44152.473451552236</v>
      </c>
      <c r="BD127" s="20">
        <f t="shared" si="475"/>
        <v>0</v>
      </c>
      <c r="BE127" s="20">
        <f t="shared" si="475"/>
        <v>0</v>
      </c>
      <c r="BF127" s="20">
        <f t="shared" si="475"/>
        <v>0</v>
      </c>
      <c r="BG127" s="20">
        <f t="shared" si="475"/>
        <v>45939.355987909563</v>
      </c>
      <c r="BH127" s="20">
        <f t="shared" si="475"/>
        <v>0</v>
      </c>
      <c r="BI127" s="20">
        <f t="shared" si="475"/>
        <v>0</v>
      </c>
      <c r="BJ127" s="20">
        <f t="shared" si="475"/>
        <v>0</v>
      </c>
      <c r="BK127" s="20">
        <f t="shared" si="475"/>
        <v>48112.683198539373</v>
      </c>
      <c r="BL127" s="20">
        <f t="shared" si="475"/>
        <v>0</v>
      </c>
      <c r="BM127" s="20">
        <f t="shared" si="475"/>
        <v>0</v>
      </c>
      <c r="BN127" s="20">
        <f t="shared" si="475"/>
        <v>0</v>
      </c>
      <c r="BO127" s="20">
        <f t="shared" si="475"/>
        <v>51039.975936048031</v>
      </c>
      <c r="BP127" s="20">
        <f t="shared" si="475"/>
        <v>0</v>
      </c>
      <c r="BQ127" s="20">
        <f t="shared" si="475"/>
        <v>0</v>
      </c>
      <c r="BR127" s="20">
        <f t="shared" si="475"/>
        <v>0</v>
      </c>
      <c r="BS127" s="20">
        <f t="shared" si="475"/>
        <v>53758.597402418927</v>
      </c>
      <c r="BT127" s="20">
        <f t="shared" si="475"/>
        <v>0</v>
      </c>
      <c r="BU127" s="20">
        <f t="shared" si="475"/>
        <v>0</v>
      </c>
      <c r="BV127" s="20">
        <f t="shared" si="475"/>
        <v>0</v>
      </c>
      <c r="BW127" s="20">
        <f t="shared" ref="BW127:DB127" si="476">BW113*BW33</f>
        <v>55487.631638290688</v>
      </c>
      <c r="BX127" s="20">
        <f t="shared" si="476"/>
        <v>0</v>
      </c>
      <c r="BY127" s="20">
        <f t="shared" si="476"/>
        <v>0</v>
      </c>
      <c r="BZ127" s="20">
        <f t="shared" si="476"/>
        <v>0</v>
      </c>
      <c r="CA127" s="20">
        <f t="shared" si="476"/>
        <v>56285.786158880946</v>
      </c>
      <c r="CB127" s="20">
        <f t="shared" si="476"/>
        <v>0</v>
      </c>
      <c r="CC127" s="20">
        <f t="shared" si="476"/>
        <v>0</v>
      </c>
      <c r="CD127" s="20">
        <f t="shared" si="476"/>
        <v>0</v>
      </c>
      <c r="CE127" s="20">
        <f t="shared" si="476"/>
        <v>59124.509351168701</v>
      </c>
      <c r="CF127" s="20">
        <f t="shared" si="476"/>
        <v>0</v>
      </c>
      <c r="CG127" s="20">
        <f t="shared" si="476"/>
        <v>0</v>
      </c>
      <c r="CH127" s="20">
        <f t="shared" si="476"/>
        <v>0</v>
      </c>
      <c r="CI127" s="20">
        <f t="shared" si="476"/>
        <v>60840.904701475418</v>
      </c>
      <c r="CJ127" s="20">
        <f t="shared" si="476"/>
        <v>0</v>
      </c>
      <c r="CK127" s="20">
        <f t="shared" si="476"/>
        <v>0</v>
      </c>
      <c r="CL127" s="20">
        <f t="shared" si="476"/>
        <v>0</v>
      </c>
      <c r="CM127" s="20">
        <f t="shared" si="476"/>
        <v>64959.706726737822</v>
      </c>
      <c r="CN127" s="20">
        <f t="shared" si="476"/>
        <v>0</v>
      </c>
      <c r="CO127" s="20">
        <f t="shared" si="476"/>
        <v>0</v>
      </c>
      <c r="CP127" s="20">
        <f t="shared" si="476"/>
        <v>0</v>
      </c>
      <c r="CQ127" s="20">
        <f t="shared" si="476"/>
        <v>68300.366356368948</v>
      </c>
      <c r="CR127" s="20">
        <f t="shared" si="476"/>
        <v>0</v>
      </c>
      <c r="CS127" s="20">
        <f t="shared" si="476"/>
        <v>0</v>
      </c>
      <c r="CT127" s="20">
        <f t="shared" si="476"/>
        <v>0</v>
      </c>
      <c r="CU127" s="20">
        <f t="shared" si="476"/>
        <v>71993.703634634992</v>
      </c>
      <c r="CV127" s="20">
        <f t="shared" si="476"/>
        <v>0</v>
      </c>
      <c r="CW127" s="20">
        <f t="shared" si="476"/>
        <v>0</v>
      </c>
      <c r="CX127" s="20">
        <f t="shared" si="476"/>
        <v>0</v>
      </c>
      <c r="CY127" s="20">
        <f t="shared" si="476"/>
        <v>75448.661061077539</v>
      </c>
      <c r="CZ127" s="20">
        <f t="shared" si="476"/>
        <v>0</v>
      </c>
      <c r="DA127" s="20">
        <f t="shared" si="476"/>
        <v>0</v>
      </c>
      <c r="DB127" s="20">
        <f t="shared" si="476"/>
        <v>0</v>
      </c>
      <c r="DC127" s="20">
        <f t="shared" ref="DC127:DQ127" si="477">DC113*DC33</f>
        <v>76181.702117547204</v>
      </c>
      <c r="DD127" s="20">
        <f t="shared" si="477"/>
        <v>0</v>
      </c>
      <c r="DE127" s="20">
        <f t="shared" si="477"/>
        <v>0</v>
      </c>
      <c r="DF127" s="20">
        <f t="shared" si="477"/>
        <v>0</v>
      </c>
      <c r="DG127" s="20">
        <f t="shared" si="477"/>
        <v>76410.693824892558</v>
      </c>
      <c r="DH127" s="20">
        <f t="shared" si="477"/>
        <v>0</v>
      </c>
      <c r="DI127" s="20">
        <f t="shared" si="477"/>
        <v>0</v>
      </c>
      <c r="DJ127" s="20">
        <f t="shared" si="477"/>
        <v>0</v>
      </c>
      <c r="DK127" s="20">
        <f t="shared" si="477"/>
        <v>76705.867909400869</v>
      </c>
      <c r="DL127" s="20">
        <f t="shared" si="477"/>
        <v>0</v>
      </c>
      <c r="DM127" s="20">
        <f t="shared" si="477"/>
        <v>0</v>
      </c>
      <c r="DN127" s="20">
        <f t="shared" si="477"/>
        <v>0</v>
      </c>
      <c r="DO127" s="20">
        <f t="shared" si="477"/>
        <v>77528.187470983714</v>
      </c>
      <c r="DP127" s="20">
        <f t="shared" si="477"/>
        <v>0</v>
      </c>
      <c r="DQ127" s="20">
        <f t="shared" si="477"/>
        <v>0</v>
      </c>
    </row>
    <row r="128" spans="4:121" x14ac:dyDescent="0.35">
      <c r="E128" s="20" t="s">
        <v>38</v>
      </c>
      <c r="F128" s="20" t="s">
        <v>129</v>
      </c>
      <c r="I128" s="54">
        <f t="shared" si="469"/>
        <v>1312371.8526824485</v>
      </c>
      <c r="K128" s="20">
        <f t="shared" ref="K128:AP128" si="478">K114*K34</f>
        <v>0</v>
      </c>
      <c r="L128" s="20">
        <f t="shared" si="478"/>
        <v>0</v>
      </c>
      <c r="M128" s="20">
        <f t="shared" si="478"/>
        <v>0</v>
      </c>
      <c r="N128" s="20">
        <f t="shared" si="478"/>
        <v>0</v>
      </c>
      <c r="O128" s="20">
        <f t="shared" si="478"/>
        <v>0</v>
      </c>
      <c r="P128" s="20">
        <f t="shared" si="478"/>
        <v>0</v>
      </c>
      <c r="Q128" s="20">
        <f t="shared" si="478"/>
        <v>0</v>
      </c>
      <c r="R128" s="20">
        <f t="shared" si="478"/>
        <v>0</v>
      </c>
      <c r="S128" s="20">
        <f t="shared" si="478"/>
        <v>0</v>
      </c>
      <c r="T128" s="20">
        <f t="shared" si="478"/>
        <v>0</v>
      </c>
      <c r="U128" s="20">
        <f t="shared" si="478"/>
        <v>0</v>
      </c>
      <c r="V128" s="20">
        <f t="shared" si="478"/>
        <v>0</v>
      </c>
      <c r="W128" s="20">
        <f t="shared" si="478"/>
        <v>36648.418470447767</v>
      </c>
      <c r="X128" s="20">
        <f t="shared" si="478"/>
        <v>0</v>
      </c>
      <c r="Y128" s="20">
        <f t="shared" si="478"/>
        <v>0</v>
      </c>
      <c r="Z128" s="20">
        <f t="shared" si="478"/>
        <v>0</v>
      </c>
      <c r="AA128" s="20">
        <f t="shared" si="478"/>
        <v>36466.088030296305</v>
      </c>
      <c r="AB128" s="20">
        <f t="shared" si="478"/>
        <v>0</v>
      </c>
      <c r="AC128" s="20">
        <f t="shared" si="478"/>
        <v>0</v>
      </c>
      <c r="AD128" s="20">
        <f t="shared" si="478"/>
        <v>0</v>
      </c>
      <c r="AE128" s="20">
        <f t="shared" si="478"/>
        <v>37522.20443073121</v>
      </c>
      <c r="AF128" s="20">
        <f t="shared" si="478"/>
        <v>0</v>
      </c>
      <c r="AG128" s="20">
        <f t="shared" si="478"/>
        <v>0</v>
      </c>
      <c r="AH128" s="20">
        <f t="shared" si="478"/>
        <v>0</v>
      </c>
      <c r="AI128" s="20">
        <f t="shared" si="478"/>
        <v>763.78571089916147</v>
      </c>
      <c r="AJ128" s="20">
        <f t="shared" si="478"/>
        <v>0</v>
      </c>
      <c r="AK128" s="20">
        <f t="shared" si="478"/>
        <v>0</v>
      </c>
      <c r="AL128" s="20">
        <f t="shared" si="478"/>
        <v>0</v>
      </c>
      <c r="AM128" s="20">
        <f t="shared" si="478"/>
        <v>3816.2656636431807</v>
      </c>
      <c r="AN128" s="20">
        <f t="shared" si="478"/>
        <v>0</v>
      </c>
      <c r="AO128" s="20">
        <f t="shared" si="478"/>
        <v>0</v>
      </c>
      <c r="AP128" s="20">
        <f t="shared" si="478"/>
        <v>0</v>
      </c>
      <c r="AQ128" s="20">
        <f t="shared" ref="AQ128:BV128" si="479">AQ114*AQ34</f>
        <v>8150.4958246042524</v>
      </c>
      <c r="AR128" s="20">
        <f t="shared" si="479"/>
        <v>0</v>
      </c>
      <c r="AS128" s="20">
        <f t="shared" si="479"/>
        <v>0</v>
      </c>
      <c r="AT128" s="20">
        <f t="shared" si="479"/>
        <v>0</v>
      </c>
      <c r="AU128" s="20">
        <f t="shared" si="479"/>
        <v>20430.950157169602</v>
      </c>
      <c r="AV128" s="20">
        <f t="shared" si="479"/>
        <v>0</v>
      </c>
      <c r="AW128" s="20">
        <f t="shared" si="479"/>
        <v>0</v>
      </c>
      <c r="AX128" s="20">
        <f t="shared" si="479"/>
        <v>0</v>
      </c>
      <c r="AY128" s="20">
        <f t="shared" si="479"/>
        <v>46624.702246059314</v>
      </c>
      <c r="AZ128" s="20">
        <f t="shared" si="479"/>
        <v>0</v>
      </c>
      <c r="BA128" s="20">
        <f t="shared" si="479"/>
        <v>0</v>
      </c>
      <c r="BB128" s="20">
        <f t="shared" si="479"/>
        <v>0</v>
      </c>
      <c r="BC128" s="20">
        <f t="shared" si="479"/>
        <v>46632.949488156308</v>
      </c>
      <c r="BD128" s="20">
        <f t="shared" si="479"/>
        <v>0</v>
      </c>
      <c r="BE128" s="20">
        <f t="shared" si="479"/>
        <v>0</v>
      </c>
      <c r="BF128" s="20">
        <f t="shared" si="479"/>
        <v>0</v>
      </c>
      <c r="BG128" s="20">
        <f t="shared" si="479"/>
        <v>48520.218683859544</v>
      </c>
      <c r="BH128" s="20">
        <f t="shared" si="479"/>
        <v>0</v>
      </c>
      <c r="BI128" s="20">
        <f t="shared" si="479"/>
        <v>0</v>
      </c>
      <c r="BJ128" s="20">
        <f t="shared" si="479"/>
        <v>0</v>
      </c>
      <c r="BK128" s="20">
        <f t="shared" si="479"/>
        <v>50815.642928794405</v>
      </c>
      <c r="BL128" s="20">
        <f t="shared" si="479"/>
        <v>0</v>
      </c>
      <c r="BM128" s="20">
        <f t="shared" si="479"/>
        <v>0</v>
      </c>
      <c r="BN128" s="20">
        <f t="shared" si="479"/>
        <v>0</v>
      </c>
      <c r="BO128" s="20">
        <f t="shared" si="479"/>
        <v>53907.390314477707</v>
      </c>
      <c r="BP128" s="20">
        <f t="shared" si="479"/>
        <v>0</v>
      </c>
      <c r="BQ128" s="20">
        <f t="shared" si="479"/>
        <v>0</v>
      </c>
      <c r="BR128" s="20">
        <f t="shared" si="479"/>
        <v>0</v>
      </c>
      <c r="BS128" s="20">
        <f t="shared" si="479"/>
        <v>56778.743323903145</v>
      </c>
      <c r="BT128" s="20">
        <f t="shared" si="479"/>
        <v>0</v>
      </c>
      <c r="BU128" s="20">
        <f t="shared" si="479"/>
        <v>0</v>
      </c>
      <c r="BV128" s="20">
        <f t="shared" si="479"/>
        <v>0</v>
      </c>
      <c r="BW128" s="20">
        <f t="shared" ref="BW128:DB128" si="480">BW114*BW34</f>
        <v>58604.914314599169</v>
      </c>
      <c r="BX128" s="20">
        <f t="shared" si="480"/>
        <v>0</v>
      </c>
      <c r="BY128" s="20">
        <f t="shared" si="480"/>
        <v>0</v>
      </c>
      <c r="BZ128" s="20">
        <f t="shared" si="480"/>
        <v>0</v>
      </c>
      <c r="CA128" s="20">
        <f t="shared" si="480"/>
        <v>59447.908976795617</v>
      </c>
      <c r="CB128" s="20">
        <f t="shared" si="480"/>
        <v>0</v>
      </c>
      <c r="CC128" s="20">
        <f t="shared" si="480"/>
        <v>0</v>
      </c>
      <c r="CD128" s="20">
        <f t="shared" si="480"/>
        <v>0</v>
      </c>
      <c r="CE128" s="20">
        <f t="shared" si="480"/>
        <v>62446.111000110766</v>
      </c>
      <c r="CF128" s="20">
        <f t="shared" si="480"/>
        <v>0</v>
      </c>
      <c r="CG128" s="20">
        <f t="shared" si="480"/>
        <v>0</v>
      </c>
      <c r="CH128" s="20">
        <f t="shared" si="480"/>
        <v>0</v>
      </c>
      <c r="CI128" s="20">
        <f t="shared" si="480"/>
        <v>64258.933055490903</v>
      </c>
      <c r="CJ128" s="20">
        <f t="shared" si="480"/>
        <v>0</v>
      </c>
      <c r="CK128" s="20">
        <f t="shared" si="480"/>
        <v>0</v>
      </c>
      <c r="CL128" s="20">
        <f t="shared" si="480"/>
        <v>0</v>
      </c>
      <c r="CM128" s="20">
        <f t="shared" si="480"/>
        <v>68609.128452959063</v>
      </c>
      <c r="CN128" s="20">
        <f t="shared" si="480"/>
        <v>0</v>
      </c>
      <c r="CO128" s="20">
        <f t="shared" si="480"/>
        <v>0</v>
      </c>
      <c r="CP128" s="20">
        <f t="shared" si="480"/>
        <v>0</v>
      </c>
      <c r="CQ128" s="20">
        <f t="shared" si="480"/>
        <v>72137.465589872823</v>
      </c>
      <c r="CR128" s="20">
        <f t="shared" si="480"/>
        <v>0</v>
      </c>
      <c r="CS128" s="20">
        <f t="shared" si="480"/>
        <v>0</v>
      </c>
      <c r="CT128" s="20">
        <f t="shared" si="480"/>
        <v>0</v>
      </c>
      <c r="CU128" s="20">
        <f t="shared" si="480"/>
        <v>76038.293726468444</v>
      </c>
      <c r="CV128" s="20">
        <f t="shared" si="480"/>
        <v>0</v>
      </c>
      <c r="CW128" s="20">
        <f t="shared" si="480"/>
        <v>0</v>
      </c>
      <c r="CX128" s="20">
        <f t="shared" si="480"/>
        <v>0</v>
      </c>
      <c r="CY128" s="20">
        <f t="shared" si="480"/>
        <v>79687.349884733587</v>
      </c>
      <c r="CZ128" s="20">
        <f t="shared" si="480"/>
        <v>0</v>
      </c>
      <c r="DA128" s="20">
        <f t="shared" si="480"/>
        <v>0</v>
      </c>
      <c r="DB128" s="20">
        <f t="shared" si="480"/>
        <v>0</v>
      </c>
      <c r="DC128" s="20">
        <f t="shared" ref="DC128:DQ128" si="481">DC114*DC34</f>
        <v>80461.573023027391</v>
      </c>
      <c r="DD128" s="20">
        <f t="shared" si="481"/>
        <v>0</v>
      </c>
      <c r="DE128" s="20">
        <f t="shared" si="481"/>
        <v>0</v>
      </c>
      <c r="DF128" s="20">
        <f t="shared" si="481"/>
        <v>0</v>
      </c>
      <c r="DG128" s="20">
        <f t="shared" si="481"/>
        <v>80703.429433032608</v>
      </c>
      <c r="DH128" s="20">
        <f t="shared" si="481"/>
        <v>0</v>
      </c>
      <c r="DI128" s="20">
        <f t="shared" si="481"/>
        <v>0</v>
      </c>
      <c r="DJ128" s="20">
        <f t="shared" si="481"/>
        <v>0</v>
      </c>
      <c r="DK128" s="20">
        <f t="shared" si="481"/>
        <v>81015.186331277335</v>
      </c>
      <c r="DL128" s="20">
        <f t="shared" si="481"/>
        <v>0</v>
      </c>
      <c r="DM128" s="20">
        <f t="shared" si="481"/>
        <v>0</v>
      </c>
      <c r="DN128" s="20">
        <f t="shared" si="481"/>
        <v>0</v>
      </c>
      <c r="DO128" s="20">
        <f t="shared" si="481"/>
        <v>81883.703621038978</v>
      </c>
      <c r="DP128" s="20">
        <f t="shared" si="481"/>
        <v>0</v>
      </c>
      <c r="DQ128" s="20">
        <f t="shared" si="481"/>
        <v>0</v>
      </c>
    </row>
    <row r="129" spans="2:1006" x14ac:dyDescent="0.35">
      <c r="E129" s="20" t="s">
        <v>39</v>
      </c>
      <c r="F129" s="20" t="s">
        <v>129</v>
      </c>
      <c r="I129" s="54">
        <f t="shared" si="469"/>
        <v>1479908.6849397821</v>
      </c>
      <c r="K129" s="20">
        <f t="shared" ref="K129:AP129" si="482">K115*K35</f>
        <v>0</v>
      </c>
      <c r="L129" s="20">
        <f t="shared" si="482"/>
        <v>0</v>
      </c>
      <c r="M129" s="20">
        <f t="shared" si="482"/>
        <v>0</v>
      </c>
      <c r="N129" s="20">
        <f t="shared" si="482"/>
        <v>0</v>
      </c>
      <c r="O129" s="20">
        <f t="shared" si="482"/>
        <v>0</v>
      </c>
      <c r="P129" s="20">
        <f t="shared" si="482"/>
        <v>0</v>
      </c>
      <c r="Q129" s="20">
        <f t="shared" si="482"/>
        <v>0</v>
      </c>
      <c r="R129" s="20">
        <f t="shared" si="482"/>
        <v>0</v>
      </c>
      <c r="S129" s="20">
        <f t="shared" si="482"/>
        <v>0</v>
      </c>
      <c r="T129" s="20">
        <f t="shared" si="482"/>
        <v>0</v>
      </c>
      <c r="U129" s="20">
        <f t="shared" si="482"/>
        <v>0</v>
      </c>
      <c r="V129" s="20">
        <f t="shared" si="482"/>
        <v>0</v>
      </c>
      <c r="W129" s="20">
        <f t="shared" si="482"/>
        <v>41326.939977313443</v>
      </c>
      <c r="X129" s="20">
        <f t="shared" si="482"/>
        <v>0</v>
      </c>
      <c r="Y129" s="20">
        <f t="shared" si="482"/>
        <v>0</v>
      </c>
      <c r="Z129" s="20">
        <f t="shared" si="482"/>
        <v>0</v>
      </c>
      <c r="AA129" s="20">
        <f t="shared" si="482"/>
        <v>41121.333310759655</v>
      </c>
      <c r="AB129" s="20">
        <f t="shared" si="482"/>
        <v>0</v>
      </c>
      <c r="AC129" s="20">
        <f t="shared" si="482"/>
        <v>0</v>
      </c>
      <c r="AD129" s="20">
        <f t="shared" si="482"/>
        <v>0</v>
      </c>
      <c r="AE129" s="20">
        <f t="shared" si="482"/>
        <v>42312.273081462859</v>
      </c>
      <c r="AF129" s="20">
        <f t="shared" si="482"/>
        <v>0</v>
      </c>
      <c r="AG129" s="20">
        <f t="shared" si="482"/>
        <v>0</v>
      </c>
      <c r="AH129" s="20">
        <f t="shared" si="482"/>
        <v>0</v>
      </c>
      <c r="AI129" s="20">
        <f t="shared" si="482"/>
        <v>861.29026973735222</v>
      </c>
      <c r="AJ129" s="20">
        <f t="shared" si="482"/>
        <v>0</v>
      </c>
      <c r="AK129" s="20">
        <f t="shared" si="482"/>
        <v>0</v>
      </c>
      <c r="AL129" s="20">
        <f t="shared" si="482"/>
        <v>0</v>
      </c>
      <c r="AM129" s="20">
        <f t="shared" si="482"/>
        <v>4303.4485143210341</v>
      </c>
      <c r="AN129" s="20">
        <f t="shared" si="482"/>
        <v>0</v>
      </c>
      <c r="AO129" s="20">
        <f t="shared" si="482"/>
        <v>0</v>
      </c>
      <c r="AP129" s="20">
        <f t="shared" si="482"/>
        <v>0</v>
      </c>
      <c r="AQ129" s="20">
        <f t="shared" ref="AQ129:BV129" si="483">AQ115*AQ35</f>
        <v>9190.9846532771371</v>
      </c>
      <c r="AR129" s="20">
        <f t="shared" si="483"/>
        <v>0</v>
      </c>
      <c r="AS129" s="20">
        <f t="shared" si="483"/>
        <v>0</v>
      </c>
      <c r="AT129" s="20">
        <f t="shared" si="483"/>
        <v>0</v>
      </c>
      <c r="AU129" s="20">
        <f t="shared" si="483"/>
        <v>23039.15656021253</v>
      </c>
      <c r="AV129" s="20">
        <f t="shared" si="483"/>
        <v>0</v>
      </c>
      <c r="AW129" s="20">
        <f t="shared" si="483"/>
        <v>0</v>
      </c>
      <c r="AX129" s="20">
        <f t="shared" si="483"/>
        <v>0</v>
      </c>
      <c r="AY129" s="20">
        <f t="shared" si="483"/>
        <v>52576.791894492402</v>
      </c>
      <c r="AZ129" s="20">
        <f t="shared" si="483"/>
        <v>0</v>
      </c>
      <c r="BA129" s="20">
        <f t="shared" si="483"/>
        <v>0</v>
      </c>
      <c r="BB129" s="20">
        <f t="shared" si="483"/>
        <v>0</v>
      </c>
      <c r="BC129" s="20">
        <f t="shared" si="483"/>
        <v>52586.091976006035</v>
      </c>
      <c r="BD129" s="20">
        <f t="shared" si="483"/>
        <v>0</v>
      </c>
      <c r="BE129" s="20">
        <f t="shared" si="483"/>
        <v>0</v>
      </c>
      <c r="BF129" s="20">
        <f t="shared" si="483"/>
        <v>0</v>
      </c>
      <c r="BG129" s="20">
        <f t="shared" si="483"/>
        <v>54714.289154139486</v>
      </c>
      <c r="BH129" s="20">
        <f t="shared" si="483"/>
        <v>0</v>
      </c>
      <c r="BI129" s="20">
        <f t="shared" si="483"/>
        <v>0</v>
      </c>
      <c r="BJ129" s="20">
        <f t="shared" si="483"/>
        <v>0</v>
      </c>
      <c r="BK129" s="20">
        <f t="shared" si="483"/>
        <v>57302.746281406457</v>
      </c>
      <c r="BL129" s="20">
        <f t="shared" si="483"/>
        <v>0</v>
      </c>
      <c r="BM129" s="20">
        <f t="shared" si="483"/>
        <v>0</v>
      </c>
      <c r="BN129" s="20">
        <f t="shared" si="483"/>
        <v>0</v>
      </c>
      <c r="BO129" s="20">
        <f t="shared" si="483"/>
        <v>60789.184822708892</v>
      </c>
      <c r="BP129" s="20">
        <f t="shared" si="483"/>
        <v>0</v>
      </c>
      <c r="BQ129" s="20">
        <f t="shared" si="483"/>
        <v>0</v>
      </c>
      <c r="BR129" s="20">
        <f t="shared" si="483"/>
        <v>0</v>
      </c>
      <c r="BS129" s="20">
        <f t="shared" si="483"/>
        <v>64027.093535465239</v>
      </c>
      <c r="BT129" s="20">
        <f t="shared" si="483"/>
        <v>0</v>
      </c>
      <c r="BU129" s="20">
        <f t="shared" si="483"/>
        <v>0</v>
      </c>
      <c r="BV129" s="20">
        <f t="shared" si="483"/>
        <v>0</v>
      </c>
      <c r="BW129" s="20">
        <f t="shared" ref="BW129:DB129" si="484">BW115*BW35</f>
        <v>66086.392737739472</v>
      </c>
      <c r="BX129" s="20">
        <f t="shared" si="484"/>
        <v>0</v>
      </c>
      <c r="BY129" s="20">
        <f t="shared" si="484"/>
        <v>0</v>
      </c>
      <c r="BZ129" s="20">
        <f t="shared" si="484"/>
        <v>0</v>
      </c>
      <c r="CA129" s="20">
        <f t="shared" si="484"/>
        <v>67037.003739790787</v>
      </c>
      <c r="CB129" s="20">
        <f t="shared" si="484"/>
        <v>0</v>
      </c>
      <c r="CC129" s="20">
        <f t="shared" si="484"/>
        <v>0</v>
      </c>
      <c r="CD129" s="20">
        <f t="shared" si="484"/>
        <v>0</v>
      </c>
      <c r="CE129" s="20">
        <f t="shared" si="484"/>
        <v>70417.954957571725</v>
      </c>
      <c r="CF129" s="20">
        <f t="shared" si="484"/>
        <v>0</v>
      </c>
      <c r="CG129" s="20">
        <f t="shared" si="484"/>
        <v>0</v>
      </c>
      <c r="CH129" s="20">
        <f t="shared" si="484"/>
        <v>0</v>
      </c>
      <c r="CI129" s="20">
        <f t="shared" si="484"/>
        <v>72462.201105128042</v>
      </c>
      <c r="CJ129" s="20">
        <f t="shared" si="484"/>
        <v>0</v>
      </c>
      <c r="CK129" s="20">
        <f t="shared" si="484"/>
        <v>0</v>
      </c>
      <c r="CL129" s="20">
        <f t="shared" si="484"/>
        <v>0</v>
      </c>
      <c r="CM129" s="20">
        <f t="shared" si="484"/>
        <v>77367.740595890005</v>
      </c>
      <c r="CN129" s="20">
        <f t="shared" si="484"/>
        <v>0</v>
      </c>
      <c r="CO129" s="20">
        <f t="shared" si="484"/>
        <v>0</v>
      </c>
      <c r="CP129" s="20">
        <f t="shared" si="484"/>
        <v>0</v>
      </c>
      <c r="CQ129" s="20">
        <f t="shared" si="484"/>
        <v>81346.503750282136</v>
      </c>
      <c r="CR129" s="20">
        <f t="shared" si="484"/>
        <v>0</v>
      </c>
      <c r="CS129" s="20">
        <f t="shared" si="484"/>
        <v>0</v>
      </c>
      <c r="CT129" s="20">
        <f t="shared" si="484"/>
        <v>0</v>
      </c>
      <c r="CU129" s="20">
        <f t="shared" si="484"/>
        <v>85745.309946868656</v>
      </c>
      <c r="CV129" s="20">
        <f t="shared" si="484"/>
        <v>0</v>
      </c>
      <c r="CW129" s="20">
        <f t="shared" si="484"/>
        <v>0</v>
      </c>
      <c r="CX129" s="20">
        <f t="shared" si="484"/>
        <v>0</v>
      </c>
      <c r="CY129" s="20">
        <f t="shared" si="484"/>
        <v>89860.203061508073</v>
      </c>
      <c r="CZ129" s="20">
        <f t="shared" si="484"/>
        <v>0</v>
      </c>
      <c r="DA129" s="20">
        <f t="shared" si="484"/>
        <v>0</v>
      </c>
      <c r="DB129" s="20">
        <f t="shared" si="484"/>
        <v>0</v>
      </c>
      <c r="DC129" s="20">
        <f t="shared" ref="DC129:DQ129" si="485">DC115*DC35</f>
        <v>90733.263196179832</v>
      </c>
      <c r="DD129" s="20">
        <f t="shared" si="485"/>
        <v>0</v>
      </c>
      <c r="DE129" s="20">
        <f t="shared" si="485"/>
        <v>0</v>
      </c>
      <c r="DF129" s="20">
        <f t="shared" si="485"/>
        <v>0</v>
      </c>
      <c r="DG129" s="20">
        <f t="shared" si="485"/>
        <v>91005.994892568677</v>
      </c>
      <c r="DH129" s="20">
        <f t="shared" si="485"/>
        <v>0</v>
      </c>
      <c r="DI129" s="20">
        <f t="shared" si="485"/>
        <v>0</v>
      </c>
      <c r="DJ129" s="20">
        <f t="shared" si="485"/>
        <v>0</v>
      </c>
      <c r="DK129" s="20">
        <f t="shared" si="485"/>
        <v>91357.550543780817</v>
      </c>
      <c r="DL129" s="20">
        <f t="shared" si="485"/>
        <v>0</v>
      </c>
      <c r="DM129" s="20">
        <f t="shared" si="485"/>
        <v>0</v>
      </c>
      <c r="DN129" s="20">
        <f t="shared" si="485"/>
        <v>0</v>
      </c>
      <c r="DO129" s="20">
        <f t="shared" si="485"/>
        <v>92336.942381171611</v>
      </c>
      <c r="DP129" s="20">
        <f t="shared" si="485"/>
        <v>0</v>
      </c>
      <c r="DQ129" s="20">
        <f t="shared" si="485"/>
        <v>0</v>
      </c>
    </row>
    <row r="130" spans="2:1006" x14ac:dyDescent="0.35">
      <c r="E130" s="20" t="s">
        <v>40</v>
      </c>
      <c r="F130" s="20" t="s">
        <v>129</v>
      </c>
      <c r="I130" s="54">
        <f t="shared" si="469"/>
        <v>1467720.4735177886</v>
      </c>
      <c r="K130" s="20">
        <f t="shared" ref="K130:AP130" si="486">K116*K36</f>
        <v>0</v>
      </c>
      <c r="L130" s="20">
        <f t="shared" si="486"/>
        <v>0</v>
      </c>
      <c r="M130" s="20">
        <f t="shared" si="486"/>
        <v>0</v>
      </c>
      <c r="N130" s="20">
        <f t="shared" si="486"/>
        <v>0</v>
      </c>
      <c r="O130" s="20">
        <f t="shared" si="486"/>
        <v>0</v>
      </c>
      <c r="P130" s="20">
        <f t="shared" si="486"/>
        <v>0</v>
      </c>
      <c r="Q130" s="20">
        <f t="shared" si="486"/>
        <v>0</v>
      </c>
      <c r="R130" s="20">
        <f t="shared" si="486"/>
        <v>0</v>
      </c>
      <c r="S130" s="20">
        <f t="shared" si="486"/>
        <v>0</v>
      </c>
      <c r="T130" s="20">
        <f t="shared" si="486"/>
        <v>42655.833098441763</v>
      </c>
      <c r="U130" s="20">
        <f t="shared" si="486"/>
        <v>0</v>
      </c>
      <c r="V130" s="20">
        <f t="shared" si="486"/>
        <v>0</v>
      </c>
      <c r="W130" s="20">
        <f t="shared" si="486"/>
        <v>0</v>
      </c>
      <c r="X130" s="20">
        <f t="shared" si="486"/>
        <v>42443.615023325161</v>
      </c>
      <c r="Y130" s="20">
        <f t="shared" si="486"/>
        <v>0</v>
      </c>
      <c r="Z130" s="20">
        <f t="shared" si="486"/>
        <v>0</v>
      </c>
      <c r="AA130" s="20">
        <f t="shared" si="486"/>
        <v>0</v>
      </c>
      <c r="AB130" s="20">
        <f t="shared" si="486"/>
        <v>42232.452759527543</v>
      </c>
      <c r="AC130" s="20">
        <f t="shared" si="486"/>
        <v>0</v>
      </c>
      <c r="AD130" s="20">
        <f t="shared" si="486"/>
        <v>0</v>
      </c>
      <c r="AE130" s="20">
        <f t="shared" si="486"/>
        <v>0</v>
      </c>
      <c r="AF130" s="20">
        <f t="shared" si="486"/>
        <v>43455.572331686562</v>
      </c>
      <c r="AG130" s="20">
        <f t="shared" si="486"/>
        <v>0</v>
      </c>
      <c r="AH130" s="20">
        <f t="shared" si="486"/>
        <v>0</v>
      </c>
      <c r="AI130" s="20">
        <f t="shared" si="486"/>
        <v>0</v>
      </c>
      <c r="AJ130" s="20">
        <f t="shared" si="486"/>
        <v>884.56277314835665</v>
      </c>
      <c r="AK130" s="20">
        <f t="shared" si="486"/>
        <v>0</v>
      </c>
      <c r="AL130" s="20">
        <f t="shared" si="486"/>
        <v>0</v>
      </c>
      <c r="AM130" s="20">
        <f t="shared" si="486"/>
        <v>0</v>
      </c>
      <c r="AN130" s="20">
        <f t="shared" si="486"/>
        <v>4419.7298932563353</v>
      </c>
      <c r="AO130" s="20">
        <f t="shared" si="486"/>
        <v>0</v>
      </c>
      <c r="AP130" s="20">
        <f t="shared" si="486"/>
        <v>0</v>
      </c>
      <c r="AQ130" s="20">
        <f t="shared" ref="AQ130:BV130" si="487">AQ116*AQ36</f>
        <v>0</v>
      </c>
      <c r="AR130" s="20">
        <f t="shared" si="487"/>
        <v>9439.3297573720756</v>
      </c>
      <c r="AS130" s="20">
        <f t="shared" si="487"/>
        <v>0</v>
      </c>
      <c r="AT130" s="20">
        <f t="shared" si="487"/>
        <v>0</v>
      </c>
      <c r="AU130" s="20">
        <f t="shared" si="487"/>
        <v>0</v>
      </c>
      <c r="AV130" s="20">
        <f t="shared" si="487"/>
        <v>23661.686348918622</v>
      </c>
      <c r="AW130" s="20">
        <f t="shared" si="487"/>
        <v>0</v>
      </c>
      <c r="AX130" s="20">
        <f t="shared" si="487"/>
        <v>0</v>
      </c>
      <c r="AY130" s="20">
        <f t="shared" si="487"/>
        <v>0</v>
      </c>
      <c r="AZ130" s="20">
        <f t="shared" si="487"/>
        <v>53997.443690637017</v>
      </c>
      <c r="BA130" s="20">
        <f t="shared" si="487"/>
        <v>0</v>
      </c>
      <c r="BB130" s="20">
        <f t="shared" si="487"/>
        <v>0</v>
      </c>
      <c r="BC130" s="20">
        <f t="shared" si="487"/>
        <v>0</v>
      </c>
      <c r="BD130" s="20">
        <f t="shared" si="487"/>
        <v>54006.99506510768</v>
      </c>
      <c r="BE130" s="20">
        <f t="shared" si="487"/>
        <v>0</v>
      </c>
      <c r="BF130" s="20">
        <f t="shared" si="487"/>
        <v>0</v>
      </c>
      <c r="BG130" s="20">
        <f t="shared" si="487"/>
        <v>0</v>
      </c>
      <c r="BH130" s="20">
        <f t="shared" si="487"/>
        <v>56192.697219005575</v>
      </c>
      <c r="BI130" s="20">
        <f t="shared" si="487"/>
        <v>0</v>
      </c>
      <c r="BJ130" s="20">
        <f t="shared" si="487"/>
        <v>0</v>
      </c>
      <c r="BK130" s="20">
        <f t="shared" si="487"/>
        <v>0</v>
      </c>
      <c r="BL130" s="20">
        <f t="shared" si="487"/>
        <v>58851.095781164091</v>
      </c>
      <c r="BM130" s="20">
        <f t="shared" si="487"/>
        <v>0</v>
      </c>
      <c r="BN130" s="20">
        <f t="shared" si="487"/>
        <v>0</v>
      </c>
      <c r="BO130" s="20">
        <f t="shared" si="487"/>
        <v>0</v>
      </c>
      <c r="BP130" s="20">
        <f t="shared" si="487"/>
        <v>62431.739674245859</v>
      </c>
      <c r="BQ130" s="20">
        <f t="shared" si="487"/>
        <v>0</v>
      </c>
      <c r="BR130" s="20">
        <f t="shared" si="487"/>
        <v>0</v>
      </c>
      <c r="BS130" s="20">
        <f t="shared" si="487"/>
        <v>0</v>
      </c>
      <c r="BT130" s="20">
        <f t="shared" si="487"/>
        <v>65757.138335756797</v>
      </c>
      <c r="BU130" s="20">
        <f t="shared" si="487"/>
        <v>0</v>
      </c>
      <c r="BV130" s="20">
        <f t="shared" si="487"/>
        <v>0</v>
      </c>
      <c r="BW130" s="20">
        <f t="shared" ref="BW130:DB130" si="488">BW116*BW36</f>
        <v>0</v>
      </c>
      <c r="BX130" s="20">
        <f t="shared" si="488"/>
        <v>67872.080855264619</v>
      </c>
      <c r="BY130" s="20">
        <f t="shared" si="488"/>
        <v>0</v>
      </c>
      <c r="BZ130" s="20">
        <f t="shared" si="488"/>
        <v>0</v>
      </c>
      <c r="CA130" s="20">
        <f t="shared" si="488"/>
        <v>0</v>
      </c>
      <c r="CB130" s="20">
        <f t="shared" si="488"/>
        <v>68848.377852578051</v>
      </c>
      <c r="CC130" s="20">
        <f t="shared" si="488"/>
        <v>0</v>
      </c>
      <c r="CD130" s="20">
        <f t="shared" si="488"/>
        <v>0</v>
      </c>
      <c r="CE130" s="20">
        <f t="shared" si="488"/>
        <v>0</v>
      </c>
      <c r="CF130" s="20">
        <f t="shared" si="488"/>
        <v>72320.684100727813</v>
      </c>
      <c r="CG130" s="20">
        <f t="shared" si="488"/>
        <v>0</v>
      </c>
      <c r="CH130" s="20">
        <f t="shared" si="488"/>
        <v>0</v>
      </c>
      <c r="CI130" s="20">
        <f t="shared" si="488"/>
        <v>0</v>
      </c>
      <c r="CJ130" s="20">
        <f t="shared" si="488"/>
        <v>74420.166824283573</v>
      </c>
      <c r="CK130" s="20">
        <f t="shared" si="488"/>
        <v>0</v>
      </c>
      <c r="CL130" s="20">
        <f t="shared" si="488"/>
        <v>0</v>
      </c>
      <c r="CM130" s="20">
        <f t="shared" si="488"/>
        <v>0</v>
      </c>
      <c r="CN130" s="20">
        <f t="shared" si="488"/>
        <v>79458.256499974945</v>
      </c>
      <c r="CO130" s="20">
        <f t="shared" si="488"/>
        <v>0</v>
      </c>
      <c r="CP130" s="20">
        <f t="shared" si="488"/>
        <v>0</v>
      </c>
      <c r="CQ130" s="20">
        <f t="shared" si="488"/>
        <v>0</v>
      </c>
      <c r="CR130" s="20">
        <f t="shared" si="488"/>
        <v>83544.527868886202</v>
      </c>
      <c r="CS130" s="20">
        <f t="shared" si="488"/>
        <v>0</v>
      </c>
      <c r="CT130" s="20">
        <f t="shared" si="488"/>
        <v>0</v>
      </c>
      <c r="CU130" s="20">
        <f t="shared" si="488"/>
        <v>0</v>
      </c>
      <c r="CV130" s="20">
        <f t="shared" si="488"/>
        <v>88062.192057733148</v>
      </c>
      <c r="CW130" s="20">
        <f t="shared" si="488"/>
        <v>0</v>
      </c>
      <c r="CX130" s="20">
        <f t="shared" si="488"/>
        <v>0</v>
      </c>
      <c r="CY130" s="20">
        <f t="shared" si="488"/>
        <v>0</v>
      </c>
      <c r="CZ130" s="20">
        <f t="shared" si="488"/>
        <v>92288.271688012159</v>
      </c>
      <c r="DA130" s="20">
        <f t="shared" si="488"/>
        <v>0</v>
      </c>
      <c r="DB130" s="20">
        <f t="shared" si="488"/>
        <v>0</v>
      </c>
      <c r="DC130" s="20">
        <f t="shared" ref="DC130:DQ130" si="489">DC116*DC36</f>
        <v>0</v>
      </c>
      <c r="DD130" s="20">
        <f t="shared" si="489"/>
        <v>93184.92235386261</v>
      </c>
      <c r="DE130" s="20">
        <f t="shared" si="489"/>
        <v>0</v>
      </c>
      <c r="DF130" s="20">
        <f t="shared" si="489"/>
        <v>0</v>
      </c>
      <c r="DG130" s="20">
        <f t="shared" si="489"/>
        <v>0</v>
      </c>
      <c r="DH130" s="20">
        <f t="shared" si="489"/>
        <v>93465.023400118182</v>
      </c>
      <c r="DI130" s="20">
        <f t="shared" si="489"/>
        <v>0</v>
      </c>
      <c r="DJ130" s="20">
        <f t="shared" si="489"/>
        <v>0</v>
      </c>
      <c r="DK130" s="20">
        <f t="shared" si="489"/>
        <v>0</v>
      </c>
      <c r="DL130" s="20">
        <f t="shared" si="489"/>
        <v>93826.078264754033</v>
      </c>
      <c r="DM130" s="20">
        <f t="shared" si="489"/>
        <v>0</v>
      </c>
      <c r="DN130" s="20">
        <f t="shared" si="489"/>
        <v>0</v>
      </c>
      <c r="DO130" s="20">
        <f t="shared" si="489"/>
        <v>0</v>
      </c>
      <c r="DP130" s="20">
        <f t="shared" si="489"/>
        <v>0</v>
      </c>
      <c r="DQ130" s="20">
        <f t="shared" si="489"/>
        <v>0</v>
      </c>
    </row>
    <row r="131" spans="2:1006" x14ac:dyDescent="0.35">
      <c r="E131" s="20" t="s">
        <v>41</v>
      </c>
      <c r="F131" s="20" t="s">
        <v>129</v>
      </c>
      <c r="I131" s="54">
        <f t="shared" si="469"/>
        <v>1621035.0147484124</v>
      </c>
      <c r="K131" s="20">
        <f t="shared" ref="K131:AP131" si="490">K117*K37</f>
        <v>0</v>
      </c>
      <c r="L131" s="20">
        <f t="shared" si="490"/>
        <v>0</v>
      </c>
      <c r="M131" s="20">
        <f t="shared" si="490"/>
        <v>0</v>
      </c>
      <c r="N131" s="20">
        <f t="shared" si="490"/>
        <v>0</v>
      </c>
      <c r="O131" s="20">
        <f t="shared" si="490"/>
        <v>0</v>
      </c>
      <c r="P131" s="20">
        <f t="shared" si="490"/>
        <v>0</v>
      </c>
      <c r="Q131" s="20">
        <f t="shared" si="490"/>
        <v>0</v>
      </c>
      <c r="R131" s="20">
        <f t="shared" si="490"/>
        <v>0</v>
      </c>
      <c r="S131" s="20">
        <f t="shared" si="490"/>
        <v>0</v>
      </c>
      <c r="T131" s="20">
        <f t="shared" si="490"/>
        <v>46960.550200119367</v>
      </c>
      <c r="U131" s="20">
        <f t="shared" si="490"/>
        <v>0</v>
      </c>
      <c r="V131" s="20">
        <f t="shared" si="490"/>
        <v>0</v>
      </c>
      <c r="W131" s="20">
        <f t="shared" si="490"/>
        <v>0</v>
      </c>
      <c r="X131" s="20">
        <f t="shared" si="490"/>
        <v>46726.91562200935</v>
      </c>
      <c r="Y131" s="20">
        <f t="shared" si="490"/>
        <v>0</v>
      </c>
      <c r="Z131" s="20">
        <f t="shared" si="490"/>
        <v>0</v>
      </c>
      <c r="AA131" s="20">
        <f t="shared" si="490"/>
        <v>0</v>
      </c>
      <c r="AB131" s="20">
        <f t="shared" si="490"/>
        <v>46494.443404984435</v>
      </c>
      <c r="AC131" s="20">
        <f t="shared" si="490"/>
        <v>0</v>
      </c>
      <c r="AD131" s="20">
        <f t="shared" si="490"/>
        <v>0</v>
      </c>
      <c r="AE131" s="20">
        <f t="shared" si="490"/>
        <v>0</v>
      </c>
      <c r="AF131" s="20">
        <f t="shared" si="490"/>
        <v>47840.997062407216</v>
      </c>
      <c r="AG131" s="20">
        <f t="shared" si="490"/>
        <v>0</v>
      </c>
      <c r="AH131" s="20">
        <f t="shared" si="490"/>
        <v>0</v>
      </c>
      <c r="AI131" s="20">
        <f t="shared" si="490"/>
        <v>0</v>
      </c>
      <c r="AJ131" s="20">
        <f t="shared" si="490"/>
        <v>973.83057594314494</v>
      </c>
      <c r="AK131" s="20">
        <f t="shared" si="490"/>
        <v>0</v>
      </c>
      <c r="AL131" s="20">
        <f t="shared" si="490"/>
        <v>0</v>
      </c>
      <c r="AM131" s="20">
        <f t="shared" si="490"/>
        <v>0</v>
      </c>
      <c r="AN131" s="20">
        <f t="shared" si="490"/>
        <v>4865.757680649177</v>
      </c>
      <c r="AO131" s="20">
        <f t="shared" si="490"/>
        <v>0</v>
      </c>
      <c r="AP131" s="20">
        <f t="shared" si="490"/>
        <v>0</v>
      </c>
      <c r="AQ131" s="20">
        <f t="shared" ref="AQ131:BV131" si="491">AQ117*AQ37</f>
        <v>0</v>
      </c>
      <c r="AR131" s="20">
        <f t="shared" si="491"/>
        <v>15587.884002999754</v>
      </c>
      <c r="AS131" s="20">
        <f t="shared" si="491"/>
        <v>0</v>
      </c>
      <c r="AT131" s="20">
        <f t="shared" si="491"/>
        <v>0</v>
      </c>
      <c r="AU131" s="20">
        <f t="shared" si="491"/>
        <v>0</v>
      </c>
      <c r="AV131" s="20">
        <f t="shared" si="491"/>
        <v>26049.562952937937</v>
      </c>
      <c r="AW131" s="20">
        <f t="shared" si="491"/>
        <v>0</v>
      </c>
      <c r="AX131" s="20">
        <f t="shared" si="491"/>
        <v>0</v>
      </c>
      <c r="AY131" s="20">
        <f t="shared" si="491"/>
        <v>0</v>
      </c>
      <c r="AZ131" s="20">
        <f t="shared" si="491"/>
        <v>59446.726998866434</v>
      </c>
      <c r="BA131" s="20">
        <f t="shared" si="491"/>
        <v>0</v>
      </c>
      <c r="BB131" s="20">
        <f t="shared" si="491"/>
        <v>0</v>
      </c>
      <c r="BC131" s="20">
        <f t="shared" si="491"/>
        <v>0</v>
      </c>
      <c r="BD131" s="20">
        <f t="shared" si="491"/>
        <v>59457.242273513039</v>
      </c>
      <c r="BE131" s="20">
        <f t="shared" si="491"/>
        <v>0</v>
      </c>
      <c r="BF131" s="20">
        <f t="shared" si="491"/>
        <v>0</v>
      </c>
      <c r="BG131" s="20">
        <f t="shared" si="491"/>
        <v>0</v>
      </c>
      <c r="BH131" s="20">
        <f t="shared" si="491"/>
        <v>61863.519874134574</v>
      </c>
      <c r="BI131" s="20">
        <f t="shared" si="491"/>
        <v>0</v>
      </c>
      <c r="BJ131" s="20">
        <f t="shared" si="491"/>
        <v>0</v>
      </c>
      <c r="BK131" s="20">
        <f t="shared" si="491"/>
        <v>0</v>
      </c>
      <c r="BL131" s="20">
        <f t="shared" si="491"/>
        <v>64790.197190272382</v>
      </c>
      <c r="BM131" s="20">
        <f t="shared" si="491"/>
        <v>0</v>
      </c>
      <c r="BN131" s="20">
        <f t="shared" si="491"/>
        <v>0</v>
      </c>
      <c r="BO131" s="20">
        <f t="shared" si="491"/>
        <v>0</v>
      </c>
      <c r="BP131" s="20">
        <f t="shared" si="491"/>
        <v>68732.190467059656</v>
      </c>
      <c r="BQ131" s="20">
        <f t="shared" si="491"/>
        <v>0</v>
      </c>
      <c r="BR131" s="20">
        <f t="shared" si="491"/>
        <v>0</v>
      </c>
      <c r="BS131" s="20">
        <f t="shared" si="491"/>
        <v>0</v>
      </c>
      <c r="BT131" s="20">
        <f t="shared" si="491"/>
        <v>72393.179819181794</v>
      </c>
      <c r="BU131" s="20">
        <f t="shared" si="491"/>
        <v>0</v>
      </c>
      <c r="BV131" s="20">
        <f t="shared" si="491"/>
        <v>0</v>
      </c>
      <c r="BW131" s="20">
        <f t="shared" ref="BW131:DB131" si="492">BW117*BW37</f>
        <v>0</v>
      </c>
      <c r="BX131" s="20">
        <f t="shared" si="492"/>
        <v>74721.556904878482</v>
      </c>
      <c r="BY131" s="20">
        <f t="shared" si="492"/>
        <v>0</v>
      </c>
      <c r="BZ131" s="20">
        <f t="shared" si="492"/>
        <v>0</v>
      </c>
      <c r="CA131" s="20">
        <f t="shared" si="492"/>
        <v>0</v>
      </c>
      <c r="CB131" s="20">
        <f t="shared" si="492"/>
        <v>75796.379287241871</v>
      </c>
      <c r="CC131" s="20">
        <f t="shared" si="492"/>
        <v>0</v>
      </c>
      <c r="CD131" s="20">
        <f t="shared" si="492"/>
        <v>0</v>
      </c>
      <c r="CE131" s="20">
        <f t="shared" si="492"/>
        <v>0</v>
      </c>
      <c r="CF131" s="20">
        <f t="shared" si="492"/>
        <v>79619.101762269143</v>
      </c>
      <c r="CG131" s="20">
        <f t="shared" si="492"/>
        <v>0</v>
      </c>
      <c r="CH131" s="20">
        <f t="shared" si="492"/>
        <v>0</v>
      </c>
      <c r="CI131" s="20">
        <f t="shared" si="492"/>
        <v>0</v>
      </c>
      <c r="CJ131" s="20">
        <f t="shared" si="492"/>
        <v>81930.458889119531</v>
      </c>
      <c r="CK131" s="20">
        <f t="shared" si="492"/>
        <v>0</v>
      </c>
      <c r="CL131" s="20">
        <f t="shared" si="492"/>
        <v>0</v>
      </c>
      <c r="CM131" s="20">
        <f t="shared" si="492"/>
        <v>0</v>
      </c>
      <c r="CN131" s="20">
        <f t="shared" si="492"/>
        <v>87476.979632999923</v>
      </c>
      <c r="CO131" s="20">
        <f t="shared" si="492"/>
        <v>0</v>
      </c>
      <c r="CP131" s="20">
        <f t="shared" si="492"/>
        <v>0</v>
      </c>
      <c r="CQ131" s="20">
        <f t="shared" si="492"/>
        <v>0</v>
      </c>
      <c r="CR131" s="20">
        <f t="shared" si="492"/>
        <v>91975.627011617835</v>
      </c>
      <c r="CS131" s="20">
        <f t="shared" si="492"/>
        <v>0</v>
      </c>
      <c r="CT131" s="20">
        <f t="shared" si="492"/>
        <v>0</v>
      </c>
      <c r="CU131" s="20">
        <f t="shared" si="492"/>
        <v>0</v>
      </c>
      <c r="CV131" s="20">
        <f t="shared" si="492"/>
        <v>96949.202265394284</v>
      </c>
      <c r="CW131" s="20">
        <f t="shared" si="492"/>
        <v>0</v>
      </c>
      <c r="CX131" s="20">
        <f t="shared" si="492"/>
        <v>0</v>
      </c>
      <c r="CY131" s="20">
        <f t="shared" si="492"/>
        <v>0</v>
      </c>
      <c r="CZ131" s="20">
        <f t="shared" si="492"/>
        <v>101601.76699597668</v>
      </c>
      <c r="DA131" s="20">
        <f t="shared" si="492"/>
        <v>0</v>
      </c>
      <c r="DB131" s="20">
        <f t="shared" si="492"/>
        <v>0</v>
      </c>
      <c r="DC131" s="20">
        <f t="shared" ref="DC131:DQ131" si="493">DC117*DC37</f>
        <v>0</v>
      </c>
      <c r="DD131" s="20">
        <f t="shared" si="493"/>
        <v>102588.90534370195</v>
      </c>
      <c r="DE131" s="20">
        <f t="shared" si="493"/>
        <v>0</v>
      </c>
      <c r="DF131" s="20">
        <f t="shared" si="493"/>
        <v>0</v>
      </c>
      <c r="DG131" s="20">
        <f t="shared" si="493"/>
        <v>0</v>
      </c>
      <c r="DH131" s="20">
        <f t="shared" si="493"/>
        <v>102897.27346802001</v>
      </c>
      <c r="DI131" s="20">
        <f t="shared" si="493"/>
        <v>0</v>
      </c>
      <c r="DJ131" s="20">
        <f t="shared" si="493"/>
        <v>0</v>
      </c>
      <c r="DK131" s="20">
        <f t="shared" si="493"/>
        <v>0</v>
      </c>
      <c r="DL131" s="20">
        <f t="shared" si="493"/>
        <v>103294.76506211451</v>
      </c>
      <c r="DM131" s="20">
        <f t="shared" si="493"/>
        <v>0</v>
      </c>
      <c r="DN131" s="20">
        <f t="shared" si="493"/>
        <v>0</v>
      </c>
      <c r="DO131" s="20">
        <f t="shared" si="493"/>
        <v>0</v>
      </c>
      <c r="DP131" s="20">
        <f t="shared" si="493"/>
        <v>0</v>
      </c>
      <c r="DQ131" s="20">
        <f t="shared" si="493"/>
        <v>0</v>
      </c>
    </row>
    <row r="132" spans="2:1006" x14ac:dyDescent="0.35">
      <c r="E132" s="20" t="s">
        <v>42</v>
      </c>
      <c r="F132" s="20" t="s">
        <v>129</v>
      </c>
      <c r="I132" s="54">
        <f t="shared" si="469"/>
        <v>1448003.7244802646</v>
      </c>
      <c r="K132" s="20">
        <f t="shared" ref="K132:AP132" si="494">K118*K38</f>
        <v>0</v>
      </c>
      <c r="L132" s="20">
        <f t="shared" si="494"/>
        <v>0</v>
      </c>
      <c r="M132" s="20">
        <f t="shared" si="494"/>
        <v>0</v>
      </c>
      <c r="N132" s="20">
        <f t="shared" si="494"/>
        <v>0</v>
      </c>
      <c r="O132" s="20">
        <f t="shared" si="494"/>
        <v>0</v>
      </c>
      <c r="P132" s="20">
        <f t="shared" si="494"/>
        <v>0</v>
      </c>
      <c r="Q132" s="20">
        <f t="shared" si="494"/>
        <v>0</v>
      </c>
      <c r="R132" s="20">
        <f t="shared" si="494"/>
        <v>0</v>
      </c>
      <c r="S132" s="20">
        <f t="shared" si="494"/>
        <v>0</v>
      </c>
      <c r="T132" s="20">
        <f t="shared" si="494"/>
        <v>41873.1572617731</v>
      </c>
      <c r="U132" s="20">
        <f t="shared" si="494"/>
        <v>0</v>
      </c>
      <c r="V132" s="20">
        <f t="shared" si="494"/>
        <v>0</v>
      </c>
      <c r="W132" s="20">
        <f t="shared" si="494"/>
        <v>0</v>
      </c>
      <c r="X132" s="20">
        <f t="shared" si="494"/>
        <v>41664.833096291666</v>
      </c>
      <c r="Y132" s="20">
        <f t="shared" si="494"/>
        <v>0</v>
      </c>
      <c r="Z132" s="20">
        <f t="shared" si="494"/>
        <v>0</v>
      </c>
      <c r="AA132" s="20">
        <f t="shared" si="494"/>
        <v>0</v>
      </c>
      <c r="AB132" s="20">
        <f t="shared" si="494"/>
        <v>41457.545369444451</v>
      </c>
      <c r="AC132" s="20">
        <f t="shared" si="494"/>
        <v>0</v>
      </c>
      <c r="AD132" s="20">
        <f t="shared" si="494"/>
        <v>0</v>
      </c>
      <c r="AE132" s="20">
        <f t="shared" si="494"/>
        <v>0</v>
      </c>
      <c r="AF132" s="20">
        <f t="shared" si="494"/>
        <v>42658.222380646439</v>
      </c>
      <c r="AG132" s="20">
        <f t="shared" si="494"/>
        <v>0</v>
      </c>
      <c r="AH132" s="20">
        <f t="shared" si="494"/>
        <v>0</v>
      </c>
      <c r="AI132" s="20">
        <f t="shared" si="494"/>
        <v>0</v>
      </c>
      <c r="AJ132" s="20">
        <f t="shared" si="494"/>
        <v>868.33226354930412</v>
      </c>
      <c r="AK132" s="20">
        <f t="shared" si="494"/>
        <v>0</v>
      </c>
      <c r="AL132" s="20">
        <f t="shared" si="494"/>
        <v>0</v>
      </c>
      <c r="AM132" s="20">
        <f t="shared" si="494"/>
        <v>0</v>
      </c>
      <c r="AN132" s="20">
        <f t="shared" si="494"/>
        <v>4338.6339319121826</v>
      </c>
      <c r="AO132" s="20">
        <f t="shared" si="494"/>
        <v>0</v>
      </c>
      <c r="AP132" s="20">
        <f t="shared" si="494"/>
        <v>0</v>
      </c>
      <c r="AQ132" s="20">
        <f t="shared" ref="AQ132:BV132" si="495">AQ118*AQ38</f>
        <v>0</v>
      </c>
      <c r="AR132" s="20">
        <f t="shared" si="495"/>
        <v>13899.19656934145</v>
      </c>
      <c r="AS132" s="20">
        <f t="shared" si="495"/>
        <v>0</v>
      </c>
      <c r="AT132" s="20">
        <f t="shared" si="495"/>
        <v>0</v>
      </c>
      <c r="AU132" s="20">
        <f t="shared" si="495"/>
        <v>0</v>
      </c>
      <c r="AV132" s="20">
        <f t="shared" si="495"/>
        <v>25808.363295966286</v>
      </c>
      <c r="AW132" s="20">
        <f t="shared" si="495"/>
        <v>0</v>
      </c>
      <c r="AX132" s="20">
        <f t="shared" si="495"/>
        <v>0</v>
      </c>
      <c r="AY132" s="20">
        <f t="shared" si="495"/>
        <v>0</v>
      </c>
      <c r="AZ132" s="20">
        <f t="shared" si="495"/>
        <v>53006.664907322564</v>
      </c>
      <c r="BA132" s="20">
        <f t="shared" si="495"/>
        <v>0</v>
      </c>
      <c r="BB132" s="20">
        <f t="shared" si="495"/>
        <v>0</v>
      </c>
      <c r="BC132" s="20">
        <f t="shared" si="495"/>
        <v>0</v>
      </c>
      <c r="BD132" s="20">
        <f t="shared" si="495"/>
        <v>53016.041027215797</v>
      </c>
      <c r="BE132" s="20">
        <f t="shared" si="495"/>
        <v>0</v>
      </c>
      <c r="BF132" s="20">
        <f t="shared" si="495"/>
        <v>0</v>
      </c>
      <c r="BG132" s="20">
        <f t="shared" si="495"/>
        <v>0</v>
      </c>
      <c r="BH132" s="20">
        <f t="shared" si="495"/>
        <v>55161.638554436657</v>
      </c>
      <c r="BI132" s="20">
        <f t="shared" si="495"/>
        <v>0</v>
      </c>
      <c r="BJ132" s="20">
        <f t="shared" si="495"/>
        <v>0</v>
      </c>
      <c r="BK132" s="20">
        <f t="shared" si="495"/>
        <v>0</v>
      </c>
      <c r="BL132" s="20">
        <f t="shared" si="495"/>
        <v>57771.259161326205</v>
      </c>
      <c r="BM132" s="20">
        <f t="shared" si="495"/>
        <v>0</v>
      </c>
      <c r="BN132" s="20">
        <f t="shared" si="495"/>
        <v>0</v>
      </c>
      <c r="BO132" s="20">
        <f t="shared" si="495"/>
        <v>0</v>
      </c>
      <c r="BP132" s="20">
        <f t="shared" si="495"/>
        <v>61286.203166461521</v>
      </c>
      <c r="BQ132" s="20">
        <f t="shared" si="495"/>
        <v>0</v>
      </c>
      <c r="BR132" s="20">
        <f t="shared" si="495"/>
        <v>0</v>
      </c>
      <c r="BS132" s="20">
        <f t="shared" si="495"/>
        <v>0</v>
      </c>
      <c r="BT132" s="20">
        <f t="shared" si="495"/>
        <v>64550.585338770426</v>
      </c>
      <c r="BU132" s="20">
        <f t="shared" si="495"/>
        <v>0</v>
      </c>
      <c r="BV132" s="20">
        <f t="shared" si="495"/>
        <v>0</v>
      </c>
      <c r="BW132" s="20">
        <f t="shared" ref="BW132:DB132" si="496">BW118*BW38</f>
        <v>0</v>
      </c>
      <c r="BX132" s="20">
        <f t="shared" si="496"/>
        <v>66626.721573516639</v>
      </c>
      <c r="BY132" s="20">
        <f t="shared" si="496"/>
        <v>0</v>
      </c>
      <c r="BZ132" s="20">
        <f t="shared" si="496"/>
        <v>0</v>
      </c>
      <c r="CA132" s="20">
        <f t="shared" si="496"/>
        <v>0</v>
      </c>
      <c r="CB132" s="20">
        <f t="shared" si="496"/>
        <v>67585.104864457346</v>
      </c>
      <c r="CC132" s="20">
        <f t="shared" si="496"/>
        <v>0</v>
      </c>
      <c r="CD132" s="20">
        <f t="shared" si="496"/>
        <v>0</v>
      </c>
      <c r="CE132" s="20">
        <f t="shared" si="496"/>
        <v>0</v>
      </c>
      <c r="CF132" s="20">
        <f t="shared" si="496"/>
        <v>70993.699071356663</v>
      </c>
      <c r="CG132" s="20">
        <f t="shared" si="496"/>
        <v>0</v>
      </c>
      <c r="CH132" s="20">
        <f t="shared" si="496"/>
        <v>0</v>
      </c>
      <c r="CI132" s="20">
        <f t="shared" si="496"/>
        <v>0</v>
      </c>
      <c r="CJ132" s="20">
        <f t="shared" si="496"/>
        <v>73054.659176131565</v>
      </c>
      <c r="CK132" s="20">
        <f t="shared" si="496"/>
        <v>0</v>
      </c>
      <c r="CL132" s="20">
        <f t="shared" si="496"/>
        <v>0</v>
      </c>
      <c r="CM132" s="20">
        <f t="shared" si="496"/>
        <v>0</v>
      </c>
      <c r="CN132" s="20">
        <f t="shared" si="496"/>
        <v>78000.306839424928</v>
      </c>
      <c r="CO132" s="20">
        <f t="shared" si="496"/>
        <v>0</v>
      </c>
      <c r="CP132" s="20">
        <f t="shared" si="496"/>
        <v>0</v>
      </c>
      <c r="CQ132" s="20">
        <f t="shared" si="496"/>
        <v>0</v>
      </c>
      <c r="CR132" s="20">
        <f t="shared" si="496"/>
        <v>82011.600752025886</v>
      </c>
      <c r="CS132" s="20">
        <f t="shared" si="496"/>
        <v>0</v>
      </c>
      <c r="CT132" s="20">
        <f t="shared" si="496"/>
        <v>0</v>
      </c>
      <c r="CU132" s="20">
        <f t="shared" si="496"/>
        <v>0</v>
      </c>
      <c r="CV132" s="20">
        <f t="shared" si="496"/>
        <v>86446.372019976567</v>
      </c>
      <c r="CW132" s="20">
        <f t="shared" si="496"/>
        <v>0</v>
      </c>
      <c r="CX132" s="20">
        <f t="shared" si="496"/>
        <v>0</v>
      </c>
      <c r="CY132" s="20">
        <f t="shared" si="496"/>
        <v>0</v>
      </c>
      <c r="CZ132" s="20">
        <f t="shared" si="496"/>
        <v>90594.908904745869</v>
      </c>
      <c r="DA132" s="20">
        <f t="shared" si="496"/>
        <v>0</v>
      </c>
      <c r="DB132" s="20">
        <f t="shared" si="496"/>
        <v>0</v>
      </c>
      <c r="DC132" s="20">
        <f t="shared" ref="DC132:DQ132" si="497">DC118*DC38</f>
        <v>0</v>
      </c>
      <c r="DD132" s="20">
        <f t="shared" si="497"/>
        <v>91475.107264800899</v>
      </c>
      <c r="DE132" s="20">
        <f t="shared" si="497"/>
        <v>0</v>
      </c>
      <c r="DF132" s="20">
        <f t="shared" si="497"/>
        <v>0</v>
      </c>
      <c r="DG132" s="20">
        <f t="shared" si="497"/>
        <v>0</v>
      </c>
      <c r="DH132" s="20">
        <f t="shared" si="497"/>
        <v>91750.068842317851</v>
      </c>
      <c r="DI132" s="20">
        <f t="shared" si="497"/>
        <v>0</v>
      </c>
      <c r="DJ132" s="20">
        <f t="shared" si="497"/>
        <v>0</v>
      </c>
      <c r="DK132" s="20">
        <f t="shared" si="497"/>
        <v>0</v>
      </c>
      <c r="DL132" s="20">
        <f t="shared" si="497"/>
        <v>92104.49884705212</v>
      </c>
      <c r="DM132" s="20">
        <f t="shared" si="497"/>
        <v>0</v>
      </c>
      <c r="DN132" s="20">
        <f t="shared" si="497"/>
        <v>0</v>
      </c>
      <c r="DO132" s="20">
        <f t="shared" si="497"/>
        <v>0</v>
      </c>
      <c r="DP132" s="20">
        <f t="shared" si="497"/>
        <v>0</v>
      </c>
      <c r="DQ132" s="20">
        <f t="shared" si="497"/>
        <v>0</v>
      </c>
    </row>
    <row r="133" spans="2:1006" x14ac:dyDescent="0.35">
      <c r="E133" s="20" t="s">
        <v>43</v>
      </c>
      <c r="F133" s="20" t="s">
        <v>129</v>
      </c>
      <c r="I133" s="54">
        <f t="shared" si="469"/>
        <v>1284866.2337040293</v>
      </c>
      <c r="K133" s="20">
        <f t="shared" ref="K133:AP133" si="498">K119*K39</f>
        <v>0</v>
      </c>
      <c r="L133" s="20">
        <f t="shared" si="498"/>
        <v>0</v>
      </c>
      <c r="M133" s="20">
        <f t="shared" si="498"/>
        <v>0</v>
      </c>
      <c r="N133" s="20">
        <f t="shared" si="498"/>
        <v>0</v>
      </c>
      <c r="O133" s="20">
        <f t="shared" si="498"/>
        <v>0</v>
      </c>
      <c r="P133" s="20">
        <f t="shared" si="498"/>
        <v>0</v>
      </c>
      <c r="Q133" s="20">
        <f t="shared" si="498"/>
        <v>0</v>
      </c>
      <c r="R133" s="20">
        <f t="shared" si="498"/>
        <v>0</v>
      </c>
      <c r="S133" s="20">
        <f t="shared" si="498"/>
        <v>0</v>
      </c>
      <c r="T133" s="20">
        <f t="shared" si="498"/>
        <v>0</v>
      </c>
      <c r="U133" s="20">
        <f t="shared" si="498"/>
        <v>36935.350410185732</v>
      </c>
      <c r="V133" s="20">
        <f t="shared" si="498"/>
        <v>0</v>
      </c>
      <c r="W133" s="20">
        <f t="shared" si="498"/>
        <v>0</v>
      </c>
      <c r="X133" s="20">
        <f t="shared" si="498"/>
        <v>0</v>
      </c>
      <c r="Y133" s="20">
        <f t="shared" si="498"/>
        <v>36751.592447946015</v>
      </c>
      <c r="Z133" s="20">
        <f t="shared" si="498"/>
        <v>0</v>
      </c>
      <c r="AA133" s="20">
        <f t="shared" si="498"/>
        <v>0</v>
      </c>
      <c r="AB133" s="20">
        <f t="shared" si="498"/>
        <v>0</v>
      </c>
      <c r="AC133" s="20">
        <f t="shared" si="498"/>
        <v>36568.748704423917</v>
      </c>
      <c r="AD133" s="20">
        <f t="shared" si="498"/>
        <v>0</v>
      </c>
      <c r="AE133" s="20">
        <f t="shared" si="498"/>
        <v>0</v>
      </c>
      <c r="AF133" s="20">
        <f t="shared" si="498"/>
        <v>0</v>
      </c>
      <c r="AG133" s="20">
        <f t="shared" si="498"/>
        <v>37627.838322647789</v>
      </c>
      <c r="AH133" s="20">
        <f t="shared" si="498"/>
        <v>0</v>
      </c>
      <c r="AI133" s="20">
        <f t="shared" si="498"/>
        <v>0</v>
      </c>
      <c r="AJ133" s="20">
        <f t="shared" si="498"/>
        <v>0</v>
      </c>
      <c r="AK133" s="20">
        <f t="shared" si="498"/>
        <v>1914.8398714098553</v>
      </c>
      <c r="AL133" s="20">
        <f t="shared" si="498"/>
        <v>0</v>
      </c>
      <c r="AM133" s="20">
        <f t="shared" si="498"/>
        <v>0</v>
      </c>
      <c r="AN133" s="20">
        <f t="shared" si="498"/>
        <v>0</v>
      </c>
      <c r="AO133" s="20">
        <f t="shared" si="498"/>
        <v>5740.5140329480146</v>
      </c>
      <c r="AP133" s="20">
        <f t="shared" si="498"/>
        <v>0</v>
      </c>
      <c r="AQ133" s="20">
        <f t="shared" ref="AQ133:BV133" si="499">AQ119*AQ39</f>
        <v>0</v>
      </c>
      <c r="AR133" s="20">
        <f t="shared" si="499"/>
        <v>0</v>
      </c>
      <c r="AS133" s="20">
        <f t="shared" si="499"/>
        <v>12260.162100968339</v>
      </c>
      <c r="AT133" s="20">
        <f t="shared" si="499"/>
        <v>0</v>
      </c>
      <c r="AU133" s="20">
        <f t="shared" si="499"/>
        <v>0</v>
      </c>
      <c r="AV133" s="20">
        <f t="shared" si="499"/>
        <v>0</v>
      </c>
      <c r="AW133" s="20">
        <f t="shared" si="499"/>
        <v>27317.957494075796</v>
      </c>
      <c r="AX133" s="20">
        <f t="shared" si="499"/>
        <v>0</v>
      </c>
      <c r="AY133" s="20">
        <f t="shared" si="499"/>
        <v>0</v>
      </c>
      <c r="AZ133" s="20">
        <f t="shared" si="499"/>
        <v>0</v>
      </c>
      <c r="BA133" s="20">
        <f t="shared" si="499"/>
        <v>46755.961825085244</v>
      </c>
      <c r="BB133" s="20">
        <f t="shared" si="499"/>
        <v>0</v>
      </c>
      <c r="BC133" s="20">
        <f t="shared" si="499"/>
        <v>0</v>
      </c>
      <c r="BD133" s="20">
        <f t="shared" si="499"/>
        <v>0</v>
      </c>
      <c r="BE133" s="20">
        <f t="shared" si="499"/>
        <v>46764.232285121958</v>
      </c>
      <c r="BF133" s="20">
        <f t="shared" si="499"/>
        <v>0</v>
      </c>
      <c r="BG133" s="20">
        <f t="shared" si="499"/>
        <v>0</v>
      </c>
      <c r="BH133" s="20">
        <f t="shared" si="499"/>
        <v>0</v>
      </c>
      <c r="BI133" s="20">
        <f t="shared" si="499"/>
        <v>48656.814590576105</v>
      </c>
      <c r="BJ133" s="20">
        <f t="shared" si="499"/>
        <v>0</v>
      </c>
      <c r="BK133" s="20">
        <f t="shared" si="499"/>
        <v>0</v>
      </c>
      <c r="BL133" s="20">
        <f t="shared" si="499"/>
        <v>0</v>
      </c>
      <c r="BM133" s="20">
        <f t="shared" si="499"/>
        <v>50958.700998389475</v>
      </c>
      <c r="BN133" s="20">
        <f t="shared" si="499"/>
        <v>0</v>
      </c>
      <c r="BO133" s="20">
        <f t="shared" si="499"/>
        <v>0</v>
      </c>
      <c r="BP133" s="20">
        <f t="shared" si="499"/>
        <v>0</v>
      </c>
      <c r="BQ133" s="20">
        <f t="shared" si="499"/>
        <v>54059.152385186979</v>
      </c>
      <c r="BR133" s="20">
        <f t="shared" si="499"/>
        <v>0</v>
      </c>
      <c r="BS133" s="20">
        <f t="shared" si="499"/>
        <v>0</v>
      </c>
      <c r="BT133" s="20">
        <f t="shared" si="499"/>
        <v>0</v>
      </c>
      <c r="BU133" s="20">
        <f t="shared" si="499"/>
        <v>56938.588933361112</v>
      </c>
      <c r="BV133" s="20">
        <f t="shared" si="499"/>
        <v>0</v>
      </c>
      <c r="BW133" s="20">
        <f t="shared" ref="BW133:DB133" si="500">BW119*BW39</f>
        <v>0</v>
      </c>
      <c r="BX133" s="20">
        <f t="shared" si="500"/>
        <v>0</v>
      </c>
      <c r="BY133" s="20">
        <f t="shared" si="500"/>
        <v>58769.901027890948</v>
      </c>
      <c r="BZ133" s="20">
        <f t="shared" si="500"/>
        <v>0</v>
      </c>
      <c r="CA133" s="20">
        <f t="shared" si="500"/>
        <v>0</v>
      </c>
      <c r="CB133" s="20">
        <f t="shared" si="500"/>
        <v>0</v>
      </c>
      <c r="CC133" s="20">
        <f t="shared" si="500"/>
        <v>59615.268919709277</v>
      </c>
      <c r="CD133" s="20">
        <f t="shared" si="500"/>
        <v>0</v>
      </c>
      <c r="CE133" s="20">
        <f t="shared" si="500"/>
        <v>0</v>
      </c>
      <c r="CF133" s="20">
        <f t="shared" si="500"/>
        <v>0</v>
      </c>
      <c r="CG133" s="20">
        <f t="shared" si="500"/>
        <v>62621.911591789074</v>
      </c>
      <c r="CH133" s="20">
        <f t="shared" si="500"/>
        <v>0</v>
      </c>
      <c r="CI133" s="20">
        <f t="shared" si="500"/>
        <v>0</v>
      </c>
      <c r="CJ133" s="20">
        <f t="shared" si="500"/>
        <v>0</v>
      </c>
      <c r="CK133" s="20">
        <f t="shared" si="500"/>
        <v>64439.837170588653</v>
      </c>
      <c r="CL133" s="20">
        <f t="shared" si="500"/>
        <v>0</v>
      </c>
      <c r="CM133" s="20">
        <f t="shared" si="500"/>
        <v>0</v>
      </c>
      <c r="CN133" s="20">
        <f t="shared" si="500"/>
        <v>0</v>
      </c>
      <c r="CO133" s="20">
        <f t="shared" si="500"/>
        <v>68802.279398364466</v>
      </c>
      <c r="CP133" s="20">
        <f t="shared" si="500"/>
        <v>0</v>
      </c>
      <c r="CQ133" s="20">
        <f t="shared" si="500"/>
        <v>0</v>
      </c>
      <c r="CR133" s="20">
        <f t="shared" si="500"/>
        <v>0</v>
      </c>
      <c r="CS133" s="20">
        <f t="shared" si="500"/>
        <v>72340.549639940407</v>
      </c>
      <c r="CT133" s="20">
        <f t="shared" si="500"/>
        <v>0</v>
      </c>
      <c r="CU133" s="20">
        <f t="shared" si="500"/>
        <v>0</v>
      </c>
      <c r="CV133" s="20">
        <f t="shared" si="500"/>
        <v>0</v>
      </c>
      <c r="CW133" s="20">
        <f t="shared" si="500"/>
        <v>76252.359531579947</v>
      </c>
      <c r="CX133" s="20">
        <f t="shared" si="500"/>
        <v>0</v>
      </c>
      <c r="CY133" s="20">
        <f t="shared" si="500"/>
        <v>0</v>
      </c>
      <c r="CZ133" s="20">
        <f t="shared" si="500"/>
        <v>0</v>
      </c>
      <c r="DA133" s="20">
        <f t="shared" si="500"/>
        <v>79911.688647142451</v>
      </c>
      <c r="DB133" s="20">
        <f t="shared" si="500"/>
        <v>0</v>
      </c>
      <c r="DC133" s="20">
        <f t="shared" ref="DC133:DQ133" si="501">DC119*DC39</f>
        <v>0</v>
      </c>
      <c r="DD133" s="20">
        <f t="shared" si="501"/>
        <v>0</v>
      </c>
      <c r="DE133" s="20">
        <f t="shared" si="501"/>
        <v>80688.091406931082</v>
      </c>
      <c r="DF133" s="20">
        <f t="shared" si="501"/>
        <v>0</v>
      </c>
      <c r="DG133" s="20">
        <f t="shared" si="501"/>
        <v>0</v>
      </c>
      <c r="DH133" s="20">
        <f t="shared" si="501"/>
        <v>0</v>
      </c>
      <c r="DI133" s="20">
        <f t="shared" si="501"/>
        <v>80930.628700009693</v>
      </c>
      <c r="DJ133" s="20">
        <f t="shared" si="501"/>
        <v>0</v>
      </c>
      <c r="DK133" s="20">
        <f t="shared" si="501"/>
        <v>0</v>
      </c>
      <c r="DL133" s="20">
        <f t="shared" si="501"/>
        <v>0</v>
      </c>
      <c r="DM133" s="20">
        <f t="shared" si="501"/>
        <v>81243.263267756876</v>
      </c>
      <c r="DN133" s="20">
        <f t="shared" si="501"/>
        <v>0</v>
      </c>
      <c r="DO133" s="20">
        <f t="shared" si="501"/>
        <v>0</v>
      </c>
      <c r="DP133" s="20">
        <f t="shared" si="501"/>
        <v>0</v>
      </c>
      <c r="DQ133" s="20">
        <f t="shared" si="501"/>
        <v>0</v>
      </c>
    </row>
    <row r="134" spans="2:1006" x14ac:dyDescent="0.35">
      <c r="E134" s="20" t="s">
        <v>44</v>
      </c>
      <c r="F134" s="20" t="s">
        <v>129</v>
      </c>
      <c r="I134" s="54">
        <f t="shared" si="469"/>
        <v>977041.11909116374</v>
      </c>
      <c r="K134" s="20">
        <f t="shared" ref="K134:AP134" si="502">K120*K40</f>
        <v>0</v>
      </c>
      <c r="L134" s="20">
        <f t="shared" si="502"/>
        <v>0</v>
      </c>
      <c r="M134" s="20">
        <f t="shared" si="502"/>
        <v>0</v>
      </c>
      <c r="N134" s="20">
        <f t="shared" si="502"/>
        <v>0</v>
      </c>
      <c r="O134" s="20">
        <f t="shared" si="502"/>
        <v>0</v>
      </c>
      <c r="P134" s="20">
        <f t="shared" si="502"/>
        <v>0</v>
      </c>
      <c r="Q134" s="20">
        <f t="shared" si="502"/>
        <v>0</v>
      </c>
      <c r="R134" s="20">
        <f t="shared" si="502"/>
        <v>0</v>
      </c>
      <c r="S134" s="20">
        <f t="shared" si="502"/>
        <v>0</v>
      </c>
      <c r="T134" s="20">
        <f t="shared" si="502"/>
        <v>0</v>
      </c>
      <c r="U134" s="20">
        <f t="shared" si="502"/>
        <v>27945.794225696089</v>
      </c>
      <c r="V134" s="20">
        <f t="shared" si="502"/>
        <v>0</v>
      </c>
      <c r="W134" s="20">
        <f t="shared" si="502"/>
        <v>0</v>
      </c>
      <c r="X134" s="20">
        <f t="shared" si="502"/>
        <v>0</v>
      </c>
      <c r="Y134" s="20">
        <f t="shared" si="502"/>
        <v>27806.760423578202</v>
      </c>
      <c r="Z134" s="20">
        <f t="shared" si="502"/>
        <v>0</v>
      </c>
      <c r="AA134" s="20">
        <f t="shared" si="502"/>
        <v>0</v>
      </c>
      <c r="AB134" s="20">
        <f t="shared" si="502"/>
        <v>0</v>
      </c>
      <c r="AC134" s="20">
        <f t="shared" si="502"/>
        <v>27668.418331918623</v>
      </c>
      <c r="AD134" s="20">
        <f t="shared" si="502"/>
        <v>0</v>
      </c>
      <c r="AE134" s="20">
        <f t="shared" si="502"/>
        <v>0</v>
      </c>
      <c r="AF134" s="20">
        <f t="shared" si="502"/>
        <v>0</v>
      </c>
      <c r="AG134" s="20">
        <f t="shared" si="502"/>
        <v>28469.740106553621</v>
      </c>
      <c r="AH134" s="20">
        <f t="shared" si="502"/>
        <v>0</v>
      </c>
      <c r="AI134" s="20">
        <f t="shared" si="502"/>
        <v>0</v>
      </c>
      <c r="AJ134" s="20">
        <f t="shared" si="502"/>
        <v>0</v>
      </c>
      <c r="AK134" s="20">
        <f t="shared" si="502"/>
        <v>2897.5883768424264</v>
      </c>
      <c r="AL134" s="20">
        <f t="shared" si="502"/>
        <v>0</v>
      </c>
      <c r="AM134" s="20">
        <f t="shared" si="502"/>
        <v>0</v>
      </c>
      <c r="AN134" s="20">
        <f t="shared" si="502"/>
        <v>0</v>
      </c>
      <c r="AO134" s="20">
        <f t="shared" si="502"/>
        <v>4343.3518873627836</v>
      </c>
      <c r="AP134" s="20">
        <f t="shared" si="502"/>
        <v>0</v>
      </c>
      <c r="AQ134" s="20">
        <f t="shared" ref="AQ134:BV134" si="503">AQ120*AQ40</f>
        <v>0</v>
      </c>
      <c r="AR134" s="20">
        <f t="shared" si="503"/>
        <v>0</v>
      </c>
      <c r="AS134" s="20">
        <f t="shared" si="503"/>
        <v>9276.207303907262</v>
      </c>
      <c r="AT134" s="20">
        <f t="shared" si="503"/>
        <v>0</v>
      </c>
      <c r="AU134" s="20">
        <f t="shared" si="503"/>
        <v>0</v>
      </c>
      <c r="AV134" s="20">
        <f t="shared" si="503"/>
        <v>0</v>
      </c>
      <c r="AW134" s="20">
        <f t="shared" si="503"/>
        <v>24113.999516375548</v>
      </c>
      <c r="AX134" s="20">
        <f t="shared" si="503"/>
        <v>0</v>
      </c>
      <c r="AY134" s="20">
        <f t="shared" si="503"/>
        <v>0</v>
      </c>
      <c r="AZ134" s="20">
        <f t="shared" si="503"/>
        <v>0</v>
      </c>
      <c r="BA134" s="20">
        <f t="shared" si="503"/>
        <v>35376.203920567146</v>
      </c>
      <c r="BB134" s="20">
        <f t="shared" si="503"/>
        <v>0</v>
      </c>
      <c r="BC134" s="20">
        <f t="shared" si="503"/>
        <v>0</v>
      </c>
      <c r="BD134" s="20">
        <f t="shared" si="503"/>
        <v>0</v>
      </c>
      <c r="BE134" s="20">
        <f t="shared" si="503"/>
        <v>35382.461464404441</v>
      </c>
      <c r="BF134" s="20">
        <f t="shared" si="503"/>
        <v>0</v>
      </c>
      <c r="BG134" s="20">
        <f t="shared" si="503"/>
        <v>0</v>
      </c>
      <c r="BH134" s="20">
        <f t="shared" si="503"/>
        <v>0</v>
      </c>
      <c r="BI134" s="20">
        <f t="shared" si="503"/>
        <v>36814.41527223483</v>
      </c>
      <c r="BJ134" s="20">
        <f t="shared" si="503"/>
        <v>0</v>
      </c>
      <c r="BK134" s="20">
        <f t="shared" si="503"/>
        <v>0</v>
      </c>
      <c r="BL134" s="20">
        <f t="shared" si="503"/>
        <v>0</v>
      </c>
      <c r="BM134" s="20">
        <f t="shared" si="503"/>
        <v>38556.05419454864</v>
      </c>
      <c r="BN134" s="20">
        <f t="shared" si="503"/>
        <v>0</v>
      </c>
      <c r="BO134" s="20">
        <f t="shared" si="503"/>
        <v>0</v>
      </c>
      <c r="BP134" s="20">
        <f t="shared" si="503"/>
        <v>0</v>
      </c>
      <c r="BQ134" s="20">
        <f t="shared" si="503"/>
        <v>40901.898365511843</v>
      </c>
      <c r="BR134" s="20">
        <f t="shared" si="503"/>
        <v>0</v>
      </c>
      <c r="BS134" s="20">
        <f t="shared" si="503"/>
        <v>0</v>
      </c>
      <c r="BT134" s="20">
        <f t="shared" si="503"/>
        <v>0</v>
      </c>
      <c r="BU134" s="20">
        <f t="shared" si="503"/>
        <v>43080.51966915682</v>
      </c>
      <c r="BV134" s="20">
        <f t="shared" si="503"/>
        <v>0</v>
      </c>
      <c r="BW134" s="20">
        <f t="shared" ref="BW134:DB134" si="504">BW120*BW40</f>
        <v>0</v>
      </c>
      <c r="BX134" s="20">
        <f t="shared" si="504"/>
        <v>0</v>
      </c>
      <c r="BY134" s="20">
        <f t="shared" si="504"/>
        <v>44466.115592531249</v>
      </c>
      <c r="BZ134" s="20">
        <f t="shared" si="504"/>
        <v>0</v>
      </c>
      <c r="CA134" s="20">
        <f t="shared" si="504"/>
        <v>0</v>
      </c>
      <c r="CB134" s="20">
        <f t="shared" si="504"/>
        <v>0</v>
      </c>
      <c r="CC134" s="20">
        <f t="shared" si="504"/>
        <v>45105.732568880565</v>
      </c>
      <c r="CD134" s="20">
        <f t="shared" si="504"/>
        <v>0</v>
      </c>
      <c r="CE134" s="20">
        <f t="shared" si="504"/>
        <v>0</v>
      </c>
      <c r="CF134" s="20">
        <f t="shared" si="504"/>
        <v>0</v>
      </c>
      <c r="CG134" s="20">
        <f t="shared" si="504"/>
        <v>47380.599775798088</v>
      </c>
      <c r="CH134" s="20">
        <f t="shared" si="504"/>
        <v>0</v>
      </c>
      <c r="CI134" s="20">
        <f t="shared" si="504"/>
        <v>0</v>
      </c>
      <c r="CJ134" s="20">
        <f t="shared" si="504"/>
        <v>0</v>
      </c>
      <c r="CK134" s="20">
        <f t="shared" si="504"/>
        <v>48756.067277217873</v>
      </c>
      <c r="CL134" s="20">
        <f t="shared" si="504"/>
        <v>0</v>
      </c>
      <c r="CM134" s="20">
        <f t="shared" si="504"/>
        <v>0</v>
      </c>
      <c r="CN134" s="20">
        <f t="shared" si="504"/>
        <v>0</v>
      </c>
      <c r="CO134" s="20">
        <f t="shared" si="504"/>
        <v>52056.751079185815</v>
      </c>
      <c r="CP134" s="20">
        <f t="shared" si="504"/>
        <v>0</v>
      </c>
      <c r="CQ134" s="20">
        <f t="shared" si="504"/>
        <v>0</v>
      </c>
      <c r="CR134" s="20">
        <f t="shared" si="504"/>
        <v>0</v>
      </c>
      <c r="CS134" s="20">
        <f t="shared" si="504"/>
        <v>54733.855018579256</v>
      </c>
      <c r="CT134" s="20">
        <f t="shared" si="504"/>
        <v>0</v>
      </c>
      <c r="CU134" s="20">
        <f t="shared" si="504"/>
        <v>0</v>
      </c>
      <c r="CV134" s="20">
        <f t="shared" si="504"/>
        <v>0</v>
      </c>
      <c r="CW134" s="20">
        <f t="shared" si="504"/>
        <v>57693.584195851494</v>
      </c>
      <c r="CX134" s="20">
        <f t="shared" si="504"/>
        <v>0</v>
      </c>
      <c r="CY134" s="20">
        <f t="shared" si="504"/>
        <v>0</v>
      </c>
      <c r="CZ134" s="20">
        <f t="shared" si="504"/>
        <v>0</v>
      </c>
      <c r="DA134" s="20">
        <f t="shared" si="504"/>
        <v>60462.282944663348</v>
      </c>
      <c r="DB134" s="20">
        <f t="shared" si="504"/>
        <v>0</v>
      </c>
      <c r="DC134" s="20">
        <f t="shared" ref="DC134:DQ134" si="505">DC120*DC40</f>
        <v>0</v>
      </c>
      <c r="DD134" s="20">
        <f t="shared" si="505"/>
        <v>0</v>
      </c>
      <c r="DE134" s="20">
        <f t="shared" si="505"/>
        <v>61049.719953392298</v>
      </c>
      <c r="DF134" s="20">
        <f t="shared" si="505"/>
        <v>0</v>
      </c>
      <c r="DG134" s="20">
        <f t="shared" si="505"/>
        <v>0</v>
      </c>
      <c r="DH134" s="20">
        <f t="shared" si="505"/>
        <v>0</v>
      </c>
      <c r="DI134" s="20">
        <f t="shared" si="505"/>
        <v>61233.227005827444</v>
      </c>
      <c r="DJ134" s="20">
        <f t="shared" si="505"/>
        <v>0</v>
      </c>
      <c r="DK134" s="20">
        <f t="shared" si="505"/>
        <v>0</v>
      </c>
      <c r="DL134" s="20">
        <f t="shared" si="505"/>
        <v>0</v>
      </c>
      <c r="DM134" s="20">
        <f t="shared" si="505"/>
        <v>61469.770620577947</v>
      </c>
      <c r="DN134" s="20">
        <f t="shared" si="505"/>
        <v>0</v>
      </c>
      <c r="DO134" s="20">
        <f t="shared" si="505"/>
        <v>0</v>
      </c>
      <c r="DP134" s="20">
        <f t="shared" si="505"/>
        <v>0</v>
      </c>
      <c r="DQ134" s="20">
        <f t="shared" si="505"/>
        <v>0</v>
      </c>
    </row>
    <row r="135" spans="2:1006" x14ac:dyDescent="0.35">
      <c r="E135" s="20" t="s">
        <v>45</v>
      </c>
      <c r="F135" s="20" t="s">
        <v>129</v>
      </c>
      <c r="I135" s="54">
        <f t="shared" si="469"/>
        <v>676421.28971552593</v>
      </c>
      <c r="K135" s="20">
        <f t="shared" ref="K135:AP135" si="506">K121*K41</f>
        <v>0</v>
      </c>
      <c r="L135" s="20">
        <f t="shared" si="506"/>
        <v>0</v>
      </c>
      <c r="M135" s="20">
        <f t="shared" si="506"/>
        <v>0</v>
      </c>
      <c r="N135" s="20">
        <f t="shared" si="506"/>
        <v>0</v>
      </c>
      <c r="O135" s="20">
        <f t="shared" si="506"/>
        <v>0</v>
      </c>
      <c r="P135" s="20">
        <f t="shared" si="506"/>
        <v>0</v>
      </c>
      <c r="Q135" s="20">
        <f t="shared" si="506"/>
        <v>0</v>
      </c>
      <c r="R135" s="20">
        <f t="shared" si="506"/>
        <v>0</v>
      </c>
      <c r="S135" s="20">
        <f t="shared" si="506"/>
        <v>0</v>
      </c>
      <c r="T135" s="20">
        <f t="shared" si="506"/>
        <v>0</v>
      </c>
      <c r="U135" s="20">
        <f t="shared" si="506"/>
        <v>19151.663175651865</v>
      </c>
      <c r="V135" s="20">
        <f t="shared" si="506"/>
        <v>0</v>
      </c>
      <c r="W135" s="20">
        <f t="shared" si="506"/>
        <v>0</v>
      </c>
      <c r="X135" s="20">
        <f t="shared" si="506"/>
        <v>0</v>
      </c>
      <c r="Y135" s="20">
        <f t="shared" si="506"/>
        <v>19056.381269305344</v>
      </c>
      <c r="Z135" s="20">
        <f t="shared" si="506"/>
        <v>0</v>
      </c>
      <c r="AA135" s="20">
        <f t="shared" si="506"/>
        <v>0</v>
      </c>
      <c r="AB135" s="20">
        <f t="shared" si="506"/>
        <v>0</v>
      </c>
      <c r="AC135" s="20">
        <f t="shared" si="506"/>
        <v>18961.573402293885</v>
      </c>
      <c r="AD135" s="20">
        <f t="shared" si="506"/>
        <v>0</v>
      </c>
      <c r="AE135" s="20">
        <f t="shared" si="506"/>
        <v>0</v>
      </c>
      <c r="AF135" s="20">
        <f t="shared" si="506"/>
        <v>0</v>
      </c>
      <c r="AG135" s="20">
        <f t="shared" si="506"/>
        <v>19510.73098211367</v>
      </c>
      <c r="AH135" s="20">
        <f t="shared" si="506"/>
        <v>0</v>
      </c>
      <c r="AI135" s="20">
        <f t="shared" si="506"/>
        <v>0</v>
      </c>
      <c r="AJ135" s="20">
        <f t="shared" si="506"/>
        <v>0</v>
      </c>
      <c r="AK135" s="20">
        <f t="shared" si="506"/>
        <v>1985.7598666472572</v>
      </c>
      <c r="AL135" s="20">
        <f t="shared" si="506"/>
        <v>0</v>
      </c>
      <c r="AM135" s="20">
        <f t="shared" si="506"/>
        <v>0</v>
      </c>
      <c r="AN135" s="20">
        <f t="shared" si="506"/>
        <v>0</v>
      </c>
      <c r="AO135" s="20">
        <f t="shared" si="506"/>
        <v>2976.5628318989707</v>
      </c>
      <c r="AP135" s="20">
        <f t="shared" si="506"/>
        <v>0</v>
      </c>
      <c r="AQ135" s="20">
        <f t="shared" ref="AQ135:BV135" si="507">AQ121*AQ41</f>
        <v>0</v>
      </c>
      <c r="AR135" s="20">
        <f t="shared" si="507"/>
        <v>0</v>
      </c>
      <c r="AS135" s="20">
        <f t="shared" si="507"/>
        <v>8476.1614525213208</v>
      </c>
      <c r="AT135" s="20">
        <f t="shared" si="507"/>
        <v>0</v>
      </c>
      <c r="AU135" s="20">
        <f t="shared" si="507"/>
        <v>0</v>
      </c>
      <c r="AV135" s="20">
        <f t="shared" si="507"/>
        <v>0</v>
      </c>
      <c r="AW135" s="20">
        <f t="shared" si="507"/>
        <v>21247.300273170062</v>
      </c>
      <c r="AX135" s="20">
        <f t="shared" si="507"/>
        <v>0</v>
      </c>
      <c r="AY135" s="20">
        <f t="shared" si="507"/>
        <v>0</v>
      </c>
      <c r="AZ135" s="20">
        <f t="shared" si="507"/>
        <v>0</v>
      </c>
      <c r="BA135" s="20">
        <f t="shared" si="507"/>
        <v>24243.832057451615</v>
      </c>
      <c r="BB135" s="20">
        <f t="shared" si="507"/>
        <v>0</v>
      </c>
      <c r="BC135" s="20">
        <f t="shared" si="507"/>
        <v>0</v>
      </c>
      <c r="BD135" s="20">
        <f t="shared" si="507"/>
        <v>0</v>
      </c>
      <c r="BE135" s="20">
        <f t="shared" si="507"/>
        <v>24248.120444137312</v>
      </c>
      <c r="BF135" s="20">
        <f t="shared" si="507"/>
        <v>0</v>
      </c>
      <c r="BG135" s="20">
        <f t="shared" si="507"/>
        <v>0</v>
      </c>
      <c r="BH135" s="20">
        <f t="shared" si="507"/>
        <v>0</v>
      </c>
      <c r="BI135" s="20">
        <f t="shared" si="507"/>
        <v>25229.459417335758</v>
      </c>
      <c r="BJ135" s="20">
        <f t="shared" si="507"/>
        <v>0</v>
      </c>
      <c r="BK135" s="20">
        <f t="shared" si="507"/>
        <v>0</v>
      </c>
      <c r="BL135" s="20">
        <f t="shared" si="507"/>
        <v>0</v>
      </c>
      <c r="BM135" s="20">
        <f t="shared" si="507"/>
        <v>26423.03014731306</v>
      </c>
      <c r="BN135" s="20">
        <f t="shared" si="507"/>
        <v>0</v>
      </c>
      <c r="BO135" s="20">
        <f t="shared" si="507"/>
        <v>0</v>
      </c>
      <c r="BP135" s="20">
        <f t="shared" si="507"/>
        <v>0</v>
      </c>
      <c r="BQ135" s="20">
        <f t="shared" si="507"/>
        <v>28030.671607133994</v>
      </c>
      <c r="BR135" s="20">
        <f t="shared" si="507"/>
        <v>0</v>
      </c>
      <c r="BS135" s="20">
        <f t="shared" si="507"/>
        <v>0</v>
      </c>
      <c r="BT135" s="20">
        <f t="shared" si="507"/>
        <v>0</v>
      </c>
      <c r="BU135" s="20">
        <f t="shared" si="507"/>
        <v>29523.712780261321</v>
      </c>
      <c r="BV135" s="20">
        <f t="shared" si="507"/>
        <v>0</v>
      </c>
      <c r="BW135" s="20">
        <f t="shared" ref="BW135:DB135" si="508">BW121*BW41</f>
        <v>0</v>
      </c>
      <c r="BX135" s="20">
        <f t="shared" si="508"/>
        <v>0</v>
      </c>
      <c r="BY135" s="20">
        <f t="shared" si="508"/>
        <v>30473.282014461976</v>
      </c>
      <c r="BZ135" s="20">
        <f t="shared" si="508"/>
        <v>0</v>
      </c>
      <c r="CA135" s="20">
        <f t="shared" si="508"/>
        <v>0</v>
      </c>
      <c r="CB135" s="20">
        <f t="shared" si="508"/>
        <v>0</v>
      </c>
      <c r="CC135" s="20">
        <f t="shared" si="508"/>
        <v>30911.620921330737</v>
      </c>
      <c r="CD135" s="20">
        <f t="shared" si="508"/>
        <v>0</v>
      </c>
      <c r="CE135" s="20">
        <f t="shared" si="508"/>
        <v>0</v>
      </c>
      <c r="CF135" s="20">
        <f t="shared" si="508"/>
        <v>0</v>
      </c>
      <c r="CG135" s="20">
        <f t="shared" si="508"/>
        <v>32470.620825372116</v>
      </c>
      <c r="CH135" s="20">
        <f t="shared" si="508"/>
        <v>0</v>
      </c>
      <c r="CI135" s="20">
        <f t="shared" si="508"/>
        <v>0</v>
      </c>
      <c r="CJ135" s="20">
        <f t="shared" si="508"/>
        <v>0</v>
      </c>
      <c r="CK135" s="20">
        <f t="shared" si="508"/>
        <v>33413.248903268191</v>
      </c>
      <c r="CL135" s="20">
        <f t="shared" si="508"/>
        <v>0</v>
      </c>
      <c r="CM135" s="20">
        <f t="shared" si="508"/>
        <v>0</v>
      </c>
      <c r="CN135" s="20">
        <f t="shared" si="508"/>
        <v>0</v>
      </c>
      <c r="CO135" s="20">
        <f t="shared" si="508"/>
        <v>35675.255984337135</v>
      </c>
      <c r="CP135" s="20">
        <f t="shared" si="508"/>
        <v>0</v>
      </c>
      <c r="CQ135" s="20">
        <f t="shared" si="508"/>
        <v>0</v>
      </c>
      <c r="CR135" s="20">
        <f t="shared" si="508"/>
        <v>0</v>
      </c>
      <c r="CS135" s="20">
        <f t="shared" si="508"/>
        <v>37509.914628117243</v>
      </c>
      <c r="CT135" s="20">
        <f t="shared" si="508"/>
        <v>0</v>
      </c>
      <c r="CU135" s="20">
        <f t="shared" si="508"/>
        <v>0</v>
      </c>
      <c r="CV135" s="20">
        <f t="shared" si="508"/>
        <v>0</v>
      </c>
      <c r="CW135" s="20">
        <f t="shared" si="508"/>
        <v>39538.260497856274</v>
      </c>
      <c r="CX135" s="20">
        <f t="shared" si="508"/>
        <v>0</v>
      </c>
      <c r="CY135" s="20">
        <f t="shared" si="508"/>
        <v>0</v>
      </c>
      <c r="CZ135" s="20">
        <f t="shared" si="508"/>
        <v>0</v>
      </c>
      <c r="DA135" s="20">
        <f t="shared" si="508"/>
        <v>41435.690409629431</v>
      </c>
      <c r="DB135" s="20">
        <f t="shared" si="508"/>
        <v>0</v>
      </c>
      <c r="DC135" s="20">
        <f t="shared" ref="DC135:DQ135" si="509">DC121*DC41</f>
        <v>0</v>
      </c>
      <c r="DD135" s="20">
        <f t="shared" si="509"/>
        <v>0</v>
      </c>
      <c r="DE135" s="20">
        <f t="shared" si="509"/>
        <v>41838.269618408704</v>
      </c>
      <c r="DF135" s="20">
        <f t="shared" si="509"/>
        <v>0</v>
      </c>
      <c r="DG135" s="20">
        <f t="shared" si="509"/>
        <v>0</v>
      </c>
      <c r="DH135" s="20">
        <f t="shared" si="509"/>
        <v>0</v>
      </c>
      <c r="DI135" s="20">
        <f t="shared" si="509"/>
        <v>41964.029696301324</v>
      </c>
      <c r="DJ135" s="20">
        <f t="shared" si="509"/>
        <v>0</v>
      </c>
      <c r="DK135" s="20">
        <f t="shared" si="509"/>
        <v>0</v>
      </c>
      <c r="DL135" s="20">
        <f t="shared" si="509"/>
        <v>0</v>
      </c>
      <c r="DM135" s="20">
        <f t="shared" si="509"/>
        <v>42126.136509207274</v>
      </c>
      <c r="DN135" s="20">
        <f t="shared" si="509"/>
        <v>0</v>
      </c>
      <c r="DO135" s="20">
        <f t="shared" si="509"/>
        <v>0</v>
      </c>
      <c r="DP135" s="20">
        <f t="shared" si="509"/>
        <v>0</v>
      </c>
      <c r="DQ135" s="20">
        <f t="shared" si="509"/>
        <v>0</v>
      </c>
    </row>
    <row r="136" spans="2:1006" x14ac:dyDescent="0.35">
      <c r="E136" s="20" t="s">
        <v>46</v>
      </c>
      <c r="F136" s="20" t="s">
        <v>129</v>
      </c>
      <c r="I136" s="54">
        <f t="shared" si="469"/>
        <v>616453.40918714367</v>
      </c>
      <c r="K136" s="20">
        <f t="shared" ref="K136:AP136" si="510">K122*K42</f>
        <v>0</v>
      </c>
      <c r="L136" s="20">
        <f t="shared" si="510"/>
        <v>0</v>
      </c>
      <c r="M136" s="20">
        <f t="shared" si="510"/>
        <v>0</v>
      </c>
      <c r="N136" s="20">
        <f t="shared" si="510"/>
        <v>0</v>
      </c>
      <c r="O136" s="20">
        <f t="shared" si="510"/>
        <v>0</v>
      </c>
      <c r="P136" s="20">
        <f t="shared" si="510"/>
        <v>0</v>
      </c>
      <c r="Q136" s="20">
        <f t="shared" si="510"/>
        <v>0</v>
      </c>
      <c r="R136" s="20">
        <f t="shared" si="510"/>
        <v>0</v>
      </c>
      <c r="S136" s="20">
        <f t="shared" si="510"/>
        <v>0</v>
      </c>
      <c r="T136" s="20">
        <f t="shared" si="510"/>
        <v>0</v>
      </c>
      <c r="U136" s="20">
        <f t="shared" si="510"/>
        <v>0</v>
      </c>
      <c r="V136" s="20">
        <f t="shared" si="510"/>
        <v>16785.618765791009</v>
      </c>
      <c r="W136" s="20">
        <f t="shared" si="510"/>
        <v>0</v>
      </c>
      <c r="X136" s="20">
        <f t="shared" si="510"/>
        <v>0</v>
      </c>
      <c r="Y136" s="20">
        <f t="shared" si="510"/>
        <v>0</v>
      </c>
      <c r="Z136" s="20">
        <f t="shared" si="510"/>
        <v>16702.108224667674</v>
      </c>
      <c r="AA136" s="20">
        <f t="shared" si="510"/>
        <v>0</v>
      </c>
      <c r="AB136" s="20">
        <f t="shared" si="510"/>
        <v>0</v>
      </c>
      <c r="AC136" s="20">
        <f t="shared" si="510"/>
        <v>0</v>
      </c>
      <c r="AD136" s="20">
        <f t="shared" si="510"/>
        <v>17185.828068793959</v>
      </c>
      <c r="AE136" s="20">
        <f t="shared" si="510"/>
        <v>0</v>
      </c>
      <c r="AF136" s="20">
        <f t="shared" si="510"/>
        <v>0</v>
      </c>
      <c r="AG136" s="20">
        <f t="shared" si="510"/>
        <v>0</v>
      </c>
      <c r="AH136" s="20">
        <f t="shared" si="510"/>
        <v>1749.1362925047044</v>
      </c>
      <c r="AI136" s="20">
        <f t="shared" si="510"/>
        <v>0</v>
      </c>
      <c r="AJ136" s="20">
        <f t="shared" si="510"/>
        <v>0</v>
      </c>
      <c r="AK136" s="20">
        <f t="shared" si="510"/>
        <v>0</v>
      </c>
      <c r="AL136" s="20">
        <f t="shared" si="510"/>
        <v>2621.8749626487024</v>
      </c>
      <c r="AM136" s="20">
        <f t="shared" si="510"/>
        <v>0</v>
      </c>
      <c r="AN136" s="20">
        <f t="shared" si="510"/>
        <v>0</v>
      </c>
      <c r="AO136" s="20">
        <f t="shared" si="510"/>
        <v>0</v>
      </c>
      <c r="AP136" s="20">
        <f t="shared" si="510"/>
        <v>7466.1402250849615</v>
      </c>
      <c r="AQ136" s="20">
        <f t="shared" ref="AQ136:BV136" si="511">AQ122*AQ42</f>
        <v>0</v>
      </c>
      <c r="AR136" s="20">
        <f t="shared" si="511"/>
        <v>0</v>
      </c>
      <c r="AS136" s="20">
        <f t="shared" si="511"/>
        <v>0</v>
      </c>
      <c r="AT136" s="20">
        <f t="shared" si="511"/>
        <v>18715.467388458725</v>
      </c>
      <c r="AU136" s="20">
        <f t="shared" si="511"/>
        <v>0</v>
      </c>
      <c r="AV136" s="20">
        <f t="shared" si="511"/>
        <v>0</v>
      </c>
      <c r="AW136" s="20">
        <f t="shared" si="511"/>
        <v>0</v>
      </c>
      <c r="AX136" s="20">
        <f t="shared" si="511"/>
        <v>21354.931798815738</v>
      </c>
      <c r="AY136" s="20">
        <f t="shared" si="511"/>
        <v>0</v>
      </c>
      <c r="AZ136" s="20">
        <f t="shared" si="511"/>
        <v>0</v>
      </c>
      <c r="BA136" s="20">
        <f t="shared" si="511"/>
        <v>0</v>
      </c>
      <c r="BB136" s="20">
        <f t="shared" si="511"/>
        <v>21358.70918041874</v>
      </c>
      <c r="BC136" s="20">
        <f t="shared" si="511"/>
        <v>0</v>
      </c>
      <c r="BD136" s="20">
        <f t="shared" si="511"/>
        <v>0</v>
      </c>
      <c r="BE136" s="20">
        <f t="shared" si="511"/>
        <v>0</v>
      </c>
      <c r="BF136" s="20">
        <f t="shared" si="511"/>
        <v>22223.111589844419</v>
      </c>
      <c r="BG136" s="20">
        <f t="shared" si="511"/>
        <v>0</v>
      </c>
      <c r="BH136" s="20">
        <f t="shared" si="511"/>
        <v>0</v>
      </c>
      <c r="BI136" s="20">
        <f t="shared" si="511"/>
        <v>0</v>
      </c>
      <c r="BJ136" s="20">
        <f t="shared" si="511"/>
        <v>23274.456174121631</v>
      </c>
      <c r="BK136" s="20">
        <f t="shared" si="511"/>
        <v>0</v>
      </c>
      <c r="BL136" s="20">
        <f t="shared" si="511"/>
        <v>0</v>
      </c>
      <c r="BM136" s="20">
        <f t="shared" si="511"/>
        <v>0</v>
      </c>
      <c r="BN136" s="20">
        <f t="shared" si="511"/>
        <v>24690.530730737471</v>
      </c>
      <c r="BO136" s="20">
        <f t="shared" si="511"/>
        <v>0</v>
      </c>
      <c r="BP136" s="20">
        <f t="shared" si="511"/>
        <v>0</v>
      </c>
      <c r="BQ136" s="20">
        <f t="shared" si="511"/>
        <v>0</v>
      </c>
      <c r="BR136" s="20">
        <f t="shared" si="511"/>
        <v>26005.660795547417</v>
      </c>
      <c r="BS136" s="20">
        <f t="shared" si="511"/>
        <v>0</v>
      </c>
      <c r="BT136" s="20">
        <f t="shared" si="511"/>
        <v>0</v>
      </c>
      <c r="BU136" s="20">
        <f t="shared" si="511"/>
        <v>0</v>
      </c>
      <c r="BV136" s="20">
        <f t="shared" si="511"/>
        <v>26842.079154928688</v>
      </c>
      <c r="BW136" s="20">
        <f t="shared" ref="BW136:DB136" si="512">BW122*BW42</f>
        <v>0</v>
      </c>
      <c r="BX136" s="20">
        <f t="shared" si="512"/>
        <v>0</v>
      </c>
      <c r="BY136" s="20">
        <f t="shared" si="512"/>
        <v>0</v>
      </c>
      <c r="BZ136" s="20">
        <f t="shared" si="512"/>
        <v>27228.185503082208</v>
      </c>
      <c r="CA136" s="20">
        <f t="shared" si="512"/>
        <v>0</v>
      </c>
      <c r="CB136" s="20">
        <f t="shared" si="512"/>
        <v>0</v>
      </c>
      <c r="CC136" s="20">
        <f t="shared" si="512"/>
        <v>0</v>
      </c>
      <c r="CD136" s="20">
        <f t="shared" si="512"/>
        <v>28601.414642199717</v>
      </c>
      <c r="CE136" s="20">
        <f t="shared" si="512"/>
        <v>0</v>
      </c>
      <c r="CF136" s="20">
        <f t="shared" si="512"/>
        <v>0</v>
      </c>
      <c r="CG136" s="20">
        <f t="shared" si="512"/>
        <v>0</v>
      </c>
      <c r="CH136" s="20">
        <f t="shared" si="512"/>
        <v>29431.718954959237</v>
      </c>
      <c r="CI136" s="20">
        <f t="shared" si="512"/>
        <v>0</v>
      </c>
      <c r="CJ136" s="20">
        <f t="shared" si="512"/>
        <v>0</v>
      </c>
      <c r="CK136" s="20">
        <f t="shared" si="512"/>
        <v>0</v>
      </c>
      <c r="CL136" s="20">
        <f t="shared" si="512"/>
        <v>31424.184784214085</v>
      </c>
      <c r="CM136" s="20">
        <f t="shared" si="512"/>
        <v>0</v>
      </c>
      <c r="CN136" s="20">
        <f t="shared" si="512"/>
        <v>0</v>
      </c>
      <c r="CO136" s="20">
        <f t="shared" si="512"/>
        <v>0</v>
      </c>
      <c r="CP136" s="20">
        <f t="shared" si="512"/>
        <v>33040.225108168983</v>
      </c>
      <c r="CQ136" s="20">
        <f t="shared" si="512"/>
        <v>0</v>
      </c>
      <c r="CR136" s="20">
        <f t="shared" si="512"/>
        <v>0</v>
      </c>
      <c r="CS136" s="20">
        <f t="shared" si="512"/>
        <v>0</v>
      </c>
      <c r="CT136" s="20">
        <f t="shared" si="512"/>
        <v>34826.87284644899</v>
      </c>
      <c r="CU136" s="20">
        <f t="shared" si="512"/>
        <v>0</v>
      </c>
      <c r="CV136" s="20">
        <f t="shared" si="512"/>
        <v>0</v>
      </c>
      <c r="CW136" s="20">
        <f t="shared" si="512"/>
        <v>0</v>
      </c>
      <c r="CX136" s="20">
        <f t="shared" si="512"/>
        <v>36498.204600559817</v>
      </c>
      <c r="CY136" s="20">
        <f t="shared" si="512"/>
        <v>0</v>
      </c>
      <c r="CZ136" s="20">
        <f t="shared" si="512"/>
        <v>0</v>
      </c>
      <c r="DA136" s="20">
        <f t="shared" si="512"/>
        <v>0</v>
      </c>
      <c r="DB136" s="20">
        <f t="shared" si="512"/>
        <v>36852.812383963443</v>
      </c>
      <c r="DC136" s="20">
        <f t="shared" ref="DC136:DQ136" si="513">DC122*DC42</f>
        <v>0</v>
      </c>
      <c r="DD136" s="20">
        <f t="shared" si="513"/>
        <v>0</v>
      </c>
      <c r="DE136" s="20">
        <f t="shared" si="513"/>
        <v>0</v>
      </c>
      <c r="DF136" s="20">
        <f t="shared" si="513"/>
        <v>36963.586863841309</v>
      </c>
      <c r="DG136" s="20">
        <f t="shared" si="513"/>
        <v>0</v>
      </c>
      <c r="DH136" s="20">
        <f t="shared" si="513"/>
        <v>0</v>
      </c>
      <c r="DI136" s="20">
        <f t="shared" si="513"/>
        <v>0</v>
      </c>
      <c r="DJ136" s="20">
        <f t="shared" si="513"/>
        <v>37106.376993946411</v>
      </c>
      <c r="DK136" s="20">
        <f t="shared" si="513"/>
        <v>0</v>
      </c>
      <c r="DL136" s="20">
        <f t="shared" si="513"/>
        <v>0</v>
      </c>
      <c r="DM136" s="20">
        <f t="shared" si="513"/>
        <v>0</v>
      </c>
      <c r="DN136" s="20">
        <f t="shared" si="513"/>
        <v>37504.173153395772</v>
      </c>
      <c r="DO136" s="20">
        <f t="shared" si="513"/>
        <v>0</v>
      </c>
      <c r="DP136" s="20">
        <f t="shared" si="513"/>
        <v>0</v>
      </c>
      <c r="DQ136" s="20">
        <f t="shared" si="513"/>
        <v>0</v>
      </c>
    </row>
    <row r="137" spans="2:1006" ht="15" thickBot="1" x14ac:dyDescent="0.4">
      <c r="E137" s="39" t="s">
        <v>4</v>
      </c>
      <c r="F137" s="39" t="s">
        <v>129</v>
      </c>
      <c r="G137" s="39"/>
      <c r="H137" s="39"/>
      <c r="I137" s="55">
        <f>SUM(K137:DQ137)</f>
        <v>13825905.527711129</v>
      </c>
      <c r="J137" s="39"/>
      <c r="K137" s="39">
        <f>SUM(K125:K136)</f>
        <v>0</v>
      </c>
      <c r="L137" s="39">
        <f t="shared" ref="L137:BW137" si="514">SUM(L125:L136)</f>
        <v>0</v>
      </c>
      <c r="M137" s="39">
        <f t="shared" si="514"/>
        <v>0</v>
      </c>
      <c r="N137" s="39">
        <f t="shared" si="514"/>
        <v>0</v>
      </c>
      <c r="O137" s="39">
        <f t="shared" si="514"/>
        <v>0</v>
      </c>
      <c r="P137" s="39">
        <f t="shared" si="514"/>
        <v>0</v>
      </c>
      <c r="Q137" s="39">
        <f t="shared" si="514"/>
        <v>0</v>
      </c>
      <c r="R137" s="39">
        <f t="shared" si="514"/>
        <v>0</v>
      </c>
      <c r="S137" s="39">
        <f t="shared" si="514"/>
        <v>0</v>
      </c>
      <c r="T137" s="39">
        <f t="shared" si="514"/>
        <v>131489.54056033422</v>
      </c>
      <c r="U137" s="39">
        <f t="shared" si="514"/>
        <v>84032.807811533683</v>
      </c>
      <c r="V137" s="39">
        <f t="shared" si="514"/>
        <v>62458.116337826999</v>
      </c>
      <c r="W137" s="39">
        <f t="shared" si="514"/>
        <v>112674.39295701493</v>
      </c>
      <c r="X137" s="39">
        <f t="shared" si="514"/>
        <v>130835.36374162618</v>
      </c>
      <c r="Y137" s="39">
        <f t="shared" si="514"/>
        <v>83614.734140829562</v>
      </c>
      <c r="Z137" s="39">
        <f t="shared" si="514"/>
        <v>62147.379440623896</v>
      </c>
      <c r="AA137" s="39">
        <f t="shared" si="514"/>
        <v>112113.82383782585</v>
      </c>
      <c r="AB137" s="39">
        <f t="shared" si="514"/>
        <v>130184.44153395641</v>
      </c>
      <c r="AC137" s="39">
        <f t="shared" si="514"/>
        <v>83198.740438636421</v>
      </c>
      <c r="AD137" s="39">
        <f t="shared" si="514"/>
        <v>63947.267232721715</v>
      </c>
      <c r="AE137" s="39">
        <f t="shared" si="514"/>
        <v>115360.82000512042</v>
      </c>
      <c r="AF137" s="39">
        <f t="shared" si="514"/>
        <v>133954.79177474021</v>
      </c>
      <c r="AG137" s="39">
        <f t="shared" si="514"/>
        <v>85608.309411315087</v>
      </c>
      <c r="AH137" s="39">
        <f t="shared" si="514"/>
        <v>49341.914483911787</v>
      </c>
      <c r="AI137" s="39">
        <f t="shared" si="514"/>
        <v>19704.04626521773</v>
      </c>
      <c r="AJ137" s="39">
        <f t="shared" si="514"/>
        <v>2726.7256126408056</v>
      </c>
      <c r="AK137" s="39">
        <f t="shared" si="514"/>
        <v>6798.188114899538</v>
      </c>
      <c r="AL137" s="39">
        <f t="shared" si="514"/>
        <v>7377.8341972207672</v>
      </c>
      <c r="AM137" s="39">
        <f t="shared" si="514"/>
        <v>11732.986987158289</v>
      </c>
      <c r="AN137" s="39">
        <f t="shared" si="514"/>
        <v>13624.121505817697</v>
      </c>
      <c r="AO137" s="39">
        <f t="shared" si="514"/>
        <v>13060.428752209769</v>
      </c>
      <c r="AP137" s="39">
        <f t="shared" si="514"/>
        <v>17623.563554561013</v>
      </c>
      <c r="AQ137" s="39">
        <f t="shared" si="514"/>
        <v>25058.439290538605</v>
      </c>
      <c r="AR137" s="39">
        <f t="shared" si="514"/>
        <v>38926.410329713282</v>
      </c>
      <c r="AS137" s="39">
        <f t="shared" si="514"/>
        <v>30012.530857396923</v>
      </c>
      <c r="AT137" s="39">
        <f t="shared" si="514"/>
        <v>44177.207905315365</v>
      </c>
      <c r="AU137" s="39">
        <f t="shared" si="514"/>
        <v>62814.304206617177</v>
      </c>
      <c r="AV137" s="39">
        <f t="shared" si="514"/>
        <v>75519.612597822852</v>
      </c>
      <c r="AW137" s="39">
        <f t="shared" si="514"/>
        <v>72679.257283621409</v>
      </c>
      <c r="AX137" s="39">
        <f t="shared" si="514"/>
        <v>79460.211344430674</v>
      </c>
      <c r="AY137" s="39">
        <f t="shared" si="514"/>
        <v>143346.15903309721</v>
      </c>
      <c r="AZ137" s="39">
        <f t="shared" si="514"/>
        <v>166450.83559682601</v>
      </c>
      <c r="BA137" s="39">
        <f t="shared" si="514"/>
        <v>106375.99780310401</v>
      </c>
      <c r="BB137" s="39">
        <f t="shared" si="514"/>
        <v>79474.266717837178</v>
      </c>
      <c r="BC137" s="39">
        <f t="shared" si="514"/>
        <v>143371.51491571456</v>
      </c>
      <c r="BD137" s="39">
        <f t="shared" si="514"/>
        <v>166480.27836583651</v>
      </c>
      <c r="BE137" s="39">
        <f t="shared" si="514"/>
        <v>106394.81419366371</v>
      </c>
      <c r="BF137" s="39">
        <f t="shared" si="514"/>
        <v>82690.647776165279</v>
      </c>
      <c r="BG137" s="39">
        <f t="shared" si="514"/>
        <v>149173.8638259086</v>
      </c>
      <c r="BH137" s="39">
        <f t="shared" si="514"/>
        <v>173217.8556475768</v>
      </c>
      <c r="BI137" s="39">
        <f t="shared" si="514"/>
        <v>110700.68928014669</v>
      </c>
      <c r="BJ137" s="39">
        <f t="shared" si="514"/>
        <v>86602.627624638641</v>
      </c>
      <c r="BK137" s="39">
        <f t="shared" si="514"/>
        <v>156231.07240874023</v>
      </c>
      <c r="BL137" s="39">
        <f t="shared" si="514"/>
        <v>181412.55213276268</v>
      </c>
      <c r="BM137" s="39">
        <f t="shared" si="514"/>
        <v>115937.78534025117</v>
      </c>
      <c r="BN137" s="39">
        <f t="shared" si="514"/>
        <v>91871.742253906865</v>
      </c>
      <c r="BO137" s="39">
        <f t="shared" si="514"/>
        <v>165736.55107323464</v>
      </c>
      <c r="BP137" s="39">
        <f t="shared" si="514"/>
        <v>192450.13330776704</v>
      </c>
      <c r="BQ137" s="39">
        <f t="shared" si="514"/>
        <v>122991.72235783281</v>
      </c>
      <c r="BR137" s="39">
        <f t="shared" si="514"/>
        <v>96765.249471804345</v>
      </c>
      <c r="BS137" s="39">
        <f t="shared" si="514"/>
        <v>174564.4342617873</v>
      </c>
      <c r="BT137" s="39">
        <f t="shared" si="514"/>
        <v>202700.90349370899</v>
      </c>
      <c r="BU137" s="39">
        <f t="shared" si="514"/>
        <v>129542.82138277925</v>
      </c>
      <c r="BV137" s="39">
        <f t="shared" si="514"/>
        <v>99877.503832292801</v>
      </c>
      <c r="BW137" s="39">
        <f t="shared" si="514"/>
        <v>180178.93869062932</v>
      </c>
      <c r="BX137" s="39">
        <f t="shared" ref="BX137:DQ137" si="515">SUM(BX125:BX136)</f>
        <v>209220.35933365973</v>
      </c>
      <c r="BY137" s="39">
        <f t="shared" si="515"/>
        <v>133709.29863488418</v>
      </c>
      <c r="BZ137" s="39">
        <f t="shared" si="515"/>
        <v>101314.17861611984</v>
      </c>
      <c r="CA137" s="39">
        <f t="shared" si="515"/>
        <v>182770.69887546735</v>
      </c>
      <c r="CB137" s="39">
        <f t="shared" si="515"/>
        <v>212229.86200427724</v>
      </c>
      <c r="CC137" s="39">
        <f t="shared" si="515"/>
        <v>135632.62240992059</v>
      </c>
      <c r="CD137" s="39">
        <f t="shared" si="515"/>
        <v>106423.86843609197</v>
      </c>
      <c r="CE137" s="39">
        <f t="shared" si="515"/>
        <v>191988.5753088512</v>
      </c>
      <c r="CF137" s="39">
        <f t="shared" si="515"/>
        <v>222933.48493435362</v>
      </c>
      <c r="CG137" s="39">
        <f t="shared" si="515"/>
        <v>142473.13219295928</v>
      </c>
      <c r="CH137" s="39">
        <f t="shared" si="515"/>
        <v>109513.37285566228</v>
      </c>
      <c r="CI137" s="39">
        <f t="shared" si="515"/>
        <v>197562.03886209437</v>
      </c>
      <c r="CJ137" s="39">
        <f t="shared" si="515"/>
        <v>229405.28488953467</v>
      </c>
      <c r="CK137" s="39">
        <f t="shared" si="515"/>
        <v>146609.15335107472</v>
      </c>
      <c r="CL137" s="39">
        <f t="shared" si="515"/>
        <v>116927.19919707566</v>
      </c>
      <c r="CM137" s="39">
        <f t="shared" si="515"/>
        <v>210936.57577558688</v>
      </c>
      <c r="CN137" s="39">
        <f t="shared" si="515"/>
        <v>244935.54297239979</v>
      </c>
      <c r="CO137" s="39">
        <f t="shared" si="515"/>
        <v>156534.28646188742</v>
      </c>
      <c r="CP137" s="39">
        <f t="shared" si="515"/>
        <v>122940.37249551251</v>
      </c>
      <c r="CQ137" s="39">
        <f t="shared" si="515"/>
        <v>221784.33569652392</v>
      </c>
      <c r="CR137" s="39">
        <f t="shared" si="515"/>
        <v>257531.75563252991</v>
      </c>
      <c r="CS137" s="39">
        <f t="shared" si="515"/>
        <v>164584.31928663689</v>
      </c>
      <c r="CT137" s="39">
        <f t="shared" si="515"/>
        <v>129588.36407981018</v>
      </c>
      <c r="CU137" s="39">
        <f t="shared" si="515"/>
        <v>233777.30730797208</v>
      </c>
      <c r="CV137" s="39">
        <f t="shared" si="515"/>
        <v>271457.76634310401</v>
      </c>
      <c r="CW137" s="39">
        <f t="shared" si="515"/>
        <v>173484.20422528771</v>
      </c>
      <c r="CX137" s="39">
        <f t="shared" si="515"/>
        <v>135807.27293231559</v>
      </c>
      <c r="CY137" s="39">
        <f t="shared" si="515"/>
        <v>244996.21400731918</v>
      </c>
      <c r="CZ137" s="39">
        <f t="shared" si="515"/>
        <v>284484.94758873474</v>
      </c>
      <c r="DA137" s="39">
        <f t="shared" si="515"/>
        <v>181809.66200143524</v>
      </c>
      <c r="DB137" s="39">
        <f t="shared" si="515"/>
        <v>137126.74375428256</v>
      </c>
      <c r="DC137" s="39">
        <f t="shared" si="515"/>
        <v>247376.53833675443</v>
      </c>
      <c r="DD137" s="39">
        <f t="shared" si="515"/>
        <v>287248.93496236543</v>
      </c>
      <c r="DE137" s="39">
        <f t="shared" si="515"/>
        <v>183576.08097873209</v>
      </c>
      <c r="DF137" s="39">
        <f t="shared" si="515"/>
        <v>137538.92786545603</v>
      </c>
      <c r="DG137" s="39">
        <f t="shared" si="515"/>
        <v>248120.11815049383</v>
      </c>
      <c r="DH137" s="39">
        <f t="shared" si="515"/>
        <v>288112.36571045604</v>
      </c>
      <c r="DI137" s="39">
        <f t="shared" si="515"/>
        <v>184127.88540213846</v>
      </c>
      <c r="DJ137" s="39">
        <f t="shared" si="515"/>
        <v>138070.23997747502</v>
      </c>
      <c r="DK137" s="39">
        <f t="shared" si="515"/>
        <v>249078.60478445902</v>
      </c>
      <c r="DL137" s="39">
        <f t="shared" si="515"/>
        <v>289225.34217392065</v>
      </c>
      <c r="DM137" s="39">
        <f t="shared" si="515"/>
        <v>184839.1703975421</v>
      </c>
      <c r="DN137" s="39">
        <f t="shared" si="515"/>
        <v>139550.41173356565</v>
      </c>
      <c r="DO137" s="39">
        <f t="shared" si="515"/>
        <v>251748.83347319433</v>
      </c>
      <c r="DP137" s="39">
        <f t="shared" si="515"/>
        <v>0</v>
      </c>
      <c r="DQ137" s="39">
        <f t="shared" si="515"/>
        <v>0</v>
      </c>
    </row>
    <row r="139" spans="2:1006" ht="15" thickBot="1" x14ac:dyDescent="0.4">
      <c r="E139" s="42" t="s">
        <v>234</v>
      </c>
      <c r="F139" s="42" t="s">
        <v>129</v>
      </c>
      <c r="G139" s="52" t="b">
        <f>Assumptions!F107</f>
        <v>0</v>
      </c>
      <c r="H139" s="42"/>
      <c r="I139" s="42"/>
      <c r="J139" s="42"/>
      <c r="K139" s="42">
        <f>IF($G$139,K137,K109)</f>
        <v>0</v>
      </c>
      <c r="L139" s="42">
        <f t="shared" ref="L139:BW139" si="516">IF($G$139,L137,L109)</f>
        <v>0</v>
      </c>
      <c r="M139" s="42">
        <f t="shared" si="516"/>
        <v>0</v>
      </c>
      <c r="N139" s="42">
        <f t="shared" si="516"/>
        <v>0</v>
      </c>
      <c r="O139" s="42">
        <f t="shared" si="516"/>
        <v>0</v>
      </c>
      <c r="P139" s="42">
        <f t="shared" si="516"/>
        <v>0</v>
      </c>
      <c r="Q139" s="42">
        <f t="shared" si="516"/>
        <v>0</v>
      </c>
      <c r="R139" s="42">
        <f t="shared" si="516"/>
        <v>0</v>
      </c>
      <c r="S139" s="42">
        <f t="shared" si="516"/>
        <v>0</v>
      </c>
      <c r="T139" s="42">
        <f t="shared" si="516"/>
        <v>131489.54056033425</v>
      </c>
      <c r="U139" s="42">
        <f t="shared" si="516"/>
        <v>84032.807811533683</v>
      </c>
      <c r="V139" s="42">
        <f t="shared" si="516"/>
        <v>62458.116337827007</v>
      </c>
      <c r="W139" s="42">
        <f t="shared" si="516"/>
        <v>112674.39295701493</v>
      </c>
      <c r="X139" s="42">
        <f t="shared" si="516"/>
        <v>130835.36374162618</v>
      </c>
      <c r="Y139" s="42">
        <f t="shared" si="516"/>
        <v>83614.734140829562</v>
      </c>
      <c r="Z139" s="42">
        <f t="shared" si="516"/>
        <v>62147.379440623896</v>
      </c>
      <c r="AA139" s="42">
        <f t="shared" si="516"/>
        <v>112113.82383782587</v>
      </c>
      <c r="AB139" s="42">
        <f t="shared" si="516"/>
        <v>130184.44153395644</v>
      </c>
      <c r="AC139" s="42">
        <f t="shared" si="516"/>
        <v>83198.740438636436</v>
      </c>
      <c r="AD139" s="42">
        <f t="shared" si="516"/>
        <v>63947.267232721708</v>
      </c>
      <c r="AE139" s="42">
        <f t="shared" si="516"/>
        <v>115360.82000512042</v>
      </c>
      <c r="AF139" s="42">
        <f t="shared" si="516"/>
        <v>133954.79177474021</v>
      </c>
      <c r="AG139" s="42">
        <f t="shared" si="516"/>
        <v>85608.309411315073</v>
      </c>
      <c r="AH139" s="42">
        <f t="shared" si="516"/>
        <v>65084.14111645412</v>
      </c>
      <c r="AI139" s="42">
        <f t="shared" si="516"/>
        <v>117411.7396009881</v>
      </c>
      <c r="AJ139" s="42">
        <f t="shared" si="516"/>
        <v>136336.28063204029</v>
      </c>
      <c r="AK139" s="42">
        <f t="shared" si="516"/>
        <v>87130.279863093951</v>
      </c>
      <c r="AL139" s="42">
        <f t="shared" si="516"/>
        <v>65038.758763378668</v>
      </c>
      <c r="AM139" s="42">
        <f t="shared" si="516"/>
        <v>117329.86987158289</v>
      </c>
      <c r="AN139" s="42">
        <f t="shared" si="516"/>
        <v>136241.21505817695</v>
      </c>
      <c r="AO139" s="42">
        <f t="shared" si="516"/>
        <v>87069.525014731786</v>
      </c>
      <c r="AP139" s="42">
        <f t="shared" si="516"/>
        <v>69452.467210092669</v>
      </c>
      <c r="AQ139" s="42">
        <f t="shared" si="516"/>
        <v>125292.19645269302</v>
      </c>
      <c r="AR139" s="42">
        <f t="shared" si="516"/>
        <v>145486.91736133103</v>
      </c>
      <c r="AS139" s="42">
        <f t="shared" si="516"/>
        <v>92978.301647555301</v>
      </c>
      <c r="AT139" s="42">
        <f t="shared" si="516"/>
        <v>77376.609357968904</v>
      </c>
      <c r="AU139" s="42">
        <f t="shared" si="516"/>
        <v>139587.34268137152</v>
      </c>
      <c r="AV139" s="42">
        <f t="shared" si="516"/>
        <v>162086.16948494714</v>
      </c>
      <c r="AW139" s="42">
        <f t="shared" si="516"/>
        <v>103586.61130910575</v>
      </c>
      <c r="AX139" s="42">
        <f t="shared" si="516"/>
        <v>79460.21134443066</v>
      </c>
      <c r="AY139" s="42">
        <f t="shared" si="516"/>
        <v>143346.15903309721</v>
      </c>
      <c r="AZ139" s="42">
        <f t="shared" si="516"/>
        <v>166450.83559682604</v>
      </c>
      <c r="BA139" s="42">
        <f t="shared" si="516"/>
        <v>106375.99780310402</v>
      </c>
      <c r="BB139" s="42">
        <f t="shared" si="516"/>
        <v>79474.266717837178</v>
      </c>
      <c r="BC139" s="42">
        <f t="shared" si="516"/>
        <v>143371.51491571456</v>
      </c>
      <c r="BD139" s="42">
        <f t="shared" si="516"/>
        <v>166480.27836583654</v>
      </c>
      <c r="BE139" s="42">
        <f t="shared" si="516"/>
        <v>106394.81419366371</v>
      </c>
      <c r="BF139" s="42">
        <f t="shared" si="516"/>
        <v>82690.647776165279</v>
      </c>
      <c r="BG139" s="42">
        <f t="shared" si="516"/>
        <v>149173.8638259086</v>
      </c>
      <c r="BH139" s="42">
        <f t="shared" si="516"/>
        <v>173217.8556475768</v>
      </c>
      <c r="BI139" s="42">
        <f t="shared" si="516"/>
        <v>110700.68928014669</v>
      </c>
      <c r="BJ139" s="42">
        <f t="shared" si="516"/>
        <v>86602.627624638641</v>
      </c>
      <c r="BK139" s="42">
        <f t="shared" si="516"/>
        <v>156231.07240874023</v>
      </c>
      <c r="BL139" s="42">
        <f t="shared" si="516"/>
        <v>181412.55213276268</v>
      </c>
      <c r="BM139" s="42">
        <f t="shared" si="516"/>
        <v>115937.78534025118</v>
      </c>
      <c r="BN139" s="42">
        <f t="shared" si="516"/>
        <v>91871.74225390685</v>
      </c>
      <c r="BO139" s="42">
        <f t="shared" si="516"/>
        <v>165736.55107323462</v>
      </c>
      <c r="BP139" s="42">
        <f t="shared" si="516"/>
        <v>192450.13330776704</v>
      </c>
      <c r="BQ139" s="42">
        <f t="shared" si="516"/>
        <v>122991.72235783281</v>
      </c>
      <c r="BR139" s="42">
        <f t="shared" si="516"/>
        <v>96765.249471804345</v>
      </c>
      <c r="BS139" s="42">
        <f t="shared" si="516"/>
        <v>174564.43426178733</v>
      </c>
      <c r="BT139" s="42">
        <f t="shared" si="516"/>
        <v>202700.90349370905</v>
      </c>
      <c r="BU139" s="42">
        <f t="shared" si="516"/>
        <v>129542.82138277926</v>
      </c>
      <c r="BV139" s="42">
        <f t="shared" si="516"/>
        <v>99877.503832292801</v>
      </c>
      <c r="BW139" s="42">
        <f t="shared" si="516"/>
        <v>180178.93869062932</v>
      </c>
      <c r="BX139" s="42">
        <f t="shared" ref="BX139:DQ139" si="517">IF($G$139,BX137,BX109)</f>
        <v>209220.35933365976</v>
      </c>
      <c r="BY139" s="42">
        <f t="shared" si="517"/>
        <v>133709.29863488418</v>
      </c>
      <c r="BZ139" s="42">
        <f t="shared" si="517"/>
        <v>101314.17861611984</v>
      </c>
      <c r="CA139" s="42">
        <f t="shared" si="517"/>
        <v>182770.69887546735</v>
      </c>
      <c r="CB139" s="42">
        <f t="shared" si="517"/>
        <v>212229.86200427727</v>
      </c>
      <c r="CC139" s="42">
        <f t="shared" si="517"/>
        <v>135632.62240992059</v>
      </c>
      <c r="CD139" s="42">
        <f t="shared" si="517"/>
        <v>106423.86843609199</v>
      </c>
      <c r="CE139" s="42">
        <f t="shared" si="517"/>
        <v>191988.5753088512</v>
      </c>
      <c r="CF139" s="42">
        <f t="shared" si="517"/>
        <v>222933.48493435365</v>
      </c>
      <c r="CG139" s="42">
        <f t="shared" si="517"/>
        <v>142473.13219295928</v>
      </c>
      <c r="CH139" s="42">
        <f t="shared" si="517"/>
        <v>109513.37285566228</v>
      </c>
      <c r="CI139" s="42">
        <f t="shared" si="517"/>
        <v>197562.03886209437</v>
      </c>
      <c r="CJ139" s="42">
        <f t="shared" si="517"/>
        <v>229405.28488953467</v>
      </c>
      <c r="CK139" s="42">
        <f t="shared" si="517"/>
        <v>146609.1533510747</v>
      </c>
      <c r="CL139" s="42">
        <f t="shared" si="517"/>
        <v>116927.19919707568</v>
      </c>
      <c r="CM139" s="42">
        <f t="shared" si="517"/>
        <v>210936.57577558691</v>
      </c>
      <c r="CN139" s="42">
        <f t="shared" si="517"/>
        <v>244935.54297239979</v>
      </c>
      <c r="CO139" s="42">
        <f t="shared" si="517"/>
        <v>156534.28646188739</v>
      </c>
      <c r="CP139" s="42">
        <f t="shared" si="517"/>
        <v>122940.37249551249</v>
      </c>
      <c r="CQ139" s="42">
        <f t="shared" si="517"/>
        <v>221784.33569652392</v>
      </c>
      <c r="CR139" s="42">
        <f t="shared" si="517"/>
        <v>257531.75563252991</v>
      </c>
      <c r="CS139" s="42">
        <f t="shared" si="517"/>
        <v>164584.31928663689</v>
      </c>
      <c r="CT139" s="42">
        <f t="shared" si="517"/>
        <v>129588.3640798102</v>
      </c>
      <c r="CU139" s="42">
        <f t="shared" si="517"/>
        <v>233777.30730797208</v>
      </c>
      <c r="CV139" s="42">
        <f t="shared" si="517"/>
        <v>271457.76634310401</v>
      </c>
      <c r="CW139" s="42">
        <f t="shared" si="517"/>
        <v>173484.20422528771</v>
      </c>
      <c r="CX139" s="42">
        <f t="shared" si="517"/>
        <v>135807.27293231559</v>
      </c>
      <c r="CY139" s="42">
        <f t="shared" si="517"/>
        <v>244996.21400731921</v>
      </c>
      <c r="CZ139" s="42">
        <f t="shared" si="517"/>
        <v>284484.94758873468</v>
      </c>
      <c r="DA139" s="42">
        <f t="shared" si="517"/>
        <v>181809.66200143524</v>
      </c>
      <c r="DB139" s="42">
        <f t="shared" si="517"/>
        <v>137126.74375428256</v>
      </c>
      <c r="DC139" s="42">
        <f t="shared" si="517"/>
        <v>247376.53833675446</v>
      </c>
      <c r="DD139" s="42">
        <f t="shared" si="517"/>
        <v>287248.93496236543</v>
      </c>
      <c r="DE139" s="42">
        <f t="shared" si="517"/>
        <v>183576.08097873206</v>
      </c>
      <c r="DF139" s="42">
        <f t="shared" si="517"/>
        <v>137538.92786545603</v>
      </c>
      <c r="DG139" s="42">
        <f t="shared" si="517"/>
        <v>248120.1181504938</v>
      </c>
      <c r="DH139" s="42">
        <f t="shared" si="517"/>
        <v>288112.36571045604</v>
      </c>
      <c r="DI139" s="42">
        <f t="shared" si="517"/>
        <v>184127.88540213843</v>
      </c>
      <c r="DJ139" s="42">
        <f t="shared" si="517"/>
        <v>138070.23997747502</v>
      </c>
      <c r="DK139" s="42">
        <f t="shared" si="517"/>
        <v>249078.60478445902</v>
      </c>
      <c r="DL139" s="42">
        <f t="shared" si="517"/>
        <v>289225.34217392065</v>
      </c>
      <c r="DM139" s="42">
        <f t="shared" si="517"/>
        <v>184839.1703975421</v>
      </c>
      <c r="DN139" s="42">
        <f t="shared" si="517"/>
        <v>139550.41173356565</v>
      </c>
      <c r="DO139" s="42">
        <f t="shared" si="517"/>
        <v>251748.8334731943</v>
      </c>
      <c r="DP139" s="42">
        <f t="shared" si="517"/>
        <v>0</v>
      </c>
      <c r="DQ139" s="42">
        <f t="shared" si="517"/>
        <v>0</v>
      </c>
    </row>
    <row r="140" spans="2:1006" ht="15" thickTop="1" x14ac:dyDescent="0.35"/>
    <row r="141" spans="2:1006" x14ac:dyDescent="0.35">
      <c r="B141" s="37" t="s">
        <v>251</v>
      </c>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c r="BT141" s="37"/>
      <c r="BU141" s="37"/>
      <c r="BV141" s="37"/>
      <c r="BW141" s="37"/>
      <c r="BX141" s="37"/>
      <c r="BY141" s="37"/>
      <c r="BZ141" s="37"/>
      <c r="CA141" s="37"/>
      <c r="CB141" s="37"/>
      <c r="CC141" s="37"/>
      <c r="CD141" s="37"/>
      <c r="CE141" s="37"/>
      <c r="CF141" s="37"/>
      <c r="CG141" s="37"/>
      <c r="CH141" s="37"/>
      <c r="CI141" s="37"/>
      <c r="CJ141" s="37"/>
      <c r="CK141" s="37"/>
      <c r="CL141" s="37"/>
      <c r="CM141" s="37"/>
      <c r="CN141" s="37"/>
      <c r="CO141" s="37"/>
      <c r="CP141" s="37"/>
      <c r="CQ141" s="37"/>
      <c r="CR141" s="37"/>
      <c r="CS141" s="37"/>
      <c r="CT141" s="37"/>
      <c r="CU141" s="37"/>
      <c r="CV141" s="37"/>
      <c r="CW141" s="37"/>
      <c r="CX141" s="37"/>
      <c r="CY141" s="37"/>
      <c r="CZ141" s="37"/>
      <c r="DA141" s="37"/>
      <c r="DB141" s="37"/>
      <c r="DC141" s="37"/>
      <c r="DD141" s="37"/>
      <c r="DE141" s="37"/>
      <c r="DF141" s="37"/>
      <c r="DG141" s="37"/>
      <c r="DH141" s="37"/>
      <c r="DI141" s="37"/>
      <c r="DJ141" s="37"/>
      <c r="DK141" s="37"/>
      <c r="DL141" s="37"/>
      <c r="DM141" s="37"/>
      <c r="DN141" s="37"/>
      <c r="DO141" s="37"/>
      <c r="DP141" s="37"/>
      <c r="DQ141" s="37"/>
      <c r="DR141" s="37"/>
      <c r="DS141" s="37"/>
      <c r="DT141" s="37"/>
      <c r="DU141" s="37"/>
      <c r="DV141" s="37"/>
      <c r="DW141" s="37"/>
      <c r="DX141" s="37"/>
      <c r="DY141" s="37"/>
      <c r="DZ141" s="37"/>
      <c r="EA141" s="37"/>
      <c r="EB141" s="37"/>
      <c r="EC141" s="37"/>
      <c r="ED141" s="37"/>
      <c r="EE141" s="37"/>
      <c r="EF141" s="37"/>
      <c r="EG141" s="37"/>
      <c r="EH141" s="37"/>
      <c r="EI141" s="37"/>
      <c r="EJ141" s="37"/>
      <c r="EK141" s="37"/>
      <c r="EL141" s="37"/>
      <c r="EM141" s="37"/>
      <c r="EN141" s="37"/>
      <c r="EO141" s="37"/>
      <c r="EP141" s="37"/>
      <c r="EQ141" s="37"/>
      <c r="ER141" s="37"/>
      <c r="ES141" s="37"/>
      <c r="ET141" s="37"/>
      <c r="EU141" s="37"/>
      <c r="EV141" s="37"/>
      <c r="EW141" s="37"/>
      <c r="EX141" s="37"/>
      <c r="EY141" s="37"/>
      <c r="EZ141" s="37"/>
      <c r="FA141" s="37"/>
      <c r="FB141" s="37"/>
      <c r="FC141" s="37"/>
      <c r="FD141" s="37"/>
      <c r="FE141" s="37"/>
      <c r="FF141" s="37"/>
      <c r="FG141" s="37"/>
      <c r="FH141" s="37"/>
      <c r="FI141" s="37"/>
      <c r="FJ141" s="37"/>
      <c r="FK141" s="37"/>
      <c r="FL141" s="37"/>
      <c r="FM141" s="37"/>
      <c r="FN141" s="37"/>
      <c r="FO141" s="37"/>
      <c r="FP141" s="37"/>
      <c r="FQ141" s="37"/>
      <c r="FR141" s="37"/>
      <c r="FS141" s="37"/>
      <c r="FT141" s="37"/>
      <c r="FU141" s="37"/>
      <c r="FV141" s="37"/>
      <c r="FW141" s="37"/>
      <c r="FX141" s="37"/>
      <c r="FY141" s="37"/>
      <c r="FZ141" s="37"/>
      <c r="GA141" s="37"/>
      <c r="GB141" s="37"/>
      <c r="GC141" s="37"/>
      <c r="GD141" s="37"/>
      <c r="GE141" s="37"/>
      <c r="GF141" s="37"/>
      <c r="GG141" s="37"/>
      <c r="GH141" s="37"/>
      <c r="GI141" s="37"/>
      <c r="GJ141" s="37"/>
      <c r="GK141" s="37"/>
      <c r="GL141" s="37"/>
      <c r="GM141" s="37"/>
      <c r="GN141" s="37"/>
      <c r="GO141" s="37"/>
      <c r="GP141" s="37"/>
      <c r="GQ141" s="37"/>
      <c r="GR141" s="37"/>
      <c r="GS141" s="37"/>
      <c r="GT141" s="37"/>
      <c r="GU141" s="37"/>
      <c r="GV141" s="37"/>
      <c r="GW141" s="37"/>
      <c r="GX141" s="37"/>
      <c r="GY141" s="37"/>
      <c r="GZ141" s="37"/>
      <c r="HA141" s="37"/>
      <c r="HB141" s="37"/>
      <c r="HC141" s="37"/>
      <c r="HD141" s="37"/>
      <c r="HE141" s="37"/>
      <c r="HF141" s="37"/>
      <c r="HG141" s="37"/>
      <c r="HH141" s="37"/>
      <c r="HI141" s="37"/>
      <c r="HJ141" s="37"/>
      <c r="HK141" s="37"/>
      <c r="HL141" s="37"/>
      <c r="HM141" s="37"/>
      <c r="HN141" s="37"/>
      <c r="HO141" s="37"/>
      <c r="HP141" s="37"/>
      <c r="HQ141" s="37"/>
      <c r="HR141" s="37"/>
      <c r="HS141" s="37"/>
      <c r="HT141" s="37"/>
      <c r="HU141" s="37"/>
      <c r="HV141" s="37"/>
      <c r="HW141" s="37"/>
      <c r="HX141" s="37"/>
      <c r="HY141" s="37"/>
      <c r="HZ141" s="37"/>
      <c r="IA141" s="37"/>
      <c r="IB141" s="37"/>
      <c r="IC141" s="37"/>
      <c r="ID141" s="37"/>
      <c r="IE141" s="37"/>
      <c r="IF141" s="37"/>
      <c r="IG141" s="37"/>
      <c r="IH141" s="37"/>
      <c r="II141" s="37"/>
      <c r="IJ141" s="37"/>
      <c r="IK141" s="37"/>
      <c r="IL141" s="37"/>
      <c r="IM141" s="37"/>
      <c r="IN141" s="37"/>
      <c r="IO141" s="37"/>
      <c r="IP141" s="37"/>
      <c r="IQ141" s="37"/>
      <c r="IR141" s="37"/>
      <c r="IS141" s="37"/>
      <c r="IT141" s="37"/>
      <c r="IU141" s="37"/>
      <c r="IV141" s="37"/>
      <c r="IW141" s="37"/>
      <c r="IX141" s="37"/>
      <c r="IY141" s="37"/>
      <c r="IZ141" s="37"/>
      <c r="JA141" s="37"/>
      <c r="JB141" s="37"/>
      <c r="JC141" s="37"/>
      <c r="JD141" s="37"/>
      <c r="JE141" s="37"/>
      <c r="JF141" s="37"/>
      <c r="JG141" s="37"/>
      <c r="JH141" s="37"/>
      <c r="JI141" s="37"/>
      <c r="JJ141" s="37"/>
      <c r="JK141" s="37"/>
      <c r="JL141" s="37"/>
      <c r="JM141" s="37"/>
      <c r="JN141" s="37"/>
      <c r="JO141" s="37"/>
      <c r="JP141" s="37"/>
      <c r="JQ141" s="37"/>
      <c r="JR141" s="37"/>
      <c r="JS141" s="37"/>
      <c r="JT141" s="37"/>
      <c r="JU141" s="37"/>
      <c r="JV141" s="37"/>
      <c r="JW141" s="37"/>
      <c r="JX141" s="37"/>
      <c r="JY141" s="37"/>
      <c r="JZ141" s="37"/>
      <c r="KA141" s="37"/>
      <c r="KB141" s="37"/>
      <c r="KC141" s="37"/>
      <c r="KD141" s="37"/>
      <c r="KE141" s="37"/>
      <c r="KF141" s="37"/>
      <c r="KG141" s="37"/>
      <c r="KH141" s="37"/>
      <c r="KI141" s="37"/>
      <c r="KJ141" s="37"/>
      <c r="KK141" s="37"/>
      <c r="KL141" s="37"/>
      <c r="KM141" s="37"/>
      <c r="KN141" s="37"/>
      <c r="KO141" s="37"/>
      <c r="KP141" s="37"/>
      <c r="KQ141" s="37"/>
      <c r="KR141" s="37"/>
      <c r="KS141" s="37"/>
      <c r="KT141" s="37"/>
      <c r="KU141" s="37"/>
      <c r="KV141" s="37"/>
      <c r="KW141" s="37"/>
      <c r="KX141" s="37"/>
      <c r="KY141" s="37"/>
      <c r="KZ141" s="37"/>
      <c r="LA141" s="37"/>
      <c r="LB141" s="37"/>
      <c r="LC141" s="37"/>
      <c r="LD141" s="37"/>
      <c r="LE141" s="37"/>
      <c r="LF141" s="37"/>
      <c r="LG141" s="37"/>
      <c r="LH141" s="37"/>
      <c r="LI141" s="37"/>
      <c r="LJ141" s="37"/>
      <c r="LK141" s="37"/>
      <c r="LL141" s="37"/>
      <c r="LM141" s="37"/>
      <c r="LN141" s="37"/>
      <c r="LO141" s="37"/>
      <c r="LP141" s="37"/>
      <c r="LQ141" s="37"/>
      <c r="LR141" s="37"/>
      <c r="LS141" s="37"/>
      <c r="LT141" s="37"/>
      <c r="LU141" s="37"/>
      <c r="LV141" s="37"/>
      <c r="LW141" s="37"/>
      <c r="LX141" s="37"/>
      <c r="LY141" s="37"/>
      <c r="LZ141" s="37"/>
      <c r="MA141" s="37"/>
      <c r="MB141" s="37"/>
      <c r="MC141" s="37"/>
      <c r="MD141" s="37"/>
      <c r="ME141" s="37"/>
      <c r="MF141" s="37"/>
      <c r="MG141" s="37"/>
      <c r="MH141" s="37"/>
      <c r="MI141" s="37"/>
      <c r="MJ141" s="37"/>
      <c r="MK141" s="37"/>
      <c r="ML141" s="37"/>
      <c r="MM141" s="37"/>
      <c r="MN141" s="37"/>
      <c r="MO141" s="37"/>
      <c r="MP141" s="37"/>
      <c r="MQ141" s="37"/>
      <c r="MR141" s="37"/>
      <c r="MS141" s="37"/>
      <c r="MT141" s="37"/>
      <c r="MU141" s="37"/>
      <c r="MV141" s="37"/>
      <c r="MW141" s="37"/>
      <c r="MX141" s="37"/>
      <c r="MY141" s="37"/>
      <c r="MZ141" s="37"/>
      <c r="NA141" s="37"/>
      <c r="NB141" s="37"/>
      <c r="NC141" s="37"/>
      <c r="ND141" s="37"/>
      <c r="NE141" s="37"/>
      <c r="NF141" s="37"/>
      <c r="NG141" s="37"/>
      <c r="NH141" s="37"/>
      <c r="NI141" s="37"/>
      <c r="NJ141" s="37"/>
      <c r="NK141" s="37"/>
      <c r="NL141" s="37"/>
      <c r="NM141" s="37"/>
      <c r="NN141" s="37"/>
      <c r="NO141" s="37"/>
      <c r="NP141" s="37"/>
      <c r="NQ141" s="37"/>
      <c r="NR141" s="37"/>
      <c r="NS141" s="37"/>
      <c r="NT141" s="37"/>
      <c r="NU141" s="37"/>
      <c r="NV141" s="37"/>
      <c r="NW141" s="37"/>
      <c r="NX141" s="37"/>
      <c r="NY141" s="37"/>
      <c r="NZ141" s="37"/>
      <c r="OA141" s="37"/>
      <c r="OB141" s="37"/>
      <c r="OC141" s="37"/>
      <c r="OD141" s="37"/>
      <c r="OE141" s="37"/>
      <c r="OF141" s="37"/>
      <c r="OG141" s="37"/>
      <c r="OH141" s="37"/>
      <c r="OI141" s="37"/>
      <c r="OJ141" s="37"/>
      <c r="OK141" s="37"/>
      <c r="OL141" s="37"/>
      <c r="OM141" s="37"/>
      <c r="ON141" s="37"/>
      <c r="OO141" s="37"/>
      <c r="OP141" s="37"/>
      <c r="OQ141" s="37"/>
      <c r="OR141" s="37"/>
      <c r="OS141" s="37"/>
      <c r="OT141" s="37"/>
      <c r="OU141" s="37"/>
      <c r="OV141" s="37"/>
      <c r="OW141" s="37"/>
      <c r="OX141" s="37"/>
      <c r="OY141" s="37"/>
      <c r="OZ141" s="37"/>
      <c r="PA141" s="37"/>
      <c r="PB141" s="37"/>
      <c r="PC141" s="37"/>
      <c r="PD141" s="37"/>
      <c r="PE141" s="37"/>
      <c r="PF141" s="37"/>
      <c r="PG141" s="37"/>
      <c r="PH141" s="37"/>
      <c r="PI141" s="37"/>
      <c r="PJ141" s="37"/>
      <c r="PK141" s="37"/>
      <c r="PL141" s="37"/>
      <c r="PM141" s="37"/>
      <c r="PN141" s="37"/>
      <c r="PO141" s="37"/>
      <c r="PP141" s="37"/>
      <c r="PQ141" s="37"/>
      <c r="PR141" s="37"/>
      <c r="PS141" s="37"/>
      <c r="PT141" s="37"/>
      <c r="PU141" s="37"/>
      <c r="PV141" s="37"/>
      <c r="PW141" s="37"/>
      <c r="PX141" s="37"/>
      <c r="PY141" s="37"/>
      <c r="PZ141" s="37"/>
      <c r="QA141" s="37"/>
      <c r="QB141" s="37"/>
      <c r="QC141" s="37"/>
      <c r="QD141" s="37"/>
      <c r="QE141" s="37"/>
      <c r="QF141" s="37"/>
      <c r="QG141" s="37"/>
      <c r="QH141" s="37"/>
      <c r="QI141" s="37"/>
      <c r="QJ141" s="37"/>
      <c r="QK141" s="37"/>
      <c r="QL141" s="37"/>
      <c r="QM141" s="37"/>
      <c r="QN141" s="37"/>
      <c r="QO141" s="37"/>
      <c r="QP141" s="37"/>
      <c r="QQ141" s="37"/>
      <c r="QR141" s="37"/>
      <c r="QS141" s="37"/>
      <c r="QT141" s="37"/>
      <c r="QU141" s="37"/>
      <c r="QV141" s="37"/>
      <c r="QW141" s="37"/>
      <c r="QX141" s="37"/>
      <c r="QY141" s="37"/>
      <c r="QZ141" s="37"/>
      <c r="RA141" s="37"/>
      <c r="RB141" s="37"/>
      <c r="RC141" s="37"/>
      <c r="RD141" s="37"/>
      <c r="RE141" s="37"/>
      <c r="RF141" s="37"/>
      <c r="RG141" s="37"/>
      <c r="RH141" s="37"/>
      <c r="RI141" s="37"/>
      <c r="RJ141" s="37"/>
      <c r="RK141" s="37"/>
      <c r="RL141" s="37"/>
      <c r="RM141" s="37"/>
      <c r="RN141" s="37"/>
      <c r="RO141" s="37"/>
      <c r="RP141" s="37"/>
      <c r="RQ141" s="37"/>
      <c r="RR141" s="37"/>
      <c r="RS141" s="37"/>
      <c r="RT141" s="37"/>
      <c r="RU141" s="37"/>
      <c r="RV141" s="37"/>
      <c r="RW141" s="37"/>
      <c r="RX141" s="37"/>
      <c r="RY141" s="37"/>
      <c r="RZ141" s="37"/>
      <c r="SA141" s="37"/>
      <c r="SB141" s="37"/>
      <c r="SC141" s="37"/>
      <c r="SD141" s="37"/>
      <c r="SE141" s="37"/>
      <c r="SF141" s="37"/>
      <c r="SG141" s="37"/>
      <c r="SH141" s="37"/>
      <c r="SI141" s="37"/>
      <c r="SJ141" s="37"/>
      <c r="SK141" s="37"/>
      <c r="SL141" s="37"/>
      <c r="SM141" s="37"/>
      <c r="SN141" s="37"/>
      <c r="SO141" s="37"/>
      <c r="SP141" s="37"/>
      <c r="SQ141" s="37"/>
      <c r="SR141" s="37"/>
      <c r="SS141" s="37"/>
      <c r="ST141" s="37"/>
      <c r="SU141" s="37"/>
      <c r="SV141" s="37"/>
      <c r="SW141" s="37"/>
      <c r="SX141" s="37"/>
      <c r="SY141" s="37"/>
      <c r="SZ141" s="37"/>
      <c r="TA141" s="37"/>
      <c r="TB141" s="37"/>
      <c r="TC141" s="37"/>
      <c r="TD141" s="37"/>
      <c r="TE141" s="37"/>
      <c r="TF141" s="37"/>
      <c r="TG141" s="37"/>
      <c r="TH141" s="37"/>
      <c r="TI141" s="37"/>
      <c r="TJ141" s="37"/>
      <c r="TK141" s="37"/>
      <c r="TL141" s="37"/>
      <c r="TM141" s="37"/>
      <c r="TN141" s="37"/>
      <c r="TO141" s="37"/>
      <c r="TP141" s="37"/>
      <c r="TQ141" s="37"/>
      <c r="TR141" s="37"/>
      <c r="TS141" s="37"/>
      <c r="TT141" s="37"/>
      <c r="TU141" s="37"/>
      <c r="TV141" s="37"/>
      <c r="TW141" s="37"/>
      <c r="TX141" s="37"/>
      <c r="TY141" s="37"/>
      <c r="TZ141" s="37"/>
      <c r="UA141" s="37"/>
      <c r="UB141" s="37"/>
      <c r="UC141" s="37"/>
      <c r="UD141" s="37"/>
      <c r="UE141" s="37"/>
      <c r="UF141" s="37"/>
      <c r="UG141" s="37"/>
      <c r="UH141" s="37"/>
      <c r="UI141" s="37"/>
      <c r="UJ141" s="37"/>
      <c r="UK141" s="37"/>
      <c r="UL141" s="37"/>
      <c r="UM141" s="37"/>
      <c r="UN141" s="37"/>
      <c r="UO141" s="37"/>
      <c r="UP141" s="37"/>
      <c r="UQ141" s="37"/>
      <c r="UR141" s="37"/>
      <c r="US141" s="37"/>
      <c r="UT141" s="37"/>
      <c r="UU141" s="37"/>
      <c r="UV141" s="37"/>
      <c r="UW141" s="37"/>
      <c r="UX141" s="37"/>
      <c r="UY141" s="37"/>
      <c r="UZ141" s="37"/>
      <c r="VA141" s="37"/>
      <c r="VB141" s="37"/>
      <c r="VC141" s="37"/>
      <c r="VD141" s="37"/>
      <c r="VE141" s="37"/>
      <c r="VF141" s="37"/>
      <c r="VG141" s="37"/>
      <c r="VH141" s="37"/>
      <c r="VI141" s="37"/>
      <c r="VJ141" s="37"/>
      <c r="VK141" s="37"/>
      <c r="VL141" s="37"/>
      <c r="VM141" s="37"/>
      <c r="VN141" s="37"/>
      <c r="VO141" s="37"/>
      <c r="VP141" s="37"/>
      <c r="VQ141" s="37"/>
      <c r="VR141" s="37"/>
      <c r="VS141" s="37"/>
      <c r="VT141" s="37"/>
      <c r="VU141" s="37"/>
      <c r="VV141" s="37"/>
      <c r="VW141" s="37"/>
      <c r="VX141" s="37"/>
      <c r="VY141" s="37"/>
      <c r="VZ141" s="37"/>
      <c r="WA141" s="37"/>
      <c r="WB141" s="37"/>
      <c r="WC141" s="37"/>
      <c r="WD141" s="37"/>
      <c r="WE141" s="37"/>
      <c r="WF141" s="37"/>
      <c r="WG141" s="37"/>
      <c r="WH141" s="37"/>
      <c r="WI141" s="37"/>
      <c r="WJ141" s="37"/>
      <c r="WK141" s="37"/>
      <c r="WL141" s="37"/>
      <c r="WM141" s="37"/>
      <c r="WN141" s="37"/>
      <c r="WO141" s="37"/>
      <c r="WP141" s="37"/>
      <c r="WQ141" s="37"/>
      <c r="WR141" s="37"/>
      <c r="WS141" s="37"/>
      <c r="WT141" s="37"/>
      <c r="WU141" s="37"/>
      <c r="WV141" s="37"/>
      <c r="WW141" s="37"/>
      <c r="WX141" s="37"/>
      <c r="WY141" s="37"/>
      <c r="WZ141" s="37"/>
      <c r="XA141" s="37"/>
      <c r="XB141" s="37"/>
      <c r="XC141" s="37"/>
      <c r="XD141" s="37"/>
      <c r="XE141" s="37"/>
      <c r="XF141" s="37"/>
      <c r="XG141" s="37"/>
      <c r="XH141" s="37"/>
      <c r="XI141" s="37"/>
      <c r="XJ141" s="37"/>
      <c r="XK141" s="37"/>
      <c r="XL141" s="37"/>
      <c r="XM141" s="37"/>
      <c r="XN141" s="37"/>
      <c r="XO141" s="37"/>
      <c r="XP141" s="37"/>
      <c r="XQ141" s="37"/>
      <c r="XR141" s="37"/>
      <c r="XS141" s="37"/>
      <c r="XT141" s="37"/>
      <c r="XU141" s="37"/>
      <c r="XV141" s="37"/>
      <c r="XW141" s="37"/>
      <c r="XX141" s="37"/>
      <c r="XY141" s="37"/>
      <c r="XZ141" s="37"/>
      <c r="YA141" s="37"/>
      <c r="YB141" s="37"/>
      <c r="YC141" s="37"/>
      <c r="YD141" s="37"/>
      <c r="YE141" s="37"/>
      <c r="YF141" s="37"/>
      <c r="YG141" s="37"/>
      <c r="YH141" s="37"/>
      <c r="YI141" s="37"/>
      <c r="YJ141" s="37"/>
      <c r="YK141" s="37"/>
      <c r="YL141" s="37"/>
      <c r="YM141" s="37"/>
      <c r="YN141" s="37"/>
      <c r="YO141" s="37"/>
      <c r="YP141" s="37"/>
      <c r="YQ141" s="37"/>
      <c r="YR141" s="37"/>
      <c r="YS141" s="37"/>
      <c r="YT141" s="37"/>
      <c r="YU141" s="37"/>
      <c r="YV141" s="37"/>
      <c r="YW141" s="37"/>
      <c r="YX141" s="37"/>
      <c r="YY141" s="37"/>
      <c r="YZ141" s="37"/>
      <c r="ZA141" s="37"/>
      <c r="ZB141" s="37"/>
      <c r="ZC141" s="37"/>
      <c r="ZD141" s="37"/>
      <c r="ZE141" s="37"/>
      <c r="ZF141" s="37"/>
      <c r="ZG141" s="37"/>
      <c r="ZH141" s="37"/>
      <c r="ZI141" s="37"/>
      <c r="ZJ141" s="37"/>
      <c r="ZK141" s="37"/>
      <c r="ZL141" s="37"/>
      <c r="ZM141" s="37"/>
      <c r="ZN141" s="37"/>
      <c r="ZO141" s="37"/>
      <c r="ZP141" s="37"/>
      <c r="ZQ141" s="37"/>
      <c r="ZR141" s="37"/>
      <c r="ZS141" s="37"/>
      <c r="ZT141" s="37"/>
      <c r="ZU141" s="37"/>
      <c r="ZV141" s="37"/>
      <c r="ZW141" s="37"/>
      <c r="ZX141" s="37"/>
      <c r="ZY141" s="37"/>
      <c r="ZZ141" s="37"/>
      <c r="AAA141" s="37"/>
      <c r="AAB141" s="37"/>
      <c r="AAC141" s="37"/>
      <c r="AAD141" s="37"/>
      <c r="AAE141" s="37"/>
      <c r="AAF141" s="37"/>
      <c r="AAG141" s="37"/>
      <c r="AAH141" s="37"/>
      <c r="AAI141" s="37"/>
      <c r="AAJ141" s="37"/>
      <c r="AAK141" s="37"/>
      <c r="AAL141" s="37"/>
      <c r="AAM141" s="37"/>
      <c r="AAN141" s="37"/>
      <c r="AAO141" s="37"/>
      <c r="AAP141" s="37"/>
      <c r="AAQ141" s="37"/>
      <c r="AAR141" s="37"/>
      <c r="AAS141" s="37"/>
      <c r="AAT141" s="37"/>
      <c r="AAU141" s="37"/>
      <c r="AAV141" s="37"/>
      <c r="AAW141" s="37"/>
      <c r="AAX141" s="37"/>
      <c r="AAY141" s="37"/>
      <c r="AAZ141" s="37"/>
      <c r="ABA141" s="37"/>
      <c r="ABB141" s="37"/>
      <c r="ABC141" s="37"/>
      <c r="ABD141" s="37"/>
      <c r="ABE141" s="37"/>
      <c r="ABF141" s="37"/>
      <c r="ABG141" s="37"/>
      <c r="ABH141" s="37"/>
      <c r="ABI141" s="37"/>
      <c r="ABJ141" s="37"/>
      <c r="ABK141" s="37"/>
      <c r="ABL141" s="37"/>
      <c r="ABM141" s="37"/>
      <c r="ABN141" s="37"/>
      <c r="ABO141" s="37"/>
      <c r="ABP141" s="37"/>
      <c r="ABQ141" s="37"/>
      <c r="ABR141" s="37"/>
      <c r="ABS141" s="37"/>
      <c r="ABT141" s="37"/>
      <c r="ABU141" s="37"/>
      <c r="ABV141" s="37"/>
      <c r="ABW141" s="37"/>
      <c r="ABX141" s="37"/>
      <c r="ABY141" s="37"/>
      <c r="ABZ141" s="37"/>
      <c r="ACA141" s="37"/>
      <c r="ACB141" s="37"/>
      <c r="ACC141" s="37"/>
      <c r="ACD141" s="37"/>
      <c r="ACE141" s="37"/>
      <c r="ACF141" s="37"/>
      <c r="ACG141" s="37"/>
      <c r="ACH141" s="37"/>
      <c r="ACI141" s="37"/>
      <c r="ACJ141" s="37"/>
      <c r="ACK141" s="37"/>
      <c r="ACL141" s="37"/>
      <c r="ACM141" s="37"/>
      <c r="ACN141" s="37"/>
      <c r="ACO141" s="37"/>
      <c r="ACP141" s="37"/>
      <c r="ACQ141" s="37"/>
      <c r="ACR141" s="37"/>
      <c r="ACS141" s="37"/>
      <c r="ACT141" s="37"/>
      <c r="ACU141" s="37"/>
      <c r="ACV141" s="37"/>
      <c r="ACW141" s="37"/>
      <c r="ACX141" s="37"/>
      <c r="ACY141" s="37"/>
      <c r="ACZ141" s="37"/>
      <c r="ADA141" s="37"/>
      <c r="ADB141" s="37"/>
      <c r="ADC141" s="37"/>
      <c r="ADD141" s="37"/>
      <c r="ADE141" s="37"/>
      <c r="ADF141" s="37"/>
      <c r="ADG141" s="37"/>
      <c r="ADH141" s="37"/>
      <c r="ADI141" s="37"/>
      <c r="ADJ141" s="37"/>
      <c r="ADK141" s="37"/>
      <c r="ADL141" s="37"/>
      <c r="ADM141" s="37"/>
      <c r="ADN141" s="37"/>
      <c r="ADO141" s="37"/>
      <c r="ADP141" s="37"/>
      <c r="ADQ141" s="37"/>
      <c r="ADR141" s="37"/>
      <c r="ADS141" s="37"/>
      <c r="ADT141" s="37"/>
      <c r="ADU141" s="37"/>
      <c r="ADV141" s="37"/>
      <c r="ADW141" s="37"/>
      <c r="ADX141" s="37"/>
      <c r="ADY141" s="37"/>
      <c r="ADZ141" s="37"/>
      <c r="AEA141" s="37"/>
      <c r="AEB141" s="37"/>
      <c r="AEC141" s="37"/>
      <c r="AED141" s="37"/>
      <c r="AEE141" s="37"/>
      <c r="AEF141" s="37"/>
      <c r="AEG141" s="37"/>
      <c r="AEH141" s="37"/>
      <c r="AEI141" s="37"/>
      <c r="AEJ141" s="37"/>
      <c r="AEK141" s="37"/>
      <c r="AEL141" s="37"/>
      <c r="AEM141" s="37"/>
      <c r="AEN141" s="37"/>
      <c r="AEO141" s="37"/>
      <c r="AEP141" s="37"/>
      <c r="AEQ141" s="37"/>
      <c r="AER141" s="37"/>
      <c r="AES141" s="37"/>
      <c r="AET141" s="37"/>
      <c r="AEU141" s="37"/>
      <c r="AEV141" s="37"/>
      <c r="AEW141" s="37"/>
      <c r="AEX141" s="37"/>
      <c r="AEY141" s="37"/>
      <c r="AEZ141" s="37"/>
      <c r="AFA141" s="37"/>
      <c r="AFB141" s="37"/>
      <c r="AFC141" s="37"/>
      <c r="AFD141" s="37"/>
      <c r="AFE141" s="37"/>
      <c r="AFF141" s="37"/>
      <c r="AFG141" s="37"/>
      <c r="AFH141" s="37"/>
      <c r="AFI141" s="37"/>
      <c r="AFJ141" s="37"/>
      <c r="AFK141" s="37"/>
      <c r="AFL141" s="37"/>
      <c r="AFM141" s="37"/>
      <c r="AFN141" s="37"/>
      <c r="AFO141" s="37"/>
      <c r="AFP141" s="37"/>
      <c r="AFQ141" s="37"/>
      <c r="AFR141" s="37"/>
      <c r="AFS141" s="37"/>
      <c r="AFT141" s="37"/>
      <c r="AFU141" s="37"/>
      <c r="AFV141" s="37"/>
      <c r="AFW141" s="37"/>
      <c r="AFX141" s="37"/>
      <c r="AFY141" s="37"/>
      <c r="AFZ141" s="37"/>
      <c r="AGA141" s="37"/>
      <c r="AGB141" s="37"/>
      <c r="AGC141" s="37"/>
      <c r="AGD141" s="37"/>
      <c r="AGE141" s="37"/>
      <c r="AGF141" s="37"/>
      <c r="AGG141" s="37"/>
      <c r="AGH141" s="37"/>
      <c r="AGI141" s="37"/>
      <c r="AGJ141" s="37"/>
      <c r="AGK141" s="37"/>
      <c r="AGL141" s="37"/>
      <c r="AGM141" s="37"/>
      <c r="AGN141" s="37"/>
      <c r="AGO141" s="37"/>
      <c r="AGP141" s="37"/>
      <c r="AGQ141" s="37"/>
      <c r="AGR141" s="37"/>
      <c r="AGS141" s="37"/>
      <c r="AGT141" s="37"/>
      <c r="AGU141" s="37"/>
      <c r="AGV141" s="37"/>
      <c r="AGW141" s="37"/>
      <c r="AGX141" s="37"/>
      <c r="AGY141" s="37"/>
      <c r="AGZ141" s="37"/>
      <c r="AHA141" s="37"/>
      <c r="AHB141" s="37"/>
      <c r="AHC141" s="37"/>
      <c r="AHD141" s="37"/>
      <c r="AHE141" s="37"/>
      <c r="AHF141" s="37"/>
      <c r="AHG141" s="37"/>
      <c r="AHH141" s="37"/>
      <c r="AHI141" s="37"/>
      <c r="AHJ141" s="37"/>
      <c r="AHK141" s="37"/>
      <c r="AHL141" s="37"/>
      <c r="AHM141" s="37"/>
      <c r="AHN141" s="37"/>
      <c r="AHO141" s="37"/>
      <c r="AHP141" s="37"/>
      <c r="AHQ141" s="37"/>
      <c r="AHR141" s="37"/>
      <c r="AHS141" s="37"/>
      <c r="AHT141" s="37"/>
      <c r="AHU141" s="37"/>
      <c r="AHV141" s="37"/>
      <c r="AHW141" s="37"/>
      <c r="AHX141" s="37"/>
      <c r="AHY141" s="37"/>
      <c r="AHZ141" s="37"/>
      <c r="AIA141" s="37"/>
      <c r="AIB141" s="37"/>
      <c r="AIC141" s="37"/>
      <c r="AID141" s="37"/>
      <c r="AIE141" s="37"/>
      <c r="AIF141" s="37"/>
      <c r="AIG141" s="37"/>
      <c r="AIH141" s="37"/>
      <c r="AII141" s="37"/>
      <c r="AIJ141" s="37"/>
      <c r="AIK141" s="37"/>
      <c r="AIL141" s="37"/>
      <c r="AIM141" s="37"/>
      <c r="AIN141" s="37"/>
      <c r="AIO141" s="37"/>
      <c r="AIP141" s="37"/>
      <c r="AIQ141" s="37"/>
      <c r="AIR141" s="37"/>
      <c r="AIS141" s="37"/>
      <c r="AIT141" s="37"/>
      <c r="AIU141" s="37"/>
      <c r="AIV141" s="37"/>
      <c r="AIW141" s="37"/>
      <c r="AIX141" s="37"/>
      <c r="AIY141" s="37"/>
      <c r="AIZ141" s="37"/>
      <c r="AJA141" s="37"/>
      <c r="AJB141" s="37"/>
      <c r="AJC141" s="37"/>
      <c r="AJD141" s="37"/>
      <c r="AJE141" s="37"/>
      <c r="AJF141" s="37"/>
      <c r="AJG141" s="37"/>
      <c r="AJH141" s="37"/>
      <c r="AJI141" s="37"/>
      <c r="AJJ141" s="37"/>
      <c r="AJK141" s="37"/>
      <c r="AJL141" s="37"/>
      <c r="AJM141" s="37"/>
      <c r="AJN141" s="37"/>
      <c r="AJO141" s="37"/>
      <c r="AJP141" s="37"/>
      <c r="AJQ141" s="37"/>
      <c r="AJR141" s="37"/>
      <c r="AJS141" s="37"/>
      <c r="AJT141" s="37"/>
      <c r="AJU141" s="37"/>
      <c r="AJV141" s="37"/>
      <c r="AJW141" s="37"/>
      <c r="AJX141" s="37"/>
      <c r="AJY141" s="37"/>
      <c r="AJZ141" s="37"/>
      <c r="AKA141" s="37"/>
      <c r="AKB141" s="37"/>
      <c r="AKC141" s="37"/>
      <c r="AKD141" s="37"/>
      <c r="AKE141" s="37"/>
      <c r="AKF141" s="37"/>
      <c r="AKG141" s="37"/>
      <c r="AKH141" s="37"/>
      <c r="AKI141" s="37"/>
      <c r="AKJ141" s="37"/>
      <c r="AKK141" s="37"/>
      <c r="AKL141" s="37"/>
      <c r="AKM141" s="37"/>
      <c r="AKN141" s="37"/>
      <c r="AKO141" s="37"/>
      <c r="AKP141" s="37"/>
      <c r="AKQ141" s="37"/>
      <c r="AKR141" s="37"/>
      <c r="AKS141" s="37"/>
      <c r="AKT141" s="37"/>
      <c r="AKU141" s="37"/>
      <c r="AKV141" s="37"/>
      <c r="AKW141" s="37"/>
      <c r="AKX141" s="37"/>
      <c r="AKY141" s="37"/>
      <c r="AKZ141" s="37"/>
      <c r="ALA141" s="37"/>
      <c r="ALB141" s="37"/>
      <c r="ALC141" s="37"/>
      <c r="ALD141" s="37"/>
      <c r="ALE141" s="37"/>
      <c r="ALF141" s="37"/>
      <c r="ALG141" s="37"/>
      <c r="ALH141" s="37"/>
      <c r="ALI141" s="37"/>
      <c r="ALJ141" s="37"/>
      <c r="ALK141" s="37"/>
      <c r="ALL141" s="37"/>
      <c r="ALM141" s="37"/>
      <c r="ALN141" s="37"/>
      <c r="ALO141" s="37"/>
      <c r="ALP141" s="37"/>
      <c r="ALQ141" s="37"/>
      <c r="ALR141" s="37"/>
    </row>
    <row r="142" spans="2:1006" x14ac:dyDescent="0.35">
      <c r="D142" s="20" t="s">
        <v>30</v>
      </c>
      <c r="F142" s="20" t="s">
        <v>129</v>
      </c>
      <c r="K142" s="20">
        <f>K139-K96-K102</f>
        <v>0</v>
      </c>
      <c r="L142" s="20">
        <f t="shared" ref="L142:BW142" si="518">L139-L96-L102</f>
        <v>0</v>
      </c>
      <c r="M142" s="20">
        <f t="shared" si="518"/>
        <v>0</v>
      </c>
      <c r="N142" s="20">
        <f t="shared" si="518"/>
        <v>0</v>
      </c>
      <c r="O142" s="20">
        <f t="shared" si="518"/>
        <v>0</v>
      </c>
      <c r="P142" s="20">
        <f t="shared" si="518"/>
        <v>0</v>
      </c>
      <c r="Q142" s="20">
        <f t="shared" si="518"/>
        <v>0</v>
      </c>
      <c r="R142" s="20">
        <f t="shared" si="518"/>
        <v>0</v>
      </c>
      <c r="S142" s="20">
        <f t="shared" si="518"/>
        <v>0</v>
      </c>
      <c r="T142" s="20">
        <f t="shared" si="518"/>
        <v>99503.150667626498</v>
      </c>
      <c r="U142" s="20">
        <f t="shared" si="518"/>
        <v>52009.913222859825</v>
      </c>
      <c r="V142" s="20">
        <f t="shared" si="518"/>
        <v>30398.601847890644</v>
      </c>
      <c r="W142" s="20">
        <f t="shared" si="518"/>
        <v>80578.142957014934</v>
      </c>
      <c r="X142" s="20">
        <f t="shared" si="518"/>
        <v>98702.262217784533</v>
      </c>
      <c r="Y142" s="20">
        <f t="shared" si="518"/>
        <v>51444.664672913801</v>
      </c>
      <c r="Z142" s="20">
        <f t="shared" si="518"/>
        <v>29940.225200464032</v>
      </c>
      <c r="AA142" s="20">
        <f t="shared" si="518"/>
        <v>79869.467587825871</v>
      </c>
      <c r="AB142" s="20">
        <f t="shared" si="518"/>
        <v>97902.765625600179</v>
      </c>
      <c r="AC142" s="20">
        <f t="shared" si="518"/>
        <v>50879.626810988084</v>
      </c>
      <c r="AD142" s="20">
        <f t="shared" si="518"/>
        <v>31590.597410920618</v>
      </c>
      <c r="AE142" s="20">
        <f t="shared" si="518"/>
        <v>82966.475098870433</v>
      </c>
      <c r="AF142" s="20">
        <f t="shared" si="518"/>
        <v>101522.65247679333</v>
      </c>
      <c r="AG142" s="20">
        <f t="shared" si="518"/>
        <v>53138.25599594957</v>
      </c>
      <c r="AH142" s="20">
        <f t="shared" si="518"/>
        <v>32576.053437946994</v>
      </c>
      <c r="AI142" s="20">
        <f t="shared" si="518"/>
        <v>84865.497092081874</v>
      </c>
      <c r="AJ142" s="20">
        <f t="shared" si="518"/>
        <v>103751.76230240409</v>
      </c>
      <c r="AK142" s="20">
        <f t="shared" si="518"/>
        <v>54507.36429777903</v>
      </c>
      <c r="AL142" s="20">
        <f t="shared" si="518"/>
        <v>32377.324121268019</v>
      </c>
      <c r="AM142" s="20">
        <f t="shared" si="518"/>
        <v>84629.793883835257</v>
      </c>
      <c r="AN142" s="20">
        <f t="shared" si="518"/>
        <v>103502.37502666502</v>
      </c>
      <c r="AO142" s="20">
        <f t="shared" si="518"/>
        <v>54291.797810474614</v>
      </c>
      <c r="AP142" s="20">
        <f t="shared" si="518"/>
        <v>36635.729271682314</v>
      </c>
      <c r="AQ142" s="20">
        <f t="shared" si="518"/>
        <v>92436.323784715321</v>
      </c>
      <c r="AR142" s="20">
        <f t="shared" si="518"/>
        <v>112591.78553278054</v>
      </c>
      <c r="AS142" s="20">
        <f t="shared" si="518"/>
        <v>60043.785790244423</v>
      </c>
      <c r="AT142" s="20">
        <f t="shared" si="518"/>
        <v>44402.584164931002</v>
      </c>
      <c r="AU142" s="20">
        <f t="shared" si="518"/>
        <v>106573.68240525824</v>
      </c>
      <c r="AV142" s="20">
        <f t="shared" si="518"/>
        <v>129032.74793641971</v>
      </c>
      <c r="AW142" s="20">
        <f t="shared" si="518"/>
        <v>70493.301855220416</v>
      </c>
      <c r="AX142" s="20">
        <f t="shared" si="518"/>
        <v>46326.886907018044</v>
      </c>
      <c r="AY142" s="20">
        <f t="shared" si="518"/>
        <v>110172.69208713573</v>
      </c>
      <c r="AZ142" s="20">
        <f t="shared" si="518"/>
        <v>133237.09816880926</v>
      </c>
      <c r="BA142" s="20">
        <f t="shared" si="518"/>
        <v>73121.861469402036</v>
      </c>
      <c r="BB142" s="20">
        <f t="shared" si="518"/>
        <v>46179.602603051833</v>
      </c>
      <c r="BC142" s="20">
        <f t="shared" si="518"/>
        <v>110036.19369102863</v>
      </c>
      <c r="BD142" s="20">
        <f t="shared" si="518"/>
        <v>133104.17024735676</v>
      </c>
      <c r="BE142" s="20">
        <f t="shared" si="518"/>
        <v>72977.78894075779</v>
      </c>
      <c r="BF142" s="20">
        <f t="shared" si="518"/>
        <v>49232.574689792556</v>
      </c>
      <c r="BG142" s="20">
        <f t="shared" si="518"/>
        <v>115674.61174694466</v>
      </c>
      <c r="BH142" s="20">
        <f t="shared" si="518"/>
        <v>139677.29295513188</v>
      </c>
      <c r="BI142" s="20">
        <f t="shared" si="518"/>
        <v>77118.683889877779</v>
      </c>
      <c r="BJ142" s="20">
        <f t="shared" si="518"/>
        <v>52979.046987055401</v>
      </c>
      <c r="BK142" s="20">
        <f t="shared" si="518"/>
        <v>122565.7835075046</v>
      </c>
      <c r="BL142" s="20">
        <f t="shared" si="518"/>
        <v>147705.42148298217</v>
      </c>
      <c r="BM142" s="20">
        <f t="shared" si="518"/>
        <v>82188.678986765997</v>
      </c>
      <c r="BN142" s="20">
        <f t="shared" si="518"/>
        <v>58080.525769570362</v>
      </c>
      <c r="BO142" s="20">
        <f t="shared" si="518"/>
        <v>131903.08955718775</v>
      </c>
      <c r="BP142" s="20">
        <f t="shared" si="518"/>
        <v>158574.29138370621</v>
      </c>
      <c r="BQ142" s="20">
        <f t="shared" si="518"/>
        <v>89073.364172271278</v>
      </c>
      <c r="BR142" s="20">
        <f t="shared" si="518"/>
        <v>62804.238692327359</v>
      </c>
      <c r="BS142" s="20">
        <f t="shared" si="518"/>
        <v>140560.63407530065</v>
      </c>
      <c r="BT142" s="20">
        <f t="shared" si="518"/>
        <v>168654.17660468101</v>
      </c>
      <c r="BU142" s="20">
        <f t="shared" si="518"/>
        <v>95453.030011476396</v>
      </c>
      <c r="BV142" s="20">
        <f t="shared" si="518"/>
        <v>65744.50971300884</v>
      </c>
      <c r="BW142" s="20">
        <f t="shared" si="518"/>
        <v>146002.60306990769</v>
      </c>
      <c r="BX142" s="20">
        <f t="shared" ref="BX142:DQ142" si="519">BX139-BX96-BX102</f>
        <v>175000.54296850946</v>
      </c>
      <c r="BY142" s="20">
        <f t="shared" si="519"/>
        <v>99445.861790989045</v>
      </c>
      <c r="BZ142" s="20">
        <f t="shared" si="519"/>
        <v>67006.981066041219</v>
      </c>
      <c r="CA142" s="20">
        <f t="shared" si="519"/>
        <v>148419.59989684005</v>
      </c>
      <c r="CB142" s="20">
        <f t="shared" si="519"/>
        <v>177834.72037799895</v>
      </c>
      <c r="CC142" s="20">
        <f t="shared" si="519"/>
        <v>101193.29641833418</v>
      </c>
      <c r="CD142" s="20">
        <f t="shared" si="519"/>
        <v>71940.215861161763</v>
      </c>
      <c r="CE142" s="20">
        <f t="shared" si="519"/>
        <v>157460.45343033172</v>
      </c>
      <c r="CF142" s="20">
        <f t="shared" si="519"/>
        <v>188360.7505279521</v>
      </c>
      <c r="CG142" s="20">
        <f t="shared" si="519"/>
        <v>107855.64152849109</v>
      </c>
      <c r="CH142" s="20">
        <f t="shared" si="519"/>
        <v>74850.981695199676</v>
      </c>
      <c r="CI142" s="20">
        <f t="shared" si="519"/>
        <v>162854.60245810822</v>
      </c>
      <c r="CJ142" s="20">
        <f t="shared" si="519"/>
        <v>194652.65798302944</v>
      </c>
      <c r="CK142" s="20">
        <f t="shared" si="519"/>
        <v>111811.19016971644</v>
      </c>
      <c r="CL142" s="20">
        <f t="shared" si="519"/>
        <v>82083.753453313155</v>
      </c>
      <c r="CM142" s="20">
        <f t="shared" si="519"/>
        <v>176047.50066476566</v>
      </c>
      <c r="CN142" s="20">
        <f t="shared" si="519"/>
        <v>210000.69117086928</v>
      </c>
      <c r="CO142" s="20">
        <f t="shared" si="519"/>
        <v>121553.51012510111</v>
      </c>
      <c r="CP142" s="20">
        <f t="shared" si="519"/>
        <v>87913.523256121101</v>
      </c>
      <c r="CQ142" s="20">
        <f t="shared" si="519"/>
        <v>186711.26466246118</v>
      </c>
      <c r="CR142" s="20">
        <f t="shared" si="519"/>
        <v>222412.31338509158</v>
      </c>
      <c r="CS142" s="20">
        <f t="shared" si="519"/>
        <v>129418.35587855263</v>
      </c>
      <c r="CT142" s="20">
        <f t="shared" si="519"/>
        <v>94375.729033308133</v>
      </c>
      <c r="CU142" s="20">
        <f t="shared" si="519"/>
        <v>198517.84961283629</v>
      </c>
      <c r="CV142" s="20">
        <f t="shared" si="519"/>
        <v>236151.33445472486</v>
      </c>
      <c r="CW142" s="20">
        <f t="shared" si="519"/>
        <v>138130.64606270476</v>
      </c>
      <c r="CX142" s="20">
        <f t="shared" si="519"/>
        <v>100406.4358762536</v>
      </c>
      <c r="CY142" s="20">
        <f t="shared" si="519"/>
        <v>209547.94489821649</v>
      </c>
      <c r="CZ142" s="20">
        <f t="shared" si="519"/>
        <v>248989.0927247644</v>
      </c>
      <c r="DA142" s="20">
        <f t="shared" si="519"/>
        <v>146266.06713651924</v>
      </c>
      <c r="DB142" s="20">
        <f t="shared" si="519"/>
        <v>101535.25409609792</v>
      </c>
      <c r="DC142" s="20">
        <f t="shared" si="519"/>
        <v>211736.9985447326</v>
      </c>
      <c r="DD142" s="20">
        <f t="shared" si="519"/>
        <v>251561.18914568383</v>
      </c>
      <c r="DE142" s="20">
        <f t="shared" si="519"/>
        <v>147839.97269429854</v>
      </c>
      <c r="DF142" s="20">
        <f t="shared" si="519"/>
        <v>101754.30011588552</v>
      </c>
      <c r="DG142" s="20">
        <f t="shared" si="519"/>
        <v>212286.81338207761</v>
      </c>
      <c r="DH142" s="20">
        <f t="shared" si="519"/>
        <v>252230.22581112373</v>
      </c>
      <c r="DI142" s="20">
        <f t="shared" si="519"/>
        <v>148196.75169941192</v>
      </c>
      <c r="DJ142" s="20">
        <f t="shared" si="519"/>
        <v>102089.95323641525</v>
      </c>
      <c r="DK142" s="20">
        <f t="shared" si="519"/>
        <v>213049.005205605</v>
      </c>
      <c r="DL142" s="20">
        <f t="shared" si="519"/>
        <v>253146.26939122085</v>
      </c>
      <c r="DM142" s="20">
        <f t="shared" si="519"/>
        <v>148710.46347627806</v>
      </c>
      <c r="DN142" s="20">
        <f t="shared" si="519"/>
        <v>103371.90916826807</v>
      </c>
      <c r="DO142" s="20">
        <f t="shared" si="519"/>
        <v>215520.37318555138</v>
      </c>
      <c r="DP142" s="20">
        <f t="shared" si="519"/>
        <v>0</v>
      </c>
      <c r="DQ142" s="20">
        <f t="shared" si="519"/>
        <v>0</v>
      </c>
    </row>
    <row r="143" spans="2:1006" x14ac:dyDescent="0.35">
      <c r="D143" s="20" t="s">
        <v>228</v>
      </c>
      <c r="F143" s="20" t="s">
        <v>129</v>
      </c>
      <c r="K143" s="20">
        <f>K63</f>
        <v>40500</v>
      </c>
      <c r="L143" s="20">
        <f t="shared" ref="L143:BW143" si="520">L63</f>
        <v>40500</v>
      </c>
      <c r="M143" s="20">
        <f t="shared" si="520"/>
        <v>40500</v>
      </c>
      <c r="N143" s="20">
        <f t="shared" si="520"/>
        <v>40500</v>
      </c>
      <c r="O143" s="20">
        <f t="shared" si="520"/>
        <v>888000</v>
      </c>
      <c r="P143" s="20">
        <f t="shared" si="520"/>
        <v>888000</v>
      </c>
      <c r="Q143" s="20">
        <f t="shared" si="520"/>
        <v>888000</v>
      </c>
      <c r="R143" s="20">
        <f t="shared" si="520"/>
        <v>888000</v>
      </c>
      <c r="S143" s="20">
        <f t="shared" si="520"/>
        <v>888000</v>
      </c>
      <c r="T143" s="20">
        <f t="shared" si="520"/>
        <v>0</v>
      </c>
      <c r="U143" s="20">
        <f t="shared" si="520"/>
        <v>0</v>
      </c>
      <c r="V143" s="20">
        <f t="shared" si="520"/>
        <v>0</v>
      </c>
      <c r="W143" s="20">
        <f t="shared" si="520"/>
        <v>0</v>
      </c>
      <c r="X143" s="20">
        <f t="shared" si="520"/>
        <v>0</v>
      </c>
      <c r="Y143" s="20">
        <f t="shared" si="520"/>
        <v>0</v>
      </c>
      <c r="Z143" s="20">
        <f t="shared" si="520"/>
        <v>0</v>
      </c>
      <c r="AA143" s="20">
        <f t="shared" si="520"/>
        <v>0</v>
      </c>
      <c r="AB143" s="20">
        <f t="shared" si="520"/>
        <v>0</v>
      </c>
      <c r="AC143" s="20">
        <f t="shared" si="520"/>
        <v>0</v>
      </c>
      <c r="AD143" s="20">
        <f t="shared" si="520"/>
        <v>0</v>
      </c>
      <c r="AE143" s="20">
        <f t="shared" si="520"/>
        <v>0</v>
      </c>
      <c r="AF143" s="20">
        <f t="shared" si="520"/>
        <v>0</v>
      </c>
      <c r="AG143" s="20">
        <f t="shared" si="520"/>
        <v>0</v>
      </c>
      <c r="AH143" s="20">
        <f t="shared" si="520"/>
        <v>0</v>
      </c>
      <c r="AI143" s="20">
        <f t="shared" si="520"/>
        <v>0</v>
      </c>
      <c r="AJ143" s="20">
        <f t="shared" si="520"/>
        <v>0</v>
      </c>
      <c r="AK143" s="20">
        <f t="shared" si="520"/>
        <v>0</v>
      </c>
      <c r="AL143" s="20">
        <f t="shared" si="520"/>
        <v>0</v>
      </c>
      <c r="AM143" s="20">
        <f t="shared" si="520"/>
        <v>0</v>
      </c>
      <c r="AN143" s="20">
        <f t="shared" si="520"/>
        <v>0</v>
      </c>
      <c r="AO143" s="20">
        <f t="shared" si="520"/>
        <v>0</v>
      </c>
      <c r="AP143" s="20">
        <f t="shared" si="520"/>
        <v>0</v>
      </c>
      <c r="AQ143" s="20">
        <f t="shared" si="520"/>
        <v>0</v>
      </c>
      <c r="AR143" s="20">
        <f t="shared" si="520"/>
        <v>0</v>
      </c>
      <c r="AS143" s="20">
        <f t="shared" si="520"/>
        <v>0</v>
      </c>
      <c r="AT143" s="20">
        <f t="shared" si="520"/>
        <v>0</v>
      </c>
      <c r="AU143" s="20">
        <f t="shared" si="520"/>
        <v>0</v>
      </c>
      <c r="AV143" s="20">
        <f t="shared" si="520"/>
        <v>0</v>
      </c>
      <c r="AW143" s="20">
        <f t="shared" si="520"/>
        <v>0</v>
      </c>
      <c r="AX143" s="20">
        <f t="shared" si="520"/>
        <v>0</v>
      </c>
      <c r="AY143" s="20">
        <f t="shared" si="520"/>
        <v>0</v>
      </c>
      <c r="AZ143" s="20">
        <f t="shared" si="520"/>
        <v>0</v>
      </c>
      <c r="BA143" s="20">
        <f t="shared" si="520"/>
        <v>0</v>
      </c>
      <c r="BB143" s="20">
        <f t="shared" si="520"/>
        <v>0</v>
      </c>
      <c r="BC143" s="20">
        <f t="shared" si="520"/>
        <v>0</v>
      </c>
      <c r="BD143" s="20">
        <f t="shared" si="520"/>
        <v>0</v>
      </c>
      <c r="BE143" s="20">
        <f t="shared" si="520"/>
        <v>0</v>
      </c>
      <c r="BF143" s="20">
        <f t="shared" si="520"/>
        <v>0</v>
      </c>
      <c r="BG143" s="20">
        <f t="shared" si="520"/>
        <v>0</v>
      </c>
      <c r="BH143" s="20">
        <f t="shared" si="520"/>
        <v>0</v>
      </c>
      <c r="BI143" s="20">
        <f t="shared" si="520"/>
        <v>0</v>
      </c>
      <c r="BJ143" s="20">
        <f t="shared" si="520"/>
        <v>0</v>
      </c>
      <c r="BK143" s="20">
        <f t="shared" si="520"/>
        <v>0</v>
      </c>
      <c r="BL143" s="20">
        <f t="shared" si="520"/>
        <v>0</v>
      </c>
      <c r="BM143" s="20">
        <f t="shared" si="520"/>
        <v>0</v>
      </c>
      <c r="BN143" s="20">
        <f t="shared" si="520"/>
        <v>0</v>
      </c>
      <c r="BO143" s="20">
        <f t="shared" si="520"/>
        <v>0</v>
      </c>
      <c r="BP143" s="20">
        <f t="shared" si="520"/>
        <v>0</v>
      </c>
      <c r="BQ143" s="20">
        <f t="shared" si="520"/>
        <v>0</v>
      </c>
      <c r="BR143" s="20">
        <f t="shared" si="520"/>
        <v>0</v>
      </c>
      <c r="BS143" s="20">
        <f t="shared" si="520"/>
        <v>0</v>
      </c>
      <c r="BT143" s="20">
        <f t="shared" si="520"/>
        <v>0</v>
      </c>
      <c r="BU143" s="20">
        <f t="shared" si="520"/>
        <v>0</v>
      </c>
      <c r="BV143" s="20">
        <f t="shared" si="520"/>
        <v>0</v>
      </c>
      <c r="BW143" s="20">
        <f t="shared" si="520"/>
        <v>0</v>
      </c>
      <c r="BX143" s="20">
        <f t="shared" ref="BX143:DQ143" si="521">BX63</f>
        <v>0</v>
      </c>
      <c r="BY143" s="20">
        <f t="shared" si="521"/>
        <v>0</v>
      </c>
      <c r="BZ143" s="20">
        <f t="shared" si="521"/>
        <v>0</v>
      </c>
      <c r="CA143" s="20">
        <f t="shared" si="521"/>
        <v>0</v>
      </c>
      <c r="CB143" s="20">
        <f t="shared" si="521"/>
        <v>0</v>
      </c>
      <c r="CC143" s="20">
        <f t="shared" si="521"/>
        <v>0</v>
      </c>
      <c r="CD143" s="20">
        <f t="shared" si="521"/>
        <v>0</v>
      </c>
      <c r="CE143" s="20">
        <f t="shared" si="521"/>
        <v>0</v>
      </c>
      <c r="CF143" s="20">
        <f t="shared" si="521"/>
        <v>0</v>
      </c>
      <c r="CG143" s="20">
        <f t="shared" si="521"/>
        <v>0</v>
      </c>
      <c r="CH143" s="20">
        <f t="shared" si="521"/>
        <v>0</v>
      </c>
      <c r="CI143" s="20">
        <f t="shared" si="521"/>
        <v>0</v>
      </c>
      <c r="CJ143" s="20">
        <f t="shared" si="521"/>
        <v>0</v>
      </c>
      <c r="CK143" s="20">
        <f t="shared" si="521"/>
        <v>0</v>
      </c>
      <c r="CL143" s="20">
        <f t="shared" si="521"/>
        <v>0</v>
      </c>
      <c r="CM143" s="20">
        <f t="shared" si="521"/>
        <v>0</v>
      </c>
      <c r="CN143" s="20">
        <f t="shared" si="521"/>
        <v>0</v>
      </c>
      <c r="CO143" s="20">
        <f t="shared" si="521"/>
        <v>0</v>
      </c>
      <c r="CP143" s="20">
        <f t="shared" si="521"/>
        <v>0</v>
      </c>
      <c r="CQ143" s="20">
        <f t="shared" si="521"/>
        <v>0</v>
      </c>
      <c r="CR143" s="20">
        <f t="shared" si="521"/>
        <v>0</v>
      </c>
      <c r="CS143" s="20">
        <f t="shared" si="521"/>
        <v>0</v>
      </c>
      <c r="CT143" s="20">
        <f t="shared" si="521"/>
        <v>0</v>
      </c>
      <c r="CU143" s="20">
        <f t="shared" si="521"/>
        <v>0</v>
      </c>
      <c r="CV143" s="20">
        <f t="shared" si="521"/>
        <v>0</v>
      </c>
      <c r="CW143" s="20">
        <f t="shared" si="521"/>
        <v>0</v>
      </c>
      <c r="CX143" s="20">
        <f t="shared" si="521"/>
        <v>0</v>
      </c>
      <c r="CY143" s="20">
        <f t="shared" si="521"/>
        <v>0</v>
      </c>
      <c r="CZ143" s="20">
        <f t="shared" si="521"/>
        <v>0</v>
      </c>
      <c r="DA143" s="20">
        <f t="shared" si="521"/>
        <v>0</v>
      </c>
      <c r="DB143" s="20">
        <f t="shared" si="521"/>
        <v>0</v>
      </c>
      <c r="DC143" s="20">
        <f t="shared" si="521"/>
        <v>0</v>
      </c>
      <c r="DD143" s="20">
        <f t="shared" si="521"/>
        <v>0</v>
      </c>
      <c r="DE143" s="20">
        <f t="shared" si="521"/>
        <v>0</v>
      </c>
      <c r="DF143" s="20">
        <f t="shared" si="521"/>
        <v>0</v>
      </c>
      <c r="DG143" s="20">
        <f t="shared" si="521"/>
        <v>0</v>
      </c>
      <c r="DH143" s="20">
        <f t="shared" si="521"/>
        <v>0</v>
      </c>
      <c r="DI143" s="20">
        <f t="shared" si="521"/>
        <v>0</v>
      </c>
      <c r="DJ143" s="20">
        <f t="shared" si="521"/>
        <v>0</v>
      </c>
      <c r="DK143" s="20">
        <f t="shared" si="521"/>
        <v>0</v>
      </c>
      <c r="DL143" s="20">
        <f t="shared" si="521"/>
        <v>0</v>
      </c>
      <c r="DM143" s="20">
        <f t="shared" si="521"/>
        <v>0</v>
      </c>
      <c r="DN143" s="20">
        <f t="shared" si="521"/>
        <v>0</v>
      </c>
      <c r="DO143" s="20">
        <f t="shared" si="521"/>
        <v>0</v>
      </c>
      <c r="DP143" s="20">
        <f t="shared" si="521"/>
        <v>0</v>
      </c>
      <c r="DQ143" s="20">
        <f t="shared" si="521"/>
        <v>0</v>
      </c>
    </row>
    <row r="144" spans="2:1006" ht="15" thickBot="1" x14ac:dyDescent="0.4">
      <c r="D144" s="39" t="s">
        <v>231</v>
      </c>
      <c r="E144" s="39"/>
      <c r="F144" s="39" t="s">
        <v>129</v>
      </c>
      <c r="G144" s="39"/>
      <c r="H144" s="39"/>
      <c r="I144" s="39"/>
      <c r="J144" s="39"/>
      <c r="K144" s="39">
        <f>K142-K143</f>
        <v>-40500</v>
      </c>
      <c r="L144" s="39">
        <f t="shared" ref="L144:BW144" si="522">L142-L143</f>
        <v>-40500</v>
      </c>
      <c r="M144" s="39">
        <f t="shared" si="522"/>
        <v>-40500</v>
      </c>
      <c r="N144" s="39">
        <f t="shared" si="522"/>
        <v>-40500</v>
      </c>
      <c r="O144" s="39">
        <f t="shared" si="522"/>
        <v>-888000</v>
      </c>
      <c r="P144" s="39">
        <f t="shared" si="522"/>
        <v>-888000</v>
      </c>
      <c r="Q144" s="39">
        <f t="shared" si="522"/>
        <v>-888000</v>
      </c>
      <c r="R144" s="39">
        <f t="shared" si="522"/>
        <v>-888000</v>
      </c>
      <c r="S144" s="39">
        <f t="shared" si="522"/>
        <v>-888000</v>
      </c>
      <c r="T144" s="39">
        <f t="shared" si="522"/>
        <v>99503.150667626498</v>
      </c>
      <c r="U144" s="39">
        <f t="shared" si="522"/>
        <v>52009.913222859825</v>
      </c>
      <c r="V144" s="39">
        <f t="shared" si="522"/>
        <v>30398.601847890644</v>
      </c>
      <c r="W144" s="39">
        <f t="shared" si="522"/>
        <v>80578.142957014934</v>
      </c>
      <c r="X144" s="39">
        <f t="shared" si="522"/>
        <v>98702.262217784533</v>
      </c>
      <c r="Y144" s="39">
        <f t="shared" si="522"/>
        <v>51444.664672913801</v>
      </c>
      <c r="Z144" s="39">
        <f t="shared" si="522"/>
        <v>29940.225200464032</v>
      </c>
      <c r="AA144" s="39">
        <f t="shared" si="522"/>
        <v>79869.467587825871</v>
      </c>
      <c r="AB144" s="39">
        <f t="shared" si="522"/>
        <v>97902.765625600179</v>
      </c>
      <c r="AC144" s="39">
        <f t="shared" si="522"/>
        <v>50879.626810988084</v>
      </c>
      <c r="AD144" s="39">
        <f t="shared" si="522"/>
        <v>31590.597410920618</v>
      </c>
      <c r="AE144" s="39">
        <f t="shared" si="522"/>
        <v>82966.475098870433</v>
      </c>
      <c r="AF144" s="39">
        <f t="shared" si="522"/>
        <v>101522.65247679333</v>
      </c>
      <c r="AG144" s="39">
        <f t="shared" si="522"/>
        <v>53138.25599594957</v>
      </c>
      <c r="AH144" s="39">
        <f t="shared" si="522"/>
        <v>32576.053437946994</v>
      </c>
      <c r="AI144" s="39">
        <f t="shared" si="522"/>
        <v>84865.497092081874</v>
      </c>
      <c r="AJ144" s="39">
        <f t="shared" si="522"/>
        <v>103751.76230240409</v>
      </c>
      <c r="AK144" s="39">
        <f t="shared" si="522"/>
        <v>54507.36429777903</v>
      </c>
      <c r="AL144" s="39">
        <f t="shared" si="522"/>
        <v>32377.324121268019</v>
      </c>
      <c r="AM144" s="39">
        <f t="shared" si="522"/>
        <v>84629.793883835257</v>
      </c>
      <c r="AN144" s="39">
        <f t="shared" si="522"/>
        <v>103502.37502666502</v>
      </c>
      <c r="AO144" s="39">
        <f t="shared" si="522"/>
        <v>54291.797810474614</v>
      </c>
      <c r="AP144" s="39">
        <f t="shared" si="522"/>
        <v>36635.729271682314</v>
      </c>
      <c r="AQ144" s="39">
        <f t="shared" si="522"/>
        <v>92436.323784715321</v>
      </c>
      <c r="AR144" s="39">
        <f t="shared" si="522"/>
        <v>112591.78553278054</v>
      </c>
      <c r="AS144" s="39">
        <f t="shared" si="522"/>
        <v>60043.785790244423</v>
      </c>
      <c r="AT144" s="39">
        <f t="shared" si="522"/>
        <v>44402.584164931002</v>
      </c>
      <c r="AU144" s="39">
        <f t="shared" si="522"/>
        <v>106573.68240525824</v>
      </c>
      <c r="AV144" s="39">
        <f t="shared" si="522"/>
        <v>129032.74793641971</v>
      </c>
      <c r="AW144" s="39">
        <f t="shared" si="522"/>
        <v>70493.301855220416</v>
      </c>
      <c r="AX144" s="39">
        <f t="shared" si="522"/>
        <v>46326.886907018044</v>
      </c>
      <c r="AY144" s="39">
        <f t="shared" si="522"/>
        <v>110172.69208713573</v>
      </c>
      <c r="AZ144" s="39">
        <f t="shared" si="522"/>
        <v>133237.09816880926</v>
      </c>
      <c r="BA144" s="39">
        <f t="shared" si="522"/>
        <v>73121.861469402036</v>
      </c>
      <c r="BB144" s="39">
        <f t="shared" si="522"/>
        <v>46179.602603051833</v>
      </c>
      <c r="BC144" s="39">
        <f t="shared" si="522"/>
        <v>110036.19369102863</v>
      </c>
      <c r="BD144" s="39">
        <f t="shared" si="522"/>
        <v>133104.17024735676</v>
      </c>
      <c r="BE144" s="39">
        <f t="shared" si="522"/>
        <v>72977.78894075779</v>
      </c>
      <c r="BF144" s="39">
        <f t="shared" si="522"/>
        <v>49232.574689792556</v>
      </c>
      <c r="BG144" s="39">
        <f t="shared" si="522"/>
        <v>115674.61174694466</v>
      </c>
      <c r="BH144" s="39">
        <f t="shared" si="522"/>
        <v>139677.29295513188</v>
      </c>
      <c r="BI144" s="39">
        <f t="shared" si="522"/>
        <v>77118.683889877779</v>
      </c>
      <c r="BJ144" s="39">
        <f t="shared" si="522"/>
        <v>52979.046987055401</v>
      </c>
      <c r="BK144" s="39">
        <f t="shared" si="522"/>
        <v>122565.7835075046</v>
      </c>
      <c r="BL144" s="39">
        <f t="shared" si="522"/>
        <v>147705.42148298217</v>
      </c>
      <c r="BM144" s="39">
        <f t="shared" si="522"/>
        <v>82188.678986765997</v>
      </c>
      <c r="BN144" s="39">
        <f t="shared" si="522"/>
        <v>58080.525769570362</v>
      </c>
      <c r="BO144" s="39">
        <f t="shared" si="522"/>
        <v>131903.08955718775</v>
      </c>
      <c r="BP144" s="39">
        <f t="shared" si="522"/>
        <v>158574.29138370621</v>
      </c>
      <c r="BQ144" s="39">
        <f t="shared" si="522"/>
        <v>89073.364172271278</v>
      </c>
      <c r="BR144" s="39">
        <f t="shared" si="522"/>
        <v>62804.238692327359</v>
      </c>
      <c r="BS144" s="39">
        <f t="shared" si="522"/>
        <v>140560.63407530065</v>
      </c>
      <c r="BT144" s="39">
        <f t="shared" si="522"/>
        <v>168654.17660468101</v>
      </c>
      <c r="BU144" s="39">
        <f t="shared" si="522"/>
        <v>95453.030011476396</v>
      </c>
      <c r="BV144" s="39">
        <f t="shared" si="522"/>
        <v>65744.50971300884</v>
      </c>
      <c r="BW144" s="39">
        <f t="shared" si="522"/>
        <v>146002.60306990769</v>
      </c>
      <c r="BX144" s="39">
        <f t="shared" ref="BX144:DQ144" si="523">BX142-BX143</f>
        <v>175000.54296850946</v>
      </c>
      <c r="BY144" s="39">
        <f t="shared" si="523"/>
        <v>99445.861790989045</v>
      </c>
      <c r="BZ144" s="39">
        <f t="shared" si="523"/>
        <v>67006.981066041219</v>
      </c>
      <c r="CA144" s="39">
        <f t="shared" si="523"/>
        <v>148419.59989684005</v>
      </c>
      <c r="CB144" s="39">
        <f t="shared" si="523"/>
        <v>177834.72037799895</v>
      </c>
      <c r="CC144" s="39">
        <f t="shared" si="523"/>
        <v>101193.29641833418</v>
      </c>
      <c r="CD144" s="39">
        <f t="shared" si="523"/>
        <v>71940.215861161763</v>
      </c>
      <c r="CE144" s="39">
        <f t="shared" si="523"/>
        <v>157460.45343033172</v>
      </c>
      <c r="CF144" s="39">
        <f t="shared" si="523"/>
        <v>188360.7505279521</v>
      </c>
      <c r="CG144" s="39">
        <f t="shared" si="523"/>
        <v>107855.64152849109</v>
      </c>
      <c r="CH144" s="39">
        <f t="shared" si="523"/>
        <v>74850.981695199676</v>
      </c>
      <c r="CI144" s="39">
        <f t="shared" si="523"/>
        <v>162854.60245810822</v>
      </c>
      <c r="CJ144" s="39">
        <f t="shared" si="523"/>
        <v>194652.65798302944</v>
      </c>
      <c r="CK144" s="39">
        <f t="shared" si="523"/>
        <v>111811.19016971644</v>
      </c>
      <c r="CL144" s="39">
        <f t="shared" si="523"/>
        <v>82083.753453313155</v>
      </c>
      <c r="CM144" s="39">
        <f t="shared" si="523"/>
        <v>176047.50066476566</v>
      </c>
      <c r="CN144" s="39">
        <f t="shared" si="523"/>
        <v>210000.69117086928</v>
      </c>
      <c r="CO144" s="39">
        <f t="shared" si="523"/>
        <v>121553.51012510111</v>
      </c>
      <c r="CP144" s="39">
        <f t="shared" si="523"/>
        <v>87913.523256121101</v>
      </c>
      <c r="CQ144" s="39">
        <f t="shared" si="523"/>
        <v>186711.26466246118</v>
      </c>
      <c r="CR144" s="39">
        <f t="shared" si="523"/>
        <v>222412.31338509158</v>
      </c>
      <c r="CS144" s="39">
        <f t="shared" si="523"/>
        <v>129418.35587855263</v>
      </c>
      <c r="CT144" s="39">
        <f t="shared" si="523"/>
        <v>94375.729033308133</v>
      </c>
      <c r="CU144" s="39">
        <f t="shared" si="523"/>
        <v>198517.84961283629</v>
      </c>
      <c r="CV144" s="39">
        <f t="shared" si="523"/>
        <v>236151.33445472486</v>
      </c>
      <c r="CW144" s="39">
        <f t="shared" si="523"/>
        <v>138130.64606270476</v>
      </c>
      <c r="CX144" s="39">
        <f t="shared" si="523"/>
        <v>100406.4358762536</v>
      </c>
      <c r="CY144" s="39">
        <f t="shared" si="523"/>
        <v>209547.94489821649</v>
      </c>
      <c r="CZ144" s="39">
        <f t="shared" si="523"/>
        <v>248989.0927247644</v>
      </c>
      <c r="DA144" s="39">
        <f t="shared" si="523"/>
        <v>146266.06713651924</v>
      </c>
      <c r="DB144" s="39">
        <f t="shared" si="523"/>
        <v>101535.25409609792</v>
      </c>
      <c r="DC144" s="39">
        <f t="shared" si="523"/>
        <v>211736.9985447326</v>
      </c>
      <c r="DD144" s="39">
        <f t="shared" si="523"/>
        <v>251561.18914568383</v>
      </c>
      <c r="DE144" s="39">
        <f t="shared" si="523"/>
        <v>147839.97269429854</v>
      </c>
      <c r="DF144" s="39">
        <f t="shared" si="523"/>
        <v>101754.30011588552</v>
      </c>
      <c r="DG144" s="39">
        <f t="shared" si="523"/>
        <v>212286.81338207761</v>
      </c>
      <c r="DH144" s="39">
        <f t="shared" si="523"/>
        <v>252230.22581112373</v>
      </c>
      <c r="DI144" s="39">
        <f t="shared" si="523"/>
        <v>148196.75169941192</v>
      </c>
      <c r="DJ144" s="39">
        <f t="shared" si="523"/>
        <v>102089.95323641525</v>
      </c>
      <c r="DK144" s="39">
        <f t="shared" si="523"/>
        <v>213049.005205605</v>
      </c>
      <c r="DL144" s="39">
        <f t="shared" si="523"/>
        <v>253146.26939122085</v>
      </c>
      <c r="DM144" s="39">
        <f t="shared" si="523"/>
        <v>148710.46347627806</v>
      </c>
      <c r="DN144" s="39">
        <f t="shared" si="523"/>
        <v>103371.90916826807</v>
      </c>
      <c r="DO144" s="39">
        <f t="shared" si="523"/>
        <v>215520.37318555138</v>
      </c>
      <c r="DP144" s="39">
        <f t="shared" si="523"/>
        <v>0</v>
      </c>
      <c r="DQ144" s="39">
        <f t="shared" si="523"/>
        <v>0</v>
      </c>
    </row>
    <row r="146" spans="2:1006" x14ac:dyDescent="0.35">
      <c r="D146" s="20" t="s">
        <v>232</v>
      </c>
      <c r="F146" s="20" t="s">
        <v>19</v>
      </c>
      <c r="G146" s="22">
        <f>XIRR(K144:DQ144,K7:DQ7)</f>
        <v>7.1112564206123371E-2</v>
      </c>
    </row>
    <row r="148" spans="2:1006" x14ac:dyDescent="0.35">
      <c r="B148" s="37" t="s">
        <v>252</v>
      </c>
      <c r="C148" s="37"/>
      <c r="D148" s="37"/>
      <c r="E148" s="37"/>
      <c r="F148" s="37"/>
      <c r="G148" s="37"/>
      <c r="H148" s="53"/>
      <c r="I148" s="37"/>
      <c r="J148" s="37"/>
      <c r="K148" s="37"/>
      <c r="L148" s="37"/>
      <c r="M148" s="37"/>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37"/>
      <c r="AK148" s="37"/>
      <c r="AL148" s="37"/>
      <c r="AM148" s="37"/>
      <c r="AN148" s="37"/>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c r="BT148" s="37"/>
      <c r="BU148" s="37"/>
      <c r="BV148" s="37"/>
      <c r="BW148" s="37"/>
      <c r="BX148" s="37"/>
      <c r="BY148" s="37"/>
      <c r="BZ148" s="37"/>
      <c r="CA148" s="37"/>
      <c r="CB148" s="37"/>
      <c r="CC148" s="37"/>
      <c r="CD148" s="37"/>
      <c r="CE148" s="37"/>
      <c r="CF148" s="37"/>
      <c r="CG148" s="37"/>
      <c r="CH148" s="37"/>
      <c r="CI148" s="37"/>
      <c r="CJ148" s="37"/>
      <c r="CK148" s="37"/>
      <c r="CL148" s="37"/>
      <c r="CM148" s="37"/>
      <c r="CN148" s="37"/>
      <c r="CO148" s="37"/>
      <c r="CP148" s="37"/>
      <c r="CQ148" s="37"/>
      <c r="CR148" s="37"/>
      <c r="CS148" s="37"/>
      <c r="CT148" s="37"/>
      <c r="CU148" s="37"/>
      <c r="CV148" s="37"/>
      <c r="CW148" s="37"/>
      <c r="CX148" s="37"/>
      <c r="CY148" s="37"/>
      <c r="CZ148" s="37"/>
      <c r="DA148" s="37"/>
      <c r="DB148" s="37"/>
      <c r="DC148" s="37"/>
      <c r="DD148" s="37"/>
      <c r="DE148" s="37"/>
      <c r="DF148" s="37"/>
      <c r="DG148" s="37"/>
      <c r="DH148" s="37"/>
      <c r="DI148" s="37"/>
      <c r="DJ148" s="37"/>
      <c r="DK148" s="37"/>
      <c r="DL148" s="37"/>
      <c r="DM148" s="37"/>
      <c r="DN148" s="37"/>
      <c r="DO148" s="37"/>
      <c r="DP148" s="37"/>
      <c r="DQ148" s="37"/>
      <c r="DR148" s="37"/>
      <c r="DS148" s="37"/>
      <c r="DT148" s="37"/>
      <c r="DU148" s="37"/>
      <c r="DV148" s="37"/>
      <c r="DW148" s="37"/>
      <c r="DX148" s="37"/>
      <c r="DY148" s="37"/>
      <c r="DZ148" s="37"/>
      <c r="EA148" s="37"/>
      <c r="EB148" s="37"/>
      <c r="EC148" s="37"/>
      <c r="ED148" s="37"/>
      <c r="EE148" s="37"/>
      <c r="EF148" s="37"/>
      <c r="EG148" s="37"/>
      <c r="EH148" s="37"/>
      <c r="EI148" s="37"/>
      <c r="EJ148" s="37"/>
      <c r="EK148" s="37"/>
      <c r="EL148" s="37"/>
      <c r="EM148" s="37"/>
      <c r="EN148" s="37"/>
      <c r="EO148" s="37"/>
      <c r="EP148" s="37"/>
      <c r="EQ148" s="37"/>
      <c r="ER148" s="37"/>
      <c r="ES148" s="37"/>
      <c r="ET148" s="37"/>
      <c r="EU148" s="37"/>
      <c r="EV148" s="37"/>
      <c r="EW148" s="37"/>
      <c r="EX148" s="37"/>
      <c r="EY148" s="37"/>
      <c r="EZ148" s="37"/>
      <c r="FA148" s="37"/>
      <c r="FB148" s="37"/>
      <c r="FC148" s="37"/>
      <c r="FD148" s="37"/>
      <c r="FE148" s="37"/>
      <c r="FF148" s="37"/>
      <c r="FG148" s="37"/>
      <c r="FH148" s="37"/>
      <c r="FI148" s="37"/>
      <c r="FJ148" s="37"/>
      <c r="FK148" s="37"/>
      <c r="FL148" s="37"/>
      <c r="FM148" s="37"/>
      <c r="FN148" s="37"/>
      <c r="FO148" s="37"/>
      <c r="FP148" s="37"/>
      <c r="FQ148" s="37"/>
      <c r="FR148" s="37"/>
      <c r="FS148" s="37"/>
      <c r="FT148" s="37"/>
      <c r="FU148" s="37"/>
      <c r="FV148" s="37"/>
      <c r="FW148" s="37"/>
      <c r="FX148" s="37"/>
      <c r="FY148" s="37"/>
      <c r="FZ148" s="37"/>
      <c r="GA148" s="37"/>
      <c r="GB148" s="37"/>
      <c r="GC148" s="37"/>
      <c r="GD148" s="37"/>
      <c r="GE148" s="37"/>
      <c r="GF148" s="37"/>
      <c r="GG148" s="37"/>
      <c r="GH148" s="37"/>
      <c r="GI148" s="37"/>
      <c r="GJ148" s="37"/>
      <c r="GK148" s="37"/>
      <c r="GL148" s="37"/>
      <c r="GM148" s="37"/>
      <c r="GN148" s="37"/>
      <c r="GO148" s="37"/>
      <c r="GP148" s="37"/>
      <c r="GQ148" s="37"/>
      <c r="GR148" s="37"/>
      <c r="GS148" s="37"/>
      <c r="GT148" s="37"/>
      <c r="GU148" s="37"/>
      <c r="GV148" s="37"/>
      <c r="GW148" s="37"/>
      <c r="GX148" s="37"/>
      <c r="GY148" s="37"/>
      <c r="GZ148" s="37"/>
      <c r="HA148" s="37"/>
      <c r="HB148" s="37"/>
      <c r="HC148" s="37"/>
      <c r="HD148" s="37"/>
      <c r="HE148" s="37"/>
      <c r="HF148" s="37"/>
      <c r="HG148" s="37"/>
      <c r="HH148" s="37"/>
      <c r="HI148" s="37"/>
      <c r="HJ148" s="37"/>
      <c r="HK148" s="37"/>
      <c r="HL148" s="37"/>
      <c r="HM148" s="37"/>
      <c r="HN148" s="37"/>
      <c r="HO148" s="37"/>
      <c r="HP148" s="37"/>
      <c r="HQ148" s="37"/>
      <c r="HR148" s="37"/>
      <c r="HS148" s="37"/>
      <c r="HT148" s="37"/>
      <c r="HU148" s="37"/>
      <c r="HV148" s="37"/>
      <c r="HW148" s="37"/>
      <c r="HX148" s="37"/>
      <c r="HY148" s="37"/>
      <c r="HZ148" s="37"/>
      <c r="IA148" s="37"/>
      <c r="IB148" s="37"/>
      <c r="IC148" s="37"/>
      <c r="ID148" s="37"/>
      <c r="IE148" s="37"/>
      <c r="IF148" s="37"/>
      <c r="IG148" s="37"/>
      <c r="IH148" s="37"/>
      <c r="II148" s="37"/>
      <c r="IJ148" s="37"/>
      <c r="IK148" s="37"/>
      <c r="IL148" s="37"/>
      <c r="IM148" s="37"/>
      <c r="IN148" s="37"/>
      <c r="IO148" s="37"/>
      <c r="IP148" s="37"/>
      <c r="IQ148" s="37"/>
      <c r="IR148" s="37"/>
      <c r="IS148" s="37"/>
      <c r="IT148" s="37"/>
      <c r="IU148" s="37"/>
      <c r="IV148" s="37"/>
      <c r="IW148" s="37"/>
      <c r="IX148" s="37"/>
      <c r="IY148" s="37"/>
      <c r="IZ148" s="37"/>
      <c r="JA148" s="37"/>
      <c r="JB148" s="37"/>
      <c r="JC148" s="37"/>
      <c r="JD148" s="37"/>
      <c r="JE148" s="37"/>
      <c r="JF148" s="37"/>
      <c r="JG148" s="37"/>
      <c r="JH148" s="37"/>
      <c r="JI148" s="37"/>
      <c r="JJ148" s="37"/>
      <c r="JK148" s="37"/>
      <c r="JL148" s="37"/>
      <c r="JM148" s="37"/>
      <c r="JN148" s="37"/>
      <c r="JO148" s="37"/>
      <c r="JP148" s="37"/>
      <c r="JQ148" s="37"/>
      <c r="JR148" s="37"/>
      <c r="JS148" s="37"/>
      <c r="JT148" s="37"/>
      <c r="JU148" s="37"/>
      <c r="JV148" s="37"/>
      <c r="JW148" s="37"/>
      <c r="JX148" s="37"/>
      <c r="JY148" s="37"/>
      <c r="JZ148" s="37"/>
      <c r="KA148" s="37"/>
      <c r="KB148" s="37"/>
      <c r="KC148" s="37"/>
      <c r="KD148" s="37"/>
      <c r="KE148" s="37"/>
      <c r="KF148" s="37"/>
      <c r="KG148" s="37"/>
      <c r="KH148" s="37"/>
      <c r="KI148" s="37"/>
      <c r="KJ148" s="37"/>
      <c r="KK148" s="37"/>
      <c r="KL148" s="37"/>
      <c r="KM148" s="37"/>
      <c r="KN148" s="37"/>
      <c r="KO148" s="37"/>
      <c r="KP148" s="37"/>
      <c r="KQ148" s="37"/>
      <c r="KR148" s="37"/>
      <c r="KS148" s="37"/>
      <c r="KT148" s="37"/>
      <c r="KU148" s="37"/>
      <c r="KV148" s="37"/>
      <c r="KW148" s="37"/>
      <c r="KX148" s="37"/>
      <c r="KY148" s="37"/>
      <c r="KZ148" s="37"/>
      <c r="LA148" s="37"/>
      <c r="LB148" s="37"/>
      <c r="LC148" s="37"/>
      <c r="LD148" s="37"/>
      <c r="LE148" s="37"/>
      <c r="LF148" s="37"/>
      <c r="LG148" s="37"/>
      <c r="LH148" s="37"/>
      <c r="LI148" s="37"/>
      <c r="LJ148" s="37"/>
      <c r="LK148" s="37"/>
      <c r="LL148" s="37"/>
      <c r="LM148" s="37"/>
      <c r="LN148" s="37"/>
      <c r="LO148" s="37"/>
      <c r="LP148" s="37"/>
      <c r="LQ148" s="37"/>
      <c r="LR148" s="37"/>
      <c r="LS148" s="37"/>
      <c r="LT148" s="37"/>
      <c r="LU148" s="37"/>
      <c r="LV148" s="37"/>
      <c r="LW148" s="37"/>
      <c r="LX148" s="37"/>
      <c r="LY148" s="37"/>
      <c r="LZ148" s="37"/>
      <c r="MA148" s="37"/>
      <c r="MB148" s="37"/>
      <c r="MC148" s="37"/>
      <c r="MD148" s="37"/>
      <c r="ME148" s="37"/>
      <c r="MF148" s="37"/>
      <c r="MG148" s="37"/>
      <c r="MH148" s="37"/>
      <c r="MI148" s="37"/>
      <c r="MJ148" s="37"/>
      <c r="MK148" s="37"/>
      <c r="ML148" s="37"/>
      <c r="MM148" s="37"/>
      <c r="MN148" s="37"/>
      <c r="MO148" s="37"/>
      <c r="MP148" s="37"/>
      <c r="MQ148" s="37"/>
      <c r="MR148" s="37"/>
      <c r="MS148" s="37"/>
      <c r="MT148" s="37"/>
      <c r="MU148" s="37"/>
      <c r="MV148" s="37"/>
      <c r="MW148" s="37"/>
      <c r="MX148" s="37"/>
      <c r="MY148" s="37"/>
      <c r="MZ148" s="37"/>
      <c r="NA148" s="37"/>
      <c r="NB148" s="37"/>
      <c r="NC148" s="37"/>
      <c r="ND148" s="37"/>
      <c r="NE148" s="37"/>
      <c r="NF148" s="37"/>
      <c r="NG148" s="37"/>
      <c r="NH148" s="37"/>
      <c r="NI148" s="37"/>
      <c r="NJ148" s="37"/>
      <c r="NK148" s="37"/>
      <c r="NL148" s="37"/>
      <c r="NM148" s="37"/>
      <c r="NN148" s="37"/>
      <c r="NO148" s="37"/>
      <c r="NP148" s="37"/>
      <c r="NQ148" s="37"/>
      <c r="NR148" s="37"/>
      <c r="NS148" s="37"/>
      <c r="NT148" s="37"/>
      <c r="NU148" s="37"/>
      <c r="NV148" s="37"/>
      <c r="NW148" s="37"/>
      <c r="NX148" s="37"/>
      <c r="NY148" s="37"/>
      <c r="NZ148" s="37"/>
      <c r="OA148" s="37"/>
      <c r="OB148" s="37"/>
      <c r="OC148" s="37"/>
      <c r="OD148" s="37"/>
      <c r="OE148" s="37"/>
      <c r="OF148" s="37"/>
      <c r="OG148" s="37"/>
      <c r="OH148" s="37"/>
      <c r="OI148" s="37"/>
      <c r="OJ148" s="37"/>
      <c r="OK148" s="37"/>
      <c r="OL148" s="37"/>
      <c r="OM148" s="37"/>
      <c r="ON148" s="37"/>
      <c r="OO148" s="37"/>
      <c r="OP148" s="37"/>
      <c r="OQ148" s="37"/>
      <c r="OR148" s="37"/>
      <c r="OS148" s="37"/>
      <c r="OT148" s="37"/>
      <c r="OU148" s="37"/>
      <c r="OV148" s="37"/>
      <c r="OW148" s="37"/>
      <c r="OX148" s="37"/>
      <c r="OY148" s="37"/>
      <c r="OZ148" s="37"/>
      <c r="PA148" s="37"/>
      <c r="PB148" s="37"/>
      <c r="PC148" s="37"/>
      <c r="PD148" s="37"/>
      <c r="PE148" s="37"/>
      <c r="PF148" s="37"/>
      <c r="PG148" s="37"/>
      <c r="PH148" s="37"/>
      <c r="PI148" s="37"/>
      <c r="PJ148" s="37"/>
      <c r="PK148" s="37"/>
      <c r="PL148" s="37"/>
      <c r="PM148" s="37"/>
      <c r="PN148" s="37"/>
      <c r="PO148" s="37"/>
      <c r="PP148" s="37"/>
      <c r="PQ148" s="37"/>
      <c r="PR148" s="37"/>
      <c r="PS148" s="37"/>
      <c r="PT148" s="37"/>
      <c r="PU148" s="37"/>
      <c r="PV148" s="37"/>
      <c r="PW148" s="37"/>
      <c r="PX148" s="37"/>
      <c r="PY148" s="37"/>
      <c r="PZ148" s="37"/>
      <c r="QA148" s="37"/>
      <c r="QB148" s="37"/>
      <c r="QC148" s="37"/>
      <c r="QD148" s="37"/>
      <c r="QE148" s="37"/>
      <c r="QF148" s="37"/>
      <c r="QG148" s="37"/>
      <c r="QH148" s="37"/>
      <c r="QI148" s="37"/>
      <c r="QJ148" s="37"/>
      <c r="QK148" s="37"/>
      <c r="QL148" s="37"/>
      <c r="QM148" s="37"/>
      <c r="QN148" s="37"/>
      <c r="QO148" s="37"/>
      <c r="QP148" s="37"/>
      <c r="QQ148" s="37"/>
      <c r="QR148" s="37"/>
      <c r="QS148" s="37"/>
      <c r="QT148" s="37"/>
      <c r="QU148" s="37"/>
      <c r="QV148" s="37"/>
      <c r="QW148" s="37"/>
      <c r="QX148" s="37"/>
      <c r="QY148" s="37"/>
      <c r="QZ148" s="37"/>
      <c r="RA148" s="37"/>
      <c r="RB148" s="37"/>
      <c r="RC148" s="37"/>
      <c r="RD148" s="37"/>
      <c r="RE148" s="37"/>
      <c r="RF148" s="37"/>
      <c r="RG148" s="37"/>
      <c r="RH148" s="37"/>
      <c r="RI148" s="37"/>
      <c r="RJ148" s="37"/>
      <c r="RK148" s="37"/>
      <c r="RL148" s="37"/>
      <c r="RM148" s="37"/>
      <c r="RN148" s="37"/>
      <c r="RO148" s="37"/>
      <c r="RP148" s="37"/>
      <c r="RQ148" s="37"/>
      <c r="RR148" s="37"/>
      <c r="RS148" s="37"/>
      <c r="RT148" s="37"/>
      <c r="RU148" s="37"/>
      <c r="RV148" s="37"/>
      <c r="RW148" s="37"/>
      <c r="RX148" s="37"/>
      <c r="RY148" s="37"/>
      <c r="RZ148" s="37"/>
      <c r="SA148" s="37"/>
      <c r="SB148" s="37"/>
      <c r="SC148" s="37"/>
      <c r="SD148" s="37"/>
      <c r="SE148" s="37"/>
      <c r="SF148" s="37"/>
      <c r="SG148" s="37"/>
      <c r="SH148" s="37"/>
      <c r="SI148" s="37"/>
      <c r="SJ148" s="37"/>
      <c r="SK148" s="37"/>
      <c r="SL148" s="37"/>
      <c r="SM148" s="37"/>
      <c r="SN148" s="37"/>
      <c r="SO148" s="37"/>
      <c r="SP148" s="37"/>
      <c r="SQ148" s="37"/>
      <c r="SR148" s="37"/>
      <c r="SS148" s="37"/>
      <c r="ST148" s="37"/>
      <c r="SU148" s="37"/>
      <c r="SV148" s="37"/>
      <c r="SW148" s="37"/>
      <c r="SX148" s="37"/>
      <c r="SY148" s="37"/>
      <c r="SZ148" s="37"/>
      <c r="TA148" s="37"/>
      <c r="TB148" s="37"/>
      <c r="TC148" s="37"/>
      <c r="TD148" s="37"/>
      <c r="TE148" s="37"/>
      <c r="TF148" s="37"/>
      <c r="TG148" s="37"/>
      <c r="TH148" s="37"/>
      <c r="TI148" s="37"/>
      <c r="TJ148" s="37"/>
      <c r="TK148" s="37"/>
      <c r="TL148" s="37"/>
      <c r="TM148" s="37"/>
      <c r="TN148" s="37"/>
      <c r="TO148" s="37"/>
      <c r="TP148" s="37"/>
      <c r="TQ148" s="37"/>
      <c r="TR148" s="37"/>
      <c r="TS148" s="37"/>
      <c r="TT148" s="37"/>
      <c r="TU148" s="37"/>
      <c r="TV148" s="37"/>
      <c r="TW148" s="37"/>
      <c r="TX148" s="37"/>
      <c r="TY148" s="37"/>
      <c r="TZ148" s="37"/>
      <c r="UA148" s="37"/>
      <c r="UB148" s="37"/>
      <c r="UC148" s="37"/>
      <c r="UD148" s="37"/>
      <c r="UE148" s="37"/>
      <c r="UF148" s="37"/>
      <c r="UG148" s="37"/>
      <c r="UH148" s="37"/>
      <c r="UI148" s="37"/>
      <c r="UJ148" s="37"/>
      <c r="UK148" s="37"/>
      <c r="UL148" s="37"/>
      <c r="UM148" s="37"/>
      <c r="UN148" s="37"/>
      <c r="UO148" s="37"/>
      <c r="UP148" s="37"/>
      <c r="UQ148" s="37"/>
      <c r="UR148" s="37"/>
      <c r="US148" s="37"/>
      <c r="UT148" s="37"/>
      <c r="UU148" s="37"/>
      <c r="UV148" s="37"/>
      <c r="UW148" s="37"/>
      <c r="UX148" s="37"/>
      <c r="UY148" s="37"/>
      <c r="UZ148" s="37"/>
      <c r="VA148" s="37"/>
      <c r="VB148" s="37"/>
      <c r="VC148" s="37"/>
      <c r="VD148" s="37"/>
      <c r="VE148" s="37"/>
      <c r="VF148" s="37"/>
      <c r="VG148" s="37"/>
      <c r="VH148" s="37"/>
      <c r="VI148" s="37"/>
      <c r="VJ148" s="37"/>
      <c r="VK148" s="37"/>
      <c r="VL148" s="37"/>
      <c r="VM148" s="37"/>
      <c r="VN148" s="37"/>
      <c r="VO148" s="37"/>
      <c r="VP148" s="37"/>
      <c r="VQ148" s="37"/>
      <c r="VR148" s="37"/>
      <c r="VS148" s="37"/>
      <c r="VT148" s="37"/>
      <c r="VU148" s="37"/>
      <c r="VV148" s="37"/>
      <c r="VW148" s="37"/>
      <c r="VX148" s="37"/>
      <c r="VY148" s="37"/>
      <c r="VZ148" s="37"/>
      <c r="WA148" s="37"/>
      <c r="WB148" s="37"/>
      <c r="WC148" s="37"/>
      <c r="WD148" s="37"/>
      <c r="WE148" s="37"/>
      <c r="WF148" s="37"/>
      <c r="WG148" s="37"/>
      <c r="WH148" s="37"/>
      <c r="WI148" s="37"/>
      <c r="WJ148" s="37"/>
      <c r="WK148" s="37"/>
      <c r="WL148" s="37"/>
      <c r="WM148" s="37"/>
      <c r="WN148" s="37"/>
      <c r="WO148" s="37"/>
      <c r="WP148" s="37"/>
      <c r="WQ148" s="37"/>
      <c r="WR148" s="37"/>
      <c r="WS148" s="37"/>
      <c r="WT148" s="37"/>
      <c r="WU148" s="37"/>
      <c r="WV148" s="37"/>
      <c r="WW148" s="37"/>
      <c r="WX148" s="37"/>
      <c r="WY148" s="37"/>
      <c r="WZ148" s="37"/>
      <c r="XA148" s="37"/>
      <c r="XB148" s="37"/>
      <c r="XC148" s="37"/>
      <c r="XD148" s="37"/>
      <c r="XE148" s="37"/>
      <c r="XF148" s="37"/>
      <c r="XG148" s="37"/>
      <c r="XH148" s="37"/>
      <c r="XI148" s="37"/>
      <c r="XJ148" s="37"/>
      <c r="XK148" s="37"/>
      <c r="XL148" s="37"/>
      <c r="XM148" s="37"/>
      <c r="XN148" s="37"/>
      <c r="XO148" s="37"/>
      <c r="XP148" s="37"/>
      <c r="XQ148" s="37"/>
      <c r="XR148" s="37"/>
      <c r="XS148" s="37"/>
      <c r="XT148" s="37"/>
      <c r="XU148" s="37"/>
      <c r="XV148" s="37"/>
      <c r="XW148" s="37"/>
      <c r="XX148" s="37"/>
      <c r="XY148" s="37"/>
      <c r="XZ148" s="37"/>
      <c r="YA148" s="37"/>
      <c r="YB148" s="37"/>
      <c r="YC148" s="37"/>
      <c r="YD148" s="37"/>
      <c r="YE148" s="37"/>
      <c r="YF148" s="37"/>
      <c r="YG148" s="37"/>
      <c r="YH148" s="37"/>
      <c r="YI148" s="37"/>
      <c r="YJ148" s="37"/>
      <c r="YK148" s="37"/>
      <c r="YL148" s="37"/>
      <c r="YM148" s="37"/>
      <c r="YN148" s="37"/>
      <c r="YO148" s="37"/>
      <c r="YP148" s="37"/>
      <c r="YQ148" s="37"/>
      <c r="YR148" s="37"/>
      <c r="YS148" s="37"/>
      <c r="YT148" s="37"/>
      <c r="YU148" s="37"/>
      <c r="YV148" s="37"/>
      <c r="YW148" s="37"/>
      <c r="YX148" s="37"/>
      <c r="YY148" s="37"/>
      <c r="YZ148" s="37"/>
      <c r="ZA148" s="37"/>
      <c r="ZB148" s="37"/>
      <c r="ZC148" s="37"/>
      <c r="ZD148" s="37"/>
      <c r="ZE148" s="37"/>
      <c r="ZF148" s="37"/>
      <c r="ZG148" s="37"/>
      <c r="ZH148" s="37"/>
      <c r="ZI148" s="37"/>
      <c r="ZJ148" s="37"/>
      <c r="ZK148" s="37"/>
      <c r="ZL148" s="37"/>
      <c r="ZM148" s="37"/>
      <c r="ZN148" s="37"/>
      <c r="ZO148" s="37"/>
      <c r="ZP148" s="37"/>
      <c r="ZQ148" s="37"/>
      <c r="ZR148" s="37"/>
      <c r="ZS148" s="37"/>
      <c r="ZT148" s="37"/>
      <c r="ZU148" s="37"/>
      <c r="ZV148" s="37"/>
      <c r="ZW148" s="37"/>
      <c r="ZX148" s="37"/>
      <c r="ZY148" s="37"/>
      <c r="ZZ148" s="37"/>
      <c r="AAA148" s="37"/>
      <c r="AAB148" s="37"/>
      <c r="AAC148" s="37"/>
      <c r="AAD148" s="37"/>
      <c r="AAE148" s="37"/>
      <c r="AAF148" s="37"/>
      <c r="AAG148" s="37"/>
      <c r="AAH148" s="37"/>
      <c r="AAI148" s="37"/>
      <c r="AAJ148" s="37"/>
      <c r="AAK148" s="37"/>
      <c r="AAL148" s="37"/>
      <c r="AAM148" s="37"/>
      <c r="AAN148" s="37"/>
      <c r="AAO148" s="37"/>
      <c r="AAP148" s="37"/>
      <c r="AAQ148" s="37"/>
      <c r="AAR148" s="37"/>
      <c r="AAS148" s="37"/>
      <c r="AAT148" s="37"/>
      <c r="AAU148" s="37"/>
      <c r="AAV148" s="37"/>
      <c r="AAW148" s="37"/>
      <c r="AAX148" s="37"/>
      <c r="AAY148" s="37"/>
      <c r="AAZ148" s="37"/>
      <c r="ABA148" s="37"/>
      <c r="ABB148" s="37"/>
      <c r="ABC148" s="37"/>
      <c r="ABD148" s="37"/>
      <c r="ABE148" s="37"/>
      <c r="ABF148" s="37"/>
      <c r="ABG148" s="37"/>
      <c r="ABH148" s="37"/>
      <c r="ABI148" s="37"/>
      <c r="ABJ148" s="37"/>
      <c r="ABK148" s="37"/>
      <c r="ABL148" s="37"/>
      <c r="ABM148" s="37"/>
      <c r="ABN148" s="37"/>
      <c r="ABO148" s="37"/>
      <c r="ABP148" s="37"/>
      <c r="ABQ148" s="37"/>
      <c r="ABR148" s="37"/>
      <c r="ABS148" s="37"/>
      <c r="ABT148" s="37"/>
      <c r="ABU148" s="37"/>
      <c r="ABV148" s="37"/>
      <c r="ABW148" s="37"/>
      <c r="ABX148" s="37"/>
      <c r="ABY148" s="37"/>
      <c r="ABZ148" s="37"/>
      <c r="ACA148" s="37"/>
      <c r="ACB148" s="37"/>
      <c r="ACC148" s="37"/>
      <c r="ACD148" s="37"/>
      <c r="ACE148" s="37"/>
      <c r="ACF148" s="37"/>
      <c r="ACG148" s="37"/>
      <c r="ACH148" s="37"/>
      <c r="ACI148" s="37"/>
      <c r="ACJ148" s="37"/>
      <c r="ACK148" s="37"/>
      <c r="ACL148" s="37"/>
      <c r="ACM148" s="37"/>
      <c r="ACN148" s="37"/>
      <c r="ACO148" s="37"/>
      <c r="ACP148" s="37"/>
      <c r="ACQ148" s="37"/>
      <c r="ACR148" s="37"/>
      <c r="ACS148" s="37"/>
      <c r="ACT148" s="37"/>
      <c r="ACU148" s="37"/>
      <c r="ACV148" s="37"/>
      <c r="ACW148" s="37"/>
      <c r="ACX148" s="37"/>
      <c r="ACY148" s="37"/>
      <c r="ACZ148" s="37"/>
      <c r="ADA148" s="37"/>
      <c r="ADB148" s="37"/>
      <c r="ADC148" s="37"/>
      <c r="ADD148" s="37"/>
      <c r="ADE148" s="37"/>
      <c r="ADF148" s="37"/>
      <c r="ADG148" s="37"/>
      <c r="ADH148" s="37"/>
      <c r="ADI148" s="37"/>
      <c r="ADJ148" s="37"/>
      <c r="ADK148" s="37"/>
      <c r="ADL148" s="37"/>
      <c r="ADM148" s="37"/>
      <c r="ADN148" s="37"/>
      <c r="ADO148" s="37"/>
      <c r="ADP148" s="37"/>
      <c r="ADQ148" s="37"/>
      <c r="ADR148" s="37"/>
      <c r="ADS148" s="37"/>
      <c r="ADT148" s="37"/>
      <c r="ADU148" s="37"/>
      <c r="ADV148" s="37"/>
      <c r="ADW148" s="37"/>
      <c r="ADX148" s="37"/>
      <c r="ADY148" s="37"/>
      <c r="ADZ148" s="37"/>
      <c r="AEA148" s="37"/>
      <c r="AEB148" s="37"/>
      <c r="AEC148" s="37"/>
      <c r="AED148" s="37"/>
      <c r="AEE148" s="37"/>
      <c r="AEF148" s="37"/>
      <c r="AEG148" s="37"/>
      <c r="AEH148" s="37"/>
      <c r="AEI148" s="37"/>
      <c r="AEJ148" s="37"/>
      <c r="AEK148" s="37"/>
      <c r="AEL148" s="37"/>
      <c r="AEM148" s="37"/>
      <c r="AEN148" s="37"/>
      <c r="AEO148" s="37"/>
      <c r="AEP148" s="37"/>
      <c r="AEQ148" s="37"/>
      <c r="AER148" s="37"/>
      <c r="AES148" s="37"/>
      <c r="AET148" s="37"/>
      <c r="AEU148" s="37"/>
      <c r="AEV148" s="37"/>
      <c r="AEW148" s="37"/>
      <c r="AEX148" s="37"/>
      <c r="AEY148" s="37"/>
      <c r="AEZ148" s="37"/>
      <c r="AFA148" s="37"/>
      <c r="AFB148" s="37"/>
      <c r="AFC148" s="37"/>
      <c r="AFD148" s="37"/>
      <c r="AFE148" s="37"/>
      <c r="AFF148" s="37"/>
      <c r="AFG148" s="37"/>
      <c r="AFH148" s="37"/>
      <c r="AFI148" s="37"/>
      <c r="AFJ148" s="37"/>
      <c r="AFK148" s="37"/>
      <c r="AFL148" s="37"/>
      <c r="AFM148" s="37"/>
      <c r="AFN148" s="37"/>
      <c r="AFO148" s="37"/>
      <c r="AFP148" s="37"/>
      <c r="AFQ148" s="37"/>
      <c r="AFR148" s="37"/>
      <c r="AFS148" s="37"/>
      <c r="AFT148" s="37"/>
      <c r="AFU148" s="37"/>
      <c r="AFV148" s="37"/>
      <c r="AFW148" s="37"/>
      <c r="AFX148" s="37"/>
      <c r="AFY148" s="37"/>
      <c r="AFZ148" s="37"/>
      <c r="AGA148" s="37"/>
      <c r="AGB148" s="37"/>
      <c r="AGC148" s="37"/>
      <c r="AGD148" s="37"/>
      <c r="AGE148" s="37"/>
      <c r="AGF148" s="37"/>
      <c r="AGG148" s="37"/>
      <c r="AGH148" s="37"/>
      <c r="AGI148" s="37"/>
      <c r="AGJ148" s="37"/>
      <c r="AGK148" s="37"/>
      <c r="AGL148" s="37"/>
      <c r="AGM148" s="37"/>
      <c r="AGN148" s="37"/>
      <c r="AGO148" s="37"/>
      <c r="AGP148" s="37"/>
      <c r="AGQ148" s="37"/>
      <c r="AGR148" s="37"/>
      <c r="AGS148" s="37"/>
      <c r="AGT148" s="37"/>
      <c r="AGU148" s="37"/>
      <c r="AGV148" s="37"/>
      <c r="AGW148" s="37"/>
      <c r="AGX148" s="37"/>
      <c r="AGY148" s="37"/>
      <c r="AGZ148" s="37"/>
      <c r="AHA148" s="37"/>
      <c r="AHB148" s="37"/>
      <c r="AHC148" s="37"/>
      <c r="AHD148" s="37"/>
      <c r="AHE148" s="37"/>
      <c r="AHF148" s="37"/>
      <c r="AHG148" s="37"/>
      <c r="AHH148" s="37"/>
      <c r="AHI148" s="37"/>
      <c r="AHJ148" s="37"/>
      <c r="AHK148" s="37"/>
      <c r="AHL148" s="37"/>
      <c r="AHM148" s="37"/>
      <c r="AHN148" s="37"/>
      <c r="AHO148" s="37"/>
      <c r="AHP148" s="37"/>
      <c r="AHQ148" s="37"/>
      <c r="AHR148" s="37"/>
      <c r="AHS148" s="37"/>
      <c r="AHT148" s="37"/>
      <c r="AHU148" s="37"/>
      <c r="AHV148" s="37"/>
      <c r="AHW148" s="37"/>
      <c r="AHX148" s="37"/>
      <c r="AHY148" s="37"/>
      <c r="AHZ148" s="37"/>
      <c r="AIA148" s="37"/>
      <c r="AIB148" s="37"/>
      <c r="AIC148" s="37"/>
      <c r="AID148" s="37"/>
      <c r="AIE148" s="37"/>
      <c r="AIF148" s="37"/>
      <c r="AIG148" s="37"/>
      <c r="AIH148" s="37"/>
      <c r="AII148" s="37"/>
      <c r="AIJ148" s="37"/>
      <c r="AIK148" s="37"/>
      <c r="AIL148" s="37"/>
      <c r="AIM148" s="37"/>
      <c r="AIN148" s="37"/>
      <c r="AIO148" s="37"/>
      <c r="AIP148" s="37"/>
      <c r="AIQ148" s="37"/>
      <c r="AIR148" s="37"/>
      <c r="AIS148" s="37"/>
      <c r="AIT148" s="37"/>
      <c r="AIU148" s="37"/>
      <c r="AIV148" s="37"/>
      <c r="AIW148" s="37"/>
      <c r="AIX148" s="37"/>
      <c r="AIY148" s="37"/>
      <c r="AIZ148" s="37"/>
      <c r="AJA148" s="37"/>
      <c r="AJB148" s="37"/>
      <c r="AJC148" s="37"/>
      <c r="AJD148" s="37"/>
      <c r="AJE148" s="37"/>
      <c r="AJF148" s="37"/>
      <c r="AJG148" s="37"/>
      <c r="AJH148" s="37"/>
      <c r="AJI148" s="37"/>
      <c r="AJJ148" s="37"/>
      <c r="AJK148" s="37"/>
      <c r="AJL148" s="37"/>
      <c r="AJM148" s="37"/>
      <c r="AJN148" s="37"/>
      <c r="AJO148" s="37"/>
      <c r="AJP148" s="37"/>
      <c r="AJQ148" s="37"/>
      <c r="AJR148" s="37"/>
      <c r="AJS148" s="37"/>
      <c r="AJT148" s="37"/>
      <c r="AJU148" s="37"/>
      <c r="AJV148" s="37"/>
      <c r="AJW148" s="37"/>
      <c r="AJX148" s="37"/>
      <c r="AJY148" s="37"/>
      <c r="AJZ148" s="37"/>
      <c r="AKA148" s="37"/>
      <c r="AKB148" s="37"/>
      <c r="AKC148" s="37"/>
      <c r="AKD148" s="37"/>
      <c r="AKE148" s="37"/>
      <c r="AKF148" s="37"/>
      <c r="AKG148" s="37"/>
      <c r="AKH148" s="37"/>
      <c r="AKI148" s="37"/>
      <c r="AKJ148" s="37"/>
      <c r="AKK148" s="37"/>
      <c r="AKL148" s="37"/>
      <c r="AKM148" s="37"/>
      <c r="AKN148" s="37"/>
      <c r="AKO148" s="37"/>
      <c r="AKP148" s="37"/>
      <c r="AKQ148" s="37"/>
      <c r="AKR148" s="37"/>
      <c r="AKS148" s="37"/>
      <c r="AKT148" s="37"/>
      <c r="AKU148" s="37"/>
      <c r="AKV148" s="37"/>
      <c r="AKW148" s="37"/>
      <c r="AKX148" s="37"/>
      <c r="AKY148" s="37"/>
      <c r="AKZ148" s="37"/>
      <c r="ALA148" s="37"/>
      <c r="ALB148" s="37"/>
      <c r="ALC148" s="37"/>
      <c r="ALD148" s="37"/>
      <c r="ALE148" s="37"/>
      <c r="ALF148" s="37"/>
      <c r="ALG148" s="37"/>
      <c r="ALH148" s="37"/>
      <c r="ALI148" s="37"/>
      <c r="ALJ148" s="37"/>
      <c r="ALK148" s="37"/>
      <c r="ALL148" s="37"/>
      <c r="ALM148" s="37"/>
      <c r="ALN148" s="37"/>
      <c r="ALO148" s="37"/>
      <c r="ALP148" s="37"/>
      <c r="ALQ148" s="37"/>
      <c r="ALR148" s="37"/>
    </row>
    <row r="149" spans="2:1006" x14ac:dyDescent="0.35">
      <c r="D149" s="20" t="s">
        <v>253</v>
      </c>
      <c r="F149" s="20" t="s">
        <v>19</v>
      </c>
      <c r="G149" s="45">
        <f>Assumptions!F127</f>
        <v>10</v>
      </c>
      <c r="H149" s="22">
        <f>1/G149</f>
        <v>0.1</v>
      </c>
      <c r="I149" s="57">
        <f>SUM(K149:DQ149)</f>
        <v>2.4999999999999951</v>
      </c>
      <c r="K149" s="22">
        <f>$H$149*K10/12*K5</f>
        <v>0</v>
      </c>
      <c r="L149" s="22">
        <f t="shared" ref="L149:BW149" si="524">$H$149*L10/12*L5</f>
        <v>0</v>
      </c>
      <c r="M149" s="22">
        <f t="shared" si="524"/>
        <v>0</v>
      </c>
      <c r="N149" s="22">
        <f t="shared" si="524"/>
        <v>0</v>
      </c>
      <c r="O149" s="22">
        <f t="shared" si="524"/>
        <v>0</v>
      </c>
      <c r="P149" s="22">
        <f t="shared" si="524"/>
        <v>0</v>
      </c>
      <c r="Q149" s="22">
        <f t="shared" si="524"/>
        <v>0</v>
      </c>
      <c r="R149" s="22">
        <f t="shared" si="524"/>
        <v>0</v>
      </c>
      <c r="S149" s="22">
        <f t="shared" si="524"/>
        <v>0</v>
      </c>
      <c r="T149" s="22">
        <f t="shared" si="524"/>
        <v>2.5000000000000001E-2</v>
      </c>
      <c r="U149" s="22">
        <f t="shared" si="524"/>
        <v>2.5000000000000001E-2</v>
      </c>
      <c r="V149" s="22">
        <f t="shared" si="524"/>
        <v>2.5000000000000001E-2</v>
      </c>
      <c r="W149" s="22">
        <f t="shared" si="524"/>
        <v>2.5000000000000001E-2</v>
      </c>
      <c r="X149" s="22">
        <f t="shared" si="524"/>
        <v>2.5000000000000001E-2</v>
      </c>
      <c r="Y149" s="22">
        <f t="shared" si="524"/>
        <v>2.5000000000000001E-2</v>
      </c>
      <c r="Z149" s="22">
        <f t="shared" si="524"/>
        <v>2.5000000000000001E-2</v>
      </c>
      <c r="AA149" s="22">
        <f t="shared" si="524"/>
        <v>2.5000000000000001E-2</v>
      </c>
      <c r="AB149" s="22">
        <f t="shared" si="524"/>
        <v>2.5000000000000001E-2</v>
      </c>
      <c r="AC149" s="22">
        <f t="shared" si="524"/>
        <v>2.5000000000000001E-2</v>
      </c>
      <c r="AD149" s="22">
        <f t="shared" si="524"/>
        <v>2.5000000000000001E-2</v>
      </c>
      <c r="AE149" s="22">
        <f t="shared" si="524"/>
        <v>2.5000000000000001E-2</v>
      </c>
      <c r="AF149" s="22">
        <f t="shared" si="524"/>
        <v>2.5000000000000001E-2</v>
      </c>
      <c r="AG149" s="22">
        <f t="shared" si="524"/>
        <v>2.5000000000000001E-2</v>
      </c>
      <c r="AH149" s="22">
        <f t="shared" si="524"/>
        <v>2.5000000000000001E-2</v>
      </c>
      <c r="AI149" s="22">
        <f t="shared" si="524"/>
        <v>2.5000000000000001E-2</v>
      </c>
      <c r="AJ149" s="22">
        <f t="shared" si="524"/>
        <v>2.5000000000000001E-2</v>
      </c>
      <c r="AK149" s="22">
        <f t="shared" si="524"/>
        <v>2.5000000000000001E-2</v>
      </c>
      <c r="AL149" s="22">
        <f t="shared" si="524"/>
        <v>2.5000000000000001E-2</v>
      </c>
      <c r="AM149" s="22">
        <f t="shared" si="524"/>
        <v>2.5000000000000001E-2</v>
      </c>
      <c r="AN149" s="22">
        <f t="shared" si="524"/>
        <v>2.5000000000000001E-2</v>
      </c>
      <c r="AO149" s="22">
        <f t="shared" si="524"/>
        <v>2.5000000000000001E-2</v>
      </c>
      <c r="AP149" s="22">
        <f t="shared" si="524"/>
        <v>2.5000000000000001E-2</v>
      </c>
      <c r="AQ149" s="22">
        <f t="shared" si="524"/>
        <v>2.5000000000000001E-2</v>
      </c>
      <c r="AR149" s="22">
        <f t="shared" si="524"/>
        <v>2.5000000000000001E-2</v>
      </c>
      <c r="AS149" s="22">
        <f t="shared" si="524"/>
        <v>2.5000000000000001E-2</v>
      </c>
      <c r="AT149" s="22">
        <f t="shared" si="524"/>
        <v>2.5000000000000001E-2</v>
      </c>
      <c r="AU149" s="22">
        <f t="shared" si="524"/>
        <v>2.5000000000000001E-2</v>
      </c>
      <c r="AV149" s="22">
        <f t="shared" si="524"/>
        <v>2.5000000000000001E-2</v>
      </c>
      <c r="AW149" s="22">
        <f t="shared" si="524"/>
        <v>2.5000000000000001E-2</v>
      </c>
      <c r="AX149" s="22">
        <f t="shared" si="524"/>
        <v>2.5000000000000001E-2</v>
      </c>
      <c r="AY149" s="22">
        <f t="shared" si="524"/>
        <v>2.5000000000000001E-2</v>
      </c>
      <c r="AZ149" s="22">
        <f t="shared" si="524"/>
        <v>2.5000000000000001E-2</v>
      </c>
      <c r="BA149" s="22">
        <f t="shared" si="524"/>
        <v>2.5000000000000001E-2</v>
      </c>
      <c r="BB149" s="22">
        <f t="shared" si="524"/>
        <v>2.5000000000000001E-2</v>
      </c>
      <c r="BC149" s="22">
        <f t="shared" si="524"/>
        <v>2.5000000000000001E-2</v>
      </c>
      <c r="BD149" s="22">
        <f t="shared" si="524"/>
        <v>2.5000000000000001E-2</v>
      </c>
      <c r="BE149" s="22">
        <f t="shared" si="524"/>
        <v>2.5000000000000001E-2</v>
      </c>
      <c r="BF149" s="22">
        <f t="shared" si="524"/>
        <v>2.5000000000000001E-2</v>
      </c>
      <c r="BG149" s="22">
        <f t="shared" si="524"/>
        <v>2.5000000000000001E-2</v>
      </c>
      <c r="BH149" s="22">
        <f t="shared" si="524"/>
        <v>2.5000000000000001E-2</v>
      </c>
      <c r="BI149" s="22">
        <f t="shared" si="524"/>
        <v>2.5000000000000001E-2</v>
      </c>
      <c r="BJ149" s="22">
        <f t="shared" si="524"/>
        <v>2.5000000000000001E-2</v>
      </c>
      <c r="BK149" s="22">
        <f t="shared" si="524"/>
        <v>2.5000000000000001E-2</v>
      </c>
      <c r="BL149" s="22">
        <f t="shared" si="524"/>
        <v>2.5000000000000001E-2</v>
      </c>
      <c r="BM149" s="22">
        <f t="shared" si="524"/>
        <v>2.5000000000000001E-2</v>
      </c>
      <c r="BN149" s="22">
        <f t="shared" si="524"/>
        <v>2.5000000000000001E-2</v>
      </c>
      <c r="BO149" s="22">
        <f t="shared" si="524"/>
        <v>2.5000000000000001E-2</v>
      </c>
      <c r="BP149" s="22">
        <f t="shared" si="524"/>
        <v>2.5000000000000001E-2</v>
      </c>
      <c r="BQ149" s="22">
        <f t="shared" si="524"/>
        <v>2.5000000000000001E-2</v>
      </c>
      <c r="BR149" s="22">
        <f t="shared" si="524"/>
        <v>2.5000000000000001E-2</v>
      </c>
      <c r="BS149" s="22">
        <f t="shared" si="524"/>
        <v>2.5000000000000001E-2</v>
      </c>
      <c r="BT149" s="22">
        <f t="shared" si="524"/>
        <v>2.5000000000000001E-2</v>
      </c>
      <c r="BU149" s="22">
        <f t="shared" si="524"/>
        <v>2.5000000000000001E-2</v>
      </c>
      <c r="BV149" s="22">
        <f t="shared" si="524"/>
        <v>2.5000000000000001E-2</v>
      </c>
      <c r="BW149" s="22">
        <f t="shared" si="524"/>
        <v>2.5000000000000001E-2</v>
      </c>
      <c r="BX149" s="22">
        <f t="shared" ref="BX149:DQ149" si="525">$H$149*BX10/12*BX5</f>
        <v>2.5000000000000001E-2</v>
      </c>
      <c r="BY149" s="22">
        <f t="shared" si="525"/>
        <v>2.5000000000000001E-2</v>
      </c>
      <c r="BZ149" s="22">
        <f t="shared" si="525"/>
        <v>2.5000000000000001E-2</v>
      </c>
      <c r="CA149" s="22">
        <f t="shared" si="525"/>
        <v>2.5000000000000001E-2</v>
      </c>
      <c r="CB149" s="22">
        <f t="shared" si="525"/>
        <v>2.5000000000000001E-2</v>
      </c>
      <c r="CC149" s="22">
        <f t="shared" si="525"/>
        <v>2.5000000000000001E-2</v>
      </c>
      <c r="CD149" s="22">
        <f t="shared" si="525"/>
        <v>2.5000000000000001E-2</v>
      </c>
      <c r="CE149" s="22">
        <f t="shared" si="525"/>
        <v>2.5000000000000001E-2</v>
      </c>
      <c r="CF149" s="22">
        <f t="shared" si="525"/>
        <v>2.5000000000000001E-2</v>
      </c>
      <c r="CG149" s="22">
        <f t="shared" si="525"/>
        <v>2.5000000000000001E-2</v>
      </c>
      <c r="CH149" s="22">
        <f t="shared" si="525"/>
        <v>2.5000000000000001E-2</v>
      </c>
      <c r="CI149" s="22">
        <f t="shared" si="525"/>
        <v>2.5000000000000001E-2</v>
      </c>
      <c r="CJ149" s="22">
        <f t="shared" si="525"/>
        <v>2.5000000000000001E-2</v>
      </c>
      <c r="CK149" s="22">
        <f t="shared" si="525"/>
        <v>2.5000000000000001E-2</v>
      </c>
      <c r="CL149" s="22">
        <f t="shared" si="525"/>
        <v>2.5000000000000001E-2</v>
      </c>
      <c r="CM149" s="22">
        <f t="shared" si="525"/>
        <v>2.5000000000000001E-2</v>
      </c>
      <c r="CN149" s="22">
        <f t="shared" si="525"/>
        <v>2.5000000000000001E-2</v>
      </c>
      <c r="CO149" s="22">
        <f t="shared" si="525"/>
        <v>2.5000000000000001E-2</v>
      </c>
      <c r="CP149" s="22">
        <f t="shared" si="525"/>
        <v>2.5000000000000001E-2</v>
      </c>
      <c r="CQ149" s="22">
        <f t="shared" si="525"/>
        <v>2.5000000000000001E-2</v>
      </c>
      <c r="CR149" s="22">
        <f t="shared" si="525"/>
        <v>2.5000000000000001E-2</v>
      </c>
      <c r="CS149" s="22">
        <f t="shared" si="525"/>
        <v>2.5000000000000001E-2</v>
      </c>
      <c r="CT149" s="22">
        <f t="shared" si="525"/>
        <v>2.5000000000000001E-2</v>
      </c>
      <c r="CU149" s="22">
        <f t="shared" si="525"/>
        <v>2.5000000000000001E-2</v>
      </c>
      <c r="CV149" s="22">
        <f t="shared" si="525"/>
        <v>2.5000000000000001E-2</v>
      </c>
      <c r="CW149" s="22">
        <f t="shared" si="525"/>
        <v>2.5000000000000001E-2</v>
      </c>
      <c r="CX149" s="22">
        <f t="shared" si="525"/>
        <v>2.5000000000000001E-2</v>
      </c>
      <c r="CY149" s="22">
        <f t="shared" si="525"/>
        <v>2.5000000000000001E-2</v>
      </c>
      <c r="CZ149" s="22">
        <f t="shared" si="525"/>
        <v>2.5000000000000001E-2</v>
      </c>
      <c r="DA149" s="22">
        <f t="shared" si="525"/>
        <v>2.5000000000000001E-2</v>
      </c>
      <c r="DB149" s="22">
        <f t="shared" si="525"/>
        <v>2.5000000000000001E-2</v>
      </c>
      <c r="DC149" s="22">
        <f t="shared" si="525"/>
        <v>2.5000000000000001E-2</v>
      </c>
      <c r="DD149" s="22">
        <f t="shared" si="525"/>
        <v>2.5000000000000001E-2</v>
      </c>
      <c r="DE149" s="22">
        <f t="shared" si="525"/>
        <v>2.5000000000000001E-2</v>
      </c>
      <c r="DF149" s="22">
        <f t="shared" si="525"/>
        <v>2.5000000000000001E-2</v>
      </c>
      <c r="DG149" s="22">
        <f t="shared" si="525"/>
        <v>2.5000000000000001E-2</v>
      </c>
      <c r="DH149" s="22">
        <f t="shared" si="525"/>
        <v>2.5000000000000001E-2</v>
      </c>
      <c r="DI149" s="22">
        <f t="shared" si="525"/>
        <v>2.5000000000000001E-2</v>
      </c>
      <c r="DJ149" s="22">
        <f t="shared" si="525"/>
        <v>2.5000000000000001E-2</v>
      </c>
      <c r="DK149" s="22">
        <f t="shared" si="525"/>
        <v>2.5000000000000001E-2</v>
      </c>
      <c r="DL149" s="22">
        <f t="shared" si="525"/>
        <v>2.5000000000000001E-2</v>
      </c>
      <c r="DM149" s="22">
        <f t="shared" si="525"/>
        <v>2.5000000000000001E-2</v>
      </c>
      <c r="DN149" s="22">
        <f t="shared" si="525"/>
        <v>2.5000000000000001E-2</v>
      </c>
      <c r="DO149" s="22">
        <f t="shared" si="525"/>
        <v>2.5000000000000001E-2</v>
      </c>
      <c r="DP149" s="22">
        <f t="shared" si="525"/>
        <v>0</v>
      </c>
      <c r="DQ149" s="22">
        <f t="shared" si="525"/>
        <v>0</v>
      </c>
    </row>
    <row r="150" spans="2:1006" x14ac:dyDescent="0.35">
      <c r="D150" s="20" t="s">
        <v>268</v>
      </c>
      <c r="F150" s="20" t="s">
        <v>19</v>
      </c>
      <c r="H150" s="22"/>
      <c r="J150" s="28">
        <v>1</v>
      </c>
      <c r="K150" s="22">
        <f>J150-J149</f>
        <v>1</v>
      </c>
      <c r="L150" s="22">
        <f t="shared" ref="L150:BW150" si="526">K150-K149</f>
        <v>1</v>
      </c>
      <c r="M150" s="22">
        <f t="shared" si="526"/>
        <v>1</v>
      </c>
      <c r="N150" s="22">
        <f t="shared" si="526"/>
        <v>1</v>
      </c>
      <c r="O150" s="22">
        <f t="shared" si="526"/>
        <v>1</v>
      </c>
      <c r="P150" s="22">
        <f t="shared" si="526"/>
        <v>1</v>
      </c>
      <c r="Q150" s="22">
        <f t="shared" si="526"/>
        <v>1</v>
      </c>
      <c r="R150" s="22">
        <f t="shared" si="526"/>
        <v>1</v>
      </c>
      <c r="S150" s="22">
        <f t="shared" si="526"/>
        <v>1</v>
      </c>
      <c r="T150" s="22">
        <f t="shared" si="526"/>
        <v>1</v>
      </c>
      <c r="U150" s="22">
        <f t="shared" si="526"/>
        <v>0.97499999999999998</v>
      </c>
      <c r="V150" s="22">
        <f t="shared" si="526"/>
        <v>0.95</v>
      </c>
      <c r="W150" s="22">
        <f t="shared" si="526"/>
        <v>0.92499999999999993</v>
      </c>
      <c r="X150" s="22">
        <f t="shared" si="526"/>
        <v>0.89999999999999991</v>
      </c>
      <c r="Y150" s="22">
        <f t="shared" si="526"/>
        <v>0.87499999999999989</v>
      </c>
      <c r="Z150" s="22">
        <f t="shared" si="526"/>
        <v>0.84999999999999987</v>
      </c>
      <c r="AA150" s="22">
        <f t="shared" si="526"/>
        <v>0.82499999999999984</v>
      </c>
      <c r="AB150" s="22">
        <f t="shared" si="526"/>
        <v>0.79999999999999982</v>
      </c>
      <c r="AC150" s="22">
        <f t="shared" si="526"/>
        <v>0.7749999999999998</v>
      </c>
      <c r="AD150" s="22">
        <f t="shared" si="526"/>
        <v>0.74999999999999978</v>
      </c>
      <c r="AE150" s="22">
        <f t="shared" si="526"/>
        <v>0.72499999999999976</v>
      </c>
      <c r="AF150" s="22">
        <f t="shared" si="526"/>
        <v>0.69999999999999973</v>
      </c>
      <c r="AG150" s="22">
        <f t="shared" si="526"/>
        <v>0.67499999999999971</v>
      </c>
      <c r="AH150" s="22">
        <f t="shared" si="526"/>
        <v>0.64999999999999969</v>
      </c>
      <c r="AI150" s="22">
        <f t="shared" si="526"/>
        <v>0.62499999999999967</v>
      </c>
      <c r="AJ150" s="22">
        <f t="shared" si="526"/>
        <v>0.59999999999999964</v>
      </c>
      <c r="AK150" s="22">
        <f t="shared" si="526"/>
        <v>0.57499999999999962</v>
      </c>
      <c r="AL150" s="22">
        <f t="shared" si="526"/>
        <v>0.5499999999999996</v>
      </c>
      <c r="AM150" s="22">
        <f t="shared" si="526"/>
        <v>0.52499999999999958</v>
      </c>
      <c r="AN150" s="22">
        <f t="shared" si="526"/>
        <v>0.49999999999999956</v>
      </c>
      <c r="AO150" s="22">
        <f t="shared" si="526"/>
        <v>0.47499999999999953</v>
      </c>
      <c r="AP150" s="22">
        <f t="shared" si="526"/>
        <v>0.44999999999999951</v>
      </c>
      <c r="AQ150" s="22">
        <f t="shared" si="526"/>
        <v>0.42499999999999949</v>
      </c>
      <c r="AR150" s="22">
        <f t="shared" si="526"/>
        <v>0.39999999999999947</v>
      </c>
      <c r="AS150" s="22">
        <f t="shared" si="526"/>
        <v>0.37499999999999944</v>
      </c>
      <c r="AT150" s="22">
        <f t="shared" si="526"/>
        <v>0.34999999999999942</v>
      </c>
      <c r="AU150" s="22">
        <f t="shared" si="526"/>
        <v>0.3249999999999994</v>
      </c>
      <c r="AV150" s="22">
        <f t="shared" si="526"/>
        <v>0.29999999999999938</v>
      </c>
      <c r="AW150" s="22">
        <f t="shared" si="526"/>
        <v>0.27499999999999936</v>
      </c>
      <c r="AX150" s="22">
        <f t="shared" si="526"/>
        <v>0.24999999999999936</v>
      </c>
      <c r="AY150" s="22">
        <f t="shared" si="526"/>
        <v>0.22499999999999937</v>
      </c>
      <c r="AZ150" s="22">
        <f t="shared" si="526"/>
        <v>0.19999999999999937</v>
      </c>
      <c r="BA150" s="22">
        <f t="shared" si="526"/>
        <v>0.17499999999999938</v>
      </c>
      <c r="BB150" s="22">
        <f t="shared" si="526"/>
        <v>0.14999999999999938</v>
      </c>
      <c r="BC150" s="22">
        <f t="shared" si="526"/>
        <v>0.12499999999999939</v>
      </c>
      <c r="BD150" s="22">
        <f t="shared" si="526"/>
        <v>9.9999999999999395E-2</v>
      </c>
      <c r="BE150" s="22">
        <f t="shared" si="526"/>
        <v>7.49999999999994E-2</v>
      </c>
      <c r="BF150" s="22">
        <f t="shared" si="526"/>
        <v>4.9999999999999399E-2</v>
      </c>
      <c r="BG150" s="22">
        <f t="shared" si="526"/>
        <v>2.4999999999999398E-2</v>
      </c>
      <c r="BH150" s="22">
        <f t="shared" si="526"/>
        <v>-6.0368376963992887E-16</v>
      </c>
      <c r="BI150" s="22">
        <f t="shared" si="526"/>
        <v>-2.5000000000000605E-2</v>
      </c>
      <c r="BJ150" s="22">
        <f t="shared" si="526"/>
        <v>-5.0000000000000606E-2</v>
      </c>
      <c r="BK150" s="22">
        <f t="shared" si="526"/>
        <v>-7.5000000000000608E-2</v>
      </c>
      <c r="BL150" s="22">
        <f t="shared" si="526"/>
        <v>-0.10000000000000062</v>
      </c>
      <c r="BM150" s="22">
        <f t="shared" si="526"/>
        <v>-0.12500000000000061</v>
      </c>
      <c r="BN150" s="22">
        <f t="shared" si="526"/>
        <v>-0.15000000000000061</v>
      </c>
      <c r="BO150" s="22">
        <f t="shared" si="526"/>
        <v>-0.1750000000000006</v>
      </c>
      <c r="BP150" s="22">
        <f t="shared" si="526"/>
        <v>-0.20000000000000059</v>
      </c>
      <c r="BQ150" s="22">
        <f t="shared" si="526"/>
        <v>-0.22500000000000059</v>
      </c>
      <c r="BR150" s="22">
        <f t="shared" si="526"/>
        <v>-0.25000000000000061</v>
      </c>
      <c r="BS150" s="22">
        <f t="shared" si="526"/>
        <v>-0.27500000000000063</v>
      </c>
      <c r="BT150" s="22">
        <f t="shared" si="526"/>
        <v>-0.30000000000000066</v>
      </c>
      <c r="BU150" s="22">
        <f t="shared" si="526"/>
        <v>-0.32500000000000068</v>
      </c>
      <c r="BV150" s="22">
        <f t="shared" si="526"/>
        <v>-0.3500000000000007</v>
      </c>
      <c r="BW150" s="22">
        <f t="shared" si="526"/>
        <v>-0.37500000000000072</v>
      </c>
      <c r="BX150" s="22">
        <f t="shared" ref="BX150:DQ150" si="527">BW150-BW149</f>
        <v>-0.40000000000000074</v>
      </c>
      <c r="BY150" s="22">
        <f t="shared" si="527"/>
        <v>-0.42500000000000077</v>
      </c>
      <c r="BZ150" s="22">
        <f t="shared" si="527"/>
        <v>-0.45000000000000079</v>
      </c>
      <c r="CA150" s="22">
        <f t="shared" si="527"/>
        <v>-0.47500000000000081</v>
      </c>
      <c r="CB150" s="22">
        <f t="shared" si="527"/>
        <v>-0.50000000000000078</v>
      </c>
      <c r="CC150" s="22">
        <f t="shared" si="527"/>
        <v>-0.5250000000000008</v>
      </c>
      <c r="CD150" s="22">
        <f t="shared" si="527"/>
        <v>-0.55000000000000082</v>
      </c>
      <c r="CE150" s="22">
        <f t="shared" si="527"/>
        <v>-0.57500000000000084</v>
      </c>
      <c r="CF150" s="22">
        <f t="shared" si="527"/>
        <v>-0.60000000000000087</v>
      </c>
      <c r="CG150" s="22">
        <f t="shared" si="527"/>
        <v>-0.62500000000000089</v>
      </c>
      <c r="CH150" s="22">
        <f t="shared" si="527"/>
        <v>-0.65000000000000091</v>
      </c>
      <c r="CI150" s="22">
        <f t="shared" si="527"/>
        <v>-0.67500000000000093</v>
      </c>
      <c r="CJ150" s="22">
        <f t="shared" si="527"/>
        <v>-0.70000000000000095</v>
      </c>
      <c r="CK150" s="22">
        <f t="shared" si="527"/>
        <v>-0.72500000000000098</v>
      </c>
      <c r="CL150" s="22">
        <f t="shared" si="527"/>
        <v>-0.750000000000001</v>
      </c>
      <c r="CM150" s="22">
        <f t="shared" si="527"/>
        <v>-0.77500000000000102</v>
      </c>
      <c r="CN150" s="22">
        <f t="shared" si="527"/>
        <v>-0.80000000000000104</v>
      </c>
      <c r="CO150" s="22">
        <f t="shared" si="527"/>
        <v>-0.82500000000000107</v>
      </c>
      <c r="CP150" s="22">
        <f t="shared" si="527"/>
        <v>-0.85000000000000109</v>
      </c>
      <c r="CQ150" s="22">
        <f t="shared" si="527"/>
        <v>-0.87500000000000111</v>
      </c>
      <c r="CR150" s="22">
        <f t="shared" si="527"/>
        <v>-0.90000000000000113</v>
      </c>
      <c r="CS150" s="22">
        <f t="shared" si="527"/>
        <v>-0.92500000000000115</v>
      </c>
      <c r="CT150" s="22">
        <f t="shared" si="527"/>
        <v>-0.95000000000000118</v>
      </c>
      <c r="CU150" s="22">
        <f t="shared" si="527"/>
        <v>-0.9750000000000012</v>
      </c>
      <c r="CV150" s="22">
        <f t="shared" si="527"/>
        <v>-1.0000000000000011</v>
      </c>
      <c r="CW150" s="22">
        <f t="shared" si="527"/>
        <v>-1.025000000000001</v>
      </c>
      <c r="CX150" s="22">
        <f t="shared" si="527"/>
        <v>-1.0500000000000009</v>
      </c>
      <c r="CY150" s="22">
        <f t="shared" si="527"/>
        <v>-1.0750000000000008</v>
      </c>
      <c r="CZ150" s="22">
        <f t="shared" si="527"/>
        <v>-1.1000000000000008</v>
      </c>
      <c r="DA150" s="22">
        <f t="shared" si="527"/>
        <v>-1.1250000000000007</v>
      </c>
      <c r="DB150" s="22">
        <f t="shared" si="527"/>
        <v>-1.1500000000000006</v>
      </c>
      <c r="DC150" s="22">
        <f t="shared" si="527"/>
        <v>-1.1750000000000005</v>
      </c>
      <c r="DD150" s="22">
        <f t="shared" si="527"/>
        <v>-1.2000000000000004</v>
      </c>
      <c r="DE150" s="22">
        <f t="shared" si="527"/>
        <v>-1.2250000000000003</v>
      </c>
      <c r="DF150" s="22">
        <f t="shared" si="527"/>
        <v>-1.2500000000000002</v>
      </c>
      <c r="DG150" s="22">
        <f t="shared" si="527"/>
        <v>-1.2750000000000001</v>
      </c>
      <c r="DH150" s="22">
        <f t="shared" si="527"/>
        <v>-1.3</v>
      </c>
      <c r="DI150" s="22">
        <f t="shared" si="527"/>
        <v>-1.325</v>
      </c>
      <c r="DJ150" s="22">
        <f t="shared" si="527"/>
        <v>-1.3499999999999999</v>
      </c>
      <c r="DK150" s="22">
        <f t="shared" si="527"/>
        <v>-1.3749999999999998</v>
      </c>
      <c r="DL150" s="22">
        <f t="shared" si="527"/>
        <v>-1.3999999999999997</v>
      </c>
      <c r="DM150" s="22">
        <f t="shared" si="527"/>
        <v>-1.4249999999999996</v>
      </c>
      <c r="DN150" s="22">
        <f t="shared" si="527"/>
        <v>-1.4499999999999995</v>
      </c>
      <c r="DO150" s="22">
        <f t="shared" si="527"/>
        <v>-1.4749999999999994</v>
      </c>
      <c r="DP150" s="22">
        <f t="shared" si="527"/>
        <v>-1.4999999999999993</v>
      </c>
      <c r="DQ150" s="22">
        <f t="shared" si="527"/>
        <v>-1.4999999999999993</v>
      </c>
    </row>
    <row r="151" spans="2:1006" x14ac:dyDescent="0.35">
      <c r="D151" s="20" t="s">
        <v>269</v>
      </c>
      <c r="F151" s="20" t="s">
        <v>19</v>
      </c>
      <c r="H151" s="22"/>
      <c r="I151" s="57">
        <f>SUM(K151:DQ151)</f>
        <v>0.99999999999999989</v>
      </c>
      <c r="K151" s="22">
        <f>MAX(MIN(K149,K150),0)</f>
        <v>0</v>
      </c>
      <c r="L151" s="22">
        <f t="shared" ref="L151:BW151" si="528">MAX(MIN(L149,L150),0)</f>
        <v>0</v>
      </c>
      <c r="M151" s="22">
        <f t="shared" si="528"/>
        <v>0</v>
      </c>
      <c r="N151" s="22">
        <f t="shared" si="528"/>
        <v>0</v>
      </c>
      <c r="O151" s="22">
        <f t="shared" si="528"/>
        <v>0</v>
      </c>
      <c r="P151" s="22">
        <f t="shared" si="528"/>
        <v>0</v>
      </c>
      <c r="Q151" s="22">
        <f t="shared" si="528"/>
        <v>0</v>
      </c>
      <c r="R151" s="22">
        <f t="shared" si="528"/>
        <v>0</v>
      </c>
      <c r="S151" s="22">
        <f t="shared" si="528"/>
        <v>0</v>
      </c>
      <c r="T151" s="22">
        <f t="shared" si="528"/>
        <v>2.5000000000000001E-2</v>
      </c>
      <c r="U151" s="22">
        <f t="shared" si="528"/>
        <v>2.5000000000000001E-2</v>
      </c>
      <c r="V151" s="22">
        <f t="shared" si="528"/>
        <v>2.5000000000000001E-2</v>
      </c>
      <c r="W151" s="22">
        <f t="shared" si="528"/>
        <v>2.5000000000000001E-2</v>
      </c>
      <c r="X151" s="22">
        <f t="shared" si="528"/>
        <v>2.5000000000000001E-2</v>
      </c>
      <c r="Y151" s="22">
        <f t="shared" si="528"/>
        <v>2.5000000000000001E-2</v>
      </c>
      <c r="Z151" s="22">
        <f t="shared" si="528"/>
        <v>2.5000000000000001E-2</v>
      </c>
      <c r="AA151" s="22">
        <f t="shared" si="528"/>
        <v>2.5000000000000001E-2</v>
      </c>
      <c r="AB151" s="22">
        <f t="shared" si="528"/>
        <v>2.5000000000000001E-2</v>
      </c>
      <c r="AC151" s="22">
        <f t="shared" si="528"/>
        <v>2.5000000000000001E-2</v>
      </c>
      <c r="AD151" s="22">
        <f t="shared" si="528"/>
        <v>2.5000000000000001E-2</v>
      </c>
      <c r="AE151" s="22">
        <f t="shared" si="528"/>
        <v>2.5000000000000001E-2</v>
      </c>
      <c r="AF151" s="22">
        <f t="shared" si="528"/>
        <v>2.5000000000000001E-2</v>
      </c>
      <c r="AG151" s="22">
        <f t="shared" si="528"/>
        <v>2.5000000000000001E-2</v>
      </c>
      <c r="AH151" s="22">
        <f t="shared" si="528"/>
        <v>2.5000000000000001E-2</v>
      </c>
      <c r="AI151" s="22">
        <f t="shared" si="528"/>
        <v>2.5000000000000001E-2</v>
      </c>
      <c r="AJ151" s="22">
        <f t="shared" si="528"/>
        <v>2.5000000000000001E-2</v>
      </c>
      <c r="AK151" s="22">
        <f t="shared" si="528"/>
        <v>2.5000000000000001E-2</v>
      </c>
      <c r="AL151" s="22">
        <f t="shared" si="528"/>
        <v>2.5000000000000001E-2</v>
      </c>
      <c r="AM151" s="22">
        <f t="shared" si="528"/>
        <v>2.5000000000000001E-2</v>
      </c>
      <c r="AN151" s="22">
        <f t="shared" si="528"/>
        <v>2.5000000000000001E-2</v>
      </c>
      <c r="AO151" s="22">
        <f t="shared" si="528"/>
        <v>2.5000000000000001E-2</v>
      </c>
      <c r="AP151" s="22">
        <f t="shared" si="528"/>
        <v>2.5000000000000001E-2</v>
      </c>
      <c r="AQ151" s="22">
        <f t="shared" si="528"/>
        <v>2.5000000000000001E-2</v>
      </c>
      <c r="AR151" s="22">
        <f t="shared" si="528"/>
        <v>2.5000000000000001E-2</v>
      </c>
      <c r="AS151" s="22">
        <f t="shared" si="528"/>
        <v>2.5000000000000001E-2</v>
      </c>
      <c r="AT151" s="22">
        <f t="shared" si="528"/>
        <v>2.5000000000000001E-2</v>
      </c>
      <c r="AU151" s="22">
        <f t="shared" si="528"/>
        <v>2.5000000000000001E-2</v>
      </c>
      <c r="AV151" s="22">
        <f t="shared" si="528"/>
        <v>2.5000000000000001E-2</v>
      </c>
      <c r="AW151" s="22">
        <f t="shared" si="528"/>
        <v>2.5000000000000001E-2</v>
      </c>
      <c r="AX151" s="22">
        <f t="shared" si="528"/>
        <v>2.5000000000000001E-2</v>
      </c>
      <c r="AY151" s="22">
        <f t="shared" si="528"/>
        <v>2.5000000000000001E-2</v>
      </c>
      <c r="AZ151" s="22">
        <f t="shared" si="528"/>
        <v>2.5000000000000001E-2</v>
      </c>
      <c r="BA151" s="22">
        <f t="shared" si="528"/>
        <v>2.5000000000000001E-2</v>
      </c>
      <c r="BB151" s="22">
        <f t="shared" si="528"/>
        <v>2.5000000000000001E-2</v>
      </c>
      <c r="BC151" s="22">
        <f t="shared" si="528"/>
        <v>2.5000000000000001E-2</v>
      </c>
      <c r="BD151" s="22">
        <f t="shared" si="528"/>
        <v>2.5000000000000001E-2</v>
      </c>
      <c r="BE151" s="22">
        <f t="shared" si="528"/>
        <v>2.5000000000000001E-2</v>
      </c>
      <c r="BF151" s="22">
        <f t="shared" si="528"/>
        <v>2.5000000000000001E-2</v>
      </c>
      <c r="BG151" s="22">
        <f t="shared" si="528"/>
        <v>2.4999999999999398E-2</v>
      </c>
      <c r="BH151" s="22">
        <f t="shared" si="528"/>
        <v>0</v>
      </c>
      <c r="BI151" s="22">
        <f t="shared" si="528"/>
        <v>0</v>
      </c>
      <c r="BJ151" s="22">
        <f t="shared" si="528"/>
        <v>0</v>
      </c>
      <c r="BK151" s="22">
        <f t="shared" si="528"/>
        <v>0</v>
      </c>
      <c r="BL151" s="22">
        <f t="shared" si="528"/>
        <v>0</v>
      </c>
      <c r="BM151" s="22">
        <f t="shared" si="528"/>
        <v>0</v>
      </c>
      <c r="BN151" s="22">
        <f t="shared" si="528"/>
        <v>0</v>
      </c>
      <c r="BO151" s="22">
        <f t="shared" si="528"/>
        <v>0</v>
      </c>
      <c r="BP151" s="22">
        <f t="shared" si="528"/>
        <v>0</v>
      </c>
      <c r="BQ151" s="22">
        <f t="shared" si="528"/>
        <v>0</v>
      </c>
      <c r="BR151" s="22">
        <f t="shared" si="528"/>
        <v>0</v>
      </c>
      <c r="BS151" s="22">
        <f t="shared" si="528"/>
        <v>0</v>
      </c>
      <c r="BT151" s="22">
        <f t="shared" si="528"/>
        <v>0</v>
      </c>
      <c r="BU151" s="22">
        <f t="shared" si="528"/>
        <v>0</v>
      </c>
      <c r="BV151" s="22">
        <f t="shared" si="528"/>
        <v>0</v>
      </c>
      <c r="BW151" s="22">
        <f t="shared" si="528"/>
        <v>0</v>
      </c>
      <c r="BX151" s="22">
        <f t="shared" ref="BX151:DQ151" si="529">MAX(MIN(BX149,BX150),0)</f>
        <v>0</v>
      </c>
      <c r="BY151" s="22">
        <f t="shared" si="529"/>
        <v>0</v>
      </c>
      <c r="BZ151" s="22">
        <f t="shared" si="529"/>
        <v>0</v>
      </c>
      <c r="CA151" s="22">
        <f t="shared" si="529"/>
        <v>0</v>
      </c>
      <c r="CB151" s="22">
        <f t="shared" si="529"/>
        <v>0</v>
      </c>
      <c r="CC151" s="22">
        <f t="shared" si="529"/>
        <v>0</v>
      </c>
      <c r="CD151" s="22">
        <f t="shared" si="529"/>
        <v>0</v>
      </c>
      <c r="CE151" s="22">
        <f t="shared" si="529"/>
        <v>0</v>
      </c>
      <c r="CF151" s="22">
        <f t="shared" si="529"/>
        <v>0</v>
      </c>
      <c r="CG151" s="22">
        <f t="shared" si="529"/>
        <v>0</v>
      </c>
      <c r="CH151" s="22">
        <f t="shared" si="529"/>
        <v>0</v>
      </c>
      <c r="CI151" s="22">
        <f t="shared" si="529"/>
        <v>0</v>
      </c>
      <c r="CJ151" s="22">
        <f t="shared" si="529"/>
        <v>0</v>
      </c>
      <c r="CK151" s="22">
        <f t="shared" si="529"/>
        <v>0</v>
      </c>
      <c r="CL151" s="22">
        <f t="shared" si="529"/>
        <v>0</v>
      </c>
      <c r="CM151" s="22">
        <f t="shared" si="529"/>
        <v>0</v>
      </c>
      <c r="CN151" s="22">
        <f t="shared" si="529"/>
        <v>0</v>
      </c>
      <c r="CO151" s="22">
        <f t="shared" si="529"/>
        <v>0</v>
      </c>
      <c r="CP151" s="22">
        <f t="shared" si="529"/>
        <v>0</v>
      </c>
      <c r="CQ151" s="22">
        <f t="shared" si="529"/>
        <v>0</v>
      </c>
      <c r="CR151" s="22">
        <f t="shared" si="529"/>
        <v>0</v>
      </c>
      <c r="CS151" s="22">
        <f t="shared" si="529"/>
        <v>0</v>
      </c>
      <c r="CT151" s="22">
        <f t="shared" si="529"/>
        <v>0</v>
      </c>
      <c r="CU151" s="22">
        <f t="shared" si="529"/>
        <v>0</v>
      </c>
      <c r="CV151" s="22">
        <f t="shared" si="529"/>
        <v>0</v>
      </c>
      <c r="CW151" s="22">
        <f t="shared" si="529"/>
        <v>0</v>
      </c>
      <c r="CX151" s="22">
        <f t="shared" si="529"/>
        <v>0</v>
      </c>
      <c r="CY151" s="22">
        <f t="shared" si="529"/>
        <v>0</v>
      </c>
      <c r="CZ151" s="22">
        <f t="shared" si="529"/>
        <v>0</v>
      </c>
      <c r="DA151" s="22">
        <f t="shared" si="529"/>
        <v>0</v>
      </c>
      <c r="DB151" s="22">
        <f t="shared" si="529"/>
        <v>0</v>
      </c>
      <c r="DC151" s="22">
        <f t="shared" si="529"/>
        <v>0</v>
      </c>
      <c r="DD151" s="22">
        <f t="shared" si="529"/>
        <v>0</v>
      </c>
      <c r="DE151" s="22">
        <f t="shared" si="529"/>
        <v>0</v>
      </c>
      <c r="DF151" s="22">
        <f t="shared" si="529"/>
        <v>0</v>
      </c>
      <c r="DG151" s="22">
        <f t="shared" si="529"/>
        <v>0</v>
      </c>
      <c r="DH151" s="22">
        <f t="shared" si="529"/>
        <v>0</v>
      </c>
      <c r="DI151" s="22">
        <f t="shared" si="529"/>
        <v>0</v>
      </c>
      <c r="DJ151" s="22">
        <f t="shared" si="529"/>
        <v>0</v>
      </c>
      <c r="DK151" s="22">
        <f t="shared" si="529"/>
        <v>0</v>
      </c>
      <c r="DL151" s="22">
        <f t="shared" si="529"/>
        <v>0</v>
      </c>
      <c r="DM151" s="22">
        <f t="shared" si="529"/>
        <v>0</v>
      </c>
      <c r="DN151" s="22">
        <f t="shared" si="529"/>
        <v>0</v>
      </c>
      <c r="DO151" s="22">
        <f t="shared" si="529"/>
        <v>0</v>
      </c>
      <c r="DP151" s="22">
        <f t="shared" si="529"/>
        <v>0</v>
      </c>
      <c r="DQ151" s="22">
        <f t="shared" si="529"/>
        <v>0</v>
      </c>
    </row>
    <row r="153" spans="2:1006" x14ac:dyDescent="0.35">
      <c r="D153" s="20" t="s">
        <v>270</v>
      </c>
      <c r="F153" s="20" t="s">
        <v>129</v>
      </c>
      <c r="G153" s="20">
        <f>I63</f>
        <v>4602000</v>
      </c>
      <c r="K153" s="20">
        <f>$G$153*K10</f>
        <v>0</v>
      </c>
      <c r="L153" s="20">
        <f t="shared" ref="L153:BW153" si="530">$G$153*L10</f>
        <v>0</v>
      </c>
      <c r="M153" s="20">
        <f t="shared" si="530"/>
        <v>0</v>
      </c>
      <c r="N153" s="20">
        <f t="shared" si="530"/>
        <v>0</v>
      </c>
      <c r="O153" s="20">
        <f t="shared" si="530"/>
        <v>0</v>
      </c>
      <c r="P153" s="20">
        <f t="shared" si="530"/>
        <v>0</v>
      </c>
      <c r="Q153" s="20">
        <f t="shared" si="530"/>
        <v>0</v>
      </c>
      <c r="R153" s="20">
        <f t="shared" si="530"/>
        <v>0</v>
      </c>
      <c r="S153" s="20">
        <f t="shared" si="530"/>
        <v>0</v>
      </c>
      <c r="T153" s="20">
        <f t="shared" si="530"/>
        <v>4602000</v>
      </c>
      <c r="U153" s="20">
        <f t="shared" si="530"/>
        <v>4602000</v>
      </c>
      <c r="V153" s="20">
        <f t="shared" si="530"/>
        <v>4602000</v>
      </c>
      <c r="W153" s="20">
        <f t="shared" si="530"/>
        <v>4602000</v>
      </c>
      <c r="X153" s="20">
        <f t="shared" si="530"/>
        <v>4602000</v>
      </c>
      <c r="Y153" s="20">
        <f t="shared" si="530"/>
        <v>4602000</v>
      </c>
      <c r="Z153" s="20">
        <f t="shared" si="530"/>
        <v>4602000</v>
      </c>
      <c r="AA153" s="20">
        <f t="shared" si="530"/>
        <v>4602000</v>
      </c>
      <c r="AB153" s="20">
        <f t="shared" si="530"/>
        <v>4602000</v>
      </c>
      <c r="AC153" s="20">
        <f t="shared" si="530"/>
        <v>4602000</v>
      </c>
      <c r="AD153" s="20">
        <f t="shared" si="530"/>
        <v>4602000</v>
      </c>
      <c r="AE153" s="20">
        <f t="shared" si="530"/>
        <v>4602000</v>
      </c>
      <c r="AF153" s="20">
        <f t="shared" si="530"/>
        <v>4602000</v>
      </c>
      <c r="AG153" s="20">
        <f t="shared" si="530"/>
        <v>4602000</v>
      </c>
      <c r="AH153" s="20">
        <f t="shared" si="530"/>
        <v>4602000</v>
      </c>
      <c r="AI153" s="20">
        <f t="shared" si="530"/>
        <v>4602000</v>
      </c>
      <c r="AJ153" s="20">
        <f t="shared" si="530"/>
        <v>4602000</v>
      </c>
      <c r="AK153" s="20">
        <f t="shared" si="530"/>
        <v>4602000</v>
      </c>
      <c r="AL153" s="20">
        <f t="shared" si="530"/>
        <v>4602000</v>
      </c>
      <c r="AM153" s="20">
        <f t="shared" si="530"/>
        <v>4602000</v>
      </c>
      <c r="AN153" s="20">
        <f t="shared" si="530"/>
        <v>4602000</v>
      </c>
      <c r="AO153" s="20">
        <f t="shared" si="530"/>
        <v>4602000</v>
      </c>
      <c r="AP153" s="20">
        <f t="shared" si="530"/>
        <v>4602000</v>
      </c>
      <c r="AQ153" s="20">
        <f t="shared" si="530"/>
        <v>4602000</v>
      </c>
      <c r="AR153" s="20">
        <f t="shared" si="530"/>
        <v>4602000</v>
      </c>
      <c r="AS153" s="20">
        <f t="shared" si="530"/>
        <v>4602000</v>
      </c>
      <c r="AT153" s="20">
        <f t="shared" si="530"/>
        <v>4602000</v>
      </c>
      <c r="AU153" s="20">
        <f t="shared" si="530"/>
        <v>4602000</v>
      </c>
      <c r="AV153" s="20">
        <f t="shared" si="530"/>
        <v>4602000</v>
      </c>
      <c r="AW153" s="20">
        <f t="shared" si="530"/>
        <v>4602000</v>
      </c>
      <c r="AX153" s="20">
        <f t="shared" si="530"/>
        <v>4602000</v>
      </c>
      <c r="AY153" s="20">
        <f t="shared" si="530"/>
        <v>4602000</v>
      </c>
      <c r="AZ153" s="20">
        <f t="shared" si="530"/>
        <v>4602000</v>
      </c>
      <c r="BA153" s="20">
        <f t="shared" si="530"/>
        <v>4602000</v>
      </c>
      <c r="BB153" s="20">
        <f t="shared" si="530"/>
        <v>4602000</v>
      </c>
      <c r="BC153" s="20">
        <f t="shared" si="530"/>
        <v>4602000</v>
      </c>
      <c r="BD153" s="20">
        <f t="shared" si="530"/>
        <v>4602000</v>
      </c>
      <c r="BE153" s="20">
        <f t="shared" si="530"/>
        <v>4602000</v>
      </c>
      <c r="BF153" s="20">
        <f t="shared" si="530"/>
        <v>4602000</v>
      </c>
      <c r="BG153" s="20">
        <f t="shared" si="530"/>
        <v>4602000</v>
      </c>
      <c r="BH153" s="20">
        <f t="shared" si="530"/>
        <v>4602000</v>
      </c>
      <c r="BI153" s="20">
        <f t="shared" si="530"/>
        <v>4602000</v>
      </c>
      <c r="BJ153" s="20">
        <f t="shared" si="530"/>
        <v>4602000</v>
      </c>
      <c r="BK153" s="20">
        <f t="shared" si="530"/>
        <v>4602000</v>
      </c>
      <c r="BL153" s="20">
        <f t="shared" si="530"/>
        <v>4602000</v>
      </c>
      <c r="BM153" s="20">
        <f t="shared" si="530"/>
        <v>4602000</v>
      </c>
      <c r="BN153" s="20">
        <f t="shared" si="530"/>
        <v>4602000</v>
      </c>
      <c r="BO153" s="20">
        <f t="shared" si="530"/>
        <v>4602000</v>
      </c>
      <c r="BP153" s="20">
        <f t="shared" si="530"/>
        <v>4602000</v>
      </c>
      <c r="BQ153" s="20">
        <f t="shared" si="530"/>
        <v>4602000</v>
      </c>
      <c r="BR153" s="20">
        <f t="shared" si="530"/>
        <v>4602000</v>
      </c>
      <c r="BS153" s="20">
        <f t="shared" si="530"/>
        <v>4602000</v>
      </c>
      <c r="BT153" s="20">
        <f t="shared" si="530"/>
        <v>4602000</v>
      </c>
      <c r="BU153" s="20">
        <f t="shared" si="530"/>
        <v>4602000</v>
      </c>
      <c r="BV153" s="20">
        <f t="shared" si="530"/>
        <v>4602000</v>
      </c>
      <c r="BW153" s="20">
        <f t="shared" si="530"/>
        <v>4602000</v>
      </c>
      <c r="BX153" s="20">
        <f t="shared" ref="BX153:DQ153" si="531">$G$153*BX10</f>
        <v>4602000</v>
      </c>
      <c r="BY153" s="20">
        <f t="shared" si="531"/>
        <v>4602000</v>
      </c>
      <c r="BZ153" s="20">
        <f t="shared" si="531"/>
        <v>4602000</v>
      </c>
      <c r="CA153" s="20">
        <f t="shared" si="531"/>
        <v>4602000</v>
      </c>
      <c r="CB153" s="20">
        <f t="shared" si="531"/>
        <v>4602000</v>
      </c>
      <c r="CC153" s="20">
        <f t="shared" si="531"/>
        <v>4602000</v>
      </c>
      <c r="CD153" s="20">
        <f t="shared" si="531"/>
        <v>4602000</v>
      </c>
      <c r="CE153" s="20">
        <f t="shared" si="531"/>
        <v>4602000</v>
      </c>
      <c r="CF153" s="20">
        <f t="shared" si="531"/>
        <v>4602000</v>
      </c>
      <c r="CG153" s="20">
        <f t="shared" si="531"/>
        <v>4602000</v>
      </c>
      <c r="CH153" s="20">
        <f t="shared" si="531"/>
        <v>4602000</v>
      </c>
      <c r="CI153" s="20">
        <f t="shared" si="531"/>
        <v>4602000</v>
      </c>
      <c r="CJ153" s="20">
        <f t="shared" si="531"/>
        <v>4602000</v>
      </c>
      <c r="CK153" s="20">
        <f t="shared" si="531"/>
        <v>4602000</v>
      </c>
      <c r="CL153" s="20">
        <f t="shared" si="531"/>
        <v>4602000</v>
      </c>
      <c r="CM153" s="20">
        <f t="shared" si="531"/>
        <v>4602000</v>
      </c>
      <c r="CN153" s="20">
        <f t="shared" si="531"/>
        <v>4602000</v>
      </c>
      <c r="CO153" s="20">
        <f t="shared" si="531"/>
        <v>4602000</v>
      </c>
      <c r="CP153" s="20">
        <f t="shared" si="531"/>
        <v>4602000</v>
      </c>
      <c r="CQ153" s="20">
        <f t="shared" si="531"/>
        <v>4602000</v>
      </c>
      <c r="CR153" s="20">
        <f t="shared" si="531"/>
        <v>4602000</v>
      </c>
      <c r="CS153" s="20">
        <f t="shared" si="531"/>
        <v>4602000</v>
      </c>
      <c r="CT153" s="20">
        <f t="shared" si="531"/>
        <v>4602000</v>
      </c>
      <c r="CU153" s="20">
        <f t="shared" si="531"/>
        <v>4602000</v>
      </c>
      <c r="CV153" s="20">
        <f t="shared" si="531"/>
        <v>4602000</v>
      </c>
      <c r="CW153" s="20">
        <f t="shared" si="531"/>
        <v>4602000</v>
      </c>
      <c r="CX153" s="20">
        <f t="shared" si="531"/>
        <v>4602000</v>
      </c>
      <c r="CY153" s="20">
        <f t="shared" si="531"/>
        <v>4602000</v>
      </c>
      <c r="CZ153" s="20">
        <f t="shared" si="531"/>
        <v>4602000</v>
      </c>
      <c r="DA153" s="20">
        <f t="shared" si="531"/>
        <v>4602000</v>
      </c>
      <c r="DB153" s="20">
        <f t="shared" si="531"/>
        <v>4602000</v>
      </c>
      <c r="DC153" s="20">
        <f t="shared" si="531"/>
        <v>4602000</v>
      </c>
      <c r="DD153" s="20">
        <f t="shared" si="531"/>
        <v>4602000</v>
      </c>
      <c r="DE153" s="20">
        <f t="shared" si="531"/>
        <v>4602000</v>
      </c>
      <c r="DF153" s="20">
        <f t="shared" si="531"/>
        <v>4602000</v>
      </c>
      <c r="DG153" s="20">
        <f t="shared" si="531"/>
        <v>4602000</v>
      </c>
      <c r="DH153" s="20">
        <f t="shared" si="531"/>
        <v>4602000</v>
      </c>
      <c r="DI153" s="20">
        <f t="shared" si="531"/>
        <v>4602000</v>
      </c>
      <c r="DJ153" s="20">
        <f t="shared" si="531"/>
        <v>4602000</v>
      </c>
      <c r="DK153" s="20">
        <f t="shared" si="531"/>
        <v>4602000</v>
      </c>
      <c r="DL153" s="20">
        <f t="shared" si="531"/>
        <v>4602000</v>
      </c>
      <c r="DM153" s="20">
        <f t="shared" si="531"/>
        <v>4602000</v>
      </c>
      <c r="DN153" s="20">
        <f t="shared" si="531"/>
        <v>4602000</v>
      </c>
      <c r="DO153" s="20">
        <f t="shared" si="531"/>
        <v>4602000</v>
      </c>
      <c r="DP153" s="20">
        <f t="shared" si="531"/>
        <v>0</v>
      </c>
      <c r="DQ153" s="20">
        <f t="shared" si="531"/>
        <v>0</v>
      </c>
    </row>
    <row r="154" spans="2:1006" x14ac:dyDescent="0.35">
      <c r="D154" s="20" t="s">
        <v>271</v>
      </c>
      <c r="F154" s="20" t="s">
        <v>129</v>
      </c>
      <c r="K154" s="20">
        <f>K153*K151</f>
        <v>0</v>
      </c>
      <c r="L154" s="20">
        <f t="shared" ref="L154:BW154" si="532">L153*L151</f>
        <v>0</v>
      </c>
      <c r="M154" s="20">
        <f t="shared" si="532"/>
        <v>0</v>
      </c>
      <c r="N154" s="20">
        <f t="shared" si="532"/>
        <v>0</v>
      </c>
      <c r="O154" s="20">
        <f t="shared" si="532"/>
        <v>0</v>
      </c>
      <c r="P154" s="20">
        <f t="shared" si="532"/>
        <v>0</v>
      </c>
      <c r="Q154" s="20">
        <f t="shared" si="532"/>
        <v>0</v>
      </c>
      <c r="R154" s="20">
        <f t="shared" si="532"/>
        <v>0</v>
      </c>
      <c r="S154" s="20">
        <f t="shared" si="532"/>
        <v>0</v>
      </c>
      <c r="T154" s="20">
        <f t="shared" si="532"/>
        <v>115050</v>
      </c>
      <c r="U154" s="20">
        <f t="shared" si="532"/>
        <v>115050</v>
      </c>
      <c r="V154" s="20">
        <f t="shared" si="532"/>
        <v>115050</v>
      </c>
      <c r="W154" s="20">
        <f t="shared" si="532"/>
        <v>115050</v>
      </c>
      <c r="X154" s="20">
        <f t="shared" si="532"/>
        <v>115050</v>
      </c>
      <c r="Y154" s="20">
        <f t="shared" si="532"/>
        <v>115050</v>
      </c>
      <c r="Z154" s="20">
        <f t="shared" si="532"/>
        <v>115050</v>
      </c>
      <c r="AA154" s="20">
        <f t="shared" si="532"/>
        <v>115050</v>
      </c>
      <c r="AB154" s="20">
        <f t="shared" si="532"/>
        <v>115050</v>
      </c>
      <c r="AC154" s="20">
        <f t="shared" si="532"/>
        <v>115050</v>
      </c>
      <c r="AD154" s="20">
        <f t="shared" si="532"/>
        <v>115050</v>
      </c>
      <c r="AE154" s="20">
        <f t="shared" si="532"/>
        <v>115050</v>
      </c>
      <c r="AF154" s="20">
        <f t="shared" si="532"/>
        <v>115050</v>
      </c>
      <c r="AG154" s="20">
        <f t="shared" si="532"/>
        <v>115050</v>
      </c>
      <c r="AH154" s="20">
        <f t="shared" si="532"/>
        <v>115050</v>
      </c>
      <c r="AI154" s="20">
        <f t="shared" si="532"/>
        <v>115050</v>
      </c>
      <c r="AJ154" s="20">
        <f t="shared" si="532"/>
        <v>115050</v>
      </c>
      <c r="AK154" s="20">
        <f t="shared" si="532"/>
        <v>115050</v>
      </c>
      <c r="AL154" s="20">
        <f t="shared" si="532"/>
        <v>115050</v>
      </c>
      <c r="AM154" s="20">
        <f t="shared" si="532"/>
        <v>115050</v>
      </c>
      <c r="AN154" s="20">
        <f t="shared" si="532"/>
        <v>115050</v>
      </c>
      <c r="AO154" s="20">
        <f t="shared" si="532"/>
        <v>115050</v>
      </c>
      <c r="AP154" s="20">
        <f t="shared" si="532"/>
        <v>115050</v>
      </c>
      <c r="AQ154" s="20">
        <f t="shared" si="532"/>
        <v>115050</v>
      </c>
      <c r="AR154" s="20">
        <f t="shared" si="532"/>
        <v>115050</v>
      </c>
      <c r="AS154" s="20">
        <f t="shared" si="532"/>
        <v>115050</v>
      </c>
      <c r="AT154" s="20">
        <f t="shared" si="532"/>
        <v>115050</v>
      </c>
      <c r="AU154" s="20">
        <f t="shared" si="532"/>
        <v>115050</v>
      </c>
      <c r="AV154" s="20">
        <f t="shared" si="532"/>
        <v>115050</v>
      </c>
      <c r="AW154" s="20">
        <f t="shared" si="532"/>
        <v>115050</v>
      </c>
      <c r="AX154" s="20">
        <f t="shared" si="532"/>
        <v>115050</v>
      </c>
      <c r="AY154" s="20">
        <f t="shared" si="532"/>
        <v>115050</v>
      </c>
      <c r="AZ154" s="20">
        <f t="shared" si="532"/>
        <v>115050</v>
      </c>
      <c r="BA154" s="20">
        <f t="shared" si="532"/>
        <v>115050</v>
      </c>
      <c r="BB154" s="20">
        <f t="shared" si="532"/>
        <v>115050</v>
      </c>
      <c r="BC154" s="20">
        <f t="shared" si="532"/>
        <v>115050</v>
      </c>
      <c r="BD154" s="20">
        <f t="shared" si="532"/>
        <v>115050</v>
      </c>
      <c r="BE154" s="20">
        <f t="shared" si="532"/>
        <v>115050</v>
      </c>
      <c r="BF154" s="20">
        <f t="shared" si="532"/>
        <v>115050</v>
      </c>
      <c r="BG154" s="20">
        <f t="shared" si="532"/>
        <v>115049.99999999724</v>
      </c>
      <c r="BH154" s="20">
        <f t="shared" si="532"/>
        <v>0</v>
      </c>
      <c r="BI154" s="20">
        <f t="shared" si="532"/>
        <v>0</v>
      </c>
      <c r="BJ154" s="20">
        <f t="shared" si="532"/>
        <v>0</v>
      </c>
      <c r="BK154" s="20">
        <f t="shared" si="532"/>
        <v>0</v>
      </c>
      <c r="BL154" s="20">
        <f t="shared" si="532"/>
        <v>0</v>
      </c>
      <c r="BM154" s="20">
        <f t="shared" si="532"/>
        <v>0</v>
      </c>
      <c r="BN154" s="20">
        <f t="shared" si="532"/>
        <v>0</v>
      </c>
      <c r="BO154" s="20">
        <f t="shared" si="532"/>
        <v>0</v>
      </c>
      <c r="BP154" s="20">
        <f t="shared" si="532"/>
        <v>0</v>
      </c>
      <c r="BQ154" s="20">
        <f t="shared" si="532"/>
        <v>0</v>
      </c>
      <c r="BR154" s="20">
        <f t="shared" si="532"/>
        <v>0</v>
      </c>
      <c r="BS154" s="20">
        <f t="shared" si="532"/>
        <v>0</v>
      </c>
      <c r="BT154" s="20">
        <f t="shared" si="532"/>
        <v>0</v>
      </c>
      <c r="BU154" s="20">
        <f t="shared" si="532"/>
        <v>0</v>
      </c>
      <c r="BV154" s="20">
        <f t="shared" si="532"/>
        <v>0</v>
      </c>
      <c r="BW154" s="20">
        <f t="shared" si="532"/>
        <v>0</v>
      </c>
      <c r="BX154" s="20">
        <f t="shared" ref="BX154:DQ154" si="533">BX153*BX151</f>
        <v>0</v>
      </c>
      <c r="BY154" s="20">
        <f t="shared" si="533"/>
        <v>0</v>
      </c>
      <c r="BZ154" s="20">
        <f t="shared" si="533"/>
        <v>0</v>
      </c>
      <c r="CA154" s="20">
        <f t="shared" si="533"/>
        <v>0</v>
      </c>
      <c r="CB154" s="20">
        <f t="shared" si="533"/>
        <v>0</v>
      </c>
      <c r="CC154" s="20">
        <f t="shared" si="533"/>
        <v>0</v>
      </c>
      <c r="CD154" s="20">
        <f t="shared" si="533"/>
        <v>0</v>
      </c>
      <c r="CE154" s="20">
        <f t="shared" si="533"/>
        <v>0</v>
      </c>
      <c r="CF154" s="20">
        <f t="shared" si="533"/>
        <v>0</v>
      </c>
      <c r="CG154" s="20">
        <f t="shared" si="533"/>
        <v>0</v>
      </c>
      <c r="CH154" s="20">
        <f t="shared" si="533"/>
        <v>0</v>
      </c>
      <c r="CI154" s="20">
        <f t="shared" si="533"/>
        <v>0</v>
      </c>
      <c r="CJ154" s="20">
        <f t="shared" si="533"/>
        <v>0</v>
      </c>
      <c r="CK154" s="20">
        <f t="shared" si="533"/>
        <v>0</v>
      </c>
      <c r="CL154" s="20">
        <f t="shared" si="533"/>
        <v>0</v>
      </c>
      <c r="CM154" s="20">
        <f t="shared" si="533"/>
        <v>0</v>
      </c>
      <c r="CN154" s="20">
        <f t="shared" si="533"/>
        <v>0</v>
      </c>
      <c r="CO154" s="20">
        <f t="shared" si="533"/>
        <v>0</v>
      </c>
      <c r="CP154" s="20">
        <f t="shared" si="533"/>
        <v>0</v>
      </c>
      <c r="CQ154" s="20">
        <f t="shared" si="533"/>
        <v>0</v>
      </c>
      <c r="CR154" s="20">
        <f t="shared" si="533"/>
        <v>0</v>
      </c>
      <c r="CS154" s="20">
        <f t="shared" si="533"/>
        <v>0</v>
      </c>
      <c r="CT154" s="20">
        <f t="shared" si="533"/>
        <v>0</v>
      </c>
      <c r="CU154" s="20">
        <f t="shared" si="533"/>
        <v>0</v>
      </c>
      <c r="CV154" s="20">
        <f t="shared" si="533"/>
        <v>0</v>
      </c>
      <c r="CW154" s="20">
        <f t="shared" si="533"/>
        <v>0</v>
      </c>
      <c r="CX154" s="20">
        <f t="shared" si="533"/>
        <v>0</v>
      </c>
      <c r="CY154" s="20">
        <f t="shared" si="533"/>
        <v>0</v>
      </c>
      <c r="CZ154" s="20">
        <f t="shared" si="533"/>
        <v>0</v>
      </c>
      <c r="DA154" s="20">
        <f t="shared" si="533"/>
        <v>0</v>
      </c>
      <c r="DB154" s="20">
        <f t="shared" si="533"/>
        <v>0</v>
      </c>
      <c r="DC154" s="20">
        <f t="shared" si="533"/>
        <v>0</v>
      </c>
      <c r="DD154" s="20">
        <f t="shared" si="533"/>
        <v>0</v>
      </c>
      <c r="DE154" s="20">
        <f t="shared" si="533"/>
        <v>0</v>
      </c>
      <c r="DF154" s="20">
        <f t="shared" si="533"/>
        <v>0</v>
      </c>
      <c r="DG154" s="20">
        <f t="shared" si="533"/>
        <v>0</v>
      </c>
      <c r="DH154" s="20">
        <f t="shared" si="533"/>
        <v>0</v>
      </c>
      <c r="DI154" s="20">
        <f t="shared" si="533"/>
        <v>0</v>
      </c>
      <c r="DJ154" s="20">
        <f t="shared" si="533"/>
        <v>0</v>
      </c>
      <c r="DK154" s="20">
        <f t="shared" si="533"/>
        <v>0</v>
      </c>
      <c r="DL154" s="20">
        <f t="shared" si="533"/>
        <v>0</v>
      </c>
      <c r="DM154" s="20">
        <f t="shared" si="533"/>
        <v>0</v>
      </c>
      <c r="DN154" s="20">
        <f t="shared" si="533"/>
        <v>0</v>
      </c>
      <c r="DO154" s="20">
        <f t="shared" si="533"/>
        <v>0</v>
      </c>
      <c r="DP154" s="20">
        <f t="shared" si="533"/>
        <v>0</v>
      </c>
      <c r="DQ154" s="20">
        <f t="shared" si="533"/>
        <v>0</v>
      </c>
    </row>
    <row r="156" spans="2:1006" x14ac:dyDescent="0.35">
      <c r="D156" s="20" t="s">
        <v>27</v>
      </c>
      <c r="F156" s="20" t="s">
        <v>129</v>
      </c>
      <c r="K156" s="20">
        <f>K142-K154</f>
        <v>0</v>
      </c>
      <c r="L156" s="20">
        <f t="shared" ref="L156:BW156" si="534">L142-L154</f>
        <v>0</v>
      </c>
      <c r="M156" s="20">
        <f t="shared" si="534"/>
        <v>0</v>
      </c>
      <c r="N156" s="20">
        <f t="shared" si="534"/>
        <v>0</v>
      </c>
      <c r="O156" s="20">
        <f t="shared" si="534"/>
        <v>0</v>
      </c>
      <c r="P156" s="20">
        <f t="shared" si="534"/>
        <v>0</v>
      </c>
      <c r="Q156" s="20">
        <f t="shared" si="534"/>
        <v>0</v>
      </c>
      <c r="R156" s="20">
        <f t="shared" si="534"/>
        <v>0</v>
      </c>
      <c r="S156" s="20">
        <f t="shared" si="534"/>
        <v>0</v>
      </c>
      <c r="T156" s="20">
        <f t="shared" si="534"/>
        <v>-15546.849332373502</v>
      </c>
      <c r="U156" s="20">
        <f t="shared" si="534"/>
        <v>-63040.086777140175</v>
      </c>
      <c r="V156" s="20">
        <f t="shared" si="534"/>
        <v>-84651.398152109352</v>
      </c>
      <c r="W156" s="20">
        <f t="shared" si="534"/>
        <v>-34471.857042985066</v>
      </c>
      <c r="X156" s="20">
        <f t="shared" si="534"/>
        <v>-16347.737782215467</v>
      </c>
      <c r="Y156" s="20">
        <f t="shared" si="534"/>
        <v>-63605.335327086199</v>
      </c>
      <c r="Z156" s="20">
        <f t="shared" si="534"/>
        <v>-85109.774799535968</v>
      </c>
      <c r="AA156" s="20">
        <f t="shared" si="534"/>
        <v>-35180.532412174129</v>
      </c>
      <c r="AB156" s="20">
        <f t="shared" si="534"/>
        <v>-17147.234374399821</v>
      </c>
      <c r="AC156" s="20">
        <f t="shared" si="534"/>
        <v>-64170.373189011916</v>
      </c>
      <c r="AD156" s="20">
        <f t="shared" si="534"/>
        <v>-83459.402589079386</v>
      </c>
      <c r="AE156" s="20">
        <f t="shared" si="534"/>
        <v>-32083.524901129567</v>
      </c>
      <c r="AF156" s="20">
        <f t="shared" si="534"/>
        <v>-13527.34752320667</v>
      </c>
      <c r="AG156" s="20">
        <f t="shared" si="534"/>
        <v>-61911.74400405043</v>
      </c>
      <c r="AH156" s="20">
        <f t="shared" si="534"/>
        <v>-82473.94656205301</v>
      </c>
      <c r="AI156" s="20">
        <f t="shared" si="534"/>
        <v>-30184.502907918126</v>
      </c>
      <c r="AJ156" s="20">
        <f t="shared" si="534"/>
        <v>-11298.237697595905</v>
      </c>
      <c r="AK156" s="20">
        <f t="shared" si="534"/>
        <v>-60542.63570222097</v>
      </c>
      <c r="AL156" s="20">
        <f t="shared" si="534"/>
        <v>-82672.675878731985</v>
      </c>
      <c r="AM156" s="20">
        <f t="shared" si="534"/>
        <v>-30420.206116164743</v>
      </c>
      <c r="AN156" s="20">
        <f t="shared" si="534"/>
        <v>-11547.624973334983</v>
      </c>
      <c r="AO156" s="20">
        <f t="shared" si="534"/>
        <v>-60758.202189525386</v>
      </c>
      <c r="AP156" s="20">
        <f t="shared" si="534"/>
        <v>-78414.270728317686</v>
      </c>
      <c r="AQ156" s="20">
        <f t="shared" si="534"/>
        <v>-22613.676215284679</v>
      </c>
      <c r="AR156" s="20">
        <f t="shared" si="534"/>
        <v>-2458.2144672194554</v>
      </c>
      <c r="AS156" s="20">
        <f t="shared" si="534"/>
        <v>-55006.214209755577</v>
      </c>
      <c r="AT156" s="20">
        <f t="shared" si="534"/>
        <v>-70647.415835068998</v>
      </c>
      <c r="AU156" s="20">
        <f t="shared" si="534"/>
        <v>-8476.3175947417622</v>
      </c>
      <c r="AV156" s="20">
        <f t="shared" si="534"/>
        <v>13982.747936419706</v>
      </c>
      <c r="AW156" s="20">
        <f t="shared" si="534"/>
        <v>-44556.698144779584</v>
      </c>
      <c r="AX156" s="20">
        <f t="shared" si="534"/>
        <v>-68723.113092981948</v>
      </c>
      <c r="AY156" s="20">
        <f t="shared" si="534"/>
        <v>-4877.3079128642712</v>
      </c>
      <c r="AZ156" s="20">
        <f t="shared" si="534"/>
        <v>18187.098168809258</v>
      </c>
      <c r="BA156" s="20">
        <f t="shared" si="534"/>
        <v>-41928.138530597964</v>
      </c>
      <c r="BB156" s="20">
        <f t="shared" si="534"/>
        <v>-68870.397396948159</v>
      </c>
      <c r="BC156" s="20">
        <f t="shared" si="534"/>
        <v>-5013.8063089713687</v>
      </c>
      <c r="BD156" s="20">
        <f t="shared" si="534"/>
        <v>18054.170247356757</v>
      </c>
      <c r="BE156" s="20">
        <f t="shared" si="534"/>
        <v>-42072.21105924221</v>
      </c>
      <c r="BF156" s="20">
        <f t="shared" si="534"/>
        <v>-65817.425310207444</v>
      </c>
      <c r="BG156" s="20">
        <f t="shared" si="534"/>
        <v>624.61174694742658</v>
      </c>
      <c r="BH156" s="20">
        <f t="shared" si="534"/>
        <v>139677.29295513188</v>
      </c>
      <c r="BI156" s="20">
        <f t="shared" si="534"/>
        <v>77118.683889877779</v>
      </c>
      <c r="BJ156" s="20">
        <f t="shared" si="534"/>
        <v>52979.046987055401</v>
      </c>
      <c r="BK156" s="20">
        <f t="shared" si="534"/>
        <v>122565.7835075046</v>
      </c>
      <c r="BL156" s="20">
        <f t="shared" si="534"/>
        <v>147705.42148298217</v>
      </c>
      <c r="BM156" s="20">
        <f t="shared" si="534"/>
        <v>82188.678986765997</v>
      </c>
      <c r="BN156" s="20">
        <f t="shared" si="534"/>
        <v>58080.525769570362</v>
      </c>
      <c r="BO156" s="20">
        <f t="shared" si="534"/>
        <v>131903.08955718775</v>
      </c>
      <c r="BP156" s="20">
        <f t="shared" si="534"/>
        <v>158574.29138370621</v>
      </c>
      <c r="BQ156" s="20">
        <f t="shared" si="534"/>
        <v>89073.364172271278</v>
      </c>
      <c r="BR156" s="20">
        <f t="shared" si="534"/>
        <v>62804.238692327359</v>
      </c>
      <c r="BS156" s="20">
        <f t="shared" si="534"/>
        <v>140560.63407530065</v>
      </c>
      <c r="BT156" s="20">
        <f t="shared" si="534"/>
        <v>168654.17660468101</v>
      </c>
      <c r="BU156" s="20">
        <f t="shared" si="534"/>
        <v>95453.030011476396</v>
      </c>
      <c r="BV156" s="20">
        <f t="shared" si="534"/>
        <v>65744.50971300884</v>
      </c>
      <c r="BW156" s="20">
        <f t="shared" si="534"/>
        <v>146002.60306990769</v>
      </c>
      <c r="BX156" s="20">
        <f t="shared" ref="BX156:DQ156" si="535">BX142-BX154</f>
        <v>175000.54296850946</v>
      </c>
      <c r="BY156" s="20">
        <f t="shared" si="535"/>
        <v>99445.861790989045</v>
      </c>
      <c r="BZ156" s="20">
        <f t="shared" si="535"/>
        <v>67006.981066041219</v>
      </c>
      <c r="CA156" s="20">
        <f t="shared" si="535"/>
        <v>148419.59989684005</v>
      </c>
      <c r="CB156" s="20">
        <f t="shared" si="535"/>
        <v>177834.72037799895</v>
      </c>
      <c r="CC156" s="20">
        <f t="shared" si="535"/>
        <v>101193.29641833418</v>
      </c>
      <c r="CD156" s="20">
        <f t="shared" si="535"/>
        <v>71940.215861161763</v>
      </c>
      <c r="CE156" s="20">
        <f t="shared" si="535"/>
        <v>157460.45343033172</v>
      </c>
      <c r="CF156" s="20">
        <f t="shared" si="535"/>
        <v>188360.7505279521</v>
      </c>
      <c r="CG156" s="20">
        <f t="shared" si="535"/>
        <v>107855.64152849109</v>
      </c>
      <c r="CH156" s="20">
        <f t="shared" si="535"/>
        <v>74850.981695199676</v>
      </c>
      <c r="CI156" s="20">
        <f t="shared" si="535"/>
        <v>162854.60245810822</v>
      </c>
      <c r="CJ156" s="20">
        <f t="shared" si="535"/>
        <v>194652.65798302944</v>
      </c>
      <c r="CK156" s="20">
        <f t="shared" si="535"/>
        <v>111811.19016971644</v>
      </c>
      <c r="CL156" s="20">
        <f t="shared" si="535"/>
        <v>82083.753453313155</v>
      </c>
      <c r="CM156" s="20">
        <f t="shared" si="535"/>
        <v>176047.50066476566</v>
      </c>
      <c r="CN156" s="20">
        <f t="shared" si="535"/>
        <v>210000.69117086928</v>
      </c>
      <c r="CO156" s="20">
        <f t="shared" si="535"/>
        <v>121553.51012510111</v>
      </c>
      <c r="CP156" s="20">
        <f t="shared" si="535"/>
        <v>87913.523256121101</v>
      </c>
      <c r="CQ156" s="20">
        <f t="shared" si="535"/>
        <v>186711.26466246118</v>
      </c>
      <c r="CR156" s="20">
        <f t="shared" si="535"/>
        <v>222412.31338509158</v>
      </c>
      <c r="CS156" s="20">
        <f t="shared" si="535"/>
        <v>129418.35587855263</v>
      </c>
      <c r="CT156" s="20">
        <f t="shared" si="535"/>
        <v>94375.729033308133</v>
      </c>
      <c r="CU156" s="20">
        <f t="shared" si="535"/>
        <v>198517.84961283629</v>
      </c>
      <c r="CV156" s="20">
        <f t="shared" si="535"/>
        <v>236151.33445472486</v>
      </c>
      <c r="CW156" s="20">
        <f t="shared" si="535"/>
        <v>138130.64606270476</v>
      </c>
      <c r="CX156" s="20">
        <f t="shared" si="535"/>
        <v>100406.4358762536</v>
      </c>
      <c r="CY156" s="20">
        <f t="shared" si="535"/>
        <v>209547.94489821649</v>
      </c>
      <c r="CZ156" s="20">
        <f t="shared" si="535"/>
        <v>248989.0927247644</v>
      </c>
      <c r="DA156" s="20">
        <f t="shared" si="535"/>
        <v>146266.06713651924</v>
      </c>
      <c r="DB156" s="20">
        <f t="shared" si="535"/>
        <v>101535.25409609792</v>
      </c>
      <c r="DC156" s="20">
        <f t="shared" si="535"/>
        <v>211736.9985447326</v>
      </c>
      <c r="DD156" s="20">
        <f t="shared" si="535"/>
        <v>251561.18914568383</v>
      </c>
      <c r="DE156" s="20">
        <f t="shared" si="535"/>
        <v>147839.97269429854</v>
      </c>
      <c r="DF156" s="20">
        <f t="shared" si="535"/>
        <v>101754.30011588552</v>
      </c>
      <c r="DG156" s="20">
        <f t="shared" si="535"/>
        <v>212286.81338207761</v>
      </c>
      <c r="DH156" s="20">
        <f t="shared" si="535"/>
        <v>252230.22581112373</v>
      </c>
      <c r="DI156" s="20">
        <f t="shared" si="535"/>
        <v>148196.75169941192</v>
      </c>
      <c r="DJ156" s="20">
        <f t="shared" si="535"/>
        <v>102089.95323641525</v>
      </c>
      <c r="DK156" s="20">
        <f t="shared" si="535"/>
        <v>213049.005205605</v>
      </c>
      <c r="DL156" s="20">
        <f t="shared" si="535"/>
        <v>253146.26939122085</v>
      </c>
      <c r="DM156" s="20">
        <f t="shared" si="535"/>
        <v>148710.46347627806</v>
      </c>
      <c r="DN156" s="20">
        <f t="shared" si="535"/>
        <v>103371.90916826807</v>
      </c>
      <c r="DO156" s="20">
        <f t="shared" si="535"/>
        <v>215520.37318555138</v>
      </c>
      <c r="DP156" s="20">
        <f t="shared" si="535"/>
        <v>0</v>
      </c>
      <c r="DQ156" s="20">
        <f t="shared" si="535"/>
        <v>0</v>
      </c>
    </row>
    <row r="157" spans="2:1006" x14ac:dyDescent="0.35">
      <c r="D157" s="20" t="s">
        <v>274</v>
      </c>
      <c r="F157" s="20" t="s">
        <v>129</v>
      </c>
      <c r="K157" s="20">
        <f>J160</f>
        <v>0</v>
      </c>
      <c r="L157" s="20">
        <f t="shared" ref="L157:BW157" si="536">K160</f>
        <v>0</v>
      </c>
      <c r="M157" s="20">
        <f t="shared" si="536"/>
        <v>0</v>
      </c>
      <c r="N157" s="20">
        <f t="shared" si="536"/>
        <v>0</v>
      </c>
      <c r="O157" s="20">
        <f t="shared" si="536"/>
        <v>0</v>
      </c>
      <c r="P157" s="20">
        <f t="shared" si="536"/>
        <v>0</v>
      </c>
      <c r="Q157" s="20">
        <f t="shared" si="536"/>
        <v>0</v>
      </c>
      <c r="R157" s="20">
        <f t="shared" si="536"/>
        <v>0</v>
      </c>
      <c r="S157" s="20">
        <f t="shared" si="536"/>
        <v>0</v>
      </c>
      <c r="T157" s="20">
        <f t="shared" si="536"/>
        <v>0</v>
      </c>
      <c r="U157" s="20">
        <f t="shared" si="536"/>
        <v>15546.849332373502</v>
      </c>
      <c r="V157" s="20">
        <f t="shared" si="536"/>
        <v>78586.936109513685</v>
      </c>
      <c r="W157" s="20">
        <f t="shared" si="536"/>
        <v>163238.33426162304</v>
      </c>
      <c r="X157" s="20">
        <f t="shared" si="536"/>
        <v>197710.1913046081</v>
      </c>
      <c r="Y157" s="20">
        <f t="shared" si="536"/>
        <v>214057.92908682357</v>
      </c>
      <c r="Z157" s="20">
        <f t="shared" si="536"/>
        <v>277663.26441390975</v>
      </c>
      <c r="AA157" s="20">
        <f t="shared" si="536"/>
        <v>362773.03921344574</v>
      </c>
      <c r="AB157" s="20">
        <f t="shared" si="536"/>
        <v>397953.57162561989</v>
      </c>
      <c r="AC157" s="20">
        <f t="shared" si="536"/>
        <v>415100.80600001971</v>
      </c>
      <c r="AD157" s="20">
        <f t="shared" si="536"/>
        <v>479271.17918903165</v>
      </c>
      <c r="AE157" s="20">
        <f t="shared" si="536"/>
        <v>562730.58177811105</v>
      </c>
      <c r="AF157" s="20">
        <f t="shared" si="536"/>
        <v>594814.10667924059</v>
      </c>
      <c r="AG157" s="20">
        <f t="shared" si="536"/>
        <v>608341.45420244732</v>
      </c>
      <c r="AH157" s="20">
        <f t="shared" si="536"/>
        <v>670253.19820649771</v>
      </c>
      <c r="AI157" s="20">
        <f t="shared" si="536"/>
        <v>752727.14476855076</v>
      </c>
      <c r="AJ157" s="20">
        <f t="shared" si="536"/>
        <v>782911.64767646883</v>
      </c>
      <c r="AK157" s="20">
        <f t="shared" si="536"/>
        <v>794209.88537406479</v>
      </c>
      <c r="AL157" s="20">
        <f t="shared" si="536"/>
        <v>854752.52107628575</v>
      </c>
      <c r="AM157" s="20">
        <f t="shared" si="536"/>
        <v>937425.19695501775</v>
      </c>
      <c r="AN157" s="20">
        <f t="shared" si="536"/>
        <v>967845.40307118255</v>
      </c>
      <c r="AO157" s="20">
        <f t="shared" si="536"/>
        <v>979393.0280445175</v>
      </c>
      <c r="AP157" s="20">
        <f t="shared" si="536"/>
        <v>1040151.2302340429</v>
      </c>
      <c r="AQ157" s="20">
        <f t="shared" si="536"/>
        <v>1118565.5009623605</v>
      </c>
      <c r="AR157" s="20">
        <f t="shared" si="536"/>
        <v>1141179.1771776453</v>
      </c>
      <c r="AS157" s="20">
        <f t="shared" si="536"/>
        <v>1143637.3916448648</v>
      </c>
      <c r="AT157" s="20">
        <f t="shared" si="536"/>
        <v>1198643.6058546205</v>
      </c>
      <c r="AU157" s="20">
        <f t="shared" si="536"/>
        <v>1269291.0216896895</v>
      </c>
      <c r="AV157" s="20">
        <f t="shared" si="536"/>
        <v>1277767.3392844312</v>
      </c>
      <c r="AW157" s="20">
        <f t="shared" si="536"/>
        <v>1263784.5913480115</v>
      </c>
      <c r="AX157" s="20">
        <f t="shared" si="536"/>
        <v>1308341.2894927911</v>
      </c>
      <c r="AY157" s="20">
        <f t="shared" si="536"/>
        <v>1377064.402585773</v>
      </c>
      <c r="AZ157" s="20">
        <f t="shared" si="536"/>
        <v>1381941.7104986373</v>
      </c>
      <c r="BA157" s="20">
        <f t="shared" si="536"/>
        <v>1363754.6123298281</v>
      </c>
      <c r="BB157" s="20">
        <f t="shared" si="536"/>
        <v>1405682.7508604261</v>
      </c>
      <c r="BC157" s="20">
        <f t="shared" si="536"/>
        <v>1474553.1482573743</v>
      </c>
      <c r="BD157" s="20">
        <f t="shared" si="536"/>
        <v>1479566.9545663456</v>
      </c>
      <c r="BE157" s="20">
        <f t="shared" si="536"/>
        <v>1461512.7843189887</v>
      </c>
      <c r="BF157" s="20">
        <f t="shared" si="536"/>
        <v>1503584.9953782309</v>
      </c>
      <c r="BG157" s="20">
        <f t="shared" si="536"/>
        <v>1569402.4206884385</v>
      </c>
      <c r="BH157" s="20">
        <f t="shared" si="536"/>
        <v>1568777.8089414909</v>
      </c>
      <c r="BI157" s="20">
        <f t="shared" si="536"/>
        <v>1429100.515986359</v>
      </c>
      <c r="BJ157" s="20">
        <f t="shared" si="536"/>
        <v>1351981.8320964812</v>
      </c>
      <c r="BK157" s="20">
        <f t="shared" si="536"/>
        <v>1299002.7851094259</v>
      </c>
      <c r="BL157" s="20">
        <f t="shared" si="536"/>
        <v>1176437.0016019214</v>
      </c>
      <c r="BM157" s="20">
        <f t="shared" si="536"/>
        <v>1028731.5801189393</v>
      </c>
      <c r="BN157" s="20">
        <f t="shared" si="536"/>
        <v>946542.90113217325</v>
      </c>
      <c r="BO157" s="20">
        <f t="shared" si="536"/>
        <v>888462.37536260288</v>
      </c>
      <c r="BP157" s="20">
        <f t="shared" si="536"/>
        <v>756559.28580541513</v>
      </c>
      <c r="BQ157" s="20">
        <f t="shared" si="536"/>
        <v>597984.99442170886</v>
      </c>
      <c r="BR157" s="20">
        <f t="shared" si="536"/>
        <v>508911.63024943759</v>
      </c>
      <c r="BS157" s="20">
        <f t="shared" si="536"/>
        <v>446107.39155711024</v>
      </c>
      <c r="BT157" s="20">
        <f t="shared" si="536"/>
        <v>305546.75748180959</v>
      </c>
      <c r="BU157" s="20">
        <f t="shared" si="536"/>
        <v>136892.58087712858</v>
      </c>
      <c r="BV157" s="20">
        <f t="shared" si="536"/>
        <v>41439.550865652185</v>
      </c>
      <c r="BW157" s="20">
        <f t="shared" si="536"/>
        <v>0</v>
      </c>
      <c r="BX157" s="20">
        <f t="shared" ref="BX157:DQ157" si="537">BW160</f>
        <v>0</v>
      </c>
      <c r="BY157" s="20">
        <f t="shared" si="537"/>
        <v>0</v>
      </c>
      <c r="BZ157" s="20">
        <f t="shared" si="537"/>
        <v>0</v>
      </c>
      <c r="CA157" s="20">
        <f t="shared" si="537"/>
        <v>0</v>
      </c>
      <c r="CB157" s="20">
        <f t="shared" si="537"/>
        <v>0</v>
      </c>
      <c r="CC157" s="20">
        <f t="shared" si="537"/>
        <v>0</v>
      </c>
      <c r="CD157" s="20">
        <f t="shared" si="537"/>
        <v>0</v>
      </c>
      <c r="CE157" s="20">
        <f t="shared" si="537"/>
        <v>0</v>
      </c>
      <c r="CF157" s="20">
        <f t="shared" si="537"/>
        <v>0</v>
      </c>
      <c r="CG157" s="20">
        <f t="shared" si="537"/>
        <v>0</v>
      </c>
      <c r="CH157" s="20">
        <f t="shared" si="537"/>
        <v>0</v>
      </c>
      <c r="CI157" s="20">
        <f t="shared" si="537"/>
        <v>0</v>
      </c>
      <c r="CJ157" s="20">
        <f t="shared" si="537"/>
        <v>0</v>
      </c>
      <c r="CK157" s="20">
        <f t="shared" si="537"/>
        <v>0</v>
      </c>
      <c r="CL157" s="20">
        <f t="shared" si="537"/>
        <v>0</v>
      </c>
      <c r="CM157" s="20">
        <f t="shared" si="537"/>
        <v>0</v>
      </c>
      <c r="CN157" s="20">
        <f t="shared" si="537"/>
        <v>0</v>
      </c>
      <c r="CO157" s="20">
        <f t="shared" si="537"/>
        <v>0</v>
      </c>
      <c r="CP157" s="20">
        <f t="shared" si="537"/>
        <v>0</v>
      </c>
      <c r="CQ157" s="20">
        <f t="shared" si="537"/>
        <v>0</v>
      </c>
      <c r="CR157" s="20">
        <f t="shared" si="537"/>
        <v>0</v>
      </c>
      <c r="CS157" s="20">
        <f t="shared" si="537"/>
        <v>0</v>
      </c>
      <c r="CT157" s="20">
        <f t="shared" si="537"/>
        <v>0</v>
      </c>
      <c r="CU157" s="20">
        <f t="shared" si="537"/>
        <v>0</v>
      </c>
      <c r="CV157" s="20">
        <f t="shared" si="537"/>
        <v>0</v>
      </c>
      <c r="CW157" s="20">
        <f t="shared" si="537"/>
        <v>0</v>
      </c>
      <c r="CX157" s="20">
        <f t="shared" si="537"/>
        <v>0</v>
      </c>
      <c r="CY157" s="20">
        <f t="shared" si="537"/>
        <v>0</v>
      </c>
      <c r="CZ157" s="20">
        <f t="shared" si="537"/>
        <v>0</v>
      </c>
      <c r="DA157" s="20">
        <f t="shared" si="537"/>
        <v>0</v>
      </c>
      <c r="DB157" s="20">
        <f t="shared" si="537"/>
        <v>0</v>
      </c>
      <c r="DC157" s="20">
        <f t="shared" si="537"/>
        <v>0</v>
      </c>
      <c r="DD157" s="20">
        <f t="shared" si="537"/>
        <v>0</v>
      </c>
      <c r="DE157" s="20">
        <f t="shared" si="537"/>
        <v>0</v>
      </c>
      <c r="DF157" s="20">
        <f t="shared" si="537"/>
        <v>0</v>
      </c>
      <c r="DG157" s="20">
        <f t="shared" si="537"/>
        <v>0</v>
      </c>
      <c r="DH157" s="20">
        <f t="shared" si="537"/>
        <v>0</v>
      </c>
      <c r="DI157" s="20">
        <f t="shared" si="537"/>
        <v>0</v>
      </c>
      <c r="DJ157" s="20">
        <f t="shared" si="537"/>
        <v>0</v>
      </c>
      <c r="DK157" s="20">
        <f t="shared" si="537"/>
        <v>0</v>
      </c>
      <c r="DL157" s="20">
        <f t="shared" si="537"/>
        <v>0</v>
      </c>
      <c r="DM157" s="20">
        <f t="shared" si="537"/>
        <v>0</v>
      </c>
      <c r="DN157" s="20">
        <f t="shared" si="537"/>
        <v>0</v>
      </c>
      <c r="DO157" s="20">
        <f t="shared" si="537"/>
        <v>0</v>
      </c>
      <c r="DP157" s="20">
        <f t="shared" si="537"/>
        <v>0</v>
      </c>
      <c r="DQ157" s="20">
        <f t="shared" si="537"/>
        <v>0</v>
      </c>
    </row>
    <row r="158" spans="2:1006" x14ac:dyDescent="0.35">
      <c r="D158" s="20" t="s">
        <v>275</v>
      </c>
      <c r="F158" s="20" t="s">
        <v>129</v>
      </c>
      <c r="K158" s="20">
        <f>MAX(-K156,0)</f>
        <v>0</v>
      </c>
      <c r="L158" s="20">
        <f t="shared" ref="L158:BW158" si="538">MAX(-L156,0)</f>
        <v>0</v>
      </c>
      <c r="M158" s="20">
        <f t="shared" si="538"/>
        <v>0</v>
      </c>
      <c r="N158" s="20">
        <f t="shared" si="538"/>
        <v>0</v>
      </c>
      <c r="O158" s="20">
        <f t="shared" si="538"/>
        <v>0</v>
      </c>
      <c r="P158" s="20">
        <f t="shared" si="538"/>
        <v>0</v>
      </c>
      <c r="Q158" s="20">
        <f t="shared" si="538"/>
        <v>0</v>
      </c>
      <c r="R158" s="20">
        <f t="shared" si="538"/>
        <v>0</v>
      </c>
      <c r="S158" s="20">
        <f t="shared" si="538"/>
        <v>0</v>
      </c>
      <c r="T158" s="20">
        <f t="shared" si="538"/>
        <v>15546.849332373502</v>
      </c>
      <c r="U158" s="20">
        <f t="shared" si="538"/>
        <v>63040.086777140175</v>
      </c>
      <c r="V158" s="20">
        <f t="shared" si="538"/>
        <v>84651.398152109352</v>
      </c>
      <c r="W158" s="20">
        <f t="shared" si="538"/>
        <v>34471.857042985066</v>
      </c>
      <c r="X158" s="20">
        <f t="shared" si="538"/>
        <v>16347.737782215467</v>
      </c>
      <c r="Y158" s="20">
        <f t="shared" si="538"/>
        <v>63605.335327086199</v>
      </c>
      <c r="Z158" s="20">
        <f t="shared" si="538"/>
        <v>85109.774799535968</v>
      </c>
      <c r="AA158" s="20">
        <f t="shared" si="538"/>
        <v>35180.532412174129</v>
      </c>
      <c r="AB158" s="20">
        <f t="shared" si="538"/>
        <v>17147.234374399821</v>
      </c>
      <c r="AC158" s="20">
        <f t="shared" si="538"/>
        <v>64170.373189011916</v>
      </c>
      <c r="AD158" s="20">
        <f t="shared" si="538"/>
        <v>83459.402589079386</v>
      </c>
      <c r="AE158" s="20">
        <f t="shared" si="538"/>
        <v>32083.524901129567</v>
      </c>
      <c r="AF158" s="20">
        <f t="shared" si="538"/>
        <v>13527.34752320667</v>
      </c>
      <c r="AG158" s="20">
        <f t="shared" si="538"/>
        <v>61911.74400405043</v>
      </c>
      <c r="AH158" s="20">
        <f t="shared" si="538"/>
        <v>82473.94656205301</v>
      </c>
      <c r="AI158" s="20">
        <f t="shared" si="538"/>
        <v>30184.502907918126</v>
      </c>
      <c r="AJ158" s="20">
        <f t="shared" si="538"/>
        <v>11298.237697595905</v>
      </c>
      <c r="AK158" s="20">
        <f t="shared" si="538"/>
        <v>60542.63570222097</v>
      </c>
      <c r="AL158" s="20">
        <f t="shared" si="538"/>
        <v>82672.675878731985</v>
      </c>
      <c r="AM158" s="20">
        <f t="shared" si="538"/>
        <v>30420.206116164743</v>
      </c>
      <c r="AN158" s="20">
        <f t="shared" si="538"/>
        <v>11547.624973334983</v>
      </c>
      <c r="AO158" s="20">
        <f t="shared" si="538"/>
        <v>60758.202189525386</v>
      </c>
      <c r="AP158" s="20">
        <f t="shared" si="538"/>
        <v>78414.270728317686</v>
      </c>
      <c r="AQ158" s="20">
        <f t="shared" si="538"/>
        <v>22613.676215284679</v>
      </c>
      <c r="AR158" s="20">
        <f t="shared" si="538"/>
        <v>2458.2144672194554</v>
      </c>
      <c r="AS158" s="20">
        <f t="shared" si="538"/>
        <v>55006.214209755577</v>
      </c>
      <c r="AT158" s="20">
        <f t="shared" si="538"/>
        <v>70647.415835068998</v>
      </c>
      <c r="AU158" s="20">
        <f t="shared" si="538"/>
        <v>8476.3175947417622</v>
      </c>
      <c r="AV158" s="20">
        <f t="shared" si="538"/>
        <v>0</v>
      </c>
      <c r="AW158" s="20">
        <f t="shared" si="538"/>
        <v>44556.698144779584</v>
      </c>
      <c r="AX158" s="20">
        <f t="shared" si="538"/>
        <v>68723.113092981948</v>
      </c>
      <c r="AY158" s="20">
        <f t="shared" si="538"/>
        <v>4877.3079128642712</v>
      </c>
      <c r="AZ158" s="20">
        <f t="shared" si="538"/>
        <v>0</v>
      </c>
      <c r="BA158" s="20">
        <f t="shared" si="538"/>
        <v>41928.138530597964</v>
      </c>
      <c r="BB158" s="20">
        <f t="shared" si="538"/>
        <v>68870.397396948159</v>
      </c>
      <c r="BC158" s="20">
        <f t="shared" si="538"/>
        <v>5013.8063089713687</v>
      </c>
      <c r="BD158" s="20">
        <f t="shared" si="538"/>
        <v>0</v>
      </c>
      <c r="BE158" s="20">
        <f t="shared" si="538"/>
        <v>42072.21105924221</v>
      </c>
      <c r="BF158" s="20">
        <f t="shared" si="538"/>
        <v>65817.425310207444</v>
      </c>
      <c r="BG158" s="20">
        <f t="shared" si="538"/>
        <v>0</v>
      </c>
      <c r="BH158" s="20">
        <f t="shared" si="538"/>
        <v>0</v>
      </c>
      <c r="BI158" s="20">
        <f t="shared" si="538"/>
        <v>0</v>
      </c>
      <c r="BJ158" s="20">
        <f t="shared" si="538"/>
        <v>0</v>
      </c>
      <c r="BK158" s="20">
        <f t="shared" si="538"/>
        <v>0</v>
      </c>
      <c r="BL158" s="20">
        <f t="shared" si="538"/>
        <v>0</v>
      </c>
      <c r="BM158" s="20">
        <f t="shared" si="538"/>
        <v>0</v>
      </c>
      <c r="BN158" s="20">
        <f t="shared" si="538"/>
        <v>0</v>
      </c>
      <c r="BO158" s="20">
        <f t="shared" si="538"/>
        <v>0</v>
      </c>
      <c r="BP158" s="20">
        <f t="shared" si="538"/>
        <v>0</v>
      </c>
      <c r="BQ158" s="20">
        <f t="shared" si="538"/>
        <v>0</v>
      </c>
      <c r="BR158" s="20">
        <f t="shared" si="538"/>
        <v>0</v>
      </c>
      <c r="BS158" s="20">
        <f t="shared" si="538"/>
        <v>0</v>
      </c>
      <c r="BT158" s="20">
        <f t="shared" si="538"/>
        <v>0</v>
      </c>
      <c r="BU158" s="20">
        <f t="shared" si="538"/>
        <v>0</v>
      </c>
      <c r="BV158" s="20">
        <f t="shared" si="538"/>
        <v>0</v>
      </c>
      <c r="BW158" s="20">
        <f t="shared" si="538"/>
        <v>0</v>
      </c>
      <c r="BX158" s="20">
        <f t="shared" ref="BX158:DQ158" si="539">MAX(-BX156,0)</f>
        <v>0</v>
      </c>
      <c r="BY158" s="20">
        <f t="shared" si="539"/>
        <v>0</v>
      </c>
      <c r="BZ158" s="20">
        <f t="shared" si="539"/>
        <v>0</v>
      </c>
      <c r="CA158" s="20">
        <f t="shared" si="539"/>
        <v>0</v>
      </c>
      <c r="CB158" s="20">
        <f t="shared" si="539"/>
        <v>0</v>
      </c>
      <c r="CC158" s="20">
        <f t="shared" si="539"/>
        <v>0</v>
      </c>
      <c r="CD158" s="20">
        <f t="shared" si="539"/>
        <v>0</v>
      </c>
      <c r="CE158" s="20">
        <f t="shared" si="539"/>
        <v>0</v>
      </c>
      <c r="CF158" s="20">
        <f t="shared" si="539"/>
        <v>0</v>
      </c>
      <c r="CG158" s="20">
        <f t="shared" si="539"/>
        <v>0</v>
      </c>
      <c r="CH158" s="20">
        <f t="shared" si="539"/>
        <v>0</v>
      </c>
      <c r="CI158" s="20">
        <f t="shared" si="539"/>
        <v>0</v>
      </c>
      <c r="CJ158" s="20">
        <f t="shared" si="539"/>
        <v>0</v>
      </c>
      <c r="CK158" s="20">
        <f t="shared" si="539"/>
        <v>0</v>
      </c>
      <c r="CL158" s="20">
        <f t="shared" si="539"/>
        <v>0</v>
      </c>
      <c r="CM158" s="20">
        <f t="shared" si="539"/>
        <v>0</v>
      </c>
      <c r="CN158" s="20">
        <f t="shared" si="539"/>
        <v>0</v>
      </c>
      <c r="CO158" s="20">
        <f t="shared" si="539"/>
        <v>0</v>
      </c>
      <c r="CP158" s="20">
        <f t="shared" si="539"/>
        <v>0</v>
      </c>
      <c r="CQ158" s="20">
        <f t="shared" si="539"/>
        <v>0</v>
      </c>
      <c r="CR158" s="20">
        <f t="shared" si="539"/>
        <v>0</v>
      </c>
      <c r="CS158" s="20">
        <f t="shared" si="539"/>
        <v>0</v>
      </c>
      <c r="CT158" s="20">
        <f t="shared" si="539"/>
        <v>0</v>
      </c>
      <c r="CU158" s="20">
        <f t="shared" si="539"/>
        <v>0</v>
      </c>
      <c r="CV158" s="20">
        <f t="shared" si="539"/>
        <v>0</v>
      </c>
      <c r="CW158" s="20">
        <f t="shared" si="539"/>
        <v>0</v>
      </c>
      <c r="CX158" s="20">
        <f t="shared" si="539"/>
        <v>0</v>
      </c>
      <c r="CY158" s="20">
        <f t="shared" si="539"/>
        <v>0</v>
      </c>
      <c r="CZ158" s="20">
        <f t="shared" si="539"/>
        <v>0</v>
      </c>
      <c r="DA158" s="20">
        <f t="shared" si="539"/>
        <v>0</v>
      </c>
      <c r="DB158" s="20">
        <f t="shared" si="539"/>
        <v>0</v>
      </c>
      <c r="DC158" s="20">
        <f t="shared" si="539"/>
        <v>0</v>
      </c>
      <c r="DD158" s="20">
        <f t="shared" si="539"/>
        <v>0</v>
      </c>
      <c r="DE158" s="20">
        <f t="shared" si="539"/>
        <v>0</v>
      </c>
      <c r="DF158" s="20">
        <f t="shared" si="539"/>
        <v>0</v>
      </c>
      <c r="DG158" s="20">
        <f t="shared" si="539"/>
        <v>0</v>
      </c>
      <c r="DH158" s="20">
        <f t="shared" si="539"/>
        <v>0</v>
      </c>
      <c r="DI158" s="20">
        <f t="shared" si="539"/>
        <v>0</v>
      </c>
      <c r="DJ158" s="20">
        <f t="shared" si="539"/>
        <v>0</v>
      </c>
      <c r="DK158" s="20">
        <f t="shared" si="539"/>
        <v>0</v>
      </c>
      <c r="DL158" s="20">
        <f t="shared" si="539"/>
        <v>0</v>
      </c>
      <c r="DM158" s="20">
        <f t="shared" si="539"/>
        <v>0</v>
      </c>
      <c r="DN158" s="20">
        <f t="shared" si="539"/>
        <v>0</v>
      </c>
      <c r="DO158" s="20">
        <f t="shared" si="539"/>
        <v>0</v>
      </c>
      <c r="DP158" s="20">
        <f t="shared" si="539"/>
        <v>0</v>
      </c>
      <c r="DQ158" s="20">
        <f t="shared" si="539"/>
        <v>0</v>
      </c>
    </row>
    <row r="159" spans="2:1006" x14ac:dyDescent="0.35">
      <c r="D159" s="20" t="s">
        <v>276</v>
      </c>
      <c r="F159" s="20" t="s">
        <v>129</v>
      </c>
      <c r="K159" s="20">
        <f>MAX(MIN(K157,K156),0)</f>
        <v>0</v>
      </c>
      <c r="L159" s="20">
        <f t="shared" ref="L159:BW159" si="540">MAX(MIN(L157,L156),0)</f>
        <v>0</v>
      </c>
      <c r="M159" s="20">
        <f t="shared" si="540"/>
        <v>0</v>
      </c>
      <c r="N159" s="20">
        <f t="shared" si="540"/>
        <v>0</v>
      </c>
      <c r="O159" s="20">
        <f t="shared" si="540"/>
        <v>0</v>
      </c>
      <c r="P159" s="20">
        <f t="shared" si="540"/>
        <v>0</v>
      </c>
      <c r="Q159" s="20">
        <f t="shared" si="540"/>
        <v>0</v>
      </c>
      <c r="R159" s="20">
        <f t="shared" si="540"/>
        <v>0</v>
      </c>
      <c r="S159" s="20">
        <f t="shared" si="540"/>
        <v>0</v>
      </c>
      <c r="T159" s="20">
        <f t="shared" si="540"/>
        <v>0</v>
      </c>
      <c r="U159" s="20">
        <f t="shared" si="540"/>
        <v>0</v>
      </c>
      <c r="V159" s="20">
        <f t="shared" si="540"/>
        <v>0</v>
      </c>
      <c r="W159" s="20">
        <f t="shared" si="540"/>
        <v>0</v>
      </c>
      <c r="X159" s="20">
        <f t="shared" si="540"/>
        <v>0</v>
      </c>
      <c r="Y159" s="20">
        <f t="shared" si="540"/>
        <v>0</v>
      </c>
      <c r="Z159" s="20">
        <f t="shared" si="540"/>
        <v>0</v>
      </c>
      <c r="AA159" s="20">
        <f t="shared" si="540"/>
        <v>0</v>
      </c>
      <c r="AB159" s="20">
        <f t="shared" si="540"/>
        <v>0</v>
      </c>
      <c r="AC159" s="20">
        <f t="shared" si="540"/>
        <v>0</v>
      </c>
      <c r="AD159" s="20">
        <f t="shared" si="540"/>
        <v>0</v>
      </c>
      <c r="AE159" s="20">
        <f t="shared" si="540"/>
        <v>0</v>
      </c>
      <c r="AF159" s="20">
        <f t="shared" si="540"/>
        <v>0</v>
      </c>
      <c r="AG159" s="20">
        <f t="shared" si="540"/>
        <v>0</v>
      </c>
      <c r="AH159" s="20">
        <f t="shared" si="540"/>
        <v>0</v>
      </c>
      <c r="AI159" s="20">
        <f t="shared" si="540"/>
        <v>0</v>
      </c>
      <c r="AJ159" s="20">
        <f t="shared" si="540"/>
        <v>0</v>
      </c>
      <c r="AK159" s="20">
        <f t="shared" si="540"/>
        <v>0</v>
      </c>
      <c r="AL159" s="20">
        <f t="shared" si="540"/>
        <v>0</v>
      </c>
      <c r="AM159" s="20">
        <f t="shared" si="540"/>
        <v>0</v>
      </c>
      <c r="AN159" s="20">
        <f t="shared" si="540"/>
        <v>0</v>
      </c>
      <c r="AO159" s="20">
        <f t="shared" si="540"/>
        <v>0</v>
      </c>
      <c r="AP159" s="20">
        <f t="shared" si="540"/>
        <v>0</v>
      </c>
      <c r="AQ159" s="20">
        <f t="shared" si="540"/>
        <v>0</v>
      </c>
      <c r="AR159" s="20">
        <f t="shared" si="540"/>
        <v>0</v>
      </c>
      <c r="AS159" s="20">
        <f t="shared" si="540"/>
        <v>0</v>
      </c>
      <c r="AT159" s="20">
        <f t="shared" si="540"/>
        <v>0</v>
      </c>
      <c r="AU159" s="20">
        <f t="shared" si="540"/>
        <v>0</v>
      </c>
      <c r="AV159" s="20">
        <f t="shared" si="540"/>
        <v>13982.747936419706</v>
      </c>
      <c r="AW159" s="20">
        <f t="shared" si="540"/>
        <v>0</v>
      </c>
      <c r="AX159" s="20">
        <f t="shared" si="540"/>
        <v>0</v>
      </c>
      <c r="AY159" s="20">
        <f t="shared" si="540"/>
        <v>0</v>
      </c>
      <c r="AZ159" s="20">
        <f t="shared" si="540"/>
        <v>18187.098168809258</v>
      </c>
      <c r="BA159" s="20">
        <f t="shared" si="540"/>
        <v>0</v>
      </c>
      <c r="BB159" s="20">
        <f t="shared" si="540"/>
        <v>0</v>
      </c>
      <c r="BC159" s="20">
        <f t="shared" si="540"/>
        <v>0</v>
      </c>
      <c r="BD159" s="20">
        <f t="shared" si="540"/>
        <v>18054.170247356757</v>
      </c>
      <c r="BE159" s="20">
        <f t="shared" si="540"/>
        <v>0</v>
      </c>
      <c r="BF159" s="20">
        <f t="shared" si="540"/>
        <v>0</v>
      </c>
      <c r="BG159" s="20">
        <f t="shared" si="540"/>
        <v>624.61174694742658</v>
      </c>
      <c r="BH159" s="20">
        <f t="shared" si="540"/>
        <v>139677.29295513188</v>
      </c>
      <c r="BI159" s="20">
        <f t="shared" si="540"/>
        <v>77118.683889877779</v>
      </c>
      <c r="BJ159" s="20">
        <f t="shared" si="540"/>
        <v>52979.046987055401</v>
      </c>
      <c r="BK159" s="20">
        <f t="shared" si="540"/>
        <v>122565.7835075046</v>
      </c>
      <c r="BL159" s="20">
        <f t="shared" si="540"/>
        <v>147705.42148298217</v>
      </c>
      <c r="BM159" s="20">
        <f t="shared" si="540"/>
        <v>82188.678986765997</v>
      </c>
      <c r="BN159" s="20">
        <f t="shared" si="540"/>
        <v>58080.525769570362</v>
      </c>
      <c r="BO159" s="20">
        <f t="shared" si="540"/>
        <v>131903.08955718775</v>
      </c>
      <c r="BP159" s="20">
        <f t="shared" si="540"/>
        <v>158574.29138370621</v>
      </c>
      <c r="BQ159" s="20">
        <f t="shared" si="540"/>
        <v>89073.364172271278</v>
      </c>
      <c r="BR159" s="20">
        <f t="shared" si="540"/>
        <v>62804.238692327359</v>
      </c>
      <c r="BS159" s="20">
        <f t="shared" si="540"/>
        <v>140560.63407530065</v>
      </c>
      <c r="BT159" s="20">
        <f t="shared" si="540"/>
        <v>168654.17660468101</v>
      </c>
      <c r="BU159" s="20">
        <f t="shared" si="540"/>
        <v>95453.030011476396</v>
      </c>
      <c r="BV159" s="20">
        <f t="shared" si="540"/>
        <v>41439.550865652185</v>
      </c>
      <c r="BW159" s="20">
        <f t="shared" si="540"/>
        <v>0</v>
      </c>
      <c r="BX159" s="20">
        <f t="shared" ref="BX159:DQ159" si="541">MAX(MIN(BX157,BX156),0)</f>
        <v>0</v>
      </c>
      <c r="BY159" s="20">
        <f t="shared" si="541"/>
        <v>0</v>
      </c>
      <c r="BZ159" s="20">
        <f t="shared" si="541"/>
        <v>0</v>
      </c>
      <c r="CA159" s="20">
        <f t="shared" si="541"/>
        <v>0</v>
      </c>
      <c r="CB159" s="20">
        <f t="shared" si="541"/>
        <v>0</v>
      </c>
      <c r="CC159" s="20">
        <f t="shared" si="541"/>
        <v>0</v>
      </c>
      <c r="CD159" s="20">
        <f t="shared" si="541"/>
        <v>0</v>
      </c>
      <c r="CE159" s="20">
        <f t="shared" si="541"/>
        <v>0</v>
      </c>
      <c r="CF159" s="20">
        <f t="shared" si="541"/>
        <v>0</v>
      </c>
      <c r="CG159" s="20">
        <f t="shared" si="541"/>
        <v>0</v>
      </c>
      <c r="CH159" s="20">
        <f t="shared" si="541"/>
        <v>0</v>
      </c>
      <c r="CI159" s="20">
        <f t="shared" si="541"/>
        <v>0</v>
      </c>
      <c r="CJ159" s="20">
        <f t="shared" si="541"/>
        <v>0</v>
      </c>
      <c r="CK159" s="20">
        <f t="shared" si="541"/>
        <v>0</v>
      </c>
      <c r="CL159" s="20">
        <f t="shared" si="541"/>
        <v>0</v>
      </c>
      <c r="CM159" s="20">
        <f t="shared" si="541"/>
        <v>0</v>
      </c>
      <c r="CN159" s="20">
        <f t="shared" si="541"/>
        <v>0</v>
      </c>
      <c r="CO159" s="20">
        <f t="shared" si="541"/>
        <v>0</v>
      </c>
      <c r="CP159" s="20">
        <f t="shared" si="541"/>
        <v>0</v>
      </c>
      <c r="CQ159" s="20">
        <f t="shared" si="541"/>
        <v>0</v>
      </c>
      <c r="CR159" s="20">
        <f t="shared" si="541"/>
        <v>0</v>
      </c>
      <c r="CS159" s="20">
        <f t="shared" si="541"/>
        <v>0</v>
      </c>
      <c r="CT159" s="20">
        <f t="shared" si="541"/>
        <v>0</v>
      </c>
      <c r="CU159" s="20">
        <f t="shared" si="541"/>
        <v>0</v>
      </c>
      <c r="CV159" s="20">
        <f t="shared" si="541"/>
        <v>0</v>
      </c>
      <c r="CW159" s="20">
        <f t="shared" si="541"/>
        <v>0</v>
      </c>
      <c r="CX159" s="20">
        <f t="shared" si="541"/>
        <v>0</v>
      </c>
      <c r="CY159" s="20">
        <f t="shared" si="541"/>
        <v>0</v>
      </c>
      <c r="CZ159" s="20">
        <f t="shared" si="541"/>
        <v>0</v>
      </c>
      <c r="DA159" s="20">
        <f t="shared" si="541"/>
        <v>0</v>
      </c>
      <c r="DB159" s="20">
        <f t="shared" si="541"/>
        <v>0</v>
      </c>
      <c r="DC159" s="20">
        <f t="shared" si="541"/>
        <v>0</v>
      </c>
      <c r="DD159" s="20">
        <f t="shared" si="541"/>
        <v>0</v>
      </c>
      <c r="DE159" s="20">
        <f t="shared" si="541"/>
        <v>0</v>
      </c>
      <c r="DF159" s="20">
        <f t="shared" si="541"/>
        <v>0</v>
      </c>
      <c r="DG159" s="20">
        <f t="shared" si="541"/>
        <v>0</v>
      </c>
      <c r="DH159" s="20">
        <f t="shared" si="541"/>
        <v>0</v>
      </c>
      <c r="DI159" s="20">
        <f t="shared" si="541"/>
        <v>0</v>
      </c>
      <c r="DJ159" s="20">
        <f t="shared" si="541"/>
        <v>0</v>
      </c>
      <c r="DK159" s="20">
        <f t="shared" si="541"/>
        <v>0</v>
      </c>
      <c r="DL159" s="20">
        <f t="shared" si="541"/>
        <v>0</v>
      </c>
      <c r="DM159" s="20">
        <f t="shared" si="541"/>
        <v>0</v>
      </c>
      <c r="DN159" s="20">
        <f t="shared" si="541"/>
        <v>0</v>
      </c>
      <c r="DO159" s="20">
        <f t="shared" si="541"/>
        <v>0</v>
      </c>
      <c r="DP159" s="20">
        <f t="shared" si="541"/>
        <v>0</v>
      </c>
      <c r="DQ159" s="20">
        <f t="shared" si="541"/>
        <v>0</v>
      </c>
    </row>
    <row r="160" spans="2:1006" x14ac:dyDescent="0.35">
      <c r="D160" s="20" t="s">
        <v>277</v>
      </c>
      <c r="F160" s="20" t="s">
        <v>129</v>
      </c>
      <c r="K160" s="20">
        <f>K157+K158-K159</f>
        <v>0</v>
      </c>
      <c r="L160" s="20">
        <f t="shared" ref="L160:BW160" si="542">L157+L158-L159</f>
        <v>0</v>
      </c>
      <c r="M160" s="20">
        <f t="shared" si="542"/>
        <v>0</v>
      </c>
      <c r="N160" s="20">
        <f t="shared" si="542"/>
        <v>0</v>
      </c>
      <c r="O160" s="20">
        <f t="shared" si="542"/>
        <v>0</v>
      </c>
      <c r="P160" s="20">
        <f t="shared" si="542"/>
        <v>0</v>
      </c>
      <c r="Q160" s="20">
        <f t="shared" si="542"/>
        <v>0</v>
      </c>
      <c r="R160" s="20">
        <f t="shared" si="542"/>
        <v>0</v>
      </c>
      <c r="S160" s="20">
        <f t="shared" si="542"/>
        <v>0</v>
      </c>
      <c r="T160" s="20">
        <f t="shared" si="542"/>
        <v>15546.849332373502</v>
      </c>
      <c r="U160" s="20">
        <f t="shared" si="542"/>
        <v>78586.936109513685</v>
      </c>
      <c r="V160" s="20">
        <f t="shared" si="542"/>
        <v>163238.33426162304</v>
      </c>
      <c r="W160" s="20">
        <f t="shared" si="542"/>
        <v>197710.1913046081</v>
      </c>
      <c r="X160" s="20">
        <f t="shared" si="542"/>
        <v>214057.92908682357</v>
      </c>
      <c r="Y160" s="20">
        <f t="shared" si="542"/>
        <v>277663.26441390975</v>
      </c>
      <c r="Z160" s="20">
        <f t="shared" si="542"/>
        <v>362773.03921344574</v>
      </c>
      <c r="AA160" s="20">
        <f t="shared" si="542"/>
        <v>397953.57162561989</v>
      </c>
      <c r="AB160" s="20">
        <f t="shared" si="542"/>
        <v>415100.80600001971</v>
      </c>
      <c r="AC160" s="20">
        <f t="shared" si="542"/>
        <v>479271.17918903165</v>
      </c>
      <c r="AD160" s="20">
        <f t="shared" si="542"/>
        <v>562730.58177811105</v>
      </c>
      <c r="AE160" s="20">
        <f t="shared" si="542"/>
        <v>594814.10667924059</v>
      </c>
      <c r="AF160" s="20">
        <f t="shared" si="542"/>
        <v>608341.45420244732</v>
      </c>
      <c r="AG160" s="20">
        <f t="shared" si="542"/>
        <v>670253.19820649771</v>
      </c>
      <c r="AH160" s="20">
        <f t="shared" si="542"/>
        <v>752727.14476855076</v>
      </c>
      <c r="AI160" s="20">
        <f t="shared" si="542"/>
        <v>782911.64767646883</v>
      </c>
      <c r="AJ160" s="20">
        <f t="shared" si="542"/>
        <v>794209.88537406479</v>
      </c>
      <c r="AK160" s="20">
        <f t="shared" si="542"/>
        <v>854752.52107628575</v>
      </c>
      <c r="AL160" s="20">
        <f t="shared" si="542"/>
        <v>937425.19695501775</v>
      </c>
      <c r="AM160" s="20">
        <f t="shared" si="542"/>
        <v>967845.40307118255</v>
      </c>
      <c r="AN160" s="20">
        <f t="shared" si="542"/>
        <v>979393.0280445175</v>
      </c>
      <c r="AO160" s="20">
        <f t="shared" si="542"/>
        <v>1040151.2302340429</v>
      </c>
      <c r="AP160" s="20">
        <f t="shared" si="542"/>
        <v>1118565.5009623605</v>
      </c>
      <c r="AQ160" s="20">
        <f t="shared" si="542"/>
        <v>1141179.1771776453</v>
      </c>
      <c r="AR160" s="20">
        <f t="shared" si="542"/>
        <v>1143637.3916448648</v>
      </c>
      <c r="AS160" s="20">
        <f t="shared" si="542"/>
        <v>1198643.6058546205</v>
      </c>
      <c r="AT160" s="20">
        <f t="shared" si="542"/>
        <v>1269291.0216896895</v>
      </c>
      <c r="AU160" s="20">
        <f t="shared" si="542"/>
        <v>1277767.3392844312</v>
      </c>
      <c r="AV160" s="20">
        <f t="shared" si="542"/>
        <v>1263784.5913480115</v>
      </c>
      <c r="AW160" s="20">
        <f t="shared" si="542"/>
        <v>1308341.2894927911</v>
      </c>
      <c r="AX160" s="20">
        <f t="shared" si="542"/>
        <v>1377064.402585773</v>
      </c>
      <c r="AY160" s="20">
        <f t="shared" si="542"/>
        <v>1381941.7104986373</v>
      </c>
      <c r="AZ160" s="20">
        <f t="shared" si="542"/>
        <v>1363754.6123298281</v>
      </c>
      <c r="BA160" s="20">
        <f t="shared" si="542"/>
        <v>1405682.7508604261</v>
      </c>
      <c r="BB160" s="20">
        <f t="shared" si="542"/>
        <v>1474553.1482573743</v>
      </c>
      <c r="BC160" s="20">
        <f t="shared" si="542"/>
        <v>1479566.9545663456</v>
      </c>
      <c r="BD160" s="20">
        <f t="shared" si="542"/>
        <v>1461512.7843189887</v>
      </c>
      <c r="BE160" s="20">
        <f t="shared" si="542"/>
        <v>1503584.9953782309</v>
      </c>
      <c r="BF160" s="20">
        <f t="shared" si="542"/>
        <v>1569402.4206884385</v>
      </c>
      <c r="BG160" s="20">
        <f t="shared" si="542"/>
        <v>1568777.8089414909</v>
      </c>
      <c r="BH160" s="20">
        <f t="shared" si="542"/>
        <v>1429100.515986359</v>
      </c>
      <c r="BI160" s="20">
        <f t="shared" si="542"/>
        <v>1351981.8320964812</v>
      </c>
      <c r="BJ160" s="20">
        <f t="shared" si="542"/>
        <v>1299002.7851094259</v>
      </c>
      <c r="BK160" s="20">
        <f t="shared" si="542"/>
        <v>1176437.0016019214</v>
      </c>
      <c r="BL160" s="20">
        <f t="shared" si="542"/>
        <v>1028731.5801189393</v>
      </c>
      <c r="BM160" s="20">
        <f t="shared" si="542"/>
        <v>946542.90113217325</v>
      </c>
      <c r="BN160" s="20">
        <f t="shared" si="542"/>
        <v>888462.37536260288</v>
      </c>
      <c r="BO160" s="20">
        <f t="shared" si="542"/>
        <v>756559.28580541513</v>
      </c>
      <c r="BP160" s="20">
        <f t="shared" si="542"/>
        <v>597984.99442170886</v>
      </c>
      <c r="BQ160" s="20">
        <f t="shared" si="542"/>
        <v>508911.63024943759</v>
      </c>
      <c r="BR160" s="20">
        <f t="shared" si="542"/>
        <v>446107.39155711024</v>
      </c>
      <c r="BS160" s="20">
        <f t="shared" si="542"/>
        <v>305546.75748180959</v>
      </c>
      <c r="BT160" s="20">
        <f t="shared" si="542"/>
        <v>136892.58087712858</v>
      </c>
      <c r="BU160" s="20">
        <f t="shared" si="542"/>
        <v>41439.550865652185</v>
      </c>
      <c r="BV160" s="20">
        <f t="shared" si="542"/>
        <v>0</v>
      </c>
      <c r="BW160" s="20">
        <f t="shared" si="542"/>
        <v>0</v>
      </c>
      <c r="BX160" s="20">
        <f t="shared" ref="BX160:DQ160" si="543">BX157+BX158-BX159</f>
        <v>0</v>
      </c>
      <c r="BY160" s="20">
        <f t="shared" si="543"/>
        <v>0</v>
      </c>
      <c r="BZ160" s="20">
        <f t="shared" si="543"/>
        <v>0</v>
      </c>
      <c r="CA160" s="20">
        <f t="shared" si="543"/>
        <v>0</v>
      </c>
      <c r="CB160" s="20">
        <f t="shared" si="543"/>
        <v>0</v>
      </c>
      <c r="CC160" s="20">
        <f t="shared" si="543"/>
        <v>0</v>
      </c>
      <c r="CD160" s="20">
        <f t="shared" si="543"/>
        <v>0</v>
      </c>
      <c r="CE160" s="20">
        <f t="shared" si="543"/>
        <v>0</v>
      </c>
      <c r="CF160" s="20">
        <f t="shared" si="543"/>
        <v>0</v>
      </c>
      <c r="CG160" s="20">
        <f t="shared" si="543"/>
        <v>0</v>
      </c>
      <c r="CH160" s="20">
        <f t="shared" si="543"/>
        <v>0</v>
      </c>
      <c r="CI160" s="20">
        <f t="shared" si="543"/>
        <v>0</v>
      </c>
      <c r="CJ160" s="20">
        <f t="shared" si="543"/>
        <v>0</v>
      </c>
      <c r="CK160" s="20">
        <f t="shared" si="543"/>
        <v>0</v>
      </c>
      <c r="CL160" s="20">
        <f t="shared" si="543"/>
        <v>0</v>
      </c>
      <c r="CM160" s="20">
        <f t="shared" si="543"/>
        <v>0</v>
      </c>
      <c r="CN160" s="20">
        <f t="shared" si="543"/>
        <v>0</v>
      </c>
      <c r="CO160" s="20">
        <f t="shared" si="543"/>
        <v>0</v>
      </c>
      <c r="CP160" s="20">
        <f t="shared" si="543"/>
        <v>0</v>
      </c>
      <c r="CQ160" s="20">
        <f t="shared" si="543"/>
        <v>0</v>
      </c>
      <c r="CR160" s="20">
        <f t="shared" si="543"/>
        <v>0</v>
      </c>
      <c r="CS160" s="20">
        <f t="shared" si="543"/>
        <v>0</v>
      </c>
      <c r="CT160" s="20">
        <f t="shared" si="543"/>
        <v>0</v>
      </c>
      <c r="CU160" s="20">
        <f t="shared" si="543"/>
        <v>0</v>
      </c>
      <c r="CV160" s="20">
        <f t="shared" si="543"/>
        <v>0</v>
      </c>
      <c r="CW160" s="20">
        <f t="shared" si="543"/>
        <v>0</v>
      </c>
      <c r="CX160" s="20">
        <f t="shared" si="543"/>
        <v>0</v>
      </c>
      <c r="CY160" s="20">
        <f t="shared" si="543"/>
        <v>0</v>
      </c>
      <c r="CZ160" s="20">
        <f t="shared" si="543"/>
        <v>0</v>
      </c>
      <c r="DA160" s="20">
        <f t="shared" si="543"/>
        <v>0</v>
      </c>
      <c r="DB160" s="20">
        <f t="shared" si="543"/>
        <v>0</v>
      </c>
      <c r="DC160" s="20">
        <f t="shared" si="543"/>
        <v>0</v>
      </c>
      <c r="DD160" s="20">
        <f t="shared" si="543"/>
        <v>0</v>
      </c>
      <c r="DE160" s="20">
        <f t="shared" si="543"/>
        <v>0</v>
      </c>
      <c r="DF160" s="20">
        <f t="shared" si="543"/>
        <v>0</v>
      </c>
      <c r="DG160" s="20">
        <f t="shared" si="543"/>
        <v>0</v>
      </c>
      <c r="DH160" s="20">
        <f t="shared" si="543"/>
        <v>0</v>
      </c>
      <c r="DI160" s="20">
        <f t="shared" si="543"/>
        <v>0</v>
      </c>
      <c r="DJ160" s="20">
        <f t="shared" si="543"/>
        <v>0</v>
      </c>
      <c r="DK160" s="20">
        <f t="shared" si="543"/>
        <v>0</v>
      </c>
      <c r="DL160" s="20">
        <f t="shared" si="543"/>
        <v>0</v>
      </c>
      <c r="DM160" s="20">
        <f t="shared" si="543"/>
        <v>0</v>
      </c>
      <c r="DN160" s="20">
        <f t="shared" si="543"/>
        <v>0</v>
      </c>
      <c r="DO160" s="20">
        <f t="shared" si="543"/>
        <v>0</v>
      </c>
      <c r="DP160" s="20">
        <f t="shared" si="543"/>
        <v>0</v>
      </c>
      <c r="DQ160" s="20">
        <f t="shared" si="543"/>
        <v>0</v>
      </c>
    </row>
    <row r="162" spans="2:1006" x14ac:dyDescent="0.35">
      <c r="D162" s="20" t="s">
        <v>278</v>
      </c>
      <c r="F162" s="20" t="s">
        <v>129</v>
      </c>
      <c r="K162" s="20">
        <f>K156+K158-K159</f>
        <v>0</v>
      </c>
      <c r="L162" s="20">
        <f t="shared" ref="L162:BW162" si="544">L156+L158-L159</f>
        <v>0</v>
      </c>
      <c r="M162" s="20">
        <f t="shared" si="544"/>
        <v>0</v>
      </c>
      <c r="N162" s="20">
        <f t="shared" si="544"/>
        <v>0</v>
      </c>
      <c r="O162" s="20">
        <f t="shared" si="544"/>
        <v>0</v>
      </c>
      <c r="P162" s="20">
        <f t="shared" si="544"/>
        <v>0</v>
      </c>
      <c r="Q162" s="20">
        <f t="shared" si="544"/>
        <v>0</v>
      </c>
      <c r="R162" s="20">
        <f t="shared" si="544"/>
        <v>0</v>
      </c>
      <c r="S162" s="20">
        <f t="shared" si="544"/>
        <v>0</v>
      </c>
      <c r="T162" s="20">
        <f t="shared" si="544"/>
        <v>0</v>
      </c>
      <c r="U162" s="20">
        <f t="shared" si="544"/>
        <v>0</v>
      </c>
      <c r="V162" s="20">
        <f t="shared" si="544"/>
        <v>0</v>
      </c>
      <c r="W162" s="20">
        <f t="shared" si="544"/>
        <v>0</v>
      </c>
      <c r="X162" s="20">
        <f t="shared" si="544"/>
        <v>0</v>
      </c>
      <c r="Y162" s="20">
        <f t="shared" si="544"/>
        <v>0</v>
      </c>
      <c r="Z162" s="20">
        <f t="shared" si="544"/>
        <v>0</v>
      </c>
      <c r="AA162" s="20">
        <f t="shared" si="544"/>
        <v>0</v>
      </c>
      <c r="AB162" s="20">
        <f t="shared" si="544"/>
        <v>0</v>
      </c>
      <c r="AC162" s="20">
        <f t="shared" si="544"/>
        <v>0</v>
      </c>
      <c r="AD162" s="20">
        <f t="shared" si="544"/>
        <v>0</v>
      </c>
      <c r="AE162" s="20">
        <f t="shared" si="544"/>
        <v>0</v>
      </c>
      <c r="AF162" s="20">
        <f t="shared" si="544"/>
        <v>0</v>
      </c>
      <c r="AG162" s="20">
        <f t="shared" si="544"/>
        <v>0</v>
      </c>
      <c r="AH162" s="20">
        <f t="shared" si="544"/>
        <v>0</v>
      </c>
      <c r="AI162" s="20">
        <f t="shared" si="544"/>
        <v>0</v>
      </c>
      <c r="AJ162" s="20">
        <f t="shared" si="544"/>
        <v>0</v>
      </c>
      <c r="AK162" s="20">
        <f t="shared" si="544"/>
        <v>0</v>
      </c>
      <c r="AL162" s="20">
        <f t="shared" si="544"/>
        <v>0</v>
      </c>
      <c r="AM162" s="20">
        <f t="shared" si="544"/>
        <v>0</v>
      </c>
      <c r="AN162" s="20">
        <f t="shared" si="544"/>
        <v>0</v>
      </c>
      <c r="AO162" s="20">
        <f t="shared" si="544"/>
        <v>0</v>
      </c>
      <c r="AP162" s="20">
        <f t="shared" si="544"/>
        <v>0</v>
      </c>
      <c r="AQ162" s="20">
        <f t="shared" si="544"/>
        <v>0</v>
      </c>
      <c r="AR162" s="20">
        <f t="shared" si="544"/>
        <v>0</v>
      </c>
      <c r="AS162" s="20">
        <f t="shared" si="544"/>
        <v>0</v>
      </c>
      <c r="AT162" s="20">
        <f t="shared" si="544"/>
        <v>0</v>
      </c>
      <c r="AU162" s="20">
        <f t="shared" si="544"/>
        <v>0</v>
      </c>
      <c r="AV162" s="20">
        <f t="shared" si="544"/>
        <v>0</v>
      </c>
      <c r="AW162" s="20">
        <f t="shared" si="544"/>
        <v>0</v>
      </c>
      <c r="AX162" s="20">
        <f t="shared" si="544"/>
        <v>0</v>
      </c>
      <c r="AY162" s="20">
        <f t="shared" si="544"/>
        <v>0</v>
      </c>
      <c r="AZ162" s="20">
        <f t="shared" si="544"/>
        <v>0</v>
      </c>
      <c r="BA162" s="20">
        <f t="shared" si="544"/>
        <v>0</v>
      </c>
      <c r="BB162" s="20">
        <f t="shared" si="544"/>
        <v>0</v>
      </c>
      <c r="BC162" s="20">
        <f t="shared" si="544"/>
        <v>0</v>
      </c>
      <c r="BD162" s="20">
        <f t="shared" si="544"/>
        <v>0</v>
      </c>
      <c r="BE162" s="20">
        <f t="shared" si="544"/>
        <v>0</v>
      </c>
      <c r="BF162" s="20">
        <f t="shared" si="544"/>
        <v>0</v>
      </c>
      <c r="BG162" s="20">
        <f t="shared" si="544"/>
        <v>0</v>
      </c>
      <c r="BH162" s="20">
        <f t="shared" si="544"/>
        <v>0</v>
      </c>
      <c r="BI162" s="20">
        <f t="shared" si="544"/>
        <v>0</v>
      </c>
      <c r="BJ162" s="20">
        <f t="shared" si="544"/>
        <v>0</v>
      </c>
      <c r="BK162" s="20">
        <f t="shared" si="544"/>
        <v>0</v>
      </c>
      <c r="BL162" s="20">
        <f t="shared" si="544"/>
        <v>0</v>
      </c>
      <c r="BM162" s="20">
        <f t="shared" si="544"/>
        <v>0</v>
      </c>
      <c r="BN162" s="20">
        <f t="shared" si="544"/>
        <v>0</v>
      </c>
      <c r="BO162" s="20">
        <f t="shared" si="544"/>
        <v>0</v>
      </c>
      <c r="BP162" s="20">
        <f t="shared" si="544"/>
        <v>0</v>
      </c>
      <c r="BQ162" s="20">
        <f t="shared" si="544"/>
        <v>0</v>
      </c>
      <c r="BR162" s="20">
        <f t="shared" si="544"/>
        <v>0</v>
      </c>
      <c r="BS162" s="20">
        <f t="shared" si="544"/>
        <v>0</v>
      </c>
      <c r="BT162" s="20">
        <f t="shared" si="544"/>
        <v>0</v>
      </c>
      <c r="BU162" s="20">
        <f t="shared" si="544"/>
        <v>0</v>
      </c>
      <c r="BV162" s="20">
        <f t="shared" si="544"/>
        <v>24304.958847356655</v>
      </c>
      <c r="BW162" s="20">
        <f t="shared" si="544"/>
        <v>146002.60306990769</v>
      </c>
      <c r="BX162" s="20">
        <f t="shared" ref="BX162:DQ162" si="545">BX156+BX158-BX159</f>
        <v>175000.54296850946</v>
      </c>
      <c r="BY162" s="20">
        <f t="shared" si="545"/>
        <v>99445.861790989045</v>
      </c>
      <c r="BZ162" s="20">
        <f t="shared" si="545"/>
        <v>67006.981066041219</v>
      </c>
      <c r="CA162" s="20">
        <f t="shared" si="545"/>
        <v>148419.59989684005</v>
      </c>
      <c r="CB162" s="20">
        <f t="shared" si="545"/>
        <v>177834.72037799895</v>
      </c>
      <c r="CC162" s="20">
        <f t="shared" si="545"/>
        <v>101193.29641833418</v>
      </c>
      <c r="CD162" s="20">
        <f t="shared" si="545"/>
        <v>71940.215861161763</v>
      </c>
      <c r="CE162" s="20">
        <f t="shared" si="545"/>
        <v>157460.45343033172</v>
      </c>
      <c r="CF162" s="20">
        <f t="shared" si="545"/>
        <v>188360.7505279521</v>
      </c>
      <c r="CG162" s="20">
        <f t="shared" si="545"/>
        <v>107855.64152849109</v>
      </c>
      <c r="CH162" s="20">
        <f t="shared" si="545"/>
        <v>74850.981695199676</v>
      </c>
      <c r="CI162" s="20">
        <f t="shared" si="545"/>
        <v>162854.60245810822</v>
      </c>
      <c r="CJ162" s="20">
        <f t="shared" si="545"/>
        <v>194652.65798302944</v>
      </c>
      <c r="CK162" s="20">
        <f t="shared" si="545"/>
        <v>111811.19016971644</v>
      </c>
      <c r="CL162" s="20">
        <f t="shared" si="545"/>
        <v>82083.753453313155</v>
      </c>
      <c r="CM162" s="20">
        <f t="shared" si="545"/>
        <v>176047.50066476566</v>
      </c>
      <c r="CN162" s="20">
        <f t="shared" si="545"/>
        <v>210000.69117086928</v>
      </c>
      <c r="CO162" s="20">
        <f t="shared" si="545"/>
        <v>121553.51012510111</v>
      </c>
      <c r="CP162" s="20">
        <f t="shared" si="545"/>
        <v>87913.523256121101</v>
      </c>
      <c r="CQ162" s="20">
        <f t="shared" si="545"/>
        <v>186711.26466246118</v>
      </c>
      <c r="CR162" s="20">
        <f t="shared" si="545"/>
        <v>222412.31338509158</v>
      </c>
      <c r="CS162" s="20">
        <f t="shared" si="545"/>
        <v>129418.35587855263</v>
      </c>
      <c r="CT162" s="20">
        <f t="shared" si="545"/>
        <v>94375.729033308133</v>
      </c>
      <c r="CU162" s="20">
        <f t="shared" si="545"/>
        <v>198517.84961283629</v>
      </c>
      <c r="CV162" s="20">
        <f t="shared" si="545"/>
        <v>236151.33445472486</v>
      </c>
      <c r="CW162" s="20">
        <f t="shared" si="545"/>
        <v>138130.64606270476</v>
      </c>
      <c r="CX162" s="20">
        <f t="shared" si="545"/>
        <v>100406.4358762536</v>
      </c>
      <c r="CY162" s="20">
        <f t="shared" si="545"/>
        <v>209547.94489821649</v>
      </c>
      <c r="CZ162" s="20">
        <f t="shared" si="545"/>
        <v>248989.0927247644</v>
      </c>
      <c r="DA162" s="20">
        <f t="shared" si="545"/>
        <v>146266.06713651924</v>
      </c>
      <c r="DB162" s="20">
        <f t="shared" si="545"/>
        <v>101535.25409609792</v>
      </c>
      <c r="DC162" s="20">
        <f t="shared" si="545"/>
        <v>211736.9985447326</v>
      </c>
      <c r="DD162" s="20">
        <f t="shared" si="545"/>
        <v>251561.18914568383</v>
      </c>
      <c r="DE162" s="20">
        <f t="shared" si="545"/>
        <v>147839.97269429854</v>
      </c>
      <c r="DF162" s="20">
        <f t="shared" si="545"/>
        <v>101754.30011588552</v>
      </c>
      <c r="DG162" s="20">
        <f t="shared" si="545"/>
        <v>212286.81338207761</v>
      </c>
      <c r="DH162" s="20">
        <f t="shared" si="545"/>
        <v>252230.22581112373</v>
      </c>
      <c r="DI162" s="20">
        <f t="shared" si="545"/>
        <v>148196.75169941192</v>
      </c>
      <c r="DJ162" s="20">
        <f t="shared" si="545"/>
        <v>102089.95323641525</v>
      </c>
      <c r="DK162" s="20">
        <f t="shared" si="545"/>
        <v>213049.005205605</v>
      </c>
      <c r="DL162" s="20">
        <f t="shared" si="545"/>
        <v>253146.26939122085</v>
      </c>
      <c r="DM162" s="20">
        <f t="shared" si="545"/>
        <v>148710.46347627806</v>
      </c>
      <c r="DN162" s="20">
        <f t="shared" si="545"/>
        <v>103371.90916826807</v>
      </c>
      <c r="DO162" s="20">
        <f t="shared" si="545"/>
        <v>215520.37318555138</v>
      </c>
      <c r="DP162" s="20">
        <f t="shared" si="545"/>
        <v>0</v>
      </c>
      <c r="DQ162" s="20">
        <f t="shared" si="545"/>
        <v>0</v>
      </c>
    </row>
    <row r="163" spans="2:1006" x14ac:dyDescent="0.35">
      <c r="D163" s="20" t="s">
        <v>28</v>
      </c>
      <c r="F163" s="20" t="s">
        <v>129</v>
      </c>
      <c r="G163" s="35">
        <f>Assumptions!F128</f>
        <v>0.3</v>
      </c>
      <c r="K163" s="20">
        <f>$G$163*K162</f>
        <v>0</v>
      </c>
      <c r="L163" s="20">
        <f t="shared" ref="L163:BW163" si="546">$G$163*L162</f>
        <v>0</v>
      </c>
      <c r="M163" s="20">
        <f t="shared" si="546"/>
        <v>0</v>
      </c>
      <c r="N163" s="20">
        <f t="shared" si="546"/>
        <v>0</v>
      </c>
      <c r="O163" s="20">
        <f t="shared" si="546"/>
        <v>0</v>
      </c>
      <c r="P163" s="20">
        <f t="shared" si="546"/>
        <v>0</v>
      </c>
      <c r="Q163" s="20">
        <f t="shared" si="546"/>
        <v>0</v>
      </c>
      <c r="R163" s="20">
        <f t="shared" si="546"/>
        <v>0</v>
      </c>
      <c r="S163" s="20">
        <f t="shared" si="546"/>
        <v>0</v>
      </c>
      <c r="T163" s="20">
        <f t="shared" si="546"/>
        <v>0</v>
      </c>
      <c r="U163" s="20">
        <f t="shared" si="546"/>
        <v>0</v>
      </c>
      <c r="V163" s="20">
        <f t="shared" si="546"/>
        <v>0</v>
      </c>
      <c r="W163" s="20">
        <f t="shared" si="546"/>
        <v>0</v>
      </c>
      <c r="X163" s="20">
        <f t="shared" si="546"/>
        <v>0</v>
      </c>
      <c r="Y163" s="20">
        <f t="shared" si="546"/>
        <v>0</v>
      </c>
      <c r="Z163" s="20">
        <f t="shared" si="546"/>
        <v>0</v>
      </c>
      <c r="AA163" s="20">
        <f t="shared" si="546"/>
        <v>0</v>
      </c>
      <c r="AB163" s="20">
        <f t="shared" si="546"/>
        <v>0</v>
      </c>
      <c r="AC163" s="20">
        <f t="shared" si="546"/>
        <v>0</v>
      </c>
      <c r="AD163" s="20">
        <f t="shared" si="546"/>
        <v>0</v>
      </c>
      <c r="AE163" s="20">
        <f t="shared" si="546"/>
        <v>0</v>
      </c>
      <c r="AF163" s="20">
        <f t="shared" si="546"/>
        <v>0</v>
      </c>
      <c r="AG163" s="20">
        <f t="shared" si="546"/>
        <v>0</v>
      </c>
      <c r="AH163" s="20">
        <f t="shared" si="546"/>
        <v>0</v>
      </c>
      <c r="AI163" s="20">
        <f t="shared" si="546"/>
        <v>0</v>
      </c>
      <c r="AJ163" s="20">
        <f t="shared" si="546"/>
        <v>0</v>
      </c>
      <c r="AK163" s="20">
        <f t="shared" si="546"/>
        <v>0</v>
      </c>
      <c r="AL163" s="20">
        <f t="shared" si="546"/>
        <v>0</v>
      </c>
      <c r="AM163" s="20">
        <f t="shared" si="546"/>
        <v>0</v>
      </c>
      <c r="AN163" s="20">
        <f t="shared" si="546"/>
        <v>0</v>
      </c>
      <c r="AO163" s="20">
        <f t="shared" si="546"/>
        <v>0</v>
      </c>
      <c r="AP163" s="20">
        <f t="shared" si="546"/>
        <v>0</v>
      </c>
      <c r="AQ163" s="20">
        <f t="shared" si="546"/>
        <v>0</v>
      </c>
      <c r="AR163" s="20">
        <f t="shared" si="546"/>
        <v>0</v>
      </c>
      <c r="AS163" s="20">
        <f t="shared" si="546"/>
        <v>0</v>
      </c>
      <c r="AT163" s="20">
        <f t="shared" si="546"/>
        <v>0</v>
      </c>
      <c r="AU163" s="20">
        <f t="shared" si="546"/>
        <v>0</v>
      </c>
      <c r="AV163" s="20">
        <f t="shared" si="546"/>
        <v>0</v>
      </c>
      <c r="AW163" s="20">
        <f t="shared" si="546"/>
        <v>0</v>
      </c>
      <c r="AX163" s="20">
        <f t="shared" si="546"/>
        <v>0</v>
      </c>
      <c r="AY163" s="20">
        <f t="shared" si="546"/>
        <v>0</v>
      </c>
      <c r="AZ163" s="20">
        <f t="shared" si="546"/>
        <v>0</v>
      </c>
      <c r="BA163" s="20">
        <f t="shared" si="546"/>
        <v>0</v>
      </c>
      <c r="BB163" s="20">
        <f t="shared" si="546"/>
        <v>0</v>
      </c>
      <c r="BC163" s="20">
        <f t="shared" si="546"/>
        <v>0</v>
      </c>
      <c r="BD163" s="20">
        <f t="shared" si="546"/>
        <v>0</v>
      </c>
      <c r="BE163" s="20">
        <f t="shared" si="546"/>
        <v>0</v>
      </c>
      <c r="BF163" s="20">
        <f t="shared" si="546"/>
        <v>0</v>
      </c>
      <c r="BG163" s="20">
        <f t="shared" si="546"/>
        <v>0</v>
      </c>
      <c r="BH163" s="20">
        <f t="shared" si="546"/>
        <v>0</v>
      </c>
      <c r="BI163" s="20">
        <f t="shared" si="546"/>
        <v>0</v>
      </c>
      <c r="BJ163" s="20">
        <f t="shared" si="546"/>
        <v>0</v>
      </c>
      <c r="BK163" s="20">
        <f t="shared" si="546"/>
        <v>0</v>
      </c>
      <c r="BL163" s="20">
        <f t="shared" si="546"/>
        <v>0</v>
      </c>
      <c r="BM163" s="20">
        <f t="shared" si="546"/>
        <v>0</v>
      </c>
      <c r="BN163" s="20">
        <f t="shared" si="546"/>
        <v>0</v>
      </c>
      <c r="BO163" s="20">
        <f t="shared" si="546"/>
        <v>0</v>
      </c>
      <c r="BP163" s="20">
        <f t="shared" si="546"/>
        <v>0</v>
      </c>
      <c r="BQ163" s="20">
        <f t="shared" si="546"/>
        <v>0</v>
      </c>
      <c r="BR163" s="20">
        <f t="shared" si="546"/>
        <v>0</v>
      </c>
      <c r="BS163" s="20">
        <f t="shared" si="546"/>
        <v>0</v>
      </c>
      <c r="BT163" s="20">
        <f t="shared" si="546"/>
        <v>0</v>
      </c>
      <c r="BU163" s="20">
        <f t="shared" si="546"/>
        <v>0</v>
      </c>
      <c r="BV163" s="20">
        <f t="shared" si="546"/>
        <v>7291.487654206996</v>
      </c>
      <c r="BW163" s="20">
        <f t="shared" si="546"/>
        <v>43800.780920972305</v>
      </c>
      <c r="BX163" s="20">
        <f t="shared" ref="BX163:DQ163" si="547">$G$163*BX162</f>
        <v>52500.162890552834</v>
      </c>
      <c r="BY163" s="20">
        <f t="shared" si="547"/>
        <v>29833.758537296711</v>
      </c>
      <c r="BZ163" s="20">
        <f t="shared" si="547"/>
        <v>20102.094319812364</v>
      </c>
      <c r="CA163" s="20">
        <f t="shared" si="547"/>
        <v>44525.879969052017</v>
      </c>
      <c r="CB163" s="20">
        <f t="shared" si="547"/>
        <v>53350.416113399682</v>
      </c>
      <c r="CC163" s="20">
        <f t="shared" si="547"/>
        <v>30357.988925500253</v>
      </c>
      <c r="CD163" s="20">
        <f t="shared" si="547"/>
        <v>21582.06475834853</v>
      </c>
      <c r="CE163" s="20">
        <f t="shared" si="547"/>
        <v>47238.136029099514</v>
      </c>
      <c r="CF163" s="20">
        <f t="shared" si="547"/>
        <v>56508.225158385627</v>
      </c>
      <c r="CG163" s="20">
        <f t="shared" si="547"/>
        <v>32356.692458547324</v>
      </c>
      <c r="CH163" s="20">
        <f t="shared" si="547"/>
        <v>22455.294508559902</v>
      </c>
      <c r="CI163" s="20">
        <f t="shared" si="547"/>
        <v>48856.380737432461</v>
      </c>
      <c r="CJ163" s="20">
        <f t="shared" si="547"/>
        <v>58395.797394908826</v>
      </c>
      <c r="CK163" s="20">
        <f t="shared" si="547"/>
        <v>33543.357050914929</v>
      </c>
      <c r="CL163" s="20">
        <f t="shared" si="547"/>
        <v>24625.126035993944</v>
      </c>
      <c r="CM163" s="20">
        <f t="shared" si="547"/>
        <v>52814.250199429698</v>
      </c>
      <c r="CN163" s="20">
        <f t="shared" si="547"/>
        <v>63000.207351260782</v>
      </c>
      <c r="CO163" s="20">
        <f t="shared" si="547"/>
        <v>36466.053037530328</v>
      </c>
      <c r="CP163" s="20">
        <f t="shared" si="547"/>
        <v>26374.056976836331</v>
      </c>
      <c r="CQ163" s="20">
        <f t="shared" si="547"/>
        <v>56013.379398738354</v>
      </c>
      <c r="CR163" s="20">
        <f t="shared" si="547"/>
        <v>66723.694015527464</v>
      </c>
      <c r="CS163" s="20">
        <f t="shared" si="547"/>
        <v>38825.506763565783</v>
      </c>
      <c r="CT163" s="20">
        <f t="shared" si="547"/>
        <v>28312.718709992438</v>
      </c>
      <c r="CU163" s="20">
        <f t="shared" si="547"/>
        <v>59555.354883850887</v>
      </c>
      <c r="CV163" s="20">
        <f t="shared" si="547"/>
        <v>70845.400336417457</v>
      </c>
      <c r="CW163" s="20">
        <f t="shared" si="547"/>
        <v>41439.193818811429</v>
      </c>
      <c r="CX163" s="20">
        <f t="shared" si="547"/>
        <v>30121.93076287608</v>
      </c>
      <c r="CY163" s="20">
        <f t="shared" si="547"/>
        <v>62864.383469464941</v>
      </c>
      <c r="CZ163" s="20">
        <f t="shared" si="547"/>
        <v>74696.727817429317</v>
      </c>
      <c r="DA163" s="20">
        <f t="shared" si="547"/>
        <v>43879.820140955773</v>
      </c>
      <c r="DB163" s="20">
        <f t="shared" si="547"/>
        <v>30460.576228829377</v>
      </c>
      <c r="DC163" s="20">
        <f t="shared" si="547"/>
        <v>63521.099563419775</v>
      </c>
      <c r="DD163" s="20">
        <f t="shared" si="547"/>
        <v>75468.356743705153</v>
      </c>
      <c r="DE163" s="20">
        <f t="shared" si="547"/>
        <v>44351.99180828956</v>
      </c>
      <c r="DF163" s="20">
        <f t="shared" si="547"/>
        <v>30526.290034765654</v>
      </c>
      <c r="DG163" s="20">
        <f t="shared" si="547"/>
        <v>63686.04401462328</v>
      </c>
      <c r="DH163" s="20">
        <f t="shared" si="547"/>
        <v>75669.067743337117</v>
      </c>
      <c r="DI163" s="20">
        <f t="shared" si="547"/>
        <v>44459.025509823572</v>
      </c>
      <c r="DJ163" s="20">
        <f t="shared" si="547"/>
        <v>30626.985970924576</v>
      </c>
      <c r="DK163" s="20">
        <f t="shared" si="547"/>
        <v>63914.701561681497</v>
      </c>
      <c r="DL163" s="20">
        <f t="shared" si="547"/>
        <v>75943.880817366255</v>
      </c>
      <c r="DM163" s="20">
        <f t="shared" si="547"/>
        <v>44613.13904288342</v>
      </c>
      <c r="DN163" s="20">
        <f t="shared" si="547"/>
        <v>31011.57275048042</v>
      </c>
      <c r="DO163" s="20">
        <f t="shared" si="547"/>
        <v>64656.111955665408</v>
      </c>
      <c r="DP163" s="20">
        <f t="shared" si="547"/>
        <v>0</v>
      </c>
      <c r="DQ163" s="20">
        <f t="shared" si="547"/>
        <v>0</v>
      </c>
    </row>
    <row r="164" spans="2:1006" ht="15" thickBot="1" x14ac:dyDescent="0.4">
      <c r="D164" s="42" t="s">
        <v>254</v>
      </c>
      <c r="E164" s="42"/>
      <c r="F164" s="42" t="s">
        <v>129</v>
      </c>
      <c r="G164" s="42"/>
      <c r="H164" s="42"/>
      <c r="I164" s="42"/>
      <c r="J164" s="42"/>
      <c r="K164" s="42">
        <f>K144-K163</f>
        <v>-40500</v>
      </c>
      <c r="L164" s="42">
        <f t="shared" ref="L164:BW164" si="548">L144-L163</f>
        <v>-40500</v>
      </c>
      <c r="M164" s="42">
        <f t="shared" si="548"/>
        <v>-40500</v>
      </c>
      <c r="N164" s="42">
        <f t="shared" si="548"/>
        <v>-40500</v>
      </c>
      <c r="O164" s="42">
        <f t="shared" si="548"/>
        <v>-888000</v>
      </c>
      <c r="P164" s="42">
        <f t="shared" si="548"/>
        <v>-888000</v>
      </c>
      <c r="Q164" s="42">
        <f t="shared" si="548"/>
        <v>-888000</v>
      </c>
      <c r="R164" s="42">
        <f t="shared" si="548"/>
        <v>-888000</v>
      </c>
      <c r="S164" s="42">
        <f t="shared" si="548"/>
        <v>-888000</v>
      </c>
      <c r="T164" s="42">
        <f t="shared" si="548"/>
        <v>99503.150667626498</v>
      </c>
      <c r="U164" s="42">
        <f t="shared" si="548"/>
        <v>52009.913222859825</v>
      </c>
      <c r="V164" s="42">
        <f t="shared" si="548"/>
        <v>30398.601847890644</v>
      </c>
      <c r="W164" s="42">
        <f t="shared" si="548"/>
        <v>80578.142957014934</v>
      </c>
      <c r="X164" s="42">
        <f t="shared" si="548"/>
        <v>98702.262217784533</v>
      </c>
      <c r="Y164" s="42">
        <f t="shared" si="548"/>
        <v>51444.664672913801</v>
      </c>
      <c r="Z164" s="42">
        <f t="shared" si="548"/>
        <v>29940.225200464032</v>
      </c>
      <c r="AA164" s="42">
        <f t="shared" si="548"/>
        <v>79869.467587825871</v>
      </c>
      <c r="AB164" s="42">
        <f t="shared" si="548"/>
        <v>97902.765625600179</v>
      </c>
      <c r="AC164" s="42">
        <f t="shared" si="548"/>
        <v>50879.626810988084</v>
      </c>
      <c r="AD164" s="42">
        <f t="shared" si="548"/>
        <v>31590.597410920618</v>
      </c>
      <c r="AE164" s="42">
        <f t="shared" si="548"/>
        <v>82966.475098870433</v>
      </c>
      <c r="AF164" s="42">
        <f t="shared" si="548"/>
        <v>101522.65247679333</v>
      </c>
      <c r="AG164" s="42">
        <f t="shared" si="548"/>
        <v>53138.25599594957</v>
      </c>
      <c r="AH164" s="42">
        <f t="shared" si="548"/>
        <v>32576.053437946994</v>
      </c>
      <c r="AI164" s="42">
        <f t="shared" si="548"/>
        <v>84865.497092081874</v>
      </c>
      <c r="AJ164" s="42">
        <f t="shared" si="548"/>
        <v>103751.76230240409</v>
      </c>
      <c r="AK164" s="42">
        <f t="shared" si="548"/>
        <v>54507.36429777903</v>
      </c>
      <c r="AL164" s="42">
        <f t="shared" si="548"/>
        <v>32377.324121268019</v>
      </c>
      <c r="AM164" s="42">
        <f t="shared" si="548"/>
        <v>84629.793883835257</v>
      </c>
      <c r="AN164" s="42">
        <f t="shared" si="548"/>
        <v>103502.37502666502</v>
      </c>
      <c r="AO164" s="42">
        <f t="shared" si="548"/>
        <v>54291.797810474614</v>
      </c>
      <c r="AP164" s="42">
        <f t="shared" si="548"/>
        <v>36635.729271682314</v>
      </c>
      <c r="AQ164" s="42">
        <f t="shared" si="548"/>
        <v>92436.323784715321</v>
      </c>
      <c r="AR164" s="42">
        <f t="shared" si="548"/>
        <v>112591.78553278054</v>
      </c>
      <c r="AS164" s="42">
        <f t="shared" si="548"/>
        <v>60043.785790244423</v>
      </c>
      <c r="AT164" s="42">
        <f t="shared" si="548"/>
        <v>44402.584164931002</v>
      </c>
      <c r="AU164" s="42">
        <f t="shared" si="548"/>
        <v>106573.68240525824</v>
      </c>
      <c r="AV164" s="42">
        <f t="shared" si="548"/>
        <v>129032.74793641971</v>
      </c>
      <c r="AW164" s="42">
        <f t="shared" si="548"/>
        <v>70493.301855220416</v>
      </c>
      <c r="AX164" s="42">
        <f t="shared" si="548"/>
        <v>46326.886907018044</v>
      </c>
      <c r="AY164" s="42">
        <f t="shared" si="548"/>
        <v>110172.69208713573</v>
      </c>
      <c r="AZ164" s="42">
        <f t="shared" si="548"/>
        <v>133237.09816880926</v>
      </c>
      <c r="BA164" s="42">
        <f t="shared" si="548"/>
        <v>73121.861469402036</v>
      </c>
      <c r="BB164" s="42">
        <f t="shared" si="548"/>
        <v>46179.602603051833</v>
      </c>
      <c r="BC164" s="42">
        <f t="shared" si="548"/>
        <v>110036.19369102863</v>
      </c>
      <c r="BD164" s="42">
        <f t="shared" si="548"/>
        <v>133104.17024735676</v>
      </c>
      <c r="BE164" s="42">
        <f t="shared" si="548"/>
        <v>72977.78894075779</v>
      </c>
      <c r="BF164" s="42">
        <f t="shared" si="548"/>
        <v>49232.574689792556</v>
      </c>
      <c r="BG164" s="42">
        <f t="shared" si="548"/>
        <v>115674.61174694466</v>
      </c>
      <c r="BH164" s="42">
        <f t="shared" si="548"/>
        <v>139677.29295513188</v>
      </c>
      <c r="BI164" s="42">
        <f t="shared" si="548"/>
        <v>77118.683889877779</v>
      </c>
      <c r="BJ164" s="42">
        <f t="shared" si="548"/>
        <v>52979.046987055401</v>
      </c>
      <c r="BK164" s="42">
        <f t="shared" si="548"/>
        <v>122565.7835075046</v>
      </c>
      <c r="BL164" s="42">
        <f t="shared" si="548"/>
        <v>147705.42148298217</v>
      </c>
      <c r="BM164" s="42">
        <f t="shared" si="548"/>
        <v>82188.678986765997</v>
      </c>
      <c r="BN164" s="42">
        <f t="shared" si="548"/>
        <v>58080.525769570362</v>
      </c>
      <c r="BO164" s="42">
        <f t="shared" si="548"/>
        <v>131903.08955718775</v>
      </c>
      <c r="BP164" s="42">
        <f t="shared" si="548"/>
        <v>158574.29138370621</v>
      </c>
      <c r="BQ164" s="42">
        <f t="shared" si="548"/>
        <v>89073.364172271278</v>
      </c>
      <c r="BR164" s="42">
        <f t="shared" si="548"/>
        <v>62804.238692327359</v>
      </c>
      <c r="BS164" s="42">
        <f t="shared" si="548"/>
        <v>140560.63407530065</v>
      </c>
      <c r="BT164" s="42">
        <f t="shared" si="548"/>
        <v>168654.17660468101</v>
      </c>
      <c r="BU164" s="42">
        <f t="shared" si="548"/>
        <v>95453.030011476396</v>
      </c>
      <c r="BV164" s="42">
        <f t="shared" si="548"/>
        <v>58453.022058801842</v>
      </c>
      <c r="BW164" s="42">
        <f t="shared" si="548"/>
        <v>102201.82214893539</v>
      </c>
      <c r="BX164" s="42">
        <f t="shared" ref="BX164:DQ164" si="549">BX144-BX163</f>
        <v>122500.38007795662</v>
      </c>
      <c r="BY164" s="42">
        <f t="shared" si="549"/>
        <v>69612.10325369233</v>
      </c>
      <c r="BZ164" s="42">
        <f t="shared" si="549"/>
        <v>46904.886746228854</v>
      </c>
      <c r="CA164" s="42">
        <f t="shared" si="549"/>
        <v>103893.71992778804</v>
      </c>
      <c r="CB164" s="42">
        <f t="shared" si="549"/>
        <v>124484.30426459927</v>
      </c>
      <c r="CC164" s="42">
        <f t="shared" si="549"/>
        <v>70835.307492833934</v>
      </c>
      <c r="CD164" s="42">
        <f t="shared" si="549"/>
        <v>50358.151102813237</v>
      </c>
      <c r="CE164" s="42">
        <f t="shared" si="549"/>
        <v>110222.3174012322</v>
      </c>
      <c r="CF164" s="42">
        <f t="shared" si="549"/>
        <v>131852.52536956646</v>
      </c>
      <c r="CG164" s="42">
        <f t="shared" si="549"/>
        <v>75498.949069943774</v>
      </c>
      <c r="CH164" s="42">
        <f t="shared" si="549"/>
        <v>52395.687186639771</v>
      </c>
      <c r="CI164" s="42">
        <f t="shared" si="549"/>
        <v>113998.22172067576</v>
      </c>
      <c r="CJ164" s="42">
        <f t="shared" si="549"/>
        <v>136256.86058812062</v>
      </c>
      <c r="CK164" s="42">
        <f t="shared" si="549"/>
        <v>78267.833118801515</v>
      </c>
      <c r="CL164" s="42">
        <f t="shared" si="549"/>
        <v>57458.627417319207</v>
      </c>
      <c r="CM164" s="42">
        <f t="shared" si="549"/>
        <v>123233.25046533596</v>
      </c>
      <c r="CN164" s="42">
        <f t="shared" si="549"/>
        <v>147000.48381960849</v>
      </c>
      <c r="CO164" s="42">
        <f t="shared" si="549"/>
        <v>85087.457087570772</v>
      </c>
      <c r="CP164" s="42">
        <f t="shared" si="549"/>
        <v>61539.466279284767</v>
      </c>
      <c r="CQ164" s="42">
        <f t="shared" si="549"/>
        <v>130697.88526372283</v>
      </c>
      <c r="CR164" s="42">
        <f t="shared" si="549"/>
        <v>155688.61936956411</v>
      </c>
      <c r="CS164" s="42">
        <f t="shared" si="549"/>
        <v>90592.849114986835</v>
      </c>
      <c r="CT164" s="42">
        <f t="shared" si="549"/>
        <v>66063.010323315699</v>
      </c>
      <c r="CU164" s="42">
        <f t="shared" si="549"/>
        <v>138962.49472898542</v>
      </c>
      <c r="CV164" s="42">
        <f t="shared" si="549"/>
        <v>165305.9341183074</v>
      </c>
      <c r="CW164" s="42">
        <f t="shared" si="549"/>
        <v>96691.452243893335</v>
      </c>
      <c r="CX164" s="42">
        <f t="shared" si="549"/>
        <v>70284.505113377527</v>
      </c>
      <c r="CY164" s="42">
        <f t="shared" si="549"/>
        <v>146683.56142875156</v>
      </c>
      <c r="CZ164" s="42">
        <f t="shared" si="549"/>
        <v>174292.36490733508</v>
      </c>
      <c r="DA164" s="42">
        <f t="shared" si="549"/>
        <v>102386.24699556347</v>
      </c>
      <c r="DB164" s="42">
        <f t="shared" si="549"/>
        <v>71074.677867268547</v>
      </c>
      <c r="DC164" s="42">
        <f t="shared" si="549"/>
        <v>148215.89898131281</v>
      </c>
      <c r="DD164" s="42">
        <f t="shared" si="549"/>
        <v>176092.83240197867</v>
      </c>
      <c r="DE164" s="42">
        <f t="shared" si="549"/>
        <v>103487.98088600898</v>
      </c>
      <c r="DF164" s="42">
        <f t="shared" si="549"/>
        <v>71228.010081119864</v>
      </c>
      <c r="DG164" s="42">
        <f t="shared" si="549"/>
        <v>148600.76936745434</v>
      </c>
      <c r="DH164" s="42">
        <f t="shared" si="549"/>
        <v>176561.1580677866</v>
      </c>
      <c r="DI164" s="42">
        <f t="shared" si="549"/>
        <v>103737.72618958834</v>
      </c>
      <c r="DJ164" s="42">
        <f t="shared" si="549"/>
        <v>71462.967265490675</v>
      </c>
      <c r="DK164" s="42">
        <f t="shared" si="549"/>
        <v>149134.30364392351</v>
      </c>
      <c r="DL164" s="42">
        <f t="shared" si="549"/>
        <v>177202.38857385458</v>
      </c>
      <c r="DM164" s="42">
        <f t="shared" si="549"/>
        <v>104097.32443339465</v>
      </c>
      <c r="DN164" s="42">
        <f t="shared" si="549"/>
        <v>72360.33641778765</v>
      </c>
      <c r="DO164" s="42">
        <f t="shared" si="549"/>
        <v>150864.26122988597</v>
      </c>
      <c r="DP164" s="42">
        <f t="shared" si="549"/>
        <v>0</v>
      </c>
      <c r="DQ164" s="42">
        <f t="shared" si="549"/>
        <v>0</v>
      </c>
    </row>
    <row r="165" spans="2:1006" ht="15" thickTop="1" x14ac:dyDescent="0.35"/>
    <row r="166" spans="2:1006" x14ac:dyDescent="0.35">
      <c r="D166" s="20" t="s">
        <v>255</v>
      </c>
      <c r="F166" s="20" t="s">
        <v>19</v>
      </c>
      <c r="G166" s="22">
        <f>XIRR(K164:DQ164,K7:DQ7)</f>
        <v>5.8892622590065002E-2</v>
      </c>
    </row>
    <row r="168" spans="2:1006" x14ac:dyDescent="0.35">
      <c r="B168" s="37" t="s">
        <v>430</v>
      </c>
      <c r="C168" s="37"/>
      <c r="D168" s="37"/>
      <c r="E168" s="37"/>
      <c r="F168" s="37"/>
      <c r="G168" s="37"/>
      <c r="H168" s="37"/>
      <c r="I168" s="37"/>
      <c r="J168" s="37"/>
      <c r="K168" s="37"/>
      <c r="L168" s="37"/>
      <c r="M168" s="37"/>
      <c r="N168" s="37"/>
      <c r="O168" s="37"/>
      <c r="P168" s="37"/>
      <c r="Q168" s="37"/>
      <c r="R168" s="37"/>
      <c r="S168" s="37"/>
      <c r="T168" s="37"/>
      <c r="U168" s="37"/>
      <c r="V168" s="37"/>
      <c r="W168" s="37"/>
      <c r="X168" s="37"/>
      <c r="Y168" s="37"/>
      <c r="Z168" s="37"/>
      <c r="AA168" s="37"/>
      <c r="AB168" s="37"/>
      <c r="AC168" s="37"/>
      <c r="AD168" s="37"/>
      <c r="AE168" s="37"/>
      <c r="AF168" s="37"/>
      <c r="AG168" s="37"/>
      <c r="AH168" s="37"/>
      <c r="AI168" s="37"/>
      <c r="AJ168" s="37"/>
      <c r="AK168" s="37"/>
      <c r="AL168" s="37"/>
      <c r="AM168" s="37"/>
      <c r="AN168" s="37"/>
      <c r="AO168" s="37"/>
      <c r="AP168" s="37"/>
      <c r="AQ168" s="37"/>
      <c r="AR168" s="37"/>
      <c r="AS168" s="37"/>
      <c r="AT168" s="37"/>
      <c r="AU168" s="37"/>
      <c r="AV168" s="37"/>
      <c r="AW168" s="37"/>
      <c r="AX168" s="37"/>
      <c r="AY168" s="37"/>
      <c r="AZ168" s="37"/>
      <c r="BA168" s="37"/>
      <c r="BB168" s="37"/>
      <c r="BC168" s="37"/>
      <c r="BD168" s="37"/>
      <c r="BE168" s="37"/>
      <c r="BF168" s="37"/>
      <c r="BG168" s="37"/>
      <c r="BH168" s="37"/>
      <c r="BI168" s="37"/>
      <c r="BJ168" s="37"/>
      <c r="BK168" s="37"/>
      <c r="BL168" s="37"/>
      <c r="BM168" s="37"/>
      <c r="BN168" s="37"/>
      <c r="BO168" s="37"/>
      <c r="BP168" s="37"/>
      <c r="BQ168" s="37"/>
      <c r="BR168" s="37"/>
      <c r="BS168" s="37"/>
      <c r="BT168" s="37"/>
      <c r="BU168" s="37"/>
      <c r="BV168" s="37"/>
      <c r="BW168" s="37"/>
      <c r="BX168" s="37"/>
      <c r="BY168" s="37"/>
      <c r="BZ168" s="37"/>
      <c r="CA168" s="37"/>
      <c r="CB168" s="37"/>
      <c r="CC168" s="37"/>
      <c r="CD168" s="37"/>
      <c r="CE168" s="37"/>
      <c r="CF168" s="37"/>
      <c r="CG168" s="37"/>
      <c r="CH168" s="37"/>
      <c r="CI168" s="37"/>
      <c r="CJ168" s="37"/>
      <c r="CK168" s="37"/>
      <c r="CL168" s="37"/>
      <c r="CM168" s="37"/>
      <c r="CN168" s="37"/>
      <c r="CO168" s="37"/>
      <c r="CP168" s="37"/>
      <c r="CQ168" s="37"/>
      <c r="CR168" s="37"/>
      <c r="CS168" s="37"/>
      <c r="CT168" s="37"/>
      <c r="CU168" s="37"/>
      <c r="CV168" s="37"/>
      <c r="CW168" s="37"/>
      <c r="CX168" s="37"/>
      <c r="CY168" s="37"/>
      <c r="CZ168" s="37"/>
      <c r="DA168" s="37"/>
      <c r="DB168" s="37"/>
      <c r="DC168" s="37"/>
      <c r="DD168" s="37"/>
      <c r="DE168" s="37"/>
      <c r="DF168" s="37"/>
      <c r="DG168" s="37"/>
      <c r="DH168" s="37"/>
      <c r="DI168" s="37"/>
      <c r="DJ168" s="37"/>
      <c r="DK168" s="37"/>
      <c r="DL168" s="37"/>
      <c r="DM168" s="37"/>
      <c r="DN168" s="37"/>
      <c r="DO168" s="37"/>
      <c r="DP168" s="37"/>
      <c r="DQ168" s="37"/>
      <c r="DR168" s="37"/>
      <c r="DS168" s="37"/>
      <c r="DT168" s="37"/>
      <c r="DU168" s="37"/>
      <c r="DV168" s="37"/>
      <c r="DW168" s="37"/>
      <c r="DX168" s="37"/>
      <c r="DY168" s="37"/>
      <c r="DZ168" s="37"/>
      <c r="EA168" s="37"/>
      <c r="EB168" s="37"/>
      <c r="EC168" s="37"/>
      <c r="ED168" s="37"/>
      <c r="EE168" s="37"/>
      <c r="EF168" s="37"/>
      <c r="EG168" s="37"/>
      <c r="EH168" s="37"/>
      <c r="EI168" s="37"/>
      <c r="EJ168" s="37"/>
      <c r="EK168" s="37"/>
      <c r="EL168" s="37"/>
      <c r="EM168" s="37"/>
      <c r="EN168" s="37"/>
      <c r="EO168" s="37"/>
      <c r="EP168" s="37"/>
      <c r="EQ168" s="37"/>
      <c r="ER168" s="37"/>
      <c r="ES168" s="37"/>
      <c r="ET168" s="37"/>
      <c r="EU168" s="37"/>
      <c r="EV168" s="37"/>
      <c r="EW168" s="37"/>
      <c r="EX168" s="37"/>
      <c r="EY168" s="37"/>
      <c r="EZ168" s="37"/>
      <c r="FA168" s="37"/>
      <c r="FB168" s="37"/>
      <c r="FC168" s="37"/>
      <c r="FD168" s="37"/>
      <c r="FE168" s="37"/>
      <c r="FF168" s="37"/>
      <c r="FG168" s="37"/>
      <c r="FH168" s="37"/>
      <c r="FI168" s="37"/>
      <c r="FJ168" s="37"/>
      <c r="FK168" s="37"/>
      <c r="FL168" s="37"/>
      <c r="FM168" s="37"/>
      <c r="FN168" s="37"/>
      <c r="FO168" s="37"/>
      <c r="FP168" s="37"/>
      <c r="FQ168" s="37"/>
      <c r="FR168" s="37"/>
      <c r="FS168" s="37"/>
      <c r="FT168" s="37"/>
      <c r="FU168" s="37"/>
      <c r="FV168" s="37"/>
      <c r="FW168" s="37"/>
      <c r="FX168" s="37"/>
      <c r="FY168" s="37"/>
      <c r="FZ168" s="37"/>
      <c r="GA168" s="37"/>
      <c r="GB168" s="37"/>
      <c r="GC168" s="37"/>
      <c r="GD168" s="37"/>
      <c r="GE168" s="37"/>
      <c r="GF168" s="37"/>
      <c r="GG168" s="37"/>
      <c r="GH168" s="37"/>
      <c r="GI168" s="37"/>
      <c r="GJ168" s="37"/>
      <c r="GK168" s="37"/>
      <c r="GL168" s="37"/>
      <c r="GM168" s="37"/>
      <c r="GN168" s="37"/>
      <c r="GO168" s="37"/>
      <c r="GP168" s="37"/>
      <c r="GQ168" s="37"/>
      <c r="GR168" s="37"/>
      <c r="GS168" s="37"/>
      <c r="GT168" s="37"/>
      <c r="GU168" s="37"/>
      <c r="GV168" s="37"/>
      <c r="GW168" s="37"/>
      <c r="GX168" s="37"/>
      <c r="GY168" s="37"/>
      <c r="GZ168" s="37"/>
      <c r="HA168" s="37"/>
      <c r="HB168" s="37"/>
      <c r="HC168" s="37"/>
      <c r="HD168" s="37"/>
      <c r="HE168" s="37"/>
      <c r="HF168" s="37"/>
      <c r="HG168" s="37"/>
      <c r="HH168" s="37"/>
      <c r="HI168" s="37"/>
      <c r="HJ168" s="37"/>
      <c r="HK168" s="37"/>
      <c r="HL168" s="37"/>
      <c r="HM168" s="37"/>
      <c r="HN168" s="37"/>
      <c r="HO168" s="37"/>
      <c r="HP168" s="37"/>
      <c r="HQ168" s="37"/>
      <c r="HR168" s="37"/>
      <c r="HS168" s="37"/>
      <c r="HT168" s="37"/>
      <c r="HU168" s="37"/>
      <c r="HV168" s="37"/>
      <c r="HW168" s="37"/>
      <c r="HX168" s="37"/>
      <c r="HY168" s="37"/>
      <c r="HZ168" s="37"/>
      <c r="IA168" s="37"/>
      <c r="IB168" s="37"/>
      <c r="IC168" s="37"/>
      <c r="ID168" s="37"/>
      <c r="IE168" s="37"/>
      <c r="IF168" s="37"/>
      <c r="IG168" s="37"/>
      <c r="IH168" s="37"/>
      <c r="II168" s="37"/>
      <c r="IJ168" s="37"/>
      <c r="IK168" s="37"/>
      <c r="IL168" s="37"/>
      <c r="IM168" s="37"/>
      <c r="IN168" s="37"/>
      <c r="IO168" s="37"/>
      <c r="IP168" s="37"/>
      <c r="IQ168" s="37"/>
      <c r="IR168" s="37"/>
      <c r="IS168" s="37"/>
      <c r="IT168" s="37"/>
      <c r="IU168" s="37"/>
      <c r="IV168" s="37"/>
      <c r="IW168" s="37"/>
      <c r="IX168" s="37"/>
      <c r="IY168" s="37"/>
      <c r="IZ168" s="37"/>
      <c r="JA168" s="37"/>
      <c r="JB168" s="37"/>
      <c r="JC168" s="37"/>
      <c r="JD168" s="37"/>
      <c r="JE168" s="37"/>
      <c r="JF168" s="37"/>
      <c r="JG168" s="37"/>
      <c r="JH168" s="37"/>
      <c r="JI168" s="37"/>
      <c r="JJ168" s="37"/>
      <c r="JK168" s="37"/>
      <c r="JL168" s="37"/>
      <c r="JM168" s="37"/>
      <c r="JN168" s="37"/>
      <c r="JO168" s="37"/>
      <c r="JP168" s="37"/>
      <c r="JQ168" s="37"/>
      <c r="JR168" s="37"/>
      <c r="JS168" s="37"/>
      <c r="JT168" s="37"/>
      <c r="JU168" s="37"/>
      <c r="JV168" s="37"/>
      <c r="JW168" s="37"/>
      <c r="JX168" s="37"/>
      <c r="JY168" s="37"/>
      <c r="JZ168" s="37"/>
      <c r="KA168" s="37"/>
      <c r="KB168" s="37"/>
      <c r="KC168" s="37"/>
      <c r="KD168" s="37"/>
      <c r="KE168" s="37"/>
      <c r="KF168" s="37"/>
      <c r="KG168" s="37"/>
      <c r="KH168" s="37"/>
      <c r="KI168" s="37"/>
      <c r="KJ168" s="37"/>
      <c r="KK168" s="37"/>
      <c r="KL168" s="37"/>
      <c r="KM168" s="37"/>
      <c r="KN168" s="37"/>
      <c r="KO168" s="37"/>
      <c r="KP168" s="37"/>
      <c r="KQ168" s="37"/>
      <c r="KR168" s="37"/>
      <c r="KS168" s="37"/>
      <c r="KT168" s="37"/>
      <c r="KU168" s="37"/>
      <c r="KV168" s="37"/>
      <c r="KW168" s="37"/>
      <c r="KX168" s="37"/>
      <c r="KY168" s="37"/>
      <c r="KZ168" s="37"/>
      <c r="LA168" s="37"/>
      <c r="LB168" s="37"/>
      <c r="LC168" s="37"/>
      <c r="LD168" s="37"/>
      <c r="LE168" s="37"/>
      <c r="LF168" s="37"/>
      <c r="LG168" s="37"/>
      <c r="LH168" s="37"/>
      <c r="LI168" s="37"/>
      <c r="LJ168" s="37"/>
      <c r="LK168" s="37"/>
      <c r="LL168" s="37"/>
      <c r="LM168" s="37"/>
      <c r="LN168" s="37"/>
      <c r="LO168" s="37"/>
      <c r="LP168" s="37"/>
      <c r="LQ168" s="37"/>
      <c r="LR168" s="37"/>
      <c r="LS168" s="37"/>
      <c r="LT168" s="37"/>
      <c r="LU168" s="37"/>
      <c r="LV168" s="37"/>
      <c r="LW168" s="37"/>
      <c r="LX168" s="37"/>
      <c r="LY168" s="37"/>
      <c r="LZ168" s="37"/>
      <c r="MA168" s="37"/>
      <c r="MB168" s="37"/>
      <c r="MC168" s="37"/>
      <c r="MD168" s="37"/>
      <c r="ME168" s="37"/>
      <c r="MF168" s="37"/>
      <c r="MG168" s="37"/>
      <c r="MH168" s="37"/>
      <c r="MI168" s="37"/>
      <c r="MJ168" s="37"/>
      <c r="MK168" s="37"/>
      <c r="ML168" s="37"/>
      <c r="MM168" s="37"/>
      <c r="MN168" s="37"/>
      <c r="MO168" s="37"/>
      <c r="MP168" s="37"/>
      <c r="MQ168" s="37"/>
      <c r="MR168" s="37"/>
      <c r="MS168" s="37"/>
      <c r="MT168" s="37"/>
      <c r="MU168" s="37"/>
      <c r="MV168" s="37"/>
      <c r="MW168" s="37"/>
      <c r="MX168" s="37"/>
      <c r="MY168" s="37"/>
      <c r="MZ168" s="37"/>
      <c r="NA168" s="37"/>
      <c r="NB168" s="37"/>
      <c r="NC168" s="37"/>
      <c r="ND168" s="37"/>
      <c r="NE168" s="37"/>
      <c r="NF168" s="37"/>
      <c r="NG168" s="37"/>
      <c r="NH168" s="37"/>
      <c r="NI168" s="37"/>
      <c r="NJ168" s="37"/>
      <c r="NK168" s="37"/>
      <c r="NL168" s="37"/>
      <c r="NM168" s="37"/>
      <c r="NN168" s="37"/>
      <c r="NO168" s="37"/>
      <c r="NP168" s="37"/>
      <c r="NQ168" s="37"/>
      <c r="NR168" s="37"/>
      <c r="NS168" s="37"/>
      <c r="NT168" s="37"/>
      <c r="NU168" s="37"/>
      <c r="NV168" s="37"/>
      <c r="NW168" s="37"/>
      <c r="NX168" s="37"/>
      <c r="NY168" s="37"/>
      <c r="NZ168" s="37"/>
      <c r="OA168" s="37"/>
      <c r="OB168" s="37"/>
      <c r="OC168" s="37"/>
      <c r="OD168" s="37"/>
      <c r="OE168" s="37"/>
      <c r="OF168" s="37"/>
      <c r="OG168" s="37"/>
      <c r="OH168" s="37"/>
      <c r="OI168" s="37"/>
      <c r="OJ168" s="37"/>
      <c r="OK168" s="37"/>
      <c r="OL168" s="37"/>
      <c r="OM168" s="37"/>
      <c r="ON168" s="37"/>
      <c r="OO168" s="37"/>
      <c r="OP168" s="37"/>
      <c r="OQ168" s="37"/>
      <c r="OR168" s="37"/>
      <c r="OS168" s="37"/>
      <c r="OT168" s="37"/>
      <c r="OU168" s="37"/>
      <c r="OV168" s="37"/>
      <c r="OW168" s="37"/>
      <c r="OX168" s="37"/>
      <c r="OY168" s="37"/>
      <c r="OZ168" s="37"/>
      <c r="PA168" s="37"/>
      <c r="PB168" s="37"/>
      <c r="PC168" s="37"/>
      <c r="PD168" s="37"/>
      <c r="PE168" s="37"/>
      <c r="PF168" s="37"/>
      <c r="PG168" s="37"/>
      <c r="PH168" s="37"/>
      <c r="PI168" s="37"/>
      <c r="PJ168" s="37"/>
      <c r="PK168" s="37"/>
      <c r="PL168" s="37"/>
      <c r="PM168" s="37"/>
      <c r="PN168" s="37"/>
      <c r="PO168" s="37"/>
      <c r="PP168" s="37"/>
      <c r="PQ168" s="37"/>
      <c r="PR168" s="37"/>
      <c r="PS168" s="37"/>
      <c r="PT168" s="37"/>
      <c r="PU168" s="37"/>
      <c r="PV168" s="37"/>
      <c r="PW168" s="37"/>
      <c r="PX168" s="37"/>
      <c r="PY168" s="37"/>
      <c r="PZ168" s="37"/>
      <c r="QA168" s="37"/>
      <c r="QB168" s="37"/>
      <c r="QC168" s="37"/>
      <c r="QD168" s="37"/>
      <c r="QE168" s="37"/>
      <c r="QF168" s="37"/>
      <c r="QG168" s="37"/>
      <c r="QH168" s="37"/>
      <c r="QI168" s="37"/>
      <c r="QJ168" s="37"/>
      <c r="QK168" s="37"/>
      <c r="QL168" s="37"/>
      <c r="QM168" s="37"/>
      <c r="QN168" s="37"/>
      <c r="QO168" s="37"/>
      <c r="QP168" s="37"/>
      <c r="QQ168" s="37"/>
      <c r="QR168" s="37"/>
      <c r="QS168" s="37"/>
      <c r="QT168" s="37"/>
      <c r="QU168" s="37"/>
      <c r="QV168" s="37"/>
      <c r="QW168" s="37"/>
      <c r="QX168" s="37"/>
      <c r="QY168" s="37"/>
      <c r="QZ168" s="37"/>
      <c r="RA168" s="37"/>
      <c r="RB168" s="37"/>
      <c r="RC168" s="37"/>
      <c r="RD168" s="37"/>
      <c r="RE168" s="37"/>
      <c r="RF168" s="37"/>
      <c r="RG168" s="37"/>
      <c r="RH168" s="37"/>
      <c r="RI168" s="37"/>
      <c r="RJ168" s="37"/>
      <c r="RK168" s="37"/>
      <c r="RL168" s="37"/>
      <c r="RM168" s="37"/>
      <c r="RN168" s="37"/>
      <c r="RO168" s="37"/>
      <c r="RP168" s="37"/>
      <c r="RQ168" s="37"/>
      <c r="RR168" s="37"/>
      <c r="RS168" s="37"/>
      <c r="RT168" s="37"/>
      <c r="RU168" s="37"/>
      <c r="RV168" s="37"/>
      <c r="RW168" s="37"/>
      <c r="RX168" s="37"/>
      <c r="RY168" s="37"/>
      <c r="RZ168" s="37"/>
      <c r="SA168" s="37"/>
      <c r="SB168" s="37"/>
      <c r="SC168" s="37"/>
      <c r="SD168" s="37"/>
      <c r="SE168" s="37"/>
      <c r="SF168" s="37"/>
      <c r="SG168" s="37"/>
      <c r="SH168" s="37"/>
      <c r="SI168" s="37"/>
      <c r="SJ168" s="37"/>
      <c r="SK168" s="37"/>
      <c r="SL168" s="37"/>
      <c r="SM168" s="37"/>
      <c r="SN168" s="37"/>
      <c r="SO168" s="37"/>
      <c r="SP168" s="37"/>
      <c r="SQ168" s="37"/>
      <c r="SR168" s="37"/>
      <c r="SS168" s="37"/>
      <c r="ST168" s="37"/>
      <c r="SU168" s="37"/>
      <c r="SV168" s="37"/>
      <c r="SW168" s="37"/>
      <c r="SX168" s="37"/>
      <c r="SY168" s="37"/>
      <c r="SZ168" s="37"/>
      <c r="TA168" s="37"/>
      <c r="TB168" s="37"/>
      <c r="TC168" s="37"/>
      <c r="TD168" s="37"/>
      <c r="TE168" s="37"/>
      <c r="TF168" s="37"/>
      <c r="TG168" s="37"/>
      <c r="TH168" s="37"/>
      <c r="TI168" s="37"/>
      <c r="TJ168" s="37"/>
      <c r="TK168" s="37"/>
      <c r="TL168" s="37"/>
      <c r="TM168" s="37"/>
      <c r="TN168" s="37"/>
      <c r="TO168" s="37"/>
      <c r="TP168" s="37"/>
      <c r="TQ168" s="37"/>
      <c r="TR168" s="37"/>
      <c r="TS168" s="37"/>
      <c r="TT168" s="37"/>
      <c r="TU168" s="37"/>
      <c r="TV168" s="37"/>
      <c r="TW168" s="37"/>
      <c r="TX168" s="37"/>
      <c r="TY168" s="37"/>
      <c r="TZ168" s="37"/>
      <c r="UA168" s="37"/>
      <c r="UB168" s="37"/>
      <c r="UC168" s="37"/>
      <c r="UD168" s="37"/>
      <c r="UE168" s="37"/>
      <c r="UF168" s="37"/>
      <c r="UG168" s="37"/>
      <c r="UH168" s="37"/>
      <c r="UI168" s="37"/>
      <c r="UJ168" s="37"/>
      <c r="UK168" s="37"/>
      <c r="UL168" s="37"/>
      <c r="UM168" s="37"/>
      <c r="UN168" s="37"/>
      <c r="UO168" s="37"/>
      <c r="UP168" s="37"/>
      <c r="UQ168" s="37"/>
      <c r="UR168" s="37"/>
      <c r="US168" s="37"/>
      <c r="UT168" s="37"/>
      <c r="UU168" s="37"/>
      <c r="UV168" s="37"/>
      <c r="UW168" s="37"/>
      <c r="UX168" s="37"/>
      <c r="UY168" s="37"/>
      <c r="UZ168" s="37"/>
      <c r="VA168" s="37"/>
      <c r="VB168" s="37"/>
      <c r="VC168" s="37"/>
      <c r="VD168" s="37"/>
      <c r="VE168" s="37"/>
      <c r="VF168" s="37"/>
      <c r="VG168" s="37"/>
      <c r="VH168" s="37"/>
      <c r="VI168" s="37"/>
      <c r="VJ168" s="37"/>
      <c r="VK168" s="37"/>
      <c r="VL168" s="37"/>
      <c r="VM168" s="37"/>
      <c r="VN168" s="37"/>
      <c r="VO168" s="37"/>
      <c r="VP168" s="37"/>
      <c r="VQ168" s="37"/>
      <c r="VR168" s="37"/>
      <c r="VS168" s="37"/>
      <c r="VT168" s="37"/>
      <c r="VU168" s="37"/>
      <c r="VV168" s="37"/>
      <c r="VW168" s="37"/>
      <c r="VX168" s="37"/>
      <c r="VY168" s="37"/>
      <c r="VZ168" s="37"/>
      <c r="WA168" s="37"/>
      <c r="WB168" s="37"/>
      <c r="WC168" s="37"/>
      <c r="WD168" s="37"/>
      <c r="WE168" s="37"/>
      <c r="WF168" s="37"/>
      <c r="WG168" s="37"/>
      <c r="WH168" s="37"/>
      <c r="WI168" s="37"/>
      <c r="WJ168" s="37"/>
      <c r="WK168" s="37"/>
      <c r="WL168" s="37"/>
      <c r="WM168" s="37"/>
      <c r="WN168" s="37"/>
      <c r="WO168" s="37"/>
      <c r="WP168" s="37"/>
      <c r="WQ168" s="37"/>
      <c r="WR168" s="37"/>
      <c r="WS168" s="37"/>
      <c r="WT168" s="37"/>
      <c r="WU168" s="37"/>
      <c r="WV168" s="37"/>
      <c r="WW168" s="37"/>
      <c r="WX168" s="37"/>
      <c r="WY168" s="37"/>
      <c r="WZ168" s="37"/>
      <c r="XA168" s="37"/>
      <c r="XB168" s="37"/>
      <c r="XC168" s="37"/>
      <c r="XD168" s="37"/>
      <c r="XE168" s="37"/>
      <c r="XF168" s="37"/>
      <c r="XG168" s="37"/>
      <c r="XH168" s="37"/>
      <c r="XI168" s="37"/>
      <c r="XJ168" s="37"/>
      <c r="XK168" s="37"/>
      <c r="XL168" s="37"/>
      <c r="XM168" s="37"/>
      <c r="XN168" s="37"/>
      <c r="XO168" s="37"/>
      <c r="XP168" s="37"/>
      <c r="XQ168" s="37"/>
      <c r="XR168" s="37"/>
      <c r="XS168" s="37"/>
      <c r="XT168" s="37"/>
      <c r="XU168" s="37"/>
      <c r="XV168" s="37"/>
      <c r="XW168" s="37"/>
      <c r="XX168" s="37"/>
      <c r="XY168" s="37"/>
      <c r="XZ168" s="37"/>
      <c r="YA168" s="37"/>
      <c r="YB168" s="37"/>
      <c r="YC168" s="37"/>
      <c r="YD168" s="37"/>
      <c r="YE168" s="37"/>
      <c r="YF168" s="37"/>
      <c r="YG168" s="37"/>
      <c r="YH168" s="37"/>
      <c r="YI168" s="37"/>
      <c r="YJ168" s="37"/>
      <c r="YK168" s="37"/>
      <c r="YL168" s="37"/>
      <c r="YM168" s="37"/>
      <c r="YN168" s="37"/>
      <c r="YO168" s="37"/>
      <c r="YP168" s="37"/>
      <c r="YQ168" s="37"/>
      <c r="YR168" s="37"/>
      <c r="YS168" s="37"/>
      <c r="YT168" s="37"/>
      <c r="YU168" s="37"/>
      <c r="YV168" s="37"/>
      <c r="YW168" s="37"/>
      <c r="YX168" s="37"/>
      <c r="YY168" s="37"/>
      <c r="YZ168" s="37"/>
      <c r="ZA168" s="37"/>
      <c r="ZB168" s="37"/>
      <c r="ZC168" s="37"/>
      <c r="ZD168" s="37"/>
      <c r="ZE168" s="37"/>
      <c r="ZF168" s="37"/>
      <c r="ZG168" s="37"/>
      <c r="ZH168" s="37"/>
      <c r="ZI168" s="37"/>
      <c r="ZJ168" s="37"/>
      <c r="ZK168" s="37"/>
      <c r="ZL168" s="37"/>
      <c r="ZM168" s="37"/>
      <c r="ZN168" s="37"/>
      <c r="ZO168" s="37"/>
      <c r="ZP168" s="37"/>
      <c r="ZQ168" s="37"/>
      <c r="ZR168" s="37"/>
      <c r="ZS168" s="37"/>
      <c r="ZT168" s="37"/>
      <c r="ZU168" s="37"/>
      <c r="ZV168" s="37"/>
      <c r="ZW168" s="37"/>
      <c r="ZX168" s="37"/>
      <c r="ZY168" s="37"/>
      <c r="ZZ168" s="37"/>
      <c r="AAA168" s="37"/>
      <c r="AAB168" s="37"/>
      <c r="AAC168" s="37"/>
      <c r="AAD168" s="37"/>
      <c r="AAE168" s="37"/>
      <c r="AAF168" s="37"/>
      <c r="AAG168" s="37"/>
      <c r="AAH168" s="37"/>
      <c r="AAI168" s="37"/>
      <c r="AAJ168" s="37"/>
      <c r="AAK168" s="37"/>
      <c r="AAL168" s="37"/>
      <c r="AAM168" s="37"/>
      <c r="AAN168" s="37"/>
      <c r="AAO168" s="37"/>
      <c r="AAP168" s="37"/>
      <c r="AAQ168" s="37"/>
      <c r="AAR168" s="37"/>
      <c r="AAS168" s="37"/>
      <c r="AAT168" s="37"/>
      <c r="AAU168" s="37"/>
      <c r="AAV168" s="37"/>
      <c r="AAW168" s="37"/>
      <c r="AAX168" s="37"/>
      <c r="AAY168" s="37"/>
      <c r="AAZ168" s="37"/>
      <c r="ABA168" s="37"/>
      <c r="ABB168" s="37"/>
      <c r="ABC168" s="37"/>
      <c r="ABD168" s="37"/>
      <c r="ABE168" s="37"/>
      <c r="ABF168" s="37"/>
      <c r="ABG168" s="37"/>
      <c r="ABH168" s="37"/>
      <c r="ABI168" s="37"/>
      <c r="ABJ168" s="37"/>
      <c r="ABK168" s="37"/>
      <c r="ABL168" s="37"/>
      <c r="ABM168" s="37"/>
      <c r="ABN168" s="37"/>
      <c r="ABO168" s="37"/>
      <c r="ABP168" s="37"/>
      <c r="ABQ168" s="37"/>
      <c r="ABR168" s="37"/>
      <c r="ABS168" s="37"/>
      <c r="ABT168" s="37"/>
      <c r="ABU168" s="37"/>
      <c r="ABV168" s="37"/>
      <c r="ABW168" s="37"/>
      <c r="ABX168" s="37"/>
      <c r="ABY168" s="37"/>
      <c r="ABZ168" s="37"/>
      <c r="ACA168" s="37"/>
      <c r="ACB168" s="37"/>
      <c r="ACC168" s="37"/>
      <c r="ACD168" s="37"/>
      <c r="ACE168" s="37"/>
      <c r="ACF168" s="37"/>
      <c r="ACG168" s="37"/>
      <c r="ACH168" s="37"/>
      <c r="ACI168" s="37"/>
      <c r="ACJ168" s="37"/>
      <c r="ACK168" s="37"/>
      <c r="ACL168" s="37"/>
      <c r="ACM168" s="37"/>
      <c r="ACN168" s="37"/>
      <c r="ACO168" s="37"/>
      <c r="ACP168" s="37"/>
      <c r="ACQ168" s="37"/>
      <c r="ACR168" s="37"/>
      <c r="ACS168" s="37"/>
      <c r="ACT168" s="37"/>
      <c r="ACU168" s="37"/>
      <c r="ACV168" s="37"/>
      <c r="ACW168" s="37"/>
      <c r="ACX168" s="37"/>
      <c r="ACY168" s="37"/>
      <c r="ACZ168" s="37"/>
      <c r="ADA168" s="37"/>
      <c r="ADB168" s="37"/>
      <c r="ADC168" s="37"/>
      <c r="ADD168" s="37"/>
      <c r="ADE168" s="37"/>
      <c r="ADF168" s="37"/>
      <c r="ADG168" s="37"/>
      <c r="ADH168" s="37"/>
      <c r="ADI168" s="37"/>
      <c r="ADJ168" s="37"/>
      <c r="ADK168" s="37"/>
      <c r="ADL168" s="37"/>
      <c r="ADM168" s="37"/>
      <c r="ADN168" s="37"/>
      <c r="ADO168" s="37"/>
      <c r="ADP168" s="37"/>
      <c r="ADQ168" s="37"/>
      <c r="ADR168" s="37"/>
      <c r="ADS168" s="37"/>
      <c r="ADT168" s="37"/>
      <c r="ADU168" s="37"/>
      <c r="ADV168" s="37"/>
      <c r="ADW168" s="37"/>
      <c r="ADX168" s="37"/>
      <c r="ADY168" s="37"/>
      <c r="ADZ168" s="37"/>
      <c r="AEA168" s="37"/>
      <c r="AEB168" s="37"/>
      <c r="AEC168" s="37"/>
      <c r="AED168" s="37"/>
      <c r="AEE168" s="37"/>
      <c r="AEF168" s="37"/>
      <c r="AEG168" s="37"/>
      <c r="AEH168" s="37"/>
      <c r="AEI168" s="37"/>
      <c r="AEJ168" s="37"/>
      <c r="AEK168" s="37"/>
      <c r="AEL168" s="37"/>
      <c r="AEM168" s="37"/>
      <c r="AEN168" s="37"/>
      <c r="AEO168" s="37"/>
      <c r="AEP168" s="37"/>
      <c r="AEQ168" s="37"/>
      <c r="AER168" s="37"/>
      <c r="AES168" s="37"/>
      <c r="AET168" s="37"/>
      <c r="AEU168" s="37"/>
      <c r="AEV168" s="37"/>
      <c r="AEW168" s="37"/>
      <c r="AEX168" s="37"/>
      <c r="AEY168" s="37"/>
      <c r="AEZ168" s="37"/>
      <c r="AFA168" s="37"/>
      <c r="AFB168" s="37"/>
      <c r="AFC168" s="37"/>
      <c r="AFD168" s="37"/>
      <c r="AFE168" s="37"/>
      <c r="AFF168" s="37"/>
      <c r="AFG168" s="37"/>
      <c r="AFH168" s="37"/>
      <c r="AFI168" s="37"/>
      <c r="AFJ168" s="37"/>
      <c r="AFK168" s="37"/>
      <c r="AFL168" s="37"/>
      <c r="AFM168" s="37"/>
      <c r="AFN168" s="37"/>
      <c r="AFO168" s="37"/>
      <c r="AFP168" s="37"/>
      <c r="AFQ168" s="37"/>
      <c r="AFR168" s="37"/>
      <c r="AFS168" s="37"/>
      <c r="AFT168" s="37"/>
      <c r="AFU168" s="37"/>
      <c r="AFV168" s="37"/>
      <c r="AFW168" s="37"/>
      <c r="AFX168" s="37"/>
      <c r="AFY168" s="37"/>
      <c r="AFZ168" s="37"/>
      <c r="AGA168" s="37"/>
      <c r="AGB168" s="37"/>
      <c r="AGC168" s="37"/>
      <c r="AGD168" s="37"/>
      <c r="AGE168" s="37"/>
      <c r="AGF168" s="37"/>
      <c r="AGG168" s="37"/>
      <c r="AGH168" s="37"/>
      <c r="AGI168" s="37"/>
      <c r="AGJ168" s="37"/>
      <c r="AGK168" s="37"/>
      <c r="AGL168" s="37"/>
      <c r="AGM168" s="37"/>
      <c r="AGN168" s="37"/>
      <c r="AGO168" s="37"/>
      <c r="AGP168" s="37"/>
      <c r="AGQ168" s="37"/>
      <c r="AGR168" s="37"/>
      <c r="AGS168" s="37"/>
      <c r="AGT168" s="37"/>
      <c r="AGU168" s="37"/>
      <c r="AGV168" s="37"/>
      <c r="AGW168" s="37"/>
      <c r="AGX168" s="37"/>
      <c r="AGY168" s="37"/>
      <c r="AGZ168" s="37"/>
      <c r="AHA168" s="37"/>
      <c r="AHB168" s="37"/>
      <c r="AHC168" s="37"/>
      <c r="AHD168" s="37"/>
      <c r="AHE168" s="37"/>
      <c r="AHF168" s="37"/>
      <c r="AHG168" s="37"/>
      <c r="AHH168" s="37"/>
      <c r="AHI168" s="37"/>
      <c r="AHJ168" s="37"/>
      <c r="AHK168" s="37"/>
      <c r="AHL168" s="37"/>
      <c r="AHM168" s="37"/>
      <c r="AHN168" s="37"/>
      <c r="AHO168" s="37"/>
      <c r="AHP168" s="37"/>
      <c r="AHQ168" s="37"/>
      <c r="AHR168" s="37"/>
      <c r="AHS168" s="37"/>
      <c r="AHT168" s="37"/>
      <c r="AHU168" s="37"/>
      <c r="AHV168" s="37"/>
      <c r="AHW168" s="37"/>
      <c r="AHX168" s="37"/>
      <c r="AHY168" s="37"/>
      <c r="AHZ168" s="37"/>
      <c r="AIA168" s="37"/>
      <c r="AIB168" s="37"/>
      <c r="AIC168" s="37"/>
      <c r="AID168" s="37"/>
      <c r="AIE168" s="37"/>
      <c r="AIF168" s="37"/>
      <c r="AIG168" s="37"/>
      <c r="AIH168" s="37"/>
      <c r="AII168" s="37"/>
      <c r="AIJ168" s="37"/>
      <c r="AIK168" s="37"/>
      <c r="AIL168" s="37"/>
      <c r="AIM168" s="37"/>
      <c r="AIN168" s="37"/>
      <c r="AIO168" s="37"/>
      <c r="AIP168" s="37"/>
      <c r="AIQ168" s="37"/>
      <c r="AIR168" s="37"/>
      <c r="AIS168" s="37"/>
      <c r="AIT168" s="37"/>
      <c r="AIU168" s="37"/>
      <c r="AIV168" s="37"/>
      <c r="AIW168" s="37"/>
      <c r="AIX168" s="37"/>
      <c r="AIY168" s="37"/>
      <c r="AIZ168" s="37"/>
      <c r="AJA168" s="37"/>
      <c r="AJB168" s="37"/>
      <c r="AJC168" s="37"/>
      <c r="AJD168" s="37"/>
      <c r="AJE168" s="37"/>
      <c r="AJF168" s="37"/>
      <c r="AJG168" s="37"/>
      <c r="AJH168" s="37"/>
      <c r="AJI168" s="37"/>
      <c r="AJJ168" s="37"/>
      <c r="AJK168" s="37"/>
      <c r="AJL168" s="37"/>
      <c r="AJM168" s="37"/>
      <c r="AJN168" s="37"/>
      <c r="AJO168" s="37"/>
      <c r="AJP168" s="37"/>
      <c r="AJQ168" s="37"/>
      <c r="AJR168" s="37"/>
      <c r="AJS168" s="37"/>
      <c r="AJT168" s="37"/>
      <c r="AJU168" s="37"/>
      <c r="AJV168" s="37"/>
      <c r="AJW168" s="37"/>
      <c r="AJX168" s="37"/>
      <c r="AJY168" s="37"/>
      <c r="AJZ168" s="37"/>
      <c r="AKA168" s="37"/>
      <c r="AKB168" s="37"/>
      <c r="AKC168" s="37"/>
      <c r="AKD168" s="37"/>
      <c r="AKE168" s="37"/>
      <c r="AKF168" s="37"/>
      <c r="AKG168" s="37"/>
      <c r="AKH168" s="37"/>
      <c r="AKI168" s="37"/>
      <c r="AKJ168" s="37"/>
      <c r="AKK168" s="37"/>
      <c r="AKL168" s="37"/>
      <c r="AKM168" s="37"/>
      <c r="AKN168" s="37"/>
      <c r="AKO168" s="37"/>
      <c r="AKP168" s="37"/>
      <c r="AKQ168" s="37"/>
      <c r="AKR168" s="37"/>
      <c r="AKS168" s="37"/>
      <c r="AKT168" s="37"/>
      <c r="AKU168" s="37"/>
      <c r="AKV168" s="37"/>
      <c r="AKW168" s="37"/>
      <c r="AKX168" s="37"/>
      <c r="AKY168" s="37"/>
      <c r="AKZ168" s="37"/>
      <c r="ALA168" s="37"/>
      <c r="ALB168" s="37"/>
      <c r="ALC168" s="37"/>
      <c r="ALD168" s="37"/>
      <c r="ALE168" s="37"/>
      <c r="ALF168" s="37"/>
      <c r="ALG168" s="37"/>
      <c r="ALH168" s="37"/>
      <c r="ALI168" s="37"/>
      <c r="ALJ168" s="37"/>
      <c r="ALK168" s="37"/>
      <c r="ALL168" s="37"/>
      <c r="ALM168" s="37"/>
      <c r="ALN168" s="37"/>
      <c r="ALO168" s="37"/>
      <c r="ALP168" s="37"/>
      <c r="ALQ168" s="37"/>
      <c r="ALR168" s="37"/>
    </row>
    <row r="169" spans="2:1006" x14ac:dyDescent="0.35">
      <c r="C169" s="20" t="s">
        <v>431</v>
      </c>
      <c r="F169" s="20" t="s">
        <v>19</v>
      </c>
      <c r="G169" s="35">
        <f>Assumptions!F103</f>
        <v>7.0000000000000007E-2</v>
      </c>
      <c r="K169" s="22">
        <f>(1+$G169)^(K$5/12)-1</f>
        <v>5.6541453874052738E-3</v>
      </c>
      <c r="L169" s="22">
        <f t="shared" ref="L169:BW171" si="550">(1+$G169)^(L$5/12)-1</f>
        <v>5.6541453874052738E-3</v>
      </c>
      <c r="M169" s="22">
        <f t="shared" si="550"/>
        <v>5.6541453874052738E-3</v>
      </c>
      <c r="N169" s="22">
        <f t="shared" si="550"/>
        <v>5.6541453874052738E-3</v>
      </c>
      <c r="O169" s="22">
        <f t="shared" si="550"/>
        <v>5.6541453874052738E-3</v>
      </c>
      <c r="P169" s="22">
        <f t="shared" si="550"/>
        <v>5.6541453874052738E-3</v>
      </c>
      <c r="Q169" s="22">
        <f t="shared" si="550"/>
        <v>5.6541453874052738E-3</v>
      </c>
      <c r="R169" s="22">
        <f t="shared" si="550"/>
        <v>5.6541453874052738E-3</v>
      </c>
      <c r="S169" s="22">
        <f t="shared" si="550"/>
        <v>5.6541453874052738E-3</v>
      </c>
      <c r="T169" s="22">
        <f t="shared" si="550"/>
        <v>1.7058525001811375E-2</v>
      </c>
      <c r="U169" s="22">
        <f t="shared" si="550"/>
        <v>1.7058525001811375E-2</v>
      </c>
      <c r="V169" s="22">
        <f t="shared" si="550"/>
        <v>1.7058525001811375E-2</v>
      </c>
      <c r="W169" s="22">
        <f t="shared" si="550"/>
        <v>1.7058525001811375E-2</v>
      </c>
      <c r="X169" s="22">
        <f t="shared" si="550"/>
        <v>1.7058525001811375E-2</v>
      </c>
      <c r="Y169" s="22">
        <f t="shared" si="550"/>
        <v>1.7058525001811375E-2</v>
      </c>
      <c r="Z169" s="22">
        <f t="shared" si="550"/>
        <v>1.7058525001811375E-2</v>
      </c>
      <c r="AA169" s="22">
        <f t="shared" si="550"/>
        <v>1.7058525001811375E-2</v>
      </c>
      <c r="AB169" s="22">
        <f t="shared" si="550"/>
        <v>1.7058525001811375E-2</v>
      </c>
      <c r="AC169" s="22">
        <f t="shared" si="550"/>
        <v>1.7058525001811375E-2</v>
      </c>
      <c r="AD169" s="22">
        <f t="shared" si="550"/>
        <v>1.7058525001811375E-2</v>
      </c>
      <c r="AE169" s="22">
        <f t="shared" si="550"/>
        <v>1.7058525001811375E-2</v>
      </c>
      <c r="AF169" s="22">
        <f t="shared" si="550"/>
        <v>1.7058525001811375E-2</v>
      </c>
      <c r="AG169" s="22">
        <f t="shared" si="550"/>
        <v>1.7058525001811375E-2</v>
      </c>
      <c r="AH169" s="22">
        <f t="shared" si="550"/>
        <v>1.7058525001811375E-2</v>
      </c>
      <c r="AI169" s="22">
        <f t="shared" si="550"/>
        <v>1.7058525001811375E-2</v>
      </c>
      <c r="AJ169" s="22">
        <f t="shared" si="550"/>
        <v>1.7058525001811375E-2</v>
      </c>
      <c r="AK169" s="22">
        <f t="shared" si="550"/>
        <v>1.7058525001811375E-2</v>
      </c>
      <c r="AL169" s="22">
        <f t="shared" si="550"/>
        <v>1.7058525001811375E-2</v>
      </c>
      <c r="AM169" s="22">
        <f t="shared" si="550"/>
        <v>1.7058525001811375E-2</v>
      </c>
      <c r="AN169" s="22">
        <f t="shared" si="550"/>
        <v>1.7058525001811375E-2</v>
      </c>
      <c r="AO169" s="22">
        <f t="shared" si="550"/>
        <v>1.7058525001811375E-2</v>
      </c>
      <c r="AP169" s="22">
        <f t="shared" si="550"/>
        <v>1.7058525001811375E-2</v>
      </c>
      <c r="AQ169" s="22">
        <f t="shared" si="550"/>
        <v>1.7058525001811375E-2</v>
      </c>
      <c r="AR169" s="22">
        <f t="shared" si="550"/>
        <v>1.7058525001811375E-2</v>
      </c>
      <c r="AS169" s="22">
        <f t="shared" si="550"/>
        <v>1.7058525001811375E-2</v>
      </c>
      <c r="AT169" s="22">
        <f t="shared" si="550"/>
        <v>1.7058525001811375E-2</v>
      </c>
      <c r="AU169" s="22">
        <f t="shared" si="550"/>
        <v>1.7058525001811375E-2</v>
      </c>
      <c r="AV169" s="22">
        <f t="shared" si="550"/>
        <v>1.7058525001811375E-2</v>
      </c>
      <c r="AW169" s="22">
        <f t="shared" si="550"/>
        <v>1.7058525001811375E-2</v>
      </c>
      <c r="AX169" s="22">
        <f t="shared" si="550"/>
        <v>1.7058525001811375E-2</v>
      </c>
      <c r="AY169" s="22">
        <f t="shared" si="550"/>
        <v>1.7058525001811375E-2</v>
      </c>
      <c r="AZ169" s="22">
        <f t="shared" si="550"/>
        <v>1.7058525001811375E-2</v>
      </c>
      <c r="BA169" s="22">
        <f t="shared" si="550"/>
        <v>1.7058525001811375E-2</v>
      </c>
      <c r="BB169" s="22">
        <f t="shared" si="550"/>
        <v>1.7058525001811375E-2</v>
      </c>
      <c r="BC169" s="22">
        <f t="shared" si="550"/>
        <v>1.7058525001811375E-2</v>
      </c>
      <c r="BD169" s="22">
        <f t="shared" si="550"/>
        <v>1.7058525001811375E-2</v>
      </c>
      <c r="BE169" s="22">
        <f t="shared" si="550"/>
        <v>1.7058525001811375E-2</v>
      </c>
      <c r="BF169" s="22">
        <f t="shared" si="550"/>
        <v>1.7058525001811375E-2</v>
      </c>
      <c r="BG169" s="22">
        <f t="shared" si="550"/>
        <v>1.7058525001811375E-2</v>
      </c>
      <c r="BH169" s="22">
        <f t="shared" si="550"/>
        <v>1.7058525001811375E-2</v>
      </c>
      <c r="BI169" s="22">
        <f t="shared" si="550"/>
        <v>1.7058525001811375E-2</v>
      </c>
      <c r="BJ169" s="22">
        <f t="shared" si="550"/>
        <v>1.7058525001811375E-2</v>
      </c>
      <c r="BK169" s="22">
        <f t="shared" si="550"/>
        <v>1.7058525001811375E-2</v>
      </c>
      <c r="BL169" s="22">
        <f t="shared" si="550"/>
        <v>1.7058525001811375E-2</v>
      </c>
      <c r="BM169" s="22">
        <f t="shared" si="550"/>
        <v>1.7058525001811375E-2</v>
      </c>
      <c r="BN169" s="22">
        <f t="shared" si="550"/>
        <v>1.7058525001811375E-2</v>
      </c>
      <c r="BO169" s="22">
        <f t="shared" si="550"/>
        <v>1.7058525001811375E-2</v>
      </c>
      <c r="BP169" s="22">
        <f t="shared" si="550"/>
        <v>1.7058525001811375E-2</v>
      </c>
      <c r="BQ169" s="22">
        <f t="shared" si="550"/>
        <v>1.7058525001811375E-2</v>
      </c>
      <c r="BR169" s="22">
        <f t="shared" si="550"/>
        <v>1.7058525001811375E-2</v>
      </c>
      <c r="BS169" s="22">
        <f t="shared" si="550"/>
        <v>1.7058525001811375E-2</v>
      </c>
      <c r="BT169" s="22">
        <f t="shared" si="550"/>
        <v>1.7058525001811375E-2</v>
      </c>
      <c r="BU169" s="22">
        <f t="shared" si="550"/>
        <v>1.7058525001811375E-2</v>
      </c>
      <c r="BV169" s="22">
        <f t="shared" si="550"/>
        <v>1.7058525001811375E-2</v>
      </c>
      <c r="BW169" s="22">
        <f t="shared" si="550"/>
        <v>1.7058525001811375E-2</v>
      </c>
      <c r="BX169" s="22">
        <f t="shared" ref="BX169:DQ171" si="551">(1+$G169)^(BX$5/12)-1</f>
        <v>1.7058525001811375E-2</v>
      </c>
      <c r="BY169" s="22">
        <f t="shared" si="551"/>
        <v>1.7058525001811375E-2</v>
      </c>
      <c r="BZ169" s="22">
        <f t="shared" si="551"/>
        <v>1.7058525001811375E-2</v>
      </c>
      <c r="CA169" s="22">
        <f t="shared" si="551"/>
        <v>1.7058525001811375E-2</v>
      </c>
      <c r="CB169" s="22">
        <f t="shared" si="551"/>
        <v>1.7058525001811375E-2</v>
      </c>
      <c r="CC169" s="22">
        <f t="shared" si="551"/>
        <v>1.7058525001811375E-2</v>
      </c>
      <c r="CD169" s="22">
        <f t="shared" si="551"/>
        <v>1.7058525001811375E-2</v>
      </c>
      <c r="CE169" s="22">
        <f t="shared" si="551"/>
        <v>1.7058525001811375E-2</v>
      </c>
      <c r="CF169" s="22">
        <f t="shared" si="551"/>
        <v>1.7058525001811375E-2</v>
      </c>
      <c r="CG169" s="22">
        <f t="shared" si="551"/>
        <v>1.7058525001811375E-2</v>
      </c>
      <c r="CH169" s="22">
        <f t="shared" si="551"/>
        <v>1.7058525001811375E-2</v>
      </c>
      <c r="CI169" s="22">
        <f t="shared" si="551"/>
        <v>1.7058525001811375E-2</v>
      </c>
      <c r="CJ169" s="22">
        <f t="shared" si="551"/>
        <v>1.7058525001811375E-2</v>
      </c>
      <c r="CK169" s="22">
        <f t="shared" si="551"/>
        <v>1.7058525001811375E-2</v>
      </c>
      <c r="CL169" s="22">
        <f t="shared" si="551"/>
        <v>1.7058525001811375E-2</v>
      </c>
      <c r="CM169" s="22">
        <f t="shared" si="551"/>
        <v>1.7058525001811375E-2</v>
      </c>
      <c r="CN169" s="22">
        <f t="shared" si="551"/>
        <v>1.7058525001811375E-2</v>
      </c>
      <c r="CO169" s="22">
        <f t="shared" si="551"/>
        <v>1.7058525001811375E-2</v>
      </c>
      <c r="CP169" s="22">
        <f t="shared" si="551"/>
        <v>1.7058525001811375E-2</v>
      </c>
      <c r="CQ169" s="22">
        <f t="shared" si="551"/>
        <v>1.7058525001811375E-2</v>
      </c>
      <c r="CR169" s="22">
        <f t="shared" si="551"/>
        <v>1.7058525001811375E-2</v>
      </c>
      <c r="CS169" s="22">
        <f t="shared" si="551"/>
        <v>1.7058525001811375E-2</v>
      </c>
      <c r="CT169" s="22">
        <f t="shared" si="551"/>
        <v>1.7058525001811375E-2</v>
      </c>
      <c r="CU169" s="22">
        <f t="shared" si="551"/>
        <v>1.7058525001811375E-2</v>
      </c>
      <c r="CV169" s="22">
        <f t="shared" si="551"/>
        <v>1.7058525001811375E-2</v>
      </c>
      <c r="CW169" s="22">
        <f t="shared" si="551"/>
        <v>1.7058525001811375E-2</v>
      </c>
      <c r="CX169" s="22">
        <f t="shared" si="551"/>
        <v>1.7058525001811375E-2</v>
      </c>
      <c r="CY169" s="22">
        <f t="shared" si="551"/>
        <v>1.7058525001811375E-2</v>
      </c>
      <c r="CZ169" s="22">
        <f t="shared" si="551"/>
        <v>1.7058525001811375E-2</v>
      </c>
      <c r="DA169" s="22">
        <f t="shared" si="551"/>
        <v>1.7058525001811375E-2</v>
      </c>
      <c r="DB169" s="22">
        <f t="shared" si="551"/>
        <v>1.7058525001811375E-2</v>
      </c>
      <c r="DC169" s="22">
        <f t="shared" si="551"/>
        <v>1.7058525001811375E-2</v>
      </c>
      <c r="DD169" s="22">
        <f t="shared" si="551"/>
        <v>1.7058525001811375E-2</v>
      </c>
      <c r="DE169" s="22">
        <f t="shared" si="551"/>
        <v>1.7058525001811375E-2</v>
      </c>
      <c r="DF169" s="22">
        <f t="shared" si="551"/>
        <v>1.7058525001811375E-2</v>
      </c>
      <c r="DG169" s="22">
        <f t="shared" si="551"/>
        <v>1.7058525001811375E-2</v>
      </c>
      <c r="DH169" s="22">
        <f t="shared" si="551"/>
        <v>1.7058525001811375E-2</v>
      </c>
      <c r="DI169" s="22">
        <f t="shared" si="551"/>
        <v>1.7058525001811375E-2</v>
      </c>
      <c r="DJ169" s="22">
        <f t="shared" si="551"/>
        <v>1.7058525001811375E-2</v>
      </c>
      <c r="DK169" s="22">
        <f t="shared" si="551"/>
        <v>1.7058525001811375E-2</v>
      </c>
      <c r="DL169" s="22">
        <f t="shared" si="551"/>
        <v>1.7058525001811375E-2</v>
      </c>
      <c r="DM169" s="22">
        <f t="shared" si="551"/>
        <v>1.7058525001811375E-2</v>
      </c>
      <c r="DN169" s="22">
        <f t="shared" si="551"/>
        <v>1.7058525001811375E-2</v>
      </c>
      <c r="DO169" s="22">
        <f t="shared" si="551"/>
        <v>1.7058525001811375E-2</v>
      </c>
      <c r="DP169" s="22">
        <f t="shared" si="551"/>
        <v>1.7058525001811375E-2</v>
      </c>
      <c r="DQ169" s="22">
        <f t="shared" si="551"/>
        <v>1.7058525001811375E-2</v>
      </c>
    </row>
    <row r="170" spans="2:1006" x14ac:dyDescent="0.35">
      <c r="C170" s="20" t="s">
        <v>22</v>
      </c>
      <c r="F170" s="20" t="s">
        <v>19</v>
      </c>
      <c r="G170" s="35">
        <f>Assumptions!F104</f>
        <v>0.02</v>
      </c>
      <c r="K170" s="22">
        <f t="shared" ref="K170:K171" si="552">(1+$G170)^(K$5/12)-1</f>
        <v>1.6515813019202241E-3</v>
      </c>
      <c r="L170" s="22">
        <f t="shared" si="550"/>
        <v>1.6515813019202241E-3</v>
      </c>
      <c r="M170" s="22">
        <f t="shared" si="550"/>
        <v>1.6515813019202241E-3</v>
      </c>
      <c r="N170" s="22">
        <f t="shared" si="550"/>
        <v>1.6515813019202241E-3</v>
      </c>
      <c r="O170" s="22">
        <f t="shared" si="550"/>
        <v>1.6515813019202241E-3</v>
      </c>
      <c r="P170" s="22">
        <f t="shared" si="550"/>
        <v>1.6515813019202241E-3</v>
      </c>
      <c r="Q170" s="22">
        <f t="shared" si="550"/>
        <v>1.6515813019202241E-3</v>
      </c>
      <c r="R170" s="22">
        <f t="shared" si="550"/>
        <v>1.6515813019202241E-3</v>
      </c>
      <c r="S170" s="22">
        <f t="shared" si="550"/>
        <v>1.6515813019202241E-3</v>
      </c>
      <c r="T170" s="22">
        <f t="shared" si="550"/>
        <v>4.9629315732038215E-3</v>
      </c>
      <c r="U170" s="22">
        <f t="shared" si="550"/>
        <v>4.9629315732038215E-3</v>
      </c>
      <c r="V170" s="22">
        <f t="shared" si="550"/>
        <v>4.9629315732038215E-3</v>
      </c>
      <c r="W170" s="22">
        <f t="shared" si="550"/>
        <v>4.9629315732038215E-3</v>
      </c>
      <c r="X170" s="22">
        <f t="shared" si="550"/>
        <v>4.9629315732038215E-3</v>
      </c>
      <c r="Y170" s="22">
        <f t="shared" si="550"/>
        <v>4.9629315732038215E-3</v>
      </c>
      <c r="Z170" s="22">
        <f t="shared" si="550"/>
        <v>4.9629315732038215E-3</v>
      </c>
      <c r="AA170" s="22">
        <f t="shared" si="550"/>
        <v>4.9629315732038215E-3</v>
      </c>
      <c r="AB170" s="22">
        <f t="shared" si="550"/>
        <v>4.9629315732038215E-3</v>
      </c>
      <c r="AC170" s="22">
        <f t="shared" si="550"/>
        <v>4.9629315732038215E-3</v>
      </c>
      <c r="AD170" s="22">
        <f t="shared" si="550"/>
        <v>4.9629315732038215E-3</v>
      </c>
      <c r="AE170" s="22">
        <f t="shared" si="550"/>
        <v>4.9629315732038215E-3</v>
      </c>
      <c r="AF170" s="22">
        <f t="shared" si="550"/>
        <v>4.9629315732038215E-3</v>
      </c>
      <c r="AG170" s="22">
        <f t="shared" si="550"/>
        <v>4.9629315732038215E-3</v>
      </c>
      <c r="AH170" s="22">
        <f t="shared" si="550"/>
        <v>4.9629315732038215E-3</v>
      </c>
      <c r="AI170" s="22">
        <f t="shared" si="550"/>
        <v>4.9629315732038215E-3</v>
      </c>
      <c r="AJ170" s="22">
        <f t="shared" si="550"/>
        <v>4.9629315732038215E-3</v>
      </c>
      <c r="AK170" s="22">
        <f t="shared" si="550"/>
        <v>4.9629315732038215E-3</v>
      </c>
      <c r="AL170" s="22">
        <f t="shared" si="550"/>
        <v>4.9629315732038215E-3</v>
      </c>
      <c r="AM170" s="22">
        <f t="shared" si="550"/>
        <v>4.9629315732038215E-3</v>
      </c>
      <c r="AN170" s="22">
        <f t="shared" si="550"/>
        <v>4.9629315732038215E-3</v>
      </c>
      <c r="AO170" s="22">
        <f t="shared" si="550"/>
        <v>4.9629315732038215E-3</v>
      </c>
      <c r="AP170" s="22">
        <f t="shared" si="550"/>
        <v>4.9629315732038215E-3</v>
      </c>
      <c r="AQ170" s="22">
        <f t="shared" si="550"/>
        <v>4.9629315732038215E-3</v>
      </c>
      <c r="AR170" s="22">
        <f t="shared" si="550"/>
        <v>4.9629315732038215E-3</v>
      </c>
      <c r="AS170" s="22">
        <f t="shared" si="550"/>
        <v>4.9629315732038215E-3</v>
      </c>
      <c r="AT170" s="22">
        <f t="shared" si="550"/>
        <v>4.9629315732038215E-3</v>
      </c>
      <c r="AU170" s="22">
        <f t="shared" si="550"/>
        <v>4.9629315732038215E-3</v>
      </c>
      <c r="AV170" s="22">
        <f t="shared" si="550"/>
        <v>4.9629315732038215E-3</v>
      </c>
      <c r="AW170" s="22">
        <f t="shared" si="550"/>
        <v>4.9629315732038215E-3</v>
      </c>
      <c r="AX170" s="22">
        <f t="shared" si="550"/>
        <v>4.9629315732038215E-3</v>
      </c>
      <c r="AY170" s="22">
        <f t="shared" si="550"/>
        <v>4.9629315732038215E-3</v>
      </c>
      <c r="AZ170" s="22">
        <f t="shared" si="550"/>
        <v>4.9629315732038215E-3</v>
      </c>
      <c r="BA170" s="22">
        <f t="shared" si="550"/>
        <v>4.9629315732038215E-3</v>
      </c>
      <c r="BB170" s="22">
        <f t="shared" si="550"/>
        <v>4.9629315732038215E-3</v>
      </c>
      <c r="BC170" s="22">
        <f t="shared" si="550"/>
        <v>4.9629315732038215E-3</v>
      </c>
      <c r="BD170" s="22">
        <f t="shared" si="550"/>
        <v>4.9629315732038215E-3</v>
      </c>
      <c r="BE170" s="22">
        <f t="shared" si="550"/>
        <v>4.9629315732038215E-3</v>
      </c>
      <c r="BF170" s="22">
        <f t="shared" si="550"/>
        <v>4.9629315732038215E-3</v>
      </c>
      <c r="BG170" s="22">
        <f t="shared" si="550"/>
        <v>4.9629315732038215E-3</v>
      </c>
      <c r="BH170" s="22">
        <f t="shared" si="550"/>
        <v>4.9629315732038215E-3</v>
      </c>
      <c r="BI170" s="22">
        <f t="shared" si="550"/>
        <v>4.9629315732038215E-3</v>
      </c>
      <c r="BJ170" s="22">
        <f t="shared" si="550"/>
        <v>4.9629315732038215E-3</v>
      </c>
      <c r="BK170" s="22">
        <f t="shared" si="550"/>
        <v>4.9629315732038215E-3</v>
      </c>
      <c r="BL170" s="22">
        <f t="shared" si="550"/>
        <v>4.9629315732038215E-3</v>
      </c>
      <c r="BM170" s="22">
        <f t="shared" si="550"/>
        <v>4.9629315732038215E-3</v>
      </c>
      <c r="BN170" s="22">
        <f t="shared" si="550"/>
        <v>4.9629315732038215E-3</v>
      </c>
      <c r="BO170" s="22">
        <f t="shared" si="550"/>
        <v>4.9629315732038215E-3</v>
      </c>
      <c r="BP170" s="22">
        <f t="shared" si="550"/>
        <v>4.9629315732038215E-3</v>
      </c>
      <c r="BQ170" s="22">
        <f t="shared" si="550"/>
        <v>4.9629315732038215E-3</v>
      </c>
      <c r="BR170" s="22">
        <f t="shared" si="550"/>
        <v>4.9629315732038215E-3</v>
      </c>
      <c r="BS170" s="22">
        <f t="shared" si="550"/>
        <v>4.9629315732038215E-3</v>
      </c>
      <c r="BT170" s="22">
        <f t="shared" si="550"/>
        <v>4.9629315732038215E-3</v>
      </c>
      <c r="BU170" s="22">
        <f t="shared" si="550"/>
        <v>4.9629315732038215E-3</v>
      </c>
      <c r="BV170" s="22">
        <f t="shared" si="550"/>
        <v>4.9629315732038215E-3</v>
      </c>
      <c r="BW170" s="22">
        <f t="shared" si="550"/>
        <v>4.9629315732038215E-3</v>
      </c>
      <c r="BX170" s="22">
        <f t="shared" si="551"/>
        <v>4.9629315732038215E-3</v>
      </c>
      <c r="BY170" s="22">
        <f t="shared" si="551"/>
        <v>4.9629315732038215E-3</v>
      </c>
      <c r="BZ170" s="22">
        <f t="shared" si="551"/>
        <v>4.9629315732038215E-3</v>
      </c>
      <c r="CA170" s="22">
        <f t="shared" si="551"/>
        <v>4.9629315732038215E-3</v>
      </c>
      <c r="CB170" s="22">
        <f t="shared" si="551"/>
        <v>4.9629315732038215E-3</v>
      </c>
      <c r="CC170" s="22">
        <f t="shared" si="551"/>
        <v>4.9629315732038215E-3</v>
      </c>
      <c r="CD170" s="22">
        <f t="shared" si="551"/>
        <v>4.9629315732038215E-3</v>
      </c>
      <c r="CE170" s="22">
        <f t="shared" si="551"/>
        <v>4.9629315732038215E-3</v>
      </c>
      <c r="CF170" s="22">
        <f t="shared" si="551"/>
        <v>4.9629315732038215E-3</v>
      </c>
      <c r="CG170" s="22">
        <f t="shared" si="551"/>
        <v>4.9629315732038215E-3</v>
      </c>
      <c r="CH170" s="22">
        <f t="shared" si="551"/>
        <v>4.9629315732038215E-3</v>
      </c>
      <c r="CI170" s="22">
        <f t="shared" si="551"/>
        <v>4.9629315732038215E-3</v>
      </c>
      <c r="CJ170" s="22">
        <f t="shared" si="551"/>
        <v>4.9629315732038215E-3</v>
      </c>
      <c r="CK170" s="22">
        <f t="shared" si="551"/>
        <v>4.9629315732038215E-3</v>
      </c>
      <c r="CL170" s="22">
        <f t="shared" si="551"/>
        <v>4.9629315732038215E-3</v>
      </c>
      <c r="CM170" s="22">
        <f t="shared" si="551"/>
        <v>4.9629315732038215E-3</v>
      </c>
      <c r="CN170" s="22">
        <f t="shared" si="551"/>
        <v>4.9629315732038215E-3</v>
      </c>
      <c r="CO170" s="22">
        <f t="shared" si="551"/>
        <v>4.9629315732038215E-3</v>
      </c>
      <c r="CP170" s="22">
        <f t="shared" si="551"/>
        <v>4.9629315732038215E-3</v>
      </c>
      <c r="CQ170" s="22">
        <f t="shared" si="551"/>
        <v>4.9629315732038215E-3</v>
      </c>
      <c r="CR170" s="22">
        <f t="shared" si="551"/>
        <v>4.9629315732038215E-3</v>
      </c>
      <c r="CS170" s="22">
        <f t="shared" si="551"/>
        <v>4.9629315732038215E-3</v>
      </c>
      <c r="CT170" s="22">
        <f t="shared" si="551"/>
        <v>4.9629315732038215E-3</v>
      </c>
      <c r="CU170" s="22">
        <f t="shared" si="551"/>
        <v>4.9629315732038215E-3</v>
      </c>
      <c r="CV170" s="22">
        <f t="shared" si="551"/>
        <v>4.9629315732038215E-3</v>
      </c>
      <c r="CW170" s="22">
        <f t="shared" si="551"/>
        <v>4.9629315732038215E-3</v>
      </c>
      <c r="CX170" s="22">
        <f t="shared" si="551"/>
        <v>4.9629315732038215E-3</v>
      </c>
      <c r="CY170" s="22">
        <f t="shared" si="551"/>
        <v>4.9629315732038215E-3</v>
      </c>
      <c r="CZ170" s="22">
        <f t="shared" si="551"/>
        <v>4.9629315732038215E-3</v>
      </c>
      <c r="DA170" s="22">
        <f t="shared" si="551"/>
        <v>4.9629315732038215E-3</v>
      </c>
      <c r="DB170" s="22">
        <f t="shared" si="551"/>
        <v>4.9629315732038215E-3</v>
      </c>
      <c r="DC170" s="22">
        <f t="shared" si="551"/>
        <v>4.9629315732038215E-3</v>
      </c>
      <c r="DD170" s="22">
        <f t="shared" si="551"/>
        <v>4.9629315732038215E-3</v>
      </c>
      <c r="DE170" s="22">
        <f t="shared" si="551"/>
        <v>4.9629315732038215E-3</v>
      </c>
      <c r="DF170" s="22">
        <f t="shared" si="551"/>
        <v>4.9629315732038215E-3</v>
      </c>
      <c r="DG170" s="22">
        <f t="shared" si="551"/>
        <v>4.9629315732038215E-3</v>
      </c>
      <c r="DH170" s="22">
        <f t="shared" si="551"/>
        <v>4.9629315732038215E-3</v>
      </c>
      <c r="DI170" s="22">
        <f t="shared" si="551"/>
        <v>4.9629315732038215E-3</v>
      </c>
      <c r="DJ170" s="22">
        <f t="shared" si="551"/>
        <v>4.9629315732038215E-3</v>
      </c>
      <c r="DK170" s="22">
        <f t="shared" si="551"/>
        <v>4.9629315732038215E-3</v>
      </c>
      <c r="DL170" s="22">
        <f t="shared" si="551"/>
        <v>4.9629315732038215E-3</v>
      </c>
      <c r="DM170" s="22">
        <f t="shared" si="551"/>
        <v>4.9629315732038215E-3</v>
      </c>
      <c r="DN170" s="22">
        <f t="shared" si="551"/>
        <v>4.9629315732038215E-3</v>
      </c>
      <c r="DO170" s="22">
        <f t="shared" si="551"/>
        <v>4.9629315732038215E-3</v>
      </c>
      <c r="DP170" s="22">
        <f t="shared" si="551"/>
        <v>4.9629315732038215E-3</v>
      </c>
      <c r="DQ170" s="22">
        <f t="shared" si="551"/>
        <v>4.9629315732038215E-3</v>
      </c>
    </row>
    <row r="171" spans="2:1006" x14ac:dyDescent="0.35">
      <c r="C171" s="20" t="s">
        <v>434</v>
      </c>
      <c r="F171" s="20" t="s">
        <v>19</v>
      </c>
      <c r="G171" s="22">
        <f>(1+G169)/(1+G170)-1</f>
        <v>4.9019607843137303E-2</v>
      </c>
      <c r="K171" s="22">
        <f t="shared" si="552"/>
        <v>3.9959644253571014E-3</v>
      </c>
      <c r="L171" s="22">
        <f t="shared" si="550"/>
        <v>3.9959644253571014E-3</v>
      </c>
      <c r="M171" s="22">
        <f t="shared" si="550"/>
        <v>3.9959644253571014E-3</v>
      </c>
      <c r="N171" s="22">
        <f t="shared" si="550"/>
        <v>3.9959644253571014E-3</v>
      </c>
      <c r="O171" s="22">
        <f t="shared" si="550"/>
        <v>3.9959644253571014E-3</v>
      </c>
      <c r="P171" s="22">
        <f t="shared" si="550"/>
        <v>3.9959644253571014E-3</v>
      </c>
      <c r="Q171" s="22">
        <f t="shared" si="550"/>
        <v>3.9959644253571014E-3</v>
      </c>
      <c r="R171" s="22">
        <f t="shared" si="550"/>
        <v>3.9959644253571014E-3</v>
      </c>
      <c r="S171" s="22">
        <f t="shared" si="550"/>
        <v>3.9959644253571014E-3</v>
      </c>
      <c r="T171" s="22">
        <f t="shared" si="550"/>
        <v>1.2035860277625154E-2</v>
      </c>
      <c r="U171" s="22">
        <f t="shared" si="550"/>
        <v>1.2035860277625154E-2</v>
      </c>
      <c r="V171" s="22">
        <f t="shared" si="550"/>
        <v>1.2035860277625154E-2</v>
      </c>
      <c r="W171" s="22">
        <f t="shared" si="550"/>
        <v>1.2035860277625154E-2</v>
      </c>
      <c r="X171" s="22">
        <f t="shared" si="550"/>
        <v>1.2035860277625154E-2</v>
      </c>
      <c r="Y171" s="22">
        <f t="shared" si="550"/>
        <v>1.2035860277625154E-2</v>
      </c>
      <c r="Z171" s="22">
        <f t="shared" si="550"/>
        <v>1.2035860277625154E-2</v>
      </c>
      <c r="AA171" s="22">
        <f t="shared" si="550"/>
        <v>1.2035860277625154E-2</v>
      </c>
      <c r="AB171" s="22">
        <f t="shared" si="550"/>
        <v>1.2035860277625154E-2</v>
      </c>
      <c r="AC171" s="22">
        <f t="shared" si="550"/>
        <v>1.2035860277625154E-2</v>
      </c>
      <c r="AD171" s="22">
        <f t="shared" si="550"/>
        <v>1.2035860277625154E-2</v>
      </c>
      <c r="AE171" s="22">
        <f t="shared" si="550"/>
        <v>1.2035860277625154E-2</v>
      </c>
      <c r="AF171" s="22">
        <f t="shared" si="550"/>
        <v>1.2035860277625154E-2</v>
      </c>
      <c r="AG171" s="22">
        <f t="shared" si="550"/>
        <v>1.2035860277625154E-2</v>
      </c>
      <c r="AH171" s="22">
        <f t="shared" si="550"/>
        <v>1.2035860277625154E-2</v>
      </c>
      <c r="AI171" s="22">
        <f t="shared" si="550"/>
        <v>1.2035860277625154E-2</v>
      </c>
      <c r="AJ171" s="22">
        <f t="shared" si="550"/>
        <v>1.2035860277625154E-2</v>
      </c>
      <c r="AK171" s="22">
        <f t="shared" si="550"/>
        <v>1.2035860277625154E-2</v>
      </c>
      <c r="AL171" s="22">
        <f t="shared" si="550"/>
        <v>1.2035860277625154E-2</v>
      </c>
      <c r="AM171" s="22">
        <f t="shared" si="550"/>
        <v>1.2035860277625154E-2</v>
      </c>
      <c r="AN171" s="22">
        <f t="shared" si="550"/>
        <v>1.2035860277625154E-2</v>
      </c>
      <c r="AO171" s="22">
        <f t="shared" si="550"/>
        <v>1.2035860277625154E-2</v>
      </c>
      <c r="AP171" s="22">
        <f t="shared" si="550"/>
        <v>1.2035860277625154E-2</v>
      </c>
      <c r="AQ171" s="22">
        <f t="shared" si="550"/>
        <v>1.2035860277625154E-2</v>
      </c>
      <c r="AR171" s="22">
        <f t="shared" si="550"/>
        <v>1.2035860277625154E-2</v>
      </c>
      <c r="AS171" s="22">
        <f t="shared" si="550"/>
        <v>1.2035860277625154E-2</v>
      </c>
      <c r="AT171" s="22">
        <f t="shared" si="550"/>
        <v>1.2035860277625154E-2</v>
      </c>
      <c r="AU171" s="22">
        <f t="shared" si="550"/>
        <v>1.2035860277625154E-2</v>
      </c>
      <c r="AV171" s="22">
        <f t="shared" si="550"/>
        <v>1.2035860277625154E-2</v>
      </c>
      <c r="AW171" s="22">
        <f t="shared" si="550"/>
        <v>1.2035860277625154E-2</v>
      </c>
      <c r="AX171" s="22">
        <f t="shared" si="550"/>
        <v>1.2035860277625154E-2</v>
      </c>
      <c r="AY171" s="22">
        <f t="shared" si="550"/>
        <v>1.2035860277625154E-2</v>
      </c>
      <c r="AZ171" s="22">
        <f t="shared" si="550"/>
        <v>1.2035860277625154E-2</v>
      </c>
      <c r="BA171" s="22">
        <f t="shared" si="550"/>
        <v>1.2035860277625154E-2</v>
      </c>
      <c r="BB171" s="22">
        <f t="shared" si="550"/>
        <v>1.2035860277625154E-2</v>
      </c>
      <c r="BC171" s="22">
        <f t="shared" si="550"/>
        <v>1.2035860277625154E-2</v>
      </c>
      <c r="BD171" s="22">
        <f t="shared" si="550"/>
        <v>1.2035860277625154E-2</v>
      </c>
      <c r="BE171" s="22">
        <f t="shared" si="550"/>
        <v>1.2035860277625154E-2</v>
      </c>
      <c r="BF171" s="22">
        <f t="shared" si="550"/>
        <v>1.2035860277625154E-2</v>
      </c>
      <c r="BG171" s="22">
        <f t="shared" si="550"/>
        <v>1.2035860277625154E-2</v>
      </c>
      <c r="BH171" s="22">
        <f t="shared" si="550"/>
        <v>1.2035860277625154E-2</v>
      </c>
      <c r="BI171" s="22">
        <f t="shared" si="550"/>
        <v>1.2035860277625154E-2</v>
      </c>
      <c r="BJ171" s="22">
        <f t="shared" si="550"/>
        <v>1.2035860277625154E-2</v>
      </c>
      <c r="BK171" s="22">
        <f t="shared" si="550"/>
        <v>1.2035860277625154E-2</v>
      </c>
      <c r="BL171" s="22">
        <f t="shared" si="550"/>
        <v>1.2035860277625154E-2</v>
      </c>
      <c r="BM171" s="22">
        <f t="shared" si="550"/>
        <v>1.2035860277625154E-2</v>
      </c>
      <c r="BN171" s="22">
        <f t="shared" si="550"/>
        <v>1.2035860277625154E-2</v>
      </c>
      <c r="BO171" s="22">
        <f t="shared" si="550"/>
        <v>1.2035860277625154E-2</v>
      </c>
      <c r="BP171" s="22">
        <f t="shared" si="550"/>
        <v>1.2035860277625154E-2</v>
      </c>
      <c r="BQ171" s="22">
        <f t="shared" si="550"/>
        <v>1.2035860277625154E-2</v>
      </c>
      <c r="BR171" s="22">
        <f t="shared" si="550"/>
        <v>1.2035860277625154E-2</v>
      </c>
      <c r="BS171" s="22">
        <f t="shared" si="550"/>
        <v>1.2035860277625154E-2</v>
      </c>
      <c r="BT171" s="22">
        <f t="shared" si="550"/>
        <v>1.2035860277625154E-2</v>
      </c>
      <c r="BU171" s="22">
        <f t="shared" si="550"/>
        <v>1.2035860277625154E-2</v>
      </c>
      <c r="BV171" s="22">
        <f t="shared" si="550"/>
        <v>1.2035860277625154E-2</v>
      </c>
      <c r="BW171" s="22">
        <f t="shared" si="550"/>
        <v>1.2035860277625154E-2</v>
      </c>
      <c r="BX171" s="22">
        <f t="shared" si="551"/>
        <v>1.2035860277625154E-2</v>
      </c>
      <c r="BY171" s="22">
        <f t="shared" si="551"/>
        <v>1.2035860277625154E-2</v>
      </c>
      <c r="BZ171" s="22">
        <f t="shared" si="551"/>
        <v>1.2035860277625154E-2</v>
      </c>
      <c r="CA171" s="22">
        <f t="shared" si="551"/>
        <v>1.2035860277625154E-2</v>
      </c>
      <c r="CB171" s="22">
        <f t="shared" si="551"/>
        <v>1.2035860277625154E-2</v>
      </c>
      <c r="CC171" s="22">
        <f t="shared" si="551"/>
        <v>1.2035860277625154E-2</v>
      </c>
      <c r="CD171" s="22">
        <f t="shared" si="551"/>
        <v>1.2035860277625154E-2</v>
      </c>
      <c r="CE171" s="22">
        <f t="shared" si="551"/>
        <v>1.2035860277625154E-2</v>
      </c>
      <c r="CF171" s="22">
        <f t="shared" si="551"/>
        <v>1.2035860277625154E-2</v>
      </c>
      <c r="CG171" s="22">
        <f t="shared" si="551"/>
        <v>1.2035860277625154E-2</v>
      </c>
      <c r="CH171" s="22">
        <f t="shared" si="551"/>
        <v>1.2035860277625154E-2</v>
      </c>
      <c r="CI171" s="22">
        <f t="shared" si="551"/>
        <v>1.2035860277625154E-2</v>
      </c>
      <c r="CJ171" s="22">
        <f t="shared" si="551"/>
        <v>1.2035860277625154E-2</v>
      </c>
      <c r="CK171" s="22">
        <f t="shared" si="551"/>
        <v>1.2035860277625154E-2</v>
      </c>
      <c r="CL171" s="22">
        <f t="shared" si="551"/>
        <v>1.2035860277625154E-2</v>
      </c>
      <c r="CM171" s="22">
        <f t="shared" si="551"/>
        <v>1.2035860277625154E-2</v>
      </c>
      <c r="CN171" s="22">
        <f t="shared" si="551"/>
        <v>1.2035860277625154E-2</v>
      </c>
      <c r="CO171" s="22">
        <f t="shared" si="551"/>
        <v>1.2035860277625154E-2</v>
      </c>
      <c r="CP171" s="22">
        <f t="shared" si="551"/>
        <v>1.2035860277625154E-2</v>
      </c>
      <c r="CQ171" s="22">
        <f t="shared" si="551"/>
        <v>1.2035860277625154E-2</v>
      </c>
      <c r="CR171" s="22">
        <f t="shared" si="551"/>
        <v>1.2035860277625154E-2</v>
      </c>
      <c r="CS171" s="22">
        <f t="shared" si="551"/>
        <v>1.2035860277625154E-2</v>
      </c>
      <c r="CT171" s="22">
        <f t="shared" si="551"/>
        <v>1.2035860277625154E-2</v>
      </c>
      <c r="CU171" s="22">
        <f t="shared" si="551"/>
        <v>1.2035860277625154E-2</v>
      </c>
      <c r="CV171" s="22">
        <f t="shared" si="551"/>
        <v>1.2035860277625154E-2</v>
      </c>
      <c r="CW171" s="22">
        <f t="shared" si="551"/>
        <v>1.2035860277625154E-2</v>
      </c>
      <c r="CX171" s="22">
        <f t="shared" si="551"/>
        <v>1.2035860277625154E-2</v>
      </c>
      <c r="CY171" s="22">
        <f t="shared" si="551"/>
        <v>1.2035860277625154E-2</v>
      </c>
      <c r="CZ171" s="22">
        <f t="shared" si="551"/>
        <v>1.2035860277625154E-2</v>
      </c>
      <c r="DA171" s="22">
        <f t="shared" si="551"/>
        <v>1.2035860277625154E-2</v>
      </c>
      <c r="DB171" s="22">
        <f t="shared" si="551"/>
        <v>1.2035860277625154E-2</v>
      </c>
      <c r="DC171" s="22">
        <f t="shared" si="551"/>
        <v>1.2035860277625154E-2</v>
      </c>
      <c r="DD171" s="22">
        <f t="shared" si="551"/>
        <v>1.2035860277625154E-2</v>
      </c>
      <c r="DE171" s="22">
        <f t="shared" si="551"/>
        <v>1.2035860277625154E-2</v>
      </c>
      <c r="DF171" s="22">
        <f t="shared" si="551"/>
        <v>1.2035860277625154E-2</v>
      </c>
      <c r="DG171" s="22">
        <f t="shared" si="551"/>
        <v>1.2035860277625154E-2</v>
      </c>
      <c r="DH171" s="22">
        <f t="shared" si="551"/>
        <v>1.2035860277625154E-2</v>
      </c>
      <c r="DI171" s="22">
        <f t="shared" si="551"/>
        <v>1.2035860277625154E-2</v>
      </c>
      <c r="DJ171" s="22">
        <f t="shared" si="551"/>
        <v>1.2035860277625154E-2</v>
      </c>
      <c r="DK171" s="22">
        <f t="shared" si="551"/>
        <v>1.2035860277625154E-2</v>
      </c>
      <c r="DL171" s="22">
        <f t="shared" si="551"/>
        <v>1.2035860277625154E-2</v>
      </c>
      <c r="DM171" s="22">
        <f t="shared" si="551"/>
        <v>1.2035860277625154E-2</v>
      </c>
      <c r="DN171" s="22">
        <f t="shared" si="551"/>
        <v>1.2035860277625154E-2</v>
      </c>
      <c r="DO171" s="22">
        <f t="shared" si="551"/>
        <v>1.2035860277625154E-2</v>
      </c>
      <c r="DP171" s="22">
        <f t="shared" si="551"/>
        <v>1.2035860277625154E-2</v>
      </c>
      <c r="DQ171" s="22">
        <f t="shared" si="551"/>
        <v>1.2035860277625154E-2</v>
      </c>
    </row>
    <row r="173" spans="2:1006" x14ac:dyDescent="0.35">
      <c r="C173" s="20" t="s">
        <v>435</v>
      </c>
      <c r="F173" s="20" t="s">
        <v>25</v>
      </c>
      <c r="G173" s="22">
        <f>G169</f>
        <v>7.0000000000000007E-2</v>
      </c>
      <c r="J173" s="28">
        <v>1</v>
      </c>
      <c r="K173" s="25">
        <f>J173*(1+K169)</f>
        <v>1.0056541453874053</v>
      </c>
      <c r="L173" s="25">
        <f t="shared" ref="L173:BW173" si="553">K173*(1+L169)</f>
        <v>1.0113402601348724</v>
      </c>
      <c r="M173" s="25">
        <f t="shared" si="553"/>
        <v>1.0170585250018114</v>
      </c>
      <c r="N173" s="25">
        <f t="shared" si="553"/>
        <v>1.0228091217696715</v>
      </c>
      <c r="O173" s="25">
        <f t="shared" si="553"/>
        <v>1.0285922332477215</v>
      </c>
      <c r="P173" s="25">
        <f t="shared" si="553"/>
        <v>1.03440804327886</v>
      </c>
      <c r="Q173" s="25">
        <f t="shared" si="553"/>
        <v>1.04025673674546</v>
      </c>
      <c r="R173" s="25">
        <f t="shared" si="553"/>
        <v>1.0461384995752467</v>
      </c>
      <c r="S173" s="25">
        <f t="shared" si="553"/>
        <v>1.0520535187472071</v>
      </c>
      <c r="T173" s="25">
        <f t="shared" si="553"/>
        <v>1.07</v>
      </c>
      <c r="U173" s="25">
        <f t="shared" si="553"/>
        <v>1.0882526217519382</v>
      </c>
      <c r="V173" s="25">
        <f t="shared" si="553"/>
        <v>1.1068166063083804</v>
      </c>
      <c r="W173" s="25">
        <f t="shared" si="553"/>
        <v>1.1256972650595118</v>
      </c>
      <c r="X173" s="25">
        <f t="shared" si="553"/>
        <v>1.1449000000000003</v>
      </c>
      <c r="Y173" s="25">
        <f t="shared" si="553"/>
        <v>1.1644303052745741</v>
      </c>
      <c r="Z173" s="25">
        <f t="shared" si="553"/>
        <v>1.1842937687499673</v>
      </c>
      <c r="AA173" s="25">
        <f t="shared" si="553"/>
        <v>1.2044960736136781</v>
      </c>
      <c r="AB173" s="25">
        <f t="shared" si="553"/>
        <v>1.2250430000000005</v>
      </c>
      <c r="AC173" s="25">
        <f t="shared" si="553"/>
        <v>1.2459404266437946</v>
      </c>
      <c r="AD173" s="25">
        <f t="shared" si="553"/>
        <v>1.2671943325624653</v>
      </c>
      <c r="AE173" s="25">
        <f t="shared" si="553"/>
        <v>1.2888107987666357</v>
      </c>
      <c r="AF173" s="25">
        <f t="shared" si="553"/>
        <v>1.3107960100000009</v>
      </c>
      <c r="AG173" s="25">
        <f t="shared" si="553"/>
        <v>1.3331562565088606</v>
      </c>
      <c r="AH173" s="25">
        <f t="shared" si="553"/>
        <v>1.3558979358418382</v>
      </c>
      <c r="AI173" s="25">
        <f t="shared" si="553"/>
        <v>1.3790275546803006</v>
      </c>
      <c r="AJ173" s="25">
        <f t="shared" si="553"/>
        <v>1.4025517307000013</v>
      </c>
      <c r="AK173" s="25">
        <f t="shared" si="553"/>
        <v>1.426477194464481</v>
      </c>
      <c r="AL173" s="25">
        <f t="shared" si="553"/>
        <v>1.4508107913507671</v>
      </c>
      <c r="AM173" s="25">
        <f t="shared" si="553"/>
        <v>1.475559483507922</v>
      </c>
      <c r="AN173" s="25">
        <f t="shared" si="553"/>
        <v>1.5007303518490018</v>
      </c>
      <c r="AO173" s="25">
        <f t="shared" si="553"/>
        <v>1.5263305980769952</v>
      </c>
      <c r="AP173" s="25">
        <f t="shared" si="553"/>
        <v>1.5523675467453213</v>
      </c>
      <c r="AQ173" s="25">
        <f t="shared" si="553"/>
        <v>1.5788486473534769</v>
      </c>
      <c r="AR173" s="25">
        <f t="shared" si="553"/>
        <v>1.6057814764784322</v>
      </c>
      <c r="AS173" s="25">
        <f t="shared" si="553"/>
        <v>1.6331737399423851</v>
      </c>
      <c r="AT173" s="25">
        <f t="shared" si="553"/>
        <v>1.6610332750174941</v>
      </c>
      <c r="AU173" s="25">
        <f t="shared" si="553"/>
        <v>1.6893680526682207</v>
      </c>
      <c r="AV173" s="25">
        <f t="shared" si="553"/>
        <v>1.7181861798319229</v>
      </c>
      <c r="AW173" s="25">
        <f t="shared" si="553"/>
        <v>1.7474959017383525</v>
      </c>
      <c r="AX173" s="25">
        <f t="shared" si="553"/>
        <v>1.777305604268719</v>
      </c>
      <c r="AY173" s="25">
        <f t="shared" si="553"/>
        <v>1.8076238163549965</v>
      </c>
      <c r="AZ173" s="25">
        <f t="shared" si="553"/>
        <v>1.838459212420158</v>
      </c>
      <c r="BA173" s="25">
        <f t="shared" si="553"/>
        <v>1.8698206148600376</v>
      </c>
      <c r="BB173" s="25">
        <f t="shared" si="553"/>
        <v>1.9017169965675298</v>
      </c>
      <c r="BC173" s="25">
        <f t="shared" si="553"/>
        <v>1.9341574834998467</v>
      </c>
      <c r="BD173" s="25">
        <f t="shared" si="553"/>
        <v>1.9671513572895694</v>
      </c>
      <c r="BE173" s="25">
        <f t="shared" si="553"/>
        <v>2.0007080579002405</v>
      </c>
      <c r="BF173" s="25">
        <f t="shared" si="553"/>
        <v>2.0348371863272572</v>
      </c>
      <c r="BG173" s="25">
        <f t="shared" si="553"/>
        <v>2.0695485073448361</v>
      </c>
      <c r="BH173" s="25">
        <f t="shared" si="553"/>
        <v>2.1048519522998395</v>
      </c>
      <c r="BI173" s="25">
        <f t="shared" si="553"/>
        <v>2.1407576219532576</v>
      </c>
      <c r="BJ173" s="25">
        <f t="shared" si="553"/>
        <v>2.1772757893701655</v>
      </c>
      <c r="BK173" s="25">
        <f t="shared" si="553"/>
        <v>2.2144169028589751</v>
      </c>
      <c r="BL173" s="25">
        <f t="shared" si="553"/>
        <v>2.2521915889608288</v>
      </c>
      <c r="BM173" s="25">
        <f t="shared" si="553"/>
        <v>2.2906106554899863</v>
      </c>
      <c r="BN173" s="25">
        <f t="shared" si="553"/>
        <v>2.3296850946260776</v>
      </c>
      <c r="BO173" s="25">
        <f t="shared" si="553"/>
        <v>2.3694260860591041</v>
      </c>
      <c r="BP173" s="25">
        <f t="shared" si="553"/>
        <v>2.4098450001880876</v>
      </c>
      <c r="BQ173" s="25">
        <f t="shared" si="553"/>
        <v>2.4509534013742864</v>
      </c>
      <c r="BR173" s="25">
        <f t="shared" si="553"/>
        <v>2.4927630512499044</v>
      </c>
      <c r="BS173" s="25">
        <f t="shared" si="553"/>
        <v>2.5352859120832423</v>
      </c>
      <c r="BT173" s="25">
        <f t="shared" si="553"/>
        <v>2.5785341502012544</v>
      </c>
      <c r="BU173" s="25">
        <f t="shared" si="553"/>
        <v>2.6225201394704869</v>
      </c>
      <c r="BV173" s="25">
        <f t="shared" si="553"/>
        <v>2.667256464837398</v>
      </c>
      <c r="BW173" s="25">
        <f t="shared" si="553"/>
        <v>2.7127559259290699</v>
      </c>
      <c r="BX173" s="25">
        <f t="shared" ref="BX173:DQ173" si="554">BW173*(1+BX169)</f>
        <v>2.759031540715343</v>
      </c>
      <c r="BY173" s="25">
        <f t="shared" si="554"/>
        <v>2.806096549233422</v>
      </c>
      <c r="BZ173" s="25">
        <f t="shared" si="554"/>
        <v>2.8539644173760168</v>
      </c>
      <c r="CA173" s="25">
        <f t="shared" si="554"/>
        <v>2.9026488407441056</v>
      </c>
      <c r="CB173" s="25">
        <f t="shared" si="554"/>
        <v>2.9521637485654177</v>
      </c>
      <c r="CC173" s="25">
        <f t="shared" si="554"/>
        <v>3.0025233076797622</v>
      </c>
      <c r="CD173" s="25">
        <f t="shared" si="554"/>
        <v>3.0537419265923389</v>
      </c>
      <c r="CE173" s="25">
        <f t="shared" si="554"/>
        <v>3.1058342595961941</v>
      </c>
      <c r="CF173" s="25">
        <f t="shared" si="554"/>
        <v>3.1588152109649981</v>
      </c>
      <c r="CG173" s="25">
        <f t="shared" si="554"/>
        <v>3.2126999392173468</v>
      </c>
      <c r="CH173" s="25">
        <f t="shared" si="554"/>
        <v>3.2675038614538039</v>
      </c>
      <c r="CI173" s="25">
        <f t="shared" si="554"/>
        <v>3.3232426577679286</v>
      </c>
      <c r="CJ173" s="25">
        <f t="shared" si="554"/>
        <v>3.379932275732549</v>
      </c>
      <c r="CK173" s="25">
        <f t="shared" si="554"/>
        <v>3.4375889349625619</v>
      </c>
      <c r="CL173" s="25">
        <f t="shared" si="554"/>
        <v>3.4962291317555709</v>
      </c>
      <c r="CM173" s="25">
        <f t="shared" si="554"/>
        <v>3.5558696438116848</v>
      </c>
      <c r="CN173" s="25">
        <f t="shared" si="554"/>
        <v>3.6165275350338284</v>
      </c>
      <c r="CO173" s="25">
        <f t="shared" si="554"/>
        <v>3.6782201604099423</v>
      </c>
      <c r="CP173" s="25">
        <f t="shared" si="554"/>
        <v>3.7409651709784617</v>
      </c>
      <c r="CQ173" s="25">
        <f t="shared" si="554"/>
        <v>3.8047805188785033</v>
      </c>
      <c r="CR173" s="25">
        <f t="shared" si="554"/>
        <v>3.8696844624861972</v>
      </c>
      <c r="CS173" s="25">
        <f t="shared" si="554"/>
        <v>3.935695571638639</v>
      </c>
      <c r="CT173" s="25">
        <f t="shared" si="554"/>
        <v>4.0028327329469553</v>
      </c>
      <c r="CU173" s="25">
        <f t="shared" si="554"/>
        <v>4.0711151552000002</v>
      </c>
      <c r="CV173" s="25">
        <f t="shared" si="554"/>
        <v>4.1405623748602327</v>
      </c>
      <c r="CW173" s="25">
        <f t="shared" si="554"/>
        <v>4.2111942616533451</v>
      </c>
      <c r="CX173" s="25">
        <f t="shared" si="554"/>
        <v>4.2830310242532432</v>
      </c>
      <c r="CY173" s="25">
        <f t="shared" si="554"/>
        <v>4.3560932160640009</v>
      </c>
      <c r="CZ173" s="25">
        <f t="shared" si="554"/>
        <v>4.4304017411004493</v>
      </c>
      <c r="DA173" s="25">
        <f t="shared" si="554"/>
        <v>4.5059778599690796</v>
      </c>
      <c r="DB173" s="25">
        <f t="shared" si="554"/>
        <v>4.5828431959509706</v>
      </c>
      <c r="DC173" s="25">
        <f t="shared" si="554"/>
        <v>4.6610197411884817</v>
      </c>
      <c r="DD173" s="25">
        <f t="shared" si="554"/>
        <v>4.7405298629774819</v>
      </c>
      <c r="DE173" s="25">
        <f t="shared" si="554"/>
        <v>4.8213963101669171</v>
      </c>
      <c r="DF173" s="25">
        <f t="shared" si="554"/>
        <v>4.9036422196675407</v>
      </c>
      <c r="DG173" s="25">
        <f t="shared" si="554"/>
        <v>4.9872911230716772</v>
      </c>
      <c r="DH173" s="25">
        <f t="shared" si="554"/>
        <v>5.0723669533859077</v>
      </c>
      <c r="DI173" s="25">
        <f t="shared" si="554"/>
        <v>5.1588940518786028</v>
      </c>
      <c r="DJ173" s="25">
        <f t="shared" si="554"/>
        <v>5.2468971750442703</v>
      </c>
      <c r="DK173" s="25">
        <f t="shared" si="554"/>
        <v>5.3364015016866961</v>
      </c>
      <c r="DL173" s="25">
        <f t="shared" si="554"/>
        <v>5.4274326401229223</v>
      </c>
      <c r="DM173" s="25">
        <f t="shared" si="554"/>
        <v>5.5200166355101059</v>
      </c>
      <c r="DN173" s="25">
        <f t="shared" si="554"/>
        <v>5.6141799772973702</v>
      </c>
      <c r="DO173" s="25">
        <f t="shared" si="554"/>
        <v>5.7099496068047664</v>
      </c>
      <c r="DP173" s="25">
        <f t="shared" si="554"/>
        <v>5.8073529249315285</v>
      </c>
      <c r="DQ173" s="25">
        <f t="shared" si="554"/>
        <v>5.9064177999958156</v>
      </c>
    </row>
    <row r="174" spans="2:1006" x14ac:dyDescent="0.35">
      <c r="C174" s="20" t="s">
        <v>436</v>
      </c>
      <c r="F174" s="20" t="s">
        <v>25</v>
      </c>
      <c r="G174" s="22">
        <f>G171</f>
        <v>4.9019607843137303E-2</v>
      </c>
      <c r="J174" s="28">
        <v>1</v>
      </c>
      <c r="K174" s="25">
        <f>J174*(1+K171)</f>
        <v>1.0039959644253571</v>
      </c>
      <c r="L174" s="25">
        <f t="shared" ref="L174:BW174" si="555">K174*(1+L171)</f>
        <v>1.0080078965824029</v>
      </c>
      <c r="M174" s="25">
        <f t="shared" si="555"/>
        <v>1.0120358602776252</v>
      </c>
      <c r="N174" s="25">
        <f t="shared" si="555"/>
        <v>1.0160799195724801</v>
      </c>
      <c r="O174" s="25">
        <f t="shared" si="555"/>
        <v>1.0201401387844113</v>
      </c>
      <c r="P174" s="25">
        <f t="shared" si="555"/>
        <v>1.0242165824878726</v>
      </c>
      <c r="Q174" s="25">
        <f t="shared" si="555"/>
        <v>1.0283093155153551</v>
      </c>
      <c r="R174" s="25">
        <f t="shared" si="555"/>
        <v>1.0324184029584178</v>
      </c>
      <c r="S174" s="25">
        <f t="shared" si="555"/>
        <v>1.0365439101687237</v>
      </c>
      <c r="T174" s="25">
        <f t="shared" si="555"/>
        <v>1.0490196078431377</v>
      </c>
      <c r="U174" s="25">
        <f t="shared" si="555"/>
        <v>1.0616454612716268</v>
      </c>
      <c r="V174" s="25">
        <f t="shared" si="555"/>
        <v>1.0744232777078671</v>
      </c>
      <c r="W174" s="25">
        <f t="shared" si="555"/>
        <v>1.087354886157387</v>
      </c>
      <c r="X174" s="25">
        <f t="shared" si="555"/>
        <v>1.1004421376393703</v>
      </c>
      <c r="Y174" s="25">
        <f t="shared" si="555"/>
        <v>1.113686905451609</v>
      </c>
      <c r="Z174" s="25">
        <f t="shared" si="555"/>
        <v>1.1270910854386453</v>
      </c>
      <c r="AA174" s="25">
        <f t="shared" si="555"/>
        <v>1.1406565962631416</v>
      </c>
      <c r="AB174" s="25">
        <f t="shared" si="555"/>
        <v>1.1543853796805164</v>
      </c>
      <c r="AC174" s="25">
        <f t="shared" si="555"/>
        <v>1.1682794008168844</v>
      </c>
      <c r="AD174" s="25">
        <f t="shared" si="555"/>
        <v>1.182340648450344</v>
      </c>
      <c r="AE174" s="25">
        <f t="shared" si="555"/>
        <v>1.1965711352956492</v>
      </c>
      <c r="AF174" s="25">
        <f t="shared" si="555"/>
        <v>1.2109728982923069</v>
      </c>
      <c r="AG174" s="25">
        <f t="shared" si="555"/>
        <v>1.225547998896144</v>
      </c>
      <c r="AH174" s="25">
        <f t="shared" si="555"/>
        <v>1.2402985233743811</v>
      </c>
      <c r="AI174" s="25">
        <f t="shared" si="555"/>
        <v>1.2552265831042599</v>
      </c>
      <c r="AJ174" s="25">
        <f t="shared" si="555"/>
        <v>1.2703343148752637</v>
      </c>
      <c r="AK174" s="25">
        <f t="shared" si="555"/>
        <v>1.2856238811949752</v>
      </c>
      <c r="AL174" s="25">
        <f t="shared" si="555"/>
        <v>1.301097470598616</v>
      </c>
      <c r="AM174" s="25">
        <f t="shared" si="555"/>
        <v>1.3167572979623126</v>
      </c>
      <c r="AN174" s="25">
        <f t="shared" si="555"/>
        <v>1.3326056048201302</v>
      </c>
      <c r="AO174" s="25">
        <f t="shared" si="555"/>
        <v>1.3486446596849255</v>
      </c>
      <c r="AP174" s="25">
        <f t="shared" si="555"/>
        <v>1.3648767583730586</v>
      </c>
      <c r="AQ174" s="25">
        <f t="shared" si="555"/>
        <v>1.3813042243330147</v>
      </c>
      <c r="AR174" s="25">
        <f t="shared" si="555"/>
        <v>1.3979294089779803</v>
      </c>
      <c r="AS174" s="25">
        <f t="shared" si="555"/>
        <v>1.4147546920224223</v>
      </c>
      <c r="AT174" s="25">
        <f t="shared" si="555"/>
        <v>1.4317824818227187</v>
      </c>
      <c r="AU174" s="25">
        <f t="shared" si="555"/>
        <v>1.4490152157218883</v>
      </c>
      <c r="AV174" s="25">
        <f t="shared" si="555"/>
        <v>1.4664553603984698</v>
      </c>
      <c r="AW174" s="25">
        <f t="shared" si="555"/>
        <v>1.4841054122196002</v>
      </c>
      <c r="AX174" s="25">
        <f t="shared" si="555"/>
        <v>1.5019678975983426</v>
      </c>
      <c r="AY174" s="25">
        <f t="shared" si="555"/>
        <v>1.5200453733553148</v>
      </c>
      <c r="AZ174" s="25">
        <f t="shared" si="555"/>
        <v>1.5383404270846699</v>
      </c>
      <c r="BA174" s="25">
        <f t="shared" si="555"/>
        <v>1.5568556775244833</v>
      </c>
      <c r="BB174" s="25">
        <f t="shared" si="555"/>
        <v>1.5755937749315954</v>
      </c>
      <c r="BC174" s="25">
        <f t="shared" si="555"/>
        <v>1.594557401460968</v>
      </c>
      <c r="BD174" s="25">
        <f t="shared" si="555"/>
        <v>1.6137492715496053</v>
      </c>
      <c r="BE174" s="25">
        <f t="shared" si="555"/>
        <v>1.6331721323050958</v>
      </c>
      <c r="BF174" s="25">
        <f t="shared" si="555"/>
        <v>1.652828763898831</v>
      </c>
      <c r="BG174" s="25">
        <f t="shared" si="555"/>
        <v>1.6727219799639572</v>
      </c>
      <c r="BH174" s="25">
        <f t="shared" si="555"/>
        <v>1.6928546279981158</v>
      </c>
      <c r="BI174" s="25">
        <f t="shared" si="555"/>
        <v>1.7132295897710323</v>
      </c>
      <c r="BJ174" s="25">
        <f t="shared" si="555"/>
        <v>1.7338497817370095</v>
      </c>
      <c r="BK174" s="25">
        <f t="shared" si="555"/>
        <v>1.754718155452387</v>
      </c>
      <c r="BL174" s="25">
        <f t="shared" si="555"/>
        <v>1.7758376979980239</v>
      </c>
      <c r="BM174" s="25">
        <f t="shared" si="555"/>
        <v>1.7972114324068675</v>
      </c>
      <c r="BN174" s="25">
        <f t="shared" si="555"/>
        <v>1.8188424180966671</v>
      </c>
      <c r="BO174" s="25">
        <f t="shared" si="555"/>
        <v>1.8407337513078965</v>
      </c>
      <c r="BP174" s="25">
        <f t="shared" si="555"/>
        <v>1.8628885655469472</v>
      </c>
      <c r="BQ174" s="25">
        <f t="shared" si="555"/>
        <v>1.8853100320346559</v>
      </c>
      <c r="BR174" s="25">
        <f t="shared" si="555"/>
        <v>1.9080013601602299</v>
      </c>
      <c r="BS174" s="25">
        <f t="shared" si="555"/>
        <v>1.9309657979406372</v>
      </c>
      <c r="BT174" s="25">
        <f t="shared" si="555"/>
        <v>1.9542066324855236</v>
      </c>
      <c r="BU174" s="25">
        <f t="shared" si="555"/>
        <v>1.9777271904677278</v>
      </c>
      <c r="BV174" s="25">
        <f t="shared" si="555"/>
        <v>2.0015308385994577</v>
      </c>
      <c r="BW174" s="25">
        <f t="shared" si="555"/>
        <v>2.0256209841141986</v>
      </c>
      <c r="BX174" s="25">
        <f t="shared" ref="BX174:DQ174" si="556">BW174*(1+BX171)</f>
        <v>2.0500010752544227</v>
      </c>
      <c r="BY174" s="25">
        <f t="shared" si="556"/>
        <v>2.074674601765166</v>
      </c>
      <c r="BZ174" s="25">
        <f t="shared" si="556"/>
        <v>2.0996450953935493</v>
      </c>
      <c r="CA174" s="25">
        <f t="shared" si="556"/>
        <v>2.1249161303943072</v>
      </c>
      <c r="CB174" s="25">
        <f t="shared" si="556"/>
        <v>2.150491324041405</v>
      </c>
      <c r="CC174" s="25">
        <f t="shared" si="556"/>
        <v>2.1763743371458126</v>
      </c>
      <c r="CD174" s="25">
        <f t="shared" si="556"/>
        <v>2.2025688745795087</v>
      </c>
      <c r="CE174" s="25">
        <f t="shared" si="556"/>
        <v>2.2290786858057938</v>
      </c>
      <c r="CF174" s="25">
        <f t="shared" si="556"/>
        <v>2.2559075654159848</v>
      </c>
      <c r="CG174" s="25">
        <f t="shared" si="556"/>
        <v>2.2830593536725692</v>
      </c>
      <c r="CH174" s="25">
        <f t="shared" si="556"/>
        <v>2.3105379370588972</v>
      </c>
      <c r="CI174" s="25">
        <f t="shared" si="556"/>
        <v>2.3383472488354902</v>
      </c>
      <c r="CJ174" s="25">
        <f t="shared" si="556"/>
        <v>2.3664912696030433</v>
      </c>
      <c r="CK174" s="25">
        <f t="shared" si="556"/>
        <v>2.3949740278722054</v>
      </c>
      <c r="CL174" s="25">
        <f t="shared" si="556"/>
        <v>2.4237996006402165</v>
      </c>
      <c r="CM174" s="25">
        <f t="shared" si="556"/>
        <v>2.4529721139744858</v>
      </c>
      <c r="CN174" s="25">
        <f t="shared" si="556"/>
        <v>2.4824957436031934</v>
      </c>
      <c r="CO174" s="25">
        <f t="shared" si="556"/>
        <v>2.5123747155130007</v>
      </c>
      <c r="CP174" s="25">
        <f t="shared" si="556"/>
        <v>2.5426133065539536</v>
      </c>
      <c r="CQ174" s="25">
        <f t="shared" si="556"/>
        <v>2.5732158450516676</v>
      </c>
      <c r="CR174" s="25">
        <f t="shared" si="556"/>
        <v>2.6041867114268804</v>
      </c>
      <c r="CS174" s="25">
        <f t="shared" si="556"/>
        <v>2.6355303388224627</v>
      </c>
      <c r="CT174" s="25">
        <f t="shared" si="556"/>
        <v>2.667251213737972</v>
      </c>
      <c r="CU174" s="25">
        <f t="shared" si="556"/>
        <v>2.6993538766718483</v>
      </c>
      <c r="CV174" s="25">
        <f t="shared" si="556"/>
        <v>2.7318429227713366</v>
      </c>
      <c r="CW174" s="25">
        <f t="shared" si="556"/>
        <v>2.7647230024902316</v>
      </c>
      <c r="CX174" s="25">
        <f t="shared" si="556"/>
        <v>2.7979988222545402</v>
      </c>
      <c r="CY174" s="25">
        <f t="shared" si="556"/>
        <v>2.8316751451361557</v>
      </c>
      <c r="CZ174" s="25">
        <f t="shared" si="556"/>
        <v>2.8657567915346385</v>
      </c>
      <c r="DA174" s="25">
        <f t="shared" si="556"/>
        <v>2.9002486398672049</v>
      </c>
      <c r="DB174" s="25">
        <f t="shared" si="556"/>
        <v>2.9351556272670192</v>
      </c>
      <c r="DC174" s="25">
        <f t="shared" si="556"/>
        <v>2.9704827502898903</v>
      </c>
      <c r="DD174" s="25">
        <f t="shared" si="556"/>
        <v>3.006235065629475</v>
      </c>
      <c r="DE174" s="25">
        <f t="shared" si="556"/>
        <v>3.0424176908410887</v>
      </c>
      <c r="DF174" s="25">
        <f t="shared" si="556"/>
        <v>3.079035805074227</v>
      </c>
      <c r="DG174" s="25">
        <f t="shared" si="556"/>
        <v>3.1160946498139057</v>
      </c>
      <c r="DH174" s="25">
        <f t="shared" si="556"/>
        <v>3.1535995296309212</v>
      </c>
      <c r="DI174" s="25">
        <f t="shared" si="556"/>
        <v>3.1915558129411434</v>
      </c>
      <c r="DJ174" s="25">
        <f t="shared" si="556"/>
        <v>3.2299689327739456</v>
      </c>
      <c r="DK174" s="25">
        <f t="shared" si="556"/>
        <v>3.2688443875498829</v>
      </c>
      <c r="DL174" s="25">
        <f t="shared" si="556"/>
        <v>3.3081877418677323</v>
      </c>
      <c r="DM174" s="25">
        <f t="shared" si="556"/>
        <v>3.3480046273010045</v>
      </c>
      <c r="DN174" s="25">
        <f t="shared" si="556"/>
        <v>3.388300743204042</v>
      </c>
      <c r="DO174" s="25">
        <f t="shared" si="556"/>
        <v>3.4290818575278195</v>
      </c>
      <c r="DP174" s="25">
        <f t="shared" si="556"/>
        <v>3.4703538076455636</v>
      </c>
      <c r="DQ174" s="25">
        <f t="shared" si="556"/>
        <v>3.5121225011883102</v>
      </c>
    </row>
    <row r="176" spans="2:1006" x14ac:dyDescent="0.35">
      <c r="C176" s="20" t="s">
        <v>437</v>
      </c>
      <c r="G176" s="20" cm="1">
        <f t="array" ref="G176">SUMPRODUCT(K139:DQ139/K173:DQ173)</f>
        <v>6004483.3945756294</v>
      </c>
    </row>
    <row r="177" spans="3:7" x14ac:dyDescent="0.35">
      <c r="C177" s="20" t="s">
        <v>438</v>
      </c>
      <c r="G177" s="20" cm="1">
        <f t="array" ref="G177">SUMPRODUCT(K43:DQ43/K174:DQ174)</f>
        <v>175731.73471340665</v>
      </c>
    </row>
    <row r="178" spans="3:7" x14ac:dyDescent="0.35">
      <c r="C178" s="20" t="s">
        <v>439</v>
      </c>
      <c r="F178" s="20" t="s">
        <v>161</v>
      </c>
      <c r="G178" s="25">
        <f>G176/G177</f>
        <v>34.168463677707862</v>
      </c>
    </row>
  </sheetData>
  <phoneticPr fontId="2" type="noConversion"/>
  <conditionalFormatting sqref="A1:XFD1048576">
    <cfRule type="expression" dxfId="18" priority="7">
      <formula>AND(A1&lt;&gt;"",A1=FALSE)</formula>
    </cfRule>
    <cfRule type="expression" dxfId="17" priority="8">
      <formula>A1=TRUE</formula>
    </cfRule>
  </conditionalFormatting>
  <conditionalFormatting sqref="K8:AAA8">
    <cfRule type="expression" dxfId="16" priority="5">
      <formula>AND(K8=0,K8&lt;&gt;"")</formula>
    </cfRule>
    <cfRule type="expression" dxfId="15" priority="6">
      <formula>K8=1</formula>
    </cfRule>
  </conditionalFormatting>
  <conditionalFormatting sqref="K9:AAA9">
    <cfRule type="expression" dxfId="14" priority="3">
      <formula>AND(K9=0,K9&lt;&gt;"")</formula>
    </cfRule>
    <cfRule type="expression" dxfId="13" priority="4">
      <formula>K9=1</formula>
    </cfRule>
  </conditionalFormatting>
  <conditionalFormatting sqref="K10:AAA10">
    <cfRule type="expression" dxfId="12" priority="1">
      <formula>AND(K10=0,K10&lt;&gt;"")</formula>
    </cfRule>
    <cfRule type="expression" dxfId="11" priority="2">
      <formula>K10=1</formula>
    </cfRule>
  </conditionalFormatting>
  <hyperlinks>
    <hyperlink ref="B2" location="'Contents'!D28" display="'Contents'!D28" xr:uid="{3EC060E1-7217-42D8-8BCB-255C3DE07ED3}"/>
    <hyperlink ref="B12" location="'Contents'!D29" display="'Contents'!D29" xr:uid="{02334E33-945D-4129-98B2-2FF53CE19BAD}"/>
    <hyperlink ref="B45" location="'Contents'!D30" display="'Contents'!D30" xr:uid="{4F67888D-DD2D-463E-BA41-B1D44DCD89ED}"/>
    <hyperlink ref="B65" location="'Contents'!D31" display="'Contents'!D31" xr:uid="{E1BE5C02-375E-4EBC-9FCA-C5489EE1BF97}"/>
    <hyperlink ref="B106" location="'Contents'!D32" display="'Contents'!D32" xr:uid="{0E1A2B80-86A5-4AA4-A51A-419C25C376CD}"/>
    <hyperlink ref="B141" location="'Contents'!D33" display="'Contents'!D33" xr:uid="{1A4BDC82-71CB-4E5E-82DA-4A52B67FDFB7}"/>
    <hyperlink ref="B148" location="'Contents'!D34" display="'Contents'!D34" xr:uid="{8E908632-A6C4-4EBF-883D-DF985641B641}"/>
    <hyperlink ref="B168" location="'Contents'!D35" display="'Contents'!D35" xr:uid="{D561398A-D2EC-4697-A665-786B22954257}"/>
    <hyperlink ref="A1" location="'Contents'!A1" display="'Contents'!A1" xr:uid="{FF05470E-8986-4DB5-B976-601EFA8B927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4" r:id="rId3" name="Check Box 2">
              <controlPr defaultSize="0" autoFill="0" autoLine="0" autoPict="0">
                <anchor moveWithCells="1">
                  <from>
                    <xdr:col>7</xdr:col>
                    <xdr:colOff>260350</xdr:colOff>
                    <xdr:row>138</xdr:row>
                    <xdr:rowOff>0</xdr:rowOff>
                  </from>
                  <to>
                    <xdr:col>7</xdr:col>
                    <xdr:colOff>565150</xdr:colOff>
                    <xdr:row>139</xdr:row>
                    <xdr:rowOff>31750</xdr:rowOff>
                  </to>
                </anchor>
              </controlPr>
            </control>
          </mc:Choice>
        </mc:AlternateContent>
        <mc:AlternateContent xmlns:mc="http://schemas.openxmlformats.org/markup-compatibility/2006">
          <mc:Choice Requires="x14">
            <control shapeId="18435" r:id="rId4" name="Check Box 3">
              <controlPr defaultSize="0" autoFill="0" autoLine="0" autoPict="0">
                <anchor moveWithCells="1">
                  <from>
                    <xdr:col>6</xdr:col>
                    <xdr:colOff>584200</xdr:colOff>
                    <xdr:row>110</xdr:row>
                    <xdr:rowOff>139700</xdr:rowOff>
                  </from>
                  <to>
                    <xdr:col>9</xdr:col>
                    <xdr:colOff>95250</xdr:colOff>
                    <xdr:row>112</xdr:row>
                    <xdr:rowOff>31750</xdr:rowOff>
                  </to>
                </anchor>
              </controlPr>
            </control>
          </mc:Choice>
        </mc:AlternateContent>
        <mc:AlternateContent xmlns:mc="http://schemas.openxmlformats.org/markup-compatibility/2006">
          <mc:Choice Requires="x14">
            <control shapeId="18436" r:id="rId5" name="Check Box 4">
              <controlPr defaultSize="0" autoFill="0" autoLine="0" autoPict="0">
                <anchor moveWithCells="1">
                  <from>
                    <xdr:col>6</xdr:col>
                    <xdr:colOff>349250</xdr:colOff>
                    <xdr:row>1</xdr:row>
                    <xdr:rowOff>107950</xdr:rowOff>
                  </from>
                  <to>
                    <xdr:col>8</xdr:col>
                    <xdr:colOff>819150</xdr:colOff>
                    <xdr:row>3</xdr:row>
                    <xdr:rowOff>0</xdr:rowOff>
                  </to>
                </anchor>
              </controlPr>
            </control>
          </mc:Choice>
        </mc:AlternateContent>
        <mc:AlternateContent xmlns:mc="http://schemas.openxmlformats.org/markup-compatibility/2006">
          <mc:Choice Requires="x14">
            <control shapeId="18437" r:id="rId6" name="Drop Down 5">
              <controlPr defaultSize="0" autoLine="0" autoPict="0">
                <anchor moveWithCells="1">
                  <from>
                    <xdr:col>7</xdr:col>
                    <xdr:colOff>457200</xdr:colOff>
                    <xdr:row>4</xdr:row>
                    <xdr:rowOff>171450</xdr:rowOff>
                  </from>
                  <to>
                    <xdr:col>8</xdr:col>
                    <xdr:colOff>825500</xdr:colOff>
                    <xdr:row>6</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02C70-B7BB-46D7-9816-A4D026CBCB12}">
  <sheetPr codeName="Sheet14"/>
  <dimension ref="A1:ALR221"/>
  <sheetViews>
    <sheetView showGridLines="0" zoomScale="70" zoomScaleNormal="70" workbookViewId="0">
      <pane xSplit="10" ySplit="16" topLeftCell="K78" activePane="bottomRight" state="frozen"/>
      <selection pane="topRight" activeCell="K1" sqref="K1"/>
      <selection pane="bottomLeft" activeCell="A17" sqref="A17"/>
      <selection pane="bottomRight" activeCell="B99" sqref="B99"/>
    </sheetView>
  </sheetViews>
  <sheetFormatPr defaultRowHeight="14.5" x14ac:dyDescent="0.35"/>
  <cols>
    <col min="1" max="4" width="1.453125" style="20" customWidth="1"/>
    <col min="5" max="5" width="32.6328125" style="20" customWidth="1"/>
    <col min="6" max="9" width="11.90625" style="20" customWidth="1"/>
    <col min="10" max="10" width="9.1796875" style="20" bestFit="1" customWidth="1"/>
    <col min="11" max="121" width="12.54296875" style="20" customWidth="1"/>
    <col min="122" max="16384" width="8.7265625" style="20"/>
  </cols>
  <sheetData>
    <row r="1" spans="1:1006" s="59" customFormat="1" x14ac:dyDescent="0.35">
      <c r="A1" s="59" t="s">
        <v>451</v>
      </c>
      <c r="F1" s="60" t="s">
        <v>77</v>
      </c>
      <c r="G1" s="60" t="s">
        <v>73</v>
      </c>
      <c r="H1" s="60" t="s">
        <v>73</v>
      </c>
      <c r="I1" s="60" t="s">
        <v>74</v>
      </c>
      <c r="J1" s="60" t="s">
        <v>75</v>
      </c>
    </row>
    <row r="2" spans="1:1006" s="59" customFormat="1" x14ac:dyDescent="0.35">
      <c r="B2" s="59" t="s">
        <v>71</v>
      </c>
    </row>
    <row r="3" spans="1:1006" s="59" customFormat="1" x14ac:dyDescent="0.35">
      <c r="C3" s="61" t="s">
        <v>72</v>
      </c>
      <c r="F3" s="59" t="s">
        <v>72</v>
      </c>
      <c r="J3" s="59">
        <v>0</v>
      </c>
      <c r="K3" s="59">
        <v>1</v>
      </c>
      <c r="L3" s="59">
        <v>2</v>
      </c>
      <c r="M3" s="59">
        <v>3</v>
      </c>
      <c r="N3" s="59">
        <v>4</v>
      </c>
      <c r="O3" s="59">
        <v>5</v>
      </c>
      <c r="P3" s="59">
        <v>6</v>
      </c>
      <c r="Q3" s="59">
        <v>7</v>
      </c>
      <c r="R3" s="59">
        <v>8</v>
      </c>
      <c r="S3" s="59">
        <v>9</v>
      </c>
      <c r="T3" s="59">
        <v>10</v>
      </c>
      <c r="U3" s="59">
        <v>11</v>
      </c>
      <c r="V3" s="59">
        <v>12</v>
      </c>
      <c r="W3" s="59">
        <v>13</v>
      </c>
      <c r="X3" s="59">
        <v>14</v>
      </c>
      <c r="Y3" s="59">
        <v>15</v>
      </c>
      <c r="Z3" s="59">
        <v>16</v>
      </c>
      <c r="AA3" s="59">
        <v>17</v>
      </c>
      <c r="AB3" s="59">
        <v>18</v>
      </c>
      <c r="AC3" s="59">
        <v>19</v>
      </c>
      <c r="AD3" s="59">
        <v>20</v>
      </c>
      <c r="AE3" s="59">
        <v>21</v>
      </c>
      <c r="AF3" s="59">
        <v>22</v>
      </c>
      <c r="AG3" s="59">
        <v>23</v>
      </c>
      <c r="AH3" s="59">
        <v>24</v>
      </c>
      <c r="AI3" s="59">
        <v>25</v>
      </c>
      <c r="AJ3" s="59">
        <v>26</v>
      </c>
      <c r="AK3" s="59">
        <v>27</v>
      </c>
      <c r="AL3" s="59">
        <v>28</v>
      </c>
      <c r="AM3" s="59">
        <v>29</v>
      </c>
      <c r="AN3" s="59">
        <v>30</v>
      </c>
      <c r="AO3" s="59">
        <v>31</v>
      </c>
      <c r="AP3" s="59">
        <v>32</v>
      </c>
      <c r="AQ3" s="59">
        <v>33</v>
      </c>
      <c r="AR3" s="59">
        <v>34</v>
      </c>
      <c r="AS3" s="59">
        <v>35</v>
      </c>
      <c r="AT3" s="59">
        <v>36</v>
      </c>
      <c r="AU3" s="59">
        <v>37</v>
      </c>
      <c r="AV3" s="59">
        <v>38</v>
      </c>
      <c r="AW3" s="59">
        <v>39</v>
      </c>
      <c r="AX3" s="59">
        <v>40</v>
      </c>
      <c r="AY3" s="59">
        <v>41</v>
      </c>
      <c r="AZ3" s="59">
        <v>42</v>
      </c>
      <c r="BA3" s="59">
        <v>43</v>
      </c>
      <c r="BB3" s="59">
        <v>44</v>
      </c>
      <c r="BC3" s="59">
        <v>45</v>
      </c>
      <c r="BD3" s="59">
        <v>46</v>
      </c>
      <c r="BE3" s="59">
        <v>47</v>
      </c>
      <c r="BF3" s="59">
        <v>48</v>
      </c>
      <c r="BG3" s="59">
        <v>49</v>
      </c>
      <c r="BH3" s="59">
        <v>50</v>
      </c>
      <c r="BI3" s="59">
        <v>51</v>
      </c>
      <c r="BJ3" s="59">
        <v>52</v>
      </c>
      <c r="BK3" s="59">
        <v>53</v>
      </c>
      <c r="BL3" s="59">
        <v>54</v>
      </c>
      <c r="BM3" s="59">
        <v>55</v>
      </c>
      <c r="BN3" s="59">
        <v>56</v>
      </c>
      <c r="BO3" s="59">
        <v>57</v>
      </c>
      <c r="BP3" s="59">
        <v>58</v>
      </c>
      <c r="BQ3" s="59">
        <v>59</v>
      </c>
      <c r="BR3" s="59">
        <v>60</v>
      </c>
      <c r="BS3" s="59">
        <v>60</v>
      </c>
      <c r="BT3" s="59">
        <v>60</v>
      </c>
      <c r="BU3" s="59">
        <v>60</v>
      </c>
      <c r="BV3" s="59">
        <v>60</v>
      </c>
      <c r="BW3" s="59">
        <v>60</v>
      </c>
      <c r="BX3" s="59">
        <v>60</v>
      </c>
      <c r="BY3" s="59">
        <v>60</v>
      </c>
      <c r="BZ3" s="59">
        <v>60</v>
      </c>
      <c r="CA3" s="59">
        <v>60</v>
      </c>
      <c r="CB3" s="59">
        <v>60</v>
      </c>
      <c r="CC3" s="59">
        <v>60</v>
      </c>
      <c r="CD3" s="59">
        <v>60</v>
      </c>
      <c r="CE3" s="59">
        <v>60</v>
      </c>
      <c r="CF3" s="59">
        <v>60</v>
      </c>
      <c r="CG3" s="59">
        <v>60</v>
      </c>
      <c r="CH3" s="59">
        <v>60</v>
      </c>
      <c r="CI3" s="59">
        <v>60</v>
      </c>
      <c r="CJ3" s="59">
        <v>60</v>
      </c>
      <c r="CK3" s="59">
        <v>60</v>
      </c>
      <c r="CL3" s="59">
        <v>60</v>
      </c>
      <c r="CM3" s="59">
        <v>60</v>
      </c>
      <c r="CN3" s="59">
        <v>60</v>
      </c>
      <c r="CO3" s="59">
        <v>60</v>
      </c>
      <c r="CP3" s="59">
        <v>60</v>
      </c>
      <c r="CQ3" s="59">
        <v>60</v>
      </c>
      <c r="CR3" s="59">
        <v>60</v>
      </c>
      <c r="CS3" s="59">
        <v>60</v>
      </c>
      <c r="CT3" s="59">
        <v>60</v>
      </c>
      <c r="CU3" s="59">
        <v>60</v>
      </c>
      <c r="CV3" s="59">
        <v>60</v>
      </c>
      <c r="CW3" s="59">
        <v>60</v>
      </c>
      <c r="CX3" s="59">
        <v>60</v>
      </c>
      <c r="CY3" s="59">
        <v>60</v>
      </c>
      <c r="CZ3" s="59">
        <v>60</v>
      </c>
      <c r="DA3" s="59">
        <v>60</v>
      </c>
      <c r="DB3" s="59">
        <v>60</v>
      </c>
      <c r="DC3" s="59">
        <v>60</v>
      </c>
      <c r="DD3" s="59">
        <v>60</v>
      </c>
      <c r="DE3" s="59">
        <v>60</v>
      </c>
      <c r="DF3" s="59">
        <v>60</v>
      </c>
      <c r="DG3" s="59">
        <v>60</v>
      </c>
      <c r="DH3" s="59">
        <v>60</v>
      </c>
      <c r="DI3" s="59">
        <v>60</v>
      </c>
      <c r="DJ3" s="59">
        <v>60</v>
      </c>
      <c r="DK3" s="59">
        <v>60</v>
      </c>
      <c r="DL3" s="59">
        <v>60</v>
      </c>
      <c r="DM3" s="59">
        <v>60</v>
      </c>
      <c r="DN3" s="59">
        <v>60</v>
      </c>
      <c r="DO3" s="59">
        <v>60</v>
      </c>
      <c r="DP3" s="59">
        <v>60</v>
      </c>
      <c r="DQ3" s="59">
        <v>60</v>
      </c>
    </row>
    <row r="4" spans="1:1006" s="59" customFormat="1" x14ac:dyDescent="0.35">
      <c r="C4" s="59" t="s">
        <v>76</v>
      </c>
      <c r="F4" s="59" t="s">
        <v>78</v>
      </c>
      <c r="G4" s="59">
        <f>Assumptions!$F$12</f>
        <v>9</v>
      </c>
      <c r="K4" s="59" t="b">
        <f>K3&lt;=$G$4</f>
        <v>1</v>
      </c>
      <c r="L4" s="59" t="b">
        <f t="shared" ref="L4:BW4" si="0">L3&lt;=$G$4</f>
        <v>1</v>
      </c>
      <c r="M4" s="59" t="b">
        <f t="shared" si="0"/>
        <v>1</v>
      </c>
      <c r="N4" s="59" t="b">
        <f t="shared" si="0"/>
        <v>1</v>
      </c>
      <c r="O4" s="59" t="b">
        <f t="shared" si="0"/>
        <v>1</v>
      </c>
      <c r="P4" s="59" t="b">
        <f t="shared" si="0"/>
        <v>1</v>
      </c>
      <c r="Q4" s="59" t="b">
        <f t="shared" si="0"/>
        <v>1</v>
      </c>
      <c r="R4" s="59" t="b">
        <f t="shared" si="0"/>
        <v>1</v>
      </c>
      <c r="S4" s="59" t="b">
        <f t="shared" si="0"/>
        <v>1</v>
      </c>
      <c r="T4" s="59" t="b">
        <f t="shared" si="0"/>
        <v>0</v>
      </c>
      <c r="U4" s="59" t="b">
        <f t="shared" si="0"/>
        <v>0</v>
      </c>
      <c r="V4" s="59" t="b">
        <f t="shared" si="0"/>
        <v>0</v>
      </c>
      <c r="W4" s="59" t="b">
        <f t="shared" si="0"/>
        <v>0</v>
      </c>
      <c r="X4" s="59" t="b">
        <f t="shared" si="0"/>
        <v>0</v>
      </c>
      <c r="Y4" s="59" t="b">
        <f t="shared" si="0"/>
        <v>0</v>
      </c>
      <c r="Z4" s="59" t="b">
        <f t="shared" si="0"/>
        <v>0</v>
      </c>
      <c r="AA4" s="59" t="b">
        <f t="shared" si="0"/>
        <v>0</v>
      </c>
      <c r="AB4" s="59" t="b">
        <f t="shared" si="0"/>
        <v>0</v>
      </c>
      <c r="AC4" s="59" t="b">
        <f t="shared" si="0"/>
        <v>0</v>
      </c>
      <c r="AD4" s="59" t="b">
        <f t="shared" si="0"/>
        <v>0</v>
      </c>
      <c r="AE4" s="59" t="b">
        <f t="shared" si="0"/>
        <v>0</v>
      </c>
      <c r="AF4" s="59" t="b">
        <f t="shared" si="0"/>
        <v>0</v>
      </c>
      <c r="AG4" s="59" t="b">
        <f t="shared" si="0"/>
        <v>0</v>
      </c>
      <c r="AH4" s="59" t="b">
        <f t="shared" si="0"/>
        <v>0</v>
      </c>
      <c r="AI4" s="59" t="b">
        <f t="shared" si="0"/>
        <v>0</v>
      </c>
      <c r="AJ4" s="59" t="b">
        <f t="shared" si="0"/>
        <v>0</v>
      </c>
      <c r="AK4" s="59" t="b">
        <f t="shared" si="0"/>
        <v>0</v>
      </c>
      <c r="AL4" s="59" t="b">
        <f t="shared" si="0"/>
        <v>0</v>
      </c>
      <c r="AM4" s="59" t="b">
        <f t="shared" si="0"/>
        <v>0</v>
      </c>
      <c r="AN4" s="59" t="b">
        <f t="shared" si="0"/>
        <v>0</v>
      </c>
      <c r="AO4" s="59" t="b">
        <f t="shared" si="0"/>
        <v>0</v>
      </c>
      <c r="AP4" s="59" t="b">
        <f t="shared" si="0"/>
        <v>0</v>
      </c>
      <c r="AQ4" s="59" t="b">
        <f t="shared" si="0"/>
        <v>0</v>
      </c>
      <c r="AR4" s="59" t="b">
        <f t="shared" si="0"/>
        <v>0</v>
      </c>
      <c r="AS4" s="59" t="b">
        <f t="shared" si="0"/>
        <v>0</v>
      </c>
      <c r="AT4" s="59" t="b">
        <f t="shared" si="0"/>
        <v>0</v>
      </c>
      <c r="AU4" s="59" t="b">
        <f t="shared" si="0"/>
        <v>0</v>
      </c>
      <c r="AV4" s="59" t="b">
        <f t="shared" si="0"/>
        <v>0</v>
      </c>
      <c r="AW4" s="59" t="b">
        <f t="shared" si="0"/>
        <v>0</v>
      </c>
      <c r="AX4" s="59" t="b">
        <f t="shared" si="0"/>
        <v>0</v>
      </c>
      <c r="AY4" s="59" t="b">
        <f t="shared" si="0"/>
        <v>0</v>
      </c>
      <c r="AZ4" s="59" t="b">
        <f t="shared" si="0"/>
        <v>0</v>
      </c>
      <c r="BA4" s="59" t="b">
        <f t="shared" si="0"/>
        <v>0</v>
      </c>
      <c r="BB4" s="59" t="b">
        <f t="shared" si="0"/>
        <v>0</v>
      </c>
      <c r="BC4" s="59" t="b">
        <f t="shared" si="0"/>
        <v>0</v>
      </c>
      <c r="BD4" s="59" t="b">
        <f t="shared" si="0"/>
        <v>0</v>
      </c>
      <c r="BE4" s="59" t="b">
        <f t="shared" si="0"/>
        <v>0</v>
      </c>
      <c r="BF4" s="59" t="b">
        <f t="shared" si="0"/>
        <v>0</v>
      </c>
      <c r="BG4" s="59" t="b">
        <f t="shared" si="0"/>
        <v>0</v>
      </c>
      <c r="BH4" s="59" t="b">
        <f t="shared" si="0"/>
        <v>0</v>
      </c>
      <c r="BI4" s="59" t="b">
        <f t="shared" si="0"/>
        <v>0</v>
      </c>
      <c r="BJ4" s="59" t="b">
        <f t="shared" si="0"/>
        <v>0</v>
      </c>
      <c r="BK4" s="59" t="b">
        <f t="shared" si="0"/>
        <v>0</v>
      </c>
      <c r="BL4" s="59" t="b">
        <f t="shared" si="0"/>
        <v>0</v>
      </c>
      <c r="BM4" s="59" t="b">
        <f t="shared" si="0"/>
        <v>0</v>
      </c>
      <c r="BN4" s="59" t="b">
        <f t="shared" si="0"/>
        <v>0</v>
      </c>
      <c r="BO4" s="59" t="b">
        <f t="shared" si="0"/>
        <v>0</v>
      </c>
      <c r="BP4" s="59" t="b">
        <f t="shared" si="0"/>
        <v>0</v>
      </c>
      <c r="BQ4" s="59" t="b">
        <f t="shared" si="0"/>
        <v>0</v>
      </c>
      <c r="BR4" s="59" t="b">
        <f t="shared" si="0"/>
        <v>0</v>
      </c>
      <c r="BS4" s="59" t="b">
        <f t="shared" si="0"/>
        <v>0</v>
      </c>
      <c r="BT4" s="59" t="b">
        <f t="shared" si="0"/>
        <v>0</v>
      </c>
      <c r="BU4" s="59" t="b">
        <f t="shared" si="0"/>
        <v>0</v>
      </c>
      <c r="BV4" s="59" t="b">
        <f t="shared" si="0"/>
        <v>0</v>
      </c>
      <c r="BW4" s="59" t="b">
        <f t="shared" si="0"/>
        <v>0</v>
      </c>
      <c r="BX4" s="59" t="b">
        <f t="shared" ref="BX4:DQ4" si="1">BX3&lt;=$G$4</f>
        <v>0</v>
      </c>
      <c r="BY4" s="59" t="b">
        <f t="shared" si="1"/>
        <v>0</v>
      </c>
      <c r="BZ4" s="59" t="b">
        <f t="shared" si="1"/>
        <v>0</v>
      </c>
      <c r="CA4" s="59" t="b">
        <f t="shared" si="1"/>
        <v>0</v>
      </c>
      <c r="CB4" s="59" t="b">
        <f t="shared" si="1"/>
        <v>0</v>
      </c>
      <c r="CC4" s="59" t="b">
        <f t="shared" si="1"/>
        <v>0</v>
      </c>
      <c r="CD4" s="59" t="b">
        <f t="shared" si="1"/>
        <v>0</v>
      </c>
      <c r="CE4" s="59" t="b">
        <f t="shared" si="1"/>
        <v>0</v>
      </c>
      <c r="CF4" s="59" t="b">
        <f t="shared" si="1"/>
        <v>0</v>
      </c>
      <c r="CG4" s="59" t="b">
        <f t="shared" si="1"/>
        <v>0</v>
      </c>
      <c r="CH4" s="59" t="b">
        <f t="shared" si="1"/>
        <v>0</v>
      </c>
      <c r="CI4" s="59" t="b">
        <f t="shared" si="1"/>
        <v>0</v>
      </c>
      <c r="CJ4" s="59" t="b">
        <f t="shared" si="1"/>
        <v>0</v>
      </c>
      <c r="CK4" s="59" t="b">
        <f t="shared" si="1"/>
        <v>0</v>
      </c>
      <c r="CL4" s="59" t="b">
        <f t="shared" si="1"/>
        <v>0</v>
      </c>
      <c r="CM4" s="59" t="b">
        <f t="shared" si="1"/>
        <v>0</v>
      </c>
      <c r="CN4" s="59" t="b">
        <f t="shared" si="1"/>
        <v>0</v>
      </c>
      <c r="CO4" s="59" t="b">
        <f t="shared" si="1"/>
        <v>0</v>
      </c>
      <c r="CP4" s="59" t="b">
        <f t="shared" si="1"/>
        <v>0</v>
      </c>
      <c r="CQ4" s="59" t="b">
        <f t="shared" si="1"/>
        <v>0</v>
      </c>
      <c r="CR4" s="59" t="b">
        <f t="shared" si="1"/>
        <v>0</v>
      </c>
      <c r="CS4" s="59" t="b">
        <f t="shared" si="1"/>
        <v>0</v>
      </c>
      <c r="CT4" s="59" t="b">
        <f t="shared" si="1"/>
        <v>0</v>
      </c>
      <c r="CU4" s="59" t="b">
        <f t="shared" si="1"/>
        <v>0</v>
      </c>
      <c r="CV4" s="59" t="b">
        <f t="shared" si="1"/>
        <v>0</v>
      </c>
      <c r="CW4" s="59" t="b">
        <f t="shared" si="1"/>
        <v>0</v>
      </c>
      <c r="CX4" s="59" t="b">
        <f t="shared" si="1"/>
        <v>0</v>
      </c>
      <c r="CY4" s="59" t="b">
        <f t="shared" si="1"/>
        <v>0</v>
      </c>
      <c r="CZ4" s="59" t="b">
        <f t="shared" si="1"/>
        <v>0</v>
      </c>
      <c r="DA4" s="59" t="b">
        <f t="shared" si="1"/>
        <v>0</v>
      </c>
      <c r="DB4" s="59" t="b">
        <f t="shared" si="1"/>
        <v>0</v>
      </c>
      <c r="DC4" s="59" t="b">
        <f t="shared" si="1"/>
        <v>0</v>
      </c>
      <c r="DD4" s="59" t="b">
        <f t="shared" si="1"/>
        <v>0</v>
      </c>
      <c r="DE4" s="59" t="b">
        <f t="shared" si="1"/>
        <v>0</v>
      </c>
      <c r="DF4" s="59" t="b">
        <f t="shared" si="1"/>
        <v>0</v>
      </c>
      <c r="DG4" s="59" t="b">
        <f t="shared" si="1"/>
        <v>0</v>
      </c>
      <c r="DH4" s="59" t="b">
        <f t="shared" si="1"/>
        <v>0</v>
      </c>
      <c r="DI4" s="59" t="b">
        <f t="shared" si="1"/>
        <v>0</v>
      </c>
      <c r="DJ4" s="59" t="b">
        <f t="shared" si="1"/>
        <v>0</v>
      </c>
      <c r="DK4" s="59" t="b">
        <f t="shared" si="1"/>
        <v>0</v>
      </c>
      <c r="DL4" s="59" t="b">
        <f t="shared" si="1"/>
        <v>0</v>
      </c>
      <c r="DM4" s="59" t="b">
        <f t="shared" si="1"/>
        <v>0</v>
      </c>
      <c r="DN4" s="59" t="b">
        <f t="shared" si="1"/>
        <v>0</v>
      </c>
      <c r="DO4" s="59" t="b">
        <f t="shared" si="1"/>
        <v>0</v>
      </c>
      <c r="DP4" s="59" t="b">
        <f t="shared" si="1"/>
        <v>0</v>
      </c>
      <c r="DQ4" s="59" t="b">
        <f t="shared" si="1"/>
        <v>0</v>
      </c>
    </row>
    <row r="5" spans="1:1006" s="59" customFormat="1" x14ac:dyDescent="0.35">
      <c r="C5" s="59" t="s">
        <v>79</v>
      </c>
      <c r="F5" s="59" t="s">
        <v>60</v>
      </c>
      <c r="G5" s="59">
        <f>Assumptions!$F$3</f>
        <v>1</v>
      </c>
      <c r="H5" s="59">
        <f>Assumptions!$F$4</f>
        <v>3</v>
      </c>
      <c r="K5" s="59">
        <f t="shared" ref="K5:AP5" si="2">IF(K4,$G$5,$H$5)</f>
        <v>1</v>
      </c>
      <c r="L5" s="59">
        <f t="shared" si="2"/>
        <v>1</v>
      </c>
      <c r="M5" s="59">
        <f t="shared" si="2"/>
        <v>1</v>
      </c>
      <c r="N5" s="59">
        <f t="shared" si="2"/>
        <v>1</v>
      </c>
      <c r="O5" s="59">
        <f t="shared" si="2"/>
        <v>1</v>
      </c>
      <c r="P5" s="59">
        <f t="shared" si="2"/>
        <v>1</v>
      </c>
      <c r="Q5" s="59">
        <f t="shared" si="2"/>
        <v>1</v>
      </c>
      <c r="R5" s="59">
        <f t="shared" si="2"/>
        <v>1</v>
      </c>
      <c r="S5" s="59">
        <f t="shared" si="2"/>
        <v>1</v>
      </c>
      <c r="T5" s="59">
        <f t="shared" si="2"/>
        <v>3</v>
      </c>
      <c r="U5" s="59">
        <f t="shared" si="2"/>
        <v>3</v>
      </c>
      <c r="V5" s="59">
        <f t="shared" si="2"/>
        <v>3</v>
      </c>
      <c r="W5" s="59">
        <f t="shared" si="2"/>
        <v>3</v>
      </c>
      <c r="X5" s="59">
        <f t="shared" si="2"/>
        <v>3</v>
      </c>
      <c r="Y5" s="59">
        <f t="shared" si="2"/>
        <v>3</v>
      </c>
      <c r="Z5" s="59">
        <f t="shared" si="2"/>
        <v>3</v>
      </c>
      <c r="AA5" s="59">
        <f t="shared" si="2"/>
        <v>3</v>
      </c>
      <c r="AB5" s="59">
        <f t="shared" si="2"/>
        <v>3</v>
      </c>
      <c r="AC5" s="59">
        <f t="shared" si="2"/>
        <v>3</v>
      </c>
      <c r="AD5" s="59">
        <f t="shared" si="2"/>
        <v>3</v>
      </c>
      <c r="AE5" s="59">
        <f t="shared" si="2"/>
        <v>3</v>
      </c>
      <c r="AF5" s="59">
        <f t="shared" si="2"/>
        <v>3</v>
      </c>
      <c r="AG5" s="59">
        <f t="shared" si="2"/>
        <v>3</v>
      </c>
      <c r="AH5" s="59">
        <f t="shared" si="2"/>
        <v>3</v>
      </c>
      <c r="AI5" s="59">
        <f t="shared" si="2"/>
        <v>3</v>
      </c>
      <c r="AJ5" s="59">
        <f t="shared" si="2"/>
        <v>3</v>
      </c>
      <c r="AK5" s="59">
        <f t="shared" si="2"/>
        <v>3</v>
      </c>
      <c r="AL5" s="59">
        <f t="shared" si="2"/>
        <v>3</v>
      </c>
      <c r="AM5" s="59">
        <f t="shared" si="2"/>
        <v>3</v>
      </c>
      <c r="AN5" s="59">
        <f t="shared" si="2"/>
        <v>3</v>
      </c>
      <c r="AO5" s="59">
        <f t="shared" si="2"/>
        <v>3</v>
      </c>
      <c r="AP5" s="59">
        <f t="shared" si="2"/>
        <v>3</v>
      </c>
      <c r="AQ5" s="59">
        <f t="shared" ref="AQ5:BV5" si="3">IF(AQ4,$G$5,$H$5)</f>
        <v>3</v>
      </c>
      <c r="AR5" s="59">
        <f t="shared" si="3"/>
        <v>3</v>
      </c>
      <c r="AS5" s="59">
        <f t="shared" si="3"/>
        <v>3</v>
      </c>
      <c r="AT5" s="59">
        <f t="shared" si="3"/>
        <v>3</v>
      </c>
      <c r="AU5" s="59">
        <f t="shared" si="3"/>
        <v>3</v>
      </c>
      <c r="AV5" s="59">
        <f t="shared" si="3"/>
        <v>3</v>
      </c>
      <c r="AW5" s="59">
        <f t="shared" si="3"/>
        <v>3</v>
      </c>
      <c r="AX5" s="59">
        <f t="shared" si="3"/>
        <v>3</v>
      </c>
      <c r="AY5" s="59">
        <f t="shared" si="3"/>
        <v>3</v>
      </c>
      <c r="AZ5" s="59">
        <f t="shared" si="3"/>
        <v>3</v>
      </c>
      <c r="BA5" s="59">
        <f t="shared" si="3"/>
        <v>3</v>
      </c>
      <c r="BB5" s="59">
        <f t="shared" si="3"/>
        <v>3</v>
      </c>
      <c r="BC5" s="59">
        <f t="shared" si="3"/>
        <v>3</v>
      </c>
      <c r="BD5" s="59">
        <f t="shared" si="3"/>
        <v>3</v>
      </c>
      <c r="BE5" s="59">
        <f t="shared" si="3"/>
        <v>3</v>
      </c>
      <c r="BF5" s="59">
        <f t="shared" si="3"/>
        <v>3</v>
      </c>
      <c r="BG5" s="59">
        <f t="shared" si="3"/>
        <v>3</v>
      </c>
      <c r="BH5" s="59">
        <f t="shared" si="3"/>
        <v>3</v>
      </c>
      <c r="BI5" s="59">
        <f t="shared" si="3"/>
        <v>3</v>
      </c>
      <c r="BJ5" s="59">
        <f t="shared" si="3"/>
        <v>3</v>
      </c>
      <c r="BK5" s="59">
        <f t="shared" si="3"/>
        <v>3</v>
      </c>
      <c r="BL5" s="59">
        <f t="shared" si="3"/>
        <v>3</v>
      </c>
      <c r="BM5" s="59">
        <f t="shared" si="3"/>
        <v>3</v>
      </c>
      <c r="BN5" s="59">
        <f t="shared" si="3"/>
        <v>3</v>
      </c>
      <c r="BO5" s="59">
        <f t="shared" si="3"/>
        <v>3</v>
      </c>
      <c r="BP5" s="59">
        <f t="shared" si="3"/>
        <v>3</v>
      </c>
      <c r="BQ5" s="59">
        <f t="shared" si="3"/>
        <v>3</v>
      </c>
      <c r="BR5" s="59">
        <f t="shared" si="3"/>
        <v>3</v>
      </c>
      <c r="BS5" s="59">
        <f t="shared" si="3"/>
        <v>3</v>
      </c>
      <c r="BT5" s="59">
        <f t="shared" si="3"/>
        <v>3</v>
      </c>
      <c r="BU5" s="59">
        <f t="shared" si="3"/>
        <v>3</v>
      </c>
      <c r="BV5" s="59">
        <f t="shared" si="3"/>
        <v>3</v>
      </c>
      <c r="BW5" s="59">
        <f t="shared" ref="BW5:CZ5" si="4">IF(BW4,$G$5,$H$5)</f>
        <v>3</v>
      </c>
      <c r="BX5" s="59">
        <f t="shared" si="4"/>
        <v>3</v>
      </c>
      <c r="BY5" s="59">
        <f t="shared" si="4"/>
        <v>3</v>
      </c>
      <c r="BZ5" s="59">
        <f t="shared" si="4"/>
        <v>3</v>
      </c>
      <c r="CA5" s="59">
        <f t="shared" si="4"/>
        <v>3</v>
      </c>
      <c r="CB5" s="59">
        <f t="shared" si="4"/>
        <v>3</v>
      </c>
      <c r="CC5" s="59">
        <f t="shared" si="4"/>
        <v>3</v>
      </c>
      <c r="CD5" s="59">
        <f t="shared" si="4"/>
        <v>3</v>
      </c>
      <c r="CE5" s="59">
        <f t="shared" si="4"/>
        <v>3</v>
      </c>
      <c r="CF5" s="59">
        <f t="shared" si="4"/>
        <v>3</v>
      </c>
      <c r="CG5" s="59">
        <f t="shared" si="4"/>
        <v>3</v>
      </c>
      <c r="CH5" s="59">
        <f t="shared" si="4"/>
        <v>3</v>
      </c>
      <c r="CI5" s="59">
        <f t="shared" si="4"/>
        <v>3</v>
      </c>
      <c r="CJ5" s="59">
        <f t="shared" si="4"/>
        <v>3</v>
      </c>
      <c r="CK5" s="59">
        <f t="shared" si="4"/>
        <v>3</v>
      </c>
      <c r="CL5" s="59">
        <f t="shared" si="4"/>
        <v>3</v>
      </c>
      <c r="CM5" s="59">
        <f t="shared" si="4"/>
        <v>3</v>
      </c>
      <c r="CN5" s="59">
        <f t="shared" si="4"/>
        <v>3</v>
      </c>
      <c r="CO5" s="59">
        <f t="shared" si="4"/>
        <v>3</v>
      </c>
      <c r="CP5" s="59">
        <f t="shared" si="4"/>
        <v>3</v>
      </c>
      <c r="CQ5" s="59">
        <f t="shared" si="4"/>
        <v>3</v>
      </c>
      <c r="CR5" s="59">
        <f t="shared" si="4"/>
        <v>3</v>
      </c>
      <c r="CS5" s="59">
        <f t="shared" si="4"/>
        <v>3</v>
      </c>
      <c r="CT5" s="59">
        <f t="shared" si="4"/>
        <v>3</v>
      </c>
      <c r="CU5" s="59">
        <f t="shared" si="4"/>
        <v>3</v>
      </c>
      <c r="CV5" s="59">
        <f t="shared" si="4"/>
        <v>3</v>
      </c>
      <c r="CW5" s="59">
        <f t="shared" si="4"/>
        <v>3</v>
      </c>
      <c r="CX5" s="59">
        <f t="shared" si="4"/>
        <v>3</v>
      </c>
      <c r="CY5" s="59">
        <f t="shared" si="4"/>
        <v>3</v>
      </c>
      <c r="CZ5" s="59">
        <f t="shared" si="4"/>
        <v>3</v>
      </c>
      <c r="DA5" s="59">
        <f t="shared" ref="DA5:DQ5" si="5">IF(DA4,$G$5,$H$5)</f>
        <v>3</v>
      </c>
      <c r="DB5" s="59">
        <f t="shared" si="5"/>
        <v>3</v>
      </c>
      <c r="DC5" s="59">
        <f t="shared" si="5"/>
        <v>3</v>
      </c>
      <c r="DD5" s="59">
        <f t="shared" si="5"/>
        <v>3</v>
      </c>
      <c r="DE5" s="59">
        <f t="shared" si="5"/>
        <v>3</v>
      </c>
      <c r="DF5" s="59">
        <f t="shared" si="5"/>
        <v>3</v>
      </c>
      <c r="DG5" s="59">
        <f t="shared" si="5"/>
        <v>3</v>
      </c>
      <c r="DH5" s="59">
        <f t="shared" si="5"/>
        <v>3</v>
      </c>
      <c r="DI5" s="59">
        <f t="shared" si="5"/>
        <v>3</v>
      </c>
      <c r="DJ5" s="59">
        <f t="shared" si="5"/>
        <v>3</v>
      </c>
      <c r="DK5" s="59">
        <f t="shared" si="5"/>
        <v>3</v>
      </c>
      <c r="DL5" s="59">
        <f t="shared" si="5"/>
        <v>3</v>
      </c>
      <c r="DM5" s="59">
        <f t="shared" si="5"/>
        <v>3</v>
      </c>
      <c r="DN5" s="59">
        <f t="shared" si="5"/>
        <v>3</v>
      </c>
      <c r="DO5" s="59">
        <f t="shared" si="5"/>
        <v>3</v>
      </c>
      <c r="DP5" s="59">
        <f t="shared" si="5"/>
        <v>3</v>
      </c>
      <c r="DQ5" s="59">
        <f t="shared" si="5"/>
        <v>3</v>
      </c>
    </row>
    <row r="6" spans="1:1006" s="59" customFormat="1" x14ac:dyDescent="0.35">
      <c r="C6" s="59" t="s">
        <v>80</v>
      </c>
      <c r="F6" s="59" t="s">
        <v>64</v>
      </c>
      <c r="K6" s="62">
        <f>J7+1</f>
        <v>42248</v>
      </c>
      <c r="L6" s="62">
        <f t="shared" ref="L6:BW6" si="6">K7+1</f>
        <v>42278</v>
      </c>
      <c r="M6" s="62">
        <f t="shared" si="6"/>
        <v>42309</v>
      </c>
      <c r="N6" s="62">
        <f t="shared" si="6"/>
        <v>42339</v>
      </c>
      <c r="O6" s="62">
        <f t="shared" si="6"/>
        <v>42370</v>
      </c>
      <c r="P6" s="62">
        <f t="shared" si="6"/>
        <v>42401</v>
      </c>
      <c r="Q6" s="62">
        <f t="shared" si="6"/>
        <v>42430</v>
      </c>
      <c r="R6" s="62">
        <f t="shared" si="6"/>
        <v>42461</v>
      </c>
      <c r="S6" s="62">
        <f t="shared" si="6"/>
        <v>42491</v>
      </c>
      <c r="T6" s="62">
        <f t="shared" si="6"/>
        <v>42522</v>
      </c>
      <c r="U6" s="62">
        <f t="shared" si="6"/>
        <v>42614</v>
      </c>
      <c r="V6" s="62">
        <f t="shared" si="6"/>
        <v>42705</v>
      </c>
      <c r="W6" s="62">
        <f t="shared" si="6"/>
        <v>42795</v>
      </c>
      <c r="X6" s="62">
        <f t="shared" si="6"/>
        <v>42887</v>
      </c>
      <c r="Y6" s="62">
        <f t="shared" si="6"/>
        <v>42979</v>
      </c>
      <c r="Z6" s="62">
        <f t="shared" si="6"/>
        <v>43070</v>
      </c>
      <c r="AA6" s="62">
        <f t="shared" si="6"/>
        <v>43160</v>
      </c>
      <c r="AB6" s="62">
        <f t="shared" si="6"/>
        <v>43252</v>
      </c>
      <c r="AC6" s="62">
        <f t="shared" si="6"/>
        <v>43344</v>
      </c>
      <c r="AD6" s="62">
        <f t="shared" si="6"/>
        <v>43435</v>
      </c>
      <c r="AE6" s="62">
        <f t="shared" si="6"/>
        <v>43525</v>
      </c>
      <c r="AF6" s="62">
        <f t="shared" si="6"/>
        <v>43617</v>
      </c>
      <c r="AG6" s="62">
        <f t="shared" si="6"/>
        <v>43709</v>
      </c>
      <c r="AH6" s="62">
        <f t="shared" si="6"/>
        <v>43800</v>
      </c>
      <c r="AI6" s="62">
        <f t="shared" si="6"/>
        <v>43891</v>
      </c>
      <c r="AJ6" s="62">
        <f t="shared" si="6"/>
        <v>43983</v>
      </c>
      <c r="AK6" s="62">
        <f t="shared" si="6"/>
        <v>44075</v>
      </c>
      <c r="AL6" s="62">
        <f t="shared" si="6"/>
        <v>44166</v>
      </c>
      <c r="AM6" s="62">
        <f t="shared" si="6"/>
        <v>44256</v>
      </c>
      <c r="AN6" s="62">
        <f t="shared" si="6"/>
        <v>44348</v>
      </c>
      <c r="AO6" s="62">
        <f t="shared" si="6"/>
        <v>44440</v>
      </c>
      <c r="AP6" s="62">
        <f t="shared" si="6"/>
        <v>44531</v>
      </c>
      <c r="AQ6" s="62">
        <f t="shared" si="6"/>
        <v>44621</v>
      </c>
      <c r="AR6" s="62">
        <f t="shared" si="6"/>
        <v>44713</v>
      </c>
      <c r="AS6" s="62">
        <f t="shared" si="6"/>
        <v>44805</v>
      </c>
      <c r="AT6" s="62">
        <f t="shared" si="6"/>
        <v>44896</v>
      </c>
      <c r="AU6" s="62">
        <f t="shared" si="6"/>
        <v>44986</v>
      </c>
      <c r="AV6" s="62">
        <f t="shared" si="6"/>
        <v>45078</v>
      </c>
      <c r="AW6" s="62">
        <f t="shared" si="6"/>
        <v>45170</v>
      </c>
      <c r="AX6" s="62">
        <f t="shared" si="6"/>
        <v>45261</v>
      </c>
      <c r="AY6" s="62">
        <f t="shared" si="6"/>
        <v>45352</v>
      </c>
      <c r="AZ6" s="62">
        <f t="shared" si="6"/>
        <v>45444</v>
      </c>
      <c r="BA6" s="62">
        <f t="shared" si="6"/>
        <v>45536</v>
      </c>
      <c r="BB6" s="62">
        <f t="shared" si="6"/>
        <v>45627</v>
      </c>
      <c r="BC6" s="62">
        <f t="shared" si="6"/>
        <v>45717</v>
      </c>
      <c r="BD6" s="62">
        <f t="shared" si="6"/>
        <v>45809</v>
      </c>
      <c r="BE6" s="62">
        <f t="shared" si="6"/>
        <v>45901</v>
      </c>
      <c r="BF6" s="62">
        <f t="shared" si="6"/>
        <v>45992</v>
      </c>
      <c r="BG6" s="62">
        <f t="shared" si="6"/>
        <v>46082</v>
      </c>
      <c r="BH6" s="62">
        <f t="shared" si="6"/>
        <v>46174</v>
      </c>
      <c r="BI6" s="62">
        <f t="shared" si="6"/>
        <v>46266</v>
      </c>
      <c r="BJ6" s="62">
        <f t="shared" si="6"/>
        <v>46357</v>
      </c>
      <c r="BK6" s="62">
        <f t="shared" si="6"/>
        <v>46447</v>
      </c>
      <c r="BL6" s="62">
        <f t="shared" si="6"/>
        <v>46539</v>
      </c>
      <c r="BM6" s="62">
        <f t="shared" si="6"/>
        <v>46631</v>
      </c>
      <c r="BN6" s="62">
        <f t="shared" si="6"/>
        <v>46722</v>
      </c>
      <c r="BO6" s="62">
        <f t="shared" si="6"/>
        <v>46813</v>
      </c>
      <c r="BP6" s="62">
        <f t="shared" si="6"/>
        <v>46905</v>
      </c>
      <c r="BQ6" s="62">
        <f t="shared" si="6"/>
        <v>46997</v>
      </c>
      <c r="BR6" s="62">
        <f t="shared" si="6"/>
        <v>47088</v>
      </c>
      <c r="BS6" s="62">
        <f t="shared" si="6"/>
        <v>47178</v>
      </c>
      <c r="BT6" s="62">
        <f t="shared" si="6"/>
        <v>47270</v>
      </c>
      <c r="BU6" s="62">
        <f t="shared" si="6"/>
        <v>47362</v>
      </c>
      <c r="BV6" s="62">
        <f t="shared" si="6"/>
        <v>47453</v>
      </c>
      <c r="BW6" s="62">
        <f t="shared" si="6"/>
        <v>47543</v>
      </c>
      <c r="BX6" s="62">
        <f t="shared" ref="BX6:DQ6" si="7">BW7+1</f>
        <v>47635</v>
      </c>
      <c r="BY6" s="62">
        <f t="shared" si="7"/>
        <v>47727</v>
      </c>
      <c r="BZ6" s="62">
        <f t="shared" si="7"/>
        <v>47818</v>
      </c>
      <c r="CA6" s="62">
        <f t="shared" si="7"/>
        <v>47908</v>
      </c>
      <c r="CB6" s="62">
        <f t="shared" si="7"/>
        <v>48000</v>
      </c>
      <c r="CC6" s="62">
        <f t="shared" si="7"/>
        <v>48092</v>
      </c>
      <c r="CD6" s="62">
        <f t="shared" si="7"/>
        <v>48183</v>
      </c>
      <c r="CE6" s="62">
        <f t="shared" si="7"/>
        <v>48274</v>
      </c>
      <c r="CF6" s="62">
        <f t="shared" si="7"/>
        <v>48366</v>
      </c>
      <c r="CG6" s="62">
        <f t="shared" si="7"/>
        <v>48458</v>
      </c>
      <c r="CH6" s="62">
        <f t="shared" si="7"/>
        <v>48549</v>
      </c>
      <c r="CI6" s="62">
        <f t="shared" si="7"/>
        <v>48639</v>
      </c>
      <c r="CJ6" s="62">
        <f t="shared" si="7"/>
        <v>48731</v>
      </c>
      <c r="CK6" s="62">
        <f t="shared" si="7"/>
        <v>48823</v>
      </c>
      <c r="CL6" s="62">
        <f t="shared" si="7"/>
        <v>48914</v>
      </c>
      <c r="CM6" s="62">
        <f t="shared" si="7"/>
        <v>49004</v>
      </c>
      <c r="CN6" s="62">
        <f t="shared" si="7"/>
        <v>49096</v>
      </c>
      <c r="CO6" s="62">
        <f t="shared" si="7"/>
        <v>49188</v>
      </c>
      <c r="CP6" s="62">
        <f t="shared" si="7"/>
        <v>49279</v>
      </c>
      <c r="CQ6" s="62">
        <f t="shared" si="7"/>
        <v>49369</v>
      </c>
      <c r="CR6" s="62">
        <f t="shared" si="7"/>
        <v>49461</v>
      </c>
      <c r="CS6" s="62">
        <f t="shared" si="7"/>
        <v>49553</v>
      </c>
      <c r="CT6" s="62">
        <f t="shared" si="7"/>
        <v>49644</v>
      </c>
      <c r="CU6" s="62">
        <f t="shared" si="7"/>
        <v>49735</v>
      </c>
      <c r="CV6" s="62">
        <f t="shared" si="7"/>
        <v>49827</v>
      </c>
      <c r="CW6" s="62">
        <f t="shared" si="7"/>
        <v>49919</v>
      </c>
      <c r="CX6" s="62">
        <f t="shared" si="7"/>
        <v>50010</v>
      </c>
      <c r="CY6" s="62">
        <f t="shared" si="7"/>
        <v>50100</v>
      </c>
      <c r="CZ6" s="62">
        <f t="shared" si="7"/>
        <v>50192</v>
      </c>
      <c r="DA6" s="62">
        <f t="shared" si="7"/>
        <v>50284</v>
      </c>
      <c r="DB6" s="62">
        <f t="shared" si="7"/>
        <v>50375</v>
      </c>
      <c r="DC6" s="62">
        <f t="shared" si="7"/>
        <v>50465</v>
      </c>
      <c r="DD6" s="62">
        <f t="shared" si="7"/>
        <v>50557</v>
      </c>
      <c r="DE6" s="62">
        <f t="shared" si="7"/>
        <v>50649</v>
      </c>
      <c r="DF6" s="62">
        <f t="shared" si="7"/>
        <v>50740</v>
      </c>
      <c r="DG6" s="62">
        <f t="shared" si="7"/>
        <v>50830</v>
      </c>
      <c r="DH6" s="62">
        <f t="shared" si="7"/>
        <v>50922</v>
      </c>
      <c r="DI6" s="62">
        <f t="shared" si="7"/>
        <v>51014</v>
      </c>
      <c r="DJ6" s="62">
        <f t="shared" si="7"/>
        <v>51105</v>
      </c>
      <c r="DK6" s="62">
        <f t="shared" si="7"/>
        <v>51196</v>
      </c>
      <c r="DL6" s="62">
        <f t="shared" si="7"/>
        <v>51288</v>
      </c>
      <c r="DM6" s="62">
        <f t="shared" si="7"/>
        <v>51380</v>
      </c>
      <c r="DN6" s="62">
        <f t="shared" si="7"/>
        <v>51471</v>
      </c>
      <c r="DO6" s="62">
        <f t="shared" si="7"/>
        <v>51561</v>
      </c>
      <c r="DP6" s="62">
        <f t="shared" si="7"/>
        <v>51653</v>
      </c>
      <c r="DQ6" s="62">
        <f t="shared" si="7"/>
        <v>51745</v>
      </c>
    </row>
    <row r="7" spans="1:1006" s="59" customFormat="1" x14ac:dyDescent="0.35">
      <c r="C7" s="59" t="s">
        <v>81</v>
      </c>
      <c r="F7" s="59" t="s">
        <v>64</v>
      </c>
      <c r="J7" s="62">
        <f>Assumptions!$F$6-1</f>
        <v>42247</v>
      </c>
      <c r="K7" s="62">
        <f>EDATE(K6,K5)-1</f>
        <v>42277</v>
      </c>
      <c r="L7" s="62">
        <f t="shared" ref="L7:BW7" si="8">EDATE(L6,L5)-1</f>
        <v>42308</v>
      </c>
      <c r="M7" s="62">
        <f t="shared" si="8"/>
        <v>42338</v>
      </c>
      <c r="N7" s="62">
        <f t="shared" si="8"/>
        <v>42369</v>
      </c>
      <c r="O7" s="62">
        <f t="shared" si="8"/>
        <v>42400</v>
      </c>
      <c r="P7" s="62">
        <f t="shared" si="8"/>
        <v>42429</v>
      </c>
      <c r="Q7" s="62">
        <f t="shared" si="8"/>
        <v>42460</v>
      </c>
      <c r="R7" s="62">
        <f t="shared" si="8"/>
        <v>42490</v>
      </c>
      <c r="S7" s="62">
        <f t="shared" si="8"/>
        <v>42521</v>
      </c>
      <c r="T7" s="62">
        <f t="shared" si="8"/>
        <v>42613</v>
      </c>
      <c r="U7" s="62">
        <f t="shared" si="8"/>
        <v>42704</v>
      </c>
      <c r="V7" s="62">
        <f t="shared" si="8"/>
        <v>42794</v>
      </c>
      <c r="W7" s="62">
        <f t="shared" si="8"/>
        <v>42886</v>
      </c>
      <c r="X7" s="62">
        <f t="shared" si="8"/>
        <v>42978</v>
      </c>
      <c r="Y7" s="62">
        <f t="shared" si="8"/>
        <v>43069</v>
      </c>
      <c r="Z7" s="62">
        <f t="shared" si="8"/>
        <v>43159</v>
      </c>
      <c r="AA7" s="62">
        <f t="shared" si="8"/>
        <v>43251</v>
      </c>
      <c r="AB7" s="62">
        <f t="shared" si="8"/>
        <v>43343</v>
      </c>
      <c r="AC7" s="62">
        <f t="shared" si="8"/>
        <v>43434</v>
      </c>
      <c r="AD7" s="62">
        <f t="shared" si="8"/>
        <v>43524</v>
      </c>
      <c r="AE7" s="62">
        <f t="shared" si="8"/>
        <v>43616</v>
      </c>
      <c r="AF7" s="62">
        <f t="shared" si="8"/>
        <v>43708</v>
      </c>
      <c r="AG7" s="62">
        <f t="shared" si="8"/>
        <v>43799</v>
      </c>
      <c r="AH7" s="62">
        <f t="shared" si="8"/>
        <v>43890</v>
      </c>
      <c r="AI7" s="62">
        <f t="shared" si="8"/>
        <v>43982</v>
      </c>
      <c r="AJ7" s="62">
        <f t="shared" si="8"/>
        <v>44074</v>
      </c>
      <c r="AK7" s="62">
        <f t="shared" si="8"/>
        <v>44165</v>
      </c>
      <c r="AL7" s="62">
        <f t="shared" si="8"/>
        <v>44255</v>
      </c>
      <c r="AM7" s="62">
        <f t="shared" si="8"/>
        <v>44347</v>
      </c>
      <c r="AN7" s="62">
        <f t="shared" si="8"/>
        <v>44439</v>
      </c>
      <c r="AO7" s="62">
        <f t="shared" si="8"/>
        <v>44530</v>
      </c>
      <c r="AP7" s="62">
        <f t="shared" si="8"/>
        <v>44620</v>
      </c>
      <c r="AQ7" s="62">
        <f t="shared" si="8"/>
        <v>44712</v>
      </c>
      <c r="AR7" s="62">
        <f t="shared" si="8"/>
        <v>44804</v>
      </c>
      <c r="AS7" s="62">
        <f t="shared" si="8"/>
        <v>44895</v>
      </c>
      <c r="AT7" s="62">
        <f t="shared" si="8"/>
        <v>44985</v>
      </c>
      <c r="AU7" s="62">
        <f t="shared" si="8"/>
        <v>45077</v>
      </c>
      <c r="AV7" s="62">
        <f t="shared" si="8"/>
        <v>45169</v>
      </c>
      <c r="AW7" s="62">
        <f t="shared" si="8"/>
        <v>45260</v>
      </c>
      <c r="AX7" s="62">
        <f t="shared" si="8"/>
        <v>45351</v>
      </c>
      <c r="AY7" s="62">
        <f t="shared" si="8"/>
        <v>45443</v>
      </c>
      <c r="AZ7" s="62">
        <f t="shared" si="8"/>
        <v>45535</v>
      </c>
      <c r="BA7" s="62">
        <f t="shared" si="8"/>
        <v>45626</v>
      </c>
      <c r="BB7" s="62">
        <f t="shared" si="8"/>
        <v>45716</v>
      </c>
      <c r="BC7" s="62">
        <f t="shared" si="8"/>
        <v>45808</v>
      </c>
      <c r="BD7" s="62">
        <f t="shared" si="8"/>
        <v>45900</v>
      </c>
      <c r="BE7" s="62">
        <f t="shared" si="8"/>
        <v>45991</v>
      </c>
      <c r="BF7" s="62">
        <f t="shared" si="8"/>
        <v>46081</v>
      </c>
      <c r="BG7" s="62">
        <f t="shared" si="8"/>
        <v>46173</v>
      </c>
      <c r="BH7" s="62">
        <f t="shared" si="8"/>
        <v>46265</v>
      </c>
      <c r="BI7" s="62">
        <f t="shared" si="8"/>
        <v>46356</v>
      </c>
      <c r="BJ7" s="62">
        <f t="shared" si="8"/>
        <v>46446</v>
      </c>
      <c r="BK7" s="62">
        <f t="shared" si="8"/>
        <v>46538</v>
      </c>
      <c r="BL7" s="62">
        <f t="shared" si="8"/>
        <v>46630</v>
      </c>
      <c r="BM7" s="62">
        <f t="shared" si="8"/>
        <v>46721</v>
      </c>
      <c r="BN7" s="62">
        <f t="shared" si="8"/>
        <v>46812</v>
      </c>
      <c r="BO7" s="62">
        <f t="shared" si="8"/>
        <v>46904</v>
      </c>
      <c r="BP7" s="62">
        <f t="shared" si="8"/>
        <v>46996</v>
      </c>
      <c r="BQ7" s="62">
        <f t="shared" si="8"/>
        <v>47087</v>
      </c>
      <c r="BR7" s="62">
        <f t="shared" si="8"/>
        <v>47177</v>
      </c>
      <c r="BS7" s="62">
        <f t="shared" si="8"/>
        <v>47269</v>
      </c>
      <c r="BT7" s="62">
        <f t="shared" si="8"/>
        <v>47361</v>
      </c>
      <c r="BU7" s="62">
        <f t="shared" si="8"/>
        <v>47452</v>
      </c>
      <c r="BV7" s="62">
        <f t="shared" si="8"/>
        <v>47542</v>
      </c>
      <c r="BW7" s="62">
        <f t="shared" si="8"/>
        <v>47634</v>
      </c>
      <c r="BX7" s="62">
        <f t="shared" ref="BX7:DQ7" si="9">EDATE(BX6,BX5)-1</f>
        <v>47726</v>
      </c>
      <c r="BY7" s="62">
        <f t="shared" si="9"/>
        <v>47817</v>
      </c>
      <c r="BZ7" s="62">
        <f t="shared" si="9"/>
        <v>47907</v>
      </c>
      <c r="CA7" s="62">
        <f t="shared" si="9"/>
        <v>47999</v>
      </c>
      <c r="CB7" s="62">
        <f t="shared" si="9"/>
        <v>48091</v>
      </c>
      <c r="CC7" s="62">
        <f t="shared" si="9"/>
        <v>48182</v>
      </c>
      <c r="CD7" s="62">
        <f t="shared" si="9"/>
        <v>48273</v>
      </c>
      <c r="CE7" s="62">
        <f t="shared" si="9"/>
        <v>48365</v>
      </c>
      <c r="CF7" s="62">
        <f t="shared" si="9"/>
        <v>48457</v>
      </c>
      <c r="CG7" s="62">
        <f t="shared" si="9"/>
        <v>48548</v>
      </c>
      <c r="CH7" s="62">
        <f t="shared" si="9"/>
        <v>48638</v>
      </c>
      <c r="CI7" s="62">
        <f t="shared" si="9"/>
        <v>48730</v>
      </c>
      <c r="CJ7" s="62">
        <f t="shared" si="9"/>
        <v>48822</v>
      </c>
      <c r="CK7" s="62">
        <f t="shared" si="9"/>
        <v>48913</v>
      </c>
      <c r="CL7" s="62">
        <f t="shared" si="9"/>
        <v>49003</v>
      </c>
      <c r="CM7" s="62">
        <f t="shared" si="9"/>
        <v>49095</v>
      </c>
      <c r="CN7" s="62">
        <f t="shared" si="9"/>
        <v>49187</v>
      </c>
      <c r="CO7" s="62">
        <f t="shared" si="9"/>
        <v>49278</v>
      </c>
      <c r="CP7" s="62">
        <f t="shared" si="9"/>
        <v>49368</v>
      </c>
      <c r="CQ7" s="62">
        <f t="shared" si="9"/>
        <v>49460</v>
      </c>
      <c r="CR7" s="62">
        <f t="shared" si="9"/>
        <v>49552</v>
      </c>
      <c r="CS7" s="62">
        <f t="shared" si="9"/>
        <v>49643</v>
      </c>
      <c r="CT7" s="62">
        <f t="shared" si="9"/>
        <v>49734</v>
      </c>
      <c r="CU7" s="62">
        <f t="shared" si="9"/>
        <v>49826</v>
      </c>
      <c r="CV7" s="62">
        <f t="shared" si="9"/>
        <v>49918</v>
      </c>
      <c r="CW7" s="62">
        <f t="shared" si="9"/>
        <v>50009</v>
      </c>
      <c r="CX7" s="62">
        <f t="shared" si="9"/>
        <v>50099</v>
      </c>
      <c r="CY7" s="62">
        <f t="shared" si="9"/>
        <v>50191</v>
      </c>
      <c r="CZ7" s="62">
        <f t="shared" si="9"/>
        <v>50283</v>
      </c>
      <c r="DA7" s="62">
        <f t="shared" si="9"/>
        <v>50374</v>
      </c>
      <c r="DB7" s="62">
        <f t="shared" si="9"/>
        <v>50464</v>
      </c>
      <c r="DC7" s="62">
        <f t="shared" si="9"/>
        <v>50556</v>
      </c>
      <c r="DD7" s="62">
        <f t="shared" si="9"/>
        <v>50648</v>
      </c>
      <c r="DE7" s="62">
        <f t="shared" si="9"/>
        <v>50739</v>
      </c>
      <c r="DF7" s="62">
        <f t="shared" si="9"/>
        <v>50829</v>
      </c>
      <c r="DG7" s="62">
        <f t="shared" si="9"/>
        <v>50921</v>
      </c>
      <c r="DH7" s="62">
        <f t="shared" si="9"/>
        <v>51013</v>
      </c>
      <c r="DI7" s="62">
        <f t="shared" si="9"/>
        <v>51104</v>
      </c>
      <c r="DJ7" s="62">
        <f t="shared" si="9"/>
        <v>51195</v>
      </c>
      <c r="DK7" s="62">
        <f t="shared" si="9"/>
        <v>51287</v>
      </c>
      <c r="DL7" s="62">
        <f t="shared" si="9"/>
        <v>51379</v>
      </c>
      <c r="DM7" s="62">
        <f t="shared" si="9"/>
        <v>51470</v>
      </c>
      <c r="DN7" s="62">
        <f t="shared" si="9"/>
        <v>51560</v>
      </c>
      <c r="DO7" s="62">
        <f t="shared" si="9"/>
        <v>51652</v>
      </c>
      <c r="DP7" s="62">
        <f t="shared" si="9"/>
        <v>51744</v>
      </c>
      <c r="DQ7" s="62">
        <f t="shared" si="9"/>
        <v>51835</v>
      </c>
    </row>
    <row r="8" spans="1:1006" s="59" customFormat="1" x14ac:dyDescent="0.35">
      <c r="C8" s="59" t="s">
        <v>200</v>
      </c>
      <c r="F8" s="59" t="s">
        <v>78</v>
      </c>
      <c r="G8" s="59">
        <f>Assumptions!$F$7</f>
        <v>4</v>
      </c>
      <c r="I8" s="59">
        <f>SUM(K8:BR8)</f>
        <v>4</v>
      </c>
      <c r="K8" s="59">
        <f>(K3&lt;=$G$8)*1</f>
        <v>1</v>
      </c>
      <c r="L8" s="59">
        <f t="shared" ref="L8:BW8" si="10">(L3&lt;=$G$8)*1</f>
        <v>1</v>
      </c>
      <c r="M8" s="59">
        <f t="shared" si="10"/>
        <v>1</v>
      </c>
      <c r="N8" s="59">
        <f t="shared" si="10"/>
        <v>1</v>
      </c>
      <c r="O8" s="59">
        <f t="shared" si="10"/>
        <v>0</v>
      </c>
      <c r="P8" s="59">
        <f t="shared" si="10"/>
        <v>0</v>
      </c>
      <c r="Q8" s="59">
        <f t="shared" si="10"/>
        <v>0</v>
      </c>
      <c r="R8" s="59">
        <f t="shared" si="10"/>
        <v>0</v>
      </c>
      <c r="S8" s="59">
        <f t="shared" si="10"/>
        <v>0</v>
      </c>
      <c r="T8" s="59">
        <f t="shared" si="10"/>
        <v>0</v>
      </c>
      <c r="U8" s="59">
        <f t="shared" si="10"/>
        <v>0</v>
      </c>
      <c r="V8" s="59">
        <f t="shared" si="10"/>
        <v>0</v>
      </c>
      <c r="W8" s="59">
        <f t="shared" si="10"/>
        <v>0</v>
      </c>
      <c r="X8" s="59">
        <f t="shared" si="10"/>
        <v>0</v>
      </c>
      <c r="Y8" s="59">
        <f t="shared" si="10"/>
        <v>0</v>
      </c>
      <c r="Z8" s="59">
        <f t="shared" si="10"/>
        <v>0</v>
      </c>
      <c r="AA8" s="59">
        <f t="shared" si="10"/>
        <v>0</v>
      </c>
      <c r="AB8" s="59">
        <f t="shared" si="10"/>
        <v>0</v>
      </c>
      <c r="AC8" s="59">
        <f t="shared" si="10"/>
        <v>0</v>
      </c>
      <c r="AD8" s="59">
        <f t="shared" si="10"/>
        <v>0</v>
      </c>
      <c r="AE8" s="59">
        <f t="shared" si="10"/>
        <v>0</v>
      </c>
      <c r="AF8" s="59">
        <f t="shared" si="10"/>
        <v>0</v>
      </c>
      <c r="AG8" s="59">
        <f t="shared" si="10"/>
        <v>0</v>
      </c>
      <c r="AH8" s="59">
        <f t="shared" si="10"/>
        <v>0</v>
      </c>
      <c r="AI8" s="59">
        <f t="shared" si="10"/>
        <v>0</v>
      </c>
      <c r="AJ8" s="59">
        <f t="shared" si="10"/>
        <v>0</v>
      </c>
      <c r="AK8" s="59">
        <f t="shared" si="10"/>
        <v>0</v>
      </c>
      <c r="AL8" s="59">
        <f t="shared" si="10"/>
        <v>0</v>
      </c>
      <c r="AM8" s="59">
        <f t="shared" si="10"/>
        <v>0</v>
      </c>
      <c r="AN8" s="59">
        <f t="shared" si="10"/>
        <v>0</v>
      </c>
      <c r="AO8" s="59">
        <f t="shared" si="10"/>
        <v>0</v>
      </c>
      <c r="AP8" s="59">
        <f t="shared" si="10"/>
        <v>0</v>
      </c>
      <c r="AQ8" s="59">
        <f t="shared" si="10"/>
        <v>0</v>
      </c>
      <c r="AR8" s="59">
        <f t="shared" si="10"/>
        <v>0</v>
      </c>
      <c r="AS8" s="59">
        <f t="shared" si="10"/>
        <v>0</v>
      </c>
      <c r="AT8" s="59">
        <f t="shared" si="10"/>
        <v>0</v>
      </c>
      <c r="AU8" s="59">
        <f t="shared" si="10"/>
        <v>0</v>
      </c>
      <c r="AV8" s="59">
        <f t="shared" si="10"/>
        <v>0</v>
      </c>
      <c r="AW8" s="59">
        <f t="shared" si="10"/>
        <v>0</v>
      </c>
      <c r="AX8" s="59">
        <f t="shared" si="10"/>
        <v>0</v>
      </c>
      <c r="AY8" s="59">
        <f t="shared" si="10"/>
        <v>0</v>
      </c>
      <c r="AZ8" s="59">
        <f t="shared" si="10"/>
        <v>0</v>
      </c>
      <c r="BA8" s="59">
        <f t="shared" si="10"/>
        <v>0</v>
      </c>
      <c r="BB8" s="59">
        <f t="shared" si="10"/>
        <v>0</v>
      </c>
      <c r="BC8" s="59">
        <f t="shared" si="10"/>
        <v>0</v>
      </c>
      <c r="BD8" s="59">
        <f t="shared" si="10"/>
        <v>0</v>
      </c>
      <c r="BE8" s="59">
        <f t="shared" si="10"/>
        <v>0</v>
      </c>
      <c r="BF8" s="59">
        <f t="shared" si="10"/>
        <v>0</v>
      </c>
      <c r="BG8" s="59">
        <f t="shared" si="10"/>
        <v>0</v>
      </c>
      <c r="BH8" s="59">
        <f t="shared" si="10"/>
        <v>0</v>
      </c>
      <c r="BI8" s="59">
        <f t="shared" si="10"/>
        <v>0</v>
      </c>
      <c r="BJ8" s="59">
        <f t="shared" si="10"/>
        <v>0</v>
      </c>
      <c r="BK8" s="59">
        <f t="shared" si="10"/>
        <v>0</v>
      </c>
      <c r="BL8" s="59">
        <f t="shared" si="10"/>
        <v>0</v>
      </c>
      <c r="BM8" s="59">
        <f t="shared" si="10"/>
        <v>0</v>
      </c>
      <c r="BN8" s="59">
        <f t="shared" si="10"/>
        <v>0</v>
      </c>
      <c r="BO8" s="59">
        <f t="shared" si="10"/>
        <v>0</v>
      </c>
      <c r="BP8" s="59">
        <f t="shared" si="10"/>
        <v>0</v>
      </c>
      <c r="BQ8" s="59">
        <f t="shared" si="10"/>
        <v>0</v>
      </c>
      <c r="BR8" s="59">
        <f t="shared" si="10"/>
        <v>0</v>
      </c>
      <c r="BS8" s="59">
        <f t="shared" si="10"/>
        <v>0</v>
      </c>
      <c r="BT8" s="59">
        <f t="shared" si="10"/>
        <v>0</v>
      </c>
      <c r="BU8" s="59">
        <f t="shared" si="10"/>
        <v>0</v>
      </c>
      <c r="BV8" s="59">
        <f t="shared" si="10"/>
        <v>0</v>
      </c>
      <c r="BW8" s="59">
        <f t="shared" si="10"/>
        <v>0</v>
      </c>
      <c r="BX8" s="59">
        <f t="shared" ref="BX8:DQ8" si="11">(BX3&lt;=$G$8)*1</f>
        <v>0</v>
      </c>
      <c r="BY8" s="59">
        <f t="shared" si="11"/>
        <v>0</v>
      </c>
      <c r="BZ8" s="59">
        <f t="shared" si="11"/>
        <v>0</v>
      </c>
      <c r="CA8" s="59">
        <f t="shared" si="11"/>
        <v>0</v>
      </c>
      <c r="CB8" s="59">
        <f t="shared" si="11"/>
        <v>0</v>
      </c>
      <c r="CC8" s="59">
        <f t="shared" si="11"/>
        <v>0</v>
      </c>
      <c r="CD8" s="59">
        <f t="shared" si="11"/>
        <v>0</v>
      </c>
      <c r="CE8" s="59">
        <f t="shared" si="11"/>
        <v>0</v>
      </c>
      <c r="CF8" s="59">
        <f t="shared" si="11"/>
        <v>0</v>
      </c>
      <c r="CG8" s="59">
        <f t="shared" si="11"/>
        <v>0</v>
      </c>
      <c r="CH8" s="59">
        <f t="shared" si="11"/>
        <v>0</v>
      </c>
      <c r="CI8" s="59">
        <f t="shared" si="11"/>
        <v>0</v>
      </c>
      <c r="CJ8" s="59">
        <f t="shared" si="11"/>
        <v>0</v>
      </c>
      <c r="CK8" s="59">
        <f t="shared" si="11"/>
        <v>0</v>
      </c>
      <c r="CL8" s="59">
        <f t="shared" si="11"/>
        <v>0</v>
      </c>
      <c r="CM8" s="59">
        <f t="shared" si="11"/>
        <v>0</v>
      </c>
      <c r="CN8" s="59">
        <f t="shared" si="11"/>
        <v>0</v>
      </c>
      <c r="CO8" s="59">
        <f t="shared" si="11"/>
        <v>0</v>
      </c>
      <c r="CP8" s="59">
        <f t="shared" si="11"/>
        <v>0</v>
      </c>
      <c r="CQ8" s="59">
        <f t="shared" si="11"/>
        <v>0</v>
      </c>
      <c r="CR8" s="59">
        <f t="shared" si="11"/>
        <v>0</v>
      </c>
      <c r="CS8" s="59">
        <f t="shared" si="11"/>
        <v>0</v>
      </c>
      <c r="CT8" s="59">
        <f t="shared" si="11"/>
        <v>0</v>
      </c>
      <c r="CU8" s="59">
        <f t="shared" si="11"/>
        <v>0</v>
      </c>
      <c r="CV8" s="59">
        <f t="shared" si="11"/>
        <v>0</v>
      </c>
      <c r="CW8" s="59">
        <f t="shared" si="11"/>
        <v>0</v>
      </c>
      <c r="CX8" s="59">
        <f t="shared" si="11"/>
        <v>0</v>
      </c>
      <c r="CY8" s="59">
        <f t="shared" si="11"/>
        <v>0</v>
      </c>
      <c r="CZ8" s="59">
        <f t="shared" si="11"/>
        <v>0</v>
      </c>
      <c r="DA8" s="59">
        <f t="shared" si="11"/>
        <v>0</v>
      </c>
      <c r="DB8" s="59">
        <f t="shared" si="11"/>
        <v>0</v>
      </c>
      <c r="DC8" s="59">
        <f t="shared" si="11"/>
        <v>0</v>
      </c>
      <c r="DD8" s="59">
        <f t="shared" si="11"/>
        <v>0</v>
      </c>
      <c r="DE8" s="59">
        <f t="shared" si="11"/>
        <v>0</v>
      </c>
      <c r="DF8" s="59">
        <f t="shared" si="11"/>
        <v>0</v>
      </c>
      <c r="DG8" s="59">
        <f t="shared" si="11"/>
        <v>0</v>
      </c>
      <c r="DH8" s="59">
        <f t="shared" si="11"/>
        <v>0</v>
      </c>
      <c r="DI8" s="59">
        <f t="shared" si="11"/>
        <v>0</v>
      </c>
      <c r="DJ8" s="59">
        <f t="shared" si="11"/>
        <v>0</v>
      </c>
      <c r="DK8" s="59">
        <f t="shared" si="11"/>
        <v>0</v>
      </c>
      <c r="DL8" s="59">
        <f t="shared" si="11"/>
        <v>0</v>
      </c>
      <c r="DM8" s="59">
        <f t="shared" si="11"/>
        <v>0</v>
      </c>
      <c r="DN8" s="59">
        <f t="shared" si="11"/>
        <v>0</v>
      </c>
      <c r="DO8" s="59">
        <f t="shared" si="11"/>
        <v>0</v>
      </c>
      <c r="DP8" s="59">
        <f t="shared" si="11"/>
        <v>0</v>
      </c>
      <c r="DQ8" s="59">
        <f t="shared" si="11"/>
        <v>0</v>
      </c>
    </row>
    <row r="9" spans="1:1006" s="59" customFormat="1" x14ac:dyDescent="0.35">
      <c r="C9" s="59" t="s">
        <v>97</v>
      </c>
      <c r="F9" s="59" t="s">
        <v>78</v>
      </c>
      <c r="G9" s="62">
        <f>Assumptions!$F$9</f>
        <v>42370</v>
      </c>
      <c r="H9" s="62">
        <f>Assumptions!$F$14</f>
        <v>42522</v>
      </c>
      <c r="I9" s="59">
        <f t="shared" ref="I9:I10" si="12">SUM(K9:BR9)</f>
        <v>5</v>
      </c>
      <c r="K9" s="59">
        <f>AND(K$6&gt;=$G9,K$6&lt;$H9)*1</f>
        <v>0</v>
      </c>
      <c r="L9" s="59">
        <f t="shared" ref="L9:BS10" si="13">AND(L$6&gt;=$G9,L$6&lt;$H9)*1</f>
        <v>0</v>
      </c>
      <c r="M9" s="59">
        <f t="shared" si="13"/>
        <v>0</v>
      </c>
      <c r="N9" s="59">
        <f t="shared" si="13"/>
        <v>0</v>
      </c>
      <c r="O9" s="59">
        <f t="shared" si="13"/>
        <v>1</v>
      </c>
      <c r="P9" s="59">
        <f t="shared" si="13"/>
        <v>1</v>
      </c>
      <c r="Q9" s="59">
        <f t="shared" si="13"/>
        <v>1</v>
      </c>
      <c r="R9" s="59">
        <f t="shared" si="13"/>
        <v>1</v>
      </c>
      <c r="S9" s="59">
        <f t="shared" si="13"/>
        <v>1</v>
      </c>
      <c r="T9" s="59">
        <f t="shared" si="13"/>
        <v>0</v>
      </c>
      <c r="U9" s="59">
        <f t="shared" si="13"/>
        <v>0</v>
      </c>
      <c r="V9" s="59">
        <f t="shared" si="13"/>
        <v>0</v>
      </c>
      <c r="W9" s="59">
        <f t="shared" si="13"/>
        <v>0</v>
      </c>
      <c r="X9" s="59">
        <f t="shared" si="13"/>
        <v>0</v>
      </c>
      <c r="Y9" s="59">
        <f t="shared" si="13"/>
        <v>0</v>
      </c>
      <c r="Z9" s="59">
        <f t="shared" si="13"/>
        <v>0</v>
      </c>
      <c r="AA9" s="59">
        <f t="shared" si="13"/>
        <v>0</v>
      </c>
      <c r="AB9" s="59">
        <f t="shared" si="13"/>
        <v>0</v>
      </c>
      <c r="AC9" s="59">
        <f t="shared" si="13"/>
        <v>0</v>
      </c>
      <c r="AD9" s="59">
        <f t="shared" si="13"/>
        <v>0</v>
      </c>
      <c r="AE9" s="59">
        <f t="shared" si="13"/>
        <v>0</v>
      </c>
      <c r="AF9" s="59">
        <f t="shared" si="13"/>
        <v>0</v>
      </c>
      <c r="AG9" s="59">
        <f t="shared" si="13"/>
        <v>0</v>
      </c>
      <c r="AH9" s="59">
        <f t="shared" si="13"/>
        <v>0</v>
      </c>
      <c r="AI9" s="59">
        <f t="shared" si="13"/>
        <v>0</v>
      </c>
      <c r="AJ9" s="59">
        <f t="shared" si="13"/>
        <v>0</v>
      </c>
      <c r="AK9" s="59">
        <f t="shared" si="13"/>
        <v>0</v>
      </c>
      <c r="AL9" s="59">
        <f t="shared" si="13"/>
        <v>0</v>
      </c>
      <c r="AM9" s="59">
        <f t="shared" si="13"/>
        <v>0</v>
      </c>
      <c r="AN9" s="59">
        <f t="shared" si="13"/>
        <v>0</v>
      </c>
      <c r="AO9" s="59">
        <f t="shared" si="13"/>
        <v>0</v>
      </c>
      <c r="AP9" s="59">
        <f t="shared" si="13"/>
        <v>0</v>
      </c>
      <c r="AQ9" s="59">
        <f t="shared" si="13"/>
        <v>0</v>
      </c>
      <c r="AR9" s="59">
        <f t="shared" si="13"/>
        <v>0</v>
      </c>
      <c r="AS9" s="59">
        <f t="shared" si="13"/>
        <v>0</v>
      </c>
      <c r="AT9" s="59">
        <f t="shared" si="13"/>
        <v>0</v>
      </c>
      <c r="AU9" s="59">
        <f t="shared" si="13"/>
        <v>0</v>
      </c>
      <c r="AV9" s="59">
        <f t="shared" si="13"/>
        <v>0</v>
      </c>
      <c r="AW9" s="59">
        <f t="shared" si="13"/>
        <v>0</v>
      </c>
      <c r="AX9" s="59">
        <f t="shared" si="13"/>
        <v>0</v>
      </c>
      <c r="AY9" s="59">
        <f t="shared" si="13"/>
        <v>0</v>
      </c>
      <c r="AZ9" s="59">
        <f t="shared" si="13"/>
        <v>0</v>
      </c>
      <c r="BA9" s="59">
        <f t="shared" si="13"/>
        <v>0</v>
      </c>
      <c r="BB9" s="59">
        <f t="shared" si="13"/>
        <v>0</v>
      </c>
      <c r="BC9" s="59">
        <f t="shared" si="13"/>
        <v>0</v>
      </c>
      <c r="BD9" s="59">
        <f t="shared" si="13"/>
        <v>0</v>
      </c>
      <c r="BE9" s="59">
        <f t="shared" si="13"/>
        <v>0</v>
      </c>
      <c r="BF9" s="59">
        <f t="shared" si="13"/>
        <v>0</v>
      </c>
      <c r="BG9" s="59">
        <f t="shared" si="13"/>
        <v>0</v>
      </c>
      <c r="BH9" s="59">
        <f t="shared" si="13"/>
        <v>0</v>
      </c>
      <c r="BI9" s="59">
        <f t="shared" si="13"/>
        <v>0</v>
      </c>
      <c r="BJ9" s="59">
        <f t="shared" si="13"/>
        <v>0</v>
      </c>
      <c r="BK9" s="59">
        <f t="shared" si="13"/>
        <v>0</v>
      </c>
      <c r="BL9" s="59">
        <f t="shared" si="13"/>
        <v>0</v>
      </c>
      <c r="BM9" s="59">
        <f t="shared" si="13"/>
        <v>0</v>
      </c>
      <c r="BN9" s="59">
        <f t="shared" si="13"/>
        <v>0</v>
      </c>
      <c r="BO9" s="59">
        <f t="shared" si="13"/>
        <v>0</v>
      </c>
      <c r="BP9" s="59">
        <f t="shared" si="13"/>
        <v>0</v>
      </c>
      <c r="BQ9" s="59">
        <f t="shared" si="13"/>
        <v>0</v>
      </c>
      <c r="BR9" s="59">
        <f t="shared" si="13"/>
        <v>0</v>
      </c>
      <c r="BS9" s="59">
        <f t="shared" si="13"/>
        <v>0</v>
      </c>
      <c r="BT9" s="59">
        <f t="shared" ref="BT9:CN10" si="14">AND(BT$6&gt;=$G9,BT$6&lt;$H9)*1</f>
        <v>0</v>
      </c>
      <c r="BU9" s="59">
        <f t="shared" si="14"/>
        <v>0</v>
      </c>
      <c r="BV9" s="59">
        <f t="shared" si="14"/>
        <v>0</v>
      </c>
      <c r="BW9" s="59">
        <f t="shared" si="14"/>
        <v>0</v>
      </c>
      <c r="BX9" s="59">
        <f t="shared" si="14"/>
        <v>0</v>
      </c>
      <c r="BY9" s="59">
        <f t="shared" si="14"/>
        <v>0</v>
      </c>
      <c r="BZ9" s="59">
        <f t="shared" si="14"/>
        <v>0</v>
      </c>
      <c r="CA9" s="59">
        <f t="shared" si="14"/>
        <v>0</v>
      </c>
      <c r="CB9" s="59">
        <f t="shared" si="14"/>
        <v>0</v>
      </c>
      <c r="CC9" s="59">
        <f t="shared" si="14"/>
        <v>0</v>
      </c>
      <c r="CD9" s="59">
        <f t="shared" si="14"/>
        <v>0</v>
      </c>
      <c r="CE9" s="59">
        <f t="shared" si="14"/>
        <v>0</v>
      </c>
      <c r="CF9" s="59">
        <f t="shared" si="14"/>
        <v>0</v>
      </c>
      <c r="CG9" s="59">
        <f t="shared" si="14"/>
        <v>0</v>
      </c>
      <c r="CH9" s="59">
        <f t="shared" si="14"/>
        <v>0</v>
      </c>
      <c r="CI9" s="59">
        <f t="shared" si="14"/>
        <v>0</v>
      </c>
      <c r="CJ9" s="59">
        <f t="shared" si="14"/>
        <v>0</v>
      </c>
      <c r="CK9" s="59">
        <f t="shared" si="14"/>
        <v>0</v>
      </c>
      <c r="CL9" s="59">
        <f t="shared" si="14"/>
        <v>0</v>
      </c>
      <c r="CM9" s="59">
        <f t="shared" si="14"/>
        <v>0</v>
      </c>
      <c r="CN9" s="59">
        <f t="shared" si="14"/>
        <v>0</v>
      </c>
      <c r="CO9" s="59">
        <f t="shared" ref="CO9:DD10" si="15">AND(CO$6&gt;=$G9,CO$6&lt;$H9)*1</f>
        <v>0</v>
      </c>
      <c r="CP9" s="59">
        <f t="shared" si="15"/>
        <v>0</v>
      </c>
      <c r="CQ9" s="59">
        <f t="shared" si="15"/>
        <v>0</v>
      </c>
      <c r="CR9" s="59">
        <f t="shared" si="15"/>
        <v>0</v>
      </c>
      <c r="CS9" s="59">
        <f t="shared" si="15"/>
        <v>0</v>
      </c>
      <c r="CT9" s="59">
        <f t="shared" si="15"/>
        <v>0</v>
      </c>
      <c r="CU9" s="59">
        <f t="shared" si="15"/>
        <v>0</v>
      </c>
      <c r="CV9" s="59">
        <f t="shared" si="15"/>
        <v>0</v>
      </c>
      <c r="CW9" s="59">
        <f t="shared" si="15"/>
        <v>0</v>
      </c>
      <c r="CX9" s="59">
        <f t="shared" si="15"/>
        <v>0</v>
      </c>
      <c r="CY9" s="59">
        <f t="shared" si="15"/>
        <v>0</v>
      </c>
      <c r="CZ9" s="59">
        <f t="shared" si="15"/>
        <v>0</v>
      </c>
      <c r="DA9" s="59">
        <f t="shared" si="15"/>
        <v>0</v>
      </c>
      <c r="DB9" s="59">
        <f t="shared" si="15"/>
        <v>0</v>
      </c>
      <c r="DC9" s="59">
        <f t="shared" si="15"/>
        <v>0</v>
      </c>
      <c r="DD9" s="59">
        <f t="shared" si="15"/>
        <v>0</v>
      </c>
      <c r="DE9" s="59">
        <f t="shared" ref="DE9:DQ10" si="16">AND(DE$6&gt;=$G9,DE$6&lt;$H9)*1</f>
        <v>0</v>
      </c>
      <c r="DF9" s="59">
        <f t="shared" si="16"/>
        <v>0</v>
      </c>
      <c r="DG9" s="59">
        <f t="shared" si="16"/>
        <v>0</v>
      </c>
      <c r="DH9" s="59">
        <f t="shared" si="16"/>
        <v>0</v>
      </c>
      <c r="DI9" s="59">
        <f t="shared" si="16"/>
        <v>0</v>
      </c>
      <c r="DJ9" s="59">
        <f t="shared" si="16"/>
        <v>0</v>
      </c>
      <c r="DK9" s="59">
        <f t="shared" si="16"/>
        <v>0</v>
      </c>
      <c r="DL9" s="59">
        <f t="shared" si="16"/>
        <v>0</v>
      </c>
      <c r="DM9" s="59">
        <f t="shared" si="16"/>
        <v>0</v>
      </c>
      <c r="DN9" s="59">
        <f t="shared" si="16"/>
        <v>0</v>
      </c>
      <c r="DO9" s="59">
        <f t="shared" si="16"/>
        <v>0</v>
      </c>
      <c r="DP9" s="59">
        <f t="shared" si="16"/>
        <v>0</v>
      </c>
      <c r="DQ9" s="59">
        <f t="shared" si="16"/>
        <v>0</v>
      </c>
    </row>
    <row r="10" spans="1:1006" s="59" customFormat="1" x14ac:dyDescent="0.35">
      <c r="C10" s="59" t="s">
        <v>98</v>
      </c>
      <c r="F10" s="59" t="s">
        <v>78</v>
      </c>
      <c r="G10" s="66">
        <f>Assumptions!$F$14</f>
        <v>42522</v>
      </c>
      <c r="H10" s="62">
        <f>Assumptions!$F$17</f>
        <v>51653</v>
      </c>
      <c r="I10" s="59">
        <f t="shared" si="12"/>
        <v>51</v>
      </c>
      <c r="K10" s="59">
        <f>AND(K$6&gt;=$G10,K$6&lt;$H10)*1</f>
        <v>0</v>
      </c>
      <c r="L10" s="59">
        <f t="shared" si="13"/>
        <v>0</v>
      </c>
      <c r="M10" s="59">
        <f t="shared" si="13"/>
        <v>0</v>
      </c>
      <c r="N10" s="59">
        <f t="shared" si="13"/>
        <v>0</v>
      </c>
      <c r="O10" s="59">
        <f t="shared" si="13"/>
        <v>0</v>
      </c>
      <c r="P10" s="59">
        <f t="shared" si="13"/>
        <v>0</v>
      </c>
      <c r="Q10" s="59">
        <f t="shared" si="13"/>
        <v>0</v>
      </c>
      <c r="R10" s="59">
        <f t="shared" si="13"/>
        <v>0</v>
      </c>
      <c r="S10" s="59">
        <f t="shared" si="13"/>
        <v>0</v>
      </c>
      <c r="T10" s="59">
        <f t="shared" si="13"/>
        <v>1</v>
      </c>
      <c r="U10" s="59">
        <f t="shared" si="13"/>
        <v>1</v>
      </c>
      <c r="V10" s="59">
        <f t="shared" si="13"/>
        <v>1</v>
      </c>
      <c r="W10" s="59">
        <f t="shared" si="13"/>
        <v>1</v>
      </c>
      <c r="X10" s="59">
        <f t="shared" si="13"/>
        <v>1</v>
      </c>
      <c r="Y10" s="59">
        <f t="shared" si="13"/>
        <v>1</v>
      </c>
      <c r="Z10" s="59">
        <f t="shared" si="13"/>
        <v>1</v>
      </c>
      <c r="AA10" s="59">
        <f t="shared" si="13"/>
        <v>1</v>
      </c>
      <c r="AB10" s="59">
        <f t="shared" si="13"/>
        <v>1</v>
      </c>
      <c r="AC10" s="59">
        <f t="shared" si="13"/>
        <v>1</v>
      </c>
      <c r="AD10" s="59">
        <f t="shared" si="13"/>
        <v>1</v>
      </c>
      <c r="AE10" s="59">
        <f t="shared" si="13"/>
        <v>1</v>
      </c>
      <c r="AF10" s="59">
        <f t="shared" si="13"/>
        <v>1</v>
      </c>
      <c r="AG10" s="59">
        <f t="shared" si="13"/>
        <v>1</v>
      </c>
      <c r="AH10" s="59">
        <f t="shared" si="13"/>
        <v>1</v>
      </c>
      <c r="AI10" s="59">
        <f t="shared" si="13"/>
        <v>1</v>
      </c>
      <c r="AJ10" s="59">
        <f t="shared" si="13"/>
        <v>1</v>
      </c>
      <c r="AK10" s="59">
        <f t="shared" si="13"/>
        <v>1</v>
      </c>
      <c r="AL10" s="59">
        <f t="shared" si="13"/>
        <v>1</v>
      </c>
      <c r="AM10" s="59">
        <f t="shared" si="13"/>
        <v>1</v>
      </c>
      <c r="AN10" s="59">
        <f t="shared" si="13"/>
        <v>1</v>
      </c>
      <c r="AO10" s="59">
        <f t="shared" si="13"/>
        <v>1</v>
      </c>
      <c r="AP10" s="59">
        <f t="shared" si="13"/>
        <v>1</v>
      </c>
      <c r="AQ10" s="59">
        <f t="shared" si="13"/>
        <v>1</v>
      </c>
      <c r="AR10" s="59">
        <f t="shared" si="13"/>
        <v>1</v>
      </c>
      <c r="AS10" s="59">
        <f t="shared" si="13"/>
        <v>1</v>
      </c>
      <c r="AT10" s="59">
        <f t="shared" si="13"/>
        <v>1</v>
      </c>
      <c r="AU10" s="59">
        <f t="shared" si="13"/>
        <v>1</v>
      </c>
      <c r="AV10" s="59">
        <f t="shared" si="13"/>
        <v>1</v>
      </c>
      <c r="AW10" s="59">
        <f t="shared" si="13"/>
        <v>1</v>
      </c>
      <c r="AX10" s="59">
        <f t="shared" si="13"/>
        <v>1</v>
      </c>
      <c r="AY10" s="59">
        <f t="shared" si="13"/>
        <v>1</v>
      </c>
      <c r="AZ10" s="59">
        <f t="shared" si="13"/>
        <v>1</v>
      </c>
      <c r="BA10" s="59">
        <f t="shared" si="13"/>
        <v>1</v>
      </c>
      <c r="BB10" s="59">
        <f t="shared" si="13"/>
        <v>1</v>
      </c>
      <c r="BC10" s="59">
        <f t="shared" si="13"/>
        <v>1</v>
      </c>
      <c r="BD10" s="59">
        <f t="shared" si="13"/>
        <v>1</v>
      </c>
      <c r="BE10" s="59">
        <f t="shared" si="13"/>
        <v>1</v>
      </c>
      <c r="BF10" s="59">
        <f t="shared" si="13"/>
        <v>1</v>
      </c>
      <c r="BG10" s="59">
        <f t="shared" si="13"/>
        <v>1</v>
      </c>
      <c r="BH10" s="59">
        <f t="shared" si="13"/>
        <v>1</v>
      </c>
      <c r="BI10" s="59">
        <f t="shared" si="13"/>
        <v>1</v>
      </c>
      <c r="BJ10" s="59">
        <f t="shared" si="13"/>
        <v>1</v>
      </c>
      <c r="BK10" s="59">
        <f t="shared" si="13"/>
        <v>1</v>
      </c>
      <c r="BL10" s="59">
        <f t="shared" si="13"/>
        <v>1</v>
      </c>
      <c r="BM10" s="59">
        <f t="shared" si="13"/>
        <v>1</v>
      </c>
      <c r="BN10" s="59">
        <f t="shared" si="13"/>
        <v>1</v>
      </c>
      <c r="BO10" s="59">
        <f t="shared" si="13"/>
        <v>1</v>
      </c>
      <c r="BP10" s="59">
        <f t="shared" si="13"/>
        <v>1</v>
      </c>
      <c r="BQ10" s="59">
        <f t="shared" si="13"/>
        <v>1</v>
      </c>
      <c r="BR10" s="59">
        <f t="shared" si="13"/>
        <v>1</v>
      </c>
      <c r="BS10" s="59">
        <f t="shared" si="13"/>
        <v>1</v>
      </c>
      <c r="BT10" s="59">
        <f t="shared" si="14"/>
        <v>1</v>
      </c>
      <c r="BU10" s="59">
        <f t="shared" si="14"/>
        <v>1</v>
      </c>
      <c r="BV10" s="59">
        <f t="shared" si="14"/>
        <v>1</v>
      </c>
      <c r="BW10" s="59">
        <f t="shared" si="14"/>
        <v>1</v>
      </c>
      <c r="BX10" s="59">
        <f t="shared" si="14"/>
        <v>1</v>
      </c>
      <c r="BY10" s="59">
        <f t="shared" si="14"/>
        <v>1</v>
      </c>
      <c r="BZ10" s="59">
        <f t="shared" si="14"/>
        <v>1</v>
      </c>
      <c r="CA10" s="59">
        <f t="shared" si="14"/>
        <v>1</v>
      </c>
      <c r="CB10" s="59">
        <f t="shared" si="14"/>
        <v>1</v>
      </c>
      <c r="CC10" s="59">
        <f t="shared" si="14"/>
        <v>1</v>
      </c>
      <c r="CD10" s="59">
        <f t="shared" si="14"/>
        <v>1</v>
      </c>
      <c r="CE10" s="59">
        <f t="shared" si="14"/>
        <v>1</v>
      </c>
      <c r="CF10" s="59">
        <f t="shared" si="14"/>
        <v>1</v>
      </c>
      <c r="CG10" s="59">
        <f t="shared" si="14"/>
        <v>1</v>
      </c>
      <c r="CH10" s="59">
        <f t="shared" si="14"/>
        <v>1</v>
      </c>
      <c r="CI10" s="59">
        <f t="shared" si="14"/>
        <v>1</v>
      </c>
      <c r="CJ10" s="59">
        <f t="shared" si="14"/>
        <v>1</v>
      </c>
      <c r="CK10" s="59">
        <f t="shared" si="14"/>
        <v>1</v>
      </c>
      <c r="CL10" s="59">
        <f t="shared" si="14"/>
        <v>1</v>
      </c>
      <c r="CM10" s="59">
        <f t="shared" si="14"/>
        <v>1</v>
      </c>
      <c r="CN10" s="59">
        <f t="shared" si="14"/>
        <v>1</v>
      </c>
      <c r="CO10" s="59">
        <f t="shared" si="15"/>
        <v>1</v>
      </c>
      <c r="CP10" s="59">
        <f t="shared" si="15"/>
        <v>1</v>
      </c>
      <c r="CQ10" s="59">
        <f t="shared" si="15"/>
        <v>1</v>
      </c>
      <c r="CR10" s="59">
        <f t="shared" si="15"/>
        <v>1</v>
      </c>
      <c r="CS10" s="59">
        <f t="shared" si="15"/>
        <v>1</v>
      </c>
      <c r="CT10" s="59">
        <f t="shared" si="15"/>
        <v>1</v>
      </c>
      <c r="CU10" s="59">
        <f t="shared" si="15"/>
        <v>1</v>
      </c>
      <c r="CV10" s="59">
        <f t="shared" si="15"/>
        <v>1</v>
      </c>
      <c r="CW10" s="59">
        <f t="shared" si="15"/>
        <v>1</v>
      </c>
      <c r="CX10" s="59">
        <f t="shared" si="15"/>
        <v>1</v>
      </c>
      <c r="CY10" s="59">
        <f t="shared" si="15"/>
        <v>1</v>
      </c>
      <c r="CZ10" s="59">
        <f t="shared" si="15"/>
        <v>1</v>
      </c>
      <c r="DA10" s="59">
        <f t="shared" si="15"/>
        <v>1</v>
      </c>
      <c r="DB10" s="59">
        <f t="shared" si="15"/>
        <v>1</v>
      </c>
      <c r="DC10" s="59">
        <f t="shared" si="15"/>
        <v>1</v>
      </c>
      <c r="DD10" s="59">
        <f t="shared" si="15"/>
        <v>1</v>
      </c>
      <c r="DE10" s="59">
        <f t="shared" si="16"/>
        <v>1</v>
      </c>
      <c r="DF10" s="59">
        <f t="shared" si="16"/>
        <v>1</v>
      </c>
      <c r="DG10" s="59">
        <f t="shared" si="16"/>
        <v>1</v>
      </c>
      <c r="DH10" s="59">
        <f t="shared" si="16"/>
        <v>1</v>
      </c>
      <c r="DI10" s="59">
        <f t="shared" si="16"/>
        <v>1</v>
      </c>
      <c r="DJ10" s="59">
        <f t="shared" si="16"/>
        <v>1</v>
      </c>
      <c r="DK10" s="59">
        <f t="shared" si="16"/>
        <v>1</v>
      </c>
      <c r="DL10" s="59">
        <f t="shared" si="16"/>
        <v>1</v>
      </c>
      <c r="DM10" s="59">
        <f t="shared" si="16"/>
        <v>1</v>
      </c>
      <c r="DN10" s="59">
        <f t="shared" si="16"/>
        <v>1</v>
      </c>
      <c r="DO10" s="59">
        <f t="shared" si="16"/>
        <v>1</v>
      </c>
      <c r="DP10" s="59">
        <f t="shared" si="16"/>
        <v>0</v>
      </c>
      <c r="DQ10" s="59">
        <f t="shared" si="16"/>
        <v>0</v>
      </c>
    </row>
    <row r="12" spans="1:1006" x14ac:dyDescent="0.35">
      <c r="B12" s="37" t="s">
        <v>256</v>
      </c>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c r="BT12" s="37"/>
      <c r="BU12" s="37"/>
      <c r="BV12" s="37"/>
      <c r="BW12" s="37"/>
      <c r="BX12" s="37"/>
      <c r="BY12" s="37"/>
      <c r="BZ12" s="37"/>
      <c r="CA12" s="37"/>
      <c r="CB12" s="37"/>
      <c r="CC12" s="37"/>
      <c r="CD12" s="37"/>
      <c r="CE12" s="37"/>
      <c r="CF12" s="37"/>
      <c r="CG12" s="37"/>
      <c r="CH12" s="37"/>
      <c r="CI12" s="37"/>
      <c r="CJ12" s="37"/>
      <c r="CK12" s="37"/>
      <c r="CL12" s="37"/>
      <c r="CM12" s="37"/>
      <c r="CN12" s="37"/>
      <c r="CO12" s="37"/>
      <c r="CP12" s="37"/>
      <c r="CQ12" s="37"/>
      <c r="CR12" s="37"/>
      <c r="CS12" s="37"/>
      <c r="CT12" s="37"/>
      <c r="CU12" s="37"/>
      <c r="CV12" s="37"/>
      <c r="CW12" s="37"/>
      <c r="CX12" s="37"/>
      <c r="CY12" s="37"/>
      <c r="CZ12" s="37"/>
      <c r="DA12" s="37"/>
      <c r="DB12" s="37"/>
      <c r="DC12" s="37"/>
      <c r="DD12" s="37"/>
      <c r="DE12" s="37"/>
      <c r="DF12" s="37"/>
      <c r="DG12" s="37"/>
      <c r="DH12" s="37"/>
      <c r="DI12" s="37"/>
      <c r="DJ12" s="37"/>
      <c r="DK12" s="37"/>
      <c r="DL12" s="37"/>
      <c r="DM12" s="37"/>
      <c r="DN12" s="37"/>
      <c r="DO12" s="37"/>
      <c r="DP12" s="37"/>
      <c r="DQ12" s="37"/>
      <c r="DR12" s="37"/>
      <c r="DS12" s="37"/>
      <c r="DT12" s="37"/>
      <c r="DU12" s="37"/>
      <c r="DV12" s="37"/>
      <c r="DW12" s="37"/>
      <c r="DX12" s="37"/>
      <c r="DY12" s="37"/>
      <c r="DZ12" s="37"/>
      <c r="EA12" s="37"/>
      <c r="EB12" s="37"/>
      <c r="EC12" s="37"/>
      <c r="ED12" s="37"/>
      <c r="EE12" s="37"/>
      <c r="EF12" s="37"/>
      <c r="EG12" s="37"/>
      <c r="EH12" s="37"/>
      <c r="EI12" s="37"/>
      <c r="EJ12" s="37"/>
      <c r="EK12" s="37"/>
      <c r="EL12" s="37"/>
      <c r="EM12" s="37"/>
      <c r="EN12" s="37"/>
      <c r="EO12" s="37"/>
      <c r="EP12" s="37"/>
      <c r="EQ12" s="37"/>
      <c r="ER12" s="37"/>
      <c r="ES12" s="37"/>
      <c r="ET12" s="37"/>
      <c r="EU12" s="37"/>
      <c r="EV12" s="37"/>
      <c r="EW12" s="37"/>
      <c r="EX12" s="37"/>
      <c r="EY12" s="37"/>
      <c r="EZ12" s="37"/>
      <c r="FA12" s="37"/>
      <c r="FB12" s="37"/>
      <c r="FC12" s="37"/>
      <c r="FD12" s="37"/>
      <c r="FE12" s="37"/>
      <c r="FF12" s="37"/>
      <c r="FG12" s="37"/>
      <c r="FH12" s="37"/>
      <c r="FI12" s="37"/>
      <c r="FJ12" s="37"/>
      <c r="FK12" s="37"/>
      <c r="FL12" s="37"/>
      <c r="FM12" s="37"/>
      <c r="FN12" s="37"/>
      <c r="FO12" s="37"/>
      <c r="FP12" s="37"/>
      <c r="FQ12" s="37"/>
      <c r="FR12" s="37"/>
      <c r="FS12" s="37"/>
      <c r="FT12" s="37"/>
      <c r="FU12" s="37"/>
      <c r="FV12" s="37"/>
      <c r="FW12" s="37"/>
      <c r="FX12" s="37"/>
      <c r="FY12" s="37"/>
      <c r="FZ12" s="37"/>
      <c r="GA12" s="37"/>
      <c r="GB12" s="37"/>
      <c r="GC12" s="37"/>
      <c r="GD12" s="37"/>
      <c r="GE12" s="37"/>
      <c r="GF12" s="37"/>
      <c r="GG12" s="37"/>
      <c r="GH12" s="37"/>
      <c r="GI12" s="37"/>
      <c r="GJ12" s="37"/>
      <c r="GK12" s="37"/>
      <c r="GL12" s="37"/>
      <c r="GM12" s="37"/>
      <c r="GN12" s="37"/>
      <c r="GO12" s="37"/>
      <c r="GP12" s="37"/>
      <c r="GQ12" s="37"/>
      <c r="GR12" s="37"/>
      <c r="GS12" s="37"/>
      <c r="GT12" s="37"/>
      <c r="GU12" s="37"/>
      <c r="GV12" s="37"/>
      <c r="GW12" s="37"/>
      <c r="GX12" s="37"/>
      <c r="GY12" s="37"/>
      <c r="GZ12" s="37"/>
      <c r="HA12" s="37"/>
      <c r="HB12" s="37"/>
      <c r="HC12" s="37"/>
      <c r="HD12" s="37"/>
      <c r="HE12" s="37"/>
      <c r="HF12" s="37"/>
      <c r="HG12" s="37"/>
      <c r="HH12" s="37"/>
      <c r="HI12" s="37"/>
      <c r="HJ12" s="37"/>
      <c r="HK12" s="37"/>
      <c r="HL12" s="37"/>
      <c r="HM12" s="37"/>
      <c r="HN12" s="37"/>
      <c r="HO12" s="37"/>
      <c r="HP12" s="37"/>
      <c r="HQ12" s="37"/>
      <c r="HR12" s="37"/>
      <c r="HS12" s="37"/>
      <c r="HT12" s="37"/>
      <c r="HU12" s="37"/>
      <c r="HV12" s="37"/>
      <c r="HW12" s="37"/>
      <c r="HX12" s="37"/>
      <c r="HY12" s="37"/>
      <c r="HZ12" s="37"/>
      <c r="IA12" s="37"/>
      <c r="IB12" s="37"/>
      <c r="IC12" s="37"/>
      <c r="ID12" s="37"/>
      <c r="IE12" s="37"/>
      <c r="IF12" s="37"/>
      <c r="IG12" s="37"/>
      <c r="IH12" s="37"/>
      <c r="II12" s="37"/>
      <c r="IJ12" s="37"/>
      <c r="IK12" s="37"/>
      <c r="IL12" s="37"/>
      <c r="IM12" s="37"/>
      <c r="IN12" s="37"/>
      <c r="IO12" s="37"/>
      <c r="IP12" s="37"/>
      <c r="IQ12" s="37"/>
      <c r="IR12" s="37"/>
      <c r="IS12" s="37"/>
      <c r="IT12" s="37"/>
      <c r="IU12" s="37"/>
      <c r="IV12" s="37"/>
      <c r="IW12" s="37"/>
      <c r="IX12" s="37"/>
      <c r="IY12" s="37"/>
      <c r="IZ12" s="37"/>
      <c r="JA12" s="37"/>
      <c r="JB12" s="37"/>
      <c r="JC12" s="37"/>
      <c r="JD12" s="37"/>
      <c r="JE12" s="37"/>
      <c r="JF12" s="37"/>
      <c r="JG12" s="37"/>
      <c r="JH12" s="37"/>
      <c r="JI12" s="37"/>
      <c r="JJ12" s="37"/>
      <c r="JK12" s="37"/>
      <c r="JL12" s="37"/>
      <c r="JM12" s="37"/>
      <c r="JN12" s="37"/>
      <c r="JO12" s="37"/>
      <c r="JP12" s="37"/>
      <c r="JQ12" s="37"/>
      <c r="JR12" s="37"/>
      <c r="JS12" s="37"/>
      <c r="JT12" s="37"/>
      <c r="JU12" s="37"/>
      <c r="JV12" s="37"/>
      <c r="JW12" s="37"/>
      <c r="JX12" s="37"/>
      <c r="JY12" s="37"/>
      <c r="JZ12" s="37"/>
      <c r="KA12" s="37"/>
      <c r="KB12" s="37"/>
      <c r="KC12" s="37"/>
      <c r="KD12" s="37"/>
      <c r="KE12" s="37"/>
      <c r="KF12" s="37"/>
      <c r="KG12" s="37"/>
      <c r="KH12" s="37"/>
      <c r="KI12" s="37"/>
      <c r="KJ12" s="37"/>
      <c r="KK12" s="37"/>
      <c r="KL12" s="37"/>
      <c r="KM12" s="37"/>
      <c r="KN12" s="37"/>
      <c r="KO12" s="37"/>
      <c r="KP12" s="37"/>
      <c r="KQ12" s="37"/>
      <c r="KR12" s="37"/>
      <c r="KS12" s="37"/>
      <c r="KT12" s="37"/>
      <c r="KU12" s="37"/>
      <c r="KV12" s="37"/>
      <c r="KW12" s="37"/>
      <c r="KX12" s="37"/>
      <c r="KY12" s="37"/>
      <c r="KZ12" s="37"/>
      <c r="LA12" s="37"/>
      <c r="LB12" s="37"/>
      <c r="LC12" s="37"/>
      <c r="LD12" s="37"/>
      <c r="LE12" s="37"/>
      <c r="LF12" s="37"/>
      <c r="LG12" s="37"/>
      <c r="LH12" s="37"/>
      <c r="LI12" s="37"/>
      <c r="LJ12" s="37"/>
      <c r="LK12" s="37"/>
      <c r="LL12" s="37"/>
      <c r="LM12" s="37"/>
      <c r="LN12" s="37"/>
      <c r="LO12" s="37"/>
      <c r="LP12" s="37"/>
      <c r="LQ12" s="37"/>
      <c r="LR12" s="37"/>
      <c r="LS12" s="37"/>
      <c r="LT12" s="37"/>
      <c r="LU12" s="37"/>
      <c r="LV12" s="37"/>
      <c r="LW12" s="37"/>
      <c r="LX12" s="37"/>
      <c r="LY12" s="37"/>
      <c r="LZ12" s="37"/>
      <c r="MA12" s="37"/>
      <c r="MB12" s="37"/>
      <c r="MC12" s="37"/>
      <c r="MD12" s="37"/>
      <c r="ME12" s="37"/>
      <c r="MF12" s="37"/>
      <c r="MG12" s="37"/>
      <c r="MH12" s="37"/>
      <c r="MI12" s="37"/>
      <c r="MJ12" s="37"/>
      <c r="MK12" s="37"/>
      <c r="ML12" s="37"/>
      <c r="MM12" s="37"/>
      <c r="MN12" s="37"/>
      <c r="MO12" s="37"/>
      <c r="MP12" s="37"/>
      <c r="MQ12" s="37"/>
      <c r="MR12" s="37"/>
      <c r="MS12" s="37"/>
      <c r="MT12" s="37"/>
      <c r="MU12" s="37"/>
      <c r="MV12" s="37"/>
      <c r="MW12" s="37"/>
      <c r="MX12" s="37"/>
      <c r="MY12" s="37"/>
      <c r="MZ12" s="37"/>
      <c r="NA12" s="37"/>
      <c r="NB12" s="37"/>
      <c r="NC12" s="37"/>
      <c r="ND12" s="37"/>
      <c r="NE12" s="37"/>
      <c r="NF12" s="37"/>
      <c r="NG12" s="37"/>
      <c r="NH12" s="37"/>
      <c r="NI12" s="37"/>
      <c r="NJ12" s="37"/>
      <c r="NK12" s="37"/>
      <c r="NL12" s="37"/>
      <c r="NM12" s="37"/>
      <c r="NN12" s="37"/>
      <c r="NO12" s="37"/>
      <c r="NP12" s="37"/>
      <c r="NQ12" s="37"/>
      <c r="NR12" s="37"/>
      <c r="NS12" s="37"/>
      <c r="NT12" s="37"/>
      <c r="NU12" s="37"/>
      <c r="NV12" s="37"/>
      <c r="NW12" s="37"/>
      <c r="NX12" s="37"/>
      <c r="NY12" s="37"/>
      <c r="NZ12" s="37"/>
      <c r="OA12" s="37"/>
      <c r="OB12" s="37"/>
      <c r="OC12" s="37"/>
      <c r="OD12" s="37"/>
      <c r="OE12" s="37"/>
      <c r="OF12" s="37"/>
      <c r="OG12" s="37"/>
      <c r="OH12" s="37"/>
      <c r="OI12" s="37"/>
      <c r="OJ12" s="37"/>
      <c r="OK12" s="37"/>
      <c r="OL12" s="37"/>
      <c r="OM12" s="37"/>
      <c r="ON12" s="37"/>
      <c r="OO12" s="37"/>
      <c r="OP12" s="37"/>
      <c r="OQ12" s="37"/>
      <c r="OR12" s="37"/>
      <c r="OS12" s="37"/>
      <c r="OT12" s="37"/>
      <c r="OU12" s="37"/>
      <c r="OV12" s="37"/>
      <c r="OW12" s="37"/>
      <c r="OX12" s="37"/>
      <c r="OY12" s="37"/>
      <c r="OZ12" s="37"/>
      <c r="PA12" s="37"/>
      <c r="PB12" s="37"/>
      <c r="PC12" s="37"/>
      <c r="PD12" s="37"/>
      <c r="PE12" s="37"/>
      <c r="PF12" s="37"/>
      <c r="PG12" s="37"/>
      <c r="PH12" s="37"/>
      <c r="PI12" s="37"/>
      <c r="PJ12" s="37"/>
      <c r="PK12" s="37"/>
      <c r="PL12" s="37"/>
      <c r="PM12" s="37"/>
      <c r="PN12" s="37"/>
      <c r="PO12" s="37"/>
      <c r="PP12" s="37"/>
      <c r="PQ12" s="37"/>
      <c r="PR12" s="37"/>
      <c r="PS12" s="37"/>
      <c r="PT12" s="37"/>
      <c r="PU12" s="37"/>
      <c r="PV12" s="37"/>
      <c r="PW12" s="37"/>
      <c r="PX12" s="37"/>
      <c r="PY12" s="37"/>
      <c r="PZ12" s="37"/>
      <c r="QA12" s="37"/>
      <c r="QB12" s="37"/>
      <c r="QC12" s="37"/>
      <c r="QD12" s="37"/>
      <c r="QE12" s="37"/>
      <c r="QF12" s="37"/>
      <c r="QG12" s="37"/>
      <c r="QH12" s="37"/>
      <c r="QI12" s="37"/>
      <c r="QJ12" s="37"/>
      <c r="QK12" s="37"/>
      <c r="QL12" s="37"/>
      <c r="QM12" s="37"/>
      <c r="QN12" s="37"/>
      <c r="QO12" s="37"/>
      <c r="QP12" s="37"/>
      <c r="QQ12" s="37"/>
      <c r="QR12" s="37"/>
      <c r="QS12" s="37"/>
      <c r="QT12" s="37"/>
      <c r="QU12" s="37"/>
      <c r="QV12" s="37"/>
      <c r="QW12" s="37"/>
      <c r="QX12" s="37"/>
      <c r="QY12" s="37"/>
      <c r="QZ12" s="37"/>
      <c r="RA12" s="37"/>
      <c r="RB12" s="37"/>
      <c r="RC12" s="37"/>
      <c r="RD12" s="37"/>
      <c r="RE12" s="37"/>
      <c r="RF12" s="37"/>
      <c r="RG12" s="37"/>
      <c r="RH12" s="37"/>
      <c r="RI12" s="37"/>
      <c r="RJ12" s="37"/>
      <c r="RK12" s="37"/>
      <c r="RL12" s="37"/>
      <c r="RM12" s="37"/>
      <c r="RN12" s="37"/>
      <c r="RO12" s="37"/>
      <c r="RP12" s="37"/>
      <c r="RQ12" s="37"/>
      <c r="RR12" s="37"/>
      <c r="RS12" s="37"/>
      <c r="RT12" s="37"/>
      <c r="RU12" s="37"/>
      <c r="RV12" s="37"/>
      <c r="RW12" s="37"/>
      <c r="RX12" s="37"/>
      <c r="RY12" s="37"/>
      <c r="RZ12" s="37"/>
      <c r="SA12" s="37"/>
      <c r="SB12" s="37"/>
      <c r="SC12" s="37"/>
      <c r="SD12" s="37"/>
      <c r="SE12" s="37"/>
      <c r="SF12" s="37"/>
      <c r="SG12" s="37"/>
      <c r="SH12" s="37"/>
      <c r="SI12" s="37"/>
      <c r="SJ12" s="37"/>
      <c r="SK12" s="37"/>
      <c r="SL12" s="37"/>
      <c r="SM12" s="37"/>
      <c r="SN12" s="37"/>
      <c r="SO12" s="37"/>
      <c r="SP12" s="37"/>
      <c r="SQ12" s="37"/>
      <c r="SR12" s="37"/>
      <c r="SS12" s="37"/>
      <c r="ST12" s="37"/>
      <c r="SU12" s="37"/>
      <c r="SV12" s="37"/>
      <c r="SW12" s="37"/>
      <c r="SX12" s="37"/>
      <c r="SY12" s="37"/>
      <c r="SZ12" s="37"/>
      <c r="TA12" s="37"/>
      <c r="TB12" s="37"/>
      <c r="TC12" s="37"/>
      <c r="TD12" s="37"/>
      <c r="TE12" s="37"/>
      <c r="TF12" s="37"/>
      <c r="TG12" s="37"/>
      <c r="TH12" s="37"/>
      <c r="TI12" s="37"/>
      <c r="TJ12" s="37"/>
      <c r="TK12" s="37"/>
      <c r="TL12" s="37"/>
      <c r="TM12" s="37"/>
      <c r="TN12" s="37"/>
      <c r="TO12" s="37"/>
      <c r="TP12" s="37"/>
      <c r="TQ12" s="37"/>
      <c r="TR12" s="37"/>
      <c r="TS12" s="37"/>
      <c r="TT12" s="37"/>
      <c r="TU12" s="37"/>
      <c r="TV12" s="37"/>
      <c r="TW12" s="37"/>
      <c r="TX12" s="37"/>
      <c r="TY12" s="37"/>
      <c r="TZ12" s="37"/>
      <c r="UA12" s="37"/>
      <c r="UB12" s="37"/>
      <c r="UC12" s="37"/>
      <c r="UD12" s="37"/>
      <c r="UE12" s="37"/>
      <c r="UF12" s="37"/>
      <c r="UG12" s="37"/>
      <c r="UH12" s="37"/>
      <c r="UI12" s="37"/>
      <c r="UJ12" s="37"/>
      <c r="UK12" s="37"/>
      <c r="UL12" s="37"/>
      <c r="UM12" s="37"/>
      <c r="UN12" s="37"/>
      <c r="UO12" s="37"/>
      <c r="UP12" s="37"/>
      <c r="UQ12" s="37"/>
      <c r="UR12" s="37"/>
      <c r="US12" s="37"/>
      <c r="UT12" s="37"/>
      <c r="UU12" s="37"/>
      <c r="UV12" s="37"/>
      <c r="UW12" s="37"/>
      <c r="UX12" s="37"/>
      <c r="UY12" s="37"/>
      <c r="UZ12" s="37"/>
      <c r="VA12" s="37"/>
      <c r="VB12" s="37"/>
      <c r="VC12" s="37"/>
      <c r="VD12" s="37"/>
      <c r="VE12" s="37"/>
      <c r="VF12" s="37"/>
      <c r="VG12" s="37"/>
      <c r="VH12" s="37"/>
      <c r="VI12" s="37"/>
      <c r="VJ12" s="37"/>
      <c r="VK12" s="37"/>
      <c r="VL12" s="37"/>
      <c r="VM12" s="37"/>
      <c r="VN12" s="37"/>
      <c r="VO12" s="37"/>
      <c r="VP12" s="37"/>
      <c r="VQ12" s="37"/>
      <c r="VR12" s="37"/>
      <c r="VS12" s="37"/>
      <c r="VT12" s="37"/>
      <c r="VU12" s="37"/>
      <c r="VV12" s="37"/>
      <c r="VW12" s="37"/>
      <c r="VX12" s="37"/>
      <c r="VY12" s="37"/>
      <c r="VZ12" s="37"/>
      <c r="WA12" s="37"/>
      <c r="WB12" s="37"/>
      <c r="WC12" s="37"/>
      <c r="WD12" s="37"/>
      <c r="WE12" s="37"/>
      <c r="WF12" s="37"/>
      <c r="WG12" s="37"/>
      <c r="WH12" s="37"/>
      <c r="WI12" s="37"/>
      <c r="WJ12" s="37"/>
      <c r="WK12" s="37"/>
      <c r="WL12" s="37"/>
      <c r="WM12" s="37"/>
      <c r="WN12" s="37"/>
      <c r="WO12" s="37"/>
      <c r="WP12" s="37"/>
      <c r="WQ12" s="37"/>
      <c r="WR12" s="37"/>
      <c r="WS12" s="37"/>
      <c r="WT12" s="37"/>
      <c r="WU12" s="37"/>
      <c r="WV12" s="37"/>
      <c r="WW12" s="37"/>
      <c r="WX12" s="37"/>
      <c r="WY12" s="37"/>
      <c r="WZ12" s="37"/>
      <c r="XA12" s="37"/>
      <c r="XB12" s="37"/>
      <c r="XC12" s="37"/>
      <c r="XD12" s="37"/>
      <c r="XE12" s="37"/>
      <c r="XF12" s="37"/>
      <c r="XG12" s="37"/>
      <c r="XH12" s="37"/>
      <c r="XI12" s="37"/>
      <c r="XJ12" s="37"/>
      <c r="XK12" s="37"/>
      <c r="XL12" s="37"/>
      <c r="XM12" s="37"/>
      <c r="XN12" s="37"/>
      <c r="XO12" s="37"/>
      <c r="XP12" s="37"/>
      <c r="XQ12" s="37"/>
      <c r="XR12" s="37"/>
      <c r="XS12" s="37"/>
      <c r="XT12" s="37"/>
      <c r="XU12" s="37"/>
      <c r="XV12" s="37"/>
      <c r="XW12" s="37"/>
      <c r="XX12" s="37"/>
      <c r="XY12" s="37"/>
      <c r="XZ12" s="37"/>
      <c r="YA12" s="37"/>
      <c r="YB12" s="37"/>
      <c r="YC12" s="37"/>
      <c r="YD12" s="37"/>
      <c r="YE12" s="37"/>
      <c r="YF12" s="37"/>
      <c r="YG12" s="37"/>
      <c r="YH12" s="37"/>
      <c r="YI12" s="37"/>
      <c r="YJ12" s="37"/>
      <c r="YK12" s="37"/>
      <c r="YL12" s="37"/>
      <c r="YM12" s="37"/>
      <c r="YN12" s="37"/>
      <c r="YO12" s="37"/>
      <c r="YP12" s="37"/>
      <c r="YQ12" s="37"/>
      <c r="YR12" s="37"/>
      <c r="YS12" s="37"/>
      <c r="YT12" s="37"/>
      <c r="YU12" s="37"/>
      <c r="YV12" s="37"/>
      <c r="YW12" s="37"/>
      <c r="YX12" s="37"/>
      <c r="YY12" s="37"/>
      <c r="YZ12" s="37"/>
      <c r="ZA12" s="37"/>
      <c r="ZB12" s="37"/>
      <c r="ZC12" s="37"/>
      <c r="ZD12" s="37"/>
      <c r="ZE12" s="37"/>
      <c r="ZF12" s="37"/>
      <c r="ZG12" s="37"/>
      <c r="ZH12" s="37"/>
      <c r="ZI12" s="37"/>
      <c r="ZJ12" s="37"/>
      <c r="ZK12" s="37"/>
      <c r="ZL12" s="37"/>
      <c r="ZM12" s="37"/>
      <c r="ZN12" s="37"/>
      <c r="ZO12" s="37"/>
      <c r="ZP12" s="37"/>
      <c r="ZQ12" s="37"/>
      <c r="ZR12" s="37"/>
      <c r="ZS12" s="37"/>
      <c r="ZT12" s="37"/>
      <c r="ZU12" s="37"/>
      <c r="ZV12" s="37"/>
      <c r="ZW12" s="37"/>
      <c r="ZX12" s="37"/>
      <c r="ZY12" s="37"/>
      <c r="ZZ12" s="37"/>
      <c r="AAA12" s="37"/>
      <c r="AAB12" s="37"/>
      <c r="AAC12" s="37"/>
      <c r="AAD12" s="37"/>
      <c r="AAE12" s="37"/>
      <c r="AAF12" s="37"/>
      <c r="AAG12" s="37"/>
      <c r="AAH12" s="37"/>
      <c r="AAI12" s="37"/>
      <c r="AAJ12" s="37"/>
      <c r="AAK12" s="37"/>
      <c r="AAL12" s="37"/>
      <c r="AAM12" s="37"/>
      <c r="AAN12" s="37"/>
      <c r="AAO12" s="37"/>
      <c r="AAP12" s="37"/>
      <c r="AAQ12" s="37"/>
      <c r="AAR12" s="37"/>
      <c r="AAS12" s="37"/>
      <c r="AAT12" s="37"/>
      <c r="AAU12" s="37"/>
      <c r="AAV12" s="37"/>
      <c r="AAW12" s="37"/>
      <c r="AAX12" s="37"/>
      <c r="AAY12" s="37"/>
      <c r="AAZ12" s="37"/>
      <c r="ABA12" s="37"/>
      <c r="ABB12" s="37"/>
      <c r="ABC12" s="37"/>
      <c r="ABD12" s="37"/>
      <c r="ABE12" s="37"/>
      <c r="ABF12" s="37"/>
      <c r="ABG12" s="37"/>
      <c r="ABH12" s="37"/>
      <c r="ABI12" s="37"/>
      <c r="ABJ12" s="37"/>
      <c r="ABK12" s="37"/>
      <c r="ABL12" s="37"/>
      <c r="ABM12" s="37"/>
      <c r="ABN12" s="37"/>
      <c r="ABO12" s="37"/>
      <c r="ABP12" s="37"/>
      <c r="ABQ12" s="37"/>
      <c r="ABR12" s="37"/>
      <c r="ABS12" s="37"/>
      <c r="ABT12" s="37"/>
      <c r="ABU12" s="37"/>
      <c r="ABV12" s="37"/>
      <c r="ABW12" s="37"/>
      <c r="ABX12" s="37"/>
      <c r="ABY12" s="37"/>
      <c r="ABZ12" s="37"/>
      <c r="ACA12" s="37"/>
      <c r="ACB12" s="37"/>
      <c r="ACC12" s="37"/>
      <c r="ACD12" s="37"/>
      <c r="ACE12" s="37"/>
      <c r="ACF12" s="37"/>
      <c r="ACG12" s="37"/>
      <c r="ACH12" s="37"/>
      <c r="ACI12" s="37"/>
      <c r="ACJ12" s="37"/>
      <c r="ACK12" s="37"/>
      <c r="ACL12" s="37"/>
      <c r="ACM12" s="37"/>
      <c r="ACN12" s="37"/>
      <c r="ACO12" s="37"/>
      <c r="ACP12" s="37"/>
      <c r="ACQ12" s="37"/>
      <c r="ACR12" s="37"/>
      <c r="ACS12" s="37"/>
      <c r="ACT12" s="37"/>
      <c r="ACU12" s="37"/>
      <c r="ACV12" s="37"/>
      <c r="ACW12" s="37"/>
      <c r="ACX12" s="37"/>
      <c r="ACY12" s="37"/>
      <c r="ACZ12" s="37"/>
      <c r="ADA12" s="37"/>
      <c r="ADB12" s="37"/>
      <c r="ADC12" s="37"/>
      <c r="ADD12" s="37"/>
      <c r="ADE12" s="37"/>
      <c r="ADF12" s="37"/>
      <c r="ADG12" s="37"/>
      <c r="ADH12" s="37"/>
      <c r="ADI12" s="37"/>
      <c r="ADJ12" s="37"/>
      <c r="ADK12" s="37"/>
      <c r="ADL12" s="37"/>
      <c r="ADM12" s="37"/>
      <c r="ADN12" s="37"/>
      <c r="ADO12" s="37"/>
      <c r="ADP12" s="37"/>
      <c r="ADQ12" s="37"/>
      <c r="ADR12" s="37"/>
      <c r="ADS12" s="37"/>
      <c r="ADT12" s="37"/>
      <c r="ADU12" s="37"/>
      <c r="ADV12" s="37"/>
      <c r="ADW12" s="37"/>
      <c r="ADX12" s="37"/>
      <c r="ADY12" s="37"/>
      <c r="ADZ12" s="37"/>
      <c r="AEA12" s="37"/>
      <c r="AEB12" s="37"/>
      <c r="AEC12" s="37"/>
      <c r="AED12" s="37"/>
      <c r="AEE12" s="37"/>
      <c r="AEF12" s="37"/>
      <c r="AEG12" s="37"/>
      <c r="AEH12" s="37"/>
      <c r="AEI12" s="37"/>
      <c r="AEJ12" s="37"/>
      <c r="AEK12" s="37"/>
      <c r="AEL12" s="37"/>
      <c r="AEM12" s="37"/>
      <c r="AEN12" s="37"/>
      <c r="AEO12" s="37"/>
      <c r="AEP12" s="37"/>
      <c r="AEQ12" s="37"/>
      <c r="AER12" s="37"/>
      <c r="AES12" s="37"/>
      <c r="AET12" s="37"/>
      <c r="AEU12" s="37"/>
      <c r="AEV12" s="37"/>
      <c r="AEW12" s="37"/>
      <c r="AEX12" s="37"/>
      <c r="AEY12" s="37"/>
      <c r="AEZ12" s="37"/>
      <c r="AFA12" s="37"/>
      <c r="AFB12" s="37"/>
      <c r="AFC12" s="37"/>
      <c r="AFD12" s="37"/>
      <c r="AFE12" s="37"/>
      <c r="AFF12" s="37"/>
      <c r="AFG12" s="37"/>
      <c r="AFH12" s="37"/>
      <c r="AFI12" s="37"/>
      <c r="AFJ12" s="37"/>
      <c r="AFK12" s="37"/>
      <c r="AFL12" s="37"/>
      <c r="AFM12" s="37"/>
      <c r="AFN12" s="37"/>
      <c r="AFO12" s="37"/>
      <c r="AFP12" s="37"/>
      <c r="AFQ12" s="37"/>
      <c r="AFR12" s="37"/>
      <c r="AFS12" s="37"/>
      <c r="AFT12" s="37"/>
      <c r="AFU12" s="37"/>
      <c r="AFV12" s="37"/>
      <c r="AFW12" s="37"/>
      <c r="AFX12" s="37"/>
      <c r="AFY12" s="37"/>
      <c r="AFZ12" s="37"/>
      <c r="AGA12" s="37"/>
      <c r="AGB12" s="37"/>
      <c r="AGC12" s="37"/>
      <c r="AGD12" s="37"/>
      <c r="AGE12" s="37"/>
      <c r="AGF12" s="37"/>
      <c r="AGG12" s="37"/>
      <c r="AGH12" s="37"/>
      <c r="AGI12" s="37"/>
      <c r="AGJ12" s="37"/>
      <c r="AGK12" s="37"/>
      <c r="AGL12" s="37"/>
      <c r="AGM12" s="37"/>
      <c r="AGN12" s="37"/>
      <c r="AGO12" s="37"/>
      <c r="AGP12" s="37"/>
      <c r="AGQ12" s="37"/>
      <c r="AGR12" s="37"/>
      <c r="AGS12" s="37"/>
      <c r="AGT12" s="37"/>
      <c r="AGU12" s="37"/>
      <c r="AGV12" s="37"/>
      <c r="AGW12" s="37"/>
      <c r="AGX12" s="37"/>
      <c r="AGY12" s="37"/>
      <c r="AGZ12" s="37"/>
      <c r="AHA12" s="37"/>
      <c r="AHB12" s="37"/>
      <c r="AHC12" s="37"/>
      <c r="AHD12" s="37"/>
      <c r="AHE12" s="37"/>
      <c r="AHF12" s="37"/>
      <c r="AHG12" s="37"/>
      <c r="AHH12" s="37"/>
      <c r="AHI12" s="37"/>
      <c r="AHJ12" s="37"/>
      <c r="AHK12" s="37"/>
      <c r="AHL12" s="37"/>
      <c r="AHM12" s="37"/>
      <c r="AHN12" s="37"/>
      <c r="AHO12" s="37"/>
      <c r="AHP12" s="37"/>
      <c r="AHQ12" s="37"/>
      <c r="AHR12" s="37"/>
      <c r="AHS12" s="37"/>
      <c r="AHT12" s="37"/>
      <c r="AHU12" s="37"/>
      <c r="AHV12" s="37"/>
      <c r="AHW12" s="37"/>
      <c r="AHX12" s="37"/>
      <c r="AHY12" s="37"/>
      <c r="AHZ12" s="37"/>
      <c r="AIA12" s="37"/>
      <c r="AIB12" s="37"/>
      <c r="AIC12" s="37"/>
      <c r="AID12" s="37"/>
      <c r="AIE12" s="37"/>
      <c r="AIF12" s="37"/>
      <c r="AIG12" s="37"/>
      <c r="AIH12" s="37"/>
      <c r="AII12" s="37"/>
      <c r="AIJ12" s="37"/>
      <c r="AIK12" s="37"/>
      <c r="AIL12" s="37"/>
      <c r="AIM12" s="37"/>
      <c r="AIN12" s="37"/>
      <c r="AIO12" s="37"/>
      <c r="AIP12" s="37"/>
      <c r="AIQ12" s="37"/>
      <c r="AIR12" s="37"/>
      <c r="AIS12" s="37"/>
      <c r="AIT12" s="37"/>
      <c r="AIU12" s="37"/>
      <c r="AIV12" s="37"/>
      <c r="AIW12" s="37"/>
      <c r="AIX12" s="37"/>
      <c r="AIY12" s="37"/>
      <c r="AIZ12" s="37"/>
      <c r="AJA12" s="37"/>
      <c r="AJB12" s="37"/>
      <c r="AJC12" s="37"/>
      <c r="AJD12" s="37"/>
      <c r="AJE12" s="37"/>
      <c r="AJF12" s="37"/>
      <c r="AJG12" s="37"/>
      <c r="AJH12" s="37"/>
      <c r="AJI12" s="37"/>
      <c r="AJJ12" s="37"/>
      <c r="AJK12" s="37"/>
      <c r="AJL12" s="37"/>
      <c r="AJM12" s="37"/>
      <c r="AJN12" s="37"/>
      <c r="AJO12" s="37"/>
      <c r="AJP12" s="37"/>
      <c r="AJQ12" s="37"/>
      <c r="AJR12" s="37"/>
      <c r="AJS12" s="37"/>
      <c r="AJT12" s="37"/>
      <c r="AJU12" s="37"/>
      <c r="AJV12" s="37"/>
      <c r="AJW12" s="37"/>
      <c r="AJX12" s="37"/>
      <c r="AJY12" s="37"/>
      <c r="AJZ12" s="37"/>
      <c r="AKA12" s="37"/>
      <c r="AKB12" s="37"/>
      <c r="AKC12" s="37"/>
      <c r="AKD12" s="37"/>
      <c r="AKE12" s="37"/>
      <c r="AKF12" s="37"/>
      <c r="AKG12" s="37"/>
      <c r="AKH12" s="37"/>
      <c r="AKI12" s="37"/>
      <c r="AKJ12" s="37"/>
      <c r="AKK12" s="37"/>
      <c r="AKL12" s="37"/>
      <c r="AKM12" s="37"/>
      <c r="AKN12" s="37"/>
      <c r="AKO12" s="37"/>
      <c r="AKP12" s="37"/>
      <c r="AKQ12" s="37"/>
      <c r="AKR12" s="37"/>
      <c r="AKS12" s="37"/>
      <c r="AKT12" s="37"/>
      <c r="AKU12" s="37"/>
      <c r="AKV12" s="37"/>
      <c r="AKW12" s="37"/>
      <c r="AKX12" s="37"/>
      <c r="AKY12" s="37"/>
      <c r="AKZ12" s="37"/>
      <c r="ALA12" s="37"/>
      <c r="ALB12" s="37"/>
      <c r="ALC12" s="37"/>
      <c r="ALD12" s="37"/>
      <c r="ALE12" s="37"/>
      <c r="ALF12" s="37"/>
      <c r="ALG12" s="37"/>
      <c r="ALH12" s="37"/>
      <c r="ALI12" s="37"/>
      <c r="ALJ12" s="37"/>
      <c r="ALK12" s="37"/>
      <c r="ALL12" s="37"/>
      <c r="ALM12" s="37"/>
      <c r="ALN12" s="37"/>
      <c r="ALO12" s="37"/>
      <c r="ALP12" s="37"/>
      <c r="ALQ12" s="37"/>
      <c r="ALR12" s="37"/>
    </row>
    <row r="13" spans="1:1006" x14ac:dyDescent="0.35">
      <c r="C13" s="20" t="s">
        <v>30</v>
      </c>
      <c r="K13" s="45">
        <f>'Operating Model'!K142</f>
        <v>0</v>
      </c>
      <c r="L13" s="45">
        <f>'Operating Model'!L142</f>
        <v>0</v>
      </c>
      <c r="M13" s="45">
        <f>'Operating Model'!M142</f>
        <v>0</v>
      </c>
      <c r="N13" s="45">
        <f>'Operating Model'!N142</f>
        <v>0</v>
      </c>
      <c r="O13" s="45">
        <f>'Operating Model'!O142</f>
        <v>0</v>
      </c>
      <c r="P13" s="45">
        <f>'Operating Model'!P142</f>
        <v>0</v>
      </c>
      <c r="Q13" s="45">
        <f>'Operating Model'!Q142</f>
        <v>0</v>
      </c>
      <c r="R13" s="45">
        <f>'Operating Model'!R142</f>
        <v>0</v>
      </c>
      <c r="S13" s="45">
        <f>'Operating Model'!S142</f>
        <v>0</v>
      </c>
      <c r="T13" s="45">
        <f>'Operating Model'!T142</f>
        <v>99503.150667626498</v>
      </c>
      <c r="U13" s="45">
        <f>'Operating Model'!U142</f>
        <v>52009.913222859825</v>
      </c>
      <c r="V13" s="45">
        <f>'Operating Model'!V142</f>
        <v>30398.601847890644</v>
      </c>
      <c r="W13" s="45">
        <f>'Operating Model'!W142</f>
        <v>80578.142957014934</v>
      </c>
      <c r="X13" s="45">
        <f>'Operating Model'!X142</f>
        <v>98702.262217784533</v>
      </c>
      <c r="Y13" s="45">
        <f>'Operating Model'!Y142</f>
        <v>51444.664672913801</v>
      </c>
      <c r="Z13" s="45">
        <f>'Operating Model'!Z142</f>
        <v>29940.225200464032</v>
      </c>
      <c r="AA13" s="45">
        <f>'Operating Model'!AA142</f>
        <v>79869.467587825871</v>
      </c>
      <c r="AB13" s="45">
        <f>'Operating Model'!AB142</f>
        <v>97902.765625600179</v>
      </c>
      <c r="AC13" s="45">
        <f>'Operating Model'!AC142</f>
        <v>50879.626810988084</v>
      </c>
      <c r="AD13" s="45">
        <f>'Operating Model'!AD142</f>
        <v>31590.597410920618</v>
      </c>
      <c r="AE13" s="45">
        <f>'Operating Model'!AE142</f>
        <v>82966.475098870433</v>
      </c>
      <c r="AF13" s="45">
        <f>'Operating Model'!AF142</f>
        <v>101522.65247679333</v>
      </c>
      <c r="AG13" s="45">
        <f>'Operating Model'!AG142</f>
        <v>53138.25599594957</v>
      </c>
      <c r="AH13" s="45">
        <f>'Operating Model'!AH142</f>
        <v>32576.053437946994</v>
      </c>
      <c r="AI13" s="45">
        <f>'Operating Model'!AI142</f>
        <v>84865.497092081874</v>
      </c>
      <c r="AJ13" s="45">
        <f>'Operating Model'!AJ142</f>
        <v>103751.76230240409</v>
      </c>
      <c r="AK13" s="45">
        <f>'Operating Model'!AK142</f>
        <v>54507.36429777903</v>
      </c>
      <c r="AL13" s="45">
        <f>'Operating Model'!AL142</f>
        <v>32377.324121268019</v>
      </c>
      <c r="AM13" s="45">
        <f>'Operating Model'!AM142</f>
        <v>84629.793883835257</v>
      </c>
      <c r="AN13" s="45">
        <f>'Operating Model'!AN142</f>
        <v>103502.37502666502</v>
      </c>
      <c r="AO13" s="45">
        <f>'Operating Model'!AO142</f>
        <v>54291.797810474614</v>
      </c>
      <c r="AP13" s="45">
        <f>'Operating Model'!AP142</f>
        <v>36635.729271682314</v>
      </c>
      <c r="AQ13" s="45">
        <f>'Operating Model'!AQ142</f>
        <v>92436.323784715321</v>
      </c>
      <c r="AR13" s="45">
        <f>'Operating Model'!AR142</f>
        <v>112591.78553278054</v>
      </c>
      <c r="AS13" s="45">
        <f>'Operating Model'!AS142</f>
        <v>60043.785790244423</v>
      </c>
      <c r="AT13" s="45">
        <f>'Operating Model'!AT142</f>
        <v>44402.584164931002</v>
      </c>
      <c r="AU13" s="45">
        <f>'Operating Model'!AU142</f>
        <v>106573.68240525824</v>
      </c>
      <c r="AV13" s="45">
        <f>'Operating Model'!AV142</f>
        <v>129032.74793641971</v>
      </c>
      <c r="AW13" s="45">
        <f>'Operating Model'!AW142</f>
        <v>70493.301855220416</v>
      </c>
      <c r="AX13" s="45">
        <f>'Operating Model'!AX142</f>
        <v>46326.886907018044</v>
      </c>
      <c r="AY13" s="45">
        <f>'Operating Model'!AY142</f>
        <v>110172.69208713573</v>
      </c>
      <c r="AZ13" s="45">
        <f>'Operating Model'!AZ142</f>
        <v>133237.09816880926</v>
      </c>
      <c r="BA13" s="45">
        <f>'Operating Model'!BA142</f>
        <v>73121.861469402036</v>
      </c>
      <c r="BB13" s="45">
        <f>'Operating Model'!BB142</f>
        <v>46179.602603051833</v>
      </c>
      <c r="BC13" s="45">
        <f>'Operating Model'!BC142</f>
        <v>110036.19369102863</v>
      </c>
      <c r="BD13" s="45">
        <f>'Operating Model'!BD142</f>
        <v>133104.17024735676</v>
      </c>
      <c r="BE13" s="45">
        <f>'Operating Model'!BE142</f>
        <v>72977.78894075779</v>
      </c>
      <c r="BF13" s="45">
        <f>'Operating Model'!BF142</f>
        <v>49232.574689792556</v>
      </c>
      <c r="BG13" s="45">
        <f>'Operating Model'!BG142</f>
        <v>115674.61174694466</v>
      </c>
      <c r="BH13" s="45">
        <f>'Operating Model'!BH142</f>
        <v>139677.29295513188</v>
      </c>
      <c r="BI13" s="45">
        <f>'Operating Model'!BI142</f>
        <v>77118.683889877779</v>
      </c>
      <c r="BJ13" s="45">
        <f>'Operating Model'!BJ142</f>
        <v>52979.046987055401</v>
      </c>
      <c r="BK13" s="45">
        <f>'Operating Model'!BK142</f>
        <v>122565.7835075046</v>
      </c>
      <c r="BL13" s="45">
        <f>'Operating Model'!BL142</f>
        <v>147705.42148298217</v>
      </c>
      <c r="BM13" s="45">
        <f>'Operating Model'!BM142</f>
        <v>82188.678986765997</v>
      </c>
      <c r="BN13" s="45">
        <f>'Operating Model'!BN142</f>
        <v>58080.525769570362</v>
      </c>
      <c r="BO13" s="45">
        <f>'Operating Model'!BO142</f>
        <v>131903.08955718775</v>
      </c>
      <c r="BP13" s="45">
        <f>'Operating Model'!BP142</f>
        <v>158574.29138370621</v>
      </c>
      <c r="BQ13" s="45">
        <f>'Operating Model'!BQ142</f>
        <v>89073.364172271278</v>
      </c>
      <c r="BR13" s="45">
        <f>'Operating Model'!BR142</f>
        <v>62804.238692327359</v>
      </c>
      <c r="BS13" s="45">
        <f>'Operating Model'!BS142</f>
        <v>140560.63407530065</v>
      </c>
      <c r="BT13" s="45">
        <f>'Operating Model'!BT142</f>
        <v>168654.17660468101</v>
      </c>
      <c r="BU13" s="45">
        <f>'Operating Model'!BU142</f>
        <v>95453.030011476396</v>
      </c>
      <c r="BV13" s="45">
        <f>'Operating Model'!BV142</f>
        <v>65744.50971300884</v>
      </c>
      <c r="BW13" s="45">
        <f>'Operating Model'!BW142</f>
        <v>146002.60306990769</v>
      </c>
      <c r="BX13" s="45">
        <f>'Operating Model'!BX142</f>
        <v>175000.54296850946</v>
      </c>
      <c r="BY13" s="45">
        <f>'Operating Model'!BY142</f>
        <v>99445.861790989045</v>
      </c>
      <c r="BZ13" s="45">
        <f>'Operating Model'!BZ142</f>
        <v>67006.981066041219</v>
      </c>
      <c r="CA13" s="45">
        <f>'Operating Model'!CA142</f>
        <v>148419.59989684005</v>
      </c>
      <c r="CB13" s="45">
        <f>'Operating Model'!CB142</f>
        <v>177834.72037799895</v>
      </c>
      <c r="CC13" s="45">
        <f>'Operating Model'!CC142</f>
        <v>101193.29641833418</v>
      </c>
      <c r="CD13" s="45">
        <f>'Operating Model'!CD142</f>
        <v>71940.215861161763</v>
      </c>
      <c r="CE13" s="45">
        <f>'Operating Model'!CE142</f>
        <v>157460.45343033172</v>
      </c>
      <c r="CF13" s="45">
        <f>'Operating Model'!CF142</f>
        <v>188360.7505279521</v>
      </c>
      <c r="CG13" s="45">
        <f>'Operating Model'!CG142</f>
        <v>107855.64152849109</v>
      </c>
      <c r="CH13" s="45">
        <f>'Operating Model'!CH142</f>
        <v>74850.981695199676</v>
      </c>
      <c r="CI13" s="45">
        <f>'Operating Model'!CI142</f>
        <v>162854.60245810822</v>
      </c>
      <c r="CJ13" s="45">
        <f>'Operating Model'!CJ142</f>
        <v>194652.65798302944</v>
      </c>
      <c r="CK13" s="45">
        <f>'Operating Model'!CK142</f>
        <v>111811.19016971644</v>
      </c>
      <c r="CL13" s="45">
        <f>'Operating Model'!CL142</f>
        <v>82083.753453313155</v>
      </c>
      <c r="CM13" s="45">
        <f>'Operating Model'!CM142</f>
        <v>176047.50066476566</v>
      </c>
      <c r="CN13" s="45">
        <f>'Operating Model'!CN142</f>
        <v>210000.69117086928</v>
      </c>
      <c r="CO13" s="45">
        <f>'Operating Model'!CO142</f>
        <v>121553.51012510111</v>
      </c>
      <c r="CP13" s="45">
        <f>'Operating Model'!CP142</f>
        <v>87913.523256121101</v>
      </c>
      <c r="CQ13" s="45">
        <f>'Operating Model'!CQ142</f>
        <v>186711.26466246118</v>
      </c>
      <c r="CR13" s="45">
        <f>'Operating Model'!CR142</f>
        <v>222412.31338509158</v>
      </c>
      <c r="CS13" s="45">
        <f>'Operating Model'!CS142</f>
        <v>129418.35587855263</v>
      </c>
      <c r="CT13" s="45">
        <f>'Operating Model'!CT142</f>
        <v>94375.729033308133</v>
      </c>
      <c r="CU13" s="45">
        <f>'Operating Model'!CU142</f>
        <v>198517.84961283629</v>
      </c>
      <c r="CV13" s="45">
        <f>'Operating Model'!CV142</f>
        <v>236151.33445472486</v>
      </c>
      <c r="CW13" s="45">
        <f>'Operating Model'!CW142</f>
        <v>138130.64606270476</v>
      </c>
      <c r="CX13" s="45">
        <f>'Operating Model'!CX142</f>
        <v>100406.4358762536</v>
      </c>
      <c r="CY13" s="45">
        <f>'Operating Model'!CY142</f>
        <v>209547.94489821649</v>
      </c>
      <c r="CZ13" s="45">
        <f>'Operating Model'!CZ142</f>
        <v>248989.0927247644</v>
      </c>
      <c r="DA13" s="45">
        <f>'Operating Model'!DA142</f>
        <v>146266.06713651924</v>
      </c>
      <c r="DB13" s="45">
        <f>'Operating Model'!DB142</f>
        <v>101535.25409609792</v>
      </c>
      <c r="DC13" s="45">
        <f>'Operating Model'!DC142</f>
        <v>211736.9985447326</v>
      </c>
      <c r="DD13" s="45">
        <f>'Operating Model'!DD142</f>
        <v>251561.18914568383</v>
      </c>
      <c r="DE13" s="45">
        <f>'Operating Model'!DE142</f>
        <v>147839.97269429854</v>
      </c>
      <c r="DF13" s="45">
        <f>'Operating Model'!DF142</f>
        <v>101754.30011588552</v>
      </c>
      <c r="DG13" s="45">
        <f>'Operating Model'!DG142</f>
        <v>212286.81338207761</v>
      </c>
      <c r="DH13" s="45">
        <f>'Operating Model'!DH142</f>
        <v>252230.22581112373</v>
      </c>
      <c r="DI13" s="45">
        <f>'Operating Model'!DI142</f>
        <v>148196.75169941192</v>
      </c>
      <c r="DJ13" s="45">
        <f>'Operating Model'!DJ142</f>
        <v>102089.95323641525</v>
      </c>
      <c r="DK13" s="45">
        <f>'Operating Model'!DK142</f>
        <v>213049.005205605</v>
      </c>
      <c r="DL13" s="45">
        <f>'Operating Model'!DL142</f>
        <v>253146.26939122085</v>
      </c>
      <c r="DM13" s="45">
        <f>'Operating Model'!DM142</f>
        <v>148710.46347627806</v>
      </c>
      <c r="DN13" s="45">
        <f>'Operating Model'!DN142</f>
        <v>103371.90916826807</v>
      </c>
      <c r="DO13" s="45">
        <f>'Operating Model'!DO142</f>
        <v>215520.37318555138</v>
      </c>
      <c r="DP13" s="45">
        <f>'Operating Model'!DP142</f>
        <v>0</v>
      </c>
      <c r="DQ13" s="45">
        <f>'Operating Model'!DQ142</f>
        <v>0</v>
      </c>
    </row>
    <row r="14" spans="1:1006" x14ac:dyDescent="0.35">
      <c r="C14" s="20" t="s">
        <v>257</v>
      </c>
    </row>
    <row r="15" spans="1:1006" x14ac:dyDescent="0.35">
      <c r="C15" s="20" t="s">
        <v>258</v>
      </c>
      <c r="K15" s="45">
        <f>'Operating Model'!K163</f>
        <v>0</v>
      </c>
      <c r="L15" s="45">
        <f>'Operating Model'!L163</f>
        <v>0</v>
      </c>
      <c r="M15" s="45">
        <f>'Operating Model'!M163</f>
        <v>0</v>
      </c>
      <c r="N15" s="45">
        <f>'Operating Model'!N163</f>
        <v>0</v>
      </c>
      <c r="O15" s="45">
        <f>'Operating Model'!O163</f>
        <v>0</v>
      </c>
      <c r="P15" s="45">
        <f>'Operating Model'!P163</f>
        <v>0</v>
      </c>
      <c r="Q15" s="45">
        <f>'Operating Model'!Q163</f>
        <v>0</v>
      </c>
      <c r="R15" s="45">
        <f>'Operating Model'!R163</f>
        <v>0</v>
      </c>
      <c r="S15" s="45">
        <f>'Operating Model'!S163</f>
        <v>0</v>
      </c>
      <c r="T15" s="45">
        <f>'Operating Model'!T163</f>
        <v>0</v>
      </c>
      <c r="U15" s="45">
        <f>'Operating Model'!U163</f>
        <v>0</v>
      </c>
      <c r="V15" s="45">
        <f>'Operating Model'!V163</f>
        <v>0</v>
      </c>
      <c r="W15" s="45">
        <f>'Operating Model'!W163</f>
        <v>0</v>
      </c>
      <c r="X15" s="45">
        <f>'Operating Model'!X163</f>
        <v>0</v>
      </c>
      <c r="Y15" s="45">
        <f>'Operating Model'!Y163</f>
        <v>0</v>
      </c>
      <c r="Z15" s="45">
        <f>'Operating Model'!Z163</f>
        <v>0</v>
      </c>
      <c r="AA15" s="45">
        <f>'Operating Model'!AA163</f>
        <v>0</v>
      </c>
      <c r="AB15" s="45">
        <f>'Operating Model'!AB163</f>
        <v>0</v>
      </c>
      <c r="AC15" s="45">
        <f>'Operating Model'!AC163</f>
        <v>0</v>
      </c>
      <c r="AD15" s="45">
        <f>'Operating Model'!AD163</f>
        <v>0</v>
      </c>
      <c r="AE15" s="45">
        <f>'Operating Model'!AE163</f>
        <v>0</v>
      </c>
      <c r="AF15" s="45">
        <f>'Operating Model'!AF163</f>
        <v>0</v>
      </c>
      <c r="AG15" s="45">
        <f>'Operating Model'!AG163</f>
        <v>0</v>
      </c>
      <c r="AH15" s="45">
        <f>'Operating Model'!AH163</f>
        <v>0</v>
      </c>
      <c r="AI15" s="45">
        <f>'Operating Model'!AI163</f>
        <v>0</v>
      </c>
      <c r="AJ15" s="45">
        <f>'Operating Model'!AJ163</f>
        <v>0</v>
      </c>
      <c r="AK15" s="45">
        <f>'Operating Model'!AK163</f>
        <v>0</v>
      </c>
      <c r="AL15" s="45">
        <f>'Operating Model'!AL163</f>
        <v>0</v>
      </c>
      <c r="AM15" s="45">
        <f>'Operating Model'!AM163</f>
        <v>0</v>
      </c>
      <c r="AN15" s="45">
        <f>'Operating Model'!AN163</f>
        <v>0</v>
      </c>
      <c r="AO15" s="45">
        <f>'Operating Model'!AO163</f>
        <v>0</v>
      </c>
      <c r="AP15" s="45">
        <f>'Operating Model'!AP163</f>
        <v>0</v>
      </c>
      <c r="AQ15" s="45">
        <f>'Operating Model'!AQ163</f>
        <v>0</v>
      </c>
      <c r="AR15" s="45">
        <f>'Operating Model'!AR163</f>
        <v>0</v>
      </c>
      <c r="AS15" s="45">
        <f>'Operating Model'!AS163</f>
        <v>0</v>
      </c>
      <c r="AT15" s="45">
        <f>'Operating Model'!AT163</f>
        <v>0</v>
      </c>
      <c r="AU15" s="45">
        <f>'Operating Model'!AU163</f>
        <v>0</v>
      </c>
      <c r="AV15" s="45">
        <f>'Operating Model'!AV163</f>
        <v>0</v>
      </c>
      <c r="AW15" s="45">
        <f>'Operating Model'!AW163</f>
        <v>0</v>
      </c>
      <c r="AX15" s="45">
        <f>'Operating Model'!AX163</f>
        <v>0</v>
      </c>
      <c r="AY15" s="45">
        <f>'Operating Model'!AY163</f>
        <v>0</v>
      </c>
      <c r="AZ15" s="45">
        <f>'Operating Model'!AZ163</f>
        <v>0</v>
      </c>
      <c r="BA15" s="45">
        <f>'Operating Model'!BA163</f>
        <v>0</v>
      </c>
      <c r="BB15" s="45">
        <f>'Operating Model'!BB163</f>
        <v>0</v>
      </c>
      <c r="BC15" s="45">
        <f>'Operating Model'!BC163</f>
        <v>0</v>
      </c>
      <c r="BD15" s="45">
        <f>'Operating Model'!BD163</f>
        <v>0</v>
      </c>
      <c r="BE15" s="45">
        <f>'Operating Model'!BE163</f>
        <v>0</v>
      </c>
      <c r="BF15" s="45">
        <f>'Operating Model'!BF163</f>
        <v>0</v>
      </c>
      <c r="BG15" s="45">
        <f>'Operating Model'!BG163</f>
        <v>0</v>
      </c>
      <c r="BH15" s="45">
        <f>'Operating Model'!BH163</f>
        <v>0</v>
      </c>
      <c r="BI15" s="45">
        <f>'Operating Model'!BI163</f>
        <v>0</v>
      </c>
      <c r="BJ15" s="45">
        <f>'Operating Model'!BJ163</f>
        <v>0</v>
      </c>
      <c r="BK15" s="45">
        <f>'Operating Model'!BK163</f>
        <v>0</v>
      </c>
      <c r="BL15" s="45">
        <f>'Operating Model'!BL163</f>
        <v>0</v>
      </c>
      <c r="BM15" s="45">
        <f>'Operating Model'!BM163</f>
        <v>0</v>
      </c>
      <c r="BN15" s="45">
        <f>'Operating Model'!BN163</f>
        <v>0</v>
      </c>
      <c r="BO15" s="45">
        <f>'Operating Model'!BO163</f>
        <v>0</v>
      </c>
      <c r="BP15" s="45">
        <f>'Operating Model'!BP163</f>
        <v>0</v>
      </c>
      <c r="BQ15" s="45">
        <f>'Operating Model'!BQ163</f>
        <v>0</v>
      </c>
      <c r="BR15" s="45">
        <f>'Operating Model'!BR163</f>
        <v>0</v>
      </c>
      <c r="BS15" s="45">
        <f>'Operating Model'!BS163</f>
        <v>0</v>
      </c>
      <c r="BT15" s="45">
        <f>'Operating Model'!BT163</f>
        <v>0</v>
      </c>
      <c r="BU15" s="45">
        <f>'Operating Model'!BU163</f>
        <v>0</v>
      </c>
      <c r="BV15" s="45">
        <f>'Operating Model'!BV163</f>
        <v>7291.487654206996</v>
      </c>
      <c r="BW15" s="45">
        <f>'Operating Model'!BW163</f>
        <v>43800.780920972305</v>
      </c>
      <c r="BX15" s="45">
        <f>'Operating Model'!BX163</f>
        <v>52500.162890552834</v>
      </c>
      <c r="BY15" s="45">
        <f>'Operating Model'!BY163</f>
        <v>29833.758537296711</v>
      </c>
      <c r="BZ15" s="45">
        <f>'Operating Model'!BZ163</f>
        <v>20102.094319812364</v>
      </c>
      <c r="CA15" s="45">
        <f>'Operating Model'!CA163</f>
        <v>44525.879969052017</v>
      </c>
      <c r="CB15" s="45">
        <f>'Operating Model'!CB163</f>
        <v>53350.416113399682</v>
      </c>
      <c r="CC15" s="45">
        <f>'Operating Model'!CC163</f>
        <v>30357.988925500253</v>
      </c>
      <c r="CD15" s="45">
        <f>'Operating Model'!CD163</f>
        <v>21582.06475834853</v>
      </c>
      <c r="CE15" s="45">
        <f>'Operating Model'!CE163</f>
        <v>47238.136029099514</v>
      </c>
      <c r="CF15" s="45">
        <f>'Operating Model'!CF163</f>
        <v>56508.225158385627</v>
      </c>
      <c r="CG15" s="45">
        <f>'Operating Model'!CG163</f>
        <v>32356.692458547324</v>
      </c>
      <c r="CH15" s="45">
        <f>'Operating Model'!CH163</f>
        <v>22455.294508559902</v>
      </c>
      <c r="CI15" s="45">
        <f>'Operating Model'!CI163</f>
        <v>48856.380737432461</v>
      </c>
      <c r="CJ15" s="45">
        <f>'Operating Model'!CJ163</f>
        <v>58395.797394908826</v>
      </c>
      <c r="CK15" s="45">
        <f>'Operating Model'!CK163</f>
        <v>33543.357050914929</v>
      </c>
      <c r="CL15" s="45">
        <f>'Operating Model'!CL163</f>
        <v>24625.126035993944</v>
      </c>
      <c r="CM15" s="45">
        <f>'Operating Model'!CM163</f>
        <v>52814.250199429698</v>
      </c>
      <c r="CN15" s="45">
        <f>'Operating Model'!CN163</f>
        <v>63000.207351260782</v>
      </c>
      <c r="CO15" s="45">
        <f>'Operating Model'!CO163</f>
        <v>36466.053037530328</v>
      </c>
      <c r="CP15" s="45">
        <f>'Operating Model'!CP163</f>
        <v>26374.056976836331</v>
      </c>
      <c r="CQ15" s="45">
        <f>'Operating Model'!CQ163</f>
        <v>56013.379398738354</v>
      </c>
      <c r="CR15" s="45">
        <f>'Operating Model'!CR163</f>
        <v>66723.694015527464</v>
      </c>
      <c r="CS15" s="45">
        <f>'Operating Model'!CS163</f>
        <v>38825.506763565783</v>
      </c>
      <c r="CT15" s="45">
        <f>'Operating Model'!CT163</f>
        <v>28312.718709992438</v>
      </c>
      <c r="CU15" s="45">
        <f>'Operating Model'!CU163</f>
        <v>59555.354883850887</v>
      </c>
      <c r="CV15" s="45">
        <f>'Operating Model'!CV163</f>
        <v>70845.400336417457</v>
      </c>
      <c r="CW15" s="45">
        <f>'Operating Model'!CW163</f>
        <v>41439.193818811429</v>
      </c>
      <c r="CX15" s="45">
        <f>'Operating Model'!CX163</f>
        <v>30121.93076287608</v>
      </c>
      <c r="CY15" s="45">
        <f>'Operating Model'!CY163</f>
        <v>62864.383469464941</v>
      </c>
      <c r="CZ15" s="45">
        <f>'Operating Model'!CZ163</f>
        <v>74696.727817429317</v>
      </c>
      <c r="DA15" s="45">
        <f>'Operating Model'!DA163</f>
        <v>43879.820140955773</v>
      </c>
      <c r="DB15" s="45">
        <f>'Operating Model'!DB163</f>
        <v>30460.576228829377</v>
      </c>
      <c r="DC15" s="45">
        <f>'Operating Model'!DC163</f>
        <v>63521.099563419775</v>
      </c>
      <c r="DD15" s="45">
        <f>'Operating Model'!DD163</f>
        <v>75468.356743705153</v>
      </c>
      <c r="DE15" s="45">
        <f>'Operating Model'!DE163</f>
        <v>44351.99180828956</v>
      </c>
      <c r="DF15" s="45">
        <f>'Operating Model'!DF163</f>
        <v>30526.290034765654</v>
      </c>
      <c r="DG15" s="45">
        <f>'Operating Model'!DG163</f>
        <v>63686.04401462328</v>
      </c>
      <c r="DH15" s="45">
        <f>'Operating Model'!DH163</f>
        <v>75669.067743337117</v>
      </c>
      <c r="DI15" s="45">
        <f>'Operating Model'!DI163</f>
        <v>44459.025509823572</v>
      </c>
      <c r="DJ15" s="45">
        <f>'Operating Model'!DJ163</f>
        <v>30626.985970924576</v>
      </c>
      <c r="DK15" s="45">
        <f>'Operating Model'!DK163</f>
        <v>63914.701561681497</v>
      </c>
      <c r="DL15" s="45">
        <f>'Operating Model'!DL163</f>
        <v>75943.880817366255</v>
      </c>
      <c r="DM15" s="45">
        <f>'Operating Model'!DM163</f>
        <v>44613.13904288342</v>
      </c>
      <c r="DN15" s="45">
        <f>'Operating Model'!DN163</f>
        <v>31011.57275048042</v>
      </c>
      <c r="DO15" s="45">
        <f>'Operating Model'!DO163</f>
        <v>64656.111955665408</v>
      </c>
      <c r="DP15" s="45">
        <f>'Operating Model'!DP163</f>
        <v>0</v>
      </c>
      <c r="DQ15" s="45">
        <f>'Operating Model'!DQ163</f>
        <v>0</v>
      </c>
    </row>
    <row r="16" spans="1:1006" ht="15" thickBot="1" x14ac:dyDescent="0.4">
      <c r="D16" s="39" t="s">
        <v>31</v>
      </c>
      <c r="E16" s="39"/>
      <c r="F16" s="39"/>
      <c r="G16" s="39"/>
      <c r="H16" s="39"/>
      <c r="I16" s="39"/>
      <c r="J16" s="39"/>
      <c r="K16" s="39">
        <f>K13-K14-K15</f>
        <v>0</v>
      </c>
      <c r="L16" s="39">
        <f t="shared" ref="L16:BW16" si="17">L13-L14-L15</f>
        <v>0</v>
      </c>
      <c r="M16" s="39">
        <f t="shared" si="17"/>
        <v>0</v>
      </c>
      <c r="N16" s="39">
        <f t="shared" si="17"/>
        <v>0</v>
      </c>
      <c r="O16" s="39">
        <f t="shared" si="17"/>
        <v>0</v>
      </c>
      <c r="P16" s="39">
        <f t="shared" si="17"/>
        <v>0</v>
      </c>
      <c r="Q16" s="39">
        <f t="shared" si="17"/>
        <v>0</v>
      </c>
      <c r="R16" s="39">
        <f t="shared" si="17"/>
        <v>0</v>
      </c>
      <c r="S16" s="39">
        <f t="shared" si="17"/>
        <v>0</v>
      </c>
      <c r="T16" s="39">
        <f t="shared" si="17"/>
        <v>99503.150667626498</v>
      </c>
      <c r="U16" s="39">
        <f t="shared" si="17"/>
        <v>52009.913222859825</v>
      </c>
      <c r="V16" s="39">
        <f t="shared" si="17"/>
        <v>30398.601847890644</v>
      </c>
      <c r="W16" s="39">
        <f t="shared" si="17"/>
        <v>80578.142957014934</v>
      </c>
      <c r="X16" s="39">
        <f t="shared" si="17"/>
        <v>98702.262217784533</v>
      </c>
      <c r="Y16" s="39">
        <f t="shared" si="17"/>
        <v>51444.664672913801</v>
      </c>
      <c r="Z16" s="39">
        <f t="shared" si="17"/>
        <v>29940.225200464032</v>
      </c>
      <c r="AA16" s="39">
        <f t="shared" si="17"/>
        <v>79869.467587825871</v>
      </c>
      <c r="AB16" s="39">
        <f t="shared" si="17"/>
        <v>97902.765625600179</v>
      </c>
      <c r="AC16" s="39">
        <f t="shared" si="17"/>
        <v>50879.626810988084</v>
      </c>
      <c r="AD16" s="39">
        <f t="shared" si="17"/>
        <v>31590.597410920618</v>
      </c>
      <c r="AE16" s="39">
        <f t="shared" si="17"/>
        <v>82966.475098870433</v>
      </c>
      <c r="AF16" s="39">
        <f t="shared" si="17"/>
        <v>101522.65247679333</v>
      </c>
      <c r="AG16" s="39">
        <f t="shared" si="17"/>
        <v>53138.25599594957</v>
      </c>
      <c r="AH16" s="39">
        <f t="shared" si="17"/>
        <v>32576.053437946994</v>
      </c>
      <c r="AI16" s="39">
        <f t="shared" si="17"/>
        <v>84865.497092081874</v>
      </c>
      <c r="AJ16" s="39">
        <f t="shared" si="17"/>
        <v>103751.76230240409</v>
      </c>
      <c r="AK16" s="39">
        <f t="shared" si="17"/>
        <v>54507.36429777903</v>
      </c>
      <c r="AL16" s="39">
        <f t="shared" si="17"/>
        <v>32377.324121268019</v>
      </c>
      <c r="AM16" s="39">
        <f t="shared" si="17"/>
        <v>84629.793883835257</v>
      </c>
      <c r="AN16" s="39">
        <f t="shared" si="17"/>
        <v>103502.37502666502</v>
      </c>
      <c r="AO16" s="39">
        <f t="shared" si="17"/>
        <v>54291.797810474614</v>
      </c>
      <c r="AP16" s="39">
        <f t="shared" si="17"/>
        <v>36635.729271682314</v>
      </c>
      <c r="AQ16" s="39">
        <f t="shared" si="17"/>
        <v>92436.323784715321</v>
      </c>
      <c r="AR16" s="39">
        <f t="shared" si="17"/>
        <v>112591.78553278054</v>
      </c>
      <c r="AS16" s="39">
        <f t="shared" si="17"/>
        <v>60043.785790244423</v>
      </c>
      <c r="AT16" s="39">
        <f t="shared" si="17"/>
        <v>44402.584164931002</v>
      </c>
      <c r="AU16" s="39">
        <f t="shared" si="17"/>
        <v>106573.68240525824</v>
      </c>
      <c r="AV16" s="39">
        <f t="shared" si="17"/>
        <v>129032.74793641971</v>
      </c>
      <c r="AW16" s="39">
        <f t="shared" si="17"/>
        <v>70493.301855220416</v>
      </c>
      <c r="AX16" s="39">
        <f t="shared" si="17"/>
        <v>46326.886907018044</v>
      </c>
      <c r="AY16" s="39">
        <f t="shared" si="17"/>
        <v>110172.69208713573</v>
      </c>
      <c r="AZ16" s="39">
        <f t="shared" si="17"/>
        <v>133237.09816880926</v>
      </c>
      <c r="BA16" s="39">
        <f t="shared" si="17"/>
        <v>73121.861469402036</v>
      </c>
      <c r="BB16" s="39">
        <f t="shared" si="17"/>
        <v>46179.602603051833</v>
      </c>
      <c r="BC16" s="39">
        <f t="shared" si="17"/>
        <v>110036.19369102863</v>
      </c>
      <c r="BD16" s="39">
        <f t="shared" si="17"/>
        <v>133104.17024735676</v>
      </c>
      <c r="BE16" s="39">
        <f t="shared" si="17"/>
        <v>72977.78894075779</v>
      </c>
      <c r="BF16" s="39">
        <f t="shared" si="17"/>
        <v>49232.574689792556</v>
      </c>
      <c r="BG16" s="39">
        <f t="shared" si="17"/>
        <v>115674.61174694466</v>
      </c>
      <c r="BH16" s="39">
        <f t="shared" si="17"/>
        <v>139677.29295513188</v>
      </c>
      <c r="BI16" s="39">
        <f t="shared" si="17"/>
        <v>77118.683889877779</v>
      </c>
      <c r="BJ16" s="39">
        <f t="shared" si="17"/>
        <v>52979.046987055401</v>
      </c>
      <c r="BK16" s="39">
        <f t="shared" si="17"/>
        <v>122565.7835075046</v>
      </c>
      <c r="BL16" s="39">
        <f t="shared" si="17"/>
        <v>147705.42148298217</v>
      </c>
      <c r="BM16" s="39">
        <f t="shared" si="17"/>
        <v>82188.678986765997</v>
      </c>
      <c r="BN16" s="39">
        <f t="shared" si="17"/>
        <v>58080.525769570362</v>
      </c>
      <c r="BO16" s="39">
        <f t="shared" si="17"/>
        <v>131903.08955718775</v>
      </c>
      <c r="BP16" s="39">
        <f t="shared" si="17"/>
        <v>158574.29138370621</v>
      </c>
      <c r="BQ16" s="39">
        <f t="shared" si="17"/>
        <v>89073.364172271278</v>
      </c>
      <c r="BR16" s="39">
        <f t="shared" si="17"/>
        <v>62804.238692327359</v>
      </c>
      <c r="BS16" s="39">
        <f t="shared" si="17"/>
        <v>140560.63407530065</v>
      </c>
      <c r="BT16" s="39">
        <f t="shared" si="17"/>
        <v>168654.17660468101</v>
      </c>
      <c r="BU16" s="39">
        <f t="shared" si="17"/>
        <v>95453.030011476396</v>
      </c>
      <c r="BV16" s="39">
        <f t="shared" si="17"/>
        <v>58453.022058801842</v>
      </c>
      <c r="BW16" s="39">
        <f t="shared" si="17"/>
        <v>102201.82214893539</v>
      </c>
      <c r="BX16" s="39">
        <f t="shared" ref="BX16:DQ16" si="18">BX13-BX14-BX15</f>
        <v>122500.38007795662</v>
      </c>
      <c r="BY16" s="39">
        <f t="shared" si="18"/>
        <v>69612.10325369233</v>
      </c>
      <c r="BZ16" s="39">
        <f t="shared" si="18"/>
        <v>46904.886746228854</v>
      </c>
      <c r="CA16" s="39">
        <f t="shared" si="18"/>
        <v>103893.71992778804</v>
      </c>
      <c r="CB16" s="39">
        <f t="shared" si="18"/>
        <v>124484.30426459927</v>
      </c>
      <c r="CC16" s="39">
        <f t="shared" si="18"/>
        <v>70835.307492833934</v>
      </c>
      <c r="CD16" s="39">
        <f t="shared" si="18"/>
        <v>50358.151102813237</v>
      </c>
      <c r="CE16" s="39">
        <f t="shared" si="18"/>
        <v>110222.3174012322</v>
      </c>
      <c r="CF16" s="39">
        <f t="shared" si="18"/>
        <v>131852.52536956646</v>
      </c>
      <c r="CG16" s="39">
        <f t="shared" si="18"/>
        <v>75498.949069943774</v>
      </c>
      <c r="CH16" s="39">
        <f t="shared" si="18"/>
        <v>52395.687186639771</v>
      </c>
      <c r="CI16" s="39">
        <f t="shared" si="18"/>
        <v>113998.22172067576</v>
      </c>
      <c r="CJ16" s="39">
        <f t="shared" si="18"/>
        <v>136256.86058812062</v>
      </c>
      <c r="CK16" s="39">
        <f t="shared" si="18"/>
        <v>78267.833118801515</v>
      </c>
      <c r="CL16" s="39">
        <f t="shared" si="18"/>
        <v>57458.627417319207</v>
      </c>
      <c r="CM16" s="39">
        <f t="shared" si="18"/>
        <v>123233.25046533596</v>
      </c>
      <c r="CN16" s="39">
        <f t="shared" si="18"/>
        <v>147000.48381960849</v>
      </c>
      <c r="CO16" s="39">
        <f t="shared" si="18"/>
        <v>85087.457087570772</v>
      </c>
      <c r="CP16" s="39">
        <f t="shared" si="18"/>
        <v>61539.466279284767</v>
      </c>
      <c r="CQ16" s="39">
        <f t="shared" si="18"/>
        <v>130697.88526372283</v>
      </c>
      <c r="CR16" s="39">
        <f t="shared" si="18"/>
        <v>155688.61936956411</v>
      </c>
      <c r="CS16" s="39">
        <f t="shared" si="18"/>
        <v>90592.849114986835</v>
      </c>
      <c r="CT16" s="39">
        <f t="shared" si="18"/>
        <v>66063.010323315699</v>
      </c>
      <c r="CU16" s="39">
        <f t="shared" si="18"/>
        <v>138962.49472898542</v>
      </c>
      <c r="CV16" s="39">
        <f t="shared" si="18"/>
        <v>165305.9341183074</v>
      </c>
      <c r="CW16" s="39">
        <f t="shared" si="18"/>
        <v>96691.452243893335</v>
      </c>
      <c r="CX16" s="39">
        <f t="shared" si="18"/>
        <v>70284.505113377527</v>
      </c>
      <c r="CY16" s="39">
        <f t="shared" si="18"/>
        <v>146683.56142875156</v>
      </c>
      <c r="CZ16" s="39">
        <f t="shared" si="18"/>
        <v>174292.36490733508</v>
      </c>
      <c r="DA16" s="39">
        <f t="shared" si="18"/>
        <v>102386.24699556347</v>
      </c>
      <c r="DB16" s="39">
        <f t="shared" si="18"/>
        <v>71074.677867268547</v>
      </c>
      <c r="DC16" s="39">
        <f t="shared" si="18"/>
        <v>148215.89898131281</v>
      </c>
      <c r="DD16" s="39">
        <f t="shared" si="18"/>
        <v>176092.83240197867</v>
      </c>
      <c r="DE16" s="39">
        <f t="shared" si="18"/>
        <v>103487.98088600898</v>
      </c>
      <c r="DF16" s="39">
        <f t="shared" si="18"/>
        <v>71228.010081119864</v>
      </c>
      <c r="DG16" s="39">
        <f t="shared" si="18"/>
        <v>148600.76936745434</v>
      </c>
      <c r="DH16" s="39">
        <f t="shared" si="18"/>
        <v>176561.1580677866</v>
      </c>
      <c r="DI16" s="39">
        <f t="shared" si="18"/>
        <v>103737.72618958834</v>
      </c>
      <c r="DJ16" s="39">
        <f t="shared" si="18"/>
        <v>71462.967265490675</v>
      </c>
      <c r="DK16" s="39">
        <f t="shared" si="18"/>
        <v>149134.30364392351</v>
      </c>
      <c r="DL16" s="39">
        <f t="shared" si="18"/>
        <v>177202.38857385458</v>
      </c>
      <c r="DM16" s="39">
        <f t="shared" si="18"/>
        <v>104097.32443339465</v>
      </c>
      <c r="DN16" s="39">
        <f t="shared" si="18"/>
        <v>72360.33641778765</v>
      </c>
      <c r="DO16" s="39">
        <f t="shared" si="18"/>
        <v>150864.26122988597</v>
      </c>
      <c r="DP16" s="39">
        <f t="shared" si="18"/>
        <v>0</v>
      </c>
      <c r="DQ16" s="39">
        <f t="shared" si="18"/>
        <v>0</v>
      </c>
    </row>
    <row r="18" spans="3:121" x14ac:dyDescent="0.35">
      <c r="C18" s="20" t="s">
        <v>259</v>
      </c>
      <c r="I18" s="54">
        <f>SUM(K18:DQ18)</f>
        <v>4602000</v>
      </c>
      <c r="K18" s="45">
        <f>'Operating Model'!K63</f>
        <v>40500</v>
      </c>
      <c r="L18" s="45">
        <f>'Operating Model'!L63</f>
        <v>40500</v>
      </c>
      <c r="M18" s="45">
        <f>'Operating Model'!M63</f>
        <v>40500</v>
      </c>
      <c r="N18" s="45">
        <f>'Operating Model'!N63</f>
        <v>40500</v>
      </c>
      <c r="O18" s="45">
        <f>'Operating Model'!O63</f>
        <v>888000</v>
      </c>
      <c r="P18" s="45">
        <f>'Operating Model'!P63</f>
        <v>888000</v>
      </c>
      <c r="Q18" s="45">
        <f>'Operating Model'!Q63</f>
        <v>888000</v>
      </c>
      <c r="R18" s="45">
        <f>'Operating Model'!R63</f>
        <v>888000</v>
      </c>
      <c r="S18" s="45">
        <f>'Operating Model'!S63</f>
        <v>888000</v>
      </c>
      <c r="T18" s="45">
        <f>'Operating Model'!T63</f>
        <v>0</v>
      </c>
      <c r="U18" s="45">
        <f>'Operating Model'!U63</f>
        <v>0</v>
      </c>
      <c r="V18" s="45">
        <f>'Operating Model'!V63</f>
        <v>0</v>
      </c>
      <c r="W18" s="45">
        <f>'Operating Model'!W63</f>
        <v>0</v>
      </c>
      <c r="X18" s="45">
        <f>'Operating Model'!X63</f>
        <v>0</v>
      </c>
      <c r="Y18" s="45">
        <f>'Operating Model'!Y63</f>
        <v>0</v>
      </c>
      <c r="Z18" s="45">
        <f>'Operating Model'!Z63</f>
        <v>0</v>
      </c>
      <c r="AA18" s="45">
        <f>'Operating Model'!AA63</f>
        <v>0</v>
      </c>
      <c r="AB18" s="45">
        <f>'Operating Model'!AB63</f>
        <v>0</v>
      </c>
      <c r="AC18" s="45">
        <f>'Operating Model'!AC63</f>
        <v>0</v>
      </c>
      <c r="AD18" s="45">
        <f>'Operating Model'!AD63</f>
        <v>0</v>
      </c>
      <c r="AE18" s="45">
        <f>'Operating Model'!AE63</f>
        <v>0</v>
      </c>
      <c r="AF18" s="45">
        <f>'Operating Model'!AF63</f>
        <v>0</v>
      </c>
      <c r="AG18" s="45">
        <f>'Operating Model'!AG63</f>
        <v>0</v>
      </c>
      <c r="AH18" s="45">
        <f>'Operating Model'!AH63</f>
        <v>0</v>
      </c>
      <c r="AI18" s="45">
        <f>'Operating Model'!AI63</f>
        <v>0</v>
      </c>
      <c r="AJ18" s="45">
        <f>'Operating Model'!AJ63</f>
        <v>0</v>
      </c>
      <c r="AK18" s="45">
        <f>'Operating Model'!AK63</f>
        <v>0</v>
      </c>
      <c r="AL18" s="45">
        <f>'Operating Model'!AL63</f>
        <v>0</v>
      </c>
      <c r="AM18" s="45">
        <f>'Operating Model'!AM63</f>
        <v>0</v>
      </c>
      <c r="AN18" s="45">
        <f>'Operating Model'!AN63</f>
        <v>0</v>
      </c>
      <c r="AO18" s="45">
        <f>'Operating Model'!AO63</f>
        <v>0</v>
      </c>
      <c r="AP18" s="45">
        <f>'Operating Model'!AP63</f>
        <v>0</v>
      </c>
      <c r="AQ18" s="45">
        <f>'Operating Model'!AQ63</f>
        <v>0</v>
      </c>
      <c r="AR18" s="45">
        <f>'Operating Model'!AR63</f>
        <v>0</v>
      </c>
      <c r="AS18" s="45">
        <f>'Operating Model'!AS63</f>
        <v>0</v>
      </c>
      <c r="AT18" s="45">
        <f>'Operating Model'!AT63</f>
        <v>0</v>
      </c>
      <c r="AU18" s="45">
        <f>'Operating Model'!AU63</f>
        <v>0</v>
      </c>
      <c r="AV18" s="45">
        <f>'Operating Model'!AV63</f>
        <v>0</v>
      </c>
      <c r="AW18" s="45">
        <f>'Operating Model'!AW63</f>
        <v>0</v>
      </c>
      <c r="AX18" s="45">
        <f>'Operating Model'!AX63</f>
        <v>0</v>
      </c>
      <c r="AY18" s="45">
        <f>'Operating Model'!AY63</f>
        <v>0</v>
      </c>
      <c r="AZ18" s="45">
        <f>'Operating Model'!AZ63</f>
        <v>0</v>
      </c>
      <c r="BA18" s="45">
        <f>'Operating Model'!BA63</f>
        <v>0</v>
      </c>
      <c r="BB18" s="45">
        <f>'Operating Model'!BB63</f>
        <v>0</v>
      </c>
      <c r="BC18" s="45">
        <f>'Operating Model'!BC63</f>
        <v>0</v>
      </c>
      <c r="BD18" s="45">
        <f>'Operating Model'!BD63</f>
        <v>0</v>
      </c>
      <c r="BE18" s="45">
        <f>'Operating Model'!BE63</f>
        <v>0</v>
      </c>
      <c r="BF18" s="45">
        <f>'Operating Model'!BF63</f>
        <v>0</v>
      </c>
      <c r="BG18" s="45">
        <f>'Operating Model'!BG63</f>
        <v>0</v>
      </c>
      <c r="BH18" s="45">
        <f>'Operating Model'!BH63</f>
        <v>0</v>
      </c>
      <c r="BI18" s="45">
        <f>'Operating Model'!BI63</f>
        <v>0</v>
      </c>
      <c r="BJ18" s="45">
        <f>'Operating Model'!BJ63</f>
        <v>0</v>
      </c>
      <c r="BK18" s="45">
        <f>'Operating Model'!BK63</f>
        <v>0</v>
      </c>
      <c r="BL18" s="45">
        <f>'Operating Model'!BL63</f>
        <v>0</v>
      </c>
      <c r="BM18" s="45">
        <f>'Operating Model'!BM63</f>
        <v>0</v>
      </c>
      <c r="BN18" s="45">
        <f>'Operating Model'!BN63</f>
        <v>0</v>
      </c>
      <c r="BO18" s="45">
        <f>'Operating Model'!BO63</f>
        <v>0</v>
      </c>
      <c r="BP18" s="45">
        <f>'Operating Model'!BP63</f>
        <v>0</v>
      </c>
      <c r="BQ18" s="45">
        <f>'Operating Model'!BQ63</f>
        <v>0</v>
      </c>
      <c r="BR18" s="45">
        <f>'Operating Model'!BR63</f>
        <v>0</v>
      </c>
      <c r="BS18" s="45">
        <f>'Operating Model'!BS63</f>
        <v>0</v>
      </c>
      <c r="BT18" s="45">
        <f>'Operating Model'!BT63</f>
        <v>0</v>
      </c>
      <c r="BU18" s="45">
        <f>'Operating Model'!BU63</f>
        <v>0</v>
      </c>
      <c r="BV18" s="45">
        <f>'Operating Model'!BV63</f>
        <v>0</v>
      </c>
      <c r="BW18" s="45">
        <f>'Operating Model'!BW63</f>
        <v>0</v>
      </c>
      <c r="BX18" s="45">
        <f>'Operating Model'!BX63</f>
        <v>0</v>
      </c>
      <c r="BY18" s="45">
        <f>'Operating Model'!BY63</f>
        <v>0</v>
      </c>
      <c r="BZ18" s="45">
        <f>'Operating Model'!BZ63</f>
        <v>0</v>
      </c>
      <c r="CA18" s="45">
        <f>'Operating Model'!CA63</f>
        <v>0</v>
      </c>
      <c r="CB18" s="45">
        <f>'Operating Model'!CB63</f>
        <v>0</v>
      </c>
      <c r="CC18" s="45">
        <f>'Operating Model'!CC63</f>
        <v>0</v>
      </c>
      <c r="CD18" s="45">
        <f>'Operating Model'!CD63</f>
        <v>0</v>
      </c>
      <c r="CE18" s="45">
        <f>'Operating Model'!CE63</f>
        <v>0</v>
      </c>
      <c r="CF18" s="45">
        <f>'Operating Model'!CF63</f>
        <v>0</v>
      </c>
      <c r="CG18" s="45">
        <f>'Operating Model'!CG63</f>
        <v>0</v>
      </c>
      <c r="CH18" s="45">
        <f>'Operating Model'!CH63</f>
        <v>0</v>
      </c>
      <c r="CI18" s="45">
        <f>'Operating Model'!CI63</f>
        <v>0</v>
      </c>
      <c r="CJ18" s="45">
        <f>'Operating Model'!CJ63</f>
        <v>0</v>
      </c>
      <c r="CK18" s="45">
        <f>'Operating Model'!CK63</f>
        <v>0</v>
      </c>
      <c r="CL18" s="45">
        <f>'Operating Model'!CL63</f>
        <v>0</v>
      </c>
      <c r="CM18" s="45">
        <f>'Operating Model'!CM63</f>
        <v>0</v>
      </c>
      <c r="CN18" s="45">
        <f>'Operating Model'!CN63</f>
        <v>0</v>
      </c>
      <c r="CO18" s="45">
        <f>'Operating Model'!CO63</f>
        <v>0</v>
      </c>
      <c r="CP18" s="45">
        <f>'Operating Model'!CP63</f>
        <v>0</v>
      </c>
      <c r="CQ18" s="45">
        <f>'Operating Model'!CQ63</f>
        <v>0</v>
      </c>
      <c r="CR18" s="45">
        <f>'Operating Model'!CR63</f>
        <v>0</v>
      </c>
      <c r="CS18" s="45">
        <f>'Operating Model'!CS63</f>
        <v>0</v>
      </c>
      <c r="CT18" s="45">
        <f>'Operating Model'!CT63</f>
        <v>0</v>
      </c>
      <c r="CU18" s="45">
        <f>'Operating Model'!CU63</f>
        <v>0</v>
      </c>
      <c r="CV18" s="45">
        <f>'Operating Model'!CV63</f>
        <v>0</v>
      </c>
      <c r="CW18" s="45">
        <f>'Operating Model'!CW63</f>
        <v>0</v>
      </c>
      <c r="CX18" s="45">
        <f>'Operating Model'!CX63</f>
        <v>0</v>
      </c>
      <c r="CY18" s="45">
        <f>'Operating Model'!CY63</f>
        <v>0</v>
      </c>
      <c r="CZ18" s="45">
        <f>'Operating Model'!CZ63</f>
        <v>0</v>
      </c>
      <c r="DA18" s="45">
        <f>'Operating Model'!DA63</f>
        <v>0</v>
      </c>
      <c r="DB18" s="45">
        <f>'Operating Model'!DB63</f>
        <v>0</v>
      </c>
      <c r="DC18" s="45">
        <f>'Operating Model'!DC63</f>
        <v>0</v>
      </c>
      <c r="DD18" s="45">
        <f>'Operating Model'!DD63</f>
        <v>0</v>
      </c>
      <c r="DE18" s="45">
        <f>'Operating Model'!DE63</f>
        <v>0</v>
      </c>
      <c r="DF18" s="45">
        <f>'Operating Model'!DF63</f>
        <v>0</v>
      </c>
      <c r="DG18" s="45">
        <f>'Operating Model'!DG63</f>
        <v>0</v>
      </c>
      <c r="DH18" s="45">
        <f>'Operating Model'!DH63</f>
        <v>0</v>
      </c>
      <c r="DI18" s="45">
        <f>'Operating Model'!DI63</f>
        <v>0</v>
      </c>
      <c r="DJ18" s="45">
        <f>'Operating Model'!DJ63</f>
        <v>0</v>
      </c>
      <c r="DK18" s="45">
        <f>'Operating Model'!DK63</f>
        <v>0</v>
      </c>
      <c r="DL18" s="45">
        <f>'Operating Model'!DL63</f>
        <v>0</v>
      </c>
      <c r="DM18" s="45">
        <f>'Operating Model'!DM63</f>
        <v>0</v>
      </c>
      <c r="DN18" s="45">
        <f>'Operating Model'!DN63</f>
        <v>0</v>
      </c>
      <c r="DO18" s="45">
        <f>'Operating Model'!DO63</f>
        <v>0</v>
      </c>
      <c r="DP18" s="45">
        <f>'Operating Model'!DP63</f>
        <v>0</v>
      </c>
      <c r="DQ18" s="45">
        <f>'Operating Model'!DQ63</f>
        <v>0</v>
      </c>
    </row>
    <row r="19" spans="3:121" x14ac:dyDescent="0.35">
      <c r="C19" s="20" t="s">
        <v>260</v>
      </c>
      <c r="I19" s="54">
        <f>SUM(K19:DQ19)</f>
        <v>4601999.9999999972</v>
      </c>
      <c r="K19" s="45">
        <f>'Operating Model'!K154</f>
        <v>0</v>
      </c>
      <c r="L19" s="45">
        <f>'Operating Model'!L154</f>
        <v>0</v>
      </c>
      <c r="M19" s="45">
        <f>'Operating Model'!M154</f>
        <v>0</v>
      </c>
      <c r="N19" s="45">
        <f>'Operating Model'!N154</f>
        <v>0</v>
      </c>
      <c r="O19" s="45">
        <f>'Operating Model'!O154</f>
        <v>0</v>
      </c>
      <c r="P19" s="45">
        <f>'Operating Model'!P154</f>
        <v>0</v>
      </c>
      <c r="Q19" s="45">
        <f>'Operating Model'!Q154</f>
        <v>0</v>
      </c>
      <c r="R19" s="45">
        <f>'Operating Model'!R154</f>
        <v>0</v>
      </c>
      <c r="S19" s="45">
        <f>'Operating Model'!S154</f>
        <v>0</v>
      </c>
      <c r="T19" s="45">
        <f>'Operating Model'!T154</f>
        <v>115050</v>
      </c>
      <c r="U19" s="45">
        <f>'Operating Model'!U154</f>
        <v>115050</v>
      </c>
      <c r="V19" s="45">
        <f>'Operating Model'!V154</f>
        <v>115050</v>
      </c>
      <c r="W19" s="45">
        <f>'Operating Model'!W154</f>
        <v>115050</v>
      </c>
      <c r="X19" s="45">
        <f>'Operating Model'!X154</f>
        <v>115050</v>
      </c>
      <c r="Y19" s="45">
        <f>'Operating Model'!Y154</f>
        <v>115050</v>
      </c>
      <c r="Z19" s="45">
        <f>'Operating Model'!Z154</f>
        <v>115050</v>
      </c>
      <c r="AA19" s="45">
        <f>'Operating Model'!AA154</f>
        <v>115050</v>
      </c>
      <c r="AB19" s="45">
        <f>'Operating Model'!AB154</f>
        <v>115050</v>
      </c>
      <c r="AC19" s="45">
        <f>'Operating Model'!AC154</f>
        <v>115050</v>
      </c>
      <c r="AD19" s="45">
        <f>'Operating Model'!AD154</f>
        <v>115050</v>
      </c>
      <c r="AE19" s="45">
        <f>'Operating Model'!AE154</f>
        <v>115050</v>
      </c>
      <c r="AF19" s="45">
        <f>'Operating Model'!AF154</f>
        <v>115050</v>
      </c>
      <c r="AG19" s="45">
        <f>'Operating Model'!AG154</f>
        <v>115050</v>
      </c>
      <c r="AH19" s="45">
        <f>'Operating Model'!AH154</f>
        <v>115050</v>
      </c>
      <c r="AI19" s="45">
        <f>'Operating Model'!AI154</f>
        <v>115050</v>
      </c>
      <c r="AJ19" s="45">
        <f>'Operating Model'!AJ154</f>
        <v>115050</v>
      </c>
      <c r="AK19" s="45">
        <f>'Operating Model'!AK154</f>
        <v>115050</v>
      </c>
      <c r="AL19" s="45">
        <f>'Operating Model'!AL154</f>
        <v>115050</v>
      </c>
      <c r="AM19" s="45">
        <f>'Operating Model'!AM154</f>
        <v>115050</v>
      </c>
      <c r="AN19" s="45">
        <f>'Operating Model'!AN154</f>
        <v>115050</v>
      </c>
      <c r="AO19" s="45">
        <f>'Operating Model'!AO154</f>
        <v>115050</v>
      </c>
      <c r="AP19" s="45">
        <f>'Operating Model'!AP154</f>
        <v>115050</v>
      </c>
      <c r="AQ19" s="45">
        <f>'Operating Model'!AQ154</f>
        <v>115050</v>
      </c>
      <c r="AR19" s="45">
        <f>'Operating Model'!AR154</f>
        <v>115050</v>
      </c>
      <c r="AS19" s="45">
        <f>'Operating Model'!AS154</f>
        <v>115050</v>
      </c>
      <c r="AT19" s="45">
        <f>'Operating Model'!AT154</f>
        <v>115050</v>
      </c>
      <c r="AU19" s="45">
        <f>'Operating Model'!AU154</f>
        <v>115050</v>
      </c>
      <c r="AV19" s="45">
        <f>'Operating Model'!AV154</f>
        <v>115050</v>
      </c>
      <c r="AW19" s="45">
        <f>'Operating Model'!AW154</f>
        <v>115050</v>
      </c>
      <c r="AX19" s="45">
        <f>'Operating Model'!AX154</f>
        <v>115050</v>
      </c>
      <c r="AY19" s="45">
        <f>'Operating Model'!AY154</f>
        <v>115050</v>
      </c>
      <c r="AZ19" s="45">
        <f>'Operating Model'!AZ154</f>
        <v>115050</v>
      </c>
      <c r="BA19" s="45">
        <f>'Operating Model'!BA154</f>
        <v>115050</v>
      </c>
      <c r="BB19" s="45">
        <f>'Operating Model'!BB154</f>
        <v>115050</v>
      </c>
      <c r="BC19" s="45">
        <f>'Operating Model'!BC154</f>
        <v>115050</v>
      </c>
      <c r="BD19" s="45">
        <f>'Operating Model'!BD154</f>
        <v>115050</v>
      </c>
      <c r="BE19" s="45">
        <f>'Operating Model'!BE154</f>
        <v>115050</v>
      </c>
      <c r="BF19" s="45">
        <f>'Operating Model'!BF154</f>
        <v>115050</v>
      </c>
      <c r="BG19" s="45">
        <f>'Operating Model'!BG154</f>
        <v>115049.99999999724</v>
      </c>
      <c r="BH19" s="45">
        <f>'Operating Model'!BH154</f>
        <v>0</v>
      </c>
      <c r="BI19" s="45">
        <f>'Operating Model'!BI154</f>
        <v>0</v>
      </c>
      <c r="BJ19" s="45">
        <f>'Operating Model'!BJ154</f>
        <v>0</v>
      </c>
      <c r="BK19" s="45">
        <f>'Operating Model'!BK154</f>
        <v>0</v>
      </c>
      <c r="BL19" s="45">
        <f>'Operating Model'!BL154</f>
        <v>0</v>
      </c>
      <c r="BM19" s="45">
        <f>'Operating Model'!BM154</f>
        <v>0</v>
      </c>
      <c r="BN19" s="45">
        <f>'Operating Model'!BN154</f>
        <v>0</v>
      </c>
      <c r="BO19" s="45">
        <f>'Operating Model'!BO154</f>
        <v>0</v>
      </c>
      <c r="BP19" s="45">
        <f>'Operating Model'!BP154</f>
        <v>0</v>
      </c>
      <c r="BQ19" s="45">
        <f>'Operating Model'!BQ154</f>
        <v>0</v>
      </c>
      <c r="BR19" s="45">
        <f>'Operating Model'!BR154</f>
        <v>0</v>
      </c>
      <c r="BS19" s="45">
        <f>'Operating Model'!BS154</f>
        <v>0</v>
      </c>
      <c r="BT19" s="45">
        <f>'Operating Model'!BT154</f>
        <v>0</v>
      </c>
      <c r="BU19" s="45">
        <f>'Operating Model'!BU154</f>
        <v>0</v>
      </c>
      <c r="BV19" s="45">
        <f>'Operating Model'!BV154</f>
        <v>0</v>
      </c>
      <c r="BW19" s="45">
        <f>'Operating Model'!BW154</f>
        <v>0</v>
      </c>
      <c r="BX19" s="45">
        <f>'Operating Model'!BX154</f>
        <v>0</v>
      </c>
      <c r="BY19" s="45">
        <f>'Operating Model'!BY154</f>
        <v>0</v>
      </c>
      <c r="BZ19" s="45">
        <f>'Operating Model'!BZ154</f>
        <v>0</v>
      </c>
      <c r="CA19" s="45">
        <f>'Operating Model'!CA154</f>
        <v>0</v>
      </c>
      <c r="CB19" s="45">
        <f>'Operating Model'!CB154</f>
        <v>0</v>
      </c>
      <c r="CC19" s="45">
        <f>'Operating Model'!CC154</f>
        <v>0</v>
      </c>
      <c r="CD19" s="45">
        <f>'Operating Model'!CD154</f>
        <v>0</v>
      </c>
      <c r="CE19" s="45">
        <f>'Operating Model'!CE154</f>
        <v>0</v>
      </c>
      <c r="CF19" s="45">
        <f>'Operating Model'!CF154</f>
        <v>0</v>
      </c>
      <c r="CG19" s="45">
        <f>'Operating Model'!CG154</f>
        <v>0</v>
      </c>
      <c r="CH19" s="45">
        <f>'Operating Model'!CH154</f>
        <v>0</v>
      </c>
      <c r="CI19" s="45">
        <f>'Operating Model'!CI154</f>
        <v>0</v>
      </c>
      <c r="CJ19" s="45">
        <f>'Operating Model'!CJ154</f>
        <v>0</v>
      </c>
      <c r="CK19" s="45">
        <f>'Operating Model'!CK154</f>
        <v>0</v>
      </c>
      <c r="CL19" s="45">
        <f>'Operating Model'!CL154</f>
        <v>0</v>
      </c>
      <c r="CM19" s="45">
        <f>'Operating Model'!CM154</f>
        <v>0</v>
      </c>
      <c r="CN19" s="45">
        <f>'Operating Model'!CN154</f>
        <v>0</v>
      </c>
      <c r="CO19" s="45">
        <f>'Operating Model'!CO154</f>
        <v>0</v>
      </c>
      <c r="CP19" s="45">
        <f>'Operating Model'!CP154</f>
        <v>0</v>
      </c>
      <c r="CQ19" s="45">
        <f>'Operating Model'!CQ154</f>
        <v>0</v>
      </c>
      <c r="CR19" s="45">
        <f>'Operating Model'!CR154</f>
        <v>0</v>
      </c>
      <c r="CS19" s="45">
        <f>'Operating Model'!CS154</f>
        <v>0</v>
      </c>
      <c r="CT19" s="45">
        <f>'Operating Model'!CT154</f>
        <v>0</v>
      </c>
      <c r="CU19" s="45">
        <f>'Operating Model'!CU154</f>
        <v>0</v>
      </c>
      <c r="CV19" s="45">
        <f>'Operating Model'!CV154</f>
        <v>0</v>
      </c>
      <c r="CW19" s="45">
        <f>'Operating Model'!CW154</f>
        <v>0</v>
      </c>
      <c r="CX19" s="45">
        <f>'Operating Model'!CX154</f>
        <v>0</v>
      </c>
      <c r="CY19" s="45">
        <f>'Operating Model'!CY154</f>
        <v>0</v>
      </c>
      <c r="CZ19" s="45">
        <f>'Operating Model'!CZ154</f>
        <v>0</v>
      </c>
      <c r="DA19" s="45">
        <f>'Operating Model'!DA154</f>
        <v>0</v>
      </c>
      <c r="DB19" s="45">
        <f>'Operating Model'!DB154</f>
        <v>0</v>
      </c>
      <c r="DC19" s="45">
        <f>'Operating Model'!DC154</f>
        <v>0</v>
      </c>
      <c r="DD19" s="45">
        <f>'Operating Model'!DD154</f>
        <v>0</v>
      </c>
      <c r="DE19" s="45">
        <f>'Operating Model'!DE154</f>
        <v>0</v>
      </c>
      <c r="DF19" s="45">
        <f>'Operating Model'!DF154</f>
        <v>0</v>
      </c>
      <c r="DG19" s="45">
        <f>'Operating Model'!DG154</f>
        <v>0</v>
      </c>
      <c r="DH19" s="45">
        <f>'Operating Model'!DH154</f>
        <v>0</v>
      </c>
      <c r="DI19" s="45">
        <f>'Operating Model'!DI154</f>
        <v>0</v>
      </c>
      <c r="DJ19" s="45">
        <f>'Operating Model'!DJ154</f>
        <v>0</v>
      </c>
      <c r="DK19" s="45">
        <f>'Operating Model'!DK154</f>
        <v>0</v>
      </c>
      <c r="DL19" s="45">
        <f>'Operating Model'!DL154</f>
        <v>0</v>
      </c>
      <c r="DM19" s="45">
        <f>'Operating Model'!DM154</f>
        <v>0</v>
      </c>
      <c r="DN19" s="45">
        <f>'Operating Model'!DN154</f>
        <v>0</v>
      </c>
      <c r="DO19" s="45">
        <f>'Operating Model'!DO154</f>
        <v>0</v>
      </c>
      <c r="DP19" s="45">
        <f>'Operating Model'!DP154</f>
        <v>0</v>
      </c>
      <c r="DQ19" s="45">
        <f>'Operating Model'!DQ154</f>
        <v>0</v>
      </c>
    </row>
    <row r="21" spans="3:121" x14ac:dyDescent="0.35">
      <c r="C21" s="20" t="s">
        <v>279</v>
      </c>
      <c r="G21" s="46">
        <f>Assumptions!F141</f>
        <v>42522</v>
      </c>
      <c r="H21" s="46">
        <f>Assumptions!F142</f>
        <v>49827</v>
      </c>
      <c r="K21" s="20">
        <f>AND(K6&gt;=$G$21,K6&lt;$H$21)*1</f>
        <v>0</v>
      </c>
      <c r="L21" s="20">
        <f t="shared" ref="L21:BW21" si="19">AND(L6&gt;=$G$21,L6&lt;$H$21)*1</f>
        <v>0</v>
      </c>
      <c r="M21" s="20">
        <f t="shared" si="19"/>
        <v>0</v>
      </c>
      <c r="N21" s="20">
        <f t="shared" si="19"/>
        <v>0</v>
      </c>
      <c r="O21" s="20">
        <f t="shared" si="19"/>
        <v>0</v>
      </c>
      <c r="P21" s="20">
        <f t="shared" si="19"/>
        <v>0</v>
      </c>
      <c r="Q21" s="20">
        <f t="shared" si="19"/>
        <v>0</v>
      </c>
      <c r="R21" s="20">
        <f t="shared" si="19"/>
        <v>0</v>
      </c>
      <c r="S21" s="20">
        <f t="shared" si="19"/>
        <v>0</v>
      </c>
      <c r="T21" s="20">
        <f t="shared" si="19"/>
        <v>1</v>
      </c>
      <c r="U21" s="20">
        <f t="shared" si="19"/>
        <v>1</v>
      </c>
      <c r="V21" s="20">
        <f t="shared" si="19"/>
        <v>1</v>
      </c>
      <c r="W21" s="20">
        <f t="shared" si="19"/>
        <v>1</v>
      </c>
      <c r="X21" s="20">
        <f t="shared" si="19"/>
        <v>1</v>
      </c>
      <c r="Y21" s="20">
        <f t="shared" si="19"/>
        <v>1</v>
      </c>
      <c r="Z21" s="20">
        <f t="shared" si="19"/>
        <v>1</v>
      </c>
      <c r="AA21" s="20">
        <f t="shared" si="19"/>
        <v>1</v>
      </c>
      <c r="AB21" s="20">
        <f t="shared" si="19"/>
        <v>1</v>
      </c>
      <c r="AC21" s="20">
        <f t="shared" si="19"/>
        <v>1</v>
      </c>
      <c r="AD21" s="20">
        <f t="shared" si="19"/>
        <v>1</v>
      </c>
      <c r="AE21" s="20">
        <f t="shared" si="19"/>
        <v>1</v>
      </c>
      <c r="AF21" s="20">
        <f t="shared" si="19"/>
        <v>1</v>
      </c>
      <c r="AG21" s="20">
        <f t="shared" si="19"/>
        <v>1</v>
      </c>
      <c r="AH21" s="20">
        <f t="shared" si="19"/>
        <v>1</v>
      </c>
      <c r="AI21" s="20">
        <f t="shared" si="19"/>
        <v>1</v>
      </c>
      <c r="AJ21" s="20">
        <f t="shared" si="19"/>
        <v>1</v>
      </c>
      <c r="AK21" s="20">
        <f t="shared" si="19"/>
        <v>1</v>
      </c>
      <c r="AL21" s="20">
        <f t="shared" si="19"/>
        <v>1</v>
      </c>
      <c r="AM21" s="20">
        <f t="shared" si="19"/>
        <v>1</v>
      </c>
      <c r="AN21" s="20">
        <f t="shared" si="19"/>
        <v>1</v>
      </c>
      <c r="AO21" s="20">
        <f t="shared" si="19"/>
        <v>1</v>
      </c>
      <c r="AP21" s="20">
        <f t="shared" si="19"/>
        <v>1</v>
      </c>
      <c r="AQ21" s="20">
        <f t="shared" si="19"/>
        <v>1</v>
      </c>
      <c r="AR21" s="20">
        <f t="shared" si="19"/>
        <v>1</v>
      </c>
      <c r="AS21" s="20">
        <f t="shared" si="19"/>
        <v>1</v>
      </c>
      <c r="AT21" s="20">
        <f t="shared" si="19"/>
        <v>1</v>
      </c>
      <c r="AU21" s="20">
        <f t="shared" si="19"/>
        <v>1</v>
      </c>
      <c r="AV21" s="20">
        <f t="shared" si="19"/>
        <v>1</v>
      </c>
      <c r="AW21" s="20">
        <f t="shared" si="19"/>
        <v>1</v>
      </c>
      <c r="AX21" s="20">
        <f t="shared" si="19"/>
        <v>1</v>
      </c>
      <c r="AY21" s="20">
        <f t="shared" si="19"/>
        <v>1</v>
      </c>
      <c r="AZ21" s="20">
        <f t="shared" si="19"/>
        <v>1</v>
      </c>
      <c r="BA21" s="20">
        <f t="shared" si="19"/>
        <v>1</v>
      </c>
      <c r="BB21" s="20">
        <f t="shared" si="19"/>
        <v>1</v>
      </c>
      <c r="BC21" s="20">
        <f t="shared" si="19"/>
        <v>1</v>
      </c>
      <c r="BD21" s="20">
        <f t="shared" si="19"/>
        <v>1</v>
      </c>
      <c r="BE21" s="20">
        <f t="shared" si="19"/>
        <v>1</v>
      </c>
      <c r="BF21" s="20">
        <f t="shared" si="19"/>
        <v>1</v>
      </c>
      <c r="BG21" s="20">
        <f t="shared" si="19"/>
        <v>1</v>
      </c>
      <c r="BH21" s="20">
        <f t="shared" si="19"/>
        <v>1</v>
      </c>
      <c r="BI21" s="20">
        <f t="shared" si="19"/>
        <v>1</v>
      </c>
      <c r="BJ21" s="20">
        <f t="shared" si="19"/>
        <v>1</v>
      </c>
      <c r="BK21" s="20">
        <f t="shared" si="19"/>
        <v>1</v>
      </c>
      <c r="BL21" s="20">
        <f t="shared" si="19"/>
        <v>1</v>
      </c>
      <c r="BM21" s="20">
        <f t="shared" si="19"/>
        <v>1</v>
      </c>
      <c r="BN21" s="20">
        <f t="shared" si="19"/>
        <v>1</v>
      </c>
      <c r="BO21" s="20">
        <f t="shared" si="19"/>
        <v>1</v>
      </c>
      <c r="BP21" s="20">
        <f t="shared" si="19"/>
        <v>1</v>
      </c>
      <c r="BQ21" s="20">
        <f t="shared" si="19"/>
        <v>1</v>
      </c>
      <c r="BR21" s="20">
        <f t="shared" si="19"/>
        <v>1</v>
      </c>
      <c r="BS21" s="20">
        <f t="shared" si="19"/>
        <v>1</v>
      </c>
      <c r="BT21" s="20">
        <f t="shared" si="19"/>
        <v>1</v>
      </c>
      <c r="BU21" s="20">
        <f t="shared" si="19"/>
        <v>1</v>
      </c>
      <c r="BV21" s="20">
        <f t="shared" si="19"/>
        <v>1</v>
      </c>
      <c r="BW21" s="20">
        <f t="shared" si="19"/>
        <v>1</v>
      </c>
      <c r="BX21" s="20">
        <f t="shared" ref="BX21:DQ21" si="20">AND(BX6&gt;=$G$21,BX6&lt;$H$21)*1</f>
        <v>1</v>
      </c>
      <c r="BY21" s="20">
        <f t="shared" si="20"/>
        <v>1</v>
      </c>
      <c r="BZ21" s="20">
        <f t="shared" si="20"/>
        <v>1</v>
      </c>
      <c r="CA21" s="20">
        <f t="shared" si="20"/>
        <v>1</v>
      </c>
      <c r="CB21" s="20">
        <f t="shared" si="20"/>
        <v>1</v>
      </c>
      <c r="CC21" s="20">
        <f t="shared" si="20"/>
        <v>1</v>
      </c>
      <c r="CD21" s="20">
        <f t="shared" si="20"/>
        <v>1</v>
      </c>
      <c r="CE21" s="20">
        <f t="shared" si="20"/>
        <v>1</v>
      </c>
      <c r="CF21" s="20">
        <f t="shared" si="20"/>
        <v>1</v>
      </c>
      <c r="CG21" s="20">
        <f t="shared" si="20"/>
        <v>1</v>
      </c>
      <c r="CH21" s="20">
        <f t="shared" si="20"/>
        <v>1</v>
      </c>
      <c r="CI21" s="20">
        <f t="shared" si="20"/>
        <v>1</v>
      </c>
      <c r="CJ21" s="20">
        <f t="shared" si="20"/>
        <v>1</v>
      </c>
      <c r="CK21" s="20">
        <f t="shared" si="20"/>
        <v>1</v>
      </c>
      <c r="CL21" s="20">
        <f t="shared" si="20"/>
        <v>1</v>
      </c>
      <c r="CM21" s="20">
        <f t="shared" si="20"/>
        <v>1</v>
      </c>
      <c r="CN21" s="20">
        <f t="shared" si="20"/>
        <v>1</v>
      </c>
      <c r="CO21" s="20">
        <f t="shared" si="20"/>
        <v>1</v>
      </c>
      <c r="CP21" s="20">
        <f t="shared" si="20"/>
        <v>1</v>
      </c>
      <c r="CQ21" s="20">
        <f t="shared" si="20"/>
        <v>1</v>
      </c>
      <c r="CR21" s="20">
        <f t="shared" si="20"/>
        <v>1</v>
      </c>
      <c r="CS21" s="20">
        <f t="shared" si="20"/>
        <v>1</v>
      </c>
      <c r="CT21" s="20">
        <f t="shared" si="20"/>
        <v>1</v>
      </c>
      <c r="CU21" s="20">
        <f t="shared" si="20"/>
        <v>1</v>
      </c>
      <c r="CV21" s="20">
        <f t="shared" si="20"/>
        <v>0</v>
      </c>
      <c r="CW21" s="20">
        <f t="shared" si="20"/>
        <v>0</v>
      </c>
      <c r="CX21" s="20">
        <f t="shared" si="20"/>
        <v>0</v>
      </c>
      <c r="CY21" s="20">
        <f t="shared" si="20"/>
        <v>0</v>
      </c>
      <c r="CZ21" s="20">
        <f t="shared" si="20"/>
        <v>0</v>
      </c>
      <c r="DA21" s="20">
        <f t="shared" si="20"/>
        <v>0</v>
      </c>
      <c r="DB21" s="20">
        <f t="shared" si="20"/>
        <v>0</v>
      </c>
      <c r="DC21" s="20">
        <f t="shared" si="20"/>
        <v>0</v>
      </c>
      <c r="DD21" s="20">
        <f t="shared" si="20"/>
        <v>0</v>
      </c>
      <c r="DE21" s="20">
        <f t="shared" si="20"/>
        <v>0</v>
      </c>
      <c r="DF21" s="20">
        <f t="shared" si="20"/>
        <v>0</v>
      </c>
      <c r="DG21" s="20">
        <f t="shared" si="20"/>
        <v>0</v>
      </c>
      <c r="DH21" s="20">
        <f t="shared" si="20"/>
        <v>0</v>
      </c>
      <c r="DI21" s="20">
        <f t="shared" si="20"/>
        <v>0</v>
      </c>
      <c r="DJ21" s="20">
        <f t="shared" si="20"/>
        <v>0</v>
      </c>
      <c r="DK21" s="20">
        <f t="shared" si="20"/>
        <v>0</v>
      </c>
      <c r="DL21" s="20">
        <f t="shared" si="20"/>
        <v>0</v>
      </c>
      <c r="DM21" s="20">
        <f t="shared" si="20"/>
        <v>0</v>
      </c>
      <c r="DN21" s="20">
        <f t="shared" si="20"/>
        <v>0</v>
      </c>
      <c r="DO21" s="20">
        <f t="shared" si="20"/>
        <v>0</v>
      </c>
      <c r="DP21" s="20">
        <f t="shared" si="20"/>
        <v>0</v>
      </c>
      <c r="DQ21" s="20">
        <f t="shared" si="20"/>
        <v>0</v>
      </c>
    </row>
    <row r="22" spans="3:121" x14ac:dyDescent="0.35">
      <c r="C22" s="20" t="s">
        <v>281</v>
      </c>
      <c r="G22" s="49">
        <f>Assumptions!F132</f>
        <v>1.45</v>
      </c>
      <c r="I22" s="54">
        <f>SUM(K22:DQ22)</f>
        <v>4872152.1962294271</v>
      </c>
      <c r="K22" s="20">
        <f>K16/$G$22*K21</f>
        <v>0</v>
      </c>
      <c r="L22" s="20">
        <f t="shared" ref="L22:BW22" si="21">L16/$G$22*L21</f>
        <v>0</v>
      </c>
      <c r="M22" s="20">
        <f t="shared" si="21"/>
        <v>0</v>
      </c>
      <c r="N22" s="20">
        <f t="shared" si="21"/>
        <v>0</v>
      </c>
      <c r="O22" s="20">
        <f t="shared" si="21"/>
        <v>0</v>
      </c>
      <c r="P22" s="20">
        <f t="shared" si="21"/>
        <v>0</v>
      </c>
      <c r="Q22" s="20">
        <f t="shared" si="21"/>
        <v>0</v>
      </c>
      <c r="R22" s="20">
        <f t="shared" si="21"/>
        <v>0</v>
      </c>
      <c r="S22" s="20">
        <f t="shared" si="21"/>
        <v>0</v>
      </c>
      <c r="T22" s="20">
        <f t="shared" si="21"/>
        <v>68622.862529397593</v>
      </c>
      <c r="U22" s="20">
        <f t="shared" si="21"/>
        <v>35868.905670937813</v>
      </c>
      <c r="V22" s="20">
        <f t="shared" si="21"/>
        <v>20964.552998545274</v>
      </c>
      <c r="W22" s="20">
        <f t="shared" si="21"/>
        <v>55571.133073803401</v>
      </c>
      <c r="X22" s="20">
        <f t="shared" si="21"/>
        <v>68070.525667437614</v>
      </c>
      <c r="Y22" s="20">
        <f t="shared" si="21"/>
        <v>35479.079084768142</v>
      </c>
      <c r="Z22" s="20">
        <f t="shared" si="21"/>
        <v>20648.431172733817</v>
      </c>
      <c r="AA22" s="20">
        <f t="shared" si="21"/>
        <v>55082.39143987991</v>
      </c>
      <c r="AB22" s="20">
        <f t="shared" si="21"/>
        <v>67519.148707310465</v>
      </c>
      <c r="AC22" s="20">
        <f t="shared" si="21"/>
        <v>35089.397800681436</v>
      </c>
      <c r="AD22" s="20">
        <f t="shared" si="21"/>
        <v>21786.618904083185</v>
      </c>
      <c r="AE22" s="20">
        <f t="shared" si="21"/>
        <v>57218.258688876165</v>
      </c>
      <c r="AF22" s="20">
        <f t="shared" si="21"/>
        <v>70015.622397788509</v>
      </c>
      <c r="AG22" s="20">
        <f t="shared" si="21"/>
        <v>36647.073100654874</v>
      </c>
      <c r="AH22" s="20">
        <f t="shared" si="21"/>
        <v>22466.243750308273</v>
      </c>
      <c r="AI22" s="20">
        <f t="shared" si="21"/>
        <v>58527.929029021987</v>
      </c>
      <c r="AJ22" s="20">
        <f t="shared" si="21"/>
        <v>71552.93951889938</v>
      </c>
      <c r="AK22" s="20">
        <f t="shared" si="21"/>
        <v>37591.285722606226</v>
      </c>
      <c r="AL22" s="20">
        <f t="shared" si="21"/>
        <v>22329.189049150358</v>
      </c>
      <c r="AM22" s="20">
        <f t="shared" si="21"/>
        <v>58365.375092300179</v>
      </c>
      <c r="AN22" s="20">
        <f t="shared" si="21"/>
        <v>71380.948294251735</v>
      </c>
      <c r="AO22" s="20">
        <f t="shared" si="21"/>
        <v>37442.619179637666</v>
      </c>
      <c r="AP22" s="20">
        <f t="shared" si="21"/>
        <v>25266.020187367114</v>
      </c>
      <c r="AQ22" s="20">
        <f t="shared" si="21"/>
        <v>63749.188817045055</v>
      </c>
      <c r="AR22" s="20">
        <f t="shared" si="21"/>
        <v>77649.507263986583</v>
      </c>
      <c r="AS22" s="20">
        <f t="shared" si="21"/>
        <v>41409.507441547881</v>
      </c>
      <c r="AT22" s="20">
        <f t="shared" si="21"/>
        <v>30622.471837883451</v>
      </c>
      <c r="AU22" s="20">
        <f t="shared" si="21"/>
        <v>73499.091313971207</v>
      </c>
      <c r="AV22" s="20">
        <f t="shared" si="21"/>
        <v>88988.102025117041</v>
      </c>
      <c r="AW22" s="20">
        <f t="shared" si="21"/>
        <v>48616.070244979601</v>
      </c>
      <c r="AX22" s="20">
        <f t="shared" si="21"/>
        <v>31949.577177253825</v>
      </c>
      <c r="AY22" s="20">
        <f t="shared" si="21"/>
        <v>75981.166956645335</v>
      </c>
      <c r="AZ22" s="20">
        <f t="shared" si="21"/>
        <v>91887.653909523622</v>
      </c>
      <c r="BA22" s="20">
        <f t="shared" si="21"/>
        <v>50428.869978897957</v>
      </c>
      <c r="BB22" s="20">
        <f t="shared" si="21"/>
        <v>31848.001795208162</v>
      </c>
      <c r="BC22" s="20">
        <f t="shared" si="21"/>
        <v>75887.030131743886</v>
      </c>
      <c r="BD22" s="20">
        <f t="shared" si="21"/>
        <v>91795.979480935697</v>
      </c>
      <c r="BE22" s="20">
        <f t="shared" si="21"/>
        <v>50329.509614315721</v>
      </c>
      <c r="BF22" s="20">
        <f t="shared" si="21"/>
        <v>33953.499786063832</v>
      </c>
      <c r="BG22" s="20">
        <f t="shared" si="21"/>
        <v>79775.594308237705</v>
      </c>
      <c r="BH22" s="20">
        <f t="shared" si="21"/>
        <v>96329.167555263368</v>
      </c>
      <c r="BI22" s="20">
        <f t="shared" si="21"/>
        <v>53185.299234398466</v>
      </c>
      <c r="BJ22" s="20">
        <f t="shared" si="21"/>
        <v>36537.273784176141</v>
      </c>
      <c r="BK22" s="20">
        <f t="shared" si="21"/>
        <v>84528.126556899733</v>
      </c>
      <c r="BL22" s="20">
        <f t="shared" si="21"/>
        <v>101865.80791929805</v>
      </c>
      <c r="BM22" s="20">
        <f t="shared" si="21"/>
        <v>56681.84757708</v>
      </c>
      <c r="BN22" s="20">
        <f t="shared" si="21"/>
        <v>40055.535013496803</v>
      </c>
      <c r="BO22" s="20">
        <f t="shared" si="21"/>
        <v>90967.647970474311</v>
      </c>
      <c r="BP22" s="20">
        <f t="shared" si="21"/>
        <v>109361.58026462498</v>
      </c>
      <c r="BQ22" s="20">
        <f t="shared" si="21"/>
        <v>61429.906325704331</v>
      </c>
      <c r="BR22" s="20">
        <f t="shared" si="21"/>
        <v>43313.268063674041</v>
      </c>
      <c r="BS22" s="20">
        <f t="shared" si="21"/>
        <v>96938.368327793549</v>
      </c>
      <c r="BT22" s="20">
        <f t="shared" si="21"/>
        <v>116313.2252446076</v>
      </c>
      <c r="BU22" s="20">
        <f t="shared" si="21"/>
        <v>65829.675869983723</v>
      </c>
      <c r="BV22" s="20">
        <f t="shared" si="21"/>
        <v>40312.429006070241</v>
      </c>
      <c r="BW22" s="20">
        <f t="shared" si="21"/>
        <v>70484.015275127851</v>
      </c>
      <c r="BX22" s="20">
        <f t="shared" ref="BX22:DQ22" si="22">BX16/$G$22*BX21</f>
        <v>84483.020743418369</v>
      </c>
      <c r="BY22" s="20">
        <f t="shared" si="22"/>
        <v>48008.347071511955</v>
      </c>
      <c r="BZ22" s="20">
        <f t="shared" si="22"/>
        <v>32348.197756019901</v>
      </c>
      <c r="CA22" s="20">
        <f t="shared" si="22"/>
        <v>71650.841329508999</v>
      </c>
      <c r="CB22" s="20">
        <f t="shared" si="22"/>
        <v>85851.244320413287</v>
      </c>
      <c r="CC22" s="20">
        <f t="shared" si="22"/>
        <v>48851.936201954435</v>
      </c>
      <c r="CD22" s="20">
        <f t="shared" si="22"/>
        <v>34729.759381250507</v>
      </c>
      <c r="CE22" s="20">
        <f t="shared" si="22"/>
        <v>76015.391311194617</v>
      </c>
      <c r="CF22" s="20">
        <f t="shared" si="22"/>
        <v>90932.77611694239</v>
      </c>
      <c r="CG22" s="20">
        <f t="shared" si="22"/>
        <v>52068.240737892258</v>
      </c>
      <c r="CH22" s="20">
        <f t="shared" si="22"/>
        <v>36134.956680441224</v>
      </c>
      <c r="CI22" s="20">
        <f t="shared" si="22"/>
        <v>78619.46325563846</v>
      </c>
      <c r="CJ22" s="20">
        <f t="shared" si="22"/>
        <v>93970.248681462501</v>
      </c>
      <c r="CK22" s="20">
        <f t="shared" si="22"/>
        <v>53977.81594400105</v>
      </c>
      <c r="CL22" s="20">
        <f t="shared" si="22"/>
        <v>39626.639598151181</v>
      </c>
      <c r="CM22" s="20">
        <f t="shared" si="22"/>
        <v>84988.448596783433</v>
      </c>
      <c r="CN22" s="20">
        <f t="shared" si="22"/>
        <v>101379.6440135231</v>
      </c>
      <c r="CO22" s="20">
        <f t="shared" si="22"/>
        <v>58681.004887979841</v>
      </c>
      <c r="CP22" s="20">
        <f t="shared" si="22"/>
        <v>42441.011227092946</v>
      </c>
      <c r="CQ22" s="20">
        <f t="shared" si="22"/>
        <v>90136.472595670915</v>
      </c>
      <c r="CR22" s="20">
        <f t="shared" si="22"/>
        <v>107371.46163418215</v>
      </c>
      <c r="CS22" s="20">
        <f t="shared" si="22"/>
        <v>62477.826975852993</v>
      </c>
      <c r="CT22" s="20">
        <f t="shared" si="22"/>
        <v>45560.696774700482</v>
      </c>
      <c r="CU22" s="20">
        <f t="shared" si="22"/>
        <v>95836.203261369257</v>
      </c>
      <c r="CV22" s="20">
        <f t="shared" si="22"/>
        <v>0</v>
      </c>
      <c r="CW22" s="20">
        <f t="shared" si="22"/>
        <v>0</v>
      </c>
      <c r="CX22" s="20">
        <f t="shared" si="22"/>
        <v>0</v>
      </c>
      <c r="CY22" s="20">
        <f t="shared" si="22"/>
        <v>0</v>
      </c>
      <c r="CZ22" s="20">
        <f t="shared" si="22"/>
        <v>0</v>
      </c>
      <c r="DA22" s="20">
        <f t="shared" si="22"/>
        <v>0</v>
      </c>
      <c r="DB22" s="20">
        <f t="shared" si="22"/>
        <v>0</v>
      </c>
      <c r="DC22" s="20">
        <f t="shared" si="22"/>
        <v>0</v>
      </c>
      <c r="DD22" s="20">
        <f t="shared" si="22"/>
        <v>0</v>
      </c>
      <c r="DE22" s="20">
        <f t="shared" si="22"/>
        <v>0</v>
      </c>
      <c r="DF22" s="20">
        <f t="shared" si="22"/>
        <v>0</v>
      </c>
      <c r="DG22" s="20">
        <f t="shared" si="22"/>
        <v>0</v>
      </c>
      <c r="DH22" s="20">
        <f t="shared" si="22"/>
        <v>0</v>
      </c>
      <c r="DI22" s="20">
        <f t="shared" si="22"/>
        <v>0</v>
      </c>
      <c r="DJ22" s="20">
        <f t="shared" si="22"/>
        <v>0</v>
      </c>
      <c r="DK22" s="20">
        <f t="shared" si="22"/>
        <v>0</v>
      </c>
      <c r="DL22" s="20">
        <f t="shared" si="22"/>
        <v>0</v>
      </c>
      <c r="DM22" s="20">
        <f t="shared" si="22"/>
        <v>0</v>
      </c>
      <c r="DN22" s="20">
        <f t="shared" si="22"/>
        <v>0</v>
      </c>
      <c r="DO22" s="20">
        <f t="shared" si="22"/>
        <v>0</v>
      </c>
      <c r="DP22" s="20">
        <f t="shared" si="22"/>
        <v>0</v>
      </c>
      <c r="DQ22" s="20">
        <f t="shared" si="22"/>
        <v>0</v>
      </c>
    </row>
    <row r="24" spans="3:121" x14ac:dyDescent="0.35">
      <c r="C24" s="20" t="s">
        <v>282</v>
      </c>
      <c r="G24" s="35">
        <f>Assumptions!F146</f>
        <v>1.7999999999999999E-2</v>
      </c>
      <c r="K24" s="22">
        <f>$G$24</f>
        <v>1.7999999999999999E-2</v>
      </c>
      <c r="L24" s="22">
        <f t="shared" ref="L24:BW24" si="23">$G$24</f>
        <v>1.7999999999999999E-2</v>
      </c>
      <c r="M24" s="22">
        <f t="shared" si="23"/>
        <v>1.7999999999999999E-2</v>
      </c>
      <c r="N24" s="22">
        <f t="shared" si="23"/>
        <v>1.7999999999999999E-2</v>
      </c>
      <c r="O24" s="22">
        <f t="shared" si="23"/>
        <v>1.7999999999999999E-2</v>
      </c>
      <c r="P24" s="22">
        <f t="shared" si="23"/>
        <v>1.7999999999999999E-2</v>
      </c>
      <c r="Q24" s="22">
        <f t="shared" si="23"/>
        <v>1.7999999999999999E-2</v>
      </c>
      <c r="R24" s="22">
        <f t="shared" si="23"/>
        <v>1.7999999999999999E-2</v>
      </c>
      <c r="S24" s="22">
        <f t="shared" si="23"/>
        <v>1.7999999999999999E-2</v>
      </c>
      <c r="T24" s="22">
        <f t="shared" si="23"/>
        <v>1.7999999999999999E-2</v>
      </c>
      <c r="U24" s="22">
        <f t="shared" si="23"/>
        <v>1.7999999999999999E-2</v>
      </c>
      <c r="V24" s="22">
        <f t="shared" si="23"/>
        <v>1.7999999999999999E-2</v>
      </c>
      <c r="W24" s="22">
        <f t="shared" si="23"/>
        <v>1.7999999999999999E-2</v>
      </c>
      <c r="X24" s="22">
        <f t="shared" si="23"/>
        <v>1.7999999999999999E-2</v>
      </c>
      <c r="Y24" s="22">
        <f t="shared" si="23"/>
        <v>1.7999999999999999E-2</v>
      </c>
      <c r="Z24" s="22">
        <f t="shared" si="23"/>
        <v>1.7999999999999999E-2</v>
      </c>
      <c r="AA24" s="22">
        <f t="shared" si="23"/>
        <v>1.7999999999999999E-2</v>
      </c>
      <c r="AB24" s="22">
        <f t="shared" si="23"/>
        <v>1.7999999999999999E-2</v>
      </c>
      <c r="AC24" s="22">
        <f t="shared" si="23"/>
        <v>1.7999999999999999E-2</v>
      </c>
      <c r="AD24" s="22">
        <f t="shared" si="23"/>
        <v>1.7999999999999999E-2</v>
      </c>
      <c r="AE24" s="22">
        <f t="shared" si="23"/>
        <v>1.7999999999999999E-2</v>
      </c>
      <c r="AF24" s="22">
        <f t="shared" si="23"/>
        <v>1.7999999999999999E-2</v>
      </c>
      <c r="AG24" s="22">
        <f t="shared" si="23"/>
        <v>1.7999999999999999E-2</v>
      </c>
      <c r="AH24" s="22">
        <f t="shared" si="23"/>
        <v>1.7999999999999999E-2</v>
      </c>
      <c r="AI24" s="22">
        <f t="shared" si="23"/>
        <v>1.7999999999999999E-2</v>
      </c>
      <c r="AJ24" s="22">
        <f t="shared" si="23"/>
        <v>1.7999999999999999E-2</v>
      </c>
      <c r="AK24" s="22">
        <f t="shared" si="23"/>
        <v>1.7999999999999999E-2</v>
      </c>
      <c r="AL24" s="22">
        <f t="shared" si="23"/>
        <v>1.7999999999999999E-2</v>
      </c>
      <c r="AM24" s="22">
        <f t="shared" si="23"/>
        <v>1.7999999999999999E-2</v>
      </c>
      <c r="AN24" s="22">
        <f t="shared" si="23"/>
        <v>1.7999999999999999E-2</v>
      </c>
      <c r="AO24" s="22">
        <f t="shared" si="23"/>
        <v>1.7999999999999999E-2</v>
      </c>
      <c r="AP24" s="22">
        <f t="shared" si="23"/>
        <v>1.7999999999999999E-2</v>
      </c>
      <c r="AQ24" s="22">
        <f t="shared" si="23"/>
        <v>1.7999999999999999E-2</v>
      </c>
      <c r="AR24" s="22">
        <f t="shared" si="23"/>
        <v>1.7999999999999999E-2</v>
      </c>
      <c r="AS24" s="22">
        <f t="shared" si="23"/>
        <v>1.7999999999999999E-2</v>
      </c>
      <c r="AT24" s="22">
        <f t="shared" si="23"/>
        <v>1.7999999999999999E-2</v>
      </c>
      <c r="AU24" s="22">
        <f t="shared" si="23"/>
        <v>1.7999999999999999E-2</v>
      </c>
      <c r="AV24" s="22">
        <f t="shared" si="23"/>
        <v>1.7999999999999999E-2</v>
      </c>
      <c r="AW24" s="22">
        <f t="shared" si="23"/>
        <v>1.7999999999999999E-2</v>
      </c>
      <c r="AX24" s="22">
        <f t="shared" si="23"/>
        <v>1.7999999999999999E-2</v>
      </c>
      <c r="AY24" s="22">
        <f t="shared" si="23"/>
        <v>1.7999999999999999E-2</v>
      </c>
      <c r="AZ24" s="22">
        <f t="shared" si="23"/>
        <v>1.7999999999999999E-2</v>
      </c>
      <c r="BA24" s="22">
        <f t="shared" si="23"/>
        <v>1.7999999999999999E-2</v>
      </c>
      <c r="BB24" s="22">
        <f t="shared" si="23"/>
        <v>1.7999999999999999E-2</v>
      </c>
      <c r="BC24" s="22">
        <f t="shared" si="23"/>
        <v>1.7999999999999999E-2</v>
      </c>
      <c r="BD24" s="22">
        <f t="shared" si="23"/>
        <v>1.7999999999999999E-2</v>
      </c>
      <c r="BE24" s="22">
        <f t="shared" si="23"/>
        <v>1.7999999999999999E-2</v>
      </c>
      <c r="BF24" s="22">
        <f t="shared" si="23"/>
        <v>1.7999999999999999E-2</v>
      </c>
      <c r="BG24" s="22">
        <f t="shared" si="23"/>
        <v>1.7999999999999999E-2</v>
      </c>
      <c r="BH24" s="22">
        <f t="shared" si="23"/>
        <v>1.7999999999999999E-2</v>
      </c>
      <c r="BI24" s="22">
        <f t="shared" si="23"/>
        <v>1.7999999999999999E-2</v>
      </c>
      <c r="BJ24" s="22">
        <f t="shared" si="23"/>
        <v>1.7999999999999999E-2</v>
      </c>
      <c r="BK24" s="22">
        <f t="shared" si="23"/>
        <v>1.7999999999999999E-2</v>
      </c>
      <c r="BL24" s="22">
        <f t="shared" si="23"/>
        <v>1.7999999999999999E-2</v>
      </c>
      <c r="BM24" s="22">
        <f t="shared" si="23"/>
        <v>1.7999999999999999E-2</v>
      </c>
      <c r="BN24" s="22">
        <f t="shared" si="23"/>
        <v>1.7999999999999999E-2</v>
      </c>
      <c r="BO24" s="22">
        <f t="shared" si="23"/>
        <v>1.7999999999999999E-2</v>
      </c>
      <c r="BP24" s="22">
        <f t="shared" si="23"/>
        <v>1.7999999999999999E-2</v>
      </c>
      <c r="BQ24" s="22">
        <f t="shared" si="23"/>
        <v>1.7999999999999999E-2</v>
      </c>
      <c r="BR24" s="22">
        <f t="shared" si="23"/>
        <v>1.7999999999999999E-2</v>
      </c>
      <c r="BS24" s="22">
        <f t="shared" si="23"/>
        <v>1.7999999999999999E-2</v>
      </c>
      <c r="BT24" s="22">
        <f t="shared" si="23"/>
        <v>1.7999999999999999E-2</v>
      </c>
      <c r="BU24" s="22">
        <f t="shared" si="23"/>
        <v>1.7999999999999999E-2</v>
      </c>
      <c r="BV24" s="22">
        <f t="shared" si="23"/>
        <v>1.7999999999999999E-2</v>
      </c>
      <c r="BW24" s="22">
        <f t="shared" si="23"/>
        <v>1.7999999999999999E-2</v>
      </c>
      <c r="BX24" s="22">
        <f t="shared" ref="BX24:DQ24" si="24">$G$24</f>
        <v>1.7999999999999999E-2</v>
      </c>
      <c r="BY24" s="22">
        <f t="shared" si="24"/>
        <v>1.7999999999999999E-2</v>
      </c>
      <c r="BZ24" s="22">
        <f t="shared" si="24"/>
        <v>1.7999999999999999E-2</v>
      </c>
      <c r="CA24" s="22">
        <f t="shared" si="24"/>
        <v>1.7999999999999999E-2</v>
      </c>
      <c r="CB24" s="22">
        <f t="shared" si="24"/>
        <v>1.7999999999999999E-2</v>
      </c>
      <c r="CC24" s="22">
        <f t="shared" si="24"/>
        <v>1.7999999999999999E-2</v>
      </c>
      <c r="CD24" s="22">
        <f t="shared" si="24"/>
        <v>1.7999999999999999E-2</v>
      </c>
      <c r="CE24" s="22">
        <f t="shared" si="24"/>
        <v>1.7999999999999999E-2</v>
      </c>
      <c r="CF24" s="22">
        <f t="shared" si="24"/>
        <v>1.7999999999999999E-2</v>
      </c>
      <c r="CG24" s="22">
        <f t="shared" si="24"/>
        <v>1.7999999999999999E-2</v>
      </c>
      <c r="CH24" s="22">
        <f t="shared" si="24"/>
        <v>1.7999999999999999E-2</v>
      </c>
      <c r="CI24" s="22">
        <f t="shared" si="24"/>
        <v>1.7999999999999999E-2</v>
      </c>
      <c r="CJ24" s="22">
        <f t="shared" si="24"/>
        <v>1.7999999999999999E-2</v>
      </c>
      <c r="CK24" s="22">
        <f t="shared" si="24"/>
        <v>1.7999999999999999E-2</v>
      </c>
      <c r="CL24" s="22">
        <f t="shared" si="24"/>
        <v>1.7999999999999999E-2</v>
      </c>
      <c r="CM24" s="22">
        <f t="shared" si="24"/>
        <v>1.7999999999999999E-2</v>
      </c>
      <c r="CN24" s="22">
        <f t="shared" si="24"/>
        <v>1.7999999999999999E-2</v>
      </c>
      <c r="CO24" s="22">
        <f t="shared" si="24"/>
        <v>1.7999999999999999E-2</v>
      </c>
      <c r="CP24" s="22">
        <f t="shared" si="24"/>
        <v>1.7999999999999999E-2</v>
      </c>
      <c r="CQ24" s="22">
        <f t="shared" si="24"/>
        <v>1.7999999999999999E-2</v>
      </c>
      <c r="CR24" s="22">
        <f t="shared" si="24"/>
        <v>1.7999999999999999E-2</v>
      </c>
      <c r="CS24" s="22">
        <f t="shared" si="24"/>
        <v>1.7999999999999999E-2</v>
      </c>
      <c r="CT24" s="22">
        <f t="shared" si="24"/>
        <v>1.7999999999999999E-2</v>
      </c>
      <c r="CU24" s="22">
        <f t="shared" si="24"/>
        <v>1.7999999999999999E-2</v>
      </c>
      <c r="CV24" s="22">
        <f t="shared" si="24"/>
        <v>1.7999999999999999E-2</v>
      </c>
      <c r="CW24" s="22">
        <f t="shared" si="24"/>
        <v>1.7999999999999999E-2</v>
      </c>
      <c r="CX24" s="22">
        <f t="shared" si="24"/>
        <v>1.7999999999999999E-2</v>
      </c>
      <c r="CY24" s="22">
        <f t="shared" si="24"/>
        <v>1.7999999999999999E-2</v>
      </c>
      <c r="CZ24" s="22">
        <f t="shared" si="24"/>
        <v>1.7999999999999999E-2</v>
      </c>
      <c r="DA24" s="22">
        <f t="shared" si="24"/>
        <v>1.7999999999999999E-2</v>
      </c>
      <c r="DB24" s="22">
        <f t="shared" si="24"/>
        <v>1.7999999999999999E-2</v>
      </c>
      <c r="DC24" s="22">
        <f t="shared" si="24"/>
        <v>1.7999999999999999E-2</v>
      </c>
      <c r="DD24" s="22">
        <f t="shared" si="24"/>
        <v>1.7999999999999999E-2</v>
      </c>
      <c r="DE24" s="22">
        <f t="shared" si="24"/>
        <v>1.7999999999999999E-2</v>
      </c>
      <c r="DF24" s="22">
        <f t="shared" si="24"/>
        <v>1.7999999999999999E-2</v>
      </c>
      <c r="DG24" s="22">
        <f t="shared" si="24"/>
        <v>1.7999999999999999E-2</v>
      </c>
      <c r="DH24" s="22">
        <f t="shared" si="24"/>
        <v>1.7999999999999999E-2</v>
      </c>
      <c r="DI24" s="22">
        <f t="shared" si="24"/>
        <v>1.7999999999999999E-2</v>
      </c>
      <c r="DJ24" s="22">
        <f t="shared" si="24"/>
        <v>1.7999999999999999E-2</v>
      </c>
      <c r="DK24" s="22">
        <f t="shared" si="24"/>
        <v>1.7999999999999999E-2</v>
      </c>
      <c r="DL24" s="22">
        <f t="shared" si="24"/>
        <v>1.7999999999999999E-2</v>
      </c>
      <c r="DM24" s="22">
        <f t="shared" si="24"/>
        <v>1.7999999999999999E-2</v>
      </c>
      <c r="DN24" s="22">
        <f t="shared" si="24"/>
        <v>1.7999999999999999E-2</v>
      </c>
      <c r="DO24" s="22">
        <f t="shared" si="24"/>
        <v>1.7999999999999999E-2</v>
      </c>
      <c r="DP24" s="22">
        <f t="shared" si="24"/>
        <v>1.7999999999999999E-2</v>
      </c>
      <c r="DQ24" s="22">
        <f t="shared" si="24"/>
        <v>1.7999999999999999E-2</v>
      </c>
    </row>
    <row r="25" spans="3:121" x14ac:dyDescent="0.35">
      <c r="C25" s="20" t="s">
        <v>24</v>
      </c>
      <c r="K25" s="35">
        <f>LOOKUP(K6,Assumptions!147:147,Assumptions!148:148)</f>
        <v>1.4999999999999999E-2</v>
      </c>
      <c r="L25" s="35">
        <f>LOOKUP(L6,Assumptions!147:147,Assumptions!148:148)</f>
        <v>1.4999999999999999E-2</v>
      </c>
      <c r="M25" s="35">
        <f>LOOKUP(M6,Assumptions!147:147,Assumptions!148:148)</f>
        <v>1.4999999999999999E-2</v>
      </c>
      <c r="N25" s="35">
        <f>LOOKUP(N6,Assumptions!147:147,Assumptions!148:148)</f>
        <v>1.4999999999999999E-2</v>
      </c>
      <c r="O25" s="35">
        <f>LOOKUP(O6,Assumptions!147:147,Assumptions!148:148)</f>
        <v>1.4999999999999999E-2</v>
      </c>
      <c r="P25" s="35">
        <f>LOOKUP(P6,Assumptions!147:147,Assumptions!148:148)</f>
        <v>1.4999999999999999E-2</v>
      </c>
      <c r="Q25" s="35">
        <f>LOOKUP(Q6,Assumptions!147:147,Assumptions!148:148)</f>
        <v>1.4999999999999999E-2</v>
      </c>
      <c r="R25" s="35">
        <f>LOOKUP(R6,Assumptions!147:147,Assumptions!148:148)</f>
        <v>1.4999999999999999E-2</v>
      </c>
      <c r="S25" s="35">
        <f>LOOKUP(S6,Assumptions!147:147,Assumptions!148:148)</f>
        <v>1.4999999999999999E-2</v>
      </c>
      <c r="T25" s="35">
        <f>LOOKUP(T6,Assumptions!147:147,Assumptions!148:148)</f>
        <v>1.6E-2</v>
      </c>
      <c r="U25" s="35">
        <f>LOOKUP(U6,Assumptions!147:147,Assumptions!148:148)</f>
        <v>1.6E-2</v>
      </c>
      <c r="V25" s="35">
        <f>LOOKUP(V6,Assumptions!147:147,Assumptions!148:148)</f>
        <v>1.6E-2</v>
      </c>
      <c r="W25" s="35">
        <f>LOOKUP(W6,Assumptions!147:147,Assumptions!148:148)</f>
        <v>1.6E-2</v>
      </c>
      <c r="X25" s="35">
        <f>LOOKUP(X6,Assumptions!147:147,Assumptions!148:148)</f>
        <v>1.6E-2</v>
      </c>
      <c r="Y25" s="35">
        <f>LOOKUP(Y6,Assumptions!147:147,Assumptions!148:148)</f>
        <v>1.6E-2</v>
      </c>
      <c r="Z25" s="35">
        <f>LOOKUP(Z6,Assumptions!147:147,Assumptions!148:148)</f>
        <v>1.6E-2</v>
      </c>
      <c r="AA25" s="35">
        <f>LOOKUP(AA6,Assumptions!147:147,Assumptions!148:148)</f>
        <v>1.6E-2</v>
      </c>
      <c r="AB25" s="35">
        <f>LOOKUP(AB6,Assumptions!147:147,Assumptions!148:148)</f>
        <v>1.6E-2</v>
      </c>
      <c r="AC25" s="35">
        <f>LOOKUP(AC6,Assumptions!147:147,Assumptions!148:148)</f>
        <v>1.6E-2</v>
      </c>
      <c r="AD25" s="35">
        <f>LOOKUP(AD6,Assumptions!147:147,Assumptions!148:148)</f>
        <v>1.6E-2</v>
      </c>
      <c r="AE25" s="35">
        <f>LOOKUP(AE6,Assumptions!147:147,Assumptions!148:148)</f>
        <v>1.6E-2</v>
      </c>
      <c r="AF25" s="35">
        <f>LOOKUP(AF6,Assumptions!147:147,Assumptions!148:148)</f>
        <v>1.6E-2</v>
      </c>
      <c r="AG25" s="35">
        <f>LOOKUP(AG6,Assumptions!147:147,Assumptions!148:148)</f>
        <v>1.6E-2</v>
      </c>
      <c r="AH25" s="35">
        <f>LOOKUP(AH6,Assumptions!147:147,Assumptions!148:148)</f>
        <v>1.6E-2</v>
      </c>
      <c r="AI25" s="35">
        <f>LOOKUP(AI6,Assumptions!147:147,Assumptions!148:148)</f>
        <v>1.6E-2</v>
      </c>
      <c r="AJ25" s="35">
        <f>LOOKUP(AJ6,Assumptions!147:147,Assumptions!148:148)</f>
        <v>1.6E-2</v>
      </c>
      <c r="AK25" s="35">
        <f>LOOKUP(AK6,Assumptions!147:147,Assumptions!148:148)</f>
        <v>1.6E-2</v>
      </c>
      <c r="AL25" s="35">
        <f>LOOKUP(AL6,Assumptions!147:147,Assumptions!148:148)</f>
        <v>1.6E-2</v>
      </c>
      <c r="AM25" s="35">
        <f>LOOKUP(AM6,Assumptions!147:147,Assumptions!148:148)</f>
        <v>1.6E-2</v>
      </c>
      <c r="AN25" s="35">
        <f>LOOKUP(AN6,Assumptions!147:147,Assumptions!148:148)</f>
        <v>1.6500000000000001E-2</v>
      </c>
      <c r="AO25" s="35">
        <f>LOOKUP(AO6,Assumptions!147:147,Assumptions!148:148)</f>
        <v>1.6500000000000001E-2</v>
      </c>
      <c r="AP25" s="35">
        <f>LOOKUP(AP6,Assumptions!147:147,Assumptions!148:148)</f>
        <v>1.6500000000000001E-2</v>
      </c>
      <c r="AQ25" s="35">
        <f>LOOKUP(AQ6,Assumptions!147:147,Assumptions!148:148)</f>
        <v>1.6500000000000001E-2</v>
      </c>
      <c r="AR25" s="35">
        <f>LOOKUP(AR6,Assumptions!147:147,Assumptions!148:148)</f>
        <v>1.6500000000000001E-2</v>
      </c>
      <c r="AS25" s="35">
        <f>LOOKUP(AS6,Assumptions!147:147,Assumptions!148:148)</f>
        <v>1.6500000000000001E-2</v>
      </c>
      <c r="AT25" s="35">
        <f>LOOKUP(AT6,Assumptions!147:147,Assumptions!148:148)</f>
        <v>1.6500000000000001E-2</v>
      </c>
      <c r="AU25" s="35">
        <f>LOOKUP(AU6,Assumptions!147:147,Assumptions!148:148)</f>
        <v>1.6500000000000001E-2</v>
      </c>
      <c r="AV25" s="35">
        <f>LOOKUP(AV6,Assumptions!147:147,Assumptions!148:148)</f>
        <v>1.6500000000000001E-2</v>
      </c>
      <c r="AW25" s="35">
        <f>LOOKUP(AW6,Assumptions!147:147,Assumptions!148:148)</f>
        <v>1.6500000000000001E-2</v>
      </c>
      <c r="AX25" s="35">
        <f>LOOKUP(AX6,Assumptions!147:147,Assumptions!148:148)</f>
        <v>1.6500000000000001E-2</v>
      </c>
      <c r="AY25" s="35">
        <f>LOOKUP(AY6,Assumptions!147:147,Assumptions!148:148)</f>
        <v>1.6500000000000001E-2</v>
      </c>
      <c r="AZ25" s="35">
        <f>LOOKUP(AZ6,Assumptions!147:147,Assumptions!148:148)</f>
        <v>1.6500000000000001E-2</v>
      </c>
      <c r="BA25" s="35">
        <f>LOOKUP(BA6,Assumptions!147:147,Assumptions!148:148)</f>
        <v>1.6500000000000001E-2</v>
      </c>
      <c r="BB25" s="35">
        <f>LOOKUP(BB6,Assumptions!147:147,Assumptions!148:148)</f>
        <v>1.6500000000000001E-2</v>
      </c>
      <c r="BC25" s="35">
        <f>LOOKUP(BC6,Assumptions!147:147,Assumptions!148:148)</f>
        <v>1.6500000000000001E-2</v>
      </c>
      <c r="BD25" s="35">
        <f>LOOKUP(BD6,Assumptions!147:147,Assumptions!148:148)</f>
        <v>1.6500000000000001E-2</v>
      </c>
      <c r="BE25" s="35">
        <f>LOOKUP(BE6,Assumptions!147:147,Assumptions!148:148)</f>
        <v>1.6500000000000001E-2</v>
      </c>
      <c r="BF25" s="35">
        <f>LOOKUP(BF6,Assumptions!147:147,Assumptions!148:148)</f>
        <v>1.6500000000000001E-2</v>
      </c>
      <c r="BG25" s="35">
        <f>LOOKUP(BG6,Assumptions!147:147,Assumptions!148:148)</f>
        <v>1.6500000000000001E-2</v>
      </c>
      <c r="BH25" s="35">
        <f>LOOKUP(BH6,Assumptions!147:147,Assumptions!148:148)</f>
        <v>1.67E-2</v>
      </c>
      <c r="BI25" s="35">
        <f>LOOKUP(BI6,Assumptions!147:147,Assumptions!148:148)</f>
        <v>1.67E-2</v>
      </c>
      <c r="BJ25" s="35">
        <f>LOOKUP(BJ6,Assumptions!147:147,Assumptions!148:148)</f>
        <v>1.67E-2</v>
      </c>
      <c r="BK25" s="35">
        <f>LOOKUP(BK6,Assumptions!147:147,Assumptions!148:148)</f>
        <v>1.67E-2</v>
      </c>
      <c r="BL25" s="35">
        <f>LOOKUP(BL6,Assumptions!147:147,Assumptions!148:148)</f>
        <v>1.67E-2</v>
      </c>
      <c r="BM25" s="35">
        <f>LOOKUP(BM6,Assumptions!147:147,Assumptions!148:148)</f>
        <v>1.67E-2</v>
      </c>
      <c r="BN25" s="35">
        <f>LOOKUP(BN6,Assumptions!147:147,Assumptions!148:148)</f>
        <v>1.67E-2</v>
      </c>
      <c r="BO25" s="35">
        <f>LOOKUP(BO6,Assumptions!147:147,Assumptions!148:148)</f>
        <v>1.67E-2</v>
      </c>
      <c r="BP25" s="35">
        <f>LOOKUP(BP6,Assumptions!147:147,Assumptions!148:148)</f>
        <v>1.67E-2</v>
      </c>
      <c r="BQ25" s="35">
        <f>LOOKUP(BQ6,Assumptions!147:147,Assumptions!148:148)</f>
        <v>1.67E-2</v>
      </c>
      <c r="BR25" s="35">
        <f>LOOKUP(BR6,Assumptions!147:147,Assumptions!148:148)</f>
        <v>1.67E-2</v>
      </c>
      <c r="BS25" s="35">
        <f>LOOKUP(BS6,Assumptions!147:147,Assumptions!148:148)</f>
        <v>1.67E-2</v>
      </c>
      <c r="BT25" s="35">
        <f>LOOKUP(BT6,Assumptions!147:147,Assumptions!148:148)</f>
        <v>1.67E-2</v>
      </c>
      <c r="BU25" s="35">
        <f>LOOKUP(BU6,Assumptions!147:147,Assumptions!148:148)</f>
        <v>1.67E-2</v>
      </c>
      <c r="BV25" s="35">
        <f>LOOKUP(BV6,Assumptions!147:147,Assumptions!148:148)</f>
        <v>1.67E-2</v>
      </c>
      <c r="BW25" s="35">
        <f>LOOKUP(BW6,Assumptions!147:147,Assumptions!148:148)</f>
        <v>1.67E-2</v>
      </c>
      <c r="BX25" s="35">
        <f>LOOKUP(BX6,Assumptions!147:147,Assumptions!148:148)</f>
        <v>1.67E-2</v>
      </c>
      <c r="BY25" s="35">
        <f>LOOKUP(BY6,Assumptions!147:147,Assumptions!148:148)</f>
        <v>1.67E-2</v>
      </c>
      <c r="BZ25" s="35">
        <f>LOOKUP(BZ6,Assumptions!147:147,Assumptions!148:148)</f>
        <v>1.67E-2</v>
      </c>
      <c r="CA25" s="35">
        <f>LOOKUP(CA6,Assumptions!147:147,Assumptions!148:148)</f>
        <v>1.67E-2</v>
      </c>
      <c r="CB25" s="35">
        <f>LOOKUP(CB6,Assumptions!147:147,Assumptions!148:148)</f>
        <v>1.7000000000000001E-2</v>
      </c>
      <c r="CC25" s="35">
        <f>LOOKUP(CC6,Assumptions!147:147,Assumptions!148:148)</f>
        <v>1.7000000000000001E-2</v>
      </c>
      <c r="CD25" s="35">
        <f>LOOKUP(CD6,Assumptions!147:147,Assumptions!148:148)</f>
        <v>1.7000000000000001E-2</v>
      </c>
      <c r="CE25" s="35">
        <f>LOOKUP(CE6,Assumptions!147:147,Assumptions!148:148)</f>
        <v>1.7000000000000001E-2</v>
      </c>
      <c r="CF25" s="35">
        <f>LOOKUP(CF6,Assumptions!147:147,Assumptions!148:148)</f>
        <v>1.7000000000000001E-2</v>
      </c>
      <c r="CG25" s="35">
        <f>LOOKUP(CG6,Assumptions!147:147,Assumptions!148:148)</f>
        <v>1.7000000000000001E-2</v>
      </c>
      <c r="CH25" s="35">
        <f>LOOKUP(CH6,Assumptions!147:147,Assumptions!148:148)</f>
        <v>1.7000000000000001E-2</v>
      </c>
      <c r="CI25" s="35">
        <f>LOOKUP(CI6,Assumptions!147:147,Assumptions!148:148)</f>
        <v>1.7000000000000001E-2</v>
      </c>
      <c r="CJ25" s="35">
        <f>LOOKUP(CJ6,Assumptions!147:147,Assumptions!148:148)</f>
        <v>1.7000000000000001E-2</v>
      </c>
      <c r="CK25" s="35">
        <f>LOOKUP(CK6,Assumptions!147:147,Assumptions!148:148)</f>
        <v>1.7000000000000001E-2</v>
      </c>
      <c r="CL25" s="35">
        <f>LOOKUP(CL6,Assumptions!147:147,Assumptions!148:148)</f>
        <v>1.7000000000000001E-2</v>
      </c>
      <c r="CM25" s="35">
        <f>LOOKUP(CM6,Assumptions!147:147,Assumptions!148:148)</f>
        <v>1.7000000000000001E-2</v>
      </c>
      <c r="CN25" s="35">
        <f>LOOKUP(CN6,Assumptions!147:147,Assumptions!148:148)</f>
        <v>1.7000000000000001E-2</v>
      </c>
      <c r="CO25" s="35">
        <f>LOOKUP(CO6,Assumptions!147:147,Assumptions!148:148)</f>
        <v>1.7000000000000001E-2</v>
      </c>
      <c r="CP25" s="35">
        <f>LOOKUP(CP6,Assumptions!147:147,Assumptions!148:148)</f>
        <v>1.7000000000000001E-2</v>
      </c>
      <c r="CQ25" s="35">
        <f>LOOKUP(CQ6,Assumptions!147:147,Assumptions!148:148)</f>
        <v>1.7000000000000001E-2</v>
      </c>
      <c r="CR25" s="35">
        <f>LOOKUP(CR6,Assumptions!147:147,Assumptions!148:148)</f>
        <v>1.7000000000000001E-2</v>
      </c>
      <c r="CS25" s="35">
        <f>LOOKUP(CS6,Assumptions!147:147,Assumptions!148:148)</f>
        <v>1.7000000000000001E-2</v>
      </c>
      <c r="CT25" s="35">
        <f>LOOKUP(CT6,Assumptions!147:147,Assumptions!148:148)</f>
        <v>1.7000000000000001E-2</v>
      </c>
      <c r="CU25" s="35">
        <f>LOOKUP(CU6,Assumptions!147:147,Assumptions!148:148)</f>
        <v>1.7000000000000001E-2</v>
      </c>
      <c r="CV25" s="35">
        <f>LOOKUP(CV6,Assumptions!147:147,Assumptions!148:148)</f>
        <v>1.7000000000000001E-2</v>
      </c>
      <c r="CW25" s="35">
        <f>LOOKUP(CW6,Assumptions!147:147,Assumptions!148:148)</f>
        <v>1.7000000000000001E-2</v>
      </c>
      <c r="CX25" s="35">
        <f>LOOKUP(CX6,Assumptions!147:147,Assumptions!148:148)</f>
        <v>1.7000000000000001E-2</v>
      </c>
      <c r="CY25" s="35">
        <f>LOOKUP(CY6,Assumptions!147:147,Assumptions!148:148)</f>
        <v>1.7000000000000001E-2</v>
      </c>
      <c r="CZ25" s="35">
        <f>LOOKUP(CZ6,Assumptions!147:147,Assumptions!148:148)</f>
        <v>1.7000000000000001E-2</v>
      </c>
      <c r="DA25" s="35">
        <f>LOOKUP(DA6,Assumptions!147:147,Assumptions!148:148)</f>
        <v>1.7000000000000001E-2</v>
      </c>
      <c r="DB25" s="35">
        <f>LOOKUP(DB6,Assumptions!147:147,Assumptions!148:148)</f>
        <v>1.7000000000000001E-2</v>
      </c>
      <c r="DC25" s="35">
        <f>LOOKUP(DC6,Assumptions!147:147,Assumptions!148:148)</f>
        <v>1.7000000000000001E-2</v>
      </c>
      <c r="DD25" s="35">
        <f>LOOKUP(DD6,Assumptions!147:147,Assumptions!148:148)</f>
        <v>1.7000000000000001E-2</v>
      </c>
      <c r="DE25" s="35">
        <f>LOOKUP(DE6,Assumptions!147:147,Assumptions!148:148)</f>
        <v>1.7000000000000001E-2</v>
      </c>
      <c r="DF25" s="35">
        <f>LOOKUP(DF6,Assumptions!147:147,Assumptions!148:148)</f>
        <v>1.7000000000000001E-2</v>
      </c>
      <c r="DG25" s="35">
        <f>LOOKUP(DG6,Assumptions!147:147,Assumptions!148:148)</f>
        <v>1.7000000000000001E-2</v>
      </c>
      <c r="DH25" s="35">
        <f>LOOKUP(DH6,Assumptions!147:147,Assumptions!148:148)</f>
        <v>1.7000000000000001E-2</v>
      </c>
      <c r="DI25" s="35">
        <f>LOOKUP(DI6,Assumptions!147:147,Assumptions!148:148)</f>
        <v>1.7000000000000001E-2</v>
      </c>
      <c r="DJ25" s="35">
        <f>LOOKUP(DJ6,Assumptions!147:147,Assumptions!148:148)</f>
        <v>1.7000000000000001E-2</v>
      </c>
      <c r="DK25" s="35">
        <f>LOOKUP(DK6,Assumptions!147:147,Assumptions!148:148)</f>
        <v>1.7000000000000001E-2</v>
      </c>
      <c r="DL25" s="35">
        <f>LOOKUP(DL6,Assumptions!147:147,Assumptions!148:148)</f>
        <v>1.7000000000000001E-2</v>
      </c>
      <c r="DM25" s="35">
        <f>LOOKUP(DM6,Assumptions!147:147,Assumptions!148:148)</f>
        <v>1.7000000000000001E-2</v>
      </c>
      <c r="DN25" s="35">
        <f>LOOKUP(DN6,Assumptions!147:147,Assumptions!148:148)</f>
        <v>1.7000000000000001E-2</v>
      </c>
      <c r="DO25" s="35">
        <f>LOOKUP(DO6,Assumptions!147:147,Assumptions!148:148)</f>
        <v>1.7000000000000001E-2</v>
      </c>
      <c r="DP25" s="35">
        <f>LOOKUP(DP6,Assumptions!147:147,Assumptions!148:148)</f>
        <v>1.7000000000000001E-2</v>
      </c>
      <c r="DQ25" s="35">
        <f>LOOKUP(DQ6,Assumptions!147:147,Assumptions!148:148)</f>
        <v>1.7000000000000001E-2</v>
      </c>
    </row>
    <row r="26" spans="3:121" x14ac:dyDescent="0.35">
      <c r="C26" s="20" t="s">
        <v>283</v>
      </c>
      <c r="K26" s="22">
        <f>SUM(K24:K25)</f>
        <v>3.3000000000000002E-2</v>
      </c>
      <c r="L26" s="22">
        <f t="shared" ref="L26:BW26" si="25">SUM(L24:L25)</f>
        <v>3.3000000000000002E-2</v>
      </c>
      <c r="M26" s="22">
        <f t="shared" si="25"/>
        <v>3.3000000000000002E-2</v>
      </c>
      <c r="N26" s="22">
        <f t="shared" si="25"/>
        <v>3.3000000000000002E-2</v>
      </c>
      <c r="O26" s="22">
        <f t="shared" si="25"/>
        <v>3.3000000000000002E-2</v>
      </c>
      <c r="P26" s="22">
        <f t="shared" si="25"/>
        <v>3.3000000000000002E-2</v>
      </c>
      <c r="Q26" s="22">
        <f t="shared" si="25"/>
        <v>3.3000000000000002E-2</v>
      </c>
      <c r="R26" s="22">
        <f t="shared" si="25"/>
        <v>3.3000000000000002E-2</v>
      </c>
      <c r="S26" s="22">
        <f t="shared" si="25"/>
        <v>3.3000000000000002E-2</v>
      </c>
      <c r="T26" s="22">
        <f t="shared" si="25"/>
        <v>3.4000000000000002E-2</v>
      </c>
      <c r="U26" s="22">
        <f t="shared" si="25"/>
        <v>3.4000000000000002E-2</v>
      </c>
      <c r="V26" s="22">
        <f t="shared" si="25"/>
        <v>3.4000000000000002E-2</v>
      </c>
      <c r="W26" s="22">
        <f t="shared" si="25"/>
        <v>3.4000000000000002E-2</v>
      </c>
      <c r="X26" s="22">
        <f t="shared" si="25"/>
        <v>3.4000000000000002E-2</v>
      </c>
      <c r="Y26" s="22">
        <f t="shared" si="25"/>
        <v>3.4000000000000002E-2</v>
      </c>
      <c r="Z26" s="22">
        <f t="shared" si="25"/>
        <v>3.4000000000000002E-2</v>
      </c>
      <c r="AA26" s="22">
        <f t="shared" si="25"/>
        <v>3.4000000000000002E-2</v>
      </c>
      <c r="AB26" s="22">
        <f t="shared" si="25"/>
        <v>3.4000000000000002E-2</v>
      </c>
      <c r="AC26" s="22">
        <f t="shared" si="25"/>
        <v>3.4000000000000002E-2</v>
      </c>
      <c r="AD26" s="22">
        <f t="shared" si="25"/>
        <v>3.4000000000000002E-2</v>
      </c>
      <c r="AE26" s="22">
        <f t="shared" si="25"/>
        <v>3.4000000000000002E-2</v>
      </c>
      <c r="AF26" s="22">
        <f t="shared" si="25"/>
        <v>3.4000000000000002E-2</v>
      </c>
      <c r="AG26" s="22">
        <f t="shared" si="25"/>
        <v>3.4000000000000002E-2</v>
      </c>
      <c r="AH26" s="22">
        <f t="shared" si="25"/>
        <v>3.4000000000000002E-2</v>
      </c>
      <c r="AI26" s="22">
        <f t="shared" si="25"/>
        <v>3.4000000000000002E-2</v>
      </c>
      <c r="AJ26" s="22">
        <f t="shared" si="25"/>
        <v>3.4000000000000002E-2</v>
      </c>
      <c r="AK26" s="22">
        <f t="shared" si="25"/>
        <v>3.4000000000000002E-2</v>
      </c>
      <c r="AL26" s="22">
        <f t="shared" si="25"/>
        <v>3.4000000000000002E-2</v>
      </c>
      <c r="AM26" s="22">
        <f t="shared" si="25"/>
        <v>3.4000000000000002E-2</v>
      </c>
      <c r="AN26" s="22">
        <f t="shared" si="25"/>
        <v>3.4500000000000003E-2</v>
      </c>
      <c r="AO26" s="22">
        <f t="shared" si="25"/>
        <v>3.4500000000000003E-2</v>
      </c>
      <c r="AP26" s="22">
        <f t="shared" si="25"/>
        <v>3.4500000000000003E-2</v>
      </c>
      <c r="AQ26" s="22">
        <f t="shared" si="25"/>
        <v>3.4500000000000003E-2</v>
      </c>
      <c r="AR26" s="22">
        <f t="shared" si="25"/>
        <v>3.4500000000000003E-2</v>
      </c>
      <c r="AS26" s="22">
        <f t="shared" si="25"/>
        <v>3.4500000000000003E-2</v>
      </c>
      <c r="AT26" s="22">
        <f t="shared" si="25"/>
        <v>3.4500000000000003E-2</v>
      </c>
      <c r="AU26" s="22">
        <f t="shared" si="25"/>
        <v>3.4500000000000003E-2</v>
      </c>
      <c r="AV26" s="22">
        <f t="shared" si="25"/>
        <v>3.4500000000000003E-2</v>
      </c>
      <c r="AW26" s="22">
        <f t="shared" si="25"/>
        <v>3.4500000000000003E-2</v>
      </c>
      <c r="AX26" s="22">
        <f t="shared" si="25"/>
        <v>3.4500000000000003E-2</v>
      </c>
      <c r="AY26" s="22">
        <f t="shared" si="25"/>
        <v>3.4500000000000003E-2</v>
      </c>
      <c r="AZ26" s="22">
        <f t="shared" si="25"/>
        <v>3.4500000000000003E-2</v>
      </c>
      <c r="BA26" s="22">
        <f t="shared" si="25"/>
        <v>3.4500000000000003E-2</v>
      </c>
      <c r="BB26" s="22">
        <f t="shared" si="25"/>
        <v>3.4500000000000003E-2</v>
      </c>
      <c r="BC26" s="22">
        <f t="shared" si="25"/>
        <v>3.4500000000000003E-2</v>
      </c>
      <c r="BD26" s="22">
        <f t="shared" si="25"/>
        <v>3.4500000000000003E-2</v>
      </c>
      <c r="BE26" s="22">
        <f t="shared" si="25"/>
        <v>3.4500000000000003E-2</v>
      </c>
      <c r="BF26" s="22">
        <f t="shared" si="25"/>
        <v>3.4500000000000003E-2</v>
      </c>
      <c r="BG26" s="22">
        <f t="shared" si="25"/>
        <v>3.4500000000000003E-2</v>
      </c>
      <c r="BH26" s="22">
        <f t="shared" si="25"/>
        <v>3.4699999999999995E-2</v>
      </c>
      <c r="BI26" s="22">
        <f t="shared" si="25"/>
        <v>3.4699999999999995E-2</v>
      </c>
      <c r="BJ26" s="22">
        <f t="shared" si="25"/>
        <v>3.4699999999999995E-2</v>
      </c>
      <c r="BK26" s="22">
        <f t="shared" si="25"/>
        <v>3.4699999999999995E-2</v>
      </c>
      <c r="BL26" s="22">
        <f t="shared" si="25"/>
        <v>3.4699999999999995E-2</v>
      </c>
      <c r="BM26" s="22">
        <f t="shared" si="25"/>
        <v>3.4699999999999995E-2</v>
      </c>
      <c r="BN26" s="22">
        <f t="shared" si="25"/>
        <v>3.4699999999999995E-2</v>
      </c>
      <c r="BO26" s="22">
        <f t="shared" si="25"/>
        <v>3.4699999999999995E-2</v>
      </c>
      <c r="BP26" s="22">
        <f t="shared" si="25"/>
        <v>3.4699999999999995E-2</v>
      </c>
      <c r="BQ26" s="22">
        <f t="shared" si="25"/>
        <v>3.4699999999999995E-2</v>
      </c>
      <c r="BR26" s="22">
        <f t="shared" si="25"/>
        <v>3.4699999999999995E-2</v>
      </c>
      <c r="BS26" s="22">
        <f t="shared" si="25"/>
        <v>3.4699999999999995E-2</v>
      </c>
      <c r="BT26" s="22">
        <f t="shared" si="25"/>
        <v>3.4699999999999995E-2</v>
      </c>
      <c r="BU26" s="22">
        <f t="shared" si="25"/>
        <v>3.4699999999999995E-2</v>
      </c>
      <c r="BV26" s="22">
        <f t="shared" si="25"/>
        <v>3.4699999999999995E-2</v>
      </c>
      <c r="BW26" s="22">
        <f t="shared" si="25"/>
        <v>3.4699999999999995E-2</v>
      </c>
      <c r="BX26" s="22">
        <f t="shared" ref="BX26:DQ26" si="26">SUM(BX24:BX25)</f>
        <v>3.4699999999999995E-2</v>
      </c>
      <c r="BY26" s="22">
        <f t="shared" si="26"/>
        <v>3.4699999999999995E-2</v>
      </c>
      <c r="BZ26" s="22">
        <f t="shared" si="26"/>
        <v>3.4699999999999995E-2</v>
      </c>
      <c r="CA26" s="22">
        <f t="shared" si="26"/>
        <v>3.4699999999999995E-2</v>
      </c>
      <c r="CB26" s="22">
        <f t="shared" si="26"/>
        <v>3.5000000000000003E-2</v>
      </c>
      <c r="CC26" s="22">
        <f t="shared" si="26"/>
        <v>3.5000000000000003E-2</v>
      </c>
      <c r="CD26" s="22">
        <f t="shared" si="26"/>
        <v>3.5000000000000003E-2</v>
      </c>
      <c r="CE26" s="22">
        <f t="shared" si="26"/>
        <v>3.5000000000000003E-2</v>
      </c>
      <c r="CF26" s="22">
        <f t="shared" si="26"/>
        <v>3.5000000000000003E-2</v>
      </c>
      <c r="CG26" s="22">
        <f t="shared" si="26"/>
        <v>3.5000000000000003E-2</v>
      </c>
      <c r="CH26" s="22">
        <f t="shared" si="26"/>
        <v>3.5000000000000003E-2</v>
      </c>
      <c r="CI26" s="22">
        <f t="shared" si="26"/>
        <v>3.5000000000000003E-2</v>
      </c>
      <c r="CJ26" s="22">
        <f t="shared" si="26"/>
        <v>3.5000000000000003E-2</v>
      </c>
      <c r="CK26" s="22">
        <f t="shared" si="26"/>
        <v>3.5000000000000003E-2</v>
      </c>
      <c r="CL26" s="22">
        <f t="shared" si="26"/>
        <v>3.5000000000000003E-2</v>
      </c>
      <c r="CM26" s="22">
        <f t="shared" si="26"/>
        <v>3.5000000000000003E-2</v>
      </c>
      <c r="CN26" s="22">
        <f t="shared" si="26"/>
        <v>3.5000000000000003E-2</v>
      </c>
      <c r="CO26" s="22">
        <f t="shared" si="26"/>
        <v>3.5000000000000003E-2</v>
      </c>
      <c r="CP26" s="22">
        <f t="shared" si="26"/>
        <v>3.5000000000000003E-2</v>
      </c>
      <c r="CQ26" s="22">
        <f t="shared" si="26"/>
        <v>3.5000000000000003E-2</v>
      </c>
      <c r="CR26" s="22">
        <f t="shared" si="26"/>
        <v>3.5000000000000003E-2</v>
      </c>
      <c r="CS26" s="22">
        <f t="shared" si="26"/>
        <v>3.5000000000000003E-2</v>
      </c>
      <c r="CT26" s="22">
        <f t="shared" si="26"/>
        <v>3.5000000000000003E-2</v>
      </c>
      <c r="CU26" s="22">
        <f t="shared" si="26"/>
        <v>3.5000000000000003E-2</v>
      </c>
      <c r="CV26" s="22">
        <f t="shared" si="26"/>
        <v>3.5000000000000003E-2</v>
      </c>
      <c r="CW26" s="22">
        <f t="shared" si="26"/>
        <v>3.5000000000000003E-2</v>
      </c>
      <c r="CX26" s="22">
        <f t="shared" si="26"/>
        <v>3.5000000000000003E-2</v>
      </c>
      <c r="CY26" s="22">
        <f t="shared" si="26"/>
        <v>3.5000000000000003E-2</v>
      </c>
      <c r="CZ26" s="22">
        <f t="shared" si="26"/>
        <v>3.5000000000000003E-2</v>
      </c>
      <c r="DA26" s="22">
        <f t="shared" si="26"/>
        <v>3.5000000000000003E-2</v>
      </c>
      <c r="DB26" s="22">
        <f t="shared" si="26"/>
        <v>3.5000000000000003E-2</v>
      </c>
      <c r="DC26" s="22">
        <f t="shared" si="26"/>
        <v>3.5000000000000003E-2</v>
      </c>
      <c r="DD26" s="22">
        <f t="shared" si="26"/>
        <v>3.5000000000000003E-2</v>
      </c>
      <c r="DE26" s="22">
        <f t="shared" si="26"/>
        <v>3.5000000000000003E-2</v>
      </c>
      <c r="DF26" s="22">
        <f t="shared" si="26"/>
        <v>3.5000000000000003E-2</v>
      </c>
      <c r="DG26" s="22">
        <f t="shared" si="26"/>
        <v>3.5000000000000003E-2</v>
      </c>
      <c r="DH26" s="22">
        <f t="shared" si="26"/>
        <v>3.5000000000000003E-2</v>
      </c>
      <c r="DI26" s="22">
        <f t="shared" si="26"/>
        <v>3.5000000000000003E-2</v>
      </c>
      <c r="DJ26" s="22">
        <f t="shared" si="26"/>
        <v>3.5000000000000003E-2</v>
      </c>
      <c r="DK26" s="22">
        <f t="shared" si="26"/>
        <v>3.5000000000000003E-2</v>
      </c>
      <c r="DL26" s="22">
        <f t="shared" si="26"/>
        <v>3.5000000000000003E-2</v>
      </c>
      <c r="DM26" s="22">
        <f t="shared" si="26"/>
        <v>3.5000000000000003E-2</v>
      </c>
      <c r="DN26" s="22">
        <f t="shared" si="26"/>
        <v>3.5000000000000003E-2</v>
      </c>
      <c r="DO26" s="22">
        <f t="shared" si="26"/>
        <v>3.5000000000000003E-2</v>
      </c>
      <c r="DP26" s="22">
        <f t="shared" si="26"/>
        <v>3.5000000000000003E-2</v>
      </c>
      <c r="DQ26" s="22">
        <f t="shared" si="26"/>
        <v>3.5000000000000003E-2</v>
      </c>
    </row>
    <row r="28" spans="3:121" x14ac:dyDescent="0.35">
      <c r="C28" s="20" t="s">
        <v>284</v>
      </c>
      <c r="K28" s="22">
        <f>K26/12*K5</f>
        <v>2.7500000000000003E-3</v>
      </c>
      <c r="L28" s="22">
        <f t="shared" ref="L28:BW28" si="27">L26/12*L5</f>
        <v>2.7500000000000003E-3</v>
      </c>
      <c r="M28" s="22">
        <f t="shared" si="27"/>
        <v>2.7500000000000003E-3</v>
      </c>
      <c r="N28" s="22">
        <f t="shared" si="27"/>
        <v>2.7500000000000003E-3</v>
      </c>
      <c r="O28" s="22">
        <f t="shared" si="27"/>
        <v>2.7500000000000003E-3</v>
      </c>
      <c r="P28" s="22">
        <f t="shared" si="27"/>
        <v>2.7500000000000003E-3</v>
      </c>
      <c r="Q28" s="22">
        <f t="shared" si="27"/>
        <v>2.7500000000000003E-3</v>
      </c>
      <c r="R28" s="22">
        <f t="shared" si="27"/>
        <v>2.7500000000000003E-3</v>
      </c>
      <c r="S28" s="22">
        <f t="shared" si="27"/>
        <v>2.7500000000000003E-3</v>
      </c>
      <c r="T28" s="22">
        <f t="shared" si="27"/>
        <v>8.5000000000000006E-3</v>
      </c>
      <c r="U28" s="22">
        <f t="shared" si="27"/>
        <v>8.5000000000000006E-3</v>
      </c>
      <c r="V28" s="22">
        <f t="shared" si="27"/>
        <v>8.5000000000000006E-3</v>
      </c>
      <c r="W28" s="22">
        <f t="shared" si="27"/>
        <v>8.5000000000000006E-3</v>
      </c>
      <c r="X28" s="22">
        <f t="shared" si="27"/>
        <v>8.5000000000000006E-3</v>
      </c>
      <c r="Y28" s="22">
        <f t="shared" si="27"/>
        <v>8.5000000000000006E-3</v>
      </c>
      <c r="Z28" s="22">
        <f t="shared" si="27"/>
        <v>8.5000000000000006E-3</v>
      </c>
      <c r="AA28" s="22">
        <f t="shared" si="27"/>
        <v>8.5000000000000006E-3</v>
      </c>
      <c r="AB28" s="22">
        <f t="shared" si="27"/>
        <v>8.5000000000000006E-3</v>
      </c>
      <c r="AC28" s="22">
        <f t="shared" si="27"/>
        <v>8.5000000000000006E-3</v>
      </c>
      <c r="AD28" s="22">
        <f t="shared" si="27"/>
        <v>8.5000000000000006E-3</v>
      </c>
      <c r="AE28" s="22">
        <f t="shared" si="27"/>
        <v>8.5000000000000006E-3</v>
      </c>
      <c r="AF28" s="22">
        <f t="shared" si="27"/>
        <v>8.5000000000000006E-3</v>
      </c>
      <c r="AG28" s="22">
        <f t="shared" si="27"/>
        <v>8.5000000000000006E-3</v>
      </c>
      <c r="AH28" s="22">
        <f t="shared" si="27"/>
        <v>8.5000000000000006E-3</v>
      </c>
      <c r="AI28" s="22">
        <f t="shared" si="27"/>
        <v>8.5000000000000006E-3</v>
      </c>
      <c r="AJ28" s="22">
        <f t="shared" si="27"/>
        <v>8.5000000000000006E-3</v>
      </c>
      <c r="AK28" s="22">
        <f t="shared" si="27"/>
        <v>8.5000000000000006E-3</v>
      </c>
      <c r="AL28" s="22">
        <f t="shared" si="27"/>
        <v>8.5000000000000006E-3</v>
      </c>
      <c r="AM28" s="22">
        <f t="shared" si="27"/>
        <v>8.5000000000000006E-3</v>
      </c>
      <c r="AN28" s="22">
        <f t="shared" si="27"/>
        <v>8.6250000000000007E-3</v>
      </c>
      <c r="AO28" s="22">
        <f t="shared" si="27"/>
        <v>8.6250000000000007E-3</v>
      </c>
      <c r="AP28" s="22">
        <f t="shared" si="27"/>
        <v>8.6250000000000007E-3</v>
      </c>
      <c r="AQ28" s="22">
        <f t="shared" si="27"/>
        <v>8.6250000000000007E-3</v>
      </c>
      <c r="AR28" s="22">
        <f t="shared" si="27"/>
        <v>8.6250000000000007E-3</v>
      </c>
      <c r="AS28" s="22">
        <f t="shared" si="27"/>
        <v>8.6250000000000007E-3</v>
      </c>
      <c r="AT28" s="22">
        <f t="shared" si="27"/>
        <v>8.6250000000000007E-3</v>
      </c>
      <c r="AU28" s="22">
        <f t="shared" si="27"/>
        <v>8.6250000000000007E-3</v>
      </c>
      <c r="AV28" s="22">
        <f t="shared" si="27"/>
        <v>8.6250000000000007E-3</v>
      </c>
      <c r="AW28" s="22">
        <f t="shared" si="27"/>
        <v>8.6250000000000007E-3</v>
      </c>
      <c r="AX28" s="22">
        <f t="shared" si="27"/>
        <v>8.6250000000000007E-3</v>
      </c>
      <c r="AY28" s="22">
        <f t="shared" si="27"/>
        <v>8.6250000000000007E-3</v>
      </c>
      <c r="AZ28" s="22">
        <f t="shared" si="27"/>
        <v>8.6250000000000007E-3</v>
      </c>
      <c r="BA28" s="22">
        <f t="shared" si="27"/>
        <v>8.6250000000000007E-3</v>
      </c>
      <c r="BB28" s="22">
        <f t="shared" si="27"/>
        <v>8.6250000000000007E-3</v>
      </c>
      <c r="BC28" s="22">
        <f t="shared" si="27"/>
        <v>8.6250000000000007E-3</v>
      </c>
      <c r="BD28" s="22">
        <f t="shared" si="27"/>
        <v>8.6250000000000007E-3</v>
      </c>
      <c r="BE28" s="22">
        <f t="shared" si="27"/>
        <v>8.6250000000000007E-3</v>
      </c>
      <c r="BF28" s="22">
        <f t="shared" si="27"/>
        <v>8.6250000000000007E-3</v>
      </c>
      <c r="BG28" s="22">
        <f t="shared" si="27"/>
        <v>8.6250000000000007E-3</v>
      </c>
      <c r="BH28" s="22">
        <f t="shared" si="27"/>
        <v>8.6749999999999987E-3</v>
      </c>
      <c r="BI28" s="22">
        <f t="shared" si="27"/>
        <v>8.6749999999999987E-3</v>
      </c>
      <c r="BJ28" s="22">
        <f t="shared" si="27"/>
        <v>8.6749999999999987E-3</v>
      </c>
      <c r="BK28" s="22">
        <f t="shared" si="27"/>
        <v>8.6749999999999987E-3</v>
      </c>
      <c r="BL28" s="22">
        <f t="shared" si="27"/>
        <v>8.6749999999999987E-3</v>
      </c>
      <c r="BM28" s="22">
        <f t="shared" si="27"/>
        <v>8.6749999999999987E-3</v>
      </c>
      <c r="BN28" s="22">
        <f t="shared" si="27"/>
        <v>8.6749999999999987E-3</v>
      </c>
      <c r="BO28" s="22">
        <f t="shared" si="27"/>
        <v>8.6749999999999987E-3</v>
      </c>
      <c r="BP28" s="22">
        <f t="shared" si="27"/>
        <v>8.6749999999999987E-3</v>
      </c>
      <c r="BQ28" s="22">
        <f t="shared" si="27"/>
        <v>8.6749999999999987E-3</v>
      </c>
      <c r="BR28" s="22">
        <f t="shared" si="27"/>
        <v>8.6749999999999987E-3</v>
      </c>
      <c r="BS28" s="22">
        <f t="shared" si="27"/>
        <v>8.6749999999999987E-3</v>
      </c>
      <c r="BT28" s="22">
        <f t="shared" si="27"/>
        <v>8.6749999999999987E-3</v>
      </c>
      <c r="BU28" s="22">
        <f t="shared" si="27"/>
        <v>8.6749999999999987E-3</v>
      </c>
      <c r="BV28" s="22">
        <f t="shared" si="27"/>
        <v>8.6749999999999987E-3</v>
      </c>
      <c r="BW28" s="22">
        <f t="shared" si="27"/>
        <v>8.6749999999999987E-3</v>
      </c>
      <c r="BX28" s="22">
        <f t="shared" ref="BX28:DQ28" si="28">BX26/12*BX5</f>
        <v>8.6749999999999987E-3</v>
      </c>
      <c r="BY28" s="22">
        <f t="shared" si="28"/>
        <v>8.6749999999999987E-3</v>
      </c>
      <c r="BZ28" s="22">
        <f t="shared" si="28"/>
        <v>8.6749999999999987E-3</v>
      </c>
      <c r="CA28" s="22">
        <f t="shared" si="28"/>
        <v>8.6749999999999987E-3</v>
      </c>
      <c r="CB28" s="22">
        <f t="shared" si="28"/>
        <v>8.7500000000000008E-3</v>
      </c>
      <c r="CC28" s="22">
        <f t="shared" si="28"/>
        <v>8.7500000000000008E-3</v>
      </c>
      <c r="CD28" s="22">
        <f t="shared" si="28"/>
        <v>8.7500000000000008E-3</v>
      </c>
      <c r="CE28" s="22">
        <f t="shared" si="28"/>
        <v>8.7500000000000008E-3</v>
      </c>
      <c r="CF28" s="22">
        <f t="shared" si="28"/>
        <v>8.7500000000000008E-3</v>
      </c>
      <c r="CG28" s="22">
        <f t="shared" si="28"/>
        <v>8.7500000000000008E-3</v>
      </c>
      <c r="CH28" s="22">
        <f t="shared" si="28"/>
        <v>8.7500000000000008E-3</v>
      </c>
      <c r="CI28" s="22">
        <f t="shared" si="28"/>
        <v>8.7500000000000008E-3</v>
      </c>
      <c r="CJ28" s="22">
        <f t="shared" si="28"/>
        <v>8.7500000000000008E-3</v>
      </c>
      <c r="CK28" s="22">
        <f t="shared" si="28"/>
        <v>8.7500000000000008E-3</v>
      </c>
      <c r="CL28" s="22">
        <f t="shared" si="28"/>
        <v>8.7500000000000008E-3</v>
      </c>
      <c r="CM28" s="22">
        <f t="shared" si="28"/>
        <v>8.7500000000000008E-3</v>
      </c>
      <c r="CN28" s="22">
        <f t="shared" si="28"/>
        <v>8.7500000000000008E-3</v>
      </c>
      <c r="CO28" s="22">
        <f t="shared" si="28"/>
        <v>8.7500000000000008E-3</v>
      </c>
      <c r="CP28" s="22">
        <f t="shared" si="28"/>
        <v>8.7500000000000008E-3</v>
      </c>
      <c r="CQ28" s="22">
        <f t="shared" si="28"/>
        <v>8.7500000000000008E-3</v>
      </c>
      <c r="CR28" s="22">
        <f t="shared" si="28"/>
        <v>8.7500000000000008E-3</v>
      </c>
      <c r="CS28" s="22">
        <f t="shared" si="28"/>
        <v>8.7500000000000008E-3</v>
      </c>
      <c r="CT28" s="22">
        <f t="shared" si="28"/>
        <v>8.7500000000000008E-3</v>
      </c>
      <c r="CU28" s="22">
        <f t="shared" si="28"/>
        <v>8.7500000000000008E-3</v>
      </c>
      <c r="CV28" s="22">
        <f t="shared" si="28"/>
        <v>8.7500000000000008E-3</v>
      </c>
      <c r="CW28" s="22">
        <f t="shared" si="28"/>
        <v>8.7500000000000008E-3</v>
      </c>
      <c r="CX28" s="22">
        <f t="shared" si="28"/>
        <v>8.7500000000000008E-3</v>
      </c>
      <c r="CY28" s="22">
        <f t="shared" si="28"/>
        <v>8.7500000000000008E-3</v>
      </c>
      <c r="CZ28" s="22">
        <f t="shared" si="28"/>
        <v>8.7500000000000008E-3</v>
      </c>
      <c r="DA28" s="22">
        <f t="shared" si="28"/>
        <v>8.7500000000000008E-3</v>
      </c>
      <c r="DB28" s="22">
        <f t="shared" si="28"/>
        <v>8.7500000000000008E-3</v>
      </c>
      <c r="DC28" s="22">
        <f t="shared" si="28"/>
        <v>8.7500000000000008E-3</v>
      </c>
      <c r="DD28" s="22">
        <f t="shared" si="28"/>
        <v>8.7500000000000008E-3</v>
      </c>
      <c r="DE28" s="22">
        <f t="shared" si="28"/>
        <v>8.7500000000000008E-3</v>
      </c>
      <c r="DF28" s="22">
        <f t="shared" si="28"/>
        <v>8.7500000000000008E-3</v>
      </c>
      <c r="DG28" s="22">
        <f t="shared" si="28"/>
        <v>8.7500000000000008E-3</v>
      </c>
      <c r="DH28" s="22">
        <f t="shared" si="28"/>
        <v>8.7500000000000008E-3</v>
      </c>
      <c r="DI28" s="22">
        <f t="shared" si="28"/>
        <v>8.7500000000000008E-3</v>
      </c>
      <c r="DJ28" s="22">
        <f t="shared" si="28"/>
        <v>8.7500000000000008E-3</v>
      </c>
      <c r="DK28" s="22">
        <f t="shared" si="28"/>
        <v>8.7500000000000008E-3</v>
      </c>
      <c r="DL28" s="22">
        <f t="shared" si="28"/>
        <v>8.7500000000000008E-3</v>
      </c>
      <c r="DM28" s="22">
        <f t="shared" si="28"/>
        <v>8.7500000000000008E-3</v>
      </c>
      <c r="DN28" s="22">
        <f t="shared" si="28"/>
        <v>8.7500000000000008E-3</v>
      </c>
      <c r="DO28" s="22">
        <f t="shared" si="28"/>
        <v>8.7500000000000008E-3</v>
      </c>
      <c r="DP28" s="22">
        <f t="shared" si="28"/>
        <v>8.7500000000000008E-3</v>
      </c>
      <c r="DQ28" s="22">
        <f t="shared" si="28"/>
        <v>8.7500000000000008E-3</v>
      </c>
    </row>
    <row r="29" spans="3:121" x14ac:dyDescent="0.35">
      <c r="C29" s="20" t="s">
        <v>285</v>
      </c>
      <c r="J29" s="32">
        <v>1</v>
      </c>
      <c r="K29" s="25">
        <f>J29*(1+K28*K10)</f>
        <v>1</v>
      </c>
      <c r="L29" s="25">
        <f t="shared" ref="L29:BW29" si="29">K29*(1+L28*L10)</f>
        <v>1</v>
      </c>
      <c r="M29" s="25">
        <f t="shared" si="29"/>
        <v>1</v>
      </c>
      <c r="N29" s="25">
        <f t="shared" si="29"/>
        <v>1</v>
      </c>
      <c r="O29" s="25">
        <f t="shared" si="29"/>
        <v>1</v>
      </c>
      <c r="P29" s="25">
        <f t="shared" si="29"/>
        <v>1</v>
      </c>
      <c r="Q29" s="25">
        <f t="shared" si="29"/>
        <v>1</v>
      </c>
      <c r="R29" s="25">
        <f t="shared" si="29"/>
        <v>1</v>
      </c>
      <c r="S29" s="25">
        <f t="shared" si="29"/>
        <v>1</v>
      </c>
      <c r="T29" s="25">
        <f t="shared" si="29"/>
        <v>1.0085</v>
      </c>
      <c r="U29" s="25">
        <f t="shared" si="29"/>
        <v>1.01707225</v>
      </c>
      <c r="V29" s="25">
        <f t="shared" si="29"/>
        <v>1.0257173641249999</v>
      </c>
      <c r="W29" s="25">
        <f t="shared" si="29"/>
        <v>1.0344359617200625</v>
      </c>
      <c r="X29" s="25">
        <f t="shared" si="29"/>
        <v>1.0432286673946829</v>
      </c>
      <c r="Y29" s="25">
        <f t="shared" si="29"/>
        <v>1.0520961110675378</v>
      </c>
      <c r="Z29" s="25">
        <f t="shared" si="29"/>
        <v>1.0610389280116117</v>
      </c>
      <c r="AA29" s="25">
        <f t="shared" si="29"/>
        <v>1.0700577588997104</v>
      </c>
      <c r="AB29" s="25">
        <f t="shared" si="29"/>
        <v>1.079153249850358</v>
      </c>
      <c r="AC29" s="25">
        <f t="shared" si="29"/>
        <v>1.0883260524740859</v>
      </c>
      <c r="AD29" s="25">
        <f t="shared" si="29"/>
        <v>1.0975768239201156</v>
      </c>
      <c r="AE29" s="25">
        <f t="shared" si="29"/>
        <v>1.1069062269234364</v>
      </c>
      <c r="AF29" s="25">
        <f t="shared" si="29"/>
        <v>1.1163149298522856</v>
      </c>
      <c r="AG29" s="25">
        <f t="shared" si="29"/>
        <v>1.12580360675603</v>
      </c>
      <c r="AH29" s="25">
        <f t="shared" si="29"/>
        <v>1.1353729374134562</v>
      </c>
      <c r="AI29" s="25">
        <f t="shared" si="29"/>
        <v>1.1450236073814706</v>
      </c>
      <c r="AJ29" s="25">
        <f t="shared" si="29"/>
        <v>1.1547563080442129</v>
      </c>
      <c r="AK29" s="25">
        <f t="shared" si="29"/>
        <v>1.1645717366625887</v>
      </c>
      <c r="AL29" s="25">
        <f t="shared" si="29"/>
        <v>1.1744705964242206</v>
      </c>
      <c r="AM29" s="25">
        <f t="shared" si="29"/>
        <v>1.1844535964938263</v>
      </c>
      <c r="AN29" s="25">
        <f t="shared" si="29"/>
        <v>1.1946695087635857</v>
      </c>
      <c r="AO29" s="25">
        <f t="shared" si="29"/>
        <v>1.2049735332766718</v>
      </c>
      <c r="AP29" s="25">
        <f t="shared" si="29"/>
        <v>1.2153664300011833</v>
      </c>
      <c r="AQ29" s="25">
        <f t="shared" si="29"/>
        <v>1.2258489654599436</v>
      </c>
      <c r="AR29" s="25">
        <f t="shared" si="29"/>
        <v>1.2364219127870357</v>
      </c>
      <c r="AS29" s="25">
        <f t="shared" si="29"/>
        <v>1.2470860517848241</v>
      </c>
      <c r="AT29" s="25">
        <f t="shared" si="29"/>
        <v>1.2578421689814683</v>
      </c>
      <c r="AU29" s="25">
        <f t="shared" si="29"/>
        <v>1.2686910576889336</v>
      </c>
      <c r="AV29" s="25">
        <f t="shared" si="29"/>
        <v>1.2796335180615008</v>
      </c>
      <c r="AW29" s="25">
        <f t="shared" si="29"/>
        <v>1.2906703571547815</v>
      </c>
      <c r="AX29" s="25">
        <f t="shared" si="29"/>
        <v>1.3018023889852417</v>
      </c>
      <c r="AY29" s="25">
        <f t="shared" si="29"/>
        <v>1.3130304345902395</v>
      </c>
      <c r="AZ29" s="25">
        <f t="shared" si="29"/>
        <v>1.3243553220885804</v>
      </c>
      <c r="BA29" s="25">
        <f t="shared" si="29"/>
        <v>1.3357778867415946</v>
      </c>
      <c r="BB29" s="25">
        <f t="shared" si="29"/>
        <v>1.3472989710147409</v>
      </c>
      <c r="BC29" s="25">
        <f t="shared" si="29"/>
        <v>1.3589194246397431</v>
      </c>
      <c r="BD29" s="25">
        <f t="shared" si="29"/>
        <v>1.3706401046772612</v>
      </c>
      <c r="BE29" s="25">
        <f t="shared" si="29"/>
        <v>1.3824618755801026</v>
      </c>
      <c r="BF29" s="25">
        <f t="shared" si="29"/>
        <v>1.3943856092569811</v>
      </c>
      <c r="BG29" s="25">
        <f t="shared" si="29"/>
        <v>1.4064121851368228</v>
      </c>
      <c r="BH29" s="25">
        <f t="shared" si="29"/>
        <v>1.4186128108428846</v>
      </c>
      <c r="BI29" s="25">
        <f t="shared" si="29"/>
        <v>1.4309192769769465</v>
      </c>
      <c r="BJ29" s="25">
        <f t="shared" si="29"/>
        <v>1.4433325017047216</v>
      </c>
      <c r="BK29" s="25">
        <f t="shared" si="29"/>
        <v>1.4558534111570101</v>
      </c>
      <c r="BL29" s="25">
        <f t="shared" si="29"/>
        <v>1.468482939498797</v>
      </c>
      <c r="BM29" s="25">
        <f t="shared" si="29"/>
        <v>1.4812220289989491</v>
      </c>
      <c r="BN29" s="25">
        <f t="shared" si="29"/>
        <v>1.494071630100515</v>
      </c>
      <c r="BO29" s="25">
        <f t="shared" si="29"/>
        <v>1.5070327014916369</v>
      </c>
      <c r="BP29" s="25">
        <f t="shared" si="29"/>
        <v>1.5201062101770768</v>
      </c>
      <c r="BQ29" s="25">
        <f t="shared" si="29"/>
        <v>1.5332931315503628</v>
      </c>
      <c r="BR29" s="25">
        <f t="shared" si="29"/>
        <v>1.5465944494665622</v>
      </c>
      <c r="BS29" s="25">
        <f t="shared" si="29"/>
        <v>1.5600111563156847</v>
      </c>
      <c r="BT29" s="25">
        <f t="shared" si="29"/>
        <v>1.5735442530967232</v>
      </c>
      <c r="BU29" s="25">
        <f t="shared" si="29"/>
        <v>1.5871947494923373</v>
      </c>
      <c r="BV29" s="25">
        <f t="shared" si="29"/>
        <v>1.6009636639441833</v>
      </c>
      <c r="BW29" s="25">
        <f t="shared" si="29"/>
        <v>1.614852023728899</v>
      </c>
      <c r="BX29" s="25">
        <f t="shared" ref="BX29:DQ29" si="30">BW29*(1+BX28*BX10)</f>
        <v>1.6288608650347471</v>
      </c>
      <c r="BY29" s="25">
        <f t="shared" si="30"/>
        <v>1.6429912330389236</v>
      </c>
      <c r="BZ29" s="25">
        <f t="shared" si="30"/>
        <v>1.6572441819855361</v>
      </c>
      <c r="CA29" s="25">
        <f t="shared" si="30"/>
        <v>1.6716207752642607</v>
      </c>
      <c r="CB29" s="25">
        <f t="shared" si="30"/>
        <v>1.686247457047823</v>
      </c>
      <c r="CC29" s="25">
        <f t="shared" si="30"/>
        <v>1.7010021222969915</v>
      </c>
      <c r="CD29" s="25">
        <f t="shared" si="30"/>
        <v>1.7158858908670902</v>
      </c>
      <c r="CE29" s="25">
        <f t="shared" si="30"/>
        <v>1.7308998924121772</v>
      </c>
      <c r="CF29" s="25">
        <f t="shared" si="30"/>
        <v>1.746045266470784</v>
      </c>
      <c r="CG29" s="25">
        <f t="shared" si="30"/>
        <v>1.7613231625524033</v>
      </c>
      <c r="CH29" s="25">
        <f t="shared" si="30"/>
        <v>1.7767347402247369</v>
      </c>
      <c r="CI29" s="25">
        <f t="shared" si="30"/>
        <v>1.7922811692017033</v>
      </c>
      <c r="CJ29" s="25">
        <f t="shared" si="30"/>
        <v>1.8079636294322183</v>
      </c>
      <c r="CK29" s="25">
        <f t="shared" si="30"/>
        <v>1.8237833111897503</v>
      </c>
      <c r="CL29" s="25">
        <f t="shared" si="30"/>
        <v>1.8397414151626608</v>
      </c>
      <c r="CM29" s="25">
        <f t="shared" si="30"/>
        <v>1.8558391525453342</v>
      </c>
      <c r="CN29" s="25">
        <f t="shared" si="30"/>
        <v>1.8720777451301058</v>
      </c>
      <c r="CO29" s="25">
        <f t="shared" si="30"/>
        <v>1.8884584253999943</v>
      </c>
      <c r="CP29" s="25">
        <f t="shared" si="30"/>
        <v>1.9049824366222443</v>
      </c>
      <c r="CQ29" s="25">
        <f t="shared" si="30"/>
        <v>1.921651032942689</v>
      </c>
      <c r="CR29" s="25">
        <f t="shared" si="30"/>
        <v>1.9384654794809377</v>
      </c>
      <c r="CS29" s="25">
        <f t="shared" si="30"/>
        <v>1.9554270524263959</v>
      </c>
      <c r="CT29" s="25">
        <f t="shared" si="30"/>
        <v>1.9725370391351269</v>
      </c>
      <c r="CU29" s="25">
        <f t="shared" si="30"/>
        <v>1.9897967382275594</v>
      </c>
      <c r="CV29" s="25">
        <f t="shared" si="30"/>
        <v>2.0072074596870508</v>
      </c>
      <c r="CW29" s="25">
        <f t="shared" si="30"/>
        <v>2.0247705249593126</v>
      </c>
      <c r="CX29" s="25">
        <f t="shared" si="30"/>
        <v>2.0424872670527066</v>
      </c>
      <c r="CY29" s="25">
        <f t="shared" si="30"/>
        <v>2.0603590306394177</v>
      </c>
      <c r="CZ29" s="25">
        <f t="shared" si="30"/>
        <v>2.0783871721575129</v>
      </c>
      <c r="DA29" s="25">
        <f t="shared" si="30"/>
        <v>2.0965730599138914</v>
      </c>
      <c r="DB29" s="25">
        <f t="shared" si="30"/>
        <v>2.1149180741881382</v>
      </c>
      <c r="DC29" s="25">
        <f t="shared" si="30"/>
        <v>2.1334236073372845</v>
      </c>
      <c r="DD29" s="25">
        <f t="shared" si="30"/>
        <v>2.1520910639014859</v>
      </c>
      <c r="DE29" s="25">
        <f t="shared" si="30"/>
        <v>2.170921860710624</v>
      </c>
      <c r="DF29" s="25">
        <f t="shared" si="30"/>
        <v>2.1899174269918422</v>
      </c>
      <c r="DG29" s="25">
        <f t="shared" si="30"/>
        <v>2.2090792044780208</v>
      </c>
      <c r="DH29" s="25">
        <f t="shared" si="30"/>
        <v>2.2284086475172034</v>
      </c>
      <c r="DI29" s="25">
        <f t="shared" si="30"/>
        <v>2.2479072231829789</v>
      </c>
      <c r="DJ29" s="25">
        <f t="shared" si="30"/>
        <v>2.2675764113858299</v>
      </c>
      <c r="DK29" s="25">
        <f t="shared" si="30"/>
        <v>2.2874177049854558</v>
      </c>
      <c r="DL29" s="25">
        <f t="shared" si="30"/>
        <v>2.3074326099040787</v>
      </c>
      <c r="DM29" s="25">
        <f t="shared" si="30"/>
        <v>2.3276226452407394</v>
      </c>
      <c r="DN29" s="25">
        <f t="shared" si="30"/>
        <v>2.3479893433865957</v>
      </c>
      <c r="DO29" s="25">
        <f t="shared" si="30"/>
        <v>2.3685342501412285</v>
      </c>
      <c r="DP29" s="25">
        <f t="shared" si="30"/>
        <v>2.3685342501412285</v>
      </c>
      <c r="DQ29" s="25">
        <f t="shared" si="30"/>
        <v>2.3685342501412285</v>
      </c>
    </row>
    <row r="30" spans="3:121" x14ac:dyDescent="0.3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row>
    <row r="31" spans="3:121" x14ac:dyDescent="0.35">
      <c r="C31" s="20" t="s">
        <v>286</v>
      </c>
      <c r="G31" s="20" cm="1">
        <f t="array" ref="G31">SUMPRODUCT(K22:DQ22/K29:DQ29)</f>
        <v>3409676.2875796319</v>
      </c>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row>
    <row r="32" spans="3:121" x14ac:dyDescent="0.3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row>
    <row r="33" spans="2:1006" x14ac:dyDescent="0.35">
      <c r="C33" s="20" t="s">
        <v>274</v>
      </c>
      <c r="J33" s="25"/>
      <c r="K33" s="23">
        <f>J36</f>
        <v>0</v>
      </c>
      <c r="L33" s="23">
        <f t="shared" ref="L33:BW33" si="31">K36</f>
        <v>0</v>
      </c>
      <c r="M33" s="23">
        <f t="shared" si="31"/>
        <v>0</v>
      </c>
      <c r="N33" s="23">
        <f t="shared" si="31"/>
        <v>0</v>
      </c>
      <c r="O33" s="23">
        <f t="shared" si="31"/>
        <v>0</v>
      </c>
      <c r="P33" s="23">
        <f t="shared" si="31"/>
        <v>0</v>
      </c>
      <c r="Q33" s="23">
        <f t="shared" si="31"/>
        <v>0</v>
      </c>
      <c r="R33" s="23">
        <f t="shared" si="31"/>
        <v>0</v>
      </c>
      <c r="S33" s="23">
        <f t="shared" si="31"/>
        <v>0</v>
      </c>
      <c r="T33" s="23">
        <f t="shared" si="31"/>
        <v>3409676.2875796319</v>
      </c>
      <c r="U33" s="23">
        <f t="shared" si="31"/>
        <v>3370035.6734946612</v>
      </c>
      <c r="V33" s="23">
        <f t="shared" si="31"/>
        <v>3362812.0710484278</v>
      </c>
      <c r="W33" s="23">
        <f t="shared" si="31"/>
        <v>3370431.4206537944</v>
      </c>
      <c r="X33" s="23">
        <f t="shared" si="31"/>
        <v>3343508.9546555481</v>
      </c>
      <c r="Y33" s="23">
        <f t="shared" si="31"/>
        <v>3303858.2551026829</v>
      </c>
      <c r="Z33" s="23">
        <f t="shared" si="31"/>
        <v>3296461.9711862877</v>
      </c>
      <c r="AA33" s="23">
        <f t="shared" si="31"/>
        <v>3303833.4667686373</v>
      </c>
      <c r="AB33" s="23">
        <f t="shared" si="31"/>
        <v>3276833.659796291</v>
      </c>
      <c r="AC33" s="23">
        <f t="shared" si="31"/>
        <v>3237167.5971972491</v>
      </c>
      <c r="AD33" s="23">
        <f t="shared" si="31"/>
        <v>3229594.1239727442</v>
      </c>
      <c r="AE33" s="23">
        <f t="shared" si="31"/>
        <v>3235259.0551224295</v>
      </c>
      <c r="AF33" s="23">
        <f t="shared" si="31"/>
        <v>3205540.498402094</v>
      </c>
      <c r="AG33" s="23">
        <f t="shared" si="31"/>
        <v>3162771.9702407233</v>
      </c>
      <c r="AH33" s="23">
        <f t="shared" si="31"/>
        <v>3153008.4588871147</v>
      </c>
      <c r="AI33" s="23">
        <f t="shared" si="31"/>
        <v>3157342.787037347</v>
      </c>
      <c r="AJ33" s="23">
        <f t="shared" si="31"/>
        <v>3125652.2716981424</v>
      </c>
      <c r="AK33" s="23">
        <f t="shared" si="31"/>
        <v>3080667.3764886772</v>
      </c>
      <c r="AL33" s="23">
        <f t="shared" si="31"/>
        <v>3069261.7634662245</v>
      </c>
      <c r="AM33" s="23">
        <f t="shared" si="31"/>
        <v>3073021.2994065373</v>
      </c>
      <c r="AN33" s="23">
        <f t="shared" si="31"/>
        <v>3040776.6053591929</v>
      </c>
      <c r="AO33" s="23">
        <f t="shared" si="31"/>
        <v>2995622.3552861642</v>
      </c>
      <c r="AP33" s="23">
        <f t="shared" si="31"/>
        <v>2984016.9789208695</v>
      </c>
      <c r="AQ33" s="23">
        <f t="shared" si="31"/>
        <v>2984488.1051766947</v>
      </c>
      <c r="AR33" s="23">
        <f t="shared" si="31"/>
        <v>2946480.1262667985</v>
      </c>
      <c r="AS33" s="23">
        <f t="shared" si="31"/>
        <v>2894244.0100918631</v>
      </c>
      <c r="AT33" s="23">
        <f t="shared" si="31"/>
        <v>2877797.3572373576</v>
      </c>
      <c r="AU33" s="23">
        <f t="shared" si="31"/>
        <v>2871995.8876056466</v>
      </c>
      <c r="AV33" s="23">
        <f t="shared" si="31"/>
        <v>2823267.7608222743</v>
      </c>
      <c r="AW33" s="23">
        <f t="shared" si="31"/>
        <v>2758630.3432342494</v>
      </c>
      <c r="AX33" s="23">
        <f t="shared" si="31"/>
        <v>2733807.4596996652</v>
      </c>
      <c r="AY33" s="23">
        <f t="shared" si="31"/>
        <v>2725436.9718623208</v>
      </c>
      <c r="AZ33" s="23">
        <f t="shared" si="31"/>
        <v>2672962.6987879882</v>
      </c>
      <c r="BA33" s="23">
        <f t="shared" si="31"/>
        <v>2604129.3481555111</v>
      </c>
      <c r="BB33" s="23">
        <f t="shared" si="31"/>
        <v>2576161.0938044544</v>
      </c>
      <c r="BC33" s="23">
        <f t="shared" si="31"/>
        <v>2566532.4814433097</v>
      </c>
      <c r="BD33" s="23">
        <f t="shared" si="31"/>
        <v>2512781.7939640144</v>
      </c>
      <c r="BE33" s="23">
        <f t="shared" si="31"/>
        <v>2442658.5574560184</v>
      </c>
      <c r="BF33" s="23">
        <f t="shared" si="31"/>
        <v>2413396.9778997609</v>
      </c>
      <c r="BG33" s="23">
        <f t="shared" si="31"/>
        <v>2400259.0270480826</v>
      </c>
      <c r="BH33" s="23">
        <f t="shared" si="31"/>
        <v>2341185.6668481347</v>
      </c>
      <c r="BI33" s="23">
        <f t="shared" si="31"/>
        <v>2265166.2849527788</v>
      </c>
      <c r="BJ33" s="23">
        <f t="shared" si="31"/>
        <v>2231631.3032403458</v>
      </c>
      <c r="BK33" s="23">
        <f t="shared" si="31"/>
        <v>2214453.4310117797</v>
      </c>
      <c r="BL33" s="23">
        <f t="shared" si="31"/>
        <v>2149135.6879689069</v>
      </c>
      <c r="BM33" s="23">
        <f t="shared" si="31"/>
        <v>2065913.6321427391</v>
      </c>
      <c r="BN33" s="23">
        <f t="shared" si="31"/>
        <v>2027153.5853244974</v>
      </c>
      <c r="BO33" s="23">
        <f t="shared" si="31"/>
        <v>2004683.6076636906</v>
      </c>
      <c r="BP33" s="23">
        <f t="shared" si="31"/>
        <v>1931106.5899896987</v>
      </c>
      <c r="BQ33" s="23">
        <f t="shared" si="31"/>
        <v>1838497.3593932344</v>
      </c>
      <c r="BR33" s="23">
        <f t="shared" si="31"/>
        <v>1793016.4176602664</v>
      </c>
      <c r="BS33" s="23">
        <f t="shared" si="31"/>
        <v>1765257.5670197951</v>
      </c>
      <c r="BT33" s="23">
        <f t="shared" si="31"/>
        <v>1683632.8080858982</v>
      </c>
      <c r="BU33" s="23">
        <f t="shared" si="31"/>
        <v>1581925.0974514356</v>
      </c>
      <c r="BV33" s="23">
        <f t="shared" si="31"/>
        <v>1529818.6218018432</v>
      </c>
      <c r="BW33" s="23">
        <f t="shared" si="31"/>
        <v>1502777.3693399038</v>
      </c>
      <c r="BX33" s="23">
        <f t="shared" ref="BX33:DQ33" si="32">BW36</f>
        <v>1445329.9477437995</v>
      </c>
      <c r="BY33" s="23">
        <f t="shared" si="32"/>
        <v>1373385.1642970587</v>
      </c>
      <c r="BZ33" s="23">
        <f t="shared" si="32"/>
        <v>1337290.9335258238</v>
      </c>
      <c r="CA33" s="23">
        <f t="shared" si="32"/>
        <v>1316543.7346181404</v>
      </c>
      <c r="CB33" s="23">
        <f t="shared" si="32"/>
        <v>1256313.9101864437</v>
      </c>
      <c r="CC33" s="23">
        <f t="shared" si="32"/>
        <v>1181455.4125801618</v>
      </c>
      <c r="CD33" s="23">
        <f t="shared" si="32"/>
        <v>1142941.2112382839</v>
      </c>
      <c r="CE33" s="23">
        <f t="shared" si="32"/>
        <v>1118212.1874553685</v>
      </c>
      <c r="CF33" s="23">
        <f t="shared" si="32"/>
        <v>1051981.1527844083</v>
      </c>
      <c r="CG33" s="23">
        <f t="shared" si="32"/>
        <v>970253.2117543295</v>
      </c>
      <c r="CH33" s="23">
        <f t="shared" si="32"/>
        <v>926674.68661928759</v>
      </c>
      <c r="CI33" s="23">
        <f t="shared" si="32"/>
        <v>898648.13344676513</v>
      </c>
      <c r="CJ33" s="23">
        <f t="shared" si="32"/>
        <v>827891.84135878587</v>
      </c>
      <c r="CK33" s="23">
        <f t="shared" si="32"/>
        <v>741165.64628921275</v>
      </c>
      <c r="CL33" s="23">
        <f t="shared" si="32"/>
        <v>693673.02975024236</v>
      </c>
      <c r="CM33" s="23">
        <f t="shared" si="32"/>
        <v>660116.02916240576</v>
      </c>
      <c r="CN33" s="23">
        <f t="shared" si="32"/>
        <v>580903.59582079342</v>
      </c>
      <c r="CO33" s="23">
        <f t="shared" si="32"/>
        <v>484606.85827070224</v>
      </c>
      <c r="CP33" s="23">
        <f t="shared" si="32"/>
        <v>430166.16339259106</v>
      </c>
      <c r="CQ33" s="23">
        <f t="shared" si="32"/>
        <v>391489.10609518329</v>
      </c>
      <c r="CR33" s="23">
        <f t="shared" si="32"/>
        <v>304778.16317784524</v>
      </c>
      <c r="CS33" s="23">
        <f t="shared" si="32"/>
        <v>200073.51047146926</v>
      </c>
      <c r="CT33" s="23">
        <f t="shared" si="32"/>
        <v>139346.32671224163</v>
      </c>
      <c r="CU33" s="23">
        <f t="shared" si="32"/>
        <v>95004.910296273272</v>
      </c>
      <c r="CV33" s="23">
        <f t="shared" si="32"/>
        <v>-3.5943230614066124E-9</v>
      </c>
      <c r="CW33" s="23">
        <f t="shared" si="32"/>
        <v>-3.6257733881939202E-9</v>
      </c>
      <c r="CX33" s="23">
        <f t="shared" si="32"/>
        <v>-3.6574989053406171E-9</v>
      </c>
      <c r="CY33" s="23">
        <f t="shared" si="32"/>
        <v>-3.6895020207623475E-9</v>
      </c>
      <c r="CZ33" s="23">
        <f t="shared" si="32"/>
        <v>-3.7217851634440179E-9</v>
      </c>
      <c r="DA33" s="23">
        <f t="shared" si="32"/>
        <v>-3.7543507836241534E-9</v>
      </c>
      <c r="DB33" s="23">
        <f t="shared" si="32"/>
        <v>-3.7872013529808644E-9</v>
      </c>
      <c r="DC33" s="23">
        <f t="shared" si="32"/>
        <v>-3.8203393648194472E-9</v>
      </c>
      <c r="DD33" s="23">
        <f t="shared" si="32"/>
        <v>-3.8537673342616171E-9</v>
      </c>
      <c r="DE33" s="23">
        <f t="shared" si="32"/>
        <v>-3.8874877984364064E-9</v>
      </c>
      <c r="DF33" s="23">
        <f t="shared" si="32"/>
        <v>-3.9215033166727252E-9</v>
      </c>
      <c r="DG33" s="23">
        <f t="shared" si="32"/>
        <v>-3.9558164706936115E-9</v>
      </c>
      <c r="DH33" s="23">
        <f t="shared" si="32"/>
        <v>-3.9904298648121803E-9</v>
      </c>
      <c r="DI33" s="23">
        <f t="shared" si="32"/>
        <v>-4.0253461261292872E-9</v>
      </c>
      <c r="DJ33" s="23">
        <f t="shared" si="32"/>
        <v>-4.0605679047329185E-9</v>
      </c>
      <c r="DK33" s="23">
        <f t="shared" si="32"/>
        <v>-4.0960978738993312E-9</v>
      </c>
      <c r="DL33" s="23">
        <f t="shared" si="32"/>
        <v>-4.1319387302959504E-9</v>
      </c>
      <c r="DM33" s="23">
        <f t="shared" si="32"/>
        <v>-4.1680931941860399E-9</v>
      </c>
      <c r="DN33" s="23">
        <f t="shared" si="32"/>
        <v>-4.2045640096351679E-9</v>
      </c>
      <c r="DO33" s="23">
        <f t="shared" si="32"/>
        <v>-4.2413539447194759E-9</v>
      </c>
      <c r="DP33" s="23">
        <f t="shared" si="32"/>
        <v>-4.2784657917357716E-9</v>
      </c>
      <c r="DQ33" s="23">
        <f t="shared" si="32"/>
        <v>-4.3159023674134595E-9</v>
      </c>
    </row>
    <row r="34" spans="2:1006" x14ac:dyDescent="0.35">
      <c r="C34" s="20" t="s">
        <v>330</v>
      </c>
      <c r="G34" s="46">
        <f>EDATE(Assumptions!F141,-1)</f>
        <v>42491</v>
      </c>
      <c r="H34" s="20">
        <f>G31</f>
        <v>3409676.2875796319</v>
      </c>
      <c r="J34" s="25"/>
      <c r="K34" s="23">
        <f>(K6=$G$34)*$H$34</f>
        <v>0</v>
      </c>
      <c r="L34" s="23">
        <f t="shared" ref="L34:BW34" si="33">(L6=$G$34)*$H$34</f>
        <v>0</v>
      </c>
      <c r="M34" s="23">
        <f t="shared" si="33"/>
        <v>0</v>
      </c>
      <c r="N34" s="23">
        <f t="shared" si="33"/>
        <v>0</v>
      </c>
      <c r="O34" s="23">
        <f t="shared" si="33"/>
        <v>0</v>
      </c>
      <c r="P34" s="23">
        <f t="shared" si="33"/>
        <v>0</v>
      </c>
      <c r="Q34" s="23">
        <f t="shared" si="33"/>
        <v>0</v>
      </c>
      <c r="R34" s="23">
        <f t="shared" si="33"/>
        <v>0</v>
      </c>
      <c r="S34" s="23">
        <f t="shared" si="33"/>
        <v>3409676.2875796319</v>
      </c>
      <c r="T34" s="23">
        <f t="shared" si="33"/>
        <v>0</v>
      </c>
      <c r="U34" s="23">
        <f t="shared" si="33"/>
        <v>0</v>
      </c>
      <c r="V34" s="23">
        <f t="shared" si="33"/>
        <v>0</v>
      </c>
      <c r="W34" s="23">
        <f t="shared" si="33"/>
        <v>0</v>
      </c>
      <c r="X34" s="23">
        <f t="shared" si="33"/>
        <v>0</v>
      </c>
      <c r="Y34" s="23">
        <f t="shared" si="33"/>
        <v>0</v>
      </c>
      <c r="Z34" s="23">
        <f t="shared" si="33"/>
        <v>0</v>
      </c>
      <c r="AA34" s="23">
        <f t="shared" si="33"/>
        <v>0</v>
      </c>
      <c r="AB34" s="23">
        <f t="shared" si="33"/>
        <v>0</v>
      </c>
      <c r="AC34" s="23">
        <f t="shared" si="33"/>
        <v>0</v>
      </c>
      <c r="AD34" s="23">
        <f t="shared" si="33"/>
        <v>0</v>
      </c>
      <c r="AE34" s="23">
        <f t="shared" si="33"/>
        <v>0</v>
      </c>
      <c r="AF34" s="23">
        <f t="shared" si="33"/>
        <v>0</v>
      </c>
      <c r="AG34" s="23">
        <f t="shared" si="33"/>
        <v>0</v>
      </c>
      <c r="AH34" s="23">
        <f t="shared" si="33"/>
        <v>0</v>
      </c>
      <c r="AI34" s="23">
        <f t="shared" si="33"/>
        <v>0</v>
      </c>
      <c r="AJ34" s="23">
        <f t="shared" si="33"/>
        <v>0</v>
      </c>
      <c r="AK34" s="23">
        <f t="shared" si="33"/>
        <v>0</v>
      </c>
      <c r="AL34" s="23">
        <f t="shared" si="33"/>
        <v>0</v>
      </c>
      <c r="AM34" s="23">
        <f t="shared" si="33"/>
        <v>0</v>
      </c>
      <c r="AN34" s="23">
        <f t="shared" si="33"/>
        <v>0</v>
      </c>
      <c r="AO34" s="23">
        <f t="shared" si="33"/>
        <v>0</v>
      </c>
      <c r="AP34" s="23">
        <f t="shared" si="33"/>
        <v>0</v>
      </c>
      <c r="AQ34" s="23">
        <f t="shared" si="33"/>
        <v>0</v>
      </c>
      <c r="AR34" s="23">
        <f t="shared" si="33"/>
        <v>0</v>
      </c>
      <c r="AS34" s="23">
        <f t="shared" si="33"/>
        <v>0</v>
      </c>
      <c r="AT34" s="23">
        <f t="shared" si="33"/>
        <v>0</v>
      </c>
      <c r="AU34" s="23">
        <f t="shared" si="33"/>
        <v>0</v>
      </c>
      <c r="AV34" s="23">
        <f t="shared" si="33"/>
        <v>0</v>
      </c>
      <c r="AW34" s="23">
        <f t="shared" si="33"/>
        <v>0</v>
      </c>
      <c r="AX34" s="23">
        <f t="shared" si="33"/>
        <v>0</v>
      </c>
      <c r="AY34" s="23">
        <f t="shared" si="33"/>
        <v>0</v>
      </c>
      <c r="AZ34" s="23">
        <f t="shared" si="33"/>
        <v>0</v>
      </c>
      <c r="BA34" s="23">
        <f t="shared" si="33"/>
        <v>0</v>
      </c>
      <c r="BB34" s="23">
        <f t="shared" si="33"/>
        <v>0</v>
      </c>
      <c r="BC34" s="23">
        <f t="shared" si="33"/>
        <v>0</v>
      </c>
      <c r="BD34" s="23">
        <f t="shared" si="33"/>
        <v>0</v>
      </c>
      <c r="BE34" s="23">
        <f t="shared" si="33"/>
        <v>0</v>
      </c>
      <c r="BF34" s="23">
        <f t="shared" si="33"/>
        <v>0</v>
      </c>
      <c r="BG34" s="23">
        <f t="shared" si="33"/>
        <v>0</v>
      </c>
      <c r="BH34" s="23">
        <f t="shared" si="33"/>
        <v>0</v>
      </c>
      <c r="BI34" s="23">
        <f t="shared" si="33"/>
        <v>0</v>
      </c>
      <c r="BJ34" s="23">
        <f t="shared" si="33"/>
        <v>0</v>
      </c>
      <c r="BK34" s="23">
        <f t="shared" si="33"/>
        <v>0</v>
      </c>
      <c r="BL34" s="23">
        <f t="shared" si="33"/>
        <v>0</v>
      </c>
      <c r="BM34" s="23">
        <f t="shared" si="33"/>
        <v>0</v>
      </c>
      <c r="BN34" s="23">
        <f t="shared" si="33"/>
        <v>0</v>
      </c>
      <c r="BO34" s="23">
        <f t="shared" si="33"/>
        <v>0</v>
      </c>
      <c r="BP34" s="23">
        <f t="shared" si="33"/>
        <v>0</v>
      </c>
      <c r="BQ34" s="23">
        <f t="shared" si="33"/>
        <v>0</v>
      </c>
      <c r="BR34" s="23">
        <f t="shared" si="33"/>
        <v>0</v>
      </c>
      <c r="BS34" s="23">
        <f t="shared" si="33"/>
        <v>0</v>
      </c>
      <c r="BT34" s="23">
        <f t="shared" si="33"/>
        <v>0</v>
      </c>
      <c r="BU34" s="23">
        <f t="shared" si="33"/>
        <v>0</v>
      </c>
      <c r="BV34" s="23">
        <f t="shared" si="33"/>
        <v>0</v>
      </c>
      <c r="BW34" s="23">
        <f t="shared" si="33"/>
        <v>0</v>
      </c>
      <c r="BX34" s="23">
        <f t="shared" ref="BX34:DQ34" si="34">(BX6=$G$34)*$H$34</f>
        <v>0</v>
      </c>
      <c r="BY34" s="23">
        <f t="shared" si="34"/>
        <v>0</v>
      </c>
      <c r="BZ34" s="23">
        <f t="shared" si="34"/>
        <v>0</v>
      </c>
      <c r="CA34" s="23">
        <f t="shared" si="34"/>
        <v>0</v>
      </c>
      <c r="CB34" s="23">
        <f t="shared" si="34"/>
        <v>0</v>
      </c>
      <c r="CC34" s="23">
        <f t="shared" si="34"/>
        <v>0</v>
      </c>
      <c r="CD34" s="23">
        <f t="shared" si="34"/>
        <v>0</v>
      </c>
      <c r="CE34" s="23">
        <f t="shared" si="34"/>
        <v>0</v>
      </c>
      <c r="CF34" s="23">
        <f t="shared" si="34"/>
        <v>0</v>
      </c>
      <c r="CG34" s="23">
        <f t="shared" si="34"/>
        <v>0</v>
      </c>
      <c r="CH34" s="23">
        <f t="shared" si="34"/>
        <v>0</v>
      </c>
      <c r="CI34" s="23">
        <f t="shared" si="34"/>
        <v>0</v>
      </c>
      <c r="CJ34" s="23">
        <f t="shared" si="34"/>
        <v>0</v>
      </c>
      <c r="CK34" s="23">
        <f t="shared" si="34"/>
        <v>0</v>
      </c>
      <c r="CL34" s="23">
        <f t="shared" si="34"/>
        <v>0</v>
      </c>
      <c r="CM34" s="23">
        <f t="shared" si="34"/>
        <v>0</v>
      </c>
      <c r="CN34" s="23">
        <f t="shared" si="34"/>
        <v>0</v>
      </c>
      <c r="CO34" s="23">
        <f t="shared" si="34"/>
        <v>0</v>
      </c>
      <c r="CP34" s="23">
        <f t="shared" si="34"/>
        <v>0</v>
      </c>
      <c r="CQ34" s="23">
        <f t="shared" si="34"/>
        <v>0</v>
      </c>
      <c r="CR34" s="23">
        <f t="shared" si="34"/>
        <v>0</v>
      </c>
      <c r="CS34" s="23">
        <f t="shared" si="34"/>
        <v>0</v>
      </c>
      <c r="CT34" s="23">
        <f t="shared" si="34"/>
        <v>0</v>
      </c>
      <c r="CU34" s="23">
        <f t="shared" si="34"/>
        <v>0</v>
      </c>
      <c r="CV34" s="23">
        <f t="shared" si="34"/>
        <v>0</v>
      </c>
      <c r="CW34" s="23">
        <f t="shared" si="34"/>
        <v>0</v>
      </c>
      <c r="CX34" s="23">
        <f t="shared" si="34"/>
        <v>0</v>
      </c>
      <c r="CY34" s="23">
        <f t="shared" si="34"/>
        <v>0</v>
      </c>
      <c r="CZ34" s="23">
        <f t="shared" si="34"/>
        <v>0</v>
      </c>
      <c r="DA34" s="23">
        <f t="shared" si="34"/>
        <v>0</v>
      </c>
      <c r="DB34" s="23">
        <f t="shared" si="34"/>
        <v>0</v>
      </c>
      <c r="DC34" s="23">
        <f t="shared" si="34"/>
        <v>0</v>
      </c>
      <c r="DD34" s="23">
        <f t="shared" si="34"/>
        <v>0</v>
      </c>
      <c r="DE34" s="23">
        <f t="shared" si="34"/>
        <v>0</v>
      </c>
      <c r="DF34" s="23">
        <f t="shared" si="34"/>
        <v>0</v>
      </c>
      <c r="DG34" s="23">
        <f t="shared" si="34"/>
        <v>0</v>
      </c>
      <c r="DH34" s="23">
        <f t="shared" si="34"/>
        <v>0</v>
      </c>
      <c r="DI34" s="23">
        <f t="shared" si="34"/>
        <v>0</v>
      </c>
      <c r="DJ34" s="23">
        <f t="shared" si="34"/>
        <v>0</v>
      </c>
      <c r="DK34" s="23">
        <f t="shared" si="34"/>
        <v>0</v>
      </c>
      <c r="DL34" s="23">
        <f t="shared" si="34"/>
        <v>0</v>
      </c>
      <c r="DM34" s="23">
        <f t="shared" si="34"/>
        <v>0</v>
      </c>
      <c r="DN34" s="23">
        <f t="shared" si="34"/>
        <v>0</v>
      </c>
      <c r="DO34" s="23">
        <f t="shared" si="34"/>
        <v>0</v>
      </c>
      <c r="DP34" s="23">
        <f t="shared" si="34"/>
        <v>0</v>
      </c>
      <c r="DQ34" s="23">
        <f t="shared" si="34"/>
        <v>0</v>
      </c>
    </row>
    <row r="35" spans="2:1006" x14ac:dyDescent="0.35">
      <c r="C35" s="20" t="s">
        <v>393</v>
      </c>
      <c r="J35" s="25"/>
      <c r="K35" s="23">
        <f>K22-K37</f>
        <v>0</v>
      </c>
      <c r="L35" s="23">
        <f t="shared" ref="L35:BW35" si="35">L22-L37</f>
        <v>0</v>
      </c>
      <c r="M35" s="23">
        <f t="shared" si="35"/>
        <v>0</v>
      </c>
      <c r="N35" s="23">
        <f t="shared" si="35"/>
        <v>0</v>
      </c>
      <c r="O35" s="23">
        <f t="shared" si="35"/>
        <v>0</v>
      </c>
      <c r="P35" s="23">
        <f t="shared" si="35"/>
        <v>0</v>
      </c>
      <c r="Q35" s="23">
        <f t="shared" si="35"/>
        <v>0</v>
      </c>
      <c r="R35" s="23">
        <f t="shared" si="35"/>
        <v>0</v>
      </c>
      <c r="S35" s="23">
        <f t="shared" si="35"/>
        <v>0</v>
      </c>
      <c r="T35" s="23">
        <f t="shared" si="35"/>
        <v>39640.614084970715</v>
      </c>
      <c r="U35" s="23">
        <f t="shared" si="35"/>
        <v>7223.6024462331916</v>
      </c>
      <c r="V35" s="23">
        <f t="shared" si="35"/>
        <v>-7619.3496053663657</v>
      </c>
      <c r="W35" s="23">
        <f t="shared" si="35"/>
        <v>26922.465998246145</v>
      </c>
      <c r="X35" s="23">
        <f t="shared" si="35"/>
        <v>39650.699552865452</v>
      </c>
      <c r="Y35" s="23">
        <f t="shared" si="35"/>
        <v>7396.2839163953358</v>
      </c>
      <c r="Z35" s="23">
        <f t="shared" si="35"/>
        <v>-7371.4955823496311</v>
      </c>
      <c r="AA35" s="23">
        <f t="shared" si="35"/>
        <v>26999.806972346491</v>
      </c>
      <c r="AB35" s="23">
        <f t="shared" si="35"/>
        <v>39666.062599041994</v>
      </c>
      <c r="AC35" s="23">
        <f t="shared" si="35"/>
        <v>7573.4732245048181</v>
      </c>
      <c r="AD35" s="23">
        <f t="shared" si="35"/>
        <v>-5664.9311496851442</v>
      </c>
      <c r="AE35" s="23">
        <f t="shared" si="35"/>
        <v>29718.556720335513</v>
      </c>
      <c r="AF35" s="23">
        <f t="shared" si="35"/>
        <v>42768.528161370705</v>
      </c>
      <c r="AG35" s="23">
        <f t="shared" si="35"/>
        <v>9763.5113536087229</v>
      </c>
      <c r="AH35" s="23">
        <f t="shared" si="35"/>
        <v>-4334.3281502322025</v>
      </c>
      <c r="AI35" s="23">
        <f t="shared" si="35"/>
        <v>31690.515339204536</v>
      </c>
      <c r="AJ35" s="23">
        <f t="shared" si="35"/>
        <v>44984.895209465169</v>
      </c>
      <c r="AK35" s="23">
        <f t="shared" si="35"/>
        <v>11405.613022452468</v>
      </c>
      <c r="AL35" s="23">
        <f t="shared" si="35"/>
        <v>-3759.5359403125512</v>
      </c>
      <c r="AM35" s="23">
        <f t="shared" si="35"/>
        <v>32244.694047344608</v>
      </c>
      <c r="AN35" s="23">
        <f t="shared" si="35"/>
        <v>45154.250073028699</v>
      </c>
      <c r="AO35" s="23">
        <f t="shared" si="35"/>
        <v>11605.376365294498</v>
      </c>
      <c r="AP35" s="23">
        <f t="shared" si="35"/>
        <v>-471.12625582538749</v>
      </c>
      <c r="AQ35" s="23">
        <f t="shared" si="35"/>
        <v>38007.978909896061</v>
      </c>
      <c r="AR35" s="23">
        <f t="shared" si="35"/>
        <v>52236.116174935443</v>
      </c>
      <c r="AS35" s="23">
        <f t="shared" si="35"/>
        <v>16446.652854505559</v>
      </c>
      <c r="AT35" s="23">
        <f t="shared" si="35"/>
        <v>5801.4696317112393</v>
      </c>
      <c r="AU35" s="23">
        <f t="shared" si="35"/>
        <v>48728.1267833725</v>
      </c>
      <c r="AV35" s="23">
        <f t="shared" si="35"/>
        <v>64637.417588024924</v>
      </c>
      <c r="AW35" s="23">
        <f t="shared" si="35"/>
        <v>24822.883534584198</v>
      </c>
      <c r="AX35" s="23">
        <f t="shared" si="35"/>
        <v>8370.4878373442116</v>
      </c>
      <c r="AY35" s="23">
        <f t="shared" si="35"/>
        <v>52474.273074332814</v>
      </c>
      <c r="AZ35" s="23">
        <f t="shared" si="35"/>
        <v>68833.350632477217</v>
      </c>
      <c r="BA35" s="23">
        <f>BA22-BA37</f>
        <v>27968.254351056672</v>
      </c>
      <c r="BB35" s="23">
        <f t="shared" si="35"/>
        <v>9628.6123611447401</v>
      </c>
      <c r="BC35" s="23">
        <f t="shared" si="35"/>
        <v>53750.687479295339</v>
      </c>
      <c r="BD35" s="23">
        <f t="shared" si="35"/>
        <v>70123.236507996073</v>
      </c>
      <c r="BE35" s="23">
        <f t="shared" si="35"/>
        <v>29261.579556257559</v>
      </c>
      <c r="BF35" s="23">
        <f t="shared" si="35"/>
        <v>13137.950851678394</v>
      </c>
      <c r="BG35" s="23">
        <f t="shared" si="35"/>
        <v>59073.360199947987</v>
      </c>
      <c r="BH35" s="23">
        <f t="shared" si="35"/>
        <v>76019.381895355808</v>
      </c>
      <c r="BI35" s="23">
        <f t="shared" si="35"/>
        <v>33534.981712433117</v>
      </c>
      <c r="BJ35" s="23">
        <f t="shared" si="35"/>
        <v>17177.872228566142</v>
      </c>
      <c r="BK35" s="23">
        <f t="shared" si="35"/>
        <v>65317.743042872549</v>
      </c>
      <c r="BL35" s="23">
        <f t="shared" si="35"/>
        <v>83222.05582616778</v>
      </c>
      <c r="BM35" s="23">
        <f t="shared" si="35"/>
        <v>38760.046818241739</v>
      </c>
      <c r="BN35" s="23">
        <f t="shared" si="35"/>
        <v>22469.977660806791</v>
      </c>
      <c r="BO35" s="23">
        <f t="shared" si="35"/>
        <v>73577.017673991795</v>
      </c>
      <c r="BP35" s="23">
        <f t="shared" si="35"/>
        <v>92609.230596464346</v>
      </c>
      <c r="BQ35" s="23">
        <f t="shared" si="35"/>
        <v>45480.941732968029</v>
      </c>
      <c r="BR35" s="23">
        <f t="shared" si="35"/>
        <v>27758.850640471232</v>
      </c>
      <c r="BS35" s="23">
        <f t="shared" si="35"/>
        <v>81624.758933896825</v>
      </c>
      <c r="BT35" s="23">
        <f t="shared" si="35"/>
        <v>101707.71063446243</v>
      </c>
      <c r="BU35" s="23">
        <f t="shared" si="35"/>
        <v>52106.475649592525</v>
      </c>
      <c r="BV35" s="23">
        <f t="shared" si="35"/>
        <v>27041.252461939253</v>
      </c>
      <c r="BW35" s="23">
        <f t="shared" si="35"/>
        <v>57447.421596104192</v>
      </c>
      <c r="BX35" s="23">
        <f t="shared" ref="BX35:DQ35" si="36">BX22-BX37</f>
        <v>71944.783446740912</v>
      </c>
      <c r="BY35" s="23">
        <f t="shared" si="36"/>
        <v>36094.230771234972</v>
      </c>
      <c r="BZ35" s="23">
        <f t="shared" si="36"/>
        <v>20747.198907683382</v>
      </c>
      <c r="CA35" s="23">
        <f t="shared" si="36"/>
        <v>60229.82443169663</v>
      </c>
      <c r="CB35" s="23">
        <f t="shared" si="36"/>
        <v>74858.497606281904</v>
      </c>
      <c r="CC35" s="23">
        <f t="shared" si="36"/>
        <v>38514.201341878019</v>
      </c>
      <c r="CD35" s="23">
        <f t="shared" si="36"/>
        <v>24729.023782915523</v>
      </c>
      <c r="CE35" s="23">
        <f t="shared" si="36"/>
        <v>66231.034670960144</v>
      </c>
      <c r="CF35" s="23">
        <f t="shared" si="36"/>
        <v>81727.941030078815</v>
      </c>
      <c r="CG35" s="23">
        <f t="shared" si="36"/>
        <v>43578.525135041877</v>
      </c>
      <c r="CH35" s="23">
        <f t="shared" si="36"/>
        <v>28026.553172522457</v>
      </c>
      <c r="CI35" s="23">
        <f t="shared" si="36"/>
        <v>70756.292087979265</v>
      </c>
      <c r="CJ35" s="23">
        <f t="shared" si="36"/>
        <v>86726.195069573121</v>
      </c>
      <c r="CK35" s="23">
        <f t="shared" si="36"/>
        <v>47492.61653897044</v>
      </c>
      <c r="CL35" s="23">
        <f t="shared" si="36"/>
        <v>33557.000587836563</v>
      </c>
      <c r="CM35" s="23">
        <f t="shared" si="36"/>
        <v>79212.433341612385</v>
      </c>
      <c r="CN35" s="23">
        <f t="shared" si="36"/>
        <v>96296.737550091158</v>
      </c>
      <c r="CO35" s="23">
        <f t="shared" si="36"/>
        <v>54440.694878111193</v>
      </c>
      <c r="CP35" s="23">
        <f t="shared" si="36"/>
        <v>38677.057297407773</v>
      </c>
      <c r="CQ35" s="23">
        <f t="shared" si="36"/>
        <v>86710.942917338063</v>
      </c>
      <c r="CR35" s="23">
        <f t="shared" si="36"/>
        <v>104704.652706376</v>
      </c>
      <c r="CS35" s="23">
        <f t="shared" si="36"/>
        <v>60727.183759227635</v>
      </c>
      <c r="CT35" s="23">
        <f t="shared" si="36"/>
        <v>44341.416415968364</v>
      </c>
      <c r="CU35" s="23">
        <f t="shared" si="36"/>
        <v>95004.910296276867</v>
      </c>
      <c r="CV35" s="23">
        <f t="shared" si="36"/>
        <v>3.1450326787307863E-11</v>
      </c>
      <c r="CW35" s="23">
        <f t="shared" si="36"/>
        <v>3.1725517146696805E-11</v>
      </c>
      <c r="CX35" s="23">
        <f t="shared" si="36"/>
        <v>3.2003115421730404E-11</v>
      </c>
      <c r="CY35" s="23">
        <f t="shared" si="36"/>
        <v>3.2283142681670542E-11</v>
      </c>
      <c r="CZ35" s="23">
        <f t="shared" si="36"/>
        <v>3.2565620180135163E-11</v>
      </c>
      <c r="DA35" s="23">
        <f t="shared" si="36"/>
        <v>3.2850569356711345E-11</v>
      </c>
      <c r="DB35" s="23">
        <f t="shared" si="36"/>
        <v>3.3138011838582564E-11</v>
      </c>
      <c r="DC35" s="23">
        <f t="shared" si="36"/>
        <v>3.3427969442170164E-11</v>
      </c>
      <c r="DD35" s="23">
        <f t="shared" si="36"/>
        <v>3.3720464174789154E-11</v>
      </c>
      <c r="DE35" s="23">
        <f t="shared" si="36"/>
        <v>3.4015518236318561E-11</v>
      </c>
      <c r="DF35" s="23">
        <f t="shared" si="36"/>
        <v>3.431315402088635E-11</v>
      </c>
      <c r="DG35" s="23">
        <f t="shared" si="36"/>
        <v>3.4613394118569101E-11</v>
      </c>
      <c r="DH35" s="23">
        <f t="shared" si="36"/>
        <v>3.4916261317106584E-11</v>
      </c>
      <c r="DI35" s="23">
        <f t="shared" si="36"/>
        <v>3.5221778603631266E-11</v>
      </c>
      <c r="DJ35" s="23">
        <f t="shared" si="36"/>
        <v>3.5529969166413043E-11</v>
      </c>
      <c r="DK35" s="23">
        <f t="shared" si="36"/>
        <v>3.584085639661915E-11</v>
      </c>
      <c r="DL35" s="23">
        <f t="shared" si="36"/>
        <v>3.6154463890089569E-11</v>
      </c>
      <c r="DM35" s="23">
        <f t="shared" si="36"/>
        <v>3.647081544912785E-11</v>
      </c>
      <c r="DN35" s="23">
        <f t="shared" si="36"/>
        <v>3.6789935084307726E-11</v>
      </c>
      <c r="DO35" s="23">
        <f t="shared" si="36"/>
        <v>3.7111847016295421E-11</v>
      </c>
      <c r="DP35" s="23">
        <f t="shared" si="36"/>
        <v>3.7436575677688005E-11</v>
      </c>
      <c r="DQ35" s="23">
        <f t="shared" si="36"/>
        <v>3.7764145714867776E-11</v>
      </c>
    </row>
    <row r="36" spans="2:1006" x14ac:dyDescent="0.35">
      <c r="C36" s="20" t="s">
        <v>277</v>
      </c>
      <c r="J36" s="25"/>
      <c r="K36" s="23">
        <f>K33+K34-K35</f>
        <v>0</v>
      </c>
      <c r="L36" s="23">
        <f t="shared" ref="L36:BW36" si="37">L33+L34-L35</f>
        <v>0</v>
      </c>
      <c r="M36" s="23">
        <f t="shared" si="37"/>
        <v>0</v>
      </c>
      <c r="N36" s="23">
        <f t="shared" si="37"/>
        <v>0</v>
      </c>
      <c r="O36" s="23">
        <f t="shared" si="37"/>
        <v>0</v>
      </c>
      <c r="P36" s="23">
        <f t="shared" si="37"/>
        <v>0</v>
      </c>
      <c r="Q36" s="23">
        <f t="shared" si="37"/>
        <v>0</v>
      </c>
      <c r="R36" s="23">
        <f t="shared" si="37"/>
        <v>0</v>
      </c>
      <c r="S36" s="23">
        <f t="shared" si="37"/>
        <v>3409676.2875796319</v>
      </c>
      <c r="T36" s="23">
        <f t="shared" si="37"/>
        <v>3370035.6734946612</v>
      </c>
      <c r="U36" s="23">
        <f t="shared" si="37"/>
        <v>3362812.0710484278</v>
      </c>
      <c r="V36" s="23">
        <f t="shared" si="37"/>
        <v>3370431.4206537944</v>
      </c>
      <c r="W36" s="23">
        <f t="shared" si="37"/>
        <v>3343508.9546555481</v>
      </c>
      <c r="X36" s="23">
        <f t="shared" si="37"/>
        <v>3303858.2551026829</v>
      </c>
      <c r="Y36" s="23">
        <f t="shared" si="37"/>
        <v>3296461.9711862877</v>
      </c>
      <c r="Z36" s="23">
        <f t="shared" si="37"/>
        <v>3303833.4667686373</v>
      </c>
      <c r="AA36" s="23">
        <f t="shared" si="37"/>
        <v>3276833.659796291</v>
      </c>
      <c r="AB36" s="23">
        <f t="shared" si="37"/>
        <v>3237167.5971972491</v>
      </c>
      <c r="AC36" s="23">
        <f t="shared" si="37"/>
        <v>3229594.1239727442</v>
      </c>
      <c r="AD36" s="23">
        <f t="shared" si="37"/>
        <v>3235259.0551224295</v>
      </c>
      <c r="AE36" s="23">
        <f t="shared" si="37"/>
        <v>3205540.498402094</v>
      </c>
      <c r="AF36" s="23">
        <f t="shared" si="37"/>
        <v>3162771.9702407233</v>
      </c>
      <c r="AG36" s="23">
        <f t="shared" si="37"/>
        <v>3153008.4588871147</v>
      </c>
      <c r="AH36" s="23">
        <f t="shared" si="37"/>
        <v>3157342.787037347</v>
      </c>
      <c r="AI36" s="23">
        <f t="shared" si="37"/>
        <v>3125652.2716981424</v>
      </c>
      <c r="AJ36" s="23">
        <f t="shared" si="37"/>
        <v>3080667.3764886772</v>
      </c>
      <c r="AK36" s="23">
        <f t="shared" si="37"/>
        <v>3069261.7634662245</v>
      </c>
      <c r="AL36" s="23">
        <f t="shared" si="37"/>
        <v>3073021.2994065373</v>
      </c>
      <c r="AM36" s="23">
        <f t="shared" si="37"/>
        <v>3040776.6053591929</v>
      </c>
      <c r="AN36" s="23">
        <f t="shared" si="37"/>
        <v>2995622.3552861642</v>
      </c>
      <c r="AO36" s="23">
        <f t="shared" si="37"/>
        <v>2984016.9789208695</v>
      </c>
      <c r="AP36" s="23">
        <f t="shared" si="37"/>
        <v>2984488.1051766947</v>
      </c>
      <c r="AQ36" s="23">
        <f t="shared" si="37"/>
        <v>2946480.1262667985</v>
      </c>
      <c r="AR36" s="23">
        <f t="shared" si="37"/>
        <v>2894244.0100918631</v>
      </c>
      <c r="AS36" s="23">
        <f t="shared" si="37"/>
        <v>2877797.3572373576</v>
      </c>
      <c r="AT36" s="23">
        <f t="shared" si="37"/>
        <v>2871995.8876056466</v>
      </c>
      <c r="AU36" s="23">
        <f t="shared" si="37"/>
        <v>2823267.7608222743</v>
      </c>
      <c r="AV36" s="23">
        <f t="shared" si="37"/>
        <v>2758630.3432342494</v>
      </c>
      <c r="AW36" s="23">
        <f t="shared" si="37"/>
        <v>2733807.4596996652</v>
      </c>
      <c r="AX36" s="23">
        <f t="shared" si="37"/>
        <v>2725436.9718623208</v>
      </c>
      <c r="AY36" s="23">
        <f t="shared" si="37"/>
        <v>2672962.6987879882</v>
      </c>
      <c r="AZ36" s="23">
        <f t="shared" si="37"/>
        <v>2604129.3481555111</v>
      </c>
      <c r="BA36" s="23">
        <f t="shared" si="37"/>
        <v>2576161.0938044544</v>
      </c>
      <c r="BB36" s="23">
        <f t="shared" si="37"/>
        <v>2566532.4814433097</v>
      </c>
      <c r="BC36" s="23">
        <f t="shared" si="37"/>
        <v>2512781.7939640144</v>
      </c>
      <c r="BD36" s="23">
        <f t="shared" si="37"/>
        <v>2442658.5574560184</v>
      </c>
      <c r="BE36" s="23">
        <f t="shared" si="37"/>
        <v>2413396.9778997609</v>
      </c>
      <c r="BF36" s="23">
        <f t="shared" si="37"/>
        <v>2400259.0270480826</v>
      </c>
      <c r="BG36" s="23">
        <f t="shared" si="37"/>
        <v>2341185.6668481347</v>
      </c>
      <c r="BH36" s="23">
        <f t="shared" si="37"/>
        <v>2265166.2849527788</v>
      </c>
      <c r="BI36" s="23">
        <f t="shared" si="37"/>
        <v>2231631.3032403458</v>
      </c>
      <c r="BJ36" s="23">
        <f t="shared" si="37"/>
        <v>2214453.4310117797</v>
      </c>
      <c r="BK36" s="23">
        <f t="shared" si="37"/>
        <v>2149135.6879689069</v>
      </c>
      <c r="BL36" s="23">
        <f t="shared" si="37"/>
        <v>2065913.6321427391</v>
      </c>
      <c r="BM36" s="23">
        <f t="shared" si="37"/>
        <v>2027153.5853244974</v>
      </c>
      <c r="BN36" s="23">
        <f t="shared" si="37"/>
        <v>2004683.6076636906</v>
      </c>
      <c r="BO36" s="23">
        <f t="shared" si="37"/>
        <v>1931106.5899896987</v>
      </c>
      <c r="BP36" s="23">
        <f t="shared" si="37"/>
        <v>1838497.3593932344</v>
      </c>
      <c r="BQ36" s="23">
        <f t="shared" si="37"/>
        <v>1793016.4176602664</v>
      </c>
      <c r="BR36" s="23">
        <f t="shared" si="37"/>
        <v>1765257.5670197951</v>
      </c>
      <c r="BS36" s="23">
        <f t="shared" si="37"/>
        <v>1683632.8080858982</v>
      </c>
      <c r="BT36" s="23">
        <f t="shared" si="37"/>
        <v>1581925.0974514356</v>
      </c>
      <c r="BU36" s="23">
        <f t="shared" si="37"/>
        <v>1529818.6218018432</v>
      </c>
      <c r="BV36" s="23">
        <f t="shared" si="37"/>
        <v>1502777.3693399038</v>
      </c>
      <c r="BW36" s="23">
        <f t="shared" si="37"/>
        <v>1445329.9477437995</v>
      </c>
      <c r="BX36" s="23">
        <f t="shared" ref="BX36:DQ36" si="38">BX33+BX34-BX35</f>
        <v>1373385.1642970587</v>
      </c>
      <c r="BY36" s="23">
        <f t="shared" si="38"/>
        <v>1337290.9335258238</v>
      </c>
      <c r="BZ36" s="23">
        <f t="shared" si="38"/>
        <v>1316543.7346181404</v>
      </c>
      <c r="CA36" s="23">
        <f t="shared" si="38"/>
        <v>1256313.9101864437</v>
      </c>
      <c r="CB36" s="23">
        <f t="shared" si="38"/>
        <v>1181455.4125801618</v>
      </c>
      <c r="CC36" s="23">
        <f t="shared" si="38"/>
        <v>1142941.2112382839</v>
      </c>
      <c r="CD36" s="23">
        <f t="shared" si="38"/>
        <v>1118212.1874553685</v>
      </c>
      <c r="CE36" s="23">
        <f t="shared" si="38"/>
        <v>1051981.1527844083</v>
      </c>
      <c r="CF36" s="23">
        <f t="shared" si="38"/>
        <v>970253.2117543295</v>
      </c>
      <c r="CG36" s="23">
        <f t="shared" si="38"/>
        <v>926674.68661928759</v>
      </c>
      <c r="CH36" s="23">
        <f t="shared" si="38"/>
        <v>898648.13344676513</v>
      </c>
      <c r="CI36" s="23">
        <f t="shared" si="38"/>
        <v>827891.84135878587</v>
      </c>
      <c r="CJ36" s="23">
        <f t="shared" si="38"/>
        <v>741165.64628921275</v>
      </c>
      <c r="CK36" s="23">
        <f t="shared" si="38"/>
        <v>693673.02975024236</v>
      </c>
      <c r="CL36" s="23">
        <f t="shared" si="38"/>
        <v>660116.02916240576</v>
      </c>
      <c r="CM36" s="23">
        <f t="shared" si="38"/>
        <v>580903.59582079342</v>
      </c>
      <c r="CN36" s="23">
        <f t="shared" si="38"/>
        <v>484606.85827070224</v>
      </c>
      <c r="CO36" s="23">
        <f t="shared" si="38"/>
        <v>430166.16339259106</v>
      </c>
      <c r="CP36" s="23">
        <f t="shared" si="38"/>
        <v>391489.10609518329</v>
      </c>
      <c r="CQ36" s="23">
        <f t="shared" si="38"/>
        <v>304778.16317784524</v>
      </c>
      <c r="CR36" s="23">
        <f t="shared" si="38"/>
        <v>200073.51047146926</v>
      </c>
      <c r="CS36" s="23">
        <f t="shared" si="38"/>
        <v>139346.32671224163</v>
      </c>
      <c r="CT36" s="23">
        <f t="shared" si="38"/>
        <v>95004.910296273272</v>
      </c>
      <c r="CU36" s="23">
        <f t="shared" si="38"/>
        <v>-3.5943230614066124E-9</v>
      </c>
      <c r="CV36" s="23">
        <f t="shared" si="38"/>
        <v>-3.6257733881939202E-9</v>
      </c>
      <c r="CW36" s="23">
        <f t="shared" si="38"/>
        <v>-3.6574989053406171E-9</v>
      </c>
      <c r="CX36" s="23">
        <f t="shared" si="38"/>
        <v>-3.6895020207623475E-9</v>
      </c>
      <c r="CY36" s="23">
        <f t="shared" si="38"/>
        <v>-3.7217851634440179E-9</v>
      </c>
      <c r="CZ36" s="23">
        <f t="shared" si="38"/>
        <v>-3.7543507836241534E-9</v>
      </c>
      <c r="DA36" s="23">
        <f t="shared" si="38"/>
        <v>-3.7872013529808644E-9</v>
      </c>
      <c r="DB36" s="23">
        <f t="shared" si="38"/>
        <v>-3.8203393648194472E-9</v>
      </c>
      <c r="DC36" s="23">
        <f t="shared" si="38"/>
        <v>-3.8537673342616171E-9</v>
      </c>
      <c r="DD36" s="23">
        <f t="shared" si="38"/>
        <v>-3.8874877984364064E-9</v>
      </c>
      <c r="DE36" s="23">
        <f t="shared" si="38"/>
        <v>-3.9215033166727252E-9</v>
      </c>
      <c r="DF36" s="23">
        <f t="shared" si="38"/>
        <v>-3.9558164706936115E-9</v>
      </c>
      <c r="DG36" s="23">
        <f t="shared" si="38"/>
        <v>-3.9904298648121803E-9</v>
      </c>
      <c r="DH36" s="23">
        <f t="shared" si="38"/>
        <v>-4.0253461261292872E-9</v>
      </c>
      <c r="DI36" s="23">
        <f t="shared" si="38"/>
        <v>-4.0605679047329185E-9</v>
      </c>
      <c r="DJ36" s="23">
        <f t="shared" si="38"/>
        <v>-4.0960978738993312E-9</v>
      </c>
      <c r="DK36" s="23">
        <f t="shared" si="38"/>
        <v>-4.1319387302959504E-9</v>
      </c>
      <c r="DL36" s="23">
        <f t="shared" si="38"/>
        <v>-4.1680931941860399E-9</v>
      </c>
      <c r="DM36" s="23">
        <f t="shared" si="38"/>
        <v>-4.2045640096351679E-9</v>
      </c>
      <c r="DN36" s="23">
        <f t="shared" si="38"/>
        <v>-4.2413539447194759E-9</v>
      </c>
      <c r="DO36" s="23">
        <f t="shared" si="38"/>
        <v>-4.2784657917357716E-9</v>
      </c>
      <c r="DP36" s="23">
        <f t="shared" si="38"/>
        <v>-4.3159023674134595E-9</v>
      </c>
      <c r="DQ36" s="23">
        <f t="shared" si="38"/>
        <v>-4.3536665131283275E-9</v>
      </c>
    </row>
    <row r="37" spans="2:1006" x14ac:dyDescent="0.35">
      <c r="C37" s="20" t="s">
        <v>442</v>
      </c>
      <c r="J37" s="25"/>
      <c r="K37" s="23">
        <f>K28*K33</f>
        <v>0</v>
      </c>
      <c r="L37" s="23">
        <f t="shared" ref="L37:BW37" si="39">L28*L33</f>
        <v>0</v>
      </c>
      <c r="M37" s="23">
        <f t="shared" si="39"/>
        <v>0</v>
      </c>
      <c r="N37" s="23">
        <f t="shared" si="39"/>
        <v>0</v>
      </c>
      <c r="O37" s="23">
        <f t="shared" si="39"/>
        <v>0</v>
      </c>
      <c r="P37" s="23">
        <f t="shared" si="39"/>
        <v>0</v>
      </c>
      <c r="Q37" s="23">
        <f t="shared" si="39"/>
        <v>0</v>
      </c>
      <c r="R37" s="23">
        <f t="shared" si="39"/>
        <v>0</v>
      </c>
      <c r="S37" s="23">
        <f t="shared" si="39"/>
        <v>0</v>
      </c>
      <c r="T37" s="23">
        <f t="shared" si="39"/>
        <v>28982.248444426874</v>
      </c>
      <c r="U37" s="23">
        <f t="shared" si="39"/>
        <v>28645.303224704621</v>
      </c>
      <c r="V37" s="23">
        <f t="shared" si="39"/>
        <v>28583.90260391164</v>
      </c>
      <c r="W37" s="23">
        <f t="shared" si="39"/>
        <v>28648.667075557256</v>
      </c>
      <c r="X37" s="23">
        <f t="shared" si="39"/>
        <v>28419.826114572163</v>
      </c>
      <c r="Y37" s="23">
        <f t="shared" si="39"/>
        <v>28082.795168372806</v>
      </c>
      <c r="Z37" s="23">
        <f t="shared" si="39"/>
        <v>28019.926755083448</v>
      </c>
      <c r="AA37" s="23">
        <f t="shared" si="39"/>
        <v>28082.584467533419</v>
      </c>
      <c r="AB37" s="23">
        <f t="shared" si="39"/>
        <v>27853.086108268475</v>
      </c>
      <c r="AC37" s="23">
        <f t="shared" si="39"/>
        <v>27515.924576176618</v>
      </c>
      <c r="AD37" s="23">
        <f t="shared" si="39"/>
        <v>27451.550053768329</v>
      </c>
      <c r="AE37" s="23">
        <f t="shared" si="39"/>
        <v>27499.701968540652</v>
      </c>
      <c r="AF37" s="23">
        <f t="shared" si="39"/>
        <v>27247.094236417801</v>
      </c>
      <c r="AG37" s="23">
        <f t="shared" si="39"/>
        <v>26883.561747046151</v>
      </c>
      <c r="AH37" s="23">
        <f t="shared" si="39"/>
        <v>26800.571900540475</v>
      </c>
      <c r="AI37" s="23">
        <f t="shared" si="39"/>
        <v>26837.413689817451</v>
      </c>
      <c r="AJ37" s="23">
        <f t="shared" si="39"/>
        <v>26568.044309434212</v>
      </c>
      <c r="AK37" s="23">
        <f t="shared" si="39"/>
        <v>26185.672700153758</v>
      </c>
      <c r="AL37" s="23">
        <f t="shared" si="39"/>
        <v>26088.724989462909</v>
      </c>
      <c r="AM37" s="23">
        <f t="shared" si="39"/>
        <v>26120.681044955571</v>
      </c>
      <c r="AN37" s="23">
        <f t="shared" si="39"/>
        <v>26226.69822122304</v>
      </c>
      <c r="AO37" s="23">
        <f t="shared" si="39"/>
        <v>25837.242814343168</v>
      </c>
      <c r="AP37" s="23">
        <f t="shared" si="39"/>
        <v>25737.146443192501</v>
      </c>
      <c r="AQ37" s="23">
        <f t="shared" si="39"/>
        <v>25741.209907148994</v>
      </c>
      <c r="AR37" s="23">
        <f t="shared" si="39"/>
        <v>25413.39108905114</v>
      </c>
      <c r="AS37" s="23">
        <f t="shared" si="39"/>
        <v>24962.854587042322</v>
      </c>
      <c r="AT37" s="23">
        <f t="shared" si="39"/>
        <v>24821.002206172212</v>
      </c>
      <c r="AU37" s="23">
        <f t="shared" si="39"/>
        <v>24770.964530598703</v>
      </c>
      <c r="AV37" s="23">
        <f t="shared" si="39"/>
        <v>24350.684437092117</v>
      </c>
      <c r="AW37" s="23">
        <f t="shared" si="39"/>
        <v>23793.186710395403</v>
      </c>
      <c r="AX37" s="23">
        <f t="shared" si="39"/>
        <v>23579.089339909613</v>
      </c>
      <c r="AY37" s="23">
        <f t="shared" si="39"/>
        <v>23506.893882312517</v>
      </c>
      <c r="AZ37" s="23">
        <f t="shared" si="39"/>
        <v>23054.303277046401</v>
      </c>
      <c r="BA37" s="23">
        <f t="shared" si="39"/>
        <v>22460.615627841285</v>
      </c>
      <c r="BB37" s="23">
        <f t="shared" si="39"/>
        <v>22219.389434063422</v>
      </c>
      <c r="BC37" s="23">
        <f t="shared" si="39"/>
        <v>22136.342652448548</v>
      </c>
      <c r="BD37" s="23">
        <f t="shared" si="39"/>
        <v>21672.742972939624</v>
      </c>
      <c r="BE37" s="23">
        <f t="shared" si="39"/>
        <v>21067.930058058162</v>
      </c>
      <c r="BF37" s="23">
        <f t="shared" si="39"/>
        <v>20815.548934385439</v>
      </c>
      <c r="BG37" s="23">
        <f t="shared" si="39"/>
        <v>20702.234108289715</v>
      </c>
      <c r="BH37" s="23">
        <f t="shared" si="39"/>
        <v>20309.785659907564</v>
      </c>
      <c r="BI37" s="23">
        <f t="shared" si="39"/>
        <v>19650.317521965353</v>
      </c>
      <c r="BJ37" s="23">
        <f t="shared" si="39"/>
        <v>19359.401555609998</v>
      </c>
      <c r="BK37" s="23">
        <f t="shared" si="39"/>
        <v>19210.383514027188</v>
      </c>
      <c r="BL37" s="23">
        <f t="shared" si="39"/>
        <v>18643.752093130264</v>
      </c>
      <c r="BM37" s="23">
        <f t="shared" si="39"/>
        <v>17921.800758838261</v>
      </c>
      <c r="BN37" s="23">
        <f t="shared" si="39"/>
        <v>17585.557352690012</v>
      </c>
      <c r="BO37" s="23">
        <f t="shared" si="39"/>
        <v>17390.630296482512</v>
      </c>
      <c r="BP37" s="23">
        <f t="shared" si="39"/>
        <v>16752.349668160634</v>
      </c>
      <c r="BQ37" s="23">
        <f t="shared" si="39"/>
        <v>15948.964592736305</v>
      </c>
      <c r="BR37" s="23">
        <f t="shared" si="39"/>
        <v>15554.417423202809</v>
      </c>
      <c r="BS37" s="23">
        <f t="shared" si="39"/>
        <v>15313.609393896721</v>
      </c>
      <c r="BT37" s="23">
        <f t="shared" si="39"/>
        <v>14605.514610145165</v>
      </c>
      <c r="BU37" s="23">
        <f t="shared" si="39"/>
        <v>13723.200220391202</v>
      </c>
      <c r="BV37" s="23">
        <f t="shared" si="39"/>
        <v>13271.176544130987</v>
      </c>
      <c r="BW37" s="23">
        <f t="shared" si="39"/>
        <v>13036.593679023663</v>
      </c>
      <c r="BX37" s="23">
        <f t="shared" ref="BX37:DQ37" si="40">BX28*BX33</f>
        <v>12538.237296677458</v>
      </c>
      <c r="BY37" s="23">
        <f t="shared" si="40"/>
        <v>11914.116300276983</v>
      </c>
      <c r="BZ37" s="23">
        <f t="shared" si="40"/>
        <v>11600.99884833652</v>
      </c>
      <c r="CA37" s="23">
        <f t="shared" si="40"/>
        <v>11421.016897812366</v>
      </c>
      <c r="CB37" s="23">
        <f t="shared" si="40"/>
        <v>10992.746714131383</v>
      </c>
      <c r="CC37" s="23">
        <f t="shared" si="40"/>
        <v>10337.734860076416</v>
      </c>
      <c r="CD37" s="23">
        <f t="shared" si="40"/>
        <v>10000.735598334984</v>
      </c>
      <c r="CE37" s="23">
        <f t="shared" si="40"/>
        <v>9784.356640234475</v>
      </c>
      <c r="CF37" s="23">
        <f t="shared" si="40"/>
        <v>9204.8350868635735</v>
      </c>
      <c r="CG37" s="23">
        <f t="shared" si="40"/>
        <v>8489.7156028503832</v>
      </c>
      <c r="CH37" s="23">
        <f t="shared" si="40"/>
        <v>8108.403507918767</v>
      </c>
      <c r="CI37" s="23">
        <f t="shared" si="40"/>
        <v>7863.1711676591958</v>
      </c>
      <c r="CJ37" s="23">
        <f t="shared" si="40"/>
        <v>7244.053611889377</v>
      </c>
      <c r="CK37" s="23">
        <f t="shared" si="40"/>
        <v>6485.1994050306121</v>
      </c>
      <c r="CL37" s="23">
        <f t="shared" si="40"/>
        <v>6069.6390103146214</v>
      </c>
      <c r="CM37" s="23">
        <f t="shared" si="40"/>
        <v>5776.0152551710507</v>
      </c>
      <c r="CN37" s="23">
        <f t="shared" si="40"/>
        <v>5082.9064634319429</v>
      </c>
      <c r="CO37" s="23">
        <f t="shared" si="40"/>
        <v>4240.3100098686455</v>
      </c>
      <c r="CP37" s="23">
        <f t="shared" si="40"/>
        <v>3763.9539296851722</v>
      </c>
      <c r="CQ37" s="23">
        <f t="shared" si="40"/>
        <v>3425.529678332854</v>
      </c>
      <c r="CR37" s="23">
        <f t="shared" si="40"/>
        <v>2666.8089278061461</v>
      </c>
      <c r="CS37" s="23">
        <f t="shared" si="40"/>
        <v>1750.6432166253562</v>
      </c>
      <c r="CT37" s="23">
        <f t="shared" si="40"/>
        <v>1219.2803587321143</v>
      </c>
      <c r="CU37" s="23">
        <f t="shared" si="40"/>
        <v>831.29296509239123</v>
      </c>
      <c r="CV37" s="23">
        <f t="shared" si="40"/>
        <v>-3.1450326787307863E-11</v>
      </c>
      <c r="CW37" s="23">
        <f t="shared" si="40"/>
        <v>-3.1725517146696805E-11</v>
      </c>
      <c r="CX37" s="23">
        <f t="shared" si="40"/>
        <v>-3.2003115421730404E-11</v>
      </c>
      <c r="CY37" s="23">
        <f t="shared" si="40"/>
        <v>-3.2283142681670542E-11</v>
      </c>
      <c r="CZ37" s="23">
        <f t="shared" si="40"/>
        <v>-3.2565620180135163E-11</v>
      </c>
      <c r="DA37" s="23">
        <f t="shared" si="40"/>
        <v>-3.2850569356711345E-11</v>
      </c>
      <c r="DB37" s="23">
        <f t="shared" si="40"/>
        <v>-3.3138011838582564E-11</v>
      </c>
      <c r="DC37" s="23">
        <f t="shared" si="40"/>
        <v>-3.3427969442170164E-11</v>
      </c>
      <c r="DD37" s="23">
        <f t="shared" si="40"/>
        <v>-3.3720464174789154E-11</v>
      </c>
      <c r="DE37" s="23">
        <f t="shared" si="40"/>
        <v>-3.4015518236318561E-11</v>
      </c>
      <c r="DF37" s="23">
        <f t="shared" si="40"/>
        <v>-3.431315402088635E-11</v>
      </c>
      <c r="DG37" s="23">
        <f t="shared" si="40"/>
        <v>-3.4613394118569101E-11</v>
      </c>
      <c r="DH37" s="23">
        <f t="shared" si="40"/>
        <v>-3.4916261317106584E-11</v>
      </c>
      <c r="DI37" s="23">
        <f t="shared" si="40"/>
        <v>-3.5221778603631266E-11</v>
      </c>
      <c r="DJ37" s="23">
        <f t="shared" si="40"/>
        <v>-3.5529969166413043E-11</v>
      </c>
      <c r="DK37" s="23">
        <f t="shared" si="40"/>
        <v>-3.584085639661915E-11</v>
      </c>
      <c r="DL37" s="23">
        <f t="shared" si="40"/>
        <v>-3.6154463890089569E-11</v>
      </c>
      <c r="DM37" s="23">
        <f t="shared" si="40"/>
        <v>-3.647081544912785E-11</v>
      </c>
      <c r="DN37" s="23">
        <f t="shared" si="40"/>
        <v>-3.6789935084307726E-11</v>
      </c>
      <c r="DO37" s="23">
        <f t="shared" si="40"/>
        <v>-3.7111847016295421E-11</v>
      </c>
      <c r="DP37" s="23">
        <f t="shared" si="40"/>
        <v>-3.7436575677688005E-11</v>
      </c>
      <c r="DQ37" s="23">
        <f t="shared" si="40"/>
        <v>-3.7764145714867776E-11</v>
      </c>
    </row>
    <row r="39" spans="2:1006" x14ac:dyDescent="0.35">
      <c r="B39" s="37" t="s">
        <v>287</v>
      </c>
      <c r="C39" s="37"/>
      <c r="D39" s="37"/>
      <c r="E39" s="37"/>
      <c r="F39" s="37"/>
      <c r="G39" s="37"/>
      <c r="H39" s="37"/>
      <c r="I39" s="37"/>
      <c r="J39" s="37"/>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c r="BT39" s="37"/>
      <c r="BU39" s="37"/>
      <c r="BV39" s="37"/>
      <c r="BW39" s="37"/>
      <c r="BX39" s="37"/>
      <c r="BY39" s="37"/>
      <c r="BZ39" s="37"/>
      <c r="CA39" s="37"/>
      <c r="CB39" s="37"/>
      <c r="CC39" s="37"/>
      <c r="CD39" s="37"/>
      <c r="CE39" s="37"/>
      <c r="CF39" s="37"/>
      <c r="CG39" s="37"/>
      <c r="CH39" s="37"/>
      <c r="CI39" s="37"/>
      <c r="CJ39" s="37"/>
      <c r="CK39" s="37"/>
      <c r="CL39" s="37"/>
      <c r="CM39" s="37"/>
      <c r="CN39" s="37"/>
      <c r="CO39" s="37"/>
      <c r="CP39" s="37"/>
      <c r="CQ39" s="37"/>
      <c r="CR39" s="37"/>
      <c r="CS39" s="37"/>
      <c r="CT39" s="37"/>
      <c r="CU39" s="37"/>
      <c r="CV39" s="37"/>
      <c r="CW39" s="37"/>
      <c r="CX39" s="37"/>
      <c r="CY39" s="37"/>
      <c r="CZ39" s="37"/>
      <c r="DA39" s="37"/>
      <c r="DB39" s="37"/>
      <c r="DC39" s="37"/>
      <c r="DD39" s="37"/>
      <c r="DE39" s="37"/>
      <c r="DF39" s="37"/>
      <c r="DG39" s="37"/>
      <c r="DH39" s="37"/>
      <c r="DI39" s="37"/>
      <c r="DJ39" s="37"/>
      <c r="DK39" s="37"/>
      <c r="DL39" s="37"/>
      <c r="DM39" s="37"/>
      <c r="DN39" s="37"/>
      <c r="DO39" s="37"/>
      <c r="DP39" s="37"/>
      <c r="DQ39" s="37"/>
      <c r="DR39" s="37"/>
      <c r="DS39" s="37"/>
      <c r="DT39" s="37"/>
      <c r="DU39" s="37"/>
      <c r="DV39" s="37"/>
      <c r="DW39" s="37"/>
      <c r="DX39" s="37"/>
      <c r="DY39" s="37"/>
      <c r="DZ39" s="37"/>
      <c r="EA39" s="37"/>
      <c r="EB39" s="37"/>
      <c r="EC39" s="37"/>
      <c r="ED39" s="37"/>
      <c r="EE39" s="37"/>
      <c r="EF39" s="37"/>
      <c r="EG39" s="37"/>
      <c r="EH39" s="37"/>
      <c r="EI39" s="37"/>
      <c r="EJ39" s="37"/>
      <c r="EK39" s="37"/>
      <c r="EL39" s="37"/>
      <c r="EM39" s="37"/>
      <c r="EN39" s="37"/>
      <c r="EO39" s="37"/>
      <c r="EP39" s="37"/>
      <c r="EQ39" s="37"/>
      <c r="ER39" s="37"/>
      <c r="ES39" s="37"/>
      <c r="ET39" s="37"/>
      <c r="EU39" s="37"/>
      <c r="EV39" s="37"/>
      <c r="EW39" s="37"/>
      <c r="EX39" s="37"/>
      <c r="EY39" s="37"/>
      <c r="EZ39" s="37"/>
      <c r="FA39" s="37"/>
      <c r="FB39" s="37"/>
      <c r="FC39" s="37"/>
      <c r="FD39" s="37"/>
      <c r="FE39" s="37"/>
      <c r="FF39" s="37"/>
      <c r="FG39" s="37"/>
      <c r="FH39" s="37"/>
      <c r="FI39" s="37"/>
      <c r="FJ39" s="37"/>
      <c r="FK39" s="37"/>
      <c r="FL39" s="37"/>
      <c r="FM39" s="37"/>
      <c r="FN39" s="37"/>
      <c r="FO39" s="37"/>
      <c r="FP39" s="37"/>
      <c r="FQ39" s="37"/>
      <c r="FR39" s="37"/>
      <c r="FS39" s="37"/>
      <c r="FT39" s="37"/>
      <c r="FU39" s="37"/>
      <c r="FV39" s="37"/>
      <c r="FW39" s="37"/>
      <c r="FX39" s="37"/>
      <c r="FY39" s="37"/>
      <c r="FZ39" s="37"/>
      <c r="GA39" s="37"/>
      <c r="GB39" s="37"/>
      <c r="GC39" s="37"/>
      <c r="GD39" s="37"/>
      <c r="GE39" s="37"/>
      <c r="GF39" s="37"/>
      <c r="GG39" s="37"/>
      <c r="GH39" s="37"/>
      <c r="GI39" s="37"/>
      <c r="GJ39" s="37"/>
      <c r="GK39" s="37"/>
      <c r="GL39" s="37"/>
      <c r="GM39" s="37"/>
      <c r="GN39" s="37"/>
      <c r="GO39" s="37"/>
      <c r="GP39" s="37"/>
      <c r="GQ39" s="37"/>
      <c r="GR39" s="37"/>
      <c r="GS39" s="37"/>
      <c r="GT39" s="37"/>
      <c r="GU39" s="37"/>
      <c r="GV39" s="37"/>
      <c r="GW39" s="37"/>
      <c r="GX39" s="37"/>
      <c r="GY39" s="37"/>
      <c r="GZ39" s="37"/>
      <c r="HA39" s="37"/>
      <c r="HB39" s="37"/>
      <c r="HC39" s="37"/>
      <c r="HD39" s="37"/>
      <c r="HE39" s="37"/>
      <c r="HF39" s="37"/>
      <c r="HG39" s="37"/>
      <c r="HH39" s="37"/>
      <c r="HI39" s="37"/>
      <c r="HJ39" s="37"/>
      <c r="HK39" s="37"/>
      <c r="HL39" s="37"/>
      <c r="HM39" s="37"/>
      <c r="HN39" s="37"/>
      <c r="HO39" s="37"/>
      <c r="HP39" s="37"/>
      <c r="HQ39" s="37"/>
      <c r="HR39" s="37"/>
      <c r="HS39" s="37"/>
      <c r="HT39" s="37"/>
      <c r="HU39" s="37"/>
      <c r="HV39" s="37"/>
      <c r="HW39" s="37"/>
      <c r="HX39" s="37"/>
      <c r="HY39" s="37"/>
      <c r="HZ39" s="37"/>
      <c r="IA39" s="37"/>
      <c r="IB39" s="37"/>
      <c r="IC39" s="37"/>
      <c r="ID39" s="37"/>
      <c r="IE39" s="37"/>
      <c r="IF39" s="37"/>
      <c r="IG39" s="37"/>
      <c r="IH39" s="37"/>
      <c r="II39" s="37"/>
      <c r="IJ39" s="37"/>
      <c r="IK39" s="37"/>
      <c r="IL39" s="37"/>
      <c r="IM39" s="37"/>
      <c r="IN39" s="37"/>
      <c r="IO39" s="37"/>
      <c r="IP39" s="37"/>
      <c r="IQ39" s="37"/>
      <c r="IR39" s="37"/>
      <c r="IS39" s="37"/>
      <c r="IT39" s="37"/>
      <c r="IU39" s="37"/>
      <c r="IV39" s="37"/>
      <c r="IW39" s="37"/>
      <c r="IX39" s="37"/>
      <c r="IY39" s="37"/>
      <c r="IZ39" s="37"/>
      <c r="JA39" s="37"/>
      <c r="JB39" s="37"/>
      <c r="JC39" s="37"/>
      <c r="JD39" s="37"/>
      <c r="JE39" s="37"/>
      <c r="JF39" s="37"/>
      <c r="JG39" s="37"/>
      <c r="JH39" s="37"/>
      <c r="JI39" s="37"/>
      <c r="JJ39" s="37"/>
      <c r="JK39" s="37"/>
      <c r="JL39" s="37"/>
      <c r="JM39" s="37"/>
      <c r="JN39" s="37"/>
      <c r="JO39" s="37"/>
      <c r="JP39" s="37"/>
      <c r="JQ39" s="37"/>
      <c r="JR39" s="37"/>
      <c r="JS39" s="37"/>
      <c r="JT39" s="37"/>
      <c r="JU39" s="37"/>
      <c r="JV39" s="37"/>
      <c r="JW39" s="37"/>
      <c r="JX39" s="37"/>
      <c r="JY39" s="37"/>
      <c r="JZ39" s="37"/>
      <c r="KA39" s="37"/>
      <c r="KB39" s="37"/>
      <c r="KC39" s="37"/>
      <c r="KD39" s="37"/>
      <c r="KE39" s="37"/>
      <c r="KF39" s="37"/>
      <c r="KG39" s="37"/>
      <c r="KH39" s="37"/>
      <c r="KI39" s="37"/>
      <c r="KJ39" s="37"/>
      <c r="KK39" s="37"/>
      <c r="KL39" s="37"/>
      <c r="KM39" s="37"/>
      <c r="KN39" s="37"/>
      <c r="KO39" s="37"/>
      <c r="KP39" s="37"/>
      <c r="KQ39" s="37"/>
      <c r="KR39" s="37"/>
      <c r="KS39" s="37"/>
      <c r="KT39" s="37"/>
      <c r="KU39" s="37"/>
      <c r="KV39" s="37"/>
      <c r="KW39" s="37"/>
      <c r="KX39" s="37"/>
      <c r="KY39" s="37"/>
      <c r="KZ39" s="37"/>
      <c r="LA39" s="37"/>
      <c r="LB39" s="37"/>
      <c r="LC39" s="37"/>
      <c r="LD39" s="37"/>
      <c r="LE39" s="37"/>
      <c r="LF39" s="37"/>
      <c r="LG39" s="37"/>
      <c r="LH39" s="37"/>
      <c r="LI39" s="37"/>
      <c r="LJ39" s="37"/>
      <c r="LK39" s="37"/>
      <c r="LL39" s="37"/>
      <c r="LM39" s="37"/>
      <c r="LN39" s="37"/>
      <c r="LO39" s="37"/>
      <c r="LP39" s="37"/>
      <c r="LQ39" s="37"/>
      <c r="LR39" s="37"/>
      <c r="LS39" s="37"/>
      <c r="LT39" s="37"/>
      <c r="LU39" s="37"/>
      <c r="LV39" s="37"/>
      <c r="LW39" s="37"/>
      <c r="LX39" s="37"/>
      <c r="LY39" s="37"/>
      <c r="LZ39" s="37"/>
      <c r="MA39" s="37"/>
      <c r="MB39" s="37"/>
      <c r="MC39" s="37"/>
      <c r="MD39" s="37"/>
      <c r="ME39" s="37"/>
      <c r="MF39" s="37"/>
      <c r="MG39" s="37"/>
      <c r="MH39" s="37"/>
      <c r="MI39" s="37"/>
      <c r="MJ39" s="37"/>
      <c r="MK39" s="37"/>
      <c r="ML39" s="37"/>
      <c r="MM39" s="37"/>
      <c r="MN39" s="37"/>
      <c r="MO39" s="37"/>
      <c r="MP39" s="37"/>
      <c r="MQ39" s="37"/>
      <c r="MR39" s="37"/>
      <c r="MS39" s="37"/>
      <c r="MT39" s="37"/>
      <c r="MU39" s="37"/>
      <c r="MV39" s="37"/>
      <c r="MW39" s="37"/>
      <c r="MX39" s="37"/>
      <c r="MY39" s="37"/>
      <c r="MZ39" s="37"/>
      <c r="NA39" s="37"/>
      <c r="NB39" s="37"/>
      <c r="NC39" s="37"/>
      <c r="ND39" s="37"/>
      <c r="NE39" s="37"/>
      <c r="NF39" s="37"/>
      <c r="NG39" s="37"/>
      <c r="NH39" s="37"/>
      <c r="NI39" s="37"/>
      <c r="NJ39" s="37"/>
      <c r="NK39" s="37"/>
      <c r="NL39" s="37"/>
      <c r="NM39" s="37"/>
      <c r="NN39" s="37"/>
      <c r="NO39" s="37"/>
      <c r="NP39" s="37"/>
      <c r="NQ39" s="37"/>
      <c r="NR39" s="37"/>
      <c r="NS39" s="37"/>
      <c r="NT39" s="37"/>
      <c r="NU39" s="37"/>
      <c r="NV39" s="37"/>
      <c r="NW39" s="37"/>
      <c r="NX39" s="37"/>
      <c r="NY39" s="37"/>
      <c r="NZ39" s="37"/>
      <c r="OA39" s="37"/>
      <c r="OB39" s="37"/>
      <c r="OC39" s="37"/>
      <c r="OD39" s="37"/>
      <c r="OE39" s="37"/>
      <c r="OF39" s="37"/>
      <c r="OG39" s="37"/>
      <c r="OH39" s="37"/>
      <c r="OI39" s="37"/>
      <c r="OJ39" s="37"/>
      <c r="OK39" s="37"/>
      <c r="OL39" s="37"/>
      <c r="OM39" s="37"/>
      <c r="ON39" s="37"/>
      <c r="OO39" s="37"/>
      <c r="OP39" s="37"/>
      <c r="OQ39" s="37"/>
      <c r="OR39" s="37"/>
      <c r="OS39" s="37"/>
      <c r="OT39" s="37"/>
      <c r="OU39" s="37"/>
      <c r="OV39" s="37"/>
      <c r="OW39" s="37"/>
      <c r="OX39" s="37"/>
      <c r="OY39" s="37"/>
      <c r="OZ39" s="37"/>
      <c r="PA39" s="37"/>
      <c r="PB39" s="37"/>
      <c r="PC39" s="37"/>
      <c r="PD39" s="37"/>
      <c r="PE39" s="37"/>
      <c r="PF39" s="37"/>
      <c r="PG39" s="37"/>
      <c r="PH39" s="37"/>
      <c r="PI39" s="37"/>
      <c r="PJ39" s="37"/>
      <c r="PK39" s="37"/>
      <c r="PL39" s="37"/>
      <c r="PM39" s="37"/>
      <c r="PN39" s="37"/>
      <c r="PO39" s="37"/>
      <c r="PP39" s="37"/>
      <c r="PQ39" s="37"/>
      <c r="PR39" s="37"/>
      <c r="PS39" s="37"/>
      <c r="PT39" s="37"/>
      <c r="PU39" s="37"/>
      <c r="PV39" s="37"/>
      <c r="PW39" s="37"/>
      <c r="PX39" s="37"/>
      <c r="PY39" s="37"/>
      <c r="PZ39" s="37"/>
      <c r="QA39" s="37"/>
      <c r="QB39" s="37"/>
      <c r="QC39" s="37"/>
      <c r="QD39" s="37"/>
      <c r="QE39" s="37"/>
      <c r="QF39" s="37"/>
      <c r="QG39" s="37"/>
      <c r="QH39" s="37"/>
      <c r="QI39" s="37"/>
      <c r="QJ39" s="37"/>
      <c r="QK39" s="37"/>
      <c r="QL39" s="37"/>
      <c r="QM39" s="37"/>
      <c r="QN39" s="37"/>
      <c r="QO39" s="37"/>
      <c r="QP39" s="37"/>
      <c r="QQ39" s="37"/>
      <c r="QR39" s="37"/>
      <c r="QS39" s="37"/>
      <c r="QT39" s="37"/>
      <c r="QU39" s="37"/>
      <c r="QV39" s="37"/>
      <c r="QW39" s="37"/>
      <c r="QX39" s="37"/>
      <c r="QY39" s="37"/>
      <c r="QZ39" s="37"/>
      <c r="RA39" s="37"/>
      <c r="RB39" s="37"/>
      <c r="RC39" s="37"/>
      <c r="RD39" s="37"/>
      <c r="RE39" s="37"/>
      <c r="RF39" s="37"/>
      <c r="RG39" s="37"/>
      <c r="RH39" s="37"/>
      <c r="RI39" s="37"/>
      <c r="RJ39" s="37"/>
      <c r="RK39" s="37"/>
      <c r="RL39" s="37"/>
      <c r="RM39" s="37"/>
      <c r="RN39" s="37"/>
      <c r="RO39" s="37"/>
      <c r="RP39" s="37"/>
      <c r="RQ39" s="37"/>
      <c r="RR39" s="37"/>
      <c r="RS39" s="37"/>
      <c r="RT39" s="37"/>
      <c r="RU39" s="37"/>
      <c r="RV39" s="37"/>
      <c r="RW39" s="37"/>
      <c r="RX39" s="37"/>
      <c r="RY39" s="37"/>
      <c r="RZ39" s="37"/>
      <c r="SA39" s="37"/>
      <c r="SB39" s="37"/>
      <c r="SC39" s="37"/>
      <c r="SD39" s="37"/>
      <c r="SE39" s="37"/>
      <c r="SF39" s="37"/>
      <c r="SG39" s="37"/>
      <c r="SH39" s="37"/>
      <c r="SI39" s="37"/>
      <c r="SJ39" s="37"/>
      <c r="SK39" s="37"/>
      <c r="SL39" s="37"/>
      <c r="SM39" s="37"/>
      <c r="SN39" s="37"/>
      <c r="SO39" s="37"/>
      <c r="SP39" s="37"/>
      <c r="SQ39" s="37"/>
      <c r="SR39" s="37"/>
      <c r="SS39" s="37"/>
      <c r="ST39" s="37"/>
      <c r="SU39" s="37"/>
      <c r="SV39" s="37"/>
      <c r="SW39" s="37"/>
      <c r="SX39" s="37"/>
      <c r="SY39" s="37"/>
      <c r="SZ39" s="37"/>
      <c r="TA39" s="37"/>
      <c r="TB39" s="37"/>
      <c r="TC39" s="37"/>
      <c r="TD39" s="37"/>
      <c r="TE39" s="37"/>
      <c r="TF39" s="37"/>
      <c r="TG39" s="37"/>
      <c r="TH39" s="37"/>
      <c r="TI39" s="37"/>
      <c r="TJ39" s="37"/>
      <c r="TK39" s="37"/>
      <c r="TL39" s="37"/>
      <c r="TM39" s="37"/>
      <c r="TN39" s="37"/>
      <c r="TO39" s="37"/>
      <c r="TP39" s="37"/>
      <c r="TQ39" s="37"/>
      <c r="TR39" s="37"/>
      <c r="TS39" s="37"/>
      <c r="TT39" s="37"/>
      <c r="TU39" s="37"/>
      <c r="TV39" s="37"/>
      <c r="TW39" s="37"/>
      <c r="TX39" s="37"/>
      <c r="TY39" s="37"/>
      <c r="TZ39" s="37"/>
      <c r="UA39" s="37"/>
      <c r="UB39" s="37"/>
      <c r="UC39" s="37"/>
      <c r="UD39" s="37"/>
      <c r="UE39" s="37"/>
      <c r="UF39" s="37"/>
      <c r="UG39" s="37"/>
      <c r="UH39" s="37"/>
      <c r="UI39" s="37"/>
      <c r="UJ39" s="37"/>
      <c r="UK39" s="37"/>
      <c r="UL39" s="37"/>
      <c r="UM39" s="37"/>
      <c r="UN39" s="37"/>
      <c r="UO39" s="37"/>
      <c r="UP39" s="37"/>
      <c r="UQ39" s="37"/>
      <c r="UR39" s="37"/>
      <c r="US39" s="37"/>
      <c r="UT39" s="37"/>
      <c r="UU39" s="37"/>
      <c r="UV39" s="37"/>
      <c r="UW39" s="37"/>
      <c r="UX39" s="37"/>
      <c r="UY39" s="37"/>
      <c r="UZ39" s="37"/>
      <c r="VA39" s="37"/>
      <c r="VB39" s="37"/>
      <c r="VC39" s="37"/>
      <c r="VD39" s="37"/>
      <c r="VE39" s="37"/>
      <c r="VF39" s="37"/>
      <c r="VG39" s="37"/>
      <c r="VH39" s="37"/>
      <c r="VI39" s="37"/>
      <c r="VJ39" s="37"/>
      <c r="VK39" s="37"/>
      <c r="VL39" s="37"/>
      <c r="VM39" s="37"/>
      <c r="VN39" s="37"/>
      <c r="VO39" s="37"/>
      <c r="VP39" s="37"/>
      <c r="VQ39" s="37"/>
      <c r="VR39" s="37"/>
      <c r="VS39" s="37"/>
      <c r="VT39" s="37"/>
      <c r="VU39" s="37"/>
      <c r="VV39" s="37"/>
      <c r="VW39" s="37"/>
      <c r="VX39" s="37"/>
      <c r="VY39" s="37"/>
      <c r="VZ39" s="37"/>
      <c r="WA39" s="37"/>
      <c r="WB39" s="37"/>
      <c r="WC39" s="37"/>
      <c r="WD39" s="37"/>
      <c r="WE39" s="37"/>
      <c r="WF39" s="37"/>
      <c r="WG39" s="37"/>
      <c r="WH39" s="37"/>
      <c r="WI39" s="37"/>
      <c r="WJ39" s="37"/>
      <c r="WK39" s="37"/>
      <c r="WL39" s="37"/>
      <c r="WM39" s="37"/>
      <c r="WN39" s="37"/>
      <c r="WO39" s="37"/>
      <c r="WP39" s="37"/>
      <c r="WQ39" s="37"/>
      <c r="WR39" s="37"/>
      <c r="WS39" s="37"/>
      <c r="WT39" s="37"/>
      <c r="WU39" s="37"/>
      <c r="WV39" s="37"/>
      <c r="WW39" s="37"/>
      <c r="WX39" s="37"/>
      <c r="WY39" s="37"/>
      <c r="WZ39" s="37"/>
      <c r="XA39" s="37"/>
      <c r="XB39" s="37"/>
      <c r="XC39" s="37"/>
      <c r="XD39" s="37"/>
      <c r="XE39" s="37"/>
      <c r="XF39" s="37"/>
      <c r="XG39" s="37"/>
      <c r="XH39" s="37"/>
      <c r="XI39" s="37"/>
      <c r="XJ39" s="37"/>
      <c r="XK39" s="37"/>
      <c r="XL39" s="37"/>
      <c r="XM39" s="37"/>
      <c r="XN39" s="37"/>
      <c r="XO39" s="37"/>
      <c r="XP39" s="37"/>
      <c r="XQ39" s="37"/>
      <c r="XR39" s="37"/>
      <c r="XS39" s="37"/>
      <c r="XT39" s="37"/>
      <c r="XU39" s="37"/>
      <c r="XV39" s="37"/>
      <c r="XW39" s="37"/>
      <c r="XX39" s="37"/>
      <c r="XY39" s="37"/>
      <c r="XZ39" s="37"/>
      <c r="YA39" s="37"/>
      <c r="YB39" s="37"/>
      <c r="YC39" s="37"/>
      <c r="YD39" s="37"/>
      <c r="YE39" s="37"/>
      <c r="YF39" s="37"/>
      <c r="YG39" s="37"/>
      <c r="YH39" s="37"/>
      <c r="YI39" s="37"/>
      <c r="YJ39" s="37"/>
      <c r="YK39" s="37"/>
      <c r="YL39" s="37"/>
      <c r="YM39" s="37"/>
      <c r="YN39" s="37"/>
      <c r="YO39" s="37"/>
      <c r="YP39" s="37"/>
      <c r="YQ39" s="37"/>
      <c r="YR39" s="37"/>
      <c r="YS39" s="37"/>
      <c r="YT39" s="37"/>
      <c r="YU39" s="37"/>
      <c r="YV39" s="37"/>
      <c r="YW39" s="37"/>
      <c r="YX39" s="37"/>
      <c r="YY39" s="37"/>
      <c r="YZ39" s="37"/>
      <c r="ZA39" s="37"/>
      <c r="ZB39" s="37"/>
      <c r="ZC39" s="37"/>
      <c r="ZD39" s="37"/>
      <c r="ZE39" s="37"/>
      <c r="ZF39" s="37"/>
      <c r="ZG39" s="37"/>
      <c r="ZH39" s="37"/>
      <c r="ZI39" s="37"/>
      <c r="ZJ39" s="37"/>
      <c r="ZK39" s="37"/>
      <c r="ZL39" s="37"/>
      <c r="ZM39" s="37"/>
      <c r="ZN39" s="37"/>
      <c r="ZO39" s="37"/>
      <c r="ZP39" s="37"/>
      <c r="ZQ39" s="37"/>
      <c r="ZR39" s="37"/>
      <c r="ZS39" s="37"/>
      <c r="ZT39" s="37"/>
      <c r="ZU39" s="37"/>
      <c r="ZV39" s="37"/>
      <c r="ZW39" s="37"/>
      <c r="ZX39" s="37"/>
      <c r="ZY39" s="37"/>
      <c r="ZZ39" s="37"/>
      <c r="AAA39" s="37"/>
      <c r="AAB39" s="37"/>
      <c r="AAC39" s="37"/>
      <c r="AAD39" s="37"/>
      <c r="AAE39" s="37"/>
      <c r="AAF39" s="37"/>
      <c r="AAG39" s="37"/>
      <c r="AAH39" s="37"/>
      <c r="AAI39" s="37"/>
      <c r="AAJ39" s="37"/>
      <c r="AAK39" s="37"/>
      <c r="AAL39" s="37"/>
      <c r="AAM39" s="37"/>
      <c r="AAN39" s="37"/>
      <c r="AAO39" s="37"/>
      <c r="AAP39" s="37"/>
      <c r="AAQ39" s="37"/>
      <c r="AAR39" s="37"/>
      <c r="AAS39" s="37"/>
      <c r="AAT39" s="37"/>
      <c r="AAU39" s="37"/>
      <c r="AAV39" s="37"/>
      <c r="AAW39" s="37"/>
      <c r="AAX39" s="37"/>
      <c r="AAY39" s="37"/>
      <c r="AAZ39" s="37"/>
      <c r="ABA39" s="37"/>
      <c r="ABB39" s="37"/>
      <c r="ABC39" s="37"/>
      <c r="ABD39" s="37"/>
      <c r="ABE39" s="37"/>
      <c r="ABF39" s="37"/>
      <c r="ABG39" s="37"/>
      <c r="ABH39" s="37"/>
      <c r="ABI39" s="37"/>
      <c r="ABJ39" s="37"/>
      <c r="ABK39" s="37"/>
      <c r="ABL39" s="37"/>
      <c r="ABM39" s="37"/>
      <c r="ABN39" s="37"/>
      <c r="ABO39" s="37"/>
      <c r="ABP39" s="37"/>
      <c r="ABQ39" s="37"/>
      <c r="ABR39" s="37"/>
      <c r="ABS39" s="37"/>
      <c r="ABT39" s="37"/>
      <c r="ABU39" s="37"/>
      <c r="ABV39" s="37"/>
      <c r="ABW39" s="37"/>
      <c r="ABX39" s="37"/>
      <c r="ABY39" s="37"/>
      <c r="ABZ39" s="37"/>
      <c r="ACA39" s="37"/>
      <c r="ACB39" s="37"/>
      <c r="ACC39" s="37"/>
      <c r="ACD39" s="37"/>
      <c r="ACE39" s="37"/>
      <c r="ACF39" s="37"/>
      <c r="ACG39" s="37"/>
      <c r="ACH39" s="37"/>
      <c r="ACI39" s="37"/>
      <c r="ACJ39" s="37"/>
      <c r="ACK39" s="37"/>
      <c r="ACL39" s="37"/>
      <c r="ACM39" s="37"/>
      <c r="ACN39" s="37"/>
      <c r="ACO39" s="37"/>
      <c r="ACP39" s="37"/>
      <c r="ACQ39" s="37"/>
      <c r="ACR39" s="37"/>
      <c r="ACS39" s="37"/>
      <c r="ACT39" s="37"/>
      <c r="ACU39" s="37"/>
      <c r="ACV39" s="37"/>
      <c r="ACW39" s="37"/>
      <c r="ACX39" s="37"/>
      <c r="ACY39" s="37"/>
      <c r="ACZ39" s="37"/>
      <c r="ADA39" s="37"/>
      <c r="ADB39" s="37"/>
      <c r="ADC39" s="37"/>
      <c r="ADD39" s="37"/>
      <c r="ADE39" s="37"/>
      <c r="ADF39" s="37"/>
      <c r="ADG39" s="37"/>
      <c r="ADH39" s="37"/>
      <c r="ADI39" s="37"/>
      <c r="ADJ39" s="37"/>
      <c r="ADK39" s="37"/>
      <c r="ADL39" s="37"/>
      <c r="ADM39" s="37"/>
      <c r="ADN39" s="37"/>
      <c r="ADO39" s="37"/>
      <c r="ADP39" s="37"/>
      <c r="ADQ39" s="37"/>
      <c r="ADR39" s="37"/>
      <c r="ADS39" s="37"/>
      <c r="ADT39" s="37"/>
      <c r="ADU39" s="37"/>
      <c r="ADV39" s="37"/>
      <c r="ADW39" s="37"/>
      <c r="ADX39" s="37"/>
      <c r="ADY39" s="37"/>
      <c r="ADZ39" s="37"/>
      <c r="AEA39" s="37"/>
      <c r="AEB39" s="37"/>
      <c r="AEC39" s="37"/>
      <c r="AED39" s="37"/>
      <c r="AEE39" s="37"/>
      <c r="AEF39" s="37"/>
      <c r="AEG39" s="37"/>
      <c r="AEH39" s="37"/>
      <c r="AEI39" s="37"/>
      <c r="AEJ39" s="37"/>
      <c r="AEK39" s="37"/>
      <c r="AEL39" s="37"/>
      <c r="AEM39" s="37"/>
      <c r="AEN39" s="37"/>
      <c r="AEO39" s="37"/>
      <c r="AEP39" s="37"/>
      <c r="AEQ39" s="37"/>
      <c r="AER39" s="37"/>
      <c r="AES39" s="37"/>
      <c r="AET39" s="37"/>
      <c r="AEU39" s="37"/>
      <c r="AEV39" s="37"/>
      <c r="AEW39" s="37"/>
      <c r="AEX39" s="37"/>
      <c r="AEY39" s="37"/>
      <c r="AEZ39" s="37"/>
      <c r="AFA39" s="37"/>
      <c r="AFB39" s="37"/>
      <c r="AFC39" s="37"/>
      <c r="AFD39" s="37"/>
      <c r="AFE39" s="37"/>
      <c r="AFF39" s="37"/>
      <c r="AFG39" s="37"/>
      <c r="AFH39" s="37"/>
      <c r="AFI39" s="37"/>
      <c r="AFJ39" s="37"/>
      <c r="AFK39" s="37"/>
      <c r="AFL39" s="37"/>
      <c r="AFM39" s="37"/>
      <c r="AFN39" s="37"/>
      <c r="AFO39" s="37"/>
      <c r="AFP39" s="37"/>
      <c r="AFQ39" s="37"/>
      <c r="AFR39" s="37"/>
      <c r="AFS39" s="37"/>
      <c r="AFT39" s="37"/>
      <c r="AFU39" s="37"/>
      <c r="AFV39" s="37"/>
      <c r="AFW39" s="37"/>
      <c r="AFX39" s="37"/>
      <c r="AFY39" s="37"/>
      <c r="AFZ39" s="37"/>
      <c r="AGA39" s="37"/>
      <c r="AGB39" s="37"/>
      <c r="AGC39" s="37"/>
      <c r="AGD39" s="37"/>
      <c r="AGE39" s="37"/>
      <c r="AGF39" s="37"/>
      <c r="AGG39" s="37"/>
      <c r="AGH39" s="37"/>
      <c r="AGI39" s="37"/>
      <c r="AGJ39" s="37"/>
      <c r="AGK39" s="37"/>
      <c r="AGL39" s="37"/>
      <c r="AGM39" s="37"/>
      <c r="AGN39" s="37"/>
      <c r="AGO39" s="37"/>
      <c r="AGP39" s="37"/>
      <c r="AGQ39" s="37"/>
      <c r="AGR39" s="37"/>
      <c r="AGS39" s="37"/>
      <c r="AGT39" s="37"/>
      <c r="AGU39" s="37"/>
      <c r="AGV39" s="37"/>
      <c r="AGW39" s="37"/>
      <c r="AGX39" s="37"/>
      <c r="AGY39" s="37"/>
      <c r="AGZ39" s="37"/>
      <c r="AHA39" s="37"/>
      <c r="AHB39" s="37"/>
      <c r="AHC39" s="37"/>
      <c r="AHD39" s="37"/>
      <c r="AHE39" s="37"/>
      <c r="AHF39" s="37"/>
      <c r="AHG39" s="37"/>
      <c r="AHH39" s="37"/>
      <c r="AHI39" s="37"/>
      <c r="AHJ39" s="37"/>
      <c r="AHK39" s="37"/>
      <c r="AHL39" s="37"/>
      <c r="AHM39" s="37"/>
      <c r="AHN39" s="37"/>
      <c r="AHO39" s="37"/>
      <c r="AHP39" s="37"/>
      <c r="AHQ39" s="37"/>
      <c r="AHR39" s="37"/>
      <c r="AHS39" s="37"/>
      <c r="AHT39" s="37"/>
      <c r="AHU39" s="37"/>
      <c r="AHV39" s="37"/>
      <c r="AHW39" s="37"/>
      <c r="AHX39" s="37"/>
      <c r="AHY39" s="37"/>
      <c r="AHZ39" s="37"/>
      <c r="AIA39" s="37"/>
      <c r="AIB39" s="37"/>
      <c r="AIC39" s="37"/>
      <c r="AID39" s="37"/>
      <c r="AIE39" s="37"/>
      <c r="AIF39" s="37"/>
      <c r="AIG39" s="37"/>
      <c r="AIH39" s="37"/>
      <c r="AII39" s="37"/>
      <c r="AIJ39" s="37"/>
      <c r="AIK39" s="37"/>
      <c r="AIL39" s="37"/>
      <c r="AIM39" s="37"/>
      <c r="AIN39" s="37"/>
      <c r="AIO39" s="37"/>
      <c r="AIP39" s="37"/>
      <c r="AIQ39" s="37"/>
      <c r="AIR39" s="37"/>
      <c r="AIS39" s="37"/>
      <c r="AIT39" s="37"/>
      <c r="AIU39" s="37"/>
      <c r="AIV39" s="37"/>
      <c r="AIW39" s="37"/>
      <c r="AIX39" s="37"/>
      <c r="AIY39" s="37"/>
      <c r="AIZ39" s="37"/>
      <c r="AJA39" s="37"/>
      <c r="AJB39" s="37"/>
      <c r="AJC39" s="37"/>
      <c r="AJD39" s="37"/>
      <c r="AJE39" s="37"/>
      <c r="AJF39" s="37"/>
      <c r="AJG39" s="37"/>
      <c r="AJH39" s="37"/>
      <c r="AJI39" s="37"/>
      <c r="AJJ39" s="37"/>
      <c r="AJK39" s="37"/>
      <c r="AJL39" s="37"/>
      <c r="AJM39" s="37"/>
      <c r="AJN39" s="37"/>
      <c r="AJO39" s="37"/>
      <c r="AJP39" s="37"/>
      <c r="AJQ39" s="37"/>
      <c r="AJR39" s="37"/>
      <c r="AJS39" s="37"/>
      <c r="AJT39" s="37"/>
      <c r="AJU39" s="37"/>
      <c r="AJV39" s="37"/>
      <c r="AJW39" s="37"/>
      <c r="AJX39" s="37"/>
      <c r="AJY39" s="37"/>
      <c r="AJZ39" s="37"/>
      <c r="AKA39" s="37"/>
      <c r="AKB39" s="37"/>
      <c r="AKC39" s="37"/>
      <c r="AKD39" s="37"/>
      <c r="AKE39" s="37"/>
      <c r="AKF39" s="37"/>
      <c r="AKG39" s="37"/>
      <c r="AKH39" s="37"/>
      <c r="AKI39" s="37"/>
      <c r="AKJ39" s="37"/>
      <c r="AKK39" s="37"/>
      <c r="AKL39" s="37"/>
      <c r="AKM39" s="37"/>
      <c r="AKN39" s="37"/>
      <c r="AKO39" s="37"/>
      <c r="AKP39" s="37"/>
      <c r="AKQ39" s="37"/>
      <c r="AKR39" s="37"/>
      <c r="AKS39" s="37"/>
      <c r="AKT39" s="37"/>
      <c r="AKU39" s="37"/>
      <c r="AKV39" s="37"/>
      <c r="AKW39" s="37"/>
      <c r="AKX39" s="37"/>
      <c r="AKY39" s="37"/>
      <c r="AKZ39" s="37"/>
      <c r="ALA39" s="37"/>
      <c r="ALB39" s="37"/>
      <c r="ALC39" s="37"/>
      <c r="ALD39" s="37"/>
      <c r="ALE39" s="37"/>
      <c r="ALF39" s="37"/>
      <c r="ALG39" s="37"/>
      <c r="ALH39" s="37"/>
      <c r="ALI39" s="37"/>
      <c r="ALJ39" s="37"/>
      <c r="ALK39" s="37"/>
      <c r="ALL39" s="37"/>
      <c r="ALM39" s="37"/>
      <c r="ALN39" s="37"/>
      <c r="ALO39" s="37"/>
      <c r="ALP39" s="37"/>
      <c r="ALQ39" s="37"/>
      <c r="ALR39" s="37"/>
    </row>
    <row r="40" spans="2:1006" x14ac:dyDescent="0.35">
      <c r="C40" s="20" t="s">
        <v>288</v>
      </c>
      <c r="H40" s="21" t="s">
        <v>373</v>
      </c>
      <c r="I40" s="21" t="s">
        <v>345</v>
      </c>
      <c r="J40" s="20" t="s">
        <v>374</v>
      </c>
    </row>
    <row r="41" spans="2:1006" x14ac:dyDescent="0.35">
      <c r="D41" s="25" t="s">
        <v>196</v>
      </c>
    </row>
    <row r="42" spans="2:1006" x14ac:dyDescent="0.35">
      <c r="E42" s="25" t="s">
        <v>130</v>
      </c>
      <c r="G42" s="45">
        <f>'Operating Model'!I47</f>
        <v>90000</v>
      </c>
    </row>
    <row r="43" spans="2:1006" x14ac:dyDescent="0.35">
      <c r="E43" s="25" t="s">
        <v>131</v>
      </c>
      <c r="G43" s="45">
        <f>'Operating Model'!I48</f>
        <v>30000</v>
      </c>
    </row>
    <row r="44" spans="2:1006" x14ac:dyDescent="0.35">
      <c r="E44" s="25" t="s">
        <v>132</v>
      </c>
      <c r="G44" s="45">
        <f>'Operating Model'!I49</f>
        <v>18000</v>
      </c>
    </row>
    <row r="45" spans="2:1006" x14ac:dyDescent="0.35">
      <c r="E45" s="25" t="s">
        <v>133</v>
      </c>
      <c r="G45" s="45">
        <f>'Operating Model'!I50</f>
        <v>24000</v>
      </c>
    </row>
    <row r="46" spans="2:1006" x14ac:dyDescent="0.35">
      <c r="D46" s="25" t="s">
        <v>0</v>
      </c>
    </row>
    <row r="47" spans="2:1006" x14ac:dyDescent="0.35">
      <c r="E47" s="20" t="s">
        <v>111</v>
      </c>
      <c r="G47" s="45">
        <f>'Operating Model'!I54</f>
        <v>1140000</v>
      </c>
    </row>
    <row r="48" spans="2:1006" x14ac:dyDescent="0.35">
      <c r="E48" s="20" t="s">
        <v>144</v>
      </c>
      <c r="G48" s="45">
        <f>'Operating Model'!I55</f>
        <v>2040000</v>
      </c>
    </row>
    <row r="49" spans="4:11" x14ac:dyDescent="0.35">
      <c r="E49" s="20" t="s">
        <v>146</v>
      </c>
      <c r="G49" s="45">
        <f>'Operating Model'!I56</f>
        <v>600000</v>
      </c>
    </row>
    <row r="50" spans="4:11" x14ac:dyDescent="0.35">
      <c r="E50" s="20" t="s">
        <v>112</v>
      </c>
      <c r="G50" s="45">
        <f>'Operating Model'!I57</f>
        <v>180000</v>
      </c>
    </row>
    <row r="51" spans="4:11" x14ac:dyDescent="0.35">
      <c r="E51" s="20" t="s">
        <v>113</v>
      </c>
      <c r="G51" s="45">
        <f>'Operating Model'!I58</f>
        <v>0</v>
      </c>
    </row>
    <row r="52" spans="4:11" x14ac:dyDescent="0.35">
      <c r="E52" s="20" t="s">
        <v>199</v>
      </c>
      <c r="G52" s="45">
        <f>'Operating Model'!I59</f>
        <v>0</v>
      </c>
    </row>
    <row r="53" spans="4:11" x14ac:dyDescent="0.35">
      <c r="E53" s="20" t="s">
        <v>114</v>
      </c>
      <c r="G53" s="45">
        <f>'Operating Model'!I60</f>
        <v>480000</v>
      </c>
    </row>
    <row r="54" spans="4:11" x14ac:dyDescent="0.35">
      <c r="D54" s="20" t="s">
        <v>289</v>
      </c>
    </row>
    <row r="55" spans="4:11" x14ac:dyDescent="0.35">
      <c r="E55" s="20" t="s">
        <v>306</v>
      </c>
      <c r="G55" s="20">
        <f>I55</f>
        <v>18218.734425531227</v>
      </c>
      <c r="H55" s="20">
        <f>SUM(K75:DQ75)</f>
        <v>17382.576404618674</v>
      </c>
      <c r="I55" s="28">
        <v>18218.734425531227</v>
      </c>
      <c r="J55" s="20">
        <f>I55-H55</f>
        <v>836.15802091255318</v>
      </c>
    </row>
    <row r="56" spans="4:11" x14ac:dyDescent="0.35">
      <c r="E56" s="20" t="s">
        <v>307</v>
      </c>
      <c r="G56" s="20">
        <f t="shared" ref="G56:G57" si="41">I56</f>
        <v>52877.865996051638</v>
      </c>
      <c r="H56" s="20">
        <f>SUM(K76:DQ76)</f>
        <v>51145.14431369448</v>
      </c>
      <c r="I56" s="28">
        <v>52877.865996051638</v>
      </c>
      <c r="J56" s="20">
        <f t="shared" ref="J56:J57" si="42">I56-H56</f>
        <v>1732.721682357158</v>
      </c>
    </row>
    <row r="57" spans="4:11" x14ac:dyDescent="0.35">
      <c r="E57" s="20" t="s">
        <v>308</v>
      </c>
      <c r="G57" s="20">
        <f t="shared" si="41"/>
        <v>6417.2272473519024</v>
      </c>
      <c r="H57" s="20">
        <f>SUM(K77:DQ77)</f>
        <v>6257.6759953699648</v>
      </c>
      <c r="I57" s="28">
        <v>6417.2272473519024</v>
      </c>
      <c r="J57" s="20">
        <f t="shared" si="42"/>
        <v>159.55125198193764</v>
      </c>
    </row>
    <row r="58" spans="4:11" ht="15" thickBot="1" x14ac:dyDescent="0.4">
      <c r="E58" s="39" t="s">
        <v>288</v>
      </c>
      <c r="F58" s="39"/>
      <c r="G58" s="39">
        <f>SUM(G42:G57)</f>
        <v>4679513.8276689341</v>
      </c>
      <c r="J58" s="20">
        <f>SUM(J55:J57)</f>
        <v>2728.4309552516488</v>
      </c>
    </row>
    <row r="60" spans="4:11" x14ac:dyDescent="0.35">
      <c r="D60" s="20" t="s">
        <v>309</v>
      </c>
      <c r="H60" s="21" t="s">
        <v>298</v>
      </c>
      <c r="I60" s="21" t="s">
        <v>310</v>
      </c>
      <c r="K60" s="21" t="s">
        <v>345</v>
      </c>
    </row>
    <row r="61" spans="4:11" x14ac:dyDescent="0.35">
      <c r="E61" s="20" t="s">
        <v>303</v>
      </c>
      <c r="F61" s="20" t="b">
        <f>fixed_debt</f>
        <v>0</v>
      </c>
      <c r="G61" s="20">
        <f>IF(F61,K61,H61)</f>
        <v>3409676.2875796319</v>
      </c>
      <c r="H61" s="20">
        <f>G31</f>
        <v>3409676.2875796319</v>
      </c>
      <c r="I61" s="54">
        <f>G58*J61</f>
        <v>3743611.0621351474</v>
      </c>
      <c r="J61" s="35">
        <f>Assumptions!F133</f>
        <v>0.8</v>
      </c>
      <c r="K61" s="20">
        <f>I108</f>
        <v>3525191.0664034425</v>
      </c>
    </row>
    <row r="62" spans="4:11" x14ac:dyDescent="0.35">
      <c r="E62" s="20" t="s">
        <v>304</v>
      </c>
      <c r="G62" s="20">
        <f>G58-G61</f>
        <v>1269837.5400893022</v>
      </c>
    </row>
    <row r="63" spans="4:11" ht="15" thickBot="1" x14ac:dyDescent="0.4">
      <c r="E63" s="39" t="s">
        <v>305</v>
      </c>
      <c r="F63" s="39"/>
      <c r="G63" s="39">
        <f>SUM(G61:G62)</f>
        <v>4679513.8276689341</v>
      </c>
    </row>
    <row r="65" spans="2:1006" x14ac:dyDescent="0.35">
      <c r="E65" s="20" t="s">
        <v>311</v>
      </c>
      <c r="G65" s="20">
        <f>G62*H65</f>
        <v>507935.01603572094</v>
      </c>
      <c r="H65" s="35">
        <f>Assumptions!F136</f>
        <v>0.4</v>
      </c>
    </row>
    <row r="66" spans="2:1006" x14ac:dyDescent="0.35">
      <c r="E66" s="20" t="s">
        <v>312</v>
      </c>
      <c r="G66" s="20">
        <f>G62-G65</f>
        <v>761902.52405358129</v>
      </c>
      <c r="H66" s="22">
        <f>G66/$G$68</f>
        <v>0.18264128725768675</v>
      </c>
    </row>
    <row r="67" spans="2:1006" x14ac:dyDescent="0.35">
      <c r="E67" s="20" t="s">
        <v>303</v>
      </c>
      <c r="G67" s="20">
        <f>G61</f>
        <v>3409676.2875796319</v>
      </c>
      <c r="H67" s="22">
        <f>G67/G68</f>
        <v>0.8173587127423132</v>
      </c>
    </row>
    <row r="68" spans="2:1006" x14ac:dyDescent="0.35">
      <c r="E68" s="20" t="s">
        <v>313</v>
      </c>
      <c r="G68" s="20">
        <f>G66+G67</f>
        <v>4171578.8116332134</v>
      </c>
    </row>
    <row r="69" spans="2:1006" x14ac:dyDescent="0.35">
      <c r="E69" s="20" t="s">
        <v>412</v>
      </c>
      <c r="G69" s="22">
        <f>G61/G63</f>
        <v>0.72863900250042368</v>
      </c>
    </row>
    <row r="71" spans="2:1006" x14ac:dyDescent="0.35">
      <c r="B71" s="37" t="s">
        <v>314</v>
      </c>
      <c r="C71" s="37"/>
      <c r="D71" s="37"/>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c r="AV71" s="37"/>
      <c r="AW71" s="37"/>
      <c r="AX71" s="37"/>
      <c r="AY71" s="37"/>
      <c r="AZ71" s="37"/>
      <c r="BA71" s="37"/>
      <c r="BB71" s="37"/>
      <c r="BC71" s="37"/>
      <c r="BD71" s="37"/>
      <c r="BE71" s="37"/>
      <c r="BF71" s="37"/>
      <c r="BG71" s="37"/>
      <c r="BH71" s="37"/>
      <c r="BI71" s="37"/>
      <c r="BJ71" s="37"/>
      <c r="BK71" s="37"/>
      <c r="BL71" s="37"/>
      <c r="BM71" s="37"/>
      <c r="BN71" s="37"/>
      <c r="BO71" s="37"/>
      <c r="BP71" s="37"/>
      <c r="BQ71" s="37"/>
      <c r="BR71" s="37"/>
      <c r="BS71" s="37"/>
      <c r="BT71" s="37"/>
      <c r="BU71" s="37"/>
      <c r="BV71" s="37"/>
      <c r="BW71" s="37"/>
      <c r="BX71" s="37"/>
      <c r="BY71" s="37"/>
      <c r="BZ71" s="37"/>
      <c r="CA71" s="37"/>
      <c r="CB71" s="37"/>
      <c r="CC71" s="37"/>
      <c r="CD71" s="37"/>
      <c r="CE71" s="37"/>
      <c r="CF71" s="37"/>
      <c r="CG71" s="37"/>
      <c r="CH71" s="37"/>
      <c r="CI71" s="37"/>
      <c r="CJ71" s="37"/>
      <c r="CK71" s="37"/>
      <c r="CL71" s="37"/>
      <c r="CM71" s="37"/>
      <c r="CN71" s="37"/>
      <c r="CO71" s="37"/>
      <c r="CP71" s="37"/>
      <c r="CQ71" s="37"/>
      <c r="CR71" s="37"/>
      <c r="CS71" s="37"/>
      <c r="CT71" s="37"/>
      <c r="CU71" s="37"/>
      <c r="CV71" s="37"/>
      <c r="CW71" s="37"/>
      <c r="CX71" s="37"/>
      <c r="CY71" s="37"/>
      <c r="CZ71" s="37"/>
      <c r="DA71" s="37"/>
      <c r="DB71" s="37"/>
      <c r="DC71" s="37"/>
      <c r="DD71" s="37"/>
      <c r="DE71" s="37"/>
      <c r="DF71" s="37"/>
      <c r="DG71" s="37"/>
      <c r="DH71" s="37"/>
      <c r="DI71" s="37"/>
      <c r="DJ71" s="37"/>
      <c r="DK71" s="37"/>
      <c r="DL71" s="37"/>
      <c r="DM71" s="37"/>
      <c r="DN71" s="37"/>
      <c r="DO71" s="37"/>
      <c r="DP71" s="37"/>
      <c r="DQ71" s="37"/>
      <c r="DR71" s="37"/>
      <c r="DS71" s="37"/>
      <c r="DT71" s="37"/>
      <c r="DU71" s="37"/>
      <c r="DV71" s="37"/>
      <c r="DW71" s="37"/>
      <c r="DX71" s="37"/>
      <c r="DY71" s="37"/>
      <c r="DZ71" s="37"/>
      <c r="EA71" s="37"/>
      <c r="EB71" s="37"/>
      <c r="EC71" s="37"/>
      <c r="ED71" s="37"/>
      <c r="EE71" s="37"/>
      <c r="EF71" s="37"/>
      <c r="EG71" s="37"/>
      <c r="EH71" s="37"/>
      <c r="EI71" s="37"/>
      <c r="EJ71" s="37"/>
      <c r="EK71" s="37"/>
      <c r="EL71" s="37"/>
      <c r="EM71" s="37"/>
      <c r="EN71" s="37"/>
      <c r="EO71" s="37"/>
      <c r="EP71" s="37"/>
      <c r="EQ71" s="37"/>
      <c r="ER71" s="37"/>
      <c r="ES71" s="37"/>
      <c r="ET71" s="37"/>
      <c r="EU71" s="37"/>
      <c r="EV71" s="37"/>
      <c r="EW71" s="37"/>
      <c r="EX71" s="37"/>
      <c r="EY71" s="37"/>
      <c r="EZ71" s="37"/>
      <c r="FA71" s="37"/>
      <c r="FB71" s="37"/>
      <c r="FC71" s="37"/>
      <c r="FD71" s="37"/>
      <c r="FE71" s="37"/>
      <c r="FF71" s="37"/>
      <c r="FG71" s="37"/>
      <c r="FH71" s="37"/>
      <c r="FI71" s="37"/>
      <c r="FJ71" s="37"/>
      <c r="FK71" s="37"/>
      <c r="FL71" s="37"/>
      <c r="FM71" s="37"/>
      <c r="FN71" s="37"/>
      <c r="FO71" s="37"/>
      <c r="FP71" s="37"/>
      <c r="FQ71" s="37"/>
      <c r="FR71" s="37"/>
      <c r="FS71" s="37"/>
      <c r="FT71" s="37"/>
      <c r="FU71" s="37"/>
      <c r="FV71" s="37"/>
      <c r="FW71" s="37"/>
      <c r="FX71" s="37"/>
      <c r="FY71" s="37"/>
      <c r="FZ71" s="37"/>
      <c r="GA71" s="37"/>
      <c r="GB71" s="37"/>
      <c r="GC71" s="37"/>
      <c r="GD71" s="37"/>
      <c r="GE71" s="37"/>
      <c r="GF71" s="37"/>
      <c r="GG71" s="37"/>
      <c r="GH71" s="37"/>
      <c r="GI71" s="37"/>
      <c r="GJ71" s="37"/>
      <c r="GK71" s="37"/>
      <c r="GL71" s="37"/>
      <c r="GM71" s="37"/>
      <c r="GN71" s="37"/>
      <c r="GO71" s="37"/>
      <c r="GP71" s="37"/>
      <c r="GQ71" s="37"/>
      <c r="GR71" s="37"/>
      <c r="GS71" s="37"/>
      <c r="GT71" s="37"/>
      <c r="GU71" s="37"/>
      <c r="GV71" s="37"/>
      <c r="GW71" s="37"/>
      <c r="GX71" s="37"/>
      <c r="GY71" s="37"/>
      <c r="GZ71" s="37"/>
      <c r="HA71" s="37"/>
      <c r="HB71" s="37"/>
      <c r="HC71" s="37"/>
      <c r="HD71" s="37"/>
      <c r="HE71" s="37"/>
      <c r="HF71" s="37"/>
      <c r="HG71" s="37"/>
      <c r="HH71" s="37"/>
      <c r="HI71" s="37"/>
      <c r="HJ71" s="37"/>
      <c r="HK71" s="37"/>
      <c r="HL71" s="37"/>
      <c r="HM71" s="37"/>
      <c r="HN71" s="37"/>
      <c r="HO71" s="37"/>
      <c r="HP71" s="37"/>
      <c r="HQ71" s="37"/>
      <c r="HR71" s="37"/>
      <c r="HS71" s="37"/>
      <c r="HT71" s="37"/>
      <c r="HU71" s="37"/>
      <c r="HV71" s="37"/>
      <c r="HW71" s="37"/>
      <c r="HX71" s="37"/>
      <c r="HY71" s="37"/>
      <c r="HZ71" s="37"/>
      <c r="IA71" s="37"/>
      <c r="IB71" s="37"/>
      <c r="IC71" s="37"/>
      <c r="ID71" s="37"/>
      <c r="IE71" s="37"/>
      <c r="IF71" s="37"/>
      <c r="IG71" s="37"/>
      <c r="IH71" s="37"/>
      <c r="II71" s="37"/>
      <c r="IJ71" s="37"/>
      <c r="IK71" s="37"/>
      <c r="IL71" s="37"/>
      <c r="IM71" s="37"/>
      <c r="IN71" s="37"/>
      <c r="IO71" s="37"/>
      <c r="IP71" s="37"/>
      <c r="IQ71" s="37"/>
      <c r="IR71" s="37"/>
      <c r="IS71" s="37"/>
      <c r="IT71" s="37"/>
      <c r="IU71" s="37"/>
      <c r="IV71" s="37"/>
      <c r="IW71" s="37"/>
      <c r="IX71" s="37"/>
      <c r="IY71" s="37"/>
      <c r="IZ71" s="37"/>
      <c r="JA71" s="37"/>
      <c r="JB71" s="37"/>
      <c r="JC71" s="37"/>
      <c r="JD71" s="37"/>
      <c r="JE71" s="37"/>
      <c r="JF71" s="37"/>
      <c r="JG71" s="37"/>
      <c r="JH71" s="37"/>
      <c r="JI71" s="37"/>
      <c r="JJ71" s="37"/>
      <c r="JK71" s="37"/>
      <c r="JL71" s="37"/>
      <c r="JM71" s="37"/>
      <c r="JN71" s="37"/>
      <c r="JO71" s="37"/>
      <c r="JP71" s="37"/>
      <c r="JQ71" s="37"/>
      <c r="JR71" s="37"/>
      <c r="JS71" s="37"/>
      <c r="JT71" s="37"/>
      <c r="JU71" s="37"/>
      <c r="JV71" s="37"/>
      <c r="JW71" s="37"/>
      <c r="JX71" s="37"/>
      <c r="JY71" s="37"/>
      <c r="JZ71" s="37"/>
      <c r="KA71" s="37"/>
      <c r="KB71" s="37"/>
      <c r="KC71" s="37"/>
      <c r="KD71" s="37"/>
      <c r="KE71" s="37"/>
      <c r="KF71" s="37"/>
      <c r="KG71" s="37"/>
      <c r="KH71" s="37"/>
      <c r="KI71" s="37"/>
      <c r="KJ71" s="37"/>
      <c r="KK71" s="37"/>
      <c r="KL71" s="37"/>
      <c r="KM71" s="37"/>
      <c r="KN71" s="37"/>
      <c r="KO71" s="37"/>
      <c r="KP71" s="37"/>
      <c r="KQ71" s="37"/>
      <c r="KR71" s="37"/>
      <c r="KS71" s="37"/>
      <c r="KT71" s="37"/>
      <c r="KU71" s="37"/>
      <c r="KV71" s="37"/>
      <c r="KW71" s="37"/>
      <c r="KX71" s="37"/>
      <c r="KY71" s="37"/>
      <c r="KZ71" s="37"/>
      <c r="LA71" s="37"/>
      <c r="LB71" s="37"/>
      <c r="LC71" s="37"/>
      <c r="LD71" s="37"/>
      <c r="LE71" s="37"/>
      <c r="LF71" s="37"/>
      <c r="LG71" s="37"/>
      <c r="LH71" s="37"/>
      <c r="LI71" s="37"/>
      <c r="LJ71" s="37"/>
      <c r="LK71" s="37"/>
      <c r="LL71" s="37"/>
      <c r="LM71" s="37"/>
      <c r="LN71" s="37"/>
      <c r="LO71" s="37"/>
      <c r="LP71" s="37"/>
      <c r="LQ71" s="37"/>
      <c r="LR71" s="37"/>
      <c r="LS71" s="37"/>
      <c r="LT71" s="37"/>
      <c r="LU71" s="37"/>
      <c r="LV71" s="37"/>
      <c r="LW71" s="37"/>
      <c r="LX71" s="37"/>
      <c r="LY71" s="37"/>
      <c r="LZ71" s="37"/>
      <c r="MA71" s="37"/>
      <c r="MB71" s="37"/>
      <c r="MC71" s="37"/>
      <c r="MD71" s="37"/>
      <c r="ME71" s="37"/>
      <c r="MF71" s="37"/>
      <c r="MG71" s="37"/>
      <c r="MH71" s="37"/>
      <c r="MI71" s="37"/>
      <c r="MJ71" s="37"/>
      <c r="MK71" s="37"/>
      <c r="ML71" s="37"/>
      <c r="MM71" s="37"/>
      <c r="MN71" s="37"/>
      <c r="MO71" s="37"/>
      <c r="MP71" s="37"/>
      <c r="MQ71" s="37"/>
      <c r="MR71" s="37"/>
      <c r="MS71" s="37"/>
      <c r="MT71" s="37"/>
      <c r="MU71" s="37"/>
      <c r="MV71" s="37"/>
      <c r="MW71" s="37"/>
      <c r="MX71" s="37"/>
      <c r="MY71" s="37"/>
      <c r="MZ71" s="37"/>
      <c r="NA71" s="37"/>
      <c r="NB71" s="37"/>
      <c r="NC71" s="37"/>
      <c r="ND71" s="37"/>
      <c r="NE71" s="37"/>
      <c r="NF71" s="37"/>
      <c r="NG71" s="37"/>
      <c r="NH71" s="37"/>
      <c r="NI71" s="37"/>
      <c r="NJ71" s="37"/>
      <c r="NK71" s="37"/>
      <c r="NL71" s="37"/>
      <c r="NM71" s="37"/>
      <c r="NN71" s="37"/>
      <c r="NO71" s="37"/>
      <c r="NP71" s="37"/>
      <c r="NQ71" s="37"/>
      <c r="NR71" s="37"/>
      <c r="NS71" s="37"/>
      <c r="NT71" s="37"/>
      <c r="NU71" s="37"/>
      <c r="NV71" s="37"/>
      <c r="NW71" s="37"/>
      <c r="NX71" s="37"/>
      <c r="NY71" s="37"/>
      <c r="NZ71" s="37"/>
      <c r="OA71" s="37"/>
      <c r="OB71" s="37"/>
      <c r="OC71" s="37"/>
      <c r="OD71" s="37"/>
      <c r="OE71" s="37"/>
      <c r="OF71" s="37"/>
      <c r="OG71" s="37"/>
      <c r="OH71" s="37"/>
      <c r="OI71" s="37"/>
      <c r="OJ71" s="37"/>
      <c r="OK71" s="37"/>
      <c r="OL71" s="37"/>
      <c r="OM71" s="37"/>
      <c r="ON71" s="37"/>
      <c r="OO71" s="37"/>
      <c r="OP71" s="37"/>
      <c r="OQ71" s="37"/>
      <c r="OR71" s="37"/>
      <c r="OS71" s="37"/>
      <c r="OT71" s="37"/>
      <c r="OU71" s="37"/>
      <c r="OV71" s="37"/>
      <c r="OW71" s="37"/>
      <c r="OX71" s="37"/>
      <c r="OY71" s="37"/>
      <c r="OZ71" s="37"/>
      <c r="PA71" s="37"/>
      <c r="PB71" s="37"/>
      <c r="PC71" s="37"/>
      <c r="PD71" s="37"/>
      <c r="PE71" s="37"/>
      <c r="PF71" s="37"/>
      <c r="PG71" s="37"/>
      <c r="PH71" s="37"/>
      <c r="PI71" s="37"/>
      <c r="PJ71" s="37"/>
      <c r="PK71" s="37"/>
      <c r="PL71" s="37"/>
      <c r="PM71" s="37"/>
      <c r="PN71" s="37"/>
      <c r="PO71" s="37"/>
      <c r="PP71" s="37"/>
      <c r="PQ71" s="37"/>
      <c r="PR71" s="37"/>
      <c r="PS71" s="37"/>
      <c r="PT71" s="37"/>
      <c r="PU71" s="37"/>
      <c r="PV71" s="37"/>
      <c r="PW71" s="37"/>
      <c r="PX71" s="37"/>
      <c r="PY71" s="37"/>
      <c r="PZ71" s="37"/>
      <c r="QA71" s="37"/>
      <c r="QB71" s="37"/>
      <c r="QC71" s="37"/>
      <c r="QD71" s="37"/>
      <c r="QE71" s="37"/>
      <c r="QF71" s="37"/>
      <c r="QG71" s="37"/>
      <c r="QH71" s="37"/>
      <c r="QI71" s="37"/>
      <c r="QJ71" s="37"/>
      <c r="QK71" s="37"/>
      <c r="QL71" s="37"/>
      <c r="QM71" s="37"/>
      <c r="QN71" s="37"/>
      <c r="QO71" s="37"/>
      <c r="QP71" s="37"/>
      <c r="QQ71" s="37"/>
      <c r="QR71" s="37"/>
      <c r="QS71" s="37"/>
      <c r="QT71" s="37"/>
      <c r="QU71" s="37"/>
      <c r="QV71" s="37"/>
      <c r="QW71" s="37"/>
      <c r="QX71" s="37"/>
      <c r="QY71" s="37"/>
      <c r="QZ71" s="37"/>
      <c r="RA71" s="37"/>
      <c r="RB71" s="37"/>
      <c r="RC71" s="37"/>
      <c r="RD71" s="37"/>
      <c r="RE71" s="37"/>
      <c r="RF71" s="37"/>
      <c r="RG71" s="37"/>
      <c r="RH71" s="37"/>
      <c r="RI71" s="37"/>
      <c r="RJ71" s="37"/>
      <c r="RK71" s="37"/>
      <c r="RL71" s="37"/>
      <c r="RM71" s="37"/>
      <c r="RN71" s="37"/>
      <c r="RO71" s="37"/>
      <c r="RP71" s="37"/>
      <c r="RQ71" s="37"/>
      <c r="RR71" s="37"/>
      <c r="RS71" s="37"/>
      <c r="RT71" s="37"/>
      <c r="RU71" s="37"/>
      <c r="RV71" s="37"/>
      <c r="RW71" s="37"/>
      <c r="RX71" s="37"/>
      <c r="RY71" s="37"/>
      <c r="RZ71" s="37"/>
      <c r="SA71" s="37"/>
      <c r="SB71" s="37"/>
      <c r="SC71" s="37"/>
      <c r="SD71" s="37"/>
      <c r="SE71" s="37"/>
      <c r="SF71" s="37"/>
      <c r="SG71" s="37"/>
      <c r="SH71" s="37"/>
      <c r="SI71" s="37"/>
      <c r="SJ71" s="37"/>
      <c r="SK71" s="37"/>
      <c r="SL71" s="37"/>
      <c r="SM71" s="37"/>
      <c r="SN71" s="37"/>
      <c r="SO71" s="37"/>
      <c r="SP71" s="37"/>
      <c r="SQ71" s="37"/>
      <c r="SR71" s="37"/>
      <c r="SS71" s="37"/>
      <c r="ST71" s="37"/>
      <c r="SU71" s="37"/>
      <c r="SV71" s="37"/>
      <c r="SW71" s="37"/>
      <c r="SX71" s="37"/>
      <c r="SY71" s="37"/>
      <c r="SZ71" s="37"/>
      <c r="TA71" s="37"/>
      <c r="TB71" s="37"/>
      <c r="TC71" s="37"/>
      <c r="TD71" s="37"/>
      <c r="TE71" s="37"/>
      <c r="TF71" s="37"/>
      <c r="TG71" s="37"/>
      <c r="TH71" s="37"/>
      <c r="TI71" s="37"/>
      <c r="TJ71" s="37"/>
      <c r="TK71" s="37"/>
      <c r="TL71" s="37"/>
      <c r="TM71" s="37"/>
      <c r="TN71" s="37"/>
      <c r="TO71" s="37"/>
      <c r="TP71" s="37"/>
      <c r="TQ71" s="37"/>
      <c r="TR71" s="37"/>
      <c r="TS71" s="37"/>
      <c r="TT71" s="37"/>
      <c r="TU71" s="37"/>
      <c r="TV71" s="37"/>
      <c r="TW71" s="37"/>
      <c r="TX71" s="37"/>
      <c r="TY71" s="37"/>
      <c r="TZ71" s="37"/>
      <c r="UA71" s="37"/>
      <c r="UB71" s="37"/>
      <c r="UC71" s="37"/>
      <c r="UD71" s="37"/>
      <c r="UE71" s="37"/>
      <c r="UF71" s="37"/>
      <c r="UG71" s="37"/>
      <c r="UH71" s="37"/>
      <c r="UI71" s="37"/>
      <c r="UJ71" s="37"/>
      <c r="UK71" s="37"/>
      <c r="UL71" s="37"/>
      <c r="UM71" s="37"/>
      <c r="UN71" s="37"/>
      <c r="UO71" s="37"/>
      <c r="UP71" s="37"/>
      <c r="UQ71" s="37"/>
      <c r="UR71" s="37"/>
      <c r="US71" s="37"/>
      <c r="UT71" s="37"/>
      <c r="UU71" s="37"/>
      <c r="UV71" s="37"/>
      <c r="UW71" s="37"/>
      <c r="UX71" s="37"/>
      <c r="UY71" s="37"/>
      <c r="UZ71" s="37"/>
      <c r="VA71" s="37"/>
      <c r="VB71" s="37"/>
      <c r="VC71" s="37"/>
      <c r="VD71" s="37"/>
      <c r="VE71" s="37"/>
      <c r="VF71" s="37"/>
      <c r="VG71" s="37"/>
      <c r="VH71" s="37"/>
      <c r="VI71" s="37"/>
      <c r="VJ71" s="37"/>
      <c r="VK71" s="37"/>
      <c r="VL71" s="37"/>
      <c r="VM71" s="37"/>
      <c r="VN71" s="37"/>
      <c r="VO71" s="37"/>
      <c r="VP71" s="37"/>
      <c r="VQ71" s="37"/>
      <c r="VR71" s="37"/>
      <c r="VS71" s="37"/>
      <c r="VT71" s="37"/>
      <c r="VU71" s="37"/>
      <c r="VV71" s="37"/>
      <c r="VW71" s="37"/>
      <c r="VX71" s="37"/>
      <c r="VY71" s="37"/>
      <c r="VZ71" s="37"/>
      <c r="WA71" s="37"/>
      <c r="WB71" s="37"/>
      <c r="WC71" s="37"/>
      <c r="WD71" s="37"/>
      <c r="WE71" s="37"/>
      <c r="WF71" s="37"/>
      <c r="WG71" s="37"/>
      <c r="WH71" s="37"/>
      <c r="WI71" s="37"/>
      <c r="WJ71" s="37"/>
      <c r="WK71" s="37"/>
      <c r="WL71" s="37"/>
      <c r="WM71" s="37"/>
      <c r="WN71" s="37"/>
      <c r="WO71" s="37"/>
      <c r="WP71" s="37"/>
      <c r="WQ71" s="37"/>
      <c r="WR71" s="37"/>
      <c r="WS71" s="37"/>
      <c r="WT71" s="37"/>
      <c r="WU71" s="37"/>
      <c r="WV71" s="37"/>
      <c r="WW71" s="37"/>
      <c r="WX71" s="37"/>
      <c r="WY71" s="37"/>
      <c r="WZ71" s="37"/>
      <c r="XA71" s="37"/>
      <c r="XB71" s="37"/>
      <c r="XC71" s="37"/>
      <c r="XD71" s="37"/>
      <c r="XE71" s="37"/>
      <c r="XF71" s="37"/>
      <c r="XG71" s="37"/>
      <c r="XH71" s="37"/>
      <c r="XI71" s="37"/>
      <c r="XJ71" s="37"/>
      <c r="XK71" s="37"/>
      <c r="XL71" s="37"/>
      <c r="XM71" s="37"/>
      <c r="XN71" s="37"/>
      <c r="XO71" s="37"/>
      <c r="XP71" s="37"/>
      <c r="XQ71" s="37"/>
      <c r="XR71" s="37"/>
      <c r="XS71" s="37"/>
      <c r="XT71" s="37"/>
      <c r="XU71" s="37"/>
      <c r="XV71" s="37"/>
      <c r="XW71" s="37"/>
      <c r="XX71" s="37"/>
      <c r="XY71" s="37"/>
      <c r="XZ71" s="37"/>
      <c r="YA71" s="37"/>
      <c r="YB71" s="37"/>
      <c r="YC71" s="37"/>
      <c r="YD71" s="37"/>
      <c r="YE71" s="37"/>
      <c r="YF71" s="37"/>
      <c r="YG71" s="37"/>
      <c r="YH71" s="37"/>
      <c r="YI71" s="37"/>
      <c r="YJ71" s="37"/>
      <c r="YK71" s="37"/>
      <c r="YL71" s="37"/>
      <c r="YM71" s="37"/>
      <c r="YN71" s="37"/>
      <c r="YO71" s="37"/>
      <c r="YP71" s="37"/>
      <c r="YQ71" s="37"/>
      <c r="YR71" s="37"/>
      <c r="YS71" s="37"/>
      <c r="YT71" s="37"/>
      <c r="YU71" s="37"/>
      <c r="YV71" s="37"/>
      <c r="YW71" s="37"/>
      <c r="YX71" s="37"/>
      <c r="YY71" s="37"/>
      <c r="YZ71" s="37"/>
      <c r="ZA71" s="37"/>
      <c r="ZB71" s="37"/>
      <c r="ZC71" s="37"/>
      <c r="ZD71" s="37"/>
      <c r="ZE71" s="37"/>
      <c r="ZF71" s="37"/>
      <c r="ZG71" s="37"/>
      <c r="ZH71" s="37"/>
      <c r="ZI71" s="37"/>
      <c r="ZJ71" s="37"/>
      <c r="ZK71" s="37"/>
      <c r="ZL71" s="37"/>
      <c r="ZM71" s="37"/>
      <c r="ZN71" s="37"/>
      <c r="ZO71" s="37"/>
      <c r="ZP71" s="37"/>
      <c r="ZQ71" s="37"/>
      <c r="ZR71" s="37"/>
      <c r="ZS71" s="37"/>
      <c r="ZT71" s="37"/>
      <c r="ZU71" s="37"/>
      <c r="ZV71" s="37"/>
      <c r="ZW71" s="37"/>
      <c r="ZX71" s="37"/>
      <c r="ZY71" s="37"/>
      <c r="ZZ71" s="37"/>
      <c r="AAA71" s="37"/>
      <c r="AAB71" s="37"/>
      <c r="AAC71" s="37"/>
      <c r="AAD71" s="37"/>
      <c r="AAE71" s="37"/>
      <c r="AAF71" s="37"/>
      <c r="AAG71" s="37"/>
      <c r="AAH71" s="37"/>
      <c r="AAI71" s="37"/>
      <c r="AAJ71" s="37"/>
      <c r="AAK71" s="37"/>
      <c r="AAL71" s="37"/>
      <c r="AAM71" s="37"/>
      <c r="AAN71" s="37"/>
      <c r="AAO71" s="37"/>
      <c r="AAP71" s="37"/>
      <c r="AAQ71" s="37"/>
      <c r="AAR71" s="37"/>
      <c r="AAS71" s="37"/>
      <c r="AAT71" s="37"/>
      <c r="AAU71" s="37"/>
      <c r="AAV71" s="37"/>
      <c r="AAW71" s="37"/>
      <c r="AAX71" s="37"/>
      <c r="AAY71" s="37"/>
      <c r="AAZ71" s="37"/>
      <c r="ABA71" s="37"/>
      <c r="ABB71" s="37"/>
      <c r="ABC71" s="37"/>
      <c r="ABD71" s="37"/>
      <c r="ABE71" s="37"/>
      <c r="ABF71" s="37"/>
      <c r="ABG71" s="37"/>
      <c r="ABH71" s="37"/>
      <c r="ABI71" s="37"/>
      <c r="ABJ71" s="37"/>
      <c r="ABK71" s="37"/>
      <c r="ABL71" s="37"/>
      <c r="ABM71" s="37"/>
      <c r="ABN71" s="37"/>
      <c r="ABO71" s="37"/>
      <c r="ABP71" s="37"/>
      <c r="ABQ71" s="37"/>
      <c r="ABR71" s="37"/>
      <c r="ABS71" s="37"/>
      <c r="ABT71" s="37"/>
      <c r="ABU71" s="37"/>
      <c r="ABV71" s="37"/>
      <c r="ABW71" s="37"/>
      <c r="ABX71" s="37"/>
      <c r="ABY71" s="37"/>
      <c r="ABZ71" s="37"/>
      <c r="ACA71" s="37"/>
      <c r="ACB71" s="37"/>
      <c r="ACC71" s="37"/>
      <c r="ACD71" s="37"/>
      <c r="ACE71" s="37"/>
      <c r="ACF71" s="37"/>
      <c r="ACG71" s="37"/>
      <c r="ACH71" s="37"/>
      <c r="ACI71" s="37"/>
      <c r="ACJ71" s="37"/>
      <c r="ACK71" s="37"/>
      <c r="ACL71" s="37"/>
      <c r="ACM71" s="37"/>
      <c r="ACN71" s="37"/>
      <c r="ACO71" s="37"/>
      <c r="ACP71" s="37"/>
      <c r="ACQ71" s="37"/>
      <c r="ACR71" s="37"/>
      <c r="ACS71" s="37"/>
      <c r="ACT71" s="37"/>
      <c r="ACU71" s="37"/>
      <c r="ACV71" s="37"/>
      <c r="ACW71" s="37"/>
      <c r="ACX71" s="37"/>
      <c r="ACY71" s="37"/>
      <c r="ACZ71" s="37"/>
      <c r="ADA71" s="37"/>
      <c r="ADB71" s="37"/>
      <c r="ADC71" s="37"/>
      <c r="ADD71" s="37"/>
      <c r="ADE71" s="37"/>
      <c r="ADF71" s="37"/>
      <c r="ADG71" s="37"/>
      <c r="ADH71" s="37"/>
      <c r="ADI71" s="37"/>
      <c r="ADJ71" s="37"/>
      <c r="ADK71" s="37"/>
      <c r="ADL71" s="37"/>
      <c r="ADM71" s="37"/>
      <c r="ADN71" s="37"/>
      <c r="ADO71" s="37"/>
      <c r="ADP71" s="37"/>
      <c r="ADQ71" s="37"/>
      <c r="ADR71" s="37"/>
      <c r="ADS71" s="37"/>
      <c r="ADT71" s="37"/>
      <c r="ADU71" s="37"/>
      <c r="ADV71" s="37"/>
      <c r="ADW71" s="37"/>
      <c r="ADX71" s="37"/>
      <c r="ADY71" s="37"/>
      <c r="ADZ71" s="37"/>
      <c r="AEA71" s="37"/>
      <c r="AEB71" s="37"/>
      <c r="AEC71" s="37"/>
      <c r="AED71" s="37"/>
      <c r="AEE71" s="37"/>
      <c r="AEF71" s="37"/>
      <c r="AEG71" s="37"/>
      <c r="AEH71" s="37"/>
      <c r="AEI71" s="37"/>
      <c r="AEJ71" s="37"/>
      <c r="AEK71" s="37"/>
      <c r="AEL71" s="37"/>
      <c r="AEM71" s="37"/>
      <c r="AEN71" s="37"/>
      <c r="AEO71" s="37"/>
      <c r="AEP71" s="37"/>
      <c r="AEQ71" s="37"/>
      <c r="AER71" s="37"/>
      <c r="AES71" s="37"/>
      <c r="AET71" s="37"/>
      <c r="AEU71" s="37"/>
      <c r="AEV71" s="37"/>
      <c r="AEW71" s="37"/>
      <c r="AEX71" s="37"/>
      <c r="AEY71" s="37"/>
      <c r="AEZ71" s="37"/>
      <c r="AFA71" s="37"/>
      <c r="AFB71" s="37"/>
      <c r="AFC71" s="37"/>
      <c r="AFD71" s="37"/>
      <c r="AFE71" s="37"/>
      <c r="AFF71" s="37"/>
      <c r="AFG71" s="37"/>
      <c r="AFH71" s="37"/>
      <c r="AFI71" s="37"/>
      <c r="AFJ71" s="37"/>
      <c r="AFK71" s="37"/>
      <c r="AFL71" s="37"/>
      <c r="AFM71" s="37"/>
      <c r="AFN71" s="37"/>
      <c r="AFO71" s="37"/>
      <c r="AFP71" s="37"/>
      <c r="AFQ71" s="37"/>
      <c r="AFR71" s="37"/>
      <c r="AFS71" s="37"/>
      <c r="AFT71" s="37"/>
      <c r="AFU71" s="37"/>
      <c r="AFV71" s="37"/>
      <c r="AFW71" s="37"/>
      <c r="AFX71" s="37"/>
      <c r="AFY71" s="37"/>
      <c r="AFZ71" s="37"/>
      <c r="AGA71" s="37"/>
      <c r="AGB71" s="37"/>
      <c r="AGC71" s="37"/>
      <c r="AGD71" s="37"/>
      <c r="AGE71" s="37"/>
      <c r="AGF71" s="37"/>
      <c r="AGG71" s="37"/>
      <c r="AGH71" s="37"/>
      <c r="AGI71" s="37"/>
      <c r="AGJ71" s="37"/>
      <c r="AGK71" s="37"/>
      <c r="AGL71" s="37"/>
      <c r="AGM71" s="37"/>
      <c r="AGN71" s="37"/>
      <c r="AGO71" s="37"/>
      <c r="AGP71" s="37"/>
      <c r="AGQ71" s="37"/>
      <c r="AGR71" s="37"/>
      <c r="AGS71" s="37"/>
      <c r="AGT71" s="37"/>
      <c r="AGU71" s="37"/>
      <c r="AGV71" s="37"/>
      <c r="AGW71" s="37"/>
      <c r="AGX71" s="37"/>
      <c r="AGY71" s="37"/>
      <c r="AGZ71" s="37"/>
      <c r="AHA71" s="37"/>
      <c r="AHB71" s="37"/>
      <c r="AHC71" s="37"/>
      <c r="AHD71" s="37"/>
      <c r="AHE71" s="37"/>
      <c r="AHF71" s="37"/>
      <c r="AHG71" s="37"/>
      <c r="AHH71" s="37"/>
      <c r="AHI71" s="37"/>
      <c r="AHJ71" s="37"/>
      <c r="AHK71" s="37"/>
      <c r="AHL71" s="37"/>
      <c r="AHM71" s="37"/>
      <c r="AHN71" s="37"/>
      <c r="AHO71" s="37"/>
      <c r="AHP71" s="37"/>
      <c r="AHQ71" s="37"/>
      <c r="AHR71" s="37"/>
      <c r="AHS71" s="37"/>
      <c r="AHT71" s="37"/>
      <c r="AHU71" s="37"/>
      <c r="AHV71" s="37"/>
      <c r="AHW71" s="37"/>
      <c r="AHX71" s="37"/>
      <c r="AHY71" s="37"/>
      <c r="AHZ71" s="37"/>
      <c r="AIA71" s="37"/>
      <c r="AIB71" s="37"/>
      <c r="AIC71" s="37"/>
      <c r="AID71" s="37"/>
      <c r="AIE71" s="37"/>
      <c r="AIF71" s="37"/>
      <c r="AIG71" s="37"/>
      <c r="AIH71" s="37"/>
      <c r="AII71" s="37"/>
      <c r="AIJ71" s="37"/>
      <c r="AIK71" s="37"/>
      <c r="AIL71" s="37"/>
      <c r="AIM71" s="37"/>
      <c r="AIN71" s="37"/>
      <c r="AIO71" s="37"/>
      <c r="AIP71" s="37"/>
      <c r="AIQ71" s="37"/>
      <c r="AIR71" s="37"/>
      <c r="AIS71" s="37"/>
      <c r="AIT71" s="37"/>
      <c r="AIU71" s="37"/>
      <c r="AIV71" s="37"/>
      <c r="AIW71" s="37"/>
      <c r="AIX71" s="37"/>
      <c r="AIY71" s="37"/>
      <c r="AIZ71" s="37"/>
      <c r="AJA71" s="37"/>
      <c r="AJB71" s="37"/>
      <c r="AJC71" s="37"/>
      <c r="AJD71" s="37"/>
      <c r="AJE71" s="37"/>
      <c r="AJF71" s="37"/>
      <c r="AJG71" s="37"/>
      <c r="AJH71" s="37"/>
      <c r="AJI71" s="37"/>
      <c r="AJJ71" s="37"/>
      <c r="AJK71" s="37"/>
      <c r="AJL71" s="37"/>
      <c r="AJM71" s="37"/>
      <c r="AJN71" s="37"/>
      <c r="AJO71" s="37"/>
      <c r="AJP71" s="37"/>
      <c r="AJQ71" s="37"/>
      <c r="AJR71" s="37"/>
      <c r="AJS71" s="37"/>
      <c r="AJT71" s="37"/>
      <c r="AJU71" s="37"/>
      <c r="AJV71" s="37"/>
      <c r="AJW71" s="37"/>
      <c r="AJX71" s="37"/>
      <c r="AJY71" s="37"/>
      <c r="AJZ71" s="37"/>
      <c r="AKA71" s="37"/>
      <c r="AKB71" s="37"/>
      <c r="AKC71" s="37"/>
      <c r="AKD71" s="37"/>
      <c r="AKE71" s="37"/>
      <c r="AKF71" s="37"/>
      <c r="AKG71" s="37"/>
      <c r="AKH71" s="37"/>
      <c r="AKI71" s="37"/>
      <c r="AKJ71" s="37"/>
      <c r="AKK71" s="37"/>
      <c r="AKL71" s="37"/>
      <c r="AKM71" s="37"/>
      <c r="AKN71" s="37"/>
      <c r="AKO71" s="37"/>
      <c r="AKP71" s="37"/>
      <c r="AKQ71" s="37"/>
      <c r="AKR71" s="37"/>
      <c r="AKS71" s="37"/>
      <c r="AKT71" s="37"/>
      <c r="AKU71" s="37"/>
      <c r="AKV71" s="37"/>
      <c r="AKW71" s="37"/>
      <c r="AKX71" s="37"/>
      <c r="AKY71" s="37"/>
      <c r="AKZ71" s="37"/>
      <c r="ALA71" s="37"/>
      <c r="ALB71" s="37"/>
      <c r="ALC71" s="37"/>
      <c r="ALD71" s="37"/>
      <c r="ALE71" s="37"/>
      <c r="ALF71" s="37"/>
      <c r="ALG71" s="37"/>
      <c r="ALH71" s="37"/>
      <c r="ALI71" s="37"/>
      <c r="ALJ71" s="37"/>
      <c r="ALK71" s="37"/>
      <c r="ALL71" s="37"/>
      <c r="ALM71" s="37"/>
      <c r="ALN71" s="37"/>
      <c r="ALO71" s="37"/>
      <c r="ALP71" s="37"/>
      <c r="ALQ71" s="37"/>
      <c r="ALR71" s="37"/>
    </row>
    <row r="72" spans="2:1006" x14ac:dyDescent="0.35">
      <c r="C72" s="20" t="s">
        <v>315</v>
      </c>
    </row>
    <row r="73" spans="2:1006" x14ac:dyDescent="0.35">
      <c r="D73" s="20" t="s">
        <v>99</v>
      </c>
      <c r="K73" s="45">
        <f>'Operating Model'!K51</f>
        <v>40500</v>
      </c>
      <c r="L73" s="45">
        <f>'Operating Model'!L51</f>
        <v>40500</v>
      </c>
      <c r="M73" s="45">
        <f>'Operating Model'!M51</f>
        <v>40500</v>
      </c>
      <c r="N73" s="45">
        <f>'Operating Model'!N51</f>
        <v>40500</v>
      </c>
      <c r="O73" s="45">
        <f>'Operating Model'!O51</f>
        <v>0</v>
      </c>
      <c r="P73" s="45">
        <f>'Operating Model'!P51</f>
        <v>0</v>
      </c>
      <c r="Q73" s="45">
        <f>'Operating Model'!Q51</f>
        <v>0</v>
      </c>
      <c r="R73" s="45">
        <f>'Operating Model'!R51</f>
        <v>0</v>
      </c>
      <c r="S73" s="45">
        <f>'Operating Model'!S51</f>
        <v>0</v>
      </c>
      <c r="T73" s="45">
        <f>'Operating Model'!T51</f>
        <v>0</v>
      </c>
      <c r="U73" s="45">
        <f>'Operating Model'!U51</f>
        <v>0</v>
      </c>
      <c r="V73" s="45">
        <f>'Operating Model'!V51</f>
        <v>0</v>
      </c>
      <c r="W73" s="45">
        <f>'Operating Model'!W51</f>
        <v>0</v>
      </c>
      <c r="X73" s="45">
        <f>'Operating Model'!X51</f>
        <v>0</v>
      </c>
      <c r="Y73" s="45">
        <f>'Operating Model'!Y51</f>
        <v>0</v>
      </c>
      <c r="Z73" s="45">
        <f>'Operating Model'!Z51</f>
        <v>0</v>
      </c>
      <c r="AA73" s="45">
        <f>'Operating Model'!AA51</f>
        <v>0</v>
      </c>
      <c r="AB73" s="45">
        <f>'Operating Model'!AB51</f>
        <v>0</v>
      </c>
      <c r="AC73" s="45">
        <f>'Operating Model'!AC51</f>
        <v>0</v>
      </c>
      <c r="AD73" s="45">
        <f>'Operating Model'!AD51</f>
        <v>0</v>
      </c>
      <c r="AE73" s="45">
        <f>'Operating Model'!AE51</f>
        <v>0</v>
      </c>
      <c r="AF73" s="45">
        <f>'Operating Model'!AF51</f>
        <v>0</v>
      </c>
      <c r="AG73" s="45">
        <f>'Operating Model'!AG51</f>
        <v>0</v>
      </c>
      <c r="AH73" s="45">
        <f>'Operating Model'!AH51</f>
        <v>0</v>
      </c>
      <c r="AI73" s="45">
        <f>'Operating Model'!AI51</f>
        <v>0</v>
      </c>
      <c r="AJ73" s="45">
        <f>'Operating Model'!AJ51</f>
        <v>0</v>
      </c>
      <c r="AK73" s="45">
        <f>'Operating Model'!AK51</f>
        <v>0</v>
      </c>
      <c r="AL73" s="45">
        <f>'Operating Model'!AL51</f>
        <v>0</v>
      </c>
      <c r="AM73" s="45">
        <f>'Operating Model'!AM51</f>
        <v>0</v>
      </c>
      <c r="AN73" s="45">
        <f>'Operating Model'!AN51</f>
        <v>0</v>
      </c>
      <c r="AO73" s="45">
        <f>'Operating Model'!AO51</f>
        <v>0</v>
      </c>
      <c r="AP73" s="45">
        <f>'Operating Model'!AP51</f>
        <v>0</v>
      </c>
      <c r="AQ73" s="45">
        <f>'Operating Model'!AQ51</f>
        <v>0</v>
      </c>
      <c r="AR73" s="45">
        <f>'Operating Model'!AR51</f>
        <v>0</v>
      </c>
      <c r="AS73" s="45">
        <f>'Operating Model'!AS51</f>
        <v>0</v>
      </c>
      <c r="AT73" s="45">
        <f>'Operating Model'!AT51</f>
        <v>0</v>
      </c>
      <c r="AU73" s="45">
        <f>'Operating Model'!AU51</f>
        <v>0</v>
      </c>
      <c r="AV73" s="45">
        <f>'Operating Model'!AV51</f>
        <v>0</v>
      </c>
      <c r="AW73" s="45">
        <f>'Operating Model'!AW51</f>
        <v>0</v>
      </c>
      <c r="AX73" s="45">
        <f>'Operating Model'!AX51</f>
        <v>0</v>
      </c>
      <c r="AY73" s="45">
        <f>'Operating Model'!AY51</f>
        <v>0</v>
      </c>
      <c r="AZ73" s="45">
        <f>'Operating Model'!AZ51</f>
        <v>0</v>
      </c>
      <c r="BA73" s="45">
        <f>'Operating Model'!BA51</f>
        <v>0</v>
      </c>
      <c r="BB73" s="45">
        <f>'Operating Model'!BB51</f>
        <v>0</v>
      </c>
      <c r="BC73" s="45">
        <f>'Operating Model'!BC51</f>
        <v>0</v>
      </c>
      <c r="BD73" s="45">
        <f>'Operating Model'!BD51</f>
        <v>0</v>
      </c>
      <c r="BE73" s="45">
        <f>'Operating Model'!BE51</f>
        <v>0</v>
      </c>
      <c r="BF73" s="45">
        <f>'Operating Model'!BF51</f>
        <v>0</v>
      </c>
      <c r="BG73" s="45">
        <f>'Operating Model'!BG51</f>
        <v>0</v>
      </c>
      <c r="BH73" s="45">
        <f>'Operating Model'!BH51</f>
        <v>0</v>
      </c>
      <c r="BI73" s="45">
        <f>'Operating Model'!BI51</f>
        <v>0</v>
      </c>
      <c r="BJ73" s="45">
        <f>'Operating Model'!BJ51</f>
        <v>0</v>
      </c>
      <c r="BK73" s="45">
        <f>'Operating Model'!BK51</f>
        <v>0</v>
      </c>
      <c r="BL73" s="45">
        <f>'Operating Model'!BL51</f>
        <v>0</v>
      </c>
      <c r="BM73" s="45">
        <f>'Operating Model'!BM51</f>
        <v>0</v>
      </c>
      <c r="BN73" s="45">
        <f>'Operating Model'!BN51</f>
        <v>0</v>
      </c>
      <c r="BO73" s="45">
        <f>'Operating Model'!BO51</f>
        <v>0</v>
      </c>
      <c r="BP73" s="45">
        <f>'Operating Model'!BP51</f>
        <v>0</v>
      </c>
      <c r="BQ73" s="45">
        <f>'Operating Model'!BQ51</f>
        <v>0</v>
      </c>
      <c r="BR73" s="45">
        <f>'Operating Model'!BR51</f>
        <v>0</v>
      </c>
      <c r="BS73" s="45">
        <f>'Operating Model'!BS51</f>
        <v>0</v>
      </c>
      <c r="BT73" s="45">
        <f>'Operating Model'!BT51</f>
        <v>0</v>
      </c>
      <c r="BU73" s="45">
        <f>'Operating Model'!BU51</f>
        <v>0</v>
      </c>
      <c r="BV73" s="45">
        <f>'Operating Model'!BV51</f>
        <v>0</v>
      </c>
      <c r="BW73" s="45">
        <f>'Operating Model'!BW51</f>
        <v>0</v>
      </c>
      <c r="BX73" s="45">
        <f>'Operating Model'!BX51</f>
        <v>0</v>
      </c>
      <c r="BY73" s="45">
        <f>'Operating Model'!BY51</f>
        <v>0</v>
      </c>
      <c r="BZ73" s="45">
        <f>'Operating Model'!BZ51</f>
        <v>0</v>
      </c>
      <c r="CA73" s="45">
        <f>'Operating Model'!CA51</f>
        <v>0</v>
      </c>
      <c r="CB73" s="45">
        <f>'Operating Model'!CB51</f>
        <v>0</v>
      </c>
      <c r="CC73" s="45">
        <f>'Operating Model'!CC51</f>
        <v>0</v>
      </c>
      <c r="CD73" s="45">
        <f>'Operating Model'!CD51</f>
        <v>0</v>
      </c>
      <c r="CE73" s="45">
        <f>'Operating Model'!CE51</f>
        <v>0</v>
      </c>
      <c r="CF73" s="45">
        <f>'Operating Model'!CF51</f>
        <v>0</v>
      </c>
      <c r="CG73" s="45">
        <f>'Operating Model'!CG51</f>
        <v>0</v>
      </c>
      <c r="CH73" s="45">
        <f>'Operating Model'!CH51</f>
        <v>0</v>
      </c>
      <c r="CI73" s="45">
        <f>'Operating Model'!CI51</f>
        <v>0</v>
      </c>
      <c r="CJ73" s="45">
        <f>'Operating Model'!CJ51</f>
        <v>0</v>
      </c>
      <c r="CK73" s="45">
        <f>'Operating Model'!CK51</f>
        <v>0</v>
      </c>
      <c r="CL73" s="45">
        <f>'Operating Model'!CL51</f>
        <v>0</v>
      </c>
      <c r="CM73" s="45">
        <f>'Operating Model'!CM51</f>
        <v>0</v>
      </c>
      <c r="CN73" s="45">
        <f>'Operating Model'!CN51</f>
        <v>0</v>
      </c>
      <c r="CO73" s="45">
        <f>'Operating Model'!CO51</f>
        <v>0</v>
      </c>
      <c r="CP73" s="45">
        <f>'Operating Model'!CP51</f>
        <v>0</v>
      </c>
      <c r="CQ73" s="45">
        <f>'Operating Model'!CQ51</f>
        <v>0</v>
      </c>
      <c r="CR73" s="45">
        <f>'Operating Model'!CR51</f>
        <v>0</v>
      </c>
      <c r="CS73" s="45">
        <f>'Operating Model'!CS51</f>
        <v>0</v>
      </c>
      <c r="CT73" s="45">
        <f>'Operating Model'!CT51</f>
        <v>0</v>
      </c>
      <c r="CU73" s="45">
        <f>'Operating Model'!CU51</f>
        <v>0</v>
      </c>
      <c r="CV73" s="45">
        <f>'Operating Model'!CV51</f>
        <v>0</v>
      </c>
      <c r="CW73" s="45">
        <f>'Operating Model'!CW51</f>
        <v>0</v>
      </c>
      <c r="CX73" s="45">
        <f>'Operating Model'!CX51</f>
        <v>0</v>
      </c>
      <c r="CY73" s="45">
        <f>'Operating Model'!CY51</f>
        <v>0</v>
      </c>
      <c r="CZ73" s="45">
        <f>'Operating Model'!CZ51</f>
        <v>0</v>
      </c>
      <c r="DA73" s="45">
        <f>'Operating Model'!DA51</f>
        <v>0</v>
      </c>
      <c r="DB73" s="45">
        <f>'Operating Model'!DB51</f>
        <v>0</v>
      </c>
      <c r="DC73" s="45">
        <f>'Operating Model'!DC51</f>
        <v>0</v>
      </c>
      <c r="DD73" s="45">
        <f>'Operating Model'!DD51</f>
        <v>0</v>
      </c>
      <c r="DE73" s="45">
        <f>'Operating Model'!DE51</f>
        <v>0</v>
      </c>
      <c r="DF73" s="45">
        <f>'Operating Model'!DF51</f>
        <v>0</v>
      </c>
      <c r="DG73" s="45">
        <f>'Operating Model'!DG51</f>
        <v>0</v>
      </c>
      <c r="DH73" s="45">
        <f>'Operating Model'!DH51</f>
        <v>0</v>
      </c>
      <c r="DI73" s="45">
        <f>'Operating Model'!DI51</f>
        <v>0</v>
      </c>
      <c r="DJ73" s="45">
        <f>'Operating Model'!DJ51</f>
        <v>0</v>
      </c>
      <c r="DK73" s="45">
        <f>'Operating Model'!DK51</f>
        <v>0</v>
      </c>
      <c r="DL73" s="45">
        <f>'Operating Model'!DL51</f>
        <v>0</v>
      </c>
      <c r="DM73" s="45">
        <f>'Operating Model'!DM51</f>
        <v>0</v>
      </c>
      <c r="DN73" s="45">
        <f>'Operating Model'!DN51</f>
        <v>0</v>
      </c>
      <c r="DO73" s="45">
        <f>'Operating Model'!DO51</f>
        <v>0</v>
      </c>
      <c r="DP73" s="45">
        <f>'Operating Model'!DP51</f>
        <v>0</v>
      </c>
      <c r="DQ73" s="45">
        <f>'Operating Model'!DQ51</f>
        <v>0</v>
      </c>
    </row>
    <row r="74" spans="2:1006" x14ac:dyDescent="0.35">
      <c r="D74" s="20" t="s">
        <v>316</v>
      </c>
      <c r="K74" s="45">
        <f>'Operating Model'!K61</f>
        <v>0</v>
      </c>
      <c r="L74" s="45">
        <f>'Operating Model'!L61</f>
        <v>0</v>
      </c>
      <c r="M74" s="45">
        <f>'Operating Model'!M61</f>
        <v>0</v>
      </c>
      <c r="N74" s="45">
        <f>'Operating Model'!N61</f>
        <v>0</v>
      </c>
      <c r="O74" s="45">
        <f>'Operating Model'!O61</f>
        <v>888000</v>
      </c>
      <c r="P74" s="45">
        <f>'Operating Model'!P61</f>
        <v>888000</v>
      </c>
      <c r="Q74" s="45">
        <f>'Operating Model'!Q61</f>
        <v>888000</v>
      </c>
      <c r="R74" s="45">
        <f>'Operating Model'!R61</f>
        <v>888000</v>
      </c>
      <c r="S74" s="45">
        <f>'Operating Model'!S61</f>
        <v>888000</v>
      </c>
      <c r="T74" s="45">
        <f>'Operating Model'!T61</f>
        <v>0</v>
      </c>
      <c r="U74" s="45">
        <f>'Operating Model'!U61</f>
        <v>0</v>
      </c>
      <c r="V74" s="45">
        <f>'Operating Model'!V61</f>
        <v>0</v>
      </c>
      <c r="W74" s="45">
        <f>'Operating Model'!W61</f>
        <v>0</v>
      </c>
      <c r="X74" s="45">
        <f>'Operating Model'!X61</f>
        <v>0</v>
      </c>
      <c r="Y74" s="45">
        <f>'Operating Model'!Y61</f>
        <v>0</v>
      </c>
      <c r="Z74" s="45">
        <f>'Operating Model'!Z61</f>
        <v>0</v>
      </c>
      <c r="AA74" s="45">
        <f>'Operating Model'!AA61</f>
        <v>0</v>
      </c>
      <c r="AB74" s="45">
        <f>'Operating Model'!AB61</f>
        <v>0</v>
      </c>
      <c r="AC74" s="45">
        <f>'Operating Model'!AC61</f>
        <v>0</v>
      </c>
      <c r="AD74" s="45">
        <f>'Operating Model'!AD61</f>
        <v>0</v>
      </c>
      <c r="AE74" s="45">
        <f>'Operating Model'!AE61</f>
        <v>0</v>
      </c>
      <c r="AF74" s="45">
        <f>'Operating Model'!AF61</f>
        <v>0</v>
      </c>
      <c r="AG74" s="45">
        <f>'Operating Model'!AG61</f>
        <v>0</v>
      </c>
      <c r="AH74" s="45">
        <f>'Operating Model'!AH61</f>
        <v>0</v>
      </c>
      <c r="AI74" s="45">
        <f>'Operating Model'!AI61</f>
        <v>0</v>
      </c>
      <c r="AJ74" s="45">
        <f>'Operating Model'!AJ61</f>
        <v>0</v>
      </c>
      <c r="AK74" s="45">
        <f>'Operating Model'!AK61</f>
        <v>0</v>
      </c>
      <c r="AL74" s="45">
        <f>'Operating Model'!AL61</f>
        <v>0</v>
      </c>
      <c r="AM74" s="45">
        <f>'Operating Model'!AM61</f>
        <v>0</v>
      </c>
      <c r="AN74" s="45">
        <f>'Operating Model'!AN61</f>
        <v>0</v>
      </c>
      <c r="AO74" s="45">
        <f>'Operating Model'!AO61</f>
        <v>0</v>
      </c>
      <c r="AP74" s="45">
        <f>'Operating Model'!AP61</f>
        <v>0</v>
      </c>
      <c r="AQ74" s="45">
        <f>'Operating Model'!AQ61</f>
        <v>0</v>
      </c>
      <c r="AR74" s="45">
        <f>'Operating Model'!AR61</f>
        <v>0</v>
      </c>
      <c r="AS74" s="45">
        <f>'Operating Model'!AS61</f>
        <v>0</v>
      </c>
      <c r="AT74" s="45">
        <f>'Operating Model'!AT61</f>
        <v>0</v>
      </c>
      <c r="AU74" s="45">
        <f>'Operating Model'!AU61</f>
        <v>0</v>
      </c>
      <c r="AV74" s="45">
        <f>'Operating Model'!AV61</f>
        <v>0</v>
      </c>
      <c r="AW74" s="45">
        <f>'Operating Model'!AW61</f>
        <v>0</v>
      </c>
      <c r="AX74" s="45">
        <f>'Operating Model'!AX61</f>
        <v>0</v>
      </c>
      <c r="AY74" s="45">
        <f>'Operating Model'!AY61</f>
        <v>0</v>
      </c>
      <c r="AZ74" s="45">
        <f>'Operating Model'!AZ61</f>
        <v>0</v>
      </c>
      <c r="BA74" s="45">
        <f>'Operating Model'!BA61</f>
        <v>0</v>
      </c>
      <c r="BB74" s="45">
        <f>'Operating Model'!BB61</f>
        <v>0</v>
      </c>
      <c r="BC74" s="45">
        <f>'Operating Model'!BC61</f>
        <v>0</v>
      </c>
      <c r="BD74" s="45">
        <f>'Operating Model'!BD61</f>
        <v>0</v>
      </c>
      <c r="BE74" s="45">
        <f>'Operating Model'!BE61</f>
        <v>0</v>
      </c>
      <c r="BF74" s="45">
        <f>'Operating Model'!BF61</f>
        <v>0</v>
      </c>
      <c r="BG74" s="45">
        <f>'Operating Model'!BG61</f>
        <v>0</v>
      </c>
      <c r="BH74" s="45">
        <f>'Operating Model'!BH61</f>
        <v>0</v>
      </c>
      <c r="BI74" s="45">
        <f>'Operating Model'!BI61</f>
        <v>0</v>
      </c>
      <c r="BJ74" s="45">
        <f>'Operating Model'!BJ61</f>
        <v>0</v>
      </c>
      <c r="BK74" s="45">
        <f>'Operating Model'!BK61</f>
        <v>0</v>
      </c>
      <c r="BL74" s="45">
        <f>'Operating Model'!BL61</f>
        <v>0</v>
      </c>
      <c r="BM74" s="45">
        <f>'Operating Model'!BM61</f>
        <v>0</v>
      </c>
      <c r="BN74" s="45">
        <f>'Operating Model'!BN61</f>
        <v>0</v>
      </c>
      <c r="BO74" s="45">
        <f>'Operating Model'!BO61</f>
        <v>0</v>
      </c>
      <c r="BP74" s="45">
        <f>'Operating Model'!BP61</f>
        <v>0</v>
      </c>
      <c r="BQ74" s="45">
        <f>'Operating Model'!BQ61</f>
        <v>0</v>
      </c>
      <c r="BR74" s="45">
        <f>'Operating Model'!BR61</f>
        <v>0</v>
      </c>
      <c r="BS74" s="45">
        <f>'Operating Model'!BS61</f>
        <v>0</v>
      </c>
      <c r="BT74" s="45">
        <f>'Operating Model'!BT61</f>
        <v>0</v>
      </c>
      <c r="BU74" s="45">
        <f>'Operating Model'!BU61</f>
        <v>0</v>
      </c>
      <c r="BV74" s="45">
        <f>'Operating Model'!BV61</f>
        <v>0</v>
      </c>
      <c r="BW74" s="45">
        <f>'Operating Model'!BW61</f>
        <v>0</v>
      </c>
      <c r="BX74" s="45">
        <f>'Operating Model'!BX61</f>
        <v>0</v>
      </c>
      <c r="BY74" s="45">
        <f>'Operating Model'!BY61</f>
        <v>0</v>
      </c>
      <c r="BZ74" s="45">
        <f>'Operating Model'!BZ61</f>
        <v>0</v>
      </c>
      <c r="CA74" s="45">
        <f>'Operating Model'!CA61</f>
        <v>0</v>
      </c>
      <c r="CB74" s="45">
        <f>'Operating Model'!CB61</f>
        <v>0</v>
      </c>
      <c r="CC74" s="45">
        <f>'Operating Model'!CC61</f>
        <v>0</v>
      </c>
      <c r="CD74" s="45">
        <f>'Operating Model'!CD61</f>
        <v>0</v>
      </c>
      <c r="CE74" s="45">
        <f>'Operating Model'!CE61</f>
        <v>0</v>
      </c>
      <c r="CF74" s="45">
        <f>'Operating Model'!CF61</f>
        <v>0</v>
      </c>
      <c r="CG74" s="45">
        <f>'Operating Model'!CG61</f>
        <v>0</v>
      </c>
      <c r="CH74" s="45">
        <f>'Operating Model'!CH61</f>
        <v>0</v>
      </c>
      <c r="CI74" s="45">
        <f>'Operating Model'!CI61</f>
        <v>0</v>
      </c>
      <c r="CJ74" s="45">
        <f>'Operating Model'!CJ61</f>
        <v>0</v>
      </c>
      <c r="CK74" s="45">
        <f>'Operating Model'!CK61</f>
        <v>0</v>
      </c>
      <c r="CL74" s="45">
        <f>'Operating Model'!CL61</f>
        <v>0</v>
      </c>
      <c r="CM74" s="45">
        <f>'Operating Model'!CM61</f>
        <v>0</v>
      </c>
      <c r="CN74" s="45">
        <f>'Operating Model'!CN61</f>
        <v>0</v>
      </c>
      <c r="CO74" s="45">
        <f>'Operating Model'!CO61</f>
        <v>0</v>
      </c>
      <c r="CP74" s="45">
        <f>'Operating Model'!CP61</f>
        <v>0</v>
      </c>
      <c r="CQ74" s="45">
        <f>'Operating Model'!CQ61</f>
        <v>0</v>
      </c>
      <c r="CR74" s="45">
        <f>'Operating Model'!CR61</f>
        <v>0</v>
      </c>
      <c r="CS74" s="45">
        <f>'Operating Model'!CS61</f>
        <v>0</v>
      </c>
      <c r="CT74" s="45">
        <f>'Operating Model'!CT61</f>
        <v>0</v>
      </c>
      <c r="CU74" s="45">
        <f>'Operating Model'!CU61</f>
        <v>0</v>
      </c>
      <c r="CV74" s="45">
        <f>'Operating Model'!CV61</f>
        <v>0</v>
      </c>
      <c r="CW74" s="45">
        <f>'Operating Model'!CW61</f>
        <v>0</v>
      </c>
      <c r="CX74" s="45">
        <f>'Operating Model'!CX61</f>
        <v>0</v>
      </c>
      <c r="CY74" s="45">
        <f>'Operating Model'!CY61</f>
        <v>0</v>
      </c>
      <c r="CZ74" s="45">
        <f>'Operating Model'!CZ61</f>
        <v>0</v>
      </c>
      <c r="DA74" s="45">
        <f>'Operating Model'!DA61</f>
        <v>0</v>
      </c>
      <c r="DB74" s="45">
        <f>'Operating Model'!DB61</f>
        <v>0</v>
      </c>
      <c r="DC74" s="45">
        <f>'Operating Model'!DC61</f>
        <v>0</v>
      </c>
      <c r="DD74" s="45">
        <f>'Operating Model'!DD61</f>
        <v>0</v>
      </c>
      <c r="DE74" s="45">
        <f>'Operating Model'!DE61</f>
        <v>0</v>
      </c>
      <c r="DF74" s="45">
        <f>'Operating Model'!DF61</f>
        <v>0</v>
      </c>
      <c r="DG74" s="45">
        <f>'Operating Model'!DG61</f>
        <v>0</v>
      </c>
      <c r="DH74" s="45">
        <f>'Operating Model'!DH61</f>
        <v>0</v>
      </c>
      <c r="DI74" s="45">
        <f>'Operating Model'!DI61</f>
        <v>0</v>
      </c>
      <c r="DJ74" s="45">
        <f>'Operating Model'!DJ61</f>
        <v>0</v>
      </c>
      <c r="DK74" s="45">
        <f>'Operating Model'!DK61</f>
        <v>0</v>
      </c>
      <c r="DL74" s="45">
        <f>'Operating Model'!DL61</f>
        <v>0</v>
      </c>
      <c r="DM74" s="45">
        <f>'Operating Model'!DM61</f>
        <v>0</v>
      </c>
      <c r="DN74" s="45">
        <f>'Operating Model'!DN61</f>
        <v>0</v>
      </c>
      <c r="DO74" s="45">
        <f>'Operating Model'!DO61</f>
        <v>0</v>
      </c>
      <c r="DP74" s="45">
        <f>'Operating Model'!DP61</f>
        <v>0</v>
      </c>
      <c r="DQ74" s="45">
        <f>'Operating Model'!DQ61</f>
        <v>0</v>
      </c>
    </row>
    <row r="75" spans="2:1006" x14ac:dyDescent="0.35">
      <c r="D75" s="20" t="s">
        <v>317</v>
      </c>
      <c r="K75" s="20">
        <f>K121</f>
        <v>0</v>
      </c>
      <c r="L75" s="20">
        <f t="shared" ref="L75:BW75" si="43">L121</f>
        <v>0</v>
      </c>
      <c r="M75" s="20">
        <f t="shared" si="43"/>
        <v>0</v>
      </c>
      <c r="N75" s="20">
        <f t="shared" si="43"/>
        <v>0</v>
      </c>
      <c r="O75" s="20">
        <f t="shared" si="43"/>
        <v>0</v>
      </c>
      <c r="P75" s="20">
        <f t="shared" si="43"/>
        <v>1337.8507317928572</v>
      </c>
      <c r="Q75" s="20">
        <f t="shared" si="43"/>
        <v>3340.6806648688521</v>
      </c>
      <c r="R75" s="20">
        <f t="shared" si="43"/>
        <v>5347.0574973527182</v>
      </c>
      <c r="S75" s="20">
        <f t="shared" si="43"/>
        <v>7356.9875106042473</v>
      </c>
      <c r="T75" s="20">
        <f t="shared" si="43"/>
        <v>0</v>
      </c>
      <c r="U75" s="20">
        <f t="shared" si="43"/>
        <v>0</v>
      </c>
      <c r="V75" s="20">
        <f t="shared" si="43"/>
        <v>0</v>
      </c>
      <c r="W75" s="20">
        <f t="shared" si="43"/>
        <v>0</v>
      </c>
      <c r="X75" s="20">
        <f t="shared" si="43"/>
        <v>0</v>
      </c>
      <c r="Y75" s="20">
        <f t="shared" si="43"/>
        <v>0</v>
      </c>
      <c r="Z75" s="20">
        <f t="shared" si="43"/>
        <v>0</v>
      </c>
      <c r="AA75" s="20">
        <f t="shared" si="43"/>
        <v>0</v>
      </c>
      <c r="AB75" s="20">
        <f t="shared" si="43"/>
        <v>0</v>
      </c>
      <c r="AC75" s="20">
        <f t="shared" si="43"/>
        <v>0</v>
      </c>
      <c r="AD75" s="20">
        <f t="shared" si="43"/>
        <v>0</v>
      </c>
      <c r="AE75" s="20">
        <f t="shared" si="43"/>
        <v>0</v>
      </c>
      <c r="AF75" s="20">
        <f t="shared" si="43"/>
        <v>0</v>
      </c>
      <c r="AG75" s="20">
        <f t="shared" si="43"/>
        <v>0</v>
      </c>
      <c r="AH75" s="20">
        <f t="shared" si="43"/>
        <v>0</v>
      </c>
      <c r="AI75" s="20">
        <f t="shared" si="43"/>
        <v>0</v>
      </c>
      <c r="AJ75" s="20">
        <f t="shared" si="43"/>
        <v>0</v>
      </c>
      <c r="AK75" s="20">
        <f t="shared" si="43"/>
        <v>0</v>
      </c>
      <c r="AL75" s="20">
        <f t="shared" si="43"/>
        <v>0</v>
      </c>
      <c r="AM75" s="20">
        <f t="shared" si="43"/>
        <v>0</v>
      </c>
      <c r="AN75" s="20">
        <f t="shared" si="43"/>
        <v>0</v>
      </c>
      <c r="AO75" s="20">
        <f t="shared" si="43"/>
        <v>0</v>
      </c>
      <c r="AP75" s="20">
        <f t="shared" si="43"/>
        <v>0</v>
      </c>
      <c r="AQ75" s="20">
        <f t="shared" si="43"/>
        <v>0</v>
      </c>
      <c r="AR75" s="20">
        <f t="shared" si="43"/>
        <v>0</v>
      </c>
      <c r="AS75" s="20">
        <f t="shared" si="43"/>
        <v>0</v>
      </c>
      <c r="AT75" s="20">
        <f t="shared" si="43"/>
        <v>0</v>
      </c>
      <c r="AU75" s="20">
        <f t="shared" si="43"/>
        <v>0</v>
      </c>
      <c r="AV75" s="20">
        <f t="shared" si="43"/>
        <v>0</v>
      </c>
      <c r="AW75" s="20">
        <f t="shared" si="43"/>
        <v>0</v>
      </c>
      <c r="AX75" s="20">
        <f t="shared" si="43"/>
        <v>0</v>
      </c>
      <c r="AY75" s="20">
        <f t="shared" si="43"/>
        <v>0</v>
      </c>
      <c r="AZ75" s="20">
        <f t="shared" si="43"/>
        <v>0</v>
      </c>
      <c r="BA75" s="20">
        <f t="shared" si="43"/>
        <v>0</v>
      </c>
      <c r="BB75" s="20">
        <f t="shared" si="43"/>
        <v>0</v>
      </c>
      <c r="BC75" s="20">
        <f t="shared" si="43"/>
        <v>0</v>
      </c>
      <c r="BD75" s="20">
        <f t="shared" si="43"/>
        <v>0</v>
      </c>
      <c r="BE75" s="20">
        <f t="shared" si="43"/>
        <v>0</v>
      </c>
      <c r="BF75" s="20">
        <f t="shared" si="43"/>
        <v>0</v>
      </c>
      <c r="BG75" s="20">
        <f t="shared" si="43"/>
        <v>0</v>
      </c>
      <c r="BH75" s="20">
        <f t="shared" si="43"/>
        <v>0</v>
      </c>
      <c r="BI75" s="20">
        <f t="shared" si="43"/>
        <v>0</v>
      </c>
      <c r="BJ75" s="20">
        <f t="shared" si="43"/>
        <v>0</v>
      </c>
      <c r="BK75" s="20">
        <f t="shared" si="43"/>
        <v>0</v>
      </c>
      <c r="BL75" s="20">
        <f t="shared" si="43"/>
        <v>0</v>
      </c>
      <c r="BM75" s="20">
        <f t="shared" si="43"/>
        <v>0</v>
      </c>
      <c r="BN75" s="20">
        <f t="shared" si="43"/>
        <v>0</v>
      </c>
      <c r="BO75" s="20">
        <f t="shared" si="43"/>
        <v>0</v>
      </c>
      <c r="BP75" s="20">
        <f t="shared" si="43"/>
        <v>0</v>
      </c>
      <c r="BQ75" s="20">
        <f t="shared" si="43"/>
        <v>0</v>
      </c>
      <c r="BR75" s="20">
        <f t="shared" si="43"/>
        <v>0</v>
      </c>
      <c r="BS75" s="20">
        <f t="shared" si="43"/>
        <v>0</v>
      </c>
      <c r="BT75" s="20">
        <f t="shared" si="43"/>
        <v>0</v>
      </c>
      <c r="BU75" s="20">
        <f t="shared" si="43"/>
        <v>0</v>
      </c>
      <c r="BV75" s="20">
        <f t="shared" si="43"/>
        <v>0</v>
      </c>
      <c r="BW75" s="20">
        <f t="shared" si="43"/>
        <v>0</v>
      </c>
      <c r="BX75" s="20">
        <f t="shared" ref="BX75:DQ75" si="44">BX121</f>
        <v>0</v>
      </c>
      <c r="BY75" s="20">
        <f t="shared" si="44"/>
        <v>0</v>
      </c>
      <c r="BZ75" s="20">
        <f t="shared" si="44"/>
        <v>0</v>
      </c>
      <c r="CA75" s="20">
        <f t="shared" si="44"/>
        <v>0</v>
      </c>
      <c r="CB75" s="20">
        <f t="shared" si="44"/>
        <v>0</v>
      </c>
      <c r="CC75" s="20">
        <f t="shared" si="44"/>
        <v>0</v>
      </c>
      <c r="CD75" s="20">
        <f t="shared" si="44"/>
        <v>0</v>
      </c>
      <c r="CE75" s="20">
        <f t="shared" si="44"/>
        <v>0</v>
      </c>
      <c r="CF75" s="20">
        <f t="shared" si="44"/>
        <v>0</v>
      </c>
      <c r="CG75" s="20">
        <f t="shared" si="44"/>
        <v>0</v>
      </c>
      <c r="CH75" s="20">
        <f t="shared" si="44"/>
        <v>0</v>
      </c>
      <c r="CI75" s="20">
        <f t="shared" si="44"/>
        <v>0</v>
      </c>
      <c r="CJ75" s="20">
        <f t="shared" si="44"/>
        <v>0</v>
      </c>
      <c r="CK75" s="20">
        <f t="shared" si="44"/>
        <v>0</v>
      </c>
      <c r="CL75" s="20">
        <f t="shared" si="44"/>
        <v>0</v>
      </c>
      <c r="CM75" s="20">
        <f t="shared" si="44"/>
        <v>0</v>
      </c>
      <c r="CN75" s="20">
        <f t="shared" si="44"/>
        <v>0</v>
      </c>
      <c r="CO75" s="20">
        <f t="shared" si="44"/>
        <v>0</v>
      </c>
      <c r="CP75" s="20">
        <f t="shared" si="44"/>
        <v>0</v>
      </c>
      <c r="CQ75" s="20">
        <f t="shared" si="44"/>
        <v>0</v>
      </c>
      <c r="CR75" s="20">
        <f t="shared" si="44"/>
        <v>0</v>
      </c>
      <c r="CS75" s="20">
        <f t="shared" si="44"/>
        <v>0</v>
      </c>
      <c r="CT75" s="20">
        <f t="shared" si="44"/>
        <v>0</v>
      </c>
      <c r="CU75" s="20">
        <f t="shared" si="44"/>
        <v>0</v>
      </c>
      <c r="CV75" s="20">
        <f t="shared" si="44"/>
        <v>0</v>
      </c>
      <c r="CW75" s="20">
        <f t="shared" si="44"/>
        <v>0</v>
      </c>
      <c r="CX75" s="20">
        <f t="shared" si="44"/>
        <v>0</v>
      </c>
      <c r="CY75" s="20">
        <f t="shared" si="44"/>
        <v>0</v>
      </c>
      <c r="CZ75" s="20">
        <f t="shared" si="44"/>
        <v>0</v>
      </c>
      <c r="DA75" s="20">
        <f t="shared" si="44"/>
        <v>0</v>
      </c>
      <c r="DB75" s="20">
        <f t="shared" si="44"/>
        <v>0</v>
      </c>
      <c r="DC75" s="20">
        <f t="shared" si="44"/>
        <v>0</v>
      </c>
      <c r="DD75" s="20">
        <f t="shared" si="44"/>
        <v>0</v>
      </c>
      <c r="DE75" s="20">
        <f t="shared" si="44"/>
        <v>0</v>
      </c>
      <c r="DF75" s="20">
        <f t="shared" si="44"/>
        <v>0</v>
      </c>
      <c r="DG75" s="20">
        <f t="shared" si="44"/>
        <v>0</v>
      </c>
      <c r="DH75" s="20">
        <f t="shared" si="44"/>
        <v>0</v>
      </c>
      <c r="DI75" s="20">
        <f t="shared" si="44"/>
        <v>0</v>
      </c>
      <c r="DJ75" s="20">
        <f t="shared" si="44"/>
        <v>0</v>
      </c>
      <c r="DK75" s="20">
        <f t="shared" si="44"/>
        <v>0</v>
      </c>
      <c r="DL75" s="20">
        <f t="shared" si="44"/>
        <v>0</v>
      </c>
      <c r="DM75" s="20">
        <f t="shared" si="44"/>
        <v>0</v>
      </c>
      <c r="DN75" s="20">
        <f t="shared" si="44"/>
        <v>0</v>
      </c>
      <c r="DO75" s="20">
        <f t="shared" si="44"/>
        <v>0</v>
      </c>
      <c r="DP75" s="20">
        <f t="shared" si="44"/>
        <v>0</v>
      </c>
      <c r="DQ75" s="20">
        <f t="shared" si="44"/>
        <v>0</v>
      </c>
    </row>
    <row r="76" spans="2:1006" x14ac:dyDescent="0.35">
      <c r="D76" s="20" t="s">
        <v>243</v>
      </c>
      <c r="K76" s="20">
        <f>K124</f>
        <v>0</v>
      </c>
      <c r="L76" s="20">
        <f t="shared" ref="L76:BW76" si="45">L124</f>
        <v>0</v>
      </c>
      <c r="M76" s="20">
        <f t="shared" si="45"/>
        <v>0</v>
      </c>
      <c r="N76" s="20">
        <f t="shared" si="45"/>
        <v>0</v>
      </c>
      <c r="O76" s="20">
        <f t="shared" si="45"/>
        <v>51145.14431369448</v>
      </c>
      <c r="P76" s="20">
        <f t="shared" si="45"/>
        <v>0</v>
      </c>
      <c r="Q76" s="20">
        <f t="shared" si="45"/>
        <v>0</v>
      </c>
      <c r="R76" s="20">
        <f t="shared" si="45"/>
        <v>0</v>
      </c>
      <c r="S76" s="20">
        <f t="shared" si="45"/>
        <v>0</v>
      </c>
      <c r="T76" s="20">
        <f t="shared" si="45"/>
        <v>0</v>
      </c>
      <c r="U76" s="20">
        <f t="shared" si="45"/>
        <v>0</v>
      </c>
      <c r="V76" s="20">
        <f t="shared" si="45"/>
        <v>0</v>
      </c>
      <c r="W76" s="20">
        <f t="shared" si="45"/>
        <v>0</v>
      </c>
      <c r="X76" s="20">
        <f t="shared" si="45"/>
        <v>0</v>
      </c>
      <c r="Y76" s="20">
        <f t="shared" si="45"/>
        <v>0</v>
      </c>
      <c r="Z76" s="20">
        <f t="shared" si="45"/>
        <v>0</v>
      </c>
      <c r="AA76" s="20">
        <f t="shared" si="45"/>
        <v>0</v>
      </c>
      <c r="AB76" s="20">
        <f t="shared" si="45"/>
        <v>0</v>
      </c>
      <c r="AC76" s="20">
        <f t="shared" si="45"/>
        <v>0</v>
      </c>
      <c r="AD76" s="20">
        <f t="shared" si="45"/>
        <v>0</v>
      </c>
      <c r="AE76" s="20">
        <f t="shared" si="45"/>
        <v>0</v>
      </c>
      <c r="AF76" s="20">
        <f t="shared" si="45"/>
        <v>0</v>
      </c>
      <c r="AG76" s="20">
        <f t="shared" si="45"/>
        <v>0</v>
      </c>
      <c r="AH76" s="20">
        <f t="shared" si="45"/>
        <v>0</v>
      </c>
      <c r="AI76" s="20">
        <f t="shared" si="45"/>
        <v>0</v>
      </c>
      <c r="AJ76" s="20">
        <f t="shared" si="45"/>
        <v>0</v>
      </c>
      <c r="AK76" s="20">
        <f t="shared" si="45"/>
        <v>0</v>
      </c>
      <c r="AL76" s="20">
        <f t="shared" si="45"/>
        <v>0</v>
      </c>
      <c r="AM76" s="20">
        <f t="shared" si="45"/>
        <v>0</v>
      </c>
      <c r="AN76" s="20">
        <f t="shared" si="45"/>
        <v>0</v>
      </c>
      <c r="AO76" s="20">
        <f t="shared" si="45"/>
        <v>0</v>
      </c>
      <c r="AP76" s="20">
        <f t="shared" si="45"/>
        <v>0</v>
      </c>
      <c r="AQ76" s="20">
        <f t="shared" si="45"/>
        <v>0</v>
      </c>
      <c r="AR76" s="20">
        <f t="shared" si="45"/>
        <v>0</v>
      </c>
      <c r="AS76" s="20">
        <f t="shared" si="45"/>
        <v>0</v>
      </c>
      <c r="AT76" s="20">
        <f t="shared" si="45"/>
        <v>0</v>
      </c>
      <c r="AU76" s="20">
        <f t="shared" si="45"/>
        <v>0</v>
      </c>
      <c r="AV76" s="20">
        <f t="shared" si="45"/>
        <v>0</v>
      </c>
      <c r="AW76" s="20">
        <f t="shared" si="45"/>
        <v>0</v>
      </c>
      <c r="AX76" s="20">
        <f t="shared" si="45"/>
        <v>0</v>
      </c>
      <c r="AY76" s="20">
        <f t="shared" si="45"/>
        <v>0</v>
      </c>
      <c r="AZ76" s="20">
        <f t="shared" si="45"/>
        <v>0</v>
      </c>
      <c r="BA76" s="20">
        <f t="shared" si="45"/>
        <v>0</v>
      </c>
      <c r="BB76" s="20">
        <f t="shared" si="45"/>
        <v>0</v>
      </c>
      <c r="BC76" s="20">
        <f t="shared" si="45"/>
        <v>0</v>
      </c>
      <c r="BD76" s="20">
        <f t="shared" si="45"/>
        <v>0</v>
      </c>
      <c r="BE76" s="20">
        <f t="shared" si="45"/>
        <v>0</v>
      </c>
      <c r="BF76" s="20">
        <f t="shared" si="45"/>
        <v>0</v>
      </c>
      <c r="BG76" s="20">
        <f t="shared" si="45"/>
        <v>0</v>
      </c>
      <c r="BH76" s="20">
        <f t="shared" si="45"/>
        <v>0</v>
      </c>
      <c r="BI76" s="20">
        <f t="shared" si="45"/>
        <v>0</v>
      </c>
      <c r="BJ76" s="20">
        <f t="shared" si="45"/>
        <v>0</v>
      </c>
      <c r="BK76" s="20">
        <f t="shared" si="45"/>
        <v>0</v>
      </c>
      <c r="BL76" s="20">
        <f t="shared" si="45"/>
        <v>0</v>
      </c>
      <c r="BM76" s="20">
        <f t="shared" si="45"/>
        <v>0</v>
      </c>
      <c r="BN76" s="20">
        <f t="shared" si="45"/>
        <v>0</v>
      </c>
      <c r="BO76" s="20">
        <f t="shared" si="45"/>
        <v>0</v>
      </c>
      <c r="BP76" s="20">
        <f t="shared" si="45"/>
        <v>0</v>
      </c>
      <c r="BQ76" s="20">
        <f t="shared" si="45"/>
        <v>0</v>
      </c>
      <c r="BR76" s="20">
        <f t="shared" si="45"/>
        <v>0</v>
      </c>
      <c r="BS76" s="20">
        <f t="shared" si="45"/>
        <v>0</v>
      </c>
      <c r="BT76" s="20">
        <f t="shared" si="45"/>
        <v>0</v>
      </c>
      <c r="BU76" s="20">
        <f t="shared" si="45"/>
        <v>0</v>
      </c>
      <c r="BV76" s="20">
        <f t="shared" si="45"/>
        <v>0</v>
      </c>
      <c r="BW76" s="20">
        <f t="shared" si="45"/>
        <v>0</v>
      </c>
      <c r="BX76" s="20">
        <f t="shared" ref="BX76:DQ76" si="46">BX124</f>
        <v>0</v>
      </c>
      <c r="BY76" s="20">
        <f t="shared" si="46"/>
        <v>0</v>
      </c>
      <c r="BZ76" s="20">
        <f t="shared" si="46"/>
        <v>0</v>
      </c>
      <c r="CA76" s="20">
        <f t="shared" si="46"/>
        <v>0</v>
      </c>
      <c r="CB76" s="20">
        <f t="shared" si="46"/>
        <v>0</v>
      </c>
      <c r="CC76" s="20">
        <f t="shared" si="46"/>
        <v>0</v>
      </c>
      <c r="CD76" s="20">
        <f t="shared" si="46"/>
        <v>0</v>
      </c>
      <c r="CE76" s="20">
        <f t="shared" si="46"/>
        <v>0</v>
      </c>
      <c r="CF76" s="20">
        <f t="shared" si="46"/>
        <v>0</v>
      </c>
      <c r="CG76" s="20">
        <f t="shared" si="46"/>
        <v>0</v>
      </c>
      <c r="CH76" s="20">
        <f t="shared" si="46"/>
        <v>0</v>
      </c>
      <c r="CI76" s="20">
        <f t="shared" si="46"/>
        <v>0</v>
      </c>
      <c r="CJ76" s="20">
        <f t="shared" si="46"/>
        <v>0</v>
      </c>
      <c r="CK76" s="20">
        <f t="shared" si="46"/>
        <v>0</v>
      </c>
      <c r="CL76" s="20">
        <f t="shared" si="46"/>
        <v>0</v>
      </c>
      <c r="CM76" s="20">
        <f t="shared" si="46"/>
        <v>0</v>
      </c>
      <c r="CN76" s="20">
        <f t="shared" si="46"/>
        <v>0</v>
      </c>
      <c r="CO76" s="20">
        <f t="shared" si="46"/>
        <v>0</v>
      </c>
      <c r="CP76" s="20">
        <f t="shared" si="46"/>
        <v>0</v>
      </c>
      <c r="CQ76" s="20">
        <f t="shared" si="46"/>
        <v>0</v>
      </c>
      <c r="CR76" s="20">
        <f t="shared" si="46"/>
        <v>0</v>
      </c>
      <c r="CS76" s="20">
        <f t="shared" si="46"/>
        <v>0</v>
      </c>
      <c r="CT76" s="20">
        <f t="shared" si="46"/>
        <v>0</v>
      </c>
      <c r="CU76" s="20">
        <f t="shared" si="46"/>
        <v>0</v>
      </c>
      <c r="CV76" s="20">
        <f t="shared" si="46"/>
        <v>0</v>
      </c>
      <c r="CW76" s="20">
        <f t="shared" si="46"/>
        <v>0</v>
      </c>
      <c r="CX76" s="20">
        <f t="shared" si="46"/>
        <v>0</v>
      </c>
      <c r="CY76" s="20">
        <f t="shared" si="46"/>
        <v>0</v>
      </c>
      <c r="CZ76" s="20">
        <f t="shared" si="46"/>
        <v>0</v>
      </c>
      <c r="DA76" s="20">
        <f t="shared" si="46"/>
        <v>0</v>
      </c>
      <c r="DB76" s="20">
        <f t="shared" si="46"/>
        <v>0</v>
      </c>
      <c r="DC76" s="20">
        <f t="shared" si="46"/>
        <v>0</v>
      </c>
      <c r="DD76" s="20">
        <f t="shared" si="46"/>
        <v>0</v>
      </c>
      <c r="DE76" s="20">
        <f t="shared" si="46"/>
        <v>0</v>
      </c>
      <c r="DF76" s="20">
        <f t="shared" si="46"/>
        <v>0</v>
      </c>
      <c r="DG76" s="20">
        <f t="shared" si="46"/>
        <v>0</v>
      </c>
      <c r="DH76" s="20">
        <f t="shared" si="46"/>
        <v>0</v>
      </c>
      <c r="DI76" s="20">
        <f t="shared" si="46"/>
        <v>0</v>
      </c>
      <c r="DJ76" s="20">
        <f t="shared" si="46"/>
        <v>0</v>
      </c>
      <c r="DK76" s="20">
        <f t="shared" si="46"/>
        <v>0</v>
      </c>
      <c r="DL76" s="20">
        <f t="shared" si="46"/>
        <v>0</v>
      </c>
      <c r="DM76" s="20">
        <f t="shared" si="46"/>
        <v>0</v>
      </c>
      <c r="DN76" s="20">
        <f t="shared" si="46"/>
        <v>0</v>
      </c>
      <c r="DO76" s="20">
        <f t="shared" si="46"/>
        <v>0</v>
      </c>
      <c r="DP76" s="20">
        <f t="shared" si="46"/>
        <v>0</v>
      </c>
      <c r="DQ76" s="20">
        <f t="shared" si="46"/>
        <v>0</v>
      </c>
    </row>
    <row r="77" spans="2:1006" x14ac:dyDescent="0.35">
      <c r="D77" s="20" t="s">
        <v>244</v>
      </c>
      <c r="K77" s="20">
        <f>K131</f>
        <v>0</v>
      </c>
      <c r="L77" s="20">
        <f t="shared" ref="L77:BW77" si="47">L131</f>
        <v>0</v>
      </c>
      <c r="M77" s="20">
        <f t="shared" si="47"/>
        <v>0</v>
      </c>
      <c r="N77" s="20">
        <f t="shared" si="47"/>
        <v>0</v>
      </c>
      <c r="O77" s="20">
        <f t="shared" si="47"/>
        <v>1988.9778344214521</v>
      </c>
      <c r="P77" s="20">
        <f t="shared" si="47"/>
        <v>1705.1913155563007</v>
      </c>
      <c r="Q77" s="20">
        <f t="shared" si="47"/>
        <v>1280.3486024795743</v>
      </c>
      <c r="R77" s="20">
        <f t="shared" si="47"/>
        <v>854.75351680117853</v>
      </c>
      <c r="S77" s="20">
        <f t="shared" si="47"/>
        <v>428.40472611146026</v>
      </c>
      <c r="T77" s="20">
        <f t="shared" si="47"/>
        <v>0</v>
      </c>
      <c r="U77" s="20">
        <f t="shared" si="47"/>
        <v>0</v>
      </c>
      <c r="V77" s="20">
        <f t="shared" si="47"/>
        <v>0</v>
      </c>
      <c r="W77" s="20">
        <f t="shared" si="47"/>
        <v>0</v>
      </c>
      <c r="X77" s="20">
        <f t="shared" si="47"/>
        <v>0</v>
      </c>
      <c r="Y77" s="20">
        <f t="shared" si="47"/>
        <v>0</v>
      </c>
      <c r="Z77" s="20">
        <f t="shared" si="47"/>
        <v>0</v>
      </c>
      <c r="AA77" s="20">
        <f t="shared" si="47"/>
        <v>0</v>
      </c>
      <c r="AB77" s="20">
        <f t="shared" si="47"/>
        <v>0</v>
      </c>
      <c r="AC77" s="20">
        <f t="shared" si="47"/>
        <v>0</v>
      </c>
      <c r="AD77" s="20">
        <f t="shared" si="47"/>
        <v>0</v>
      </c>
      <c r="AE77" s="20">
        <f t="shared" si="47"/>
        <v>0</v>
      </c>
      <c r="AF77" s="20">
        <f t="shared" si="47"/>
        <v>0</v>
      </c>
      <c r="AG77" s="20">
        <f t="shared" si="47"/>
        <v>0</v>
      </c>
      <c r="AH77" s="20">
        <f t="shared" si="47"/>
        <v>0</v>
      </c>
      <c r="AI77" s="20">
        <f t="shared" si="47"/>
        <v>0</v>
      </c>
      <c r="AJ77" s="20">
        <f t="shared" si="47"/>
        <v>0</v>
      </c>
      <c r="AK77" s="20">
        <f t="shared" si="47"/>
        <v>0</v>
      </c>
      <c r="AL77" s="20">
        <f t="shared" si="47"/>
        <v>0</v>
      </c>
      <c r="AM77" s="20">
        <f t="shared" si="47"/>
        <v>0</v>
      </c>
      <c r="AN77" s="20">
        <f t="shared" si="47"/>
        <v>0</v>
      </c>
      <c r="AO77" s="20">
        <f t="shared" si="47"/>
        <v>0</v>
      </c>
      <c r="AP77" s="20">
        <f t="shared" si="47"/>
        <v>0</v>
      </c>
      <c r="AQ77" s="20">
        <f t="shared" si="47"/>
        <v>0</v>
      </c>
      <c r="AR77" s="20">
        <f t="shared" si="47"/>
        <v>0</v>
      </c>
      <c r="AS77" s="20">
        <f t="shared" si="47"/>
        <v>0</v>
      </c>
      <c r="AT77" s="20">
        <f t="shared" si="47"/>
        <v>0</v>
      </c>
      <c r="AU77" s="20">
        <f t="shared" si="47"/>
        <v>0</v>
      </c>
      <c r="AV77" s="20">
        <f t="shared" si="47"/>
        <v>0</v>
      </c>
      <c r="AW77" s="20">
        <f t="shared" si="47"/>
        <v>0</v>
      </c>
      <c r="AX77" s="20">
        <f t="shared" si="47"/>
        <v>0</v>
      </c>
      <c r="AY77" s="20">
        <f t="shared" si="47"/>
        <v>0</v>
      </c>
      <c r="AZ77" s="20">
        <f t="shared" si="47"/>
        <v>0</v>
      </c>
      <c r="BA77" s="20">
        <f t="shared" si="47"/>
        <v>0</v>
      </c>
      <c r="BB77" s="20">
        <f t="shared" si="47"/>
        <v>0</v>
      </c>
      <c r="BC77" s="20">
        <f t="shared" si="47"/>
        <v>0</v>
      </c>
      <c r="BD77" s="20">
        <f t="shared" si="47"/>
        <v>0</v>
      </c>
      <c r="BE77" s="20">
        <f t="shared" si="47"/>
        <v>0</v>
      </c>
      <c r="BF77" s="20">
        <f t="shared" si="47"/>
        <v>0</v>
      </c>
      <c r="BG77" s="20">
        <f t="shared" si="47"/>
        <v>0</v>
      </c>
      <c r="BH77" s="20">
        <f t="shared" si="47"/>
        <v>0</v>
      </c>
      <c r="BI77" s="20">
        <f t="shared" si="47"/>
        <v>0</v>
      </c>
      <c r="BJ77" s="20">
        <f t="shared" si="47"/>
        <v>0</v>
      </c>
      <c r="BK77" s="20">
        <f t="shared" si="47"/>
        <v>0</v>
      </c>
      <c r="BL77" s="20">
        <f t="shared" si="47"/>
        <v>0</v>
      </c>
      <c r="BM77" s="20">
        <f t="shared" si="47"/>
        <v>0</v>
      </c>
      <c r="BN77" s="20">
        <f t="shared" si="47"/>
        <v>0</v>
      </c>
      <c r="BO77" s="20">
        <f t="shared" si="47"/>
        <v>0</v>
      </c>
      <c r="BP77" s="20">
        <f t="shared" si="47"/>
        <v>0</v>
      </c>
      <c r="BQ77" s="20">
        <f t="shared" si="47"/>
        <v>0</v>
      </c>
      <c r="BR77" s="20">
        <f t="shared" si="47"/>
        <v>0</v>
      </c>
      <c r="BS77" s="20">
        <f t="shared" si="47"/>
        <v>0</v>
      </c>
      <c r="BT77" s="20">
        <f t="shared" si="47"/>
        <v>0</v>
      </c>
      <c r="BU77" s="20">
        <f t="shared" si="47"/>
        <v>0</v>
      </c>
      <c r="BV77" s="20">
        <f t="shared" si="47"/>
        <v>0</v>
      </c>
      <c r="BW77" s="20">
        <f t="shared" si="47"/>
        <v>0</v>
      </c>
      <c r="BX77" s="20">
        <f t="shared" ref="BX77:DQ77" si="48">BX131</f>
        <v>0</v>
      </c>
      <c r="BY77" s="20">
        <f t="shared" si="48"/>
        <v>0</v>
      </c>
      <c r="BZ77" s="20">
        <f t="shared" si="48"/>
        <v>0</v>
      </c>
      <c r="CA77" s="20">
        <f t="shared" si="48"/>
        <v>0</v>
      </c>
      <c r="CB77" s="20">
        <f t="shared" si="48"/>
        <v>0</v>
      </c>
      <c r="CC77" s="20">
        <f t="shared" si="48"/>
        <v>0</v>
      </c>
      <c r="CD77" s="20">
        <f t="shared" si="48"/>
        <v>0</v>
      </c>
      <c r="CE77" s="20">
        <f t="shared" si="48"/>
        <v>0</v>
      </c>
      <c r="CF77" s="20">
        <f t="shared" si="48"/>
        <v>0</v>
      </c>
      <c r="CG77" s="20">
        <f t="shared" si="48"/>
        <v>0</v>
      </c>
      <c r="CH77" s="20">
        <f t="shared" si="48"/>
        <v>0</v>
      </c>
      <c r="CI77" s="20">
        <f t="shared" si="48"/>
        <v>0</v>
      </c>
      <c r="CJ77" s="20">
        <f t="shared" si="48"/>
        <v>0</v>
      </c>
      <c r="CK77" s="20">
        <f t="shared" si="48"/>
        <v>0</v>
      </c>
      <c r="CL77" s="20">
        <f t="shared" si="48"/>
        <v>0</v>
      </c>
      <c r="CM77" s="20">
        <f t="shared" si="48"/>
        <v>0</v>
      </c>
      <c r="CN77" s="20">
        <f t="shared" si="48"/>
        <v>0</v>
      </c>
      <c r="CO77" s="20">
        <f t="shared" si="48"/>
        <v>0</v>
      </c>
      <c r="CP77" s="20">
        <f t="shared" si="48"/>
        <v>0</v>
      </c>
      <c r="CQ77" s="20">
        <f t="shared" si="48"/>
        <v>0</v>
      </c>
      <c r="CR77" s="20">
        <f t="shared" si="48"/>
        <v>0</v>
      </c>
      <c r="CS77" s="20">
        <f t="shared" si="48"/>
        <v>0</v>
      </c>
      <c r="CT77" s="20">
        <f t="shared" si="48"/>
        <v>0</v>
      </c>
      <c r="CU77" s="20">
        <f t="shared" si="48"/>
        <v>0</v>
      </c>
      <c r="CV77" s="20">
        <f t="shared" si="48"/>
        <v>0</v>
      </c>
      <c r="CW77" s="20">
        <f t="shared" si="48"/>
        <v>0</v>
      </c>
      <c r="CX77" s="20">
        <f t="shared" si="48"/>
        <v>0</v>
      </c>
      <c r="CY77" s="20">
        <f t="shared" si="48"/>
        <v>0</v>
      </c>
      <c r="CZ77" s="20">
        <f t="shared" si="48"/>
        <v>0</v>
      </c>
      <c r="DA77" s="20">
        <f t="shared" si="48"/>
        <v>0</v>
      </c>
      <c r="DB77" s="20">
        <f t="shared" si="48"/>
        <v>0</v>
      </c>
      <c r="DC77" s="20">
        <f t="shared" si="48"/>
        <v>0</v>
      </c>
      <c r="DD77" s="20">
        <f t="shared" si="48"/>
        <v>0</v>
      </c>
      <c r="DE77" s="20">
        <f t="shared" si="48"/>
        <v>0</v>
      </c>
      <c r="DF77" s="20">
        <f t="shared" si="48"/>
        <v>0</v>
      </c>
      <c r="DG77" s="20">
        <f t="shared" si="48"/>
        <v>0</v>
      </c>
      <c r="DH77" s="20">
        <f t="shared" si="48"/>
        <v>0</v>
      </c>
      <c r="DI77" s="20">
        <f t="shared" si="48"/>
        <v>0</v>
      </c>
      <c r="DJ77" s="20">
        <f t="shared" si="48"/>
        <v>0</v>
      </c>
      <c r="DK77" s="20">
        <f t="shared" si="48"/>
        <v>0</v>
      </c>
      <c r="DL77" s="20">
        <f t="shared" si="48"/>
        <v>0</v>
      </c>
      <c r="DM77" s="20">
        <f t="shared" si="48"/>
        <v>0</v>
      </c>
      <c r="DN77" s="20">
        <f t="shared" si="48"/>
        <v>0</v>
      </c>
      <c r="DO77" s="20">
        <f t="shared" si="48"/>
        <v>0</v>
      </c>
      <c r="DP77" s="20">
        <f t="shared" si="48"/>
        <v>0</v>
      </c>
      <c r="DQ77" s="20">
        <f t="shared" si="48"/>
        <v>0</v>
      </c>
    </row>
    <row r="78" spans="2:1006" ht="15" thickBot="1" x14ac:dyDescent="0.4">
      <c r="E78" s="39" t="s">
        <v>315</v>
      </c>
      <c r="F78" s="39"/>
      <c r="G78" s="39"/>
      <c r="H78" s="39"/>
      <c r="I78" s="39"/>
      <c r="J78" s="39"/>
      <c r="K78" s="39">
        <f>SUM(K73:K77)</f>
        <v>40500</v>
      </c>
      <c r="L78" s="39">
        <f t="shared" ref="L78:BW78" si="49">SUM(L73:L77)</f>
        <v>40500</v>
      </c>
      <c r="M78" s="39">
        <f t="shared" si="49"/>
        <v>40500</v>
      </c>
      <c r="N78" s="39">
        <f t="shared" si="49"/>
        <v>40500</v>
      </c>
      <c r="O78" s="39">
        <f t="shared" si="49"/>
        <v>941134.12214811589</v>
      </c>
      <c r="P78" s="39">
        <f t="shared" si="49"/>
        <v>891043.04204734915</v>
      </c>
      <c r="Q78" s="39">
        <f t="shared" si="49"/>
        <v>892621.02926734847</v>
      </c>
      <c r="R78" s="39">
        <f t="shared" si="49"/>
        <v>894201.81101415388</v>
      </c>
      <c r="S78" s="39">
        <f t="shared" si="49"/>
        <v>895785.39223671565</v>
      </c>
      <c r="T78" s="39">
        <f t="shared" si="49"/>
        <v>0</v>
      </c>
      <c r="U78" s="39">
        <f t="shared" si="49"/>
        <v>0</v>
      </c>
      <c r="V78" s="39">
        <f t="shared" si="49"/>
        <v>0</v>
      </c>
      <c r="W78" s="39">
        <f t="shared" si="49"/>
        <v>0</v>
      </c>
      <c r="X78" s="39">
        <f t="shared" si="49"/>
        <v>0</v>
      </c>
      <c r="Y78" s="39">
        <f t="shared" si="49"/>
        <v>0</v>
      </c>
      <c r="Z78" s="39">
        <f t="shared" si="49"/>
        <v>0</v>
      </c>
      <c r="AA78" s="39">
        <f t="shared" si="49"/>
        <v>0</v>
      </c>
      <c r="AB78" s="39">
        <f t="shared" si="49"/>
        <v>0</v>
      </c>
      <c r="AC78" s="39">
        <f t="shared" si="49"/>
        <v>0</v>
      </c>
      <c r="AD78" s="39">
        <f t="shared" si="49"/>
        <v>0</v>
      </c>
      <c r="AE78" s="39">
        <f t="shared" si="49"/>
        <v>0</v>
      </c>
      <c r="AF78" s="39">
        <f t="shared" si="49"/>
        <v>0</v>
      </c>
      <c r="AG78" s="39">
        <f t="shared" si="49"/>
        <v>0</v>
      </c>
      <c r="AH78" s="39">
        <f t="shared" si="49"/>
        <v>0</v>
      </c>
      <c r="AI78" s="39">
        <f t="shared" si="49"/>
        <v>0</v>
      </c>
      <c r="AJ78" s="39">
        <f t="shared" si="49"/>
        <v>0</v>
      </c>
      <c r="AK78" s="39">
        <f t="shared" si="49"/>
        <v>0</v>
      </c>
      <c r="AL78" s="39">
        <f t="shared" si="49"/>
        <v>0</v>
      </c>
      <c r="AM78" s="39">
        <f t="shared" si="49"/>
        <v>0</v>
      </c>
      <c r="AN78" s="39">
        <f t="shared" si="49"/>
        <v>0</v>
      </c>
      <c r="AO78" s="39">
        <f t="shared" si="49"/>
        <v>0</v>
      </c>
      <c r="AP78" s="39">
        <f t="shared" si="49"/>
        <v>0</v>
      </c>
      <c r="AQ78" s="39">
        <f t="shared" si="49"/>
        <v>0</v>
      </c>
      <c r="AR78" s="39">
        <f t="shared" si="49"/>
        <v>0</v>
      </c>
      <c r="AS78" s="39">
        <f t="shared" si="49"/>
        <v>0</v>
      </c>
      <c r="AT78" s="39">
        <f t="shared" si="49"/>
        <v>0</v>
      </c>
      <c r="AU78" s="39">
        <f t="shared" si="49"/>
        <v>0</v>
      </c>
      <c r="AV78" s="39">
        <f t="shared" si="49"/>
        <v>0</v>
      </c>
      <c r="AW78" s="39">
        <f t="shared" si="49"/>
        <v>0</v>
      </c>
      <c r="AX78" s="39">
        <f t="shared" si="49"/>
        <v>0</v>
      </c>
      <c r="AY78" s="39">
        <f t="shared" si="49"/>
        <v>0</v>
      </c>
      <c r="AZ78" s="39">
        <f t="shared" si="49"/>
        <v>0</v>
      </c>
      <c r="BA78" s="39">
        <f t="shared" si="49"/>
        <v>0</v>
      </c>
      <c r="BB78" s="39">
        <f t="shared" si="49"/>
        <v>0</v>
      </c>
      <c r="BC78" s="39">
        <f t="shared" si="49"/>
        <v>0</v>
      </c>
      <c r="BD78" s="39">
        <f t="shared" si="49"/>
        <v>0</v>
      </c>
      <c r="BE78" s="39">
        <f t="shared" si="49"/>
        <v>0</v>
      </c>
      <c r="BF78" s="39">
        <f t="shared" si="49"/>
        <v>0</v>
      </c>
      <c r="BG78" s="39">
        <f t="shared" si="49"/>
        <v>0</v>
      </c>
      <c r="BH78" s="39">
        <f t="shared" si="49"/>
        <v>0</v>
      </c>
      <c r="BI78" s="39">
        <f t="shared" si="49"/>
        <v>0</v>
      </c>
      <c r="BJ78" s="39">
        <f t="shared" si="49"/>
        <v>0</v>
      </c>
      <c r="BK78" s="39">
        <f t="shared" si="49"/>
        <v>0</v>
      </c>
      <c r="BL78" s="39">
        <f t="shared" si="49"/>
        <v>0</v>
      </c>
      <c r="BM78" s="39">
        <f t="shared" si="49"/>
        <v>0</v>
      </c>
      <c r="BN78" s="39">
        <f t="shared" si="49"/>
        <v>0</v>
      </c>
      <c r="BO78" s="39">
        <f t="shared" si="49"/>
        <v>0</v>
      </c>
      <c r="BP78" s="39">
        <f t="shared" si="49"/>
        <v>0</v>
      </c>
      <c r="BQ78" s="39">
        <f t="shared" si="49"/>
        <v>0</v>
      </c>
      <c r="BR78" s="39">
        <f t="shared" si="49"/>
        <v>0</v>
      </c>
      <c r="BS78" s="39">
        <f t="shared" si="49"/>
        <v>0</v>
      </c>
      <c r="BT78" s="39">
        <f t="shared" si="49"/>
        <v>0</v>
      </c>
      <c r="BU78" s="39">
        <f t="shared" si="49"/>
        <v>0</v>
      </c>
      <c r="BV78" s="39">
        <f t="shared" si="49"/>
        <v>0</v>
      </c>
      <c r="BW78" s="39">
        <f t="shared" si="49"/>
        <v>0</v>
      </c>
      <c r="BX78" s="39">
        <f t="shared" ref="BX78:DQ78" si="50">SUM(BX73:BX77)</f>
        <v>0</v>
      </c>
      <c r="BY78" s="39">
        <f t="shared" si="50"/>
        <v>0</v>
      </c>
      <c r="BZ78" s="39">
        <f t="shared" si="50"/>
        <v>0</v>
      </c>
      <c r="CA78" s="39">
        <f t="shared" si="50"/>
        <v>0</v>
      </c>
      <c r="CB78" s="39">
        <f t="shared" si="50"/>
        <v>0</v>
      </c>
      <c r="CC78" s="39">
        <f t="shared" si="50"/>
        <v>0</v>
      </c>
      <c r="CD78" s="39">
        <f t="shared" si="50"/>
        <v>0</v>
      </c>
      <c r="CE78" s="39">
        <f t="shared" si="50"/>
        <v>0</v>
      </c>
      <c r="CF78" s="39">
        <f t="shared" si="50"/>
        <v>0</v>
      </c>
      <c r="CG78" s="39">
        <f t="shared" si="50"/>
        <v>0</v>
      </c>
      <c r="CH78" s="39">
        <f t="shared" si="50"/>
        <v>0</v>
      </c>
      <c r="CI78" s="39">
        <f t="shared" si="50"/>
        <v>0</v>
      </c>
      <c r="CJ78" s="39">
        <f t="shared" si="50"/>
        <v>0</v>
      </c>
      <c r="CK78" s="39">
        <f t="shared" si="50"/>
        <v>0</v>
      </c>
      <c r="CL78" s="39">
        <f t="shared" si="50"/>
        <v>0</v>
      </c>
      <c r="CM78" s="39">
        <f t="shared" si="50"/>
        <v>0</v>
      </c>
      <c r="CN78" s="39">
        <f t="shared" si="50"/>
        <v>0</v>
      </c>
      <c r="CO78" s="39">
        <f t="shared" si="50"/>
        <v>0</v>
      </c>
      <c r="CP78" s="39">
        <f t="shared" si="50"/>
        <v>0</v>
      </c>
      <c r="CQ78" s="39">
        <f t="shared" si="50"/>
        <v>0</v>
      </c>
      <c r="CR78" s="39">
        <f t="shared" si="50"/>
        <v>0</v>
      </c>
      <c r="CS78" s="39">
        <f t="shared" si="50"/>
        <v>0</v>
      </c>
      <c r="CT78" s="39">
        <f t="shared" si="50"/>
        <v>0</v>
      </c>
      <c r="CU78" s="39">
        <f t="shared" si="50"/>
        <v>0</v>
      </c>
      <c r="CV78" s="39">
        <f t="shared" si="50"/>
        <v>0</v>
      </c>
      <c r="CW78" s="39">
        <f t="shared" si="50"/>
        <v>0</v>
      </c>
      <c r="CX78" s="39">
        <f t="shared" si="50"/>
        <v>0</v>
      </c>
      <c r="CY78" s="39">
        <f t="shared" si="50"/>
        <v>0</v>
      </c>
      <c r="CZ78" s="39">
        <f t="shared" si="50"/>
        <v>0</v>
      </c>
      <c r="DA78" s="39">
        <f t="shared" si="50"/>
        <v>0</v>
      </c>
      <c r="DB78" s="39">
        <f t="shared" si="50"/>
        <v>0</v>
      </c>
      <c r="DC78" s="39">
        <f t="shared" si="50"/>
        <v>0</v>
      </c>
      <c r="DD78" s="39">
        <f t="shared" si="50"/>
        <v>0</v>
      </c>
      <c r="DE78" s="39">
        <f t="shared" si="50"/>
        <v>0</v>
      </c>
      <c r="DF78" s="39">
        <f t="shared" si="50"/>
        <v>0</v>
      </c>
      <c r="DG78" s="39">
        <f t="shared" si="50"/>
        <v>0</v>
      </c>
      <c r="DH78" s="39">
        <f t="shared" si="50"/>
        <v>0</v>
      </c>
      <c r="DI78" s="39">
        <f t="shared" si="50"/>
        <v>0</v>
      </c>
      <c r="DJ78" s="39">
        <f t="shared" si="50"/>
        <v>0</v>
      </c>
      <c r="DK78" s="39">
        <f t="shared" si="50"/>
        <v>0</v>
      </c>
      <c r="DL78" s="39">
        <f t="shared" si="50"/>
        <v>0</v>
      </c>
      <c r="DM78" s="39">
        <f t="shared" si="50"/>
        <v>0</v>
      </c>
      <c r="DN78" s="39">
        <f t="shared" si="50"/>
        <v>0</v>
      </c>
      <c r="DO78" s="39">
        <f t="shared" si="50"/>
        <v>0</v>
      </c>
      <c r="DP78" s="39">
        <f t="shared" si="50"/>
        <v>0</v>
      </c>
      <c r="DQ78" s="39">
        <f t="shared" si="50"/>
        <v>0</v>
      </c>
    </row>
    <row r="80" spans="2:1006" x14ac:dyDescent="0.35">
      <c r="C80" s="20" t="s">
        <v>318</v>
      </c>
    </row>
    <row r="81" spans="3:121" x14ac:dyDescent="0.35">
      <c r="D81" s="20" t="s">
        <v>319</v>
      </c>
      <c r="G81" s="20">
        <f>G65</f>
        <v>507935.01603572094</v>
      </c>
      <c r="K81" s="20">
        <f>$G$81</f>
        <v>507935.01603572094</v>
      </c>
      <c r="L81" s="20">
        <f t="shared" ref="L81:BW81" si="51">$G$81</f>
        <v>507935.01603572094</v>
      </c>
      <c r="M81" s="20">
        <f t="shared" si="51"/>
        <v>507935.01603572094</v>
      </c>
      <c r="N81" s="20">
        <f t="shared" si="51"/>
        <v>507935.01603572094</v>
      </c>
      <c r="O81" s="20">
        <f t="shared" si="51"/>
        <v>507935.01603572094</v>
      </c>
      <c r="P81" s="20">
        <f t="shared" si="51"/>
        <v>507935.01603572094</v>
      </c>
      <c r="Q81" s="20">
        <f t="shared" si="51"/>
        <v>507935.01603572094</v>
      </c>
      <c r="R81" s="20">
        <f t="shared" si="51"/>
        <v>507935.01603572094</v>
      </c>
      <c r="S81" s="20">
        <f t="shared" si="51"/>
        <v>507935.01603572094</v>
      </c>
      <c r="T81" s="20">
        <f t="shared" si="51"/>
        <v>507935.01603572094</v>
      </c>
      <c r="U81" s="20">
        <f t="shared" si="51"/>
        <v>507935.01603572094</v>
      </c>
      <c r="V81" s="20">
        <f t="shared" si="51"/>
        <v>507935.01603572094</v>
      </c>
      <c r="W81" s="20">
        <f t="shared" si="51"/>
        <v>507935.01603572094</v>
      </c>
      <c r="X81" s="20">
        <f t="shared" si="51"/>
        <v>507935.01603572094</v>
      </c>
      <c r="Y81" s="20">
        <f t="shared" si="51"/>
        <v>507935.01603572094</v>
      </c>
      <c r="Z81" s="20">
        <f t="shared" si="51"/>
        <v>507935.01603572094</v>
      </c>
      <c r="AA81" s="20">
        <f t="shared" si="51"/>
        <v>507935.01603572094</v>
      </c>
      <c r="AB81" s="20">
        <f t="shared" si="51"/>
        <v>507935.01603572094</v>
      </c>
      <c r="AC81" s="20">
        <f t="shared" si="51"/>
        <v>507935.01603572094</v>
      </c>
      <c r="AD81" s="20">
        <f t="shared" si="51"/>
        <v>507935.01603572094</v>
      </c>
      <c r="AE81" s="20">
        <f t="shared" si="51"/>
        <v>507935.01603572094</v>
      </c>
      <c r="AF81" s="20">
        <f t="shared" si="51"/>
        <v>507935.01603572094</v>
      </c>
      <c r="AG81" s="20">
        <f t="shared" si="51"/>
        <v>507935.01603572094</v>
      </c>
      <c r="AH81" s="20">
        <f t="shared" si="51"/>
        <v>507935.01603572094</v>
      </c>
      <c r="AI81" s="20">
        <f t="shared" si="51"/>
        <v>507935.01603572094</v>
      </c>
      <c r="AJ81" s="20">
        <f t="shared" si="51"/>
        <v>507935.01603572094</v>
      </c>
      <c r="AK81" s="20">
        <f t="shared" si="51"/>
        <v>507935.01603572094</v>
      </c>
      <c r="AL81" s="20">
        <f t="shared" si="51"/>
        <v>507935.01603572094</v>
      </c>
      <c r="AM81" s="20">
        <f t="shared" si="51"/>
        <v>507935.01603572094</v>
      </c>
      <c r="AN81" s="20">
        <f t="shared" si="51"/>
        <v>507935.01603572094</v>
      </c>
      <c r="AO81" s="20">
        <f t="shared" si="51"/>
        <v>507935.01603572094</v>
      </c>
      <c r="AP81" s="20">
        <f t="shared" si="51"/>
        <v>507935.01603572094</v>
      </c>
      <c r="AQ81" s="20">
        <f t="shared" si="51"/>
        <v>507935.01603572094</v>
      </c>
      <c r="AR81" s="20">
        <f t="shared" si="51"/>
        <v>507935.01603572094</v>
      </c>
      <c r="AS81" s="20">
        <f t="shared" si="51"/>
        <v>507935.01603572094</v>
      </c>
      <c r="AT81" s="20">
        <f t="shared" si="51"/>
        <v>507935.01603572094</v>
      </c>
      <c r="AU81" s="20">
        <f t="shared" si="51"/>
        <v>507935.01603572094</v>
      </c>
      <c r="AV81" s="20">
        <f t="shared" si="51"/>
        <v>507935.01603572094</v>
      </c>
      <c r="AW81" s="20">
        <f t="shared" si="51"/>
        <v>507935.01603572094</v>
      </c>
      <c r="AX81" s="20">
        <f t="shared" si="51"/>
        <v>507935.01603572094</v>
      </c>
      <c r="AY81" s="20">
        <f t="shared" si="51"/>
        <v>507935.01603572094</v>
      </c>
      <c r="AZ81" s="20">
        <f t="shared" si="51"/>
        <v>507935.01603572094</v>
      </c>
      <c r="BA81" s="20">
        <f t="shared" si="51"/>
        <v>507935.01603572094</v>
      </c>
      <c r="BB81" s="20">
        <f t="shared" si="51"/>
        <v>507935.01603572094</v>
      </c>
      <c r="BC81" s="20">
        <f t="shared" si="51"/>
        <v>507935.01603572094</v>
      </c>
      <c r="BD81" s="20">
        <f t="shared" si="51"/>
        <v>507935.01603572094</v>
      </c>
      <c r="BE81" s="20">
        <f t="shared" si="51"/>
        <v>507935.01603572094</v>
      </c>
      <c r="BF81" s="20">
        <f t="shared" si="51"/>
        <v>507935.01603572094</v>
      </c>
      <c r="BG81" s="20">
        <f t="shared" si="51"/>
        <v>507935.01603572094</v>
      </c>
      <c r="BH81" s="20">
        <f t="shared" si="51"/>
        <v>507935.01603572094</v>
      </c>
      <c r="BI81" s="20">
        <f t="shared" si="51"/>
        <v>507935.01603572094</v>
      </c>
      <c r="BJ81" s="20">
        <f t="shared" si="51"/>
        <v>507935.01603572094</v>
      </c>
      <c r="BK81" s="20">
        <f t="shared" si="51"/>
        <v>507935.01603572094</v>
      </c>
      <c r="BL81" s="20">
        <f t="shared" si="51"/>
        <v>507935.01603572094</v>
      </c>
      <c r="BM81" s="20">
        <f t="shared" si="51"/>
        <v>507935.01603572094</v>
      </c>
      <c r="BN81" s="20">
        <f t="shared" si="51"/>
        <v>507935.01603572094</v>
      </c>
      <c r="BO81" s="20">
        <f t="shared" si="51"/>
        <v>507935.01603572094</v>
      </c>
      <c r="BP81" s="20">
        <f t="shared" si="51"/>
        <v>507935.01603572094</v>
      </c>
      <c r="BQ81" s="20">
        <f t="shared" si="51"/>
        <v>507935.01603572094</v>
      </c>
      <c r="BR81" s="20">
        <f t="shared" si="51"/>
        <v>507935.01603572094</v>
      </c>
      <c r="BS81" s="20">
        <f t="shared" si="51"/>
        <v>507935.01603572094</v>
      </c>
      <c r="BT81" s="20">
        <f t="shared" si="51"/>
        <v>507935.01603572094</v>
      </c>
      <c r="BU81" s="20">
        <f t="shared" si="51"/>
        <v>507935.01603572094</v>
      </c>
      <c r="BV81" s="20">
        <f t="shared" si="51"/>
        <v>507935.01603572094</v>
      </c>
      <c r="BW81" s="20">
        <f t="shared" si="51"/>
        <v>507935.01603572094</v>
      </c>
      <c r="BX81" s="20">
        <f t="shared" ref="BX81:DQ81" si="52">$G$81</f>
        <v>507935.01603572094</v>
      </c>
      <c r="BY81" s="20">
        <f t="shared" si="52"/>
        <v>507935.01603572094</v>
      </c>
      <c r="BZ81" s="20">
        <f t="shared" si="52"/>
        <v>507935.01603572094</v>
      </c>
      <c r="CA81" s="20">
        <f t="shared" si="52"/>
        <v>507935.01603572094</v>
      </c>
      <c r="CB81" s="20">
        <f t="shared" si="52"/>
        <v>507935.01603572094</v>
      </c>
      <c r="CC81" s="20">
        <f t="shared" si="52"/>
        <v>507935.01603572094</v>
      </c>
      <c r="CD81" s="20">
        <f t="shared" si="52"/>
        <v>507935.01603572094</v>
      </c>
      <c r="CE81" s="20">
        <f t="shared" si="52"/>
        <v>507935.01603572094</v>
      </c>
      <c r="CF81" s="20">
        <f t="shared" si="52"/>
        <v>507935.01603572094</v>
      </c>
      <c r="CG81" s="20">
        <f t="shared" si="52"/>
        <v>507935.01603572094</v>
      </c>
      <c r="CH81" s="20">
        <f t="shared" si="52"/>
        <v>507935.01603572094</v>
      </c>
      <c r="CI81" s="20">
        <f t="shared" si="52"/>
        <v>507935.01603572094</v>
      </c>
      <c r="CJ81" s="20">
        <f t="shared" si="52"/>
        <v>507935.01603572094</v>
      </c>
      <c r="CK81" s="20">
        <f t="shared" si="52"/>
        <v>507935.01603572094</v>
      </c>
      <c r="CL81" s="20">
        <f t="shared" si="52"/>
        <v>507935.01603572094</v>
      </c>
      <c r="CM81" s="20">
        <f t="shared" si="52"/>
        <v>507935.01603572094</v>
      </c>
      <c r="CN81" s="20">
        <f t="shared" si="52"/>
        <v>507935.01603572094</v>
      </c>
      <c r="CO81" s="20">
        <f t="shared" si="52"/>
        <v>507935.01603572094</v>
      </c>
      <c r="CP81" s="20">
        <f t="shared" si="52"/>
        <v>507935.01603572094</v>
      </c>
      <c r="CQ81" s="20">
        <f t="shared" si="52"/>
        <v>507935.01603572094</v>
      </c>
      <c r="CR81" s="20">
        <f t="shared" si="52"/>
        <v>507935.01603572094</v>
      </c>
      <c r="CS81" s="20">
        <f t="shared" si="52"/>
        <v>507935.01603572094</v>
      </c>
      <c r="CT81" s="20">
        <f t="shared" si="52"/>
        <v>507935.01603572094</v>
      </c>
      <c r="CU81" s="20">
        <f t="shared" si="52"/>
        <v>507935.01603572094</v>
      </c>
      <c r="CV81" s="20">
        <f t="shared" si="52"/>
        <v>507935.01603572094</v>
      </c>
      <c r="CW81" s="20">
        <f t="shared" si="52"/>
        <v>507935.01603572094</v>
      </c>
      <c r="CX81" s="20">
        <f t="shared" si="52"/>
        <v>507935.01603572094</v>
      </c>
      <c r="CY81" s="20">
        <f t="shared" si="52"/>
        <v>507935.01603572094</v>
      </c>
      <c r="CZ81" s="20">
        <f t="shared" si="52"/>
        <v>507935.01603572094</v>
      </c>
      <c r="DA81" s="20">
        <f t="shared" si="52"/>
        <v>507935.01603572094</v>
      </c>
      <c r="DB81" s="20">
        <f t="shared" si="52"/>
        <v>507935.01603572094</v>
      </c>
      <c r="DC81" s="20">
        <f t="shared" si="52"/>
        <v>507935.01603572094</v>
      </c>
      <c r="DD81" s="20">
        <f t="shared" si="52"/>
        <v>507935.01603572094</v>
      </c>
      <c r="DE81" s="20">
        <f t="shared" si="52"/>
        <v>507935.01603572094</v>
      </c>
      <c r="DF81" s="20">
        <f t="shared" si="52"/>
        <v>507935.01603572094</v>
      </c>
      <c r="DG81" s="20">
        <f t="shared" si="52"/>
        <v>507935.01603572094</v>
      </c>
      <c r="DH81" s="20">
        <f t="shared" si="52"/>
        <v>507935.01603572094</v>
      </c>
      <c r="DI81" s="20">
        <f t="shared" si="52"/>
        <v>507935.01603572094</v>
      </c>
      <c r="DJ81" s="20">
        <f t="shared" si="52"/>
        <v>507935.01603572094</v>
      </c>
      <c r="DK81" s="20">
        <f t="shared" si="52"/>
        <v>507935.01603572094</v>
      </c>
      <c r="DL81" s="20">
        <f t="shared" si="52"/>
        <v>507935.01603572094</v>
      </c>
      <c r="DM81" s="20">
        <f t="shared" si="52"/>
        <v>507935.01603572094</v>
      </c>
      <c r="DN81" s="20">
        <f t="shared" si="52"/>
        <v>507935.01603572094</v>
      </c>
      <c r="DO81" s="20">
        <f t="shared" si="52"/>
        <v>507935.01603572094</v>
      </c>
      <c r="DP81" s="20">
        <f t="shared" si="52"/>
        <v>507935.01603572094</v>
      </c>
      <c r="DQ81" s="20">
        <f t="shared" si="52"/>
        <v>507935.01603572094</v>
      </c>
    </row>
    <row r="82" spans="3:121" x14ac:dyDescent="0.35">
      <c r="D82" s="20" t="s">
        <v>320</v>
      </c>
      <c r="K82" s="20">
        <f>K87</f>
        <v>0</v>
      </c>
      <c r="L82" s="20">
        <f t="shared" ref="L82:BW82" si="53">L87</f>
        <v>40500</v>
      </c>
      <c r="M82" s="20">
        <f t="shared" si="53"/>
        <v>81000</v>
      </c>
      <c r="N82" s="20">
        <f t="shared" si="53"/>
        <v>121500</v>
      </c>
      <c r="O82" s="20">
        <f t="shared" si="53"/>
        <v>162000</v>
      </c>
      <c r="P82" s="20">
        <f t="shared" si="53"/>
        <v>507935.01603572094</v>
      </c>
      <c r="Q82" s="20">
        <f t="shared" si="53"/>
        <v>507935.01603572094</v>
      </c>
      <c r="R82" s="20">
        <f t="shared" si="53"/>
        <v>507935.01603572094</v>
      </c>
      <c r="S82" s="20">
        <f t="shared" si="53"/>
        <v>507935.01603572094</v>
      </c>
      <c r="T82" s="20">
        <f t="shared" si="53"/>
        <v>507935.01603572094</v>
      </c>
      <c r="U82" s="20">
        <f t="shared" si="53"/>
        <v>507935.01603572094</v>
      </c>
      <c r="V82" s="20">
        <f t="shared" si="53"/>
        <v>507935.01603572094</v>
      </c>
      <c r="W82" s="20">
        <f t="shared" si="53"/>
        <v>507935.01603572094</v>
      </c>
      <c r="X82" s="20">
        <f t="shared" si="53"/>
        <v>507935.01603572094</v>
      </c>
      <c r="Y82" s="20">
        <f t="shared" si="53"/>
        <v>507935.01603572094</v>
      </c>
      <c r="Z82" s="20">
        <f t="shared" si="53"/>
        <v>507935.01603572094</v>
      </c>
      <c r="AA82" s="20">
        <f t="shared" si="53"/>
        <v>507935.01603572094</v>
      </c>
      <c r="AB82" s="20">
        <f t="shared" si="53"/>
        <v>507935.01603572094</v>
      </c>
      <c r="AC82" s="20">
        <f t="shared" si="53"/>
        <v>507935.01603572094</v>
      </c>
      <c r="AD82" s="20">
        <f t="shared" si="53"/>
        <v>507935.01603572094</v>
      </c>
      <c r="AE82" s="20">
        <f t="shared" si="53"/>
        <v>507935.01603572094</v>
      </c>
      <c r="AF82" s="20">
        <f t="shared" si="53"/>
        <v>507935.01603572094</v>
      </c>
      <c r="AG82" s="20">
        <f t="shared" si="53"/>
        <v>507935.01603572094</v>
      </c>
      <c r="AH82" s="20">
        <f t="shared" si="53"/>
        <v>507935.01603572094</v>
      </c>
      <c r="AI82" s="20">
        <f t="shared" si="53"/>
        <v>507935.01603572094</v>
      </c>
      <c r="AJ82" s="20">
        <f t="shared" si="53"/>
        <v>507935.01603572094</v>
      </c>
      <c r="AK82" s="20">
        <f t="shared" si="53"/>
        <v>507935.01603572094</v>
      </c>
      <c r="AL82" s="20">
        <f t="shared" si="53"/>
        <v>507935.01603572094</v>
      </c>
      <c r="AM82" s="20">
        <f t="shared" si="53"/>
        <v>507935.01603572094</v>
      </c>
      <c r="AN82" s="20">
        <f t="shared" si="53"/>
        <v>507935.01603572094</v>
      </c>
      <c r="AO82" s="20">
        <f t="shared" si="53"/>
        <v>507935.01603572094</v>
      </c>
      <c r="AP82" s="20">
        <f t="shared" si="53"/>
        <v>507935.01603572094</v>
      </c>
      <c r="AQ82" s="20">
        <f t="shared" si="53"/>
        <v>507935.01603572094</v>
      </c>
      <c r="AR82" s="20">
        <f t="shared" si="53"/>
        <v>507935.01603572094</v>
      </c>
      <c r="AS82" s="20">
        <f t="shared" si="53"/>
        <v>507935.01603572094</v>
      </c>
      <c r="AT82" s="20">
        <f t="shared" si="53"/>
        <v>507935.01603572094</v>
      </c>
      <c r="AU82" s="20">
        <f t="shared" si="53"/>
        <v>507935.01603572094</v>
      </c>
      <c r="AV82" s="20">
        <f t="shared" si="53"/>
        <v>507935.01603572094</v>
      </c>
      <c r="AW82" s="20">
        <f t="shared" si="53"/>
        <v>507935.01603572094</v>
      </c>
      <c r="AX82" s="20">
        <f t="shared" si="53"/>
        <v>507935.01603572094</v>
      </c>
      <c r="AY82" s="20">
        <f t="shared" si="53"/>
        <v>507935.01603572094</v>
      </c>
      <c r="AZ82" s="20">
        <f t="shared" si="53"/>
        <v>507935.01603572094</v>
      </c>
      <c r="BA82" s="20">
        <f t="shared" si="53"/>
        <v>507935.01603572094</v>
      </c>
      <c r="BB82" s="20">
        <f t="shared" si="53"/>
        <v>507935.01603572094</v>
      </c>
      <c r="BC82" s="20">
        <f t="shared" si="53"/>
        <v>507935.01603572094</v>
      </c>
      <c r="BD82" s="20">
        <f t="shared" si="53"/>
        <v>507935.01603572094</v>
      </c>
      <c r="BE82" s="20">
        <f t="shared" si="53"/>
        <v>507935.01603572094</v>
      </c>
      <c r="BF82" s="20">
        <f t="shared" si="53"/>
        <v>507935.01603572094</v>
      </c>
      <c r="BG82" s="20">
        <f t="shared" si="53"/>
        <v>507935.01603572094</v>
      </c>
      <c r="BH82" s="20">
        <f t="shared" si="53"/>
        <v>507935.01603572094</v>
      </c>
      <c r="BI82" s="20">
        <f t="shared" si="53"/>
        <v>507935.01603572094</v>
      </c>
      <c r="BJ82" s="20">
        <f t="shared" si="53"/>
        <v>507935.01603572094</v>
      </c>
      <c r="BK82" s="20">
        <f t="shared" si="53"/>
        <v>507935.01603572094</v>
      </c>
      <c r="BL82" s="20">
        <f t="shared" si="53"/>
        <v>507935.01603572094</v>
      </c>
      <c r="BM82" s="20">
        <f t="shared" si="53"/>
        <v>507935.01603572094</v>
      </c>
      <c r="BN82" s="20">
        <f t="shared" si="53"/>
        <v>507935.01603572094</v>
      </c>
      <c r="BO82" s="20">
        <f t="shared" si="53"/>
        <v>507935.01603572094</v>
      </c>
      <c r="BP82" s="20">
        <f t="shared" si="53"/>
        <v>507935.01603572094</v>
      </c>
      <c r="BQ82" s="20">
        <f t="shared" si="53"/>
        <v>507935.01603572094</v>
      </c>
      <c r="BR82" s="20">
        <f t="shared" si="53"/>
        <v>507935.01603572094</v>
      </c>
      <c r="BS82" s="20">
        <f t="shared" si="53"/>
        <v>507935.01603572094</v>
      </c>
      <c r="BT82" s="20">
        <f t="shared" si="53"/>
        <v>507935.01603572094</v>
      </c>
      <c r="BU82" s="20">
        <f t="shared" si="53"/>
        <v>507935.01603572094</v>
      </c>
      <c r="BV82" s="20">
        <f t="shared" si="53"/>
        <v>507935.01603572094</v>
      </c>
      <c r="BW82" s="20">
        <f t="shared" si="53"/>
        <v>507935.01603572094</v>
      </c>
      <c r="BX82" s="20">
        <f t="shared" ref="BX82:DQ82" si="54">BX87</f>
        <v>507935.01603572094</v>
      </c>
      <c r="BY82" s="20">
        <f t="shared" si="54"/>
        <v>507935.01603572094</v>
      </c>
      <c r="BZ82" s="20">
        <f t="shared" si="54"/>
        <v>507935.01603572094</v>
      </c>
      <c r="CA82" s="20">
        <f t="shared" si="54"/>
        <v>507935.01603572094</v>
      </c>
      <c r="CB82" s="20">
        <f t="shared" si="54"/>
        <v>507935.01603572094</v>
      </c>
      <c r="CC82" s="20">
        <f t="shared" si="54"/>
        <v>507935.01603572094</v>
      </c>
      <c r="CD82" s="20">
        <f t="shared" si="54"/>
        <v>507935.01603572094</v>
      </c>
      <c r="CE82" s="20">
        <f t="shared" si="54"/>
        <v>507935.01603572094</v>
      </c>
      <c r="CF82" s="20">
        <f t="shared" si="54"/>
        <v>507935.01603572094</v>
      </c>
      <c r="CG82" s="20">
        <f t="shared" si="54"/>
        <v>507935.01603572094</v>
      </c>
      <c r="CH82" s="20">
        <f t="shared" si="54"/>
        <v>507935.01603572094</v>
      </c>
      <c r="CI82" s="20">
        <f t="shared" si="54"/>
        <v>507935.01603572094</v>
      </c>
      <c r="CJ82" s="20">
        <f t="shared" si="54"/>
        <v>507935.01603572094</v>
      </c>
      <c r="CK82" s="20">
        <f t="shared" si="54"/>
        <v>507935.01603572094</v>
      </c>
      <c r="CL82" s="20">
        <f t="shared" si="54"/>
        <v>507935.01603572094</v>
      </c>
      <c r="CM82" s="20">
        <f t="shared" si="54"/>
        <v>507935.01603572094</v>
      </c>
      <c r="CN82" s="20">
        <f t="shared" si="54"/>
        <v>507935.01603572094</v>
      </c>
      <c r="CO82" s="20">
        <f t="shared" si="54"/>
        <v>507935.01603572094</v>
      </c>
      <c r="CP82" s="20">
        <f t="shared" si="54"/>
        <v>507935.01603572094</v>
      </c>
      <c r="CQ82" s="20">
        <f t="shared" si="54"/>
        <v>507935.01603572094</v>
      </c>
      <c r="CR82" s="20">
        <f t="shared" si="54"/>
        <v>507935.01603572094</v>
      </c>
      <c r="CS82" s="20">
        <f t="shared" si="54"/>
        <v>507935.01603572094</v>
      </c>
      <c r="CT82" s="20">
        <f t="shared" si="54"/>
        <v>507935.01603572094</v>
      </c>
      <c r="CU82" s="20">
        <f t="shared" si="54"/>
        <v>507935.01603572094</v>
      </c>
      <c r="CV82" s="20">
        <f t="shared" si="54"/>
        <v>507935.01603572094</v>
      </c>
      <c r="CW82" s="20">
        <f t="shared" si="54"/>
        <v>507935.01603572094</v>
      </c>
      <c r="CX82" s="20">
        <f t="shared" si="54"/>
        <v>507935.01603572094</v>
      </c>
      <c r="CY82" s="20">
        <f t="shared" si="54"/>
        <v>507935.01603572094</v>
      </c>
      <c r="CZ82" s="20">
        <f t="shared" si="54"/>
        <v>507935.01603572094</v>
      </c>
      <c r="DA82" s="20">
        <f t="shared" si="54"/>
        <v>507935.01603572094</v>
      </c>
      <c r="DB82" s="20">
        <f t="shared" si="54"/>
        <v>507935.01603572094</v>
      </c>
      <c r="DC82" s="20">
        <f t="shared" si="54"/>
        <v>507935.01603572094</v>
      </c>
      <c r="DD82" s="20">
        <f t="shared" si="54"/>
        <v>507935.01603572094</v>
      </c>
      <c r="DE82" s="20">
        <f t="shared" si="54"/>
        <v>507935.01603572094</v>
      </c>
      <c r="DF82" s="20">
        <f t="shared" si="54"/>
        <v>507935.01603572094</v>
      </c>
      <c r="DG82" s="20">
        <f t="shared" si="54"/>
        <v>507935.01603572094</v>
      </c>
      <c r="DH82" s="20">
        <f t="shared" si="54"/>
        <v>507935.01603572094</v>
      </c>
      <c r="DI82" s="20">
        <f t="shared" si="54"/>
        <v>507935.01603572094</v>
      </c>
      <c r="DJ82" s="20">
        <f t="shared" si="54"/>
        <v>507935.01603572094</v>
      </c>
      <c r="DK82" s="20">
        <f t="shared" si="54"/>
        <v>507935.01603572094</v>
      </c>
      <c r="DL82" s="20">
        <f t="shared" si="54"/>
        <v>507935.01603572094</v>
      </c>
      <c r="DM82" s="20">
        <f t="shared" si="54"/>
        <v>507935.01603572094</v>
      </c>
      <c r="DN82" s="20">
        <f t="shared" si="54"/>
        <v>507935.01603572094</v>
      </c>
      <c r="DO82" s="20">
        <f t="shared" si="54"/>
        <v>507935.01603572094</v>
      </c>
      <c r="DP82" s="20">
        <f t="shared" si="54"/>
        <v>507935.01603572094</v>
      </c>
      <c r="DQ82" s="20">
        <f t="shared" si="54"/>
        <v>507935.01603572094</v>
      </c>
    </row>
    <row r="83" spans="3:121" x14ac:dyDescent="0.35">
      <c r="D83" s="20" t="s">
        <v>321</v>
      </c>
      <c r="K83" s="20">
        <f>K81-K82</f>
        <v>507935.01603572094</v>
      </c>
      <c r="L83" s="20">
        <f t="shared" ref="L83:BW83" si="55">L81-L82</f>
        <v>467435.01603572094</v>
      </c>
      <c r="M83" s="20">
        <f t="shared" si="55"/>
        <v>426935.01603572094</v>
      </c>
      <c r="N83" s="20">
        <f t="shared" si="55"/>
        <v>386435.01603572094</v>
      </c>
      <c r="O83" s="20">
        <f t="shared" si="55"/>
        <v>345935.01603572094</v>
      </c>
      <c r="P83" s="20">
        <f t="shared" si="55"/>
        <v>0</v>
      </c>
      <c r="Q83" s="20">
        <f t="shared" si="55"/>
        <v>0</v>
      </c>
      <c r="R83" s="20">
        <f t="shared" si="55"/>
        <v>0</v>
      </c>
      <c r="S83" s="20">
        <f t="shared" si="55"/>
        <v>0</v>
      </c>
      <c r="T83" s="20">
        <f t="shared" si="55"/>
        <v>0</v>
      </c>
      <c r="U83" s="20">
        <f t="shared" si="55"/>
        <v>0</v>
      </c>
      <c r="V83" s="20">
        <f t="shared" si="55"/>
        <v>0</v>
      </c>
      <c r="W83" s="20">
        <f t="shared" si="55"/>
        <v>0</v>
      </c>
      <c r="X83" s="20">
        <f t="shared" si="55"/>
        <v>0</v>
      </c>
      <c r="Y83" s="20">
        <f t="shared" si="55"/>
        <v>0</v>
      </c>
      <c r="Z83" s="20">
        <f t="shared" si="55"/>
        <v>0</v>
      </c>
      <c r="AA83" s="20">
        <f t="shared" si="55"/>
        <v>0</v>
      </c>
      <c r="AB83" s="20">
        <f t="shared" si="55"/>
        <v>0</v>
      </c>
      <c r="AC83" s="20">
        <f t="shared" si="55"/>
        <v>0</v>
      </c>
      <c r="AD83" s="20">
        <f t="shared" si="55"/>
        <v>0</v>
      </c>
      <c r="AE83" s="20">
        <f t="shared" si="55"/>
        <v>0</v>
      </c>
      <c r="AF83" s="20">
        <f t="shared" si="55"/>
        <v>0</v>
      </c>
      <c r="AG83" s="20">
        <f t="shared" si="55"/>
        <v>0</v>
      </c>
      <c r="AH83" s="20">
        <f t="shared" si="55"/>
        <v>0</v>
      </c>
      <c r="AI83" s="20">
        <f t="shared" si="55"/>
        <v>0</v>
      </c>
      <c r="AJ83" s="20">
        <f t="shared" si="55"/>
        <v>0</v>
      </c>
      <c r="AK83" s="20">
        <f t="shared" si="55"/>
        <v>0</v>
      </c>
      <c r="AL83" s="20">
        <f t="shared" si="55"/>
        <v>0</v>
      </c>
      <c r="AM83" s="20">
        <f t="shared" si="55"/>
        <v>0</v>
      </c>
      <c r="AN83" s="20">
        <f t="shared" si="55"/>
        <v>0</v>
      </c>
      <c r="AO83" s="20">
        <f t="shared" si="55"/>
        <v>0</v>
      </c>
      <c r="AP83" s="20">
        <f t="shared" si="55"/>
        <v>0</v>
      </c>
      <c r="AQ83" s="20">
        <f t="shared" si="55"/>
        <v>0</v>
      </c>
      <c r="AR83" s="20">
        <f t="shared" si="55"/>
        <v>0</v>
      </c>
      <c r="AS83" s="20">
        <f t="shared" si="55"/>
        <v>0</v>
      </c>
      <c r="AT83" s="20">
        <f t="shared" si="55"/>
        <v>0</v>
      </c>
      <c r="AU83" s="20">
        <f t="shared" si="55"/>
        <v>0</v>
      </c>
      <c r="AV83" s="20">
        <f t="shared" si="55"/>
        <v>0</v>
      </c>
      <c r="AW83" s="20">
        <f t="shared" si="55"/>
        <v>0</v>
      </c>
      <c r="AX83" s="20">
        <f t="shared" si="55"/>
        <v>0</v>
      </c>
      <c r="AY83" s="20">
        <f t="shared" si="55"/>
        <v>0</v>
      </c>
      <c r="AZ83" s="20">
        <f t="shared" si="55"/>
        <v>0</v>
      </c>
      <c r="BA83" s="20">
        <f t="shared" si="55"/>
        <v>0</v>
      </c>
      <c r="BB83" s="20">
        <f t="shared" si="55"/>
        <v>0</v>
      </c>
      <c r="BC83" s="20">
        <f t="shared" si="55"/>
        <v>0</v>
      </c>
      <c r="BD83" s="20">
        <f t="shared" si="55"/>
        <v>0</v>
      </c>
      <c r="BE83" s="20">
        <f t="shared" si="55"/>
        <v>0</v>
      </c>
      <c r="BF83" s="20">
        <f t="shared" si="55"/>
        <v>0</v>
      </c>
      <c r="BG83" s="20">
        <f t="shared" si="55"/>
        <v>0</v>
      </c>
      <c r="BH83" s="20">
        <f t="shared" si="55"/>
        <v>0</v>
      </c>
      <c r="BI83" s="20">
        <f t="shared" si="55"/>
        <v>0</v>
      </c>
      <c r="BJ83" s="20">
        <f t="shared" si="55"/>
        <v>0</v>
      </c>
      <c r="BK83" s="20">
        <f t="shared" si="55"/>
        <v>0</v>
      </c>
      <c r="BL83" s="20">
        <f t="shared" si="55"/>
        <v>0</v>
      </c>
      <c r="BM83" s="20">
        <f t="shared" si="55"/>
        <v>0</v>
      </c>
      <c r="BN83" s="20">
        <f t="shared" si="55"/>
        <v>0</v>
      </c>
      <c r="BO83" s="20">
        <f t="shared" si="55"/>
        <v>0</v>
      </c>
      <c r="BP83" s="20">
        <f t="shared" si="55"/>
        <v>0</v>
      </c>
      <c r="BQ83" s="20">
        <f t="shared" si="55"/>
        <v>0</v>
      </c>
      <c r="BR83" s="20">
        <f t="shared" si="55"/>
        <v>0</v>
      </c>
      <c r="BS83" s="20">
        <f t="shared" si="55"/>
        <v>0</v>
      </c>
      <c r="BT83" s="20">
        <f t="shared" si="55"/>
        <v>0</v>
      </c>
      <c r="BU83" s="20">
        <f t="shared" si="55"/>
        <v>0</v>
      </c>
      <c r="BV83" s="20">
        <f t="shared" si="55"/>
        <v>0</v>
      </c>
      <c r="BW83" s="20">
        <f t="shared" si="55"/>
        <v>0</v>
      </c>
      <c r="BX83" s="20">
        <f t="shared" ref="BX83:DQ83" si="56">BX81-BX82</f>
        <v>0</v>
      </c>
      <c r="BY83" s="20">
        <f t="shared" si="56"/>
        <v>0</v>
      </c>
      <c r="BZ83" s="20">
        <f t="shared" si="56"/>
        <v>0</v>
      </c>
      <c r="CA83" s="20">
        <f t="shared" si="56"/>
        <v>0</v>
      </c>
      <c r="CB83" s="20">
        <f t="shared" si="56"/>
        <v>0</v>
      </c>
      <c r="CC83" s="20">
        <f t="shared" si="56"/>
        <v>0</v>
      </c>
      <c r="CD83" s="20">
        <f t="shared" si="56"/>
        <v>0</v>
      </c>
      <c r="CE83" s="20">
        <f t="shared" si="56"/>
        <v>0</v>
      </c>
      <c r="CF83" s="20">
        <f t="shared" si="56"/>
        <v>0</v>
      </c>
      <c r="CG83" s="20">
        <f t="shared" si="56"/>
        <v>0</v>
      </c>
      <c r="CH83" s="20">
        <f t="shared" si="56"/>
        <v>0</v>
      </c>
      <c r="CI83" s="20">
        <f t="shared" si="56"/>
        <v>0</v>
      </c>
      <c r="CJ83" s="20">
        <f t="shared" si="56"/>
        <v>0</v>
      </c>
      <c r="CK83" s="20">
        <f t="shared" si="56"/>
        <v>0</v>
      </c>
      <c r="CL83" s="20">
        <f t="shared" si="56"/>
        <v>0</v>
      </c>
      <c r="CM83" s="20">
        <f t="shared" si="56"/>
        <v>0</v>
      </c>
      <c r="CN83" s="20">
        <f t="shared" si="56"/>
        <v>0</v>
      </c>
      <c r="CO83" s="20">
        <f t="shared" si="56"/>
        <v>0</v>
      </c>
      <c r="CP83" s="20">
        <f t="shared" si="56"/>
        <v>0</v>
      </c>
      <c r="CQ83" s="20">
        <f t="shared" si="56"/>
        <v>0</v>
      </c>
      <c r="CR83" s="20">
        <f t="shared" si="56"/>
        <v>0</v>
      </c>
      <c r="CS83" s="20">
        <f t="shared" si="56"/>
        <v>0</v>
      </c>
      <c r="CT83" s="20">
        <f t="shared" si="56"/>
        <v>0</v>
      </c>
      <c r="CU83" s="20">
        <f t="shared" si="56"/>
        <v>0</v>
      </c>
      <c r="CV83" s="20">
        <f t="shared" si="56"/>
        <v>0</v>
      </c>
      <c r="CW83" s="20">
        <f t="shared" si="56"/>
        <v>0</v>
      </c>
      <c r="CX83" s="20">
        <f t="shared" si="56"/>
        <v>0</v>
      </c>
      <c r="CY83" s="20">
        <f t="shared" si="56"/>
        <v>0</v>
      </c>
      <c r="CZ83" s="20">
        <f t="shared" si="56"/>
        <v>0</v>
      </c>
      <c r="DA83" s="20">
        <f t="shared" si="56"/>
        <v>0</v>
      </c>
      <c r="DB83" s="20">
        <f t="shared" si="56"/>
        <v>0</v>
      </c>
      <c r="DC83" s="20">
        <f t="shared" si="56"/>
        <v>0</v>
      </c>
      <c r="DD83" s="20">
        <f t="shared" si="56"/>
        <v>0</v>
      </c>
      <c r="DE83" s="20">
        <f t="shared" si="56"/>
        <v>0</v>
      </c>
      <c r="DF83" s="20">
        <f t="shared" si="56"/>
        <v>0</v>
      </c>
      <c r="DG83" s="20">
        <f t="shared" si="56"/>
        <v>0</v>
      </c>
      <c r="DH83" s="20">
        <f t="shared" si="56"/>
        <v>0</v>
      </c>
      <c r="DI83" s="20">
        <f t="shared" si="56"/>
        <v>0</v>
      </c>
      <c r="DJ83" s="20">
        <f t="shared" si="56"/>
        <v>0</v>
      </c>
      <c r="DK83" s="20">
        <f t="shared" si="56"/>
        <v>0</v>
      </c>
      <c r="DL83" s="20">
        <f t="shared" si="56"/>
        <v>0</v>
      </c>
      <c r="DM83" s="20">
        <f t="shared" si="56"/>
        <v>0</v>
      </c>
      <c r="DN83" s="20">
        <f t="shared" si="56"/>
        <v>0</v>
      </c>
      <c r="DO83" s="20">
        <f t="shared" si="56"/>
        <v>0</v>
      </c>
      <c r="DP83" s="20">
        <f t="shared" si="56"/>
        <v>0</v>
      </c>
      <c r="DQ83" s="20">
        <f t="shared" si="56"/>
        <v>0</v>
      </c>
    </row>
    <row r="85" spans="3:121" x14ac:dyDescent="0.35">
      <c r="D85" s="20" t="s">
        <v>322</v>
      </c>
      <c r="K85" s="20">
        <f>MIN(K83,K78)</f>
        <v>40500</v>
      </c>
      <c r="L85" s="20">
        <f t="shared" ref="L85:BW85" si="57">MIN(L83,L78)</f>
        <v>40500</v>
      </c>
      <c r="M85" s="20">
        <f t="shared" si="57"/>
        <v>40500</v>
      </c>
      <c r="N85" s="20">
        <f t="shared" si="57"/>
        <v>40500</v>
      </c>
      <c r="O85" s="20">
        <f t="shared" si="57"/>
        <v>345935.01603572094</v>
      </c>
      <c r="P85" s="20">
        <f t="shared" si="57"/>
        <v>0</v>
      </c>
      <c r="Q85" s="20">
        <f t="shared" si="57"/>
        <v>0</v>
      </c>
      <c r="R85" s="20">
        <f t="shared" si="57"/>
        <v>0</v>
      </c>
      <c r="S85" s="20">
        <f t="shared" si="57"/>
        <v>0</v>
      </c>
      <c r="T85" s="20">
        <f t="shared" si="57"/>
        <v>0</v>
      </c>
      <c r="U85" s="20">
        <f t="shared" si="57"/>
        <v>0</v>
      </c>
      <c r="V85" s="20">
        <f t="shared" si="57"/>
        <v>0</v>
      </c>
      <c r="W85" s="20">
        <f t="shared" si="57"/>
        <v>0</v>
      </c>
      <c r="X85" s="20">
        <f t="shared" si="57"/>
        <v>0</v>
      </c>
      <c r="Y85" s="20">
        <f t="shared" si="57"/>
        <v>0</v>
      </c>
      <c r="Z85" s="20">
        <f t="shared" si="57"/>
        <v>0</v>
      </c>
      <c r="AA85" s="20">
        <f t="shared" si="57"/>
        <v>0</v>
      </c>
      <c r="AB85" s="20">
        <f t="shared" si="57"/>
        <v>0</v>
      </c>
      <c r="AC85" s="20">
        <f t="shared" si="57"/>
        <v>0</v>
      </c>
      <c r="AD85" s="20">
        <f t="shared" si="57"/>
        <v>0</v>
      </c>
      <c r="AE85" s="20">
        <f t="shared" si="57"/>
        <v>0</v>
      </c>
      <c r="AF85" s="20">
        <f t="shared" si="57"/>
        <v>0</v>
      </c>
      <c r="AG85" s="20">
        <f t="shared" si="57"/>
        <v>0</v>
      </c>
      <c r="AH85" s="20">
        <f t="shared" si="57"/>
        <v>0</v>
      </c>
      <c r="AI85" s="20">
        <f t="shared" si="57"/>
        <v>0</v>
      </c>
      <c r="AJ85" s="20">
        <f t="shared" si="57"/>
        <v>0</v>
      </c>
      <c r="AK85" s="20">
        <f t="shared" si="57"/>
        <v>0</v>
      </c>
      <c r="AL85" s="20">
        <f t="shared" si="57"/>
        <v>0</v>
      </c>
      <c r="AM85" s="20">
        <f t="shared" si="57"/>
        <v>0</v>
      </c>
      <c r="AN85" s="20">
        <f t="shared" si="57"/>
        <v>0</v>
      </c>
      <c r="AO85" s="20">
        <f t="shared" si="57"/>
        <v>0</v>
      </c>
      <c r="AP85" s="20">
        <f t="shared" si="57"/>
        <v>0</v>
      </c>
      <c r="AQ85" s="20">
        <f t="shared" si="57"/>
        <v>0</v>
      </c>
      <c r="AR85" s="20">
        <f t="shared" si="57"/>
        <v>0</v>
      </c>
      <c r="AS85" s="20">
        <f t="shared" si="57"/>
        <v>0</v>
      </c>
      <c r="AT85" s="20">
        <f t="shared" si="57"/>
        <v>0</v>
      </c>
      <c r="AU85" s="20">
        <f t="shared" si="57"/>
        <v>0</v>
      </c>
      <c r="AV85" s="20">
        <f t="shared" si="57"/>
        <v>0</v>
      </c>
      <c r="AW85" s="20">
        <f t="shared" si="57"/>
        <v>0</v>
      </c>
      <c r="AX85" s="20">
        <f t="shared" si="57"/>
        <v>0</v>
      </c>
      <c r="AY85" s="20">
        <f t="shared" si="57"/>
        <v>0</v>
      </c>
      <c r="AZ85" s="20">
        <f t="shared" si="57"/>
        <v>0</v>
      </c>
      <c r="BA85" s="20">
        <f t="shared" si="57"/>
        <v>0</v>
      </c>
      <c r="BB85" s="20">
        <f t="shared" si="57"/>
        <v>0</v>
      </c>
      <c r="BC85" s="20">
        <f t="shared" si="57"/>
        <v>0</v>
      </c>
      <c r="BD85" s="20">
        <f t="shared" si="57"/>
        <v>0</v>
      </c>
      <c r="BE85" s="20">
        <f t="shared" si="57"/>
        <v>0</v>
      </c>
      <c r="BF85" s="20">
        <f t="shared" si="57"/>
        <v>0</v>
      </c>
      <c r="BG85" s="20">
        <f t="shared" si="57"/>
        <v>0</v>
      </c>
      <c r="BH85" s="20">
        <f t="shared" si="57"/>
        <v>0</v>
      </c>
      <c r="BI85" s="20">
        <f t="shared" si="57"/>
        <v>0</v>
      </c>
      <c r="BJ85" s="20">
        <f t="shared" si="57"/>
        <v>0</v>
      </c>
      <c r="BK85" s="20">
        <f t="shared" si="57"/>
        <v>0</v>
      </c>
      <c r="BL85" s="20">
        <f t="shared" si="57"/>
        <v>0</v>
      </c>
      <c r="BM85" s="20">
        <f t="shared" si="57"/>
        <v>0</v>
      </c>
      <c r="BN85" s="20">
        <f t="shared" si="57"/>
        <v>0</v>
      </c>
      <c r="BO85" s="20">
        <f t="shared" si="57"/>
        <v>0</v>
      </c>
      <c r="BP85" s="20">
        <f t="shared" si="57"/>
        <v>0</v>
      </c>
      <c r="BQ85" s="20">
        <f t="shared" si="57"/>
        <v>0</v>
      </c>
      <c r="BR85" s="20">
        <f t="shared" si="57"/>
        <v>0</v>
      </c>
      <c r="BS85" s="20">
        <f t="shared" si="57"/>
        <v>0</v>
      </c>
      <c r="BT85" s="20">
        <f t="shared" si="57"/>
        <v>0</v>
      </c>
      <c r="BU85" s="20">
        <f t="shared" si="57"/>
        <v>0</v>
      </c>
      <c r="BV85" s="20">
        <f t="shared" si="57"/>
        <v>0</v>
      </c>
      <c r="BW85" s="20">
        <f t="shared" si="57"/>
        <v>0</v>
      </c>
      <c r="BX85" s="20">
        <f t="shared" ref="BX85:DQ85" si="58">MIN(BX83,BX78)</f>
        <v>0</v>
      </c>
      <c r="BY85" s="20">
        <f t="shared" si="58"/>
        <v>0</v>
      </c>
      <c r="BZ85" s="20">
        <f t="shared" si="58"/>
        <v>0</v>
      </c>
      <c r="CA85" s="20">
        <f t="shared" si="58"/>
        <v>0</v>
      </c>
      <c r="CB85" s="20">
        <f t="shared" si="58"/>
        <v>0</v>
      </c>
      <c r="CC85" s="20">
        <f t="shared" si="58"/>
        <v>0</v>
      </c>
      <c r="CD85" s="20">
        <f t="shared" si="58"/>
        <v>0</v>
      </c>
      <c r="CE85" s="20">
        <f t="shared" si="58"/>
        <v>0</v>
      </c>
      <c r="CF85" s="20">
        <f t="shared" si="58"/>
        <v>0</v>
      </c>
      <c r="CG85" s="20">
        <f t="shared" si="58"/>
        <v>0</v>
      </c>
      <c r="CH85" s="20">
        <f t="shared" si="58"/>
        <v>0</v>
      </c>
      <c r="CI85" s="20">
        <f t="shared" si="58"/>
        <v>0</v>
      </c>
      <c r="CJ85" s="20">
        <f t="shared" si="58"/>
        <v>0</v>
      </c>
      <c r="CK85" s="20">
        <f t="shared" si="58"/>
        <v>0</v>
      </c>
      <c r="CL85" s="20">
        <f t="shared" si="58"/>
        <v>0</v>
      </c>
      <c r="CM85" s="20">
        <f t="shared" si="58"/>
        <v>0</v>
      </c>
      <c r="CN85" s="20">
        <f t="shared" si="58"/>
        <v>0</v>
      </c>
      <c r="CO85" s="20">
        <f t="shared" si="58"/>
        <v>0</v>
      </c>
      <c r="CP85" s="20">
        <f t="shared" si="58"/>
        <v>0</v>
      </c>
      <c r="CQ85" s="20">
        <f t="shared" si="58"/>
        <v>0</v>
      </c>
      <c r="CR85" s="20">
        <f t="shared" si="58"/>
        <v>0</v>
      </c>
      <c r="CS85" s="20">
        <f t="shared" si="58"/>
        <v>0</v>
      </c>
      <c r="CT85" s="20">
        <f t="shared" si="58"/>
        <v>0</v>
      </c>
      <c r="CU85" s="20">
        <f t="shared" si="58"/>
        <v>0</v>
      </c>
      <c r="CV85" s="20">
        <f t="shared" si="58"/>
        <v>0</v>
      </c>
      <c r="CW85" s="20">
        <f t="shared" si="58"/>
        <v>0</v>
      </c>
      <c r="CX85" s="20">
        <f t="shared" si="58"/>
        <v>0</v>
      </c>
      <c r="CY85" s="20">
        <f t="shared" si="58"/>
        <v>0</v>
      </c>
      <c r="CZ85" s="20">
        <f t="shared" si="58"/>
        <v>0</v>
      </c>
      <c r="DA85" s="20">
        <f t="shared" si="58"/>
        <v>0</v>
      </c>
      <c r="DB85" s="20">
        <f t="shared" si="58"/>
        <v>0</v>
      </c>
      <c r="DC85" s="20">
        <f t="shared" si="58"/>
        <v>0</v>
      </c>
      <c r="DD85" s="20">
        <f t="shared" si="58"/>
        <v>0</v>
      </c>
      <c r="DE85" s="20">
        <f t="shared" si="58"/>
        <v>0</v>
      </c>
      <c r="DF85" s="20">
        <f t="shared" si="58"/>
        <v>0</v>
      </c>
      <c r="DG85" s="20">
        <f t="shared" si="58"/>
        <v>0</v>
      </c>
      <c r="DH85" s="20">
        <f t="shared" si="58"/>
        <v>0</v>
      </c>
      <c r="DI85" s="20">
        <f t="shared" si="58"/>
        <v>0</v>
      </c>
      <c r="DJ85" s="20">
        <f t="shared" si="58"/>
        <v>0</v>
      </c>
      <c r="DK85" s="20">
        <f t="shared" si="58"/>
        <v>0</v>
      </c>
      <c r="DL85" s="20">
        <f t="shared" si="58"/>
        <v>0</v>
      </c>
      <c r="DM85" s="20">
        <f t="shared" si="58"/>
        <v>0</v>
      </c>
      <c r="DN85" s="20">
        <f t="shared" si="58"/>
        <v>0</v>
      </c>
      <c r="DO85" s="20">
        <f t="shared" si="58"/>
        <v>0</v>
      </c>
      <c r="DP85" s="20">
        <f t="shared" si="58"/>
        <v>0</v>
      </c>
      <c r="DQ85" s="20">
        <f t="shared" si="58"/>
        <v>0</v>
      </c>
    </row>
    <row r="87" spans="3:121" x14ac:dyDescent="0.35">
      <c r="D87" s="20" t="s">
        <v>274</v>
      </c>
      <c r="K87" s="20">
        <f>J89</f>
        <v>0</v>
      </c>
      <c r="L87" s="20">
        <f t="shared" ref="L87:BW87" si="59">K89</f>
        <v>40500</v>
      </c>
      <c r="M87" s="20">
        <f t="shared" si="59"/>
        <v>81000</v>
      </c>
      <c r="N87" s="20">
        <f t="shared" si="59"/>
        <v>121500</v>
      </c>
      <c r="O87" s="20">
        <f t="shared" si="59"/>
        <v>162000</v>
      </c>
      <c r="P87" s="20">
        <f t="shared" si="59"/>
        <v>507935.01603572094</v>
      </c>
      <c r="Q87" s="20">
        <f t="shared" si="59"/>
        <v>507935.01603572094</v>
      </c>
      <c r="R87" s="20">
        <f t="shared" si="59"/>
        <v>507935.01603572094</v>
      </c>
      <c r="S87" s="20">
        <f t="shared" si="59"/>
        <v>507935.01603572094</v>
      </c>
      <c r="T87" s="20">
        <f t="shared" si="59"/>
        <v>507935.01603572094</v>
      </c>
      <c r="U87" s="20">
        <f t="shared" si="59"/>
        <v>507935.01603572094</v>
      </c>
      <c r="V87" s="20">
        <f t="shared" si="59"/>
        <v>507935.01603572094</v>
      </c>
      <c r="W87" s="20">
        <f t="shared" si="59"/>
        <v>507935.01603572094</v>
      </c>
      <c r="X87" s="20">
        <f t="shared" si="59"/>
        <v>507935.01603572094</v>
      </c>
      <c r="Y87" s="20">
        <f t="shared" si="59"/>
        <v>507935.01603572094</v>
      </c>
      <c r="Z87" s="20">
        <f t="shared" si="59"/>
        <v>507935.01603572094</v>
      </c>
      <c r="AA87" s="20">
        <f t="shared" si="59"/>
        <v>507935.01603572094</v>
      </c>
      <c r="AB87" s="20">
        <f t="shared" si="59"/>
        <v>507935.01603572094</v>
      </c>
      <c r="AC87" s="20">
        <f t="shared" si="59"/>
        <v>507935.01603572094</v>
      </c>
      <c r="AD87" s="20">
        <f t="shared" si="59"/>
        <v>507935.01603572094</v>
      </c>
      <c r="AE87" s="20">
        <f t="shared" si="59"/>
        <v>507935.01603572094</v>
      </c>
      <c r="AF87" s="20">
        <f t="shared" si="59"/>
        <v>507935.01603572094</v>
      </c>
      <c r="AG87" s="20">
        <f t="shared" si="59"/>
        <v>507935.01603572094</v>
      </c>
      <c r="AH87" s="20">
        <f t="shared" si="59"/>
        <v>507935.01603572094</v>
      </c>
      <c r="AI87" s="20">
        <f t="shared" si="59"/>
        <v>507935.01603572094</v>
      </c>
      <c r="AJ87" s="20">
        <f t="shared" si="59"/>
        <v>507935.01603572094</v>
      </c>
      <c r="AK87" s="20">
        <f t="shared" si="59"/>
        <v>507935.01603572094</v>
      </c>
      <c r="AL87" s="20">
        <f t="shared" si="59"/>
        <v>507935.01603572094</v>
      </c>
      <c r="AM87" s="20">
        <f t="shared" si="59"/>
        <v>507935.01603572094</v>
      </c>
      <c r="AN87" s="20">
        <f t="shared" si="59"/>
        <v>507935.01603572094</v>
      </c>
      <c r="AO87" s="20">
        <f t="shared" si="59"/>
        <v>507935.01603572094</v>
      </c>
      <c r="AP87" s="20">
        <f t="shared" si="59"/>
        <v>507935.01603572094</v>
      </c>
      <c r="AQ87" s="20">
        <f t="shared" si="59"/>
        <v>507935.01603572094</v>
      </c>
      <c r="AR87" s="20">
        <f t="shared" si="59"/>
        <v>507935.01603572094</v>
      </c>
      <c r="AS87" s="20">
        <f t="shared" si="59"/>
        <v>507935.01603572094</v>
      </c>
      <c r="AT87" s="20">
        <f t="shared" si="59"/>
        <v>507935.01603572094</v>
      </c>
      <c r="AU87" s="20">
        <f t="shared" si="59"/>
        <v>507935.01603572094</v>
      </c>
      <c r="AV87" s="20">
        <f t="shared" si="59"/>
        <v>507935.01603572094</v>
      </c>
      <c r="AW87" s="20">
        <f t="shared" si="59"/>
        <v>507935.01603572094</v>
      </c>
      <c r="AX87" s="20">
        <f t="shared" si="59"/>
        <v>507935.01603572094</v>
      </c>
      <c r="AY87" s="20">
        <f t="shared" si="59"/>
        <v>507935.01603572094</v>
      </c>
      <c r="AZ87" s="20">
        <f t="shared" si="59"/>
        <v>507935.01603572094</v>
      </c>
      <c r="BA87" s="20">
        <f t="shared" si="59"/>
        <v>507935.01603572094</v>
      </c>
      <c r="BB87" s="20">
        <f t="shared" si="59"/>
        <v>507935.01603572094</v>
      </c>
      <c r="BC87" s="20">
        <f t="shared" si="59"/>
        <v>507935.01603572094</v>
      </c>
      <c r="BD87" s="20">
        <f t="shared" si="59"/>
        <v>507935.01603572094</v>
      </c>
      <c r="BE87" s="20">
        <f t="shared" si="59"/>
        <v>507935.01603572094</v>
      </c>
      <c r="BF87" s="20">
        <f t="shared" si="59"/>
        <v>507935.01603572094</v>
      </c>
      <c r="BG87" s="20">
        <f t="shared" si="59"/>
        <v>507935.01603572094</v>
      </c>
      <c r="BH87" s="20">
        <f t="shared" si="59"/>
        <v>507935.01603572094</v>
      </c>
      <c r="BI87" s="20">
        <f t="shared" si="59"/>
        <v>507935.01603572094</v>
      </c>
      <c r="BJ87" s="20">
        <f t="shared" si="59"/>
        <v>507935.01603572094</v>
      </c>
      <c r="BK87" s="20">
        <f t="shared" si="59"/>
        <v>507935.01603572094</v>
      </c>
      <c r="BL87" s="20">
        <f t="shared" si="59"/>
        <v>507935.01603572094</v>
      </c>
      <c r="BM87" s="20">
        <f t="shared" si="59"/>
        <v>507935.01603572094</v>
      </c>
      <c r="BN87" s="20">
        <f t="shared" si="59"/>
        <v>507935.01603572094</v>
      </c>
      <c r="BO87" s="20">
        <f t="shared" si="59"/>
        <v>507935.01603572094</v>
      </c>
      <c r="BP87" s="20">
        <f t="shared" si="59"/>
        <v>507935.01603572094</v>
      </c>
      <c r="BQ87" s="20">
        <f t="shared" si="59"/>
        <v>507935.01603572094</v>
      </c>
      <c r="BR87" s="20">
        <f t="shared" si="59"/>
        <v>507935.01603572094</v>
      </c>
      <c r="BS87" s="20">
        <f t="shared" si="59"/>
        <v>507935.01603572094</v>
      </c>
      <c r="BT87" s="20">
        <f t="shared" si="59"/>
        <v>507935.01603572094</v>
      </c>
      <c r="BU87" s="20">
        <f t="shared" si="59"/>
        <v>507935.01603572094</v>
      </c>
      <c r="BV87" s="20">
        <f t="shared" si="59"/>
        <v>507935.01603572094</v>
      </c>
      <c r="BW87" s="20">
        <f t="shared" si="59"/>
        <v>507935.01603572094</v>
      </c>
      <c r="BX87" s="20">
        <f t="shared" ref="BX87:DQ87" si="60">BW89</f>
        <v>507935.01603572094</v>
      </c>
      <c r="BY87" s="20">
        <f t="shared" si="60"/>
        <v>507935.01603572094</v>
      </c>
      <c r="BZ87" s="20">
        <f t="shared" si="60"/>
        <v>507935.01603572094</v>
      </c>
      <c r="CA87" s="20">
        <f t="shared" si="60"/>
        <v>507935.01603572094</v>
      </c>
      <c r="CB87" s="20">
        <f t="shared" si="60"/>
        <v>507935.01603572094</v>
      </c>
      <c r="CC87" s="20">
        <f t="shared" si="60"/>
        <v>507935.01603572094</v>
      </c>
      <c r="CD87" s="20">
        <f t="shared" si="60"/>
        <v>507935.01603572094</v>
      </c>
      <c r="CE87" s="20">
        <f t="shared" si="60"/>
        <v>507935.01603572094</v>
      </c>
      <c r="CF87" s="20">
        <f t="shared" si="60"/>
        <v>507935.01603572094</v>
      </c>
      <c r="CG87" s="20">
        <f t="shared" si="60"/>
        <v>507935.01603572094</v>
      </c>
      <c r="CH87" s="20">
        <f t="shared" si="60"/>
        <v>507935.01603572094</v>
      </c>
      <c r="CI87" s="20">
        <f t="shared" si="60"/>
        <v>507935.01603572094</v>
      </c>
      <c r="CJ87" s="20">
        <f t="shared" si="60"/>
        <v>507935.01603572094</v>
      </c>
      <c r="CK87" s="20">
        <f t="shared" si="60"/>
        <v>507935.01603572094</v>
      </c>
      <c r="CL87" s="20">
        <f t="shared" si="60"/>
        <v>507935.01603572094</v>
      </c>
      <c r="CM87" s="20">
        <f t="shared" si="60"/>
        <v>507935.01603572094</v>
      </c>
      <c r="CN87" s="20">
        <f t="shared" si="60"/>
        <v>507935.01603572094</v>
      </c>
      <c r="CO87" s="20">
        <f t="shared" si="60"/>
        <v>507935.01603572094</v>
      </c>
      <c r="CP87" s="20">
        <f t="shared" si="60"/>
        <v>507935.01603572094</v>
      </c>
      <c r="CQ87" s="20">
        <f t="shared" si="60"/>
        <v>507935.01603572094</v>
      </c>
      <c r="CR87" s="20">
        <f t="shared" si="60"/>
        <v>507935.01603572094</v>
      </c>
      <c r="CS87" s="20">
        <f t="shared" si="60"/>
        <v>507935.01603572094</v>
      </c>
      <c r="CT87" s="20">
        <f t="shared" si="60"/>
        <v>507935.01603572094</v>
      </c>
      <c r="CU87" s="20">
        <f t="shared" si="60"/>
        <v>507935.01603572094</v>
      </c>
      <c r="CV87" s="20">
        <f t="shared" si="60"/>
        <v>507935.01603572094</v>
      </c>
      <c r="CW87" s="20">
        <f t="shared" si="60"/>
        <v>507935.01603572094</v>
      </c>
      <c r="CX87" s="20">
        <f t="shared" si="60"/>
        <v>507935.01603572094</v>
      </c>
      <c r="CY87" s="20">
        <f t="shared" si="60"/>
        <v>507935.01603572094</v>
      </c>
      <c r="CZ87" s="20">
        <f t="shared" si="60"/>
        <v>507935.01603572094</v>
      </c>
      <c r="DA87" s="20">
        <f t="shared" si="60"/>
        <v>507935.01603572094</v>
      </c>
      <c r="DB87" s="20">
        <f t="shared" si="60"/>
        <v>507935.01603572094</v>
      </c>
      <c r="DC87" s="20">
        <f t="shared" si="60"/>
        <v>507935.01603572094</v>
      </c>
      <c r="DD87" s="20">
        <f t="shared" si="60"/>
        <v>507935.01603572094</v>
      </c>
      <c r="DE87" s="20">
        <f t="shared" si="60"/>
        <v>507935.01603572094</v>
      </c>
      <c r="DF87" s="20">
        <f t="shared" si="60"/>
        <v>507935.01603572094</v>
      </c>
      <c r="DG87" s="20">
        <f t="shared" si="60"/>
        <v>507935.01603572094</v>
      </c>
      <c r="DH87" s="20">
        <f t="shared" si="60"/>
        <v>507935.01603572094</v>
      </c>
      <c r="DI87" s="20">
        <f t="shared" si="60"/>
        <v>507935.01603572094</v>
      </c>
      <c r="DJ87" s="20">
        <f t="shared" si="60"/>
        <v>507935.01603572094</v>
      </c>
      <c r="DK87" s="20">
        <f t="shared" si="60"/>
        <v>507935.01603572094</v>
      </c>
      <c r="DL87" s="20">
        <f t="shared" si="60"/>
        <v>507935.01603572094</v>
      </c>
      <c r="DM87" s="20">
        <f t="shared" si="60"/>
        <v>507935.01603572094</v>
      </c>
      <c r="DN87" s="20">
        <f t="shared" si="60"/>
        <v>507935.01603572094</v>
      </c>
      <c r="DO87" s="20">
        <f t="shared" si="60"/>
        <v>507935.01603572094</v>
      </c>
      <c r="DP87" s="20">
        <f t="shared" si="60"/>
        <v>507935.01603572094</v>
      </c>
      <c r="DQ87" s="20">
        <f t="shared" si="60"/>
        <v>507935.01603572094</v>
      </c>
    </row>
    <row r="88" spans="3:121" x14ac:dyDescent="0.35">
      <c r="D88" s="20" t="s">
        <v>323</v>
      </c>
      <c r="K88" s="20">
        <f>K85</f>
        <v>40500</v>
      </c>
      <c r="L88" s="20">
        <f t="shared" ref="L88:BW88" si="61">L85</f>
        <v>40500</v>
      </c>
      <c r="M88" s="20">
        <f t="shared" si="61"/>
        <v>40500</v>
      </c>
      <c r="N88" s="20">
        <f t="shared" si="61"/>
        <v>40500</v>
      </c>
      <c r="O88" s="20">
        <f t="shared" si="61"/>
        <v>345935.01603572094</v>
      </c>
      <c r="P88" s="20">
        <f t="shared" si="61"/>
        <v>0</v>
      </c>
      <c r="Q88" s="20">
        <f t="shared" si="61"/>
        <v>0</v>
      </c>
      <c r="R88" s="20">
        <f t="shared" si="61"/>
        <v>0</v>
      </c>
      <c r="S88" s="20">
        <f t="shared" si="61"/>
        <v>0</v>
      </c>
      <c r="T88" s="20">
        <f t="shared" si="61"/>
        <v>0</v>
      </c>
      <c r="U88" s="20">
        <f t="shared" si="61"/>
        <v>0</v>
      </c>
      <c r="V88" s="20">
        <f t="shared" si="61"/>
        <v>0</v>
      </c>
      <c r="W88" s="20">
        <f t="shared" si="61"/>
        <v>0</v>
      </c>
      <c r="X88" s="20">
        <f t="shared" si="61"/>
        <v>0</v>
      </c>
      <c r="Y88" s="20">
        <f t="shared" si="61"/>
        <v>0</v>
      </c>
      <c r="Z88" s="20">
        <f t="shared" si="61"/>
        <v>0</v>
      </c>
      <c r="AA88" s="20">
        <f t="shared" si="61"/>
        <v>0</v>
      </c>
      <c r="AB88" s="20">
        <f t="shared" si="61"/>
        <v>0</v>
      </c>
      <c r="AC88" s="20">
        <f t="shared" si="61"/>
        <v>0</v>
      </c>
      <c r="AD88" s="20">
        <f t="shared" si="61"/>
        <v>0</v>
      </c>
      <c r="AE88" s="20">
        <f t="shared" si="61"/>
        <v>0</v>
      </c>
      <c r="AF88" s="20">
        <f t="shared" si="61"/>
        <v>0</v>
      </c>
      <c r="AG88" s="20">
        <f t="shared" si="61"/>
        <v>0</v>
      </c>
      <c r="AH88" s="20">
        <f t="shared" si="61"/>
        <v>0</v>
      </c>
      <c r="AI88" s="20">
        <f t="shared" si="61"/>
        <v>0</v>
      </c>
      <c r="AJ88" s="20">
        <f t="shared" si="61"/>
        <v>0</v>
      </c>
      <c r="AK88" s="20">
        <f t="shared" si="61"/>
        <v>0</v>
      </c>
      <c r="AL88" s="20">
        <f t="shared" si="61"/>
        <v>0</v>
      </c>
      <c r="AM88" s="20">
        <f t="shared" si="61"/>
        <v>0</v>
      </c>
      <c r="AN88" s="20">
        <f t="shared" si="61"/>
        <v>0</v>
      </c>
      <c r="AO88" s="20">
        <f t="shared" si="61"/>
        <v>0</v>
      </c>
      <c r="AP88" s="20">
        <f t="shared" si="61"/>
        <v>0</v>
      </c>
      <c r="AQ88" s="20">
        <f t="shared" si="61"/>
        <v>0</v>
      </c>
      <c r="AR88" s="20">
        <f t="shared" si="61"/>
        <v>0</v>
      </c>
      <c r="AS88" s="20">
        <f t="shared" si="61"/>
        <v>0</v>
      </c>
      <c r="AT88" s="20">
        <f t="shared" si="61"/>
        <v>0</v>
      </c>
      <c r="AU88" s="20">
        <f t="shared" si="61"/>
        <v>0</v>
      </c>
      <c r="AV88" s="20">
        <f t="shared" si="61"/>
        <v>0</v>
      </c>
      <c r="AW88" s="20">
        <f t="shared" si="61"/>
        <v>0</v>
      </c>
      <c r="AX88" s="20">
        <f t="shared" si="61"/>
        <v>0</v>
      </c>
      <c r="AY88" s="20">
        <f t="shared" si="61"/>
        <v>0</v>
      </c>
      <c r="AZ88" s="20">
        <f t="shared" si="61"/>
        <v>0</v>
      </c>
      <c r="BA88" s="20">
        <f t="shared" si="61"/>
        <v>0</v>
      </c>
      <c r="BB88" s="20">
        <f t="shared" si="61"/>
        <v>0</v>
      </c>
      <c r="BC88" s="20">
        <f t="shared" si="61"/>
        <v>0</v>
      </c>
      <c r="BD88" s="20">
        <f t="shared" si="61"/>
        <v>0</v>
      </c>
      <c r="BE88" s="20">
        <f t="shared" si="61"/>
        <v>0</v>
      </c>
      <c r="BF88" s="20">
        <f t="shared" si="61"/>
        <v>0</v>
      </c>
      <c r="BG88" s="20">
        <f t="shared" si="61"/>
        <v>0</v>
      </c>
      <c r="BH88" s="20">
        <f t="shared" si="61"/>
        <v>0</v>
      </c>
      <c r="BI88" s="20">
        <f t="shared" si="61"/>
        <v>0</v>
      </c>
      <c r="BJ88" s="20">
        <f t="shared" si="61"/>
        <v>0</v>
      </c>
      <c r="BK88" s="20">
        <f t="shared" si="61"/>
        <v>0</v>
      </c>
      <c r="BL88" s="20">
        <f t="shared" si="61"/>
        <v>0</v>
      </c>
      <c r="BM88" s="20">
        <f t="shared" si="61"/>
        <v>0</v>
      </c>
      <c r="BN88" s="20">
        <f t="shared" si="61"/>
        <v>0</v>
      </c>
      <c r="BO88" s="20">
        <f t="shared" si="61"/>
        <v>0</v>
      </c>
      <c r="BP88" s="20">
        <f t="shared" si="61"/>
        <v>0</v>
      </c>
      <c r="BQ88" s="20">
        <f t="shared" si="61"/>
        <v>0</v>
      </c>
      <c r="BR88" s="20">
        <f t="shared" si="61"/>
        <v>0</v>
      </c>
      <c r="BS88" s="20">
        <f t="shared" si="61"/>
        <v>0</v>
      </c>
      <c r="BT88" s="20">
        <f t="shared" si="61"/>
        <v>0</v>
      </c>
      <c r="BU88" s="20">
        <f t="shared" si="61"/>
        <v>0</v>
      </c>
      <c r="BV88" s="20">
        <f t="shared" si="61"/>
        <v>0</v>
      </c>
      <c r="BW88" s="20">
        <f t="shared" si="61"/>
        <v>0</v>
      </c>
      <c r="BX88" s="20">
        <f t="shared" ref="BX88:DQ88" si="62">BX85</f>
        <v>0</v>
      </c>
      <c r="BY88" s="20">
        <f t="shared" si="62"/>
        <v>0</v>
      </c>
      <c r="BZ88" s="20">
        <f t="shared" si="62"/>
        <v>0</v>
      </c>
      <c r="CA88" s="20">
        <f t="shared" si="62"/>
        <v>0</v>
      </c>
      <c r="CB88" s="20">
        <f t="shared" si="62"/>
        <v>0</v>
      </c>
      <c r="CC88" s="20">
        <f t="shared" si="62"/>
        <v>0</v>
      </c>
      <c r="CD88" s="20">
        <f t="shared" si="62"/>
        <v>0</v>
      </c>
      <c r="CE88" s="20">
        <f t="shared" si="62"/>
        <v>0</v>
      </c>
      <c r="CF88" s="20">
        <f t="shared" si="62"/>
        <v>0</v>
      </c>
      <c r="CG88" s="20">
        <f t="shared" si="62"/>
        <v>0</v>
      </c>
      <c r="CH88" s="20">
        <f t="shared" si="62"/>
        <v>0</v>
      </c>
      <c r="CI88" s="20">
        <f t="shared" si="62"/>
        <v>0</v>
      </c>
      <c r="CJ88" s="20">
        <f t="shared" si="62"/>
        <v>0</v>
      </c>
      <c r="CK88" s="20">
        <f t="shared" si="62"/>
        <v>0</v>
      </c>
      <c r="CL88" s="20">
        <f t="shared" si="62"/>
        <v>0</v>
      </c>
      <c r="CM88" s="20">
        <f t="shared" si="62"/>
        <v>0</v>
      </c>
      <c r="CN88" s="20">
        <f t="shared" si="62"/>
        <v>0</v>
      </c>
      <c r="CO88" s="20">
        <f t="shared" si="62"/>
        <v>0</v>
      </c>
      <c r="CP88" s="20">
        <f t="shared" si="62"/>
        <v>0</v>
      </c>
      <c r="CQ88" s="20">
        <f t="shared" si="62"/>
        <v>0</v>
      </c>
      <c r="CR88" s="20">
        <f t="shared" si="62"/>
        <v>0</v>
      </c>
      <c r="CS88" s="20">
        <f t="shared" si="62"/>
        <v>0</v>
      </c>
      <c r="CT88" s="20">
        <f t="shared" si="62"/>
        <v>0</v>
      </c>
      <c r="CU88" s="20">
        <f t="shared" si="62"/>
        <v>0</v>
      </c>
      <c r="CV88" s="20">
        <f t="shared" si="62"/>
        <v>0</v>
      </c>
      <c r="CW88" s="20">
        <f t="shared" si="62"/>
        <v>0</v>
      </c>
      <c r="CX88" s="20">
        <f t="shared" si="62"/>
        <v>0</v>
      </c>
      <c r="CY88" s="20">
        <f t="shared" si="62"/>
        <v>0</v>
      </c>
      <c r="CZ88" s="20">
        <f t="shared" si="62"/>
        <v>0</v>
      </c>
      <c r="DA88" s="20">
        <f t="shared" si="62"/>
        <v>0</v>
      </c>
      <c r="DB88" s="20">
        <f t="shared" si="62"/>
        <v>0</v>
      </c>
      <c r="DC88" s="20">
        <f t="shared" si="62"/>
        <v>0</v>
      </c>
      <c r="DD88" s="20">
        <f t="shared" si="62"/>
        <v>0</v>
      </c>
      <c r="DE88" s="20">
        <f t="shared" si="62"/>
        <v>0</v>
      </c>
      <c r="DF88" s="20">
        <f t="shared" si="62"/>
        <v>0</v>
      </c>
      <c r="DG88" s="20">
        <f t="shared" si="62"/>
        <v>0</v>
      </c>
      <c r="DH88" s="20">
        <f t="shared" si="62"/>
        <v>0</v>
      </c>
      <c r="DI88" s="20">
        <f t="shared" si="62"/>
        <v>0</v>
      </c>
      <c r="DJ88" s="20">
        <f t="shared" si="62"/>
        <v>0</v>
      </c>
      <c r="DK88" s="20">
        <f t="shared" si="62"/>
        <v>0</v>
      </c>
      <c r="DL88" s="20">
        <f t="shared" si="62"/>
        <v>0</v>
      </c>
      <c r="DM88" s="20">
        <f t="shared" si="62"/>
        <v>0</v>
      </c>
      <c r="DN88" s="20">
        <f t="shared" si="62"/>
        <v>0</v>
      </c>
      <c r="DO88" s="20">
        <f t="shared" si="62"/>
        <v>0</v>
      </c>
      <c r="DP88" s="20">
        <f t="shared" si="62"/>
        <v>0</v>
      </c>
      <c r="DQ88" s="20">
        <f t="shared" si="62"/>
        <v>0</v>
      </c>
    </row>
    <row r="89" spans="3:121" x14ac:dyDescent="0.35">
      <c r="D89" s="20" t="s">
        <v>277</v>
      </c>
      <c r="K89" s="20">
        <f>SUM(K87:K88)</f>
        <v>40500</v>
      </c>
      <c r="L89" s="20">
        <f t="shared" ref="L89:BW89" si="63">SUM(L87:L88)</f>
        <v>81000</v>
      </c>
      <c r="M89" s="20">
        <f t="shared" si="63"/>
        <v>121500</v>
      </c>
      <c r="N89" s="20">
        <f t="shared" si="63"/>
        <v>162000</v>
      </c>
      <c r="O89" s="20">
        <f t="shared" si="63"/>
        <v>507935.01603572094</v>
      </c>
      <c r="P89" s="20">
        <f t="shared" si="63"/>
        <v>507935.01603572094</v>
      </c>
      <c r="Q89" s="20">
        <f t="shared" si="63"/>
        <v>507935.01603572094</v>
      </c>
      <c r="R89" s="20">
        <f t="shared" si="63"/>
        <v>507935.01603572094</v>
      </c>
      <c r="S89" s="20">
        <f t="shared" si="63"/>
        <v>507935.01603572094</v>
      </c>
      <c r="T89" s="20">
        <f t="shared" si="63"/>
        <v>507935.01603572094</v>
      </c>
      <c r="U89" s="20">
        <f t="shared" si="63"/>
        <v>507935.01603572094</v>
      </c>
      <c r="V89" s="20">
        <f t="shared" si="63"/>
        <v>507935.01603572094</v>
      </c>
      <c r="W89" s="20">
        <f t="shared" si="63"/>
        <v>507935.01603572094</v>
      </c>
      <c r="X89" s="20">
        <f t="shared" si="63"/>
        <v>507935.01603572094</v>
      </c>
      <c r="Y89" s="20">
        <f t="shared" si="63"/>
        <v>507935.01603572094</v>
      </c>
      <c r="Z89" s="20">
        <f t="shared" si="63"/>
        <v>507935.01603572094</v>
      </c>
      <c r="AA89" s="20">
        <f t="shared" si="63"/>
        <v>507935.01603572094</v>
      </c>
      <c r="AB89" s="20">
        <f t="shared" si="63"/>
        <v>507935.01603572094</v>
      </c>
      <c r="AC89" s="20">
        <f t="shared" si="63"/>
        <v>507935.01603572094</v>
      </c>
      <c r="AD89" s="20">
        <f t="shared" si="63"/>
        <v>507935.01603572094</v>
      </c>
      <c r="AE89" s="20">
        <f t="shared" si="63"/>
        <v>507935.01603572094</v>
      </c>
      <c r="AF89" s="20">
        <f t="shared" si="63"/>
        <v>507935.01603572094</v>
      </c>
      <c r="AG89" s="20">
        <f t="shared" si="63"/>
        <v>507935.01603572094</v>
      </c>
      <c r="AH89" s="20">
        <f t="shared" si="63"/>
        <v>507935.01603572094</v>
      </c>
      <c r="AI89" s="20">
        <f t="shared" si="63"/>
        <v>507935.01603572094</v>
      </c>
      <c r="AJ89" s="20">
        <f t="shared" si="63"/>
        <v>507935.01603572094</v>
      </c>
      <c r="AK89" s="20">
        <f t="shared" si="63"/>
        <v>507935.01603572094</v>
      </c>
      <c r="AL89" s="20">
        <f t="shared" si="63"/>
        <v>507935.01603572094</v>
      </c>
      <c r="AM89" s="20">
        <f t="shared" si="63"/>
        <v>507935.01603572094</v>
      </c>
      <c r="AN89" s="20">
        <f t="shared" si="63"/>
        <v>507935.01603572094</v>
      </c>
      <c r="AO89" s="20">
        <f t="shared" si="63"/>
        <v>507935.01603572094</v>
      </c>
      <c r="AP89" s="20">
        <f t="shared" si="63"/>
        <v>507935.01603572094</v>
      </c>
      <c r="AQ89" s="20">
        <f t="shared" si="63"/>
        <v>507935.01603572094</v>
      </c>
      <c r="AR89" s="20">
        <f t="shared" si="63"/>
        <v>507935.01603572094</v>
      </c>
      <c r="AS89" s="20">
        <f t="shared" si="63"/>
        <v>507935.01603572094</v>
      </c>
      <c r="AT89" s="20">
        <f t="shared" si="63"/>
        <v>507935.01603572094</v>
      </c>
      <c r="AU89" s="20">
        <f t="shared" si="63"/>
        <v>507935.01603572094</v>
      </c>
      <c r="AV89" s="20">
        <f t="shared" si="63"/>
        <v>507935.01603572094</v>
      </c>
      <c r="AW89" s="20">
        <f t="shared" si="63"/>
        <v>507935.01603572094</v>
      </c>
      <c r="AX89" s="20">
        <f t="shared" si="63"/>
        <v>507935.01603572094</v>
      </c>
      <c r="AY89" s="20">
        <f t="shared" si="63"/>
        <v>507935.01603572094</v>
      </c>
      <c r="AZ89" s="20">
        <f t="shared" si="63"/>
        <v>507935.01603572094</v>
      </c>
      <c r="BA89" s="20">
        <f t="shared" si="63"/>
        <v>507935.01603572094</v>
      </c>
      <c r="BB89" s="20">
        <f t="shared" si="63"/>
        <v>507935.01603572094</v>
      </c>
      <c r="BC89" s="20">
        <f t="shared" si="63"/>
        <v>507935.01603572094</v>
      </c>
      <c r="BD89" s="20">
        <f t="shared" si="63"/>
        <v>507935.01603572094</v>
      </c>
      <c r="BE89" s="20">
        <f t="shared" si="63"/>
        <v>507935.01603572094</v>
      </c>
      <c r="BF89" s="20">
        <f t="shared" si="63"/>
        <v>507935.01603572094</v>
      </c>
      <c r="BG89" s="20">
        <f t="shared" si="63"/>
        <v>507935.01603572094</v>
      </c>
      <c r="BH89" s="20">
        <f t="shared" si="63"/>
        <v>507935.01603572094</v>
      </c>
      <c r="BI89" s="20">
        <f t="shared" si="63"/>
        <v>507935.01603572094</v>
      </c>
      <c r="BJ89" s="20">
        <f t="shared" si="63"/>
        <v>507935.01603572094</v>
      </c>
      <c r="BK89" s="20">
        <f t="shared" si="63"/>
        <v>507935.01603572094</v>
      </c>
      <c r="BL89" s="20">
        <f t="shared" si="63"/>
        <v>507935.01603572094</v>
      </c>
      <c r="BM89" s="20">
        <f t="shared" si="63"/>
        <v>507935.01603572094</v>
      </c>
      <c r="BN89" s="20">
        <f t="shared" si="63"/>
        <v>507935.01603572094</v>
      </c>
      <c r="BO89" s="20">
        <f t="shared" si="63"/>
        <v>507935.01603572094</v>
      </c>
      <c r="BP89" s="20">
        <f t="shared" si="63"/>
        <v>507935.01603572094</v>
      </c>
      <c r="BQ89" s="20">
        <f t="shared" si="63"/>
        <v>507935.01603572094</v>
      </c>
      <c r="BR89" s="20">
        <f t="shared" si="63"/>
        <v>507935.01603572094</v>
      </c>
      <c r="BS89" s="20">
        <f t="shared" si="63"/>
        <v>507935.01603572094</v>
      </c>
      <c r="BT89" s="20">
        <f t="shared" si="63"/>
        <v>507935.01603572094</v>
      </c>
      <c r="BU89" s="20">
        <f t="shared" si="63"/>
        <v>507935.01603572094</v>
      </c>
      <c r="BV89" s="20">
        <f t="shared" si="63"/>
        <v>507935.01603572094</v>
      </c>
      <c r="BW89" s="20">
        <f t="shared" si="63"/>
        <v>507935.01603572094</v>
      </c>
      <c r="BX89" s="20">
        <f t="shared" ref="BX89:DQ89" si="64">SUM(BX87:BX88)</f>
        <v>507935.01603572094</v>
      </c>
      <c r="BY89" s="20">
        <f t="shared" si="64"/>
        <v>507935.01603572094</v>
      </c>
      <c r="BZ89" s="20">
        <f t="shared" si="64"/>
        <v>507935.01603572094</v>
      </c>
      <c r="CA89" s="20">
        <f t="shared" si="64"/>
        <v>507935.01603572094</v>
      </c>
      <c r="CB89" s="20">
        <f t="shared" si="64"/>
        <v>507935.01603572094</v>
      </c>
      <c r="CC89" s="20">
        <f t="shared" si="64"/>
        <v>507935.01603572094</v>
      </c>
      <c r="CD89" s="20">
        <f t="shared" si="64"/>
        <v>507935.01603572094</v>
      </c>
      <c r="CE89" s="20">
        <f t="shared" si="64"/>
        <v>507935.01603572094</v>
      </c>
      <c r="CF89" s="20">
        <f t="shared" si="64"/>
        <v>507935.01603572094</v>
      </c>
      <c r="CG89" s="20">
        <f t="shared" si="64"/>
        <v>507935.01603572094</v>
      </c>
      <c r="CH89" s="20">
        <f t="shared" si="64"/>
        <v>507935.01603572094</v>
      </c>
      <c r="CI89" s="20">
        <f t="shared" si="64"/>
        <v>507935.01603572094</v>
      </c>
      <c r="CJ89" s="20">
        <f t="shared" si="64"/>
        <v>507935.01603572094</v>
      </c>
      <c r="CK89" s="20">
        <f t="shared" si="64"/>
        <v>507935.01603572094</v>
      </c>
      <c r="CL89" s="20">
        <f t="shared" si="64"/>
        <v>507935.01603572094</v>
      </c>
      <c r="CM89" s="20">
        <f t="shared" si="64"/>
        <v>507935.01603572094</v>
      </c>
      <c r="CN89" s="20">
        <f t="shared" si="64"/>
        <v>507935.01603572094</v>
      </c>
      <c r="CO89" s="20">
        <f t="shared" si="64"/>
        <v>507935.01603572094</v>
      </c>
      <c r="CP89" s="20">
        <f t="shared" si="64"/>
        <v>507935.01603572094</v>
      </c>
      <c r="CQ89" s="20">
        <f t="shared" si="64"/>
        <v>507935.01603572094</v>
      </c>
      <c r="CR89" s="20">
        <f t="shared" si="64"/>
        <v>507935.01603572094</v>
      </c>
      <c r="CS89" s="20">
        <f t="shared" si="64"/>
        <v>507935.01603572094</v>
      </c>
      <c r="CT89" s="20">
        <f t="shared" si="64"/>
        <v>507935.01603572094</v>
      </c>
      <c r="CU89" s="20">
        <f t="shared" si="64"/>
        <v>507935.01603572094</v>
      </c>
      <c r="CV89" s="20">
        <f t="shared" si="64"/>
        <v>507935.01603572094</v>
      </c>
      <c r="CW89" s="20">
        <f t="shared" si="64"/>
        <v>507935.01603572094</v>
      </c>
      <c r="CX89" s="20">
        <f t="shared" si="64"/>
        <v>507935.01603572094</v>
      </c>
      <c r="CY89" s="20">
        <f t="shared" si="64"/>
        <v>507935.01603572094</v>
      </c>
      <c r="CZ89" s="20">
        <f t="shared" si="64"/>
        <v>507935.01603572094</v>
      </c>
      <c r="DA89" s="20">
        <f t="shared" si="64"/>
        <v>507935.01603572094</v>
      </c>
      <c r="DB89" s="20">
        <f t="shared" si="64"/>
        <v>507935.01603572094</v>
      </c>
      <c r="DC89" s="20">
        <f t="shared" si="64"/>
        <v>507935.01603572094</v>
      </c>
      <c r="DD89" s="20">
        <f t="shared" si="64"/>
        <v>507935.01603572094</v>
      </c>
      <c r="DE89" s="20">
        <f t="shared" si="64"/>
        <v>507935.01603572094</v>
      </c>
      <c r="DF89" s="20">
        <f t="shared" si="64"/>
        <v>507935.01603572094</v>
      </c>
      <c r="DG89" s="20">
        <f t="shared" si="64"/>
        <v>507935.01603572094</v>
      </c>
      <c r="DH89" s="20">
        <f t="shared" si="64"/>
        <v>507935.01603572094</v>
      </c>
      <c r="DI89" s="20">
        <f t="shared" si="64"/>
        <v>507935.01603572094</v>
      </c>
      <c r="DJ89" s="20">
        <f t="shared" si="64"/>
        <v>507935.01603572094</v>
      </c>
      <c r="DK89" s="20">
        <f t="shared" si="64"/>
        <v>507935.01603572094</v>
      </c>
      <c r="DL89" s="20">
        <f t="shared" si="64"/>
        <v>507935.01603572094</v>
      </c>
      <c r="DM89" s="20">
        <f t="shared" si="64"/>
        <v>507935.01603572094</v>
      </c>
      <c r="DN89" s="20">
        <f t="shared" si="64"/>
        <v>507935.01603572094</v>
      </c>
      <c r="DO89" s="20">
        <f t="shared" si="64"/>
        <v>507935.01603572094</v>
      </c>
      <c r="DP89" s="20">
        <f t="shared" si="64"/>
        <v>507935.01603572094</v>
      </c>
      <c r="DQ89" s="20">
        <f t="shared" si="64"/>
        <v>507935.01603572094</v>
      </c>
    </row>
    <row r="91" spans="3:121" x14ac:dyDescent="0.35">
      <c r="C91" s="20" t="s">
        <v>324</v>
      </c>
    </row>
    <row r="92" spans="3:121" x14ac:dyDescent="0.35">
      <c r="D92" s="20" t="s">
        <v>325</v>
      </c>
      <c r="K92" s="20">
        <f>K78-K85</f>
        <v>0</v>
      </c>
      <c r="L92" s="20">
        <f t="shared" ref="L92:BW92" si="65">L78-L85</f>
        <v>0</v>
      </c>
      <c r="M92" s="20">
        <f t="shared" si="65"/>
        <v>0</v>
      </c>
      <c r="N92" s="20">
        <f t="shared" si="65"/>
        <v>0</v>
      </c>
      <c r="O92" s="20">
        <f t="shared" si="65"/>
        <v>595199.10611239495</v>
      </c>
      <c r="P92" s="20">
        <f t="shared" si="65"/>
        <v>891043.04204734915</v>
      </c>
      <c r="Q92" s="20">
        <f t="shared" si="65"/>
        <v>892621.02926734847</v>
      </c>
      <c r="R92" s="20">
        <f t="shared" si="65"/>
        <v>894201.81101415388</v>
      </c>
      <c r="S92" s="20">
        <f t="shared" si="65"/>
        <v>895785.39223671565</v>
      </c>
      <c r="T92" s="20">
        <f t="shared" si="65"/>
        <v>0</v>
      </c>
      <c r="U92" s="20">
        <f t="shared" si="65"/>
        <v>0</v>
      </c>
      <c r="V92" s="20">
        <f t="shared" si="65"/>
        <v>0</v>
      </c>
      <c r="W92" s="20">
        <f t="shared" si="65"/>
        <v>0</v>
      </c>
      <c r="X92" s="20">
        <f t="shared" si="65"/>
        <v>0</v>
      </c>
      <c r="Y92" s="20">
        <f t="shared" si="65"/>
        <v>0</v>
      </c>
      <c r="Z92" s="20">
        <f t="shared" si="65"/>
        <v>0</v>
      </c>
      <c r="AA92" s="20">
        <f t="shared" si="65"/>
        <v>0</v>
      </c>
      <c r="AB92" s="20">
        <f t="shared" si="65"/>
        <v>0</v>
      </c>
      <c r="AC92" s="20">
        <f t="shared" si="65"/>
        <v>0</v>
      </c>
      <c r="AD92" s="20">
        <f t="shared" si="65"/>
        <v>0</v>
      </c>
      <c r="AE92" s="20">
        <f t="shared" si="65"/>
        <v>0</v>
      </c>
      <c r="AF92" s="20">
        <f t="shared" si="65"/>
        <v>0</v>
      </c>
      <c r="AG92" s="20">
        <f t="shared" si="65"/>
        <v>0</v>
      </c>
      <c r="AH92" s="20">
        <f t="shared" si="65"/>
        <v>0</v>
      </c>
      <c r="AI92" s="20">
        <f t="shared" si="65"/>
        <v>0</v>
      </c>
      <c r="AJ92" s="20">
        <f t="shared" si="65"/>
        <v>0</v>
      </c>
      <c r="AK92" s="20">
        <f t="shared" si="65"/>
        <v>0</v>
      </c>
      <c r="AL92" s="20">
        <f t="shared" si="65"/>
        <v>0</v>
      </c>
      <c r="AM92" s="20">
        <f t="shared" si="65"/>
        <v>0</v>
      </c>
      <c r="AN92" s="20">
        <f t="shared" si="65"/>
        <v>0</v>
      </c>
      <c r="AO92" s="20">
        <f t="shared" si="65"/>
        <v>0</v>
      </c>
      <c r="AP92" s="20">
        <f t="shared" si="65"/>
        <v>0</v>
      </c>
      <c r="AQ92" s="20">
        <f t="shared" si="65"/>
        <v>0</v>
      </c>
      <c r="AR92" s="20">
        <f t="shared" si="65"/>
        <v>0</v>
      </c>
      <c r="AS92" s="20">
        <f t="shared" si="65"/>
        <v>0</v>
      </c>
      <c r="AT92" s="20">
        <f t="shared" si="65"/>
        <v>0</v>
      </c>
      <c r="AU92" s="20">
        <f t="shared" si="65"/>
        <v>0</v>
      </c>
      <c r="AV92" s="20">
        <f t="shared" si="65"/>
        <v>0</v>
      </c>
      <c r="AW92" s="20">
        <f t="shared" si="65"/>
        <v>0</v>
      </c>
      <c r="AX92" s="20">
        <f t="shared" si="65"/>
        <v>0</v>
      </c>
      <c r="AY92" s="20">
        <f t="shared" si="65"/>
        <v>0</v>
      </c>
      <c r="AZ92" s="20">
        <f t="shared" si="65"/>
        <v>0</v>
      </c>
      <c r="BA92" s="20">
        <f t="shared" si="65"/>
        <v>0</v>
      </c>
      <c r="BB92" s="20">
        <f t="shared" si="65"/>
        <v>0</v>
      </c>
      <c r="BC92" s="20">
        <f t="shared" si="65"/>
        <v>0</v>
      </c>
      <c r="BD92" s="20">
        <f t="shared" si="65"/>
        <v>0</v>
      </c>
      <c r="BE92" s="20">
        <f t="shared" si="65"/>
        <v>0</v>
      </c>
      <c r="BF92" s="20">
        <f t="shared" si="65"/>
        <v>0</v>
      </c>
      <c r="BG92" s="20">
        <f t="shared" si="65"/>
        <v>0</v>
      </c>
      <c r="BH92" s="20">
        <f t="shared" si="65"/>
        <v>0</v>
      </c>
      <c r="BI92" s="20">
        <f t="shared" si="65"/>
        <v>0</v>
      </c>
      <c r="BJ92" s="20">
        <f t="shared" si="65"/>
        <v>0</v>
      </c>
      <c r="BK92" s="20">
        <f t="shared" si="65"/>
        <v>0</v>
      </c>
      <c r="BL92" s="20">
        <f t="shared" si="65"/>
        <v>0</v>
      </c>
      <c r="BM92" s="20">
        <f t="shared" si="65"/>
        <v>0</v>
      </c>
      <c r="BN92" s="20">
        <f t="shared" si="65"/>
        <v>0</v>
      </c>
      <c r="BO92" s="20">
        <f t="shared" si="65"/>
        <v>0</v>
      </c>
      <c r="BP92" s="20">
        <f t="shared" si="65"/>
        <v>0</v>
      </c>
      <c r="BQ92" s="20">
        <f t="shared" si="65"/>
        <v>0</v>
      </c>
      <c r="BR92" s="20">
        <f t="shared" si="65"/>
        <v>0</v>
      </c>
      <c r="BS92" s="20">
        <f t="shared" si="65"/>
        <v>0</v>
      </c>
      <c r="BT92" s="20">
        <f t="shared" si="65"/>
        <v>0</v>
      </c>
      <c r="BU92" s="20">
        <f t="shared" si="65"/>
        <v>0</v>
      </c>
      <c r="BV92" s="20">
        <f t="shared" si="65"/>
        <v>0</v>
      </c>
      <c r="BW92" s="20">
        <f t="shared" si="65"/>
        <v>0</v>
      </c>
      <c r="BX92" s="20">
        <f t="shared" ref="BX92:DQ92" si="66">BX78-BX85</f>
        <v>0</v>
      </c>
      <c r="BY92" s="20">
        <f t="shared" si="66"/>
        <v>0</v>
      </c>
      <c r="BZ92" s="20">
        <f t="shared" si="66"/>
        <v>0</v>
      </c>
      <c r="CA92" s="20">
        <f t="shared" si="66"/>
        <v>0</v>
      </c>
      <c r="CB92" s="20">
        <f t="shared" si="66"/>
        <v>0</v>
      </c>
      <c r="CC92" s="20">
        <f t="shared" si="66"/>
        <v>0</v>
      </c>
      <c r="CD92" s="20">
        <f t="shared" si="66"/>
        <v>0</v>
      </c>
      <c r="CE92" s="20">
        <f t="shared" si="66"/>
        <v>0</v>
      </c>
      <c r="CF92" s="20">
        <f t="shared" si="66"/>
        <v>0</v>
      </c>
      <c r="CG92" s="20">
        <f t="shared" si="66"/>
        <v>0</v>
      </c>
      <c r="CH92" s="20">
        <f t="shared" si="66"/>
        <v>0</v>
      </c>
      <c r="CI92" s="20">
        <f t="shared" si="66"/>
        <v>0</v>
      </c>
      <c r="CJ92" s="20">
        <f t="shared" si="66"/>
        <v>0</v>
      </c>
      <c r="CK92" s="20">
        <f t="shared" si="66"/>
        <v>0</v>
      </c>
      <c r="CL92" s="20">
        <f t="shared" si="66"/>
        <v>0</v>
      </c>
      <c r="CM92" s="20">
        <f t="shared" si="66"/>
        <v>0</v>
      </c>
      <c r="CN92" s="20">
        <f t="shared" si="66"/>
        <v>0</v>
      </c>
      <c r="CO92" s="20">
        <f t="shared" si="66"/>
        <v>0</v>
      </c>
      <c r="CP92" s="20">
        <f t="shared" si="66"/>
        <v>0</v>
      </c>
      <c r="CQ92" s="20">
        <f t="shared" si="66"/>
        <v>0</v>
      </c>
      <c r="CR92" s="20">
        <f t="shared" si="66"/>
        <v>0</v>
      </c>
      <c r="CS92" s="20">
        <f t="shared" si="66"/>
        <v>0</v>
      </c>
      <c r="CT92" s="20">
        <f t="shared" si="66"/>
        <v>0</v>
      </c>
      <c r="CU92" s="20">
        <f t="shared" si="66"/>
        <v>0</v>
      </c>
      <c r="CV92" s="20">
        <f t="shared" si="66"/>
        <v>0</v>
      </c>
      <c r="CW92" s="20">
        <f t="shared" si="66"/>
        <v>0</v>
      </c>
      <c r="CX92" s="20">
        <f t="shared" si="66"/>
        <v>0</v>
      </c>
      <c r="CY92" s="20">
        <f t="shared" si="66"/>
        <v>0</v>
      </c>
      <c r="CZ92" s="20">
        <f t="shared" si="66"/>
        <v>0</v>
      </c>
      <c r="DA92" s="20">
        <f t="shared" si="66"/>
        <v>0</v>
      </c>
      <c r="DB92" s="20">
        <f t="shared" si="66"/>
        <v>0</v>
      </c>
      <c r="DC92" s="20">
        <f t="shared" si="66"/>
        <v>0</v>
      </c>
      <c r="DD92" s="20">
        <f t="shared" si="66"/>
        <v>0</v>
      </c>
      <c r="DE92" s="20">
        <f t="shared" si="66"/>
        <v>0</v>
      </c>
      <c r="DF92" s="20">
        <f t="shared" si="66"/>
        <v>0</v>
      </c>
      <c r="DG92" s="20">
        <f t="shared" si="66"/>
        <v>0</v>
      </c>
      <c r="DH92" s="20">
        <f t="shared" si="66"/>
        <v>0</v>
      </c>
      <c r="DI92" s="20">
        <f t="shared" si="66"/>
        <v>0</v>
      </c>
      <c r="DJ92" s="20">
        <f t="shared" si="66"/>
        <v>0</v>
      </c>
      <c r="DK92" s="20">
        <f t="shared" si="66"/>
        <v>0</v>
      </c>
      <c r="DL92" s="20">
        <f t="shared" si="66"/>
        <v>0</v>
      </c>
      <c r="DM92" s="20">
        <f t="shared" si="66"/>
        <v>0</v>
      </c>
      <c r="DN92" s="20">
        <f t="shared" si="66"/>
        <v>0</v>
      </c>
      <c r="DO92" s="20">
        <f t="shared" si="66"/>
        <v>0</v>
      </c>
      <c r="DP92" s="20">
        <f t="shared" si="66"/>
        <v>0</v>
      </c>
      <c r="DQ92" s="20">
        <f t="shared" si="66"/>
        <v>0</v>
      </c>
    </row>
    <row r="93" spans="3:121" x14ac:dyDescent="0.35">
      <c r="D93" s="20" t="s">
        <v>326</v>
      </c>
      <c r="G93" s="22">
        <f>H67</f>
        <v>0.8173587127423132</v>
      </c>
      <c r="K93" s="20">
        <f>K92*$G$93</f>
        <v>0</v>
      </c>
      <c r="L93" s="20">
        <f t="shared" ref="L93:BW93" si="67">L92*$G$93</f>
        <v>0</v>
      </c>
      <c r="M93" s="20">
        <f t="shared" si="67"/>
        <v>0</v>
      </c>
      <c r="N93" s="20">
        <f t="shared" si="67"/>
        <v>0</v>
      </c>
      <c r="O93" s="20">
        <f t="shared" si="67"/>
        <v>486491.1751974026</v>
      </c>
      <c r="P93" s="20">
        <f t="shared" si="67"/>
        <v>728301.79384581617</v>
      </c>
      <c r="Q93" s="20">
        <f t="shared" si="67"/>
        <v>729591.57544867857</v>
      </c>
      <c r="R93" s="20">
        <f t="shared" si="67"/>
        <v>730883.64118237398</v>
      </c>
      <c r="S93" s="20">
        <f t="shared" si="67"/>
        <v>732177.99509197008</v>
      </c>
      <c r="T93" s="20">
        <f t="shared" si="67"/>
        <v>0</v>
      </c>
      <c r="U93" s="20">
        <f t="shared" si="67"/>
        <v>0</v>
      </c>
      <c r="V93" s="20">
        <f t="shared" si="67"/>
        <v>0</v>
      </c>
      <c r="W93" s="20">
        <f t="shared" si="67"/>
        <v>0</v>
      </c>
      <c r="X93" s="20">
        <f t="shared" si="67"/>
        <v>0</v>
      </c>
      <c r="Y93" s="20">
        <f t="shared" si="67"/>
        <v>0</v>
      </c>
      <c r="Z93" s="20">
        <f t="shared" si="67"/>
        <v>0</v>
      </c>
      <c r="AA93" s="20">
        <f t="shared" si="67"/>
        <v>0</v>
      </c>
      <c r="AB93" s="20">
        <f t="shared" si="67"/>
        <v>0</v>
      </c>
      <c r="AC93" s="20">
        <f t="shared" si="67"/>
        <v>0</v>
      </c>
      <c r="AD93" s="20">
        <f t="shared" si="67"/>
        <v>0</v>
      </c>
      <c r="AE93" s="20">
        <f t="shared" si="67"/>
        <v>0</v>
      </c>
      <c r="AF93" s="20">
        <f t="shared" si="67"/>
        <v>0</v>
      </c>
      <c r="AG93" s="20">
        <f t="shared" si="67"/>
        <v>0</v>
      </c>
      <c r="AH93" s="20">
        <f t="shared" si="67"/>
        <v>0</v>
      </c>
      <c r="AI93" s="20">
        <f t="shared" si="67"/>
        <v>0</v>
      </c>
      <c r="AJ93" s="20">
        <f t="shared" si="67"/>
        <v>0</v>
      </c>
      <c r="AK93" s="20">
        <f t="shared" si="67"/>
        <v>0</v>
      </c>
      <c r="AL93" s="20">
        <f t="shared" si="67"/>
        <v>0</v>
      </c>
      <c r="AM93" s="20">
        <f t="shared" si="67"/>
        <v>0</v>
      </c>
      <c r="AN93" s="20">
        <f t="shared" si="67"/>
        <v>0</v>
      </c>
      <c r="AO93" s="20">
        <f t="shared" si="67"/>
        <v>0</v>
      </c>
      <c r="AP93" s="20">
        <f t="shared" si="67"/>
        <v>0</v>
      </c>
      <c r="AQ93" s="20">
        <f t="shared" si="67"/>
        <v>0</v>
      </c>
      <c r="AR93" s="20">
        <f t="shared" si="67"/>
        <v>0</v>
      </c>
      <c r="AS93" s="20">
        <f t="shared" si="67"/>
        <v>0</v>
      </c>
      <c r="AT93" s="20">
        <f t="shared" si="67"/>
        <v>0</v>
      </c>
      <c r="AU93" s="20">
        <f t="shared" si="67"/>
        <v>0</v>
      </c>
      <c r="AV93" s="20">
        <f t="shared" si="67"/>
        <v>0</v>
      </c>
      <c r="AW93" s="20">
        <f t="shared" si="67"/>
        <v>0</v>
      </c>
      <c r="AX93" s="20">
        <f t="shared" si="67"/>
        <v>0</v>
      </c>
      <c r="AY93" s="20">
        <f t="shared" si="67"/>
        <v>0</v>
      </c>
      <c r="AZ93" s="20">
        <f t="shared" si="67"/>
        <v>0</v>
      </c>
      <c r="BA93" s="20">
        <f t="shared" si="67"/>
        <v>0</v>
      </c>
      <c r="BB93" s="20">
        <f t="shared" si="67"/>
        <v>0</v>
      </c>
      <c r="BC93" s="20">
        <f t="shared" si="67"/>
        <v>0</v>
      </c>
      <c r="BD93" s="20">
        <f t="shared" si="67"/>
        <v>0</v>
      </c>
      <c r="BE93" s="20">
        <f t="shared" si="67"/>
        <v>0</v>
      </c>
      <c r="BF93" s="20">
        <f t="shared" si="67"/>
        <v>0</v>
      </c>
      <c r="BG93" s="20">
        <f t="shared" si="67"/>
        <v>0</v>
      </c>
      <c r="BH93" s="20">
        <f t="shared" si="67"/>
        <v>0</v>
      </c>
      <c r="BI93" s="20">
        <f t="shared" si="67"/>
        <v>0</v>
      </c>
      <c r="BJ93" s="20">
        <f t="shared" si="67"/>
        <v>0</v>
      </c>
      <c r="BK93" s="20">
        <f t="shared" si="67"/>
        <v>0</v>
      </c>
      <c r="BL93" s="20">
        <f t="shared" si="67"/>
        <v>0</v>
      </c>
      <c r="BM93" s="20">
        <f t="shared" si="67"/>
        <v>0</v>
      </c>
      <c r="BN93" s="20">
        <f t="shared" si="67"/>
        <v>0</v>
      </c>
      <c r="BO93" s="20">
        <f t="shared" si="67"/>
        <v>0</v>
      </c>
      <c r="BP93" s="20">
        <f t="shared" si="67"/>
        <v>0</v>
      </c>
      <c r="BQ93" s="20">
        <f t="shared" si="67"/>
        <v>0</v>
      </c>
      <c r="BR93" s="20">
        <f t="shared" si="67"/>
        <v>0</v>
      </c>
      <c r="BS93" s="20">
        <f t="shared" si="67"/>
        <v>0</v>
      </c>
      <c r="BT93" s="20">
        <f t="shared" si="67"/>
        <v>0</v>
      </c>
      <c r="BU93" s="20">
        <f t="shared" si="67"/>
        <v>0</v>
      </c>
      <c r="BV93" s="20">
        <f t="shared" si="67"/>
        <v>0</v>
      </c>
      <c r="BW93" s="20">
        <f t="shared" si="67"/>
        <v>0</v>
      </c>
      <c r="BX93" s="20">
        <f t="shared" ref="BX93:DQ93" si="68">BX92*$G$93</f>
        <v>0</v>
      </c>
      <c r="BY93" s="20">
        <f t="shared" si="68"/>
        <v>0</v>
      </c>
      <c r="BZ93" s="20">
        <f t="shared" si="68"/>
        <v>0</v>
      </c>
      <c r="CA93" s="20">
        <f t="shared" si="68"/>
        <v>0</v>
      </c>
      <c r="CB93" s="20">
        <f t="shared" si="68"/>
        <v>0</v>
      </c>
      <c r="CC93" s="20">
        <f t="shared" si="68"/>
        <v>0</v>
      </c>
      <c r="CD93" s="20">
        <f t="shared" si="68"/>
        <v>0</v>
      </c>
      <c r="CE93" s="20">
        <f t="shared" si="68"/>
        <v>0</v>
      </c>
      <c r="CF93" s="20">
        <f t="shared" si="68"/>
        <v>0</v>
      </c>
      <c r="CG93" s="20">
        <f t="shared" si="68"/>
        <v>0</v>
      </c>
      <c r="CH93" s="20">
        <f t="shared" si="68"/>
        <v>0</v>
      </c>
      <c r="CI93" s="20">
        <f t="shared" si="68"/>
        <v>0</v>
      </c>
      <c r="CJ93" s="20">
        <f t="shared" si="68"/>
        <v>0</v>
      </c>
      <c r="CK93" s="20">
        <f t="shared" si="68"/>
        <v>0</v>
      </c>
      <c r="CL93" s="20">
        <f t="shared" si="68"/>
        <v>0</v>
      </c>
      <c r="CM93" s="20">
        <f t="shared" si="68"/>
        <v>0</v>
      </c>
      <c r="CN93" s="20">
        <f t="shared" si="68"/>
        <v>0</v>
      </c>
      <c r="CO93" s="20">
        <f t="shared" si="68"/>
        <v>0</v>
      </c>
      <c r="CP93" s="20">
        <f t="shared" si="68"/>
        <v>0</v>
      </c>
      <c r="CQ93" s="20">
        <f t="shared" si="68"/>
        <v>0</v>
      </c>
      <c r="CR93" s="20">
        <f t="shared" si="68"/>
        <v>0</v>
      </c>
      <c r="CS93" s="20">
        <f t="shared" si="68"/>
        <v>0</v>
      </c>
      <c r="CT93" s="20">
        <f t="shared" si="68"/>
        <v>0</v>
      </c>
      <c r="CU93" s="20">
        <f t="shared" si="68"/>
        <v>0</v>
      </c>
      <c r="CV93" s="20">
        <f t="shared" si="68"/>
        <v>0</v>
      </c>
      <c r="CW93" s="20">
        <f t="shared" si="68"/>
        <v>0</v>
      </c>
      <c r="CX93" s="20">
        <f t="shared" si="68"/>
        <v>0</v>
      </c>
      <c r="CY93" s="20">
        <f t="shared" si="68"/>
        <v>0</v>
      </c>
      <c r="CZ93" s="20">
        <f t="shared" si="68"/>
        <v>0</v>
      </c>
      <c r="DA93" s="20">
        <f t="shared" si="68"/>
        <v>0</v>
      </c>
      <c r="DB93" s="20">
        <f t="shared" si="68"/>
        <v>0</v>
      </c>
      <c r="DC93" s="20">
        <f t="shared" si="68"/>
        <v>0</v>
      </c>
      <c r="DD93" s="20">
        <f t="shared" si="68"/>
        <v>0</v>
      </c>
      <c r="DE93" s="20">
        <f t="shared" si="68"/>
        <v>0</v>
      </c>
      <c r="DF93" s="20">
        <f t="shared" si="68"/>
        <v>0</v>
      </c>
      <c r="DG93" s="20">
        <f t="shared" si="68"/>
        <v>0</v>
      </c>
      <c r="DH93" s="20">
        <f t="shared" si="68"/>
        <v>0</v>
      </c>
      <c r="DI93" s="20">
        <f t="shared" si="68"/>
        <v>0</v>
      </c>
      <c r="DJ93" s="20">
        <f t="shared" si="68"/>
        <v>0</v>
      </c>
      <c r="DK93" s="20">
        <f t="shared" si="68"/>
        <v>0</v>
      </c>
      <c r="DL93" s="20">
        <f t="shared" si="68"/>
        <v>0</v>
      </c>
      <c r="DM93" s="20">
        <f t="shared" si="68"/>
        <v>0</v>
      </c>
      <c r="DN93" s="20">
        <f t="shared" si="68"/>
        <v>0</v>
      </c>
      <c r="DO93" s="20">
        <f t="shared" si="68"/>
        <v>0</v>
      </c>
      <c r="DP93" s="20">
        <f t="shared" si="68"/>
        <v>0</v>
      </c>
      <c r="DQ93" s="20">
        <f t="shared" si="68"/>
        <v>0</v>
      </c>
    </row>
    <row r="94" spans="3:121" x14ac:dyDescent="0.35">
      <c r="D94" s="20" t="s">
        <v>235</v>
      </c>
      <c r="G94" s="22">
        <f>H66</f>
        <v>0.18264128725768675</v>
      </c>
      <c r="K94" s="20">
        <f>K92*$G$94</f>
        <v>0</v>
      </c>
      <c r="L94" s="20">
        <f t="shared" ref="L94:BW94" si="69">L92*$G$94</f>
        <v>0</v>
      </c>
      <c r="M94" s="20">
        <f t="shared" si="69"/>
        <v>0</v>
      </c>
      <c r="N94" s="20">
        <f t="shared" si="69"/>
        <v>0</v>
      </c>
      <c r="O94" s="20">
        <f t="shared" si="69"/>
        <v>108707.93091499231</v>
      </c>
      <c r="P94" s="20">
        <f t="shared" si="69"/>
        <v>162741.24820153296</v>
      </c>
      <c r="Q94" s="20">
        <f t="shared" si="69"/>
        <v>163029.4538186698</v>
      </c>
      <c r="R94" s="20">
        <f t="shared" si="69"/>
        <v>163318.16983177979</v>
      </c>
      <c r="S94" s="20">
        <f t="shared" si="69"/>
        <v>163607.39714474557</v>
      </c>
      <c r="T94" s="20">
        <f t="shared" si="69"/>
        <v>0</v>
      </c>
      <c r="U94" s="20">
        <f t="shared" si="69"/>
        <v>0</v>
      </c>
      <c r="V94" s="20">
        <f t="shared" si="69"/>
        <v>0</v>
      </c>
      <c r="W94" s="20">
        <f t="shared" si="69"/>
        <v>0</v>
      </c>
      <c r="X94" s="20">
        <f t="shared" si="69"/>
        <v>0</v>
      </c>
      <c r="Y94" s="20">
        <f t="shared" si="69"/>
        <v>0</v>
      </c>
      <c r="Z94" s="20">
        <f t="shared" si="69"/>
        <v>0</v>
      </c>
      <c r="AA94" s="20">
        <f t="shared" si="69"/>
        <v>0</v>
      </c>
      <c r="AB94" s="20">
        <f t="shared" si="69"/>
        <v>0</v>
      </c>
      <c r="AC94" s="20">
        <f t="shared" si="69"/>
        <v>0</v>
      </c>
      <c r="AD94" s="20">
        <f t="shared" si="69"/>
        <v>0</v>
      </c>
      <c r="AE94" s="20">
        <f t="shared" si="69"/>
        <v>0</v>
      </c>
      <c r="AF94" s="20">
        <f t="shared" si="69"/>
        <v>0</v>
      </c>
      <c r="AG94" s="20">
        <f t="shared" si="69"/>
        <v>0</v>
      </c>
      <c r="AH94" s="20">
        <f t="shared" si="69"/>
        <v>0</v>
      </c>
      <c r="AI94" s="20">
        <f t="shared" si="69"/>
        <v>0</v>
      </c>
      <c r="AJ94" s="20">
        <f t="shared" si="69"/>
        <v>0</v>
      </c>
      <c r="AK94" s="20">
        <f t="shared" si="69"/>
        <v>0</v>
      </c>
      <c r="AL94" s="20">
        <f t="shared" si="69"/>
        <v>0</v>
      </c>
      <c r="AM94" s="20">
        <f t="shared" si="69"/>
        <v>0</v>
      </c>
      <c r="AN94" s="20">
        <f t="shared" si="69"/>
        <v>0</v>
      </c>
      <c r="AO94" s="20">
        <f t="shared" si="69"/>
        <v>0</v>
      </c>
      <c r="AP94" s="20">
        <f t="shared" si="69"/>
        <v>0</v>
      </c>
      <c r="AQ94" s="20">
        <f t="shared" si="69"/>
        <v>0</v>
      </c>
      <c r="AR94" s="20">
        <f t="shared" si="69"/>
        <v>0</v>
      </c>
      <c r="AS94" s="20">
        <f t="shared" si="69"/>
        <v>0</v>
      </c>
      <c r="AT94" s="20">
        <f t="shared" si="69"/>
        <v>0</v>
      </c>
      <c r="AU94" s="20">
        <f t="shared" si="69"/>
        <v>0</v>
      </c>
      <c r="AV94" s="20">
        <f t="shared" si="69"/>
        <v>0</v>
      </c>
      <c r="AW94" s="20">
        <f t="shared" si="69"/>
        <v>0</v>
      </c>
      <c r="AX94" s="20">
        <f t="shared" si="69"/>
        <v>0</v>
      </c>
      <c r="AY94" s="20">
        <f t="shared" si="69"/>
        <v>0</v>
      </c>
      <c r="AZ94" s="20">
        <f t="shared" si="69"/>
        <v>0</v>
      </c>
      <c r="BA94" s="20">
        <f t="shared" si="69"/>
        <v>0</v>
      </c>
      <c r="BB94" s="20">
        <f t="shared" si="69"/>
        <v>0</v>
      </c>
      <c r="BC94" s="20">
        <f t="shared" si="69"/>
        <v>0</v>
      </c>
      <c r="BD94" s="20">
        <f t="shared" si="69"/>
        <v>0</v>
      </c>
      <c r="BE94" s="20">
        <f t="shared" si="69"/>
        <v>0</v>
      </c>
      <c r="BF94" s="20">
        <f t="shared" si="69"/>
        <v>0</v>
      </c>
      <c r="BG94" s="20">
        <f t="shared" si="69"/>
        <v>0</v>
      </c>
      <c r="BH94" s="20">
        <f t="shared" si="69"/>
        <v>0</v>
      </c>
      <c r="BI94" s="20">
        <f t="shared" si="69"/>
        <v>0</v>
      </c>
      <c r="BJ94" s="20">
        <f t="shared" si="69"/>
        <v>0</v>
      </c>
      <c r="BK94" s="20">
        <f t="shared" si="69"/>
        <v>0</v>
      </c>
      <c r="BL94" s="20">
        <f t="shared" si="69"/>
        <v>0</v>
      </c>
      <c r="BM94" s="20">
        <f t="shared" si="69"/>
        <v>0</v>
      </c>
      <c r="BN94" s="20">
        <f t="shared" si="69"/>
        <v>0</v>
      </c>
      <c r="BO94" s="20">
        <f t="shared" si="69"/>
        <v>0</v>
      </c>
      <c r="BP94" s="20">
        <f t="shared" si="69"/>
        <v>0</v>
      </c>
      <c r="BQ94" s="20">
        <f t="shared" si="69"/>
        <v>0</v>
      </c>
      <c r="BR94" s="20">
        <f t="shared" si="69"/>
        <v>0</v>
      </c>
      <c r="BS94" s="20">
        <f t="shared" si="69"/>
        <v>0</v>
      </c>
      <c r="BT94" s="20">
        <f t="shared" si="69"/>
        <v>0</v>
      </c>
      <c r="BU94" s="20">
        <f t="shared" si="69"/>
        <v>0</v>
      </c>
      <c r="BV94" s="20">
        <f t="shared" si="69"/>
        <v>0</v>
      </c>
      <c r="BW94" s="20">
        <f t="shared" si="69"/>
        <v>0</v>
      </c>
      <c r="BX94" s="20">
        <f t="shared" ref="BX94:DQ94" si="70">BX92*$G$94</f>
        <v>0</v>
      </c>
      <c r="BY94" s="20">
        <f t="shared" si="70"/>
        <v>0</v>
      </c>
      <c r="BZ94" s="20">
        <f t="shared" si="70"/>
        <v>0</v>
      </c>
      <c r="CA94" s="20">
        <f t="shared" si="70"/>
        <v>0</v>
      </c>
      <c r="CB94" s="20">
        <f t="shared" si="70"/>
        <v>0</v>
      </c>
      <c r="CC94" s="20">
        <f t="shared" si="70"/>
        <v>0</v>
      </c>
      <c r="CD94" s="20">
        <f t="shared" si="70"/>
        <v>0</v>
      </c>
      <c r="CE94" s="20">
        <f t="shared" si="70"/>
        <v>0</v>
      </c>
      <c r="CF94" s="20">
        <f t="shared" si="70"/>
        <v>0</v>
      </c>
      <c r="CG94" s="20">
        <f t="shared" si="70"/>
        <v>0</v>
      </c>
      <c r="CH94" s="20">
        <f t="shared" si="70"/>
        <v>0</v>
      </c>
      <c r="CI94" s="20">
        <f t="shared" si="70"/>
        <v>0</v>
      </c>
      <c r="CJ94" s="20">
        <f t="shared" si="70"/>
        <v>0</v>
      </c>
      <c r="CK94" s="20">
        <f t="shared" si="70"/>
        <v>0</v>
      </c>
      <c r="CL94" s="20">
        <f t="shared" si="70"/>
        <v>0</v>
      </c>
      <c r="CM94" s="20">
        <f t="shared" si="70"/>
        <v>0</v>
      </c>
      <c r="CN94" s="20">
        <f t="shared" si="70"/>
        <v>0</v>
      </c>
      <c r="CO94" s="20">
        <f t="shared" si="70"/>
        <v>0</v>
      </c>
      <c r="CP94" s="20">
        <f t="shared" si="70"/>
        <v>0</v>
      </c>
      <c r="CQ94" s="20">
        <f t="shared" si="70"/>
        <v>0</v>
      </c>
      <c r="CR94" s="20">
        <f t="shared" si="70"/>
        <v>0</v>
      </c>
      <c r="CS94" s="20">
        <f t="shared" si="70"/>
        <v>0</v>
      </c>
      <c r="CT94" s="20">
        <f t="shared" si="70"/>
        <v>0</v>
      </c>
      <c r="CU94" s="20">
        <f t="shared" si="70"/>
        <v>0</v>
      </c>
      <c r="CV94" s="20">
        <f t="shared" si="70"/>
        <v>0</v>
      </c>
      <c r="CW94" s="20">
        <f t="shared" si="70"/>
        <v>0</v>
      </c>
      <c r="CX94" s="20">
        <f t="shared" si="70"/>
        <v>0</v>
      </c>
      <c r="CY94" s="20">
        <f t="shared" si="70"/>
        <v>0</v>
      </c>
      <c r="CZ94" s="20">
        <f t="shared" si="70"/>
        <v>0</v>
      </c>
      <c r="DA94" s="20">
        <f t="shared" si="70"/>
        <v>0</v>
      </c>
      <c r="DB94" s="20">
        <f t="shared" si="70"/>
        <v>0</v>
      </c>
      <c r="DC94" s="20">
        <f t="shared" si="70"/>
        <v>0</v>
      </c>
      <c r="DD94" s="20">
        <f t="shared" si="70"/>
        <v>0</v>
      </c>
      <c r="DE94" s="20">
        <f t="shared" si="70"/>
        <v>0</v>
      </c>
      <c r="DF94" s="20">
        <f t="shared" si="70"/>
        <v>0</v>
      </c>
      <c r="DG94" s="20">
        <f t="shared" si="70"/>
        <v>0</v>
      </c>
      <c r="DH94" s="20">
        <f t="shared" si="70"/>
        <v>0</v>
      </c>
      <c r="DI94" s="20">
        <f t="shared" si="70"/>
        <v>0</v>
      </c>
      <c r="DJ94" s="20">
        <f t="shared" si="70"/>
        <v>0</v>
      </c>
      <c r="DK94" s="20">
        <f t="shared" si="70"/>
        <v>0</v>
      </c>
      <c r="DL94" s="20">
        <f t="shared" si="70"/>
        <v>0</v>
      </c>
      <c r="DM94" s="20">
        <f t="shared" si="70"/>
        <v>0</v>
      </c>
      <c r="DN94" s="20">
        <f t="shared" si="70"/>
        <v>0</v>
      </c>
      <c r="DO94" s="20">
        <f t="shared" si="70"/>
        <v>0</v>
      </c>
      <c r="DP94" s="20">
        <f t="shared" si="70"/>
        <v>0</v>
      </c>
      <c r="DQ94" s="20">
        <f t="shared" si="70"/>
        <v>0</v>
      </c>
    </row>
    <row r="96" spans="3:121" x14ac:dyDescent="0.35">
      <c r="D96" s="20" t="s">
        <v>327</v>
      </c>
      <c r="K96" s="20">
        <f>K93</f>
        <v>0</v>
      </c>
      <c r="L96" s="20">
        <f t="shared" ref="L96:BW96" si="71">L93</f>
        <v>0</v>
      </c>
      <c r="M96" s="20">
        <f t="shared" si="71"/>
        <v>0</v>
      </c>
      <c r="N96" s="20">
        <f t="shared" si="71"/>
        <v>0</v>
      </c>
      <c r="O96" s="20">
        <f t="shared" si="71"/>
        <v>486491.1751974026</v>
      </c>
      <c r="P96" s="20">
        <f t="shared" si="71"/>
        <v>728301.79384581617</v>
      </c>
      <c r="Q96" s="20">
        <f t="shared" si="71"/>
        <v>729591.57544867857</v>
      </c>
      <c r="R96" s="20">
        <f t="shared" si="71"/>
        <v>730883.64118237398</v>
      </c>
      <c r="S96" s="20">
        <f t="shared" si="71"/>
        <v>732177.99509197008</v>
      </c>
      <c r="T96" s="20">
        <f t="shared" si="71"/>
        <v>0</v>
      </c>
      <c r="U96" s="20">
        <f t="shared" si="71"/>
        <v>0</v>
      </c>
      <c r="V96" s="20">
        <f t="shared" si="71"/>
        <v>0</v>
      </c>
      <c r="W96" s="20">
        <f t="shared" si="71"/>
        <v>0</v>
      </c>
      <c r="X96" s="20">
        <f t="shared" si="71"/>
        <v>0</v>
      </c>
      <c r="Y96" s="20">
        <f t="shared" si="71"/>
        <v>0</v>
      </c>
      <c r="Z96" s="20">
        <f t="shared" si="71"/>
        <v>0</v>
      </c>
      <c r="AA96" s="20">
        <f t="shared" si="71"/>
        <v>0</v>
      </c>
      <c r="AB96" s="20">
        <f t="shared" si="71"/>
        <v>0</v>
      </c>
      <c r="AC96" s="20">
        <f t="shared" si="71"/>
        <v>0</v>
      </c>
      <c r="AD96" s="20">
        <f t="shared" si="71"/>
        <v>0</v>
      </c>
      <c r="AE96" s="20">
        <f t="shared" si="71"/>
        <v>0</v>
      </c>
      <c r="AF96" s="20">
        <f t="shared" si="71"/>
        <v>0</v>
      </c>
      <c r="AG96" s="20">
        <f t="shared" si="71"/>
        <v>0</v>
      </c>
      <c r="AH96" s="20">
        <f t="shared" si="71"/>
        <v>0</v>
      </c>
      <c r="AI96" s="20">
        <f t="shared" si="71"/>
        <v>0</v>
      </c>
      <c r="AJ96" s="20">
        <f t="shared" si="71"/>
        <v>0</v>
      </c>
      <c r="AK96" s="20">
        <f t="shared" si="71"/>
        <v>0</v>
      </c>
      <c r="AL96" s="20">
        <f t="shared" si="71"/>
        <v>0</v>
      </c>
      <c r="AM96" s="20">
        <f t="shared" si="71"/>
        <v>0</v>
      </c>
      <c r="AN96" s="20">
        <f t="shared" si="71"/>
        <v>0</v>
      </c>
      <c r="AO96" s="20">
        <f t="shared" si="71"/>
        <v>0</v>
      </c>
      <c r="AP96" s="20">
        <f t="shared" si="71"/>
        <v>0</v>
      </c>
      <c r="AQ96" s="20">
        <f t="shared" si="71"/>
        <v>0</v>
      </c>
      <c r="AR96" s="20">
        <f t="shared" si="71"/>
        <v>0</v>
      </c>
      <c r="AS96" s="20">
        <f t="shared" si="71"/>
        <v>0</v>
      </c>
      <c r="AT96" s="20">
        <f t="shared" si="71"/>
        <v>0</v>
      </c>
      <c r="AU96" s="20">
        <f t="shared" si="71"/>
        <v>0</v>
      </c>
      <c r="AV96" s="20">
        <f t="shared" si="71"/>
        <v>0</v>
      </c>
      <c r="AW96" s="20">
        <f t="shared" si="71"/>
        <v>0</v>
      </c>
      <c r="AX96" s="20">
        <f t="shared" si="71"/>
        <v>0</v>
      </c>
      <c r="AY96" s="20">
        <f t="shared" si="71"/>
        <v>0</v>
      </c>
      <c r="AZ96" s="20">
        <f t="shared" si="71"/>
        <v>0</v>
      </c>
      <c r="BA96" s="20">
        <f t="shared" si="71"/>
        <v>0</v>
      </c>
      <c r="BB96" s="20">
        <f t="shared" si="71"/>
        <v>0</v>
      </c>
      <c r="BC96" s="20">
        <f t="shared" si="71"/>
        <v>0</v>
      </c>
      <c r="BD96" s="20">
        <f t="shared" si="71"/>
        <v>0</v>
      </c>
      <c r="BE96" s="20">
        <f t="shared" si="71"/>
        <v>0</v>
      </c>
      <c r="BF96" s="20">
        <f t="shared" si="71"/>
        <v>0</v>
      </c>
      <c r="BG96" s="20">
        <f t="shared" si="71"/>
        <v>0</v>
      </c>
      <c r="BH96" s="20">
        <f t="shared" si="71"/>
        <v>0</v>
      </c>
      <c r="BI96" s="20">
        <f t="shared" si="71"/>
        <v>0</v>
      </c>
      <c r="BJ96" s="20">
        <f t="shared" si="71"/>
        <v>0</v>
      </c>
      <c r="BK96" s="20">
        <f t="shared" si="71"/>
        <v>0</v>
      </c>
      <c r="BL96" s="20">
        <f t="shared" si="71"/>
        <v>0</v>
      </c>
      <c r="BM96" s="20">
        <f t="shared" si="71"/>
        <v>0</v>
      </c>
      <c r="BN96" s="20">
        <f t="shared" si="71"/>
        <v>0</v>
      </c>
      <c r="BO96" s="20">
        <f t="shared" si="71"/>
        <v>0</v>
      </c>
      <c r="BP96" s="20">
        <f t="shared" si="71"/>
        <v>0</v>
      </c>
      <c r="BQ96" s="20">
        <f t="shared" si="71"/>
        <v>0</v>
      </c>
      <c r="BR96" s="20">
        <f t="shared" si="71"/>
        <v>0</v>
      </c>
      <c r="BS96" s="20">
        <f t="shared" si="71"/>
        <v>0</v>
      </c>
      <c r="BT96" s="20">
        <f t="shared" si="71"/>
        <v>0</v>
      </c>
      <c r="BU96" s="20">
        <f t="shared" si="71"/>
        <v>0</v>
      </c>
      <c r="BV96" s="20">
        <f t="shared" si="71"/>
        <v>0</v>
      </c>
      <c r="BW96" s="20">
        <f t="shared" si="71"/>
        <v>0</v>
      </c>
      <c r="BX96" s="20">
        <f t="shared" ref="BX96:DQ96" si="72">BX93</f>
        <v>0</v>
      </c>
      <c r="BY96" s="20">
        <f t="shared" si="72"/>
        <v>0</v>
      </c>
      <c r="BZ96" s="20">
        <f t="shared" si="72"/>
        <v>0</v>
      </c>
      <c r="CA96" s="20">
        <f t="shared" si="72"/>
        <v>0</v>
      </c>
      <c r="CB96" s="20">
        <f t="shared" si="72"/>
        <v>0</v>
      </c>
      <c r="CC96" s="20">
        <f t="shared" si="72"/>
        <v>0</v>
      </c>
      <c r="CD96" s="20">
        <f t="shared" si="72"/>
        <v>0</v>
      </c>
      <c r="CE96" s="20">
        <f t="shared" si="72"/>
        <v>0</v>
      </c>
      <c r="CF96" s="20">
        <f t="shared" si="72"/>
        <v>0</v>
      </c>
      <c r="CG96" s="20">
        <f t="shared" si="72"/>
        <v>0</v>
      </c>
      <c r="CH96" s="20">
        <f t="shared" si="72"/>
        <v>0</v>
      </c>
      <c r="CI96" s="20">
        <f t="shared" si="72"/>
        <v>0</v>
      </c>
      <c r="CJ96" s="20">
        <f t="shared" si="72"/>
        <v>0</v>
      </c>
      <c r="CK96" s="20">
        <f t="shared" si="72"/>
        <v>0</v>
      </c>
      <c r="CL96" s="20">
        <f t="shared" si="72"/>
        <v>0</v>
      </c>
      <c r="CM96" s="20">
        <f t="shared" si="72"/>
        <v>0</v>
      </c>
      <c r="CN96" s="20">
        <f t="shared" si="72"/>
        <v>0</v>
      </c>
      <c r="CO96" s="20">
        <f t="shared" si="72"/>
        <v>0</v>
      </c>
      <c r="CP96" s="20">
        <f t="shared" si="72"/>
        <v>0</v>
      </c>
      <c r="CQ96" s="20">
        <f t="shared" si="72"/>
        <v>0</v>
      </c>
      <c r="CR96" s="20">
        <f t="shared" si="72"/>
        <v>0</v>
      </c>
      <c r="CS96" s="20">
        <f t="shared" si="72"/>
        <v>0</v>
      </c>
      <c r="CT96" s="20">
        <f t="shared" si="72"/>
        <v>0</v>
      </c>
      <c r="CU96" s="20">
        <f t="shared" si="72"/>
        <v>0</v>
      </c>
      <c r="CV96" s="20">
        <f t="shared" si="72"/>
        <v>0</v>
      </c>
      <c r="CW96" s="20">
        <f t="shared" si="72"/>
        <v>0</v>
      </c>
      <c r="CX96" s="20">
        <f t="shared" si="72"/>
        <v>0</v>
      </c>
      <c r="CY96" s="20">
        <f t="shared" si="72"/>
        <v>0</v>
      </c>
      <c r="CZ96" s="20">
        <f t="shared" si="72"/>
        <v>0</v>
      </c>
      <c r="DA96" s="20">
        <f t="shared" si="72"/>
        <v>0</v>
      </c>
      <c r="DB96" s="20">
        <f t="shared" si="72"/>
        <v>0</v>
      </c>
      <c r="DC96" s="20">
        <f t="shared" si="72"/>
        <v>0</v>
      </c>
      <c r="DD96" s="20">
        <f t="shared" si="72"/>
        <v>0</v>
      </c>
      <c r="DE96" s="20">
        <f t="shared" si="72"/>
        <v>0</v>
      </c>
      <c r="DF96" s="20">
        <f t="shared" si="72"/>
        <v>0</v>
      </c>
      <c r="DG96" s="20">
        <f t="shared" si="72"/>
        <v>0</v>
      </c>
      <c r="DH96" s="20">
        <f t="shared" si="72"/>
        <v>0</v>
      </c>
      <c r="DI96" s="20">
        <f t="shared" si="72"/>
        <v>0</v>
      </c>
      <c r="DJ96" s="20">
        <f t="shared" si="72"/>
        <v>0</v>
      </c>
      <c r="DK96" s="20">
        <f t="shared" si="72"/>
        <v>0</v>
      </c>
      <c r="DL96" s="20">
        <f t="shared" si="72"/>
        <v>0</v>
      </c>
      <c r="DM96" s="20">
        <f t="shared" si="72"/>
        <v>0</v>
      </c>
      <c r="DN96" s="20">
        <f t="shared" si="72"/>
        <v>0</v>
      </c>
      <c r="DO96" s="20">
        <f t="shared" si="72"/>
        <v>0</v>
      </c>
      <c r="DP96" s="20">
        <f t="shared" si="72"/>
        <v>0</v>
      </c>
      <c r="DQ96" s="20">
        <f t="shared" si="72"/>
        <v>0</v>
      </c>
    </row>
    <row r="97" spans="2:1006" x14ac:dyDescent="0.35">
      <c r="D97" s="20" t="s">
        <v>328</v>
      </c>
      <c r="K97" s="20">
        <f>K94+K85</f>
        <v>40500</v>
      </c>
      <c r="L97" s="20">
        <f t="shared" ref="L97:BW97" si="73">L94+L85</f>
        <v>40500</v>
      </c>
      <c r="M97" s="20">
        <f t="shared" si="73"/>
        <v>40500</v>
      </c>
      <c r="N97" s="20">
        <f t="shared" si="73"/>
        <v>40500</v>
      </c>
      <c r="O97" s="20">
        <f t="shared" si="73"/>
        <v>454642.94695071323</v>
      </c>
      <c r="P97" s="20">
        <f t="shared" si="73"/>
        <v>162741.24820153296</v>
      </c>
      <c r="Q97" s="20">
        <f t="shared" si="73"/>
        <v>163029.4538186698</v>
      </c>
      <c r="R97" s="20">
        <f t="shared" si="73"/>
        <v>163318.16983177979</v>
      </c>
      <c r="S97" s="20">
        <f t="shared" si="73"/>
        <v>163607.39714474557</v>
      </c>
      <c r="T97" s="20">
        <f t="shared" si="73"/>
        <v>0</v>
      </c>
      <c r="U97" s="20">
        <f t="shared" si="73"/>
        <v>0</v>
      </c>
      <c r="V97" s="20">
        <f t="shared" si="73"/>
        <v>0</v>
      </c>
      <c r="W97" s="20">
        <f t="shared" si="73"/>
        <v>0</v>
      </c>
      <c r="X97" s="20">
        <f t="shared" si="73"/>
        <v>0</v>
      </c>
      <c r="Y97" s="20">
        <f t="shared" si="73"/>
        <v>0</v>
      </c>
      <c r="Z97" s="20">
        <f t="shared" si="73"/>
        <v>0</v>
      </c>
      <c r="AA97" s="20">
        <f t="shared" si="73"/>
        <v>0</v>
      </c>
      <c r="AB97" s="20">
        <f t="shared" si="73"/>
        <v>0</v>
      </c>
      <c r="AC97" s="20">
        <f t="shared" si="73"/>
        <v>0</v>
      </c>
      <c r="AD97" s="20">
        <f t="shared" si="73"/>
        <v>0</v>
      </c>
      <c r="AE97" s="20">
        <f t="shared" si="73"/>
        <v>0</v>
      </c>
      <c r="AF97" s="20">
        <f t="shared" si="73"/>
        <v>0</v>
      </c>
      <c r="AG97" s="20">
        <f t="shared" si="73"/>
        <v>0</v>
      </c>
      <c r="AH97" s="20">
        <f t="shared" si="73"/>
        <v>0</v>
      </c>
      <c r="AI97" s="20">
        <f t="shared" si="73"/>
        <v>0</v>
      </c>
      <c r="AJ97" s="20">
        <f t="shared" si="73"/>
        <v>0</v>
      </c>
      <c r="AK97" s="20">
        <f t="shared" si="73"/>
        <v>0</v>
      </c>
      <c r="AL97" s="20">
        <f t="shared" si="73"/>
        <v>0</v>
      </c>
      <c r="AM97" s="20">
        <f t="shared" si="73"/>
        <v>0</v>
      </c>
      <c r="AN97" s="20">
        <f t="shared" si="73"/>
        <v>0</v>
      </c>
      <c r="AO97" s="20">
        <f t="shared" si="73"/>
        <v>0</v>
      </c>
      <c r="AP97" s="20">
        <f t="shared" si="73"/>
        <v>0</v>
      </c>
      <c r="AQ97" s="20">
        <f t="shared" si="73"/>
        <v>0</v>
      </c>
      <c r="AR97" s="20">
        <f t="shared" si="73"/>
        <v>0</v>
      </c>
      <c r="AS97" s="20">
        <f t="shared" si="73"/>
        <v>0</v>
      </c>
      <c r="AT97" s="20">
        <f t="shared" si="73"/>
        <v>0</v>
      </c>
      <c r="AU97" s="20">
        <f t="shared" si="73"/>
        <v>0</v>
      </c>
      <c r="AV97" s="20">
        <f t="shared" si="73"/>
        <v>0</v>
      </c>
      <c r="AW97" s="20">
        <f t="shared" si="73"/>
        <v>0</v>
      </c>
      <c r="AX97" s="20">
        <f t="shared" si="73"/>
        <v>0</v>
      </c>
      <c r="AY97" s="20">
        <f t="shared" si="73"/>
        <v>0</v>
      </c>
      <c r="AZ97" s="20">
        <f t="shared" si="73"/>
        <v>0</v>
      </c>
      <c r="BA97" s="20">
        <f t="shared" si="73"/>
        <v>0</v>
      </c>
      <c r="BB97" s="20">
        <f t="shared" si="73"/>
        <v>0</v>
      </c>
      <c r="BC97" s="20">
        <f t="shared" si="73"/>
        <v>0</v>
      </c>
      <c r="BD97" s="20">
        <f t="shared" si="73"/>
        <v>0</v>
      </c>
      <c r="BE97" s="20">
        <f t="shared" si="73"/>
        <v>0</v>
      </c>
      <c r="BF97" s="20">
        <f t="shared" si="73"/>
        <v>0</v>
      </c>
      <c r="BG97" s="20">
        <f t="shared" si="73"/>
        <v>0</v>
      </c>
      <c r="BH97" s="20">
        <f t="shared" si="73"/>
        <v>0</v>
      </c>
      <c r="BI97" s="20">
        <f t="shared" si="73"/>
        <v>0</v>
      </c>
      <c r="BJ97" s="20">
        <f t="shared" si="73"/>
        <v>0</v>
      </c>
      <c r="BK97" s="20">
        <f t="shared" si="73"/>
        <v>0</v>
      </c>
      <c r="BL97" s="20">
        <f t="shared" si="73"/>
        <v>0</v>
      </c>
      <c r="BM97" s="20">
        <f t="shared" si="73"/>
        <v>0</v>
      </c>
      <c r="BN97" s="20">
        <f t="shared" si="73"/>
        <v>0</v>
      </c>
      <c r="BO97" s="20">
        <f t="shared" si="73"/>
        <v>0</v>
      </c>
      <c r="BP97" s="20">
        <f t="shared" si="73"/>
        <v>0</v>
      </c>
      <c r="BQ97" s="20">
        <f t="shared" si="73"/>
        <v>0</v>
      </c>
      <c r="BR97" s="20">
        <f t="shared" si="73"/>
        <v>0</v>
      </c>
      <c r="BS97" s="20">
        <f t="shared" si="73"/>
        <v>0</v>
      </c>
      <c r="BT97" s="20">
        <f t="shared" si="73"/>
        <v>0</v>
      </c>
      <c r="BU97" s="20">
        <f t="shared" si="73"/>
        <v>0</v>
      </c>
      <c r="BV97" s="20">
        <f t="shared" si="73"/>
        <v>0</v>
      </c>
      <c r="BW97" s="20">
        <f t="shared" si="73"/>
        <v>0</v>
      </c>
      <c r="BX97" s="20">
        <f t="shared" ref="BX97:DQ97" si="74">BX94+BX85</f>
        <v>0</v>
      </c>
      <c r="BY97" s="20">
        <f t="shared" si="74"/>
        <v>0</v>
      </c>
      <c r="BZ97" s="20">
        <f t="shared" si="74"/>
        <v>0</v>
      </c>
      <c r="CA97" s="20">
        <f t="shared" si="74"/>
        <v>0</v>
      </c>
      <c r="CB97" s="20">
        <f t="shared" si="74"/>
        <v>0</v>
      </c>
      <c r="CC97" s="20">
        <f t="shared" si="74"/>
        <v>0</v>
      </c>
      <c r="CD97" s="20">
        <f t="shared" si="74"/>
        <v>0</v>
      </c>
      <c r="CE97" s="20">
        <f t="shared" si="74"/>
        <v>0</v>
      </c>
      <c r="CF97" s="20">
        <f t="shared" si="74"/>
        <v>0</v>
      </c>
      <c r="CG97" s="20">
        <f t="shared" si="74"/>
        <v>0</v>
      </c>
      <c r="CH97" s="20">
        <f t="shared" si="74"/>
        <v>0</v>
      </c>
      <c r="CI97" s="20">
        <f t="shared" si="74"/>
        <v>0</v>
      </c>
      <c r="CJ97" s="20">
        <f t="shared" si="74"/>
        <v>0</v>
      </c>
      <c r="CK97" s="20">
        <f t="shared" si="74"/>
        <v>0</v>
      </c>
      <c r="CL97" s="20">
        <f t="shared" si="74"/>
        <v>0</v>
      </c>
      <c r="CM97" s="20">
        <f t="shared" si="74"/>
        <v>0</v>
      </c>
      <c r="CN97" s="20">
        <f t="shared" si="74"/>
        <v>0</v>
      </c>
      <c r="CO97" s="20">
        <f t="shared" si="74"/>
        <v>0</v>
      </c>
      <c r="CP97" s="20">
        <f t="shared" si="74"/>
        <v>0</v>
      </c>
      <c r="CQ97" s="20">
        <f t="shared" si="74"/>
        <v>0</v>
      </c>
      <c r="CR97" s="20">
        <f t="shared" si="74"/>
        <v>0</v>
      </c>
      <c r="CS97" s="20">
        <f t="shared" si="74"/>
        <v>0</v>
      </c>
      <c r="CT97" s="20">
        <f t="shared" si="74"/>
        <v>0</v>
      </c>
      <c r="CU97" s="20">
        <f t="shared" si="74"/>
        <v>0</v>
      </c>
      <c r="CV97" s="20">
        <f t="shared" si="74"/>
        <v>0</v>
      </c>
      <c r="CW97" s="20">
        <f t="shared" si="74"/>
        <v>0</v>
      </c>
      <c r="CX97" s="20">
        <f t="shared" si="74"/>
        <v>0</v>
      </c>
      <c r="CY97" s="20">
        <f t="shared" si="74"/>
        <v>0</v>
      </c>
      <c r="CZ97" s="20">
        <f t="shared" si="74"/>
        <v>0</v>
      </c>
      <c r="DA97" s="20">
        <f t="shared" si="74"/>
        <v>0</v>
      </c>
      <c r="DB97" s="20">
        <f t="shared" si="74"/>
        <v>0</v>
      </c>
      <c r="DC97" s="20">
        <f t="shared" si="74"/>
        <v>0</v>
      </c>
      <c r="DD97" s="20">
        <f t="shared" si="74"/>
        <v>0</v>
      </c>
      <c r="DE97" s="20">
        <f t="shared" si="74"/>
        <v>0</v>
      </c>
      <c r="DF97" s="20">
        <f t="shared" si="74"/>
        <v>0</v>
      </c>
      <c r="DG97" s="20">
        <f t="shared" si="74"/>
        <v>0</v>
      </c>
      <c r="DH97" s="20">
        <f t="shared" si="74"/>
        <v>0</v>
      </c>
      <c r="DI97" s="20">
        <f t="shared" si="74"/>
        <v>0</v>
      </c>
      <c r="DJ97" s="20">
        <f t="shared" si="74"/>
        <v>0</v>
      </c>
      <c r="DK97" s="20">
        <f t="shared" si="74"/>
        <v>0</v>
      </c>
      <c r="DL97" s="20">
        <f t="shared" si="74"/>
        <v>0</v>
      </c>
      <c r="DM97" s="20">
        <f t="shared" si="74"/>
        <v>0</v>
      </c>
      <c r="DN97" s="20">
        <f t="shared" si="74"/>
        <v>0</v>
      </c>
      <c r="DO97" s="20">
        <f t="shared" si="74"/>
        <v>0</v>
      </c>
      <c r="DP97" s="20">
        <f t="shared" si="74"/>
        <v>0</v>
      </c>
      <c r="DQ97" s="20">
        <f t="shared" si="74"/>
        <v>0</v>
      </c>
    </row>
    <row r="99" spans="2:1006" x14ac:dyDescent="0.35">
      <c r="B99" s="37" t="s">
        <v>329</v>
      </c>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c r="BT99" s="37"/>
      <c r="BU99" s="37"/>
      <c r="BV99" s="37"/>
      <c r="BW99" s="37"/>
      <c r="BX99" s="37"/>
      <c r="BY99" s="37"/>
      <c r="BZ99" s="37"/>
      <c r="CA99" s="37"/>
      <c r="CB99" s="37"/>
      <c r="CC99" s="37"/>
      <c r="CD99" s="37"/>
      <c r="CE99" s="37"/>
      <c r="CF99" s="37"/>
      <c r="CG99" s="37"/>
      <c r="CH99" s="37"/>
      <c r="CI99" s="37"/>
      <c r="CJ99" s="37"/>
      <c r="CK99" s="37"/>
      <c r="CL99" s="37"/>
      <c r="CM99" s="37"/>
      <c r="CN99" s="37"/>
      <c r="CO99" s="37"/>
      <c r="CP99" s="37"/>
      <c r="CQ99" s="37"/>
      <c r="CR99" s="37"/>
      <c r="CS99" s="37"/>
      <c r="CT99" s="37"/>
      <c r="CU99" s="37"/>
      <c r="CV99" s="37"/>
      <c r="CW99" s="37"/>
      <c r="CX99" s="37"/>
      <c r="CY99" s="37"/>
      <c r="CZ99" s="37"/>
      <c r="DA99" s="37"/>
      <c r="DB99" s="37"/>
      <c r="DC99" s="37"/>
      <c r="DD99" s="37"/>
      <c r="DE99" s="37"/>
      <c r="DF99" s="37"/>
      <c r="DG99" s="37"/>
      <c r="DH99" s="37"/>
      <c r="DI99" s="37"/>
      <c r="DJ99" s="37"/>
      <c r="DK99" s="37"/>
      <c r="DL99" s="37"/>
      <c r="DM99" s="37"/>
      <c r="DN99" s="37"/>
      <c r="DO99" s="37"/>
      <c r="DP99" s="37"/>
      <c r="DQ99" s="37"/>
      <c r="DR99" s="37"/>
      <c r="DS99" s="37"/>
      <c r="DT99" s="37"/>
      <c r="DU99" s="37"/>
      <c r="DV99" s="37"/>
      <c r="DW99" s="37"/>
      <c r="DX99" s="37"/>
      <c r="DY99" s="37"/>
      <c r="DZ99" s="37"/>
      <c r="EA99" s="37"/>
      <c r="EB99" s="37"/>
      <c r="EC99" s="37"/>
      <c r="ED99" s="37"/>
      <c r="EE99" s="37"/>
      <c r="EF99" s="37"/>
      <c r="EG99" s="37"/>
      <c r="EH99" s="37"/>
      <c r="EI99" s="37"/>
      <c r="EJ99" s="37"/>
      <c r="EK99" s="37"/>
      <c r="EL99" s="37"/>
      <c r="EM99" s="37"/>
      <c r="EN99" s="37"/>
      <c r="EO99" s="37"/>
      <c r="EP99" s="37"/>
      <c r="EQ99" s="37"/>
      <c r="ER99" s="37"/>
      <c r="ES99" s="37"/>
      <c r="ET99" s="37"/>
      <c r="EU99" s="37"/>
      <c r="EV99" s="37"/>
      <c r="EW99" s="37"/>
      <c r="EX99" s="37"/>
      <c r="EY99" s="37"/>
      <c r="EZ99" s="37"/>
      <c r="FA99" s="37"/>
      <c r="FB99" s="37"/>
      <c r="FC99" s="37"/>
      <c r="FD99" s="37"/>
      <c r="FE99" s="37"/>
      <c r="FF99" s="37"/>
      <c r="FG99" s="37"/>
      <c r="FH99" s="37"/>
      <c r="FI99" s="37"/>
      <c r="FJ99" s="37"/>
      <c r="FK99" s="37"/>
      <c r="FL99" s="37"/>
      <c r="FM99" s="37"/>
      <c r="FN99" s="37"/>
      <c r="FO99" s="37"/>
      <c r="FP99" s="37"/>
      <c r="FQ99" s="37"/>
      <c r="FR99" s="37"/>
      <c r="FS99" s="37"/>
      <c r="FT99" s="37"/>
      <c r="FU99" s="37"/>
      <c r="FV99" s="37"/>
      <c r="FW99" s="37"/>
      <c r="FX99" s="37"/>
      <c r="FY99" s="37"/>
      <c r="FZ99" s="37"/>
      <c r="GA99" s="37"/>
      <c r="GB99" s="37"/>
      <c r="GC99" s="37"/>
      <c r="GD99" s="37"/>
      <c r="GE99" s="37"/>
      <c r="GF99" s="37"/>
      <c r="GG99" s="37"/>
      <c r="GH99" s="37"/>
      <c r="GI99" s="37"/>
      <c r="GJ99" s="37"/>
      <c r="GK99" s="37"/>
      <c r="GL99" s="37"/>
      <c r="GM99" s="37"/>
      <c r="GN99" s="37"/>
      <c r="GO99" s="37"/>
      <c r="GP99" s="37"/>
      <c r="GQ99" s="37"/>
      <c r="GR99" s="37"/>
      <c r="GS99" s="37"/>
      <c r="GT99" s="37"/>
      <c r="GU99" s="37"/>
      <c r="GV99" s="37"/>
      <c r="GW99" s="37"/>
      <c r="GX99" s="37"/>
      <c r="GY99" s="37"/>
      <c r="GZ99" s="37"/>
      <c r="HA99" s="37"/>
      <c r="HB99" s="37"/>
      <c r="HC99" s="37"/>
      <c r="HD99" s="37"/>
      <c r="HE99" s="37"/>
      <c r="HF99" s="37"/>
      <c r="HG99" s="37"/>
      <c r="HH99" s="37"/>
      <c r="HI99" s="37"/>
      <c r="HJ99" s="37"/>
      <c r="HK99" s="37"/>
      <c r="HL99" s="37"/>
      <c r="HM99" s="37"/>
      <c r="HN99" s="37"/>
      <c r="HO99" s="37"/>
      <c r="HP99" s="37"/>
      <c r="HQ99" s="37"/>
      <c r="HR99" s="37"/>
      <c r="HS99" s="37"/>
      <c r="HT99" s="37"/>
      <c r="HU99" s="37"/>
      <c r="HV99" s="37"/>
      <c r="HW99" s="37"/>
      <c r="HX99" s="37"/>
      <c r="HY99" s="37"/>
      <c r="HZ99" s="37"/>
      <c r="IA99" s="37"/>
      <c r="IB99" s="37"/>
      <c r="IC99" s="37"/>
      <c r="ID99" s="37"/>
      <c r="IE99" s="37"/>
      <c r="IF99" s="37"/>
      <c r="IG99" s="37"/>
      <c r="IH99" s="37"/>
      <c r="II99" s="37"/>
      <c r="IJ99" s="37"/>
      <c r="IK99" s="37"/>
      <c r="IL99" s="37"/>
      <c r="IM99" s="37"/>
      <c r="IN99" s="37"/>
      <c r="IO99" s="37"/>
      <c r="IP99" s="37"/>
      <c r="IQ99" s="37"/>
      <c r="IR99" s="37"/>
      <c r="IS99" s="37"/>
      <c r="IT99" s="37"/>
      <c r="IU99" s="37"/>
      <c r="IV99" s="37"/>
      <c r="IW99" s="37"/>
      <c r="IX99" s="37"/>
      <c r="IY99" s="37"/>
      <c r="IZ99" s="37"/>
      <c r="JA99" s="37"/>
      <c r="JB99" s="37"/>
      <c r="JC99" s="37"/>
      <c r="JD99" s="37"/>
      <c r="JE99" s="37"/>
      <c r="JF99" s="37"/>
      <c r="JG99" s="37"/>
      <c r="JH99" s="37"/>
      <c r="JI99" s="37"/>
      <c r="JJ99" s="37"/>
      <c r="JK99" s="37"/>
      <c r="JL99" s="37"/>
      <c r="JM99" s="37"/>
      <c r="JN99" s="37"/>
      <c r="JO99" s="37"/>
      <c r="JP99" s="37"/>
      <c r="JQ99" s="37"/>
      <c r="JR99" s="37"/>
      <c r="JS99" s="37"/>
      <c r="JT99" s="37"/>
      <c r="JU99" s="37"/>
      <c r="JV99" s="37"/>
      <c r="JW99" s="37"/>
      <c r="JX99" s="37"/>
      <c r="JY99" s="37"/>
      <c r="JZ99" s="37"/>
      <c r="KA99" s="37"/>
      <c r="KB99" s="37"/>
      <c r="KC99" s="37"/>
      <c r="KD99" s="37"/>
      <c r="KE99" s="37"/>
      <c r="KF99" s="37"/>
      <c r="KG99" s="37"/>
      <c r="KH99" s="37"/>
      <c r="KI99" s="37"/>
      <c r="KJ99" s="37"/>
      <c r="KK99" s="37"/>
      <c r="KL99" s="37"/>
      <c r="KM99" s="37"/>
      <c r="KN99" s="37"/>
      <c r="KO99" s="37"/>
      <c r="KP99" s="37"/>
      <c r="KQ99" s="37"/>
      <c r="KR99" s="37"/>
      <c r="KS99" s="37"/>
      <c r="KT99" s="37"/>
      <c r="KU99" s="37"/>
      <c r="KV99" s="37"/>
      <c r="KW99" s="37"/>
      <c r="KX99" s="37"/>
      <c r="KY99" s="37"/>
      <c r="KZ99" s="37"/>
      <c r="LA99" s="37"/>
      <c r="LB99" s="37"/>
      <c r="LC99" s="37"/>
      <c r="LD99" s="37"/>
      <c r="LE99" s="37"/>
      <c r="LF99" s="37"/>
      <c r="LG99" s="37"/>
      <c r="LH99" s="37"/>
      <c r="LI99" s="37"/>
      <c r="LJ99" s="37"/>
      <c r="LK99" s="37"/>
      <c r="LL99" s="37"/>
      <c r="LM99" s="37"/>
      <c r="LN99" s="37"/>
      <c r="LO99" s="37"/>
      <c r="LP99" s="37"/>
      <c r="LQ99" s="37"/>
      <c r="LR99" s="37"/>
      <c r="LS99" s="37"/>
      <c r="LT99" s="37"/>
      <c r="LU99" s="37"/>
      <c r="LV99" s="37"/>
      <c r="LW99" s="37"/>
      <c r="LX99" s="37"/>
      <c r="LY99" s="37"/>
      <c r="LZ99" s="37"/>
      <c r="MA99" s="37"/>
      <c r="MB99" s="37"/>
      <c r="MC99" s="37"/>
      <c r="MD99" s="37"/>
      <c r="ME99" s="37"/>
      <c r="MF99" s="37"/>
      <c r="MG99" s="37"/>
      <c r="MH99" s="37"/>
      <c r="MI99" s="37"/>
      <c r="MJ99" s="37"/>
      <c r="MK99" s="37"/>
      <c r="ML99" s="37"/>
      <c r="MM99" s="37"/>
      <c r="MN99" s="37"/>
      <c r="MO99" s="37"/>
      <c r="MP99" s="37"/>
      <c r="MQ99" s="37"/>
      <c r="MR99" s="37"/>
      <c r="MS99" s="37"/>
      <c r="MT99" s="37"/>
      <c r="MU99" s="37"/>
      <c r="MV99" s="37"/>
      <c r="MW99" s="37"/>
      <c r="MX99" s="37"/>
      <c r="MY99" s="37"/>
      <c r="MZ99" s="37"/>
      <c r="NA99" s="37"/>
      <c r="NB99" s="37"/>
      <c r="NC99" s="37"/>
      <c r="ND99" s="37"/>
      <c r="NE99" s="37"/>
      <c r="NF99" s="37"/>
      <c r="NG99" s="37"/>
      <c r="NH99" s="37"/>
      <c r="NI99" s="37"/>
      <c r="NJ99" s="37"/>
      <c r="NK99" s="37"/>
      <c r="NL99" s="37"/>
      <c r="NM99" s="37"/>
      <c r="NN99" s="37"/>
      <c r="NO99" s="37"/>
      <c r="NP99" s="37"/>
      <c r="NQ99" s="37"/>
      <c r="NR99" s="37"/>
      <c r="NS99" s="37"/>
      <c r="NT99" s="37"/>
      <c r="NU99" s="37"/>
      <c r="NV99" s="37"/>
      <c r="NW99" s="37"/>
      <c r="NX99" s="37"/>
      <c r="NY99" s="37"/>
      <c r="NZ99" s="37"/>
      <c r="OA99" s="37"/>
      <c r="OB99" s="37"/>
      <c r="OC99" s="37"/>
      <c r="OD99" s="37"/>
      <c r="OE99" s="37"/>
      <c r="OF99" s="37"/>
      <c r="OG99" s="37"/>
      <c r="OH99" s="37"/>
      <c r="OI99" s="37"/>
      <c r="OJ99" s="37"/>
      <c r="OK99" s="37"/>
      <c r="OL99" s="37"/>
      <c r="OM99" s="37"/>
      <c r="ON99" s="37"/>
      <c r="OO99" s="37"/>
      <c r="OP99" s="37"/>
      <c r="OQ99" s="37"/>
      <c r="OR99" s="37"/>
      <c r="OS99" s="37"/>
      <c r="OT99" s="37"/>
      <c r="OU99" s="37"/>
      <c r="OV99" s="37"/>
      <c r="OW99" s="37"/>
      <c r="OX99" s="37"/>
      <c r="OY99" s="37"/>
      <c r="OZ99" s="37"/>
      <c r="PA99" s="37"/>
      <c r="PB99" s="37"/>
      <c r="PC99" s="37"/>
      <c r="PD99" s="37"/>
      <c r="PE99" s="37"/>
      <c r="PF99" s="37"/>
      <c r="PG99" s="37"/>
      <c r="PH99" s="37"/>
      <c r="PI99" s="37"/>
      <c r="PJ99" s="37"/>
      <c r="PK99" s="37"/>
      <c r="PL99" s="37"/>
      <c r="PM99" s="37"/>
      <c r="PN99" s="37"/>
      <c r="PO99" s="37"/>
      <c r="PP99" s="37"/>
      <c r="PQ99" s="37"/>
      <c r="PR99" s="37"/>
      <c r="PS99" s="37"/>
      <c r="PT99" s="37"/>
      <c r="PU99" s="37"/>
      <c r="PV99" s="37"/>
      <c r="PW99" s="37"/>
      <c r="PX99" s="37"/>
      <c r="PY99" s="37"/>
      <c r="PZ99" s="37"/>
      <c r="QA99" s="37"/>
      <c r="QB99" s="37"/>
      <c r="QC99" s="37"/>
      <c r="QD99" s="37"/>
      <c r="QE99" s="37"/>
      <c r="QF99" s="37"/>
      <c r="QG99" s="37"/>
      <c r="QH99" s="37"/>
      <c r="QI99" s="37"/>
      <c r="QJ99" s="37"/>
      <c r="QK99" s="37"/>
      <c r="QL99" s="37"/>
      <c r="QM99" s="37"/>
      <c r="QN99" s="37"/>
      <c r="QO99" s="37"/>
      <c r="QP99" s="37"/>
      <c r="QQ99" s="37"/>
      <c r="QR99" s="37"/>
      <c r="QS99" s="37"/>
      <c r="QT99" s="37"/>
      <c r="QU99" s="37"/>
      <c r="QV99" s="37"/>
      <c r="QW99" s="37"/>
      <c r="QX99" s="37"/>
      <c r="QY99" s="37"/>
      <c r="QZ99" s="37"/>
      <c r="RA99" s="37"/>
      <c r="RB99" s="37"/>
      <c r="RC99" s="37"/>
      <c r="RD99" s="37"/>
      <c r="RE99" s="37"/>
      <c r="RF99" s="37"/>
      <c r="RG99" s="37"/>
      <c r="RH99" s="37"/>
      <c r="RI99" s="37"/>
      <c r="RJ99" s="37"/>
      <c r="RK99" s="37"/>
      <c r="RL99" s="37"/>
      <c r="RM99" s="37"/>
      <c r="RN99" s="37"/>
      <c r="RO99" s="37"/>
      <c r="RP99" s="37"/>
      <c r="RQ99" s="37"/>
      <c r="RR99" s="37"/>
      <c r="RS99" s="37"/>
      <c r="RT99" s="37"/>
      <c r="RU99" s="37"/>
      <c r="RV99" s="37"/>
      <c r="RW99" s="37"/>
      <c r="RX99" s="37"/>
      <c r="RY99" s="37"/>
      <c r="RZ99" s="37"/>
      <c r="SA99" s="37"/>
      <c r="SB99" s="37"/>
      <c r="SC99" s="37"/>
      <c r="SD99" s="37"/>
      <c r="SE99" s="37"/>
      <c r="SF99" s="37"/>
      <c r="SG99" s="37"/>
      <c r="SH99" s="37"/>
      <c r="SI99" s="37"/>
      <c r="SJ99" s="37"/>
      <c r="SK99" s="37"/>
      <c r="SL99" s="37"/>
      <c r="SM99" s="37"/>
      <c r="SN99" s="37"/>
      <c r="SO99" s="37"/>
      <c r="SP99" s="37"/>
      <c r="SQ99" s="37"/>
      <c r="SR99" s="37"/>
      <c r="SS99" s="37"/>
      <c r="ST99" s="37"/>
      <c r="SU99" s="37"/>
      <c r="SV99" s="37"/>
      <c r="SW99" s="37"/>
      <c r="SX99" s="37"/>
      <c r="SY99" s="37"/>
      <c r="SZ99" s="37"/>
      <c r="TA99" s="37"/>
      <c r="TB99" s="37"/>
      <c r="TC99" s="37"/>
      <c r="TD99" s="37"/>
      <c r="TE99" s="37"/>
      <c r="TF99" s="37"/>
      <c r="TG99" s="37"/>
      <c r="TH99" s="37"/>
      <c r="TI99" s="37"/>
      <c r="TJ99" s="37"/>
      <c r="TK99" s="37"/>
      <c r="TL99" s="37"/>
      <c r="TM99" s="37"/>
      <c r="TN99" s="37"/>
      <c r="TO99" s="37"/>
      <c r="TP99" s="37"/>
      <c r="TQ99" s="37"/>
      <c r="TR99" s="37"/>
      <c r="TS99" s="37"/>
      <c r="TT99" s="37"/>
      <c r="TU99" s="37"/>
      <c r="TV99" s="37"/>
      <c r="TW99" s="37"/>
      <c r="TX99" s="37"/>
      <c r="TY99" s="37"/>
      <c r="TZ99" s="37"/>
      <c r="UA99" s="37"/>
      <c r="UB99" s="37"/>
      <c r="UC99" s="37"/>
      <c r="UD99" s="37"/>
      <c r="UE99" s="37"/>
      <c r="UF99" s="37"/>
      <c r="UG99" s="37"/>
      <c r="UH99" s="37"/>
      <c r="UI99" s="37"/>
      <c r="UJ99" s="37"/>
      <c r="UK99" s="37"/>
      <c r="UL99" s="37"/>
      <c r="UM99" s="37"/>
      <c r="UN99" s="37"/>
      <c r="UO99" s="37"/>
      <c r="UP99" s="37"/>
      <c r="UQ99" s="37"/>
      <c r="UR99" s="37"/>
      <c r="US99" s="37"/>
      <c r="UT99" s="37"/>
      <c r="UU99" s="37"/>
      <c r="UV99" s="37"/>
      <c r="UW99" s="37"/>
      <c r="UX99" s="37"/>
      <c r="UY99" s="37"/>
      <c r="UZ99" s="37"/>
      <c r="VA99" s="37"/>
      <c r="VB99" s="37"/>
      <c r="VC99" s="37"/>
      <c r="VD99" s="37"/>
      <c r="VE99" s="37"/>
      <c r="VF99" s="37"/>
      <c r="VG99" s="37"/>
      <c r="VH99" s="37"/>
      <c r="VI99" s="37"/>
      <c r="VJ99" s="37"/>
      <c r="VK99" s="37"/>
      <c r="VL99" s="37"/>
      <c r="VM99" s="37"/>
      <c r="VN99" s="37"/>
      <c r="VO99" s="37"/>
      <c r="VP99" s="37"/>
      <c r="VQ99" s="37"/>
      <c r="VR99" s="37"/>
      <c r="VS99" s="37"/>
      <c r="VT99" s="37"/>
      <c r="VU99" s="37"/>
      <c r="VV99" s="37"/>
      <c r="VW99" s="37"/>
      <c r="VX99" s="37"/>
      <c r="VY99" s="37"/>
      <c r="VZ99" s="37"/>
      <c r="WA99" s="37"/>
      <c r="WB99" s="37"/>
      <c r="WC99" s="37"/>
      <c r="WD99" s="37"/>
      <c r="WE99" s="37"/>
      <c r="WF99" s="37"/>
      <c r="WG99" s="37"/>
      <c r="WH99" s="37"/>
      <c r="WI99" s="37"/>
      <c r="WJ99" s="37"/>
      <c r="WK99" s="37"/>
      <c r="WL99" s="37"/>
      <c r="WM99" s="37"/>
      <c r="WN99" s="37"/>
      <c r="WO99" s="37"/>
      <c r="WP99" s="37"/>
      <c r="WQ99" s="37"/>
      <c r="WR99" s="37"/>
      <c r="WS99" s="37"/>
      <c r="WT99" s="37"/>
      <c r="WU99" s="37"/>
      <c r="WV99" s="37"/>
      <c r="WW99" s="37"/>
      <c r="WX99" s="37"/>
      <c r="WY99" s="37"/>
      <c r="WZ99" s="37"/>
      <c r="XA99" s="37"/>
      <c r="XB99" s="37"/>
      <c r="XC99" s="37"/>
      <c r="XD99" s="37"/>
      <c r="XE99" s="37"/>
      <c r="XF99" s="37"/>
      <c r="XG99" s="37"/>
      <c r="XH99" s="37"/>
      <c r="XI99" s="37"/>
      <c r="XJ99" s="37"/>
      <c r="XK99" s="37"/>
      <c r="XL99" s="37"/>
      <c r="XM99" s="37"/>
      <c r="XN99" s="37"/>
      <c r="XO99" s="37"/>
      <c r="XP99" s="37"/>
      <c r="XQ99" s="37"/>
      <c r="XR99" s="37"/>
      <c r="XS99" s="37"/>
      <c r="XT99" s="37"/>
      <c r="XU99" s="37"/>
      <c r="XV99" s="37"/>
      <c r="XW99" s="37"/>
      <c r="XX99" s="37"/>
      <c r="XY99" s="37"/>
      <c r="XZ99" s="37"/>
      <c r="YA99" s="37"/>
      <c r="YB99" s="37"/>
      <c r="YC99" s="37"/>
      <c r="YD99" s="37"/>
      <c r="YE99" s="37"/>
      <c r="YF99" s="37"/>
      <c r="YG99" s="37"/>
      <c r="YH99" s="37"/>
      <c r="YI99" s="37"/>
      <c r="YJ99" s="37"/>
      <c r="YK99" s="37"/>
      <c r="YL99" s="37"/>
      <c r="YM99" s="37"/>
      <c r="YN99" s="37"/>
      <c r="YO99" s="37"/>
      <c r="YP99" s="37"/>
      <c r="YQ99" s="37"/>
      <c r="YR99" s="37"/>
      <c r="YS99" s="37"/>
      <c r="YT99" s="37"/>
      <c r="YU99" s="37"/>
      <c r="YV99" s="37"/>
      <c r="YW99" s="37"/>
      <c r="YX99" s="37"/>
      <c r="YY99" s="37"/>
      <c r="YZ99" s="37"/>
      <c r="ZA99" s="37"/>
      <c r="ZB99" s="37"/>
      <c r="ZC99" s="37"/>
      <c r="ZD99" s="37"/>
      <c r="ZE99" s="37"/>
      <c r="ZF99" s="37"/>
      <c r="ZG99" s="37"/>
      <c r="ZH99" s="37"/>
      <c r="ZI99" s="37"/>
      <c r="ZJ99" s="37"/>
      <c r="ZK99" s="37"/>
      <c r="ZL99" s="37"/>
      <c r="ZM99" s="37"/>
      <c r="ZN99" s="37"/>
      <c r="ZO99" s="37"/>
      <c r="ZP99" s="37"/>
      <c r="ZQ99" s="37"/>
      <c r="ZR99" s="37"/>
      <c r="ZS99" s="37"/>
      <c r="ZT99" s="37"/>
      <c r="ZU99" s="37"/>
      <c r="ZV99" s="37"/>
      <c r="ZW99" s="37"/>
      <c r="ZX99" s="37"/>
      <c r="ZY99" s="37"/>
      <c r="ZZ99" s="37"/>
      <c r="AAA99" s="37"/>
      <c r="AAB99" s="37"/>
      <c r="AAC99" s="37"/>
      <c r="AAD99" s="37"/>
      <c r="AAE99" s="37"/>
      <c r="AAF99" s="37"/>
      <c r="AAG99" s="37"/>
      <c r="AAH99" s="37"/>
      <c r="AAI99" s="37"/>
      <c r="AAJ99" s="37"/>
      <c r="AAK99" s="37"/>
      <c r="AAL99" s="37"/>
      <c r="AAM99" s="37"/>
      <c r="AAN99" s="37"/>
      <c r="AAO99" s="37"/>
      <c r="AAP99" s="37"/>
      <c r="AAQ99" s="37"/>
      <c r="AAR99" s="37"/>
      <c r="AAS99" s="37"/>
      <c r="AAT99" s="37"/>
      <c r="AAU99" s="37"/>
      <c r="AAV99" s="37"/>
      <c r="AAW99" s="37"/>
      <c r="AAX99" s="37"/>
      <c r="AAY99" s="37"/>
      <c r="AAZ99" s="37"/>
      <c r="ABA99" s="37"/>
      <c r="ABB99" s="37"/>
      <c r="ABC99" s="37"/>
      <c r="ABD99" s="37"/>
      <c r="ABE99" s="37"/>
      <c r="ABF99" s="37"/>
      <c r="ABG99" s="37"/>
      <c r="ABH99" s="37"/>
      <c r="ABI99" s="37"/>
      <c r="ABJ99" s="37"/>
      <c r="ABK99" s="37"/>
      <c r="ABL99" s="37"/>
      <c r="ABM99" s="37"/>
      <c r="ABN99" s="37"/>
      <c r="ABO99" s="37"/>
      <c r="ABP99" s="37"/>
      <c r="ABQ99" s="37"/>
      <c r="ABR99" s="37"/>
      <c r="ABS99" s="37"/>
      <c r="ABT99" s="37"/>
      <c r="ABU99" s="37"/>
      <c r="ABV99" s="37"/>
      <c r="ABW99" s="37"/>
      <c r="ABX99" s="37"/>
      <c r="ABY99" s="37"/>
      <c r="ABZ99" s="37"/>
      <c r="ACA99" s="37"/>
      <c r="ACB99" s="37"/>
      <c r="ACC99" s="37"/>
      <c r="ACD99" s="37"/>
      <c r="ACE99" s="37"/>
      <c r="ACF99" s="37"/>
      <c r="ACG99" s="37"/>
      <c r="ACH99" s="37"/>
      <c r="ACI99" s="37"/>
      <c r="ACJ99" s="37"/>
      <c r="ACK99" s="37"/>
      <c r="ACL99" s="37"/>
      <c r="ACM99" s="37"/>
      <c r="ACN99" s="37"/>
      <c r="ACO99" s="37"/>
      <c r="ACP99" s="37"/>
      <c r="ACQ99" s="37"/>
      <c r="ACR99" s="37"/>
      <c r="ACS99" s="37"/>
      <c r="ACT99" s="37"/>
      <c r="ACU99" s="37"/>
      <c r="ACV99" s="37"/>
      <c r="ACW99" s="37"/>
      <c r="ACX99" s="37"/>
      <c r="ACY99" s="37"/>
      <c r="ACZ99" s="37"/>
      <c r="ADA99" s="37"/>
      <c r="ADB99" s="37"/>
      <c r="ADC99" s="37"/>
      <c r="ADD99" s="37"/>
      <c r="ADE99" s="37"/>
      <c r="ADF99" s="37"/>
      <c r="ADG99" s="37"/>
      <c r="ADH99" s="37"/>
      <c r="ADI99" s="37"/>
      <c r="ADJ99" s="37"/>
      <c r="ADK99" s="37"/>
      <c r="ADL99" s="37"/>
      <c r="ADM99" s="37"/>
      <c r="ADN99" s="37"/>
      <c r="ADO99" s="37"/>
      <c r="ADP99" s="37"/>
      <c r="ADQ99" s="37"/>
      <c r="ADR99" s="37"/>
      <c r="ADS99" s="37"/>
      <c r="ADT99" s="37"/>
      <c r="ADU99" s="37"/>
      <c r="ADV99" s="37"/>
      <c r="ADW99" s="37"/>
      <c r="ADX99" s="37"/>
      <c r="ADY99" s="37"/>
      <c r="ADZ99" s="37"/>
      <c r="AEA99" s="37"/>
      <c r="AEB99" s="37"/>
      <c r="AEC99" s="37"/>
      <c r="AED99" s="37"/>
      <c r="AEE99" s="37"/>
      <c r="AEF99" s="37"/>
      <c r="AEG99" s="37"/>
      <c r="AEH99" s="37"/>
      <c r="AEI99" s="37"/>
      <c r="AEJ99" s="37"/>
      <c r="AEK99" s="37"/>
      <c r="AEL99" s="37"/>
      <c r="AEM99" s="37"/>
      <c r="AEN99" s="37"/>
      <c r="AEO99" s="37"/>
      <c r="AEP99" s="37"/>
      <c r="AEQ99" s="37"/>
      <c r="AER99" s="37"/>
      <c r="AES99" s="37"/>
      <c r="AET99" s="37"/>
      <c r="AEU99" s="37"/>
      <c r="AEV99" s="37"/>
      <c r="AEW99" s="37"/>
      <c r="AEX99" s="37"/>
      <c r="AEY99" s="37"/>
      <c r="AEZ99" s="37"/>
      <c r="AFA99" s="37"/>
      <c r="AFB99" s="37"/>
      <c r="AFC99" s="37"/>
      <c r="AFD99" s="37"/>
      <c r="AFE99" s="37"/>
      <c r="AFF99" s="37"/>
      <c r="AFG99" s="37"/>
      <c r="AFH99" s="37"/>
      <c r="AFI99" s="37"/>
      <c r="AFJ99" s="37"/>
      <c r="AFK99" s="37"/>
      <c r="AFL99" s="37"/>
      <c r="AFM99" s="37"/>
      <c r="AFN99" s="37"/>
      <c r="AFO99" s="37"/>
      <c r="AFP99" s="37"/>
      <c r="AFQ99" s="37"/>
      <c r="AFR99" s="37"/>
      <c r="AFS99" s="37"/>
      <c r="AFT99" s="37"/>
      <c r="AFU99" s="37"/>
      <c r="AFV99" s="37"/>
      <c r="AFW99" s="37"/>
      <c r="AFX99" s="37"/>
      <c r="AFY99" s="37"/>
      <c r="AFZ99" s="37"/>
      <c r="AGA99" s="37"/>
      <c r="AGB99" s="37"/>
      <c r="AGC99" s="37"/>
      <c r="AGD99" s="37"/>
      <c r="AGE99" s="37"/>
      <c r="AGF99" s="37"/>
      <c r="AGG99" s="37"/>
      <c r="AGH99" s="37"/>
      <c r="AGI99" s="37"/>
      <c r="AGJ99" s="37"/>
      <c r="AGK99" s="37"/>
      <c r="AGL99" s="37"/>
      <c r="AGM99" s="37"/>
      <c r="AGN99" s="37"/>
      <c r="AGO99" s="37"/>
      <c r="AGP99" s="37"/>
      <c r="AGQ99" s="37"/>
      <c r="AGR99" s="37"/>
      <c r="AGS99" s="37"/>
      <c r="AGT99" s="37"/>
      <c r="AGU99" s="37"/>
      <c r="AGV99" s="37"/>
      <c r="AGW99" s="37"/>
      <c r="AGX99" s="37"/>
      <c r="AGY99" s="37"/>
      <c r="AGZ99" s="37"/>
      <c r="AHA99" s="37"/>
      <c r="AHB99" s="37"/>
      <c r="AHC99" s="37"/>
      <c r="AHD99" s="37"/>
      <c r="AHE99" s="37"/>
      <c r="AHF99" s="37"/>
      <c r="AHG99" s="37"/>
      <c r="AHH99" s="37"/>
      <c r="AHI99" s="37"/>
      <c r="AHJ99" s="37"/>
      <c r="AHK99" s="37"/>
      <c r="AHL99" s="37"/>
      <c r="AHM99" s="37"/>
      <c r="AHN99" s="37"/>
      <c r="AHO99" s="37"/>
      <c r="AHP99" s="37"/>
      <c r="AHQ99" s="37"/>
      <c r="AHR99" s="37"/>
      <c r="AHS99" s="37"/>
      <c r="AHT99" s="37"/>
      <c r="AHU99" s="37"/>
      <c r="AHV99" s="37"/>
      <c r="AHW99" s="37"/>
      <c r="AHX99" s="37"/>
      <c r="AHY99" s="37"/>
      <c r="AHZ99" s="37"/>
      <c r="AIA99" s="37"/>
      <c r="AIB99" s="37"/>
      <c r="AIC99" s="37"/>
      <c r="AID99" s="37"/>
      <c r="AIE99" s="37"/>
      <c r="AIF99" s="37"/>
      <c r="AIG99" s="37"/>
      <c r="AIH99" s="37"/>
      <c r="AII99" s="37"/>
      <c r="AIJ99" s="37"/>
      <c r="AIK99" s="37"/>
      <c r="AIL99" s="37"/>
      <c r="AIM99" s="37"/>
      <c r="AIN99" s="37"/>
      <c r="AIO99" s="37"/>
      <c r="AIP99" s="37"/>
      <c r="AIQ99" s="37"/>
      <c r="AIR99" s="37"/>
      <c r="AIS99" s="37"/>
      <c r="AIT99" s="37"/>
      <c r="AIU99" s="37"/>
      <c r="AIV99" s="37"/>
      <c r="AIW99" s="37"/>
      <c r="AIX99" s="37"/>
      <c r="AIY99" s="37"/>
      <c r="AIZ99" s="37"/>
      <c r="AJA99" s="37"/>
      <c r="AJB99" s="37"/>
      <c r="AJC99" s="37"/>
      <c r="AJD99" s="37"/>
      <c r="AJE99" s="37"/>
      <c r="AJF99" s="37"/>
      <c r="AJG99" s="37"/>
      <c r="AJH99" s="37"/>
      <c r="AJI99" s="37"/>
      <c r="AJJ99" s="37"/>
      <c r="AJK99" s="37"/>
      <c r="AJL99" s="37"/>
      <c r="AJM99" s="37"/>
      <c r="AJN99" s="37"/>
      <c r="AJO99" s="37"/>
      <c r="AJP99" s="37"/>
      <c r="AJQ99" s="37"/>
      <c r="AJR99" s="37"/>
      <c r="AJS99" s="37"/>
      <c r="AJT99" s="37"/>
      <c r="AJU99" s="37"/>
      <c r="AJV99" s="37"/>
      <c r="AJW99" s="37"/>
      <c r="AJX99" s="37"/>
      <c r="AJY99" s="37"/>
      <c r="AJZ99" s="37"/>
      <c r="AKA99" s="37"/>
      <c r="AKB99" s="37"/>
      <c r="AKC99" s="37"/>
      <c r="AKD99" s="37"/>
      <c r="AKE99" s="37"/>
      <c r="AKF99" s="37"/>
      <c r="AKG99" s="37"/>
      <c r="AKH99" s="37"/>
      <c r="AKI99" s="37"/>
      <c r="AKJ99" s="37"/>
      <c r="AKK99" s="37"/>
      <c r="AKL99" s="37"/>
      <c r="AKM99" s="37"/>
      <c r="AKN99" s="37"/>
      <c r="AKO99" s="37"/>
      <c r="AKP99" s="37"/>
      <c r="AKQ99" s="37"/>
      <c r="AKR99" s="37"/>
      <c r="AKS99" s="37"/>
      <c r="AKT99" s="37"/>
      <c r="AKU99" s="37"/>
      <c r="AKV99" s="37"/>
      <c r="AKW99" s="37"/>
      <c r="AKX99" s="37"/>
      <c r="AKY99" s="37"/>
      <c r="AKZ99" s="37"/>
      <c r="ALA99" s="37"/>
      <c r="ALB99" s="37"/>
      <c r="ALC99" s="37"/>
      <c r="ALD99" s="37"/>
      <c r="ALE99" s="37"/>
      <c r="ALF99" s="37"/>
      <c r="ALG99" s="37"/>
      <c r="ALH99" s="37"/>
      <c r="ALI99" s="37"/>
      <c r="ALJ99" s="37"/>
      <c r="ALK99" s="37"/>
      <c r="ALL99" s="37"/>
      <c r="ALM99" s="37"/>
      <c r="ALN99" s="37"/>
      <c r="ALO99" s="37"/>
      <c r="ALP99" s="37"/>
      <c r="ALQ99" s="37"/>
      <c r="ALR99" s="37"/>
    </row>
    <row r="100" spans="2:1006" x14ac:dyDescent="0.35">
      <c r="C100" s="20" t="s">
        <v>331</v>
      </c>
    </row>
    <row r="101" spans="2:1006" x14ac:dyDescent="0.35">
      <c r="D101" s="20" t="s">
        <v>332</v>
      </c>
      <c r="J101" s="20" t="s">
        <v>346</v>
      </c>
      <c r="K101" s="28">
        <v>0</v>
      </c>
      <c r="L101" s="20">
        <f t="shared" ref="L101:AQ101" si="75">K101+L10</f>
        <v>0</v>
      </c>
      <c r="M101" s="20">
        <f t="shared" si="75"/>
        <v>0</v>
      </c>
      <c r="N101" s="20">
        <f t="shared" si="75"/>
        <v>0</v>
      </c>
      <c r="O101" s="20">
        <f t="shared" si="75"/>
        <v>0</v>
      </c>
      <c r="P101" s="20">
        <f t="shared" si="75"/>
        <v>0</v>
      </c>
      <c r="Q101" s="20">
        <f t="shared" si="75"/>
        <v>0</v>
      </c>
      <c r="R101" s="20">
        <f t="shared" si="75"/>
        <v>0</v>
      </c>
      <c r="S101" s="20">
        <f t="shared" si="75"/>
        <v>0</v>
      </c>
      <c r="T101" s="20">
        <f t="shared" si="75"/>
        <v>1</v>
      </c>
      <c r="U101" s="20">
        <f t="shared" si="75"/>
        <v>2</v>
      </c>
      <c r="V101" s="20">
        <f t="shared" si="75"/>
        <v>3</v>
      </c>
      <c r="W101" s="20">
        <f t="shared" si="75"/>
        <v>4</v>
      </c>
      <c r="X101" s="20">
        <f t="shared" si="75"/>
        <v>5</v>
      </c>
      <c r="Y101" s="20">
        <f t="shared" si="75"/>
        <v>6</v>
      </c>
      <c r="Z101" s="20">
        <f t="shared" si="75"/>
        <v>7</v>
      </c>
      <c r="AA101" s="20">
        <f t="shared" si="75"/>
        <v>8</v>
      </c>
      <c r="AB101" s="20">
        <f t="shared" si="75"/>
        <v>9</v>
      </c>
      <c r="AC101" s="20">
        <f t="shared" si="75"/>
        <v>10</v>
      </c>
      <c r="AD101" s="20">
        <f t="shared" si="75"/>
        <v>11</v>
      </c>
      <c r="AE101" s="20">
        <f t="shared" si="75"/>
        <v>12</v>
      </c>
      <c r="AF101" s="20">
        <f t="shared" si="75"/>
        <v>13</v>
      </c>
      <c r="AG101" s="20">
        <f t="shared" si="75"/>
        <v>14</v>
      </c>
      <c r="AH101" s="20">
        <f t="shared" si="75"/>
        <v>15</v>
      </c>
      <c r="AI101" s="20">
        <f t="shared" si="75"/>
        <v>16</v>
      </c>
      <c r="AJ101" s="20">
        <f t="shared" si="75"/>
        <v>17</v>
      </c>
      <c r="AK101" s="20">
        <f t="shared" si="75"/>
        <v>18</v>
      </c>
      <c r="AL101" s="20">
        <f t="shared" si="75"/>
        <v>19</v>
      </c>
      <c r="AM101" s="20">
        <f t="shared" si="75"/>
        <v>20</v>
      </c>
      <c r="AN101" s="20">
        <f t="shared" si="75"/>
        <v>21</v>
      </c>
      <c r="AO101" s="20">
        <f t="shared" si="75"/>
        <v>22</v>
      </c>
      <c r="AP101" s="20">
        <f t="shared" si="75"/>
        <v>23</v>
      </c>
      <c r="AQ101" s="20">
        <f t="shared" si="75"/>
        <v>24</v>
      </c>
      <c r="AR101" s="20">
        <f t="shared" ref="AR101:BW101" si="76">AQ101+AR10</f>
        <v>25</v>
      </c>
      <c r="AS101" s="20">
        <f t="shared" si="76"/>
        <v>26</v>
      </c>
      <c r="AT101" s="20">
        <f t="shared" si="76"/>
        <v>27</v>
      </c>
      <c r="AU101" s="20">
        <f t="shared" si="76"/>
        <v>28</v>
      </c>
      <c r="AV101" s="20">
        <f t="shared" si="76"/>
        <v>29</v>
      </c>
      <c r="AW101" s="20">
        <f t="shared" si="76"/>
        <v>30</v>
      </c>
      <c r="AX101" s="20">
        <f t="shared" si="76"/>
        <v>31</v>
      </c>
      <c r="AY101" s="20">
        <f t="shared" si="76"/>
        <v>32</v>
      </c>
      <c r="AZ101" s="20">
        <f t="shared" si="76"/>
        <v>33</v>
      </c>
      <c r="BA101" s="20">
        <f t="shared" si="76"/>
        <v>34</v>
      </c>
      <c r="BB101" s="20">
        <f t="shared" si="76"/>
        <v>35</v>
      </c>
      <c r="BC101" s="20">
        <f t="shared" si="76"/>
        <v>36</v>
      </c>
      <c r="BD101" s="20">
        <f t="shared" si="76"/>
        <v>37</v>
      </c>
      <c r="BE101" s="20">
        <f t="shared" si="76"/>
        <v>38</v>
      </c>
      <c r="BF101" s="20">
        <f t="shared" si="76"/>
        <v>39</v>
      </c>
      <c r="BG101" s="20">
        <f t="shared" si="76"/>
        <v>40</v>
      </c>
      <c r="BH101" s="20">
        <f t="shared" si="76"/>
        <v>41</v>
      </c>
      <c r="BI101" s="20">
        <f t="shared" si="76"/>
        <v>42</v>
      </c>
      <c r="BJ101" s="20">
        <f t="shared" si="76"/>
        <v>43</v>
      </c>
      <c r="BK101" s="20">
        <f t="shared" si="76"/>
        <v>44</v>
      </c>
      <c r="BL101" s="20">
        <f t="shared" si="76"/>
        <v>45</v>
      </c>
      <c r="BM101" s="20">
        <f t="shared" si="76"/>
        <v>46</v>
      </c>
      <c r="BN101" s="20">
        <f t="shared" si="76"/>
        <v>47</v>
      </c>
      <c r="BO101" s="20">
        <f t="shared" si="76"/>
        <v>48</v>
      </c>
      <c r="BP101" s="20">
        <f t="shared" si="76"/>
        <v>49</v>
      </c>
      <c r="BQ101" s="20">
        <f t="shared" si="76"/>
        <v>50</v>
      </c>
      <c r="BR101" s="20">
        <f t="shared" si="76"/>
        <v>51</v>
      </c>
      <c r="BS101" s="20">
        <f t="shared" si="76"/>
        <v>52</v>
      </c>
      <c r="BT101" s="20">
        <f t="shared" si="76"/>
        <v>53</v>
      </c>
      <c r="BU101" s="20">
        <f t="shared" si="76"/>
        <v>54</v>
      </c>
      <c r="BV101" s="20">
        <f t="shared" si="76"/>
        <v>55</v>
      </c>
      <c r="BW101" s="20">
        <f t="shared" si="76"/>
        <v>56</v>
      </c>
      <c r="BX101" s="20">
        <f t="shared" ref="BX101:DC101" si="77">BW101+BX10</f>
        <v>57</v>
      </c>
      <c r="BY101" s="20">
        <f t="shared" si="77"/>
        <v>58</v>
      </c>
      <c r="BZ101" s="20">
        <f t="shared" si="77"/>
        <v>59</v>
      </c>
      <c r="CA101" s="20">
        <f t="shared" si="77"/>
        <v>60</v>
      </c>
      <c r="CB101" s="20">
        <f t="shared" si="77"/>
        <v>61</v>
      </c>
      <c r="CC101" s="20">
        <f t="shared" si="77"/>
        <v>62</v>
      </c>
      <c r="CD101" s="20">
        <f t="shared" si="77"/>
        <v>63</v>
      </c>
      <c r="CE101" s="20">
        <f t="shared" si="77"/>
        <v>64</v>
      </c>
      <c r="CF101" s="20">
        <f t="shared" si="77"/>
        <v>65</v>
      </c>
      <c r="CG101" s="20">
        <f t="shared" si="77"/>
        <v>66</v>
      </c>
      <c r="CH101" s="20">
        <f t="shared" si="77"/>
        <v>67</v>
      </c>
      <c r="CI101" s="20">
        <f t="shared" si="77"/>
        <v>68</v>
      </c>
      <c r="CJ101" s="20">
        <f t="shared" si="77"/>
        <v>69</v>
      </c>
      <c r="CK101" s="20">
        <f t="shared" si="77"/>
        <v>70</v>
      </c>
      <c r="CL101" s="20">
        <f t="shared" si="77"/>
        <v>71</v>
      </c>
      <c r="CM101" s="20">
        <f t="shared" si="77"/>
        <v>72</v>
      </c>
      <c r="CN101" s="20">
        <f t="shared" si="77"/>
        <v>73</v>
      </c>
      <c r="CO101" s="20">
        <f t="shared" si="77"/>
        <v>74</v>
      </c>
      <c r="CP101" s="20">
        <f t="shared" si="77"/>
        <v>75</v>
      </c>
      <c r="CQ101" s="20">
        <f t="shared" si="77"/>
        <v>76</v>
      </c>
      <c r="CR101" s="20">
        <f t="shared" si="77"/>
        <v>77</v>
      </c>
      <c r="CS101" s="20">
        <f t="shared" si="77"/>
        <v>78</v>
      </c>
      <c r="CT101" s="20">
        <f t="shared" si="77"/>
        <v>79</v>
      </c>
      <c r="CU101" s="20">
        <f t="shared" si="77"/>
        <v>80</v>
      </c>
      <c r="CV101" s="20">
        <f t="shared" si="77"/>
        <v>81</v>
      </c>
      <c r="CW101" s="20">
        <f t="shared" si="77"/>
        <v>82</v>
      </c>
      <c r="CX101" s="20">
        <f t="shared" si="77"/>
        <v>83</v>
      </c>
      <c r="CY101" s="20">
        <f t="shared" si="77"/>
        <v>84</v>
      </c>
      <c r="CZ101" s="20">
        <f t="shared" si="77"/>
        <v>85</v>
      </c>
      <c r="DA101" s="20">
        <f t="shared" si="77"/>
        <v>86</v>
      </c>
      <c r="DB101" s="20">
        <f t="shared" si="77"/>
        <v>87</v>
      </c>
      <c r="DC101" s="20">
        <f t="shared" si="77"/>
        <v>88</v>
      </c>
      <c r="DD101" s="20">
        <f t="shared" ref="DD101:DQ101" si="78">DC101+DD10</f>
        <v>89</v>
      </c>
      <c r="DE101" s="20">
        <f t="shared" si="78"/>
        <v>90</v>
      </c>
      <c r="DF101" s="20">
        <f t="shared" si="78"/>
        <v>91</v>
      </c>
      <c r="DG101" s="20">
        <f t="shared" si="78"/>
        <v>92</v>
      </c>
      <c r="DH101" s="20">
        <f t="shared" si="78"/>
        <v>93</v>
      </c>
      <c r="DI101" s="20">
        <f t="shared" si="78"/>
        <v>94</v>
      </c>
      <c r="DJ101" s="20">
        <f t="shared" si="78"/>
        <v>95</v>
      </c>
      <c r="DK101" s="20">
        <f t="shared" si="78"/>
        <v>96</v>
      </c>
      <c r="DL101" s="20">
        <f t="shared" si="78"/>
        <v>97</v>
      </c>
      <c r="DM101" s="20">
        <f t="shared" si="78"/>
        <v>98</v>
      </c>
      <c r="DN101" s="20">
        <f t="shared" si="78"/>
        <v>99</v>
      </c>
      <c r="DO101" s="20">
        <f t="shared" si="78"/>
        <v>100</v>
      </c>
      <c r="DP101" s="20">
        <f t="shared" si="78"/>
        <v>100</v>
      </c>
      <c r="DQ101" s="20">
        <f t="shared" si="78"/>
        <v>100</v>
      </c>
    </row>
    <row r="102" spans="2:1006" x14ac:dyDescent="0.35">
      <c r="D102" s="20" t="s">
        <v>333</v>
      </c>
      <c r="I102" s="54">
        <f t="shared" ref="I102:I103" si="79">SUM(K102:DQ102)</f>
        <v>4872152.1962294271</v>
      </c>
      <c r="K102" s="20">
        <f t="shared" ref="K102:AP102" si="80">K22</f>
        <v>0</v>
      </c>
      <c r="L102" s="20">
        <f t="shared" si="80"/>
        <v>0</v>
      </c>
      <c r="M102" s="20">
        <f t="shared" si="80"/>
        <v>0</v>
      </c>
      <c r="N102" s="20">
        <f t="shared" si="80"/>
        <v>0</v>
      </c>
      <c r="O102" s="20">
        <f t="shared" si="80"/>
        <v>0</v>
      </c>
      <c r="P102" s="20">
        <f t="shared" si="80"/>
        <v>0</v>
      </c>
      <c r="Q102" s="20">
        <f t="shared" si="80"/>
        <v>0</v>
      </c>
      <c r="R102" s="20">
        <f t="shared" si="80"/>
        <v>0</v>
      </c>
      <c r="S102" s="20">
        <f t="shared" si="80"/>
        <v>0</v>
      </c>
      <c r="T102" s="20">
        <f t="shared" si="80"/>
        <v>68622.862529397593</v>
      </c>
      <c r="U102" s="20">
        <f t="shared" si="80"/>
        <v>35868.905670937813</v>
      </c>
      <c r="V102" s="20">
        <f t="shared" si="80"/>
        <v>20964.552998545274</v>
      </c>
      <c r="W102" s="20">
        <f t="shared" si="80"/>
        <v>55571.133073803401</v>
      </c>
      <c r="X102" s="20">
        <f t="shared" si="80"/>
        <v>68070.525667437614</v>
      </c>
      <c r="Y102" s="20">
        <f t="shared" si="80"/>
        <v>35479.079084768142</v>
      </c>
      <c r="Z102" s="20">
        <f t="shared" si="80"/>
        <v>20648.431172733817</v>
      </c>
      <c r="AA102" s="20">
        <f t="shared" si="80"/>
        <v>55082.39143987991</v>
      </c>
      <c r="AB102" s="20">
        <f t="shared" si="80"/>
        <v>67519.148707310465</v>
      </c>
      <c r="AC102" s="20">
        <f t="shared" si="80"/>
        <v>35089.397800681436</v>
      </c>
      <c r="AD102" s="20">
        <f t="shared" si="80"/>
        <v>21786.618904083185</v>
      </c>
      <c r="AE102" s="20">
        <f t="shared" si="80"/>
        <v>57218.258688876165</v>
      </c>
      <c r="AF102" s="20">
        <f t="shared" si="80"/>
        <v>70015.622397788509</v>
      </c>
      <c r="AG102" s="20">
        <f t="shared" si="80"/>
        <v>36647.073100654874</v>
      </c>
      <c r="AH102" s="20">
        <f t="shared" si="80"/>
        <v>22466.243750308273</v>
      </c>
      <c r="AI102" s="20">
        <f t="shared" si="80"/>
        <v>58527.929029021987</v>
      </c>
      <c r="AJ102" s="20">
        <f t="shared" si="80"/>
        <v>71552.93951889938</v>
      </c>
      <c r="AK102" s="20">
        <f t="shared" si="80"/>
        <v>37591.285722606226</v>
      </c>
      <c r="AL102" s="20">
        <f t="shared" si="80"/>
        <v>22329.189049150358</v>
      </c>
      <c r="AM102" s="20">
        <f t="shared" si="80"/>
        <v>58365.375092300179</v>
      </c>
      <c r="AN102" s="20">
        <f t="shared" si="80"/>
        <v>71380.948294251735</v>
      </c>
      <c r="AO102" s="20">
        <f t="shared" si="80"/>
        <v>37442.619179637666</v>
      </c>
      <c r="AP102" s="20">
        <f t="shared" si="80"/>
        <v>25266.020187367114</v>
      </c>
      <c r="AQ102" s="20">
        <f t="shared" ref="AQ102:BV102" si="81">AQ22</f>
        <v>63749.188817045055</v>
      </c>
      <c r="AR102" s="20">
        <f t="shared" si="81"/>
        <v>77649.507263986583</v>
      </c>
      <c r="AS102" s="20">
        <f t="shared" si="81"/>
        <v>41409.507441547881</v>
      </c>
      <c r="AT102" s="20">
        <f t="shared" si="81"/>
        <v>30622.471837883451</v>
      </c>
      <c r="AU102" s="20">
        <f t="shared" si="81"/>
        <v>73499.091313971207</v>
      </c>
      <c r="AV102" s="20">
        <f t="shared" si="81"/>
        <v>88988.102025117041</v>
      </c>
      <c r="AW102" s="20">
        <f t="shared" si="81"/>
        <v>48616.070244979601</v>
      </c>
      <c r="AX102" s="20">
        <f t="shared" si="81"/>
        <v>31949.577177253825</v>
      </c>
      <c r="AY102" s="20">
        <f t="shared" si="81"/>
        <v>75981.166956645335</v>
      </c>
      <c r="AZ102" s="20">
        <f t="shared" si="81"/>
        <v>91887.653909523622</v>
      </c>
      <c r="BA102" s="20">
        <f t="shared" si="81"/>
        <v>50428.869978897957</v>
      </c>
      <c r="BB102" s="20">
        <f t="shared" si="81"/>
        <v>31848.001795208162</v>
      </c>
      <c r="BC102" s="20">
        <f t="shared" si="81"/>
        <v>75887.030131743886</v>
      </c>
      <c r="BD102" s="20">
        <f t="shared" si="81"/>
        <v>91795.979480935697</v>
      </c>
      <c r="BE102" s="20">
        <f t="shared" si="81"/>
        <v>50329.509614315721</v>
      </c>
      <c r="BF102" s="20">
        <f t="shared" si="81"/>
        <v>33953.499786063832</v>
      </c>
      <c r="BG102" s="20">
        <f t="shared" si="81"/>
        <v>79775.594308237705</v>
      </c>
      <c r="BH102" s="20">
        <f t="shared" si="81"/>
        <v>96329.167555263368</v>
      </c>
      <c r="BI102" s="20">
        <f t="shared" si="81"/>
        <v>53185.299234398466</v>
      </c>
      <c r="BJ102" s="20">
        <f t="shared" si="81"/>
        <v>36537.273784176141</v>
      </c>
      <c r="BK102" s="20">
        <f t="shared" si="81"/>
        <v>84528.126556899733</v>
      </c>
      <c r="BL102" s="20">
        <f t="shared" si="81"/>
        <v>101865.80791929805</v>
      </c>
      <c r="BM102" s="20">
        <f t="shared" si="81"/>
        <v>56681.84757708</v>
      </c>
      <c r="BN102" s="20">
        <f t="shared" si="81"/>
        <v>40055.535013496803</v>
      </c>
      <c r="BO102" s="20">
        <f t="shared" si="81"/>
        <v>90967.647970474311</v>
      </c>
      <c r="BP102" s="20">
        <f t="shared" si="81"/>
        <v>109361.58026462498</v>
      </c>
      <c r="BQ102" s="20">
        <f t="shared" si="81"/>
        <v>61429.906325704331</v>
      </c>
      <c r="BR102" s="20">
        <f t="shared" si="81"/>
        <v>43313.268063674041</v>
      </c>
      <c r="BS102" s="20">
        <f t="shared" si="81"/>
        <v>96938.368327793549</v>
      </c>
      <c r="BT102" s="20">
        <f t="shared" si="81"/>
        <v>116313.2252446076</v>
      </c>
      <c r="BU102" s="20">
        <f t="shared" si="81"/>
        <v>65829.675869983723</v>
      </c>
      <c r="BV102" s="20">
        <f t="shared" si="81"/>
        <v>40312.429006070241</v>
      </c>
      <c r="BW102" s="20">
        <f t="shared" ref="BW102:DB102" si="82">BW22</f>
        <v>70484.015275127851</v>
      </c>
      <c r="BX102" s="20">
        <f t="shared" si="82"/>
        <v>84483.020743418369</v>
      </c>
      <c r="BY102" s="20">
        <f t="shared" si="82"/>
        <v>48008.347071511955</v>
      </c>
      <c r="BZ102" s="20">
        <f t="shared" si="82"/>
        <v>32348.197756019901</v>
      </c>
      <c r="CA102" s="20">
        <f t="shared" si="82"/>
        <v>71650.841329508999</v>
      </c>
      <c r="CB102" s="20">
        <f t="shared" si="82"/>
        <v>85851.244320413287</v>
      </c>
      <c r="CC102" s="20">
        <f t="shared" si="82"/>
        <v>48851.936201954435</v>
      </c>
      <c r="CD102" s="20">
        <f t="shared" si="82"/>
        <v>34729.759381250507</v>
      </c>
      <c r="CE102" s="20">
        <f t="shared" si="82"/>
        <v>76015.391311194617</v>
      </c>
      <c r="CF102" s="20">
        <f t="shared" si="82"/>
        <v>90932.77611694239</v>
      </c>
      <c r="CG102" s="20">
        <f t="shared" si="82"/>
        <v>52068.240737892258</v>
      </c>
      <c r="CH102" s="20">
        <f t="shared" si="82"/>
        <v>36134.956680441224</v>
      </c>
      <c r="CI102" s="20">
        <f t="shared" si="82"/>
        <v>78619.46325563846</v>
      </c>
      <c r="CJ102" s="20">
        <f t="shared" si="82"/>
        <v>93970.248681462501</v>
      </c>
      <c r="CK102" s="20">
        <f t="shared" si="82"/>
        <v>53977.81594400105</v>
      </c>
      <c r="CL102" s="20">
        <f t="shared" si="82"/>
        <v>39626.639598151181</v>
      </c>
      <c r="CM102" s="20">
        <f t="shared" si="82"/>
        <v>84988.448596783433</v>
      </c>
      <c r="CN102" s="20">
        <f t="shared" si="82"/>
        <v>101379.6440135231</v>
      </c>
      <c r="CO102" s="20">
        <f t="shared" si="82"/>
        <v>58681.004887979841</v>
      </c>
      <c r="CP102" s="20">
        <f t="shared" si="82"/>
        <v>42441.011227092946</v>
      </c>
      <c r="CQ102" s="20">
        <f t="shared" si="82"/>
        <v>90136.472595670915</v>
      </c>
      <c r="CR102" s="20">
        <f t="shared" si="82"/>
        <v>107371.46163418215</v>
      </c>
      <c r="CS102" s="20">
        <f t="shared" si="82"/>
        <v>62477.826975852993</v>
      </c>
      <c r="CT102" s="20">
        <f t="shared" si="82"/>
        <v>45560.696774700482</v>
      </c>
      <c r="CU102" s="20">
        <f t="shared" si="82"/>
        <v>95836.203261369257</v>
      </c>
      <c r="CV102" s="20">
        <f t="shared" si="82"/>
        <v>0</v>
      </c>
      <c r="CW102" s="20">
        <f t="shared" si="82"/>
        <v>0</v>
      </c>
      <c r="CX102" s="20">
        <f t="shared" si="82"/>
        <v>0</v>
      </c>
      <c r="CY102" s="20">
        <f t="shared" si="82"/>
        <v>0</v>
      </c>
      <c r="CZ102" s="20">
        <f t="shared" si="82"/>
        <v>0</v>
      </c>
      <c r="DA102" s="20">
        <f t="shared" si="82"/>
        <v>0</v>
      </c>
      <c r="DB102" s="20">
        <f t="shared" si="82"/>
        <v>0</v>
      </c>
      <c r="DC102" s="20">
        <f t="shared" ref="DC102:DQ102" si="83">DC22</f>
        <v>0</v>
      </c>
      <c r="DD102" s="20">
        <f t="shared" si="83"/>
        <v>0</v>
      </c>
      <c r="DE102" s="20">
        <f t="shared" si="83"/>
        <v>0</v>
      </c>
      <c r="DF102" s="20">
        <f t="shared" si="83"/>
        <v>0</v>
      </c>
      <c r="DG102" s="20">
        <f t="shared" si="83"/>
        <v>0</v>
      </c>
      <c r="DH102" s="20">
        <f t="shared" si="83"/>
        <v>0</v>
      </c>
      <c r="DI102" s="20">
        <f t="shared" si="83"/>
        <v>0</v>
      </c>
      <c r="DJ102" s="20">
        <f t="shared" si="83"/>
        <v>0</v>
      </c>
      <c r="DK102" s="20">
        <f t="shared" si="83"/>
        <v>0</v>
      </c>
      <c r="DL102" s="20">
        <f t="shared" si="83"/>
        <v>0</v>
      </c>
      <c r="DM102" s="20">
        <f t="shared" si="83"/>
        <v>0</v>
      </c>
      <c r="DN102" s="20">
        <f t="shared" si="83"/>
        <v>0</v>
      </c>
      <c r="DO102" s="20">
        <f t="shared" si="83"/>
        <v>0</v>
      </c>
      <c r="DP102" s="20">
        <f t="shared" si="83"/>
        <v>0</v>
      </c>
      <c r="DQ102" s="20">
        <f t="shared" si="83"/>
        <v>0</v>
      </c>
    </row>
    <row r="103" spans="2:1006" x14ac:dyDescent="0.35">
      <c r="D103" s="20" t="s">
        <v>334</v>
      </c>
      <c r="I103" s="54">
        <f t="shared" si="79"/>
        <v>1462475.9086497899</v>
      </c>
      <c r="K103" s="20">
        <f>K37</f>
        <v>0</v>
      </c>
      <c r="L103" s="20">
        <f t="shared" ref="L103:BW103" si="84">L37</f>
        <v>0</v>
      </c>
      <c r="M103" s="20">
        <f t="shared" si="84"/>
        <v>0</v>
      </c>
      <c r="N103" s="20">
        <f t="shared" si="84"/>
        <v>0</v>
      </c>
      <c r="O103" s="20">
        <f t="shared" si="84"/>
        <v>0</v>
      </c>
      <c r="P103" s="20">
        <f t="shared" si="84"/>
        <v>0</v>
      </c>
      <c r="Q103" s="20">
        <f t="shared" si="84"/>
        <v>0</v>
      </c>
      <c r="R103" s="20">
        <f t="shared" si="84"/>
        <v>0</v>
      </c>
      <c r="S103" s="20">
        <f t="shared" si="84"/>
        <v>0</v>
      </c>
      <c r="T103" s="20">
        <f t="shared" si="84"/>
        <v>28982.248444426874</v>
      </c>
      <c r="U103" s="20">
        <f t="shared" si="84"/>
        <v>28645.303224704621</v>
      </c>
      <c r="V103" s="20">
        <f t="shared" si="84"/>
        <v>28583.90260391164</v>
      </c>
      <c r="W103" s="20">
        <f t="shared" si="84"/>
        <v>28648.667075557256</v>
      </c>
      <c r="X103" s="20">
        <f t="shared" si="84"/>
        <v>28419.826114572163</v>
      </c>
      <c r="Y103" s="20">
        <f t="shared" si="84"/>
        <v>28082.795168372806</v>
      </c>
      <c r="Z103" s="20">
        <f t="shared" si="84"/>
        <v>28019.926755083448</v>
      </c>
      <c r="AA103" s="20">
        <f t="shared" si="84"/>
        <v>28082.584467533419</v>
      </c>
      <c r="AB103" s="20">
        <f t="shared" si="84"/>
        <v>27853.086108268475</v>
      </c>
      <c r="AC103" s="20">
        <f t="shared" si="84"/>
        <v>27515.924576176618</v>
      </c>
      <c r="AD103" s="20">
        <f t="shared" si="84"/>
        <v>27451.550053768329</v>
      </c>
      <c r="AE103" s="20">
        <f t="shared" si="84"/>
        <v>27499.701968540652</v>
      </c>
      <c r="AF103" s="20">
        <f t="shared" si="84"/>
        <v>27247.094236417801</v>
      </c>
      <c r="AG103" s="20">
        <f t="shared" si="84"/>
        <v>26883.561747046151</v>
      </c>
      <c r="AH103" s="20">
        <f t="shared" si="84"/>
        <v>26800.571900540475</v>
      </c>
      <c r="AI103" s="20">
        <f t="shared" si="84"/>
        <v>26837.413689817451</v>
      </c>
      <c r="AJ103" s="20">
        <f t="shared" si="84"/>
        <v>26568.044309434212</v>
      </c>
      <c r="AK103" s="20">
        <f t="shared" si="84"/>
        <v>26185.672700153758</v>
      </c>
      <c r="AL103" s="20">
        <f t="shared" si="84"/>
        <v>26088.724989462909</v>
      </c>
      <c r="AM103" s="20">
        <f t="shared" si="84"/>
        <v>26120.681044955571</v>
      </c>
      <c r="AN103" s="20">
        <f t="shared" si="84"/>
        <v>26226.69822122304</v>
      </c>
      <c r="AO103" s="20">
        <f t="shared" si="84"/>
        <v>25837.242814343168</v>
      </c>
      <c r="AP103" s="20">
        <f t="shared" si="84"/>
        <v>25737.146443192501</v>
      </c>
      <c r="AQ103" s="20">
        <f t="shared" si="84"/>
        <v>25741.209907148994</v>
      </c>
      <c r="AR103" s="20">
        <f t="shared" si="84"/>
        <v>25413.39108905114</v>
      </c>
      <c r="AS103" s="20">
        <f t="shared" si="84"/>
        <v>24962.854587042322</v>
      </c>
      <c r="AT103" s="20">
        <f t="shared" si="84"/>
        <v>24821.002206172212</v>
      </c>
      <c r="AU103" s="20">
        <f t="shared" si="84"/>
        <v>24770.964530598703</v>
      </c>
      <c r="AV103" s="20">
        <f t="shared" si="84"/>
        <v>24350.684437092117</v>
      </c>
      <c r="AW103" s="20">
        <f t="shared" si="84"/>
        <v>23793.186710395403</v>
      </c>
      <c r="AX103" s="20">
        <f t="shared" si="84"/>
        <v>23579.089339909613</v>
      </c>
      <c r="AY103" s="20">
        <f t="shared" si="84"/>
        <v>23506.893882312517</v>
      </c>
      <c r="AZ103" s="20">
        <f t="shared" si="84"/>
        <v>23054.303277046401</v>
      </c>
      <c r="BA103" s="20">
        <f t="shared" si="84"/>
        <v>22460.615627841285</v>
      </c>
      <c r="BB103" s="20">
        <f t="shared" si="84"/>
        <v>22219.389434063422</v>
      </c>
      <c r="BC103" s="20">
        <f t="shared" si="84"/>
        <v>22136.342652448548</v>
      </c>
      <c r="BD103" s="20">
        <f t="shared" si="84"/>
        <v>21672.742972939624</v>
      </c>
      <c r="BE103" s="20">
        <f t="shared" si="84"/>
        <v>21067.930058058162</v>
      </c>
      <c r="BF103" s="20">
        <f t="shared" si="84"/>
        <v>20815.548934385439</v>
      </c>
      <c r="BG103" s="20">
        <f t="shared" si="84"/>
        <v>20702.234108289715</v>
      </c>
      <c r="BH103" s="20">
        <f t="shared" si="84"/>
        <v>20309.785659907564</v>
      </c>
      <c r="BI103" s="20">
        <f t="shared" si="84"/>
        <v>19650.317521965353</v>
      </c>
      <c r="BJ103" s="20">
        <f t="shared" si="84"/>
        <v>19359.401555609998</v>
      </c>
      <c r="BK103" s="20">
        <f t="shared" si="84"/>
        <v>19210.383514027188</v>
      </c>
      <c r="BL103" s="20">
        <f t="shared" si="84"/>
        <v>18643.752093130264</v>
      </c>
      <c r="BM103" s="20">
        <f t="shared" si="84"/>
        <v>17921.800758838261</v>
      </c>
      <c r="BN103" s="20">
        <f t="shared" si="84"/>
        <v>17585.557352690012</v>
      </c>
      <c r="BO103" s="20">
        <f t="shared" si="84"/>
        <v>17390.630296482512</v>
      </c>
      <c r="BP103" s="20">
        <f t="shared" si="84"/>
        <v>16752.349668160634</v>
      </c>
      <c r="BQ103" s="20">
        <f t="shared" si="84"/>
        <v>15948.964592736305</v>
      </c>
      <c r="BR103" s="20">
        <f t="shared" si="84"/>
        <v>15554.417423202809</v>
      </c>
      <c r="BS103" s="20">
        <f t="shared" si="84"/>
        <v>15313.609393896721</v>
      </c>
      <c r="BT103" s="20">
        <f t="shared" si="84"/>
        <v>14605.514610145165</v>
      </c>
      <c r="BU103" s="20">
        <f t="shared" si="84"/>
        <v>13723.200220391202</v>
      </c>
      <c r="BV103" s="20">
        <f t="shared" si="84"/>
        <v>13271.176544130987</v>
      </c>
      <c r="BW103" s="20">
        <f t="shared" si="84"/>
        <v>13036.593679023663</v>
      </c>
      <c r="BX103" s="20">
        <f t="shared" ref="BX103:DQ103" si="85">BX37</f>
        <v>12538.237296677458</v>
      </c>
      <c r="BY103" s="20">
        <f t="shared" si="85"/>
        <v>11914.116300276983</v>
      </c>
      <c r="BZ103" s="20">
        <f t="shared" si="85"/>
        <v>11600.99884833652</v>
      </c>
      <c r="CA103" s="20">
        <f t="shared" si="85"/>
        <v>11421.016897812366</v>
      </c>
      <c r="CB103" s="20">
        <f t="shared" si="85"/>
        <v>10992.746714131383</v>
      </c>
      <c r="CC103" s="20">
        <f t="shared" si="85"/>
        <v>10337.734860076416</v>
      </c>
      <c r="CD103" s="20">
        <f t="shared" si="85"/>
        <v>10000.735598334984</v>
      </c>
      <c r="CE103" s="20">
        <f t="shared" si="85"/>
        <v>9784.356640234475</v>
      </c>
      <c r="CF103" s="20">
        <f t="shared" si="85"/>
        <v>9204.8350868635735</v>
      </c>
      <c r="CG103" s="20">
        <f t="shared" si="85"/>
        <v>8489.7156028503832</v>
      </c>
      <c r="CH103" s="20">
        <f t="shared" si="85"/>
        <v>8108.403507918767</v>
      </c>
      <c r="CI103" s="20">
        <f t="shared" si="85"/>
        <v>7863.1711676591958</v>
      </c>
      <c r="CJ103" s="20">
        <f t="shared" si="85"/>
        <v>7244.053611889377</v>
      </c>
      <c r="CK103" s="20">
        <f t="shared" si="85"/>
        <v>6485.1994050306121</v>
      </c>
      <c r="CL103" s="20">
        <f t="shared" si="85"/>
        <v>6069.6390103146214</v>
      </c>
      <c r="CM103" s="20">
        <f t="shared" si="85"/>
        <v>5776.0152551710507</v>
      </c>
      <c r="CN103" s="20">
        <f t="shared" si="85"/>
        <v>5082.9064634319429</v>
      </c>
      <c r="CO103" s="20">
        <f t="shared" si="85"/>
        <v>4240.3100098686455</v>
      </c>
      <c r="CP103" s="20">
        <f t="shared" si="85"/>
        <v>3763.9539296851722</v>
      </c>
      <c r="CQ103" s="20">
        <f t="shared" si="85"/>
        <v>3425.529678332854</v>
      </c>
      <c r="CR103" s="20">
        <f t="shared" si="85"/>
        <v>2666.8089278061461</v>
      </c>
      <c r="CS103" s="20">
        <f t="shared" si="85"/>
        <v>1750.6432166253562</v>
      </c>
      <c r="CT103" s="20">
        <f t="shared" si="85"/>
        <v>1219.2803587321143</v>
      </c>
      <c r="CU103" s="20">
        <f t="shared" si="85"/>
        <v>831.29296509239123</v>
      </c>
      <c r="CV103" s="20">
        <f t="shared" si="85"/>
        <v>-3.1450326787307863E-11</v>
      </c>
      <c r="CW103" s="20">
        <f t="shared" si="85"/>
        <v>-3.1725517146696805E-11</v>
      </c>
      <c r="CX103" s="20">
        <f t="shared" si="85"/>
        <v>-3.2003115421730404E-11</v>
      </c>
      <c r="CY103" s="20">
        <f t="shared" si="85"/>
        <v>-3.2283142681670542E-11</v>
      </c>
      <c r="CZ103" s="20">
        <f t="shared" si="85"/>
        <v>-3.2565620180135163E-11</v>
      </c>
      <c r="DA103" s="20">
        <f t="shared" si="85"/>
        <v>-3.2850569356711345E-11</v>
      </c>
      <c r="DB103" s="20">
        <f t="shared" si="85"/>
        <v>-3.3138011838582564E-11</v>
      </c>
      <c r="DC103" s="20">
        <f t="shared" si="85"/>
        <v>-3.3427969442170164E-11</v>
      </c>
      <c r="DD103" s="20">
        <f t="shared" si="85"/>
        <v>-3.3720464174789154E-11</v>
      </c>
      <c r="DE103" s="20">
        <f t="shared" si="85"/>
        <v>-3.4015518236318561E-11</v>
      </c>
      <c r="DF103" s="20">
        <f t="shared" si="85"/>
        <v>-3.431315402088635E-11</v>
      </c>
      <c r="DG103" s="20">
        <f t="shared" si="85"/>
        <v>-3.4613394118569101E-11</v>
      </c>
      <c r="DH103" s="20">
        <f t="shared" si="85"/>
        <v>-3.4916261317106584E-11</v>
      </c>
      <c r="DI103" s="20">
        <f t="shared" si="85"/>
        <v>-3.5221778603631266E-11</v>
      </c>
      <c r="DJ103" s="20">
        <f t="shared" si="85"/>
        <v>-3.5529969166413043E-11</v>
      </c>
      <c r="DK103" s="20">
        <f t="shared" si="85"/>
        <v>-3.584085639661915E-11</v>
      </c>
      <c r="DL103" s="20">
        <f t="shared" si="85"/>
        <v>-3.6154463890089569E-11</v>
      </c>
      <c r="DM103" s="20">
        <f t="shared" si="85"/>
        <v>-3.647081544912785E-11</v>
      </c>
      <c r="DN103" s="20">
        <f t="shared" si="85"/>
        <v>-3.6789935084307726E-11</v>
      </c>
      <c r="DO103" s="20">
        <f t="shared" si="85"/>
        <v>-3.7111847016295421E-11</v>
      </c>
      <c r="DP103" s="20">
        <f t="shared" si="85"/>
        <v>-3.7436575677688005E-11</v>
      </c>
      <c r="DQ103" s="20">
        <f t="shared" si="85"/>
        <v>-3.7764145714867776E-11</v>
      </c>
    </row>
    <row r="104" spans="2:1006" ht="15" thickBot="1" x14ac:dyDescent="0.4">
      <c r="D104" s="39" t="s">
        <v>338</v>
      </c>
      <c r="E104" s="39"/>
      <c r="F104" s="39"/>
      <c r="G104" s="39"/>
      <c r="H104" s="39"/>
      <c r="I104" s="55">
        <f>SUM(K104:DQ104)</f>
        <v>3409676.2875796366</v>
      </c>
      <c r="J104" s="39" t="s">
        <v>347</v>
      </c>
      <c r="K104" s="39">
        <f>K102-K103</f>
        <v>0</v>
      </c>
      <c r="L104" s="39">
        <f t="shared" ref="L104:BW104" si="86">L102-L103</f>
        <v>0</v>
      </c>
      <c r="M104" s="39">
        <f t="shared" si="86"/>
        <v>0</v>
      </c>
      <c r="N104" s="39">
        <f t="shared" si="86"/>
        <v>0</v>
      </c>
      <c r="O104" s="39">
        <f t="shared" si="86"/>
        <v>0</v>
      </c>
      <c r="P104" s="39">
        <f t="shared" si="86"/>
        <v>0</v>
      </c>
      <c r="Q104" s="39">
        <f t="shared" si="86"/>
        <v>0</v>
      </c>
      <c r="R104" s="39">
        <f t="shared" si="86"/>
        <v>0</v>
      </c>
      <c r="S104" s="39">
        <f t="shared" si="86"/>
        <v>0</v>
      </c>
      <c r="T104" s="39">
        <f t="shared" si="86"/>
        <v>39640.614084970715</v>
      </c>
      <c r="U104" s="39">
        <f t="shared" si="86"/>
        <v>7223.6024462331916</v>
      </c>
      <c r="V104" s="39">
        <f t="shared" si="86"/>
        <v>-7619.3496053663657</v>
      </c>
      <c r="W104" s="39">
        <f t="shared" si="86"/>
        <v>26922.465998246145</v>
      </c>
      <c r="X104" s="39">
        <f t="shared" si="86"/>
        <v>39650.699552865452</v>
      </c>
      <c r="Y104" s="39">
        <f t="shared" si="86"/>
        <v>7396.2839163953358</v>
      </c>
      <c r="Z104" s="39">
        <f t="shared" si="86"/>
        <v>-7371.4955823496311</v>
      </c>
      <c r="AA104" s="39">
        <f t="shared" si="86"/>
        <v>26999.806972346491</v>
      </c>
      <c r="AB104" s="39">
        <f t="shared" si="86"/>
        <v>39666.062599041994</v>
      </c>
      <c r="AC104" s="39">
        <f t="shared" si="86"/>
        <v>7573.4732245048181</v>
      </c>
      <c r="AD104" s="39">
        <f t="shared" si="86"/>
        <v>-5664.9311496851442</v>
      </c>
      <c r="AE104" s="39">
        <f t="shared" si="86"/>
        <v>29718.556720335513</v>
      </c>
      <c r="AF104" s="39">
        <f t="shared" si="86"/>
        <v>42768.528161370705</v>
      </c>
      <c r="AG104" s="39">
        <f t="shared" si="86"/>
        <v>9763.5113536087229</v>
      </c>
      <c r="AH104" s="39">
        <f t="shared" si="86"/>
        <v>-4334.3281502322025</v>
      </c>
      <c r="AI104" s="39">
        <f t="shared" si="86"/>
        <v>31690.515339204536</v>
      </c>
      <c r="AJ104" s="39">
        <f t="shared" si="86"/>
        <v>44984.895209465169</v>
      </c>
      <c r="AK104" s="39">
        <f t="shared" si="86"/>
        <v>11405.613022452468</v>
      </c>
      <c r="AL104" s="39">
        <f t="shared" si="86"/>
        <v>-3759.5359403125512</v>
      </c>
      <c r="AM104" s="39">
        <f t="shared" si="86"/>
        <v>32244.694047344608</v>
      </c>
      <c r="AN104" s="39">
        <f t="shared" si="86"/>
        <v>45154.250073028699</v>
      </c>
      <c r="AO104" s="39">
        <f t="shared" si="86"/>
        <v>11605.376365294498</v>
      </c>
      <c r="AP104" s="39">
        <f t="shared" si="86"/>
        <v>-471.12625582538749</v>
      </c>
      <c r="AQ104" s="39">
        <f t="shared" si="86"/>
        <v>38007.978909896061</v>
      </c>
      <c r="AR104" s="39">
        <f t="shared" si="86"/>
        <v>52236.116174935443</v>
      </c>
      <c r="AS104" s="39">
        <f t="shared" si="86"/>
        <v>16446.652854505559</v>
      </c>
      <c r="AT104" s="39">
        <f t="shared" si="86"/>
        <v>5801.4696317112393</v>
      </c>
      <c r="AU104" s="39">
        <f t="shared" si="86"/>
        <v>48728.1267833725</v>
      </c>
      <c r="AV104" s="39">
        <f t="shared" si="86"/>
        <v>64637.417588024924</v>
      </c>
      <c r="AW104" s="39">
        <f t="shared" si="86"/>
        <v>24822.883534584198</v>
      </c>
      <c r="AX104" s="39">
        <f t="shared" si="86"/>
        <v>8370.4878373442116</v>
      </c>
      <c r="AY104" s="39">
        <f t="shared" si="86"/>
        <v>52474.273074332814</v>
      </c>
      <c r="AZ104" s="39">
        <f t="shared" si="86"/>
        <v>68833.350632477217</v>
      </c>
      <c r="BA104" s="39">
        <f t="shared" si="86"/>
        <v>27968.254351056672</v>
      </c>
      <c r="BB104" s="39">
        <f t="shared" si="86"/>
        <v>9628.6123611447401</v>
      </c>
      <c r="BC104" s="39">
        <f t="shared" si="86"/>
        <v>53750.687479295339</v>
      </c>
      <c r="BD104" s="39">
        <f t="shared" si="86"/>
        <v>70123.236507996073</v>
      </c>
      <c r="BE104" s="39">
        <f t="shared" si="86"/>
        <v>29261.579556257559</v>
      </c>
      <c r="BF104" s="39">
        <f t="shared" si="86"/>
        <v>13137.950851678394</v>
      </c>
      <c r="BG104" s="39">
        <f t="shared" si="86"/>
        <v>59073.360199947987</v>
      </c>
      <c r="BH104" s="39">
        <f t="shared" si="86"/>
        <v>76019.381895355808</v>
      </c>
      <c r="BI104" s="39">
        <f t="shared" si="86"/>
        <v>33534.981712433117</v>
      </c>
      <c r="BJ104" s="39">
        <f t="shared" si="86"/>
        <v>17177.872228566142</v>
      </c>
      <c r="BK104" s="39">
        <f t="shared" si="86"/>
        <v>65317.743042872549</v>
      </c>
      <c r="BL104" s="39">
        <f t="shared" si="86"/>
        <v>83222.05582616778</v>
      </c>
      <c r="BM104" s="39">
        <f t="shared" si="86"/>
        <v>38760.046818241739</v>
      </c>
      <c r="BN104" s="39">
        <f t="shared" si="86"/>
        <v>22469.977660806791</v>
      </c>
      <c r="BO104" s="39">
        <f t="shared" si="86"/>
        <v>73577.017673991795</v>
      </c>
      <c r="BP104" s="39">
        <f t="shared" si="86"/>
        <v>92609.230596464346</v>
      </c>
      <c r="BQ104" s="39">
        <f t="shared" si="86"/>
        <v>45480.941732968029</v>
      </c>
      <c r="BR104" s="39">
        <f t="shared" si="86"/>
        <v>27758.850640471232</v>
      </c>
      <c r="BS104" s="39">
        <f t="shared" si="86"/>
        <v>81624.758933896825</v>
      </c>
      <c r="BT104" s="39">
        <f t="shared" si="86"/>
        <v>101707.71063446243</v>
      </c>
      <c r="BU104" s="39">
        <f t="shared" si="86"/>
        <v>52106.475649592525</v>
      </c>
      <c r="BV104" s="39">
        <f t="shared" si="86"/>
        <v>27041.252461939253</v>
      </c>
      <c r="BW104" s="39">
        <f t="shared" si="86"/>
        <v>57447.421596104192</v>
      </c>
      <c r="BX104" s="39">
        <f t="shared" ref="BX104:DQ104" si="87">BX102-BX103</f>
        <v>71944.783446740912</v>
      </c>
      <c r="BY104" s="39">
        <f t="shared" si="87"/>
        <v>36094.230771234972</v>
      </c>
      <c r="BZ104" s="39">
        <f t="shared" si="87"/>
        <v>20747.198907683382</v>
      </c>
      <c r="CA104" s="39">
        <f t="shared" si="87"/>
        <v>60229.82443169663</v>
      </c>
      <c r="CB104" s="39">
        <f t="shared" si="87"/>
        <v>74858.497606281904</v>
      </c>
      <c r="CC104" s="39">
        <f t="shared" si="87"/>
        <v>38514.201341878019</v>
      </c>
      <c r="CD104" s="39">
        <f t="shared" si="87"/>
        <v>24729.023782915523</v>
      </c>
      <c r="CE104" s="39">
        <f t="shared" si="87"/>
        <v>66231.034670960144</v>
      </c>
      <c r="CF104" s="39">
        <f t="shared" si="87"/>
        <v>81727.941030078815</v>
      </c>
      <c r="CG104" s="39">
        <f t="shared" si="87"/>
        <v>43578.525135041877</v>
      </c>
      <c r="CH104" s="39">
        <f t="shared" si="87"/>
        <v>28026.553172522457</v>
      </c>
      <c r="CI104" s="39">
        <f t="shared" si="87"/>
        <v>70756.292087979265</v>
      </c>
      <c r="CJ104" s="39">
        <f t="shared" si="87"/>
        <v>86726.195069573121</v>
      </c>
      <c r="CK104" s="39">
        <f t="shared" si="87"/>
        <v>47492.61653897044</v>
      </c>
      <c r="CL104" s="39">
        <f t="shared" si="87"/>
        <v>33557.000587836563</v>
      </c>
      <c r="CM104" s="39">
        <f t="shared" si="87"/>
        <v>79212.433341612385</v>
      </c>
      <c r="CN104" s="39">
        <f t="shared" si="87"/>
        <v>96296.737550091158</v>
      </c>
      <c r="CO104" s="39">
        <f t="shared" si="87"/>
        <v>54440.694878111193</v>
      </c>
      <c r="CP104" s="39">
        <f t="shared" si="87"/>
        <v>38677.057297407773</v>
      </c>
      <c r="CQ104" s="39">
        <f t="shared" si="87"/>
        <v>86710.942917338063</v>
      </c>
      <c r="CR104" s="39">
        <f t="shared" si="87"/>
        <v>104704.652706376</v>
      </c>
      <c r="CS104" s="39">
        <f t="shared" si="87"/>
        <v>60727.183759227635</v>
      </c>
      <c r="CT104" s="39">
        <f t="shared" si="87"/>
        <v>44341.416415968364</v>
      </c>
      <c r="CU104" s="39">
        <f t="shared" si="87"/>
        <v>95004.910296276867</v>
      </c>
      <c r="CV104" s="39">
        <f t="shared" si="87"/>
        <v>3.1450326787307863E-11</v>
      </c>
      <c r="CW104" s="39">
        <f t="shared" si="87"/>
        <v>3.1725517146696805E-11</v>
      </c>
      <c r="CX104" s="39">
        <f t="shared" si="87"/>
        <v>3.2003115421730404E-11</v>
      </c>
      <c r="CY104" s="39">
        <f t="shared" si="87"/>
        <v>3.2283142681670542E-11</v>
      </c>
      <c r="CZ104" s="39">
        <f t="shared" si="87"/>
        <v>3.2565620180135163E-11</v>
      </c>
      <c r="DA104" s="39">
        <f t="shared" si="87"/>
        <v>3.2850569356711345E-11</v>
      </c>
      <c r="DB104" s="39">
        <f t="shared" si="87"/>
        <v>3.3138011838582564E-11</v>
      </c>
      <c r="DC104" s="39">
        <f t="shared" si="87"/>
        <v>3.3427969442170164E-11</v>
      </c>
      <c r="DD104" s="39">
        <f t="shared" si="87"/>
        <v>3.3720464174789154E-11</v>
      </c>
      <c r="DE104" s="39">
        <f t="shared" si="87"/>
        <v>3.4015518236318561E-11</v>
      </c>
      <c r="DF104" s="39">
        <f t="shared" si="87"/>
        <v>3.431315402088635E-11</v>
      </c>
      <c r="DG104" s="39">
        <f t="shared" si="87"/>
        <v>3.4613394118569101E-11</v>
      </c>
      <c r="DH104" s="39">
        <f t="shared" si="87"/>
        <v>3.4916261317106584E-11</v>
      </c>
      <c r="DI104" s="39">
        <f t="shared" si="87"/>
        <v>3.5221778603631266E-11</v>
      </c>
      <c r="DJ104" s="39">
        <f t="shared" si="87"/>
        <v>3.5529969166413043E-11</v>
      </c>
      <c r="DK104" s="39">
        <f t="shared" si="87"/>
        <v>3.584085639661915E-11</v>
      </c>
      <c r="DL104" s="39">
        <f t="shared" si="87"/>
        <v>3.6154463890089569E-11</v>
      </c>
      <c r="DM104" s="39">
        <f t="shared" si="87"/>
        <v>3.647081544912785E-11</v>
      </c>
      <c r="DN104" s="39">
        <f t="shared" si="87"/>
        <v>3.6789935084307726E-11</v>
      </c>
      <c r="DO104" s="39">
        <f t="shared" si="87"/>
        <v>3.7111847016295421E-11</v>
      </c>
      <c r="DP104" s="39">
        <f t="shared" si="87"/>
        <v>3.7436575677688005E-11</v>
      </c>
      <c r="DQ104" s="39">
        <f t="shared" si="87"/>
        <v>3.7764145714867776E-11</v>
      </c>
    </row>
    <row r="106" spans="2:1006" x14ac:dyDescent="0.35">
      <c r="D106" s="20" t="s">
        <v>335</v>
      </c>
      <c r="J106" s="20" t="s">
        <v>348</v>
      </c>
      <c r="K106" s="28">
        <v>0</v>
      </c>
      <c r="L106" s="28">
        <v>0</v>
      </c>
      <c r="M106" s="28">
        <v>0</v>
      </c>
      <c r="N106" s="28">
        <v>0</v>
      </c>
      <c r="O106" s="28">
        <v>0</v>
      </c>
      <c r="P106" s="28">
        <v>0</v>
      </c>
      <c r="Q106" s="28">
        <v>0</v>
      </c>
      <c r="R106" s="28">
        <v>0</v>
      </c>
      <c r="S106" s="28">
        <v>0</v>
      </c>
      <c r="T106" s="28">
        <v>1</v>
      </c>
      <c r="U106" s="28">
        <v>2</v>
      </c>
      <c r="V106" s="28">
        <v>3</v>
      </c>
      <c r="W106" s="28">
        <v>4</v>
      </c>
      <c r="X106" s="28">
        <v>5</v>
      </c>
      <c r="Y106" s="28">
        <v>6</v>
      </c>
      <c r="Z106" s="28">
        <v>7</v>
      </c>
      <c r="AA106" s="28">
        <v>8</v>
      </c>
      <c r="AB106" s="28">
        <v>9</v>
      </c>
      <c r="AC106" s="28">
        <v>10</v>
      </c>
      <c r="AD106" s="28">
        <v>11</v>
      </c>
      <c r="AE106" s="28">
        <v>12</v>
      </c>
      <c r="AF106" s="28">
        <v>13</v>
      </c>
      <c r="AG106" s="28">
        <v>14</v>
      </c>
      <c r="AH106" s="28">
        <v>15</v>
      </c>
      <c r="AI106" s="28">
        <v>16</v>
      </c>
      <c r="AJ106" s="28">
        <v>17</v>
      </c>
      <c r="AK106" s="28">
        <v>18</v>
      </c>
      <c r="AL106" s="28">
        <v>19</v>
      </c>
      <c r="AM106" s="28">
        <v>20</v>
      </c>
      <c r="AN106" s="28">
        <v>21</v>
      </c>
      <c r="AO106" s="28">
        <v>22</v>
      </c>
      <c r="AP106" s="28">
        <v>23</v>
      </c>
      <c r="AQ106" s="28">
        <v>24</v>
      </c>
      <c r="AR106" s="28">
        <v>25</v>
      </c>
      <c r="AS106" s="28">
        <v>26</v>
      </c>
      <c r="AT106" s="28">
        <v>27</v>
      </c>
      <c r="AU106" s="28">
        <v>28</v>
      </c>
      <c r="AV106" s="28">
        <v>29</v>
      </c>
      <c r="AW106" s="28">
        <v>30</v>
      </c>
      <c r="AX106" s="28">
        <v>31</v>
      </c>
      <c r="AY106" s="28">
        <v>32</v>
      </c>
      <c r="AZ106" s="28">
        <v>33</v>
      </c>
      <c r="BA106" s="28">
        <v>34</v>
      </c>
      <c r="BB106" s="28">
        <v>35</v>
      </c>
      <c r="BC106" s="28">
        <v>36</v>
      </c>
      <c r="BD106" s="28">
        <v>37</v>
      </c>
      <c r="BE106" s="28">
        <v>38</v>
      </c>
      <c r="BF106" s="28">
        <v>39</v>
      </c>
      <c r="BG106" s="28">
        <v>40</v>
      </c>
      <c r="BH106" s="28">
        <v>41</v>
      </c>
      <c r="BI106" s="28">
        <v>42</v>
      </c>
      <c r="BJ106" s="28">
        <v>43</v>
      </c>
      <c r="BK106" s="28">
        <v>44</v>
      </c>
      <c r="BL106" s="28">
        <v>45</v>
      </c>
      <c r="BM106" s="28">
        <v>46</v>
      </c>
      <c r="BN106" s="28">
        <v>47</v>
      </c>
      <c r="BO106" s="28">
        <v>48</v>
      </c>
      <c r="BP106" s="28">
        <v>49</v>
      </c>
      <c r="BQ106" s="28">
        <v>50</v>
      </c>
      <c r="BR106" s="28">
        <v>50</v>
      </c>
      <c r="BS106" s="28">
        <v>50</v>
      </c>
      <c r="BT106" s="28">
        <v>50</v>
      </c>
      <c r="BU106" s="28">
        <v>50</v>
      </c>
      <c r="BV106" s="28">
        <v>50</v>
      </c>
      <c r="BW106" s="28">
        <v>50</v>
      </c>
      <c r="BX106" s="28">
        <v>50</v>
      </c>
      <c r="BY106" s="28">
        <v>50</v>
      </c>
      <c r="BZ106" s="28">
        <v>50</v>
      </c>
      <c r="CA106" s="28">
        <v>50</v>
      </c>
      <c r="CB106" s="28">
        <v>50</v>
      </c>
      <c r="CC106" s="28">
        <v>50</v>
      </c>
      <c r="CD106" s="28">
        <v>50</v>
      </c>
      <c r="CE106" s="28">
        <v>50</v>
      </c>
      <c r="CF106" s="28">
        <v>50</v>
      </c>
      <c r="CG106" s="28">
        <v>50</v>
      </c>
      <c r="CH106" s="28">
        <v>50</v>
      </c>
      <c r="CI106" s="28">
        <v>50</v>
      </c>
      <c r="CJ106" s="28">
        <v>50</v>
      </c>
      <c r="CK106" s="28">
        <v>50</v>
      </c>
      <c r="CL106" s="28">
        <v>50</v>
      </c>
      <c r="CM106" s="28">
        <v>50</v>
      </c>
      <c r="CN106" s="28">
        <v>50</v>
      </c>
      <c r="CO106" s="28">
        <v>50</v>
      </c>
      <c r="CP106" s="28">
        <v>50</v>
      </c>
      <c r="CQ106" s="28">
        <v>50</v>
      </c>
      <c r="CR106" s="28">
        <v>50</v>
      </c>
      <c r="CS106" s="28">
        <v>50</v>
      </c>
      <c r="CT106" s="28">
        <v>50</v>
      </c>
      <c r="CU106" s="28">
        <v>50</v>
      </c>
      <c r="CV106" s="28">
        <v>50</v>
      </c>
      <c r="CW106" s="28">
        <v>50</v>
      </c>
      <c r="CX106" s="28">
        <v>50</v>
      </c>
      <c r="CY106" s="28">
        <v>50</v>
      </c>
      <c r="CZ106" s="28">
        <v>50</v>
      </c>
      <c r="DA106" s="28">
        <v>50</v>
      </c>
      <c r="DB106" s="28">
        <v>50</v>
      </c>
      <c r="DC106" s="28">
        <v>50</v>
      </c>
      <c r="DD106" s="28">
        <v>50</v>
      </c>
      <c r="DE106" s="28">
        <v>50</v>
      </c>
      <c r="DF106" s="28">
        <v>50</v>
      </c>
      <c r="DG106" s="28">
        <v>50</v>
      </c>
      <c r="DH106" s="28">
        <v>50</v>
      </c>
      <c r="DI106" s="28">
        <v>50</v>
      </c>
      <c r="DJ106" s="28">
        <v>50</v>
      </c>
      <c r="DK106" s="28">
        <v>50</v>
      </c>
      <c r="DL106" s="28">
        <v>50</v>
      </c>
      <c r="DM106" s="28">
        <v>50</v>
      </c>
      <c r="DN106" s="28">
        <v>50</v>
      </c>
      <c r="DO106" s="28">
        <v>50</v>
      </c>
      <c r="DP106" s="28">
        <v>50</v>
      </c>
      <c r="DQ106" s="28">
        <v>50</v>
      </c>
    </row>
    <row r="107" spans="2:1006" x14ac:dyDescent="0.35">
      <c r="D107" s="20" t="s">
        <v>336</v>
      </c>
      <c r="I107" s="54">
        <f>SUM(K107:DQ107)</f>
        <v>3525191.066403449</v>
      </c>
      <c r="J107" s="20" t="s">
        <v>349</v>
      </c>
      <c r="K107" s="28">
        <v>0</v>
      </c>
      <c r="L107" s="28">
        <v>0</v>
      </c>
      <c r="M107" s="28">
        <v>0</v>
      </c>
      <c r="N107" s="28">
        <v>0</v>
      </c>
      <c r="O107" s="28">
        <v>0</v>
      </c>
      <c r="P107" s="28">
        <v>0</v>
      </c>
      <c r="Q107" s="28">
        <v>0</v>
      </c>
      <c r="R107" s="28">
        <v>0</v>
      </c>
      <c r="S107" s="28">
        <v>0</v>
      </c>
      <c r="T107" s="28">
        <v>8048.5491767602871</v>
      </c>
      <c r="U107" s="28">
        <v>67960.426979427299</v>
      </c>
      <c r="V107" s="28">
        <v>8585.9839076612261</v>
      </c>
      <c r="W107" s="28">
        <v>68207.757889947767</v>
      </c>
      <c r="X107" s="28">
        <v>9136.7980499655896</v>
      </c>
      <c r="Y107" s="28">
        <v>68470.159048497997</v>
      </c>
      <c r="Z107" s="28">
        <v>13378.531365728006</v>
      </c>
      <c r="AA107" s="28">
        <v>74499.636948241052</v>
      </c>
      <c r="AB107" s="28">
        <v>16636.186780617129</v>
      </c>
      <c r="AC107" s="28">
        <v>78895.806027828396</v>
      </c>
      <c r="AD107" s="28">
        <v>17182.105773384392</v>
      </c>
      <c r="AE107" s="28">
        <v>79410.601460625505</v>
      </c>
      <c r="AF107" s="28">
        <v>26319.497146771508</v>
      </c>
      <c r="AG107" s="28">
        <v>92914.644070510287</v>
      </c>
      <c r="AH107" s="28">
        <v>41964.911135263756</v>
      </c>
      <c r="AI107" s="28">
        <v>116387.73165368175</v>
      </c>
      <c r="AJ107" s="28">
        <v>48099.4309254533</v>
      </c>
      <c r="AK107" s="28">
        <v>124614.25685126863</v>
      </c>
      <c r="AL107" s="28">
        <v>50870.548650371471</v>
      </c>
      <c r="AM107" s="28">
        <v>127445.09600535985</v>
      </c>
      <c r="AN107" s="28">
        <v>59079.842644928292</v>
      </c>
      <c r="AO107" s="28">
        <v>138868.66629796926</v>
      </c>
      <c r="AP107" s="28">
        <v>69095.937784648821</v>
      </c>
      <c r="AQ107" s="28">
        <v>152788.84394548557</v>
      </c>
      <c r="AR107" s="28">
        <v>81890.373043677144</v>
      </c>
      <c r="AS107" s="28">
        <v>170830.18329304963</v>
      </c>
      <c r="AT107" s="28">
        <v>94561.833991502004</v>
      </c>
      <c r="AU107" s="28">
        <v>142967.39304306</v>
      </c>
      <c r="AV107" s="28">
        <v>65019.714794872642</v>
      </c>
      <c r="AW107" s="28">
        <v>132754.86413612732</v>
      </c>
      <c r="AX107" s="28">
        <v>69836.824506072066</v>
      </c>
      <c r="AY107" s="28">
        <v>138624.25386934992</v>
      </c>
      <c r="AZ107" s="28">
        <v>79542.728320925584</v>
      </c>
      <c r="BA107" s="28">
        <v>151910.93409586081</v>
      </c>
      <c r="BB107" s="28">
        <v>87183.207207913569</v>
      </c>
      <c r="BC107" s="28">
        <v>161747.01865135747</v>
      </c>
      <c r="BD107" s="28">
        <v>100404.70132929843</v>
      </c>
      <c r="BE107" s="28">
        <v>180149.40124082187</v>
      </c>
      <c r="BF107" s="28">
        <v>112467.84562809797</v>
      </c>
      <c r="BG107" s="28">
        <v>196437.83873108414</v>
      </c>
      <c r="BH107" s="28">
        <v>-1.5636032912880184E-10</v>
      </c>
      <c r="BI107" s="28">
        <v>-1.5909663488855587E-10</v>
      </c>
      <c r="BJ107" s="28">
        <v>-1.618808259991056E-10</v>
      </c>
      <c r="BK107" s="28">
        <v>-1.6471374045408993E-10</v>
      </c>
      <c r="BL107" s="28">
        <v>-1.675962309120365E-10</v>
      </c>
      <c r="BM107" s="28">
        <v>-1.7052916495299715E-10</v>
      </c>
      <c r="BN107" s="28">
        <v>-1.7351342533967459E-10</v>
      </c>
      <c r="BO107" s="28">
        <v>-1.7654991028311889E-10</v>
      </c>
      <c r="BP107" s="28">
        <v>-1.7963953371307347E-10</v>
      </c>
      <c r="BQ107" s="28">
        <v>-1.8278322555305227E-10</v>
      </c>
      <c r="BR107" s="28">
        <v>-1.859819320002307E-10</v>
      </c>
      <c r="BS107" s="28">
        <v>-1.8923661581023473E-10</v>
      </c>
      <c r="BT107" s="28">
        <v>-1.9254825658691383E-10</v>
      </c>
      <c r="BU107" s="28">
        <v>-1.9591785107718483E-10</v>
      </c>
      <c r="BV107" s="28">
        <v>-1.9934641347103555E-10</v>
      </c>
      <c r="BW107" s="28">
        <v>-2.0283497570677865E-10</v>
      </c>
      <c r="BX107" s="28">
        <v>-2.0638458778164727E-10</v>
      </c>
      <c r="BY107" s="28">
        <v>-2.0999631806782613E-10</v>
      </c>
      <c r="BZ107" s="28">
        <v>-2.136712536340131E-10</v>
      </c>
      <c r="CA107" s="28">
        <v>-2.1741050057260831E-10</v>
      </c>
      <c r="CB107" s="28">
        <v>-2.2121518433262897E-10</v>
      </c>
      <c r="CC107" s="28">
        <v>-2.2508645005844995E-10</v>
      </c>
      <c r="CD107" s="28">
        <v>-2.2902546293447283E-10</v>
      </c>
      <c r="CE107" s="28">
        <v>-2.3303340853582612E-10</v>
      </c>
      <c r="CF107" s="28">
        <v>-2.3711149318520308E-10</v>
      </c>
      <c r="CG107" s="28">
        <v>-2.412609443159441E-10</v>
      </c>
      <c r="CH107" s="28">
        <v>-2.4548301084147314E-10</v>
      </c>
      <c r="CI107" s="28">
        <v>-2.4977896353119889E-10</v>
      </c>
      <c r="CJ107" s="28">
        <v>-2.5415009539299491E-10</v>
      </c>
      <c r="CK107" s="28">
        <v>-2.5859772206237229E-10</v>
      </c>
      <c r="CL107" s="28">
        <v>-2.631231821984638E-10</v>
      </c>
      <c r="CM107" s="28">
        <v>-2.6772783788693689E-10</v>
      </c>
      <c r="CN107" s="28">
        <v>-2.7241307504995829E-10</v>
      </c>
      <c r="CO107" s="28">
        <v>-2.7718030386333253E-10</v>
      </c>
      <c r="CP107" s="28">
        <v>-2.820309591809409E-10</v>
      </c>
      <c r="CQ107" s="28">
        <v>-2.8696650096660735E-10</v>
      </c>
      <c r="CR107" s="28">
        <v>-2.91988414733523E-10</v>
      </c>
      <c r="CS107" s="28">
        <v>-2.9709821199135965E-10</v>
      </c>
      <c r="CT107" s="28">
        <v>-3.0229743070120846E-10</v>
      </c>
      <c r="CU107" s="28">
        <v>-3.0758763573847964E-10</v>
      </c>
      <c r="CV107" s="28">
        <v>-3.1297041936390304E-10</v>
      </c>
      <c r="CW107" s="28">
        <v>-3.1844740170277132E-10</v>
      </c>
      <c r="CX107" s="28">
        <v>-3.2402023123256981E-10</v>
      </c>
      <c r="CY107" s="28">
        <v>-3.296905852791398E-10</v>
      </c>
      <c r="CZ107" s="28">
        <v>-3.3546017052152474E-10</v>
      </c>
      <c r="DA107" s="28">
        <v>-3.4133072350565141E-10</v>
      </c>
      <c r="DB107" s="28">
        <v>-3.4730401116700032E-10</v>
      </c>
      <c r="DC107" s="28">
        <v>-3.5338183136242288E-10</v>
      </c>
      <c r="DD107" s="28">
        <v>-3.5956601341126528E-10</v>
      </c>
      <c r="DE107" s="28">
        <v>-3.6585841864596242E-10</v>
      </c>
      <c r="DF107" s="28">
        <v>-3.7226094097226681E-10</v>
      </c>
      <c r="DG107" s="28">
        <v>-3.7877550743928148E-10</v>
      </c>
      <c r="DH107" s="28">
        <v>-3.8540407881946888E-10</v>
      </c>
      <c r="DI107" s="28">
        <v>-3.9214865019880962E-10</v>
      </c>
      <c r="DJ107" s="28">
        <v>-3.9901125157728881E-10</v>
      </c>
      <c r="DK107" s="28">
        <v>-4.0599394847989136E-10</v>
      </c>
      <c r="DL107" s="28">
        <v>-4.1309884257828945E-10</v>
      </c>
      <c r="DM107" s="28">
        <v>-4.2032807232340948E-10</v>
      </c>
      <c r="DN107" s="28">
        <v>-4.2768381358906919E-10</v>
      </c>
      <c r="DO107" s="28">
        <v>-4.3516828032687789E-10</v>
      </c>
      <c r="DP107" s="28">
        <v>-4.4278372523259827E-10</v>
      </c>
      <c r="DQ107" s="28">
        <v>-4.5053244042416871E-10</v>
      </c>
    </row>
    <row r="108" spans="2:1006" x14ac:dyDescent="0.35">
      <c r="D108" s="20" t="s">
        <v>337</v>
      </c>
      <c r="I108" s="54">
        <f>SUM(K108:DQ108)</f>
        <v>3525191.0664034425</v>
      </c>
      <c r="K108" s="20">
        <f>LOOKUP(K101,106:106,107:107)</f>
        <v>0</v>
      </c>
      <c r="L108" s="20">
        <f t="shared" ref="L108:BW108" si="88">LOOKUP(L101,106:106,107:107)</f>
        <v>0</v>
      </c>
      <c r="M108" s="20">
        <f t="shared" si="88"/>
        <v>0</v>
      </c>
      <c r="N108" s="20">
        <f t="shared" si="88"/>
        <v>0</v>
      </c>
      <c r="O108" s="20">
        <f t="shared" si="88"/>
        <v>0</v>
      </c>
      <c r="P108" s="20">
        <f t="shared" si="88"/>
        <v>0</v>
      </c>
      <c r="Q108" s="20">
        <f t="shared" si="88"/>
        <v>0</v>
      </c>
      <c r="R108" s="20">
        <f t="shared" si="88"/>
        <v>0</v>
      </c>
      <c r="S108" s="20">
        <f t="shared" si="88"/>
        <v>0</v>
      </c>
      <c r="T108" s="20">
        <f t="shared" si="88"/>
        <v>8048.5491767602871</v>
      </c>
      <c r="U108" s="20">
        <f t="shared" si="88"/>
        <v>67960.426979427299</v>
      </c>
      <c r="V108" s="20">
        <f t="shared" si="88"/>
        <v>8585.9839076612261</v>
      </c>
      <c r="W108" s="20">
        <f t="shared" si="88"/>
        <v>68207.757889947767</v>
      </c>
      <c r="X108" s="20">
        <f t="shared" si="88"/>
        <v>9136.7980499655896</v>
      </c>
      <c r="Y108" s="20">
        <f t="shared" si="88"/>
        <v>68470.159048497997</v>
      </c>
      <c r="Z108" s="20">
        <f t="shared" si="88"/>
        <v>13378.531365728006</v>
      </c>
      <c r="AA108" s="20">
        <f t="shared" si="88"/>
        <v>74499.636948241052</v>
      </c>
      <c r="AB108" s="20">
        <f t="shared" si="88"/>
        <v>16636.186780617129</v>
      </c>
      <c r="AC108" s="20">
        <f t="shared" si="88"/>
        <v>78895.806027828396</v>
      </c>
      <c r="AD108" s="20">
        <f t="shared" si="88"/>
        <v>17182.105773384392</v>
      </c>
      <c r="AE108" s="20">
        <f t="shared" si="88"/>
        <v>79410.601460625505</v>
      </c>
      <c r="AF108" s="20">
        <f t="shared" si="88"/>
        <v>26319.497146771508</v>
      </c>
      <c r="AG108" s="20">
        <f t="shared" si="88"/>
        <v>92914.644070510287</v>
      </c>
      <c r="AH108" s="20">
        <f t="shared" si="88"/>
        <v>41964.911135263756</v>
      </c>
      <c r="AI108" s="20">
        <f t="shared" si="88"/>
        <v>116387.73165368175</v>
      </c>
      <c r="AJ108" s="20">
        <f t="shared" si="88"/>
        <v>48099.4309254533</v>
      </c>
      <c r="AK108" s="20">
        <f t="shared" si="88"/>
        <v>124614.25685126863</v>
      </c>
      <c r="AL108" s="20">
        <f t="shared" si="88"/>
        <v>50870.548650371471</v>
      </c>
      <c r="AM108" s="20">
        <f t="shared" si="88"/>
        <v>127445.09600535985</v>
      </c>
      <c r="AN108" s="20">
        <f t="shared" si="88"/>
        <v>59079.842644928292</v>
      </c>
      <c r="AO108" s="20">
        <f t="shared" si="88"/>
        <v>138868.66629796926</v>
      </c>
      <c r="AP108" s="20">
        <f t="shared" si="88"/>
        <v>69095.937784648821</v>
      </c>
      <c r="AQ108" s="20">
        <f t="shared" si="88"/>
        <v>152788.84394548557</v>
      </c>
      <c r="AR108" s="20">
        <f t="shared" si="88"/>
        <v>81890.373043677144</v>
      </c>
      <c r="AS108" s="20">
        <f t="shared" si="88"/>
        <v>170830.18329304963</v>
      </c>
      <c r="AT108" s="20">
        <f t="shared" si="88"/>
        <v>94561.833991502004</v>
      </c>
      <c r="AU108" s="20">
        <f t="shared" si="88"/>
        <v>142967.39304306</v>
      </c>
      <c r="AV108" s="20">
        <f t="shared" si="88"/>
        <v>65019.714794872642</v>
      </c>
      <c r="AW108" s="20">
        <f t="shared" si="88"/>
        <v>132754.86413612732</v>
      </c>
      <c r="AX108" s="20">
        <f t="shared" si="88"/>
        <v>69836.824506072066</v>
      </c>
      <c r="AY108" s="20">
        <f t="shared" si="88"/>
        <v>138624.25386934992</v>
      </c>
      <c r="AZ108" s="20">
        <f t="shared" si="88"/>
        <v>79542.728320925584</v>
      </c>
      <c r="BA108" s="20">
        <f t="shared" si="88"/>
        <v>151910.93409586081</v>
      </c>
      <c r="BB108" s="20">
        <f t="shared" si="88"/>
        <v>87183.207207913569</v>
      </c>
      <c r="BC108" s="20">
        <f t="shared" si="88"/>
        <v>161747.01865135747</v>
      </c>
      <c r="BD108" s="20">
        <f t="shared" si="88"/>
        <v>100404.70132929843</v>
      </c>
      <c r="BE108" s="20">
        <f t="shared" si="88"/>
        <v>180149.40124082187</v>
      </c>
      <c r="BF108" s="20">
        <f t="shared" si="88"/>
        <v>112467.84562809797</v>
      </c>
      <c r="BG108" s="20">
        <f t="shared" si="88"/>
        <v>196437.83873108414</v>
      </c>
      <c r="BH108" s="20">
        <f t="shared" si="88"/>
        <v>-1.5636032912880184E-10</v>
      </c>
      <c r="BI108" s="20">
        <f t="shared" si="88"/>
        <v>-1.5909663488855587E-10</v>
      </c>
      <c r="BJ108" s="20">
        <f t="shared" si="88"/>
        <v>-1.618808259991056E-10</v>
      </c>
      <c r="BK108" s="20">
        <f t="shared" si="88"/>
        <v>-1.6471374045408993E-10</v>
      </c>
      <c r="BL108" s="20">
        <f t="shared" si="88"/>
        <v>-1.675962309120365E-10</v>
      </c>
      <c r="BM108" s="20">
        <f t="shared" si="88"/>
        <v>-1.7052916495299715E-10</v>
      </c>
      <c r="BN108" s="20">
        <f t="shared" si="88"/>
        <v>-1.7351342533967459E-10</v>
      </c>
      <c r="BO108" s="20">
        <f t="shared" si="88"/>
        <v>-1.7654991028311889E-10</v>
      </c>
      <c r="BP108" s="20">
        <f t="shared" si="88"/>
        <v>-1.7963953371307347E-10</v>
      </c>
      <c r="BQ108" s="20">
        <f t="shared" si="88"/>
        <v>-4.5053244042416871E-10</v>
      </c>
      <c r="BR108" s="20">
        <f t="shared" si="88"/>
        <v>-4.5053244042416871E-10</v>
      </c>
      <c r="BS108" s="20">
        <f t="shared" si="88"/>
        <v>-4.5053244042416871E-10</v>
      </c>
      <c r="BT108" s="20">
        <f t="shared" si="88"/>
        <v>-4.5053244042416871E-10</v>
      </c>
      <c r="BU108" s="20">
        <f t="shared" si="88"/>
        <v>-4.5053244042416871E-10</v>
      </c>
      <c r="BV108" s="20">
        <f t="shared" si="88"/>
        <v>-4.5053244042416871E-10</v>
      </c>
      <c r="BW108" s="20">
        <f t="shared" si="88"/>
        <v>-4.5053244042416871E-10</v>
      </c>
      <c r="BX108" s="20">
        <f t="shared" ref="BX108:DQ108" si="89">LOOKUP(BX101,106:106,107:107)</f>
        <v>-4.5053244042416871E-10</v>
      </c>
      <c r="BY108" s="20">
        <f t="shared" si="89"/>
        <v>-4.5053244042416871E-10</v>
      </c>
      <c r="BZ108" s="20">
        <f t="shared" si="89"/>
        <v>-4.5053244042416871E-10</v>
      </c>
      <c r="CA108" s="20">
        <f t="shared" si="89"/>
        <v>-4.5053244042416871E-10</v>
      </c>
      <c r="CB108" s="20">
        <f t="shared" si="89"/>
        <v>-4.5053244042416871E-10</v>
      </c>
      <c r="CC108" s="20">
        <f t="shared" si="89"/>
        <v>-4.5053244042416871E-10</v>
      </c>
      <c r="CD108" s="20">
        <f t="shared" si="89"/>
        <v>-4.5053244042416871E-10</v>
      </c>
      <c r="CE108" s="20">
        <f t="shared" si="89"/>
        <v>-4.5053244042416871E-10</v>
      </c>
      <c r="CF108" s="20">
        <f t="shared" si="89"/>
        <v>-4.5053244042416871E-10</v>
      </c>
      <c r="CG108" s="20">
        <f t="shared" si="89"/>
        <v>-4.5053244042416871E-10</v>
      </c>
      <c r="CH108" s="20">
        <f t="shared" si="89"/>
        <v>-4.5053244042416871E-10</v>
      </c>
      <c r="CI108" s="20">
        <f t="shared" si="89"/>
        <v>-4.5053244042416871E-10</v>
      </c>
      <c r="CJ108" s="20">
        <f t="shared" si="89"/>
        <v>-4.5053244042416871E-10</v>
      </c>
      <c r="CK108" s="20">
        <f t="shared" si="89"/>
        <v>-4.5053244042416871E-10</v>
      </c>
      <c r="CL108" s="20">
        <f t="shared" si="89"/>
        <v>-4.5053244042416871E-10</v>
      </c>
      <c r="CM108" s="20">
        <f t="shared" si="89"/>
        <v>-4.5053244042416871E-10</v>
      </c>
      <c r="CN108" s="20">
        <f t="shared" si="89"/>
        <v>-4.5053244042416871E-10</v>
      </c>
      <c r="CO108" s="20">
        <f t="shared" si="89"/>
        <v>-4.5053244042416871E-10</v>
      </c>
      <c r="CP108" s="20">
        <f t="shared" si="89"/>
        <v>-4.5053244042416871E-10</v>
      </c>
      <c r="CQ108" s="20">
        <f t="shared" si="89"/>
        <v>-4.5053244042416871E-10</v>
      </c>
      <c r="CR108" s="20">
        <f t="shared" si="89"/>
        <v>-4.5053244042416871E-10</v>
      </c>
      <c r="CS108" s="20">
        <f t="shared" si="89"/>
        <v>-4.5053244042416871E-10</v>
      </c>
      <c r="CT108" s="20">
        <f t="shared" si="89"/>
        <v>-4.5053244042416871E-10</v>
      </c>
      <c r="CU108" s="20">
        <f t="shared" si="89"/>
        <v>-4.5053244042416871E-10</v>
      </c>
      <c r="CV108" s="20">
        <f t="shared" si="89"/>
        <v>-4.5053244042416871E-10</v>
      </c>
      <c r="CW108" s="20">
        <f t="shared" si="89"/>
        <v>-4.5053244042416871E-10</v>
      </c>
      <c r="CX108" s="20">
        <f t="shared" si="89"/>
        <v>-4.5053244042416871E-10</v>
      </c>
      <c r="CY108" s="20">
        <f t="shared" si="89"/>
        <v>-4.5053244042416871E-10</v>
      </c>
      <c r="CZ108" s="20">
        <f t="shared" si="89"/>
        <v>-4.5053244042416871E-10</v>
      </c>
      <c r="DA108" s="20">
        <f t="shared" si="89"/>
        <v>-4.5053244042416871E-10</v>
      </c>
      <c r="DB108" s="20">
        <f t="shared" si="89"/>
        <v>-4.5053244042416871E-10</v>
      </c>
      <c r="DC108" s="20">
        <f t="shared" si="89"/>
        <v>-4.5053244042416871E-10</v>
      </c>
      <c r="DD108" s="20">
        <f t="shared" si="89"/>
        <v>-4.5053244042416871E-10</v>
      </c>
      <c r="DE108" s="20">
        <f t="shared" si="89"/>
        <v>-4.5053244042416871E-10</v>
      </c>
      <c r="DF108" s="20">
        <f t="shared" si="89"/>
        <v>-4.5053244042416871E-10</v>
      </c>
      <c r="DG108" s="20">
        <f t="shared" si="89"/>
        <v>-4.5053244042416871E-10</v>
      </c>
      <c r="DH108" s="20">
        <f t="shared" si="89"/>
        <v>-4.5053244042416871E-10</v>
      </c>
      <c r="DI108" s="20">
        <f t="shared" si="89"/>
        <v>-4.5053244042416871E-10</v>
      </c>
      <c r="DJ108" s="20">
        <f t="shared" si="89"/>
        <v>-4.5053244042416871E-10</v>
      </c>
      <c r="DK108" s="20">
        <f t="shared" si="89"/>
        <v>-4.5053244042416871E-10</v>
      </c>
      <c r="DL108" s="20">
        <f t="shared" si="89"/>
        <v>-4.5053244042416871E-10</v>
      </c>
      <c r="DM108" s="20">
        <f t="shared" si="89"/>
        <v>-4.5053244042416871E-10</v>
      </c>
      <c r="DN108" s="20">
        <f t="shared" si="89"/>
        <v>-4.5053244042416871E-10</v>
      </c>
      <c r="DO108" s="20">
        <f t="shared" si="89"/>
        <v>-4.5053244042416871E-10</v>
      </c>
      <c r="DP108" s="20">
        <f t="shared" si="89"/>
        <v>-4.5053244042416871E-10</v>
      </c>
      <c r="DQ108" s="20">
        <f t="shared" si="89"/>
        <v>-4.5053244042416871E-10</v>
      </c>
    </row>
    <row r="110" spans="2:1006" x14ac:dyDescent="0.35">
      <c r="D110" s="20" t="s">
        <v>340</v>
      </c>
      <c r="G110" s="45" t="b">
        <f>Assumptions!F143</f>
        <v>0</v>
      </c>
      <c r="K110" s="20">
        <f>IF($G$110,K108,K104)</f>
        <v>0</v>
      </c>
      <c r="L110" s="20">
        <f t="shared" ref="L110:BW110" si="90">IF($G$110,L108,L104)</f>
        <v>0</v>
      </c>
      <c r="M110" s="20">
        <f t="shared" si="90"/>
        <v>0</v>
      </c>
      <c r="N110" s="20">
        <f t="shared" si="90"/>
        <v>0</v>
      </c>
      <c r="O110" s="20">
        <f t="shared" si="90"/>
        <v>0</v>
      </c>
      <c r="P110" s="20">
        <f t="shared" si="90"/>
        <v>0</v>
      </c>
      <c r="Q110" s="20">
        <f t="shared" si="90"/>
        <v>0</v>
      </c>
      <c r="R110" s="20">
        <f t="shared" si="90"/>
        <v>0</v>
      </c>
      <c r="S110" s="20">
        <f t="shared" si="90"/>
        <v>0</v>
      </c>
      <c r="T110" s="20">
        <f t="shared" si="90"/>
        <v>39640.614084970715</v>
      </c>
      <c r="U110" s="20">
        <f t="shared" si="90"/>
        <v>7223.6024462331916</v>
      </c>
      <c r="V110" s="20">
        <f t="shared" si="90"/>
        <v>-7619.3496053663657</v>
      </c>
      <c r="W110" s="20">
        <f t="shared" si="90"/>
        <v>26922.465998246145</v>
      </c>
      <c r="X110" s="20">
        <f t="shared" si="90"/>
        <v>39650.699552865452</v>
      </c>
      <c r="Y110" s="20">
        <f t="shared" si="90"/>
        <v>7396.2839163953358</v>
      </c>
      <c r="Z110" s="20">
        <f t="shared" si="90"/>
        <v>-7371.4955823496311</v>
      </c>
      <c r="AA110" s="20">
        <f t="shared" si="90"/>
        <v>26999.806972346491</v>
      </c>
      <c r="AB110" s="20">
        <f t="shared" si="90"/>
        <v>39666.062599041994</v>
      </c>
      <c r="AC110" s="20">
        <f t="shared" si="90"/>
        <v>7573.4732245048181</v>
      </c>
      <c r="AD110" s="20">
        <f t="shared" si="90"/>
        <v>-5664.9311496851442</v>
      </c>
      <c r="AE110" s="20">
        <f t="shared" si="90"/>
        <v>29718.556720335513</v>
      </c>
      <c r="AF110" s="20">
        <f t="shared" si="90"/>
        <v>42768.528161370705</v>
      </c>
      <c r="AG110" s="20">
        <f t="shared" si="90"/>
        <v>9763.5113536087229</v>
      </c>
      <c r="AH110" s="20">
        <f t="shared" si="90"/>
        <v>-4334.3281502322025</v>
      </c>
      <c r="AI110" s="20">
        <f t="shared" si="90"/>
        <v>31690.515339204536</v>
      </c>
      <c r="AJ110" s="20">
        <f t="shared" si="90"/>
        <v>44984.895209465169</v>
      </c>
      <c r="AK110" s="20">
        <f t="shared" si="90"/>
        <v>11405.613022452468</v>
      </c>
      <c r="AL110" s="20">
        <f t="shared" si="90"/>
        <v>-3759.5359403125512</v>
      </c>
      <c r="AM110" s="20">
        <f t="shared" si="90"/>
        <v>32244.694047344608</v>
      </c>
      <c r="AN110" s="20">
        <f t="shared" si="90"/>
        <v>45154.250073028699</v>
      </c>
      <c r="AO110" s="20">
        <f t="shared" si="90"/>
        <v>11605.376365294498</v>
      </c>
      <c r="AP110" s="20">
        <f t="shared" si="90"/>
        <v>-471.12625582538749</v>
      </c>
      <c r="AQ110" s="20">
        <f t="shared" si="90"/>
        <v>38007.978909896061</v>
      </c>
      <c r="AR110" s="20">
        <f t="shared" si="90"/>
        <v>52236.116174935443</v>
      </c>
      <c r="AS110" s="20">
        <f t="shared" si="90"/>
        <v>16446.652854505559</v>
      </c>
      <c r="AT110" s="20">
        <f t="shared" si="90"/>
        <v>5801.4696317112393</v>
      </c>
      <c r="AU110" s="20">
        <f t="shared" si="90"/>
        <v>48728.1267833725</v>
      </c>
      <c r="AV110" s="20">
        <f t="shared" si="90"/>
        <v>64637.417588024924</v>
      </c>
      <c r="AW110" s="20">
        <f t="shared" si="90"/>
        <v>24822.883534584198</v>
      </c>
      <c r="AX110" s="20">
        <f t="shared" si="90"/>
        <v>8370.4878373442116</v>
      </c>
      <c r="AY110" s="20">
        <f t="shared" si="90"/>
        <v>52474.273074332814</v>
      </c>
      <c r="AZ110" s="20">
        <f t="shared" si="90"/>
        <v>68833.350632477217</v>
      </c>
      <c r="BA110" s="20">
        <f t="shared" si="90"/>
        <v>27968.254351056672</v>
      </c>
      <c r="BB110" s="20">
        <f t="shared" si="90"/>
        <v>9628.6123611447401</v>
      </c>
      <c r="BC110" s="20">
        <f t="shared" si="90"/>
        <v>53750.687479295339</v>
      </c>
      <c r="BD110" s="20">
        <f t="shared" si="90"/>
        <v>70123.236507996073</v>
      </c>
      <c r="BE110" s="20">
        <f t="shared" si="90"/>
        <v>29261.579556257559</v>
      </c>
      <c r="BF110" s="20">
        <f t="shared" si="90"/>
        <v>13137.950851678394</v>
      </c>
      <c r="BG110" s="20">
        <f t="shared" si="90"/>
        <v>59073.360199947987</v>
      </c>
      <c r="BH110" s="20">
        <f t="shared" si="90"/>
        <v>76019.381895355808</v>
      </c>
      <c r="BI110" s="20">
        <f t="shared" si="90"/>
        <v>33534.981712433117</v>
      </c>
      <c r="BJ110" s="20">
        <f t="shared" si="90"/>
        <v>17177.872228566142</v>
      </c>
      <c r="BK110" s="20">
        <f t="shared" si="90"/>
        <v>65317.743042872549</v>
      </c>
      <c r="BL110" s="20">
        <f t="shared" si="90"/>
        <v>83222.05582616778</v>
      </c>
      <c r="BM110" s="20">
        <f t="shared" si="90"/>
        <v>38760.046818241739</v>
      </c>
      <c r="BN110" s="20">
        <f t="shared" si="90"/>
        <v>22469.977660806791</v>
      </c>
      <c r="BO110" s="20">
        <f t="shared" si="90"/>
        <v>73577.017673991795</v>
      </c>
      <c r="BP110" s="20">
        <f t="shared" si="90"/>
        <v>92609.230596464346</v>
      </c>
      <c r="BQ110" s="20">
        <f t="shared" si="90"/>
        <v>45480.941732968029</v>
      </c>
      <c r="BR110" s="20">
        <f t="shared" si="90"/>
        <v>27758.850640471232</v>
      </c>
      <c r="BS110" s="20">
        <f t="shared" si="90"/>
        <v>81624.758933896825</v>
      </c>
      <c r="BT110" s="20">
        <f t="shared" si="90"/>
        <v>101707.71063446243</v>
      </c>
      <c r="BU110" s="20">
        <f t="shared" si="90"/>
        <v>52106.475649592525</v>
      </c>
      <c r="BV110" s="20">
        <f t="shared" si="90"/>
        <v>27041.252461939253</v>
      </c>
      <c r="BW110" s="20">
        <f t="shared" si="90"/>
        <v>57447.421596104192</v>
      </c>
      <c r="BX110" s="20">
        <f t="shared" ref="BX110:DQ110" si="91">IF($G$110,BX108,BX104)</f>
        <v>71944.783446740912</v>
      </c>
      <c r="BY110" s="20">
        <f t="shared" si="91"/>
        <v>36094.230771234972</v>
      </c>
      <c r="BZ110" s="20">
        <f t="shared" si="91"/>
        <v>20747.198907683382</v>
      </c>
      <c r="CA110" s="20">
        <f t="shared" si="91"/>
        <v>60229.82443169663</v>
      </c>
      <c r="CB110" s="20">
        <f t="shared" si="91"/>
        <v>74858.497606281904</v>
      </c>
      <c r="CC110" s="20">
        <f t="shared" si="91"/>
        <v>38514.201341878019</v>
      </c>
      <c r="CD110" s="20">
        <f t="shared" si="91"/>
        <v>24729.023782915523</v>
      </c>
      <c r="CE110" s="20">
        <f t="shared" si="91"/>
        <v>66231.034670960144</v>
      </c>
      <c r="CF110" s="20">
        <f t="shared" si="91"/>
        <v>81727.941030078815</v>
      </c>
      <c r="CG110" s="20">
        <f t="shared" si="91"/>
        <v>43578.525135041877</v>
      </c>
      <c r="CH110" s="20">
        <f t="shared" si="91"/>
        <v>28026.553172522457</v>
      </c>
      <c r="CI110" s="20">
        <f t="shared" si="91"/>
        <v>70756.292087979265</v>
      </c>
      <c r="CJ110" s="20">
        <f t="shared" si="91"/>
        <v>86726.195069573121</v>
      </c>
      <c r="CK110" s="20">
        <f t="shared" si="91"/>
        <v>47492.61653897044</v>
      </c>
      <c r="CL110" s="20">
        <f t="shared" si="91"/>
        <v>33557.000587836563</v>
      </c>
      <c r="CM110" s="20">
        <f t="shared" si="91"/>
        <v>79212.433341612385</v>
      </c>
      <c r="CN110" s="20">
        <f t="shared" si="91"/>
        <v>96296.737550091158</v>
      </c>
      <c r="CO110" s="20">
        <f t="shared" si="91"/>
        <v>54440.694878111193</v>
      </c>
      <c r="CP110" s="20">
        <f t="shared" si="91"/>
        <v>38677.057297407773</v>
      </c>
      <c r="CQ110" s="20">
        <f t="shared" si="91"/>
        <v>86710.942917338063</v>
      </c>
      <c r="CR110" s="20">
        <f t="shared" si="91"/>
        <v>104704.652706376</v>
      </c>
      <c r="CS110" s="20">
        <f t="shared" si="91"/>
        <v>60727.183759227635</v>
      </c>
      <c r="CT110" s="20">
        <f t="shared" si="91"/>
        <v>44341.416415968364</v>
      </c>
      <c r="CU110" s="20">
        <f t="shared" si="91"/>
        <v>95004.910296276867</v>
      </c>
      <c r="CV110" s="20">
        <f t="shared" si="91"/>
        <v>3.1450326787307863E-11</v>
      </c>
      <c r="CW110" s="20">
        <f t="shared" si="91"/>
        <v>3.1725517146696805E-11</v>
      </c>
      <c r="CX110" s="20">
        <f t="shared" si="91"/>
        <v>3.2003115421730404E-11</v>
      </c>
      <c r="CY110" s="20">
        <f t="shared" si="91"/>
        <v>3.2283142681670542E-11</v>
      </c>
      <c r="CZ110" s="20">
        <f t="shared" si="91"/>
        <v>3.2565620180135163E-11</v>
      </c>
      <c r="DA110" s="20">
        <f t="shared" si="91"/>
        <v>3.2850569356711345E-11</v>
      </c>
      <c r="DB110" s="20">
        <f t="shared" si="91"/>
        <v>3.3138011838582564E-11</v>
      </c>
      <c r="DC110" s="20">
        <f t="shared" si="91"/>
        <v>3.3427969442170164E-11</v>
      </c>
      <c r="DD110" s="20">
        <f t="shared" si="91"/>
        <v>3.3720464174789154E-11</v>
      </c>
      <c r="DE110" s="20">
        <f t="shared" si="91"/>
        <v>3.4015518236318561E-11</v>
      </c>
      <c r="DF110" s="20">
        <f t="shared" si="91"/>
        <v>3.431315402088635E-11</v>
      </c>
      <c r="DG110" s="20">
        <f t="shared" si="91"/>
        <v>3.4613394118569101E-11</v>
      </c>
      <c r="DH110" s="20">
        <f t="shared" si="91"/>
        <v>3.4916261317106584E-11</v>
      </c>
      <c r="DI110" s="20">
        <f t="shared" si="91"/>
        <v>3.5221778603631266E-11</v>
      </c>
      <c r="DJ110" s="20">
        <f t="shared" si="91"/>
        <v>3.5529969166413043E-11</v>
      </c>
      <c r="DK110" s="20">
        <f t="shared" si="91"/>
        <v>3.584085639661915E-11</v>
      </c>
      <c r="DL110" s="20">
        <f t="shared" si="91"/>
        <v>3.6154463890089569E-11</v>
      </c>
      <c r="DM110" s="20">
        <f t="shared" si="91"/>
        <v>3.647081544912785E-11</v>
      </c>
      <c r="DN110" s="20">
        <f t="shared" si="91"/>
        <v>3.6789935084307726E-11</v>
      </c>
      <c r="DO110" s="20">
        <f t="shared" si="91"/>
        <v>3.7111847016295421E-11</v>
      </c>
      <c r="DP110" s="20">
        <f t="shared" si="91"/>
        <v>3.7436575677688005E-11</v>
      </c>
      <c r="DQ110" s="20">
        <f t="shared" si="91"/>
        <v>3.7764145714867776E-11</v>
      </c>
    </row>
    <row r="112" spans="2:1006" x14ac:dyDescent="0.35">
      <c r="C112" s="20" t="s">
        <v>329</v>
      </c>
    </row>
    <row r="113" spans="4:121" x14ac:dyDescent="0.35">
      <c r="D113" s="20" t="s">
        <v>274</v>
      </c>
      <c r="K113" s="20">
        <f>J117</f>
        <v>0</v>
      </c>
      <c r="L113" s="20">
        <f t="shared" ref="L113:BW113" si="92">K117</f>
        <v>0</v>
      </c>
      <c r="M113" s="20">
        <f t="shared" si="92"/>
        <v>0</v>
      </c>
      <c r="N113" s="20">
        <f t="shared" si="92"/>
        <v>0</v>
      </c>
      <c r="O113" s="20">
        <f t="shared" si="92"/>
        <v>0</v>
      </c>
      <c r="P113" s="20">
        <f t="shared" si="92"/>
        <v>486491.1751974026</v>
      </c>
      <c r="Q113" s="20">
        <f t="shared" si="92"/>
        <v>1214792.9690432188</v>
      </c>
      <c r="R113" s="20">
        <f t="shared" si="92"/>
        <v>1944384.5444918973</v>
      </c>
      <c r="S113" s="20">
        <f t="shared" si="92"/>
        <v>2675268.1856742715</v>
      </c>
      <c r="T113" s="20">
        <f t="shared" si="92"/>
        <v>3407446.1807662416</v>
      </c>
      <c r="U113" s="20">
        <f t="shared" si="92"/>
        <v>3367805.566681271</v>
      </c>
      <c r="V113" s="20">
        <f t="shared" si="92"/>
        <v>3360581.9642350376</v>
      </c>
      <c r="W113" s="20">
        <f t="shared" si="92"/>
        <v>3368201.3138404042</v>
      </c>
      <c r="X113" s="20">
        <f t="shared" si="92"/>
        <v>3341278.8478421578</v>
      </c>
      <c r="Y113" s="20">
        <f t="shared" si="92"/>
        <v>3301628.1482892926</v>
      </c>
      <c r="Z113" s="20">
        <f t="shared" si="92"/>
        <v>3294231.8643728974</v>
      </c>
      <c r="AA113" s="20">
        <f t="shared" si="92"/>
        <v>3301603.359955247</v>
      </c>
      <c r="AB113" s="20">
        <f t="shared" si="92"/>
        <v>3274603.5529829008</v>
      </c>
      <c r="AC113" s="20">
        <f t="shared" si="92"/>
        <v>3234937.4903838588</v>
      </c>
      <c r="AD113" s="20">
        <f t="shared" si="92"/>
        <v>3227364.0171593539</v>
      </c>
      <c r="AE113" s="20">
        <f t="shared" si="92"/>
        <v>3233028.9483090392</v>
      </c>
      <c r="AF113" s="20">
        <f t="shared" si="92"/>
        <v>3203310.3915887037</v>
      </c>
      <c r="AG113" s="20">
        <f t="shared" si="92"/>
        <v>3160541.8634273331</v>
      </c>
      <c r="AH113" s="20">
        <f t="shared" si="92"/>
        <v>3150778.3520737244</v>
      </c>
      <c r="AI113" s="20">
        <f t="shared" si="92"/>
        <v>3155112.6802239567</v>
      </c>
      <c r="AJ113" s="20">
        <f t="shared" si="92"/>
        <v>3123422.1648847521</v>
      </c>
      <c r="AK113" s="20">
        <f t="shared" si="92"/>
        <v>3078437.269675287</v>
      </c>
      <c r="AL113" s="20">
        <f t="shared" si="92"/>
        <v>3067031.6566528343</v>
      </c>
      <c r="AM113" s="20">
        <f t="shared" si="92"/>
        <v>3070791.192593147</v>
      </c>
      <c r="AN113" s="20">
        <f t="shared" si="92"/>
        <v>3038546.4985458027</v>
      </c>
      <c r="AO113" s="20">
        <f t="shared" si="92"/>
        <v>2993392.2484727739</v>
      </c>
      <c r="AP113" s="20">
        <f t="shared" si="92"/>
        <v>2981786.8721074793</v>
      </c>
      <c r="AQ113" s="20">
        <f t="shared" si="92"/>
        <v>2982257.9983633044</v>
      </c>
      <c r="AR113" s="20">
        <f t="shared" si="92"/>
        <v>2944250.0194534082</v>
      </c>
      <c r="AS113" s="20">
        <f t="shared" si="92"/>
        <v>2892013.9032784728</v>
      </c>
      <c r="AT113" s="20">
        <f t="shared" si="92"/>
        <v>2875567.2504239674</v>
      </c>
      <c r="AU113" s="20">
        <f t="shared" si="92"/>
        <v>2869765.7807922564</v>
      </c>
      <c r="AV113" s="20">
        <f t="shared" si="92"/>
        <v>2821037.654008884</v>
      </c>
      <c r="AW113" s="20">
        <f t="shared" si="92"/>
        <v>2756400.2364208591</v>
      </c>
      <c r="AX113" s="20">
        <f t="shared" si="92"/>
        <v>2731577.3528862749</v>
      </c>
      <c r="AY113" s="20">
        <f t="shared" si="92"/>
        <v>2723206.8650489305</v>
      </c>
      <c r="AZ113" s="20">
        <f t="shared" si="92"/>
        <v>2670732.5919745979</v>
      </c>
      <c r="BA113" s="20">
        <f t="shared" si="92"/>
        <v>2601899.2413421208</v>
      </c>
      <c r="BB113" s="20">
        <f t="shared" si="92"/>
        <v>2573930.9869910642</v>
      </c>
      <c r="BC113" s="20">
        <f t="shared" si="92"/>
        <v>2564302.3746299194</v>
      </c>
      <c r="BD113" s="20">
        <f t="shared" si="92"/>
        <v>2510551.6871506241</v>
      </c>
      <c r="BE113" s="20">
        <f t="shared" si="92"/>
        <v>2440428.4506426281</v>
      </c>
      <c r="BF113" s="20">
        <f t="shared" si="92"/>
        <v>2411166.8710863707</v>
      </c>
      <c r="BG113" s="20">
        <f t="shared" si="92"/>
        <v>2398028.9202346923</v>
      </c>
      <c r="BH113" s="20">
        <f t="shared" si="92"/>
        <v>2338955.5600347444</v>
      </c>
      <c r="BI113" s="20">
        <f t="shared" si="92"/>
        <v>2262936.1781393886</v>
      </c>
      <c r="BJ113" s="20">
        <f t="shared" si="92"/>
        <v>2229401.1964269555</v>
      </c>
      <c r="BK113" s="20">
        <f t="shared" si="92"/>
        <v>2212223.3241983894</v>
      </c>
      <c r="BL113" s="20">
        <f t="shared" si="92"/>
        <v>2146905.5811555167</v>
      </c>
      <c r="BM113" s="20">
        <f t="shared" si="92"/>
        <v>2063683.5253293489</v>
      </c>
      <c r="BN113" s="20">
        <f t="shared" si="92"/>
        <v>2024923.4785111072</v>
      </c>
      <c r="BO113" s="20">
        <f t="shared" si="92"/>
        <v>2002453.5008503003</v>
      </c>
      <c r="BP113" s="20">
        <f t="shared" si="92"/>
        <v>1928876.4831763085</v>
      </c>
      <c r="BQ113" s="20">
        <f t="shared" si="92"/>
        <v>1836267.2525798441</v>
      </c>
      <c r="BR113" s="20">
        <f t="shared" si="92"/>
        <v>1790786.3108468761</v>
      </c>
      <c r="BS113" s="20">
        <f t="shared" si="92"/>
        <v>1763027.4602064048</v>
      </c>
      <c r="BT113" s="20">
        <f t="shared" si="92"/>
        <v>1681402.7012725079</v>
      </c>
      <c r="BU113" s="20">
        <f t="shared" si="92"/>
        <v>1579694.9906380454</v>
      </c>
      <c r="BV113" s="20">
        <f t="shared" si="92"/>
        <v>1527588.5149884529</v>
      </c>
      <c r="BW113" s="20">
        <f t="shared" si="92"/>
        <v>1500547.2625265135</v>
      </c>
      <c r="BX113" s="20">
        <f t="shared" ref="BX113:DQ113" si="93">BW117</f>
        <v>1443099.8409304093</v>
      </c>
      <c r="BY113" s="20">
        <f t="shared" si="93"/>
        <v>1371155.0574836684</v>
      </c>
      <c r="BZ113" s="20">
        <f t="shared" si="93"/>
        <v>1335060.8267124335</v>
      </c>
      <c r="CA113" s="20">
        <f t="shared" si="93"/>
        <v>1314313.6278047501</v>
      </c>
      <c r="CB113" s="20">
        <f t="shared" si="93"/>
        <v>1254083.8033730534</v>
      </c>
      <c r="CC113" s="20">
        <f t="shared" si="93"/>
        <v>1179225.3057667715</v>
      </c>
      <c r="CD113" s="20">
        <f t="shared" si="93"/>
        <v>1140711.1044248936</v>
      </c>
      <c r="CE113" s="20">
        <f t="shared" si="93"/>
        <v>1115982.0806419782</v>
      </c>
      <c r="CF113" s="20">
        <f t="shared" si="93"/>
        <v>1049751.045971018</v>
      </c>
      <c r="CG113" s="20">
        <f t="shared" si="93"/>
        <v>968023.10494093923</v>
      </c>
      <c r="CH113" s="20">
        <f t="shared" si="93"/>
        <v>924444.57980589732</v>
      </c>
      <c r="CI113" s="20">
        <f t="shared" si="93"/>
        <v>896418.02663337486</v>
      </c>
      <c r="CJ113" s="20">
        <f t="shared" si="93"/>
        <v>825661.73454539559</v>
      </c>
      <c r="CK113" s="20">
        <f t="shared" si="93"/>
        <v>738935.53947582247</v>
      </c>
      <c r="CL113" s="20">
        <f t="shared" si="93"/>
        <v>691442.92293685209</v>
      </c>
      <c r="CM113" s="20">
        <f t="shared" si="93"/>
        <v>657885.92234901548</v>
      </c>
      <c r="CN113" s="20">
        <f t="shared" si="93"/>
        <v>578673.48900740314</v>
      </c>
      <c r="CO113" s="20">
        <f t="shared" si="93"/>
        <v>482376.75145731197</v>
      </c>
      <c r="CP113" s="20">
        <f t="shared" si="93"/>
        <v>427936.05657920078</v>
      </c>
      <c r="CQ113" s="20">
        <f t="shared" si="93"/>
        <v>389258.99928179302</v>
      </c>
      <c r="CR113" s="20">
        <f t="shared" si="93"/>
        <v>302548.05636445497</v>
      </c>
      <c r="CS113" s="20">
        <f t="shared" si="93"/>
        <v>197843.40365807898</v>
      </c>
      <c r="CT113" s="20">
        <f t="shared" si="93"/>
        <v>137116.21989885136</v>
      </c>
      <c r="CU113" s="20">
        <f t="shared" si="93"/>
        <v>92774.803482882999</v>
      </c>
      <c r="CV113" s="20">
        <f t="shared" si="93"/>
        <v>0</v>
      </c>
      <c r="CW113" s="20">
        <f t="shared" si="93"/>
        <v>0</v>
      </c>
      <c r="CX113" s="20">
        <f t="shared" si="93"/>
        <v>0</v>
      </c>
      <c r="CY113" s="20">
        <f t="shared" si="93"/>
        <v>0</v>
      </c>
      <c r="CZ113" s="20">
        <f t="shared" si="93"/>
        <v>0</v>
      </c>
      <c r="DA113" s="20">
        <f t="shared" si="93"/>
        <v>0</v>
      </c>
      <c r="DB113" s="20">
        <f t="shared" si="93"/>
        <v>0</v>
      </c>
      <c r="DC113" s="20">
        <f t="shared" si="93"/>
        <v>0</v>
      </c>
      <c r="DD113" s="20">
        <f t="shared" si="93"/>
        <v>0</v>
      </c>
      <c r="DE113" s="20">
        <f t="shared" si="93"/>
        <v>0</v>
      </c>
      <c r="DF113" s="20">
        <f t="shared" si="93"/>
        <v>0</v>
      </c>
      <c r="DG113" s="20">
        <f t="shared" si="93"/>
        <v>0</v>
      </c>
      <c r="DH113" s="20">
        <f t="shared" si="93"/>
        <v>0</v>
      </c>
      <c r="DI113" s="20">
        <f t="shared" si="93"/>
        <v>0</v>
      </c>
      <c r="DJ113" s="20">
        <f t="shared" si="93"/>
        <v>0</v>
      </c>
      <c r="DK113" s="20">
        <f t="shared" si="93"/>
        <v>0</v>
      </c>
      <c r="DL113" s="20">
        <f t="shared" si="93"/>
        <v>0</v>
      </c>
      <c r="DM113" s="20">
        <f t="shared" si="93"/>
        <v>0</v>
      </c>
      <c r="DN113" s="20">
        <f t="shared" si="93"/>
        <v>0</v>
      </c>
      <c r="DO113" s="20">
        <f t="shared" si="93"/>
        <v>0</v>
      </c>
      <c r="DP113" s="20">
        <f t="shared" si="93"/>
        <v>0</v>
      </c>
      <c r="DQ113" s="20">
        <f t="shared" si="93"/>
        <v>0</v>
      </c>
    </row>
    <row r="114" spans="4:121" x14ac:dyDescent="0.35">
      <c r="D114" s="20" t="s">
        <v>330</v>
      </c>
      <c r="I114" s="54">
        <f>SUM(K114:DQ114)</f>
        <v>3407446.1807662416</v>
      </c>
      <c r="K114" s="20">
        <f>K96</f>
        <v>0</v>
      </c>
      <c r="L114" s="20">
        <f t="shared" ref="L114:BW114" si="94">L96</f>
        <v>0</v>
      </c>
      <c r="M114" s="20">
        <f t="shared" si="94"/>
        <v>0</v>
      </c>
      <c r="N114" s="20">
        <f t="shared" si="94"/>
        <v>0</v>
      </c>
      <c r="O114" s="20">
        <f t="shared" si="94"/>
        <v>486491.1751974026</v>
      </c>
      <c r="P114" s="20">
        <f t="shared" si="94"/>
        <v>728301.79384581617</v>
      </c>
      <c r="Q114" s="20">
        <f t="shared" si="94"/>
        <v>729591.57544867857</v>
      </c>
      <c r="R114" s="20">
        <f t="shared" si="94"/>
        <v>730883.64118237398</v>
      </c>
      <c r="S114" s="20">
        <f t="shared" si="94"/>
        <v>732177.99509197008</v>
      </c>
      <c r="T114" s="20">
        <f t="shared" si="94"/>
        <v>0</v>
      </c>
      <c r="U114" s="20">
        <f t="shared" si="94"/>
        <v>0</v>
      </c>
      <c r="V114" s="20">
        <f t="shared" si="94"/>
        <v>0</v>
      </c>
      <c r="W114" s="20">
        <f t="shared" si="94"/>
        <v>0</v>
      </c>
      <c r="X114" s="20">
        <f t="shared" si="94"/>
        <v>0</v>
      </c>
      <c r="Y114" s="20">
        <f t="shared" si="94"/>
        <v>0</v>
      </c>
      <c r="Z114" s="20">
        <f t="shared" si="94"/>
        <v>0</v>
      </c>
      <c r="AA114" s="20">
        <f t="shared" si="94"/>
        <v>0</v>
      </c>
      <c r="AB114" s="20">
        <f t="shared" si="94"/>
        <v>0</v>
      </c>
      <c r="AC114" s="20">
        <f t="shared" si="94"/>
        <v>0</v>
      </c>
      <c r="AD114" s="20">
        <f t="shared" si="94"/>
        <v>0</v>
      </c>
      <c r="AE114" s="20">
        <f t="shared" si="94"/>
        <v>0</v>
      </c>
      <c r="AF114" s="20">
        <f t="shared" si="94"/>
        <v>0</v>
      </c>
      <c r="AG114" s="20">
        <f t="shared" si="94"/>
        <v>0</v>
      </c>
      <c r="AH114" s="20">
        <f t="shared" si="94"/>
        <v>0</v>
      </c>
      <c r="AI114" s="20">
        <f t="shared" si="94"/>
        <v>0</v>
      </c>
      <c r="AJ114" s="20">
        <f t="shared" si="94"/>
        <v>0</v>
      </c>
      <c r="AK114" s="20">
        <f t="shared" si="94"/>
        <v>0</v>
      </c>
      <c r="AL114" s="20">
        <f t="shared" si="94"/>
        <v>0</v>
      </c>
      <c r="AM114" s="20">
        <f t="shared" si="94"/>
        <v>0</v>
      </c>
      <c r="AN114" s="20">
        <f t="shared" si="94"/>
        <v>0</v>
      </c>
      <c r="AO114" s="20">
        <f t="shared" si="94"/>
        <v>0</v>
      </c>
      <c r="AP114" s="20">
        <f t="shared" si="94"/>
        <v>0</v>
      </c>
      <c r="AQ114" s="20">
        <f t="shared" si="94"/>
        <v>0</v>
      </c>
      <c r="AR114" s="20">
        <f t="shared" si="94"/>
        <v>0</v>
      </c>
      <c r="AS114" s="20">
        <f t="shared" si="94"/>
        <v>0</v>
      </c>
      <c r="AT114" s="20">
        <f t="shared" si="94"/>
        <v>0</v>
      </c>
      <c r="AU114" s="20">
        <f t="shared" si="94"/>
        <v>0</v>
      </c>
      <c r="AV114" s="20">
        <f t="shared" si="94"/>
        <v>0</v>
      </c>
      <c r="AW114" s="20">
        <f t="shared" si="94"/>
        <v>0</v>
      </c>
      <c r="AX114" s="20">
        <f t="shared" si="94"/>
        <v>0</v>
      </c>
      <c r="AY114" s="20">
        <f t="shared" si="94"/>
        <v>0</v>
      </c>
      <c r="AZ114" s="20">
        <f t="shared" si="94"/>
        <v>0</v>
      </c>
      <c r="BA114" s="20">
        <f t="shared" si="94"/>
        <v>0</v>
      </c>
      <c r="BB114" s="20">
        <f t="shared" si="94"/>
        <v>0</v>
      </c>
      <c r="BC114" s="20">
        <f t="shared" si="94"/>
        <v>0</v>
      </c>
      <c r="BD114" s="20">
        <f t="shared" si="94"/>
        <v>0</v>
      </c>
      <c r="BE114" s="20">
        <f t="shared" si="94"/>
        <v>0</v>
      </c>
      <c r="BF114" s="20">
        <f t="shared" si="94"/>
        <v>0</v>
      </c>
      <c r="BG114" s="20">
        <f t="shared" si="94"/>
        <v>0</v>
      </c>
      <c r="BH114" s="20">
        <f t="shared" si="94"/>
        <v>0</v>
      </c>
      <c r="BI114" s="20">
        <f t="shared" si="94"/>
        <v>0</v>
      </c>
      <c r="BJ114" s="20">
        <f t="shared" si="94"/>
        <v>0</v>
      </c>
      <c r="BK114" s="20">
        <f t="shared" si="94"/>
        <v>0</v>
      </c>
      <c r="BL114" s="20">
        <f t="shared" si="94"/>
        <v>0</v>
      </c>
      <c r="BM114" s="20">
        <f t="shared" si="94"/>
        <v>0</v>
      </c>
      <c r="BN114" s="20">
        <f t="shared" si="94"/>
        <v>0</v>
      </c>
      <c r="BO114" s="20">
        <f t="shared" si="94"/>
        <v>0</v>
      </c>
      <c r="BP114" s="20">
        <f t="shared" si="94"/>
        <v>0</v>
      </c>
      <c r="BQ114" s="20">
        <f t="shared" si="94"/>
        <v>0</v>
      </c>
      <c r="BR114" s="20">
        <f t="shared" si="94"/>
        <v>0</v>
      </c>
      <c r="BS114" s="20">
        <f t="shared" si="94"/>
        <v>0</v>
      </c>
      <c r="BT114" s="20">
        <f t="shared" si="94"/>
        <v>0</v>
      </c>
      <c r="BU114" s="20">
        <f t="shared" si="94"/>
        <v>0</v>
      </c>
      <c r="BV114" s="20">
        <f t="shared" si="94"/>
        <v>0</v>
      </c>
      <c r="BW114" s="20">
        <f t="shared" si="94"/>
        <v>0</v>
      </c>
      <c r="BX114" s="20">
        <f t="shared" ref="BX114:DQ114" si="95">BX96</f>
        <v>0</v>
      </c>
      <c r="BY114" s="20">
        <f t="shared" si="95"/>
        <v>0</v>
      </c>
      <c r="BZ114" s="20">
        <f t="shared" si="95"/>
        <v>0</v>
      </c>
      <c r="CA114" s="20">
        <f t="shared" si="95"/>
        <v>0</v>
      </c>
      <c r="CB114" s="20">
        <f t="shared" si="95"/>
        <v>0</v>
      </c>
      <c r="CC114" s="20">
        <f t="shared" si="95"/>
        <v>0</v>
      </c>
      <c r="CD114" s="20">
        <f t="shared" si="95"/>
        <v>0</v>
      </c>
      <c r="CE114" s="20">
        <f t="shared" si="95"/>
        <v>0</v>
      </c>
      <c r="CF114" s="20">
        <f t="shared" si="95"/>
        <v>0</v>
      </c>
      <c r="CG114" s="20">
        <f t="shared" si="95"/>
        <v>0</v>
      </c>
      <c r="CH114" s="20">
        <f t="shared" si="95"/>
        <v>0</v>
      </c>
      <c r="CI114" s="20">
        <f t="shared" si="95"/>
        <v>0</v>
      </c>
      <c r="CJ114" s="20">
        <f t="shared" si="95"/>
        <v>0</v>
      </c>
      <c r="CK114" s="20">
        <f t="shared" si="95"/>
        <v>0</v>
      </c>
      <c r="CL114" s="20">
        <f t="shared" si="95"/>
        <v>0</v>
      </c>
      <c r="CM114" s="20">
        <f t="shared" si="95"/>
        <v>0</v>
      </c>
      <c r="CN114" s="20">
        <f t="shared" si="95"/>
        <v>0</v>
      </c>
      <c r="CO114" s="20">
        <f t="shared" si="95"/>
        <v>0</v>
      </c>
      <c r="CP114" s="20">
        <f t="shared" si="95"/>
        <v>0</v>
      </c>
      <c r="CQ114" s="20">
        <f t="shared" si="95"/>
        <v>0</v>
      </c>
      <c r="CR114" s="20">
        <f t="shared" si="95"/>
        <v>0</v>
      </c>
      <c r="CS114" s="20">
        <f t="shared" si="95"/>
        <v>0</v>
      </c>
      <c r="CT114" s="20">
        <f t="shared" si="95"/>
        <v>0</v>
      </c>
      <c r="CU114" s="20">
        <f t="shared" si="95"/>
        <v>0</v>
      </c>
      <c r="CV114" s="20">
        <f t="shared" si="95"/>
        <v>0</v>
      </c>
      <c r="CW114" s="20">
        <f t="shared" si="95"/>
        <v>0</v>
      </c>
      <c r="CX114" s="20">
        <f t="shared" si="95"/>
        <v>0</v>
      </c>
      <c r="CY114" s="20">
        <f t="shared" si="95"/>
        <v>0</v>
      </c>
      <c r="CZ114" s="20">
        <f t="shared" si="95"/>
        <v>0</v>
      </c>
      <c r="DA114" s="20">
        <f t="shared" si="95"/>
        <v>0</v>
      </c>
      <c r="DB114" s="20">
        <f t="shared" si="95"/>
        <v>0</v>
      </c>
      <c r="DC114" s="20">
        <f t="shared" si="95"/>
        <v>0</v>
      </c>
      <c r="DD114" s="20">
        <f t="shared" si="95"/>
        <v>0</v>
      </c>
      <c r="DE114" s="20">
        <f t="shared" si="95"/>
        <v>0</v>
      </c>
      <c r="DF114" s="20">
        <f t="shared" si="95"/>
        <v>0</v>
      </c>
      <c r="DG114" s="20">
        <f t="shared" si="95"/>
        <v>0</v>
      </c>
      <c r="DH114" s="20">
        <f t="shared" si="95"/>
        <v>0</v>
      </c>
      <c r="DI114" s="20">
        <f t="shared" si="95"/>
        <v>0</v>
      </c>
      <c r="DJ114" s="20">
        <f t="shared" si="95"/>
        <v>0</v>
      </c>
      <c r="DK114" s="20">
        <f t="shared" si="95"/>
        <v>0</v>
      </c>
      <c r="DL114" s="20">
        <f t="shared" si="95"/>
        <v>0</v>
      </c>
      <c r="DM114" s="20">
        <f t="shared" si="95"/>
        <v>0</v>
      </c>
      <c r="DN114" s="20">
        <f t="shared" si="95"/>
        <v>0</v>
      </c>
      <c r="DO114" s="20">
        <f t="shared" si="95"/>
        <v>0</v>
      </c>
      <c r="DP114" s="20">
        <f t="shared" si="95"/>
        <v>0</v>
      </c>
      <c r="DQ114" s="20">
        <f t="shared" si="95"/>
        <v>0</v>
      </c>
    </row>
    <row r="115" spans="4:121" x14ac:dyDescent="0.35">
      <c r="D115" s="20" t="s">
        <v>339</v>
      </c>
      <c r="I115" s="54">
        <f>SUM(K115:DQ115)</f>
        <v>3407446.180766243</v>
      </c>
      <c r="K115" s="20">
        <f>MIN(K110,K113)</f>
        <v>0</v>
      </c>
      <c r="L115" s="20">
        <f t="shared" ref="L115:BW115" si="96">MIN(L110,L113)</f>
        <v>0</v>
      </c>
      <c r="M115" s="20">
        <f t="shared" si="96"/>
        <v>0</v>
      </c>
      <c r="N115" s="20">
        <f t="shared" si="96"/>
        <v>0</v>
      </c>
      <c r="O115" s="20">
        <f t="shared" si="96"/>
        <v>0</v>
      </c>
      <c r="P115" s="20">
        <f t="shared" si="96"/>
        <v>0</v>
      </c>
      <c r="Q115" s="20">
        <f t="shared" si="96"/>
        <v>0</v>
      </c>
      <c r="R115" s="20">
        <f t="shared" si="96"/>
        <v>0</v>
      </c>
      <c r="S115" s="20">
        <f t="shared" si="96"/>
        <v>0</v>
      </c>
      <c r="T115" s="20">
        <f t="shared" si="96"/>
        <v>39640.614084970715</v>
      </c>
      <c r="U115" s="20">
        <f t="shared" si="96"/>
        <v>7223.6024462331916</v>
      </c>
      <c r="V115" s="20">
        <f t="shared" si="96"/>
        <v>-7619.3496053663657</v>
      </c>
      <c r="W115" s="20">
        <f t="shared" si="96"/>
        <v>26922.465998246145</v>
      </c>
      <c r="X115" s="20">
        <f t="shared" si="96"/>
        <v>39650.699552865452</v>
      </c>
      <c r="Y115" s="20">
        <f t="shared" si="96"/>
        <v>7396.2839163953358</v>
      </c>
      <c r="Z115" s="20">
        <f t="shared" si="96"/>
        <v>-7371.4955823496311</v>
      </c>
      <c r="AA115" s="20">
        <f t="shared" si="96"/>
        <v>26999.806972346491</v>
      </c>
      <c r="AB115" s="20">
        <f t="shared" si="96"/>
        <v>39666.062599041994</v>
      </c>
      <c r="AC115" s="20">
        <f t="shared" si="96"/>
        <v>7573.4732245048181</v>
      </c>
      <c r="AD115" s="20">
        <f t="shared" si="96"/>
        <v>-5664.9311496851442</v>
      </c>
      <c r="AE115" s="20">
        <f t="shared" si="96"/>
        <v>29718.556720335513</v>
      </c>
      <c r="AF115" s="20">
        <f t="shared" si="96"/>
        <v>42768.528161370705</v>
      </c>
      <c r="AG115" s="20">
        <f t="shared" si="96"/>
        <v>9763.5113536087229</v>
      </c>
      <c r="AH115" s="20">
        <f t="shared" si="96"/>
        <v>-4334.3281502322025</v>
      </c>
      <c r="AI115" s="20">
        <f t="shared" si="96"/>
        <v>31690.515339204536</v>
      </c>
      <c r="AJ115" s="20">
        <f t="shared" si="96"/>
        <v>44984.895209465169</v>
      </c>
      <c r="AK115" s="20">
        <f t="shared" si="96"/>
        <v>11405.613022452468</v>
      </c>
      <c r="AL115" s="20">
        <f t="shared" si="96"/>
        <v>-3759.5359403125512</v>
      </c>
      <c r="AM115" s="20">
        <f t="shared" si="96"/>
        <v>32244.694047344608</v>
      </c>
      <c r="AN115" s="20">
        <f t="shared" si="96"/>
        <v>45154.250073028699</v>
      </c>
      <c r="AO115" s="20">
        <f t="shared" si="96"/>
        <v>11605.376365294498</v>
      </c>
      <c r="AP115" s="20">
        <f t="shared" si="96"/>
        <v>-471.12625582538749</v>
      </c>
      <c r="AQ115" s="20">
        <f t="shared" si="96"/>
        <v>38007.978909896061</v>
      </c>
      <c r="AR115" s="20">
        <f t="shared" si="96"/>
        <v>52236.116174935443</v>
      </c>
      <c r="AS115" s="20">
        <f t="shared" si="96"/>
        <v>16446.652854505559</v>
      </c>
      <c r="AT115" s="20">
        <f t="shared" si="96"/>
        <v>5801.4696317112393</v>
      </c>
      <c r="AU115" s="20">
        <f t="shared" si="96"/>
        <v>48728.1267833725</v>
      </c>
      <c r="AV115" s="20">
        <f t="shared" si="96"/>
        <v>64637.417588024924</v>
      </c>
      <c r="AW115" s="20">
        <f t="shared" si="96"/>
        <v>24822.883534584198</v>
      </c>
      <c r="AX115" s="20">
        <f t="shared" si="96"/>
        <v>8370.4878373442116</v>
      </c>
      <c r="AY115" s="20">
        <f t="shared" si="96"/>
        <v>52474.273074332814</v>
      </c>
      <c r="AZ115" s="20">
        <f t="shared" si="96"/>
        <v>68833.350632477217</v>
      </c>
      <c r="BA115" s="20">
        <f t="shared" si="96"/>
        <v>27968.254351056672</v>
      </c>
      <c r="BB115" s="20">
        <f t="shared" si="96"/>
        <v>9628.6123611447401</v>
      </c>
      <c r="BC115" s="20">
        <f t="shared" si="96"/>
        <v>53750.687479295339</v>
      </c>
      <c r="BD115" s="20">
        <f t="shared" si="96"/>
        <v>70123.236507996073</v>
      </c>
      <c r="BE115" s="20">
        <f t="shared" si="96"/>
        <v>29261.579556257559</v>
      </c>
      <c r="BF115" s="20">
        <f t="shared" si="96"/>
        <v>13137.950851678394</v>
      </c>
      <c r="BG115" s="20">
        <f t="shared" si="96"/>
        <v>59073.360199947987</v>
      </c>
      <c r="BH115" s="20">
        <f t="shared" si="96"/>
        <v>76019.381895355808</v>
      </c>
      <c r="BI115" s="20">
        <f t="shared" si="96"/>
        <v>33534.981712433117</v>
      </c>
      <c r="BJ115" s="20">
        <f t="shared" si="96"/>
        <v>17177.872228566142</v>
      </c>
      <c r="BK115" s="20">
        <f t="shared" si="96"/>
        <v>65317.743042872549</v>
      </c>
      <c r="BL115" s="20">
        <f t="shared" si="96"/>
        <v>83222.05582616778</v>
      </c>
      <c r="BM115" s="20">
        <f t="shared" si="96"/>
        <v>38760.046818241739</v>
      </c>
      <c r="BN115" s="20">
        <f t="shared" si="96"/>
        <v>22469.977660806791</v>
      </c>
      <c r="BO115" s="20">
        <f t="shared" si="96"/>
        <v>73577.017673991795</v>
      </c>
      <c r="BP115" s="20">
        <f t="shared" si="96"/>
        <v>92609.230596464346</v>
      </c>
      <c r="BQ115" s="20">
        <f t="shared" si="96"/>
        <v>45480.941732968029</v>
      </c>
      <c r="BR115" s="20">
        <f t="shared" si="96"/>
        <v>27758.850640471232</v>
      </c>
      <c r="BS115" s="20">
        <f t="shared" si="96"/>
        <v>81624.758933896825</v>
      </c>
      <c r="BT115" s="20">
        <f t="shared" si="96"/>
        <v>101707.71063446243</v>
      </c>
      <c r="BU115" s="20">
        <f t="shared" si="96"/>
        <v>52106.475649592525</v>
      </c>
      <c r="BV115" s="20">
        <f t="shared" si="96"/>
        <v>27041.252461939253</v>
      </c>
      <c r="BW115" s="20">
        <f t="shared" si="96"/>
        <v>57447.421596104192</v>
      </c>
      <c r="BX115" s="20">
        <f t="shared" ref="BX115:DQ115" si="97">MIN(BX110,BX113)</f>
        <v>71944.783446740912</v>
      </c>
      <c r="BY115" s="20">
        <f t="shared" si="97"/>
        <v>36094.230771234972</v>
      </c>
      <c r="BZ115" s="20">
        <f t="shared" si="97"/>
        <v>20747.198907683382</v>
      </c>
      <c r="CA115" s="20">
        <f t="shared" si="97"/>
        <v>60229.82443169663</v>
      </c>
      <c r="CB115" s="20">
        <f t="shared" si="97"/>
        <v>74858.497606281904</v>
      </c>
      <c r="CC115" s="20">
        <f t="shared" si="97"/>
        <v>38514.201341878019</v>
      </c>
      <c r="CD115" s="20">
        <f t="shared" si="97"/>
        <v>24729.023782915523</v>
      </c>
      <c r="CE115" s="20">
        <f t="shared" si="97"/>
        <v>66231.034670960144</v>
      </c>
      <c r="CF115" s="20">
        <f t="shared" si="97"/>
        <v>81727.941030078815</v>
      </c>
      <c r="CG115" s="20">
        <f t="shared" si="97"/>
        <v>43578.525135041877</v>
      </c>
      <c r="CH115" s="20">
        <f t="shared" si="97"/>
        <v>28026.553172522457</v>
      </c>
      <c r="CI115" s="20">
        <f t="shared" si="97"/>
        <v>70756.292087979265</v>
      </c>
      <c r="CJ115" s="20">
        <f t="shared" si="97"/>
        <v>86726.195069573121</v>
      </c>
      <c r="CK115" s="20">
        <f t="shared" si="97"/>
        <v>47492.61653897044</v>
      </c>
      <c r="CL115" s="20">
        <f t="shared" si="97"/>
        <v>33557.000587836563</v>
      </c>
      <c r="CM115" s="20">
        <f t="shared" si="97"/>
        <v>79212.433341612385</v>
      </c>
      <c r="CN115" s="20">
        <f t="shared" si="97"/>
        <v>96296.737550091158</v>
      </c>
      <c r="CO115" s="20">
        <f t="shared" si="97"/>
        <v>54440.694878111193</v>
      </c>
      <c r="CP115" s="20">
        <f t="shared" si="97"/>
        <v>38677.057297407773</v>
      </c>
      <c r="CQ115" s="20">
        <f t="shared" si="97"/>
        <v>86710.942917338063</v>
      </c>
      <c r="CR115" s="20">
        <f t="shared" si="97"/>
        <v>104704.652706376</v>
      </c>
      <c r="CS115" s="20">
        <f t="shared" si="97"/>
        <v>60727.183759227635</v>
      </c>
      <c r="CT115" s="20">
        <f t="shared" si="97"/>
        <v>44341.416415968364</v>
      </c>
      <c r="CU115" s="20">
        <f t="shared" si="97"/>
        <v>92774.803482882999</v>
      </c>
      <c r="CV115" s="20">
        <f t="shared" si="97"/>
        <v>0</v>
      </c>
      <c r="CW115" s="20">
        <f t="shared" si="97"/>
        <v>0</v>
      </c>
      <c r="CX115" s="20">
        <f t="shared" si="97"/>
        <v>0</v>
      </c>
      <c r="CY115" s="20">
        <f t="shared" si="97"/>
        <v>0</v>
      </c>
      <c r="CZ115" s="20">
        <f t="shared" si="97"/>
        <v>0</v>
      </c>
      <c r="DA115" s="20">
        <f t="shared" si="97"/>
        <v>0</v>
      </c>
      <c r="DB115" s="20">
        <f t="shared" si="97"/>
        <v>0</v>
      </c>
      <c r="DC115" s="20">
        <f t="shared" si="97"/>
        <v>0</v>
      </c>
      <c r="DD115" s="20">
        <f t="shared" si="97"/>
        <v>0</v>
      </c>
      <c r="DE115" s="20">
        <f t="shared" si="97"/>
        <v>0</v>
      </c>
      <c r="DF115" s="20">
        <f t="shared" si="97"/>
        <v>0</v>
      </c>
      <c r="DG115" s="20">
        <f t="shared" si="97"/>
        <v>0</v>
      </c>
      <c r="DH115" s="20">
        <f t="shared" si="97"/>
        <v>0</v>
      </c>
      <c r="DI115" s="20">
        <f t="shared" si="97"/>
        <v>0</v>
      </c>
      <c r="DJ115" s="20">
        <f t="shared" si="97"/>
        <v>0</v>
      </c>
      <c r="DK115" s="20">
        <f t="shared" si="97"/>
        <v>0</v>
      </c>
      <c r="DL115" s="20">
        <f t="shared" si="97"/>
        <v>0</v>
      </c>
      <c r="DM115" s="20">
        <f t="shared" si="97"/>
        <v>0</v>
      </c>
      <c r="DN115" s="20">
        <f t="shared" si="97"/>
        <v>0</v>
      </c>
      <c r="DO115" s="20">
        <f t="shared" si="97"/>
        <v>0</v>
      </c>
      <c r="DP115" s="20">
        <f t="shared" si="97"/>
        <v>0</v>
      </c>
      <c r="DQ115" s="20">
        <f t="shared" si="97"/>
        <v>0</v>
      </c>
    </row>
    <row r="116" spans="4:121" x14ac:dyDescent="0.35">
      <c r="D116" s="20" t="s">
        <v>410</v>
      </c>
      <c r="G116" s="35">
        <f>Summary!$F$13</f>
        <v>0</v>
      </c>
      <c r="K116" s="20">
        <f>K176</f>
        <v>0</v>
      </c>
      <c r="L116" s="20">
        <f t="shared" ref="L116:BW116" si="98">L176</f>
        <v>0</v>
      </c>
      <c r="M116" s="20">
        <f t="shared" si="98"/>
        <v>0</v>
      </c>
      <c r="N116" s="20">
        <f t="shared" si="98"/>
        <v>0</v>
      </c>
      <c r="O116" s="20">
        <f t="shared" si="98"/>
        <v>0</v>
      </c>
      <c r="P116" s="20">
        <f t="shared" si="98"/>
        <v>0</v>
      </c>
      <c r="Q116" s="20">
        <f t="shared" si="98"/>
        <v>0</v>
      </c>
      <c r="R116" s="20">
        <f t="shared" si="98"/>
        <v>0</v>
      </c>
      <c r="S116" s="20">
        <f t="shared" si="98"/>
        <v>0</v>
      </c>
      <c r="T116" s="20">
        <f t="shared" si="98"/>
        <v>0</v>
      </c>
      <c r="U116" s="20">
        <f t="shared" si="98"/>
        <v>0</v>
      </c>
      <c r="V116" s="20">
        <f t="shared" si="98"/>
        <v>0</v>
      </c>
      <c r="W116" s="20">
        <f t="shared" si="98"/>
        <v>0</v>
      </c>
      <c r="X116" s="20">
        <f t="shared" si="98"/>
        <v>0</v>
      </c>
      <c r="Y116" s="20">
        <f t="shared" si="98"/>
        <v>0</v>
      </c>
      <c r="Z116" s="20">
        <f t="shared" si="98"/>
        <v>0</v>
      </c>
      <c r="AA116" s="20">
        <f t="shared" si="98"/>
        <v>0</v>
      </c>
      <c r="AB116" s="20">
        <f t="shared" si="98"/>
        <v>0</v>
      </c>
      <c r="AC116" s="20">
        <f t="shared" si="98"/>
        <v>0</v>
      </c>
      <c r="AD116" s="20">
        <f t="shared" si="98"/>
        <v>0</v>
      </c>
      <c r="AE116" s="20">
        <f t="shared" si="98"/>
        <v>0</v>
      </c>
      <c r="AF116" s="20">
        <f t="shared" si="98"/>
        <v>0</v>
      </c>
      <c r="AG116" s="20">
        <f t="shared" si="98"/>
        <v>0</v>
      </c>
      <c r="AH116" s="20">
        <f t="shared" si="98"/>
        <v>0</v>
      </c>
      <c r="AI116" s="20">
        <f t="shared" si="98"/>
        <v>0</v>
      </c>
      <c r="AJ116" s="20">
        <f t="shared" si="98"/>
        <v>0</v>
      </c>
      <c r="AK116" s="20">
        <f t="shared" si="98"/>
        <v>0</v>
      </c>
      <c r="AL116" s="20">
        <f t="shared" si="98"/>
        <v>0</v>
      </c>
      <c r="AM116" s="20">
        <f t="shared" si="98"/>
        <v>0</v>
      </c>
      <c r="AN116" s="20">
        <f t="shared" si="98"/>
        <v>0</v>
      </c>
      <c r="AO116" s="20">
        <f t="shared" si="98"/>
        <v>0</v>
      </c>
      <c r="AP116" s="20">
        <f t="shared" si="98"/>
        <v>0</v>
      </c>
      <c r="AQ116" s="20">
        <f t="shared" si="98"/>
        <v>0</v>
      </c>
      <c r="AR116" s="20">
        <f t="shared" si="98"/>
        <v>0</v>
      </c>
      <c r="AS116" s="20">
        <f t="shared" si="98"/>
        <v>0</v>
      </c>
      <c r="AT116" s="20">
        <f t="shared" si="98"/>
        <v>0</v>
      </c>
      <c r="AU116" s="20">
        <f t="shared" si="98"/>
        <v>0</v>
      </c>
      <c r="AV116" s="20">
        <f t="shared" si="98"/>
        <v>0</v>
      </c>
      <c r="AW116" s="20">
        <f t="shared" si="98"/>
        <v>0</v>
      </c>
      <c r="AX116" s="20">
        <f t="shared" si="98"/>
        <v>0</v>
      </c>
      <c r="AY116" s="20">
        <f t="shared" si="98"/>
        <v>0</v>
      </c>
      <c r="AZ116" s="20">
        <f t="shared" si="98"/>
        <v>0</v>
      </c>
      <c r="BA116" s="20">
        <f t="shared" si="98"/>
        <v>0</v>
      </c>
      <c r="BB116" s="20">
        <f t="shared" si="98"/>
        <v>0</v>
      </c>
      <c r="BC116" s="20">
        <f t="shared" si="98"/>
        <v>0</v>
      </c>
      <c r="BD116" s="20">
        <f t="shared" si="98"/>
        <v>0</v>
      </c>
      <c r="BE116" s="20">
        <f t="shared" si="98"/>
        <v>0</v>
      </c>
      <c r="BF116" s="20">
        <f t="shared" si="98"/>
        <v>0</v>
      </c>
      <c r="BG116" s="20">
        <f t="shared" si="98"/>
        <v>0</v>
      </c>
      <c r="BH116" s="20">
        <f t="shared" si="98"/>
        <v>0</v>
      </c>
      <c r="BI116" s="20">
        <f t="shared" si="98"/>
        <v>0</v>
      </c>
      <c r="BJ116" s="20">
        <f t="shared" si="98"/>
        <v>0</v>
      </c>
      <c r="BK116" s="20">
        <f t="shared" si="98"/>
        <v>0</v>
      </c>
      <c r="BL116" s="20">
        <f t="shared" si="98"/>
        <v>0</v>
      </c>
      <c r="BM116" s="20">
        <f t="shared" si="98"/>
        <v>0</v>
      </c>
      <c r="BN116" s="20">
        <f t="shared" si="98"/>
        <v>0</v>
      </c>
      <c r="BO116" s="20">
        <f t="shared" si="98"/>
        <v>0</v>
      </c>
      <c r="BP116" s="20">
        <f t="shared" si="98"/>
        <v>0</v>
      </c>
      <c r="BQ116" s="20">
        <f t="shared" si="98"/>
        <v>0</v>
      </c>
      <c r="BR116" s="20">
        <f t="shared" si="98"/>
        <v>0</v>
      </c>
      <c r="BS116" s="20">
        <f t="shared" si="98"/>
        <v>0</v>
      </c>
      <c r="BT116" s="20">
        <f t="shared" si="98"/>
        <v>0</v>
      </c>
      <c r="BU116" s="20">
        <f t="shared" si="98"/>
        <v>0</v>
      </c>
      <c r="BV116" s="20">
        <f t="shared" si="98"/>
        <v>0</v>
      </c>
      <c r="BW116" s="20">
        <f t="shared" si="98"/>
        <v>0</v>
      </c>
      <c r="BX116" s="20">
        <f t="shared" ref="BX116:DQ116" si="99">BX176</f>
        <v>0</v>
      </c>
      <c r="BY116" s="20">
        <f t="shared" si="99"/>
        <v>0</v>
      </c>
      <c r="BZ116" s="20">
        <f t="shared" si="99"/>
        <v>0</v>
      </c>
      <c r="CA116" s="20">
        <f t="shared" si="99"/>
        <v>0</v>
      </c>
      <c r="CB116" s="20">
        <f t="shared" si="99"/>
        <v>0</v>
      </c>
      <c r="CC116" s="20">
        <f t="shared" si="99"/>
        <v>0</v>
      </c>
      <c r="CD116" s="20">
        <f t="shared" si="99"/>
        <v>0</v>
      </c>
      <c r="CE116" s="20">
        <f t="shared" si="99"/>
        <v>0</v>
      </c>
      <c r="CF116" s="20">
        <f t="shared" si="99"/>
        <v>0</v>
      </c>
      <c r="CG116" s="20">
        <f t="shared" si="99"/>
        <v>0</v>
      </c>
      <c r="CH116" s="20">
        <f t="shared" si="99"/>
        <v>0</v>
      </c>
      <c r="CI116" s="20">
        <f t="shared" si="99"/>
        <v>0</v>
      </c>
      <c r="CJ116" s="20">
        <f t="shared" si="99"/>
        <v>0</v>
      </c>
      <c r="CK116" s="20">
        <f t="shared" si="99"/>
        <v>0</v>
      </c>
      <c r="CL116" s="20">
        <f t="shared" si="99"/>
        <v>0</v>
      </c>
      <c r="CM116" s="20">
        <f t="shared" si="99"/>
        <v>0</v>
      </c>
      <c r="CN116" s="20">
        <f t="shared" si="99"/>
        <v>0</v>
      </c>
      <c r="CO116" s="20">
        <f t="shared" si="99"/>
        <v>0</v>
      </c>
      <c r="CP116" s="20">
        <f t="shared" si="99"/>
        <v>0</v>
      </c>
      <c r="CQ116" s="20">
        <f t="shared" si="99"/>
        <v>0</v>
      </c>
      <c r="CR116" s="20">
        <f t="shared" si="99"/>
        <v>0</v>
      </c>
      <c r="CS116" s="20">
        <f t="shared" si="99"/>
        <v>0</v>
      </c>
      <c r="CT116" s="20">
        <f t="shared" si="99"/>
        <v>0</v>
      </c>
      <c r="CU116" s="20">
        <f t="shared" si="99"/>
        <v>0</v>
      </c>
      <c r="CV116" s="20">
        <f t="shared" si="99"/>
        <v>0</v>
      </c>
      <c r="CW116" s="20">
        <f t="shared" si="99"/>
        <v>0</v>
      </c>
      <c r="CX116" s="20">
        <f t="shared" si="99"/>
        <v>0</v>
      </c>
      <c r="CY116" s="20">
        <f t="shared" si="99"/>
        <v>0</v>
      </c>
      <c r="CZ116" s="20">
        <f t="shared" si="99"/>
        <v>0</v>
      </c>
      <c r="DA116" s="20">
        <f t="shared" si="99"/>
        <v>0</v>
      </c>
      <c r="DB116" s="20">
        <f t="shared" si="99"/>
        <v>0</v>
      </c>
      <c r="DC116" s="20">
        <f t="shared" si="99"/>
        <v>0</v>
      </c>
      <c r="DD116" s="20">
        <f t="shared" si="99"/>
        <v>0</v>
      </c>
      <c r="DE116" s="20">
        <f t="shared" si="99"/>
        <v>0</v>
      </c>
      <c r="DF116" s="20">
        <f t="shared" si="99"/>
        <v>0</v>
      </c>
      <c r="DG116" s="20">
        <f t="shared" si="99"/>
        <v>0</v>
      </c>
      <c r="DH116" s="20">
        <f t="shared" si="99"/>
        <v>0</v>
      </c>
      <c r="DI116" s="20">
        <f t="shared" si="99"/>
        <v>0</v>
      </c>
      <c r="DJ116" s="20">
        <f t="shared" si="99"/>
        <v>0</v>
      </c>
      <c r="DK116" s="20">
        <f t="shared" si="99"/>
        <v>0</v>
      </c>
      <c r="DL116" s="20">
        <f t="shared" si="99"/>
        <v>0</v>
      </c>
      <c r="DM116" s="20">
        <f t="shared" si="99"/>
        <v>0</v>
      </c>
      <c r="DN116" s="20">
        <f t="shared" si="99"/>
        <v>0</v>
      </c>
      <c r="DO116" s="20">
        <f t="shared" si="99"/>
        <v>0</v>
      </c>
      <c r="DP116" s="20">
        <f t="shared" si="99"/>
        <v>0</v>
      </c>
      <c r="DQ116" s="20">
        <f t="shared" si="99"/>
        <v>0</v>
      </c>
    </row>
    <row r="117" spans="4:121" ht="15" thickBot="1" x14ac:dyDescent="0.4">
      <c r="D117" s="39" t="s">
        <v>277</v>
      </c>
      <c r="E117" s="39"/>
      <c r="F117" s="39"/>
      <c r="G117" s="39"/>
      <c r="H117" s="39"/>
      <c r="I117" s="39"/>
      <c r="J117" s="39"/>
      <c r="K117" s="39">
        <f>K113+K114-K115-K116</f>
        <v>0</v>
      </c>
      <c r="L117" s="39">
        <f t="shared" ref="L117:BW117" si="100">L113+L114-L115-L116</f>
        <v>0</v>
      </c>
      <c r="M117" s="39">
        <f t="shared" si="100"/>
        <v>0</v>
      </c>
      <c r="N117" s="39">
        <f t="shared" si="100"/>
        <v>0</v>
      </c>
      <c r="O117" s="39">
        <f t="shared" si="100"/>
        <v>486491.1751974026</v>
      </c>
      <c r="P117" s="39">
        <f t="shared" si="100"/>
        <v>1214792.9690432188</v>
      </c>
      <c r="Q117" s="39">
        <f t="shared" si="100"/>
        <v>1944384.5444918973</v>
      </c>
      <c r="R117" s="39">
        <f t="shared" si="100"/>
        <v>2675268.1856742715</v>
      </c>
      <c r="S117" s="39">
        <f t="shared" si="100"/>
        <v>3407446.1807662416</v>
      </c>
      <c r="T117" s="39">
        <f t="shared" si="100"/>
        <v>3367805.566681271</v>
      </c>
      <c r="U117" s="39">
        <f t="shared" si="100"/>
        <v>3360581.9642350376</v>
      </c>
      <c r="V117" s="39">
        <f t="shared" si="100"/>
        <v>3368201.3138404042</v>
      </c>
      <c r="W117" s="39">
        <f t="shared" si="100"/>
        <v>3341278.8478421578</v>
      </c>
      <c r="X117" s="39">
        <f t="shared" si="100"/>
        <v>3301628.1482892926</v>
      </c>
      <c r="Y117" s="39">
        <f t="shared" si="100"/>
        <v>3294231.8643728974</v>
      </c>
      <c r="Z117" s="39">
        <f t="shared" si="100"/>
        <v>3301603.359955247</v>
      </c>
      <c r="AA117" s="39">
        <f t="shared" si="100"/>
        <v>3274603.5529829008</v>
      </c>
      <c r="AB117" s="39">
        <f t="shared" si="100"/>
        <v>3234937.4903838588</v>
      </c>
      <c r="AC117" s="39">
        <f t="shared" si="100"/>
        <v>3227364.0171593539</v>
      </c>
      <c r="AD117" s="39">
        <f t="shared" si="100"/>
        <v>3233028.9483090392</v>
      </c>
      <c r="AE117" s="39">
        <f t="shared" si="100"/>
        <v>3203310.3915887037</v>
      </c>
      <c r="AF117" s="39">
        <f t="shared" si="100"/>
        <v>3160541.8634273331</v>
      </c>
      <c r="AG117" s="39">
        <f t="shared" si="100"/>
        <v>3150778.3520737244</v>
      </c>
      <c r="AH117" s="39">
        <f t="shared" si="100"/>
        <v>3155112.6802239567</v>
      </c>
      <c r="AI117" s="39">
        <f t="shared" si="100"/>
        <v>3123422.1648847521</v>
      </c>
      <c r="AJ117" s="39">
        <f t="shared" si="100"/>
        <v>3078437.269675287</v>
      </c>
      <c r="AK117" s="39">
        <f t="shared" si="100"/>
        <v>3067031.6566528343</v>
      </c>
      <c r="AL117" s="39">
        <f t="shared" si="100"/>
        <v>3070791.192593147</v>
      </c>
      <c r="AM117" s="39">
        <f t="shared" si="100"/>
        <v>3038546.4985458027</v>
      </c>
      <c r="AN117" s="39">
        <f t="shared" si="100"/>
        <v>2993392.2484727739</v>
      </c>
      <c r="AO117" s="39">
        <f t="shared" si="100"/>
        <v>2981786.8721074793</v>
      </c>
      <c r="AP117" s="39">
        <f t="shared" si="100"/>
        <v>2982257.9983633044</v>
      </c>
      <c r="AQ117" s="39">
        <f t="shared" si="100"/>
        <v>2944250.0194534082</v>
      </c>
      <c r="AR117" s="39">
        <f t="shared" si="100"/>
        <v>2892013.9032784728</v>
      </c>
      <c r="AS117" s="39">
        <f t="shared" si="100"/>
        <v>2875567.2504239674</v>
      </c>
      <c r="AT117" s="39">
        <f t="shared" si="100"/>
        <v>2869765.7807922564</v>
      </c>
      <c r="AU117" s="39">
        <f t="shared" si="100"/>
        <v>2821037.654008884</v>
      </c>
      <c r="AV117" s="39">
        <f t="shared" si="100"/>
        <v>2756400.2364208591</v>
      </c>
      <c r="AW117" s="39">
        <f t="shared" si="100"/>
        <v>2731577.3528862749</v>
      </c>
      <c r="AX117" s="39">
        <f t="shared" si="100"/>
        <v>2723206.8650489305</v>
      </c>
      <c r="AY117" s="39">
        <f t="shared" si="100"/>
        <v>2670732.5919745979</v>
      </c>
      <c r="AZ117" s="39">
        <f t="shared" si="100"/>
        <v>2601899.2413421208</v>
      </c>
      <c r="BA117" s="39">
        <f t="shared" si="100"/>
        <v>2573930.9869910642</v>
      </c>
      <c r="BB117" s="39">
        <f t="shared" si="100"/>
        <v>2564302.3746299194</v>
      </c>
      <c r="BC117" s="39">
        <f t="shared" si="100"/>
        <v>2510551.6871506241</v>
      </c>
      <c r="BD117" s="39">
        <f t="shared" si="100"/>
        <v>2440428.4506426281</v>
      </c>
      <c r="BE117" s="39">
        <f t="shared" si="100"/>
        <v>2411166.8710863707</v>
      </c>
      <c r="BF117" s="39">
        <f t="shared" si="100"/>
        <v>2398028.9202346923</v>
      </c>
      <c r="BG117" s="39">
        <f t="shared" si="100"/>
        <v>2338955.5600347444</v>
      </c>
      <c r="BH117" s="39">
        <f t="shared" si="100"/>
        <v>2262936.1781393886</v>
      </c>
      <c r="BI117" s="39">
        <f t="shared" si="100"/>
        <v>2229401.1964269555</v>
      </c>
      <c r="BJ117" s="39">
        <f t="shared" si="100"/>
        <v>2212223.3241983894</v>
      </c>
      <c r="BK117" s="39">
        <f t="shared" si="100"/>
        <v>2146905.5811555167</v>
      </c>
      <c r="BL117" s="39">
        <f t="shared" si="100"/>
        <v>2063683.5253293489</v>
      </c>
      <c r="BM117" s="39">
        <f t="shared" si="100"/>
        <v>2024923.4785111072</v>
      </c>
      <c r="BN117" s="39">
        <f t="shared" si="100"/>
        <v>2002453.5008503003</v>
      </c>
      <c r="BO117" s="39">
        <f t="shared" si="100"/>
        <v>1928876.4831763085</v>
      </c>
      <c r="BP117" s="39">
        <f t="shared" si="100"/>
        <v>1836267.2525798441</v>
      </c>
      <c r="BQ117" s="39">
        <f t="shared" si="100"/>
        <v>1790786.3108468761</v>
      </c>
      <c r="BR117" s="39">
        <f t="shared" si="100"/>
        <v>1763027.4602064048</v>
      </c>
      <c r="BS117" s="39">
        <f t="shared" si="100"/>
        <v>1681402.7012725079</v>
      </c>
      <c r="BT117" s="39">
        <f t="shared" si="100"/>
        <v>1579694.9906380454</v>
      </c>
      <c r="BU117" s="39">
        <f t="shared" si="100"/>
        <v>1527588.5149884529</v>
      </c>
      <c r="BV117" s="39">
        <f t="shared" si="100"/>
        <v>1500547.2625265135</v>
      </c>
      <c r="BW117" s="39">
        <f t="shared" si="100"/>
        <v>1443099.8409304093</v>
      </c>
      <c r="BX117" s="39">
        <f t="shared" ref="BX117:DQ117" si="101">BX113+BX114-BX115-BX116</f>
        <v>1371155.0574836684</v>
      </c>
      <c r="BY117" s="39">
        <f t="shared" si="101"/>
        <v>1335060.8267124335</v>
      </c>
      <c r="BZ117" s="39">
        <f t="shared" si="101"/>
        <v>1314313.6278047501</v>
      </c>
      <c r="CA117" s="39">
        <f t="shared" si="101"/>
        <v>1254083.8033730534</v>
      </c>
      <c r="CB117" s="39">
        <f t="shared" si="101"/>
        <v>1179225.3057667715</v>
      </c>
      <c r="CC117" s="39">
        <f t="shared" si="101"/>
        <v>1140711.1044248936</v>
      </c>
      <c r="CD117" s="39">
        <f t="shared" si="101"/>
        <v>1115982.0806419782</v>
      </c>
      <c r="CE117" s="39">
        <f t="shared" si="101"/>
        <v>1049751.045971018</v>
      </c>
      <c r="CF117" s="39">
        <f t="shared" si="101"/>
        <v>968023.10494093923</v>
      </c>
      <c r="CG117" s="39">
        <f t="shared" si="101"/>
        <v>924444.57980589732</v>
      </c>
      <c r="CH117" s="39">
        <f t="shared" si="101"/>
        <v>896418.02663337486</v>
      </c>
      <c r="CI117" s="39">
        <f t="shared" si="101"/>
        <v>825661.73454539559</v>
      </c>
      <c r="CJ117" s="39">
        <f t="shared" si="101"/>
        <v>738935.53947582247</v>
      </c>
      <c r="CK117" s="39">
        <f t="shared" si="101"/>
        <v>691442.92293685209</v>
      </c>
      <c r="CL117" s="39">
        <f t="shared" si="101"/>
        <v>657885.92234901548</v>
      </c>
      <c r="CM117" s="39">
        <f t="shared" si="101"/>
        <v>578673.48900740314</v>
      </c>
      <c r="CN117" s="39">
        <f t="shared" si="101"/>
        <v>482376.75145731197</v>
      </c>
      <c r="CO117" s="39">
        <f t="shared" si="101"/>
        <v>427936.05657920078</v>
      </c>
      <c r="CP117" s="39">
        <f t="shared" si="101"/>
        <v>389258.99928179302</v>
      </c>
      <c r="CQ117" s="39">
        <f t="shared" si="101"/>
        <v>302548.05636445497</v>
      </c>
      <c r="CR117" s="39">
        <f t="shared" si="101"/>
        <v>197843.40365807898</v>
      </c>
      <c r="CS117" s="39">
        <f t="shared" si="101"/>
        <v>137116.21989885136</v>
      </c>
      <c r="CT117" s="39">
        <f t="shared" si="101"/>
        <v>92774.803482882999</v>
      </c>
      <c r="CU117" s="39">
        <f t="shared" si="101"/>
        <v>0</v>
      </c>
      <c r="CV117" s="39">
        <f t="shared" si="101"/>
        <v>0</v>
      </c>
      <c r="CW117" s="39">
        <f t="shared" si="101"/>
        <v>0</v>
      </c>
      <c r="CX117" s="39">
        <f t="shared" si="101"/>
        <v>0</v>
      </c>
      <c r="CY117" s="39">
        <f t="shared" si="101"/>
        <v>0</v>
      </c>
      <c r="CZ117" s="39">
        <f t="shared" si="101"/>
        <v>0</v>
      </c>
      <c r="DA117" s="39">
        <f t="shared" si="101"/>
        <v>0</v>
      </c>
      <c r="DB117" s="39">
        <f t="shared" si="101"/>
        <v>0</v>
      </c>
      <c r="DC117" s="39">
        <f t="shared" si="101"/>
        <v>0</v>
      </c>
      <c r="DD117" s="39">
        <f t="shared" si="101"/>
        <v>0</v>
      </c>
      <c r="DE117" s="39">
        <f t="shared" si="101"/>
        <v>0</v>
      </c>
      <c r="DF117" s="39">
        <f t="shared" si="101"/>
        <v>0</v>
      </c>
      <c r="DG117" s="39">
        <f t="shared" si="101"/>
        <v>0</v>
      </c>
      <c r="DH117" s="39">
        <f t="shared" si="101"/>
        <v>0</v>
      </c>
      <c r="DI117" s="39">
        <f t="shared" si="101"/>
        <v>0</v>
      </c>
      <c r="DJ117" s="39">
        <f t="shared" si="101"/>
        <v>0</v>
      </c>
      <c r="DK117" s="39">
        <f t="shared" si="101"/>
        <v>0</v>
      </c>
      <c r="DL117" s="39">
        <f t="shared" si="101"/>
        <v>0</v>
      </c>
      <c r="DM117" s="39">
        <f t="shared" si="101"/>
        <v>0</v>
      </c>
      <c r="DN117" s="39">
        <f t="shared" si="101"/>
        <v>0</v>
      </c>
      <c r="DO117" s="39">
        <f t="shared" si="101"/>
        <v>0</v>
      </c>
      <c r="DP117" s="39">
        <f t="shared" si="101"/>
        <v>0</v>
      </c>
      <c r="DQ117" s="39">
        <f t="shared" si="101"/>
        <v>0</v>
      </c>
    </row>
    <row r="118" spans="4:121" x14ac:dyDescent="0.35">
      <c r="D118" s="20" t="s">
        <v>342</v>
      </c>
      <c r="K118" s="22">
        <f t="shared" ref="K118:AP118" si="102">K28</f>
        <v>2.7500000000000003E-3</v>
      </c>
      <c r="L118" s="22">
        <f t="shared" si="102"/>
        <v>2.7500000000000003E-3</v>
      </c>
      <c r="M118" s="22">
        <f t="shared" si="102"/>
        <v>2.7500000000000003E-3</v>
      </c>
      <c r="N118" s="22">
        <f t="shared" si="102"/>
        <v>2.7500000000000003E-3</v>
      </c>
      <c r="O118" s="22">
        <f t="shared" si="102"/>
        <v>2.7500000000000003E-3</v>
      </c>
      <c r="P118" s="22">
        <f t="shared" si="102"/>
        <v>2.7500000000000003E-3</v>
      </c>
      <c r="Q118" s="22">
        <f t="shared" si="102"/>
        <v>2.7500000000000003E-3</v>
      </c>
      <c r="R118" s="22">
        <f t="shared" si="102"/>
        <v>2.7500000000000003E-3</v>
      </c>
      <c r="S118" s="22">
        <f t="shared" si="102"/>
        <v>2.7500000000000003E-3</v>
      </c>
      <c r="T118" s="22">
        <f t="shared" si="102"/>
        <v>8.5000000000000006E-3</v>
      </c>
      <c r="U118" s="22">
        <f t="shared" si="102"/>
        <v>8.5000000000000006E-3</v>
      </c>
      <c r="V118" s="22">
        <f t="shared" si="102"/>
        <v>8.5000000000000006E-3</v>
      </c>
      <c r="W118" s="22">
        <f t="shared" si="102"/>
        <v>8.5000000000000006E-3</v>
      </c>
      <c r="X118" s="22">
        <f t="shared" si="102"/>
        <v>8.5000000000000006E-3</v>
      </c>
      <c r="Y118" s="22">
        <f t="shared" si="102"/>
        <v>8.5000000000000006E-3</v>
      </c>
      <c r="Z118" s="22">
        <f t="shared" si="102"/>
        <v>8.5000000000000006E-3</v>
      </c>
      <c r="AA118" s="22">
        <f t="shared" si="102"/>
        <v>8.5000000000000006E-3</v>
      </c>
      <c r="AB118" s="22">
        <f t="shared" si="102"/>
        <v>8.5000000000000006E-3</v>
      </c>
      <c r="AC118" s="22">
        <f t="shared" si="102"/>
        <v>8.5000000000000006E-3</v>
      </c>
      <c r="AD118" s="22">
        <f t="shared" si="102"/>
        <v>8.5000000000000006E-3</v>
      </c>
      <c r="AE118" s="22">
        <f t="shared" si="102"/>
        <v>8.5000000000000006E-3</v>
      </c>
      <c r="AF118" s="22">
        <f t="shared" si="102"/>
        <v>8.5000000000000006E-3</v>
      </c>
      <c r="AG118" s="22">
        <f t="shared" si="102"/>
        <v>8.5000000000000006E-3</v>
      </c>
      <c r="AH118" s="22">
        <f t="shared" si="102"/>
        <v>8.5000000000000006E-3</v>
      </c>
      <c r="AI118" s="22">
        <f t="shared" si="102"/>
        <v>8.5000000000000006E-3</v>
      </c>
      <c r="AJ118" s="22">
        <f t="shared" si="102"/>
        <v>8.5000000000000006E-3</v>
      </c>
      <c r="AK118" s="22">
        <f t="shared" si="102"/>
        <v>8.5000000000000006E-3</v>
      </c>
      <c r="AL118" s="22">
        <f t="shared" si="102"/>
        <v>8.5000000000000006E-3</v>
      </c>
      <c r="AM118" s="22">
        <f t="shared" si="102"/>
        <v>8.5000000000000006E-3</v>
      </c>
      <c r="AN118" s="22">
        <f t="shared" si="102"/>
        <v>8.6250000000000007E-3</v>
      </c>
      <c r="AO118" s="22">
        <f t="shared" si="102"/>
        <v>8.6250000000000007E-3</v>
      </c>
      <c r="AP118" s="22">
        <f t="shared" si="102"/>
        <v>8.6250000000000007E-3</v>
      </c>
      <c r="AQ118" s="22">
        <f t="shared" ref="AQ118:BV118" si="103">AQ28</f>
        <v>8.6250000000000007E-3</v>
      </c>
      <c r="AR118" s="22">
        <f t="shared" si="103"/>
        <v>8.6250000000000007E-3</v>
      </c>
      <c r="AS118" s="22">
        <f t="shared" si="103"/>
        <v>8.6250000000000007E-3</v>
      </c>
      <c r="AT118" s="22">
        <f t="shared" si="103"/>
        <v>8.6250000000000007E-3</v>
      </c>
      <c r="AU118" s="22">
        <f t="shared" si="103"/>
        <v>8.6250000000000007E-3</v>
      </c>
      <c r="AV118" s="22">
        <f t="shared" si="103"/>
        <v>8.6250000000000007E-3</v>
      </c>
      <c r="AW118" s="22">
        <f t="shared" si="103"/>
        <v>8.6250000000000007E-3</v>
      </c>
      <c r="AX118" s="22">
        <f t="shared" si="103"/>
        <v>8.6250000000000007E-3</v>
      </c>
      <c r="AY118" s="22">
        <f t="shared" si="103"/>
        <v>8.6250000000000007E-3</v>
      </c>
      <c r="AZ118" s="22">
        <f t="shared" si="103"/>
        <v>8.6250000000000007E-3</v>
      </c>
      <c r="BA118" s="22">
        <f t="shared" si="103"/>
        <v>8.6250000000000007E-3</v>
      </c>
      <c r="BB118" s="22">
        <f t="shared" si="103"/>
        <v>8.6250000000000007E-3</v>
      </c>
      <c r="BC118" s="22">
        <f t="shared" si="103"/>
        <v>8.6250000000000007E-3</v>
      </c>
      <c r="BD118" s="22">
        <f t="shared" si="103"/>
        <v>8.6250000000000007E-3</v>
      </c>
      <c r="BE118" s="22">
        <f t="shared" si="103"/>
        <v>8.6250000000000007E-3</v>
      </c>
      <c r="BF118" s="22">
        <f t="shared" si="103"/>
        <v>8.6250000000000007E-3</v>
      </c>
      <c r="BG118" s="22">
        <f t="shared" si="103"/>
        <v>8.6250000000000007E-3</v>
      </c>
      <c r="BH118" s="22">
        <f t="shared" si="103"/>
        <v>8.6749999999999987E-3</v>
      </c>
      <c r="BI118" s="22">
        <f t="shared" si="103"/>
        <v>8.6749999999999987E-3</v>
      </c>
      <c r="BJ118" s="22">
        <f t="shared" si="103"/>
        <v>8.6749999999999987E-3</v>
      </c>
      <c r="BK118" s="22">
        <f t="shared" si="103"/>
        <v>8.6749999999999987E-3</v>
      </c>
      <c r="BL118" s="22">
        <f t="shared" si="103"/>
        <v>8.6749999999999987E-3</v>
      </c>
      <c r="BM118" s="22">
        <f t="shared" si="103"/>
        <v>8.6749999999999987E-3</v>
      </c>
      <c r="BN118" s="22">
        <f t="shared" si="103"/>
        <v>8.6749999999999987E-3</v>
      </c>
      <c r="BO118" s="22">
        <f t="shared" si="103"/>
        <v>8.6749999999999987E-3</v>
      </c>
      <c r="BP118" s="22">
        <f t="shared" si="103"/>
        <v>8.6749999999999987E-3</v>
      </c>
      <c r="BQ118" s="22">
        <f t="shared" si="103"/>
        <v>8.6749999999999987E-3</v>
      </c>
      <c r="BR118" s="22">
        <f t="shared" si="103"/>
        <v>8.6749999999999987E-3</v>
      </c>
      <c r="BS118" s="22">
        <f t="shared" si="103"/>
        <v>8.6749999999999987E-3</v>
      </c>
      <c r="BT118" s="22">
        <f t="shared" si="103"/>
        <v>8.6749999999999987E-3</v>
      </c>
      <c r="BU118" s="22">
        <f t="shared" si="103"/>
        <v>8.6749999999999987E-3</v>
      </c>
      <c r="BV118" s="22">
        <f t="shared" si="103"/>
        <v>8.6749999999999987E-3</v>
      </c>
      <c r="BW118" s="22">
        <f t="shared" ref="BW118:DB118" si="104">BW28</f>
        <v>8.6749999999999987E-3</v>
      </c>
      <c r="BX118" s="22">
        <f t="shared" si="104"/>
        <v>8.6749999999999987E-3</v>
      </c>
      <c r="BY118" s="22">
        <f t="shared" si="104"/>
        <v>8.6749999999999987E-3</v>
      </c>
      <c r="BZ118" s="22">
        <f t="shared" si="104"/>
        <v>8.6749999999999987E-3</v>
      </c>
      <c r="CA118" s="22">
        <f t="shared" si="104"/>
        <v>8.6749999999999987E-3</v>
      </c>
      <c r="CB118" s="22">
        <f t="shared" si="104"/>
        <v>8.7500000000000008E-3</v>
      </c>
      <c r="CC118" s="22">
        <f t="shared" si="104"/>
        <v>8.7500000000000008E-3</v>
      </c>
      <c r="CD118" s="22">
        <f t="shared" si="104"/>
        <v>8.7500000000000008E-3</v>
      </c>
      <c r="CE118" s="22">
        <f t="shared" si="104"/>
        <v>8.7500000000000008E-3</v>
      </c>
      <c r="CF118" s="22">
        <f t="shared" si="104"/>
        <v>8.7500000000000008E-3</v>
      </c>
      <c r="CG118" s="22">
        <f t="shared" si="104"/>
        <v>8.7500000000000008E-3</v>
      </c>
      <c r="CH118" s="22">
        <f t="shared" si="104"/>
        <v>8.7500000000000008E-3</v>
      </c>
      <c r="CI118" s="22">
        <f t="shared" si="104"/>
        <v>8.7500000000000008E-3</v>
      </c>
      <c r="CJ118" s="22">
        <f t="shared" si="104"/>
        <v>8.7500000000000008E-3</v>
      </c>
      <c r="CK118" s="22">
        <f t="shared" si="104"/>
        <v>8.7500000000000008E-3</v>
      </c>
      <c r="CL118" s="22">
        <f t="shared" si="104"/>
        <v>8.7500000000000008E-3</v>
      </c>
      <c r="CM118" s="22">
        <f t="shared" si="104"/>
        <v>8.7500000000000008E-3</v>
      </c>
      <c r="CN118" s="22">
        <f t="shared" si="104"/>
        <v>8.7500000000000008E-3</v>
      </c>
      <c r="CO118" s="22">
        <f t="shared" si="104"/>
        <v>8.7500000000000008E-3</v>
      </c>
      <c r="CP118" s="22">
        <f t="shared" si="104"/>
        <v>8.7500000000000008E-3</v>
      </c>
      <c r="CQ118" s="22">
        <f t="shared" si="104"/>
        <v>8.7500000000000008E-3</v>
      </c>
      <c r="CR118" s="22">
        <f t="shared" si="104"/>
        <v>8.7500000000000008E-3</v>
      </c>
      <c r="CS118" s="22">
        <f t="shared" si="104"/>
        <v>8.7500000000000008E-3</v>
      </c>
      <c r="CT118" s="22">
        <f t="shared" si="104"/>
        <v>8.7500000000000008E-3</v>
      </c>
      <c r="CU118" s="22">
        <f t="shared" si="104"/>
        <v>8.7500000000000008E-3</v>
      </c>
      <c r="CV118" s="22">
        <f t="shared" si="104"/>
        <v>8.7500000000000008E-3</v>
      </c>
      <c r="CW118" s="22">
        <f t="shared" si="104"/>
        <v>8.7500000000000008E-3</v>
      </c>
      <c r="CX118" s="22">
        <f t="shared" si="104"/>
        <v>8.7500000000000008E-3</v>
      </c>
      <c r="CY118" s="22">
        <f t="shared" si="104"/>
        <v>8.7500000000000008E-3</v>
      </c>
      <c r="CZ118" s="22">
        <f t="shared" si="104"/>
        <v>8.7500000000000008E-3</v>
      </c>
      <c r="DA118" s="22">
        <f t="shared" si="104"/>
        <v>8.7500000000000008E-3</v>
      </c>
      <c r="DB118" s="22">
        <f t="shared" si="104"/>
        <v>8.7500000000000008E-3</v>
      </c>
      <c r="DC118" s="22">
        <f t="shared" ref="DC118:DQ118" si="105">DC28</f>
        <v>8.7500000000000008E-3</v>
      </c>
      <c r="DD118" s="22">
        <f t="shared" si="105"/>
        <v>8.7500000000000008E-3</v>
      </c>
      <c r="DE118" s="22">
        <f t="shared" si="105"/>
        <v>8.7500000000000008E-3</v>
      </c>
      <c r="DF118" s="22">
        <f t="shared" si="105"/>
        <v>8.7500000000000008E-3</v>
      </c>
      <c r="DG118" s="22">
        <f t="shared" si="105"/>
        <v>8.7500000000000008E-3</v>
      </c>
      <c r="DH118" s="22">
        <f t="shared" si="105"/>
        <v>8.7500000000000008E-3</v>
      </c>
      <c r="DI118" s="22">
        <f t="shared" si="105"/>
        <v>8.7500000000000008E-3</v>
      </c>
      <c r="DJ118" s="22">
        <f t="shared" si="105"/>
        <v>8.7500000000000008E-3</v>
      </c>
      <c r="DK118" s="22">
        <f t="shared" si="105"/>
        <v>8.7500000000000008E-3</v>
      </c>
      <c r="DL118" s="22">
        <f t="shared" si="105"/>
        <v>8.7500000000000008E-3</v>
      </c>
      <c r="DM118" s="22">
        <f t="shared" si="105"/>
        <v>8.7500000000000008E-3</v>
      </c>
      <c r="DN118" s="22">
        <f t="shared" si="105"/>
        <v>8.7500000000000008E-3</v>
      </c>
      <c r="DO118" s="22">
        <f t="shared" si="105"/>
        <v>8.7500000000000008E-3</v>
      </c>
      <c r="DP118" s="22">
        <f t="shared" si="105"/>
        <v>8.7500000000000008E-3</v>
      </c>
      <c r="DQ118" s="22">
        <f t="shared" si="105"/>
        <v>8.7500000000000008E-3</v>
      </c>
    </row>
    <row r="120" spans="4:121" x14ac:dyDescent="0.35">
      <c r="D120" s="20" t="s">
        <v>343</v>
      </c>
      <c r="I120" s="54">
        <f>SUM(K120:DQ120)</f>
        <v>1478317.4812463562</v>
      </c>
      <c r="K120" s="20">
        <f>K118*K113</f>
        <v>0</v>
      </c>
      <c r="L120" s="20">
        <f t="shared" ref="L120:BW120" si="106">L118*L113</f>
        <v>0</v>
      </c>
      <c r="M120" s="20">
        <f t="shared" si="106"/>
        <v>0</v>
      </c>
      <c r="N120" s="20">
        <f t="shared" si="106"/>
        <v>0</v>
      </c>
      <c r="O120" s="20">
        <f t="shared" si="106"/>
        <v>0</v>
      </c>
      <c r="P120" s="20">
        <f t="shared" si="106"/>
        <v>1337.8507317928572</v>
      </c>
      <c r="Q120" s="20">
        <f t="shared" si="106"/>
        <v>3340.6806648688521</v>
      </c>
      <c r="R120" s="20">
        <f t="shared" si="106"/>
        <v>5347.0574973527182</v>
      </c>
      <c r="S120" s="20">
        <f t="shared" si="106"/>
        <v>7356.9875106042473</v>
      </c>
      <c r="T120" s="20">
        <f t="shared" si="106"/>
        <v>28963.292536513058</v>
      </c>
      <c r="U120" s="20">
        <f t="shared" si="106"/>
        <v>28626.347316790805</v>
      </c>
      <c r="V120" s="20">
        <f t="shared" si="106"/>
        <v>28564.94669599782</v>
      </c>
      <c r="W120" s="20">
        <f t="shared" si="106"/>
        <v>28629.711167643436</v>
      </c>
      <c r="X120" s="20">
        <f t="shared" si="106"/>
        <v>28400.870206658343</v>
      </c>
      <c r="Y120" s="20">
        <f t="shared" si="106"/>
        <v>28063.83926045899</v>
      </c>
      <c r="Z120" s="20">
        <f t="shared" si="106"/>
        <v>28000.970847169629</v>
      </c>
      <c r="AA120" s="20">
        <f t="shared" si="106"/>
        <v>28063.628559619603</v>
      </c>
      <c r="AB120" s="20">
        <f t="shared" si="106"/>
        <v>27834.130200354659</v>
      </c>
      <c r="AC120" s="20">
        <f t="shared" si="106"/>
        <v>27496.968668262802</v>
      </c>
      <c r="AD120" s="20">
        <f t="shared" si="106"/>
        <v>27432.594145854509</v>
      </c>
      <c r="AE120" s="20">
        <f t="shared" si="106"/>
        <v>27480.746060626836</v>
      </c>
      <c r="AF120" s="20">
        <f t="shared" si="106"/>
        <v>27228.138328503985</v>
      </c>
      <c r="AG120" s="20">
        <f t="shared" si="106"/>
        <v>26864.605839132331</v>
      </c>
      <c r="AH120" s="20">
        <f t="shared" si="106"/>
        <v>26781.615992626659</v>
      </c>
      <c r="AI120" s="20">
        <f t="shared" si="106"/>
        <v>26818.457781903635</v>
      </c>
      <c r="AJ120" s="20">
        <f t="shared" si="106"/>
        <v>26549.088401520396</v>
      </c>
      <c r="AK120" s="20">
        <f t="shared" si="106"/>
        <v>26166.716792239942</v>
      </c>
      <c r="AL120" s="20">
        <f t="shared" si="106"/>
        <v>26069.769081549093</v>
      </c>
      <c r="AM120" s="20">
        <f t="shared" si="106"/>
        <v>26101.725137041751</v>
      </c>
      <c r="AN120" s="20">
        <f t="shared" si="106"/>
        <v>26207.463549957549</v>
      </c>
      <c r="AO120" s="20">
        <f t="shared" si="106"/>
        <v>25818.008143077677</v>
      </c>
      <c r="AP120" s="20">
        <f t="shared" si="106"/>
        <v>25717.911771927011</v>
      </c>
      <c r="AQ120" s="20">
        <f t="shared" si="106"/>
        <v>25721.975235883503</v>
      </c>
      <c r="AR120" s="20">
        <f t="shared" si="106"/>
        <v>25394.156417785649</v>
      </c>
      <c r="AS120" s="20">
        <f t="shared" si="106"/>
        <v>24943.619915776831</v>
      </c>
      <c r="AT120" s="20">
        <f t="shared" si="106"/>
        <v>24801.767534906721</v>
      </c>
      <c r="AU120" s="20">
        <f t="shared" si="106"/>
        <v>24751.729859333213</v>
      </c>
      <c r="AV120" s="20">
        <f t="shared" si="106"/>
        <v>24331.449765826626</v>
      </c>
      <c r="AW120" s="20">
        <f t="shared" si="106"/>
        <v>23773.952039129912</v>
      </c>
      <c r="AX120" s="20">
        <f t="shared" si="106"/>
        <v>23559.854668644122</v>
      </c>
      <c r="AY120" s="20">
        <f t="shared" si="106"/>
        <v>23487.659211047026</v>
      </c>
      <c r="AZ120" s="20">
        <f t="shared" si="106"/>
        <v>23035.068605780907</v>
      </c>
      <c r="BA120" s="20">
        <f t="shared" si="106"/>
        <v>22441.380956575795</v>
      </c>
      <c r="BB120" s="20">
        <f t="shared" si="106"/>
        <v>22200.154762797931</v>
      </c>
      <c r="BC120" s="20">
        <f t="shared" si="106"/>
        <v>22117.107981183057</v>
      </c>
      <c r="BD120" s="20">
        <f t="shared" si="106"/>
        <v>21653.508301674134</v>
      </c>
      <c r="BE120" s="20">
        <f t="shared" si="106"/>
        <v>21048.695386792668</v>
      </c>
      <c r="BF120" s="20">
        <f t="shared" si="106"/>
        <v>20796.314263119948</v>
      </c>
      <c r="BG120" s="20">
        <f t="shared" si="106"/>
        <v>20682.999437024224</v>
      </c>
      <c r="BH120" s="20">
        <f t="shared" si="106"/>
        <v>20290.439483301405</v>
      </c>
      <c r="BI120" s="20">
        <f t="shared" si="106"/>
        <v>19630.971345359194</v>
      </c>
      <c r="BJ120" s="20">
        <f t="shared" si="106"/>
        <v>19340.055379003836</v>
      </c>
      <c r="BK120" s="20">
        <f t="shared" si="106"/>
        <v>19191.037337421025</v>
      </c>
      <c r="BL120" s="20">
        <f t="shared" si="106"/>
        <v>18624.405916524105</v>
      </c>
      <c r="BM120" s="20">
        <f t="shared" si="106"/>
        <v>17902.454582232098</v>
      </c>
      <c r="BN120" s="20">
        <f t="shared" si="106"/>
        <v>17566.211176083852</v>
      </c>
      <c r="BO120" s="20">
        <f t="shared" si="106"/>
        <v>17371.284119876353</v>
      </c>
      <c r="BP120" s="20">
        <f t="shared" si="106"/>
        <v>16733.003491554475</v>
      </c>
      <c r="BQ120" s="20">
        <f t="shared" si="106"/>
        <v>15929.618416130144</v>
      </c>
      <c r="BR120" s="20">
        <f t="shared" si="106"/>
        <v>15535.071246596648</v>
      </c>
      <c r="BS120" s="20">
        <f t="shared" si="106"/>
        <v>15294.26321729056</v>
      </c>
      <c r="BT120" s="20">
        <f t="shared" si="106"/>
        <v>14586.168433539004</v>
      </c>
      <c r="BU120" s="20">
        <f t="shared" si="106"/>
        <v>13703.854043785041</v>
      </c>
      <c r="BV120" s="20">
        <f t="shared" si="106"/>
        <v>13251.830367524826</v>
      </c>
      <c r="BW120" s="20">
        <f t="shared" si="106"/>
        <v>13017.247502417504</v>
      </c>
      <c r="BX120" s="20">
        <f t="shared" ref="BX120:DQ120" si="107">BX118*BX113</f>
        <v>12518.891120071299</v>
      </c>
      <c r="BY120" s="20">
        <f t="shared" si="107"/>
        <v>11894.770123670822</v>
      </c>
      <c r="BZ120" s="20">
        <f t="shared" si="107"/>
        <v>11581.652671730359</v>
      </c>
      <c r="CA120" s="20">
        <f t="shared" si="107"/>
        <v>11401.670721206205</v>
      </c>
      <c r="CB120" s="20">
        <f t="shared" si="107"/>
        <v>10973.233279514219</v>
      </c>
      <c r="CC120" s="20">
        <f t="shared" si="107"/>
        <v>10318.221425459253</v>
      </c>
      <c r="CD120" s="20">
        <f t="shared" si="107"/>
        <v>9981.2221637178209</v>
      </c>
      <c r="CE120" s="20">
        <f t="shared" si="107"/>
        <v>9764.8432056173096</v>
      </c>
      <c r="CF120" s="20">
        <f t="shared" si="107"/>
        <v>9185.3216522464081</v>
      </c>
      <c r="CG120" s="20">
        <f t="shared" si="107"/>
        <v>8470.2021682332197</v>
      </c>
      <c r="CH120" s="20">
        <f t="shared" si="107"/>
        <v>8088.8900733016026</v>
      </c>
      <c r="CI120" s="20">
        <f t="shared" si="107"/>
        <v>7843.6577330420305</v>
      </c>
      <c r="CJ120" s="20">
        <f t="shared" si="107"/>
        <v>7224.5401772722125</v>
      </c>
      <c r="CK120" s="20">
        <f t="shared" si="107"/>
        <v>6465.6859704134476</v>
      </c>
      <c r="CL120" s="20">
        <f t="shared" si="107"/>
        <v>6050.125575697456</v>
      </c>
      <c r="CM120" s="20">
        <f t="shared" si="107"/>
        <v>5756.5018205538863</v>
      </c>
      <c r="CN120" s="20">
        <f t="shared" si="107"/>
        <v>5063.3930288147776</v>
      </c>
      <c r="CO120" s="20">
        <f t="shared" si="107"/>
        <v>4220.7965752514801</v>
      </c>
      <c r="CP120" s="20">
        <f t="shared" si="107"/>
        <v>3744.4404950680073</v>
      </c>
      <c r="CQ120" s="20">
        <f t="shared" si="107"/>
        <v>3406.0162437156891</v>
      </c>
      <c r="CR120" s="20">
        <f t="shared" si="107"/>
        <v>2647.2954931889813</v>
      </c>
      <c r="CS120" s="20">
        <f t="shared" si="107"/>
        <v>1731.1297820081913</v>
      </c>
      <c r="CT120" s="20">
        <f t="shared" si="107"/>
        <v>1199.7669241149495</v>
      </c>
      <c r="CU120" s="20">
        <f t="shared" si="107"/>
        <v>811.77953047522635</v>
      </c>
      <c r="CV120" s="20">
        <f t="shared" si="107"/>
        <v>0</v>
      </c>
      <c r="CW120" s="20">
        <f t="shared" si="107"/>
        <v>0</v>
      </c>
      <c r="CX120" s="20">
        <f t="shared" si="107"/>
        <v>0</v>
      </c>
      <c r="CY120" s="20">
        <f t="shared" si="107"/>
        <v>0</v>
      </c>
      <c r="CZ120" s="20">
        <f t="shared" si="107"/>
        <v>0</v>
      </c>
      <c r="DA120" s="20">
        <f t="shared" si="107"/>
        <v>0</v>
      </c>
      <c r="DB120" s="20">
        <f t="shared" si="107"/>
        <v>0</v>
      </c>
      <c r="DC120" s="20">
        <f t="shared" si="107"/>
        <v>0</v>
      </c>
      <c r="DD120" s="20">
        <f t="shared" si="107"/>
        <v>0</v>
      </c>
      <c r="DE120" s="20">
        <f t="shared" si="107"/>
        <v>0</v>
      </c>
      <c r="DF120" s="20">
        <f t="shared" si="107"/>
        <v>0</v>
      </c>
      <c r="DG120" s="20">
        <f t="shared" si="107"/>
        <v>0</v>
      </c>
      <c r="DH120" s="20">
        <f t="shared" si="107"/>
        <v>0</v>
      </c>
      <c r="DI120" s="20">
        <f t="shared" si="107"/>
        <v>0</v>
      </c>
      <c r="DJ120" s="20">
        <f t="shared" si="107"/>
        <v>0</v>
      </c>
      <c r="DK120" s="20">
        <f t="shared" si="107"/>
        <v>0</v>
      </c>
      <c r="DL120" s="20">
        <f t="shared" si="107"/>
        <v>0</v>
      </c>
      <c r="DM120" s="20">
        <f t="shared" si="107"/>
        <v>0</v>
      </c>
      <c r="DN120" s="20">
        <f t="shared" si="107"/>
        <v>0</v>
      </c>
      <c r="DO120" s="20">
        <f t="shared" si="107"/>
        <v>0</v>
      </c>
      <c r="DP120" s="20">
        <f t="shared" si="107"/>
        <v>0</v>
      </c>
      <c r="DQ120" s="20">
        <f t="shared" si="107"/>
        <v>0</v>
      </c>
    </row>
    <row r="121" spans="4:121" x14ac:dyDescent="0.35">
      <c r="D121" s="20" t="s">
        <v>306</v>
      </c>
      <c r="I121" s="54">
        <f t="shared" ref="I121:I122" si="108">SUM(K121:DQ121)</f>
        <v>17382.576404618674</v>
      </c>
      <c r="K121" s="20">
        <f t="shared" ref="K121:AP121" si="109">K120*K9</f>
        <v>0</v>
      </c>
      <c r="L121" s="20">
        <f t="shared" si="109"/>
        <v>0</v>
      </c>
      <c r="M121" s="20">
        <f t="shared" si="109"/>
        <v>0</v>
      </c>
      <c r="N121" s="20">
        <f t="shared" si="109"/>
        <v>0</v>
      </c>
      <c r="O121" s="20">
        <f t="shared" si="109"/>
        <v>0</v>
      </c>
      <c r="P121" s="20">
        <f t="shared" si="109"/>
        <v>1337.8507317928572</v>
      </c>
      <c r="Q121" s="20">
        <f t="shared" si="109"/>
        <v>3340.6806648688521</v>
      </c>
      <c r="R121" s="20">
        <f t="shared" si="109"/>
        <v>5347.0574973527182</v>
      </c>
      <c r="S121" s="20">
        <f t="shared" si="109"/>
        <v>7356.9875106042473</v>
      </c>
      <c r="T121" s="20">
        <f t="shared" si="109"/>
        <v>0</v>
      </c>
      <c r="U121" s="20">
        <f t="shared" si="109"/>
        <v>0</v>
      </c>
      <c r="V121" s="20">
        <f t="shared" si="109"/>
        <v>0</v>
      </c>
      <c r="W121" s="20">
        <f t="shared" si="109"/>
        <v>0</v>
      </c>
      <c r="X121" s="20">
        <f t="shared" si="109"/>
        <v>0</v>
      </c>
      <c r="Y121" s="20">
        <f t="shared" si="109"/>
        <v>0</v>
      </c>
      <c r="Z121" s="20">
        <f t="shared" si="109"/>
        <v>0</v>
      </c>
      <c r="AA121" s="20">
        <f t="shared" si="109"/>
        <v>0</v>
      </c>
      <c r="AB121" s="20">
        <f t="shared" si="109"/>
        <v>0</v>
      </c>
      <c r="AC121" s="20">
        <f t="shared" si="109"/>
        <v>0</v>
      </c>
      <c r="AD121" s="20">
        <f t="shared" si="109"/>
        <v>0</v>
      </c>
      <c r="AE121" s="20">
        <f t="shared" si="109"/>
        <v>0</v>
      </c>
      <c r="AF121" s="20">
        <f t="shared" si="109"/>
        <v>0</v>
      </c>
      <c r="AG121" s="20">
        <f t="shared" si="109"/>
        <v>0</v>
      </c>
      <c r="AH121" s="20">
        <f t="shared" si="109"/>
        <v>0</v>
      </c>
      <c r="AI121" s="20">
        <f t="shared" si="109"/>
        <v>0</v>
      </c>
      <c r="AJ121" s="20">
        <f t="shared" si="109"/>
        <v>0</v>
      </c>
      <c r="AK121" s="20">
        <f t="shared" si="109"/>
        <v>0</v>
      </c>
      <c r="AL121" s="20">
        <f t="shared" si="109"/>
        <v>0</v>
      </c>
      <c r="AM121" s="20">
        <f t="shared" si="109"/>
        <v>0</v>
      </c>
      <c r="AN121" s="20">
        <f t="shared" si="109"/>
        <v>0</v>
      </c>
      <c r="AO121" s="20">
        <f t="shared" si="109"/>
        <v>0</v>
      </c>
      <c r="AP121" s="20">
        <f t="shared" si="109"/>
        <v>0</v>
      </c>
      <c r="AQ121" s="20">
        <f t="shared" ref="AQ121:BV121" si="110">AQ120*AQ9</f>
        <v>0</v>
      </c>
      <c r="AR121" s="20">
        <f t="shared" si="110"/>
        <v>0</v>
      </c>
      <c r="AS121" s="20">
        <f t="shared" si="110"/>
        <v>0</v>
      </c>
      <c r="AT121" s="20">
        <f t="shared" si="110"/>
        <v>0</v>
      </c>
      <c r="AU121" s="20">
        <f t="shared" si="110"/>
        <v>0</v>
      </c>
      <c r="AV121" s="20">
        <f t="shared" si="110"/>
        <v>0</v>
      </c>
      <c r="AW121" s="20">
        <f t="shared" si="110"/>
        <v>0</v>
      </c>
      <c r="AX121" s="20">
        <f t="shared" si="110"/>
        <v>0</v>
      </c>
      <c r="AY121" s="20">
        <f t="shared" si="110"/>
        <v>0</v>
      </c>
      <c r="AZ121" s="20">
        <f t="shared" si="110"/>
        <v>0</v>
      </c>
      <c r="BA121" s="20">
        <f t="shared" si="110"/>
        <v>0</v>
      </c>
      <c r="BB121" s="20">
        <f t="shared" si="110"/>
        <v>0</v>
      </c>
      <c r="BC121" s="20">
        <f t="shared" si="110"/>
        <v>0</v>
      </c>
      <c r="BD121" s="20">
        <f t="shared" si="110"/>
        <v>0</v>
      </c>
      <c r="BE121" s="20">
        <f t="shared" si="110"/>
        <v>0</v>
      </c>
      <c r="BF121" s="20">
        <f t="shared" si="110"/>
        <v>0</v>
      </c>
      <c r="BG121" s="20">
        <f t="shared" si="110"/>
        <v>0</v>
      </c>
      <c r="BH121" s="20">
        <f t="shared" si="110"/>
        <v>0</v>
      </c>
      <c r="BI121" s="20">
        <f t="shared" si="110"/>
        <v>0</v>
      </c>
      <c r="BJ121" s="20">
        <f t="shared" si="110"/>
        <v>0</v>
      </c>
      <c r="BK121" s="20">
        <f t="shared" si="110"/>
        <v>0</v>
      </c>
      <c r="BL121" s="20">
        <f t="shared" si="110"/>
        <v>0</v>
      </c>
      <c r="BM121" s="20">
        <f t="shared" si="110"/>
        <v>0</v>
      </c>
      <c r="BN121" s="20">
        <f t="shared" si="110"/>
        <v>0</v>
      </c>
      <c r="BO121" s="20">
        <f t="shared" si="110"/>
        <v>0</v>
      </c>
      <c r="BP121" s="20">
        <f t="shared" si="110"/>
        <v>0</v>
      </c>
      <c r="BQ121" s="20">
        <f t="shared" si="110"/>
        <v>0</v>
      </c>
      <c r="BR121" s="20">
        <f t="shared" si="110"/>
        <v>0</v>
      </c>
      <c r="BS121" s="20">
        <f t="shared" si="110"/>
        <v>0</v>
      </c>
      <c r="BT121" s="20">
        <f t="shared" si="110"/>
        <v>0</v>
      </c>
      <c r="BU121" s="20">
        <f t="shared" si="110"/>
        <v>0</v>
      </c>
      <c r="BV121" s="20">
        <f t="shared" si="110"/>
        <v>0</v>
      </c>
      <c r="BW121" s="20">
        <f t="shared" ref="BW121:DB121" si="111">BW120*BW9</f>
        <v>0</v>
      </c>
      <c r="BX121" s="20">
        <f t="shared" si="111"/>
        <v>0</v>
      </c>
      <c r="BY121" s="20">
        <f t="shared" si="111"/>
        <v>0</v>
      </c>
      <c r="BZ121" s="20">
        <f t="shared" si="111"/>
        <v>0</v>
      </c>
      <c r="CA121" s="20">
        <f t="shared" si="111"/>
        <v>0</v>
      </c>
      <c r="CB121" s="20">
        <f t="shared" si="111"/>
        <v>0</v>
      </c>
      <c r="CC121" s="20">
        <f t="shared" si="111"/>
        <v>0</v>
      </c>
      <c r="CD121" s="20">
        <f t="shared" si="111"/>
        <v>0</v>
      </c>
      <c r="CE121" s="20">
        <f t="shared" si="111"/>
        <v>0</v>
      </c>
      <c r="CF121" s="20">
        <f t="shared" si="111"/>
        <v>0</v>
      </c>
      <c r="CG121" s="20">
        <f t="shared" si="111"/>
        <v>0</v>
      </c>
      <c r="CH121" s="20">
        <f t="shared" si="111"/>
        <v>0</v>
      </c>
      <c r="CI121" s="20">
        <f t="shared" si="111"/>
        <v>0</v>
      </c>
      <c r="CJ121" s="20">
        <f t="shared" si="111"/>
        <v>0</v>
      </c>
      <c r="CK121" s="20">
        <f t="shared" si="111"/>
        <v>0</v>
      </c>
      <c r="CL121" s="20">
        <f t="shared" si="111"/>
        <v>0</v>
      </c>
      <c r="CM121" s="20">
        <f t="shared" si="111"/>
        <v>0</v>
      </c>
      <c r="CN121" s="20">
        <f t="shared" si="111"/>
        <v>0</v>
      </c>
      <c r="CO121" s="20">
        <f t="shared" si="111"/>
        <v>0</v>
      </c>
      <c r="CP121" s="20">
        <f t="shared" si="111"/>
        <v>0</v>
      </c>
      <c r="CQ121" s="20">
        <f t="shared" si="111"/>
        <v>0</v>
      </c>
      <c r="CR121" s="20">
        <f t="shared" si="111"/>
        <v>0</v>
      </c>
      <c r="CS121" s="20">
        <f t="shared" si="111"/>
        <v>0</v>
      </c>
      <c r="CT121" s="20">
        <f t="shared" si="111"/>
        <v>0</v>
      </c>
      <c r="CU121" s="20">
        <f t="shared" si="111"/>
        <v>0</v>
      </c>
      <c r="CV121" s="20">
        <f t="shared" si="111"/>
        <v>0</v>
      </c>
      <c r="CW121" s="20">
        <f t="shared" si="111"/>
        <v>0</v>
      </c>
      <c r="CX121" s="20">
        <f t="shared" si="111"/>
        <v>0</v>
      </c>
      <c r="CY121" s="20">
        <f t="shared" si="111"/>
        <v>0</v>
      </c>
      <c r="CZ121" s="20">
        <f t="shared" si="111"/>
        <v>0</v>
      </c>
      <c r="DA121" s="20">
        <f t="shared" si="111"/>
        <v>0</v>
      </c>
      <c r="DB121" s="20">
        <f t="shared" si="111"/>
        <v>0</v>
      </c>
      <c r="DC121" s="20">
        <f t="shared" ref="DC121:DQ121" si="112">DC120*DC9</f>
        <v>0</v>
      </c>
      <c r="DD121" s="20">
        <f t="shared" si="112"/>
        <v>0</v>
      </c>
      <c r="DE121" s="20">
        <f t="shared" si="112"/>
        <v>0</v>
      </c>
      <c r="DF121" s="20">
        <f t="shared" si="112"/>
        <v>0</v>
      </c>
      <c r="DG121" s="20">
        <f t="shared" si="112"/>
        <v>0</v>
      </c>
      <c r="DH121" s="20">
        <f t="shared" si="112"/>
        <v>0</v>
      </c>
      <c r="DI121" s="20">
        <f t="shared" si="112"/>
        <v>0</v>
      </c>
      <c r="DJ121" s="20">
        <f t="shared" si="112"/>
        <v>0</v>
      </c>
      <c r="DK121" s="20">
        <f t="shared" si="112"/>
        <v>0</v>
      </c>
      <c r="DL121" s="20">
        <f t="shared" si="112"/>
        <v>0</v>
      </c>
      <c r="DM121" s="20">
        <f t="shared" si="112"/>
        <v>0</v>
      </c>
      <c r="DN121" s="20">
        <f t="shared" si="112"/>
        <v>0</v>
      </c>
      <c r="DO121" s="20">
        <f t="shared" si="112"/>
        <v>0</v>
      </c>
      <c r="DP121" s="20">
        <f t="shared" si="112"/>
        <v>0</v>
      </c>
      <c r="DQ121" s="20">
        <f t="shared" si="112"/>
        <v>0</v>
      </c>
    </row>
    <row r="122" spans="4:121" x14ac:dyDescent="0.35">
      <c r="D122" s="20" t="s">
        <v>344</v>
      </c>
      <c r="I122" s="54">
        <f t="shared" si="108"/>
        <v>1460934.9048417374</v>
      </c>
      <c r="K122" s="20">
        <f>K120-K121</f>
        <v>0</v>
      </c>
      <c r="L122" s="20">
        <f t="shared" ref="L122:BW122" si="113">L120-L121</f>
        <v>0</v>
      </c>
      <c r="M122" s="20">
        <f t="shared" si="113"/>
        <v>0</v>
      </c>
      <c r="N122" s="20">
        <f t="shared" si="113"/>
        <v>0</v>
      </c>
      <c r="O122" s="20">
        <f t="shared" si="113"/>
        <v>0</v>
      </c>
      <c r="P122" s="20">
        <f t="shared" si="113"/>
        <v>0</v>
      </c>
      <c r="Q122" s="20">
        <f t="shared" si="113"/>
        <v>0</v>
      </c>
      <c r="R122" s="20">
        <f t="shared" si="113"/>
        <v>0</v>
      </c>
      <c r="S122" s="20">
        <f t="shared" si="113"/>
        <v>0</v>
      </c>
      <c r="T122" s="20">
        <f t="shared" si="113"/>
        <v>28963.292536513058</v>
      </c>
      <c r="U122" s="20">
        <f t="shared" si="113"/>
        <v>28626.347316790805</v>
      </c>
      <c r="V122" s="20">
        <f t="shared" si="113"/>
        <v>28564.94669599782</v>
      </c>
      <c r="W122" s="20">
        <f t="shared" si="113"/>
        <v>28629.711167643436</v>
      </c>
      <c r="X122" s="20">
        <f t="shared" si="113"/>
        <v>28400.870206658343</v>
      </c>
      <c r="Y122" s="20">
        <f t="shared" si="113"/>
        <v>28063.83926045899</v>
      </c>
      <c r="Z122" s="20">
        <f t="shared" si="113"/>
        <v>28000.970847169629</v>
      </c>
      <c r="AA122" s="20">
        <f t="shared" si="113"/>
        <v>28063.628559619603</v>
      </c>
      <c r="AB122" s="20">
        <f t="shared" si="113"/>
        <v>27834.130200354659</v>
      </c>
      <c r="AC122" s="20">
        <f t="shared" si="113"/>
        <v>27496.968668262802</v>
      </c>
      <c r="AD122" s="20">
        <f t="shared" si="113"/>
        <v>27432.594145854509</v>
      </c>
      <c r="AE122" s="20">
        <f t="shared" si="113"/>
        <v>27480.746060626836</v>
      </c>
      <c r="AF122" s="20">
        <f t="shared" si="113"/>
        <v>27228.138328503985</v>
      </c>
      <c r="AG122" s="20">
        <f t="shared" si="113"/>
        <v>26864.605839132331</v>
      </c>
      <c r="AH122" s="20">
        <f t="shared" si="113"/>
        <v>26781.615992626659</v>
      </c>
      <c r="AI122" s="20">
        <f t="shared" si="113"/>
        <v>26818.457781903635</v>
      </c>
      <c r="AJ122" s="20">
        <f t="shared" si="113"/>
        <v>26549.088401520396</v>
      </c>
      <c r="AK122" s="20">
        <f t="shared" si="113"/>
        <v>26166.716792239942</v>
      </c>
      <c r="AL122" s="20">
        <f t="shared" si="113"/>
        <v>26069.769081549093</v>
      </c>
      <c r="AM122" s="20">
        <f t="shared" si="113"/>
        <v>26101.725137041751</v>
      </c>
      <c r="AN122" s="20">
        <f t="shared" si="113"/>
        <v>26207.463549957549</v>
      </c>
      <c r="AO122" s="20">
        <f t="shared" si="113"/>
        <v>25818.008143077677</v>
      </c>
      <c r="AP122" s="20">
        <f t="shared" si="113"/>
        <v>25717.911771927011</v>
      </c>
      <c r="AQ122" s="20">
        <f t="shared" si="113"/>
        <v>25721.975235883503</v>
      </c>
      <c r="AR122" s="20">
        <f t="shared" si="113"/>
        <v>25394.156417785649</v>
      </c>
      <c r="AS122" s="20">
        <f t="shared" si="113"/>
        <v>24943.619915776831</v>
      </c>
      <c r="AT122" s="20">
        <f t="shared" si="113"/>
        <v>24801.767534906721</v>
      </c>
      <c r="AU122" s="20">
        <f t="shared" si="113"/>
        <v>24751.729859333213</v>
      </c>
      <c r="AV122" s="20">
        <f t="shared" si="113"/>
        <v>24331.449765826626</v>
      </c>
      <c r="AW122" s="20">
        <f t="shared" si="113"/>
        <v>23773.952039129912</v>
      </c>
      <c r="AX122" s="20">
        <f t="shared" si="113"/>
        <v>23559.854668644122</v>
      </c>
      <c r="AY122" s="20">
        <f t="shared" si="113"/>
        <v>23487.659211047026</v>
      </c>
      <c r="AZ122" s="20">
        <f t="shared" si="113"/>
        <v>23035.068605780907</v>
      </c>
      <c r="BA122" s="20">
        <f t="shared" si="113"/>
        <v>22441.380956575795</v>
      </c>
      <c r="BB122" s="20">
        <f t="shared" si="113"/>
        <v>22200.154762797931</v>
      </c>
      <c r="BC122" s="20">
        <f t="shared" si="113"/>
        <v>22117.107981183057</v>
      </c>
      <c r="BD122" s="20">
        <f t="shared" si="113"/>
        <v>21653.508301674134</v>
      </c>
      <c r="BE122" s="20">
        <f t="shared" si="113"/>
        <v>21048.695386792668</v>
      </c>
      <c r="BF122" s="20">
        <f t="shared" si="113"/>
        <v>20796.314263119948</v>
      </c>
      <c r="BG122" s="20">
        <f t="shared" si="113"/>
        <v>20682.999437024224</v>
      </c>
      <c r="BH122" s="20">
        <f t="shared" si="113"/>
        <v>20290.439483301405</v>
      </c>
      <c r="BI122" s="20">
        <f t="shared" si="113"/>
        <v>19630.971345359194</v>
      </c>
      <c r="BJ122" s="20">
        <f t="shared" si="113"/>
        <v>19340.055379003836</v>
      </c>
      <c r="BK122" s="20">
        <f t="shared" si="113"/>
        <v>19191.037337421025</v>
      </c>
      <c r="BL122" s="20">
        <f t="shared" si="113"/>
        <v>18624.405916524105</v>
      </c>
      <c r="BM122" s="20">
        <f t="shared" si="113"/>
        <v>17902.454582232098</v>
      </c>
      <c r="BN122" s="20">
        <f t="shared" si="113"/>
        <v>17566.211176083852</v>
      </c>
      <c r="BO122" s="20">
        <f t="shared" si="113"/>
        <v>17371.284119876353</v>
      </c>
      <c r="BP122" s="20">
        <f t="shared" si="113"/>
        <v>16733.003491554475</v>
      </c>
      <c r="BQ122" s="20">
        <f t="shared" si="113"/>
        <v>15929.618416130144</v>
      </c>
      <c r="BR122" s="20">
        <f t="shared" si="113"/>
        <v>15535.071246596648</v>
      </c>
      <c r="BS122" s="20">
        <f t="shared" si="113"/>
        <v>15294.26321729056</v>
      </c>
      <c r="BT122" s="20">
        <f t="shared" si="113"/>
        <v>14586.168433539004</v>
      </c>
      <c r="BU122" s="20">
        <f t="shared" si="113"/>
        <v>13703.854043785041</v>
      </c>
      <c r="BV122" s="20">
        <f t="shared" si="113"/>
        <v>13251.830367524826</v>
      </c>
      <c r="BW122" s="20">
        <f t="shared" si="113"/>
        <v>13017.247502417504</v>
      </c>
      <c r="BX122" s="20">
        <f t="shared" ref="BX122:DQ122" si="114">BX120-BX121</f>
        <v>12518.891120071299</v>
      </c>
      <c r="BY122" s="20">
        <f t="shared" si="114"/>
        <v>11894.770123670822</v>
      </c>
      <c r="BZ122" s="20">
        <f t="shared" si="114"/>
        <v>11581.652671730359</v>
      </c>
      <c r="CA122" s="20">
        <f t="shared" si="114"/>
        <v>11401.670721206205</v>
      </c>
      <c r="CB122" s="20">
        <f t="shared" si="114"/>
        <v>10973.233279514219</v>
      </c>
      <c r="CC122" s="20">
        <f t="shared" si="114"/>
        <v>10318.221425459253</v>
      </c>
      <c r="CD122" s="20">
        <f t="shared" si="114"/>
        <v>9981.2221637178209</v>
      </c>
      <c r="CE122" s="20">
        <f t="shared" si="114"/>
        <v>9764.8432056173096</v>
      </c>
      <c r="CF122" s="20">
        <f t="shared" si="114"/>
        <v>9185.3216522464081</v>
      </c>
      <c r="CG122" s="20">
        <f t="shared" si="114"/>
        <v>8470.2021682332197</v>
      </c>
      <c r="CH122" s="20">
        <f t="shared" si="114"/>
        <v>8088.8900733016026</v>
      </c>
      <c r="CI122" s="20">
        <f t="shared" si="114"/>
        <v>7843.6577330420305</v>
      </c>
      <c r="CJ122" s="20">
        <f t="shared" si="114"/>
        <v>7224.5401772722125</v>
      </c>
      <c r="CK122" s="20">
        <f t="shared" si="114"/>
        <v>6465.6859704134476</v>
      </c>
      <c r="CL122" s="20">
        <f t="shared" si="114"/>
        <v>6050.125575697456</v>
      </c>
      <c r="CM122" s="20">
        <f t="shared" si="114"/>
        <v>5756.5018205538863</v>
      </c>
      <c r="CN122" s="20">
        <f t="shared" si="114"/>
        <v>5063.3930288147776</v>
      </c>
      <c r="CO122" s="20">
        <f t="shared" si="114"/>
        <v>4220.7965752514801</v>
      </c>
      <c r="CP122" s="20">
        <f t="shared" si="114"/>
        <v>3744.4404950680073</v>
      </c>
      <c r="CQ122" s="20">
        <f t="shared" si="114"/>
        <v>3406.0162437156891</v>
      </c>
      <c r="CR122" s="20">
        <f t="shared" si="114"/>
        <v>2647.2954931889813</v>
      </c>
      <c r="CS122" s="20">
        <f t="shared" si="114"/>
        <v>1731.1297820081913</v>
      </c>
      <c r="CT122" s="20">
        <f t="shared" si="114"/>
        <v>1199.7669241149495</v>
      </c>
      <c r="CU122" s="20">
        <f t="shared" si="114"/>
        <v>811.77953047522635</v>
      </c>
      <c r="CV122" s="20">
        <f t="shared" si="114"/>
        <v>0</v>
      </c>
      <c r="CW122" s="20">
        <f t="shared" si="114"/>
        <v>0</v>
      </c>
      <c r="CX122" s="20">
        <f t="shared" si="114"/>
        <v>0</v>
      </c>
      <c r="CY122" s="20">
        <f t="shared" si="114"/>
        <v>0</v>
      </c>
      <c r="CZ122" s="20">
        <f t="shared" si="114"/>
        <v>0</v>
      </c>
      <c r="DA122" s="20">
        <f t="shared" si="114"/>
        <v>0</v>
      </c>
      <c r="DB122" s="20">
        <f t="shared" si="114"/>
        <v>0</v>
      </c>
      <c r="DC122" s="20">
        <f t="shared" si="114"/>
        <v>0</v>
      </c>
      <c r="DD122" s="20">
        <f t="shared" si="114"/>
        <v>0</v>
      </c>
      <c r="DE122" s="20">
        <f t="shared" si="114"/>
        <v>0</v>
      </c>
      <c r="DF122" s="20">
        <f t="shared" si="114"/>
        <v>0</v>
      </c>
      <c r="DG122" s="20">
        <f t="shared" si="114"/>
        <v>0</v>
      </c>
      <c r="DH122" s="20">
        <f t="shared" si="114"/>
        <v>0</v>
      </c>
      <c r="DI122" s="20">
        <f t="shared" si="114"/>
        <v>0</v>
      </c>
      <c r="DJ122" s="20">
        <f t="shared" si="114"/>
        <v>0</v>
      </c>
      <c r="DK122" s="20">
        <f t="shared" si="114"/>
        <v>0</v>
      </c>
      <c r="DL122" s="20">
        <f t="shared" si="114"/>
        <v>0</v>
      </c>
      <c r="DM122" s="20">
        <f t="shared" si="114"/>
        <v>0</v>
      </c>
      <c r="DN122" s="20">
        <f t="shared" si="114"/>
        <v>0</v>
      </c>
      <c r="DO122" s="20">
        <f t="shared" si="114"/>
        <v>0</v>
      </c>
      <c r="DP122" s="20">
        <f t="shared" si="114"/>
        <v>0</v>
      </c>
      <c r="DQ122" s="20">
        <f t="shared" si="114"/>
        <v>0</v>
      </c>
    </row>
    <row r="124" spans="4:121" x14ac:dyDescent="0.35">
      <c r="D124" s="20" t="s">
        <v>243</v>
      </c>
      <c r="F124" s="20">
        <f>G61</f>
        <v>3409676.2875796319</v>
      </c>
      <c r="G124" s="35">
        <f>Assumptions!F151</f>
        <v>1.4999999999999999E-2</v>
      </c>
      <c r="H124" s="46">
        <f>Assumptions!F9</f>
        <v>42370</v>
      </c>
      <c r="I124" s="54">
        <f>SUM(K124:DQ124)</f>
        <v>51145.14431369448</v>
      </c>
      <c r="K124" s="20">
        <f t="shared" ref="K124:AP124" si="115">(K6=$H$124)*$F$124*$G$124</f>
        <v>0</v>
      </c>
      <c r="L124" s="20">
        <f t="shared" si="115"/>
        <v>0</v>
      </c>
      <c r="M124" s="20">
        <f t="shared" si="115"/>
        <v>0</v>
      </c>
      <c r="N124" s="20">
        <f t="shared" si="115"/>
        <v>0</v>
      </c>
      <c r="O124" s="20">
        <f t="shared" si="115"/>
        <v>51145.14431369448</v>
      </c>
      <c r="P124" s="20">
        <f t="shared" si="115"/>
        <v>0</v>
      </c>
      <c r="Q124" s="20">
        <f t="shared" si="115"/>
        <v>0</v>
      </c>
      <c r="R124" s="20">
        <f t="shared" si="115"/>
        <v>0</v>
      </c>
      <c r="S124" s="20">
        <f t="shared" si="115"/>
        <v>0</v>
      </c>
      <c r="T124" s="20">
        <f t="shared" si="115"/>
        <v>0</v>
      </c>
      <c r="U124" s="20">
        <f t="shared" si="115"/>
        <v>0</v>
      </c>
      <c r="V124" s="20">
        <f t="shared" si="115"/>
        <v>0</v>
      </c>
      <c r="W124" s="20">
        <f t="shared" si="115"/>
        <v>0</v>
      </c>
      <c r="X124" s="20">
        <f t="shared" si="115"/>
        <v>0</v>
      </c>
      <c r="Y124" s="20">
        <f t="shared" si="115"/>
        <v>0</v>
      </c>
      <c r="Z124" s="20">
        <f t="shared" si="115"/>
        <v>0</v>
      </c>
      <c r="AA124" s="20">
        <f t="shared" si="115"/>
        <v>0</v>
      </c>
      <c r="AB124" s="20">
        <f t="shared" si="115"/>
        <v>0</v>
      </c>
      <c r="AC124" s="20">
        <f t="shared" si="115"/>
        <v>0</v>
      </c>
      <c r="AD124" s="20">
        <f t="shared" si="115"/>
        <v>0</v>
      </c>
      <c r="AE124" s="20">
        <f t="shared" si="115"/>
        <v>0</v>
      </c>
      <c r="AF124" s="20">
        <f t="shared" si="115"/>
        <v>0</v>
      </c>
      <c r="AG124" s="20">
        <f t="shared" si="115"/>
        <v>0</v>
      </c>
      <c r="AH124" s="20">
        <f t="shared" si="115"/>
        <v>0</v>
      </c>
      <c r="AI124" s="20">
        <f t="shared" si="115"/>
        <v>0</v>
      </c>
      <c r="AJ124" s="20">
        <f t="shared" si="115"/>
        <v>0</v>
      </c>
      <c r="AK124" s="20">
        <f t="shared" si="115"/>
        <v>0</v>
      </c>
      <c r="AL124" s="20">
        <f t="shared" si="115"/>
        <v>0</v>
      </c>
      <c r="AM124" s="20">
        <f t="shared" si="115"/>
        <v>0</v>
      </c>
      <c r="AN124" s="20">
        <f t="shared" si="115"/>
        <v>0</v>
      </c>
      <c r="AO124" s="20">
        <f t="shared" si="115"/>
        <v>0</v>
      </c>
      <c r="AP124" s="20">
        <f t="shared" si="115"/>
        <v>0</v>
      </c>
      <c r="AQ124" s="20">
        <f t="shared" ref="AQ124:BV124" si="116">(AQ6=$H$124)*$F$124*$G$124</f>
        <v>0</v>
      </c>
      <c r="AR124" s="20">
        <f t="shared" si="116"/>
        <v>0</v>
      </c>
      <c r="AS124" s="20">
        <f t="shared" si="116"/>
        <v>0</v>
      </c>
      <c r="AT124" s="20">
        <f t="shared" si="116"/>
        <v>0</v>
      </c>
      <c r="AU124" s="20">
        <f t="shared" si="116"/>
        <v>0</v>
      </c>
      <c r="AV124" s="20">
        <f t="shared" si="116"/>
        <v>0</v>
      </c>
      <c r="AW124" s="20">
        <f t="shared" si="116"/>
        <v>0</v>
      </c>
      <c r="AX124" s="20">
        <f t="shared" si="116"/>
        <v>0</v>
      </c>
      <c r="AY124" s="20">
        <f t="shared" si="116"/>
        <v>0</v>
      </c>
      <c r="AZ124" s="20">
        <f t="shared" si="116"/>
        <v>0</v>
      </c>
      <c r="BA124" s="20">
        <f t="shared" si="116"/>
        <v>0</v>
      </c>
      <c r="BB124" s="20">
        <f t="shared" si="116"/>
        <v>0</v>
      </c>
      <c r="BC124" s="20">
        <f t="shared" si="116"/>
        <v>0</v>
      </c>
      <c r="BD124" s="20">
        <f t="shared" si="116"/>
        <v>0</v>
      </c>
      <c r="BE124" s="20">
        <f t="shared" si="116"/>
        <v>0</v>
      </c>
      <c r="BF124" s="20">
        <f t="shared" si="116"/>
        <v>0</v>
      </c>
      <c r="BG124" s="20">
        <f t="shared" si="116"/>
        <v>0</v>
      </c>
      <c r="BH124" s="20">
        <f t="shared" si="116"/>
        <v>0</v>
      </c>
      <c r="BI124" s="20">
        <f t="shared" si="116"/>
        <v>0</v>
      </c>
      <c r="BJ124" s="20">
        <f t="shared" si="116"/>
        <v>0</v>
      </c>
      <c r="BK124" s="20">
        <f t="shared" si="116"/>
        <v>0</v>
      </c>
      <c r="BL124" s="20">
        <f t="shared" si="116"/>
        <v>0</v>
      </c>
      <c r="BM124" s="20">
        <f t="shared" si="116"/>
        <v>0</v>
      </c>
      <c r="BN124" s="20">
        <f t="shared" si="116"/>
        <v>0</v>
      </c>
      <c r="BO124" s="20">
        <f t="shared" si="116"/>
        <v>0</v>
      </c>
      <c r="BP124" s="20">
        <f t="shared" si="116"/>
        <v>0</v>
      </c>
      <c r="BQ124" s="20">
        <f t="shared" si="116"/>
        <v>0</v>
      </c>
      <c r="BR124" s="20">
        <f t="shared" si="116"/>
        <v>0</v>
      </c>
      <c r="BS124" s="20">
        <f t="shared" si="116"/>
        <v>0</v>
      </c>
      <c r="BT124" s="20">
        <f t="shared" si="116"/>
        <v>0</v>
      </c>
      <c r="BU124" s="20">
        <f t="shared" si="116"/>
        <v>0</v>
      </c>
      <c r="BV124" s="20">
        <f t="shared" si="116"/>
        <v>0</v>
      </c>
      <c r="BW124" s="20">
        <f t="shared" ref="BW124:DB124" si="117">(BW6=$H$124)*$F$124*$G$124</f>
        <v>0</v>
      </c>
      <c r="BX124" s="20">
        <f t="shared" si="117"/>
        <v>0</v>
      </c>
      <c r="BY124" s="20">
        <f t="shared" si="117"/>
        <v>0</v>
      </c>
      <c r="BZ124" s="20">
        <f t="shared" si="117"/>
        <v>0</v>
      </c>
      <c r="CA124" s="20">
        <f t="shared" si="117"/>
        <v>0</v>
      </c>
      <c r="CB124" s="20">
        <f t="shared" si="117"/>
        <v>0</v>
      </c>
      <c r="CC124" s="20">
        <f t="shared" si="117"/>
        <v>0</v>
      </c>
      <c r="CD124" s="20">
        <f t="shared" si="117"/>
        <v>0</v>
      </c>
      <c r="CE124" s="20">
        <f t="shared" si="117"/>
        <v>0</v>
      </c>
      <c r="CF124" s="20">
        <f t="shared" si="117"/>
        <v>0</v>
      </c>
      <c r="CG124" s="20">
        <f t="shared" si="117"/>
        <v>0</v>
      </c>
      <c r="CH124" s="20">
        <f t="shared" si="117"/>
        <v>0</v>
      </c>
      <c r="CI124" s="20">
        <f t="shared" si="117"/>
        <v>0</v>
      </c>
      <c r="CJ124" s="20">
        <f t="shared" si="117"/>
        <v>0</v>
      </c>
      <c r="CK124" s="20">
        <f t="shared" si="117"/>
        <v>0</v>
      </c>
      <c r="CL124" s="20">
        <f t="shared" si="117"/>
        <v>0</v>
      </c>
      <c r="CM124" s="20">
        <f t="shared" si="117"/>
        <v>0</v>
      </c>
      <c r="CN124" s="20">
        <f t="shared" si="117"/>
        <v>0</v>
      </c>
      <c r="CO124" s="20">
        <f t="shared" si="117"/>
        <v>0</v>
      </c>
      <c r="CP124" s="20">
        <f t="shared" si="117"/>
        <v>0</v>
      </c>
      <c r="CQ124" s="20">
        <f t="shared" si="117"/>
        <v>0</v>
      </c>
      <c r="CR124" s="20">
        <f t="shared" si="117"/>
        <v>0</v>
      </c>
      <c r="CS124" s="20">
        <f t="shared" si="117"/>
        <v>0</v>
      </c>
      <c r="CT124" s="20">
        <f t="shared" si="117"/>
        <v>0</v>
      </c>
      <c r="CU124" s="20">
        <f t="shared" si="117"/>
        <v>0</v>
      </c>
      <c r="CV124" s="20">
        <f t="shared" si="117"/>
        <v>0</v>
      </c>
      <c r="CW124" s="20">
        <f t="shared" si="117"/>
        <v>0</v>
      </c>
      <c r="CX124" s="20">
        <f t="shared" si="117"/>
        <v>0</v>
      </c>
      <c r="CY124" s="20">
        <f t="shared" si="117"/>
        <v>0</v>
      </c>
      <c r="CZ124" s="20">
        <f t="shared" si="117"/>
        <v>0</v>
      </c>
      <c r="DA124" s="20">
        <f t="shared" si="117"/>
        <v>0</v>
      </c>
      <c r="DB124" s="20">
        <f t="shared" si="117"/>
        <v>0</v>
      </c>
      <c r="DC124" s="20">
        <f t="shared" ref="DC124:DQ124" si="118">(DC6=$H$124)*$F$124*$G$124</f>
        <v>0</v>
      </c>
      <c r="DD124" s="20">
        <f t="shared" si="118"/>
        <v>0</v>
      </c>
      <c r="DE124" s="20">
        <f t="shared" si="118"/>
        <v>0</v>
      </c>
      <c r="DF124" s="20">
        <f t="shared" si="118"/>
        <v>0</v>
      </c>
      <c r="DG124" s="20">
        <f t="shared" si="118"/>
        <v>0</v>
      </c>
      <c r="DH124" s="20">
        <f t="shared" si="118"/>
        <v>0</v>
      </c>
      <c r="DI124" s="20">
        <f t="shared" si="118"/>
        <v>0</v>
      </c>
      <c r="DJ124" s="20">
        <f t="shared" si="118"/>
        <v>0</v>
      </c>
      <c r="DK124" s="20">
        <f t="shared" si="118"/>
        <v>0</v>
      </c>
      <c r="DL124" s="20">
        <f t="shared" si="118"/>
        <v>0</v>
      </c>
      <c r="DM124" s="20">
        <f t="shared" si="118"/>
        <v>0</v>
      </c>
      <c r="DN124" s="20">
        <f t="shared" si="118"/>
        <v>0</v>
      </c>
      <c r="DO124" s="20">
        <f t="shared" si="118"/>
        <v>0</v>
      </c>
      <c r="DP124" s="20">
        <f t="shared" si="118"/>
        <v>0</v>
      </c>
      <c r="DQ124" s="20">
        <f t="shared" si="118"/>
        <v>0</v>
      </c>
    </row>
    <row r="126" spans="4:121" x14ac:dyDescent="0.35">
      <c r="D126" s="20" t="s">
        <v>368</v>
      </c>
    </row>
    <row r="127" spans="4:121" x14ac:dyDescent="0.35">
      <c r="D127" s="20" t="s">
        <v>369</v>
      </c>
      <c r="G127" s="20">
        <f>G61</f>
        <v>3409676.2875796319</v>
      </c>
      <c r="K127" s="20">
        <f t="shared" ref="K127:AP127" si="119">$G$127*K9</f>
        <v>0</v>
      </c>
      <c r="L127" s="20">
        <f t="shared" si="119"/>
        <v>0</v>
      </c>
      <c r="M127" s="20">
        <f t="shared" si="119"/>
        <v>0</v>
      </c>
      <c r="N127" s="20">
        <f t="shared" si="119"/>
        <v>0</v>
      </c>
      <c r="O127" s="20">
        <f t="shared" si="119"/>
        <v>3409676.2875796319</v>
      </c>
      <c r="P127" s="20">
        <f t="shared" si="119"/>
        <v>3409676.2875796319</v>
      </c>
      <c r="Q127" s="20">
        <f t="shared" si="119"/>
        <v>3409676.2875796319</v>
      </c>
      <c r="R127" s="20">
        <f t="shared" si="119"/>
        <v>3409676.2875796319</v>
      </c>
      <c r="S127" s="20">
        <f t="shared" si="119"/>
        <v>3409676.2875796319</v>
      </c>
      <c r="T127" s="20">
        <f t="shared" si="119"/>
        <v>0</v>
      </c>
      <c r="U127" s="20">
        <f t="shared" si="119"/>
        <v>0</v>
      </c>
      <c r="V127" s="20">
        <f t="shared" si="119"/>
        <v>0</v>
      </c>
      <c r="W127" s="20">
        <f t="shared" si="119"/>
        <v>0</v>
      </c>
      <c r="X127" s="20">
        <f t="shared" si="119"/>
        <v>0</v>
      </c>
      <c r="Y127" s="20">
        <f t="shared" si="119"/>
        <v>0</v>
      </c>
      <c r="Z127" s="20">
        <f t="shared" si="119"/>
        <v>0</v>
      </c>
      <c r="AA127" s="20">
        <f t="shared" si="119"/>
        <v>0</v>
      </c>
      <c r="AB127" s="20">
        <f t="shared" si="119"/>
        <v>0</v>
      </c>
      <c r="AC127" s="20">
        <f t="shared" si="119"/>
        <v>0</v>
      </c>
      <c r="AD127" s="20">
        <f t="shared" si="119"/>
        <v>0</v>
      </c>
      <c r="AE127" s="20">
        <f t="shared" si="119"/>
        <v>0</v>
      </c>
      <c r="AF127" s="20">
        <f t="shared" si="119"/>
        <v>0</v>
      </c>
      <c r="AG127" s="20">
        <f t="shared" si="119"/>
        <v>0</v>
      </c>
      <c r="AH127" s="20">
        <f t="shared" si="119"/>
        <v>0</v>
      </c>
      <c r="AI127" s="20">
        <f t="shared" si="119"/>
        <v>0</v>
      </c>
      <c r="AJ127" s="20">
        <f t="shared" si="119"/>
        <v>0</v>
      </c>
      <c r="AK127" s="20">
        <f t="shared" si="119"/>
        <v>0</v>
      </c>
      <c r="AL127" s="20">
        <f t="shared" si="119"/>
        <v>0</v>
      </c>
      <c r="AM127" s="20">
        <f t="shared" si="119"/>
        <v>0</v>
      </c>
      <c r="AN127" s="20">
        <f t="shared" si="119"/>
        <v>0</v>
      </c>
      <c r="AO127" s="20">
        <f t="shared" si="119"/>
        <v>0</v>
      </c>
      <c r="AP127" s="20">
        <f t="shared" si="119"/>
        <v>0</v>
      </c>
      <c r="AQ127" s="20">
        <f t="shared" ref="AQ127:BV127" si="120">$G$127*AQ9</f>
        <v>0</v>
      </c>
      <c r="AR127" s="20">
        <f t="shared" si="120"/>
        <v>0</v>
      </c>
      <c r="AS127" s="20">
        <f t="shared" si="120"/>
        <v>0</v>
      </c>
      <c r="AT127" s="20">
        <f t="shared" si="120"/>
        <v>0</v>
      </c>
      <c r="AU127" s="20">
        <f t="shared" si="120"/>
        <v>0</v>
      </c>
      <c r="AV127" s="20">
        <f t="shared" si="120"/>
        <v>0</v>
      </c>
      <c r="AW127" s="20">
        <f t="shared" si="120"/>
        <v>0</v>
      </c>
      <c r="AX127" s="20">
        <f t="shared" si="120"/>
        <v>0</v>
      </c>
      <c r="AY127" s="20">
        <f t="shared" si="120"/>
        <v>0</v>
      </c>
      <c r="AZ127" s="20">
        <f t="shared" si="120"/>
        <v>0</v>
      </c>
      <c r="BA127" s="20">
        <f t="shared" si="120"/>
        <v>0</v>
      </c>
      <c r="BB127" s="20">
        <f t="shared" si="120"/>
        <v>0</v>
      </c>
      <c r="BC127" s="20">
        <f t="shared" si="120"/>
        <v>0</v>
      </c>
      <c r="BD127" s="20">
        <f t="shared" si="120"/>
        <v>0</v>
      </c>
      <c r="BE127" s="20">
        <f t="shared" si="120"/>
        <v>0</v>
      </c>
      <c r="BF127" s="20">
        <f t="shared" si="120"/>
        <v>0</v>
      </c>
      <c r="BG127" s="20">
        <f t="shared" si="120"/>
        <v>0</v>
      </c>
      <c r="BH127" s="20">
        <f t="shared" si="120"/>
        <v>0</v>
      </c>
      <c r="BI127" s="20">
        <f t="shared" si="120"/>
        <v>0</v>
      </c>
      <c r="BJ127" s="20">
        <f t="shared" si="120"/>
        <v>0</v>
      </c>
      <c r="BK127" s="20">
        <f t="shared" si="120"/>
        <v>0</v>
      </c>
      <c r="BL127" s="20">
        <f t="shared" si="120"/>
        <v>0</v>
      </c>
      <c r="BM127" s="20">
        <f t="shared" si="120"/>
        <v>0</v>
      </c>
      <c r="BN127" s="20">
        <f t="shared" si="120"/>
        <v>0</v>
      </c>
      <c r="BO127" s="20">
        <f t="shared" si="120"/>
        <v>0</v>
      </c>
      <c r="BP127" s="20">
        <f t="shared" si="120"/>
        <v>0</v>
      </c>
      <c r="BQ127" s="20">
        <f t="shared" si="120"/>
        <v>0</v>
      </c>
      <c r="BR127" s="20">
        <f t="shared" si="120"/>
        <v>0</v>
      </c>
      <c r="BS127" s="20">
        <f t="shared" si="120"/>
        <v>0</v>
      </c>
      <c r="BT127" s="20">
        <f t="shared" si="120"/>
        <v>0</v>
      </c>
      <c r="BU127" s="20">
        <f t="shared" si="120"/>
        <v>0</v>
      </c>
      <c r="BV127" s="20">
        <f t="shared" si="120"/>
        <v>0</v>
      </c>
      <c r="BW127" s="20">
        <f t="shared" ref="BW127:DB127" si="121">$G$127*BW9</f>
        <v>0</v>
      </c>
      <c r="BX127" s="20">
        <f t="shared" si="121"/>
        <v>0</v>
      </c>
      <c r="BY127" s="20">
        <f t="shared" si="121"/>
        <v>0</v>
      </c>
      <c r="BZ127" s="20">
        <f t="shared" si="121"/>
        <v>0</v>
      </c>
      <c r="CA127" s="20">
        <f t="shared" si="121"/>
        <v>0</v>
      </c>
      <c r="CB127" s="20">
        <f t="shared" si="121"/>
        <v>0</v>
      </c>
      <c r="CC127" s="20">
        <f t="shared" si="121"/>
        <v>0</v>
      </c>
      <c r="CD127" s="20">
        <f t="shared" si="121"/>
        <v>0</v>
      </c>
      <c r="CE127" s="20">
        <f t="shared" si="121"/>
        <v>0</v>
      </c>
      <c r="CF127" s="20">
        <f t="shared" si="121"/>
        <v>0</v>
      </c>
      <c r="CG127" s="20">
        <f t="shared" si="121"/>
        <v>0</v>
      </c>
      <c r="CH127" s="20">
        <f t="shared" si="121"/>
        <v>0</v>
      </c>
      <c r="CI127" s="20">
        <f t="shared" si="121"/>
        <v>0</v>
      </c>
      <c r="CJ127" s="20">
        <f t="shared" si="121"/>
        <v>0</v>
      </c>
      <c r="CK127" s="20">
        <f t="shared" si="121"/>
        <v>0</v>
      </c>
      <c r="CL127" s="20">
        <f t="shared" si="121"/>
        <v>0</v>
      </c>
      <c r="CM127" s="20">
        <f t="shared" si="121"/>
        <v>0</v>
      </c>
      <c r="CN127" s="20">
        <f t="shared" si="121"/>
        <v>0</v>
      </c>
      <c r="CO127" s="20">
        <f t="shared" si="121"/>
        <v>0</v>
      </c>
      <c r="CP127" s="20">
        <f t="shared" si="121"/>
        <v>0</v>
      </c>
      <c r="CQ127" s="20">
        <f t="shared" si="121"/>
        <v>0</v>
      </c>
      <c r="CR127" s="20">
        <f t="shared" si="121"/>
        <v>0</v>
      </c>
      <c r="CS127" s="20">
        <f t="shared" si="121"/>
        <v>0</v>
      </c>
      <c r="CT127" s="20">
        <f t="shared" si="121"/>
        <v>0</v>
      </c>
      <c r="CU127" s="20">
        <f t="shared" si="121"/>
        <v>0</v>
      </c>
      <c r="CV127" s="20">
        <f t="shared" si="121"/>
        <v>0</v>
      </c>
      <c r="CW127" s="20">
        <f t="shared" si="121"/>
        <v>0</v>
      </c>
      <c r="CX127" s="20">
        <f t="shared" si="121"/>
        <v>0</v>
      </c>
      <c r="CY127" s="20">
        <f t="shared" si="121"/>
        <v>0</v>
      </c>
      <c r="CZ127" s="20">
        <f t="shared" si="121"/>
        <v>0</v>
      </c>
      <c r="DA127" s="20">
        <f t="shared" si="121"/>
        <v>0</v>
      </c>
      <c r="DB127" s="20">
        <f t="shared" si="121"/>
        <v>0</v>
      </c>
      <c r="DC127" s="20">
        <f t="shared" ref="DC127:DQ127" si="122">$G$127*DC9</f>
        <v>0</v>
      </c>
      <c r="DD127" s="20">
        <f t="shared" si="122"/>
        <v>0</v>
      </c>
      <c r="DE127" s="20">
        <f t="shared" si="122"/>
        <v>0</v>
      </c>
      <c r="DF127" s="20">
        <f t="shared" si="122"/>
        <v>0</v>
      </c>
      <c r="DG127" s="20">
        <f t="shared" si="122"/>
        <v>0</v>
      </c>
      <c r="DH127" s="20">
        <f t="shared" si="122"/>
        <v>0</v>
      </c>
      <c r="DI127" s="20">
        <f t="shared" si="122"/>
        <v>0</v>
      </c>
      <c r="DJ127" s="20">
        <f t="shared" si="122"/>
        <v>0</v>
      </c>
      <c r="DK127" s="20">
        <f t="shared" si="122"/>
        <v>0</v>
      </c>
      <c r="DL127" s="20">
        <f t="shared" si="122"/>
        <v>0</v>
      </c>
      <c r="DM127" s="20">
        <f t="shared" si="122"/>
        <v>0</v>
      </c>
      <c r="DN127" s="20">
        <f t="shared" si="122"/>
        <v>0</v>
      </c>
      <c r="DO127" s="20">
        <f t="shared" si="122"/>
        <v>0</v>
      </c>
      <c r="DP127" s="20">
        <f t="shared" si="122"/>
        <v>0</v>
      </c>
      <c r="DQ127" s="20">
        <f t="shared" si="122"/>
        <v>0</v>
      </c>
    </row>
    <row r="128" spans="4:121" x14ac:dyDescent="0.35">
      <c r="D128" s="20" t="s">
        <v>370</v>
      </c>
      <c r="K128" s="20">
        <f>K113</f>
        <v>0</v>
      </c>
      <c r="L128" s="20">
        <f t="shared" ref="L128:BW128" si="123">L113</f>
        <v>0</v>
      </c>
      <c r="M128" s="20">
        <f t="shared" si="123"/>
        <v>0</v>
      </c>
      <c r="N128" s="20">
        <f t="shared" si="123"/>
        <v>0</v>
      </c>
      <c r="O128" s="20">
        <f t="shared" si="123"/>
        <v>0</v>
      </c>
      <c r="P128" s="20">
        <f t="shared" si="123"/>
        <v>486491.1751974026</v>
      </c>
      <c r="Q128" s="20">
        <f t="shared" si="123"/>
        <v>1214792.9690432188</v>
      </c>
      <c r="R128" s="20">
        <f t="shared" si="123"/>
        <v>1944384.5444918973</v>
      </c>
      <c r="S128" s="20">
        <f t="shared" si="123"/>
        <v>2675268.1856742715</v>
      </c>
      <c r="T128" s="20">
        <f t="shared" si="123"/>
        <v>3407446.1807662416</v>
      </c>
      <c r="U128" s="20">
        <f t="shared" si="123"/>
        <v>3367805.566681271</v>
      </c>
      <c r="V128" s="20">
        <f t="shared" si="123"/>
        <v>3360581.9642350376</v>
      </c>
      <c r="W128" s="20">
        <f t="shared" si="123"/>
        <v>3368201.3138404042</v>
      </c>
      <c r="X128" s="20">
        <f t="shared" si="123"/>
        <v>3341278.8478421578</v>
      </c>
      <c r="Y128" s="20">
        <f t="shared" si="123"/>
        <v>3301628.1482892926</v>
      </c>
      <c r="Z128" s="20">
        <f t="shared" si="123"/>
        <v>3294231.8643728974</v>
      </c>
      <c r="AA128" s="20">
        <f t="shared" si="123"/>
        <v>3301603.359955247</v>
      </c>
      <c r="AB128" s="20">
        <f t="shared" si="123"/>
        <v>3274603.5529829008</v>
      </c>
      <c r="AC128" s="20">
        <f t="shared" si="123"/>
        <v>3234937.4903838588</v>
      </c>
      <c r="AD128" s="20">
        <f t="shared" si="123"/>
        <v>3227364.0171593539</v>
      </c>
      <c r="AE128" s="20">
        <f t="shared" si="123"/>
        <v>3233028.9483090392</v>
      </c>
      <c r="AF128" s="20">
        <f t="shared" si="123"/>
        <v>3203310.3915887037</v>
      </c>
      <c r="AG128" s="20">
        <f t="shared" si="123"/>
        <v>3160541.8634273331</v>
      </c>
      <c r="AH128" s="20">
        <f t="shared" si="123"/>
        <v>3150778.3520737244</v>
      </c>
      <c r="AI128" s="20">
        <f t="shared" si="123"/>
        <v>3155112.6802239567</v>
      </c>
      <c r="AJ128" s="20">
        <f t="shared" si="123"/>
        <v>3123422.1648847521</v>
      </c>
      <c r="AK128" s="20">
        <f t="shared" si="123"/>
        <v>3078437.269675287</v>
      </c>
      <c r="AL128" s="20">
        <f t="shared" si="123"/>
        <v>3067031.6566528343</v>
      </c>
      <c r="AM128" s="20">
        <f t="shared" si="123"/>
        <v>3070791.192593147</v>
      </c>
      <c r="AN128" s="20">
        <f t="shared" si="123"/>
        <v>3038546.4985458027</v>
      </c>
      <c r="AO128" s="20">
        <f t="shared" si="123"/>
        <v>2993392.2484727739</v>
      </c>
      <c r="AP128" s="20">
        <f t="shared" si="123"/>
        <v>2981786.8721074793</v>
      </c>
      <c r="AQ128" s="20">
        <f t="shared" si="123"/>
        <v>2982257.9983633044</v>
      </c>
      <c r="AR128" s="20">
        <f t="shared" si="123"/>
        <v>2944250.0194534082</v>
      </c>
      <c r="AS128" s="20">
        <f t="shared" si="123"/>
        <v>2892013.9032784728</v>
      </c>
      <c r="AT128" s="20">
        <f t="shared" si="123"/>
        <v>2875567.2504239674</v>
      </c>
      <c r="AU128" s="20">
        <f t="shared" si="123"/>
        <v>2869765.7807922564</v>
      </c>
      <c r="AV128" s="20">
        <f t="shared" si="123"/>
        <v>2821037.654008884</v>
      </c>
      <c r="AW128" s="20">
        <f t="shared" si="123"/>
        <v>2756400.2364208591</v>
      </c>
      <c r="AX128" s="20">
        <f t="shared" si="123"/>
        <v>2731577.3528862749</v>
      </c>
      <c r="AY128" s="20">
        <f t="shared" si="123"/>
        <v>2723206.8650489305</v>
      </c>
      <c r="AZ128" s="20">
        <f t="shared" si="123"/>
        <v>2670732.5919745979</v>
      </c>
      <c r="BA128" s="20">
        <f t="shared" si="123"/>
        <v>2601899.2413421208</v>
      </c>
      <c r="BB128" s="20">
        <f t="shared" si="123"/>
        <v>2573930.9869910642</v>
      </c>
      <c r="BC128" s="20">
        <f t="shared" si="123"/>
        <v>2564302.3746299194</v>
      </c>
      <c r="BD128" s="20">
        <f t="shared" si="123"/>
        <v>2510551.6871506241</v>
      </c>
      <c r="BE128" s="20">
        <f t="shared" si="123"/>
        <v>2440428.4506426281</v>
      </c>
      <c r="BF128" s="20">
        <f t="shared" si="123"/>
        <v>2411166.8710863707</v>
      </c>
      <c r="BG128" s="20">
        <f t="shared" si="123"/>
        <v>2398028.9202346923</v>
      </c>
      <c r="BH128" s="20">
        <f t="shared" si="123"/>
        <v>2338955.5600347444</v>
      </c>
      <c r="BI128" s="20">
        <f t="shared" si="123"/>
        <v>2262936.1781393886</v>
      </c>
      <c r="BJ128" s="20">
        <f t="shared" si="123"/>
        <v>2229401.1964269555</v>
      </c>
      <c r="BK128" s="20">
        <f t="shared" si="123"/>
        <v>2212223.3241983894</v>
      </c>
      <c r="BL128" s="20">
        <f t="shared" si="123"/>
        <v>2146905.5811555167</v>
      </c>
      <c r="BM128" s="20">
        <f t="shared" si="123"/>
        <v>2063683.5253293489</v>
      </c>
      <c r="BN128" s="20">
        <f t="shared" si="123"/>
        <v>2024923.4785111072</v>
      </c>
      <c r="BO128" s="20">
        <f t="shared" si="123"/>
        <v>2002453.5008503003</v>
      </c>
      <c r="BP128" s="20">
        <f t="shared" si="123"/>
        <v>1928876.4831763085</v>
      </c>
      <c r="BQ128" s="20">
        <f t="shared" si="123"/>
        <v>1836267.2525798441</v>
      </c>
      <c r="BR128" s="20">
        <f t="shared" si="123"/>
        <v>1790786.3108468761</v>
      </c>
      <c r="BS128" s="20">
        <f t="shared" si="123"/>
        <v>1763027.4602064048</v>
      </c>
      <c r="BT128" s="20">
        <f t="shared" si="123"/>
        <v>1681402.7012725079</v>
      </c>
      <c r="BU128" s="20">
        <f t="shared" si="123"/>
        <v>1579694.9906380454</v>
      </c>
      <c r="BV128" s="20">
        <f t="shared" si="123"/>
        <v>1527588.5149884529</v>
      </c>
      <c r="BW128" s="20">
        <f t="shared" si="123"/>
        <v>1500547.2625265135</v>
      </c>
      <c r="BX128" s="20">
        <f t="shared" ref="BX128:DQ128" si="124">BX113</f>
        <v>1443099.8409304093</v>
      </c>
      <c r="BY128" s="20">
        <f t="shared" si="124"/>
        <v>1371155.0574836684</v>
      </c>
      <c r="BZ128" s="20">
        <f t="shared" si="124"/>
        <v>1335060.8267124335</v>
      </c>
      <c r="CA128" s="20">
        <f t="shared" si="124"/>
        <v>1314313.6278047501</v>
      </c>
      <c r="CB128" s="20">
        <f t="shared" si="124"/>
        <v>1254083.8033730534</v>
      </c>
      <c r="CC128" s="20">
        <f t="shared" si="124"/>
        <v>1179225.3057667715</v>
      </c>
      <c r="CD128" s="20">
        <f t="shared" si="124"/>
        <v>1140711.1044248936</v>
      </c>
      <c r="CE128" s="20">
        <f t="shared" si="124"/>
        <v>1115982.0806419782</v>
      </c>
      <c r="CF128" s="20">
        <f t="shared" si="124"/>
        <v>1049751.045971018</v>
      </c>
      <c r="CG128" s="20">
        <f t="shared" si="124"/>
        <v>968023.10494093923</v>
      </c>
      <c r="CH128" s="20">
        <f t="shared" si="124"/>
        <v>924444.57980589732</v>
      </c>
      <c r="CI128" s="20">
        <f t="shared" si="124"/>
        <v>896418.02663337486</v>
      </c>
      <c r="CJ128" s="20">
        <f t="shared" si="124"/>
        <v>825661.73454539559</v>
      </c>
      <c r="CK128" s="20">
        <f t="shared" si="124"/>
        <v>738935.53947582247</v>
      </c>
      <c r="CL128" s="20">
        <f t="shared" si="124"/>
        <v>691442.92293685209</v>
      </c>
      <c r="CM128" s="20">
        <f t="shared" si="124"/>
        <v>657885.92234901548</v>
      </c>
      <c r="CN128" s="20">
        <f t="shared" si="124"/>
        <v>578673.48900740314</v>
      </c>
      <c r="CO128" s="20">
        <f t="shared" si="124"/>
        <v>482376.75145731197</v>
      </c>
      <c r="CP128" s="20">
        <f t="shared" si="124"/>
        <v>427936.05657920078</v>
      </c>
      <c r="CQ128" s="20">
        <f t="shared" si="124"/>
        <v>389258.99928179302</v>
      </c>
      <c r="CR128" s="20">
        <f t="shared" si="124"/>
        <v>302548.05636445497</v>
      </c>
      <c r="CS128" s="20">
        <f t="shared" si="124"/>
        <v>197843.40365807898</v>
      </c>
      <c r="CT128" s="20">
        <f t="shared" si="124"/>
        <v>137116.21989885136</v>
      </c>
      <c r="CU128" s="20">
        <f t="shared" si="124"/>
        <v>92774.803482882999</v>
      </c>
      <c r="CV128" s="20">
        <f t="shared" si="124"/>
        <v>0</v>
      </c>
      <c r="CW128" s="20">
        <f t="shared" si="124"/>
        <v>0</v>
      </c>
      <c r="CX128" s="20">
        <f t="shared" si="124"/>
        <v>0</v>
      </c>
      <c r="CY128" s="20">
        <f t="shared" si="124"/>
        <v>0</v>
      </c>
      <c r="CZ128" s="20">
        <f t="shared" si="124"/>
        <v>0</v>
      </c>
      <c r="DA128" s="20">
        <f t="shared" si="124"/>
        <v>0</v>
      </c>
      <c r="DB128" s="20">
        <f t="shared" si="124"/>
        <v>0</v>
      </c>
      <c r="DC128" s="20">
        <f t="shared" si="124"/>
        <v>0</v>
      </c>
      <c r="DD128" s="20">
        <f t="shared" si="124"/>
        <v>0</v>
      </c>
      <c r="DE128" s="20">
        <f t="shared" si="124"/>
        <v>0</v>
      </c>
      <c r="DF128" s="20">
        <f t="shared" si="124"/>
        <v>0</v>
      </c>
      <c r="DG128" s="20">
        <f t="shared" si="124"/>
        <v>0</v>
      </c>
      <c r="DH128" s="20">
        <f t="shared" si="124"/>
        <v>0</v>
      </c>
      <c r="DI128" s="20">
        <f t="shared" si="124"/>
        <v>0</v>
      </c>
      <c r="DJ128" s="20">
        <f t="shared" si="124"/>
        <v>0</v>
      </c>
      <c r="DK128" s="20">
        <f t="shared" si="124"/>
        <v>0</v>
      </c>
      <c r="DL128" s="20">
        <f t="shared" si="124"/>
        <v>0</v>
      </c>
      <c r="DM128" s="20">
        <f t="shared" si="124"/>
        <v>0</v>
      </c>
      <c r="DN128" s="20">
        <f t="shared" si="124"/>
        <v>0</v>
      </c>
      <c r="DO128" s="20">
        <f t="shared" si="124"/>
        <v>0</v>
      </c>
      <c r="DP128" s="20">
        <f t="shared" si="124"/>
        <v>0</v>
      </c>
      <c r="DQ128" s="20">
        <f t="shared" si="124"/>
        <v>0</v>
      </c>
    </row>
    <row r="129" spans="2:1006" x14ac:dyDescent="0.35">
      <c r="D129" s="20" t="s">
        <v>371</v>
      </c>
      <c r="K129" s="20">
        <f t="shared" ref="K129:AP129" si="125">(K127-K128)*K9</f>
        <v>0</v>
      </c>
      <c r="L129" s="20">
        <f t="shared" si="125"/>
        <v>0</v>
      </c>
      <c r="M129" s="20">
        <f t="shared" si="125"/>
        <v>0</v>
      </c>
      <c r="N129" s="20">
        <f t="shared" si="125"/>
        <v>0</v>
      </c>
      <c r="O129" s="20">
        <f t="shared" si="125"/>
        <v>3409676.2875796319</v>
      </c>
      <c r="P129" s="20">
        <f t="shared" si="125"/>
        <v>2923185.1123822294</v>
      </c>
      <c r="Q129" s="20">
        <f t="shared" si="125"/>
        <v>2194883.3185364129</v>
      </c>
      <c r="R129" s="20">
        <f t="shared" si="125"/>
        <v>1465291.7430877346</v>
      </c>
      <c r="S129" s="20">
        <f t="shared" si="125"/>
        <v>734408.10190536035</v>
      </c>
      <c r="T129" s="20">
        <f t="shared" si="125"/>
        <v>0</v>
      </c>
      <c r="U129" s="20">
        <f t="shared" si="125"/>
        <v>0</v>
      </c>
      <c r="V129" s="20">
        <f t="shared" si="125"/>
        <v>0</v>
      </c>
      <c r="W129" s="20">
        <f t="shared" si="125"/>
        <v>0</v>
      </c>
      <c r="X129" s="20">
        <f t="shared" si="125"/>
        <v>0</v>
      </c>
      <c r="Y129" s="20">
        <f t="shared" si="125"/>
        <v>0</v>
      </c>
      <c r="Z129" s="20">
        <f t="shared" si="125"/>
        <v>0</v>
      </c>
      <c r="AA129" s="20">
        <f t="shared" si="125"/>
        <v>0</v>
      </c>
      <c r="AB129" s="20">
        <f t="shared" si="125"/>
        <v>0</v>
      </c>
      <c r="AC129" s="20">
        <f t="shared" si="125"/>
        <v>0</v>
      </c>
      <c r="AD129" s="20">
        <f t="shared" si="125"/>
        <v>0</v>
      </c>
      <c r="AE129" s="20">
        <f t="shared" si="125"/>
        <v>0</v>
      </c>
      <c r="AF129" s="20">
        <f t="shared" si="125"/>
        <v>0</v>
      </c>
      <c r="AG129" s="20">
        <f t="shared" si="125"/>
        <v>0</v>
      </c>
      <c r="AH129" s="20">
        <f t="shared" si="125"/>
        <v>0</v>
      </c>
      <c r="AI129" s="20">
        <f t="shared" si="125"/>
        <v>0</v>
      </c>
      <c r="AJ129" s="20">
        <f t="shared" si="125"/>
        <v>0</v>
      </c>
      <c r="AK129" s="20">
        <f t="shared" si="125"/>
        <v>0</v>
      </c>
      <c r="AL129" s="20">
        <f t="shared" si="125"/>
        <v>0</v>
      </c>
      <c r="AM129" s="20">
        <f t="shared" si="125"/>
        <v>0</v>
      </c>
      <c r="AN129" s="20">
        <f t="shared" si="125"/>
        <v>0</v>
      </c>
      <c r="AO129" s="20">
        <f t="shared" si="125"/>
        <v>0</v>
      </c>
      <c r="AP129" s="20">
        <f t="shared" si="125"/>
        <v>0</v>
      </c>
      <c r="AQ129" s="20">
        <f t="shared" ref="AQ129:BV129" si="126">(AQ127-AQ128)*AQ9</f>
        <v>0</v>
      </c>
      <c r="AR129" s="20">
        <f t="shared" si="126"/>
        <v>0</v>
      </c>
      <c r="AS129" s="20">
        <f t="shared" si="126"/>
        <v>0</v>
      </c>
      <c r="AT129" s="20">
        <f t="shared" si="126"/>
        <v>0</v>
      </c>
      <c r="AU129" s="20">
        <f t="shared" si="126"/>
        <v>0</v>
      </c>
      <c r="AV129" s="20">
        <f t="shared" si="126"/>
        <v>0</v>
      </c>
      <c r="AW129" s="20">
        <f t="shared" si="126"/>
        <v>0</v>
      </c>
      <c r="AX129" s="20">
        <f t="shared" si="126"/>
        <v>0</v>
      </c>
      <c r="AY129" s="20">
        <f t="shared" si="126"/>
        <v>0</v>
      </c>
      <c r="AZ129" s="20">
        <f t="shared" si="126"/>
        <v>0</v>
      </c>
      <c r="BA129" s="20">
        <f t="shared" si="126"/>
        <v>0</v>
      </c>
      <c r="BB129" s="20">
        <f t="shared" si="126"/>
        <v>0</v>
      </c>
      <c r="BC129" s="20">
        <f t="shared" si="126"/>
        <v>0</v>
      </c>
      <c r="BD129" s="20">
        <f t="shared" si="126"/>
        <v>0</v>
      </c>
      <c r="BE129" s="20">
        <f t="shared" si="126"/>
        <v>0</v>
      </c>
      <c r="BF129" s="20">
        <f t="shared" si="126"/>
        <v>0</v>
      </c>
      <c r="BG129" s="20">
        <f t="shared" si="126"/>
        <v>0</v>
      </c>
      <c r="BH129" s="20">
        <f t="shared" si="126"/>
        <v>0</v>
      </c>
      <c r="BI129" s="20">
        <f t="shared" si="126"/>
        <v>0</v>
      </c>
      <c r="BJ129" s="20">
        <f t="shared" si="126"/>
        <v>0</v>
      </c>
      <c r="BK129" s="20">
        <f t="shared" si="126"/>
        <v>0</v>
      </c>
      <c r="BL129" s="20">
        <f t="shared" si="126"/>
        <v>0</v>
      </c>
      <c r="BM129" s="20">
        <f t="shared" si="126"/>
        <v>0</v>
      </c>
      <c r="BN129" s="20">
        <f t="shared" si="126"/>
        <v>0</v>
      </c>
      <c r="BO129" s="20">
        <f t="shared" si="126"/>
        <v>0</v>
      </c>
      <c r="BP129" s="20">
        <f t="shared" si="126"/>
        <v>0</v>
      </c>
      <c r="BQ129" s="20">
        <f t="shared" si="126"/>
        <v>0</v>
      </c>
      <c r="BR129" s="20">
        <f t="shared" si="126"/>
        <v>0</v>
      </c>
      <c r="BS129" s="20">
        <f t="shared" si="126"/>
        <v>0</v>
      </c>
      <c r="BT129" s="20">
        <f t="shared" si="126"/>
        <v>0</v>
      </c>
      <c r="BU129" s="20">
        <f t="shared" si="126"/>
        <v>0</v>
      </c>
      <c r="BV129" s="20">
        <f t="shared" si="126"/>
        <v>0</v>
      </c>
      <c r="BW129" s="20">
        <f t="shared" ref="BW129:DB129" si="127">(BW127-BW128)*BW9</f>
        <v>0</v>
      </c>
      <c r="BX129" s="20">
        <f t="shared" si="127"/>
        <v>0</v>
      </c>
      <c r="BY129" s="20">
        <f t="shared" si="127"/>
        <v>0</v>
      </c>
      <c r="BZ129" s="20">
        <f t="shared" si="127"/>
        <v>0</v>
      </c>
      <c r="CA129" s="20">
        <f t="shared" si="127"/>
        <v>0</v>
      </c>
      <c r="CB129" s="20">
        <f t="shared" si="127"/>
        <v>0</v>
      </c>
      <c r="CC129" s="20">
        <f t="shared" si="127"/>
        <v>0</v>
      </c>
      <c r="CD129" s="20">
        <f t="shared" si="127"/>
        <v>0</v>
      </c>
      <c r="CE129" s="20">
        <f t="shared" si="127"/>
        <v>0</v>
      </c>
      <c r="CF129" s="20">
        <f t="shared" si="127"/>
        <v>0</v>
      </c>
      <c r="CG129" s="20">
        <f t="shared" si="127"/>
        <v>0</v>
      </c>
      <c r="CH129" s="20">
        <f t="shared" si="127"/>
        <v>0</v>
      </c>
      <c r="CI129" s="20">
        <f t="shared" si="127"/>
        <v>0</v>
      </c>
      <c r="CJ129" s="20">
        <f t="shared" si="127"/>
        <v>0</v>
      </c>
      <c r="CK129" s="20">
        <f t="shared" si="127"/>
        <v>0</v>
      </c>
      <c r="CL129" s="20">
        <f t="shared" si="127"/>
        <v>0</v>
      </c>
      <c r="CM129" s="20">
        <f t="shared" si="127"/>
        <v>0</v>
      </c>
      <c r="CN129" s="20">
        <f t="shared" si="127"/>
        <v>0</v>
      </c>
      <c r="CO129" s="20">
        <f t="shared" si="127"/>
        <v>0</v>
      </c>
      <c r="CP129" s="20">
        <f t="shared" si="127"/>
        <v>0</v>
      </c>
      <c r="CQ129" s="20">
        <f t="shared" si="127"/>
        <v>0</v>
      </c>
      <c r="CR129" s="20">
        <f t="shared" si="127"/>
        <v>0</v>
      </c>
      <c r="CS129" s="20">
        <f t="shared" si="127"/>
        <v>0</v>
      </c>
      <c r="CT129" s="20">
        <f t="shared" si="127"/>
        <v>0</v>
      </c>
      <c r="CU129" s="20">
        <f t="shared" si="127"/>
        <v>0</v>
      </c>
      <c r="CV129" s="20">
        <f t="shared" si="127"/>
        <v>0</v>
      </c>
      <c r="CW129" s="20">
        <f t="shared" si="127"/>
        <v>0</v>
      </c>
      <c r="CX129" s="20">
        <f t="shared" si="127"/>
        <v>0</v>
      </c>
      <c r="CY129" s="20">
        <f t="shared" si="127"/>
        <v>0</v>
      </c>
      <c r="CZ129" s="20">
        <f t="shared" si="127"/>
        <v>0</v>
      </c>
      <c r="DA129" s="20">
        <f t="shared" si="127"/>
        <v>0</v>
      </c>
      <c r="DB129" s="20">
        <f t="shared" si="127"/>
        <v>0</v>
      </c>
      <c r="DC129" s="20">
        <f t="shared" ref="DC129:DQ129" si="128">(DC127-DC128)*DC9</f>
        <v>0</v>
      </c>
      <c r="DD129" s="20">
        <f t="shared" si="128"/>
        <v>0</v>
      </c>
      <c r="DE129" s="20">
        <f t="shared" si="128"/>
        <v>0</v>
      </c>
      <c r="DF129" s="20">
        <f t="shared" si="128"/>
        <v>0</v>
      </c>
      <c r="DG129" s="20">
        <f t="shared" si="128"/>
        <v>0</v>
      </c>
      <c r="DH129" s="20">
        <f t="shared" si="128"/>
        <v>0</v>
      </c>
      <c r="DI129" s="20">
        <f t="shared" si="128"/>
        <v>0</v>
      </c>
      <c r="DJ129" s="20">
        <f t="shared" si="128"/>
        <v>0</v>
      </c>
      <c r="DK129" s="20">
        <f t="shared" si="128"/>
        <v>0</v>
      </c>
      <c r="DL129" s="20">
        <f t="shared" si="128"/>
        <v>0</v>
      </c>
      <c r="DM129" s="20">
        <f t="shared" si="128"/>
        <v>0</v>
      </c>
      <c r="DN129" s="20">
        <f t="shared" si="128"/>
        <v>0</v>
      </c>
      <c r="DO129" s="20">
        <f t="shared" si="128"/>
        <v>0</v>
      </c>
      <c r="DP129" s="20">
        <f t="shared" si="128"/>
        <v>0</v>
      </c>
      <c r="DQ129" s="20">
        <f t="shared" si="128"/>
        <v>0</v>
      </c>
    </row>
    <row r="130" spans="2:1006" x14ac:dyDescent="0.35">
      <c r="D130" s="20" t="s">
        <v>372</v>
      </c>
      <c r="G130" s="35">
        <f>Assumptions!$F$152</f>
        <v>7.0000000000000001E-3</v>
      </c>
      <c r="K130" s="22">
        <f t="shared" ref="K130:AP130" si="129">$G$130*K5/12</f>
        <v>5.8333333333333338E-4</v>
      </c>
      <c r="L130" s="22">
        <f t="shared" si="129"/>
        <v>5.8333333333333338E-4</v>
      </c>
      <c r="M130" s="22">
        <f t="shared" si="129"/>
        <v>5.8333333333333338E-4</v>
      </c>
      <c r="N130" s="22">
        <f t="shared" si="129"/>
        <v>5.8333333333333338E-4</v>
      </c>
      <c r="O130" s="22">
        <f t="shared" si="129"/>
        <v>5.8333333333333338E-4</v>
      </c>
      <c r="P130" s="22">
        <f t="shared" si="129"/>
        <v>5.8333333333333338E-4</v>
      </c>
      <c r="Q130" s="22">
        <f t="shared" si="129"/>
        <v>5.8333333333333338E-4</v>
      </c>
      <c r="R130" s="22">
        <f t="shared" si="129"/>
        <v>5.8333333333333338E-4</v>
      </c>
      <c r="S130" s="22">
        <f t="shared" si="129"/>
        <v>5.8333333333333338E-4</v>
      </c>
      <c r="T130" s="22">
        <f t="shared" si="129"/>
        <v>1.75E-3</v>
      </c>
      <c r="U130" s="22">
        <f t="shared" si="129"/>
        <v>1.75E-3</v>
      </c>
      <c r="V130" s="22">
        <f t="shared" si="129"/>
        <v>1.75E-3</v>
      </c>
      <c r="W130" s="22">
        <f t="shared" si="129"/>
        <v>1.75E-3</v>
      </c>
      <c r="X130" s="22">
        <f t="shared" si="129"/>
        <v>1.75E-3</v>
      </c>
      <c r="Y130" s="22">
        <f t="shared" si="129"/>
        <v>1.75E-3</v>
      </c>
      <c r="Z130" s="22">
        <f t="shared" si="129"/>
        <v>1.75E-3</v>
      </c>
      <c r="AA130" s="22">
        <f t="shared" si="129"/>
        <v>1.75E-3</v>
      </c>
      <c r="AB130" s="22">
        <f t="shared" si="129"/>
        <v>1.75E-3</v>
      </c>
      <c r="AC130" s="22">
        <f t="shared" si="129"/>
        <v>1.75E-3</v>
      </c>
      <c r="AD130" s="22">
        <f t="shared" si="129"/>
        <v>1.75E-3</v>
      </c>
      <c r="AE130" s="22">
        <f t="shared" si="129"/>
        <v>1.75E-3</v>
      </c>
      <c r="AF130" s="22">
        <f t="shared" si="129"/>
        <v>1.75E-3</v>
      </c>
      <c r="AG130" s="22">
        <f t="shared" si="129"/>
        <v>1.75E-3</v>
      </c>
      <c r="AH130" s="22">
        <f t="shared" si="129"/>
        <v>1.75E-3</v>
      </c>
      <c r="AI130" s="22">
        <f t="shared" si="129"/>
        <v>1.75E-3</v>
      </c>
      <c r="AJ130" s="22">
        <f t="shared" si="129"/>
        <v>1.75E-3</v>
      </c>
      <c r="AK130" s="22">
        <f t="shared" si="129"/>
        <v>1.75E-3</v>
      </c>
      <c r="AL130" s="22">
        <f t="shared" si="129"/>
        <v>1.75E-3</v>
      </c>
      <c r="AM130" s="22">
        <f t="shared" si="129"/>
        <v>1.75E-3</v>
      </c>
      <c r="AN130" s="22">
        <f t="shared" si="129"/>
        <v>1.75E-3</v>
      </c>
      <c r="AO130" s="22">
        <f t="shared" si="129"/>
        <v>1.75E-3</v>
      </c>
      <c r="AP130" s="22">
        <f t="shared" si="129"/>
        <v>1.75E-3</v>
      </c>
      <c r="AQ130" s="22">
        <f t="shared" ref="AQ130:BV130" si="130">$G$130*AQ5/12</f>
        <v>1.75E-3</v>
      </c>
      <c r="AR130" s="22">
        <f t="shared" si="130"/>
        <v>1.75E-3</v>
      </c>
      <c r="AS130" s="22">
        <f t="shared" si="130"/>
        <v>1.75E-3</v>
      </c>
      <c r="AT130" s="22">
        <f t="shared" si="130"/>
        <v>1.75E-3</v>
      </c>
      <c r="AU130" s="22">
        <f t="shared" si="130"/>
        <v>1.75E-3</v>
      </c>
      <c r="AV130" s="22">
        <f t="shared" si="130"/>
        <v>1.75E-3</v>
      </c>
      <c r="AW130" s="22">
        <f t="shared" si="130"/>
        <v>1.75E-3</v>
      </c>
      <c r="AX130" s="22">
        <f t="shared" si="130"/>
        <v>1.75E-3</v>
      </c>
      <c r="AY130" s="22">
        <f t="shared" si="130"/>
        <v>1.75E-3</v>
      </c>
      <c r="AZ130" s="22">
        <f t="shared" si="130"/>
        <v>1.75E-3</v>
      </c>
      <c r="BA130" s="22">
        <f t="shared" si="130"/>
        <v>1.75E-3</v>
      </c>
      <c r="BB130" s="22">
        <f t="shared" si="130"/>
        <v>1.75E-3</v>
      </c>
      <c r="BC130" s="22">
        <f t="shared" si="130"/>
        <v>1.75E-3</v>
      </c>
      <c r="BD130" s="22">
        <f t="shared" si="130"/>
        <v>1.75E-3</v>
      </c>
      <c r="BE130" s="22">
        <f t="shared" si="130"/>
        <v>1.75E-3</v>
      </c>
      <c r="BF130" s="22">
        <f t="shared" si="130"/>
        <v>1.75E-3</v>
      </c>
      <c r="BG130" s="22">
        <f t="shared" si="130"/>
        <v>1.75E-3</v>
      </c>
      <c r="BH130" s="22">
        <f t="shared" si="130"/>
        <v>1.75E-3</v>
      </c>
      <c r="BI130" s="22">
        <f t="shared" si="130"/>
        <v>1.75E-3</v>
      </c>
      <c r="BJ130" s="22">
        <f t="shared" si="130"/>
        <v>1.75E-3</v>
      </c>
      <c r="BK130" s="22">
        <f t="shared" si="130"/>
        <v>1.75E-3</v>
      </c>
      <c r="BL130" s="22">
        <f t="shared" si="130"/>
        <v>1.75E-3</v>
      </c>
      <c r="BM130" s="22">
        <f t="shared" si="130"/>
        <v>1.75E-3</v>
      </c>
      <c r="BN130" s="22">
        <f t="shared" si="130"/>
        <v>1.75E-3</v>
      </c>
      <c r="BO130" s="22">
        <f t="shared" si="130"/>
        <v>1.75E-3</v>
      </c>
      <c r="BP130" s="22">
        <f t="shared" si="130"/>
        <v>1.75E-3</v>
      </c>
      <c r="BQ130" s="22">
        <f t="shared" si="130"/>
        <v>1.75E-3</v>
      </c>
      <c r="BR130" s="22">
        <f t="shared" si="130"/>
        <v>1.75E-3</v>
      </c>
      <c r="BS130" s="22">
        <f t="shared" si="130"/>
        <v>1.75E-3</v>
      </c>
      <c r="BT130" s="22">
        <f t="shared" si="130"/>
        <v>1.75E-3</v>
      </c>
      <c r="BU130" s="22">
        <f t="shared" si="130"/>
        <v>1.75E-3</v>
      </c>
      <c r="BV130" s="22">
        <f t="shared" si="130"/>
        <v>1.75E-3</v>
      </c>
      <c r="BW130" s="22">
        <f t="shared" ref="BW130:DB130" si="131">$G$130*BW5/12</f>
        <v>1.75E-3</v>
      </c>
      <c r="BX130" s="22">
        <f t="shared" si="131"/>
        <v>1.75E-3</v>
      </c>
      <c r="BY130" s="22">
        <f t="shared" si="131"/>
        <v>1.75E-3</v>
      </c>
      <c r="BZ130" s="22">
        <f t="shared" si="131"/>
        <v>1.75E-3</v>
      </c>
      <c r="CA130" s="22">
        <f t="shared" si="131"/>
        <v>1.75E-3</v>
      </c>
      <c r="CB130" s="22">
        <f t="shared" si="131"/>
        <v>1.75E-3</v>
      </c>
      <c r="CC130" s="22">
        <f t="shared" si="131"/>
        <v>1.75E-3</v>
      </c>
      <c r="CD130" s="22">
        <f t="shared" si="131"/>
        <v>1.75E-3</v>
      </c>
      <c r="CE130" s="22">
        <f t="shared" si="131"/>
        <v>1.75E-3</v>
      </c>
      <c r="CF130" s="22">
        <f t="shared" si="131"/>
        <v>1.75E-3</v>
      </c>
      <c r="CG130" s="22">
        <f t="shared" si="131"/>
        <v>1.75E-3</v>
      </c>
      <c r="CH130" s="22">
        <f t="shared" si="131"/>
        <v>1.75E-3</v>
      </c>
      <c r="CI130" s="22">
        <f t="shared" si="131"/>
        <v>1.75E-3</v>
      </c>
      <c r="CJ130" s="22">
        <f t="shared" si="131"/>
        <v>1.75E-3</v>
      </c>
      <c r="CK130" s="22">
        <f t="shared" si="131"/>
        <v>1.75E-3</v>
      </c>
      <c r="CL130" s="22">
        <f t="shared" si="131"/>
        <v>1.75E-3</v>
      </c>
      <c r="CM130" s="22">
        <f t="shared" si="131"/>
        <v>1.75E-3</v>
      </c>
      <c r="CN130" s="22">
        <f t="shared" si="131"/>
        <v>1.75E-3</v>
      </c>
      <c r="CO130" s="22">
        <f t="shared" si="131"/>
        <v>1.75E-3</v>
      </c>
      <c r="CP130" s="22">
        <f t="shared" si="131"/>
        <v>1.75E-3</v>
      </c>
      <c r="CQ130" s="22">
        <f t="shared" si="131"/>
        <v>1.75E-3</v>
      </c>
      <c r="CR130" s="22">
        <f t="shared" si="131"/>
        <v>1.75E-3</v>
      </c>
      <c r="CS130" s="22">
        <f t="shared" si="131"/>
        <v>1.75E-3</v>
      </c>
      <c r="CT130" s="22">
        <f t="shared" si="131"/>
        <v>1.75E-3</v>
      </c>
      <c r="CU130" s="22">
        <f t="shared" si="131"/>
        <v>1.75E-3</v>
      </c>
      <c r="CV130" s="22">
        <f t="shared" si="131"/>
        <v>1.75E-3</v>
      </c>
      <c r="CW130" s="22">
        <f t="shared" si="131"/>
        <v>1.75E-3</v>
      </c>
      <c r="CX130" s="22">
        <f t="shared" si="131"/>
        <v>1.75E-3</v>
      </c>
      <c r="CY130" s="22">
        <f t="shared" si="131"/>
        <v>1.75E-3</v>
      </c>
      <c r="CZ130" s="22">
        <f t="shared" si="131"/>
        <v>1.75E-3</v>
      </c>
      <c r="DA130" s="22">
        <f t="shared" si="131"/>
        <v>1.75E-3</v>
      </c>
      <c r="DB130" s="22">
        <f t="shared" si="131"/>
        <v>1.75E-3</v>
      </c>
      <c r="DC130" s="22">
        <f t="shared" ref="DC130:DQ130" si="132">$G$130*DC5/12</f>
        <v>1.75E-3</v>
      </c>
      <c r="DD130" s="22">
        <f t="shared" si="132"/>
        <v>1.75E-3</v>
      </c>
      <c r="DE130" s="22">
        <f t="shared" si="132"/>
        <v>1.75E-3</v>
      </c>
      <c r="DF130" s="22">
        <f t="shared" si="132"/>
        <v>1.75E-3</v>
      </c>
      <c r="DG130" s="22">
        <f t="shared" si="132"/>
        <v>1.75E-3</v>
      </c>
      <c r="DH130" s="22">
        <f t="shared" si="132"/>
        <v>1.75E-3</v>
      </c>
      <c r="DI130" s="22">
        <f t="shared" si="132"/>
        <v>1.75E-3</v>
      </c>
      <c r="DJ130" s="22">
        <f t="shared" si="132"/>
        <v>1.75E-3</v>
      </c>
      <c r="DK130" s="22">
        <f t="shared" si="132"/>
        <v>1.75E-3</v>
      </c>
      <c r="DL130" s="22">
        <f t="shared" si="132"/>
        <v>1.75E-3</v>
      </c>
      <c r="DM130" s="22">
        <f t="shared" si="132"/>
        <v>1.75E-3</v>
      </c>
      <c r="DN130" s="22">
        <f t="shared" si="132"/>
        <v>1.75E-3</v>
      </c>
      <c r="DO130" s="22">
        <f t="shared" si="132"/>
        <v>1.75E-3</v>
      </c>
      <c r="DP130" s="22">
        <f t="shared" si="132"/>
        <v>1.75E-3</v>
      </c>
      <c r="DQ130" s="22">
        <f t="shared" si="132"/>
        <v>1.75E-3</v>
      </c>
    </row>
    <row r="131" spans="2:1006" x14ac:dyDescent="0.35">
      <c r="D131" s="20" t="s">
        <v>244</v>
      </c>
      <c r="I131" s="54">
        <f>SUM(K131:DQ131)</f>
        <v>6257.6759953699648</v>
      </c>
      <c r="K131" s="20">
        <f>K130*K129</f>
        <v>0</v>
      </c>
      <c r="L131" s="20">
        <f t="shared" ref="L131:BW131" si="133">L130*L129</f>
        <v>0</v>
      </c>
      <c r="M131" s="20">
        <f t="shared" si="133"/>
        <v>0</v>
      </c>
      <c r="N131" s="20">
        <f t="shared" si="133"/>
        <v>0</v>
      </c>
      <c r="O131" s="20">
        <f t="shared" si="133"/>
        <v>1988.9778344214521</v>
      </c>
      <c r="P131" s="20">
        <f t="shared" si="133"/>
        <v>1705.1913155563007</v>
      </c>
      <c r="Q131" s="20">
        <f t="shared" si="133"/>
        <v>1280.3486024795743</v>
      </c>
      <c r="R131" s="20">
        <f t="shared" si="133"/>
        <v>854.75351680117853</v>
      </c>
      <c r="S131" s="20">
        <f t="shared" si="133"/>
        <v>428.40472611146026</v>
      </c>
      <c r="T131" s="20">
        <f t="shared" si="133"/>
        <v>0</v>
      </c>
      <c r="U131" s="20">
        <f t="shared" si="133"/>
        <v>0</v>
      </c>
      <c r="V131" s="20">
        <f t="shared" si="133"/>
        <v>0</v>
      </c>
      <c r="W131" s="20">
        <f t="shared" si="133"/>
        <v>0</v>
      </c>
      <c r="X131" s="20">
        <f t="shared" si="133"/>
        <v>0</v>
      </c>
      <c r="Y131" s="20">
        <f t="shared" si="133"/>
        <v>0</v>
      </c>
      <c r="Z131" s="20">
        <f t="shared" si="133"/>
        <v>0</v>
      </c>
      <c r="AA131" s="20">
        <f t="shared" si="133"/>
        <v>0</v>
      </c>
      <c r="AB131" s="20">
        <f t="shared" si="133"/>
        <v>0</v>
      </c>
      <c r="AC131" s="20">
        <f t="shared" si="133"/>
        <v>0</v>
      </c>
      <c r="AD131" s="20">
        <f t="shared" si="133"/>
        <v>0</v>
      </c>
      <c r="AE131" s="20">
        <f t="shared" si="133"/>
        <v>0</v>
      </c>
      <c r="AF131" s="20">
        <f t="shared" si="133"/>
        <v>0</v>
      </c>
      <c r="AG131" s="20">
        <f t="shared" si="133"/>
        <v>0</v>
      </c>
      <c r="AH131" s="20">
        <f t="shared" si="133"/>
        <v>0</v>
      </c>
      <c r="AI131" s="20">
        <f t="shared" si="133"/>
        <v>0</v>
      </c>
      <c r="AJ131" s="20">
        <f t="shared" si="133"/>
        <v>0</v>
      </c>
      <c r="AK131" s="20">
        <f t="shared" si="133"/>
        <v>0</v>
      </c>
      <c r="AL131" s="20">
        <f t="shared" si="133"/>
        <v>0</v>
      </c>
      <c r="AM131" s="20">
        <f t="shared" si="133"/>
        <v>0</v>
      </c>
      <c r="AN131" s="20">
        <f t="shared" si="133"/>
        <v>0</v>
      </c>
      <c r="AO131" s="20">
        <f t="shared" si="133"/>
        <v>0</v>
      </c>
      <c r="AP131" s="20">
        <f t="shared" si="133"/>
        <v>0</v>
      </c>
      <c r="AQ131" s="20">
        <f t="shared" si="133"/>
        <v>0</v>
      </c>
      <c r="AR131" s="20">
        <f t="shared" si="133"/>
        <v>0</v>
      </c>
      <c r="AS131" s="20">
        <f t="shared" si="133"/>
        <v>0</v>
      </c>
      <c r="AT131" s="20">
        <f t="shared" si="133"/>
        <v>0</v>
      </c>
      <c r="AU131" s="20">
        <f t="shared" si="133"/>
        <v>0</v>
      </c>
      <c r="AV131" s="20">
        <f t="shared" si="133"/>
        <v>0</v>
      </c>
      <c r="AW131" s="20">
        <f t="shared" si="133"/>
        <v>0</v>
      </c>
      <c r="AX131" s="20">
        <f t="shared" si="133"/>
        <v>0</v>
      </c>
      <c r="AY131" s="20">
        <f t="shared" si="133"/>
        <v>0</v>
      </c>
      <c r="AZ131" s="20">
        <f t="shared" si="133"/>
        <v>0</v>
      </c>
      <c r="BA131" s="20">
        <f t="shared" si="133"/>
        <v>0</v>
      </c>
      <c r="BB131" s="20">
        <f t="shared" si="133"/>
        <v>0</v>
      </c>
      <c r="BC131" s="20">
        <f t="shared" si="133"/>
        <v>0</v>
      </c>
      <c r="BD131" s="20">
        <f t="shared" si="133"/>
        <v>0</v>
      </c>
      <c r="BE131" s="20">
        <f t="shared" si="133"/>
        <v>0</v>
      </c>
      <c r="BF131" s="20">
        <f t="shared" si="133"/>
        <v>0</v>
      </c>
      <c r="BG131" s="20">
        <f t="shared" si="133"/>
        <v>0</v>
      </c>
      <c r="BH131" s="20">
        <f t="shared" si="133"/>
        <v>0</v>
      </c>
      <c r="BI131" s="20">
        <f t="shared" si="133"/>
        <v>0</v>
      </c>
      <c r="BJ131" s="20">
        <f t="shared" si="133"/>
        <v>0</v>
      </c>
      <c r="BK131" s="20">
        <f t="shared" si="133"/>
        <v>0</v>
      </c>
      <c r="BL131" s="20">
        <f t="shared" si="133"/>
        <v>0</v>
      </c>
      <c r="BM131" s="20">
        <f t="shared" si="133"/>
        <v>0</v>
      </c>
      <c r="BN131" s="20">
        <f t="shared" si="133"/>
        <v>0</v>
      </c>
      <c r="BO131" s="20">
        <f t="shared" si="133"/>
        <v>0</v>
      </c>
      <c r="BP131" s="20">
        <f t="shared" si="133"/>
        <v>0</v>
      </c>
      <c r="BQ131" s="20">
        <f t="shared" si="133"/>
        <v>0</v>
      </c>
      <c r="BR131" s="20">
        <f t="shared" si="133"/>
        <v>0</v>
      </c>
      <c r="BS131" s="20">
        <f t="shared" si="133"/>
        <v>0</v>
      </c>
      <c r="BT131" s="20">
        <f t="shared" si="133"/>
        <v>0</v>
      </c>
      <c r="BU131" s="20">
        <f t="shared" si="133"/>
        <v>0</v>
      </c>
      <c r="BV131" s="20">
        <f t="shared" si="133"/>
        <v>0</v>
      </c>
      <c r="BW131" s="20">
        <f t="shared" si="133"/>
        <v>0</v>
      </c>
      <c r="BX131" s="20">
        <f t="shared" ref="BX131:DQ131" si="134">BX130*BX129</f>
        <v>0</v>
      </c>
      <c r="BY131" s="20">
        <f t="shared" si="134"/>
        <v>0</v>
      </c>
      <c r="BZ131" s="20">
        <f t="shared" si="134"/>
        <v>0</v>
      </c>
      <c r="CA131" s="20">
        <f t="shared" si="134"/>
        <v>0</v>
      </c>
      <c r="CB131" s="20">
        <f t="shared" si="134"/>
        <v>0</v>
      </c>
      <c r="CC131" s="20">
        <f t="shared" si="134"/>
        <v>0</v>
      </c>
      <c r="CD131" s="20">
        <f t="shared" si="134"/>
        <v>0</v>
      </c>
      <c r="CE131" s="20">
        <f t="shared" si="134"/>
        <v>0</v>
      </c>
      <c r="CF131" s="20">
        <f t="shared" si="134"/>
        <v>0</v>
      </c>
      <c r="CG131" s="20">
        <f t="shared" si="134"/>
        <v>0</v>
      </c>
      <c r="CH131" s="20">
        <f t="shared" si="134"/>
        <v>0</v>
      </c>
      <c r="CI131" s="20">
        <f t="shared" si="134"/>
        <v>0</v>
      </c>
      <c r="CJ131" s="20">
        <f t="shared" si="134"/>
        <v>0</v>
      </c>
      <c r="CK131" s="20">
        <f t="shared" si="134"/>
        <v>0</v>
      </c>
      <c r="CL131" s="20">
        <f t="shared" si="134"/>
        <v>0</v>
      </c>
      <c r="CM131" s="20">
        <f t="shared" si="134"/>
        <v>0</v>
      </c>
      <c r="CN131" s="20">
        <f t="shared" si="134"/>
        <v>0</v>
      </c>
      <c r="CO131" s="20">
        <f t="shared" si="134"/>
        <v>0</v>
      </c>
      <c r="CP131" s="20">
        <f t="shared" si="134"/>
        <v>0</v>
      </c>
      <c r="CQ131" s="20">
        <f t="shared" si="134"/>
        <v>0</v>
      </c>
      <c r="CR131" s="20">
        <f t="shared" si="134"/>
        <v>0</v>
      </c>
      <c r="CS131" s="20">
        <f t="shared" si="134"/>
        <v>0</v>
      </c>
      <c r="CT131" s="20">
        <f t="shared" si="134"/>
        <v>0</v>
      </c>
      <c r="CU131" s="20">
        <f t="shared" si="134"/>
        <v>0</v>
      </c>
      <c r="CV131" s="20">
        <f t="shared" si="134"/>
        <v>0</v>
      </c>
      <c r="CW131" s="20">
        <f t="shared" si="134"/>
        <v>0</v>
      </c>
      <c r="CX131" s="20">
        <f t="shared" si="134"/>
        <v>0</v>
      </c>
      <c r="CY131" s="20">
        <f t="shared" si="134"/>
        <v>0</v>
      </c>
      <c r="CZ131" s="20">
        <f t="shared" si="134"/>
        <v>0</v>
      </c>
      <c r="DA131" s="20">
        <f t="shared" si="134"/>
        <v>0</v>
      </c>
      <c r="DB131" s="20">
        <f t="shared" si="134"/>
        <v>0</v>
      </c>
      <c r="DC131" s="20">
        <f t="shared" si="134"/>
        <v>0</v>
      </c>
      <c r="DD131" s="20">
        <f t="shared" si="134"/>
        <v>0</v>
      </c>
      <c r="DE131" s="20">
        <f t="shared" si="134"/>
        <v>0</v>
      </c>
      <c r="DF131" s="20">
        <f t="shared" si="134"/>
        <v>0</v>
      </c>
      <c r="DG131" s="20">
        <f t="shared" si="134"/>
        <v>0</v>
      </c>
      <c r="DH131" s="20">
        <f t="shared" si="134"/>
        <v>0</v>
      </c>
      <c r="DI131" s="20">
        <f t="shared" si="134"/>
        <v>0</v>
      </c>
      <c r="DJ131" s="20">
        <f t="shared" si="134"/>
        <v>0</v>
      </c>
      <c r="DK131" s="20">
        <f t="shared" si="134"/>
        <v>0</v>
      </c>
      <c r="DL131" s="20">
        <f t="shared" si="134"/>
        <v>0</v>
      </c>
      <c r="DM131" s="20">
        <f t="shared" si="134"/>
        <v>0</v>
      </c>
      <c r="DN131" s="20">
        <f t="shared" si="134"/>
        <v>0</v>
      </c>
      <c r="DO131" s="20">
        <f t="shared" si="134"/>
        <v>0</v>
      </c>
      <c r="DP131" s="20">
        <f t="shared" si="134"/>
        <v>0</v>
      </c>
      <c r="DQ131" s="20">
        <f t="shared" si="134"/>
        <v>0</v>
      </c>
    </row>
    <row r="133" spans="2:1006" x14ac:dyDescent="0.35">
      <c r="C133" s="20" t="s">
        <v>400</v>
      </c>
    </row>
    <row r="134" spans="2:1006" x14ac:dyDescent="0.35">
      <c r="D134" s="20" t="s">
        <v>274</v>
      </c>
      <c r="K134" s="20">
        <f>J137</f>
        <v>0</v>
      </c>
      <c r="L134" s="20">
        <f t="shared" ref="L134:BW134" si="135">K137</f>
        <v>0</v>
      </c>
      <c r="M134" s="20">
        <f t="shared" si="135"/>
        <v>0</v>
      </c>
      <c r="N134" s="20">
        <f t="shared" si="135"/>
        <v>0</v>
      </c>
      <c r="O134" s="20">
        <f t="shared" si="135"/>
        <v>0</v>
      </c>
      <c r="P134" s="20">
        <f t="shared" si="135"/>
        <v>0</v>
      </c>
      <c r="Q134" s="20">
        <f t="shared" si="135"/>
        <v>0</v>
      </c>
      <c r="R134" s="20">
        <f t="shared" si="135"/>
        <v>0</v>
      </c>
      <c r="S134" s="20">
        <f t="shared" si="135"/>
        <v>0</v>
      </c>
      <c r="T134" s="20">
        <f t="shared" si="135"/>
        <v>0</v>
      </c>
      <c r="U134" s="20">
        <f t="shared" si="135"/>
        <v>0</v>
      </c>
      <c r="V134" s="20">
        <f t="shared" si="135"/>
        <v>0</v>
      </c>
      <c r="W134" s="20">
        <f t="shared" si="135"/>
        <v>0</v>
      </c>
      <c r="X134" s="20">
        <f t="shared" si="135"/>
        <v>0</v>
      </c>
      <c r="Y134" s="20">
        <f t="shared" si="135"/>
        <v>0</v>
      </c>
      <c r="Z134" s="20">
        <f t="shared" si="135"/>
        <v>0</v>
      </c>
      <c r="AA134" s="20">
        <f t="shared" si="135"/>
        <v>0</v>
      </c>
      <c r="AB134" s="20">
        <f t="shared" si="135"/>
        <v>0</v>
      </c>
      <c r="AC134" s="20">
        <f t="shared" si="135"/>
        <v>0</v>
      </c>
      <c r="AD134" s="20">
        <f t="shared" si="135"/>
        <v>0</v>
      </c>
      <c r="AE134" s="20">
        <f t="shared" si="135"/>
        <v>0</v>
      </c>
      <c r="AF134" s="20">
        <f t="shared" si="135"/>
        <v>0</v>
      </c>
      <c r="AG134" s="20">
        <f t="shared" si="135"/>
        <v>0</v>
      </c>
      <c r="AH134" s="20">
        <f t="shared" si="135"/>
        <v>0</v>
      </c>
      <c r="AI134" s="20">
        <f t="shared" si="135"/>
        <v>0</v>
      </c>
      <c r="AJ134" s="20">
        <f t="shared" si="135"/>
        <v>0</v>
      </c>
      <c r="AK134" s="20">
        <f t="shared" si="135"/>
        <v>0</v>
      </c>
      <c r="AL134" s="20">
        <f t="shared" si="135"/>
        <v>0</v>
      </c>
      <c r="AM134" s="20">
        <f t="shared" si="135"/>
        <v>0</v>
      </c>
      <c r="AN134" s="20">
        <f t="shared" si="135"/>
        <v>0</v>
      </c>
      <c r="AO134" s="20">
        <f t="shared" si="135"/>
        <v>0</v>
      </c>
      <c r="AP134" s="20">
        <f t="shared" si="135"/>
        <v>0</v>
      </c>
      <c r="AQ134" s="20">
        <f t="shared" si="135"/>
        <v>0</v>
      </c>
      <c r="AR134" s="20">
        <f t="shared" si="135"/>
        <v>0</v>
      </c>
      <c r="AS134" s="20">
        <f t="shared" si="135"/>
        <v>0</v>
      </c>
      <c r="AT134" s="20">
        <f t="shared" si="135"/>
        <v>0</v>
      </c>
      <c r="AU134" s="20">
        <f t="shared" si="135"/>
        <v>0</v>
      </c>
      <c r="AV134" s="20">
        <f t="shared" si="135"/>
        <v>0</v>
      </c>
      <c r="AW134" s="20">
        <f t="shared" si="135"/>
        <v>0</v>
      </c>
      <c r="AX134" s="20">
        <f t="shared" si="135"/>
        <v>0</v>
      </c>
      <c r="AY134" s="20">
        <f t="shared" si="135"/>
        <v>0</v>
      </c>
      <c r="AZ134" s="20">
        <f t="shared" si="135"/>
        <v>0</v>
      </c>
      <c r="BA134" s="20">
        <f t="shared" si="135"/>
        <v>0</v>
      </c>
      <c r="BB134" s="20">
        <f t="shared" si="135"/>
        <v>0</v>
      </c>
      <c r="BC134" s="20">
        <f t="shared" si="135"/>
        <v>0</v>
      </c>
      <c r="BD134" s="20">
        <f t="shared" si="135"/>
        <v>0</v>
      </c>
      <c r="BE134" s="20">
        <f t="shared" si="135"/>
        <v>0</v>
      </c>
      <c r="BF134" s="20">
        <f t="shared" si="135"/>
        <v>0</v>
      </c>
      <c r="BG134" s="20">
        <f t="shared" si="135"/>
        <v>0</v>
      </c>
      <c r="BH134" s="20">
        <f t="shared" si="135"/>
        <v>0</v>
      </c>
      <c r="BI134" s="20">
        <f t="shared" si="135"/>
        <v>0</v>
      </c>
      <c r="BJ134" s="20">
        <f t="shared" si="135"/>
        <v>0</v>
      </c>
      <c r="BK134" s="20">
        <f t="shared" si="135"/>
        <v>0</v>
      </c>
      <c r="BL134" s="20">
        <f t="shared" si="135"/>
        <v>0</v>
      </c>
      <c r="BM134" s="20">
        <f t="shared" si="135"/>
        <v>0</v>
      </c>
      <c r="BN134" s="20">
        <f t="shared" si="135"/>
        <v>0</v>
      </c>
      <c r="BO134" s="20">
        <f t="shared" si="135"/>
        <v>0</v>
      </c>
      <c r="BP134" s="20">
        <f t="shared" si="135"/>
        <v>0</v>
      </c>
      <c r="BQ134" s="20">
        <f t="shared" si="135"/>
        <v>0</v>
      </c>
      <c r="BR134" s="20">
        <f t="shared" si="135"/>
        <v>0</v>
      </c>
      <c r="BS134" s="20">
        <f t="shared" si="135"/>
        <v>0</v>
      </c>
      <c r="BT134" s="20">
        <f t="shared" si="135"/>
        <v>0</v>
      </c>
      <c r="BU134" s="20">
        <f t="shared" si="135"/>
        <v>0</v>
      </c>
      <c r="BV134" s="20">
        <f t="shared" si="135"/>
        <v>0</v>
      </c>
      <c r="BW134" s="20">
        <f t="shared" si="135"/>
        <v>0</v>
      </c>
      <c r="BX134" s="20">
        <f t="shared" ref="BX134:DQ134" si="136">BW137</f>
        <v>0</v>
      </c>
      <c r="BY134" s="20">
        <f t="shared" si="136"/>
        <v>0</v>
      </c>
      <c r="BZ134" s="20">
        <f t="shared" si="136"/>
        <v>0</v>
      </c>
      <c r="CA134" s="20">
        <f t="shared" si="136"/>
        <v>0</v>
      </c>
      <c r="CB134" s="20">
        <f t="shared" si="136"/>
        <v>0</v>
      </c>
      <c r="CC134" s="20">
        <f t="shared" si="136"/>
        <v>0</v>
      </c>
      <c r="CD134" s="20">
        <f t="shared" si="136"/>
        <v>0</v>
      </c>
      <c r="CE134" s="20">
        <f t="shared" si="136"/>
        <v>0</v>
      </c>
      <c r="CF134" s="20">
        <f t="shared" si="136"/>
        <v>0</v>
      </c>
      <c r="CG134" s="20">
        <f t="shared" si="136"/>
        <v>0</v>
      </c>
      <c r="CH134" s="20">
        <f t="shared" si="136"/>
        <v>0</v>
      </c>
      <c r="CI134" s="20">
        <f t="shared" si="136"/>
        <v>0</v>
      </c>
      <c r="CJ134" s="20">
        <f t="shared" si="136"/>
        <v>0</v>
      </c>
      <c r="CK134" s="20">
        <f t="shared" si="136"/>
        <v>0</v>
      </c>
      <c r="CL134" s="20">
        <f t="shared" si="136"/>
        <v>0</v>
      </c>
      <c r="CM134" s="20">
        <f t="shared" si="136"/>
        <v>0</v>
      </c>
      <c r="CN134" s="20">
        <f t="shared" si="136"/>
        <v>0</v>
      </c>
      <c r="CO134" s="20">
        <f t="shared" si="136"/>
        <v>0</v>
      </c>
      <c r="CP134" s="20">
        <f t="shared" si="136"/>
        <v>0</v>
      </c>
      <c r="CQ134" s="20">
        <f t="shared" si="136"/>
        <v>0</v>
      </c>
      <c r="CR134" s="20">
        <f t="shared" si="136"/>
        <v>0</v>
      </c>
      <c r="CS134" s="20">
        <f t="shared" si="136"/>
        <v>0</v>
      </c>
      <c r="CT134" s="20">
        <f t="shared" si="136"/>
        <v>0</v>
      </c>
      <c r="CU134" s="20">
        <f t="shared" si="136"/>
        <v>0</v>
      </c>
      <c r="CV134" s="20">
        <f t="shared" si="136"/>
        <v>0</v>
      </c>
      <c r="CW134" s="20">
        <f t="shared" si="136"/>
        <v>0</v>
      </c>
      <c r="CX134" s="20">
        <f t="shared" si="136"/>
        <v>0</v>
      </c>
      <c r="CY134" s="20">
        <f t="shared" si="136"/>
        <v>0</v>
      </c>
      <c r="CZ134" s="20">
        <f t="shared" si="136"/>
        <v>0</v>
      </c>
      <c r="DA134" s="20">
        <f t="shared" si="136"/>
        <v>0</v>
      </c>
      <c r="DB134" s="20">
        <f t="shared" si="136"/>
        <v>0</v>
      </c>
      <c r="DC134" s="20">
        <f t="shared" si="136"/>
        <v>0</v>
      </c>
      <c r="DD134" s="20">
        <f t="shared" si="136"/>
        <v>0</v>
      </c>
      <c r="DE134" s="20">
        <f t="shared" si="136"/>
        <v>0</v>
      </c>
      <c r="DF134" s="20">
        <f t="shared" si="136"/>
        <v>0</v>
      </c>
      <c r="DG134" s="20">
        <f t="shared" si="136"/>
        <v>0</v>
      </c>
      <c r="DH134" s="20">
        <f t="shared" si="136"/>
        <v>0</v>
      </c>
      <c r="DI134" s="20">
        <f t="shared" si="136"/>
        <v>0</v>
      </c>
      <c r="DJ134" s="20">
        <f t="shared" si="136"/>
        <v>0</v>
      </c>
      <c r="DK134" s="20">
        <f t="shared" si="136"/>
        <v>0</v>
      </c>
      <c r="DL134" s="20">
        <f t="shared" si="136"/>
        <v>0</v>
      </c>
      <c r="DM134" s="20">
        <f t="shared" si="136"/>
        <v>0</v>
      </c>
      <c r="DN134" s="20">
        <f t="shared" si="136"/>
        <v>0</v>
      </c>
      <c r="DO134" s="20">
        <f t="shared" si="136"/>
        <v>0</v>
      </c>
      <c r="DP134" s="20">
        <f t="shared" si="136"/>
        <v>0</v>
      </c>
      <c r="DQ134" s="20">
        <f t="shared" si="136"/>
        <v>0</v>
      </c>
    </row>
    <row r="135" spans="2:1006" x14ac:dyDescent="0.35">
      <c r="D135" s="20" t="s">
        <v>395</v>
      </c>
      <c r="K135" s="20">
        <f>K173</f>
        <v>0</v>
      </c>
      <c r="L135" s="20">
        <f t="shared" ref="L135:BW135" si="137">L173</f>
        <v>0</v>
      </c>
      <c r="M135" s="20">
        <f t="shared" si="137"/>
        <v>0</v>
      </c>
      <c r="N135" s="20">
        <f t="shared" si="137"/>
        <v>0</v>
      </c>
      <c r="O135" s="20">
        <f t="shared" si="137"/>
        <v>0</v>
      </c>
      <c r="P135" s="20">
        <f t="shared" si="137"/>
        <v>0</v>
      </c>
      <c r="Q135" s="20">
        <f t="shared" si="137"/>
        <v>0</v>
      </c>
      <c r="R135" s="20">
        <f t="shared" si="137"/>
        <v>0</v>
      </c>
      <c r="S135" s="20">
        <f t="shared" si="137"/>
        <v>0</v>
      </c>
      <c r="T135" s="20">
        <f t="shared" si="137"/>
        <v>0</v>
      </c>
      <c r="U135" s="20">
        <f t="shared" si="137"/>
        <v>0</v>
      </c>
      <c r="V135" s="20">
        <f t="shared" si="137"/>
        <v>0</v>
      </c>
      <c r="W135" s="20">
        <f t="shared" si="137"/>
        <v>0</v>
      </c>
      <c r="X135" s="20">
        <f t="shared" si="137"/>
        <v>0</v>
      </c>
      <c r="Y135" s="20">
        <f t="shared" si="137"/>
        <v>0</v>
      </c>
      <c r="Z135" s="20">
        <f t="shared" si="137"/>
        <v>0</v>
      </c>
      <c r="AA135" s="20">
        <f t="shared" si="137"/>
        <v>0</v>
      </c>
      <c r="AB135" s="20">
        <f t="shared" si="137"/>
        <v>0</v>
      </c>
      <c r="AC135" s="20">
        <f t="shared" si="137"/>
        <v>0</v>
      </c>
      <c r="AD135" s="20">
        <f t="shared" si="137"/>
        <v>0</v>
      </c>
      <c r="AE135" s="20">
        <f t="shared" si="137"/>
        <v>0</v>
      </c>
      <c r="AF135" s="20">
        <f t="shared" si="137"/>
        <v>0</v>
      </c>
      <c r="AG135" s="20">
        <f t="shared" si="137"/>
        <v>0</v>
      </c>
      <c r="AH135" s="20">
        <f t="shared" si="137"/>
        <v>0</v>
      </c>
      <c r="AI135" s="20">
        <f t="shared" si="137"/>
        <v>0</v>
      </c>
      <c r="AJ135" s="20">
        <f t="shared" si="137"/>
        <v>0</v>
      </c>
      <c r="AK135" s="20">
        <f t="shared" si="137"/>
        <v>0</v>
      </c>
      <c r="AL135" s="20">
        <f t="shared" si="137"/>
        <v>0</v>
      </c>
      <c r="AM135" s="20">
        <f t="shared" si="137"/>
        <v>0</v>
      </c>
      <c r="AN135" s="20">
        <f t="shared" si="137"/>
        <v>0</v>
      </c>
      <c r="AO135" s="20">
        <f t="shared" si="137"/>
        <v>0</v>
      </c>
      <c r="AP135" s="20">
        <f t="shared" si="137"/>
        <v>0</v>
      </c>
      <c r="AQ135" s="20">
        <f t="shared" si="137"/>
        <v>0</v>
      </c>
      <c r="AR135" s="20">
        <f t="shared" si="137"/>
        <v>0</v>
      </c>
      <c r="AS135" s="20">
        <f t="shared" si="137"/>
        <v>0</v>
      </c>
      <c r="AT135" s="20">
        <f t="shared" si="137"/>
        <v>0</v>
      </c>
      <c r="AU135" s="20">
        <f t="shared" si="137"/>
        <v>0</v>
      </c>
      <c r="AV135" s="20">
        <f t="shared" si="137"/>
        <v>0</v>
      </c>
      <c r="AW135" s="20">
        <f t="shared" si="137"/>
        <v>0</v>
      </c>
      <c r="AX135" s="20">
        <f t="shared" si="137"/>
        <v>0</v>
      </c>
      <c r="AY135" s="20">
        <f t="shared" si="137"/>
        <v>0</v>
      </c>
      <c r="AZ135" s="20">
        <f t="shared" si="137"/>
        <v>0</v>
      </c>
      <c r="BA135" s="20">
        <f t="shared" si="137"/>
        <v>0</v>
      </c>
      <c r="BB135" s="20">
        <f t="shared" si="137"/>
        <v>0</v>
      </c>
      <c r="BC135" s="20">
        <f t="shared" si="137"/>
        <v>0</v>
      </c>
      <c r="BD135" s="20">
        <f t="shared" si="137"/>
        <v>0</v>
      </c>
      <c r="BE135" s="20">
        <f t="shared" si="137"/>
        <v>0</v>
      </c>
      <c r="BF135" s="20">
        <f t="shared" si="137"/>
        <v>0</v>
      </c>
      <c r="BG135" s="20">
        <f t="shared" si="137"/>
        <v>0</v>
      </c>
      <c r="BH135" s="20">
        <f t="shared" si="137"/>
        <v>0</v>
      </c>
      <c r="BI135" s="20">
        <f t="shared" si="137"/>
        <v>0</v>
      </c>
      <c r="BJ135" s="20">
        <f t="shared" si="137"/>
        <v>0</v>
      </c>
      <c r="BK135" s="20">
        <f t="shared" si="137"/>
        <v>0</v>
      </c>
      <c r="BL135" s="20">
        <f t="shared" si="137"/>
        <v>0</v>
      </c>
      <c r="BM135" s="20">
        <f t="shared" si="137"/>
        <v>0</v>
      </c>
      <c r="BN135" s="20">
        <f t="shared" si="137"/>
        <v>0</v>
      </c>
      <c r="BO135" s="20">
        <f t="shared" si="137"/>
        <v>0</v>
      </c>
      <c r="BP135" s="20">
        <f t="shared" si="137"/>
        <v>0</v>
      </c>
      <c r="BQ135" s="20">
        <f t="shared" si="137"/>
        <v>0</v>
      </c>
      <c r="BR135" s="20">
        <f t="shared" si="137"/>
        <v>0</v>
      </c>
      <c r="BS135" s="20">
        <f t="shared" si="137"/>
        <v>0</v>
      </c>
      <c r="BT135" s="20">
        <f t="shared" si="137"/>
        <v>0</v>
      </c>
      <c r="BU135" s="20">
        <f t="shared" si="137"/>
        <v>0</v>
      </c>
      <c r="BV135" s="20">
        <f t="shared" si="137"/>
        <v>0</v>
      </c>
      <c r="BW135" s="20">
        <f t="shared" si="137"/>
        <v>0</v>
      </c>
      <c r="BX135" s="20">
        <f t="shared" ref="BX135:DQ135" si="138">BX173</f>
        <v>0</v>
      </c>
      <c r="BY135" s="20">
        <f t="shared" si="138"/>
        <v>0</v>
      </c>
      <c r="BZ135" s="20">
        <f t="shared" si="138"/>
        <v>0</v>
      </c>
      <c r="CA135" s="20">
        <f t="shared" si="138"/>
        <v>0</v>
      </c>
      <c r="CB135" s="20">
        <f t="shared" si="138"/>
        <v>0</v>
      </c>
      <c r="CC135" s="20">
        <f t="shared" si="138"/>
        <v>0</v>
      </c>
      <c r="CD135" s="20">
        <f t="shared" si="138"/>
        <v>0</v>
      </c>
      <c r="CE135" s="20">
        <f t="shared" si="138"/>
        <v>0</v>
      </c>
      <c r="CF135" s="20">
        <f t="shared" si="138"/>
        <v>0</v>
      </c>
      <c r="CG135" s="20">
        <f t="shared" si="138"/>
        <v>0</v>
      </c>
      <c r="CH135" s="20">
        <f t="shared" si="138"/>
        <v>0</v>
      </c>
      <c r="CI135" s="20">
        <f t="shared" si="138"/>
        <v>0</v>
      </c>
      <c r="CJ135" s="20">
        <f t="shared" si="138"/>
        <v>0</v>
      </c>
      <c r="CK135" s="20">
        <f t="shared" si="138"/>
        <v>0</v>
      </c>
      <c r="CL135" s="20">
        <f t="shared" si="138"/>
        <v>0</v>
      </c>
      <c r="CM135" s="20">
        <f t="shared" si="138"/>
        <v>0</v>
      </c>
      <c r="CN135" s="20">
        <f t="shared" si="138"/>
        <v>0</v>
      </c>
      <c r="CO135" s="20">
        <f t="shared" si="138"/>
        <v>0</v>
      </c>
      <c r="CP135" s="20">
        <f t="shared" si="138"/>
        <v>0</v>
      </c>
      <c r="CQ135" s="20">
        <f t="shared" si="138"/>
        <v>0</v>
      </c>
      <c r="CR135" s="20">
        <f t="shared" si="138"/>
        <v>0</v>
      </c>
      <c r="CS135" s="20">
        <f t="shared" si="138"/>
        <v>0</v>
      </c>
      <c r="CT135" s="20">
        <f t="shared" si="138"/>
        <v>0</v>
      </c>
      <c r="CU135" s="20">
        <f t="shared" si="138"/>
        <v>0</v>
      </c>
      <c r="CV135" s="20">
        <f t="shared" si="138"/>
        <v>0</v>
      </c>
      <c r="CW135" s="20">
        <f t="shared" si="138"/>
        <v>0</v>
      </c>
      <c r="CX135" s="20">
        <f t="shared" si="138"/>
        <v>0</v>
      </c>
      <c r="CY135" s="20">
        <f t="shared" si="138"/>
        <v>0</v>
      </c>
      <c r="CZ135" s="20">
        <f t="shared" si="138"/>
        <v>0</v>
      </c>
      <c r="DA135" s="20">
        <f t="shared" si="138"/>
        <v>0</v>
      </c>
      <c r="DB135" s="20">
        <f t="shared" si="138"/>
        <v>0</v>
      </c>
      <c r="DC135" s="20">
        <f t="shared" si="138"/>
        <v>0</v>
      </c>
      <c r="DD135" s="20">
        <f t="shared" si="138"/>
        <v>0</v>
      </c>
      <c r="DE135" s="20">
        <f t="shared" si="138"/>
        <v>0</v>
      </c>
      <c r="DF135" s="20">
        <f t="shared" si="138"/>
        <v>0</v>
      </c>
      <c r="DG135" s="20">
        <f t="shared" si="138"/>
        <v>0</v>
      </c>
      <c r="DH135" s="20">
        <f t="shared" si="138"/>
        <v>0</v>
      </c>
      <c r="DI135" s="20">
        <f t="shared" si="138"/>
        <v>0</v>
      </c>
      <c r="DJ135" s="20">
        <f t="shared" si="138"/>
        <v>0</v>
      </c>
      <c r="DK135" s="20">
        <f t="shared" si="138"/>
        <v>0</v>
      </c>
      <c r="DL135" s="20">
        <f t="shared" si="138"/>
        <v>0</v>
      </c>
      <c r="DM135" s="20">
        <f t="shared" si="138"/>
        <v>0</v>
      </c>
      <c r="DN135" s="20">
        <f t="shared" si="138"/>
        <v>0</v>
      </c>
      <c r="DO135" s="20">
        <f t="shared" si="138"/>
        <v>0</v>
      </c>
      <c r="DP135" s="20">
        <f t="shared" si="138"/>
        <v>0</v>
      </c>
      <c r="DQ135" s="20">
        <f t="shared" si="138"/>
        <v>0</v>
      </c>
    </row>
    <row r="136" spans="2:1006" x14ac:dyDescent="0.35">
      <c r="D136" s="20" t="s">
        <v>396</v>
      </c>
      <c r="K136" s="20">
        <f>K174</f>
        <v>0</v>
      </c>
      <c r="L136" s="20">
        <f t="shared" ref="L136:BW136" si="139">L174</f>
        <v>0</v>
      </c>
      <c r="M136" s="20">
        <f t="shared" si="139"/>
        <v>0</v>
      </c>
      <c r="N136" s="20">
        <f t="shared" si="139"/>
        <v>0</v>
      </c>
      <c r="O136" s="20">
        <f t="shared" si="139"/>
        <v>0</v>
      </c>
      <c r="P136" s="20">
        <f t="shared" si="139"/>
        <v>0</v>
      </c>
      <c r="Q136" s="20">
        <f t="shared" si="139"/>
        <v>0</v>
      </c>
      <c r="R136" s="20">
        <f t="shared" si="139"/>
        <v>0</v>
      </c>
      <c r="S136" s="20">
        <f t="shared" si="139"/>
        <v>0</v>
      </c>
      <c r="T136" s="20">
        <f t="shared" si="139"/>
        <v>0</v>
      </c>
      <c r="U136" s="20">
        <f t="shared" si="139"/>
        <v>0</v>
      </c>
      <c r="V136" s="20">
        <f t="shared" si="139"/>
        <v>0</v>
      </c>
      <c r="W136" s="20">
        <f t="shared" si="139"/>
        <v>0</v>
      </c>
      <c r="X136" s="20">
        <f t="shared" si="139"/>
        <v>0</v>
      </c>
      <c r="Y136" s="20">
        <f t="shared" si="139"/>
        <v>0</v>
      </c>
      <c r="Z136" s="20">
        <f t="shared" si="139"/>
        <v>0</v>
      </c>
      <c r="AA136" s="20">
        <f t="shared" si="139"/>
        <v>0</v>
      </c>
      <c r="AB136" s="20">
        <f t="shared" si="139"/>
        <v>0</v>
      </c>
      <c r="AC136" s="20">
        <f t="shared" si="139"/>
        <v>0</v>
      </c>
      <c r="AD136" s="20">
        <f t="shared" si="139"/>
        <v>0</v>
      </c>
      <c r="AE136" s="20">
        <f t="shared" si="139"/>
        <v>0</v>
      </c>
      <c r="AF136" s="20">
        <f t="shared" si="139"/>
        <v>0</v>
      </c>
      <c r="AG136" s="20">
        <f t="shared" si="139"/>
        <v>0</v>
      </c>
      <c r="AH136" s="20">
        <f t="shared" si="139"/>
        <v>0</v>
      </c>
      <c r="AI136" s="20">
        <f t="shared" si="139"/>
        <v>0</v>
      </c>
      <c r="AJ136" s="20">
        <f t="shared" si="139"/>
        <v>0</v>
      </c>
      <c r="AK136" s="20">
        <f t="shared" si="139"/>
        <v>0</v>
      </c>
      <c r="AL136" s="20">
        <f t="shared" si="139"/>
        <v>0</v>
      </c>
      <c r="AM136" s="20">
        <f t="shared" si="139"/>
        <v>0</v>
      </c>
      <c r="AN136" s="20">
        <f t="shared" si="139"/>
        <v>0</v>
      </c>
      <c r="AO136" s="20">
        <f t="shared" si="139"/>
        <v>0</v>
      </c>
      <c r="AP136" s="20">
        <f t="shared" si="139"/>
        <v>0</v>
      </c>
      <c r="AQ136" s="20">
        <f t="shared" si="139"/>
        <v>0</v>
      </c>
      <c r="AR136" s="20">
        <f t="shared" si="139"/>
        <v>0</v>
      </c>
      <c r="AS136" s="20">
        <f t="shared" si="139"/>
        <v>0</v>
      </c>
      <c r="AT136" s="20">
        <f t="shared" si="139"/>
        <v>0</v>
      </c>
      <c r="AU136" s="20">
        <f t="shared" si="139"/>
        <v>0</v>
      </c>
      <c r="AV136" s="20">
        <f t="shared" si="139"/>
        <v>0</v>
      </c>
      <c r="AW136" s="20">
        <f t="shared" si="139"/>
        <v>0</v>
      </c>
      <c r="AX136" s="20">
        <f t="shared" si="139"/>
        <v>0</v>
      </c>
      <c r="AY136" s="20">
        <f t="shared" si="139"/>
        <v>0</v>
      </c>
      <c r="AZ136" s="20">
        <f t="shared" si="139"/>
        <v>0</v>
      </c>
      <c r="BA136" s="20">
        <f t="shared" si="139"/>
        <v>0</v>
      </c>
      <c r="BB136" s="20">
        <f t="shared" si="139"/>
        <v>0</v>
      </c>
      <c r="BC136" s="20">
        <f t="shared" si="139"/>
        <v>0</v>
      </c>
      <c r="BD136" s="20">
        <f t="shared" si="139"/>
        <v>0</v>
      </c>
      <c r="BE136" s="20">
        <f t="shared" si="139"/>
        <v>0</v>
      </c>
      <c r="BF136" s="20">
        <f t="shared" si="139"/>
        <v>0</v>
      </c>
      <c r="BG136" s="20">
        <f t="shared" si="139"/>
        <v>0</v>
      </c>
      <c r="BH136" s="20">
        <f t="shared" si="139"/>
        <v>0</v>
      </c>
      <c r="BI136" s="20">
        <f t="shared" si="139"/>
        <v>0</v>
      </c>
      <c r="BJ136" s="20">
        <f t="shared" si="139"/>
        <v>0</v>
      </c>
      <c r="BK136" s="20">
        <f t="shared" si="139"/>
        <v>0</v>
      </c>
      <c r="BL136" s="20">
        <f t="shared" si="139"/>
        <v>0</v>
      </c>
      <c r="BM136" s="20">
        <f t="shared" si="139"/>
        <v>0</v>
      </c>
      <c r="BN136" s="20">
        <f t="shared" si="139"/>
        <v>0</v>
      </c>
      <c r="BO136" s="20">
        <f t="shared" si="139"/>
        <v>0</v>
      </c>
      <c r="BP136" s="20">
        <f t="shared" si="139"/>
        <v>0</v>
      </c>
      <c r="BQ136" s="20">
        <f t="shared" si="139"/>
        <v>0</v>
      </c>
      <c r="BR136" s="20">
        <f t="shared" si="139"/>
        <v>0</v>
      </c>
      <c r="BS136" s="20">
        <f t="shared" si="139"/>
        <v>0</v>
      </c>
      <c r="BT136" s="20">
        <f t="shared" si="139"/>
        <v>0</v>
      </c>
      <c r="BU136" s="20">
        <f t="shared" si="139"/>
        <v>0</v>
      </c>
      <c r="BV136" s="20">
        <f t="shared" si="139"/>
        <v>0</v>
      </c>
      <c r="BW136" s="20">
        <f t="shared" si="139"/>
        <v>0</v>
      </c>
      <c r="BX136" s="20">
        <f t="shared" ref="BX136:DQ136" si="140">BX174</f>
        <v>0</v>
      </c>
      <c r="BY136" s="20">
        <f t="shared" si="140"/>
        <v>0</v>
      </c>
      <c r="BZ136" s="20">
        <f t="shared" si="140"/>
        <v>0</v>
      </c>
      <c r="CA136" s="20">
        <f t="shared" si="140"/>
        <v>0</v>
      </c>
      <c r="CB136" s="20">
        <f t="shared" si="140"/>
        <v>0</v>
      </c>
      <c r="CC136" s="20">
        <f t="shared" si="140"/>
        <v>0</v>
      </c>
      <c r="CD136" s="20">
        <f t="shared" si="140"/>
        <v>0</v>
      </c>
      <c r="CE136" s="20">
        <f t="shared" si="140"/>
        <v>0</v>
      </c>
      <c r="CF136" s="20">
        <f t="shared" si="140"/>
        <v>0</v>
      </c>
      <c r="CG136" s="20">
        <f t="shared" si="140"/>
        <v>0</v>
      </c>
      <c r="CH136" s="20">
        <f t="shared" si="140"/>
        <v>0</v>
      </c>
      <c r="CI136" s="20">
        <f t="shared" si="140"/>
        <v>0</v>
      </c>
      <c r="CJ136" s="20">
        <f t="shared" si="140"/>
        <v>0</v>
      </c>
      <c r="CK136" s="20">
        <f t="shared" si="140"/>
        <v>0</v>
      </c>
      <c r="CL136" s="20">
        <f t="shared" si="140"/>
        <v>0</v>
      </c>
      <c r="CM136" s="20">
        <f t="shared" si="140"/>
        <v>0</v>
      </c>
      <c r="CN136" s="20">
        <f t="shared" si="140"/>
        <v>0</v>
      </c>
      <c r="CO136" s="20">
        <f t="shared" si="140"/>
        <v>0</v>
      </c>
      <c r="CP136" s="20">
        <f t="shared" si="140"/>
        <v>0</v>
      </c>
      <c r="CQ136" s="20">
        <f t="shared" si="140"/>
        <v>0</v>
      </c>
      <c r="CR136" s="20">
        <f t="shared" si="140"/>
        <v>0</v>
      </c>
      <c r="CS136" s="20">
        <f t="shared" si="140"/>
        <v>0</v>
      </c>
      <c r="CT136" s="20">
        <f t="shared" si="140"/>
        <v>0</v>
      </c>
      <c r="CU136" s="20">
        <f t="shared" si="140"/>
        <v>0</v>
      </c>
      <c r="CV136" s="20">
        <f t="shared" si="140"/>
        <v>0</v>
      </c>
      <c r="CW136" s="20">
        <f t="shared" si="140"/>
        <v>0</v>
      </c>
      <c r="CX136" s="20">
        <f t="shared" si="140"/>
        <v>0</v>
      </c>
      <c r="CY136" s="20">
        <f t="shared" si="140"/>
        <v>0</v>
      </c>
      <c r="CZ136" s="20">
        <f t="shared" si="140"/>
        <v>0</v>
      </c>
      <c r="DA136" s="20">
        <f t="shared" si="140"/>
        <v>0</v>
      </c>
      <c r="DB136" s="20">
        <f t="shared" si="140"/>
        <v>0</v>
      </c>
      <c r="DC136" s="20">
        <f t="shared" si="140"/>
        <v>0</v>
      </c>
      <c r="DD136" s="20">
        <f t="shared" si="140"/>
        <v>0</v>
      </c>
      <c r="DE136" s="20">
        <f t="shared" si="140"/>
        <v>0</v>
      </c>
      <c r="DF136" s="20">
        <f t="shared" si="140"/>
        <v>0</v>
      </c>
      <c r="DG136" s="20">
        <f t="shared" si="140"/>
        <v>0</v>
      </c>
      <c r="DH136" s="20">
        <f t="shared" si="140"/>
        <v>0</v>
      </c>
      <c r="DI136" s="20">
        <f t="shared" si="140"/>
        <v>0</v>
      </c>
      <c r="DJ136" s="20">
        <f t="shared" si="140"/>
        <v>0</v>
      </c>
      <c r="DK136" s="20">
        <f t="shared" si="140"/>
        <v>0</v>
      </c>
      <c r="DL136" s="20">
        <f t="shared" si="140"/>
        <v>0</v>
      </c>
      <c r="DM136" s="20">
        <f t="shared" si="140"/>
        <v>0</v>
      </c>
      <c r="DN136" s="20">
        <f t="shared" si="140"/>
        <v>0</v>
      </c>
      <c r="DO136" s="20">
        <f t="shared" si="140"/>
        <v>0</v>
      </c>
      <c r="DP136" s="20">
        <f t="shared" si="140"/>
        <v>0</v>
      </c>
      <c r="DQ136" s="20">
        <f t="shared" si="140"/>
        <v>0</v>
      </c>
    </row>
    <row r="137" spans="2:1006" x14ac:dyDescent="0.35">
      <c r="D137" s="20" t="s">
        <v>277</v>
      </c>
      <c r="K137" s="20">
        <f>K134+K135-K136</f>
        <v>0</v>
      </c>
      <c r="L137" s="20">
        <f t="shared" ref="L137:BW137" si="141">L134+L135-L136</f>
        <v>0</v>
      </c>
      <c r="M137" s="20">
        <f t="shared" si="141"/>
        <v>0</v>
      </c>
      <c r="N137" s="20">
        <f t="shared" si="141"/>
        <v>0</v>
      </c>
      <c r="O137" s="20">
        <f t="shared" si="141"/>
        <v>0</v>
      </c>
      <c r="P137" s="20">
        <f t="shared" si="141"/>
        <v>0</v>
      </c>
      <c r="Q137" s="20">
        <f t="shared" si="141"/>
        <v>0</v>
      </c>
      <c r="R137" s="20">
        <f t="shared" si="141"/>
        <v>0</v>
      </c>
      <c r="S137" s="20">
        <f t="shared" si="141"/>
        <v>0</v>
      </c>
      <c r="T137" s="20">
        <f t="shared" si="141"/>
        <v>0</v>
      </c>
      <c r="U137" s="20">
        <f t="shared" si="141"/>
        <v>0</v>
      </c>
      <c r="V137" s="20">
        <f t="shared" si="141"/>
        <v>0</v>
      </c>
      <c r="W137" s="20">
        <f t="shared" si="141"/>
        <v>0</v>
      </c>
      <c r="X137" s="20">
        <f t="shared" si="141"/>
        <v>0</v>
      </c>
      <c r="Y137" s="20">
        <f t="shared" si="141"/>
        <v>0</v>
      </c>
      <c r="Z137" s="20">
        <f t="shared" si="141"/>
        <v>0</v>
      </c>
      <c r="AA137" s="20">
        <f t="shared" si="141"/>
        <v>0</v>
      </c>
      <c r="AB137" s="20">
        <f t="shared" si="141"/>
        <v>0</v>
      </c>
      <c r="AC137" s="20">
        <f t="shared" si="141"/>
        <v>0</v>
      </c>
      <c r="AD137" s="20">
        <f t="shared" si="141"/>
        <v>0</v>
      </c>
      <c r="AE137" s="20">
        <f t="shared" si="141"/>
        <v>0</v>
      </c>
      <c r="AF137" s="20">
        <f t="shared" si="141"/>
        <v>0</v>
      </c>
      <c r="AG137" s="20">
        <f t="shared" si="141"/>
        <v>0</v>
      </c>
      <c r="AH137" s="20">
        <f t="shared" si="141"/>
        <v>0</v>
      </c>
      <c r="AI137" s="20">
        <f t="shared" si="141"/>
        <v>0</v>
      </c>
      <c r="AJ137" s="20">
        <f t="shared" si="141"/>
        <v>0</v>
      </c>
      <c r="AK137" s="20">
        <f t="shared" si="141"/>
        <v>0</v>
      </c>
      <c r="AL137" s="20">
        <f t="shared" si="141"/>
        <v>0</v>
      </c>
      <c r="AM137" s="20">
        <f t="shared" si="141"/>
        <v>0</v>
      </c>
      <c r="AN137" s="20">
        <f t="shared" si="141"/>
        <v>0</v>
      </c>
      <c r="AO137" s="20">
        <f t="shared" si="141"/>
        <v>0</v>
      </c>
      <c r="AP137" s="20">
        <f t="shared" si="141"/>
        <v>0</v>
      </c>
      <c r="AQ137" s="20">
        <f t="shared" si="141"/>
        <v>0</v>
      </c>
      <c r="AR137" s="20">
        <f t="shared" si="141"/>
        <v>0</v>
      </c>
      <c r="AS137" s="20">
        <f t="shared" si="141"/>
        <v>0</v>
      </c>
      <c r="AT137" s="20">
        <f t="shared" si="141"/>
        <v>0</v>
      </c>
      <c r="AU137" s="20">
        <f t="shared" si="141"/>
        <v>0</v>
      </c>
      <c r="AV137" s="20">
        <f t="shared" si="141"/>
        <v>0</v>
      </c>
      <c r="AW137" s="20">
        <f t="shared" si="141"/>
        <v>0</v>
      </c>
      <c r="AX137" s="20">
        <f t="shared" si="141"/>
        <v>0</v>
      </c>
      <c r="AY137" s="20">
        <f t="shared" si="141"/>
        <v>0</v>
      </c>
      <c r="AZ137" s="20">
        <f t="shared" si="141"/>
        <v>0</v>
      </c>
      <c r="BA137" s="20">
        <f t="shared" si="141"/>
        <v>0</v>
      </c>
      <c r="BB137" s="20">
        <f t="shared" si="141"/>
        <v>0</v>
      </c>
      <c r="BC137" s="20">
        <f t="shared" si="141"/>
        <v>0</v>
      </c>
      <c r="BD137" s="20">
        <f t="shared" si="141"/>
        <v>0</v>
      </c>
      <c r="BE137" s="20">
        <f t="shared" si="141"/>
        <v>0</v>
      </c>
      <c r="BF137" s="20">
        <f t="shared" si="141"/>
        <v>0</v>
      </c>
      <c r="BG137" s="20">
        <f t="shared" si="141"/>
        <v>0</v>
      </c>
      <c r="BH137" s="20">
        <f t="shared" si="141"/>
        <v>0</v>
      </c>
      <c r="BI137" s="20">
        <f t="shared" si="141"/>
        <v>0</v>
      </c>
      <c r="BJ137" s="20">
        <f t="shared" si="141"/>
        <v>0</v>
      </c>
      <c r="BK137" s="20">
        <f t="shared" si="141"/>
        <v>0</v>
      </c>
      <c r="BL137" s="20">
        <f t="shared" si="141"/>
        <v>0</v>
      </c>
      <c r="BM137" s="20">
        <f t="shared" si="141"/>
        <v>0</v>
      </c>
      <c r="BN137" s="20">
        <f t="shared" si="141"/>
        <v>0</v>
      </c>
      <c r="BO137" s="20">
        <f t="shared" si="141"/>
        <v>0</v>
      </c>
      <c r="BP137" s="20">
        <f t="shared" si="141"/>
        <v>0</v>
      </c>
      <c r="BQ137" s="20">
        <f t="shared" si="141"/>
        <v>0</v>
      </c>
      <c r="BR137" s="20">
        <f t="shared" si="141"/>
        <v>0</v>
      </c>
      <c r="BS137" s="20">
        <f t="shared" si="141"/>
        <v>0</v>
      </c>
      <c r="BT137" s="20">
        <f t="shared" si="141"/>
        <v>0</v>
      </c>
      <c r="BU137" s="20">
        <f t="shared" si="141"/>
        <v>0</v>
      </c>
      <c r="BV137" s="20">
        <f t="shared" si="141"/>
        <v>0</v>
      </c>
      <c r="BW137" s="20">
        <f t="shared" si="141"/>
        <v>0</v>
      </c>
      <c r="BX137" s="20">
        <f t="shared" ref="BX137:DQ137" si="142">BX134+BX135-BX136</f>
        <v>0</v>
      </c>
      <c r="BY137" s="20">
        <f t="shared" si="142"/>
        <v>0</v>
      </c>
      <c r="BZ137" s="20">
        <f t="shared" si="142"/>
        <v>0</v>
      </c>
      <c r="CA137" s="20">
        <f t="shared" si="142"/>
        <v>0</v>
      </c>
      <c r="CB137" s="20">
        <f t="shared" si="142"/>
        <v>0</v>
      </c>
      <c r="CC137" s="20">
        <f t="shared" si="142"/>
        <v>0</v>
      </c>
      <c r="CD137" s="20">
        <f t="shared" si="142"/>
        <v>0</v>
      </c>
      <c r="CE137" s="20">
        <f t="shared" si="142"/>
        <v>0</v>
      </c>
      <c r="CF137" s="20">
        <f t="shared" si="142"/>
        <v>0</v>
      </c>
      <c r="CG137" s="20">
        <f t="shared" si="142"/>
        <v>0</v>
      </c>
      <c r="CH137" s="20">
        <f t="shared" si="142"/>
        <v>0</v>
      </c>
      <c r="CI137" s="20">
        <f t="shared" si="142"/>
        <v>0</v>
      </c>
      <c r="CJ137" s="20">
        <f t="shared" si="142"/>
        <v>0</v>
      </c>
      <c r="CK137" s="20">
        <f t="shared" si="142"/>
        <v>0</v>
      </c>
      <c r="CL137" s="20">
        <f t="shared" si="142"/>
        <v>0</v>
      </c>
      <c r="CM137" s="20">
        <f t="shared" si="142"/>
        <v>0</v>
      </c>
      <c r="CN137" s="20">
        <f t="shared" si="142"/>
        <v>0</v>
      </c>
      <c r="CO137" s="20">
        <f t="shared" si="142"/>
        <v>0</v>
      </c>
      <c r="CP137" s="20">
        <f t="shared" si="142"/>
        <v>0</v>
      </c>
      <c r="CQ137" s="20">
        <f t="shared" si="142"/>
        <v>0</v>
      </c>
      <c r="CR137" s="20">
        <f t="shared" si="142"/>
        <v>0</v>
      </c>
      <c r="CS137" s="20">
        <f t="shared" si="142"/>
        <v>0</v>
      </c>
      <c r="CT137" s="20">
        <f t="shared" si="142"/>
        <v>0</v>
      </c>
      <c r="CU137" s="20">
        <f t="shared" si="142"/>
        <v>0</v>
      </c>
      <c r="CV137" s="20">
        <f t="shared" si="142"/>
        <v>0</v>
      </c>
      <c r="CW137" s="20">
        <f t="shared" si="142"/>
        <v>0</v>
      </c>
      <c r="CX137" s="20">
        <f t="shared" si="142"/>
        <v>0</v>
      </c>
      <c r="CY137" s="20">
        <f t="shared" si="142"/>
        <v>0</v>
      </c>
      <c r="CZ137" s="20">
        <f t="shared" si="142"/>
        <v>0</v>
      </c>
      <c r="DA137" s="20">
        <f t="shared" si="142"/>
        <v>0</v>
      </c>
      <c r="DB137" s="20">
        <f t="shared" si="142"/>
        <v>0</v>
      </c>
      <c r="DC137" s="20">
        <f t="shared" si="142"/>
        <v>0</v>
      </c>
      <c r="DD137" s="20">
        <f t="shared" si="142"/>
        <v>0</v>
      </c>
      <c r="DE137" s="20">
        <f t="shared" si="142"/>
        <v>0</v>
      </c>
      <c r="DF137" s="20">
        <f t="shared" si="142"/>
        <v>0</v>
      </c>
      <c r="DG137" s="20">
        <f t="shared" si="142"/>
        <v>0</v>
      </c>
      <c r="DH137" s="20">
        <f t="shared" si="142"/>
        <v>0</v>
      </c>
      <c r="DI137" s="20">
        <f t="shared" si="142"/>
        <v>0</v>
      </c>
      <c r="DJ137" s="20">
        <f t="shared" si="142"/>
        <v>0</v>
      </c>
      <c r="DK137" s="20">
        <f t="shared" si="142"/>
        <v>0</v>
      </c>
      <c r="DL137" s="20">
        <f t="shared" si="142"/>
        <v>0</v>
      </c>
      <c r="DM137" s="20">
        <f t="shared" si="142"/>
        <v>0</v>
      </c>
      <c r="DN137" s="20">
        <f t="shared" si="142"/>
        <v>0</v>
      </c>
      <c r="DO137" s="20">
        <f t="shared" si="142"/>
        <v>0</v>
      </c>
      <c r="DP137" s="20">
        <f t="shared" si="142"/>
        <v>0</v>
      </c>
      <c r="DQ137" s="20">
        <f t="shared" si="142"/>
        <v>0</v>
      </c>
    </row>
    <row r="138" spans="2:1006" x14ac:dyDescent="0.35">
      <c r="D138" s="20" t="s">
        <v>401</v>
      </c>
      <c r="K138" s="22">
        <f t="shared" ref="K138:AP138" si="143">K28</f>
        <v>2.7500000000000003E-3</v>
      </c>
      <c r="L138" s="22">
        <f t="shared" si="143"/>
        <v>2.7500000000000003E-3</v>
      </c>
      <c r="M138" s="22">
        <f t="shared" si="143"/>
        <v>2.7500000000000003E-3</v>
      </c>
      <c r="N138" s="22">
        <f t="shared" si="143"/>
        <v>2.7500000000000003E-3</v>
      </c>
      <c r="O138" s="22">
        <f t="shared" si="143"/>
        <v>2.7500000000000003E-3</v>
      </c>
      <c r="P138" s="22">
        <f t="shared" si="143"/>
        <v>2.7500000000000003E-3</v>
      </c>
      <c r="Q138" s="22">
        <f t="shared" si="143"/>
        <v>2.7500000000000003E-3</v>
      </c>
      <c r="R138" s="22">
        <f t="shared" si="143"/>
        <v>2.7500000000000003E-3</v>
      </c>
      <c r="S138" s="22">
        <f t="shared" si="143"/>
        <v>2.7500000000000003E-3</v>
      </c>
      <c r="T138" s="22">
        <f t="shared" si="143"/>
        <v>8.5000000000000006E-3</v>
      </c>
      <c r="U138" s="22">
        <f t="shared" si="143"/>
        <v>8.5000000000000006E-3</v>
      </c>
      <c r="V138" s="22">
        <f t="shared" si="143"/>
        <v>8.5000000000000006E-3</v>
      </c>
      <c r="W138" s="22">
        <f t="shared" si="143"/>
        <v>8.5000000000000006E-3</v>
      </c>
      <c r="X138" s="22">
        <f t="shared" si="143"/>
        <v>8.5000000000000006E-3</v>
      </c>
      <c r="Y138" s="22">
        <f t="shared" si="143"/>
        <v>8.5000000000000006E-3</v>
      </c>
      <c r="Z138" s="22">
        <f t="shared" si="143"/>
        <v>8.5000000000000006E-3</v>
      </c>
      <c r="AA138" s="22">
        <f t="shared" si="143"/>
        <v>8.5000000000000006E-3</v>
      </c>
      <c r="AB138" s="22">
        <f t="shared" si="143"/>
        <v>8.5000000000000006E-3</v>
      </c>
      <c r="AC138" s="22">
        <f t="shared" si="143"/>
        <v>8.5000000000000006E-3</v>
      </c>
      <c r="AD138" s="22">
        <f t="shared" si="143"/>
        <v>8.5000000000000006E-3</v>
      </c>
      <c r="AE138" s="22">
        <f t="shared" si="143"/>
        <v>8.5000000000000006E-3</v>
      </c>
      <c r="AF138" s="22">
        <f t="shared" si="143"/>
        <v>8.5000000000000006E-3</v>
      </c>
      <c r="AG138" s="22">
        <f t="shared" si="143"/>
        <v>8.5000000000000006E-3</v>
      </c>
      <c r="AH138" s="22">
        <f t="shared" si="143"/>
        <v>8.5000000000000006E-3</v>
      </c>
      <c r="AI138" s="22">
        <f t="shared" si="143"/>
        <v>8.5000000000000006E-3</v>
      </c>
      <c r="AJ138" s="22">
        <f t="shared" si="143"/>
        <v>8.5000000000000006E-3</v>
      </c>
      <c r="AK138" s="22">
        <f t="shared" si="143"/>
        <v>8.5000000000000006E-3</v>
      </c>
      <c r="AL138" s="22">
        <f t="shared" si="143"/>
        <v>8.5000000000000006E-3</v>
      </c>
      <c r="AM138" s="22">
        <f t="shared" si="143"/>
        <v>8.5000000000000006E-3</v>
      </c>
      <c r="AN138" s="22">
        <f t="shared" si="143"/>
        <v>8.6250000000000007E-3</v>
      </c>
      <c r="AO138" s="22">
        <f t="shared" si="143"/>
        <v>8.6250000000000007E-3</v>
      </c>
      <c r="AP138" s="22">
        <f t="shared" si="143"/>
        <v>8.6250000000000007E-3</v>
      </c>
      <c r="AQ138" s="22">
        <f t="shared" ref="AQ138:BV138" si="144">AQ28</f>
        <v>8.6250000000000007E-3</v>
      </c>
      <c r="AR138" s="22">
        <f t="shared" si="144"/>
        <v>8.6250000000000007E-3</v>
      </c>
      <c r="AS138" s="22">
        <f t="shared" si="144"/>
        <v>8.6250000000000007E-3</v>
      </c>
      <c r="AT138" s="22">
        <f t="shared" si="144"/>
        <v>8.6250000000000007E-3</v>
      </c>
      <c r="AU138" s="22">
        <f t="shared" si="144"/>
        <v>8.6250000000000007E-3</v>
      </c>
      <c r="AV138" s="22">
        <f t="shared" si="144"/>
        <v>8.6250000000000007E-3</v>
      </c>
      <c r="AW138" s="22">
        <f t="shared" si="144"/>
        <v>8.6250000000000007E-3</v>
      </c>
      <c r="AX138" s="22">
        <f t="shared" si="144"/>
        <v>8.6250000000000007E-3</v>
      </c>
      <c r="AY138" s="22">
        <f t="shared" si="144"/>
        <v>8.6250000000000007E-3</v>
      </c>
      <c r="AZ138" s="22">
        <f t="shared" si="144"/>
        <v>8.6250000000000007E-3</v>
      </c>
      <c r="BA138" s="22">
        <f t="shared" si="144"/>
        <v>8.6250000000000007E-3</v>
      </c>
      <c r="BB138" s="22">
        <f t="shared" si="144"/>
        <v>8.6250000000000007E-3</v>
      </c>
      <c r="BC138" s="22">
        <f t="shared" si="144"/>
        <v>8.6250000000000007E-3</v>
      </c>
      <c r="BD138" s="22">
        <f t="shared" si="144"/>
        <v>8.6250000000000007E-3</v>
      </c>
      <c r="BE138" s="22">
        <f t="shared" si="144"/>
        <v>8.6250000000000007E-3</v>
      </c>
      <c r="BF138" s="22">
        <f t="shared" si="144"/>
        <v>8.6250000000000007E-3</v>
      </c>
      <c r="BG138" s="22">
        <f t="shared" si="144"/>
        <v>8.6250000000000007E-3</v>
      </c>
      <c r="BH138" s="22">
        <f t="shared" si="144"/>
        <v>8.6749999999999987E-3</v>
      </c>
      <c r="BI138" s="22">
        <f t="shared" si="144"/>
        <v>8.6749999999999987E-3</v>
      </c>
      <c r="BJ138" s="22">
        <f t="shared" si="144"/>
        <v>8.6749999999999987E-3</v>
      </c>
      <c r="BK138" s="22">
        <f t="shared" si="144"/>
        <v>8.6749999999999987E-3</v>
      </c>
      <c r="BL138" s="22">
        <f t="shared" si="144"/>
        <v>8.6749999999999987E-3</v>
      </c>
      <c r="BM138" s="22">
        <f t="shared" si="144"/>
        <v>8.6749999999999987E-3</v>
      </c>
      <c r="BN138" s="22">
        <f t="shared" si="144"/>
        <v>8.6749999999999987E-3</v>
      </c>
      <c r="BO138" s="22">
        <f t="shared" si="144"/>
        <v>8.6749999999999987E-3</v>
      </c>
      <c r="BP138" s="22">
        <f t="shared" si="144"/>
        <v>8.6749999999999987E-3</v>
      </c>
      <c r="BQ138" s="22">
        <f t="shared" si="144"/>
        <v>8.6749999999999987E-3</v>
      </c>
      <c r="BR138" s="22">
        <f t="shared" si="144"/>
        <v>8.6749999999999987E-3</v>
      </c>
      <c r="BS138" s="22">
        <f t="shared" si="144"/>
        <v>8.6749999999999987E-3</v>
      </c>
      <c r="BT138" s="22">
        <f t="shared" si="144"/>
        <v>8.6749999999999987E-3</v>
      </c>
      <c r="BU138" s="22">
        <f t="shared" si="144"/>
        <v>8.6749999999999987E-3</v>
      </c>
      <c r="BV138" s="22">
        <f t="shared" si="144"/>
        <v>8.6749999999999987E-3</v>
      </c>
      <c r="BW138" s="22">
        <f t="shared" ref="BW138:DB138" si="145">BW28</f>
        <v>8.6749999999999987E-3</v>
      </c>
      <c r="BX138" s="22">
        <f t="shared" si="145"/>
        <v>8.6749999999999987E-3</v>
      </c>
      <c r="BY138" s="22">
        <f t="shared" si="145"/>
        <v>8.6749999999999987E-3</v>
      </c>
      <c r="BZ138" s="22">
        <f t="shared" si="145"/>
        <v>8.6749999999999987E-3</v>
      </c>
      <c r="CA138" s="22">
        <f t="shared" si="145"/>
        <v>8.6749999999999987E-3</v>
      </c>
      <c r="CB138" s="22">
        <f t="shared" si="145"/>
        <v>8.7500000000000008E-3</v>
      </c>
      <c r="CC138" s="22">
        <f t="shared" si="145"/>
        <v>8.7500000000000008E-3</v>
      </c>
      <c r="CD138" s="22">
        <f t="shared" si="145"/>
        <v>8.7500000000000008E-3</v>
      </c>
      <c r="CE138" s="22">
        <f t="shared" si="145"/>
        <v>8.7500000000000008E-3</v>
      </c>
      <c r="CF138" s="22">
        <f t="shared" si="145"/>
        <v>8.7500000000000008E-3</v>
      </c>
      <c r="CG138" s="22">
        <f t="shared" si="145"/>
        <v>8.7500000000000008E-3</v>
      </c>
      <c r="CH138" s="22">
        <f t="shared" si="145"/>
        <v>8.7500000000000008E-3</v>
      </c>
      <c r="CI138" s="22">
        <f t="shared" si="145"/>
        <v>8.7500000000000008E-3</v>
      </c>
      <c r="CJ138" s="22">
        <f t="shared" si="145"/>
        <v>8.7500000000000008E-3</v>
      </c>
      <c r="CK138" s="22">
        <f t="shared" si="145"/>
        <v>8.7500000000000008E-3</v>
      </c>
      <c r="CL138" s="22">
        <f t="shared" si="145"/>
        <v>8.7500000000000008E-3</v>
      </c>
      <c r="CM138" s="22">
        <f t="shared" si="145"/>
        <v>8.7500000000000008E-3</v>
      </c>
      <c r="CN138" s="22">
        <f t="shared" si="145"/>
        <v>8.7500000000000008E-3</v>
      </c>
      <c r="CO138" s="22">
        <f t="shared" si="145"/>
        <v>8.7500000000000008E-3</v>
      </c>
      <c r="CP138" s="22">
        <f t="shared" si="145"/>
        <v>8.7500000000000008E-3</v>
      </c>
      <c r="CQ138" s="22">
        <f t="shared" si="145"/>
        <v>8.7500000000000008E-3</v>
      </c>
      <c r="CR138" s="22">
        <f t="shared" si="145"/>
        <v>8.7500000000000008E-3</v>
      </c>
      <c r="CS138" s="22">
        <f t="shared" si="145"/>
        <v>8.7500000000000008E-3</v>
      </c>
      <c r="CT138" s="22">
        <f t="shared" si="145"/>
        <v>8.7500000000000008E-3</v>
      </c>
      <c r="CU138" s="22">
        <f t="shared" si="145"/>
        <v>8.7500000000000008E-3</v>
      </c>
      <c r="CV138" s="22">
        <f t="shared" si="145"/>
        <v>8.7500000000000008E-3</v>
      </c>
      <c r="CW138" s="22">
        <f t="shared" si="145"/>
        <v>8.7500000000000008E-3</v>
      </c>
      <c r="CX138" s="22">
        <f t="shared" si="145"/>
        <v>8.7500000000000008E-3</v>
      </c>
      <c r="CY138" s="22">
        <f t="shared" si="145"/>
        <v>8.7500000000000008E-3</v>
      </c>
      <c r="CZ138" s="22">
        <f t="shared" si="145"/>
        <v>8.7500000000000008E-3</v>
      </c>
      <c r="DA138" s="22">
        <f t="shared" si="145"/>
        <v>8.7500000000000008E-3</v>
      </c>
      <c r="DB138" s="22">
        <f t="shared" si="145"/>
        <v>8.7500000000000008E-3</v>
      </c>
      <c r="DC138" s="22">
        <f t="shared" ref="DC138:DQ138" si="146">DC28</f>
        <v>8.7500000000000008E-3</v>
      </c>
      <c r="DD138" s="22">
        <f t="shared" si="146"/>
        <v>8.7500000000000008E-3</v>
      </c>
      <c r="DE138" s="22">
        <f t="shared" si="146"/>
        <v>8.7500000000000008E-3</v>
      </c>
      <c r="DF138" s="22">
        <f t="shared" si="146"/>
        <v>8.7500000000000008E-3</v>
      </c>
      <c r="DG138" s="22">
        <f t="shared" si="146"/>
        <v>8.7500000000000008E-3</v>
      </c>
      <c r="DH138" s="22">
        <f t="shared" si="146"/>
        <v>8.7500000000000008E-3</v>
      </c>
      <c r="DI138" s="22">
        <f t="shared" si="146"/>
        <v>8.7500000000000008E-3</v>
      </c>
      <c r="DJ138" s="22">
        <f t="shared" si="146"/>
        <v>8.7500000000000008E-3</v>
      </c>
      <c r="DK138" s="22">
        <f t="shared" si="146"/>
        <v>8.7500000000000008E-3</v>
      </c>
      <c r="DL138" s="22">
        <f t="shared" si="146"/>
        <v>8.7500000000000008E-3</v>
      </c>
      <c r="DM138" s="22">
        <f t="shared" si="146"/>
        <v>8.7500000000000008E-3</v>
      </c>
      <c r="DN138" s="22">
        <f t="shared" si="146"/>
        <v>8.7500000000000008E-3</v>
      </c>
      <c r="DO138" s="22">
        <f t="shared" si="146"/>
        <v>8.7500000000000008E-3</v>
      </c>
      <c r="DP138" s="22">
        <f t="shared" si="146"/>
        <v>8.7500000000000008E-3</v>
      </c>
      <c r="DQ138" s="22">
        <f t="shared" si="146"/>
        <v>8.7500000000000008E-3</v>
      </c>
    </row>
    <row r="139" spans="2:1006" x14ac:dyDescent="0.35">
      <c r="D139" s="20" t="s">
        <v>344</v>
      </c>
      <c r="K139" s="20">
        <f>K138*K134</f>
        <v>0</v>
      </c>
      <c r="L139" s="20">
        <f t="shared" ref="L139:BW139" si="147">L138*L134</f>
        <v>0</v>
      </c>
      <c r="M139" s="20">
        <f t="shared" si="147"/>
        <v>0</v>
      </c>
      <c r="N139" s="20">
        <f t="shared" si="147"/>
        <v>0</v>
      </c>
      <c r="O139" s="20">
        <f t="shared" si="147"/>
        <v>0</v>
      </c>
      <c r="P139" s="20">
        <f t="shared" si="147"/>
        <v>0</v>
      </c>
      <c r="Q139" s="20">
        <f t="shared" si="147"/>
        <v>0</v>
      </c>
      <c r="R139" s="20">
        <f t="shared" si="147"/>
        <v>0</v>
      </c>
      <c r="S139" s="20">
        <f t="shared" si="147"/>
        <v>0</v>
      </c>
      <c r="T139" s="20">
        <f t="shared" si="147"/>
        <v>0</v>
      </c>
      <c r="U139" s="20">
        <f t="shared" si="147"/>
        <v>0</v>
      </c>
      <c r="V139" s="20">
        <f t="shared" si="147"/>
        <v>0</v>
      </c>
      <c r="W139" s="20">
        <f t="shared" si="147"/>
        <v>0</v>
      </c>
      <c r="X139" s="20">
        <f t="shared" si="147"/>
        <v>0</v>
      </c>
      <c r="Y139" s="20">
        <f t="shared" si="147"/>
        <v>0</v>
      </c>
      <c r="Z139" s="20">
        <f t="shared" si="147"/>
        <v>0</v>
      </c>
      <c r="AA139" s="20">
        <f t="shared" si="147"/>
        <v>0</v>
      </c>
      <c r="AB139" s="20">
        <f t="shared" si="147"/>
        <v>0</v>
      </c>
      <c r="AC139" s="20">
        <f t="shared" si="147"/>
        <v>0</v>
      </c>
      <c r="AD139" s="20">
        <f t="shared" si="147"/>
        <v>0</v>
      </c>
      <c r="AE139" s="20">
        <f t="shared" si="147"/>
        <v>0</v>
      </c>
      <c r="AF139" s="20">
        <f t="shared" si="147"/>
        <v>0</v>
      </c>
      <c r="AG139" s="20">
        <f t="shared" si="147"/>
        <v>0</v>
      </c>
      <c r="AH139" s="20">
        <f t="shared" si="147"/>
        <v>0</v>
      </c>
      <c r="AI139" s="20">
        <f t="shared" si="147"/>
        <v>0</v>
      </c>
      <c r="AJ139" s="20">
        <f t="shared" si="147"/>
        <v>0</v>
      </c>
      <c r="AK139" s="20">
        <f t="shared" si="147"/>
        <v>0</v>
      </c>
      <c r="AL139" s="20">
        <f t="shared" si="147"/>
        <v>0</v>
      </c>
      <c r="AM139" s="20">
        <f t="shared" si="147"/>
        <v>0</v>
      </c>
      <c r="AN139" s="20">
        <f t="shared" si="147"/>
        <v>0</v>
      </c>
      <c r="AO139" s="20">
        <f t="shared" si="147"/>
        <v>0</v>
      </c>
      <c r="AP139" s="20">
        <f t="shared" si="147"/>
        <v>0</v>
      </c>
      <c r="AQ139" s="20">
        <f t="shared" si="147"/>
        <v>0</v>
      </c>
      <c r="AR139" s="20">
        <f t="shared" si="147"/>
        <v>0</v>
      </c>
      <c r="AS139" s="20">
        <f t="shared" si="147"/>
        <v>0</v>
      </c>
      <c r="AT139" s="20">
        <f t="shared" si="147"/>
        <v>0</v>
      </c>
      <c r="AU139" s="20">
        <f t="shared" si="147"/>
        <v>0</v>
      </c>
      <c r="AV139" s="20">
        <f t="shared" si="147"/>
        <v>0</v>
      </c>
      <c r="AW139" s="20">
        <f t="shared" si="147"/>
        <v>0</v>
      </c>
      <c r="AX139" s="20">
        <f t="shared" si="147"/>
        <v>0</v>
      </c>
      <c r="AY139" s="20">
        <f t="shared" si="147"/>
        <v>0</v>
      </c>
      <c r="AZ139" s="20">
        <f t="shared" si="147"/>
        <v>0</v>
      </c>
      <c r="BA139" s="20">
        <f t="shared" si="147"/>
        <v>0</v>
      </c>
      <c r="BB139" s="20">
        <f t="shared" si="147"/>
        <v>0</v>
      </c>
      <c r="BC139" s="20">
        <f t="shared" si="147"/>
        <v>0</v>
      </c>
      <c r="BD139" s="20">
        <f t="shared" si="147"/>
        <v>0</v>
      </c>
      <c r="BE139" s="20">
        <f t="shared" si="147"/>
        <v>0</v>
      </c>
      <c r="BF139" s="20">
        <f t="shared" si="147"/>
        <v>0</v>
      </c>
      <c r="BG139" s="20">
        <f t="shared" si="147"/>
        <v>0</v>
      </c>
      <c r="BH139" s="20">
        <f t="shared" si="147"/>
        <v>0</v>
      </c>
      <c r="BI139" s="20">
        <f t="shared" si="147"/>
        <v>0</v>
      </c>
      <c r="BJ139" s="20">
        <f t="shared" si="147"/>
        <v>0</v>
      </c>
      <c r="BK139" s="20">
        <f t="shared" si="147"/>
        <v>0</v>
      </c>
      <c r="BL139" s="20">
        <f t="shared" si="147"/>
        <v>0</v>
      </c>
      <c r="BM139" s="20">
        <f t="shared" si="147"/>
        <v>0</v>
      </c>
      <c r="BN139" s="20">
        <f t="shared" si="147"/>
        <v>0</v>
      </c>
      <c r="BO139" s="20">
        <f t="shared" si="147"/>
        <v>0</v>
      </c>
      <c r="BP139" s="20">
        <f t="shared" si="147"/>
        <v>0</v>
      </c>
      <c r="BQ139" s="20">
        <f t="shared" si="147"/>
        <v>0</v>
      </c>
      <c r="BR139" s="20">
        <f t="shared" si="147"/>
        <v>0</v>
      </c>
      <c r="BS139" s="20">
        <f t="shared" si="147"/>
        <v>0</v>
      </c>
      <c r="BT139" s="20">
        <f t="shared" si="147"/>
        <v>0</v>
      </c>
      <c r="BU139" s="20">
        <f t="shared" si="147"/>
        <v>0</v>
      </c>
      <c r="BV139" s="20">
        <f t="shared" si="147"/>
        <v>0</v>
      </c>
      <c r="BW139" s="20">
        <f t="shared" si="147"/>
        <v>0</v>
      </c>
      <c r="BX139" s="20">
        <f t="shared" ref="BX139:DQ139" si="148">BX138*BX134</f>
        <v>0</v>
      </c>
      <c r="BY139" s="20">
        <f t="shared" si="148"/>
        <v>0</v>
      </c>
      <c r="BZ139" s="20">
        <f t="shared" si="148"/>
        <v>0</v>
      </c>
      <c r="CA139" s="20">
        <f t="shared" si="148"/>
        <v>0</v>
      </c>
      <c r="CB139" s="20">
        <f t="shared" si="148"/>
        <v>0</v>
      </c>
      <c r="CC139" s="20">
        <f t="shared" si="148"/>
        <v>0</v>
      </c>
      <c r="CD139" s="20">
        <f t="shared" si="148"/>
        <v>0</v>
      </c>
      <c r="CE139" s="20">
        <f t="shared" si="148"/>
        <v>0</v>
      </c>
      <c r="CF139" s="20">
        <f t="shared" si="148"/>
        <v>0</v>
      </c>
      <c r="CG139" s="20">
        <f t="shared" si="148"/>
        <v>0</v>
      </c>
      <c r="CH139" s="20">
        <f t="shared" si="148"/>
        <v>0</v>
      </c>
      <c r="CI139" s="20">
        <f t="shared" si="148"/>
        <v>0</v>
      </c>
      <c r="CJ139" s="20">
        <f t="shared" si="148"/>
        <v>0</v>
      </c>
      <c r="CK139" s="20">
        <f t="shared" si="148"/>
        <v>0</v>
      </c>
      <c r="CL139" s="20">
        <f t="shared" si="148"/>
        <v>0</v>
      </c>
      <c r="CM139" s="20">
        <f t="shared" si="148"/>
        <v>0</v>
      </c>
      <c r="CN139" s="20">
        <f t="shared" si="148"/>
        <v>0</v>
      </c>
      <c r="CO139" s="20">
        <f t="shared" si="148"/>
        <v>0</v>
      </c>
      <c r="CP139" s="20">
        <f t="shared" si="148"/>
        <v>0</v>
      </c>
      <c r="CQ139" s="20">
        <f t="shared" si="148"/>
        <v>0</v>
      </c>
      <c r="CR139" s="20">
        <f t="shared" si="148"/>
        <v>0</v>
      </c>
      <c r="CS139" s="20">
        <f t="shared" si="148"/>
        <v>0</v>
      </c>
      <c r="CT139" s="20">
        <f t="shared" si="148"/>
        <v>0</v>
      </c>
      <c r="CU139" s="20">
        <f t="shared" si="148"/>
        <v>0</v>
      </c>
      <c r="CV139" s="20">
        <f t="shared" si="148"/>
        <v>0</v>
      </c>
      <c r="CW139" s="20">
        <f t="shared" si="148"/>
        <v>0</v>
      </c>
      <c r="CX139" s="20">
        <f t="shared" si="148"/>
        <v>0</v>
      </c>
      <c r="CY139" s="20">
        <f t="shared" si="148"/>
        <v>0</v>
      </c>
      <c r="CZ139" s="20">
        <f t="shared" si="148"/>
        <v>0</v>
      </c>
      <c r="DA139" s="20">
        <f t="shared" si="148"/>
        <v>0</v>
      </c>
      <c r="DB139" s="20">
        <f t="shared" si="148"/>
        <v>0</v>
      </c>
      <c r="DC139" s="20">
        <f t="shared" si="148"/>
        <v>0</v>
      </c>
      <c r="DD139" s="20">
        <f t="shared" si="148"/>
        <v>0</v>
      </c>
      <c r="DE139" s="20">
        <f t="shared" si="148"/>
        <v>0</v>
      </c>
      <c r="DF139" s="20">
        <f t="shared" si="148"/>
        <v>0</v>
      </c>
      <c r="DG139" s="20">
        <f t="shared" si="148"/>
        <v>0</v>
      </c>
      <c r="DH139" s="20">
        <f t="shared" si="148"/>
        <v>0</v>
      </c>
      <c r="DI139" s="20">
        <f t="shared" si="148"/>
        <v>0</v>
      </c>
      <c r="DJ139" s="20">
        <f t="shared" si="148"/>
        <v>0</v>
      </c>
      <c r="DK139" s="20">
        <f t="shared" si="148"/>
        <v>0</v>
      </c>
      <c r="DL139" s="20">
        <f t="shared" si="148"/>
        <v>0</v>
      </c>
      <c r="DM139" s="20">
        <f t="shared" si="148"/>
        <v>0</v>
      </c>
      <c r="DN139" s="20">
        <f t="shared" si="148"/>
        <v>0</v>
      </c>
      <c r="DO139" s="20">
        <f t="shared" si="148"/>
        <v>0</v>
      </c>
      <c r="DP139" s="20">
        <f t="shared" si="148"/>
        <v>0</v>
      </c>
      <c r="DQ139" s="20">
        <f t="shared" si="148"/>
        <v>0</v>
      </c>
    </row>
    <row r="142" spans="2:1006" x14ac:dyDescent="0.35">
      <c r="B142" s="37" t="s">
        <v>375</v>
      </c>
      <c r="C142" s="37"/>
      <c r="D142" s="37"/>
      <c r="E142" s="37"/>
      <c r="F142" s="37"/>
      <c r="G142" s="37"/>
      <c r="H142" s="37"/>
      <c r="I142" s="37"/>
      <c r="J142" s="37"/>
      <c r="K142" s="37"/>
      <c r="L142" s="37"/>
      <c r="M142" s="37"/>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37"/>
      <c r="AK142" s="37"/>
      <c r="AL142" s="37"/>
      <c r="AM142" s="37"/>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c r="BT142" s="37"/>
      <c r="BU142" s="37"/>
      <c r="BV142" s="37"/>
      <c r="BW142" s="37"/>
      <c r="BX142" s="37"/>
      <c r="BY142" s="37"/>
      <c r="BZ142" s="37"/>
      <c r="CA142" s="37"/>
      <c r="CB142" s="37"/>
      <c r="CC142" s="37"/>
      <c r="CD142" s="37"/>
      <c r="CE142" s="37"/>
      <c r="CF142" s="37"/>
      <c r="CG142" s="37"/>
      <c r="CH142" s="37"/>
      <c r="CI142" s="37"/>
      <c r="CJ142" s="37"/>
      <c r="CK142" s="37"/>
      <c r="CL142" s="37"/>
      <c r="CM142" s="37"/>
      <c r="CN142" s="37"/>
      <c r="CO142" s="37"/>
      <c r="CP142" s="37"/>
      <c r="CQ142" s="37"/>
      <c r="CR142" s="37"/>
      <c r="CS142" s="37"/>
      <c r="CT142" s="37"/>
      <c r="CU142" s="37"/>
      <c r="CV142" s="37"/>
      <c r="CW142" s="37"/>
      <c r="CX142" s="37"/>
      <c r="CY142" s="37"/>
      <c r="CZ142" s="37"/>
      <c r="DA142" s="37"/>
      <c r="DB142" s="37"/>
      <c r="DC142" s="37"/>
      <c r="DD142" s="37"/>
      <c r="DE142" s="37"/>
      <c r="DF142" s="37"/>
      <c r="DG142" s="37"/>
      <c r="DH142" s="37"/>
      <c r="DI142" s="37"/>
      <c r="DJ142" s="37"/>
      <c r="DK142" s="37"/>
      <c r="DL142" s="37"/>
      <c r="DM142" s="37"/>
      <c r="DN142" s="37"/>
      <c r="DO142" s="37"/>
      <c r="DP142" s="37"/>
      <c r="DQ142" s="37"/>
      <c r="DR142" s="37"/>
      <c r="DS142" s="37"/>
      <c r="DT142" s="37"/>
      <c r="DU142" s="37"/>
      <c r="DV142" s="37"/>
      <c r="DW142" s="37"/>
      <c r="DX142" s="37"/>
      <c r="DY142" s="37"/>
      <c r="DZ142" s="37"/>
      <c r="EA142" s="37"/>
      <c r="EB142" s="37"/>
      <c r="EC142" s="37"/>
      <c r="ED142" s="37"/>
      <c r="EE142" s="37"/>
      <c r="EF142" s="37"/>
      <c r="EG142" s="37"/>
      <c r="EH142" s="37"/>
      <c r="EI142" s="37"/>
      <c r="EJ142" s="37"/>
      <c r="EK142" s="37"/>
      <c r="EL142" s="37"/>
      <c r="EM142" s="37"/>
      <c r="EN142" s="37"/>
      <c r="EO142" s="37"/>
      <c r="EP142" s="37"/>
      <c r="EQ142" s="37"/>
      <c r="ER142" s="37"/>
      <c r="ES142" s="37"/>
      <c r="ET142" s="37"/>
      <c r="EU142" s="37"/>
      <c r="EV142" s="37"/>
      <c r="EW142" s="37"/>
      <c r="EX142" s="37"/>
      <c r="EY142" s="37"/>
      <c r="EZ142" s="37"/>
      <c r="FA142" s="37"/>
      <c r="FB142" s="37"/>
      <c r="FC142" s="37"/>
      <c r="FD142" s="37"/>
      <c r="FE142" s="37"/>
      <c r="FF142" s="37"/>
      <c r="FG142" s="37"/>
      <c r="FH142" s="37"/>
      <c r="FI142" s="37"/>
      <c r="FJ142" s="37"/>
      <c r="FK142" s="37"/>
      <c r="FL142" s="37"/>
      <c r="FM142" s="37"/>
      <c r="FN142" s="37"/>
      <c r="FO142" s="37"/>
      <c r="FP142" s="37"/>
      <c r="FQ142" s="37"/>
      <c r="FR142" s="37"/>
      <c r="FS142" s="37"/>
      <c r="FT142" s="37"/>
      <c r="FU142" s="37"/>
      <c r="FV142" s="37"/>
      <c r="FW142" s="37"/>
      <c r="FX142" s="37"/>
      <c r="FY142" s="37"/>
      <c r="FZ142" s="37"/>
      <c r="GA142" s="37"/>
      <c r="GB142" s="37"/>
      <c r="GC142" s="37"/>
      <c r="GD142" s="37"/>
      <c r="GE142" s="37"/>
      <c r="GF142" s="37"/>
      <c r="GG142" s="37"/>
      <c r="GH142" s="37"/>
      <c r="GI142" s="37"/>
      <c r="GJ142" s="37"/>
      <c r="GK142" s="37"/>
      <c r="GL142" s="37"/>
      <c r="GM142" s="37"/>
      <c r="GN142" s="37"/>
      <c r="GO142" s="37"/>
      <c r="GP142" s="37"/>
      <c r="GQ142" s="37"/>
      <c r="GR142" s="37"/>
      <c r="GS142" s="37"/>
      <c r="GT142" s="37"/>
      <c r="GU142" s="37"/>
      <c r="GV142" s="37"/>
      <c r="GW142" s="37"/>
      <c r="GX142" s="37"/>
      <c r="GY142" s="37"/>
      <c r="GZ142" s="37"/>
      <c r="HA142" s="37"/>
      <c r="HB142" s="37"/>
      <c r="HC142" s="37"/>
      <c r="HD142" s="37"/>
      <c r="HE142" s="37"/>
      <c r="HF142" s="37"/>
      <c r="HG142" s="37"/>
      <c r="HH142" s="37"/>
      <c r="HI142" s="37"/>
      <c r="HJ142" s="37"/>
      <c r="HK142" s="37"/>
      <c r="HL142" s="37"/>
      <c r="HM142" s="37"/>
      <c r="HN142" s="37"/>
      <c r="HO142" s="37"/>
      <c r="HP142" s="37"/>
      <c r="HQ142" s="37"/>
      <c r="HR142" s="37"/>
      <c r="HS142" s="37"/>
      <c r="HT142" s="37"/>
      <c r="HU142" s="37"/>
      <c r="HV142" s="37"/>
      <c r="HW142" s="37"/>
      <c r="HX142" s="37"/>
      <c r="HY142" s="37"/>
      <c r="HZ142" s="37"/>
      <c r="IA142" s="37"/>
      <c r="IB142" s="37"/>
      <c r="IC142" s="37"/>
      <c r="ID142" s="37"/>
      <c r="IE142" s="37"/>
      <c r="IF142" s="37"/>
      <c r="IG142" s="37"/>
      <c r="IH142" s="37"/>
      <c r="II142" s="37"/>
      <c r="IJ142" s="37"/>
      <c r="IK142" s="37"/>
      <c r="IL142" s="37"/>
      <c r="IM142" s="37"/>
      <c r="IN142" s="37"/>
      <c r="IO142" s="37"/>
      <c r="IP142" s="37"/>
      <c r="IQ142" s="37"/>
      <c r="IR142" s="37"/>
      <c r="IS142" s="37"/>
      <c r="IT142" s="37"/>
      <c r="IU142" s="37"/>
      <c r="IV142" s="37"/>
      <c r="IW142" s="37"/>
      <c r="IX142" s="37"/>
      <c r="IY142" s="37"/>
      <c r="IZ142" s="37"/>
      <c r="JA142" s="37"/>
      <c r="JB142" s="37"/>
      <c r="JC142" s="37"/>
      <c r="JD142" s="37"/>
      <c r="JE142" s="37"/>
      <c r="JF142" s="37"/>
      <c r="JG142" s="37"/>
      <c r="JH142" s="37"/>
      <c r="JI142" s="37"/>
      <c r="JJ142" s="37"/>
      <c r="JK142" s="37"/>
      <c r="JL142" s="37"/>
      <c r="JM142" s="37"/>
      <c r="JN142" s="37"/>
      <c r="JO142" s="37"/>
      <c r="JP142" s="37"/>
      <c r="JQ142" s="37"/>
      <c r="JR142" s="37"/>
      <c r="JS142" s="37"/>
      <c r="JT142" s="37"/>
      <c r="JU142" s="37"/>
      <c r="JV142" s="37"/>
      <c r="JW142" s="37"/>
      <c r="JX142" s="37"/>
      <c r="JY142" s="37"/>
      <c r="JZ142" s="37"/>
      <c r="KA142" s="37"/>
      <c r="KB142" s="37"/>
      <c r="KC142" s="37"/>
      <c r="KD142" s="37"/>
      <c r="KE142" s="37"/>
      <c r="KF142" s="37"/>
      <c r="KG142" s="37"/>
      <c r="KH142" s="37"/>
      <c r="KI142" s="37"/>
      <c r="KJ142" s="37"/>
      <c r="KK142" s="37"/>
      <c r="KL142" s="37"/>
      <c r="KM142" s="37"/>
      <c r="KN142" s="37"/>
      <c r="KO142" s="37"/>
      <c r="KP142" s="37"/>
      <c r="KQ142" s="37"/>
      <c r="KR142" s="37"/>
      <c r="KS142" s="37"/>
      <c r="KT142" s="37"/>
      <c r="KU142" s="37"/>
      <c r="KV142" s="37"/>
      <c r="KW142" s="37"/>
      <c r="KX142" s="37"/>
      <c r="KY142" s="37"/>
      <c r="KZ142" s="37"/>
      <c r="LA142" s="37"/>
      <c r="LB142" s="37"/>
      <c r="LC142" s="37"/>
      <c r="LD142" s="37"/>
      <c r="LE142" s="37"/>
      <c r="LF142" s="37"/>
      <c r="LG142" s="37"/>
      <c r="LH142" s="37"/>
      <c r="LI142" s="37"/>
      <c r="LJ142" s="37"/>
      <c r="LK142" s="37"/>
      <c r="LL142" s="37"/>
      <c r="LM142" s="37"/>
      <c r="LN142" s="37"/>
      <c r="LO142" s="37"/>
      <c r="LP142" s="37"/>
      <c r="LQ142" s="37"/>
      <c r="LR142" s="37"/>
      <c r="LS142" s="37"/>
      <c r="LT142" s="37"/>
      <c r="LU142" s="37"/>
      <c r="LV142" s="37"/>
      <c r="LW142" s="37"/>
      <c r="LX142" s="37"/>
      <c r="LY142" s="37"/>
      <c r="LZ142" s="37"/>
      <c r="MA142" s="37"/>
      <c r="MB142" s="37"/>
      <c r="MC142" s="37"/>
      <c r="MD142" s="37"/>
      <c r="ME142" s="37"/>
      <c r="MF142" s="37"/>
      <c r="MG142" s="37"/>
      <c r="MH142" s="37"/>
      <c r="MI142" s="37"/>
      <c r="MJ142" s="37"/>
      <c r="MK142" s="37"/>
      <c r="ML142" s="37"/>
      <c r="MM142" s="37"/>
      <c r="MN142" s="37"/>
      <c r="MO142" s="37"/>
      <c r="MP142" s="37"/>
      <c r="MQ142" s="37"/>
      <c r="MR142" s="37"/>
      <c r="MS142" s="37"/>
      <c r="MT142" s="37"/>
      <c r="MU142" s="37"/>
      <c r="MV142" s="37"/>
      <c r="MW142" s="37"/>
      <c r="MX142" s="37"/>
      <c r="MY142" s="37"/>
      <c r="MZ142" s="37"/>
      <c r="NA142" s="37"/>
      <c r="NB142" s="37"/>
      <c r="NC142" s="37"/>
      <c r="ND142" s="37"/>
      <c r="NE142" s="37"/>
      <c r="NF142" s="37"/>
      <c r="NG142" s="37"/>
      <c r="NH142" s="37"/>
      <c r="NI142" s="37"/>
      <c r="NJ142" s="37"/>
      <c r="NK142" s="37"/>
      <c r="NL142" s="37"/>
      <c r="NM142" s="37"/>
      <c r="NN142" s="37"/>
      <c r="NO142" s="37"/>
      <c r="NP142" s="37"/>
      <c r="NQ142" s="37"/>
      <c r="NR142" s="37"/>
      <c r="NS142" s="37"/>
      <c r="NT142" s="37"/>
      <c r="NU142" s="37"/>
      <c r="NV142" s="37"/>
      <c r="NW142" s="37"/>
      <c r="NX142" s="37"/>
      <c r="NY142" s="37"/>
      <c r="NZ142" s="37"/>
      <c r="OA142" s="37"/>
      <c r="OB142" s="37"/>
      <c r="OC142" s="37"/>
      <c r="OD142" s="37"/>
      <c r="OE142" s="37"/>
      <c r="OF142" s="37"/>
      <c r="OG142" s="37"/>
      <c r="OH142" s="37"/>
      <c r="OI142" s="37"/>
      <c r="OJ142" s="37"/>
      <c r="OK142" s="37"/>
      <c r="OL142" s="37"/>
      <c r="OM142" s="37"/>
      <c r="ON142" s="37"/>
      <c r="OO142" s="37"/>
      <c r="OP142" s="37"/>
      <c r="OQ142" s="37"/>
      <c r="OR142" s="37"/>
      <c r="OS142" s="37"/>
      <c r="OT142" s="37"/>
      <c r="OU142" s="37"/>
      <c r="OV142" s="37"/>
      <c r="OW142" s="37"/>
      <c r="OX142" s="37"/>
      <c r="OY142" s="37"/>
      <c r="OZ142" s="37"/>
      <c r="PA142" s="37"/>
      <c r="PB142" s="37"/>
      <c r="PC142" s="37"/>
      <c r="PD142" s="37"/>
      <c r="PE142" s="37"/>
      <c r="PF142" s="37"/>
      <c r="PG142" s="37"/>
      <c r="PH142" s="37"/>
      <c r="PI142" s="37"/>
      <c r="PJ142" s="37"/>
      <c r="PK142" s="37"/>
      <c r="PL142" s="37"/>
      <c r="PM142" s="37"/>
      <c r="PN142" s="37"/>
      <c r="PO142" s="37"/>
      <c r="PP142" s="37"/>
      <c r="PQ142" s="37"/>
      <c r="PR142" s="37"/>
      <c r="PS142" s="37"/>
      <c r="PT142" s="37"/>
      <c r="PU142" s="37"/>
      <c r="PV142" s="37"/>
      <c r="PW142" s="37"/>
      <c r="PX142" s="37"/>
      <c r="PY142" s="37"/>
      <c r="PZ142" s="37"/>
      <c r="QA142" s="37"/>
      <c r="QB142" s="37"/>
      <c r="QC142" s="37"/>
      <c r="QD142" s="37"/>
      <c r="QE142" s="37"/>
      <c r="QF142" s="37"/>
      <c r="QG142" s="37"/>
      <c r="QH142" s="37"/>
      <c r="QI142" s="37"/>
      <c r="QJ142" s="37"/>
      <c r="QK142" s="37"/>
      <c r="QL142" s="37"/>
      <c r="QM142" s="37"/>
      <c r="QN142" s="37"/>
      <c r="QO142" s="37"/>
      <c r="QP142" s="37"/>
      <c r="QQ142" s="37"/>
      <c r="QR142" s="37"/>
      <c r="QS142" s="37"/>
      <c r="QT142" s="37"/>
      <c r="QU142" s="37"/>
      <c r="QV142" s="37"/>
      <c r="QW142" s="37"/>
      <c r="QX142" s="37"/>
      <c r="QY142" s="37"/>
      <c r="QZ142" s="37"/>
      <c r="RA142" s="37"/>
      <c r="RB142" s="37"/>
      <c r="RC142" s="37"/>
      <c r="RD142" s="37"/>
      <c r="RE142" s="37"/>
      <c r="RF142" s="37"/>
      <c r="RG142" s="37"/>
      <c r="RH142" s="37"/>
      <c r="RI142" s="37"/>
      <c r="RJ142" s="37"/>
      <c r="RK142" s="37"/>
      <c r="RL142" s="37"/>
      <c r="RM142" s="37"/>
      <c r="RN142" s="37"/>
      <c r="RO142" s="37"/>
      <c r="RP142" s="37"/>
      <c r="RQ142" s="37"/>
      <c r="RR142" s="37"/>
      <c r="RS142" s="37"/>
      <c r="RT142" s="37"/>
      <c r="RU142" s="37"/>
      <c r="RV142" s="37"/>
      <c r="RW142" s="37"/>
      <c r="RX142" s="37"/>
      <c r="RY142" s="37"/>
      <c r="RZ142" s="37"/>
      <c r="SA142" s="37"/>
      <c r="SB142" s="37"/>
      <c r="SC142" s="37"/>
      <c r="SD142" s="37"/>
      <c r="SE142" s="37"/>
      <c r="SF142" s="37"/>
      <c r="SG142" s="37"/>
      <c r="SH142" s="37"/>
      <c r="SI142" s="37"/>
      <c r="SJ142" s="37"/>
      <c r="SK142" s="37"/>
      <c r="SL142" s="37"/>
      <c r="SM142" s="37"/>
      <c r="SN142" s="37"/>
      <c r="SO142" s="37"/>
      <c r="SP142" s="37"/>
      <c r="SQ142" s="37"/>
      <c r="SR142" s="37"/>
      <c r="SS142" s="37"/>
      <c r="ST142" s="37"/>
      <c r="SU142" s="37"/>
      <c r="SV142" s="37"/>
      <c r="SW142" s="37"/>
      <c r="SX142" s="37"/>
      <c r="SY142" s="37"/>
      <c r="SZ142" s="37"/>
      <c r="TA142" s="37"/>
      <c r="TB142" s="37"/>
      <c r="TC142" s="37"/>
      <c r="TD142" s="37"/>
      <c r="TE142" s="37"/>
      <c r="TF142" s="37"/>
      <c r="TG142" s="37"/>
      <c r="TH142" s="37"/>
      <c r="TI142" s="37"/>
      <c r="TJ142" s="37"/>
      <c r="TK142" s="37"/>
      <c r="TL142" s="37"/>
      <c r="TM142" s="37"/>
      <c r="TN142" s="37"/>
      <c r="TO142" s="37"/>
      <c r="TP142" s="37"/>
      <c r="TQ142" s="37"/>
      <c r="TR142" s="37"/>
      <c r="TS142" s="37"/>
      <c r="TT142" s="37"/>
      <c r="TU142" s="37"/>
      <c r="TV142" s="37"/>
      <c r="TW142" s="37"/>
      <c r="TX142" s="37"/>
      <c r="TY142" s="37"/>
      <c r="TZ142" s="37"/>
      <c r="UA142" s="37"/>
      <c r="UB142" s="37"/>
      <c r="UC142" s="37"/>
      <c r="UD142" s="37"/>
      <c r="UE142" s="37"/>
      <c r="UF142" s="37"/>
      <c r="UG142" s="37"/>
      <c r="UH142" s="37"/>
      <c r="UI142" s="37"/>
      <c r="UJ142" s="37"/>
      <c r="UK142" s="37"/>
      <c r="UL142" s="37"/>
      <c r="UM142" s="37"/>
      <c r="UN142" s="37"/>
      <c r="UO142" s="37"/>
      <c r="UP142" s="37"/>
      <c r="UQ142" s="37"/>
      <c r="UR142" s="37"/>
      <c r="US142" s="37"/>
      <c r="UT142" s="37"/>
      <c r="UU142" s="37"/>
      <c r="UV142" s="37"/>
      <c r="UW142" s="37"/>
      <c r="UX142" s="37"/>
      <c r="UY142" s="37"/>
      <c r="UZ142" s="37"/>
      <c r="VA142" s="37"/>
      <c r="VB142" s="37"/>
      <c r="VC142" s="37"/>
      <c r="VD142" s="37"/>
      <c r="VE142" s="37"/>
      <c r="VF142" s="37"/>
      <c r="VG142" s="37"/>
      <c r="VH142" s="37"/>
      <c r="VI142" s="37"/>
      <c r="VJ142" s="37"/>
      <c r="VK142" s="37"/>
      <c r="VL142" s="37"/>
      <c r="VM142" s="37"/>
      <c r="VN142" s="37"/>
      <c r="VO142" s="37"/>
      <c r="VP142" s="37"/>
      <c r="VQ142" s="37"/>
      <c r="VR142" s="37"/>
      <c r="VS142" s="37"/>
      <c r="VT142" s="37"/>
      <c r="VU142" s="37"/>
      <c r="VV142" s="37"/>
      <c r="VW142" s="37"/>
      <c r="VX142" s="37"/>
      <c r="VY142" s="37"/>
      <c r="VZ142" s="37"/>
      <c r="WA142" s="37"/>
      <c r="WB142" s="37"/>
      <c r="WC142" s="37"/>
      <c r="WD142" s="37"/>
      <c r="WE142" s="37"/>
      <c r="WF142" s="37"/>
      <c r="WG142" s="37"/>
      <c r="WH142" s="37"/>
      <c r="WI142" s="37"/>
      <c r="WJ142" s="37"/>
      <c r="WK142" s="37"/>
      <c r="WL142" s="37"/>
      <c r="WM142" s="37"/>
      <c r="WN142" s="37"/>
      <c r="WO142" s="37"/>
      <c r="WP142" s="37"/>
      <c r="WQ142" s="37"/>
      <c r="WR142" s="37"/>
      <c r="WS142" s="37"/>
      <c r="WT142" s="37"/>
      <c r="WU142" s="37"/>
      <c r="WV142" s="37"/>
      <c r="WW142" s="37"/>
      <c r="WX142" s="37"/>
      <c r="WY142" s="37"/>
      <c r="WZ142" s="37"/>
      <c r="XA142" s="37"/>
      <c r="XB142" s="37"/>
      <c r="XC142" s="37"/>
      <c r="XD142" s="37"/>
      <c r="XE142" s="37"/>
      <c r="XF142" s="37"/>
      <c r="XG142" s="37"/>
      <c r="XH142" s="37"/>
      <c r="XI142" s="37"/>
      <c r="XJ142" s="37"/>
      <c r="XK142" s="37"/>
      <c r="XL142" s="37"/>
      <c r="XM142" s="37"/>
      <c r="XN142" s="37"/>
      <c r="XO142" s="37"/>
      <c r="XP142" s="37"/>
      <c r="XQ142" s="37"/>
      <c r="XR142" s="37"/>
      <c r="XS142" s="37"/>
      <c r="XT142" s="37"/>
      <c r="XU142" s="37"/>
      <c r="XV142" s="37"/>
      <c r="XW142" s="37"/>
      <c r="XX142" s="37"/>
      <c r="XY142" s="37"/>
      <c r="XZ142" s="37"/>
      <c r="YA142" s="37"/>
      <c r="YB142" s="37"/>
      <c r="YC142" s="37"/>
      <c r="YD142" s="37"/>
      <c r="YE142" s="37"/>
      <c r="YF142" s="37"/>
      <c r="YG142" s="37"/>
      <c r="YH142" s="37"/>
      <c r="YI142" s="37"/>
      <c r="YJ142" s="37"/>
      <c r="YK142" s="37"/>
      <c r="YL142" s="37"/>
      <c r="YM142" s="37"/>
      <c r="YN142" s="37"/>
      <c r="YO142" s="37"/>
      <c r="YP142" s="37"/>
      <c r="YQ142" s="37"/>
      <c r="YR142" s="37"/>
      <c r="YS142" s="37"/>
      <c r="YT142" s="37"/>
      <c r="YU142" s="37"/>
      <c r="YV142" s="37"/>
      <c r="YW142" s="37"/>
      <c r="YX142" s="37"/>
      <c r="YY142" s="37"/>
      <c r="YZ142" s="37"/>
      <c r="ZA142" s="37"/>
      <c r="ZB142" s="37"/>
      <c r="ZC142" s="37"/>
      <c r="ZD142" s="37"/>
      <c r="ZE142" s="37"/>
      <c r="ZF142" s="37"/>
      <c r="ZG142" s="37"/>
      <c r="ZH142" s="37"/>
      <c r="ZI142" s="37"/>
      <c r="ZJ142" s="37"/>
      <c r="ZK142" s="37"/>
      <c r="ZL142" s="37"/>
      <c r="ZM142" s="37"/>
      <c r="ZN142" s="37"/>
      <c r="ZO142" s="37"/>
      <c r="ZP142" s="37"/>
      <c r="ZQ142" s="37"/>
      <c r="ZR142" s="37"/>
      <c r="ZS142" s="37"/>
      <c r="ZT142" s="37"/>
      <c r="ZU142" s="37"/>
      <c r="ZV142" s="37"/>
      <c r="ZW142" s="37"/>
      <c r="ZX142" s="37"/>
      <c r="ZY142" s="37"/>
      <c r="ZZ142" s="37"/>
      <c r="AAA142" s="37"/>
      <c r="AAB142" s="37"/>
      <c r="AAC142" s="37"/>
      <c r="AAD142" s="37"/>
      <c r="AAE142" s="37"/>
      <c r="AAF142" s="37"/>
      <c r="AAG142" s="37"/>
      <c r="AAH142" s="37"/>
      <c r="AAI142" s="37"/>
      <c r="AAJ142" s="37"/>
      <c r="AAK142" s="37"/>
      <c r="AAL142" s="37"/>
      <c r="AAM142" s="37"/>
      <c r="AAN142" s="37"/>
      <c r="AAO142" s="37"/>
      <c r="AAP142" s="37"/>
      <c r="AAQ142" s="37"/>
      <c r="AAR142" s="37"/>
      <c r="AAS142" s="37"/>
      <c r="AAT142" s="37"/>
      <c r="AAU142" s="37"/>
      <c r="AAV142" s="37"/>
      <c r="AAW142" s="37"/>
      <c r="AAX142" s="37"/>
      <c r="AAY142" s="37"/>
      <c r="AAZ142" s="37"/>
      <c r="ABA142" s="37"/>
      <c r="ABB142" s="37"/>
      <c r="ABC142" s="37"/>
      <c r="ABD142" s="37"/>
      <c r="ABE142" s="37"/>
      <c r="ABF142" s="37"/>
      <c r="ABG142" s="37"/>
      <c r="ABH142" s="37"/>
      <c r="ABI142" s="37"/>
      <c r="ABJ142" s="37"/>
      <c r="ABK142" s="37"/>
      <c r="ABL142" s="37"/>
      <c r="ABM142" s="37"/>
      <c r="ABN142" s="37"/>
      <c r="ABO142" s="37"/>
      <c r="ABP142" s="37"/>
      <c r="ABQ142" s="37"/>
      <c r="ABR142" s="37"/>
      <c r="ABS142" s="37"/>
      <c r="ABT142" s="37"/>
      <c r="ABU142" s="37"/>
      <c r="ABV142" s="37"/>
      <c r="ABW142" s="37"/>
      <c r="ABX142" s="37"/>
      <c r="ABY142" s="37"/>
      <c r="ABZ142" s="37"/>
      <c r="ACA142" s="37"/>
      <c r="ACB142" s="37"/>
      <c r="ACC142" s="37"/>
      <c r="ACD142" s="37"/>
      <c r="ACE142" s="37"/>
      <c r="ACF142" s="37"/>
      <c r="ACG142" s="37"/>
      <c r="ACH142" s="37"/>
      <c r="ACI142" s="37"/>
      <c r="ACJ142" s="37"/>
      <c r="ACK142" s="37"/>
      <c r="ACL142" s="37"/>
      <c r="ACM142" s="37"/>
      <c r="ACN142" s="37"/>
      <c r="ACO142" s="37"/>
      <c r="ACP142" s="37"/>
      <c r="ACQ142" s="37"/>
      <c r="ACR142" s="37"/>
      <c r="ACS142" s="37"/>
      <c r="ACT142" s="37"/>
      <c r="ACU142" s="37"/>
      <c r="ACV142" s="37"/>
      <c r="ACW142" s="37"/>
      <c r="ACX142" s="37"/>
      <c r="ACY142" s="37"/>
      <c r="ACZ142" s="37"/>
      <c r="ADA142" s="37"/>
      <c r="ADB142" s="37"/>
      <c r="ADC142" s="37"/>
      <c r="ADD142" s="37"/>
      <c r="ADE142" s="37"/>
      <c r="ADF142" s="37"/>
      <c r="ADG142" s="37"/>
      <c r="ADH142" s="37"/>
      <c r="ADI142" s="37"/>
      <c r="ADJ142" s="37"/>
      <c r="ADK142" s="37"/>
      <c r="ADL142" s="37"/>
      <c r="ADM142" s="37"/>
      <c r="ADN142" s="37"/>
      <c r="ADO142" s="37"/>
      <c r="ADP142" s="37"/>
      <c r="ADQ142" s="37"/>
      <c r="ADR142" s="37"/>
      <c r="ADS142" s="37"/>
      <c r="ADT142" s="37"/>
      <c r="ADU142" s="37"/>
      <c r="ADV142" s="37"/>
      <c r="ADW142" s="37"/>
      <c r="ADX142" s="37"/>
      <c r="ADY142" s="37"/>
      <c r="ADZ142" s="37"/>
      <c r="AEA142" s="37"/>
      <c r="AEB142" s="37"/>
      <c r="AEC142" s="37"/>
      <c r="AED142" s="37"/>
      <c r="AEE142" s="37"/>
      <c r="AEF142" s="37"/>
      <c r="AEG142" s="37"/>
      <c r="AEH142" s="37"/>
      <c r="AEI142" s="37"/>
      <c r="AEJ142" s="37"/>
      <c r="AEK142" s="37"/>
      <c r="AEL142" s="37"/>
      <c r="AEM142" s="37"/>
      <c r="AEN142" s="37"/>
      <c r="AEO142" s="37"/>
      <c r="AEP142" s="37"/>
      <c r="AEQ142" s="37"/>
      <c r="AER142" s="37"/>
      <c r="AES142" s="37"/>
      <c r="AET142" s="37"/>
      <c r="AEU142" s="37"/>
      <c r="AEV142" s="37"/>
      <c r="AEW142" s="37"/>
      <c r="AEX142" s="37"/>
      <c r="AEY142" s="37"/>
      <c r="AEZ142" s="37"/>
      <c r="AFA142" s="37"/>
      <c r="AFB142" s="37"/>
      <c r="AFC142" s="37"/>
      <c r="AFD142" s="37"/>
      <c r="AFE142" s="37"/>
      <c r="AFF142" s="37"/>
      <c r="AFG142" s="37"/>
      <c r="AFH142" s="37"/>
      <c r="AFI142" s="37"/>
      <c r="AFJ142" s="37"/>
      <c r="AFK142" s="37"/>
      <c r="AFL142" s="37"/>
      <c r="AFM142" s="37"/>
      <c r="AFN142" s="37"/>
      <c r="AFO142" s="37"/>
      <c r="AFP142" s="37"/>
      <c r="AFQ142" s="37"/>
      <c r="AFR142" s="37"/>
      <c r="AFS142" s="37"/>
      <c r="AFT142" s="37"/>
      <c r="AFU142" s="37"/>
      <c r="AFV142" s="37"/>
      <c r="AFW142" s="37"/>
      <c r="AFX142" s="37"/>
      <c r="AFY142" s="37"/>
      <c r="AFZ142" s="37"/>
      <c r="AGA142" s="37"/>
      <c r="AGB142" s="37"/>
      <c r="AGC142" s="37"/>
      <c r="AGD142" s="37"/>
      <c r="AGE142" s="37"/>
      <c r="AGF142" s="37"/>
      <c r="AGG142" s="37"/>
      <c r="AGH142" s="37"/>
      <c r="AGI142" s="37"/>
      <c r="AGJ142" s="37"/>
      <c r="AGK142" s="37"/>
      <c r="AGL142" s="37"/>
      <c r="AGM142" s="37"/>
      <c r="AGN142" s="37"/>
      <c r="AGO142" s="37"/>
      <c r="AGP142" s="37"/>
      <c r="AGQ142" s="37"/>
      <c r="AGR142" s="37"/>
      <c r="AGS142" s="37"/>
      <c r="AGT142" s="37"/>
      <c r="AGU142" s="37"/>
      <c r="AGV142" s="37"/>
      <c r="AGW142" s="37"/>
      <c r="AGX142" s="37"/>
      <c r="AGY142" s="37"/>
      <c r="AGZ142" s="37"/>
      <c r="AHA142" s="37"/>
      <c r="AHB142" s="37"/>
      <c r="AHC142" s="37"/>
      <c r="AHD142" s="37"/>
      <c r="AHE142" s="37"/>
      <c r="AHF142" s="37"/>
      <c r="AHG142" s="37"/>
      <c r="AHH142" s="37"/>
      <c r="AHI142" s="37"/>
      <c r="AHJ142" s="37"/>
      <c r="AHK142" s="37"/>
      <c r="AHL142" s="37"/>
      <c r="AHM142" s="37"/>
      <c r="AHN142" s="37"/>
      <c r="AHO142" s="37"/>
      <c r="AHP142" s="37"/>
      <c r="AHQ142" s="37"/>
      <c r="AHR142" s="37"/>
      <c r="AHS142" s="37"/>
      <c r="AHT142" s="37"/>
      <c r="AHU142" s="37"/>
      <c r="AHV142" s="37"/>
      <c r="AHW142" s="37"/>
      <c r="AHX142" s="37"/>
      <c r="AHY142" s="37"/>
      <c r="AHZ142" s="37"/>
      <c r="AIA142" s="37"/>
      <c r="AIB142" s="37"/>
      <c r="AIC142" s="37"/>
      <c r="AID142" s="37"/>
      <c r="AIE142" s="37"/>
      <c r="AIF142" s="37"/>
      <c r="AIG142" s="37"/>
      <c r="AIH142" s="37"/>
      <c r="AII142" s="37"/>
      <c r="AIJ142" s="37"/>
      <c r="AIK142" s="37"/>
      <c r="AIL142" s="37"/>
      <c r="AIM142" s="37"/>
      <c r="AIN142" s="37"/>
      <c r="AIO142" s="37"/>
      <c r="AIP142" s="37"/>
      <c r="AIQ142" s="37"/>
      <c r="AIR142" s="37"/>
      <c r="AIS142" s="37"/>
      <c r="AIT142" s="37"/>
      <c r="AIU142" s="37"/>
      <c r="AIV142" s="37"/>
      <c r="AIW142" s="37"/>
      <c r="AIX142" s="37"/>
      <c r="AIY142" s="37"/>
      <c r="AIZ142" s="37"/>
      <c r="AJA142" s="37"/>
      <c r="AJB142" s="37"/>
      <c r="AJC142" s="37"/>
      <c r="AJD142" s="37"/>
      <c r="AJE142" s="37"/>
      <c r="AJF142" s="37"/>
      <c r="AJG142" s="37"/>
      <c r="AJH142" s="37"/>
      <c r="AJI142" s="37"/>
      <c r="AJJ142" s="37"/>
      <c r="AJK142" s="37"/>
      <c r="AJL142" s="37"/>
      <c r="AJM142" s="37"/>
      <c r="AJN142" s="37"/>
      <c r="AJO142" s="37"/>
      <c r="AJP142" s="37"/>
      <c r="AJQ142" s="37"/>
      <c r="AJR142" s="37"/>
      <c r="AJS142" s="37"/>
      <c r="AJT142" s="37"/>
      <c r="AJU142" s="37"/>
      <c r="AJV142" s="37"/>
      <c r="AJW142" s="37"/>
      <c r="AJX142" s="37"/>
      <c r="AJY142" s="37"/>
      <c r="AJZ142" s="37"/>
      <c r="AKA142" s="37"/>
      <c r="AKB142" s="37"/>
      <c r="AKC142" s="37"/>
      <c r="AKD142" s="37"/>
      <c r="AKE142" s="37"/>
      <c r="AKF142" s="37"/>
      <c r="AKG142" s="37"/>
      <c r="AKH142" s="37"/>
      <c r="AKI142" s="37"/>
      <c r="AKJ142" s="37"/>
      <c r="AKK142" s="37"/>
      <c r="AKL142" s="37"/>
      <c r="AKM142" s="37"/>
      <c r="AKN142" s="37"/>
      <c r="AKO142" s="37"/>
      <c r="AKP142" s="37"/>
      <c r="AKQ142" s="37"/>
      <c r="AKR142" s="37"/>
      <c r="AKS142" s="37"/>
      <c r="AKT142" s="37"/>
      <c r="AKU142" s="37"/>
      <c r="AKV142" s="37"/>
      <c r="AKW142" s="37"/>
      <c r="AKX142" s="37"/>
      <c r="AKY142" s="37"/>
      <c r="AKZ142" s="37"/>
      <c r="ALA142" s="37"/>
      <c r="ALB142" s="37"/>
      <c r="ALC142" s="37"/>
      <c r="ALD142" s="37"/>
      <c r="ALE142" s="37"/>
      <c r="ALF142" s="37"/>
      <c r="ALG142" s="37"/>
      <c r="ALH142" s="37"/>
      <c r="ALI142" s="37"/>
      <c r="ALJ142" s="37"/>
      <c r="ALK142" s="37"/>
      <c r="ALL142" s="37"/>
      <c r="ALM142" s="37"/>
      <c r="ALN142" s="37"/>
      <c r="ALO142" s="37"/>
      <c r="ALP142" s="37"/>
      <c r="ALQ142" s="37"/>
      <c r="ALR142" s="37"/>
    </row>
    <row r="143" spans="2:1006" x14ac:dyDescent="0.35">
      <c r="C143" s="20" t="s">
        <v>376</v>
      </c>
    </row>
    <row r="144" spans="2:1006" x14ac:dyDescent="0.35">
      <c r="D144" s="20" t="s">
        <v>377</v>
      </c>
      <c r="K144" s="35">
        <f>'Operating Model'!K151</f>
        <v>0</v>
      </c>
      <c r="L144" s="35">
        <f>'Operating Model'!L151</f>
        <v>0</v>
      </c>
      <c r="M144" s="35">
        <f>'Operating Model'!M151</f>
        <v>0</v>
      </c>
      <c r="N144" s="35">
        <f>'Operating Model'!N151</f>
        <v>0</v>
      </c>
      <c r="O144" s="35">
        <f>'Operating Model'!O151</f>
        <v>0</v>
      </c>
      <c r="P144" s="35">
        <f>'Operating Model'!P151</f>
        <v>0</v>
      </c>
      <c r="Q144" s="35">
        <f>'Operating Model'!Q151</f>
        <v>0</v>
      </c>
      <c r="R144" s="35">
        <f>'Operating Model'!R151</f>
        <v>0</v>
      </c>
      <c r="S144" s="35">
        <f>'Operating Model'!S151</f>
        <v>0</v>
      </c>
      <c r="T144" s="35">
        <f>'Operating Model'!T151</f>
        <v>2.5000000000000001E-2</v>
      </c>
      <c r="U144" s="35">
        <f>'Operating Model'!U151</f>
        <v>2.5000000000000001E-2</v>
      </c>
      <c r="V144" s="35">
        <f>'Operating Model'!V151</f>
        <v>2.5000000000000001E-2</v>
      </c>
      <c r="W144" s="35">
        <f>'Operating Model'!W151</f>
        <v>2.5000000000000001E-2</v>
      </c>
      <c r="X144" s="35">
        <f>'Operating Model'!X151</f>
        <v>2.5000000000000001E-2</v>
      </c>
      <c r="Y144" s="35">
        <f>'Operating Model'!Y151</f>
        <v>2.5000000000000001E-2</v>
      </c>
      <c r="Z144" s="35">
        <f>'Operating Model'!Z151</f>
        <v>2.5000000000000001E-2</v>
      </c>
      <c r="AA144" s="35">
        <f>'Operating Model'!AA151</f>
        <v>2.5000000000000001E-2</v>
      </c>
      <c r="AB144" s="35">
        <f>'Operating Model'!AB151</f>
        <v>2.5000000000000001E-2</v>
      </c>
      <c r="AC144" s="35">
        <f>'Operating Model'!AC151</f>
        <v>2.5000000000000001E-2</v>
      </c>
      <c r="AD144" s="35">
        <f>'Operating Model'!AD151</f>
        <v>2.5000000000000001E-2</v>
      </c>
      <c r="AE144" s="35">
        <f>'Operating Model'!AE151</f>
        <v>2.5000000000000001E-2</v>
      </c>
      <c r="AF144" s="35">
        <f>'Operating Model'!AF151</f>
        <v>2.5000000000000001E-2</v>
      </c>
      <c r="AG144" s="35">
        <f>'Operating Model'!AG151</f>
        <v>2.5000000000000001E-2</v>
      </c>
      <c r="AH144" s="35">
        <f>'Operating Model'!AH151</f>
        <v>2.5000000000000001E-2</v>
      </c>
      <c r="AI144" s="35">
        <f>'Operating Model'!AI151</f>
        <v>2.5000000000000001E-2</v>
      </c>
      <c r="AJ144" s="35">
        <f>'Operating Model'!AJ151</f>
        <v>2.5000000000000001E-2</v>
      </c>
      <c r="AK144" s="35">
        <f>'Operating Model'!AK151</f>
        <v>2.5000000000000001E-2</v>
      </c>
      <c r="AL144" s="35">
        <f>'Operating Model'!AL151</f>
        <v>2.5000000000000001E-2</v>
      </c>
      <c r="AM144" s="35">
        <f>'Operating Model'!AM151</f>
        <v>2.5000000000000001E-2</v>
      </c>
      <c r="AN144" s="35">
        <f>'Operating Model'!AN151</f>
        <v>2.5000000000000001E-2</v>
      </c>
      <c r="AO144" s="35">
        <f>'Operating Model'!AO151</f>
        <v>2.5000000000000001E-2</v>
      </c>
      <c r="AP144" s="35">
        <f>'Operating Model'!AP151</f>
        <v>2.5000000000000001E-2</v>
      </c>
      <c r="AQ144" s="35">
        <f>'Operating Model'!AQ151</f>
        <v>2.5000000000000001E-2</v>
      </c>
      <c r="AR144" s="35">
        <f>'Operating Model'!AR151</f>
        <v>2.5000000000000001E-2</v>
      </c>
      <c r="AS144" s="35">
        <f>'Operating Model'!AS151</f>
        <v>2.5000000000000001E-2</v>
      </c>
      <c r="AT144" s="35">
        <f>'Operating Model'!AT151</f>
        <v>2.5000000000000001E-2</v>
      </c>
      <c r="AU144" s="35">
        <f>'Operating Model'!AU151</f>
        <v>2.5000000000000001E-2</v>
      </c>
      <c r="AV144" s="35">
        <f>'Operating Model'!AV151</f>
        <v>2.5000000000000001E-2</v>
      </c>
      <c r="AW144" s="35">
        <f>'Operating Model'!AW151</f>
        <v>2.5000000000000001E-2</v>
      </c>
      <c r="AX144" s="35">
        <f>'Operating Model'!AX151</f>
        <v>2.5000000000000001E-2</v>
      </c>
      <c r="AY144" s="35">
        <f>'Operating Model'!AY151</f>
        <v>2.5000000000000001E-2</v>
      </c>
      <c r="AZ144" s="35">
        <f>'Operating Model'!AZ151</f>
        <v>2.5000000000000001E-2</v>
      </c>
      <c r="BA144" s="35">
        <f>'Operating Model'!BA151</f>
        <v>2.5000000000000001E-2</v>
      </c>
      <c r="BB144" s="35">
        <f>'Operating Model'!BB151</f>
        <v>2.5000000000000001E-2</v>
      </c>
      <c r="BC144" s="35">
        <f>'Operating Model'!BC151</f>
        <v>2.5000000000000001E-2</v>
      </c>
      <c r="BD144" s="35">
        <f>'Operating Model'!BD151</f>
        <v>2.5000000000000001E-2</v>
      </c>
      <c r="BE144" s="35">
        <f>'Operating Model'!BE151</f>
        <v>2.5000000000000001E-2</v>
      </c>
      <c r="BF144" s="35">
        <f>'Operating Model'!BF151</f>
        <v>2.5000000000000001E-2</v>
      </c>
      <c r="BG144" s="35">
        <f>'Operating Model'!BG151</f>
        <v>2.4999999999999398E-2</v>
      </c>
      <c r="BH144" s="35">
        <f>'Operating Model'!BH151</f>
        <v>0</v>
      </c>
      <c r="BI144" s="35">
        <f>'Operating Model'!BI151</f>
        <v>0</v>
      </c>
      <c r="BJ144" s="35">
        <f>'Operating Model'!BJ151</f>
        <v>0</v>
      </c>
      <c r="BK144" s="35">
        <f>'Operating Model'!BK151</f>
        <v>0</v>
      </c>
      <c r="BL144" s="35">
        <f>'Operating Model'!BL151</f>
        <v>0</v>
      </c>
      <c r="BM144" s="35">
        <f>'Operating Model'!BM151</f>
        <v>0</v>
      </c>
      <c r="BN144" s="35">
        <f>'Operating Model'!BN151</f>
        <v>0</v>
      </c>
      <c r="BO144" s="35">
        <f>'Operating Model'!BO151</f>
        <v>0</v>
      </c>
      <c r="BP144" s="35">
        <f>'Operating Model'!BP151</f>
        <v>0</v>
      </c>
      <c r="BQ144" s="35">
        <f>'Operating Model'!BQ151</f>
        <v>0</v>
      </c>
      <c r="BR144" s="35">
        <f>'Operating Model'!BR151</f>
        <v>0</v>
      </c>
      <c r="BS144" s="35">
        <f>'Operating Model'!BS151</f>
        <v>0</v>
      </c>
      <c r="BT144" s="35">
        <f>'Operating Model'!BT151</f>
        <v>0</v>
      </c>
      <c r="BU144" s="35">
        <f>'Operating Model'!BU151</f>
        <v>0</v>
      </c>
      <c r="BV144" s="35">
        <f>'Operating Model'!BV151</f>
        <v>0</v>
      </c>
      <c r="BW144" s="35">
        <f>'Operating Model'!BW151</f>
        <v>0</v>
      </c>
      <c r="BX144" s="35">
        <f>'Operating Model'!BX151</f>
        <v>0</v>
      </c>
      <c r="BY144" s="35">
        <f>'Operating Model'!BY151</f>
        <v>0</v>
      </c>
      <c r="BZ144" s="35">
        <f>'Operating Model'!BZ151</f>
        <v>0</v>
      </c>
      <c r="CA144" s="35">
        <f>'Operating Model'!CA151</f>
        <v>0</v>
      </c>
      <c r="CB144" s="35">
        <f>'Operating Model'!CB151</f>
        <v>0</v>
      </c>
      <c r="CC144" s="35">
        <f>'Operating Model'!CC151</f>
        <v>0</v>
      </c>
      <c r="CD144" s="35">
        <f>'Operating Model'!CD151</f>
        <v>0</v>
      </c>
      <c r="CE144" s="35">
        <f>'Operating Model'!CE151</f>
        <v>0</v>
      </c>
      <c r="CF144" s="35">
        <f>'Operating Model'!CF151</f>
        <v>0</v>
      </c>
      <c r="CG144" s="35">
        <f>'Operating Model'!CG151</f>
        <v>0</v>
      </c>
      <c r="CH144" s="35">
        <f>'Operating Model'!CH151</f>
        <v>0</v>
      </c>
      <c r="CI144" s="35">
        <f>'Operating Model'!CI151</f>
        <v>0</v>
      </c>
      <c r="CJ144" s="35">
        <f>'Operating Model'!CJ151</f>
        <v>0</v>
      </c>
      <c r="CK144" s="35">
        <f>'Operating Model'!CK151</f>
        <v>0</v>
      </c>
      <c r="CL144" s="35">
        <f>'Operating Model'!CL151</f>
        <v>0</v>
      </c>
      <c r="CM144" s="35">
        <f>'Operating Model'!CM151</f>
        <v>0</v>
      </c>
      <c r="CN144" s="35">
        <f>'Operating Model'!CN151</f>
        <v>0</v>
      </c>
      <c r="CO144" s="35">
        <f>'Operating Model'!CO151</f>
        <v>0</v>
      </c>
      <c r="CP144" s="35">
        <f>'Operating Model'!CP151</f>
        <v>0</v>
      </c>
      <c r="CQ144" s="35">
        <f>'Operating Model'!CQ151</f>
        <v>0</v>
      </c>
      <c r="CR144" s="35">
        <f>'Operating Model'!CR151</f>
        <v>0</v>
      </c>
      <c r="CS144" s="35">
        <f>'Operating Model'!CS151</f>
        <v>0</v>
      </c>
      <c r="CT144" s="35">
        <f>'Operating Model'!CT151</f>
        <v>0</v>
      </c>
      <c r="CU144" s="35">
        <f>'Operating Model'!CU151</f>
        <v>0</v>
      </c>
      <c r="CV144" s="35">
        <f>'Operating Model'!CV151</f>
        <v>0</v>
      </c>
      <c r="CW144" s="35">
        <f>'Operating Model'!CW151</f>
        <v>0</v>
      </c>
      <c r="CX144" s="35">
        <f>'Operating Model'!CX151</f>
        <v>0</v>
      </c>
      <c r="CY144" s="35">
        <f>'Operating Model'!CY151</f>
        <v>0</v>
      </c>
      <c r="CZ144" s="35">
        <f>'Operating Model'!CZ151</f>
        <v>0</v>
      </c>
      <c r="DA144" s="35">
        <f>'Operating Model'!DA151</f>
        <v>0</v>
      </c>
      <c r="DB144" s="35">
        <f>'Operating Model'!DB151</f>
        <v>0</v>
      </c>
      <c r="DC144" s="35">
        <f>'Operating Model'!DC151</f>
        <v>0</v>
      </c>
      <c r="DD144" s="35">
        <f>'Operating Model'!DD151</f>
        <v>0</v>
      </c>
      <c r="DE144" s="35">
        <f>'Operating Model'!DE151</f>
        <v>0</v>
      </c>
      <c r="DF144" s="35">
        <f>'Operating Model'!DF151</f>
        <v>0</v>
      </c>
      <c r="DG144" s="35">
        <f>'Operating Model'!DG151</f>
        <v>0</v>
      </c>
      <c r="DH144" s="35">
        <f>'Operating Model'!DH151</f>
        <v>0</v>
      </c>
      <c r="DI144" s="35">
        <f>'Operating Model'!DI151</f>
        <v>0</v>
      </c>
      <c r="DJ144" s="35">
        <f>'Operating Model'!DJ151</f>
        <v>0</v>
      </c>
      <c r="DK144" s="35">
        <f>'Operating Model'!DK151</f>
        <v>0</v>
      </c>
      <c r="DL144" s="35">
        <f>'Operating Model'!DL151</f>
        <v>0</v>
      </c>
      <c r="DM144" s="35">
        <f>'Operating Model'!DM151</f>
        <v>0</v>
      </c>
      <c r="DN144" s="35">
        <f>'Operating Model'!DN151</f>
        <v>0</v>
      </c>
      <c r="DO144" s="35">
        <f>'Operating Model'!DO151</f>
        <v>0</v>
      </c>
      <c r="DP144" s="35">
        <f>'Operating Model'!DP151</f>
        <v>0</v>
      </c>
      <c r="DQ144" s="35">
        <f>'Operating Model'!DQ151</f>
        <v>0</v>
      </c>
    </row>
    <row r="145" spans="4:121" x14ac:dyDescent="0.35">
      <c r="D145" s="20" t="s">
        <v>378</v>
      </c>
      <c r="K145" s="45">
        <f>'Operating Model'!K154</f>
        <v>0</v>
      </c>
      <c r="L145" s="45">
        <f>'Operating Model'!L154</f>
        <v>0</v>
      </c>
      <c r="M145" s="45">
        <f>'Operating Model'!M154</f>
        <v>0</v>
      </c>
      <c r="N145" s="45">
        <f>'Operating Model'!N154</f>
        <v>0</v>
      </c>
      <c r="O145" s="45">
        <f>'Operating Model'!O154</f>
        <v>0</v>
      </c>
      <c r="P145" s="45">
        <f>'Operating Model'!P154</f>
        <v>0</v>
      </c>
      <c r="Q145" s="45">
        <f>'Operating Model'!Q154</f>
        <v>0</v>
      </c>
      <c r="R145" s="45">
        <f>'Operating Model'!R154</f>
        <v>0</v>
      </c>
      <c r="S145" s="45">
        <f>'Operating Model'!S154</f>
        <v>0</v>
      </c>
      <c r="T145" s="45">
        <f>'Operating Model'!T154</f>
        <v>115050</v>
      </c>
      <c r="U145" s="45">
        <f>'Operating Model'!U154</f>
        <v>115050</v>
      </c>
      <c r="V145" s="45">
        <f>'Operating Model'!V154</f>
        <v>115050</v>
      </c>
      <c r="W145" s="45">
        <f>'Operating Model'!W154</f>
        <v>115050</v>
      </c>
      <c r="X145" s="45">
        <f>'Operating Model'!X154</f>
        <v>115050</v>
      </c>
      <c r="Y145" s="45">
        <f>'Operating Model'!Y154</f>
        <v>115050</v>
      </c>
      <c r="Z145" s="45">
        <f>'Operating Model'!Z154</f>
        <v>115050</v>
      </c>
      <c r="AA145" s="45">
        <f>'Operating Model'!AA154</f>
        <v>115050</v>
      </c>
      <c r="AB145" s="45">
        <f>'Operating Model'!AB154</f>
        <v>115050</v>
      </c>
      <c r="AC145" s="45">
        <f>'Operating Model'!AC154</f>
        <v>115050</v>
      </c>
      <c r="AD145" s="45">
        <f>'Operating Model'!AD154</f>
        <v>115050</v>
      </c>
      <c r="AE145" s="45">
        <f>'Operating Model'!AE154</f>
        <v>115050</v>
      </c>
      <c r="AF145" s="45">
        <f>'Operating Model'!AF154</f>
        <v>115050</v>
      </c>
      <c r="AG145" s="45">
        <f>'Operating Model'!AG154</f>
        <v>115050</v>
      </c>
      <c r="AH145" s="45">
        <f>'Operating Model'!AH154</f>
        <v>115050</v>
      </c>
      <c r="AI145" s="45">
        <f>'Operating Model'!AI154</f>
        <v>115050</v>
      </c>
      <c r="AJ145" s="45">
        <f>'Operating Model'!AJ154</f>
        <v>115050</v>
      </c>
      <c r="AK145" s="45">
        <f>'Operating Model'!AK154</f>
        <v>115050</v>
      </c>
      <c r="AL145" s="45">
        <f>'Operating Model'!AL154</f>
        <v>115050</v>
      </c>
      <c r="AM145" s="45">
        <f>'Operating Model'!AM154</f>
        <v>115050</v>
      </c>
      <c r="AN145" s="45">
        <f>'Operating Model'!AN154</f>
        <v>115050</v>
      </c>
      <c r="AO145" s="45">
        <f>'Operating Model'!AO154</f>
        <v>115050</v>
      </c>
      <c r="AP145" s="45">
        <f>'Operating Model'!AP154</f>
        <v>115050</v>
      </c>
      <c r="AQ145" s="45">
        <f>'Operating Model'!AQ154</f>
        <v>115050</v>
      </c>
      <c r="AR145" s="45">
        <f>'Operating Model'!AR154</f>
        <v>115050</v>
      </c>
      <c r="AS145" s="45">
        <f>'Operating Model'!AS154</f>
        <v>115050</v>
      </c>
      <c r="AT145" s="45">
        <f>'Operating Model'!AT154</f>
        <v>115050</v>
      </c>
      <c r="AU145" s="45">
        <f>'Operating Model'!AU154</f>
        <v>115050</v>
      </c>
      <c r="AV145" s="45">
        <f>'Operating Model'!AV154</f>
        <v>115050</v>
      </c>
      <c r="AW145" s="45">
        <f>'Operating Model'!AW154</f>
        <v>115050</v>
      </c>
      <c r="AX145" s="45">
        <f>'Operating Model'!AX154</f>
        <v>115050</v>
      </c>
      <c r="AY145" s="45">
        <f>'Operating Model'!AY154</f>
        <v>115050</v>
      </c>
      <c r="AZ145" s="45">
        <f>'Operating Model'!AZ154</f>
        <v>115050</v>
      </c>
      <c r="BA145" s="45">
        <f>'Operating Model'!BA154</f>
        <v>115050</v>
      </c>
      <c r="BB145" s="45">
        <f>'Operating Model'!BB154</f>
        <v>115050</v>
      </c>
      <c r="BC145" s="45">
        <f>'Operating Model'!BC154</f>
        <v>115050</v>
      </c>
      <c r="BD145" s="45">
        <f>'Operating Model'!BD154</f>
        <v>115050</v>
      </c>
      <c r="BE145" s="45">
        <f>'Operating Model'!BE154</f>
        <v>115050</v>
      </c>
      <c r="BF145" s="45">
        <f>'Operating Model'!BF154</f>
        <v>115050</v>
      </c>
      <c r="BG145" s="45">
        <f>'Operating Model'!BG154</f>
        <v>115049.99999999724</v>
      </c>
      <c r="BH145" s="45">
        <f>'Operating Model'!BH154</f>
        <v>0</v>
      </c>
      <c r="BI145" s="45">
        <f>'Operating Model'!BI154</f>
        <v>0</v>
      </c>
      <c r="BJ145" s="45">
        <f>'Operating Model'!BJ154</f>
        <v>0</v>
      </c>
      <c r="BK145" s="45">
        <f>'Operating Model'!BK154</f>
        <v>0</v>
      </c>
      <c r="BL145" s="45">
        <f>'Operating Model'!BL154</f>
        <v>0</v>
      </c>
      <c r="BM145" s="45">
        <f>'Operating Model'!BM154</f>
        <v>0</v>
      </c>
      <c r="BN145" s="45">
        <f>'Operating Model'!BN154</f>
        <v>0</v>
      </c>
      <c r="BO145" s="45">
        <f>'Operating Model'!BO154</f>
        <v>0</v>
      </c>
      <c r="BP145" s="45">
        <f>'Operating Model'!BP154</f>
        <v>0</v>
      </c>
      <c r="BQ145" s="45">
        <f>'Operating Model'!BQ154</f>
        <v>0</v>
      </c>
      <c r="BR145" s="45">
        <f>'Operating Model'!BR154</f>
        <v>0</v>
      </c>
      <c r="BS145" s="45">
        <f>'Operating Model'!BS154</f>
        <v>0</v>
      </c>
      <c r="BT145" s="45">
        <f>'Operating Model'!BT154</f>
        <v>0</v>
      </c>
      <c r="BU145" s="45">
        <f>'Operating Model'!BU154</f>
        <v>0</v>
      </c>
      <c r="BV145" s="45">
        <f>'Operating Model'!BV154</f>
        <v>0</v>
      </c>
      <c r="BW145" s="45">
        <f>'Operating Model'!BW154</f>
        <v>0</v>
      </c>
      <c r="BX145" s="45">
        <f>'Operating Model'!BX154</f>
        <v>0</v>
      </c>
      <c r="BY145" s="45">
        <f>'Operating Model'!BY154</f>
        <v>0</v>
      </c>
      <c r="BZ145" s="45">
        <f>'Operating Model'!BZ154</f>
        <v>0</v>
      </c>
      <c r="CA145" s="45">
        <f>'Operating Model'!CA154</f>
        <v>0</v>
      </c>
      <c r="CB145" s="45">
        <f>'Operating Model'!CB154</f>
        <v>0</v>
      </c>
      <c r="CC145" s="45">
        <f>'Operating Model'!CC154</f>
        <v>0</v>
      </c>
      <c r="CD145" s="45">
        <f>'Operating Model'!CD154</f>
        <v>0</v>
      </c>
      <c r="CE145" s="45">
        <f>'Operating Model'!CE154</f>
        <v>0</v>
      </c>
      <c r="CF145" s="45">
        <f>'Operating Model'!CF154</f>
        <v>0</v>
      </c>
      <c r="CG145" s="45">
        <f>'Operating Model'!CG154</f>
        <v>0</v>
      </c>
      <c r="CH145" s="45">
        <f>'Operating Model'!CH154</f>
        <v>0</v>
      </c>
      <c r="CI145" s="45">
        <f>'Operating Model'!CI154</f>
        <v>0</v>
      </c>
      <c r="CJ145" s="45">
        <f>'Operating Model'!CJ154</f>
        <v>0</v>
      </c>
      <c r="CK145" s="45">
        <f>'Operating Model'!CK154</f>
        <v>0</v>
      </c>
      <c r="CL145" s="45">
        <f>'Operating Model'!CL154</f>
        <v>0</v>
      </c>
      <c r="CM145" s="45">
        <f>'Operating Model'!CM154</f>
        <v>0</v>
      </c>
      <c r="CN145" s="45">
        <f>'Operating Model'!CN154</f>
        <v>0</v>
      </c>
      <c r="CO145" s="45">
        <f>'Operating Model'!CO154</f>
        <v>0</v>
      </c>
      <c r="CP145" s="45">
        <f>'Operating Model'!CP154</f>
        <v>0</v>
      </c>
      <c r="CQ145" s="45">
        <f>'Operating Model'!CQ154</f>
        <v>0</v>
      </c>
      <c r="CR145" s="45">
        <f>'Operating Model'!CR154</f>
        <v>0</v>
      </c>
      <c r="CS145" s="45">
        <f>'Operating Model'!CS154</f>
        <v>0</v>
      </c>
      <c r="CT145" s="45">
        <f>'Operating Model'!CT154</f>
        <v>0</v>
      </c>
      <c r="CU145" s="45">
        <f>'Operating Model'!CU154</f>
        <v>0</v>
      </c>
      <c r="CV145" s="45">
        <f>'Operating Model'!CV154</f>
        <v>0</v>
      </c>
      <c r="CW145" s="45">
        <f>'Operating Model'!CW154</f>
        <v>0</v>
      </c>
      <c r="CX145" s="45">
        <f>'Operating Model'!CX154</f>
        <v>0</v>
      </c>
      <c r="CY145" s="45">
        <f>'Operating Model'!CY154</f>
        <v>0</v>
      </c>
      <c r="CZ145" s="45">
        <f>'Operating Model'!CZ154</f>
        <v>0</v>
      </c>
      <c r="DA145" s="45">
        <f>'Operating Model'!DA154</f>
        <v>0</v>
      </c>
      <c r="DB145" s="45">
        <f>'Operating Model'!DB154</f>
        <v>0</v>
      </c>
      <c r="DC145" s="45">
        <f>'Operating Model'!DC154</f>
        <v>0</v>
      </c>
      <c r="DD145" s="45">
        <f>'Operating Model'!DD154</f>
        <v>0</v>
      </c>
      <c r="DE145" s="45">
        <f>'Operating Model'!DE154</f>
        <v>0</v>
      </c>
      <c r="DF145" s="45">
        <f>'Operating Model'!DF154</f>
        <v>0</v>
      </c>
      <c r="DG145" s="45">
        <f>'Operating Model'!DG154</f>
        <v>0</v>
      </c>
      <c r="DH145" s="45">
        <f>'Operating Model'!DH154</f>
        <v>0</v>
      </c>
      <c r="DI145" s="45">
        <f>'Operating Model'!DI154</f>
        <v>0</v>
      </c>
      <c r="DJ145" s="45">
        <f>'Operating Model'!DJ154</f>
        <v>0</v>
      </c>
      <c r="DK145" s="45">
        <f>'Operating Model'!DK154</f>
        <v>0</v>
      </c>
      <c r="DL145" s="45">
        <f>'Operating Model'!DL154</f>
        <v>0</v>
      </c>
      <c r="DM145" s="45">
        <f>'Operating Model'!DM154</f>
        <v>0</v>
      </c>
      <c r="DN145" s="45">
        <f>'Operating Model'!DN154</f>
        <v>0</v>
      </c>
      <c r="DO145" s="45">
        <f>'Operating Model'!DO154</f>
        <v>0</v>
      </c>
      <c r="DP145" s="45">
        <f>'Operating Model'!DP154</f>
        <v>0</v>
      </c>
      <c r="DQ145" s="45">
        <f>'Operating Model'!DQ154</f>
        <v>0</v>
      </c>
    </row>
    <row r="146" spans="4:121" x14ac:dyDescent="0.35">
      <c r="D146" s="20" t="s">
        <v>379</v>
      </c>
      <c r="G146" s="20">
        <f>I131+I124</f>
        <v>57402.820309064446</v>
      </c>
      <c r="K146" s="20">
        <f>$G$146</f>
        <v>57402.820309064446</v>
      </c>
      <c r="L146" s="20">
        <f t="shared" ref="L146:BW146" si="149">$G$146</f>
        <v>57402.820309064446</v>
      </c>
      <c r="M146" s="20">
        <f t="shared" si="149"/>
        <v>57402.820309064446</v>
      </c>
      <c r="N146" s="20">
        <f t="shared" si="149"/>
        <v>57402.820309064446</v>
      </c>
      <c r="O146" s="20">
        <f t="shared" si="149"/>
        <v>57402.820309064446</v>
      </c>
      <c r="P146" s="20">
        <f t="shared" si="149"/>
        <v>57402.820309064446</v>
      </c>
      <c r="Q146" s="20">
        <f t="shared" si="149"/>
        <v>57402.820309064446</v>
      </c>
      <c r="R146" s="20">
        <f t="shared" si="149"/>
        <v>57402.820309064446</v>
      </c>
      <c r="S146" s="20">
        <f t="shared" si="149"/>
        <v>57402.820309064446</v>
      </c>
      <c r="T146" s="20">
        <f t="shared" si="149"/>
        <v>57402.820309064446</v>
      </c>
      <c r="U146" s="20">
        <f t="shared" si="149"/>
        <v>57402.820309064446</v>
      </c>
      <c r="V146" s="20">
        <f t="shared" si="149"/>
        <v>57402.820309064446</v>
      </c>
      <c r="W146" s="20">
        <f t="shared" si="149"/>
        <v>57402.820309064446</v>
      </c>
      <c r="X146" s="20">
        <f t="shared" si="149"/>
        <v>57402.820309064446</v>
      </c>
      <c r="Y146" s="20">
        <f t="shared" si="149"/>
        <v>57402.820309064446</v>
      </c>
      <c r="Z146" s="20">
        <f t="shared" si="149"/>
        <v>57402.820309064446</v>
      </c>
      <c r="AA146" s="20">
        <f t="shared" si="149"/>
        <v>57402.820309064446</v>
      </c>
      <c r="AB146" s="20">
        <f t="shared" si="149"/>
        <v>57402.820309064446</v>
      </c>
      <c r="AC146" s="20">
        <f t="shared" si="149"/>
        <v>57402.820309064446</v>
      </c>
      <c r="AD146" s="20">
        <f t="shared" si="149"/>
        <v>57402.820309064446</v>
      </c>
      <c r="AE146" s="20">
        <f t="shared" si="149"/>
        <v>57402.820309064446</v>
      </c>
      <c r="AF146" s="20">
        <f t="shared" si="149"/>
        <v>57402.820309064446</v>
      </c>
      <c r="AG146" s="20">
        <f t="shared" si="149"/>
        <v>57402.820309064446</v>
      </c>
      <c r="AH146" s="20">
        <f t="shared" si="149"/>
        <v>57402.820309064446</v>
      </c>
      <c r="AI146" s="20">
        <f t="shared" si="149"/>
        <v>57402.820309064446</v>
      </c>
      <c r="AJ146" s="20">
        <f t="shared" si="149"/>
        <v>57402.820309064446</v>
      </c>
      <c r="AK146" s="20">
        <f t="shared" si="149"/>
        <v>57402.820309064446</v>
      </c>
      <c r="AL146" s="20">
        <f t="shared" si="149"/>
        <v>57402.820309064446</v>
      </c>
      <c r="AM146" s="20">
        <f t="shared" si="149"/>
        <v>57402.820309064446</v>
      </c>
      <c r="AN146" s="20">
        <f t="shared" si="149"/>
        <v>57402.820309064446</v>
      </c>
      <c r="AO146" s="20">
        <f t="shared" si="149"/>
        <v>57402.820309064446</v>
      </c>
      <c r="AP146" s="20">
        <f t="shared" si="149"/>
        <v>57402.820309064446</v>
      </c>
      <c r="AQ146" s="20">
        <f t="shared" si="149"/>
        <v>57402.820309064446</v>
      </c>
      <c r="AR146" s="20">
        <f t="shared" si="149"/>
        <v>57402.820309064446</v>
      </c>
      <c r="AS146" s="20">
        <f t="shared" si="149"/>
        <v>57402.820309064446</v>
      </c>
      <c r="AT146" s="20">
        <f t="shared" si="149"/>
        <v>57402.820309064446</v>
      </c>
      <c r="AU146" s="20">
        <f t="shared" si="149"/>
        <v>57402.820309064446</v>
      </c>
      <c r="AV146" s="20">
        <f t="shared" si="149"/>
        <v>57402.820309064446</v>
      </c>
      <c r="AW146" s="20">
        <f t="shared" si="149"/>
        <v>57402.820309064446</v>
      </c>
      <c r="AX146" s="20">
        <f t="shared" si="149"/>
        <v>57402.820309064446</v>
      </c>
      <c r="AY146" s="20">
        <f t="shared" si="149"/>
        <v>57402.820309064446</v>
      </c>
      <c r="AZ146" s="20">
        <f t="shared" si="149"/>
        <v>57402.820309064446</v>
      </c>
      <c r="BA146" s="20">
        <f t="shared" si="149"/>
        <v>57402.820309064446</v>
      </c>
      <c r="BB146" s="20">
        <f t="shared" si="149"/>
        <v>57402.820309064446</v>
      </c>
      <c r="BC146" s="20">
        <f t="shared" si="149"/>
        <v>57402.820309064446</v>
      </c>
      <c r="BD146" s="20">
        <f t="shared" si="149"/>
        <v>57402.820309064446</v>
      </c>
      <c r="BE146" s="20">
        <f t="shared" si="149"/>
        <v>57402.820309064446</v>
      </c>
      <c r="BF146" s="20">
        <f t="shared" si="149"/>
        <v>57402.820309064446</v>
      </c>
      <c r="BG146" s="20">
        <f t="shared" si="149"/>
        <v>57402.820309064446</v>
      </c>
      <c r="BH146" s="20">
        <f t="shared" si="149"/>
        <v>57402.820309064446</v>
      </c>
      <c r="BI146" s="20">
        <f t="shared" si="149"/>
        <v>57402.820309064446</v>
      </c>
      <c r="BJ146" s="20">
        <f t="shared" si="149"/>
        <v>57402.820309064446</v>
      </c>
      <c r="BK146" s="20">
        <f t="shared" si="149"/>
        <v>57402.820309064446</v>
      </c>
      <c r="BL146" s="20">
        <f t="shared" si="149"/>
        <v>57402.820309064446</v>
      </c>
      <c r="BM146" s="20">
        <f t="shared" si="149"/>
        <v>57402.820309064446</v>
      </c>
      <c r="BN146" s="20">
        <f t="shared" si="149"/>
        <v>57402.820309064446</v>
      </c>
      <c r="BO146" s="20">
        <f t="shared" si="149"/>
        <v>57402.820309064446</v>
      </c>
      <c r="BP146" s="20">
        <f t="shared" si="149"/>
        <v>57402.820309064446</v>
      </c>
      <c r="BQ146" s="20">
        <f t="shared" si="149"/>
        <v>57402.820309064446</v>
      </c>
      <c r="BR146" s="20">
        <f t="shared" si="149"/>
        <v>57402.820309064446</v>
      </c>
      <c r="BS146" s="20">
        <f t="shared" si="149"/>
        <v>57402.820309064446</v>
      </c>
      <c r="BT146" s="20">
        <f t="shared" si="149"/>
        <v>57402.820309064446</v>
      </c>
      <c r="BU146" s="20">
        <f t="shared" si="149"/>
        <v>57402.820309064446</v>
      </c>
      <c r="BV146" s="20">
        <f t="shared" si="149"/>
        <v>57402.820309064446</v>
      </c>
      <c r="BW146" s="20">
        <f t="shared" si="149"/>
        <v>57402.820309064446</v>
      </c>
      <c r="BX146" s="20">
        <f t="shared" ref="BX146:DQ146" si="150">$G$146</f>
        <v>57402.820309064446</v>
      </c>
      <c r="BY146" s="20">
        <f t="shared" si="150"/>
        <v>57402.820309064446</v>
      </c>
      <c r="BZ146" s="20">
        <f t="shared" si="150"/>
        <v>57402.820309064446</v>
      </c>
      <c r="CA146" s="20">
        <f t="shared" si="150"/>
        <v>57402.820309064446</v>
      </c>
      <c r="CB146" s="20">
        <f t="shared" si="150"/>
        <v>57402.820309064446</v>
      </c>
      <c r="CC146" s="20">
        <f t="shared" si="150"/>
        <v>57402.820309064446</v>
      </c>
      <c r="CD146" s="20">
        <f t="shared" si="150"/>
        <v>57402.820309064446</v>
      </c>
      <c r="CE146" s="20">
        <f t="shared" si="150"/>
        <v>57402.820309064446</v>
      </c>
      <c r="CF146" s="20">
        <f t="shared" si="150"/>
        <v>57402.820309064446</v>
      </c>
      <c r="CG146" s="20">
        <f t="shared" si="150"/>
        <v>57402.820309064446</v>
      </c>
      <c r="CH146" s="20">
        <f t="shared" si="150"/>
        <v>57402.820309064446</v>
      </c>
      <c r="CI146" s="20">
        <f t="shared" si="150"/>
        <v>57402.820309064446</v>
      </c>
      <c r="CJ146" s="20">
        <f t="shared" si="150"/>
        <v>57402.820309064446</v>
      </c>
      <c r="CK146" s="20">
        <f t="shared" si="150"/>
        <v>57402.820309064446</v>
      </c>
      <c r="CL146" s="20">
        <f t="shared" si="150"/>
        <v>57402.820309064446</v>
      </c>
      <c r="CM146" s="20">
        <f t="shared" si="150"/>
        <v>57402.820309064446</v>
      </c>
      <c r="CN146" s="20">
        <f t="shared" si="150"/>
        <v>57402.820309064446</v>
      </c>
      <c r="CO146" s="20">
        <f t="shared" si="150"/>
        <v>57402.820309064446</v>
      </c>
      <c r="CP146" s="20">
        <f t="shared" si="150"/>
        <v>57402.820309064446</v>
      </c>
      <c r="CQ146" s="20">
        <f t="shared" si="150"/>
        <v>57402.820309064446</v>
      </c>
      <c r="CR146" s="20">
        <f t="shared" si="150"/>
        <v>57402.820309064446</v>
      </c>
      <c r="CS146" s="20">
        <f t="shared" si="150"/>
        <v>57402.820309064446</v>
      </c>
      <c r="CT146" s="20">
        <f t="shared" si="150"/>
        <v>57402.820309064446</v>
      </c>
      <c r="CU146" s="20">
        <f t="shared" si="150"/>
        <v>57402.820309064446</v>
      </c>
      <c r="CV146" s="20">
        <f t="shared" si="150"/>
        <v>57402.820309064446</v>
      </c>
      <c r="CW146" s="20">
        <f t="shared" si="150"/>
        <v>57402.820309064446</v>
      </c>
      <c r="CX146" s="20">
        <f t="shared" si="150"/>
        <v>57402.820309064446</v>
      </c>
      <c r="CY146" s="20">
        <f t="shared" si="150"/>
        <v>57402.820309064446</v>
      </c>
      <c r="CZ146" s="20">
        <f t="shared" si="150"/>
        <v>57402.820309064446</v>
      </c>
      <c r="DA146" s="20">
        <f t="shared" si="150"/>
        <v>57402.820309064446</v>
      </c>
      <c r="DB146" s="20">
        <f t="shared" si="150"/>
        <v>57402.820309064446</v>
      </c>
      <c r="DC146" s="20">
        <f t="shared" si="150"/>
        <v>57402.820309064446</v>
      </c>
      <c r="DD146" s="20">
        <f t="shared" si="150"/>
        <v>57402.820309064446</v>
      </c>
      <c r="DE146" s="20">
        <f t="shared" si="150"/>
        <v>57402.820309064446</v>
      </c>
      <c r="DF146" s="20">
        <f t="shared" si="150"/>
        <v>57402.820309064446</v>
      </c>
      <c r="DG146" s="20">
        <f t="shared" si="150"/>
        <v>57402.820309064446</v>
      </c>
      <c r="DH146" s="20">
        <f t="shared" si="150"/>
        <v>57402.820309064446</v>
      </c>
      <c r="DI146" s="20">
        <f t="shared" si="150"/>
        <v>57402.820309064446</v>
      </c>
      <c r="DJ146" s="20">
        <f t="shared" si="150"/>
        <v>57402.820309064446</v>
      </c>
      <c r="DK146" s="20">
        <f t="shared" si="150"/>
        <v>57402.820309064446</v>
      </c>
      <c r="DL146" s="20">
        <f t="shared" si="150"/>
        <v>57402.820309064446</v>
      </c>
      <c r="DM146" s="20">
        <f t="shared" si="150"/>
        <v>57402.820309064446</v>
      </c>
      <c r="DN146" s="20">
        <f t="shared" si="150"/>
        <v>57402.820309064446</v>
      </c>
      <c r="DO146" s="20">
        <f t="shared" si="150"/>
        <v>57402.820309064446</v>
      </c>
      <c r="DP146" s="20">
        <f t="shared" si="150"/>
        <v>57402.820309064446</v>
      </c>
      <c r="DQ146" s="20">
        <f t="shared" si="150"/>
        <v>57402.820309064446</v>
      </c>
    </row>
    <row r="147" spans="4:121" x14ac:dyDescent="0.35">
      <c r="D147" s="20" t="s">
        <v>380</v>
      </c>
      <c r="K147" s="23">
        <f>K146*K144</f>
        <v>0</v>
      </c>
      <c r="L147" s="23">
        <f t="shared" ref="L147:BW147" si="151">L146*L144</f>
        <v>0</v>
      </c>
      <c r="M147" s="23">
        <f t="shared" si="151"/>
        <v>0</v>
      </c>
      <c r="N147" s="23">
        <f t="shared" si="151"/>
        <v>0</v>
      </c>
      <c r="O147" s="23">
        <f t="shared" si="151"/>
        <v>0</v>
      </c>
      <c r="P147" s="23">
        <f t="shared" si="151"/>
        <v>0</v>
      </c>
      <c r="Q147" s="23">
        <f t="shared" si="151"/>
        <v>0</v>
      </c>
      <c r="R147" s="23">
        <f t="shared" si="151"/>
        <v>0</v>
      </c>
      <c r="S147" s="23">
        <f t="shared" si="151"/>
        <v>0</v>
      </c>
      <c r="T147" s="23">
        <f t="shared" si="151"/>
        <v>1435.0705077266111</v>
      </c>
      <c r="U147" s="23">
        <f t="shared" si="151"/>
        <v>1435.0705077266111</v>
      </c>
      <c r="V147" s="23">
        <f t="shared" si="151"/>
        <v>1435.0705077266111</v>
      </c>
      <c r="W147" s="23">
        <f t="shared" si="151"/>
        <v>1435.0705077266111</v>
      </c>
      <c r="X147" s="23">
        <f t="shared" si="151"/>
        <v>1435.0705077266111</v>
      </c>
      <c r="Y147" s="23">
        <f t="shared" si="151"/>
        <v>1435.0705077266111</v>
      </c>
      <c r="Z147" s="23">
        <f t="shared" si="151"/>
        <v>1435.0705077266111</v>
      </c>
      <c r="AA147" s="23">
        <f t="shared" si="151"/>
        <v>1435.0705077266111</v>
      </c>
      <c r="AB147" s="23">
        <f t="shared" si="151"/>
        <v>1435.0705077266111</v>
      </c>
      <c r="AC147" s="23">
        <f t="shared" si="151"/>
        <v>1435.0705077266111</v>
      </c>
      <c r="AD147" s="23">
        <f t="shared" si="151"/>
        <v>1435.0705077266111</v>
      </c>
      <c r="AE147" s="23">
        <f t="shared" si="151"/>
        <v>1435.0705077266111</v>
      </c>
      <c r="AF147" s="23">
        <f t="shared" si="151"/>
        <v>1435.0705077266111</v>
      </c>
      <c r="AG147" s="23">
        <f t="shared" si="151"/>
        <v>1435.0705077266111</v>
      </c>
      <c r="AH147" s="23">
        <f t="shared" si="151"/>
        <v>1435.0705077266111</v>
      </c>
      <c r="AI147" s="23">
        <f t="shared" si="151"/>
        <v>1435.0705077266111</v>
      </c>
      <c r="AJ147" s="23">
        <f t="shared" si="151"/>
        <v>1435.0705077266111</v>
      </c>
      <c r="AK147" s="23">
        <f t="shared" si="151"/>
        <v>1435.0705077266111</v>
      </c>
      <c r="AL147" s="23">
        <f t="shared" si="151"/>
        <v>1435.0705077266111</v>
      </c>
      <c r="AM147" s="23">
        <f t="shared" si="151"/>
        <v>1435.0705077266111</v>
      </c>
      <c r="AN147" s="23">
        <f t="shared" si="151"/>
        <v>1435.0705077266111</v>
      </c>
      <c r="AO147" s="23">
        <f t="shared" si="151"/>
        <v>1435.0705077266111</v>
      </c>
      <c r="AP147" s="23">
        <f t="shared" si="151"/>
        <v>1435.0705077266111</v>
      </c>
      <c r="AQ147" s="23">
        <f t="shared" si="151"/>
        <v>1435.0705077266111</v>
      </c>
      <c r="AR147" s="23">
        <f t="shared" si="151"/>
        <v>1435.0705077266111</v>
      </c>
      <c r="AS147" s="23">
        <f t="shared" si="151"/>
        <v>1435.0705077266111</v>
      </c>
      <c r="AT147" s="23">
        <f t="shared" si="151"/>
        <v>1435.0705077266111</v>
      </c>
      <c r="AU147" s="23">
        <f t="shared" si="151"/>
        <v>1435.0705077266111</v>
      </c>
      <c r="AV147" s="23">
        <f t="shared" si="151"/>
        <v>1435.0705077266111</v>
      </c>
      <c r="AW147" s="23">
        <f t="shared" si="151"/>
        <v>1435.0705077266111</v>
      </c>
      <c r="AX147" s="23">
        <f t="shared" si="151"/>
        <v>1435.0705077266111</v>
      </c>
      <c r="AY147" s="23">
        <f t="shared" si="151"/>
        <v>1435.0705077266111</v>
      </c>
      <c r="AZ147" s="23">
        <f t="shared" si="151"/>
        <v>1435.0705077266111</v>
      </c>
      <c r="BA147" s="23">
        <f t="shared" si="151"/>
        <v>1435.0705077266111</v>
      </c>
      <c r="BB147" s="23">
        <f t="shared" si="151"/>
        <v>1435.0705077266111</v>
      </c>
      <c r="BC147" s="23">
        <f t="shared" si="151"/>
        <v>1435.0705077266111</v>
      </c>
      <c r="BD147" s="23">
        <f t="shared" si="151"/>
        <v>1435.0705077266111</v>
      </c>
      <c r="BE147" s="23">
        <f t="shared" si="151"/>
        <v>1435.0705077266111</v>
      </c>
      <c r="BF147" s="23">
        <f t="shared" si="151"/>
        <v>1435.0705077266111</v>
      </c>
      <c r="BG147" s="23">
        <f t="shared" si="151"/>
        <v>1435.0705077265766</v>
      </c>
      <c r="BH147" s="23">
        <f t="shared" si="151"/>
        <v>0</v>
      </c>
      <c r="BI147" s="23">
        <f t="shared" si="151"/>
        <v>0</v>
      </c>
      <c r="BJ147" s="23">
        <f t="shared" si="151"/>
        <v>0</v>
      </c>
      <c r="BK147" s="23">
        <f t="shared" si="151"/>
        <v>0</v>
      </c>
      <c r="BL147" s="23">
        <f t="shared" si="151"/>
        <v>0</v>
      </c>
      <c r="BM147" s="23">
        <f t="shared" si="151"/>
        <v>0</v>
      </c>
      <c r="BN147" s="23">
        <f t="shared" si="151"/>
        <v>0</v>
      </c>
      <c r="BO147" s="23">
        <f t="shared" si="151"/>
        <v>0</v>
      </c>
      <c r="BP147" s="23">
        <f t="shared" si="151"/>
        <v>0</v>
      </c>
      <c r="BQ147" s="23">
        <f t="shared" si="151"/>
        <v>0</v>
      </c>
      <c r="BR147" s="23">
        <f t="shared" si="151"/>
        <v>0</v>
      </c>
      <c r="BS147" s="23">
        <f t="shared" si="151"/>
        <v>0</v>
      </c>
      <c r="BT147" s="23">
        <f t="shared" si="151"/>
        <v>0</v>
      </c>
      <c r="BU147" s="23">
        <f t="shared" si="151"/>
        <v>0</v>
      </c>
      <c r="BV147" s="23">
        <f t="shared" si="151"/>
        <v>0</v>
      </c>
      <c r="BW147" s="23">
        <f t="shared" si="151"/>
        <v>0</v>
      </c>
      <c r="BX147" s="23">
        <f t="shared" ref="BX147:DQ147" si="152">BX146*BX144</f>
        <v>0</v>
      </c>
      <c r="BY147" s="23">
        <f t="shared" si="152"/>
        <v>0</v>
      </c>
      <c r="BZ147" s="23">
        <f t="shared" si="152"/>
        <v>0</v>
      </c>
      <c r="CA147" s="23">
        <f t="shared" si="152"/>
        <v>0</v>
      </c>
      <c r="CB147" s="23">
        <f t="shared" si="152"/>
        <v>0</v>
      </c>
      <c r="CC147" s="23">
        <f t="shared" si="152"/>
        <v>0</v>
      </c>
      <c r="CD147" s="23">
        <f t="shared" si="152"/>
        <v>0</v>
      </c>
      <c r="CE147" s="23">
        <f t="shared" si="152"/>
        <v>0</v>
      </c>
      <c r="CF147" s="23">
        <f t="shared" si="152"/>
        <v>0</v>
      </c>
      <c r="CG147" s="23">
        <f t="shared" si="152"/>
        <v>0</v>
      </c>
      <c r="CH147" s="23">
        <f t="shared" si="152"/>
        <v>0</v>
      </c>
      <c r="CI147" s="23">
        <f t="shared" si="152"/>
        <v>0</v>
      </c>
      <c r="CJ147" s="23">
        <f t="shared" si="152"/>
        <v>0</v>
      </c>
      <c r="CK147" s="23">
        <f t="shared" si="152"/>
        <v>0</v>
      </c>
      <c r="CL147" s="23">
        <f t="shared" si="152"/>
        <v>0</v>
      </c>
      <c r="CM147" s="23">
        <f t="shared" si="152"/>
        <v>0</v>
      </c>
      <c r="CN147" s="23">
        <f t="shared" si="152"/>
        <v>0</v>
      </c>
      <c r="CO147" s="23">
        <f t="shared" si="152"/>
        <v>0</v>
      </c>
      <c r="CP147" s="23">
        <f t="shared" si="152"/>
        <v>0</v>
      </c>
      <c r="CQ147" s="23">
        <f t="shared" si="152"/>
        <v>0</v>
      </c>
      <c r="CR147" s="23">
        <f t="shared" si="152"/>
        <v>0</v>
      </c>
      <c r="CS147" s="23">
        <f t="shared" si="152"/>
        <v>0</v>
      </c>
      <c r="CT147" s="23">
        <f t="shared" si="152"/>
        <v>0</v>
      </c>
      <c r="CU147" s="23">
        <f t="shared" si="152"/>
        <v>0</v>
      </c>
      <c r="CV147" s="23">
        <f t="shared" si="152"/>
        <v>0</v>
      </c>
      <c r="CW147" s="23">
        <f t="shared" si="152"/>
        <v>0</v>
      </c>
      <c r="CX147" s="23">
        <f t="shared" si="152"/>
        <v>0</v>
      </c>
      <c r="CY147" s="23">
        <f t="shared" si="152"/>
        <v>0</v>
      </c>
      <c r="CZ147" s="23">
        <f t="shared" si="152"/>
        <v>0</v>
      </c>
      <c r="DA147" s="23">
        <f t="shared" si="152"/>
        <v>0</v>
      </c>
      <c r="DB147" s="23">
        <f t="shared" si="152"/>
        <v>0</v>
      </c>
      <c r="DC147" s="23">
        <f t="shared" si="152"/>
        <v>0</v>
      </c>
      <c r="DD147" s="23">
        <f t="shared" si="152"/>
        <v>0</v>
      </c>
      <c r="DE147" s="23">
        <f t="shared" si="152"/>
        <v>0</v>
      </c>
      <c r="DF147" s="23">
        <f t="shared" si="152"/>
        <v>0</v>
      </c>
      <c r="DG147" s="23">
        <f t="shared" si="152"/>
        <v>0</v>
      </c>
      <c r="DH147" s="23">
        <f t="shared" si="152"/>
        <v>0</v>
      </c>
      <c r="DI147" s="23">
        <f t="shared" si="152"/>
        <v>0</v>
      </c>
      <c r="DJ147" s="23">
        <f t="shared" si="152"/>
        <v>0</v>
      </c>
      <c r="DK147" s="23">
        <f t="shared" si="152"/>
        <v>0</v>
      </c>
      <c r="DL147" s="23">
        <f t="shared" si="152"/>
        <v>0</v>
      </c>
      <c r="DM147" s="23">
        <f t="shared" si="152"/>
        <v>0</v>
      </c>
      <c r="DN147" s="23">
        <f t="shared" si="152"/>
        <v>0</v>
      </c>
      <c r="DO147" s="23">
        <f t="shared" si="152"/>
        <v>0</v>
      </c>
      <c r="DP147" s="23">
        <f t="shared" si="152"/>
        <v>0</v>
      </c>
      <c r="DQ147" s="23">
        <f t="shared" si="152"/>
        <v>0</v>
      </c>
    </row>
    <row r="148" spans="4:121" ht="15" thickBot="1" x14ac:dyDescent="0.4">
      <c r="D148" s="39" t="s">
        <v>381</v>
      </c>
      <c r="E148" s="39"/>
      <c r="F148" s="39"/>
      <c r="G148" s="39"/>
      <c r="H148" s="39"/>
      <c r="I148" s="39"/>
      <c r="J148" s="39"/>
      <c r="K148" s="44">
        <f>K147+K145</f>
        <v>0</v>
      </c>
      <c r="L148" s="44">
        <f t="shared" ref="L148:BW148" si="153">L147+L145</f>
        <v>0</v>
      </c>
      <c r="M148" s="44">
        <f t="shared" si="153"/>
        <v>0</v>
      </c>
      <c r="N148" s="44">
        <f t="shared" si="153"/>
        <v>0</v>
      </c>
      <c r="O148" s="44">
        <f t="shared" si="153"/>
        <v>0</v>
      </c>
      <c r="P148" s="44">
        <f t="shared" si="153"/>
        <v>0</v>
      </c>
      <c r="Q148" s="44">
        <f t="shared" si="153"/>
        <v>0</v>
      </c>
      <c r="R148" s="44">
        <f t="shared" si="153"/>
        <v>0</v>
      </c>
      <c r="S148" s="44">
        <f t="shared" si="153"/>
        <v>0</v>
      </c>
      <c r="T148" s="44">
        <f t="shared" si="153"/>
        <v>116485.07050772662</v>
      </c>
      <c r="U148" s="44">
        <f t="shared" si="153"/>
        <v>116485.07050772662</v>
      </c>
      <c r="V148" s="44">
        <f t="shared" si="153"/>
        <v>116485.07050772662</v>
      </c>
      <c r="W148" s="44">
        <f t="shared" si="153"/>
        <v>116485.07050772662</v>
      </c>
      <c r="X148" s="44">
        <f t="shared" si="153"/>
        <v>116485.07050772662</v>
      </c>
      <c r="Y148" s="44">
        <f t="shared" si="153"/>
        <v>116485.07050772662</v>
      </c>
      <c r="Z148" s="44">
        <f t="shared" si="153"/>
        <v>116485.07050772662</v>
      </c>
      <c r="AA148" s="44">
        <f t="shared" si="153"/>
        <v>116485.07050772662</v>
      </c>
      <c r="AB148" s="44">
        <f t="shared" si="153"/>
        <v>116485.07050772662</v>
      </c>
      <c r="AC148" s="44">
        <f t="shared" si="153"/>
        <v>116485.07050772662</v>
      </c>
      <c r="AD148" s="44">
        <f t="shared" si="153"/>
        <v>116485.07050772662</v>
      </c>
      <c r="AE148" s="44">
        <f t="shared" si="153"/>
        <v>116485.07050772662</v>
      </c>
      <c r="AF148" s="44">
        <f t="shared" si="153"/>
        <v>116485.07050772662</v>
      </c>
      <c r="AG148" s="44">
        <f t="shared" si="153"/>
        <v>116485.07050772662</v>
      </c>
      <c r="AH148" s="44">
        <f t="shared" si="153"/>
        <v>116485.07050772662</v>
      </c>
      <c r="AI148" s="44">
        <f t="shared" si="153"/>
        <v>116485.07050772662</v>
      </c>
      <c r="AJ148" s="44">
        <f t="shared" si="153"/>
        <v>116485.07050772662</v>
      </c>
      <c r="AK148" s="44">
        <f t="shared" si="153"/>
        <v>116485.07050772662</v>
      </c>
      <c r="AL148" s="44">
        <f t="shared" si="153"/>
        <v>116485.07050772662</v>
      </c>
      <c r="AM148" s="44">
        <f t="shared" si="153"/>
        <v>116485.07050772662</v>
      </c>
      <c r="AN148" s="44">
        <f t="shared" si="153"/>
        <v>116485.07050772662</v>
      </c>
      <c r="AO148" s="44">
        <f t="shared" si="153"/>
        <v>116485.07050772662</v>
      </c>
      <c r="AP148" s="44">
        <f t="shared" si="153"/>
        <v>116485.07050772662</v>
      </c>
      <c r="AQ148" s="44">
        <f t="shared" si="153"/>
        <v>116485.07050772662</v>
      </c>
      <c r="AR148" s="44">
        <f t="shared" si="153"/>
        <v>116485.07050772662</v>
      </c>
      <c r="AS148" s="44">
        <f t="shared" si="153"/>
        <v>116485.07050772662</v>
      </c>
      <c r="AT148" s="44">
        <f t="shared" si="153"/>
        <v>116485.07050772662</v>
      </c>
      <c r="AU148" s="44">
        <f t="shared" si="153"/>
        <v>116485.07050772662</v>
      </c>
      <c r="AV148" s="44">
        <f t="shared" si="153"/>
        <v>116485.07050772662</v>
      </c>
      <c r="AW148" s="44">
        <f t="shared" si="153"/>
        <v>116485.07050772662</v>
      </c>
      <c r="AX148" s="44">
        <f t="shared" si="153"/>
        <v>116485.07050772662</v>
      </c>
      <c r="AY148" s="44">
        <f t="shared" si="153"/>
        <v>116485.07050772662</v>
      </c>
      <c r="AZ148" s="44">
        <f t="shared" si="153"/>
        <v>116485.07050772662</v>
      </c>
      <c r="BA148" s="44">
        <f t="shared" si="153"/>
        <v>116485.07050772662</v>
      </c>
      <c r="BB148" s="44">
        <f t="shared" si="153"/>
        <v>116485.07050772662</v>
      </c>
      <c r="BC148" s="44">
        <f t="shared" si="153"/>
        <v>116485.07050772662</v>
      </c>
      <c r="BD148" s="44">
        <f t="shared" si="153"/>
        <v>116485.07050772662</v>
      </c>
      <c r="BE148" s="44">
        <f t="shared" si="153"/>
        <v>116485.07050772662</v>
      </c>
      <c r="BF148" s="44">
        <f t="shared" si="153"/>
        <v>116485.07050772662</v>
      </c>
      <c r="BG148" s="44">
        <f t="shared" si="153"/>
        <v>116485.07050772381</v>
      </c>
      <c r="BH148" s="44">
        <f t="shared" si="153"/>
        <v>0</v>
      </c>
      <c r="BI148" s="44">
        <f t="shared" si="153"/>
        <v>0</v>
      </c>
      <c r="BJ148" s="44">
        <f t="shared" si="153"/>
        <v>0</v>
      </c>
      <c r="BK148" s="44">
        <f t="shared" si="153"/>
        <v>0</v>
      </c>
      <c r="BL148" s="44">
        <f t="shared" si="153"/>
        <v>0</v>
      </c>
      <c r="BM148" s="44">
        <f t="shared" si="153"/>
        <v>0</v>
      </c>
      <c r="BN148" s="44">
        <f t="shared" si="153"/>
        <v>0</v>
      </c>
      <c r="BO148" s="44">
        <f t="shared" si="153"/>
        <v>0</v>
      </c>
      <c r="BP148" s="44">
        <f t="shared" si="153"/>
        <v>0</v>
      </c>
      <c r="BQ148" s="44">
        <f t="shared" si="153"/>
        <v>0</v>
      </c>
      <c r="BR148" s="44">
        <f t="shared" si="153"/>
        <v>0</v>
      </c>
      <c r="BS148" s="44">
        <f t="shared" si="153"/>
        <v>0</v>
      </c>
      <c r="BT148" s="44">
        <f t="shared" si="153"/>
        <v>0</v>
      </c>
      <c r="BU148" s="44">
        <f t="shared" si="153"/>
        <v>0</v>
      </c>
      <c r="BV148" s="44">
        <f t="shared" si="153"/>
        <v>0</v>
      </c>
      <c r="BW148" s="44">
        <f t="shared" si="153"/>
        <v>0</v>
      </c>
      <c r="BX148" s="44">
        <f t="shared" ref="BX148:DQ148" si="154">BX147+BX145</f>
        <v>0</v>
      </c>
      <c r="BY148" s="44">
        <f t="shared" si="154"/>
        <v>0</v>
      </c>
      <c r="BZ148" s="44">
        <f t="shared" si="154"/>
        <v>0</v>
      </c>
      <c r="CA148" s="44">
        <f t="shared" si="154"/>
        <v>0</v>
      </c>
      <c r="CB148" s="44">
        <f t="shared" si="154"/>
        <v>0</v>
      </c>
      <c r="CC148" s="44">
        <f t="shared" si="154"/>
        <v>0</v>
      </c>
      <c r="CD148" s="44">
        <f t="shared" si="154"/>
        <v>0</v>
      </c>
      <c r="CE148" s="44">
        <f t="shared" si="154"/>
        <v>0</v>
      </c>
      <c r="CF148" s="44">
        <f t="shared" si="154"/>
        <v>0</v>
      </c>
      <c r="CG148" s="44">
        <f t="shared" si="154"/>
        <v>0</v>
      </c>
      <c r="CH148" s="44">
        <f t="shared" si="154"/>
        <v>0</v>
      </c>
      <c r="CI148" s="44">
        <f t="shared" si="154"/>
        <v>0</v>
      </c>
      <c r="CJ148" s="44">
        <f t="shared" si="154"/>
        <v>0</v>
      </c>
      <c r="CK148" s="44">
        <f t="shared" si="154"/>
        <v>0</v>
      </c>
      <c r="CL148" s="44">
        <f t="shared" si="154"/>
        <v>0</v>
      </c>
      <c r="CM148" s="44">
        <f t="shared" si="154"/>
        <v>0</v>
      </c>
      <c r="CN148" s="44">
        <f t="shared" si="154"/>
        <v>0</v>
      </c>
      <c r="CO148" s="44">
        <f t="shared" si="154"/>
        <v>0</v>
      </c>
      <c r="CP148" s="44">
        <f t="shared" si="154"/>
        <v>0</v>
      </c>
      <c r="CQ148" s="44">
        <f t="shared" si="154"/>
        <v>0</v>
      </c>
      <c r="CR148" s="44">
        <f t="shared" si="154"/>
        <v>0</v>
      </c>
      <c r="CS148" s="44">
        <f t="shared" si="154"/>
        <v>0</v>
      </c>
      <c r="CT148" s="44">
        <f t="shared" si="154"/>
        <v>0</v>
      </c>
      <c r="CU148" s="44">
        <f t="shared" si="154"/>
        <v>0</v>
      </c>
      <c r="CV148" s="44">
        <f t="shared" si="154"/>
        <v>0</v>
      </c>
      <c r="CW148" s="44">
        <f t="shared" si="154"/>
        <v>0</v>
      </c>
      <c r="CX148" s="44">
        <f t="shared" si="154"/>
        <v>0</v>
      </c>
      <c r="CY148" s="44">
        <f t="shared" si="154"/>
        <v>0</v>
      </c>
      <c r="CZ148" s="44">
        <f t="shared" si="154"/>
        <v>0</v>
      </c>
      <c r="DA148" s="44">
        <f t="shared" si="154"/>
        <v>0</v>
      </c>
      <c r="DB148" s="44">
        <f t="shared" si="154"/>
        <v>0</v>
      </c>
      <c r="DC148" s="44">
        <f t="shared" si="154"/>
        <v>0</v>
      </c>
      <c r="DD148" s="44">
        <f t="shared" si="154"/>
        <v>0</v>
      </c>
      <c r="DE148" s="44">
        <f t="shared" si="154"/>
        <v>0</v>
      </c>
      <c r="DF148" s="44">
        <f t="shared" si="154"/>
        <v>0</v>
      </c>
      <c r="DG148" s="44">
        <f t="shared" si="154"/>
        <v>0</v>
      </c>
      <c r="DH148" s="44">
        <f t="shared" si="154"/>
        <v>0</v>
      </c>
      <c r="DI148" s="44">
        <f t="shared" si="154"/>
        <v>0</v>
      </c>
      <c r="DJ148" s="44">
        <f t="shared" si="154"/>
        <v>0</v>
      </c>
      <c r="DK148" s="44">
        <f t="shared" si="154"/>
        <v>0</v>
      </c>
      <c r="DL148" s="44">
        <f t="shared" si="154"/>
        <v>0</v>
      </c>
      <c r="DM148" s="44">
        <f t="shared" si="154"/>
        <v>0</v>
      </c>
      <c r="DN148" s="44">
        <f t="shared" si="154"/>
        <v>0</v>
      </c>
      <c r="DO148" s="44">
        <f t="shared" si="154"/>
        <v>0</v>
      </c>
      <c r="DP148" s="44">
        <f t="shared" si="154"/>
        <v>0</v>
      </c>
      <c r="DQ148" s="44">
        <f t="shared" si="154"/>
        <v>0</v>
      </c>
    </row>
    <row r="149" spans="4:121" x14ac:dyDescent="0.35">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c r="CA149" s="23"/>
      <c r="CB149" s="23"/>
      <c r="CC149" s="23"/>
      <c r="CD149" s="23"/>
      <c r="CE149" s="23"/>
      <c r="CF149" s="23"/>
      <c r="CG149" s="23"/>
      <c r="CH149" s="23"/>
      <c r="CI149" s="23"/>
      <c r="CJ149" s="23"/>
      <c r="CK149" s="23"/>
      <c r="CL149" s="23"/>
      <c r="CM149" s="23"/>
      <c r="CN149" s="23"/>
      <c r="CO149" s="23"/>
      <c r="CP149" s="23"/>
      <c r="CQ149" s="23"/>
      <c r="CR149" s="23"/>
      <c r="CS149" s="23"/>
      <c r="CT149" s="23"/>
      <c r="CU149" s="23"/>
      <c r="CV149" s="23"/>
      <c r="CW149" s="23"/>
      <c r="CX149" s="23"/>
      <c r="CY149" s="23"/>
      <c r="CZ149" s="23"/>
      <c r="DA149" s="23"/>
      <c r="DB149" s="23"/>
      <c r="DC149" s="23"/>
      <c r="DD149" s="23"/>
      <c r="DE149" s="23"/>
      <c r="DF149" s="23"/>
      <c r="DG149" s="23"/>
      <c r="DH149" s="23"/>
      <c r="DI149" s="23"/>
      <c r="DJ149" s="23"/>
      <c r="DK149" s="23"/>
      <c r="DL149" s="23"/>
      <c r="DM149" s="23"/>
      <c r="DN149" s="23"/>
      <c r="DO149" s="23"/>
      <c r="DP149" s="23"/>
      <c r="DQ149" s="23"/>
    </row>
    <row r="150" spans="4:121" x14ac:dyDescent="0.35">
      <c r="D150" s="20" t="s">
        <v>30</v>
      </c>
      <c r="K150" s="23">
        <f t="shared" ref="K150:AP150" si="155">K13</f>
        <v>0</v>
      </c>
      <c r="L150" s="23">
        <f t="shared" si="155"/>
        <v>0</v>
      </c>
      <c r="M150" s="23">
        <f t="shared" si="155"/>
        <v>0</v>
      </c>
      <c r="N150" s="23">
        <f t="shared" si="155"/>
        <v>0</v>
      </c>
      <c r="O150" s="23">
        <f t="shared" si="155"/>
        <v>0</v>
      </c>
      <c r="P150" s="23">
        <f t="shared" si="155"/>
        <v>0</v>
      </c>
      <c r="Q150" s="23">
        <f t="shared" si="155"/>
        <v>0</v>
      </c>
      <c r="R150" s="23">
        <f t="shared" si="155"/>
        <v>0</v>
      </c>
      <c r="S150" s="23">
        <f t="shared" si="155"/>
        <v>0</v>
      </c>
      <c r="T150" s="23">
        <f t="shared" si="155"/>
        <v>99503.150667626498</v>
      </c>
      <c r="U150" s="23">
        <f t="shared" si="155"/>
        <v>52009.913222859825</v>
      </c>
      <c r="V150" s="23">
        <f t="shared" si="155"/>
        <v>30398.601847890644</v>
      </c>
      <c r="W150" s="23">
        <f t="shared" si="155"/>
        <v>80578.142957014934</v>
      </c>
      <c r="X150" s="23">
        <f t="shared" si="155"/>
        <v>98702.262217784533</v>
      </c>
      <c r="Y150" s="23">
        <f t="shared" si="155"/>
        <v>51444.664672913801</v>
      </c>
      <c r="Z150" s="23">
        <f t="shared" si="155"/>
        <v>29940.225200464032</v>
      </c>
      <c r="AA150" s="23">
        <f t="shared" si="155"/>
        <v>79869.467587825871</v>
      </c>
      <c r="AB150" s="23">
        <f t="shared" si="155"/>
        <v>97902.765625600179</v>
      </c>
      <c r="AC150" s="23">
        <f t="shared" si="155"/>
        <v>50879.626810988084</v>
      </c>
      <c r="AD150" s="23">
        <f t="shared" si="155"/>
        <v>31590.597410920618</v>
      </c>
      <c r="AE150" s="23">
        <f t="shared" si="155"/>
        <v>82966.475098870433</v>
      </c>
      <c r="AF150" s="23">
        <f t="shared" si="155"/>
        <v>101522.65247679333</v>
      </c>
      <c r="AG150" s="23">
        <f t="shared" si="155"/>
        <v>53138.25599594957</v>
      </c>
      <c r="AH150" s="23">
        <f t="shared" si="155"/>
        <v>32576.053437946994</v>
      </c>
      <c r="AI150" s="23">
        <f t="shared" si="155"/>
        <v>84865.497092081874</v>
      </c>
      <c r="AJ150" s="23">
        <f t="shared" si="155"/>
        <v>103751.76230240409</v>
      </c>
      <c r="AK150" s="23">
        <f t="shared" si="155"/>
        <v>54507.36429777903</v>
      </c>
      <c r="AL150" s="23">
        <f t="shared" si="155"/>
        <v>32377.324121268019</v>
      </c>
      <c r="AM150" s="23">
        <f t="shared" si="155"/>
        <v>84629.793883835257</v>
      </c>
      <c r="AN150" s="23">
        <f t="shared" si="155"/>
        <v>103502.37502666502</v>
      </c>
      <c r="AO150" s="23">
        <f t="shared" si="155"/>
        <v>54291.797810474614</v>
      </c>
      <c r="AP150" s="23">
        <f t="shared" si="155"/>
        <v>36635.729271682314</v>
      </c>
      <c r="AQ150" s="23">
        <f t="shared" ref="AQ150:BV150" si="156">AQ13</f>
        <v>92436.323784715321</v>
      </c>
      <c r="AR150" s="23">
        <f t="shared" si="156"/>
        <v>112591.78553278054</v>
      </c>
      <c r="AS150" s="23">
        <f t="shared" si="156"/>
        <v>60043.785790244423</v>
      </c>
      <c r="AT150" s="23">
        <f t="shared" si="156"/>
        <v>44402.584164931002</v>
      </c>
      <c r="AU150" s="23">
        <f t="shared" si="156"/>
        <v>106573.68240525824</v>
      </c>
      <c r="AV150" s="23">
        <f t="shared" si="156"/>
        <v>129032.74793641971</v>
      </c>
      <c r="AW150" s="23">
        <f t="shared" si="156"/>
        <v>70493.301855220416</v>
      </c>
      <c r="AX150" s="23">
        <f t="shared" si="156"/>
        <v>46326.886907018044</v>
      </c>
      <c r="AY150" s="23">
        <f t="shared" si="156"/>
        <v>110172.69208713573</v>
      </c>
      <c r="AZ150" s="23">
        <f t="shared" si="156"/>
        <v>133237.09816880926</v>
      </c>
      <c r="BA150" s="23">
        <f t="shared" si="156"/>
        <v>73121.861469402036</v>
      </c>
      <c r="BB150" s="23">
        <f t="shared" si="156"/>
        <v>46179.602603051833</v>
      </c>
      <c r="BC150" s="23">
        <f t="shared" si="156"/>
        <v>110036.19369102863</v>
      </c>
      <c r="BD150" s="23">
        <f t="shared" si="156"/>
        <v>133104.17024735676</v>
      </c>
      <c r="BE150" s="23">
        <f t="shared" si="156"/>
        <v>72977.78894075779</v>
      </c>
      <c r="BF150" s="23">
        <f t="shared" si="156"/>
        <v>49232.574689792556</v>
      </c>
      <c r="BG150" s="23">
        <f t="shared" si="156"/>
        <v>115674.61174694466</v>
      </c>
      <c r="BH150" s="23">
        <f t="shared" si="156"/>
        <v>139677.29295513188</v>
      </c>
      <c r="BI150" s="23">
        <f t="shared" si="156"/>
        <v>77118.683889877779</v>
      </c>
      <c r="BJ150" s="23">
        <f t="shared" si="156"/>
        <v>52979.046987055401</v>
      </c>
      <c r="BK150" s="23">
        <f t="shared" si="156"/>
        <v>122565.7835075046</v>
      </c>
      <c r="BL150" s="23">
        <f t="shared" si="156"/>
        <v>147705.42148298217</v>
      </c>
      <c r="BM150" s="23">
        <f t="shared" si="156"/>
        <v>82188.678986765997</v>
      </c>
      <c r="BN150" s="23">
        <f t="shared" si="156"/>
        <v>58080.525769570362</v>
      </c>
      <c r="BO150" s="23">
        <f t="shared" si="156"/>
        <v>131903.08955718775</v>
      </c>
      <c r="BP150" s="23">
        <f t="shared" si="156"/>
        <v>158574.29138370621</v>
      </c>
      <c r="BQ150" s="23">
        <f t="shared" si="156"/>
        <v>89073.364172271278</v>
      </c>
      <c r="BR150" s="23">
        <f t="shared" si="156"/>
        <v>62804.238692327359</v>
      </c>
      <c r="BS150" s="23">
        <f t="shared" si="156"/>
        <v>140560.63407530065</v>
      </c>
      <c r="BT150" s="23">
        <f t="shared" si="156"/>
        <v>168654.17660468101</v>
      </c>
      <c r="BU150" s="23">
        <f t="shared" si="156"/>
        <v>95453.030011476396</v>
      </c>
      <c r="BV150" s="23">
        <f t="shared" si="156"/>
        <v>65744.50971300884</v>
      </c>
      <c r="BW150" s="23">
        <f t="shared" ref="BW150:DB150" si="157">BW13</f>
        <v>146002.60306990769</v>
      </c>
      <c r="BX150" s="23">
        <f t="shared" si="157"/>
        <v>175000.54296850946</v>
      </c>
      <c r="BY150" s="23">
        <f t="shared" si="157"/>
        <v>99445.861790989045</v>
      </c>
      <c r="BZ150" s="23">
        <f t="shared" si="157"/>
        <v>67006.981066041219</v>
      </c>
      <c r="CA150" s="23">
        <f t="shared" si="157"/>
        <v>148419.59989684005</v>
      </c>
      <c r="CB150" s="23">
        <f t="shared" si="157"/>
        <v>177834.72037799895</v>
      </c>
      <c r="CC150" s="23">
        <f t="shared" si="157"/>
        <v>101193.29641833418</v>
      </c>
      <c r="CD150" s="23">
        <f t="shared" si="157"/>
        <v>71940.215861161763</v>
      </c>
      <c r="CE150" s="23">
        <f t="shared" si="157"/>
        <v>157460.45343033172</v>
      </c>
      <c r="CF150" s="23">
        <f t="shared" si="157"/>
        <v>188360.7505279521</v>
      </c>
      <c r="CG150" s="23">
        <f t="shared" si="157"/>
        <v>107855.64152849109</v>
      </c>
      <c r="CH150" s="23">
        <f t="shared" si="157"/>
        <v>74850.981695199676</v>
      </c>
      <c r="CI150" s="23">
        <f t="shared" si="157"/>
        <v>162854.60245810822</v>
      </c>
      <c r="CJ150" s="23">
        <f t="shared" si="157"/>
        <v>194652.65798302944</v>
      </c>
      <c r="CK150" s="23">
        <f t="shared" si="157"/>
        <v>111811.19016971644</v>
      </c>
      <c r="CL150" s="23">
        <f t="shared" si="157"/>
        <v>82083.753453313155</v>
      </c>
      <c r="CM150" s="23">
        <f t="shared" si="157"/>
        <v>176047.50066476566</v>
      </c>
      <c r="CN150" s="23">
        <f t="shared" si="157"/>
        <v>210000.69117086928</v>
      </c>
      <c r="CO150" s="23">
        <f t="shared" si="157"/>
        <v>121553.51012510111</v>
      </c>
      <c r="CP150" s="23">
        <f t="shared" si="157"/>
        <v>87913.523256121101</v>
      </c>
      <c r="CQ150" s="23">
        <f t="shared" si="157"/>
        <v>186711.26466246118</v>
      </c>
      <c r="CR150" s="23">
        <f t="shared" si="157"/>
        <v>222412.31338509158</v>
      </c>
      <c r="CS150" s="23">
        <f t="shared" si="157"/>
        <v>129418.35587855263</v>
      </c>
      <c r="CT150" s="23">
        <f t="shared" si="157"/>
        <v>94375.729033308133</v>
      </c>
      <c r="CU150" s="23">
        <f t="shared" si="157"/>
        <v>198517.84961283629</v>
      </c>
      <c r="CV150" s="23">
        <f t="shared" si="157"/>
        <v>236151.33445472486</v>
      </c>
      <c r="CW150" s="23">
        <f t="shared" si="157"/>
        <v>138130.64606270476</v>
      </c>
      <c r="CX150" s="23">
        <f t="shared" si="157"/>
        <v>100406.4358762536</v>
      </c>
      <c r="CY150" s="23">
        <f t="shared" si="157"/>
        <v>209547.94489821649</v>
      </c>
      <c r="CZ150" s="23">
        <f t="shared" si="157"/>
        <v>248989.0927247644</v>
      </c>
      <c r="DA150" s="23">
        <f t="shared" si="157"/>
        <v>146266.06713651924</v>
      </c>
      <c r="DB150" s="23">
        <f t="shared" si="157"/>
        <v>101535.25409609792</v>
      </c>
      <c r="DC150" s="23">
        <f t="shared" ref="DC150:DQ150" si="158">DC13</f>
        <v>211736.9985447326</v>
      </c>
      <c r="DD150" s="23">
        <f t="shared" si="158"/>
        <v>251561.18914568383</v>
      </c>
      <c r="DE150" s="23">
        <f t="shared" si="158"/>
        <v>147839.97269429854</v>
      </c>
      <c r="DF150" s="23">
        <f t="shared" si="158"/>
        <v>101754.30011588552</v>
      </c>
      <c r="DG150" s="23">
        <f t="shared" si="158"/>
        <v>212286.81338207761</v>
      </c>
      <c r="DH150" s="23">
        <f t="shared" si="158"/>
        <v>252230.22581112373</v>
      </c>
      <c r="DI150" s="23">
        <f t="shared" si="158"/>
        <v>148196.75169941192</v>
      </c>
      <c r="DJ150" s="23">
        <f t="shared" si="158"/>
        <v>102089.95323641525</v>
      </c>
      <c r="DK150" s="23">
        <f t="shared" si="158"/>
        <v>213049.005205605</v>
      </c>
      <c r="DL150" s="23">
        <f t="shared" si="158"/>
        <v>253146.26939122085</v>
      </c>
      <c r="DM150" s="23">
        <f t="shared" si="158"/>
        <v>148710.46347627806</v>
      </c>
      <c r="DN150" s="23">
        <f t="shared" si="158"/>
        <v>103371.90916826807</v>
      </c>
      <c r="DO150" s="23">
        <f t="shared" si="158"/>
        <v>215520.37318555138</v>
      </c>
      <c r="DP150" s="23">
        <f t="shared" si="158"/>
        <v>0</v>
      </c>
      <c r="DQ150" s="23">
        <f t="shared" si="158"/>
        <v>0</v>
      </c>
    </row>
    <row r="151" spans="4:121" x14ac:dyDescent="0.35">
      <c r="D151" s="20" t="s">
        <v>382</v>
      </c>
      <c r="K151" s="23">
        <f>K145</f>
        <v>0</v>
      </c>
      <c r="L151" s="23">
        <f t="shared" ref="L151:BW151" si="159">L145</f>
        <v>0</v>
      </c>
      <c r="M151" s="23">
        <f t="shared" si="159"/>
        <v>0</v>
      </c>
      <c r="N151" s="23">
        <f t="shared" si="159"/>
        <v>0</v>
      </c>
      <c r="O151" s="23">
        <f t="shared" si="159"/>
        <v>0</v>
      </c>
      <c r="P151" s="23">
        <f t="shared" si="159"/>
        <v>0</v>
      </c>
      <c r="Q151" s="23">
        <f t="shared" si="159"/>
        <v>0</v>
      </c>
      <c r="R151" s="23">
        <f t="shared" si="159"/>
        <v>0</v>
      </c>
      <c r="S151" s="23">
        <f t="shared" si="159"/>
        <v>0</v>
      </c>
      <c r="T151" s="23">
        <f t="shared" si="159"/>
        <v>115050</v>
      </c>
      <c r="U151" s="23">
        <f t="shared" si="159"/>
        <v>115050</v>
      </c>
      <c r="V151" s="23">
        <f t="shared" si="159"/>
        <v>115050</v>
      </c>
      <c r="W151" s="23">
        <f t="shared" si="159"/>
        <v>115050</v>
      </c>
      <c r="X151" s="23">
        <f t="shared" si="159"/>
        <v>115050</v>
      </c>
      <c r="Y151" s="23">
        <f t="shared" si="159"/>
        <v>115050</v>
      </c>
      <c r="Z151" s="23">
        <f t="shared" si="159"/>
        <v>115050</v>
      </c>
      <c r="AA151" s="23">
        <f t="shared" si="159"/>
        <v>115050</v>
      </c>
      <c r="AB151" s="23">
        <f t="shared" si="159"/>
        <v>115050</v>
      </c>
      <c r="AC151" s="23">
        <f t="shared" si="159"/>
        <v>115050</v>
      </c>
      <c r="AD151" s="23">
        <f t="shared" si="159"/>
        <v>115050</v>
      </c>
      <c r="AE151" s="23">
        <f t="shared" si="159"/>
        <v>115050</v>
      </c>
      <c r="AF151" s="23">
        <f t="shared" si="159"/>
        <v>115050</v>
      </c>
      <c r="AG151" s="23">
        <f t="shared" si="159"/>
        <v>115050</v>
      </c>
      <c r="AH151" s="23">
        <f t="shared" si="159"/>
        <v>115050</v>
      </c>
      <c r="AI151" s="23">
        <f t="shared" si="159"/>
        <v>115050</v>
      </c>
      <c r="AJ151" s="23">
        <f t="shared" si="159"/>
        <v>115050</v>
      </c>
      <c r="AK151" s="23">
        <f t="shared" si="159"/>
        <v>115050</v>
      </c>
      <c r="AL151" s="23">
        <f t="shared" si="159"/>
        <v>115050</v>
      </c>
      <c r="AM151" s="23">
        <f t="shared" si="159"/>
        <v>115050</v>
      </c>
      <c r="AN151" s="23">
        <f t="shared" si="159"/>
        <v>115050</v>
      </c>
      <c r="AO151" s="23">
        <f t="shared" si="159"/>
        <v>115050</v>
      </c>
      <c r="AP151" s="23">
        <f t="shared" si="159"/>
        <v>115050</v>
      </c>
      <c r="AQ151" s="23">
        <f t="shared" si="159"/>
        <v>115050</v>
      </c>
      <c r="AR151" s="23">
        <f t="shared" si="159"/>
        <v>115050</v>
      </c>
      <c r="AS151" s="23">
        <f t="shared" si="159"/>
        <v>115050</v>
      </c>
      <c r="AT151" s="23">
        <f t="shared" si="159"/>
        <v>115050</v>
      </c>
      <c r="AU151" s="23">
        <f t="shared" si="159"/>
        <v>115050</v>
      </c>
      <c r="AV151" s="23">
        <f t="shared" si="159"/>
        <v>115050</v>
      </c>
      <c r="AW151" s="23">
        <f t="shared" si="159"/>
        <v>115050</v>
      </c>
      <c r="AX151" s="23">
        <f t="shared" si="159"/>
        <v>115050</v>
      </c>
      <c r="AY151" s="23">
        <f t="shared" si="159"/>
        <v>115050</v>
      </c>
      <c r="AZ151" s="23">
        <f t="shared" si="159"/>
        <v>115050</v>
      </c>
      <c r="BA151" s="23">
        <f t="shared" si="159"/>
        <v>115050</v>
      </c>
      <c r="BB151" s="23">
        <f t="shared" si="159"/>
        <v>115050</v>
      </c>
      <c r="BC151" s="23">
        <f t="shared" si="159"/>
        <v>115050</v>
      </c>
      <c r="BD151" s="23">
        <f t="shared" si="159"/>
        <v>115050</v>
      </c>
      <c r="BE151" s="23">
        <f t="shared" si="159"/>
        <v>115050</v>
      </c>
      <c r="BF151" s="23">
        <f t="shared" si="159"/>
        <v>115050</v>
      </c>
      <c r="BG151" s="23">
        <f t="shared" si="159"/>
        <v>115049.99999999724</v>
      </c>
      <c r="BH151" s="23">
        <f t="shared" si="159"/>
        <v>0</v>
      </c>
      <c r="BI151" s="23">
        <f t="shared" si="159"/>
        <v>0</v>
      </c>
      <c r="BJ151" s="23">
        <f t="shared" si="159"/>
        <v>0</v>
      </c>
      <c r="BK151" s="23">
        <f t="shared" si="159"/>
        <v>0</v>
      </c>
      <c r="BL151" s="23">
        <f t="shared" si="159"/>
        <v>0</v>
      </c>
      <c r="BM151" s="23">
        <f t="shared" si="159"/>
        <v>0</v>
      </c>
      <c r="BN151" s="23">
        <f t="shared" si="159"/>
        <v>0</v>
      </c>
      <c r="BO151" s="23">
        <f t="shared" si="159"/>
        <v>0</v>
      </c>
      <c r="BP151" s="23">
        <f t="shared" si="159"/>
        <v>0</v>
      </c>
      <c r="BQ151" s="23">
        <f t="shared" si="159"/>
        <v>0</v>
      </c>
      <c r="BR151" s="23">
        <f t="shared" si="159"/>
        <v>0</v>
      </c>
      <c r="BS151" s="23">
        <f t="shared" si="159"/>
        <v>0</v>
      </c>
      <c r="BT151" s="23">
        <f t="shared" si="159"/>
        <v>0</v>
      </c>
      <c r="BU151" s="23">
        <f t="shared" si="159"/>
        <v>0</v>
      </c>
      <c r="BV151" s="23">
        <f t="shared" si="159"/>
        <v>0</v>
      </c>
      <c r="BW151" s="23">
        <f t="shared" si="159"/>
        <v>0</v>
      </c>
      <c r="BX151" s="23">
        <f t="shared" ref="BX151:DQ151" si="160">BX145</f>
        <v>0</v>
      </c>
      <c r="BY151" s="23">
        <f t="shared" si="160"/>
        <v>0</v>
      </c>
      <c r="BZ151" s="23">
        <f t="shared" si="160"/>
        <v>0</v>
      </c>
      <c r="CA151" s="23">
        <f t="shared" si="160"/>
        <v>0</v>
      </c>
      <c r="CB151" s="23">
        <f t="shared" si="160"/>
        <v>0</v>
      </c>
      <c r="CC151" s="23">
        <f t="shared" si="160"/>
        <v>0</v>
      </c>
      <c r="CD151" s="23">
        <f t="shared" si="160"/>
        <v>0</v>
      </c>
      <c r="CE151" s="23">
        <f t="shared" si="160"/>
        <v>0</v>
      </c>
      <c r="CF151" s="23">
        <f t="shared" si="160"/>
        <v>0</v>
      </c>
      <c r="CG151" s="23">
        <f t="shared" si="160"/>
        <v>0</v>
      </c>
      <c r="CH151" s="23">
        <f t="shared" si="160"/>
        <v>0</v>
      </c>
      <c r="CI151" s="23">
        <f t="shared" si="160"/>
        <v>0</v>
      </c>
      <c r="CJ151" s="23">
        <f t="shared" si="160"/>
        <v>0</v>
      </c>
      <c r="CK151" s="23">
        <f t="shared" si="160"/>
        <v>0</v>
      </c>
      <c r="CL151" s="23">
        <f t="shared" si="160"/>
        <v>0</v>
      </c>
      <c r="CM151" s="23">
        <f t="shared" si="160"/>
        <v>0</v>
      </c>
      <c r="CN151" s="23">
        <f t="shared" si="160"/>
        <v>0</v>
      </c>
      <c r="CO151" s="23">
        <f t="shared" si="160"/>
        <v>0</v>
      </c>
      <c r="CP151" s="23">
        <f t="shared" si="160"/>
        <v>0</v>
      </c>
      <c r="CQ151" s="23">
        <f t="shared" si="160"/>
        <v>0</v>
      </c>
      <c r="CR151" s="23">
        <f t="shared" si="160"/>
        <v>0</v>
      </c>
      <c r="CS151" s="23">
        <f t="shared" si="160"/>
        <v>0</v>
      </c>
      <c r="CT151" s="23">
        <f t="shared" si="160"/>
        <v>0</v>
      </c>
      <c r="CU151" s="23">
        <f t="shared" si="160"/>
        <v>0</v>
      </c>
      <c r="CV151" s="23">
        <f t="shared" si="160"/>
        <v>0</v>
      </c>
      <c r="CW151" s="23">
        <f t="shared" si="160"/>
        <v>0</v>
      </c>
      <c r="CX151" s="23">
        <f t="shared" si="160"/>
        <v>0</v>
      </c>
      <c r="CY151" s="23">
        <f t="shared" si="160"/>
        <v>0</v>
      </c>
      <c r="CZ151" s="23">
        <f t="shared" si="160"/>
        <v>0</v>
      </c>
      <c r="DA151" s="23">
        <f t="shared" si="160"/>
        <v>0</v>
      </c>
      <c r="DB151" s="23">
        <f t="shared" si="160"/>
        <v>0</v>
      </c>
      <c r="DC151" s="23">
        <f t="shared" si="160"/>
        <v>0</v>
      </c>
      <c r="DD151" s="23">
        <f t="shared" si="160"/>
        <v>0</v>
      </c>
      <c r="DE151" s="23">
        <f t="shared" si="160"/>
        <v>0</v>
      </c>
      <c r="DF151" s="23">
        <f t="shared" si="160"/>
        <v>0</v>
      </c>
      <c r="DG151" s="23">
        <f t="shared" si="160"/>
        <v>0</v>
      </c>
      <c r="DH151" s="23">
        <f t="shared" si="160"/>
        <v>0</v>
      </c>
      <c r="DI151" s="23">
        <f t="shared" si="160"/>
        <v>0</v>
      </c>
      <c r="DJ151" s="23">
        <f t="shared" si="160"/>
        <v>0</v>
      </c>
      <c r="DK151" s="23">
        <f t="shared" si="160"/>
        <v>0</v>
      </c>
      <c r="DL151" s="23">
        <f t="shared" si="160"/>
        <v>0</v>
      </c>
      <c r="DM151" s="23">
        <f t="shared" si="160"/>
        <v>0</v>
      </c>
      <c r="DN151" s="23">
        <f t="shared" si="160"/>
        <v>0</v>
      </c>
      <c r="DO151" s="23">
        <f t="shared" si="160"/>
        <v>0</v>
      </c>
      <c r="DP151" s="23">
        <f t="shared" si="160"/>
        <v>0</v>
      </c>
      <c r="DQ151" s="23">
        <f t="shared" si="160"/>
        <v>0</v>
      </c>
    </row>
    <row r="152" spans="4:121" x14ac:dyDescent="0.35">
      <c r="D152" s="20" t="s">
        <v>383</v>
      </c>
      <c r="K152" s="23">
        <f>K122+K139</f>
        <v>0</v>
      </c>
      <c r="L152" s="23">
        <f t="shared" ref="L152:BW152" si="161">L122+L139</f>
        <v>0</v>
      </c>
      <c r="M152" s="23">
        <f t="shared" si="161"/>
        <v>0</v>
      </c>
      <c r="N152" s="23">
        <f t="shared" si="161"/>
        <v>0</v>
      </c>
      <c r="O152" s="23">
        <f t="shared" si="161"/>
        <v>0</v>
      </c>
      <c r="P152" s="23">
        <f t="shared" si="161"/>
        <v>0</v>
      </c>
      <c r="Q152" s="23">
        <f t="shared" si="161"/>
        <v>0</v>
      </c>
      <c r="R152" s="23">
        <f t="shared" si="161"/>
        <v>0</v>
      </c>
      <c r="S152" s="23">
        <f t="shared" si="161"/>
        <v>0</v>
      </c>
      <c r="T152" s="23">
        <f t="shared" si="161"/>
        <v>28963.292536513058</v>
      </c>
      <c r="U152" s="23">
        <f t="shared" si="161"/>
        <v>28626.347316790805</v>
      </c>
      <c r="V152" s="23">
        <f t="shared" si="161"/>
        <v>28564.94669599782</v>
      </c>
      <c r="W152" s="23">
        <f t="shared" si="161"/>
        <v>28629.711167643436</v>
      </c>
      <c r="X152" s="23">
        <f t="shared" si="161"/>
        <v>28400.870206658343</v>
      </c>
      <c r="Y152" s="23">
        <f t="shared" si="161"/>
        <v>28063.83926045899</v>
      </c>
      <c r="Z152" s="23">
        <f t="shared" si="161"/>
        <v>28000.970847169629</v>
      </c>
      <c r="AA152" s="23">
        <f t="shared" si="161"/>
        <v>28063.628559619603</v>
      </c>
      <c r="AB152" s="23">
        <f t="shared" si="161"/>
        <v>27834.130200354659</v>
      </c>
      <c r="AC152" s="23">
        <f t="shared" si="161"/>
        <v>27496.968668262802</v>
      </c>
      <c r="AD152" s="23">
        <f t="shared" si="161"/>
        <v>27432.594145854509</v>
      </c>
      <c r="AE152" s="23">
        <f t="shared" si="161"/>
        <v>27480.746060626836</v>
      </c>
      <c r="AF152" s="23">
        <f t="shared" si="161"/>
        <v>27228.138328503985</v>
      </c>
      <c r="AG152" s="23">
        <f t="shared" si="161"/>
        <v>26864.605839132331</v>
      </c>
      <c r="AH152" s="23">
        <f t="shared" si="161"/>
        <v>26781.615992626659</v>
      </c>
      <c r="AI152" s="23">
        <f t="shared" si="161"/>
        <v>26818.457781903635</v>
      </c>
      <c r="AJ152" s="23">
        <f t="shared" si="161"/>
        <v>26549.088401520396</v>
      </c>
      <c r="AK152" s="23">
        <f t="shared" si="161"/>
        <v>26166.716792239942</v>
      </c>
      <c r="AL152" s="23">
        <f t="shared" si="161"/>
        <v>26069.769081549093</v>
      </c>
      <c r="AM152" s="23">
        <f t="shared" si="161"/>
        <v>26101.725137041751</v>
      </c>
      <c r="AN152" s="23">
        <f t="shared" si="161"/>
        <v>26207.463549957549</v>
      </c>
      <c r="AO152" s="23">
        <f t="shared" si="161"/>
        <v>25818.008143077677</v>
      </c>
      <c r="AP152" s="23">
        <f t="shared" si="161"/>
        <v>25717.911771927011</v>
      </c>
      <c r="AQ152" s="23">
        <f t="shared" si="161"/>
        <v>25721.975235883503</v>
      </c>
      <c r="AR152" s="23">
        <f t="shared" si="161"/>
        <v>25394.156417785649</v>
      </c>
      <c r="AS152" s="23">
        <f t="shared" si="161"/>
        <v>24943.619915776831</v>
      </c>
      <c r="AT152" s="23">
        <f t="shared" si="161"/>
        <v>24801.767534906721</v>
      </c>
      <c r="AU152" s="23">
        <f t="shared" si="161"/>
        <v>24751.729859333213</v>
      </c>
      <c r="AV152" s="23">
        <f t="shared" si="161"/>
        <v>24331.449765826626</v>
      </c>
      <c r="AW152" s="23">
        <f t="shared" si="161"/>
        <v>23773.952039129912</v>
      </c>
      <c r="AX152" s="23">
        <f t="shared" si="161"/>
        <v>23559.854668644122</v>
      </c>
      <c r="AY152" s="23">
        <f t="shared" si="161"/>
        <v>23487.659211047026</v>
      </c>
      <c r="AZ152" s="23">
        <f t="shared" si="161"/>
        <v>23035.068605780907</v>
      </c>
      <c r="BA152" s="23">
        <f t="shared" si="161"/>
        <v>22441.380956575795</v>
      </c>
      <c r="BB152" s="23">
        <f t="shared" si="161"/>
        <v>22200.154762797931</v>
      </c>
      <c r="BC152" s="23">
        <f t="shared" si="161"/>
        <v>22117.107981183057</v>
      </c>
      <c r="BD152" s="23">
        <f t="shared" si="161"/>
        <v>21653.508301674134</v>
      </c>
      <c r="BE152" s="23">
        <f t="shared" si="161"/>
        <v>21048.695386792668</v>
      </c>
      <c r="BF152" s="23">
        <f t="shared" si="161"/>
        <v>20796.314263119948</v>
      </c>
      <c r="BG152" s="23">
        <f t="shared" si="161"/>
        <v>20682.999437024224</v>
      </c>
      <c r="BH152" s="23">
        <f t="shared" si="161"/>
        <v>20290.439483301405</v>
      </c>
      <c r="BI152" s="23">
        <f t="shared" si="161"/>
        <v>19630.971345359194</v>
      </c>
      <c r="BJ152" s="23">
        <f t="shared" si="161"/>
        <v>19340.055379003836</v>
      </c>
      <c r="BK152" s="23">
        <f t="shared" si="161"/>
        <v>19191.037337421025</v>
      </c>
      <c r="BL152" s="23">
        <f t="shared" si="161"/>
        <v>18624.405916524105</v>
      </c>
      <c r="BM152" s="23">
        <f t="shared" si="161"/>
        <v>17902.454582232098</v>
      </c>
      <c r="BN152" s="23">
        <f t="shared" si="161"/>
        <v>17566.211176083852</v>
      </c>
      <c r="BO152" s="23">
        <f t="shared" si="161"/>
        <v>17371.284119876353</v>
      </c>
      <c r="BP152" s="23">
        <f t="shared" si="161"/>
        <v>16733.003491554475</v>
      </c>
      <c r="BQ152" s="23">
        <f t="shared" si="161"/>
        <v>15929.618416130144</v>
      </c>
      <c r="BR152" s="23">
        <f t="shared" si="161"/>
        <v>15535.071246596648</v>
      </c>
      <c r="BS152" s="23">
        <f t="shared" si="161"/>
        <v>15294.26321729056</v>
      </c>
      <c r="BT152" s="23">
        <f t="shared" si="161"/>
        <v>14586.168433539004</v>
      </c>
      <c r="BU152" s="23">
        <f t="shared" si="161"/>
        <v>13703.854043785041</v>
      </c>
      <c r="BV152" s="23">
        <f t="shared" si="161"/>
        <v>13251.830367524826</v>
      </c>
      <c r="BW152" s="23">
        <f t="shared" si="161"/>
        <v>13017.247502417504</v>
      </c>
      <c r="BX152" s="23">
        <f t="shared" ref="BX152:DQ152" si="162">BX122+BX139</f>
        <v>12518.891120071299</v>
      </c>
      <c r="BY152" s="23">
        <f t="shared" si="162"/>
        <v>11894.770123670822</v>
      </c>
      <c r="BZ152" s="23">
        <f t="shared" si="162"/>
        <v>11581.652671730359</v>
      </c>
      <c r="CA152" s="23">
        <f t="shared" si="162"/>
        <v>11401.670721206205</v>
      </c>
      <c r="CB152" s="23">
        <f t="shared" si="162"/>
        <v>10973.233279514219</v>
      </c>
      <c r="CC152" s="23">
        <f t="shared" si="162"/>
        <v>10318.221425459253</v>
      </c>
      <c r="CD152" s="23">
        <f t="shared" si="162"/>
        <v>9981.2221637178209</v>
      </c>
      <c r="CE152" s="23">
        <f t="shared" si="162"/>
        <v>9764.8432056173096</v>
      </c>
      <c r="CF152" s="23">
        <f t="shared" si="162"/>
        <v>9185.3216522464081</v>
      </c>
      <c r="CG152" s="23">
        <f t="shared" si="162"/>
        <v>8470.2021682332197</v>
      </c>
      <c r="CH152" s="23">
        <f t="shared" si="162"/>
        <v>8088.8900733016026</v>
      </c>
      <c r="CI152" s="23">
        <f t="shared" si="162"/>
        <v>7843.6577330420305</v>
      </c>
      <c r="CJ152" s="23">
        <f t="shared" si="162"/>
        <v>7224.5401772722125</v>
      </c>
      <c r="CK152" s="23">
        <f t="shared" si="162"/>
        <v>6465.6859704134476</v>
      </c>
      <c r="CL152" s="23">
        <f t="shared" si="162"/>
        <v>6050.125575697456</v>
      </c>
      <c r="CM152" s="23">
        <f t="shared" si="162"/>
        <v>5756.5018205538863</v>
      </c>
      <c r="CN152" s="23">
        <f t="shared" si="162"/>
        <v>5063.3930288147776</v>
      </c>
      <c r="CO152" s="23">
        <f t="shared" si="162"/>
        <v>4220.7965752514801</v>
      </c>
      <c r="CP152" s="23">
        <f t="shared" si="162"/>
        <v>3744.4404950680073</v>
      </c>
      <c r="CQ152" s="23">
        <f t="shared" si="162"/>
        <v>3406.0162437156891</v>
      </c>
      <c r="CR152" s="23">
        <f t="shared" si="162"/>
        <v>2647.2954931889813</v>
      </c>
      <c r="CS152" s="23">
        <f t="shared" si="162"/>
        <v>1731.1297820081913</v>
      </c>
      <c r="CT152" s="23">
        <f t="shared" si="162"/>
        <v>1199.7669241149495</v>
      </c>
      <c r="CU152" s="23">
        <f t="shared" si="162"/>
        <v>811.77953047522635</v>
      </c>
      <c r="CV152" s="23">
        <f t="shared" si="162"/>
        <v>0</v>
      </c>
      <c r="CW152" s="23">
        <f t="shared" si="162"/>
        <v>0</v>
      </c>
      <c r="CX152" s="23">
        <f t="shared" si="162"/>
        <v>0</v>
      </c>
      <c r="CY152" s="23">
        <f t="shared" si="162"/>
        <v>0</v>
      </c>
      <c r="CZ152" s="23">
        <f t="shared" si="162"/>
        <v>0</v>
      </c>
      <c r="DA152" s="23">
        <f t="shared" si="162"/>
        <v>0</v>
      </c>
      <c r="DB152" s="23">
        <f t="shared" si="162"/>
        <v>0</v>
      </c>
      <c r="DC152" s="23">
        <f t="shared" si="162"/>
        <v>0</v>
      </c>
      <c r="DD152" s="23">
        <f t="shared" si="162"/>
        <v>0</v>
      </c>
      <c r="DE152" s="23">
        <f t="shared" si="162"/>
        <v>0</v>
      </c>
      <c r="DF152" s="23">
        <f t="shared" si="162"/>
        <v>0</v>
      </c>
      <c r="DG152" s="23">
        <f t="shared" si="162"/>
        <v>0</v>
      </c>
      <c r="DH152" s="23">
        <f t="shared" si="162"/>
        <v>0</v>
      </c>
      <c r="DI152" s="23">
        <f t="shared" si="162"/>
        <v>0</v>
      </c>
      <c r="DJ152" s="23">
        <f t="shared" si="162"/>
        <v>0</v>
      </c>
      <c r="DK152" s="23">
        <f t="shared" si="162"/>
        <v>0</v>
      </c>
      <c r="DL152" s="23">
        <f t="shared" si="162"/>
        <v>0</v>
      </c>
      <c r="DM152" s="23">
        <f t="shared" si="162"/>
        <v>0</v>
      </c>
      <c r="DN152" s="23">
        <f t="shared" si="162"/>
        <v>0</v>
      </c>
      <c r="DO152" s="23">
        <f t="shared" si="162"/>
        <v>0</v>
      </c>
      <c r="DP152" s="23">
        <f t="shared" si="162"/>
        <v>0</v>
      </c>
      <c r="DQ152" s="23">
        <f t="shared" si="162"/>
        <v>0</v>
      </c>
    </row>
    <row r="153" spans="4:121" ht="15" thickBot="1" x14ac:dyDescent="0.4">
      <c r="D153" s="39" t="s">
        <v>384</v>
      </c>
      <c r="E153" s="39"/>
      <c r="F153" s="39"/>
      <c r="G153" s="39"/>
      <c r="H153" s="39"/>
      <c r="I153" s="39"/>
      <c r="J153" s="39"/>
      <c r="K153" s="44">
        <f>K150-K151</f>
        <v>0</v>
      </c>
      <c r="L153" s="44">
        <f t="shared" ref="L153:BW153" si="163">L150-L151</f>
        <v>0</v>
      </c>
      <c r="M153" s="44">
        <f t="shared" si="163"/>
        <v>0</v>
      </c>
      <c r="N153" s="44">
        <f t="shared" si="163"/>
        <v>0</v>
      </c>
      <c r="O153" s="44">
        <f t="shared" si="163"/>
        <v>0</v>
      </c>
      <c r="P153" s="44">
        <f t="shared" si="163"/>
        <v>0</v>
      </c>
      <c r="Q153" s="44">
        <f t="shared" si="163"/>
        <v>0</v>
      </c>
      <c r="R153" s="44">
        <f t="shared" si="163"/>
        <v>0</v>
      </c>
      <c r="S153" s="44">
        <f t="shared" si="163"/>
        <v>0</v>
      </c>
      <c r="T153" s="44">
        <f t="shared" si="163"/>
        <v>-15546.849332373502</v>
      </c>
      <c r="U153" s="44">
        <f t="shared" si="163"/>
        <v>-63040.086777140175</v>
      </c>
      <c r="V153" s="44">
        <f t="shared" si="163"/>
        <v>-84651.398152109352</v>
      </c>
      <c r="W153" s="44">
        <f t="shared" si="163"/>
        <v>-34471.857042985066</v>
      </c>
      <c r="X153" s="44">
        <f t="shared" si="163"/>
        <v>-16347.737782215467</v>
      </c>
      <c r="Y153" s="44">
        <f t="shared" si="163"/>
        <v>-63605.335327086199</v>
      </c>
      <c r="Z153" s="44">
        <f t="shared" si="163"/>
        <v>-85109.774799535968</v>
      </c>
      <c r="AA153" s="44">
        <f t="shared" si="163"/>
        <v>-35180.532412174129</v>
      </c>
      <c r="AB153" s="44">
        <f t="shared" si="163"/>
        <v>-17147.234374399821</v>
      </c>
      <c r="AC153" s="44">
        <f t="shared" si="163"/>
        <v>-64170.373189011916</v>
      </c>
      <c r="AD153" s="44">
        <f t="shared" si="163"/>
        <v>-83459.402589079386</v>
      </c>
      <c r="AE153" s="44">
        <f t="shared" si="163"/>
        <v>-32083.524901129567</v>
      </c>
      <c r="AF153" s="44">
        <f t="shared" si="163"/>
        <v>-13527.34752320667</v>
      </c>
      <c r="AG153" s="44">
        <f t="shared" si="163"/>
        <v>-61911.74400405043</v>
      </c>
      <c r="AH153" s="44">
        <f t="shared" si="163"/>
        <v>-82473.94656205301</v>
      </c>
      <c r="AI153" s="44">
        <f t="shared" si="163"/>
        <v>-30184.502907918126</v>
      </c>
      <c r="AJ153" s="44">
        <f t="shared" si="163"/>
        <v>-11298.237697595905</v>
      </c>
      <c r="AK153" s="44">
        <f t="shared" si="163"/>
        <v>-60542.63570222097</v>
      </c>
      <c r="AL153" s="44">
        <f t="shared" si="163"/>
        <v>-82672.675878731985</v>
      </c>
      <c r="AM153" s="44">
        <f t="shared" si="163"/>
        <v>-30420.206116164743</v>
      </c>
      <c r="AN153" s="44">
        <f t="shared" si="163"/>
        <v>-11547.624973334983</v>
      </c>
      <c r="AO153" s="44">
        <f t="shared" si="163"/>
        <v>-60758.202189525386</v>
      </c>
      <c r="AP153" s="44">
        <f t="shared" si="163"/>
        <v>-78414.270728317686</v>
      </c>
      <c r="AQ153" s="44">
        <f t="shared" si="163"/>
        <v>-22613.676215284679</v>
      </c>
      <c r="AR153" s="44">
        <f t="shared" si="163"/>
        <v>-2458.2144672194554</v>
      </c>
      <c r="AS153" s="44">
        <f t="shared" si="163"/>
        <v>-55006.214209755577</v>
      </c>
      <c r="AT153" s="44">
        <f t="shared" si="163"/>
        <v>-70647.415835068998</v>
      </c>
      <c r="AU153" s="44">
        <f t="shared" si="163"/>
        <v>-8476.3175947417622</v>
      </c>
      <c r="AV153" s="44">
        <f t="shared" si="163"/>
        <v>13982.747936419706</v>
      </c>
      <c r="AW153" s="44">
        <f t="shared" si="163"/>
        <v>-44556.698144779584</v>
      </c>
      <c r="AX153" s="44">
        <f t="shared" si="163"/>
        <v>-68723.113092981948</v>
      </c>
      <c r="AY153" s="44">
        <f t="shared" si="163"/>
        <v>-4877.3079128642712</v>
      </c>
      <c r="AZ153" s="44">
        <f t="shared" si="163"/>
        <v>18187.098168809258</v>
      </c>
      <c r="BA153" s="44">
        <f t="shared" si="163"/>
        <v>-41928.138530597964</v>
      </c>
      <c r="BB153" s="44">
        <f t="shared" si="163"/>
        <v>-68870.397396948159</v>
      </c>
      <c r="BC153" s="44">
        <f t="shared" si="163"/>
        <v>-5013.8063089713687</v>
      </c>
      <c r="BD153" s="44">
        <f t="shared" si="163"/>
        <v>18054.170247356757</v>
      </c>
      <c r="BE153" s="44">
        <f t="shared" si="163"/>
        <v>-42072.21105924221</v>
      </c>
      <c r="BF153" s="44">
        <f t="shared" si="163"/>
        <v>-65817.425310207444</v>
      </c>
      <c r="BG153" s="44">
        <f t="shared" si="163"/>
        <v>624.61174694742658</v>
      </c>
      <c r="BH153" s="44">
        <f t="shared" si="163"/>
        <v>139677.29295513188</v>
      </c>
      <c r="BI153" s="44">
        <f t="shared" si="163"/>
        <v>77118.683889877779</v>
      </c>
      <c r="BJ153" s="44">
        <f t="shared" si="163"/>
        <v>52979.046987055401</v>
      </c>
      <c r="BK153" s="44">
        <f t="shared" si="163"/>
        <v>122565.7835075046</v>
      </c>
      <c r="BL153" s="44">
        <f t="shared" si="163"/>
        <v>147705.42148298217</v>
      </c>
      <c r="BM153" s="44">
        <f t="shared" si="163"/>
        <v>82188.678986765997</v>
      </c>
      <c r="BN153" s="44">
        <f t="shared" si="163"/>
        <v>58080.525769570362</v>
      </c>
      <c r="BO153" s="44">
        <f t="shared" si="163"/>
        <v>131903.08955718775</v>
      </c>
      <c r="BP153" s="44">
        <f t="shared" si="163"/>
        <v>158574.29138370621</v>
      </c>
      <c r="BQ153" s="44">
        <f t="shared" si="163"/>
        <v>89073.364172271278</v>
      </c>
      <c r="BR153" s="44">
        <f t="shared" si="163"/>
        <v>62804.238692327359</v>
      </c>
      <c r="BS153" s="44">
        <f t="shared" si="163"/>
        <v>140560.63407530065</v>
      </c>
      <c r="BT153" s="44">
        <f t="shared" si="163"/>
        <v>168654.17660468101</v>
      </c>
      <c r="BU153" s="44">
        <f t="shared" si="163"/>
        <v>95453.030011476396</v>
      </c>
      <c r="BV153" s="44">
        <f t="shared" si="163"/>
        <v>65744.50971300884</v>
      </c>
      <c r="BW153" s="44">
        <f t="shared" si="163"/>
        <v>146002.60306990769</v>
      </c>
      <c r="BX153" s="44">
        <f t="shared" ref="BX153:DQ153" si="164">BX150-BX151</f>
        <v>175000.54296850946</v>
      </c>
      <c r="BY153" s="44">
        <f t="shared" si="164"/>
        <v>99445.861790989045</v>
      </c>
      <c r="BZ153" s="44">
        <f t="shared" si="164"/>
        <v>67006.981066041219</v>
      </c>
      <c r="CA153" s="44">
        <f t="shared" si="164"/>
        <v>148419.59989684005</v>
      </c>
      <c r="CB153" s="44">
        <f t="shared" si="164"/>
        <v>177834.72037799895</v>
      </c>
      <c r="CC153" s="44">
        <f t="shared" si="164"/>
        <v>101193.29641833418</v>
      </c>
      <c r="CD153" s="44">
        <f t="shared" si="164"/>
        <v>71940.215861161763</v>
      </c>
      <c r="CE153" s="44">
        <f t="shared" si="164"/>
        <v>157460.45343033172</v>
      </c>
      <c r="CF153" s="44">
        <f t="shared" si="164"/>
        <v>188360.7505279521</v>
      </c>
      <c r="CG153" s="44">
        <f t="shared" si="164"/>
        <v>107855.64152849109</v>
      </c>
      <c r="CH153" s="44">
        <f t="shared" si="164"/>
        <v>74850.981695199676</v>
      </c>
      <c r="CI153" s="44">
        <f t="shared" si="164"/>
        <v>162854.60245810822</v>
      </c>
      <c r="CJ153" s="44">
        <f t="shared" si="164"/>
        <v>194652.65798302944</v>
      </c>
      <c r="CK153" s="44">
        <f t="shared" si="164"/>
        <v>111811.19016971644</v>
      </c>
      <c r="CL153" s="44">
        <f t="shared" si="164"/>
        <v>82083.753453313155</v>
      </c>
      <c r="CM153" s="44">
        <f t="shared" si="164"/>
        <v>176047.50066476566</v>
      </c>
      <c r="CN153" s="44">
        <f t="shared" si="164"/>
        <v>210000.69117086928</v>
      </c>
      <c r="CO153" s="44">
        <f t="shared" si="164"/>
        <v>121553.51012510111</v>
      </c>
      <c r="CP153" s="44">
        <f t="shared" si="164"/>
        <v>87913.523256121101</v>
      </c>
      <c r="CQ153" s="44">
        <f t="shared" si="164"/>
        <v>186711.26466246118</v>
      </c>
      <c r="CR153" s="44">
        <f t="shared" si="164"/>
        <v>222412.31338509158</v>
      </c>
      <c r="CS153" s="44">
        <f t="shared" si="164"/>
        <v>129418.35587855263</v>
      </c>
      <c r="CT153" s="44">
        <f t="shared" si="164"/>
        <v>94375.729033308133</v>
      </c>
      <c r="CU153" s="44">
        <f t="shared" si="164"/>
        <v>198517.84961283629</v>
      </c>
      <c r="CV153" s="44">
        <f t="shared" si="164"/>
        <v>236151.33445472486</v>
      </c>
      <c r="CW153" s="44">
        <f t="shared" si="164"/>
        <v>138130.64606270476</v>
      </c>
      <c r="CX153" s="44">
        <f t="shared" si="164"/>
        <v>100406.4358762536</v>
      </c>
      <c r="CY153" s="44">
        <f t="shared" si="164"/>
        <v>209547.94489821649</v>
      </c>
      <c r="CZ153" s="44">
        <f t="shared" si="164"/>
        <v>248989.0927247644</v>
      </c>
      <c r="DA153" s="44">
        <f t="shared" si="164"/>
        <v>146266.06713651924</v>
      </c>
      <c r="DB153" s="44">
        <f t="shared" si="164"/>
        <v>101535.25409609792</v>
      </c>
      <c r="DC153" s="44">
        <f t="shared" si="164"/>
        <v>211736.9985447326</v>
      </c>
      <c r="DD153" s="44">
        <f t="shared" si="164"/>
        <v>251561.18914568383</v>
      </c>
      <c r="DE153" s="44">
        <f t="shared" si="164"/>
        <v>147839.97269429854</v>
      </c>
      <c r="DF153" s="44">
        <f t="shared" si="164"/>
        <v>101754.30011588552</v>
      </c>
      <c r="DG153" s="44">
        <f t="shared" si="164"/>
        <v>212286.81338207761</v>
      </c>
      <c r="DH153" s="44">
        <f t="shared" si="164"/>
        <v>252230.22581112373</v>
      </c>
      <c r="DI153" s="44">
        <f t="shared" si="164"/>
        <v>148196.75169941192</v>
      </c>
      <c r="DJ153" s="44">
        <f t="shared" si="164"/>
        <v>102089.95323641525</v>
      </c>
      <c r="DK153" s="44">
        <f t="shared" si="164"/>
        <v>213049.005205605</v>
      </c>
      <c r="DL153" s="44">
        <f t="shared" si="164"/>
        <v>253146.26939122085</v>
      </c>
      <c r="DM153" s="44">
        <f t="shared" si="164"/>
        <v>148710.46347627806</v>
      </c>
      <c r="DN153" s="44">
        <f t="shared" si="164"/>
        <v>103371.90916826807</v>
      </c>
      <c r="DO153" s="44">
        <f t="shared" si="164"/>
        <v>215520.37318555138</v>
      </c>
      <c r="DP153" s="44">
        <f t="shared" si="164"/>
        <v>0</v>
      </c>
      <c r="DQ153" s="44">
        <f t="shared" si="164"/>
        <v>0</v>
      </c>
    </row>
    <row r="154" spans="4:121" x14ac:dyDescent="0.35">
      <c r="D154" s="63" t="s">
        <v>387</v>
      </c>
      <c r="E154" s="63"/>
      <c r="F154" s="63"/>
      <c r="G154" s="63"/>
      <c r="H154" s="63"/>
      <c r="I154" s="63"/>
      <c r="J154" s="63"/>
      <c r="K154" s="64">
        <f>J157</f>
        <v>0</v>
      </c>
      <c r="L154" s="64">
        <f t="shared" ref="L154:BW154" si="165">K157</f>
        <v>0</v>
      </c>
      <c r="M154" s="64">
        <f t="shared" si="165"/>
        <v>0</v>
      </c>
      <c r="N154" s="64">
        <f t="shared" si="165"/>
        <v>0</v>
      </c>
      <c r="O154" s="64">
        <f t="shared" si="165"/>
        <v>0</v>
      </c>
      <c r="P154" s="64">
        <f t="shared" si="165"/>
        <v>0</v>
      </c>
      <c r="Q154" s="64">
        <f t="shared" si="165"/>
        <v>0</v>
      </c>
      <c r="R154" s="64">
        <f t="shared" si="165"/>
        <v>0</v>
      </c>
      <c r="S154" s="64">
        <f t="shared" si="165"/>
        <v>0</v>
      </c>
      <c r="T154" s="64">
        <f t="shared" si="165"/>
        <v>0</v>
      </c>
      <c r="U154" s="64">
        <f t="shared" si="165"/>
        <v>15546.849332373502</v>
      </c>
      <c r="V154" s="64">
        <f t="shared" si="165"/>
        <v>78586.936109513685</v>
      </c>
      <c r="W154" s="64">
        <f t="shared" si="165"/>
        <v>163238.33426162304</v>
      </c>
      <c r="X154" s="64">
        <f t="shared" si="165"/>
        <v>197710.1913046081</v>
      </c>
      <c r="Y154" s="64">
        <f t="shared" si="165"/>
        <v>214057.92908682357</v>
      </c>
      <c r="Z154" s="64">
        <f t="shared" si="165"/>
        <v>277663.26441390975</v>
      </c>
      <c r="AA154" s="64">
        <f t="shared" si="165"/>
        <v>362773.03921344574</v>
      </c>
      <c r="AB154" s="64">
        <f t="shared" si="165"/>
        <v>397953.57162561989</v>
      </c>
      <c r="AC154" s="64">
        <f t="shared" si="165"/>
        <v>415100.80600001971</v>
      </c>
      <c r="AD154" s="64">
        <f t="shared" si="165"/>
        <v>479271.17918903165</v>
      </c>
      <c r="AE154" s="64">
        <f t="shared" si="165"/>
        <v>562730.58177811105</v>
      </c>
      <c r="AF154" s="64">
        <f t="shared" si="165"/>
        <v>594814.10667924059</v>
      </c>
      <c r="AG154" s="64">
        <f t="shared" si="165"/>
        <v>608341.45420244732</v>
      </c>
      <c r="AH154" s="64">
        <f t="shared" si="165"/>
        <v>670253.19820649771</v>
      </c>
      <c r="AI154" s="64">
        <f t="shared" si="165"/>
        <v>752727.14476855076</v>
      </c>
      <c r="AJ154" s="64">
        <f t="shared" si="165"/>
        <v>782911.64767646883</v>
      </c>
      <c r="AK154" s="64">
        <f t="shared" si="165"/>
        <v>794209.88537406479</v>
      </c>
      <c r="AL154" s="64">
        <f t="shared" si="165"/>
        <v>854752.52107628575</v>
      </c>
      <c r="AM154" s="64">
        <f t="shared" si="165"/>
        <v>937425.19695501775</v>
      </c>
      <c r="AN154" s="64">
        <f t="shared" si="165"/>
        <v>967845.40307118255</v>
      </c>
      <c r="AO154" s="64">
        <f t="shared" si="165"/>
        <v>979393.0280445175</v>
      </c>
      <c r="AP154" s="64">
        <f t="shared" si="165"/>
        <v>1040151.2302340429</v>
      </c>
      <c r="AQ154" s="64">
        <f t="shared" si="165"/>
        <v>1118565.5009623605</v>
      </c>
      <c r="AR154" s="64">
        <f t="shared" si="165"/>
        <v>1141179.1771776453</v>
      </c>
      <c r="AS154" s="64">
        <f t="shared" si="165"/>
        <v>1143637.3916448648</v>
      </c>
      <c r="AT154" s="64">
        <f t="shared" si="165"/>
        <v>1198643.6058546205</v>
      </c>
      <c r="AU154" s="64">
        <f t="shared" si="165"/>
        <v>1269291.0216896895</v>
      </c>
      <c r="AV154" s="64">
        <f t="shared" si="165"/>
        <v>1277767.3392844312</v>
      </c>
      <c r="AW154" s="64">
        <f t="shared" si="165"/>
        <v>1263784.5913480115</v>
      </c>
      <c r="AX154" s="64">
        <f t="shared" si="165"/>
        <v>1308341.2894927911</v>
      </c>
      <c r="AY154" s="64">
        <f t="shared" si="165"/>
        <v>1377064.402585773</v>
      </c>
      <c r="AZ154" s="64">
        <f t="shared" si="165"/>
        <v>1381941.7104986373</v>
      </c>
      <c r="BA154" s="64">
        <f t="shared" si="165"/>
        <v>1363754.6123298281</v>
      </c>
      <c r="BB154" s="64">
        <f t="shared" si="165"/>
        <v>1405682.7508604261</v>
      </c>
      <c r="BC154" s="64">
        <f t="shared" si="165"/>
        <v>1474553.1482573743</v>
      </c>
      <c r="BD154" s="64">
        <f t="shared" si="165"/>
        <v>1479566.9545663456</v>
      </c>
      <c r="BE154" s="64">
        <f t="shared" si="165"/>
        <v>1461512.7843189887</v>
      </c>
      <c r="BF154" s="64">
        <f t="shared" si="165"/>
        <v>1503584.9953782309</v>
      </c>
      <c r="BG154" s="64">
        <f t="shared" si="165"/>
        <v>1569402.4206884385</v>
      </c>
      <c r="BH154" s="64">
        <f t="shared" si="165"/>
        <v>1568777.8089414909</v>
      </c>
      <c r="BI154" s="64">
        <f t="shared" si="165"/>
        <v>1429100.515986359</v>
      </c>
      <c r="BJ154" s="64">
        <f t="shared" si="165"/>
        <v>1351981.8320964812</v>
      </c>
      <c r="BK154" s="64">
        <f t="shared" si="165"/>
        <v>1299002.7851094259</v>
      </c>
      <c r="BL154" s="64">
        <f t="shared" si="165"/>
        <v>1176437.0016019214</v>
      </c>
      <c r="BM154" s="64">
        <f t="shared" si="165"/>
        <v>1028731.5801189393</v>
      </c>
      <c r="BN154" s="64">
        <f t="shared" si="165"/>
        <v>946542.90113217325</v>
      </c>
      <c r="BO154" s="64">
        <f t="shared" si="165"/>
        <v>888462.37536260288</v>
      </c>
      <c r="BP154" s="64">
        <f t="shared" si="165"/>
        <v>756559.28580541513</v>
      </c>
      <c r="BQ154" s="64">
        <f t="shared" si="165"/>
        <v>597984.99442170886</v>
      </c>
      <c r="BR154" s="64">
        <f t="shared" si="165"/>
        <v>508911.63024943759</v>
      </c>
      <c r="BS154" s="64">
        <f t="shared" si="165"/>
        <v>446107.39155711024</v>
      </c>
      <c r="BT154" s="64">
        <f t="shared" si="165"/>
        <v>305546.75748180959</v>
      </c>
      <c r="BU154" s="64">
        <f t="shared" si="165"/>
        <v>136892.58087712858</v>
      </c>
      <c r="BV154" s="64">
        <f t="shared" si="165"/>
        <v>41439.550865652185</v>
      </c>
      <c r="BW154" s="64">
        <f t="shared" si="165"/>
        <v>0</v>
      </c>
      <c r="BX154" s="64">
        <f t="shared" ref="BX154:DQ154" si="166">BW157</f>
        <v>0</v>
      </c>
      <c r="BY154" s="64">
        <f t="shared" si="166"/>
        <v>0</v>
      </c>
      <c r="BZ154" s="64">
        <f t="shared" si="166"/>
        <v>0</v>
      </c>
      <c r="CA154" s="64">
        <f t="shared" si="166"/>
        <v>0</v>
      </c>
      <c r="CB154" s="64">
        <f t="shared" si="166"/>
        <v>0</v>
      </c>
      <c r="CC154" s="64">
        <f t="shared" si="166"/>
        <v>0</v>
      </c>
      <c r="CD154" s="64">
        <f t="shared" si="166"/>
        <v>0</v>
      </c>
      <c r="CE154" s="64">
        <f t="shared" si="166"/>
        <v>0</v>
      </c>
      <c r="CF154" s="64">
        <f t="shared" si="166"/>
        <v>0</v>
      </c>
      <c r="CG154" s="64">
        <f t="shared" si="166"/>
        <v>0</v>
      </c>
      <c r="CH154" s="64">
        <f t="shared" si="166"/>
        <v>0</v>
      </c>
      <c r="CI154" s="64">
        <f t="shared" si="166"/>
        <v>0</v>
      </c>
      <c r="CJ154" s="64">
        <f t="shared" si="166"/>
        <v>0</v>
      </c>
      <c r="CK154" s="64">
        <f t="shared" si="166"/>
        <v>0</v>
      </c>
      <c r="CL154" s="64">
        <f t="shared" si="166"/>
        <v>0</v>
      </c>
      <c r="CM154" s="64">
        <f t="shared" si="166"/>
        <v>0</v>
      </c>
      <c r="CN154" s="64">
        <f t="shared" si="166"/>
        <v>0</v>
      </c>
      <c r="CO154" s="64">
        <f t="shared" si="166"/>
        <v>0</v>
      </c>
      <c r="CP154" s="64">
        <f t="shared" si="166"/>
        <v>0</v>
      </c>
      <c r="CQ154" s="64">
        <f t="shared" si="166"/>
        <v>0</v>
      </c>
      <c r="CR154" s="64">
        <f t="shared" si="166"/>
        <v>0</v>
      </c>
      <c r="CS154" s="64">
        <f t="shared" si="166"/>
        <v>0</v>
      </c>
      <c r="CT154" s="64">
        <f t="shared" si="166"/>
        <v>0</v>
      </c>
      <c r="CU154" s="64">
        <f t="shared" si="166"/>
        <v>0</v>
      </c>
      <c r="CV154" s="64">
        <f t="shared" si="166"/>
        <v>0</v>
      </c>
      <c r="CW154" s="64">
        <f t="shared" si="166"/>
        <v>0</v>
      </c>
      <c r="CX154" s="64">
        <f t="shared" si="166"/>
        <v>0</v>
      </c>
      <c r="CY154" s="64">
        <f t="shared" si="166"/>
        <v>0</v>
      </c>
      <c r="CZ154" s="64">
        <f t="shared" si="166"/>
        <v>0</v>
      </c>
      <c r="DA154" s="64">
        <f t="shared" si="166"/>
        <v>0</v>
      </c>
      <c r="DB154" s="64">
        <f t="shared" si="166"/>
        <v>0</v>
      </c>
      <c r="DC154" s="64">
        <f t="shared" si="166"/>
        <v>0</v>
      </c>
      <c r="DD154" s="64">
        <f t="shared" si="166"/>
        <v>0</v>
      </c>
      <c r="DE154" s="64">
        <f t="shared" si="166"/>
        <v>0</v>
      </c>
      <c r="DF154" s="64">
        <f t="shared" si="166"/>
        <v>0</v>
      </c>
      <c r="DG154" s="64">
        <f t="shared" si="166"/>
        <v>0</v>
      </c>
      <c r="DH154" s="64">
        <f t="shared" si="166"/>
        <v>0</v>
      </c>
      <c r="DI154" s="64">
        <f t="shared" si="166"/>
        <v>0</v>
      </c>
      <c r="DJ154" s="64">
        <f t="shared" si="166"/>
        <v>0</v>
      </c>
      <c r="DK154" s="64">
        <f t="shared" si="166"/>
        <v>0</v>
      </c>
      <c r="DL154" s="64">
        <f t="shared" si="166"/>
        <v>0</v>
      </c>
      <c r="DM154" s="64">
        <f t="shared" si="166"/>
        <v>0</v>
      </c>
      <c r="DN154" s="64">
        <f t="shared" si="166"/>
        <v>0</v>
      </c>
      <c r="DO154" s="64">
        <f t="shared" si="166"/>
        <v>0</v>
      </c>
      <c r="DP154" s="64">
        <f t="shared" si="166"/>
        <v>0</v>
      </c>
      <c r="DQ154" s="64">
        <f t="shared" si="166"/>
        <v>0</v>
      </c>
    </row>
    <row r="155" spans="4:121" x14ac:dyDescent="0.35">
      <c r="D155" s="63" t="s">
        <v>275</v>
      </c>
      <c r="E155" s="63"/>
      <c r="F155" s="63"/>
      <c r="G155" s="63"/>
      <c r="H155" s="63"/>
      <c r="I155" s="63"/>
      <c r="J155" s="63"/>
      <c r="K155" s="64">
        <f>MAX(-K153,0)</f>
        <v>0</v>
      </c>
      <c r="L155" s="64">
        <f t="shared" ref="L155:BW155" si="167">MAX(-L153,0)</f>
        <v>0</v>
      </c>
      <c r="M155" s="64">
        <f t="shared" si="167"/>
        <v>0</v>
      </c>
      <c r="N155" s="64">
        <f t="shared" si="167"/>
        <v>0</v>
      </c>
      <c r="O155" s="64">
        <f t="shared" si="167"/>
        <v>0</v>
      </c>
      <c r="P155" s="64">
        <f t="shared" si="167"/>
        <v>0</v>
      </c>
      <c r="Q155" s="64">
        <f t="shared" si="167"/>
        <v>0</v>
      </c>
      <c r="R155" s="64">
        <f t="shared" si="167"/>
        <v>0</v>
      </c>
      <c r="S155" s="64">
        <f t="shared" si="167"/>
        <v>0</v>
      </c>
      <c r="T155" s="64">
        <f t="shared" si="167"/>
        <v>15546.849332373502</v>
      </c>
      <c r="U155" s="64">
        <f t="shared" si="167"/>
        <v>63040.086777140175</v>
      </c>
      <c r="V155" s="64">
        <f t="shared" si="167"/>
        <v>84651.398152109352</v>
      </c>
      <c r="W155" s="64">
        <f t="shared" si="167"/>
        <v>34471.857042985066</v>
      </c>
      <c r="X155" s="64">
        <f t="shared" si="167"/>
        <v>16347.737782215467</v>
      </c>
      <c r="Y155" s="64">
        <f t="shared" si="167"/>
        <v>63605.335327086199</v>
      </c>
      <c r="Z155" s="64">
        <f t="shared" si="167"/>
        <v>85109.774799535968</v>
      </c>
      <c r="AA155" s="64">
        <f t="shared" si="167"/>
        <v>35180.532412174129</v>
      </c>
      <c r="AB155" s="64">
        <f t="shared" si="167"/>
        <v>17147.234374399821</v>
      </c>
      <c r="AC155" s="64">
        <f t="shared" si="167"/>
        <v>64170.373189011916</v>
      </c>
      <c r="AD155" s="64">
        <f t="shared" si="167"/>
        <v>83459.402589079386</v>
      </c>
      <c r="AE155" s="64">
        <f t="shared" si="167"/>
        <v>32083.524901129567</v>
      </c>
      <c r="AF155" s="64">
        <f t="shared" si="167"/>
        <v>13527.34752320667</v>
      </c>
      <c r="AG155" s="64">
        <f t="shared" si="167"/>
        <v>61911.74400405043</v>
      </c>
      <c r="AH155" s="64">
        <f t="shared" si="167"/>
        <v>82473.94656205301</v>
      </c>
      <c r="AI155" s="64">
        <f t="shared" si="167"/>
        <v>30184.502907918126</v>
      </c>
      <c r="AJ155" s="64">
        <f t="shared" si="167"/>
        <v>11298.237697595905</v>
      </c>
      <c r="AK155" s="64">
        <f t="shared" si="167"/>
        <v>60542.63570222097</v>
      </c>
      <c r="AL155" s="64">
        <f t="shared" si="167"/>
        <v>82672.675878731985</v>
      </c>
      <c r="AM155" s="64">
        <f t="shared" si="167"/>
        <v>30420.206116164743</v>
      </c>
      <c r="AN155" s="64">
        <f t="shared" si="167"/>
        <v>11547.624973334983</v>
      </c>
      <c r="AO155" s="64">
        <f t="shared" si="167"/>
        <v>60758.202189525386</v>
      </c>
      <c r="AP155" s="64">
        <f t="shared" si="167"/>
        <v>78414.270728317686</v>
      </c>
      <c r="AQ155" s="64">
        <f t="shared" si="167"/>
        <v>22613.676215284679</v>
      </c>
      <c r="AR155" s="64">
        <f t="shared" si="167"/>
        <v>2458.2144672194554</v>
      </c>
      <c r="AS155" s="64">
        <f t="shared" si="167"/>
        <v>55006.214209755577</v>
      </c>
      <c r="AT155" s="64">
        <f t="shared" si="167"/>
        <v>70647.415835068998</v>
      </c>
      <c r="AU155" s="64">
        <f t="shared" si="167"/>
        <v>8476.3175947417622</v>
      </c>
      <c r="AV155" s="64">
        <f t="shared" si="167"/>
        <v>0</v>
      </c>
      <c r="AW155" s="64">
        <f t="shared" si="167"/>
        <v>44556.698144779584</v>
      </c>
      <c r="AX155" s="64">
        <f t="shared" si="167"/>
        <v>68723.113092981948</v>
      </c>
      <c r="AY155" s="64">
        <f t="shared" si="167"/>
        <v>4877.3079128642712</v>
      </c>
      <c r="AZ155" s="64">
        <f t="shared" si="167"/>
        <v>0</v>
      </c>
      <c r="BA155" s="64">
        <f t="shared" si="167"/>
        <v>41928.138530597964</v>
      </c>
      <c r="BB155" s="64">
        <f t="shared" si="167"/>
        <v>68870.397396948159</v>
      </c>
      <c r="BC155" s="64">
        <f t="shared" si="167"/>
        <v>5013.8063089713687</v>
      </c>
      <c r="BD155" s="64">
        <f t="shared" si="167"/>
        <v>0</v>
      </c>
      <c r="BE155" s="64">
        <f t="shared" si="167"/>
        <v>42072.21105924221</v>
      </c>
      <c r="BF155" s="64">
        <f t="shared" si="167"/>
        <v>65817.425310207444</v>
      </c>
      <c r="BG155" s="64">
        <f t="shared" si="167"/>
        <v>0</v>
      </c>
      <c r="BH155" s="64">
        <f t="shared" si="167"/>
        <v>0</v>
      </c>
      <c r="BI155" s="64">
        <f t="shared" si="167"/>
        <v>0</v>
      </c>
      <c r="BJ155" s="64">
        <f t="shared" si="167"/>
        <v>0</v>
      </c>
      <c r="BK155" s="64">
        <f t="shared" si="167"/>
        <v>0</v>
      </c>
      <c r="BL155" s="64">
        <f t="shared" si="167"/>
        <v>0</v>
      </c>
      <c r="BM155" s="64">
        <f t="shared" si="167"/>
        <v>0</v>
      </c>
      <c r="BN155" s="64">
        <f t="shared" si="167"/>
        <v>0</v>
      </c>
      <c r="BO155" s="64">
        <f t="shared" si="167"/>
        <v>0</v>
      </c>
      <c r="BP155" s="64">
        <f t="shared" si="167"/>
        <v>0</v>
      </c>
      <c r="BQ155" s="64">
        <f t="shared" si="167"/>
        <v>0</v>
      </c>
      <c r="BR155" s="64">
        <f t="shared" si="167"/>
        <v>0</v>
      </c>
      <c r="BS155" s="64">
        <f t="shared" si="167"/>
        <v>0</v>
      </c>
      <c r="BT155" s="64">
        <f t="shared" si="167"/>
        <v>0</v>
      </c>
      <c r="BU155" s="64">
        <f t="shared" si="167"/>
        <v>0</v>
      </c>
      <c r="BV155" s="64">
        <f t="shared" si="167"/>
        <v>0</v>
      </c>
      <c r="BW155" s="64">
        <f t="shared" si="167"/>
        <v>0</v>
      </c>
      <c r="BX155" s="64">
        <f t="shared" ref="BX155:DQ155" si="168">MAX(-BX153,0)</f>
        <v>0</v>
      </c>
      <c r="BY155" s="64">
        <f t="shared" si="168"/>
        <v>0</v>
      </c>
      <c r="BZ155" s="64">
        <f t="shared" si="168"/>
        <v>0</v>
      </c>
      <c r="CA155" s="64">
        <f t="shared" si="168"/>
        <v>0</v>
      </c>
      <c r="CB155" s="64">
        <f t="shared" si="168"/>
        <v>0</v>
      </c>
      <c r="CC155" s="64">
        <f t="shared" si="168"/>
        <v>0</v>
      </c>
      <c r="CD155" s="64">
        <f t="shared" si="168"/>
        <v>0</v>
      </c>
      <c r="CE155" s="64">
        <f t="shared" si="168"/>
        <v>0</v>
      </c>
      <c r="CF155" s="64">
        <f t="shared" si="168"/>
        <v>0</v>
      </c>
      <c r="CG155" s="64">
        <f t="shared" si="168"/>
        <v>0</v>
      </c>
      <c r="CH155" s="64">
        <f t="shared" si="168"/>
        <v>0</v>
      </c>
      <c r="CI155" s="64">
        <f t="shared" si="168"/>
        <v>0</v>
      </c>
      <c r="CJ155" s="64">
        <f t="shared" si="168"/>
        <v>0</v>
      </c>
      <c r="CK155" s="64">
        <f t="shared" si="168"/>
        <v>0</v>
      </c>
      <c r="CL155" s="64">
        <f t="shared" si="168"/>
        <v>0</v>
      </c>
      <c r="CM155" s="64">
        <f t="shared" si="168"/>
        <v>0</v>
      </c>
      <c r="CN155" s="64">
        <f t="shared" si="168"/>
        <v>0</v>
      </c>
      <c r="CO155" s="64">
        <f t="shared" si="168"/>
        <v>0</v>
      </c>
      <c r="CP155" s="64">
        <f t="shared" si="168"/>
        <v>0</v>
      </c>
      <c r="CQ155" s="64">
        <f t="shared" si="168"/>
        <v>0</v>
      </c>
      <c r="CR155" s="64">
        <f t="shared" si="168"/>
        <v>0</v>
      </c>
      <c r="CS155" s="64">
        <f t="shared" si="168"/>
        <v>0</v>
      </c>
      <c r="CT155" s="64">
        <f t="shared" si="168"/>
        <v>0</v>
      </c>
      <c r="CU155" s="64">
        <f t="shared" si="168"/>
        <v>0</v>
      </c>
      <c r="CV155" s="64">
        <f t="shared" si="168"/>
        <v>0</v>
      </c>
      <c r="CW155" s="64">
        <f t="shared" si="168"/>
        <v>0</v>
      </c>
      <c r="CX155" s="64">
        <f t="shared" si="168"/>
        <v>0</v>
      </c>
      <c r="CY155" s="64">
        <f t="shared" si="168"/>
        <v>0</v>
      </c>
      <c r="CZ155" s="64">
        <f t="shared" si="168"/>
        <v>0</v>
      </c>
      <c r="DA155" s="64">
        <f t="shared" si="168"/>
        <v>0</v>
      </c>
      <c r="DB155" s="64">
        <f t="shared" si="168"/>
        <v>0</v>
      </c>
      <c r="DC155" s="64">
        <f t="shared" si="168"/>
        <v>0</v>
      </c>
      <c r="DD155" s="64">
        <f t="shared" si="168"/>
        <v>0</v>
      </c>
      <c r="DE155" s="64">
        <f t="shared" si="168"/>
        <v>0</v>
      </c>
      <c r="DF155" s="64">
        <f t="shared" si="168"/>
        <v>0</v>
      </c>
      <c r="DG155" s="64">
        <f t="shared" si="168"/>
        <v>0</v>
      </c>
      <c r="DH155" s="64">
        <f t="shared" si="168"/>
        <v>0</v>
      </c>
      <c r="DI155" s="64">
        <f t="shared" si="168"/>
        <v>0</v>
      </c>
      <c r="DJ155" s="64">
        <f t="shared" si="168"/>
        <v>0</v>
      </c>
      <c r="DK155" s="64">
        <f t="shared" si="168"/>
        <v>0</v>
      </c>
      <c r="DL155" s="64">
        <f t="shared" si="168"/>
        <v>0</v>
      </c>
      <c r="DM155" s="64">
        <f t="shared" si="168"/>
        <v>0</v>
      </c>
      <c r="DN155" s="64">
        <f t="shared" si="168"/>
        <v>0</v>
      </c>
      <c r="DO155" s="64">
        <f t="shared" si="168"/>
        <v>0</v>
      </c>
      <c r="DP155" s="64">
        <f t="shared" si="168"/>
        <v>0</v>
      </c>
      <c r="DQ155" s="64">
        <f t="shared" si="168"/>
        <v>0</v>
      </c>
    </row>
    <row r="156" spans="4:121" x14ac:dyDescent="0.35">
      <c r="D156" s="63" t="s">
        <v>388</v>
      </c>
      <c r="E156" s="63"/>
      <c r="F156" s="63"/>
      <c r="G156" s="63"/>
      <c r="H156" s="63"/>
      <c r="I156" s="63"/>
      <c r="J156" s="63"/>
      <c r="K156" s="64">
        <f>MIN(MAX(K153,0),K154)</f>
        <v>0</v>
      </c>
      <c r="L156" s="64">
        <f t="shared" ref="L156:BW156" si="169">MIN(MAX(L153,0),L154)</f>
        <v>0</v>
      </c>
      <c r="M156" s="64">
        <f t="shared" si="169"/>
        <v>0</v>
      </c>
      <c r="N156" s="64">
        <f t="shared" si="169"/>
        <v>0</v>
      </c>
      <c r="O156" s="64">
        <f t="shared" si="169"/>
        <v>0</v>
      </c>
      <c r="P156" s="64">
        <f t="shared" si="169"/>
        <v>0</v>
      </c>
      <c r="Q156" s="64">
        <f t="shared" si="169"/>
        <v>0</v>
      </c>
      <c r="R156" s="64">
        <f t="shared" si="169"/>
        <v>0</v>
      </c>
      <c r="S156" s="64">
        <f t="shared" si="169"/>
        <v>0</v>
      </c>
      <c r="T156" s="64">
        <f t="shared" si="169"/>
        <v>0</v>
      </c>
      <c r="U156" s="64">
        <f t="shared" si="169"/>
        <v>0</v>
      </c>
      <c r="V156" s="64">
        <f t="shared" si="169"/>
        <v>0</v>
      </c>
      <c r="W156" s="64">
        <f t="shared" si="169"/>
        <v>0</v>
      </c>
      <c r="X156" s="64">
        <f t="shared" si="169"/>
        <v>0</v>
      </c>
      <c r="Y156" s="64">
        <f t="shared" si="169"/>
        <v>0</v>
      </c>
      <c r="Z156" s="64">
        <f t="shared" si="169"/>
        <v>0</v>
      </c>
      <c r="AA156" s="64">
        <f t="shared" si="169"/>
        <v>0</v>
      </c>
      <c r="AB156" s="64">
        <f t="shared" si="169"/>
        <v>0</v>
      </c>
      <c r="AC156" s="64">
        <f t="shared" si="169"/>
        <v>0</v>
      </c>
      <c r="AD156" s="64">
        <f t="shared" si="169"/>
        <v>0</v>
      </c>
      <c r="AE156" s="64">
        <f t="shared" si="169"/>
        <v>0</v>
      </c>
      <c r="AF156" s="64">
        <f t="shared" si="169"/>
        <v>0</v>
      </c>
      <c r="AG156" s="64">
        <f t="shared" si="169"/>
        <v>0</v>
      </c>
      <c r="AH156" s="64">
        <f t="shared" si="169"/>
        <v>0</v>
      </c>
      <c r="AI156" s="64">
        <f t="shared" si="169"/>
        <v>0</v>
      </c>
      <c r="AJ156" s="64">
        <f t="shared" si="169"/>
        <v>0</v>
      </c>
      <c r="AK156" s="64">
        <f t="shared" si="169"/>
        <v>0</v>
      </c>
      <c r="AL156" s="64">
        <f t="shared" si="169"/>
        <v>0</v>
      </c>
      <c r="AM156" s="64">
        <f t="shared" si="169"/>
        <v>0</v>
      </c>
      <c r="AN156" s="64">
        <f t="shared" si="169"/>
        <v>0</v>
      </c>
      <c r="AO156" s="64">
        <f t="shared" si="169"/>
        <v>0</v>
      </c>
      <c r="AP156" s="64">
        <f t="shared" si="169"/>
        <v>0</v>
      </c>
      <c r="AQ156" s="64">
        <f t="shared" si="169"/>
        <v>0</v>
      </c>
      <c r="AR156" s="64">
        <f t="shared" si="169"/>
        <v>0</v>
      </c>
      <c r="AS156" s="64">
        <f t="shared" si="169"/>
        <v>0</v>
      </c>
      <c r="AT156" s="64">
        <f t="shared" si="169"/>
        <v>0</v>
      </c>
      <c r="AU156" s="64">
        <f t="shared" si="169"/>
        <v>0</v>
      </c>
      <c r="AV156" s="64">
        <f t="shared" si="169"/>
        <v>13982.747936419706</v>
      </c>
      <c r="AW156" s="64">
        <f t="shared" si="169"/>
        <v>0</v>
      </c>
      <c r="AX156" s="64">
        <f t="shared" si="169"/>
        <v>0</v>
      </c>
      <c r="AY156" s="64">
        <f t="shared" si="169"/>
        <v>0</v>
      </c>
      <c r="AZ156" s="64">
        <f t="shared" si="169"/>
        <v>18187.098168809258</v>
      </c>
      <c r="BA156" s="64">
        <f t="shared" si="169"/>
        <v>0</v>
      </c>
      <c r="BB156" s="64">
        <f t="shared" si="169"/>
        <v>0</v>
      </c>
      <c r="BC156" s="64">
        <f t="shared" si="169"/>
        <v>0</v>
      </c>
      <c r="BD156" s="64">
        <f t="shared" si="169"/>
        <v>18054.170247356757</v>
      </c>
      <c r="BE156" s="64">
        <f t="shared" si="169"/>
        <v>0</v>
      </c>
      <c r="BF156" s="64">
        <f t="shared" si="169"/>
        <v>0</v>
      </c>
      <c r="BG156" s="64">
        <f t="shared" si="169"/>
        <v>624.61174694742658</v>
      </c>
      <c r="BH156" s="64">
        <f t="shared" si="169"/>
        <v>139677.29295513188</v>
      </c>
      <c r="BI156" s="64">
        <f t="shared" si="169"/>
        <v>77118.683889877779</v>
      </c>
      <c r="BJ156" s="64">
        <f t="shared" si="169"/>
        <v>52979.046987055401</v>
      </c>
      <c r="BK156" s="64">
        <f t="shared" si="169"/>
        <v>122565.7835075046</v>
      </c>
      <c r="BL156" s="64">
        <f t="shared" si="169"/>
        <v>147705.42148298217</v>
      </c>
      <c r="BM156" s="64">
        <f t="shared" si="169"/>
        <v>82188.678986765997</v>
      </c>
      <c r="BN156" s="64">
        <f t="shared" si="169"/>
        <v>58080.525769570362</v>
      </c>
      <c r="BO156" s="64">
        <f t="shared" si="169"/>
        <v>131903.08955718775</v>
      </c>
      <c r="BP156" s="64">
        <f t="shared" si="169"/>
        <v>158574.29138370621</v>
      </c>
      <c r="BQ156" s="64">
        <f t="shared" si="169"/>
        <v>89073.364172271278</v>
      </c>
      <c r="BR156" s="64">
        <f t="shared" si="169"/>
        <v>62804.238692327359</v>
      </c>
      <c r="BS156" s="64">
        <f t="shared" si="169"/>
        <v>140560.63407530065</v>
      </c>
      <c r="BT156" s="64">
        <f t="shared" si="169"/>
        <v>168654.17660468101</v>
      </c>
      <c r="BU156" s="64">
        <f t="shared" si="169"/>
        <v>95453.030011476396</v>
      </c>
      <c r="BV156" s="64">
        <f t="shared" si="169"/>
        <v>41439.550865652185</v>
      </c>
      <c r="BW156" s="64">
        <f t="shared" si="169"/>
        <v>0</v>
      </c>
      <c r="BX156" s="64">
        <f t="shared" ref="BX156:DQ156" si="170">MIN(MAX(BX153,0),BX154)</f>
        <v>0</v>
      </c>
      <c r="BY156" s="64">
        <f t="shared" si="170"/>
        <v>0</v>
      </c>
      <c r="BZ156" s="64">
        <f t="shared" si="170"/>
        <v>0</v>
      </c>
      <c r="CA156" s="64">
        <f t="shared" si="170"/>
        <v>0</v>
      </c>
      <c r="CB156" s="64">
        <f t="shared" si="170"/>
        <v>0</v>
      </c>
      <c r="CC156" s="64">
        <f t="shared" si="170"/>
        <v>0</v>
      </c>
      <c r="CD156" s="64">
        <f t="shared" si="170"/>
        <v>0</v>
      </c>
      <c r="CE156" s="64">
        <f t="shared" si="170"/>
        <v>0</v>
      </c>
      <c r="CF156" s="64">
        <f t="shared" si="170"/>
        <v>0</v>
      </c>
      <c r="CG156" s="64">
        <f t="shared" si="170"/>
        <v>0</v>
      </c>
      <c r="CH156" s="64">
        <f t="shared" si="170"/>
        <v>0</v>
      </c>
      <c r="CI156" s="64">
        <f t="shared" si="170"/>
        <v>0</v>
      </c>
      <c r="CJ156" s="64">
        <f t="shared" si="170"/>
        <v>0</v>
      </c>
      <c r="CK156" s="64">
        <f t="shared" si="170"/>
        <v>0</v>
      </c>
      <c r="CL156" s="64">
        <f t="shared" si="170"/>
        <v>0</v>
      </c>
      <c r="CM156" s="64">
        <f t="shared" si="170"/>
        <v>0</v>
      </c>
      <c r="CN156" s="64">
        <f t="shared" si="170"/>
        <v>0</v>
      </c>
      <c r="CO156" s="64">
        <f t="shared" si="170"/>
        <v>0</v>
      </c>
      <c r="CP156" s="64">
        <f t="shared" si="170"/>
        <v>0</v>
      </c>
      <c r="CQ156" s="64">
        <f t="shared" si="170"/>
        <v>0</v>
      </c>
      <c r="CR156" s="64">
        <f t="shared" si="170"/>
        <v>0</v>
      </c>
      <c r="CS156" s="64">
        <f t="shared" si="170"/>
        <v>0</v>
      </c>
      <c r="CT156" s="64">
        <f t="shared" si="170"/>
        <v>0</v>
      </c>
      <c r="CU156" s="64">
        <f t="shared" si="170"/>
        <v>0</v>
      </c>
      <c r="CV156" s="64">
        <f t="shared" si="170"/>
        <v>0</v>
      </c>
      <c r="CW156" s="64">
        <f t="shared" si="170"/>
        <v>0</v>
      </c>
      <c r="CX156" s="64">
        <f t="shared" si="170"/>
        <v>0</v>
      </c>
      <c r="CY156" s="64">
        <f t="shared" si="170"/>
        <v>0</v>
      </c>
      <c r="CZ156" s="64">
        <f t="shared" si="170"/>
        <v>0</v>
      </c>
      <c r="DA156" s="64">
        <f t="shared" si="170"/>
        <v>0</v>
      </c>
      <c r="DB156" s="64">
        <f t="shared" si="170"/>
        <v>0</v>
      </c>
      <c r="DC156" s="64">
        <f t="shared" si="170"/>
        <v>0</v>
      </c>
      <c r="DD156" s="64">
        <f t="shared" si="170"/>
        <v>0</v>
      </c>
      <c r="DE156" s="64">
        <f t="shared" si="170"/>
        <v>0</v>
      </c>
      <c r="DF156" s="64">
        <f t="shared" si="170"/>
        <v>0</v>
      </c>
      <c r="DG156" s="64">
        <f t="shared" si="170"/>
        <v>0</v>
      </c>
      <c r="DH156" s="64">
        <f t="shared" si="170"/>
        <v>0</v>
      </c>
      <c r="DI156" s="64">
        <f t="shared" si="170"/>
        <v>0</v>
      </c>
      <c r="DJ156" s="64">
        <f t="shared" si="170"/>
        <v>0</v>
      </c>
      <c r="DK156" s="64">
        <f t="shared" si="170"/>
        <v>0</v>
      </c>
      <c r="DL156" s="64">
        <f t="shared" si="170"/>
        <v>0</v>
      </c>
      <c r="DM156" s="64">
        <f t="shared" si="170"/>
        <v>0</v>
      </c>
      <c r="DN156" s="64">
        <f t="shared" si="170"/>
        <v>0</v>
      </c>
      <c r="DO156" s="64">
        <f t="shared" si="170"/>
        <v>0</v>
      </c>
      <c r="DP156" s="64">
        <f t="shared" si="170"/>
        <v>0</v>
      </c>
      <c r="DQ156" s="64">
        <f t="shared" si="170"/>
        <v>0</v>
      </c>
    </row>
    <row r="157" spans="4:121" x14ac:dyDescent="0.35">
      <c r="D157" s="63" t="s">
        <v>277</v>
      </c>
      <c r="E157" s="63"/>
      <c r="F157" s="63"/>
      <c r="G157" s="63"/>
      <c r="H157" s="63"/>
      <c r="I157" s="63"/>
      <c r="J157" s="63"/>
      <c r="K157" s="64">
        <f>K154+K155-K156</f>
        <v>0</v>
      </c>
      <c r="L157" s="64">
        <f t="shared" ref="L157:BW157" si="171">L154+L155-L156</f>
        <v>0</v>
      </c>
      <c r="M157" s="64">
        <f t="shared" si="171"/>
        <v>0</v>
      </c>
      <c r="N157" s="64">
        <f t="shared" si="171"/>
        <v>0</v>
      </c>
      <c r="O157" s="64">
        <f t="shared" si="171"/>
        <v>0</v>
      </c>
      <c r="P157" s="64">
        <f t="shared" si="171"/>
        <v>0</v>
      </c>
      <c r="Q157" s="64">
        <f t="shared" si="171"/>
        <v>0</v>
      </c>
      <c r="R157" s="64">
        <f t="shared" si="171"/>
        <v>0</v>
      </c>
      <c r="S157" s="64">
        <f t="shared" si="171"/>
        <v>0</v>
      </c>
      <c r="T157" s="64">
        <f t="shared" si="171"/>
        <v>15546.849332373502</v>
      </c>
      <c r="U157" s="64">
        <f t="shared" si="171"/>
        <v>78586.936109513685</v>
      </c>
      <c r="V157" s="64">
        <f t="shared" si="171"/>
        <v>163238.33426162304</v>
      </c>
      <c r="W157" s="64">
        <f t="shared" si="171"/>
        <v>197710.1913046081</v>
      </c>
      <c r="X157" s="64">
        <f t="shared" si="171"/>
        <v>214057.92908682357</v>
      </c>
      <c r="Y157" s="64">
        <f t="shared" si="171"/>
        <v>277663.26441390975</v>
      </c>
      <c r="Z157" s="64">
        <f t="shared" si="171"/>
        <v>362773.03921344574</v>
      </c>
      <c r="AA157" s="64">
        <f t="shared" si="171"/>
        <v>397953.57162561989</v>
      </c>
      <c r="AB157" s="64">
        <f t="shared" si="171"/>
        <v>415100.80600001971</v>
      </c>
      <c r="AC157" s="64">
        <f t="shared" si="171"/>
        <v>479271.17918903165</v>
      </c>
      <c r="AD157" s="64">
        <f t="shared" si="171"/>
        <v>562730.58177811105</v>
      </c>
      <c r="AE157" s="64">
        <f t="shared" si="171"/>
        <v>594814.10667924059</v>
      </c>
      <c r="AF157" s="64">
        <f t="shared" si="171"/>
        <v>608341.45420244732</v>
      </c>
      <c r="AG157" s="64">
        <f t="shared" si="171"/>
        <v>670253.19820649771</v>
      </c>
      <c r="AH157" s="64">
        <f t="shared" si="171"/>
        <v>752727.14476855076</v>
      </c>
      <c r="AI157" s="64">
        <f t="shared" si="171"/>
        <v>782911.64767646883</v>
      </c>
      <c r="AJ157" s="64">
        <f t="shared" si="171"/>
        <v>794209.88537406479</v>
      </c>
      <c r="AK157" s="64">
        <f t="shared" si="171"/>
        <v>854752.52107628575</v>
      </c>
      <c r="AL157" s="64">
        <f t="shared" si="171"/>
        <v>937425.19695501775</v>
      </c>
      <c r="AM157" s="64">
        <f t="shared" si="171"/>
        <v>967845.40307118255</v>
      </c>
      <c r="AN157" s="64">
        <f t="shared" si="171"/>
        <v>979393.0280445175</v>
      </c>
      <c r="AO157" s="64">
        <f t="shared" si="171"/>
        <v>1040151.2302340429</v>
      </c>
      <c r="AP157" s="64">
        <f t="shared" si="171"/>
        <v>1118565.5009623605</v>
      </c>
      <c r="AQ157" s="64">
        <f t="shared" si="171"/>
        <v>1141179.1771776453</v>
      </c>
      <c r="AR157" s="64">
        <f t="shared" si="171"/>
        <v>1143637.3916448648</v>
      </c>
      <c r="AS157" s="64">
        <f t="shared" si="171"/>
        <v>1198643.6058546205</v>
      </c>
      <c r="AT157" s="64">
        <f t="shared" si="171"/>
        <v>1269291.0216896895</v>
      </c>
      <c r="AU157" s="64">
        <f t="shared" si="171"/>
        <v>1277767.3392844312</v>
      </c>
      <c r="AV157" s="64">
        <f t="shared" si="171"/>
        <v>1263784.5913480115</v>
      </c>
      <c r="AW157" s="64">
        <f t="shared" si="171"/>
        <v>1308341.2894927911</v>
      </c>
      <c r="AX157" s="64">
        <f t="shared" si="171"/>
        <v>1377064.402585773</v>
      </c>
      <c r="AY157" s="64">
        <f t="shared" si="171"/>
        <v>1381941.7104986373</v>
      </c>
      <c r="AZ157" s="64">
        <f t="shared" si="171"/>
        <v>1363754.6123298281</v>
      </c>
      <c r="BA157" s="64">
        <f t="shared" si="171"/>
        <v>1405682.7508604261</v>
      </c>
      <c r="BB157" s="64">
        <f t="shared" si="171"/>
        <v>1474553.1482573743</v>
      </c>
      <c r="BC157" s="64">
        <f t="shared" si="171"/>
        <v>1479566.9545663456</v>
      </c>
      <c r="BD157" s="64">
        <f t="shared" si="171"/>
        <v>1461512.7843189887</v>
      </c>
      <c r="BE157" s="64">
        <f t="shared" si="171"/>
        <v>1503584.9953782309</v>
      </c>
      <c r="BF157" s="64">
        <f t="shared" si="171"/>
        <v>1569402.4206884385</v>
      </c>
      <c r="BG157" s="64">
        <f t="shared" si="171"/>
        <v>1568777.8089414909</v>
      </c>
      <c r="BH157" s="64">
        <f t="shared" si="171"/>
        <v>1429100.515986359</v>
      </c>
      <c r="BI157" s="64">
        <f t="shared" si="171"/>
        <v>1351981.8320964812</v>
      </c>
      <c r="BJ157" s="64">
        <f t="shared" si="171"/>
        <v>1299002.7851094259</v>
      </c>
      <c r="BK157" s="64">
        <f t="shared" si="171"/>
        <v>1176437.0016019214</v>
      </c>
      <c r="BL157" s="64">
        <f t="shared" si="171"/>
        <v>1028731.5801189393</v>
      </c>
      <c r="BM157" s="64">
        <f t="shared" si="171"/>
        <v>946542.90113217325</v>
      </c>
      <c r="BN157" s="64">
        <f t="shared" si="171"/>
        <v>888462.37536260288</v>
      </c>
      <c r="BO157" s="64">
        <f t="shared" si="171"/>
        <v>756559.28580541513</v>
      </c>
      <c r="BP157" s="64">
        <f t="shared" si="171"/>
        <v>597984.99442170886</v>
      </c>
      <c r="BQ157" s="64">
        <f t="shared" si="171"/>
        <v>508911.63024943759</v>
      </c>
      <c r="BR157" s="64">
        <f t="shared" si="171"/>
        <v>446107.39155711024</v>
      </c>
      <c r="BS157" s="64">
        <f t="shared" si="171"/>
        <v>305546.75748180959</v>
      </c>
      <c r="BT157" s="64">
        <f t="shared" si="171"/>
        <v>136892.58087712858</v>
      </c>
      <c r="BU157" s="64">
        <f t="shared" si="171"/>
        <v>41439.550865652185</v>
      </c>
      <c r="BV157" s="64">
        <f t="shared" si="171"/>
        <v>0</v>
      </c>
      <c r="BW157" s="64">
        <f t="shared" si="171"/>
        <v>0</v>
      </c>
      <c r="BX157" s="64">
        <f t="shared" ref="BX157:DQ157" si="172">BX154+BX155-BX156</f>
        <v>0</v>
      </c>
      <c r="BY157" s="64">
        <f t="shared" si="172"/>
        <v>0</v>
      </c>
      <c r="BZ157" s="64">
        <f t="shared" si="172"/>
        <v>0</v>
      </c>
      <c r="CA157" s="64">
        <f t="shared" si="172"/>
        <v>0</v>
      </c>
      <c r="CB157" s="64">
        <f t="shared" si="172"/>
        <v>0</v>
      </c>
      <c r="CC157" s="64">
        <f t="shared" si="172"/>
        <v>0</v>
      </c>
      <c r="CD157" s="64">
        <f t="shared" si="172"/>
        <v>0</v>
      </c>
      <c r="CE157" s="64">
        <f t="shared" si="172"/>
        <v>0</v>
      </c>
      <c r="CF157" s="64">
        <f t="shared" si="172"/>
        <v>0</v>
      </c>
      <c r="CG157" s="64">
        <f t="shared" si="172"/>
        <v>0</v>
      </c>
      <c r="CH157" s="64">
        <f t="shared" si="172"/>
        <v>0</v>
      </c>
      <c r="CI157" s="64">
        <f t="shared" si="172"/>
        <v>0</v>
      </c>
      <c r="CJ157" s="64">
        <f t="shared" si="172"/>
        <v>0</v>
      </c>
      <c r="CK157" s="64">
        <f t="shared" si="172"/>
        <v>0</v>
      </c>
      <c r="CL157" s="64">
        <f t="shared" si="172"/>
        <v>0</v>
      </c>
      <c r="CM157" s="64">
        <f t="shared" si="172"/>
        <v>0</v>
      </c>
      <c r="CN157" s="64">
        <f t="shared" si="172"/>
        <v>0</v>
      </c>
      <c r="CO157" s="64">
        <f t="shared" si="172"/>
        <v>0</v>
      </c>
      <c r="CP157" s="64">
        <f t="shared" si="172"/>
        <v>0</v>
      </c>
      <c r="CQ157" s="64">
        <f t="shared" si="172"/>
        <v>0</v>
      </c>
      <c r="CR157" s="64">
        <f t="shared" si="172"/>
        <v>0</v>
      </c>
      <c r="CS157" s="64">
        <f t="shared" si="172"/>
        <v>0</v>
      </c>
      <c r="CT157" s="64">
        <f t="shared" si="172"/>
        <v>0</v>
      </c>
      <c r="CU157" s="64">
        <f t="shared" si="172"/>
        <v>0</v>
      </c>
      <c r="CV157" s="64">
        <f t="shared" si="172"/>
        <v>0</v>
      </c>
      <c r="CW157" s="64">
        <f t="shared" si="172"/>
        <v>0</v>
      </c>
      <c r="CX157" s="64">
        <f t="shared" si="172"/>
        <v>0</v>
      </c>
      <c r="CY157" s="64">
        <f t="shared" si="172"/>
        <v>0</v>
      </c>
      <c r="CZ157" s="64">
        <f t="shared" si="172"/>
        <v>0</v>
      </c>
      <c r="DA157" s="64">
        <f t="shared" si="172"/>
        <v>0</v>
      </c>
      <c r="DB157" s="64">
        <f t="shared" si="172"/>
        <v>0</v>
      </c>
      <c r="DC157" s="64">
        <f t="shared" si="172"/>
        <v>0</v>
      </c>
      <c r="DD157" s="64">
        <f t="shared" si="172"/>
        <v>0</v>
      </c>
      <c r="DE157" s="64">
        <f t="shared" si="172"/>
        <v>0</v>
      </c>
      <c r="DF157" s="64">
        <f t="shared" si="172"/>
        <v>0</v>
      </c>
      <c r="DG157" s="64">
        <f t="shared" si="172"/>
        <v>0</v>
      </c>
      <c r="DH157" s="64">
        <f t="shared" si="172"/>
        <v>0</v>
      </c>
      <c r="DI157" s="64">
        <f t="shared" si="172"/>
        <v>0</v>
      </c>
      <c r="DJ157" s="64">
        <f t="shared" si="172"/>
        <v>0</v>
      </c>
      <c r="DK157" s="64">
        <f t="shared" si="172"/>
        <v>0</v>
      </c>
      <c r="DL157" s="64">
        <f t="shared" si="172"/>
        <v>0</v>
      </c>
      <c r="DM157" s="64">
        <f t="shared" si="172"/>
        <v>0</v>
      </c>
      <c r="DN157" s="64">
        <f t="shared" si="172"/>
        <v>0</v>
      </c>
      <c r="DO157" s="64">
        <f t="shared" si="172"/>
        <v>0</v>
      </c>
      <c r="DP157" s="64">
        <f t="shared" si="172"/>
        <v>0</v>
      </c>
      <c r="DQ157" s="64">
        <f t="shared" si="172"/>
        <v>0</v>
      </c>
    </row>
    <row r="158" spans="4:121" ht="15" thickBot="1" x14ac:dyDescent="0.4">
      <c r="D158" s="39" t="s">
        <v>389</v>
      </c>
      <c r="E158" s="39"/>
      <c r="F158" s="39"/>
      <c r="G158" s="39"/>
      <c r="H158" s="39"/>
      <c r="I158" s="39"/>
      <c r="J158" s="39"/>
      <c r="K158" s="44">
        <f>K153+K155-K156</f>
        <v>0</v>
      </c>
      <c r="L158" s="44">
        <f t="shared" ref="L158:BW158" si="173">L153+L155-L156</f>
        <v>0</v>
      </c>
      <c r="M158" s="44">
        <f t="shared" si="173"/>
        <v>0</v>
      </c>
      <c r="N158" s="44">
        <f t="shared" si="173"/>
        <v>0</v>
      </c>
      <c r="O158" s="44">
        <f t="shared" si="173"/>
        <v>0</v>
      </c>
      <c r="P158" s="44">
        <f t="shared" si="173"/>
        <v>0</v>
      </c>
      <c r="Q158" s="44">
        <f t="shared" si="173"/>
        <v>0</v>
      </c>
      <c r="R158" s="44">
        <f t="shared" si="173"/>
        <v>0</v>
      </c>
      <c r="S158" s="44">
        <f t="shared" si="173"/>
        <v>0</v>
      </c>
      <c r="T158" s="44">
        <f t="shared" si="173"/>
        <v>0</v>
      </c>
      <c r="U158" s="44">
        <f t="shared" si="173"/>
        <v>0</v>
      </c>
      <c r="V158" s="44">
        <f t="shared" si="173"/>
        <v>0</v>
      </c>
      <c r="W158" s="44">
        <f t="shared" si="173"/>
        <v>0</v>
      </c>
      <c r="X158" s="44">
        <f t="shared" si="173"/>
        <v>0</v>
      </c>
      <c r="Y158" s="44">
        <f t="shared" si="173"/>
        <v>0</v>
      </c>
      <c r="Z158" s="44">
        <f t="shared" si="173"/>
        <v>0</v>
      </c>
      <c r="AA158" s="44">
        <f t="shared" si="173"/>
        <v>0</v>
      </c>
      <c r="AB158" s="44">
        <f t="shared" si="173"/>
        <v>0</v>
      </c>
      <c r="AC158" s="44">
        <f t="shared" si="173"/>
        <v>0</v>
      </c>
      <c r="AD158" s="44">
        <f t="shared" si="173"/>
        <v>0</v>
      </c>
      <c r="AE158" s="44">
        <f t="shared" si="173"/>
        <v>0</v>
      </c>
      <c r="AF158" s="44">
        <f t="shared" si="173"/>
        <v>0</v>
      </c>
      <c r="AG158" s="44">
        <f t="shared" si="173"/>
        <v>0</v>
      </c>
      <c r="AH158" s="44">
        <f t="shared" si="173"/>
        <v>0</v>
      </c>
      <c r="AI158" s="44">
        <f t="shared" si="173"/>
        <v>0</v>
      </c>
      <c r="AJ158" s="44">
        <f t="shared" si="173"/>
        <v>0</v>
      </c>
      <c r="AK158" s="44">
        <f t="shared" si="173"/>
        <v>0</v>
      </c>
      <c r="AL158" s="44">
        <f t="shared" si="173"/>
        <v>0</v>
      </c>
      <c r="AM158" s="44">
        <f t="shared" si="173"/>
        <v>0</v>
      </c>
      <c r="AN158" s="44">
        <f t="shared" si="173"/>
        <v>0</v>
      </c>
      <c r="AO158" s="44">
        <f t="shared" si="173"/>
        <v>0</v>
      </c>
      <c r="AP158" s="44">
        <f t="shared" si="173"/>
        <v>0</v>
      </c>
      <c r="AQ158" s="44">
        <f t="shared" si="173"/>
        <v>0</v>
      </c>
      <c r="AR158" s="44">
        <f t="shared" si="173"/>
        <v>0</v>
      </c>
      <c r="AS158" s="44">
        <f t="shared" si="173"/>
        <v>0</v>
      </c>
      <c r="AT158" s="44">
        <f t="shared" si="173"/>
        <v>0</v>
      </c>
      <c r="AU158" s="44">
        <f t="shared" si="173"/>
        <v>0</v>
      </c>
      <c r="AV158" s="44">
        <f t="shared" si="173"/>
        <v>0</v>
      </c>
      <c r="AW158" s="44">
        <f t="shared" si="173"/>
        <v>0</v>
      </c>
      <c r="AX158" s="44">
        <f t="shared" si="173"/>
        <v>0</v>
      </c>
      <c r="AY158" s="44">
        <f t="shared" si="173"/>
        <v>0</v>
      </c>
      <c r="AZ158" s="44">
        <f t="shared" si="173"/>
        <v>0</v>
      </c>
      <c r="BA158" s="44">
        <f t="shared" si="173"/>
        <v>0</v>
      </c>
      <c r="BB158" s="44">
        <f t="shared" si="173"/>
        <v>0</v>
      </c>
      <c r="BC158" s="44">
        <f t="shared" si="173"/>
        <v>0</v>
      </c>
      <c r="BD158" s="44">
        <f t="shared" si="173"/>
        <v>0</v>
      </c>
      <c r="BE158" s="44">
        <f t="shared" si="173"/>
        <v>0</v>
      </c>
      <c r="BF158" s="44">
        <f t="shared" si="173"/>
        <v>0</v>
      </c>
      <c r="BG158" s="44">
        <f t="shared" si="173"/>
        <v>0</v>
      </c>
      <c r="BH158" s="44">
        <f t="shared" si="173"/>
        <v>0</v>
      </c>
      <c r="BI158" s="44">
        <f t="shared" si="173"/>
        <v>0</v>
      </c>
      <c r="BJ158" s="44">
        <f t="shared" si="173"/>
        <v>0</v>
      </c>
      <c r="BK158" s="44">
        <f t="shared" si="173"/>
        <v>0</v>
      </c>
      <c r="BL158" s="44">
        <f t="shared" si="173"/>
        <v>0</v>
      </c>
      <c r="BM158" s="44">
        <f t="shared" si="173"/>
        <v>0</v>
      </c>
      <c r="BN158" s="44">
        <f t="shared" si="173"/>
        <v>0</v>
      </c>
      <c r="BO158" s="44">
        <f t="shared" si="173"/>
        <v>0</v>
      </c>
      <c r="BP158" s="44">
        <f t="shared" si="173"/>
        <v>0</v>
      </c>
      <c r="BQ158" s="44">
        <f t="shared" si="173"/>
        <v>0</v>
      </c>
      <c r="BR158" s="44">
        <f t="shared" si="173"/>
        <v>0</v>
      </c>
      <c r="BS158" s="44">
        <f t="shared" si="173"/>
        <v>0</v>
      </c>
      <c r="BT158" s="44">
        <f t="shared" si="173"/>
        <v>0</v>
      </c>
      <c r="BU158" s="44">
        <f t="shared" si="173"/>
        <v>0</v>
      </c>
      <c r="BV158" s="44">
        <f t="shared" si="173"/>
        <v>24304.958847356655</v>
      </c>
      <c r="BW158" s="44">
        <f t="shared" si="173"/>
        <v>146002.60306990769</v>
      </c>
      <c r="BX158" s="44">
        <f t="shared" ref="BX158:DQ158" si="174">BX153+BX155-BX156</f>
        <v>175000.54296850946</v>
      </c>
      <c r="BY158" s="44">
        <f t="shared" si="174"/>
        <v>99445.861790989045</v>
      </c>
      <c r="BZ158" s="44">
        <f t="shared" si="174"/>
        <v>67006.981066041219</v>
      </c>
      <c r="CA158" s="44">
        <f t="shared" si="174"/>
        <v>148419.59989684005</v>
      </c>
      <c r="CB158" s="44">
        <f t="shared" si="174"/>
        <v>177834.72037799895</v>
      </c>
      <c r="CC158" s="44">
        <f t="shared" si="174"/>
        <v>101193.29641833418</v>
      </c>
      <c r="CD158" s="44">
        <f t="shared" si="174"/>
        <v>71940.215861161763</v>
      </c>
      <c r="CE158" s="44">
        <f t="shared" si="174"/>
        <v>157460.45343033172</v>
      </c>
      <c r="CF158" s="44">
        <f t="shared" si="174"/>
        <v>188360.7505279521</v>
      </c>
      <c r="CG158" s="44">
        <f t="shared" si="174"/>
        <v>107855.64152849109</v>
      </c>
      <c r="CH158" s="44">
        <f t="shared" si="174"/>
        <v>74850.981695199676</v>
      </c>
      <c r="CI158" s="44">
        <f t="shared" si="174"/>
        <v>162854.60245810822</v>
      </c>
      <c r="CJ158" s="44">
        <f t="shared" si="174"/>
        <v>194652.65798302944</v>
      </c>
      <c r="CK158" s="44">
        <f t="shared" si="174"/>
        <v>111811.19016971644</v>
      </c>
      <c r="CL158" s="44">
        <f t="shared" si="174"/>
        <v>82083.753453313155</v>
      </c>
      <c r="CM158" s="44">
        <f t="shared" si="174"/>
        <v>176047.50066476566</v>
      </c>
      <c r="CN158" s="44">
        <f t="shared" si="174"/>
        <v>210000.69117086928</v>
      </c>
      <c r="CO158" s="44">
        <f t="shared" si="174"/>
        <v>121553.51012510111</v>
      </c>
      <c r="CP158" s="44">
        <f t="shared" si="174"/>
        <v>87913.523256121101</v>
      </c>
      <c r="CQ158" s="44">
        <f t="shared" si="174"/>
        <v>186711.26466246118</v>
      </c>
      <c r="CR158" s="44">
        <f t="shared" si="174"/>
        <v>222412.31338509158</v>
      </c>
      <c r="CS158" s="44">
        <f t="shared" si="174"/>
        <v>129418.35587855263</v>
      </c>
      <c r="CT158" s="44">
        <f t="shared" si="174"/>
        <v>94375.729033308133</v>
      </c>
      <c r="CU158" s="44">
        <f t="shared" si="174"/>
        <v>198517.84961283629</v>
      </c>
      <c r="CV158" s="44">
        <f t="shared" si="174"/>
        <v>236151.33445472486</v>
      </c>
      <c r="CW158" s="44">
        <f t="shared" si="174"/>
        <v>138130.64606270476</v>
      </c>
      <c r="CX158" s="44">
        <f t="shared" si="174"/>
        <v>100406.4358762536</v>
      </c>
      <c r="CY158" s="44">
        <f t="shared" si="174"/>
        <v>209547.94489821649</v>
      </c>
      <c r="CZ158" s="44">
        <f t="shared" si="174"/>
        <v>248989.0927247644</v>
      </c>
      <c r="DA158" s="44">
        <f t="shared" si="174"/>
        <v>146266.06713651924</v>
      </c>
      <c r="DB158" s="44">
        <f t="shared" si="174"/>
        <v>101535.25409609792</v>
      </c>
      <c r="DC158" s="44">
        <f t="shared" si="174"/>
        <v>211736.9985447326</v>
      </c>
      <c r="DD158" s="44">
        <f t="shared" si="174"/>
        <v>251561.18914568383</v>
      </c>
      <c r="DE158" s="44">
        <f t="shared" si="174"/>
        <v>147839.97269429854</v>
      </c>
      <c r="DF158" s="44">
        <f t="shared" si="174"/>
        <v>101754.30011588552</v>
      </c>
      <c r="DG158" s="44">
        <f t="shared" si="174"/>
        <v>212286.81338207761</v>
      </c>
      <c r="DH158" s="44">
        <f t="shared" si="174"/>
        <v>252230.22581112373</v>
      </c>
      <c r="DI158" s="44">
        <f t="shared" si="174"/>
        <v>148196.75169941192</v>
      </c>
      <c r="DJ158" s="44">
        <f t="shared" si="174"/>
        <v>102089.95323641525</v>
      </c>
      <c r="DK158" s="44">
        <f t="shared" si="174"/>
        <v>213049.005205605</v>
      </c>
      <c r="DL158" s="44">
        <f t="shared" si="174"/>
        <v>253146.26939122085</v>
      </c>
      <c r="DM158" s="44">
        <f t="shared" si="174"/>
        <v>148710.46347627806</v>
      </c>
      <c r="DN158" s="44">
        <f t="shared" si="174"/>
        <v>103371.90916826807</v>
      </c>
      <c r="DO158" s="44">
        <f t="shared" si="174"/>
        <v>215520.37318555138</v>
      </c>
      <c r="DP158" s="44">
        <f t="shared" si="174"/>
        <v>0</v>
      </c>
      <c r="DQ158" s="44">
        <f t="shared" si="174"/>
        <v>0</v>
      </c>
    </row>
    <row r="159" spans="4:121" x14ac:dyDescent="0.35">
      <c r="D159" s="63"/>
      <c r="E159" s="63"/>
      <c r="F159" s="63"/>
      <c r="G159" s="63"/>
      <c r="H159" s="63"/>
      <c r="I159" s="63"/>
      <c r="J159" s="63"/>
      <c r="K159" s="64"/>
      <c r="L159" s="64"/>
      <c r="M159" s="64"/>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c r="DI159" s="64"/>
      <c r="DJ159" s="64"/>
      <c r="DK159" s="64"/>
      <c r="DL159" s="64"/>
      <c r="DM159" s="64"/>
      <c r="DN159" s="64"/>
      <c r="DO159" s="64"/>
      <c r="DP159" s="64"/>
      <c r="DQ159" s="64"/>
    </row>
    <row r="160" spans="4:121" x14ac:dyDescent="0.35">
      <c r="D160" s="20" t="s">
        <v>385</v>
      </c>
      <c r="G160" s="35">
        <f>Assumptions!$F$128</f>
        <v>0.3</v>
      </c>
      <c r="K160" s="23">
        <f>$G$160*K158</f>
        <v>0</v>
      </c>
      <c r="L160" s="23">
        <f t="shared" ref="L160:BW160" si="175">$G$160*L158</f>
        <v>0</v>
      </c>
      <c r="M160" s="23">
        <f t="shared" si="175"/>
        <v>0</v>
      </c>
      <c r="N160" s="23">
        <f t="shared" si="175"/>
        <v>0</v>
      </c>
      <c r="O160" s="23">
        <f t="shared" si="175"/>
        <v>0</v>
      </c>
      <c r="P160" s="23">
        <f t="shared" si="175"/>
        <v>0</v>
      </c>
      <c r="Q160" s="23">
        <f t="shared" si="175"/>
        <v>0</v>
      </c>
      <c r="R160" s="23">
        <f t="shared" si="175"/>
        <v>0</v>
      </c>
      <c r="S160" s="23">
        <f t="shared" si="175"/>
        <v>0</v>
      </c>
      <c r="T160" s="23">
        <f t="shared" si="175"/>
        <v>0</v>
      </c>
      <c r="U160" s="23">
        <f t="shared" si="175"/>
        <v>0</v>
      </c>
      <c r="V160" s="23">
        <f t="shared" si="175"/>
        <v>0</v>
      </c>
      <c r="W160" s="23">
        <f t="shared" si="175"/>
        <v>0</v>
      </c>
      <c r="X160" s="23">
        <f t="shared" si="175"/>
        <v>0</v>
      </c>
      <c r="Y160" s="23">
        <f t="shared" si="175"/>
        <v>0</v>
      </c>
      <c r="Z160" s="23">
        <f t="shared" si="175"/>
        <v>0</v>
      </c>
      <c r="AA160" s="23">
        <f t="shared" si="175"/>
        <v>0</v>
      </c>
      <c r="AB160" s="23">
        <f t="shared" si="175"/>
        <v>0</v>
      </c>
      <c r="AC160" s="23">
        <f t="shared" si="175"/>
        <v>0</v>
      </c>
      <c r="AD160" s="23">
        <f t="shared" si="175"/>
        <v>0</v>
      </c>
      <c r="AE160" s="23">
        <f t="shared" si="175"/>
        <v>0</v>
      </c>
      <c r="AF160" s="23">
        <f t="shared" si="175"/>
        <v>0</v>
      </c>
      <c r="AG160" s="23">
        <f t="shared" si="175"/>
        <v>0</v>
      </c>
      <c r="AH160" s="23">
        <f t="shared" si="175"/>
        <v>0</v>
      </c>
      <c r="AI160" s="23">
        <f t="shared" si="175"/>
        <v>0</v>
      </c>
      <c r="AJ160" s="23">
        <f t="shared" si="175"/>
        <v>0</v>
      </c>
      <c r="AK160" s="23">
        <f t="shared" si="175"/>
        <v>0</v>
      </c>
      <c r="AL160" s="23">
        <f t="shared" si="175"/>
        <v>0</v>
      </c>
      <c r="AM160" s="23">
        <f t="shared" si="175"/>
        <v>0</v>
      </c>
      <c r="AN160" s="23">
        <f t="shared" si="175"/>
        <v>0</v>
      </c>
      <c r="AO160" s="23">
        <f t="shared" si="175"/>
        <v>0</v>
      </c>
      <c r="AP160" s="23">
        <f t="shared" si="175"/>
        <v>0</v>
      </c>
      <c r="AQ160" s="23">
        <f t="shared" si="175"/>
        <v>0</v>
      </c>
      <c r="AR160" s="23">
        <f t="shared" si="175"/>
        <v>0</v>
      </c>
      <c r="AS160" s="23">
        <f t="shared" si="175"/>
        <v>0</v>
      </c>
      <c r="AT160" s="23">
        <f t="shared" si="175"/>
        <v>0</v>
      </c>
      <c r="AU160" s="23">
        <f t="shared" si="175"/>
        <v>0</v>
      </c>
      <c r="AV160" s="23">
        <f t="shared" si="175"/>
        <v>0</v>
      </c>
      <c r="AW160" s="23">
        <f t="shared" si="175"/>
        <v>0</v>
      </c>
      <c r="AX160" s="23">
        <f t="shared" si="175"/>
        <v>0</v>
      </c>
      <c r="AY160" s="23">
        <f t="shared" si="175"/>
        <v>0</v>
      </c>
      <c r="AZ160" s="23">
        <f t="shared" si="175"/>
        <v>0</v>
      </c>
      <c r="BA160" s="23">
        <f t="shared" si="175"/>
        <v>0</v>
      </c>
      <c r="BB160" s="23">
        <f t="shared" si="175"/>
        <v>0</v>
      </c>
      <c r="BC160" s="23">
        <f t="shared" si="175"/>
        <v>0</v>
      </c>
      <c r="BD160" s="23">
        <f t="shared" si="175"/>
        <v>0</v>
      </c>
      <c r="BE160" s="23">
        <f t="shared" si="175"/>
        <v>0</v>
      </c>
      <c r="BF160" s="23">
        <f t="shared" si="175"/>
        <v>0</v>
      </c>
      <c r="BG160" s="23">
        <f t="shared" si="175"/>
        <v>0</v>
      </c>
      <c r="BH160" s="23">
        <f t="shared" si="175"/>
        <v>0</v>
      </c>
      <c r="BI160" s="23">
        <f t="shared" si="175"/>
        <v>0</v>
      </c>
      <c r="BJ160" s="23">
        <f t="shared" si="175"/>
        <v>0</v>
      </c>
      <c r="BK160" s="23">
        <f t="shared" si="175"/>
        <v>0</v>
      </c>
      <c r="BL160" s="23">
        <f t="shared" si="175"/>
        <v>0</v>
      </c>
      <c r="BM160" s="23">
        <f t="shared" si="175"/>
        <v>0</v>
      </c>
      <c r="BN160" s="23">
        <f t="shared" si="175"/>
        <v>0</v>
      </c>
      <c r="BO160" s="23">
        <f t="shared" si="175"/>
        <v>0</v>
      </c>
      <c r="BP160" s="23">
        <f t="shared" si="175"/>
        <v>0</v>
      </c>
      <c r="BQ160" s="23">
        <f t="shared" si="175"/>
        <v>0</v>
      </c>
      <c r="BR160" s="23">
        <f t="shared" si="175"/>
        <v>0</v>
      </c>
      <c r="BS160" s="23">
        <f t="shared" si="175"/>
        <v>0</v>
      </c>
      <c r="BT160" s="23">
        <f t="shared" si="175"/>
        <v>0</v>
      </c>
      <c r="BU160" s="23">
        <f t="shared" si="175"/>
        <v>0</v>
      </c>
      <c r="BV160" s="23">
        <f t="shared" si="175"/>
        <v>7291.487654206996</v>
      </c>
      <c r="BW160" s="23">
        <f t="shared" si="175"/>
        <v>43800.780920972305</v>
      </c>
      <c r="BX160" s="23">
        <f t="shared" ref="BX160:DQ160" si="176">$G$160*BX158</f>
        <v>52500.162890552834</v>
      </c>
      <c r="BY160" s="23">
        <f t="shared" si="176"/>
        <v>29833.758537296711</v>
      </c>
      <c r="BZ160" s="23">
        <f t="shared" si="176"/>
        <v>20102.094319812364</v>
      </c>
      <c r="CA160" s="23">
        <f t="shared" si="176"/>
        <v>44525.879969052017</v>
      </c>
      <c r="CB160" s="23">
        <f t="shared" si="176"/>
        <v>53350.416113399682</v>
      </c>
      <c r="CC160" s="23">
        <f t="shared" si="176"/>
        <v>30357.988925500253</v>
      </c>
      <c r="CD160" s="23">
        <f t="shared" si="176"/>
        <v>21582.06475834853</v>
      </c>
      <c r="CE160" s="23">
        <f t="shared" si="176"/>
        <v>47238.136029099514</v>
      </c>
      <c r="CF160" s="23">
        <f t="shared" si="176"/>
        <v>56508.225158385627</v>
      </c>
      <c r="CG160" s="23">
        <f t="shared" si="176"/>
        <v>32356.692458547324</v>
      </c>
      <c r="CH160" s="23">
        <f t="shared" si="176"/>
        <v>22455.294508559902</v>
      </c>
      <c r="CI160" s="23">
        <f t="shared" si="176"/>
        <v>48856.380737432461</v>
      </c>
      <c r="CJ160" s="23">
        <f t="shared" si="176"/>
        <v>58395.797394908826</v>
      </c>
      <c r="CK160" s="23">
        <f t="shared" si="176"/>
        <v>33543.357050914929</v>
      </c>
      <c r="CL160" s="23">
        <f t="shared" si="176"/>
        <v>24625.126035993944</v>
      </c>
      <c r="CM160" s="23">
        <f t="shared" si="176"/>
        <v>52814.250199429698</v>
      </c>
      <c r="CN160" s="23">
        <f t="shared" si="176"/>
        <v>63000.207351260782</v>
      </c>
      <c r="CO160" s="23">
        <f t="shared" si="176"/>
        <v>36466.053037530328</v>
      </c>
      <c r="CP160" s="23">
        <f t="shared" si="176"/>
        <v>26374.056976836331</v>
      </c>
      <c r="CQ160" s="23">
        <f t="shared" si="176"/>
        <v>56013.379398738354</v>
      </c>
      <c r="CR160" s="23">
        <f t="shared" si="176"/>
        <v>66723.694015527464</v>
      </c>
      <c r="CS160" s="23">
        <f t="shared" si="176"/>
        <v>38825.506763565783</v>
      </c>
      <c r="CT160" s="23">
        <f t="shared" si="176"/>
        <v>28312.718709992438</v>
      </c>
      <c r="CU160" s="23">
        <f t="shared" si="176"/>
        <v>59555.354883850887</v>
      </c>
      <c r="CV160" s="23">
        <f t="shared" si="176"/>
        <v>70845.400336417457</v>
      </c>
      <c r="CW160" s="23">
        <f t="shared" si="176"/>
        <v>41439.193818811429</v>
      </c>
      <c r="CX160" s="23">
        <f t="shared" si="176"/>
        <v>30121.93076287608</v>
      </c>
      <c r="CY160" s="23">
        <f t="shared" si="176"/>
        <v>62864.383469464941</v>
      </c>
      <c r="CZ160" s="23">
        <f t="shared" si="176"/>
        <v>74696.727817429317</v>
      </c>
      <c r="DA160" s="23">
        <f t="shared" si="176"/>
        <v>43879.820140955773</v>
      </c>
      <c r="DB160" s="23">
        <f t="shared" si="176"/>
        <v>30460.576228829377</v>
      </c>
      <c r="DC160" s="23">
        <f t="shared" si="176"/>
        <v>63521.099563419775</v>
      </c>
      <c r="DD160" s="23">
        <f t="shared" si="176"/>
        <v>75468.356743705153</v>
      </c>
      <c r="DE160" s="23">
        <f t="shared" si="176"/>
        <v>44351.99180828956</v>
      </c>
      <c r="DF160" s="23">
        <f t="shared" si="176"/>
        <v>30526.290034765654</v>
      </c>
      <c r="DG160" s="23">
        <f t="shared" si="176"/>
        <v>63686.04401462328</v>
      </c>
      <c r="DH160" s="23">
        <f t="shared" si="176"/>
        <v>75669.067743337117</v>
      </c>
      <c r="DI160" s="23">
        <f t="shared" si="176"/>
        <v>44459.025509823572</v>
      </c>
      <c r="DJ160" s="23">
        <f t="shared" si="176"/>
        <v>30626.985970924576</v>
      </c>
      <c r="DK160" s="23">
        <f t="shared" si="176"/>
        <v>63914.701561681497</v>
      </c>
      <c r="DL160" s="23">
        <f t="shared" si="176"/>
        <v>75943.880817366255</v>
      </c>
      <c r="DM160" s="23">
        <f t="shared" si="176"/>
        <v>44613.13904288342</v>
      </c>
      <c r="DN160" s="23">
        <f t="shared" si="176"/>
        <v>31011.57275048042</v>
      </c>
      <c r="DO160" s="23">
        <f t="shared" si="176"/>
        <v>64656.111955665408</v>
      </c>
      <c r="DP160" s="23">
        <f t="shared" si="176"/>
        <v>0</v>
      </c>
      <c r="DQ160" s="23">
        <f t="shared" si="176"/>
        <v>0</v>
      </c>
    </row>
    <row r="161" spans="2:1006" ht="15" thickBot="1" x14ac:dyDescent="0.4">
      <c r="D161" s="39" t="s">
        <v>386</v>
      </c>
      <c r="E161" s="39"/>
      <c r="F161" s="39"/>
      <c r="G161" s="39"/>
      <c r="H161" s="39"/>
      <c r="I161" s="39"/>
      <c r="J161" s="39"/>
      <c r="K161" s="44">
        <f>K153-K160</f>
        <v>0</v>
      </c>
      <c r="L161" s="44">
        <f t="shared" ref="L161:BW161" si="177">L153-L160</f>
        <v>0</v>
      </c>
      <c r="M161" s="44">
        <f t="shared" si="177"/>
        <v>0</v>
      </c>
      <c r="N161" s="44">
        <f t="shared" si="177"/>
        <v>0</v>
      </c>
      <c r="O161" s="44">
        <f t="shared" si="177"/>
        <v>0</v>
      </c>
      <c r="P161" s="44">
        <f t="shared" si="177"/>
        <v>0</v>
      </c>
      <c r="Q161" s="44">
        <f t="shared" si="177"/>
        <v>0</v>
      </c>
      <c r="R161" s="44">
        <f t="shared" si="177"/>
        <v>0</v>
      </c>
      <c r="S161" s="44">
        <f t="shared" si="177"/>
        <v>0</v>
      </c>
      <c r="T161" s="44">
        <f t="shared" si="177"/>
        <v>-15546.849332373502</v>
      </c>
      <c r="U161" s="44">
        <f t="shared" si="177"/>
        <v>-63040.086777140175</v>
      </c>
      <c r="V161" s="44">
        <f t="shared" si="177"/>
        <v>-84651.398152109352</v>
      </c>
      <c r="W161" s="44">
        <f t="shared" si="177"/>
        <v>-34471.857042985066</v>
      </c>
      <c r="X161" s="44">
        <f t="shared" si="177"/>
        <v>-16347.737782215467</v>
      </c>
      <c r="Y161" s="44">
        <f t="shared" si="177"/>
        <v>-63605.335327086199</v>
      </c>
      <c r="Z161" s="44">
        <f t="shared" si="177"/>
        <v>-85109.774799535968</v>
      </c>
      <c r="AA161" s="44">
        <f t="shared" si="177"/>
        <v>-35180.532412174129</v>
      </c>
      <c r="AB161" s="44">
        <f t="shared" si="177"/>
        <v>-17147.234374399821</v>
      </c>
      <c r="AC161" s="44">
        <f t="shared" si="177"/>
        <v>-64170.373189011916</v>
      </c>
      <c r="AD161" s="44">
        <f t="shared" si="177"/>
        <v>-83459.402589079386</v>
      </c>
      <c r="AE161" s="44">
        <f t="shared" si="177"/>
        <v>-32083.524901129567</v>
      </c>
      <c r="AF161" s="44">
        <f t="shared" si="177"/>
        <v>-13527.34752320667</v>
      </c>
      <c r="AG161" s="44">
        <f t="shared" si="177"/>
        <v>-61911.74400405043</v>
      </c>
      <c r="AH161" s="44">
        <f t="shared" si="177"/>
        <v>-82473.94656205301</v>
      </c>
      <c r="AI161" s="44">
        <f t="shared" si="177"/>
        <v>-30184.502907918126</v>
      </c>
      <c r="AJ161" s="44">
        <f t="shared" si="177"/>
        <v>-11298.237697595905</v>
      </c>
      <c r="AK161" s="44">
        <f t="shared" si="177"/>
        <v>-60542.63570222097</v>
      </c>
      <c r="AL161" s="44">
        <f t="shared" si="177"/>
        <v>-82672.675878731985</v>
      </c>
      <c r="AM161" s="44">
        <f t="shared" si="177"/>
        <v>-30420.206116164743</v>
      </c>
      <c r="AN161" s="44">
        <f t="shared" si="177"/>
        <v>-11547.624973334983</v>
      </c>
      <c r="AO161" s="44">
        <f t="shared" si="177"/>
        <v>-60758.202189525386</v>
      </c>
      <c r="AP161" s="44">
        <f t="shared" si="177"/>
        <v>-78414.270728317686</v>
      </c>
      <c r="AQ161" s="44">
        <f t="shared" si="177"/>
        <v>-22613.676215284679</v>
      </c>
      <c r="AR161" s="44">
        <f t="shared" si="177"/>
        <v>-2458.2144672194554</v>
      </c>
      <c r="AS161" s="44">
        <f t="shared" si="177"/>
        <v>-55006.214209755577</v>
      </c>
      <c r="AT161" s="44">
        <f t="shared" si="177"/>
        <v>-70647.415835068998</v>
      </c>
      <c r="AU161" s="44">
        <f t="shared" si="177"/>
        <v>-8476.3175947417622</v>
      </c>
      <c r="AV161" s="44">
        <f t="shared" si="177"/>
        <v>13982.747936419706</v>
      </c>
      <c r="AW161" s="44">
        <f t="shared" si="177"/>
        <v>-44556.698144779584</v>
      </c>
      <c r="AX161" s="44">
        <f t="shared" si="177"/>
        <v>-68723.113092981948</v>
      </c>
      <c r="AY161" s="44">
        <f t="shared" si="177"/>
        <v>-4877.3079128642712</v>
      </c>
      <c r="AZ161" s="44">
        <f t="shared" si="177"/>
        <v>18187.098168809258</v>
      </c>
      <c r="BA161" s="44">
        <f t="shared" si="177"/>
        <v>-41928.138530597964</v>
      </c>
      <c r="BB161" s="44">
        <f t="shared" si="177"/>
        <v>-68870.397396948159</v>
      </c>
      <c r="BC161" s="44">
        <f t="shared" si="177"/>
        <v>-5013.8063089713687</v>
      </c>
      <c r="BD161" s="44">
        <f t="shared" si="177"/>
        <v>18054.170247356757</v>
      </c>
      <c r="BE161" s="44">
        <f t="shared" si="177"/>
        <v>-42072.21105924221</v>
      </c>
      <c r="BF161" s="44">
        <f t="shared" si="177"/>
        <v>-65817.425310207444</v>
      </c>
      <c r="BG161" s="44">
        <f t="shared" si="177"/>
        <v>624.61174694742658</v>
      </c>
      <c r="BH161" s="44">
        <f t="shared" si="177"/>
        <v>139677.29295513188</v>
      </c>
      <c r="BI161" s="44">
        <f t="shared" si="177"/>
        <v>77118.683889877779</v>
      </c>
      <c r="BJ161" s="44">
        <f t="shared" si="177"/>
        <v>52979.046987055401</v>
      </c>
      <c r="BK161" s="44">
        <f t="shared" si="177"/>
        <v>122565.7835075046</v>
      </c>
      <c r="BL161" s="44">
        <f t="shared" si="177"/>
        <v>147705.42148298217</v>
      </c>
      <c r="BM161" s="44">
        <f t="shared" si="177"/>
        <v>82188.678986765997</v>
      </c>
      <c r="BN161" s="44">
        <f t="shared" si="177"/>
        <v>58080.525769570362</v>
      </c>
      <c r="BO161" s="44">
        <f t="shared" si="177"/>
        <v>131903.08955718775</v>
      </c>
      <c r="BP161" s="44">
        <f t="shared" si="177"/>
        <v>158574.29138370621</v>
      </c>
      <c r="BQ161" s="44">
        <f t="shared" si="177"/>
        <v>89073.364172271278</v>
      </c>
      <c r="BR161" s="44">
        <f t="shared" si="177"/>
        <v>62804.238692327359</v>
      </c>
      <c r="BS161" s="44">
        <f t="shared" si="177"/>
        <v>140560.63407530065</v>
      </c>
      <c r="BT161" s="44">
        <f t="shared" si="177"/>
        <v>168654.17660468101</v>
      </c>
      <c r="BU161" s="44">
        <f t="shared" si="177"/>
        <v>95453.030011476396</v>
      </c>
      <c r="BV161" s="44">
        <f t="shared" si="177"/>
        <v>58453.022058801842</v>
      </c>
      <c r="BW161" s="44">
        <f t="shared" si="177"/>
        <v>102201.82214893539</v>
      </c>
      <c r="BX161" s="44">
        <f t="shared" ref="BX161:DQ161" si="178">BX153-BX160</f>
        <v>122500.38007795662</v>
      </c>
      <c r="BY161" s="44">
        <f t="shared" si="178"/>
        <v>69612.10325369233</v>
      </c>
      <c r="BZ161" s="44">
        <f t="shared" si="178"/>
        <v>46904.886746228854</v>
      </c>
      <c r="CA161" s="44">
        <f t="shared" si="178"/>
        <v>103893.71992778804</v>
      </c>
      <c r="CB161" s="44">
        <f t="shared" si="178"/>
        <v>124484.30426459927</v>
      </c>
      <c r="CC161" s="44">
        <f t="shared" si="178"/>
        <v>70835.307492833934</v>
      </c>
      <c r="CD161" s="44">
        <f t="shared" si="178"/>
        <v>50358.151102813237</v>
      </c>
      <c r="CE161" s="44">
        <f t="shared" si="178"/>
        <v>110222.3174012322</v>
      </c>
      <c r="CF161" s="44">
        <f t="shared" si="178"/>
        <v>131852.52536956646</v>
      </c>
      <c r="CG161" s="44">
        <f t="shared" si="178"/>
        <v>75498.949069943774</v>
      </c>
      <c r="CH161" s="44">
        <f t="shared" si="178"/>
        <v>52395.687186639771</v>
      </c>
      <c r="CI161" s="44">
        <f t="shared" si="178"/>
        <v>113998.22172067576</v>
      </c>
      <c r="CJ161" s="44">
        <f t="shared" si="178"/>
        <v>136256.86058812062</v>
      </c>
      <c r="CK161" s="44">
        <f t="shared" si="178"/>
        <v>78267.833118801515</v>
      </c>
      <c r="CL161" s="44">
        <f t="shared" si="178"/>
        <v>57458.627417319207</v>
      </c>
      <c r="CM161" s="44">
        <f t="shared" si="178"/>
        <v>123233.25046533596</v>
      </c>
      <c r="CN161" s="44">
        <f t="shared" si="178"/>
        <v>147000.48381960849</v>
      </c>
      <c r="CO161" s="44">
        <f t="shared" si="178"/>
        <v>85087.457087570772</v>
      </c>
      <c r="CP161" s="44">
        <f t="shared" si="178"/>
        <v>61539.466279284767</v>
      </c>
      <c r="CQ161" s="44">
        <f t="shared" si="178"/>
        <v>130697.88526372283</v>
      </c>
      <c r="CR161" s="44">
        <f t="shared" si="178"/>
        <v>155688.61936956411</v>
      </c>
      <c r="CS161" s="44">
        <f t="shared" si="178"/>
        <v>90592.849114986835</v>
      </c>
      <c r="CT161" s="44">
        <f t="shared" si="178"/>
        <v>66063.010323315699</v>
      </c>
      <c r="CU161" s="44">
        <f t="shared" si="178"/>
        <v>138962.49472898542</v>
      </c>
      <c r="CV161" s="44">
        <f t="shared" si="178"/>
        <v>165305.9341183074</v>
      </c>
      <c r="CW161" s="44">
        <f t="shared" si="178"/>
        <v>96691.452243893335</v>
      </c>
      <c r="CX161" s="44">
        <f t="shared" si="178"/>
        <v>70284.505113377527</v>
      </c>
      <c r="CY161" s="44">
        <f t="shared" si="178"/>
        <v>146683.56142875156</v>
      </c>
      <c r="CZ161" s="44">
        <f t="shared" si="178"/>
        <v>174292.36490733508</v>
      </c>
      <c r="DA161" s="44">
        <f t="shared" si="178"/>
        <v>102386.24699556347</v>
      </c>
      <c r="DB161" s="44">
        <f t="shared" si="178"/>
        <v>71074.677867268547</v>
      </c>
      <c r="DC161" s="44">
        <f t="shared" si="178"/>
        <v>148215.89898131281</v>
      </c>
      <c r="DD161" s="44">
        <f t="shared" si="178"/>
        <v>176092.83240197867</v>
      </c>
      <c r="DE161" s="44">
        <f t="shared" si="178"/>
        <v>103487.98088600898</v>
      </c>
      <c r="DF161" s="44">
        <f t="shared" si="178"/>
        <v>71228.010081119864</v>
      </c>
      <c r="DG161" s="44">
        <f t="shared" si="178"/>
        <v>148600.76936745434</v>
      </c>
      <c r="DH161" s="44">
        <f t="shared" si="178"/>
        <v>176561.1580677866</v>
      </c>
      <c r="DI161" s="44">
        <f t="shared" si="178"/>
        <v>103737.72618958834</v>
      </c>
      <c r="DJ161" s="44">
        <f t="shared" si="178"/>
        <v>71462.967265490675</v>
      </c>
      <c r="DK161" s="44">
        <f t="shared" si="178"/>
        <v>149134.30364392351</v>
      </c>
      <c r="DL161" s="44">
        <f t="shared" si="178"/>
        <v>177202.38857385458</v>
      </c>
      <c r="DM161" s="44">
        <f t="shared" si="178"/>
        <v>104097.32443339465</v>
      </c>
      <c r="DN161" s="44">
        <f t="shared" si="178"/>
        <v>72360.33641778765</v>
      </c>
      <c r="DO161" s="44">
        <f t="shared" si="178"/>
        <v>150864.26122988597</v>
      </c>
      <c r="DP161" s="44">
        <f t="shared" si="178"/>
        <v>0</v>
      </c>
      <c r="DQ161" s="44">
        <f t="shared" si="178"/>
        <v>0</v>
      </c>
    </row>
    <row r="163" spans="2:1006" x14ac:dyDescent="0.35">
      <c r="B163" s="37" t="s">
        <v>390</v>
      </c>
      <c r="C163" s="37"/>
      <c r="D163" s="37"/>
      <c r="E163" s="37"/>
      <c r="F163" s="37"/>
      <c r="G163" s="37"/>
      <c r="H163" s="37"/>
      <c r="I163" s="37"/>
      <c r="J163" s="37"/>
      <c r="K163" s="37"/>
      <c r="L163" s="37"/>
      <c r="M163" s="37"/>
      <c r="N163" s="37"/>
      <c r="O163" s="37"/>
      <c r="P163" s="37"/>
      <c r="Q163" s="37"/>
      <c r="R163" s="37"/>
      <c r="S163" s="37"/>
      <c r="T163" s="37"/>
      <c r="U163" s="37"/>
      <c r="V163" s="37"/>
      <c r="W163" s="37"/>
      <c r="X163" s="37"/>
      <c r="Y163" s="37"/>
      <c r="Z163" s="37"/>
      <c r="AA163" s="37"/>
      <c r="AB163" s="37"/>
      <c r="AC163" s="37"/>
      <c r="AD163" s="37"/>
      <c r="AE163" s="37"/>
      <c r="AF163" s="37"/>
      <c r="AG163" s="37"/>
      <c r="AH163" s="37"/>
      <c r="AI163" s="37"/>
      <c r="AJ163" s="37"/>
      <c r="AK163" s="37"/>
      <c r="AL163" s="37"/>
      <c r="AM163" s="37"/>
      <c r="AN163" s="37"/>
      <c r="AO163" s="37"/>
      <c r="AP163" s="37"/>
      <c r="AQ163" s="37"/>
      <c r="AR163" s="37"/>
      <c r="AS163" s="37"/>
      <c r="AT163" s="37"/>
      <c r="AU163" s="37"/>
      <c r="AV163" s="37"/>
      <c r="AW163" s="37"/>
      <c r="AX163" s="37"/>
      <c r="AY163" s="37"/>
      <c r="AZ163" s="37"/>
      <c r="BA163" s="37"/>
      <c r="BB163" s="37"/>
      <c r="BC163" s="37"/>
      <c r="BD163" s="37"/>
      <c r="BE163" s="37"/>
      <c r="BF163" s="37"/>
      <c r="BG163" s="37"/>
      <c r="BH163" s="37"/>
      <c r="BI163" s="37"/>
      <c r="BJ163" s="37"/>
      <c r="BK163" s="37"/>
      <c r="BL163" s="37"/>
      <c r="BM163" s="37"/>
      <c r="BN163" s="37"/>
      <c r="BO163" s="37"/>
      <c r="BP163" s="37"/>
      <c r="BQ163" s="37"/>
      <c r="BR163" s="37"/>
      <c r="BS163" s="37"/>
      <c r="BT163" s="37"/>
      <c r="BU163" s="37"/>
      <c r="BV163" s="37"/>
      <c r="BW163" s="37"/>
      <c r="BX163" s="37"/>
      <c r="BY163" s="37"/>
      <c r="BZ163" s="37"/>
      <c r="CA163" s="37"/>
      <c r="CB163" s="37"/>
      <c r="CC163" s="37"/>
      <c r="CD163" s="37"/>
      <c r="CE163" s="37"/>
      <c r="CF163" s="37"/>
      <c r="CG163" s="37"/>
      <c r="CH163" s="37"/>
      <c r="CI163" s="37"/>
      <c r="CJ163" s="37"/>
      <c r="CK163" s="37"/>
      <c r="CL163" s="37"/>
      <c r="CM163" s="37"/>
      <c r="CN163" s="37"/>
      <c r="CO163" s="37"/>
      <c r="CP163" s="37"/>
      <c r="CQ163" s="37"/>
      <c r="CR163" s="37"/>
      <c r="CS163" s="37"/>
      <c r="CT163" s="37"/>
      <c r="CU163" s="37"/>
      <c r="CV163" s="37"/>
      <c r="CW163" s="37"/>
      <c r="CX163" s="37"/>
      <c r="CY163" s="37"/>
      <c r="CZ163" s="37"/>
      <c r="DA163" s="37"/>
      <c r="DB163" s="37"/>
      <c r="DC163" s="37"/>
      <c r="DD163" s="37"/>
      <c r="DE163" s="37"/>
      <c r="DF163" s="37"/>
      <c r="DG163" s="37"/>
      <c r="DH163" s="37"/>
      <c r="DI163" s="37"/>
      <c r="DJ163" s="37"/>
      <c r="DK163" s="37"/>
      <c r="DL163" s="37"/>
      <c r="DM163" s="37"/>
      <c r="DN163" s="37"/>
      <c r="DO163" s="37"/>
      <c r="DP163" s="37"/>
      <c r="DQ163" s="37"/>
      <c r="DR163" s="37"/>
      <c r="DS163" s="37"/>
      <c r="DT163" s="37"/>
      <c r="DU163" s="37"/>
      <c r="DV163" s="37"/>
      <c r="DW163" s="37"/>
      <c r="DX163" s="37"/>
      <c r="DY163" s="37"/>
      <c r="DZ163" s="37"/>
      <c r="EA163" s="37"/>
      <c r="EB163" s="37"/>
      <c r="EC163" s="37"/>
      <c r="ED163" s="37"/>
      <c r="EE163" s="37"/>
      <c r="EF163" s="37"/>
      <c r="EG163" s="37"/>
      <c r="EH163" s="37"/>
      <c r="EI163" s="37"/>
      <c r="EJ163" s="37"/>
      <c r="EK163" s="37"/>
      <c r="EL163" s="37"/>
      <c r="EM163" s="37"/>
      <c r="EN163" s="37"/>
      <c r="EO163" s="37"/>
      <c r="EP163" s="37"/>
      <c r="EQ163" s="37"/>
      <c r="ER163" s="37"/>
      <c r="ES163" s="37"/>
      <c r="ET163" s="37"/>
      <c r="EU163" s="37"/>
      <c r="EV163" s="37"/>
      <c r="EW163" s="37"/>
      <c r="EX163" s="37"/>
      <c r="EY163" s="37"/>
      <c r="EZ163" s="37"/>
      <c r="FA163" s="37"/>
      <c r="FB163" s="37"/>
      <c r="FC163" s="37"/>
      <c r="FD163" s="37"/>
      <c r="FE163" s="37"/>
      <c r="FF163" s="37"/>
      <c r="FG163" s="37"/>
      <c r="FH163" s="37"/>
      <c r="FI163" s="37"/>
      <c r="FJ163" s="37"/>
      <c r="FK163" s="37"/>
      <c r="FL163" s="37"/>
      <c r="FM163" s="37"/>
      <c r="FN163" s="37"/>
      <c r="FO163" s="37"/>
      <c r="FP163" s="37"/>
      <c r="FQ163" s="37"/>
      <c r="FR163" s="37"/>
      <c r="FS163" s="37"/>
      <c r="FT163" s="37"/>
      <c r="FU163" s="37"/>
      <c r="FV163" s="37"/>
      <c r="FW163" s="37"/>
      <c r="FX163" s="37"/>
      <c r="FY163" s="37"/>
      <c r="FZ163" s="37"/>
      <c r="GA163" s="37"/>
      <c r="GB163" s="37"/>
      <c r="GC163" s="37"/>
      <c r="GD163" s="37"/>
      <c r="GE163" s="37"/>
      <c r="GF163" s="37"/>
      <c r="GG163" s="37"/>
      <c r="GH163" s="37"/>
      <c r="GI163" s="37"/>
      <c r="GJ163" s="37"/>
      <c r="GK163" s="37"/>
      <c r="GL163" s="37"/>
      <c r="GM163" s="37"/>
      <c r="GN163" s="37"/>
      <c r="GO163" s="37"/>
      <c r="GP163" s="37"/>
      <c r="GQ163" s="37"/>
      <c r="GR163" s="37"/>
      <c r="GS163" s="37"/>
      <c r="GT163" s="37"/>
      <c r="GU163" s="37"/>
      <c r="GV163" s="37"/>
      <c r="GW163" s="37"/>
      <c r="GX163" s="37"/>
      <c r="GY163" s="37"/>
      <c r="GZ163" s="37"/>
      <c r="HA163" s="37"/>
      <c r="HB163" s="37"/>
      <c r="HC163" s="37"/>
      <c r="HD163" s="37"/>
      <c r="HE163" s="37"/>
      <c r="HF163" s="37"/>
      <c r="HG163" s="37"/>
      <c r="HH163" s="37"/>
      <c r="HI163" s="37"/>
      <c r="HJ163" s="37"/>
      <c r="HK163" s="37"/>
      <c r="HL163" s="37"/>
      <c r="HM163" s="37"/>
      <c r="HN163" s="37"/>
      <c r="HO163" s="37"/>
      <c r="HP163" s="37"/>
      <c r="HQ163" s="37"/>
      <c r="HR163" s="37"/>
      <c r="HS163" s="37"/>
      <c r="HT163" s="37"/>
      <c r="HU163" s="37"/>
      <c r="HV163" s="37"/>
      <c r="HW163" s="37"/>
      <c r="HX163" s="37"/>
      <c r="HY163" s="37"/>
      <c r="HZ163" s="37"/>
      <c r="IA163" s="37"/>
      <c r="IB163" s="37"/>
      <c r="IC163" s="37"/>
      <c r="ID163" s="37"/>
      <c r="IE163" s="37"/>
      <c r="IF163" s="37"/>
      <c r="IG163" s="37"/>
      <c r="IH163" s="37"/>
      <c r="II163" s="37"/>
      <c r="IJ163" s="37"/>
      <c r="IK163" s="37"/>
      <c r="IL163" s="37"/>
      <c r="IM163" s="37"/>
      <c r="IN163" s="37"/>
      <c r="IO163" s="37"/>
      <c r="IP163" s="37"/>
      <c r="IQ163" s="37"/>
      <c r="IR163" s="37"/>
      <c r="IS163" s="37"/>
      <c r="IT163" s="37"/>
      <c r="IU163" s="37"/>
      <c r="IV163" s="37"/>
      <c r="IW163" s="37"/>
      <c r="IX163" s="37"/>
      <c r="IY163" s="37"/>
      <c r="IZ163" s="37"/>
      <c r="JA163" s="37"/>
      <c r="JB163" s="37"/>
      <c r="JC163" s="37"/>
      <c r="JD163" s="37"/>
      <c r="JE163" s="37"/>
      <c r="JF163" s="37"/>
      <c r="JG163" s="37"/>
      <c r="JH163" s="37"/>
      <c r="JI163" s="37"/>
      <c r="JJ163" s="37"/>
      <c r="JK163" s="37"/>
      <c r="JL163" s="37"/>
      <c r="JM163" s="37"/>
      <c r="JN163" s="37"/>
      <c r="JO163" s="37"/>
      <c r="JP163" s="37"/>
      <c r="JQ163" s="37"/>
      <c r="JR163" s="37"/>
      <c r="JS163" s="37"/>
      <c r="JT163" s="37"/>
      <c r="JU163" s="37"/>
      <c r="JV163" s="37"/>
      <c r="JW163" s="37"/>
      <c r="JX163" s="37"/>
      <c r="JY163" s="37"/>
      <c r="JZ163" s="37"/>
      <c r="KA163" s="37"/>
      <c r="KB163" s="37"/>
      <c r="KC163" s="37"/>
      <c r="KD163" s="37"/>
      <c r="KE163" s="37"/>
      <c r="KF163" s="37"/>
      <c r="KG163" s="37"/>
      <c r="KH163" s="37"/>
      <c r="KI163" s="37"/>
      <c r="KJ163" s="37"/>
      <c r="KK163" s="37"/>
      <c r="KL163" s="37"/>
      <c r="KM163" s="37"/>
      <c r="KN163" s="37"/>
      <c r="KO163" s="37"/>
      <c r="KP163" s="37"/>
      <c r="KQ163" s="37"/>
      <c r="KR163" s="37"/>
      <c r="KS163" s="37"/>
      <c r="KT163" s="37"/>
      <c r="KU163" s="37"/>
      <c r="KV163" s="37"/>
      <c r="KW163" s="37"/>
      <c r="KX163" s="37"/>
      <c r="KY163" s="37"/>
      <c r="KZ163" s="37"/>
      <c r="LA163" s="37"/>
      <c r="LB163" s="37"/>
      <c r="LC163" s="37"/>
      <c r="LD163" s="37"/>
      <c r="LE163" s="37"/>
      <c r="LF163" s="37"/>
      <c r="LG163" s="37"/>
      <c r="LH163" s="37"/>
      <c r="LI163" s="37"/>
      <c r="LJ163" s="37"/>
      <c r="LK163" s="37"/>
      <c r="LL163" s="37"/>
      <c r="LM163" s="37"/>
      <c r="LN163" s="37"/>
      <c r="LO163" s="37"/>
      <c r="LP163" s="37"/>
      <c r="LQ163" s="37"/>
      <c r="LR163" s="37"/>
      <c r="LS163" s="37"/>
      <c r="LT163" s="37"/>
      <c r="LU163" s="37"/>
      <c r="LV163" s="37"/>
      <c r="LW163" s="37"/>
      <c r="LX163" s="37"/>
      <c r="LY163" s="37"/>
      <c r="LZ163" s="37"/>
      <c r="MA163" s="37"/>
      <c r="MB163" s="37"/>
      <c r="MC163" s="37"/>
      <c r="MD163" s="37"/>
      <c r="ME163" s="37"/>
      <c r="MF163" s="37"/>
      <c r="MG163" s="37"/>
      <c r="MH163" s="37"/>
      <c r="MI163" s="37"/>
      <c r="MJ163" s="37"/>
      <c r="MK163" s="37"/>
      <c r="ML163" s="37"/>
      <c r="MM163" s="37"/>
      <c r="MN163" s="37"/>
      <c r="MO163" s="37"/>
      <c r="MP163" s="37"/>
      <c r="MQ163" s="37"/>
      <c r="MR163" s="37"/>
      <c r="MS163" s="37"/>
      <c r="MT163" s="37"/>
      <c r="MU163" s="37"/>
      <c r="MV163" s="37"/>
      <c r="MW163" s="37"/>
      <c r="MX163" s="37"/>
      <c r="MY163" s="37"/>
      <c r="MZ163" s="37"/>
      <c r="NA163" s="37"/>
      <c r="NB163" s="37"/>
      <c r="NC163" s="37"/>
      <c r="ND163" s="37"/>
      <c r="NE163" s="37"/>
      <c r="NF163" s="37"/>
      <c r="NG163" s="37"/>
      <c r="NH163" s="37"/>
      <c r="NI163" s="37"/>
      <c r="NJ163" s="37"/>
      <c r="NK163" s="37"/>
      <c r="NL163" s="37"/>
      <c r="NM163" s="37"/>
      <c r="NN163" s="37"/>
      <c r="NO163" s="37"/>
      <c r="NP163" s="37"/>
      <c r="NQ163" s="37"/>
      <c r="NR163" s="37"/>
      <c r="NS163" s="37"/>
      <c r="NT163" s="37"/>
      <c r="NU163" s="37"/>
      <c r="NV163" s="37"/>
      <c r="NW163" s="37"/>
      <c r="NX163" s="37"/>
      <c r="NY163" s="37"/>
      <c r="NZ163" s="37"/>
      <c r="OA163" s="37"/>
      <c r="OB163" s="37"/>
      <c r="OC163" s="37"/>
      <c r="OD163" s="37"/>
      <c r="OE163" s="37"/>
      <c r="OF163" s="37"/>
      <c r="OG163" s="37"/>
      <c r="OH163" s="37"/>
      <c r="OI163" s="37"/>
      <c r="OJ163" s="37"/>
      <c r="OK163" s="37"/>
      <c r="OL163" s="37"/>
      <c r="OM163" s="37"/>
      <c r="ON163" s="37"/>
      <c r="OO163" s="37"/>
      <c r="OP163" s="37"/>
      <c r="OQ163" s="37"/>
      <c r="OR163" s="37"/>
      <c r="OS163" s="37"/>
      <c r="OT163" s="37"/>
      <c r="OU163" s="37"/>
      <c r="OV163" s="37"/>
      <c r="OW163" s="37"/>
      <c r="OX163" s="37"/>
      <c r="OY163" s="37"/>
      <c r="OZ163" s="37"/>
      <c r="PA163" s="37"/>
      <c r="PB163" s="37"/>
      <c r="PC163" s="37"/>
      <c r="PD163" s="37"/>
      <c r="PE163" s="37"/>
      <c r="PF163" s="37"/>
      <c r="PG163" s="37"/>
      <c r="PH163" s="37"/>
      <c r="PI163" s="37"/>
      <c r="PJ163" s="37"/>
      <c r="PK163" s="37"/>
      <c r="PL163" s="37"/>
      <c r="PM163" s="37"/>
      <c r="PN163" s="37"/>
      <c r="PO163" s="37"/>
      <c r="PP163" s="37"/>
      <c r="PQ163" s="37"/>
      <c r="PR163" s="37"/>
      <c r="PS163" s="37"/>
      <c r="PT163" s="37"/>
      <c r="PU163" s="37"/>
      <c r="PV163" s="37"/>
      <c r="PW163" s="37"/>
      <c r="PX163" s="37"/>
      <c r="PY163" s="37"/>
      <c r="PZ163" s="37"/>
      <c r="QA163" s="37"/>
      <c r="QB163" s="37"/>
      <c r="QC163" s="37"/>
      <c r="QD163" s="37"/>
      <c r="QE163" s="37"/>
      <c r="QF163" s="37"/>
      <c r="QG163" s="37"/>
      <c r="QH163" s="37"/>
      <c r="QI163" s="37"/>
      <c r="QJ163" s="37"/>
      <c r="QK163" s="37"/>
      <c r="QL163" s="37"/>
      <c r="QM163" s="37"/>
      <c r="QN163" s="37"/>
      <c r="QO163" s="37"/>
      <c r="QP163" s="37"/>
      <c r="QQ163" s="37"/>
      <c r="QR163" s="37"/>
      <c r="QS163" s="37"/>
      <c r="QT163" s="37"/>
      <c r="QU163" s="37"/>
      <c r="QV163" s="37"/>
      <c r="QW163" s="37"/>
      <c r="QX163" s="37"/>
      <c r="QY163" s="37"/>
      <c r="QZ163" s="37"/>
      <c r="RA163" s="37"/>
      <c r="RB163" s="37"/>
      <c r="RC163" s="37"/>
      <c r="RD163" s="37"/>
      <c r="RE163" s="37"/>
      <c r="RF163" s="37"/>
      <c r="RG163" s="37"/>
      <c r="RH163" s="37"/>
      <c r="RI163" s="37"/>
      <c r="RJ163" s="37"/>
      <c r="RK163" s="37"/>
      <c r="RL163" s="37"/>
      <c r="RM163" s="37"/>
      <c r="RN163" s="37"/>
      <c r="RO163" s="37"/>
      <c r="RP163" s="37"/>
      <c r="RQ163" s="37"/>
      <c r="RR163" s="37"/>
      <c r="RS163" s="37"/>
      <c r="RT163" s="37"/>
      <c r="RU163" s="37"/>
      <c r="RV163" s="37"/>
      <c r="RW163" s="37"/>
      <c r="RX163" s="37"/>
      <c r="RY163" s="37"/>
      <c r="RZ163" s="37"/>
      <c r="SA163" s="37"/>
      <c r="SB163" s="37"/>
      <c r="SC163" s="37"/>
      <c r="SD163" s="37"/>
      <c r="SE163" s="37"/>
      <c r="SF163" s="37"/>
      <c r="SG163" s="37"/>
      <c r="SH163" s="37"/>
      <c r="SI163" s="37"/>
      <c r="SJ163" s="37"/>
      <c r="SK163" s="37"/>
      <c r="SL163" s="37"/>
      <c r="SM163" s="37"/>
      <c r="SN163" s="37"/>
      <c r="SO163" s="37"/>
      <c r="SP163" s="37"/>
      <c r="SQ163" s="37"/>
      <c r="SR163" s="37"/>
      <c r="SS163" s="37"/>
      <c r="ST163" s="37"/>
      <c r="SU163" s="37"/>
      <c r="SV163" s="37"/>
      <c r="SW163" s="37"/>
      <c r="SX163" s="37"/>
      <c r="SY163" s="37"/>
      <c r="SZ163" s="37"/>
      <c r="TA163" s="37"/>
      <c r="TB163" s="37"/>
      <c r="TC163" s="37"/>
      <c r="TD163" s="37"/>
      <c r="TE163" s="37"/>
      <c r="TF163" s="37"/>
      <c r="TG163" s="37"/>
      <c r="TH163" s="37"/>
      <c r="TI163" s="37"/>
      <c r="TJ163" s="37"/>
      <c r="TK163" s="37"/>
      <c r="TL163" s="37"/>
      <c r="TM163" s="37"/>
      <c r="TN163" s="37"/>
      <c r="TO163" s="37"/>
      <c r="TP163" s="37"/>
      <c r="TQ163" s="37"/>
      <c r="TR163" s="37"/>
      <c r="TS163" s="37"/>
      <c r="TT163" s="37"/>
      <c r="TU163" s="37"/>
      <c r="TV163" s="37"/>
      <c r="TW163" s="37"/>
      <c r="TX163" s="37"/>
      <c r="TY163" s="37"/>
      <c r="TZ163" s="37"/>
      <c r="UA163" s="37"/>
      <c r="UB163" s="37"/>
      <c r="UC163" s="37"/>
      <c r="UD163" s="37"/>
      <c r="UE163" s="37"/>
      <c r="UF163" s="37"/>
      <c r="UG163" s="37"/>
      <c r="UH163" s="37"/>
      <c r="UI163" s="37"/>
      <c r="UJ163" s="37"/>
      <c r="UK163" s="37"/>
      <c r="UL163" s="37"/>
      <c r="UM163" s="37"/>
      <c r="UN163" s="37"/>
      <c r="UO163" s="37"/>
      <c r="UP163" s="37"/>
      <c r="UQ163" s="37"/>
      <c r="UR163" s="37"/>
      <c r="US163" s="37"/>
      <c r="UT163" s="37"/>
      <c r="UU163" s="37"/>
      <c r="UV163" s="37"/>
      <c r="UW163" s="37"/>
      <c r="UX163" s="37"/>
      <c r="UY163" s="37"/>
      <c r="UZ163" s="37"/>
      <c r="VA163" s="37"/>
      <c r="VB163" s="37"/>
      <c r="VC163" s="37"/>
      <c r="VD163" s="37"/>
      <c r="VE163" s="37"/>
      <c r="VF163" s="37"/>
      <c r="VG163" s="37"/>
      <c r="VH163" s="37"/>
      <c r="VI163" s="37"/>
      <c r="VJ163" s="37"/>
      <c r="VK163" s="37"/>
      <c r="VL163" s="37"/>
      <c r="VM163" s="37"/>
      <c r="VN163" s="37"/>
      <c r="VO163" s="37"/>
      <c r="VP163" s="37"/>
      <c r="VQ163" s="37"/>
      <c r="VR163" s="37"/>
      <c r="VS163" s="37"/>
      <c r="VT163" s="37"/>
      <c r="VU163" s="37"/>
      <c r="VV163" s="37"/>
      <c r="VW163" s="37"/>
      <c r="VX163" s="37"/>
      <c r="VY163" s="37"/>
      <c r="VZ163" s="37"/>
      <c r="WA163" s="37"/>
      <c r="WB163" s="37"/>
      <c r="WC163" s="37"/>
      <c r="WD163" s="37"/>
      <c r="WE163" s="37"/>
      <c r="WF163" s="37"/>
      <c r="WG163" s="37"/>
      <c r="WH163" s="37"/>
      <c r="WI163" s="37"/>
      <c r="WJ163" s="37"/>
      <c r="WK163" s="37"/>
      <c r="WL163" s="37"/>
      <c r="WM163" s="37"/>
      <c r="WN163" s="37"/>
      <c r="WO163" s="37"/>
      <c r="WP163" s="37"/>
      <c r="WQ163" s="37"/>
      <c r="WR163" s="37"/>
      <c r="WS163" s="37"/>
      <c r="WT163" s="37"/>
      <c r="WU163" s="37"/>
      <c r="WV163" s="37"/>
      <c r="WW163" s="37"/>
      <c r="WX163" s="37"/>
      <c r="WY163" s="37"/>
      <c r="WZ163" s="37"/>
      <c r="XA163" s="37"/>
      <c r="XB163" s="37"/>
      <c r="XC163" s="37"/>
      <c r="XD163" s="37"/>
      <c r="XE163" s="37"/>
      <c r="XF163" s="37"/>
      <c r="XG163" s="37"/>
      <c r="XH163" s="37"/>
      <c r="XI163" s="37"/>
      <c r="XJ163" s="37"/>
      <c r="XK163" s="37"/>
      <c r="XL163" s="37"/>
      <c r="XM163" s="37"/>
      <c r="XN163" s="37"/>
      <c r="XO163" s="37"/>
      <c r="XP163" s="37"/>
      <c r="XQ163" s="37"/>
      <c r="XR163" s="37"/>
      <c r="XS163" s="37"/>
      <c r="XT163" s="37"/>
      <c r="XU163" s="37"/>
      <c r="XV163" s="37"/>
      <c r="XW163" s="37"/>
      <c r="XX163" s="37"/>
      <c r="XY163" s="37"/>
      <c r="XZ163" s="37"/>
      <c r="YA163" s="37"/>
      <c r="YB163" s="37"/>
      <c r="YC163" s="37"/>
      <c r="YD163" s="37"/>
      <c r="YE163" s="37"/>
      <c r="YF163" s="37"/>
      <c r="YG163" s="37"/>
      <c r="YH163" s="37"/>
      <c r="YI163" s="37"/>
      <c r="YJ163" s="37"/>
      <c r="YK163" s="37"/>
      <c r="YL163" s="37"/>
      <c r="YM163" s="37"/>
      <c r="YN163" s="37"/>
      <c r="YO163" s="37"/>
      <c r="YP163" s="37"/>
      <c r="YQ163" s="37"/>
      <c r="YR163" s="37"/>
      <c r="YS163" s="37"/>
      <c r="YT163" s="37"/>
      <c r="YU163" s="37"/>
      <c r="YV163" s="37"/>
      <c r="YW163" s="37"/>
      <c r="YX163" s="37"/>
      <c r="YY163" s="37"/>
      <c r="YZ163" s="37"/>
      <c r="ZA163" s="37"/>
      <c r="ZB163" s="37"/>
      <c r="ZC163" s="37"/>
      <c r="ZD163" s="37"/>
      <c r="ZE163" s="37"/>
      <c r="ZF163" s="37"/>
      <c r="ZG163" s="37"/>
      <c r="ZH163" s="37"/>
      <c r="ZI163" s="37"/>
      <c r="ZJ163" s="37"/>
      <c r="ZK163" s="37"/>
      <c r="ZL163" s="37"/>
      <c r="ZM163" s="37"/>
      <c r="ZN163" s="37"/>
      <c r="ZO163" s="37"/>
      <c r="ZP163" s="37"/>
      <c r="ZQ163" s="37"/>
      <c r="ZR163" s="37"/>
      <c r="ZS163" s="37"/>
      <c r="ZT163" s="37"/>
      <c r="ZU163" s="37"/>
      <c r="ZV163" s="37"/>
      <c r="ZW163" s="37"/>
      <c r="ZX163" s="37"/>
      <c r="ZY163" s="37"/>
      <c r="ZZ163" s="37"/>
      <c r="AAA163" s="37"/>
      <c r="AAB163" s="37"/>
      <c r="AAC163" s="37"/>
      <c r="AAD163" s="37"/>
      <c r="AAE163" s="37"/>
      <c r="AAF163" s="37"/>
      <c r="AAG163" s="37"/>
      <c r="AAH163" s="37"/>
      <c r="AAI163" s="37"/>
      <c r="AAJ163" s="37"/>
      <c r="AAK163" s="37"/>
      <c r="AAL163" s="37"/>
      <c r="AAM163" s="37"/>
      <c r="AAN163" s="37"/>
      <c r="AAO163" s="37"/>
      <c r="AAP163" s="37"/>
      <c r="AAQ163" s="37"/>
      <c r="AAR163" s="37"/>
      <c r="AAS163" s="37"/>
      <c r="AAT163" s="37"/>
      <c r="AAU163" s="37"/>
      <c r="AAV163" s="37"/>
      <c r="AAW163" s="37"/>
      <c r="AAX163" s="37"/>
      <c r="AAY163" s="37"/>
      <c r="AAZ163" s="37"/>
      <c r="ABA163" s="37"/>
      <c r="ABB163" s="37"/>
      <c r="ABC163" s="37"/>
      <c r="ABD163" s="37"/>
      <c r="ABE163" s="37"/>
      <c r="ABF163" s="37"/>
      <c r="ABG163" s="37"/>
      <c r="ABH163" s="37"/>
      <c r="ABI163" s="37"/>
      <c r="ABJ163" s="37"/>
      <c r="ABK163" s="37"/>
      <c r="ABL163" s="37"/>
      <c r="ABM163" s="37"/>
      <c r="ABN163" s="37"/>
      <c r="ABO163" s="37"/>
      <c r="ABP163" s="37"/>
      <c r="ABQ163" s="37"/>
      <c r="ABR163" s="37"/>
      <c r="ABS163" s="37"/>
      <c r="ABT163" s="37"/>
      <c r="ABU163" s="37"/>
      <c r="ABV163" s="37"/>
      <c r="ABW163" s="37"/>
      <c r="ABX163" s="37"/>
      <c r="ABY163" s="37"/>
      <c r="ABZ163" s="37"/>
      <c r="ACA163" s="37"/>
      <c r="ACB163" s="37"/>
      <c r="ACC163" s="37"/>
      <c r="ACD163" s="37"/>
      <c r="ACE163" s="37"/>
      <c r="ACF163" s="37"/>
      <c r="ACG163" s="37"/>
      <c r="ACH163" s="37"/>
      <c r="ACI163" s="37"/>
      <c r="ACJ163" s="37"/>
      <c r="ACK163" s="37"/>
      <c r="ACL163" s="37"/>
      <c r="ACM163" s="37"/>
      <c r="ACN163" s="37"/>
      <c r="ACO163" s="37"/>
      <c r="ACP163" s="37"/>
      <c r="ACQ163" s="37"/>
      <c r="ACR163" s="37"/>
      <c r="ACS163" s="37"/>
      <c r="ACT163" s="37"/>
      <c r="ACU163" s="37"/>
      <c r="ACV163" s="37"/>
      <c r="ACW163" s="37"/>
      <c r="ACX163" s="37"/>
      <c r="ACY163" s="37"/>
      <c r="ACZ163" s="37"/>
      <c r="ADA163" s="37"/>
      <c r="ADB163" s="37"/>
      <c r="ADC163" s="37"/>
      <c r="ADD163" s="37"/>
      <c r="ADE163" s="37"/>
      <c r="ADF163" s="37"/>
      <c r="ADG163" s="37"/>
      <c r="ADH163" s="37"/>
      <c r="ADI163" s="37"/>
      <c r="ADJ163" s="37"/>
      <c r="ADK163" s="37"/>
      <c r="ADL163" s="37"/>
      <c r="ADM163" s="37"/>
      <c r="ADN163" s="37"/>
      <c r="ADO163" s="37"/>
      <c r="ADP163" s="37"/>
      <c r="ADQ163" s="37"/>
      <c r="ADR163" s="37"/>
      <c r="ADS163" s="37"/>
      <c r="ADT163" s="37"/>
      <c r="ADU163" s="37"/>
      <c r="ADV163" s="37"/>
      <c r="ADW163" s="37"/>
      <c r="ADX163" s="37"/>
      <c r="ADY163" s="37"/>
      <c r="ADZ163" s="37"/>
      <c r="AEA163" s="37"/>
      <c r="AEB163" s="37"/>
      <c r="AEC163" s="37"/>
      <c r="AED163" s="37"/>
      <c r="AEE163" s="37"/>
      <c r="AEF163" s="37"/>
      <c r="AEG163" s="37"/>
      <c r="AEH163" s="37"/>
      <c r="AEI163" s="37"/>
      <c r="AEJ163" s="37"/>
      <c r="AEK163" s="37"/>
      <c r="AEL163" s="37"/>
      <c r="AEM163" s="37"/>
      <c r="AEN163" s="37"/>
      <c r="AEO163" s="37"/>
      <c r="AEP163" s="37"/>
      <c r="AEQ163" s="37"/>
      <c r="AER163" s="37"/>
      <c r="AES163" s="37"/>
      <c r="AET163" s="37"/>
      <c r="AEU163" s="37"/>
      <c r="AEV163" s="37"/>
      <c r="AEW163" s="37"/>
      <c r="AEX163" s="37"/>
      <c r="AEY163" s="37"/>
      <c r="AEZ163" s="37"/>
      <c r="AFA163" s="37"/>
      <c r="AFB163" s="37"/>
      <c r="AFC163" s="37"/>
      <c r="AFD163" s="37"/>
      <c r="AFE163" s="37"/>
      <c r="AFF163" s="37"/>
      <c r="AFG163" s="37"/>
      <c r="AFH163" s="37"/>
      <c r="AFI163" s="37"/>
      <c r="AFJ163" s="37"/>
      <c r="AFK163" s="37"/>
      <c r="AFL163" s="37"/>
      <c r="AFM163" s="37"/>
      <c r="AFN163" s="37"/>
      <c r="AFO163" s="37"/>
      <c r="AFP163" s="37"/>
      <c r="AFQ163" s="37"/>
      <c r="AFR163" s="37"/>
      <c r="AFS163" s="37"/>
      <c r="AFT163" s="37"/>
      <c r="AFU163" s="37"/>
      <c r="AFV163" s="37"/>
      <c r="AFW163" s="37"/>
      <c r="AFX163" s="37"/>
      <c r="AFY163" s="37"/>
      <c r="AFZ163" s="37"/>
      <c r="AGA163" s="37"/>
      <c r="AGB163" s="37"/>
      <c r="AGC163" s="37"/>
      <c r="AGD163" s="37"/>
      <c r="AGE163" s="37"/>
      <c r="AGF163" s="37"/>
      <c r="AGG163" s="37"/>
      <c r="AGH163" s="37"/>
      <c r="AGI163" s="37"/>
      <c r="AGJ163" s="37"/>
      <c r="AGK163" s="37"/>
      <c r="AGL163" s="37"/>
      <c r="AGM163" s="37"/>
      <c r="AGN163" s="37"/>
      <c r="AGO163" s="37"/>
      <c r="AGP163" s="37"/>
      <c r="AGQ163" s="37"/>
      <c r="AGR163" s="37"/>
      <c r="AGS163" s="37"/>
      <c r="AGT163" s="37"/>
      <c r="AGU163" s="37"/>
      <c r="AGV163" s="37"/>
      <c r="AGW163" s="37"/>
      <c r="AGX163" s="37"/>
      <c r="AGY163" s="37"/>
      <c r="AGZ163" s="37"/>
      <c r="AHA163" s="37"/>
      <c r="AHB163" s="37"/>
      <c r="AHC163" s="37"/>
      <c r="AHD163" s="37"/>
      <c r="AHE163" s="37"/>
      <c r="AHF163" s="37"/>
      <c r="AHG163" s="37"/>
      <c r="AHH163" s="37"/>
      <c r="AHI163" s="37"/>
      <c r="AHJ163" s="37"/>
      <c r="AHK163" s="37"/>
      <c r="AHL163" s="37"/>
      <c r="AHM163" s="37"/>
      <c r="AHN163" s="37"/>
      <c r="AHO163" s="37"/>
      <c r="AHP163" s="37"/>
      <c r="AHQ163" s="37"/>
      <c r="AHR163" s="37"/>
      <c r="AHS163" s="37"/>
      <c r="AHT163" s="37"/>
      <c r="AHU163" s="37"/>
      <c r="AHV163" s="37"/>
      <c r="AHW163" s="37"/>
      <c r="AHX163" s="37"/>
      <c r="AHY163" s="37"/>
      <c r="AHZ163" s="37"/>
      <c r="AIA163" s="37"/>
      <c r="AIB163" s="37"/>
      <c r="AIC163" s="37"/>
      <c r="AID163" s="37"/>
      <c r="AIE163" s="37"/>
      <c r="AIF163" s="37"/>
      <c r="AIG163" s="37"/>
      <c r="AIH163" s="37"/>
      <c r="AII163" s="37"/>
      <c r="AIJ163" s="37"/>
      <c r="AIK163" s="37"/>
      <c r="AIL163" s="37"/>
      <c r="AIM163" s="37"/>
      <c r="AIN163" s="37"/>
      <c r="AIO163" s="37"/>
      <c r="AIP163" s="37"/>
      <c r="AIQ163" s="37"/>
      <c r="AIR163" s="37"/>
      <c r="AIS163" s="37"/>
      <c r="AIT163" s="37"/>
      <c r="AIU163" s="37"/>
      <c r="AIV163" s="37"/>
      <c r="AIW163" s="37"/>
      <c r="AIX163" s="37"/>
      <c r="AIY163" s="37"/>
      <c r="AIZ163" s="37"/>
      <c r="AJA163" s="37"/>
      <c r="AJB163" s="37"/>
      <c r="AJC163" s="37"/>
      <c r="AJD163" s="37"/>
      <c r="AJE163" s="37"/>
      <c r="AJF163" s="37"/>
      <c r="AJG163" s="37"/>
      <c r="AJH163" s="37"/>
      <c r="AJI163" s="37"/>
      <c r="AJJ163" s="37"/>
      <c r="AJK163" s="37"/>
      <c r="AJL163" s="37"/>
      <c r="AJM163" s="37"/>
      <c r="AJN163" s="37"/>
      <c r="AJO163" s="37"/>
      <c r="AJP163" s="37"/>
      <c r="AJQ163" s="37"/>
      <c r="AJR163" s="37"/>
      <c r="AJS163" s="37"/>
      <c r="AJT163" s="37"/>
      <c r="AJU163" s="37"/>
      <c r="AJV163" s="37"/>
      <c r="AJW163" s="37"/>
      <c r="AJX163" s="37"/>
      <c r="AJY163" s="37"/>
      <c r="AJZ163" s="37"/>
      <c r="AKA163" s="37"/>
      <c r="AKB163" s="37"/>
      <c r="AKC163" s="37"/>
      <c r="AKD163" s="37"/>
      <c r="AKE163" s="37"/>
      <c r="AKF163" s="37"/>
      <c r="AKG163" s="37"/>
      <c r="AKH163" s="37"/>
      <c r="AKI163" s="37"/>
      <c r="AKJ163" s="37"/>
      <c r="AKK163" s="37"/>
      <c r="AKL163" s="37"/>
      <c r="AKM163" s="37"/>
      <c r="AKN163" s="37"/>
      <c r="AKO163" s="37"/>
      <c r="AKP163" s="37"/>
      <c r="AKQ163" s="37"/>
      <c r="AKR163" s="37"/>
      <c r="AKS163" s="37"/>
      <c r="AKT163" s="37"/>
      <c r="AKU163" s="37"/>
      <c r="AKV163" s="37"/>
      <c r="AKW163" s="37"/>
      <c r="AKX163" s="37"/>
      <c r="AKY163" s="37"/>
      <c r="AKZ163" s="37"/>
      <c r="ALA163" s="37"/>
      <c r="ALB163" s="37"/>
      <c r="ALC163" s="37"/>
      <c r="ALD163" s="37"/>
      <c r="ALE163" s="37"/>
      <c r="ALF163" s="37"/>
      <c r="ALG163" s="37"/>
      <c r="ALH163" s="37"/>
      <c r="ALI163" s="37"/>
      <c r="ALJ163" s="37"/>
      <c r="ALK163" s="37"/>
      <c r="ALL163" s="37"/>
      <c r="ALM163" s="37"/>
      <c r="ALN163" s="37"/>
      <c r="ALO163" s="37"/>
      <c r="ALP163" s="37"/>
      <c r="ALQ163" s="37"/>
      <c r="ALR163" s="37"/>
    </row>
    <row r="164" spans="2:1006" x14ac:dyDescent="0.35">
      <c r="D164" s="20" t="s">
        <v>441</v>
      </c>
      <c r="G164" s="46">
        <f>Assumptions!F156</f>
        <v>42522</v>
      </c>
      <c r="K164" s="20" t="b">
        <f t="shared" ref="K164:AP164" si="179">K6&gt;=$G$164</f>
        <v>0</v>
      </c>
      <c r="L164" s="20" t="b">
        <f t="shared" si="179"/>
        <v>0</v>
      </c>
      <c r="M164" s="20" t="b">
        <f t="shared" si="179"/>
        <v>0</v>
      </c>
      <c r="N164" s="20" t="b">
        <f t="shared" si="179"/>
        <v>0</v>
      </c>
      <c r="O164" s="20" t="b">
        <f t="shared" si="179"/>
        <v>0</v>
      </c>
      <c r="P164" s="20" t="b">
        <f t="shared" si="179"/>
        <v>0</v>
      </c>
      <c r="Q164" s="20" t="b">
        <f t="shared" si="179"/>
        <v>0</v>
      </c>
      <c r="R164" s="20" t="b">
        <f t="shared" si="179"/>
        <v>0</v>
      </c>
      <c r="S164" s="20" t="b">
        <f t="shared" si="179"/>
        <v>0</v>
      </c>
      <c r="T164" s="20" t="b">
        <f t="shared" si="179"/>
        <v>1</v>
      </c>
      <c r="U164" s="20" t="b">
        <f t="shared" si="179"/>
        <v>1</v>
      </c>
      <c r="V164" s="20" t="b">
        <f t="shared" si="179"/>
        <v>1</v>
      </c>
      <c r="W164" s="20" t="b">
        <f t="shared" si="179"/>
        <v>1</v>
      </c>
      <c r="X164" s="20" t="b">
        <f t="shared" si="179"/>
        <v>1</v>
      </c>
      <c r="Y164" s="20" t="b">
        <f t="shared" si="179"/>
        <v>1</v>
      </c>
      <c r="Z164" s="20" t="b">
        <f t="shared" si="179"/>
        <v>1</v>
      </c>
      <c r="AA164" s="20" t="b">
        <f t="shared" si="179"/>
        <v>1</v>
      </c>
      <c r="AB164" s="20" t="b">
        <f t="shared" si="179"/>
        <v>1</v>
      </c>
      <c r="AC164" s="20" t="b">
        <f t="shared" si="179"/>
        <v>1</v>
      </c>
      <c r="AD164" s="20" t="b">
        <f t="shared" si="179"/>
        <v>1</v>
      </c>
      <c r="AE164" s="20" t="b">
        <f t="shared" si="179"/>
        <v>1</v>
      </c>
      <c r="AF164" s="20" t="b">
        <f t="shared" si="179"/>
        <v>1</v>
      </c>
      <c r="AG164" s="20" t="b">
        <f t="shared" si="179"/>
        <v>1</v>
      </c>
      <c r="AH164" s="20" t="b">
        <f t="shared" si="179"/>
        <v>1</v>
      </c>
      <c r="AI164" s="20" t="b">
        <f t="shared" si="179"/>
        <v>1</v>
      </c>
      <c r="AJ164" s="20" t="b">
        <f t="shared" si="179"/>
        <v>1</v>
      </c>
      <c r="AK164" s="20" t="b">
        <f t="shared" si="179"/>
        <v>1</v>
      </c>
      <c r="AL164" s="20" t="b">
        <f t="shared" si="179"/>
        <v>1</v>
      </c>
      <c r="AM164" s="20" t="b">
        <f t="shared" si="179"/>
        <v>1</v>
      </c>
      <c r="AN164" s="20" t="b">
        <f t="shared" si="179"/>
        <v>1</v>
      </c>
      <c r="AO164" s="20" t="b">
        <f t="shared" si="179"/>
        <v>1</v>
      </c>
      <c r="AP164" s="20" t="b">
        <f t="shared" si="179"/>
        <v>1</v>
      </c>
      <c r="AQ164" s="20" t="b">
        <f t="shared" ref="AQ164:BV164" si="180">AQ6&gt;=$G$164</f>
        <v>1</v>
      </c>
      <c r="AR164" s="20" t="b">
        <f t="shared" si="180"/>
        <v>1</v>
      </c>
      <c r="AS164" s="20" t="b">
        <f t="shared" si="180"/>
        <v>1</v>
      </c>
      <c r="AT164" s="20" t="b">
        <f t="shared" si="180"/>
        <v>1</v>
      </c>
      <c r="AU164" s="20" t="b">
        <f t="shared" si="180"/>
        <v>1</v>
      </c>
      <c r="AV164" s="20" t="b">
        <f t="shared" si="180"/>
        <v>1</v>
      </c>
      <c r="AW164" s="20" t="b">
        <f t="shared" si="180"/>
        <v>1</v>
      </c>
      <c r="AX164" s="20" t="b">
        <f t="shared" si="180"/>
        <v>1</v>
      </c>
      <c r="AY164" s="20" t="b">
        <f t="shared" si="180"/>
        <v>1</v>
      </c>
      <c r="AZ164" s="20" t="b">
        <f t="shared" si="180"/>
        <v>1</v>
      </c>
      <c r="BA164" s="20" t="b">
        <f t="shared" si="180"/>
        <v>1</v>
      </c>
      <c r="BB164" s="20" t="b">
        <f t="shared" si="180"/>
        <v>1</v>
      </c>
      <c r="BC164" s="20" t="b">
        <f t="shared" si="180"/>
        <v>1</v>
      </c>
      <c r="BD164" s="20" t="b">
        <f t="shared" si="180"/>
        <v>1</v>
      </c>
      <c r="BE164" s="20" t="b">
        <f t="shared" si="180"/>
        <v>1</v>
      </c>
      <c r="BF164" s="20" t="b">
        <f t="shared" si="180"/>
        <v>1</v>
      </c>
      <c r="BG164" s="20" t="b">
        <f t="shared" si="180"/>
        <v>1</v>
      </c>
      <c r="BH164" s="20" t="b">
        <f t="shared" si="180"/>
        <v>1</v>
      </c>
      <c r="BI164" s="20" t="b">
        <f t="shared" si="180"/>
        <v>1</v>
      </c>
      <c r="BJ164" s="20" t="b">
        <f t="shared" si="180"/>
        <v>1</v>
      </c>
      <c r="BK164" s="20" t="b">
        <f t="shared" si="180"/>
        <v>1</v>
      </c>
      <c r="BL164" s="20" t="b">
        <f t="shared" si="180"/>
        <v>1</v>
      </c>
      <c r="BM164" s="20" t="b">
        <f t="shared" si="180"/>
        <v>1</v>
      </c>
      <c r="BN164" s="20" t="b">
        <f t="shared" si="180"/>
        <v>1</v>
      </c>
      <c r="BO164" s="20" t="b">
        <f t="shared" si="180"/>
        <v>1</v>
      </c>
      <c r="BP164" s="20" t="b">
        <f t="shared" si="180"/>
        <v>1</v>
      </c>
      <c r="BQ164" s="20" t="b">
        <f t="shared" si="180"/>
        <v>1</v>
      </c>
      <c r="BR164" s="20" t="b">
        <f t="shared" si="180"/>
        <v>1</v>
      </c>
      <c r="BS164" s="20" t="b">
        <f t="shared" si="180"/>
        <v>1</v>
      </c>
      <c r="BT164" s="20" t="b">
        <f t="shared" si="180"/>
        <v>1</v>
      </c>
      <c r="BU164" s="20" t="b">
        <f t="shared" si="180"/>
        <v>1</v>
      </c>
      <c r="BV164" s="20" t="b">
        <f t="shared" si="180"/>
        <v>1</v>
      </c>
      <c r="BW164" s="20" t="b">
        <f t="shared" ref="BW164:DB164" si="181">BW6&gt;=$G$164</f>
        <v>1</v>
      </c>
      <c r="BX164" s="20" t="b">
        <f t="shared" si="181"/>
        <v>1</v>
      </c>
      <c r="BY164" s="20" t="b">
        <f t="shared" si="181"/>
        <v>1</v>
      </c>
      <c r="BZ164" s="20" t="b">
        <f t="shared" si="181"/>
        <v>1</v>
      </c>
      <c r="CA164" s="20" t="b">
        <f t="shared" si="181"/>
        <v>1</v>
      </c>
      <c r="CB164" s="20" t="b">
        <f t="shared" si="181"/>
        <v>1</v>
      </c>
      <c r="CC164" s="20" t="b">
        <f t="shared" si="181"/>
        <v>1</v>
      </c>
      <c r="CD164" s="20" t="b">
        <f t="shared" si="181"/>
        <v>1</v>
      </c>
      <c r="CE164" s="20" t="b">
        <f t="shared" si="181"/>
        <v>1</v>
      </c>
      <c r="CF164" s="20" t="b">
        <f t="shared" si="181"/>
        <v>1</v>
      </c>
      <c r="CG164" s="20" t="b">
        <f t="shared" si="181"/>
        <v>1</v>
      </c>
      <c r="CH164" s="20" t="b">
        <f t="shared" si="181"/>
        <v>1</v>
      </c>
      <c r="CI164" s="20" t="b">
        <f t="shared" si="181"/>
        <v>1</v>
      </c>
      <c r="CJ164" s="20" t="b">
        <f t="shared" si="181"/>
        <v>1</v>
      </c>
      <c r="CK164" s="20" t="b">
        <f t="shared" si="181"/>
        <v>1</v>
      </c>
      <c r="CL164" s="20" t="b">
        <f t="shared" si="181"/>
        <v>1</v>
      </c>
      <c r="CM164" s="20" t="b">
        <f t="shared" si="181"/>
        <v>1</v>
      </c>
      <c r="CN164" s="20" t="b">
        <f t="shared" si="181"/>
        <v>1</v>
      </c>
      <c r="CO164" s="20" t="b">
        <f t="shared" si="181"/>
        <v>1</v>
      </c>
      <c r="CP164" s="20" t="b">
        <f t="shared" si="181"/>
        <v>1</v>
      </c>
      <c r="CQ164" s="20" t="b">
        <f t="shared" si="181"/>
        <v>1</v>
      </c>
      <c r="CR164" s="20" t="b">
        <f t="shared" si="181"/>
        <v>1</v>
      </c>
      <c r="CS164" s="20" t="b">
        <f t="shared" si="181"/>
        <v>1</v>
      </c>
      <c r="CT164" s="20" t="b">
        <f t="shared" si="181"/>
        <v>1</v>
      </c>
      <c r="CU164" s="20" t="b">
        <f t="shared" si="181"/>
        <v>1</v>
      </c>
      <c r="CV164" s="20" t="b">
        <f t="shared" si="181"/>
        <v>1</v>
      </c>
      <c r="CW164" s="20" t="b">
        <f t="shared" si="181"/>
        <v>1</v>
      </c>
      <c r="CX164" s="20" t="b">
        <f t="shared" si="181"/>
        <v>1</v>
      </c>
      <c r="CY164" s="20" t="b">
        <f t="shared" si="181"/>
        <v>1</v>
      </c>
      <c r="CZ164" s="20" t="b">
        <f t="shared" si="181"/>
        <v>1</v>
      </c>
      <c r="DA164" s="20" t="b">
        <f t="shared" si="181"/>
        <v>1</v>
      </c>
      <c r="DB164" s="20" t="b">
        <f t="shared" si="181"/>
        <v>1</v>
      </c>
      <c r="DC164" s="20" t="b">
        <f t="shared" ref="DC164:DQ164" si="182">DC6&gt;=$G$164</f>
        <v>1</v>
      </c>
      <c r="DD164" s="20" t="b">
        <f t="shared" si="182"/>
        <v>1</v>
      </c>
      <c r="DE164" s="20" t="b">
        <f t="shared" si="182"/>
        <v>1</v>
      </c>
      <c r="DF164" s="20" t="b">
        <f t="shared" si="182"/>
        <v>1</v>
      </c>
      <c r="DG164" s="20" t="b">
        <f t="shared" si="182"/>
        <v>1</v>
      </c>
      <c r="DH164" s="20" t="b">
        <f t="shared" si="182"/>
        <v>1</v>
      </c>
      <c r="DI164" s="20" t="b">
        <f t="shared" si="182"/>
        <v>1</v>
      </c>
      <c r="DJ164" s="20" t="b">
        <f t="shared" si="182"/>
        <v>1</v>
      </c>
      <c r="DK164" s="20" t="b">
        <f t="shared" si="182"/>
        <v>1</v>
      </c>
      <c r="DL164" s="20" t="b">
        <f t="shared" si="182"/>
        <v>1</v>
      </c>
      <c r="DM164" s="20" t="b">
        <f t="shared" si="182"/>
        <v>1</v>
      </c>
      <c r="DN164" s="20" t="b">
        <f t="shared" si="182"/>
        <v>1</v>
      </c>
      <c r="DO164" s="20" t="b">
        <f t="shared" si="182"/>
        <v>1</v>
      </c>
      <c r="DP164" s="20" t="b">
        <f t="shared" si="182"/>
        <v>1</v>
      </c>
      <c r="DQ164" s="20" t="b">
        <f t="shared" si="182"/>
        <v>1</v>
      </c>
    </row>
    <row r="166" spans="2:1006" x14ac:dyDescent="0.35">
      <c r="D166" s="20" t="s">
        <v>30</v>
      </c>
      <c r="K166" s="23">
        <f>K150</f>
        <v>0</v>
      </c>
      <c r="L166" s="23">
        <f t="shared" ref="L166:BW166" si="183">L150</f>
        <v>0</v>
      </c>
      <c r="M166" s="23">
        <f t="shared" si="183"/>
        <v>0</v>
      </c>
      <c r="N166" s="23">
        <f t="shared" si="183"/>
        <v>0</v>
      </c>
      <c r="O166" s="23">
        <f t="shared" si="183"/>
        <v>0</v>
      </c>
      <c r="P166" s="23">
        <f t="shared" si="183"/>
        <v>0</v>
      </c>
      <c r="Q166" s="23">
        <f t="shared" si="183"/>
        <v>0</v>
      </c>
      <c r="R166" s="23">
        <f t="shared" si="183"/>
        <v>0</v>
      </c>
      <c r="S166" s="23">
        <f t="shared" si="183"/>
        <v>0</v>
      </c>
      <c r="T166" s="23">
        <f t="shared" si="183"/>
        <v>99503.150667626498</v>
      </c>
      <c r="U166" s="23">
        <f t="shared" si="183"/>
        <v>52009.913222859825</v>
      </c>
      <c r="V166" s="23">
        <f t="shared" si="183"/>
        <v>30398.601847890644</v>
      </c>
      <c r="W166" s="23">
        <f t="shared" si="183"/>
        <v>80578.142957014934</v>
      </c>
      <c r="X166" s="23">
        <f t="shared" si="183"/>
        <v>98702.262217784533</v>
      </c>
      <c r="Y166" s="23">
        <f t="shared" si="183"/>
        <v>51444.664672913801</v>
      </c>
      <c r="Z166" s="23">
        <f t="shared" si="183"/>
        <v>29940.225200464032</v>
      </c>
      <c r="AA166" s="23">
        <f t="shared" si="183"/>
        <v>79869.467587825871</v>
      </c>
      <c r="AB166" s="23">
        <f t="shared" si="183"/>
        <v>97902.765625600179</v>
      </c>
      <c r="AC166" s="23">
        <f t="shared" si="183"/>
        <v>50879.626810988084</v>
      </c>
      <c r="AD166" s="23">
        <f t="shared" si="183"/>
        <v>31590.597410920618</v>
      </c>
      <c r="AE166" s="23">
        <f t="shared" si="183"/>
        <v>82966.475098870433</v>
      </c>
      <c r="AF166" s="23">
        <f t="shared" si="183"/>
        <v>101522.65247679333</v>
      </c>
      <c r="AG166" s="23">
        <f t="shared" si="183"/>
        <v>53138.25599594957</v>
      </c>
      <c r="AH166" s="23">
        <f t="shared" si="183"/>
        <v>32576.053437946994</v>
      </c>
      <c r="AI166" s="23">
        <f t="shared" si="183"/>
        <v>84865.497092081874</v>
      </c>
      <c r="AJ166" s="23">
        <f t="shared" si="183"/>
        <v>103751.76230240409</v>
      </c>
      <c r="AK166" s="23">
        <f t="shared" si="183"/>
        <v>54507.36429777903</v>
      </c>
      <c r="AL166" s="23">
        <f t="shared" si="183"/>
        <v>32377.324121268019</v>
      </c>
      <c r="AM166" s="23">
        <f t="shared" si="183"/>
        <v>84629.793883835257</v>
      </c>
      <c r="AN166" s="23">
        <f t="shared" si="183"/>
        <v>103502.37502666502</v>
      </c>
      <c r="AO166" s="23">
        <f t="shared" si="183"/>
        <v>54291.797810474614</v>
      </c>
      <c r="AP166" s="23">
        <f t="shared" si="183"/>
        <v>36635.729271682314</v>
      </c>
      <c r="AQ166" s="23">
        <f t="shared" si="183"/>
        <v>92436.323784715321</v>
      </c>
      <c r="AR166" s="23">
        <f t="shared" si="183"/>
        <v>112591.78553278054</v>
      </c>
      <c r="AS166" s="23">
        <f t="shared" si="183"/>
        <v>60043.785790244423</v>
      </c>
      <c r="AT166" s="23">
        <f t="shared" si="183"/>
        <v>44402.584164931002</v>
      </c>
      <c r="AU166" s="23">
        <f t="shared" si="183"/>
        <v>106573.68240525824</v>
      </c>
      <c r="AV166" s="23">
        <f t="shared" si="183"/>
        <v>129032.74793641971</v>
      </c>
      <c r="AW166" s="23">
        <f t="shared" si="183"/>
        <v>70493.301855220416</v>
      </c>
      <c r="AX166" s="23">
        <f t="shared" si="183"/>
        <v>46326.886907018044</v>
      </c>
      <c r="AY166" s="23">
        <f t="shared" si="183"/>
        <v>110172.69208713573</v>
      </c>
      <c r="AZ166" s="23">
        <f t="shared" si="183"/>
        <v>133237.09816880926</v>
      </c>
      <c r="BA166" s="23">
        <f t="shared" si="183"/>
        <v>73121.861469402036</v>
      </c>
      <c r="BB166" s="23">
        <f t="shared" si="183"/>
        <v>46179.602603051833</v>
      </c>
      <c r="BC166" s="23">
        <f t="shared" si="183"/>
        <v>110036.19369102863</v>
      </c>
      <c r="BD166" s="23">
        <f t="shared" si="183"/>
        <v>133104.17024735676</v>
      </c>
      <c r="BE166" s="23">
        <f t="shared" si="183"/>
        <v>72977.78894075779</v>
      </c>
      <c r="BF166" s="23">
        <f t="shared" si="183"/>
        <v>49232.574689792556</v>
      </c>
      <c r="BG166" s="23">
        <f t="shared" si="183"/>
        <v>115674.61174694466</v>
      </c>
      <c r="BH166" s="23">
        <f t="shared" si="183"/>
        <v>139677.29295513188</v>
      </c>
      <c r="BI166" s="23">
        <f t="shared" si="183"/>
        <v>77118.683889877779</v>
      </c>
      <c r="BJ166" s="23">
        <f t="shared" si="183"/>
        <v>52979.046987055401</v>
      </c>
      <c r="BK166" s="23">
        <f t="shared" si="183"/>
        <v>122565.7835075046</v>
      </c>
      <c r="BL166" s="23">
        <f t="shared" si="183"/>
        <v>147705.42148298217</v>
      </c>
      <c r="BM166" s="23">
        <f t="shared" si="183"/>
        <v>82188.678986765997</v>
      </c>
      <c r="BN166" s="23">
        <f t="shared" si="183"/>
        <v>58080.525769570362</v>
      </c>
      <c r="BO166" s="23">
        <f t="shared" si="183"/>
        <v>131903.08955718775</v>
      </c>
      <c r="BP166" s="23">
        <f t="shared" si="183"/>
        <v>158574.29138370621</v>
      </c>
      <c r="BQ166" s="23">
        <f t="shared" si="183"/>
        <v>89073.364172271278</v>
      </c>
      <c r="BR166" s="23">
        <f t="shared" si="183"/>
        <v>62804.238692327359</v>
      </c>
      <c r="BS166" s="23">
        <f t="shared" si="183"/>
        <v>140560.63407530065</v>
      </c>
      <c r="BT166" s="23">
        <f t="shared" si="183"/>
        <v>168654.17660468101</v>
      </c>
      <c r="BU166" s="23">
        <f t="shared" si="183"/>
        <v>95453.030011476396</v>
      </c>
      <c r="BV166" s="23">
        <f t="shared" si="183"/>
        <v>65744.50971300884</v>
      </c>
      <c r="BW166" s="23">
        <f t="shared" si="183"/>
        <v>146002.60306990769</v>
      </c>
      <c r="BX166" s="23">
        <f t="shared" ref="BX166:DQ166" si="184">BX150</f>
        <v>175000.54296850946</v>
      </c>
      <c r="BY166" s="23">
        <f t="shared" si="184"/>
        <v>99445.861790989045</v>
      </c>
      <c r="BZ166" s="23">
        <f t="shared" si="184"/>
        <v>67006.981066041219</v>
      </c>
      <c r="CA166" s="23">
        <f t="shared" si="184"/>
        <v>148419.59989684005</v>
      </c>
      <c r="CB166" s="23">
        <f t="shared" si="184"/>
        <v>177834.72037799895</v>
      </c>
      <c r="CC166" s="23">
        <f t="shared" si="184"/>
        <v>101193.29641833418</v>
      </c>
      <c r="CD166" s="23">
        <f t="shared" si="184"/>
        <v>71940.215861161763</v>
      </c>
      <c r="CE166" s="23">
        <f t="shared" si="184"/>
        <v>157460.45343033172</v>
      </c>
      <c r="CF166" s="23">
        <f t="shared" si="184"/>
        <v>188360.7505279521</v>
      </c>
      <c r="CG166" s="23">
        <f t="shared" si="184"/>
        <v>107855.64152849109</v>
      </c>
      <c r="CH166" s="23">
        <f t="shared" si="184"/>
        <v>74850.981695199676</v>
      </c>
      <c r="CI166" s="23">
        <f t="shared" si="184"/>
        <v>162854.60245810822</v>
      </c>
      <c r="CJ166" s="23">
        <f t="shared" si="184"/>
        <v>194652.65798302944</v>
      </c>
      <c r="CK166" s="23">
        <f t="shared" si="184"/>
        <v>111811.19016971644</v>
      </c>
      <c r="CL166" s="23">
        <f t="shared" si="184"/>
        <v>82083.753453313155</v>
      </c>
      <c r="CM166" s="23">
        <f t="shared" si="184"/>
        <v>176047.50066476566</v>
      </c>
      <c r="CN166" s="23">
        <f t="shared" si="184"/>
        <v>210000.69117086928</v>
      </c>
      <c r="CO166" s="23">
        <f t="shared" si="184"/>
        <v>121553.51012510111</v>
      </c>
      <c r="CP166" s="23">
        <f t="shared" si="184"/>
        <v>87913.523256121101</v>
      </c>
      <c r="CQ166" s="23">
        <f t="shared" si="184"/>
        <v>186711.26466246118</v>
      </c>
      <c r="CR166" s="23">
        <f t="shared" si="184"/>
        <v>222412.31338509158</v>
      </c>
      <c r="CS166" s="23">
        <f t="shared" si="184"/>
        <v>129418.35587855263</v>
      </c>
      <c r="CT166" s="23">
        <f t="shared" si="184"/>
        <v>94375.729033308133</v>
      </c>
      <c r="CU166" s="23">
        <f t="shared" si="184"/>
        <v>198517.84961283629</v>
      </c>
      <c r="CV166" s="23">
        <f t="shared" si="184"/>
        <v>236151.33445472486</v>
      </c>
      <c r="CW166" s="23">
        <f t="shared" si="184"/>
        <v>138130.64606270476</v>
      </c>
      <c r="CX166" s="23">
        <f t="shared" si="184"/>
        <v>100406.4358762536</v>
      </c>
      <c r="CY166" s="23">
        <f t="shared" si="184"/>
        <v>209547.94489821649</v>
      </c>
      <c r="CZ166" s="23">
        <f t="shared" si="184"/>
        <v>248989.0927247644</v>
      </c>
      <c r="DA166" s="23">
        <f t="shared" si="184"/>
        <v>146266.06713651924</v>
      </c>
      <c r="DB166" s="23">
        <f t="shared" si="184"/>
        <v>101535.25409609792</v>
      </c>
      <c r="DC166" s="23">
        <f t="shared" si="184"/>
        <v>211736.9985447326</v>
      </c>
      <c r="DD166" s="23">
        <f t="shared" si="184"/>
        <v>251561.18914568383</v>
      </c>
      <c r="DE166" s="23">
        <f t="shared" si="184"/>
        <v>147839.97269429854</v>
      </c>
      <c r="DF166" s="23">
        <f t="shared" si="184"/>
        <v>101754.30011588552</v>
      </c>
      <c r="DG166" s="23">
        <f t="shared" si="184"/>
        <v>212286.81338207761</v>
      </c>
      <c r="DH166" s="23">
        <f t="shared" si="184"/>
        <v>252230.22581112373</v>
      </c>
      <c r="DI166" s="23">
        <f t="shared" si="184"/>
        <v>148196.75169941192</v>
      </c>
      <c r="DJ166" s="23">
        <f t="shared" si="184"/>
        <v>102089.95323641525</v>
      </c>
      <c r="DK166" s="23">
        <f t="shared" si="184"/>
        <v>213049.005205605</v>
      </c>
      <c r="DL166" s="23">
        <f t="shared" si="184"/>
        <v>253146.26939122085</v>
      </c>
      <c r="DM166" s="23">
        <f t="shared" si="184"/>
        <v>148710.46347627806</v>
      </c>
      <c r="DN166" s="23">
        <f t="shared" si="184"/>
        <v>103371.90916826807</v>
      </c>
      <c r="DO166" s="23">
        <f t="shared" si="184"/>
        <v>215520.37318555138</v>
      </c>
      <c r="DP166" s="23">
        <f t="shared" si="184"/>
        <v>0</v>
      </c>
      <c r="DQ166" s="23">
        <f t="shared" si="184"/>
        <v>0</v>
      </c>
    </row>
    <row r="167" spans="2:1006" x14ac:dyDescent="0.35">
      <c r="D167" s="20" t="s">
        <v>391</v>
      </c>
      <c r="K167" s="23">
        <f>K160</f>
        <v>0</v>
      </c>
      <c r="L167" s="23">
        <f t="shared" ref="L167:BW167" si="185">L160</f>
        <v>0</v>
      </c>
      <c r="M167" s="23">
        <f t="shared" si="185"/>
        <v>0</v>
      </c>
      <c r="N167" s="23">
        <f t="shared" si="185"/>
        <v>0</v>
      </c>
      <c r="O167" s="23">
        <f t="shared" si="185"/>
        <v>0</v>
      </c>
      <c r="P167" s="23">
        <f t="shared" si="185"/>
        <v>0</v>
      </c>
      <c r="Q167" s="23">
        <f t="shared" si="185"/>
        <v>0</v>
      </c>
      <c r="R167" s="23">
        <f t="shared" si="185"/>
        <v>0</v>
      </c>
      <c r="S167" s="23">
        <f t="shared" si="185"/>
        <v>0</v>
      </c>
      <c r="T167" s="23">
        <f t="shared" si="185"/>
        <v>0</v>
      </c>
      <c r="U167" s="23">
        <f t="shared" si="185"/>
        <v>0</v>
      </c>
      <c r="V167" s="23">
        <f t="shared" si="185"/>
        <v>0</v>
      </c>
      <c r="W167" s="23">
        <f t="shared" si="185"/>
        <v>0</v>
      </c>
      <c r="X167" s="23">
        <f t="shared" si="185"/>
        <v>0</v>
      </c>
      <c r="Y167" s="23">
        <f t="shared" si="185"/>
        <v>0</v>
      </c>
      <c r="Z167" s="23">
        <f t="shared" si="185"/>
        <v>0</v>
      </c>
      <c r="AA167" s="23">
        <f t="shared" si="185"/>
        <v>0</v>
      </c>
      <c r="AB167" s="23">
        <f t="shared" si="185"/>
        <v>0</v>
      </c>
      <c r="AC167" s="23">
        <f t="shared" si="185"/>
        <v>0</v>
      </c>
      <c r="AD167" s="23">
        <f t="shared" si="185"/>
        <v>0</v>
      </c>
      <c r="AE167" s="23">
        <f t="shared" si="185"/>
        <v>0</v>
      </c>
      <c r="AF167" s="23">
        <f t="shared" si="185"/>
        <v>0</v>
      </c>
      <c r="AG167" s="23">
        <f t="shared" si="185"/>
        <v>0</v>
      </c>
      <c r="AH167" s="23">
        <f t="shared" si="185"/>
        <v>0</v>
      </c>
      <c r="AI167" s="23">
        <f t="shared" si="185"/>
        <v>0</v>
      </c>
      <c r="AJ167" s="23">
        <f t="shared" si="185"/>
        <v>0</v>
      </c>
      <c r="AK167" s="23">
        <f t="shared" si="185"/>
        <v>0</v>
      </c>
      <c r="AL167" s="23">
        <f t="shared" si="185"/>
        <v>0</v>
      </c>
      <c r="AM167" s="23">
        <f t="shared" si="185"/>
        <v>0</v>
      </c>
      <c r="AN167" s="23">
        <f t="shared" si="185"/>
        <v>0</v>
      </c>
      <c r="AO167" s="23">
        <f t="shared" si="185"/>
        <v>0</v>
      </c>
      <c r="AP167" s="23">
        <f t="shared" si="185"/>
        <v>0</v>
      </c>
      <c r="AQ167" s="23">
        <f t="shared" si="185"/>
        <v>0</v>
      </c>
      <c r="AR167" s="23">
        <f t="shared" si="185"/>
        <v>0</v>
      </c>
      <c r="AS167" s="23">
        <f t="shared" si="185"/>
        <v>0</v>
      </c>
      <c r="AT167" s="23">
        <f t="shared" si="185"/>
        <v>0</v>
      </c>
      <c r="AU167" s="23">
        <f t="shared" si="185"/>
        <v>0</v>
      </c>
      <c r="AV167" s="23">
        <f t="shared" si="185"/>
        <v>0</v>
      </c>
      <c r="AW167" s="23">
        <f t="shared" si="185"/>
        <v>0</v>
      </c>
      <c r="AX167" s="23">
        <f t="shared" si="185"/>
        <v>0</v>
      </c>
      <c r="AY167" s="23">
        <f t="shared" si="185"/>
        <v>0</v>
      </c>
      <c r="AZ167" s="23">
        <f t="shared" si="185"/>
        <v>0</v>
      </c>
      <c r="BA167" s="23">
        <f t="shared" si="185"/>
        <v>0</v>
      </c>
      <c r="BB167" s="23">
        <f t="shared" si="185"/>
        <v>0</v>
      </c>
      <c r="BC167" s="23">
        <f t="shared" si="185"/>
        <v>0</v>
      </c>
      <c r="BD167" s="23">
        <f t="shared" si="185"/>
        <v>0</v>
      </c>
      <c r="BE167" s="23">
        <f t="shared" si="185"/>
        <v>0</v>
      </c>
      <c r="BF167" s="23">
        <f t="shared" si="185"/>
        <v>0</v>
      </c>
      <c r="BG167" s="23">
        <f t="shared" si="185"/>
        <v>0</v>
      </c>
      <c r="BH167" s="23">
        <f t="shared" si="185"/>
        <v>0</v>
      </c>
      <c r="BI167" s="23">
        <f t="shared" si="185"/>
        <v>0</v>
      </c>
      <c r="BJ167" s="23">
        <f t="shared" si="185"/>
        <v>0</v>
      </c>
      <c r="BK167" s="23">
        <f t="shared" si="185"/>
        <v>0</v>
      </c>
      <c r="BL167" s="23">
        <f t="shared" si="185"/>
        <v>0</v>
      </c>
      <c r="BM167" s="23">
        <f t="shared" si="185"/>
        <v>0</v>
      </c>
      <c r="BN167" s="23">
        <f t="shared" si="185"/>
        <v>0</v>
      </c>
      <c r="BO167" s="23">
        <f t="shared" si="185"/>
        <v>0</v>
      </c>
      <c r="BP167" s="23">
        <f t="shared" si="185"/>
        <v>0</v>
      </c>
      <c r="BQ167" s="23">
        <f t="shared" si="185"/>
        <v>0</v>
      </c>
      <c r="BR167" s="23">
        <f t="shared" si="185"/>
        <v>0</v>
      </c>
      <c r="BS167" s="23">
        <f t="shared" si="185"/>
        <v>0</v>
      </c>
      <c r="BT167" s="23">
        <f t="shared" si="185"/>
        <v>0</v>
      </c>
      <c r="BU167" s="23">
        <f t="shared" si="185"/>
        <v>0</v>
      </c>
      <c r="BV167" s="23">
        <f t="shared" si="185"/>
        <v>7291.487654206996</v>
      </c>
      <c r="BW167" s="23">
        <f t="shared" si="185"/>
        <v>43800.780920972305</v>
      </c>
      <c r="BX167" s="23">
        <f t="shared" ref="BX167:DQ167" si="186">BX160</f>
        <v>52500.162890552834</v>
      </c>
      <c r="BY167" s="23">
        <f t="shared" si="186"/>
        <v>29833.758537296711</v>
      </c>
      <c r="BZ167" s="23">
        <f t="shared" si="186"/>
        <v>20102.094319812364</v>
      </c>
      <c r="CA167" s="23">
        <f t="shared" si="186"/>
        <v>44525.879969052017</v>
      </c>
      <c r="CB167" s="23">
        <f t="shared" si="186"/>
        <v>53350.416113399682</v>
      </c>
      <c r="CC167" s="23">
        <f t="shared" si="186"/>
        <v>30357.988925500253</v>
      </c>
      <c r="CD167" s="23">
        <f t="shared" si="186"/>
        <v>21582.06475834853</v>
      </c>
      <c r="CE167" s="23">
        <f t="shared" si="186"/>
        <v>47238.136029099514</v>
      </c>
      <c r="CF167" s="23">
        <f t="shared" si="186"/>
        <v>56508.225158385627</v>
      </c>
      <c r="CG167" s="23">
        <f t="shared" si="186"/>
        <v>32356.692458547324</v>
      </c>
      <c r="CH167" s="23">
        <f t="shared" si="186"/>
        <v>22455.294508559902</v>
      </c>
      <c r="CI167" s="23">
        <f t="shared" si="186"/>
        <v>48856.380737432461</v>
      </c>
      <c r="CJ167" s="23">
        <f t="shared" si="186"/>
        <v>58395.797394908826</v>
      </c>
      <c r="CK167" s="23">
        <f t="shared" si="186"/>
        <v>33543.357050914929</v>
      </c>
      <c r="CL167" s="23">
        <f t="shared" si="186"/>
        <v>24625.126035993944</v>
      </c>
      <c r="CM167" s="23">
        <f t="shared" si="186"/>
        <v>52814.250199429698</v>
      </c>
      <c r="CN167" s="23">
        <f t="shared" si="186"/>
        <v>63000.207351260782</v>
      </c>
      <c r="CO167" s="23">
        <f t="shared" si="186"/>
        <v>36466.053037530328</v>
      </c>
      <c r="CP167" s="23">
        <f t="shared" si="186"/>
        <v>26374.056976836331</v>
      </c>
      <c r="CQ167" s="23">
        <f t="shared" si="186"/>
        <v>56013.379398738354</v>
      </c>
      <c r="CR167" s="23">
        <f t="shared" si="186"/>
        <v>66723.694015527464</v>
      </c>
      <c r="CS167" s="23">
        <f t="shared" si="186"/>
        <v>38825.506763565783</v>
      </c>
      <c r="CT167" s="23">
        <f t="shared" si="186"/>
        <v>28312.718709992438</v>
      </c>
      <c r="CU167" s="23">
        <f t="shared" si="186"/>
        <v>59555.354883850887</v>
      </c>
      <c r="CV167" s="23">
        <f t="shared" si="186"/>
        <v>70845.400336417457</v>
      </c>
      <c r="CW167" s="23">
        <f t="shared" si="186"/>
        <v>41439.193818811429</v>
      </c>
      <c r="CX167" s="23">
        <f t="shared" si="186"/>
        <v>30121.93076287608</v>
      </c>
      <c r="CY167" s="23">
        <f t="shared" si="186"/>
        <v>62864.383469464941</v>
      </c>
      <c r="CZ167" s="23">
        <f t="shared" si="186"/>
        <v>74696.727817429317</v>
      </c>
      <c r="DA167" s="23">
        <f t="shared" si="186"/>
        <v>43879.820140955773</v>
      </c>
      <c r="DB167" s="23">
        <f t="shared" si="186"/>
        <v>30460.576228829377</v>
      </c>
      <c r="DC167" s="23">
        <f t="shared" si="186"/>
        <v>63521.099563419775</v>
      </c>
      <c r="DD167" s="23">
        <f t="shared" si="186"/>
        <v>75468.356743705153</v>
      </c>
      <c r="DE167" s="23">
        <f t="shared" si="186"/>
        <v>44351.99180828956</v>
      </c>
      <c r="DF167" s="23">
        <f t="shared" si="186"/>
        <v>30526.290034765654</v>
      </c>
      <c r="DG167" s="23">
        <f t="shared" si="186"/>
        <v>63686.04401462328</v>
      </c>
      <c r="DH167" s="23">
        <f t="shared" si="186"/>
        <v>75669.067743337117</v>
      </c>
      <c r="DI167" s="23">
        <f t="shared" si="186"/>
        <v>44459.025509823572</v>
      </c>
      <c r="DJ167" s="23">
        <f t="shared" si="186"/>
        <v>30626.985970924576</v>
      </c>
      <c r="DK167" s="23">
        <f t="shared" si="186"/>
        <v>63914.701561681497</v>
      </c>
      <c r="DL167" s="23">
        <f t="shared" si="186"/>
        <v>75943.880817366255</v>
      </c>
      <c r="DM167" s="23">
        <f t="shared" si="186"/>
        <v>44613.13904288342</v>
      </c>
      <c r="DN167" s="23">
        <f t="shared" si="186"/>
        <v>31011.57275048042</v>
      </c>
      <c r="DO167" s="23">
        <f t="shared" si="186"/>
        <v>64656.111955665408</v>
      </c>
      <c r="DP167" s="23">
        <f t="shared" si="186"/>
        <v>0</v>
      </c>
      <c r="DQ167" s="23">
        <f t="shared" si="186"/>
        <v>0</v>
      </c>
    </row>
    <row r="168" spans="2:1006" x14ac:dyDescent="0.35">
      <c r="D168" s="20" t="s">
        <v>392</v>
      </c>
    </row>
    <row r="169" spans="2:1006" ht="15" thickBot="1" x14ac:dyDescent="0.4">
      <c r="E169" s="39" t="s">
        <v>31</v>
      </c>
      <c r="F169" s="39"/>
      <c r="G169" s="39"/>
      <c r="H169" s="39"/>
      <c r="I169" s="39"/>
      <c r="J169" s="39"/>
      <c r="K169" s="44">
        <f>K166-K167-K168</f>
        <v>0</v>
      </c>
      <c r="L169" s="44">
        <f t="shared" ref="L169:BW169" si="187">L166-L167-L168</f>
        <v>0</v>
      </c>
      <c r="M169" s="44">
        <f t="shared" si="187"/>
        <v>0</v>
      </c>
      <c r="N169" s="44">
        <f t="shared" si="187"/>
        <v>0</v>
      </c>
      <c r="O169" s="44">
        <f t="shared" si="187"/>
        <v>0</v>
      </c>
      <c r="P169" s="44">
        <f t="shared" si="187"/>
        <v>0</v>
      </c>
      <c r="Q169" s="44">
        <f t="shared" si="187"/>
        <v>0</v>
      </c>
      <c r="R169" s="44">
        <f t="shared" si="187"/>
        <v>0</v>
      </c>
      <c r="S169" s="44">
        <f t="shared" si="187"/>
        <v>0</v>
      </c>
      <c r="T169" s="44">
        <f t="shared" si="187"/>
        <v>99503.150667626498</v>
      </c>
      <c r="U169" s="44">
        <f t="shared" si="187"/>
        <v>52009.913222859825</v>
      </c>
      <c r="V169" s="44">
        <f t="shared" si="187"/>
        <v>30398.601847890644</v>
      </c>
      <c r="W169" s="44">
        <f t="shared" si="187"/>
        <v>80578.142957014934</v>
      </c>
      <c r="X169" s="44">
        <f t="shared" si="187"/>
        <v>98702.262217784533</v>
      </c>
      <c r="Y169" s="44">
        <f t="shared" si="187"/>
        <v>51444.664672913801</v>
      </c>
      <c r="Z169" s="44">
        <f t="shared" si="187"/>
        <v>29940.225200464032</v>
      </c>
      <c r="AA169" s="44">
        <f t="shared" si="187"/>
        <v>79869.467587825871</v>
      </c>
      <c r="AB169" s="44">
        <f t="shared" si="187"/>
        <v>97902.765625600179</v>
      </c>
      <c r="AC169" s="44">
        <f t="shared" si="187"/>
        <v>50879.626810988084</v>
      </c>
      <c r="AD169" s="44">
        <f t="shared" si="187"/>
        <v>31590.597410920618</v>
      </c>
      <c r="AE169" s="44">
        <f t="shared" si="187"/>
        <v>82966.475098870433</v>
      </c>
      <c r="AF169" s="44">
        <f t="shared" si="187"/>
        <v>101522.65247679333</v>
      </c>
      <c r="AG169" s="44">
        <f t="shared" si="187"/>
        <v>53138.25599594957</v>
      </c>
      <c r="AH169" s="44">
        <f t="shared" si="187"/>
        <v>32576.053437946994</v>
      </c>
      <c r="AI169" s="44">
        <f t="shared" si="187"/>
        <v>84865.497092081874</v>
      </c>
      <c r="AJ169" s="44">
        <f t="shared" si="187"/>
        <v>103751.76230240409</v>
      </c>
      <c r="AK169" s="44">
        <f t="shared" si="187"/>
        <v>54507.36429777903</v>
      </c>
      <c r="AL169" s="44">
        <f t="shared" si="187"/>
        <v>32377.324121268019</v>
      </c>
      <c r="AM169" s="44">
        <f t="shared" si="187"/>
        <v>84629.793883835257</v>
      </c>
      <c r="AN169" s="44">
        <f t="shared" si="187"/>
        <v>103502.37502666502</v>
      </c>
      <c r="AO169" s="44">
        <f t="shared" si="187"/>
        <v>54291.797810474614</v>
      </c>
      <c r="AP169" s="44">
        <f t="shared" si="187"/>
        <v>36635.729271682314</v>
      </c>
      <c r="AQ169" s="44">
        <f t="shared" si="187"/>
        <v>92436.323784715321</v>
      </c>
      <c r="AR169" s="44">
        <f t="shared" si="187"/>
        <v>112591.78553278054</v>
      </c>
      <c r="AS169" s="44">
        <f t="shared" si="187"/>
        <v>60043.785790244423</v>
      </c>
      <c r="AT169" s="44">
        <f t="shared" si="187"/>
        <v>44402.584164931002</v>
      </c>
      <c r="AU169" s="44">
        <f t="shared" si="187"/>
        <v>106573.68240525824</v>
      </c>
      <c r="AV169" s="44">
        <f t="shared" si="187"/>
        <v>129032.74793641971</v>
      </c>
      <c r="AW169" s="44">
        <f t="shared" si="187"/>
        <v>70493.301855220416</v>
      </c>
      <c r="AX169" s="44">
        <f t="shared" si="187"/>
        <v>46326.886907018044</v>
      </c>
      <c r="AY169" s="44">
        <f t="shared" si="187"/>
        <v>110172.69208713573</v>
      </c>
      <c r="AZ169" s="44">
        <f t="shared" si="187"/>
        <v>133237.09816880926</v>
      </c>
      <c r="BA169" s="44">
        <f t="shared" si="187"/>
        <v>73121.861469402036</v>
      </c>
      <c r="BB169" s="44">
        <f t="shared" si="187"/>
        <v>46179.602603051833</v>
      </c>
      <c r="BC169" s="44">
        <f t="shared" si="187"/>
        <v>110036.19369102863</v>
      </c>
      <c r="BD169" s="44">
        <f t="shared" si="187"/>
        <v>133104.17024735676</v>
      </c>
      <c r="BE169" s="44">
        <f t="shared" si="187"/>
        <v>72977.78894075779</v>
      </c>
      <c r="BF169" s="44">
        <f t="shared" si="187"/>
        <v>49232.574689792556</v>
      </c>
      <c r="BG169" s="44">
        <f t="shared" si="187"/>
        <v>115674.61174694466</v>
      </c>
      <c r="BH169" s="44">
        <f t="shared" si="187"/>
        <v>139677.29295513188</v>
      </c>
      <c r="BI169" s="44">
        <f t="shared" si="187"/>
        <v>77118.683889877779</v>
      </c>
      <c r="BJ169" s="44">
        <f t="shared" si="187"/>
        <v>52979.046987055401</v>
      </c>
      <c r="BK169" s="44">
        <f t="shared" si="187"/>
        <v>122565.7835075046</v>
      </c>
      <c r="BL169" s="44">
        <f t="shared" si="187"/>
        <v>147705.42148298217</v>
      </c>
      <c r="BM169" s="44">
        <f t="shared" si="187"/>
        <v>82188.678986765997</v>
      </c>
      <c r="BN169" s="44">
        <f t="shared" si="187"/>
        <v>58080.525769570362</v>
      </c>
      <c r="BO169" s="44">
        <f t="shared" si="187"/>
        <v>131903.08955718775</v>
      </c>
      <c r="BP169" s="44">
        <f t="shared" si="187"/>
        <v>158574.29138370621</v>
      </c>
      <c r="BQ169" s="44">
        <f t="shared" si="187"/>
        <v>89073.364172271278</v>
      </c>
      <c r="BR169" s="44">
        <f t="shared" si="187"/>
        <v>62804.238692327359</v>
      </c>
      <c r="BS169" s="44">
        <f t="shared" si="187"/>
        <v>140560.63407530065</v>
      </c>
      <c r="BT169" s="44">
        <f t="shared" si="187"/>
        <v>168654.17660468101</v>
      </c>
      <c r="BU169" s="44">
        <f t="shared" si="187"/>
        <v>95453.030011476396</v>
      </c>
      <c r="BV169" s="44">
        <f t="shared" si="187"/>
        <v>58453.022058801842</v>
      </c>
      <c r="BW169" s="44">
        <f t="shared" si="187"/>
        <v>102201.82214893539</v>
      </c>
      <c r="BX169" s="44">
        <f t="shared" ref="BX169:DQ169" si="188">BX166-BX167-BX168</f>
        <v>122500.38007795662</v>
      </c>
      <c r="BY169" s="44">
        <f t="shared" si="188"/>
        <v>69612.10325369233</v>
      </c>
      <c r="BZ169" s="44">
        <f t="shared" si="188"/>
        <v>46904.886746228854</v>
      </c>
      <c r="CA169" s="44">
        <f t="shared" si="188"/>
        <v>103893.71992778804</v>
      </c>
      <c r="CB169" s="44">
        <f t="shared" si="188"/>
        <v>124484.30426459927</v>
      </c>
      <c r="CC169" s="44">
        <f t="shared" si="188"/>
        <v>70835.307492833934</v>
      </c>
      <c r="CD169" s="44">
        <f t="shared" si="188"/>
        <v>50358.151102813237</v>
      </c>
      <c r="CE169" s="44">
        <f t="shared" si="188"/>
        <v>110222.3174012322</v>
      </c>
      <c r="CF169" s="44">
        <f t="shared" si="188"/>
        <v>131852.52536956646</v>
      </c>
      <c r="CG169" s="44">
        <f t="shared" si="188"/>
        <v>75498.949069943774</v>
      </c>
      <c r="CH169" s="44">
        <f t="shared" si="188"/>
        <v>52395.687186639771</v>
      </c>
      <c r="CI169" s="44">
        <f t="shared" si="188"/>
        <v>113998.22172067576</v>
      </c>
      <c r="CJ169" s="44">
        <f t="shared" si="188"/>
        <v>136256.86058812062</v>
      </c>
      <c r="CK169" s="44">
        <f t="shared" si="188"/>
        <v>78267.833118801515</v>
      </c>
      <c r="CL169" s="44">
        <f t="shared" si="188"/>
        <v>57458.627417319207</v>
      </c>
      <c r="CM169" s="44">
        <f t="shared" si="188"/>
        <v>123233.25046533596</v>
      </c>
      <c r="CN169" s="44">
        <f t="shared" si="188"/>
        <v>147000.48381960849</v>
      </c>
      <c r="CO169" s="44">
        <f t="shared" si="188"/>
        <v>85087.457087570772</v>
      </c>
      <c r="CP169" s="44">
        <f t="shared" si="188"/>
        <v>61539.466279284767</v>
      </c>
      <c r="CQ169" s="44">
        <f t="shared" si="188"/>
        <v>130697.88526372283</v>
      </c>
      <c r="CR169" s="44">
        <f t="shared" si="188"/>
        <v>155688.61936956411</v>
      </c>
      <c r="CS169" s="44">
        <f t="shared" si="188"/>
        <v>90592.849114986835</v>
      </c>
      <c r="CT169" s="44">
        <f t="shared" si="188"/>
        <v>66063.010323315699</v>
      </c>
      <c r="CU169" s="44">
        <f t="shared" si="188"/>
        <v>138962.49472898542</v>
      </c>
      <c r="CV169" s="44">
        <f t="shared" si="188"/>
        <v>165305.9341183074</v>
      </c>
      <c r="CW169" s="44">
        <f t="shared" si="188"/>
        <v>96691.452243893335</v>
      </c>
      <c r="CX169" s="44">
        <f t="shared" si="188"/>
        <v>70284.505113377527</v>
      </c>
      <c r="CY169" s="44">
        <f t="shared" si="188"/>
        <v>146683.56142875156</v>
      </c>
      <c r="CZ169" s="44">
        <f t="shared" si="188"/>
        <v>174292.36490733508</v>
      </c>
      <c r="DA169" s="44">
        <f t="shared" si="188"/>
        <v>102386.24699556347</v>
      </c>
      <c r="DB169" s="44">
        <f t="shared" si="188"/>
        <v>71074.677867268547</v>
      </c>
      <c r="DC169" s="44">
        <f t="shared" si="188"/>
        <v>148215.89898131281</v>
      </c>
      <c r="DD169" s="44">
        <f t="shared" si="188"/>
        <v>176092.83240197867</v>
      </c>
      <c r="DE169" s="44">
        <f t="shared" si="188"/>
        <v>103487.98088600898</v>
      </c>
      <c r="DF169" s="44">
        <f t="shared" si="188"/>
        <v>71228.010081119864</v>
      </c>
      <c r="DG169" s="44">
        <f t="shared" si="188"/>
        <v>148600.76936745434</v>
      </c>
      <c r="DH169" s="44">
        <f t="shared" si="188"/>
        <v>176561.1580677866</v>
      </c>
      <c r="DI169" s="44">
        <f t="shared" si="188"/>
        <v>103737.72618958834</v>
      </c>
      <c r="DJ169" s="44">
        <f t="shared" si="188"/>
        <v>71462.967265490675</v>
      </c>
      <c r="DK169" s="44">
        <f t="shared" si="188"/>
        <v>149134.30364392351</v>
      </c>
      <c r="DL169" s="44">
        <f t="shared" si="188"/>
        <v>177202.38857385458</v>
      </c>
      <c r="DM169" s="44">
        <f t="shared" si="188"/>
        <v>104097.32443339465</v>
      </c>
      <c r="DN169" s="44">
        <f t="shared" si="188"/>
        <v>72360.33641778765</v>
      </c>
      <c r="DO169" s="44">
        <f t="shared" si="188"/>
        <v>150864.26122988597</v>
      </c>
      <c r="DP169" s="44">
        <f t="shared" si="188"/>
        <v>0</v>
      </c>
      <c r="DQ169" s="44">
        <f t="shared" si="188"/>
        <v>0</v>
      </c>
    </row>
    <row r="170" spans="2:1006" x14ac:dyDescent="0.35">
      <c r="D170" s="20" t="s">
        <v>383</v>
      </c>
      <c r="K170" s="23">
        <f>K122+K139</f>
        <v>0</v>
      </c>
      <c r="L170" s="23">
        <f t="shared" ref="L170:BW170" si="189">L122+L139</f>
        <v>0</v>
      </c>
      <c r="M170" s="23">
        <f t="shared" si="189"/>
        <v>0</v>
      </c>
      <c r="N170" s="23">
        <f t="shared" si="189"/>
        <v>0</v>
      </c>
      <c r="O170" s="23">
        <f t="shared" si="189"/>
        <v>0</v>
      </c>
      <c r="P170" s="23">
        <f t="shared" si="189"/>
        <v>0</v>
      </c>
      <c r="Q170" s="23">
        <f t="shared" si="189"/>
        <v>0</v>
      </c>
      <c r="R170" s="23">
        <f t="shared" si="189"/>
        <v>0</v>
      </c>
      <c r="S170" s="23">
        <f t="shared" si="189"/>
        <v>0</v>
      </c>
      <c r="T170" s="23">
        <f t="shared" si="189"/>
        <v>28963.292536513058</v>
      </c>
      <c r="U170" s="23">
        <f t="shared" si="189"/>
        <v>28626.347316790805</v>
      </c>
      <c r="V170" s="23">
        <f t="shared" si="189"/>
        <v>28564.94669599782</v>
      </c>
      <c r="W170" s="23">
        <f t="shared" si="189"/>
        <v>28629.711167643436</v>
      </c>
      <c r="X170" s="23">
        <f t="shared" si="189"/>
        <v>28400.870206658343</v>
      </c>
      <c r="Y170" s="23">
        <f t="shared" si="189"/>
        <v>28063.83926045899</v>
      </c>
      <c r="Z170" s="23">
        <f t="shared" si="189"/>
        <v>28000.970847169629</v>
      </c>
      <c r="AA170" s="23">
        <f t="shared" si="189"/>
        <v>28063.628559619603</v>
      </c>
      <c r="AB170" s="23">
        <f t="shared" si="189"/>
        <v>27834.130200354659</v>
      </c>
      <c r="AC170" s="23">
        <f t="shared" si="189"/>
        <v>27496.968668262802</v>
      </c>
      <c r="AD170" s="23">
        <f t="shared" si="189"/>
        <v>27432.594145854509</v>
      </c>
      <c r="AE170" s="23">
        <f t="shared" si="189"/>
        <v>27480.746060626836</v>
      </c>
      <c r="AF170" s="23">
        <f t="shared" si="189"/>
        <v>27228.138328503985</v>
      </c>
      <c r="AG170" s="23">
        <f t="shared" si="189"/>
        <v>26864.605839132331</v>
      </c>
      <c r="AH170" s="23">
        <f t="shared" si="189"/>
        <v>26781.615992626659</v>
      </c>
      <c r="AI170" s="23">
        <f t="shared" si="189"/>
        <v>26818.457781903635</v>
      </c>
      <c r="AJ170" s="23">
        <f t="shared" si="189"/>
        <v>26549.088401520396</v>
      </c>
      <c r="AK170" s="23">
        <f t="shared" si="189"/>
        <v>26166.716792239942</v>
      </c>
      <c r="AL170" s="23">
        <f t="shared" si="189"/>
        <v>26069.769081549093</v>
      </c>
      <c r="AM170" s="23">
        <f t="shared" si="189"/>
        <v>26101.725137041751</v>
      </c>
      <c r="AN170" s="23">
        <f t="shared" si="189"/>
        <v>26207.463549957549</v>
      </c>
      <c r="AO170" s="23">
        <f t="shared" si="189"/>
        <v>25818.008143077677</v>
      </c>
      <c r="AP170" s="23">
        <f t="shared" si="189"/>
        <v>25717.911771927011</v>
      </c>
      <c r="AQ170" s="23">
        <f t="shared" si="189"/>
        <v>25721.975235883503</v>
      </c>
      <c r="AR170" s="23">
        <f t="shared" si="189"/>
        <v>25394.156417785649</v>
      </c>
      <c r="AS170" s="23">
        <f t="shared" si="189"/>
        <v>24943.619915776831</v>
      </c>
      <c r="AT170" s="23">
        <f t="shared" si="189"/>
        <v>24801.767534906721</v>
      </c>
      <c r="AU170" s="23">
        <f t="shared" si="189"/>
        <v>24751.729859333213</v>
      </c>
      <c r="AV170" s="23">
        <f t="shared" si="189"/>
        <v>24331.449765826626</v>
      </c>
      <c r="AW170" s="23">
        <f t="shared" si="189"/>
        <v>23773.952039129912</v>
      </c>
      <c r="AX170" s="23">
        <f t="shared" si="189"/>
        <v>23559.854668644122</v>
      </c>
      <c r="AY170" s="23">
        <f t="shared" si="189"/>
        <v>23487.659211047026</v>
      </c>
      <c r="AZ170" s="23">
        <f t="shared" si="189"/>
        <v>23035.068605780907</v>
      </c>
      <c r="BA170" s="23">
        <f t="shared" si="189"/>
        <v>22441.380956575795</v>
      </c>
      <c r="BB170" s="23">
        <f t="shared" si="189"/>
        <v>22200.154762797931</v>
      </c>
      <c r="BC170" s="23">
        <f t="shared" si="189"/>
        <v>22117.107981183057</v>
      </c>
      <c r="BD170" s="23">
        <f t="shared" si="189"/>
        <v>21653.508301674134</v>
      </c>
      <c r="BE170" s="23">
        <f t="shared" si="189"/>
        <v>21048.695386792668</v>
      </c>
      <c r="BF170" s="23">
        <f t="shared" si="189"/>
        <v>20796.314263119948</v>
      </c>
      <c r="BG170" s="23">
        <f t="shared" si="189"/>
        <v>20682.999437024224</v>
      </c>
      <c r="BH170" s="23">
        <f t="shared" si="189"/>
        <v>20290.439483301405</v>
      </c>
      <c r="BI170" s="23">
        <f t="shared" si="189"/>
        <v>19630.971345359194</v>
      </c>
      <c r="BJ170" s="23">
        <f t="shared" si="189"/>
        <v>19340.055379003836</v>
      </c>
      <c r="BK170" s="23">
        <f t="shared" si="189"/>
        <v>19191.037337421025</v>
      </c>
      <c r="BL170" s="23">
        <f t="shared" si="189"/>
        <v>18624.405916524105</v>
      </c>
      <c r="BM170" s="23">
        <f t="shared" si="189"/>
        <v>17902.454582232098</v>
      </c>
      <c r="BN170" s="23">
        <f t="shared" si="189"/>
        <v>17566.211176083852</v>
      </c>
      <c r="BO170" s="23">
        <f t="shared" si="189"/>
        <v>17371.284119876353</v>
      </c>
      <c r="BP170" s="23">
        <f t="shared" si="189"/>
        <v>16733.003491554475</v>
      </c>
      <c r="BQ170" s="23">
        <f t="shared" si="189"/>
        <v>15929.618416130144</v>
      </c>
      <c r="BR170" s="23">
        <f t="shared" si="189"/>
        <v>15535.071246596648</v>
      </c>
      <c r="BS170" s="23">
        <f t="shared" si="189"/>
        <v>15294.26321729056</v>
      </c>
      <c r="BT170" s="23">
        <f t="shared" si="189"/>
        <v>14586.168433539004</v>
      </c>
      <c r="BU170" s="23">
        <f t="shared" si="189"/>
        <v>13703.854043785041</v>
      </c>
      <c r="BV170" s="23">
        <f t="shared" si="189"/>
        <v>13251.830367524826</v>
      </c>
      <c r="BW170" s="23">
        <f t="shared" si="189"/>
        <v>13017.247502417504</v>
      </c>
      <c r="BX170" s="23">
        <f t="shared" ref="BX170:DQ170" si="190">BX122+BX139</f>
        <v>12518.891120071299</v>
      </c>
      <c r="BY170" s="23">
        <f t="shared" si="190"/>
        <v>11894.770123670822</v>
      </c>
      <c r="BZ170" s="23">
        <f t="shared" si="190"/>
        <v>11581.652671730359</v>
      </c>
      <c r="CA170" s="23">
        <f t="shared" si="190"/>
        <v>11401.670721206205</v>
      </c>
      <c r="CB170" s="23">
        <f t="shared" si="190"/>
        <v>10973.233279514219</v>
      </c>
      <c r="CC170" s="23">
        <f t="shared" si="190"/>
        <v>10318.221425459253</v>
      </c>
      <c r="CD170" s="23">
        <f t="shared" si="190"/>
        <v>9981.2221637178209</v>
      </c>
      <c r="CE170" s="23">
        <f t="shared" si="190"/>
        <v>9764.8432056173096</v>
      </c>
      <c r="CF170" s="23">
        <f t="shared" si="190"/>
        <v>9185.3216522464081</v>
      </c>
      <c r="CG170" s="23">
        <f t="shared" si="190"/>
        <v>8470.2021682332197</v>
      </c>
      <c r="CH170" s="23">
        <f t="shared" si="190"/>
        <v>8088.8900733016026</v>
      </c>
      <c r="CI170" s="23">
        <f t="shared" si="190"/>
        <v>7843.6577330420305</v>
      </c>
      <c r="CJ170" s="23">
        <f t="shared" si="190"/>
        <v>7224.5401772722125</v>
      </c>
      <c r="CK170" s="23">
        <f t="shared" si="190"/>
        <v>6465.6859704134476</v>
      </c>
      <c r="CL170" s="23">
        <f t="shared" si="190"/>
        <v>6050.125575697456</v>
      </c>
      <c r="CM170" s="23">
        <f t="shared" si="190"/>
        <v>5756.5018205538863</v>
      </c>
      <c r="CN170" s="23">
        <f t="shared" si="190"/>
        <v>5063.3930288147776</v>
      </c>
      <c r="CO170" s="23">
        <f t="shared" si="190"/>
        <v>4220.7965752514801</v>
      </c>
      <c r="CP170" s="23">
        <f t="shared" si="190"/>
        <v>3744.4404950680073</v>
      </c>
      <c r="CQ170" s="23">
        <f t="shared" si="190"/>
        <v>3406.0162437156891</v>
      </c>
      <c r="CR170" s="23">
        <f t="shared" si="190"/>
        <v>2647.2954931889813</v>
      </c>
      <c r="CS170" s="23">
        <f t="shared" si="190"/>
        <v>1731.1297820081913</v>
      </c>
      <c r="CT170" s="23">
        <f t="shared" si="190"/>
        <v>1199.7669241149495</v>
      </c>
      <c r="CU170" s="23">
        <f t="shared" si="190"/>
        <v>811.77953047522635</v>
      </c>
      <c r="CV170" s="23">
        <f t="shared" si="190"/>
        <v>0</v>
      </c>
      <c r="CW170" s="23">
        <f t="shared" si="190"/>
        <v>0</v>
      </c>
      <c r="CX170" s="23">
        <f t="shared" si="190"/>
        <v>0</v>
      </c>
      <c r="CY170" s="23">
        <f t="shared" si="190"/>
        <v>0</v>
      </c>
      <c r="CZ170" s="23">
        <f t="shared" si="190"/>
        <v>0</v>
      </c>
      <c r="DA170" s="23">
        <f t="shared" si="190"/>
        <v>0</v>
      </c>
      <c r="DB170" s="23">
        <f t="shared" si="190"/>
        <v>0</v>
      </c>
      <c r="DC170" s="23">
        <f t="shared" si="190"/>
        <v>0</v>
      </c>
      <c r="DD170" s="23">
        <f t="shared" si="190"/>
        <v>0</v>
      </c>
      <c r="DE170" s="23">
        <f t="shared" si="190"/>
        <v>0</v>
      </c>
      <c r="DF170" s="23">
        <f t="shared" si="190"/>
        <v>0</v>
      </c>
      <c r="DG170" s="23">
        <f t="shared" si="190"/>
        <v>0</v>
      </c>
      <c r="DH170" s="23">
        <f t="shared" si="190"/>
        <v>0</v>
      </c>
      <c r="DI170" s="23">
        <f t="shared" si="190"/>
        <v>0</v>
      </c>
      <c r="DJ170" s="23">
        <f t="shared" si="190"/>
        <v>0</v>
      </c>
      <c r="DK170" s="23">
        <f t="shared" si="190"/>
        <v>0</v>
      </c>
      <c r="DL170" s="23">
        <f t="shared" si="190"/>
        <v>0</v>
      </c>
      <c r="DM170" s="23">
        <f t="shared" si="190"/>
        <v>0</v>
      </c>
      <c r="DN170" s="23">
        <f t="shared" si="190"/>
        <v>0</v>
      </c>
      <c r="DO170" s="23">
        <f t="shared" si="190"/>
        <v>0</v>
      </c>
      <c r="DP170" s="23">
        <f t="shared" si="190"/>
        <v>0</v>
      </c>
      <c r="DQ170" s="23">
        <f t="shared" si="190"/>
        <v>0</v>
      </c>
    </row>
    <row r="171" spans="2:1006" x14ac:dyDescent="0.35">
      <c r="D171" s="20" t="s">
        <v>393</v>
      </c>
      <c r="K171" s="23">
        <f>K115</f>
        <v>0</v>
      </c>
      <c r="L171" s="23">
        <f t="shared" ref="L171:BW171" si="191">L115</f>
        <v>0</v>
      </c>
      <c r="M171" s="23">
        <f t="shared" si="191"/>
        <v>0</v>
      </c>
      <c r="N171" s="23">
        <f t="shared" si="191"/>
        <v>0</v>
      </c>
      <c r="O171" s="23">
        <f t="shared" si="191"/>
        <v>0</v>
      </c>
      <c r="P171" s="23">
        <f t="shared" si="191"/>
        <v>0</v>
      </c>
      <c r="Q171" s="23">
        <f t="shared" si="191"/>
        <v>0</v>
      </c>
      <c r="R171" s="23">
        <f t="shared" si="191"/>
        <v>0</v>
      </c>
      <c r="S171" s="23">
        <f t="shared" si="191"/>
        <v>0</v>
      </c>
      <c r="T171" s="23">
        <f t="shared" si="191"/>
        <v>39640.614084970715</v>
      </c>
      <c r="U171" s="23">
        <f t="shared" si="191"/>
        <v>7223.6024462331916</v>
      </c>
      <c r="V171" s="23">
        <f t="shared" si="191"/>
        <v>-7619.3496053663657</v>
      </c>
      <c r="W171" s="23">
        <f t="shared" si="191"/>
        <v>26922.465998246145</v>
      </c>
      <c r="X171" s="23">
        <f t="shared" si="191"/>
        <v>39650.699552865452</v>
      </c>
      <c r="Y171" s="23">
        <f t="shared" si="191"/>
        <v>7396.2839163953358</v>
      </c>
      <c r="Z171" s="23">
        <f t="shared" si="191"/>
        <v>-7371.4955823496311</v>
      </c>
      <c r="AA171" s="23">
        <f t="shared" si="191"/>
        <v>26999.806972346491</v>
      </c>
      <c r="AB171" s="23">
        <f t="shared" si="191"/>
        <v>39666.062599041994</v>
      </c>
      <c r="AC171" s="23">
        <f t="shared" si="191"/>
        <v>7573.4732245048181</v>
      </c>
      <c r="AD171" s="23">
        <f t="shared" si="191"/>
        <v>-5664.9311496851442</v>
      </c>
      <c r="AE171" s="23">
        <f t="shared" si="191"/>
        <v>29718.556720335513</v>
      </c>
      <c r="AF171" s="23">
        <f t="shared" si="191"/>
        <v>42768.528161370705</v>
      </c>
      <c r="AG171" s="23">
        <f t="shared" si="191"/>
        <v>9763.5113536087229</v>
      </c>
      <c r="AH171" s="23">
        <f t="shared" si="191"/>
        <v>-4334.3281502322025</v>
      </c>
      <c r="AI171" s="23">
        <f t="shared" si="191"/>
        <v>31690.515339204536</v>
      </c>
      <c r="AJ171" s="23">
        <f t="shared" si="191"/>
        <v>44984.895209465169</v>
      </c>
      <c r="AK171" s="23">
        <f t="shared" si="191"/>
        <v>11405.613022452468</v>
      </c>
      <c r="AL171" s="23">
        <f t="shared" si="191"/>
        <v>-3759.5359403125512</v>
      </c>
      <c r="AM171" s="23">
        <f t="shared" si="191"/>
        <v>32244.694047344608</v>
      </c>
      <c r="AN171" s="23">
        <f t="shared" si="191"/>
        <v>45154.250073028699</v>
      </c>
      <c r="AO171" s="23">
        <f t="shared" si="191"/>
        <v>11605.376365294498</v>
      </c>
      <c r="AP171" s="23">
        <f t="shared" si="191"/>
        <v>-471.12625582538749</v>
      </c>
      <c r="AQ171" s="23">
        <f t="shared" si="191"/>
        <v>38007.978909896061</v>
      </c>
      <c r="AR171" s="23">
        <f t="shared" si="191"/>
        <v>52236.116174935443</v>
      </c>
      <c r="AS171" s="23">
        <f t="shared" si="191"/>
        <v>16446.652854505559</v>
      </c>
      <c r="AT171" s="23">
        <f t="shared" si="191"/>
        <v>5801.4696317112393</v>
      </c>
      <c r="AU171" s="23">
        <f t="shared" si="191"/>
        <v>48728.1267833725</v>
      </c>
      <c r="AV171" s="23">
        <f t="shared" si="191"/>
        <v>64637.417588024924</v>
      </c>
      <c r="AW171" s="23">
        <f t="shared" si="191"/>
        <v>24822.883534584198</v>
      </c>
      <c r="AX171" s="23">
        <f t="shared" si="191"/>
        <v>8370.4878373442116</v>
      </c>
      <c r="AY171" s="23">
        <f t="shared" si="191"/>
        <v>52474.273074332814</v>
      </c>
      <c r="AZ171" s="23">
        <f t="shared" si="191"/>
        <v>68833.350632477217</v>
      </c>
      <c r="BA171" s="23">
        <f t="shared" si="191"/>
        <v>27968.254351056672</v>
      </c>
      <c r="BB171" s="23">
        <f t="shared" si="191"/>
        <v>9628.6123611447401</v>
      </c>
      <c r="BC171" s="23">
        <f t="shared" si="191"/>
        <v>53750.687479295339</v>
      </c>
      <c r="BD171" s="23">
        <f t="shared" si="191"/>
        <v>70123.236507996073</v>
      </c>
      <c r="BE171" s="23">
        <f t="shared" si="191"/>
        <v>29261.579556257559</v>
      </c>
      <c r="BF171" s="23">
        <f t="shared" si="191"/>
        <v>13137.950851678394</v>
      </c>
      <c r="BG171" s="23">
        <f t="shared" si="191"/>
        <v>59073.360199947987</v>
      </c>
      <c r="BH171" s="23">
        <f t="shared" si="191"/>
        <v>76019.381895355808</v>
      </c>
      <c r="BI171" s="23">
        <f t="shared" si="191"/>
        <v>33534.981712433117</v>
      </c>
      <c r="BJ171" s="23">
        <f t="shared" si="191"/>
        <v>17177.872228566142</v>
      </c>
      <c r="BK171" s="23">
        <f t="shared" si="191"/>
        <v>65317.743042872549</v>
      </c>
      <c r="BL171" s="23">
        <f t="shared" si="191"/>
        <v>83222.05582616778</v>
      </c>
      <c r="BM171" s="23">
        <f t="shared" si="191"/>
        <v>38760.046818241739</v>
      </c>
      <c r="BN171" s="23">
        <f t="shared" si="191"/>
        <v>22469.977660806791</v>
      </c>
      <c r="BO171" s="23">
        <f t="shared" si="191"/>
        <v>73577.017673991795</v>
      </c>
      <c r="BP171" s="23">
        <f t="shared" si="191"/>
        <v>92609.230596464346</v>
      </c>
      <c r="BQ171" s="23">
        <f t="shared" si="191"/>
        <v>45480.941732968029</v>
      </c>
      <c r="BR171" s="23">
        <f t="shared" si="191"/>
        <v>27758.850640471232</v>
      </c>
      <c r="BS171" s="23">
        <f t="shared" si="191"/>
        <v>81624.758933896825</v>
      </c>
      <c r="BT171" s="23">
        <f t="shared" si="191"/>
        <v>101707.71063446243</v>
      </c>
      <c r="BU171" s="23">
        <f t="shared" si="191"/>
        <v>52106.475649592525</v>
      </c>
      <c r="BV171" s="23">
        <f t="shared" si="191"/>
        <v>27041.252461939253</v>
      </c>
      <c r="BW171" s="23">
        <f t="shared" si="191"/>
        <v>57447.421596104192</v>
      </c>
      <c r="BX171" s="23">
        <f t="shared" ref="BX171:DQ171" si="192">BX115</f>
        <v>71944.783446740912</v>
      </c>
      <c r="BY171" s="23">
        <f t="shared" si="192"/>
        <v>36094.230771234972</v>
      </c>
      <c r="BZ171" s="23">
        <f t="shared" si="192"/>
        <v>20747.198907683382</v>
      </c>
      <c r="CA171" s="23">
        <f t="shared" si="192"/>
        <v>60229.82443169663</v>
      </c>
      <c r="CB171" s="23">
        <f t="shared" si="192"/>
        <v>74858.497606281904</v>
      </c>
      <c r="CC171" s="23">
        <f t="shared" si="192"/>
        <v>38514.201341878019</v>
      </c>
      <c r="CD171" s="23">
        <f t="shared" si="192"/>
        <v>24729.023782915523</v>
      </c>
      <c r="CE171" s="23">
        <f t="shared" si="192"/>
        <v>66231.034670960144</v>
      </c>
      <c r="CF171" s="23">
        <f t="shared" si="192"/>
        <v>81727.941030078815</v>
      </c>
      <c r="CG171" s="23">
        <f t="shared" si="192"/>
        <v>43578.525135041877</v>
      </c>
      <c r="CH171" s="23">
        <f t="shared" si="192"/>
        <v>28026.553172522457</v>
      </c>
      <c r="CI171" s="23">
        <f t="shared" si="192"/>
        <v>70756.292087979265</v>
      </c>
      <c r="CJ171" s="23">
        <f t="shared" si="192"/>
        <v>86726.195069573121</v>
      </c>
      <c r="CK171" s="23">
        <f t="shared" si="192"/>
        <v>47492.61653897044</v>
      </c>
      <c r="CL171" s="23">
        <f t="shared" si="192"/>
        <v>33557.000587836563</v>
      </c>
      <c r="CM171" s="23">
        <f t="shared" si="192"/>
        <v>79212.433341612385</v>
      </c>
      <c r="CN171" s="23">
        <f t="shared" si="192"/>
        <v>96296.737550091158</v>
      </c>
      <c r="CO171" s="23">
        <f t="shared" si="192"/>
        <v>54440.694878111193</v>
      </c>
      <c r="CP171" s="23">
        <f t="shared" si="192"/>
        <v>38677.057297407773</v>
      </c>
      <c r="CQ171" s="23">
        <f t="shared" si="192"/>
        <v>86710.942917338063</v>
      </c>
      <c r="CR171" s="23">
        <f t="shared" si="192"/>
        <v>104704.652706376</v>
      </c>
      <c r="CS171" s="23">
        <f t="shared" si="192"/>
        <v>60727.183759227635</v>
      </c>
      <c r="CT171" s="23">
        <f t="shared" si="192"/>
        <v>44341.416415968364</v>
      </c>
      <c r="CU171" s="23">
        <f t="shared" si="192"/>
        <v>92774.803482882999</v>
      </c>
      <c r="CV171" s="23">
        <f t="shared" si="192"/>
        <v>0</v>
      </c>
      <c r="CW171" s="23">
        <f t="shared" si="192"/>
        <v>0</v>
      </c>
      <c r="CX171" s="23">
        <f t="shared" si="192"/>
        <v>0</v>
      </c>
      <c r="CY171" s="23">
        <f t="shared" si="192"/>
        <v>0</v>
      </c>
      <c r="CZ171" s="23">
        <f t="shared" si="192"/>
        <v>0</v>
      </c>
      <c r="DA171" s="23">
        <f t="shared" si="192"/>
        <v>0</v>
      </c>
      <c r="DB171" s="23">
        <f t="shared" si="192"/>
        <v>0</v>
      </c>
      <c r="DC171" s="23">
        <f t="shared" si="192"/>
        <v>0</v>
      </c>
      <c r="DD171" s="23">
        <f t="shared" si="192"/>
        <v>0</v>
      </c>
      <c r="DE171" s="23">
        <f t="shared" si="192"/>
        <v>0</v>
      </c>
      <c r="DF171" s="23">
        <f t="shared" si="192"/>
        <v>0</v>
      </c>
      <c r="DG171" s="23">
        <f t="shared" si="192"/>
        <v>0</v>
      </c>
      <c r="DH171" s="23">
        <f t="shared" si="192"/>
        <v>0</v>
      </c>
      <c r="DI171" s="23">
        <f t="shared" si="192"/>
        <v>0</v>
      </c>
      <c r="DJ171" s="23">
        <f t="shared" si="192"/>
        <v>0</v>
      </c>
      <c r="DK171" s="23">
        <f t="shared" si="192"/>
        <v>0</v>
      </c>
      <c r="DL171" s="23">
        <f t="shared" si="192"/>
        <v>0</v>
      </c>
      <c r="DM171" s="23">
        <f t="shared" si="192"/>
        <v>0</v>
      </c>
      <c r="DN171" s="23">
        <f t="shared" si="192"/>
        <v>0</v>
      </c>
      <c r="DO171" s="23">
        <f t="shared" si="192"/>
        <v>0</v>
      </c>
      <c r="DP171" s="23">
        <f t="shared" si="192"/>
        <v>0</v>
      </c>
      <c r="DQ171" s="23">
        <f t="shared" si="192"/>
        <v>0</v>
      </c>
    </row>
    <row r="172" spans="2:1006" ht="15" thickBot="1" x14ac:dyDescent="0.4">
      <c r="E172" s="39" t="s">
        <v>394</v>
      </c>
      <c r="F172" s="39"/>
      <c r="G172" s="39"/>
      <c r="H172" s="39"/>
      <c r="I172" s="39"/>
      <c r="J172" s="39"/>
      <c r="K172" s="44">
        <f>K169-K170-K171</f>
        <v>0</v>
      </c>
      <c r="L172" s="44">
        <f t="shared" ref="L172:BW172" si="193">L169-L170-L171</f>
        <v>0</v>
      </c>
      <c r="M172" s="44">
        <f t="shared" si="193"/>
        <v>0</v>
      </c>
      <c r="N172" s="44">
        <f t="shared" si="193"/>
        <v>0</v>
      </c>
      <c r="O172" s="44">
        <f t="shared" si="193"/>
        <v>0</v>
      </c>
      <c r="P172" s="44">
        <f t="shared" si="193"/>
        <v>0</v>
      </c>
      <c r="Q172" s="44">
        <f t="shared" si="193"/>
        <v>0</v>
      </c>
      <c r="R172" s="44">
        <f t="shared" si="193"/>
        <v>0</v>
      </c>
      <c r="S172" s="44">
        <f t="shared" si="193"/>
        <v>0</v>
      </c>
      <c r="T172" s="44">
        <f t="shared" si="193"/>
        <v>30899.244046142718</v>
      </c>
      <c r="U172" s="44">
        <f t="shared" si="193"/>
        <v>16159.963459835828</v>
      </c>
      <c r="V172" s="44">
        <f t="shared" si="193"/>
        <v>9453.0047572591902</v>
      </c>
      <c r="W172" s="44">
        <f t="shared" si="193"/>
        <v>25025.965791125353</v>
      </c>
      <c r="X172" s="44">
        <f t="shared" si="193"/>
        <v>30650.692458260732</v>
      </c>
      <c r="Y172" s="44">
        <f t="shared" si="193"/>
        <v>15984.541496059475</v>
      </c>
      <c r="Z172" s="44">
        <f t="shared" si="193"/>
        <v>9310.7499356440348</v>
      </c>
      <c r="AA172" s="44">
        <f t="shared" si="193"/>
        <v>24806.032055859778</v>
      </c>
      <c r="AB172" s="44">
        <f t="shared" si="193"/>
        <v>30402.572826203526</v>
      </c>
      <c r="AC172" s="44">
        <f t="shared" si="193"/>
        <v>15809.184918220464</v>
      </c>
      <c r="AD172" s="44">
        <f t="shared" si="193"/>
        <v>9822.9344147512529</v>
      </c>
      <c r="AE172" s="44">
        <f t="shared" si="193"/>
        <v>25767.172317908084</v>
      </c>
      <c r="AF172" s="44">
        <f t="shared" si="193"/>
        <v>31525.985986918633</v>
      </c>
      <c r="AG172" s="44">
        <f t="shared" si="193"/>
        <v>16510.138803208516</v>
      </c>
      <c r="AH172" s="44">
        <f t="shared" si="193"/>
        <v>10128.765595552537</v>
      </c>
      <c r="AI172" s="44">
        <f t="shared" si="193"/>
        <v>26356.523970973703</v>
      </c>
      <c r="AJ172" s="44">
        <f t="shared" si="193"/>
        <v>32217.778691418534</v>
      </c>
      <c r="AK172" s="44">
        <f t="shared" si="193"/>
        <v>16935.03448308662</v>
      </c>
      <c r="AL172" s="44">
        <f t="shared" si="193"/>
        <v>10067.090980031477</v>
      </c>
      <c r="AM172" s="44">
        <f t="shared" si="193"/>
        <v>26283.374699448897</v>
      </c>
      <c r="AN172" s="44">
        <f t="shared" si="193"/>
        <v>32140.661403678765</v>
      </c>
      <c r="AO172" s="44">
        <f t="shared" si="193"/>
        <v>16868.413302102439</v>
      </c>
      <c r="AP172" s="44">
        <f t="shared" si="193"/>
        <v>11388.943755580691</v>
      </c>
      <c r="AQ172" s="44">
        <f t="shared" si="193"/>
        <v>28706.369638935765</v>
      </c>
      <c r="AR172" s="44">
        <f t="shared" si="193"/>
        <v>34961.512940059452</v>
      </c>
      <c r="AS172" s="44">
        <f t="shared" si="193"/>
        <v>18653.513019962036</v>
      </c>
      <c r="AT172" s="44">
        <f t="shared" si="193"/>
        <v>13799.346998313042</v>
      </c>
      <c r="AU172" s="44">
        <f t="shared" si="193"/>
        <v>33093.825762552529</v>
      </c>
      <c r="AV172" s="44">
        <f t="shared" si="193"/>
        <v>40063.880582568148</v>
      </c>
      <c r="AW172" s="44">
        <f t="shared" si="193"/>
        <v>21896.466281506302</v>
      </c>
      <c r="AX172" s="44">
        <f t="shared" si="193"/>
        <v>14396.544401029711</v>
      </c>
      <c r="AY172" s="44">
        <f t="shared" si="193"/>
        <v>34210.759801755892</v>
      </c>
      <c r="AZ172" s="44">
        <f t="shared" si="193"/>
        <v>41368.678930551134</v>
      </c>
      <c r="BA172" s="44">
        <f t="shared" si="193"/>
        <v>22712.226161769566</v>
      </c>
      <c r="BB172" s="44">
        <f t="shared" si="193"/>
        <v>14350.835479109162</v>
      </c>
      <c r="BC172" s="44">
        <f t="shared" si="193"/>
        <v>34168.398230550236</v>
      </c>
      <c r="BD172" s="44">
        <f t="shared" si="193"/>
        <v>41327.425437686557</v>
      </c>
      <c r="BE172" s="44">
        <f t="shared" si="193"/>
        <v>22667.513997707567</v>
      </c>
      <c r="BF172" s="44">
        <f t="shared" si="193"/>
        <v>15298.309574994215</v>
      </c>
      <c r="BG172" s="44">
        <f t="shared" si="193"/>
        <v>35918.252109972454</v>
      </c>
      <c r="BH172" s="44">
        <f t="shared" si="193"/>
        <v>43367.471576474665</v>
      </c>
      <c r="BI172" s="44">
        <f t="shared" si="193"/>
        <v>23952.730832085464</v>
      </c>
      <c r="BJ172" s="44">
        <f t="shared" si="193"/>
        <v>16461.119379485426</v>
      </c>
      <c r="BK172" s="44">
        <f t="shared" si="193"/>
        <v>38057.003127211035</v>
      </c>
      <c r="BL172" s="44">
        <f t="shared" si="193"/>
        <v>45858.959740290287</v>
      </c>
      <c r="BM172" s="44">
        <f t="shared" si="193"/>
        <v>25526.177586292164</v>
      </c>
      <c r="BN172" s="44">
        <f t="shared" si="193"/>
        <v>18044.336932679718</v>
      </c>
      <c r="BO172" s="44">
        <f t="shared" si="193"/>
        <v>40954.787763319604</v>
      </c>
      <c r="BP172" s="44">
        <f t="shared" si="193"/>
        <v>49232.057295687395</v>
      </c>
      <c r="BQ172" s="44">
        <f t="shared" si="193"/>
        <v>27662.804023173099</v>
      </c>
      <c r="BR172" s="44">
        <f t="shared" si="193"/>
        <v>19510.316805259477</v>
      </c>
      <c r="BS172" s="44">
        <f t="shared" si="193"/>
        <v>43641.611924113269</v>
      </c>
      <c r="BT172" s="44">
        <f t="shared" si="193"/>
        <v>52360.297536679558</v>
      </c>
      <c r="BU172" s="44">
        <f t="shared" si="193"/>
        <v>29642.700318098825</v>
      </c>
      <c r="BV172" s="44">
        <f t="shared" si="193"/>
        <v>18159.939229337764</v>
      </c>
      <c r="BW172" s="44">
        <f t="shared" si="193"/>
        <v>31737.15305041369</v>
      </c>
      <c r="BX172" s="44">
        <f t="shared" ref="BX172:DQ172" si="194">BX169-BX170-BX171</f>
        <v>38036.705511144406</v>
      </c>
      <c r="BY172" s="44">
        <f t="shared" si="194"/>
        <v>21623.102358786535</v>
      </c>
      <c r="BZ172" s="44">
        <f t="shared" si="194"/>
        <v>14576.035166815116</v>
      </c>
      <c r="CA172" s="44">
        <f t="shared" si="194"/>
        <v>32262.22477488521</v>
      </c>
      <c r="CB172" s="44">
        <f t="shared" si="194"/>
        <v>38652.57337880315</v>
      </c>
      <c r="CC172" s="44">
        <f t="shared" si="194"/>
        <v>22002.88472549666</v>
      </c>
      <c r="CD172" s="44">
        <f t="shared" si="194"/>
        <v>15647.905156179891</v>
      </c>
      <c r="CE172" s="44">
        <f t="shared" si="194"/>
        <v>34226.43952465475</v>
      </c>
      <c r="CF172" s="44">
        <f t="shared" si="194"/>
        <v>40939.262687241237</v>
      </c>
      <c r="CG172" s="44">
        <f t="shared" si="194"/>
        <v>23450.22176666867</v>
      </c>
      <c r="CH172" s="44">
        <f t="shared" si="194"/>
        <v>16280.243940815708</v>
      </c>
      <c r="CI172" s="44">
        <f t="shared" si="194"/>
        <v>35398.271899654472</v>
      </c>
      <c r="CJ172" s="44">
        <f t="shared" si="194"/>
        <v>42306.125341275285</v>
      </c>
      <c r="CK172" s="44">
        <f t="shared" si="194"/>
        <v>24309.530609417619</v>
      </c>
      <c r="CL172" s="44">
        <f t="shared" si="194"/>
        <v>17851.501253785187</v>
      </c>
      <c r="CM172" s="44">
        <f t="shared" si="194"/>
        <v>38264.3153031697</v>
      </c>
      <c r="CN172" s="44">
        <f t="shared" si="194"/>
        <v>45640.353240702549</v>
      </c>
      <c r="CO172" s="44">
        <f t="shared" si="194"/>
        <v>26425.965634208093</v>
      </c>
      <c r="CP172" s="44">
        <f t="shared" si="194"/>
        <v>19117.96848680899</v>
      </c>
      <c r="CQ172" s="44">
        <f t="shared" si="194"/>
        <v>40580.92610266908</v>
      </c>
      <c r="CR172" s="44">
        <f t="shared" si="194"/>
        <v>48336.671169999128</v>
      </c>
      <c r="CS172" s="44">
        <f t="shared" si="194"/>
        <v>28134.535573751004</v>
      </c>
      <c r="CT172" s="44">
        <f t="shared" si="194"/>
        <v>20521.826983232386</v>
      </c>
      <c r="CU172" s="44">
        <f t="shared" si="194"/>
        <v>45375.911715627182</v>
      </c>
      <c r="CV172" s="44">
        <f t="shared" si="194"/>
        <v>165305.9341183074</v>
      </c>
      <c r="CW172" s="44">
        <f t="shared" si="194"/>
        <v>96691.452243893335</v>
      </c>
      <c r="CX172" s="44">
        <f t="shared" si="194"/>
        <v>70284.505113377527</v>
      </c>
      <c r="CY172" s="44">
        <f t="shared" si="194"/>
        <v>146683.56142875156</v>
      </c>
      <c r="CZ172" s="44">
        <f t="shared" si="194"/>
        <v>174292.36490733508</v>
      </c>
      <c r="DA172" s="44">
        <f t="shared" si="194"/>
        <v>102386.24699556347</v>
      </c>
      <c r="DB172" s="44">
        <f t="shared" si="194"/>
        <v>71074.677867268547</v>
      </c>
      <c r="DC172" s="44">
        <f t="shared" si="194"/>
        <v>148215.89898131281</v>
      </c>
      <c r="DD172" s="44">
        <f t="shared" si="194"/>
        <v>176092.83240197867</v>
      </c>
      <c r="DE172" s="44">
        <f t="shared" si="194"/>
        <v>103487.98088600898</v>
      </c>
      <c r="DF172" s="44">
        <f t="shared" si="194"/>
        <v>71228.010081119864</v>
      </c>
      <c r="DG172" s="44">
        <f t="shared" si="194"/>
        <v>148600.76936745434</v>
      </c>
      <c r="DH172" s="44">
        <f t="shared" si="194"/>
        <v>176561.1580677866</v>
      </c>
      <c r="DI172" s="44">
        <f t="shared" si="194"/>
        <v>103737.72618958834</v>
      </c>
      <c r="DJ172" s="44">
        <f t="shared" si="194"/>
        <v>71462.967265490675</v>
      </c>
      <c r="DK172" s="44">
        <f t="shared" si="194"/>
        <v>149134.30364392351</v>
      </c>
      <c r="DL172" s="44">
        <f t="shared" si="194"/>
        <v>177202.38857385458</v>
      </c>
      <c r="DM172" s="44">
        <f t="shared" si="194"/>
        <v>104097.32443339465</v>
      </c>
      <c r="DN172" s="44">
        <f t="shared" si="194"/>
        <v>72360.33641778765</v>
      </c>
      <c r="DO172" s="44">
        <f t="shared" si="194"/>
        <v>150864.26122988597</v>
      </c>
      <c r="DP172" s="44">
        <f t="shared" si="194"/>
        <v>0</v>
      </c>
      <c r="DQ172" s="44">
        <f t="shared" si="194"/>
        <v>0</v>
      </c>
    </row>
    <row r="173" spans="2:1006" x14ac:dyDescent="0.35">
      <c r="D173" s="20" t="s">
        <v>395</v>
      </c>
      <c r="K173" s="23">
        <f>MAX(-K172,0)</f>
        <v>0</v>
      </c>
      <c r="L173" s="23">
        <f t="shared" ref="L173:BW173" si="195">MAX(-L172,0)</f>
        <v>0</v>
      </c>
      <c r="M173" s="23">
        <f t="shared" si="195"/>
        <v>0</v>
      </c>
      <c r="N173" s="23">
        <f t="shared" si="195"/>
        <v>0</v>
      </c>
      <c r="O173" s="23">
        <f t="shared" si="195"/>
        <v>0</v>
      </c>
      <c r="P173" s="23">
        <f t="shared" si="195"/>
        <v>0</v>
      </c>
      <c r="Q173" s="23">
        <f t="shared" si="195"/>
        <v>0</v>
      </c>
      <c r="R173" s="23">
        <f t="shared" si="195"/>
        <v>0</v>
      </c>
      <c r="S173" s="23">
        <f t="shared" si="195"/>
        <v>0</v>
      </c>
      <c r="T173" s="23">
        <f t="shared" si="195"/>
        <v>0</v>
      </c>
      <c r="U173" s="23">
        <f t="shared" si="195"/>
        <v>0</v>
      </c>
      <c r="V173" s="23">
        <f t="shared" si="195"/>
        <v>0</v>
      </c>
      <c r="W173" s="23">
        <f t="shared" si="195"/>
        <v>0</v>
      </c>
      <c r="X173" s="23">
        <f t="shared" si="195"/>
        <v>0</v>
      </c>
      <c r="Y173" s="23">
        <f t="shared" si="195"/>
        <v>0</v>
      </c>
      <c r="Z173" s="23">
        <f t="shared" si="195"/>
        <v>0</v>
      </c>
      <c r="AA173" s="23">
        <f t="shared" si="195"/>
        <v>0</v>
      </c>
      <c r="AB173" s="23">
        <f t="shared" si="195"/>
        <v>0</v>
      </c>
      <c r="AC173" s="23">
        <f t="shared" si="195"/>
        <v>0</v>
      </c>
      <c r="AD173" s="23">
        <f t="shared" si="195"/>
        <v>0</v>
      </c>
      <c r="AE173" s="23">
        <f t="shared" si="195"/>
        <v>0</v>
      </c>
      <c r="AF173" s="23">
        <f t="shared" si="195"/>
        <v>0</v>
      </c>
      <c r="AG173" s="23">
        <f t="shared" si="195"/>
        <v>0</v>
      </c>
      <c r="AH173" s="23">
        <f t="shared" si="195"/>
        <v>0</v>
      </c>
      <c r="AI173" s="23">
        <f t="shared" si="195"/>
        <v>0</v>
      </c>
      <c r="AJ173" s="23">
        <f t="shared" si="195"/>
        <v>0</v>
      </c>
      <c r="AK173" s="23">
        <f t="shared" si="195"/>
        <v>0</v>
      </c>
      <c r="AL173" s="23">
        <f t="shared" si="195"/>
        <v>0</v>
      </c>
      <c r="AM173" s="23">
        <f t="shared" si="195"/>
        <v>0</v>
      </c>
      <c r="AN173" s="23">
        <f t="shared" si="195"/>
        <v>0</v>
      </c>
      <c r="AO173" s="23">
        <f t="shared" si="195"/>
        <v>0</v>
      </c>
      <c r="AP173" s="23">
        <f t="shared" si="195"/>
        <v>0</v>
      </c>
      <c r="AQ173" s="23">
        <f t="shared" si="195"/>
        <v>0</v>
      </c>
      <c r="AR173" s="23">
        <f t="shared" si="195"/>
        <v>0</v>
      </c>
      <c r="AS173" s="23">
        <f t="shared" si="195"/>
        <v>0</v>
      </c>
      <c r="AT173" s="23">
        <f t="shared" si="195"/>
        <v>0</v>
      </c>
      <c r="AU173" s="23">
        <f t="shared" si="195"/>
        <v>0</v>
      </c>
      <c r="AV173" s="23">
        <f t="shared" si="195"/>
        <v>0</v>
      </c>
      <c r="AW173" s="23">
        <f t="shared" si="195"/>
        <v>0</v>
      </c>
      <c r="AX173" s="23">
        <f t="shared" si="195"/>
        <v>0</v>
      </c>
      <c r="AY173" s="23">
        <f t="shared" si="195"/>
        <v>0</v>
      </c>
      <c r="AZ173" s="23">
        <f t="shared" si="195"/>
        <v>0</v>
      </c>
      <c r="BA173" s="23">
        <f t="shared" si="195"/>
        <v>0</v>
      </c>
      <c r="BB173" s="23">
        <f t="shared" si="195"/>
        <v>0</v>
      </c>
      <c r="BC173" s="23">
        <f t="shared" si="195"/>
        <v>0</v>
      </c>
      <c r="BD173" s="23">
        <f t="shared" si="195"/>
        <v>0</v>
      </c>
      <c r="BE173" s="23">
        <f t="shared" si="195"/>
        <v>0</v>
      </c>
      <c r="BF173" s="23">
        <f t="shared" si="195"/>
        <v>0</v>
      </c>
      <c r="BG173" s="23">
        <f t="shared" si="195"/>
        <v>0</v>
      </c>
      <c r="BH173" s="23">
        <f t="shared" si="195"/>
        <v>0</v>
      </c>
      <c r="BI173" s="23">
        <f t="shared" si="195"/>
        <v>0</v>
      </c>
      <c r="BJ173" s="23">
        <f t="shared" si="195"/>
        <v>0</v>
      </c>
      <c r="BK173" s="23">
        <f t="shared" si="195"/>
        <v>0</v>
      </c>
      <c r="BL173" s="23">
        <f t="shared" si="195"/>
        <v>0</v>
      </c>
      <c r="BM173" s="23">
        <f t="shared" si="195"/>
        <v>0</v>
      </c>
      <c r="BN173" s="23">
        <f t="shared" si="195"/>
        <v>0</v>
      </c>
      <c r="BO173" s="23">
        <f t="shared" si="195"/>
        <v>0</v>
      </c>
      <c r="BP173" s="23">
        <f t="shared" si="195"/>
        <v>0</v>
      </c>
      <c r="BQ173" s="23">
        <f t="shared" si="195"/>
        <v>0</v>
      </c>
      <c r="BR173" s="23">
        <f t="shared" si="195"/>
        <v>0</v>
      </c>
      <c r="BS173" s="23">
        <f t="shared" si="195"/>
        <v>0</v>
      </c>
      <c r="BT173" s="23">
        <f t="shared" si="195"/>
        <v>0</v>
      </c>
      <c r="BU173" s="23">
        <f t="shared" si="195"/>
        <v>0</v>
      </c>
      <c r="BV173" s="23">
        <f t="shared" si="195"/>
        <v>0</v>
      </c>
      <c r="BW173" s="23">
        <f t="shared" si="195"/>
        <v>0</v>
      </c>
      <c r="BX173" s="23">
        <f t="shared" ref="BX173:DQ173" si="196">MAX(-BX172,0)</f>
        <v>0</v>
      </c>
      <c r="BY173" s="23">
        <f t="shared" si="196"/>
        <v>0</v>
      </c>
      <c r="BZ173" s="23">
        <f t="shared" si="196"/>
        <v>0</v>
      </c>
      <c r="CA173" s="23">
        <f t="shared" si="196"/>
        <v>0</v>
      </c>
      <c r="CB173" s="23">
        <f t="shared" si="196"/>
        <v>0</v>
      </c>
      <c r="CC173" s="23">
        <f t="shared" si="196"/>
        <v>0</v>
      </c>
      <c r="CD173" s="23">
        <f t="shared" si="196"/>
        <v>0</v>
      </c>
      <c r="CE173" s="23">
        <f t="shared" si="196"/>
        <v>0</v>
      </c>
      <c r="CF173" s="23">
        <f t="shared" si="196"/>
        <v>0</v>
      </c>
      <c r="CG173" s="23">
        <f t="shared" si="196"/>
        <v>0</v>
      </c>
      <c r="CH173" s="23">
        <f t="shared" si="196"/>
        <v>0</v>
      </c>
      <c r="CI173" s="23">
        <f t="shared" si="196"/>
        <v>0</v>
      </c>
      <c r="CJ173" s="23">
        <f t="shared" si="196"/>
        <v>0</v>
      </c>
      <c r="CK173" s="23">
        <f t="shared" si="196"/>
        <v>0</v>
      </c>
      <c r="CL173" s="23">
        <f t="shared" si="196"/>
        <v>0</v>
      </c>
      <c r="CM173" s="23">
        <f t="shared" si="196"/>
        <v>0</v>
      </c>
      <c r="CN173" s="23">
        <f t="shared" si="196"/>
        <v>0</v>
      </c>
      <c r="CO173" s="23">
        <f t="shared" si="196"/>
        <v>0</v>
      </c>
      <c r="CP173" s="23">
        <f t="shared" si="196"/>
        <v>0</v>
      </c>
      <c r="CQ173" s="23">
        <f t="shared" si="196"/>
        <v>0</v>
      </c>
      <c r="CR173" s="23">
        <f t="shared" si="196"/>
        <v>0</v>
      </c>
      <c r="CS173" s="23">
        <f t="shared" si="196"/>
        <v>0</v>
      </c>
      <c r="CT173" s="23">
        <f t="shared" si="196"/>
        <v>0</v>
      </c>
      <c r="CU173" s="23">
        <f t="shared" si="196"/>
        <v>0</v>
      </c>
      <c r="CV173" s="23">
        <f t="shared" si="196"/>
        <v>0</v>
      </c>
      <c r="CW173" s="23">
        <f t="shared" si="196"/>
        <v>0</v>
      </c>
      <c r="CX173" s="23">
        <f t="shared" si="196"/>
        <v>0</v>
      </c>
      <c r="CY173" s="23">
        <f t="shared" si="196"/>
        <v>0</v>
      </c>
      <c r="CZ173" s="23">
        <f t="shared" si="196"/>
        <v>0</v>
      </c>
      <c r="DA173" s="23">
        <f t="shared" si="196"/>
        <v>0</v>
      </c>
      <c r="DB173" s="23">
        <f t="shared" si="196"/>
        <v>0</v>
      </c>
      <c r="DC173" s="23">
        <f t="shared" si="196"/>
        <v>0</v>
      </c>
      <c r="DD173" s="23">
        <f t="shared" si="196"/>
        <v>0</v>
      </c>
      <c r="DE173" s="23">
        <f t="shared" si="196"/>
        <v>0</v>
      </c>
      <c r="DF173" s="23">
        <f t="shared" si="196"/>
        <v>0</v>
      </c>
      <c r="DG173" s="23">
        <f t="shared" si="196"/>
        <v>0</v>
      </c>
      <c r="DH173" s="23">
        <f t="shared" si="196"/>
        <v>0</v>
      </c>
      <c r="DI173" s="23">
        <f t="shared" si="196"/>
        <v>0</v>
      </c>
      <c r="DJ173" s="23">
        <f t="shared" si="196"/>
        <v>0</v>
      </c>
      <c r="DK173" s="23">
        <f t="shared" si="196"/>
        <v>0</v>
      </c>
      <c r="DL173" s="23">
        <f t="shared" si="196"/>
        <v>0</v>
      </c>
      <c r="DM173" s="23">
        <f t="shared" si="196"/>
        <v>0</v>
      </c>
      <c r="DN173" s="23">
        <f t="shared" si="196"/>
        <v>0</v>
      </c>
      <c r="DO173" s="23">
        <f t="shared" si="196"/>
        <v>0</v>
      </c>
      <c r="DP173" s="23">
        <f t="shared" si="196"/>
        <v>0</v>
      </c>
      <c r="DQ173" s="23">
        <f t="shared" si="196"/>
        <v>0</v>
      </c>
    </row>
    <row r="174" spans="2:1006" x14ac:dyDescent="0.35">
      <c r="D174" s="20" t="s">
        <v>396</v>
      </c>
      <c r="K174" s="23">
        <f>MIN(MAX(K172,0),K134)</f>
        <v>0</v>
      </c>
      <c r="L174" s="23">
        <f t="shared" ref="L174:BW174" si="197">MIN(MAX(L172,0),L134)</f>
        <v>0</v>
      </c>
      <c r="M174" s="23">
        <f t="shared" si="197"/>
        <v>0</v>
      </c>
      <c r="N174" s="23">
        <f t="shared" si="197"/>
        <v>0</v>
      </c>
      <c r="O174" s="23">
        <f t="shared" si="197"/>
        <v>0</v>
      </c>
      <c r="P174" s="23">
        <f t="shared" si="197"/>
        <v>0</v>
      </c>
      <c r="Q174" s="23">
        <f t="shared" si="197"/>
        <v>0</v>
      </c>
      <c r="R174" s="23">
        <f t="shared" si="197"/>
        <v>0</v>
      </c>
      <c r="S174" s="23">
        <f t="shared" si="197"/>
        <v>0</v>
      </c>
      <c r="T174" s="23">
        <f t="shared" si="197"/>
        <v>0</v>
      </c>
      <c r="U174" s="23">
        <f t="shared" si="197"/>
        <v>0</v>
      </c>
      <c r="V174" s="23">
        <f t="shared" si="197"/>
        <v>0</v>
      </c>
      <c r="W174" s="23">
        <f t="shared" si="197"/>
        <v>0</v>
      </c>
      <c r="X174" s="23">
        <f t="shared" si="197"/>
        <v>0</v>
      </c>
      <c r="Y174" s="23">
        <f t="shared" si="197"/>
        <v>0</v>
      </c>
      <c r="Z174" s="23">
        <f t="shared" si="197"/>
        <v>0</v>
      </c>
      <c r="AA174" s="23">
        <f t="shared" si="197"/>
        <v>0</v>
      </c>
      <c r="AB174" s="23">
        <f t="shared" si="197"/>
        <v>0</v>
      </c>
      <c r="AC174" s="23">
        <f t="shared" si="197"/>
        <v>0</v>
      </c>
      <c r="AD174" s="23">
        <f t="shared" si="197"/>
        <v>0</v>
      </c>
      <c r="AE174" s="23">
        <f t="shared" si="197"/>
        <v>0</v>
      </c>
      <c r="AF174" s="23">
        <f t="shared" si="197"/>
        <v>0</v>
      </c>
      <c r="AG174" s="23">
        <f t="shared" si="197"/>
        <v>0</v>
      </c>
      <c r="AH174" s="23">
        <f t="shared" si="197"/>
        <v>0</v>
      </c>
      <c r="AI174" s="23">
        <f t="shared" si="197"/>
        <v>0</v>
      </c>
      <c r="AJ174" s="23">
        <f t="shared" si="197"/>
        <v>0</v>
      </c>
      <c r="AK174" s="23">
        <f t="shared" si="197"/>
        <v>0</v>
      </c>
      <c r="AL174" s="23">
        <f t="shared" si="197"/>
        <v>0</v>
      </c>
      <c r="AM174" s="23">
        <f t="shared" si="197"/>
        <v>0</v>
      </c>
      <c r="AN174" s="23">
        <f t="shared" si="197"/>
        <v>0</v>
      </c>
      <c r="AO174" s="23">
        <f t="shared" si="197"/>
        <v>0</v>
      </c>
      <c r="AP174" s="23">
        <f t="shared" si="197"/>
        <v>0</v>
      </c>
      <c r="AQ174" s="23">
        <f t="shared" si="197"/>
        <v>0</v>
      </c>
      <c r="AR174" s="23">
        <f t="shared" si="197"/>
        <v>0</v>
      </c>
      <c r="AS174" s="23">
        <f t="shared" si="197"/>
        <v>0</v>
      </c>
      <c r="AT174" s="23">
        <f t="shared" si="197"/>
        <v>0</v>
      </c>
      <c r="AU174" s="23">
        <f t="shared" si="197"/>
        <v>0</v>
      </c>
      <c r="AV174" s="23">
        <f t="shared" si="197"/>
        <v>0</v>
      </c>
      <c r="AW174" s="23">
        <f t="shared" si="197"/>
        <v>0</v>
      </c>
      <c r="AX174" s="23">
        <f t="shared" si="197"/>
        <v>0</v>
      </c>
      <c r="AY174" s="23">
        <f t="shared" si="197"/>
        <v>0</v>
      </c>
      <c r="AZ174" s="23">
        <f t="shared" si="197"/>
        <v>0</v>
      </c>
      <c r="BA174" s="23">
        <f t="shared" si="197"/>
        <v>0</v>
      </c>
      <c r="BB174" s="23">
        <f t="shared" si="197"/>
        <v>0</v>
      </c>
      <c r="BC174" s="23">
        <f t="shared" si="197"/>
        <v>0</v>
      </c>
      <c r="BD174" s="23">
        <f t="shared" si="197"/>
        <v>0</v>
      </c>
      <c r="BE174" s="23">
        <f t="shared" si="197"/>
        <v>0</v>
      </c>
      <c r="BF174" s="23">
        <f t="shared" si="197"/>
        <v>0</v>
      </c>
      <c r="BG174" s="23">
        <f t="shared" si="197"/>
        <v>0</v>
      </c>
      <c r="BH174" s="23">
        <f t="shared" si="197"/>
        <v>0</v>
      </c>
      <c r="BI174" s="23">
        <f t="shared" si="197"/>
        <v>0</v>
      </c>
      <c r="BJ174" s="23">
        <f t="shared" si="197"/>
        <v>0</v>
      </c>
      <c r="BK174" s="23">
        <f t="shared" si="197"/>
        <v>0</v>
      </c>
      <c r="BL174" s="23">
        <f t="shared" si="197"/>
        <v>0</v>
      </c>
      <c r="BM174" s="23">
        <f t="shared" si="197"/>
        <v>0</v>
      </c>
      <c r="BN174" s="23">
        <f t="shared" si="197"/>
        <v>0</v>
      </c>
      <c r="BO174" s="23">
        <f t="shared" si="197"/>
        <v>0</v>
      </c>
      <c r="BP174" s="23">
        <f t="shared" si="197"/>
        <v>0</v>
      </c>
      <c r="BQ174" s="23">
        <f t="shared" si="197"/>
        <v>0</v>
      </c>
      <c r="BR174" s="23">
        <f t="shared" si="197"/>
        <v>0</v>
      </c>
      <c r="BS174" s="23">
        <f t="shared" si="197"/>
        <v>0</v>
      </c>
      <c r="BT174" s="23">
        <f t="shared" si="197"/>
        <v>0</v>
      </c>
      <c r="BU174" s="23">
        <f t="shared" si="197"/>
        <v>0</v>
      </c>
      <c r="BV174" s="23">
        <f t="shared" si="197"/>
        <v>0</v>
      </c>
      <c r="BW174" s="23">
        <f t="shared" si="197"/>
        <v>0</v>
      </c>
      <c r="BX174" s="23">
        <f t="shared" ref="BX174:DQ174" si="198">MIN(MAX(BX172,0),BX134)</f>
        <v>0</v>
      </c>
      <c r="BY174" s="23">
        <f t="shared" si="198"/>
        <v>0</v>
      </c>
      <c r="BZ174" s="23">
        <f t="shared" si="198"/>
        <v>0</v>
      </c>
      <c r="CA174" s="23">
        <f t="shared" si="198"/>
        <v>0</v>
      </c>
      <c r="CB174" s="23">
        <f t="shared" si="198"/>
        <v>0</v>
      </c>
      <c r="CC174" s="23">
        <f t="shared" si="198"/>
        <v>0</v>
      </c>
      <c r="CD174" s="23">
        <f t="shared" si="198"/>
        <v>0</v>
      </c>
      <c r="CE174" s="23">
        <f t="shared" si="198"/>
        <v>0</v>
      </c>
      <c r="CF174" s="23">
        <f t="shared" si="198"/>
        <v>0</v>
      </c>
      <c r="CG174" s="23">
        <f t="shared" si="198"/>
        <v>0</v>
      </c>
      <c r="CH174" s="23">
        <f t="shared" si="198"/>
        <v>0</v>
      </c>
      <c r="CI174" s="23">
        <f t="shared" si="198"/>
        <v>0</v>
      </c>
      <c r="CJ174" s="23">
        <f t="shared" si="198"/>
        <v>0</v>
      </c>
      <c r="CK174" s="23">
        <f t="shared" si="198"/>
        <v>0</v>
      </c>
      <c r="CL174" s="23">
        <f t="shared" si="198"/>
        <v>0</v>
      </c>
      <c r="CM174" s="23">
        <f t="shared" si="198"/>
        <v>0</v>
      </c>
      <c r="CN174" s="23">
        <f t="shared" si="198"/>
        <v>0</v>
      </c>
      <c r="CO174" s="23">
        <f t="shared" si="198"/>
        <v>0</v>
      </c>
      <c r="CP174" s="23">
        <f t="shared" si="198"/>
        <v>0</v>
      </c>
      <c r="CQ174" s="23">
        <f t="shared" si="198"/>
        <v>0</v>
      </c>
      <c r="CR174" s="23">
        <f t="shared" si="198"/>
        <v>0</v>
      </c>
      <c r="CS174" s="23">
        <f t="shared" si="198"/>
        <v>0</v>
      </c>
      <c r="CT174" s="23">
        <f t="shared" si="198"/>
        <v>0</v>
      </c>
      <c r="CU174" s="23">
        <f t="shared" si="198"/>
        <v>0</v>
      </c>
      <c r="CV174" s="23">
        <f t="shared" si="198"/>
        <v>0</v>
      </c>
      <c r="CW174" s="23">
        <f t="shared" si="198"/>
        <v>0</v>
      </c>
      <c r="CX174" s="23">
        <f t="shared" si="198"/>
        <v>0</v>
      </c>
      <c r="CY174" s="23">
        <f t="shared" si="198"/>
        <v>0</v>
      </c>
      <c r="CZ174" s="23">
        <f t="shared" si="198"/>
        <v>0</v>
      </c>
      <c r="DA174" s="23">
        <f t="shared" si="198"/>
        <v>0</v>
      </c>
      <c r="DB174" s="23">
        <f t="shared" si="198"/>
        <v>0</v>
      </c>
      <c r="DC174" s="23">
        <f t="shared" si="198"/>
        <v>0</v>
      </c>
      <c r="DD174" s="23">
        <f t="shared" si="198"/>
        <v>0</v>
      </c>
      <c r="DE174" s="23">
        <f t="shared" si="198"/>
        <v>0</v>
      </c>
      <c r="DF174" s="23">
        <f t="shared" si="198"/>
        <v>0</v>
      </c>
      <c r="DG174" s="23">
        <f t="shared" si="198"/>
        <v>0</v>
      </c>
      <c r="DH174" s="23">
        <f t="shared" si="198"/>
        <v>0</v>
      </c>
      <c r="DI174" s="23">
        <f t="shared" si="198"/>
        <v>0</v>
      </c>
      <c r="DJ174" s="23">
        <f t="shared" si="198"/>
        <v>0</v>
      </c>
      <c r="DK174" s="23">
        <f t="shared" si="198"/>
        <v>0</v>
      </c>
      <c r="DL174" s="23">
        <f t="shared" si="198"/>
        <v>0</v>
      </c>
      <c r="DM174" s="23">
        <f t="shared" si="198"/>
        <v>0</v>
      </c>
      <c r="DN174" s="23">
        <f t="shared" si="198"/>
        <v>0</v>
      </c>
      <c r="DO174" s="23">
        <f t="shared" si="198"/>
        <v>0</v>
      </c>
      <c r="DP174" s="23">
        <f t="shared" si="198"/>
        <v>0</v>
      </c>
      <c r="DQ174" s="23">
        <f t="shared" si="198"/>
        <v>0</v>
      </c>
    </row>
    <row r="175" spans="2:1006" ht="15" thickBot="1" x14ac:dyDescent="0.4">
      <c r="E175" s="39" t="s">
        <v>397</v>
      </c>
      <c r="F175" s="39"/>
      <c r="G175" s="39"/>
      <c r="H175" s="39"/>
      <c r="I175" s="39"/>
      <c r="J175" s="39"/>
      <c r="K175" s="44">
        <f>K172+K173-K174</f>
        <v>0</v>
      </c>
      <c r="L175" s="44">
        <f t="shared" ref="L175:BW175" si="199">L172+L173-L174</f>
        <v>0</v>
      </c>
      <c r="M175" s="44">
        <f t="shared" si="199"/>
        <v>0</v>
      </c>
      <c r="N175" s="44">
        <f t="shared" si="199"/>
        <v>0</v>
      </c>
      <c r="O175" s="44">
        <f t="shared" si="199"/>
        <v>0</v>
      </c>
      <c r="P175" s="44">
        <f t="shared" si="199"/>
        <v>0</v>
      </c>
      <c r="Q175" s="44">
        <f t="shared" si="199"/>
        <v>0</v>
      </c>
      <c r="R175" s="44">
        <f t="shared" si="199"/>
        <v>0</v>
      </c>
      <c r="S175" s="44">
        <f t="shared" si="199"/>
        <v>0</v>
      </c>
      <c r="T175" s="44">
        <f t="shared" si="199"/>
        <v>30899.244046142718</v>
      </c>
      <c r="U175" s="44">
        <f t="shared" si="199"/>
        <v>16159.963459835828</v>
      </c>
      <c r="V175" s="44">
        <f t="shared" si="199"/>
        <v>9453.0047572591902</v>
      </c>
      <c r="W175" s="44">
        <f t="shared" si="199"/>
        <v>25025.965791125353</v>
      </c>
      <c r="X175" s="44">
        <f t="shared" si="199"/>
        <v>30650.692458260732</v>
      </c>
      <c r="Y175" s="44">
        <f t="shared" si="199"/>
        <v>15984.541496059475</v>
      </c>
      <c r="Z175" s="44">
        <f t="shared" si="199"/>
        <v>9310.7499356440348</v>
      </c>
      <c r="AA175" s="44">
        <f t="shared" si="199"/>
        <v>24806.032055859778</v>
      </c>
      <c r="AB175" s="44">
        <f t="shared" si="199"/>
        <v>30402.572826203526</v>
      </c>
      <c r="AC175" s="44">
        <f t="shared" si="199"/>
        <v>15809.184918220464</v>
      </c>
      <c r="AD175" s="44">
        <f t="shared" si="199"/>
        <v>9822.9344147512529</v>
      </c>
      <c r="AE175" s="44">
        <f t="shared" si="199"/>
        <v>25767.172317908084</v>
      </c>
      <c r="AF175" s="44">
        <f t="shared" si="199"/>
        <v>31525.985986918633</v>
      </c>
      <c r="AG175" s="44">
        <f t="shared" si="199"/>
        <v>16510.138803208516</v>
      </c>
      <c r="AH175" s="44">
        <f t="shared" si="199"/>
        <v>10128.765595552537</v>
      </c>
      <c r="AI175" s="44">
        <f t="shared" si="199"/>
        <v>26356.523970973703</v>
      </c>
      <c r="AJ175" s="44">
        <f t="shared" si="199"/>
        <v>32217.778691418534</v>
      </c>
      <c r="AK175" s="44">
        <f t="shared" si="199"/>
        <v>16935.03448308662</v>
      </c>
      <c r="AL175" s="44">
        <f t="shared" si="199"/>
        <v>10067.090980031477</v>
      </c>
      <c r="AM175" s="44">
        <f t="shared" si="199"/>
        <v>26283.374699448897</v>
      </c>
      <c r="AN175" s="44">
        <f t="shared" si="199"/>
        <v>32140.661403678765</v>
      </c>
      <c r="AO175" s="44">
        <f t="shared" si="199"/>
        <v>16868.413302102439</v>
      </c>
      <c r="AP175" s="44">
        <f t="shared" si="199"/>
        <v>11388.943755580691</v>
      </c>
      <c r="AQ175" s="44">
        <f t="shared" si="199"/>
        <v>28706.369638935765</v>
      </c>
      <c r="AR175" s="44">
        <f t="shared" si="199"/>
        <v>34961.512940059452</v>
      </c>
      <c r="AS175" s="44">
        <f t="shared" si="199"/>
        <v>18653.513019962036</v>
      </c>
      <c r="AT175" s="44">
        <f t="shared" si="199"/>
        <v>13799.346998313042</v>
      </c>
      <c r="AU175" s="44">
        <f t="shared" si="199"/>
        <v>33093.825762552529</v>
      </c>
      <c r="AV175" s="44">
        <f t="shared" si="199"/>
        <v>40063.880582568148</v>
      </c>
      <c r="AW175" s="44">
        <f t="shared" si="199"/>
        <v>21896.466281506302</v>
      </c>
      <c r="AX175" s="44">
        <f t="shared" si="199"/>
        <v>14396.544401029711</v>
      </c>
      <c r="AY175" s="44">
        <f t="shared" si="199"/>
        <v>34210.759801755892</v>
      </c>
      <c r="AZ175" s="44">
        <f t="shared" si="199"/>
        <v>41368.678930551134</v>
      </c>
      <c r="BA175" s="44">
        <f t="shared" si="199"/>
        <v>22712.226161769566</v>
      </c>
      <c r="BB175" s="44">
        <f t="shared" si="199"/>
        <v>14350.835479109162</v>
      </c>
      <c r="BC175" s="44">
        <f t="shared" si="199"/>
        <v>34168.398230550236</v>
      </c>
      <c r="BD175" s="44">
        <f t="shared" si="199"/>
        <v>41327.425437686557</v>
      </c>
      <c r="BE175" s="44">
        <f t="shared" si="199"/>
        <v>22667.513997707567</v>
      </c>
      <c r="BF175" s="44">
        <f t="shared" si="199"/>
        <v>15298.309574994215</v>
      </c>
      <c r="BG175" s="44">
        <f t="shared" si="199"/>
        <v>35918.252109972454</v>
      </c>
      <c r="BH175" s="44">
        <f t="shared" si="199"/>
        <v>43367.471576474665</v>
      </c>
      <c r="BI175" s="44">
        <f t="shared" si="199"/>
        <v>23952.730832085464</v>
      </c>
      <c r="BJ175" s="44">
        <f t="shared" si="199"/>
        <v>16461.119379485426</v>
      </c>
      <c r="BK175" s="44">
        <f t="shared" si="199"/>
        <v>38057.003127211035</v>
      </c>
      <c r="BL175" s="44">
        <f t="shared" si="199"/>
        <v>45858.959740290287</v>
      </c>
      <c r="BM175" s="44">
        <f t="shared" si="199"/>
        <v>25526.177586292164</v>
      </c>
      <c r="BN175" s="44">
        <f t="shared" si="199"/>
        <v>18044.336932679718</v>
      </c>
      <c r="BO175" s="44">
        <f t="shared" si="199"/>
        <v>40954.787763319604</v>
      </c>
      <c r="BP175" s="44">
        <f t="shared" si="199"/>
        <v>49232.057295687395</v>
      </c>
      <c r="BQ175" s="44">
        <f t="shared" si="199"/>
        <v>27662.804023173099</v>
      </c>
      <c r="BR175" s="44">
        <f t="shared" si="199"/>
        <v>19510.316805259477</v>
      </c>
      <c r="BS175" s="44">
        <f t="shared" si="199"/>
        <v>43641.611924113269</v>
      </c>
      <c r="BT175" s="44">
        <f t="shared" si="199"/>
        <v>52360.297536679558</v>
      </c>
      <c r="BU175" s="44">
        <f t="shared" si="199"/>
        <v>29642.700318098825</v>
      </c>
      <c r="BV175" s="44">
        <f t="shared" si="199"/>
        <v>18159.939229337764</v>
      </c>
      <c r="BW175" s="44">
        <f t="shared" si="199"/>
        <v>31737.15305041369</v>
      </c>
      <c r="BX175" s="44">
        <f t="shared" ref="BX175:DQ175" si="200">BX172+BX173-BX174</f>
        <v>38036.705511144406</v>
      </c>
      <c r="BY175" s="44">
        <f t="shared" si="200"/>
        <v>21623.102358786535</v>
      </c>
      <c r="BZ175" s="44">
        <f t="shared" si="200"/>
        <v>14576.035166815116</v>
      </c>
      <c r="CA175" s="44">
        <f t="shared" si="200"/>
        <v>32262.22477488521</v>
      </c>
      <c r="CB175" s="44">
        <f t="shared" si="200"/>
        <v>38652.57337880315</v>
      </c>
      <c r="CC175" s="44">
        <f t="shared" si="200"/>
        <v>22002.88472549666</v>
      </c>
      <c r="CD175" s="44">
        <f t="shared" si="200"/>
        <v>15647.905156179891</v>
      </c>
      <c r="CE175" s="44">
        <f t="shared" si="200"/>
        <v>34226.43952465475</v>
      </c>
      <c r="CF175" s="44">
        <f t="shared" si="200"/>
        <v>40939.262687241237</v>
      </c>
      <c r="CG175" s="44">
        <f t="shared" si="200"/>
        <v>23450.22176666867</v>
      </c>
      <c r="CH175" s="44">
        <f t="shared" si="200"/>
        <v>16280.243940815708</v>
      </c>
      <c r="CI175" s="44">
        <f t="shared" si="200"/>
        <v>35398.271899654472</v>
      </c>
      <c r="CJ175" s="44">
        <f t="shared" si="200"/>
        <v>42306.125341275285</v>
      </c>
      <c r="CK175" s="44">
        <f t="shared" si="200"/>
        <v>24309.530609417619</v>
      </c>
      <c r="CL175" s="44">
        <f t="shared" si="200"/>
        <v>17851.501253785187</v>
      </c>
      <c r="CM175" s="44">
        <f t="shared" si="200"/>
        <v>38264.3153031697</v>
      </c>
      <c r="CN175" s="44">
        <f t="shared" si="200"/>
        <v>45640.353240702549</v>
      </c>
      <c r="CO175" s="44">
        <f t="shared" si="200"/>
        <v>26425.965634208093</v>
      </c>
      <c r="CP175" s="44">
        <f t="shared" si="200"/>
        <v>19117.96848680899</v>
      </c>
      <c r="CQ175" s="44">
        <f t="shared" si="200"/>
        <v>40580.92610266908</v>
      </c>
      <c r="CR175" s="44">
        <f t="shared" si="200"/>
        <v>48336.671169999128</v>
      </c>
      <c r="CS175" s="44">
        <f t="shared" si="200"/>
        <v>28134.535573751004</v>
      </c>
      <c r="CT175" s="44">
        <f t="shared" si="200"/>
        <v>20521.826983232386</v>
      </c>
      <c r="CU175" s="44">
        <f t="shared" si="200"/>
        <v>45375.911715627182</v>
      </c>
      <c r="CV175" s="44">
        <f t="shared" si="200"/>
        <v>165305.9341183074</v>
      </c>
      <c r="CW175" s="44">
        <f t="shared" si="200"/>
        <v>96691.452243893335</v>
      </c>
      <c r="CX175" s="44">
        <f t="shared" si="200"/>
        <v>70284.505113377527</v>
      </c>
      <c r="CY175" s="44">
        <f t="shared" si="200"/>
        <v>146683.56142875156</v>
      </c>
      <c r="CZ175" s="44">
        <f t="shared" si="200"/>
        <v>174292.36490733508</v>
      </c>
      <c r="DA175" s="44">
        <f t="shared" si="200"/>
        <v>102386.24699556347</v>
      </c>
      <c r="DB175" s="44">
        <f t="shared" si="200"/>
        <v>71074.677867268547</v>
      </c>
      <c r="DC175" s="44">
        <f t="shared" si="200"/>
        <v>148215.89898131281</v>
      </c>
      <c r="DD175" s="44">
        <f t="shared" si="200"/>
        <v>176092.83240197867</v>
      </c>
      <c r="DE175" s="44">
        <f t="shared" si="200"/>
        <v>103487.98088600898</v>
      </c>
      <c r="DF175" s="44">
        <f t="shared" si="200"/>
        <v>71228.010081119864</v>
      </c>
      <c r="DG175" s="44">
        <f t="shared" si="200"/>
        <v>148600.76936745434</v>
      </c>
      <c r="DH175" s="44">
        <f t="shared" si="200"/>
        <v>176561.1580677866</v>
      </c>
      <c r="DI175" s="44">
        <f t="shared" si="200"/>
        <v>103737.72618958834</v>
      </c>
      <c r="DJ175" s="44">
        <f t="shared" si="200"/>
        <v>71462.967265490675</v>
      </c>
      <c r="DK175" s="44">
        <f t="shared" si="200"/>
        <v>149134.30364392351</v>
      </c>
      <c r="DL175" s="44">
        <f t="shared" si="200"/>
        <v>177202.38857385458</v>
      </c>
      <c r="DM175" s="44">
        <f t="shared" si="200"/>
        <v>104097.32443339465</v>
      </c>
      <c r="DN175" s="44">
        <f t="shared" si="200"/>
        <v>72360.33641778765</v>
      </c>
      <c r="DO175" s="44">
        <f t="shared" si="200"/>
        <v>150864.26122988597</v>
      </c>
      <c r="DP175" s="44">
        <f t="shared" si="200"/>
        <v>0</v>
      </c>
      <c r="DQ175" s="44">
        <f t="shared" si="200"/>
        <v>0</v>
      </c>
    </row>
    <row r="176" spans="2:1006" x14ac:dyDescent="0.35">
      <c r="D176" s="20" t="s">
        <v>398</v>
      </c>
      <c r="G176" s="35">
        <f>Assumptions!$F$157</f>
        <v>0</v>
      </c>
      <c r="K176" s="23">
        <f>MAX(MIN(K113-K171,($G$176*K175*K164)),0)</f>
        <v>0</v>
      </c>
      <c r="L176" s="23">
        <f t="shared" ref="L176:BW176" si="201">MAX(MIN(L113-L171,($G$176*L175*L164)),0)</f>
        <v>0</v>
      </c>
      <c r="M176" s="23">
        <f t="shared" si="201"/>
        <v>0</v>
      </c>
      <c r="N176" s="23">
        <f t="shared" si="201"/>
        <v>0</v>
      </c>
      <c r="O176" s="23">
        <f t="shared" si="201"/>
        <v>0</v>
      </c>
      <c r="P176" s="23">
        <f t="shared" si="201"/>
        <v>0</v>
      </c>
      <c r="Q176" s="23">
        <f t="shared" si="201"/>
        <v>0</v>
      </c>
      <c r="R176" s="23">
        <f t="shared" si="201"/>
        <v>0</v>
      </c>
      <c r="S176" s="23">
        <f t="shared" si="201"/>
        <v>0</v>
      </c>
      <c r="T176" s="23">
        <f t="shared" si="201"/>
        <v>0</v>
      </c>
      <c r="U176" s="23">
        <f t="shared" si="201"/>
        <v>0</v>
      </c>
      <c r="V176" s="23">
        <f t="shared" si="201"/>
        <v>0</v>
      </c>
      <c r="W176" s="23">
        <f t="shared" si="201"/>
        <v>0</v>
      </c>
      <c r="X176" s="23">
        <f t="shared" si="201"/>
        <v>0</v>
      </c>
      <c r="Y176" s="23">
        <f t="shared" si="201"/>
        <v>0</v>
      </c>
      <c r="Z176" s="23">
        <f t="shared" si="201"/>
        <v>0</v>
      </c>
      <c r="AA176" s="23">
        <f t="shared" si="201"/>
        <v>0</v>
      </c>
      <c r="AB176" s="23">
        <f t="shared" si="201"/>
        <v>0</v>
      </c>
      <c r="AC176" s="23">
        <f t="shared" si="201"/>
        <v>0</v>
      </c>
      <c r="AD176" s="23">
        <f t="shared" si="201"/>
        <v>0</v>
      </c>
      <c r="AE176" s="23">
        <f t="shared" si="201"/>
        <v>0</v>
      </c>
      <c r="AF176" s="23">
        <f t="shared" si="201"/>
        <v>0</v>
      </c>
      <c r="AG176" s="23">
        <f t="shared" si="201"/>
        <v>0</v>
      </c>
      <c r="AH176" s="23">
        <f t="shared" si="201"/>
        <v>0</v>
      </c>
      <c r="AI176" s="23">
        <f t="shared" si="201"/>
        <v>0</v>
      </c>
      <c r="AJ176" s="23">
        <f t="shared" si="201"/>
        <v>0</v>
      </c>
      <c r="AK176" s="23">
        <f t="shared" si="201"/>
        <v>0</v>
      </c>
      <c r="AL176" s="23">
        <f t="shared" si="201"/>
        <v>0</v>
      </c>
      <c r="AM176" s="23">
        <f t="shared" si="201"/>
        <v>0</v>
      </c>
      <c r="AN176" s="23">
        <f t="shared" si="201"/>
        <v>0</v>
      </c>
      <c r="AO176" s="23">
        <f t="shared" si="201"/>
        <v>0</v>
      </c>
      <c r="AP176" s="23">
        <f t="shared" si="201"/>
        <v>0</v>
      </c>
      <c r="AQ176" s="23">
        <f t="shared" si="201"/>
        <v>0</v>
      </c>
      <c r="AR176" s="23">
        <f t="shared" si="201"/>
        <v>0</v>
      </c>
      <c r="AS176" s="23">
        <f t="shared" si="201"/>
        <v>0</v>
      </c>
      <c r="AT176" s="23">
        <f t="shared" si="201"/>
        <v>0</v>
      </c>
      <c r="AU176" s="23">
        <f t="shared" si="201"/>
        <v>0</v>
      </c>
      <c r="AV176" s="23">
        <f t="shared" si="201"/>
        <v>0</v>
      </c>
      <c r="AW176" s="23">
        <f t="shared" si="201"/>
        <v>0</v>
      </c>
      <c r="AX176" s="23">
        <f t="shared" si="201"/>
        <v>0</v>
      </c>
      <c r="AY176" s="23">
        <f t="shared" si="201"/>
        <v>0</v>
      </c>
      <c r="AZ176" s="23">
        <f t="shared" si="201"/>
        <v>0</v>
      </c>
      <c r="BA176" s="23">
        <f t="shared" si="201"/>
        <v>0</v>
      </c>
      <c r="BB176" s="23">
        <f t="shared" si="201"/>
        <v>0</v>
      </c>
      <c r="BC176" s="23">
        <f t="shared" si="201"/>
        <v>0</v>
      </c>
      <c r="BD176" s="23">
        <f t="shared" si="201"/>
        <v>0</v>
      </c>
      <c r="BE176" s="23">
        <f t="shared" si="201"/>
        <v>0</v>
      </c>
      <c r="BF176" s="23">
        <f t="shared" si="201"/>
        <v>0</v>
      </c>
      <c r="BG176" s="23">
        <f t="shared" si="201"/>
        <v>0</v>
      </c>
      <c r="BH176" s="23">
        <f t="shared" si="201"/>
        <v>0</v>
      </c>
      <c r="BI176" s="23">
        <f t="shared" si="201"/>
        <v>0</v>
      </c>
      <c r="BJ176" s="23">
        <f t="shared" si="201"/>
        <v>0</v>
      </c>
      <c r="BK176" s="23">
        <f t="shared" si="201"/>
        <v>0</v>
      </c>
      <c r="BL176" s="23">
        <f t="shared" si="201"/>
        <v>0</v>
      </c>
      <c r="BM176" s="23">
        <f t="shared" si="201"/>
        <v>0</v>
      </c>
      <c r="BN176" s="23">
        <f t="shared" si="201"/>
        <v>0</v>
      </c>
      <c r="BO176" s="23">
        <f t="shared" si="201"/>
        <v>0</v>
      </c>
      <c r="BP176" s="23">
        <f t="shared" si="201"/>
        <v>0</v>
      </c>
      <c r="BQ176" s="23">
        <f t="shared" si="201"/>
        <v>0</v>
      </c>
      <c r="BR176" s="23">
        <f t="shared" si="201"/>
        <v>0</v>
      </c>
      <c r="BS176" s="23">
        <f t="shared" si="201"/>
        <v>0</v>
      </c>
      <c r="BT176" s="23">
        <f t="shared" si="201"/>
        <v>0</v>
      </c>
      <c r="BU176" s="23">
        <f t="shared" si="201"/>
        <v>0</v>
      </c>
      <c r="BV176" s="23">
        <f t="shared" si="201"/>
        <v>0</v>
      </c>
      <c r="BW176" s="23">
        <f t="shared" si="201"/>
        <v>0</v>
      </c>
      <c r="BX176" s="23">
        <f t="shared" ref="BX176:DQ176" si="202">MAX(MIN(BX113-BX171,($G$176*BX175*BX164)),0)</f>
        <v>0</v>
      </c>
      <c r="BY176" s="23">
        <f t="shared" si="202"/>
        <v>0</v>
      </c>
      <c r="BZ176" s="23">
        <f t="shared" si="202"/>
        <v>0</v>
      </c>
      <c r="CA176" s="23">
        <f t="shared" si="202"/>
        <v>0</v>
      </c>
      <c r="CB176" s="23">
        <f t="shared" si="202"/>
        <v>0</v>
      </c>
      <c r="CC176" s="23">
        <f t="shared" si="202"/>
        <v>0</v>
      </c>
      <c r="CD176" s="23">
        <f t="shared" si="202"/>
        <v>0</v>
      </c>
      <c r="CE176" s="23">
        <f t="shared" si="202"/>
        <v>0</v>
      </c>
      <c r="CF176" s="23">
        <f t="shared" si="202"/>
        <v>0</v>
      </c>
      <c r="CG176" s="23">
        <f t="shared" si="202"/>
        <v>0</v>
      </c>
      <c r="CH176" s="23">
        <f t="shared" si="202"/>
        <v>0</v>
      </c>
      <c r="CI176" s="23">
        <f t="shared" si="202"/>
        <v>0</v>
      </c>
      <c r="CJ176" s="23">
        <f t="shared" si="202"/>
        <v>0</v>
      </c>
      <c r="CK176" s="23">
        <f t="shared" si="202"/>
        <v>0</v>
      </c>
      <c r="CL176" s="23">
        <f t="shared" si="202"/>
        <v>0</v>
      </c>
      <c r="CM176" s="23">
        <f t="shared" si="202"/>
        <v>0</v>
      </c>
      <c r="CN176" s="23">
        <f t="shared" si="202"/>
        <v>0</v>
      </c>
      <c r="CO176" s="23">
        <f t="shared" si="202"/>
        <v>0</v>
      </c>
      <c r="CP176" s="23">
        <f t="shared" si="202"/>
        <v>0</v>
      </c>
      <c r="CQ176" s="23">
        <f t="shared" si="202"/>
        <v>0</v>
      </c>
      <c r="CR176" s="23">
        <f t="shared" si="202"/>
        <v>0</v>
      </c>
      <c r="CS176" s="23">
        <f t="shared" si="202"/>
        <v>0</v>
      </c>
      <c r="CT176" s="23">
        <f t="shared" si="202"/>
        <v>0</v>
      </c>
      <c r="CU176" s="23">
        <f t="shared" si="202"/>
        <v>0</v>
      </c>
      <c r="CV176" s="23">
        <f t="shared" si="202"/>
        <v>0</v>
      </c>
      <c r="CW176" s="23">
        <f t="shared" si="202"/>
        <v>0</v>
      </c>
      <c r="CX176" s="23">
        <f t="shared" si="202"/>
        <v>0</v>
      </c>
      <c r="CY176" s="23">
        <f t="shared" si="202"/>
        <v>0</v>
      </c>
      <c r="CZ176" s="23">
        <f t="shared" si="202"/>
        <v>0</v>
      </c>
      <c r="DA176" s="23">
        <f t="shared" si="202"/>
        <v>0</v>
      </c>
      <c r="DB176" s="23">
        <f t="shared" si="202"/>
        <v>0</v>
      </c>
      <c r="DC176" s="23">
        <f t="shared" si="202"/>
        <v>0</v>
      </c>
      <c r="DD176" s="23">
        <f t="shared" si="202"/>
        <v>0</v>
      </c>
      <c r="DE176" s="23">
        <f t="shared" si="202"/>
        <v>0</v>
      </c>
      <c r="DF176" s="23">
        <f t="shared" si="202"/>
        <v>0</v>
      </c>
      <c r="DG176" s="23">
        <f t="shared" si="202"/>
        <v>0</v>
      </c>
      <c r="DH176" s="23">
        <f t="shared" si="202"/>
        <v>0</v>
      </c>
      <c r="DI176" s="23">
        <f t="shared" si="202"/>
        <v>0</v>
      </c>
      <c r="DJ176" s="23">
        <f t="shared" si="202"/>
        <v>0</v>
      </c>
      <c r="DK176" s="23">
        <f t="shared" si="202"/>
        <v>0</v>
      </c>
      <c r="DL176" s="23">
        <f t="shared" si="202"/>
        <v>0</v>
      </c>
      <c r="DM176" s="23">
        <f t="shared" si="202"/>
        <v>0</v>
      </c>
      <c r="DN176" s="23">
        <f t="shared" si="202"/>
        <v>0</v>
      </c>
      <c r="DO176" s="23">
        <f t="shared" si="202"/>
        <v>0</v>
      </c>
      <c r="DP176" s="23">
        <f t="shared" si="202"/>
        <v>0</v>
      </c>
      <c r="DQ176" s="23">
        <f t="shared" si="202"/>
        <v>0</v>
      </c>
    </row>
    <row r="177" spans="3:121" ht="15" thickBot="1" x14ac:dyDescent="0.4">
      <c r="E177" s="42" t="s">
        <v>399</v>
      </c>
      <c r="F177" s="42"/>
      <c r="G177" s="42"/>
      <c r="H177" s="42"/>
      <c r="I177" s="42"/>
      <c r="J177" s="42"/>
      <c r="K177" s="65">
        <f>K175-K176</f>
        <v>0</v>
      </c>
      <c r="L177" s="65">
        <f t="shared" ref="L177:BW177" si="203">L175-L176</f>
        <v>0</v>
      </c>
      <c r="M177" s="65">
        <f t="shared" si="203"/>
        <v>0</v>
      </c>
      <c r="N177" s="65">
        <f t="shared" si="203"/>
        <v>0</v>
      </c>
      <c r="O177" s="65">
        <f t="shared" si="203"/>
        <v>0</v>
      </c>
      <c r="P177" s="65">
        <f t="shared" si="203"/>
        <v>0</v>
      </c>
      <c r="Q177" s="65">
        <f t="shared" si="203"/>
        <v>0</v>
      </c>
      <c r="R177" s="65">
        <f t="shared" si="203"/>
        <v>0</v>
      </c>
      <c r="S177" s="65">
        <f t="shared" si="203"/>
        <v>0</v>
      </c>
      <c r="T177" s="65">
        <f t="shared" si="203"/>
        <v>30899.244046142718</v>
      </c>
      <c r="U177" s="65">
        <f t="shared" si="203"/>
        <v>16159.963459835828</v>
      </c>
      <c r="V177" s="65">
        <f t="shared" si="203"/>
        <v>9453.0047572591902</v>
      </c>
      <c r="W177" s="65">
        <f t="shared" si="203"/>
        <v>25025.965791125353</v>
      </c>
      <c r="X177" s="65">
        <f t="shared" si="203"/>
        <v>30650.692458260732</v>
      </c>
      <c r="Y177" s="65">
        <f t="shared" si="203"/>
        <v>15984.541496059475</v>
      </c>
      <c r="Z177" s="65">
        <f t="shared" si="203"/>
        <v>9310.7499356440348</v>
      </c>
      <c r="AA177" s="65">
        <f t="shared" si="203"/>
        <v>24806.032055859778</v>
      </c>
      <c r="AB177" s="65">
        <f t="shared" si="203"/>
        <v>30402.572826203526</v>
      </c>
      <c r="AC177" s="65">
        <f t="shared" si="203"/>
        <v>15809.184918220464</v>
      </c>
      <c r="AD177" s="65">
        <f t="shared" si="203"/>
        <v>9822.9344147512529</v>
      </c>
      <c r="AE177" s="65">
        <f t="shared" si="203"/>
        <v>25767.172317908084</v>
      </c>
      <c r="AF177" s="65">
        <f t="shared" si="203"/>
        <v>31525.985986918633</v>
      </c>
      <c r="AG177" s="65">
        <f t="shared" si="203"/>
        <v>16510.138803208516</v>
      </c>
      <c r="AH177" s="65">
        <f t="shared" si="203"/>
        <v>10128.765595552537</v>
      </c>
      <c r="AI177" s="65">
        <f t="shared" si="203"/>
        <v>26356.523970973703</v>
      </c>
      <c r="AJ177" s="65">
        <f t="shared" si="203"/>
        <v>32217.778691418534</v>
      </c>
      <c r="AK177" s="65">
        <f t="shared" si="203"/>
        <v>16935.03448308662</v>
      </c>
      <c r="AL177" s="65">
        <f t="shared" si="203"/>
        <v>10067.090980031477</v>
      </c>
      <c r="AM177" s="65">
        <f t="shared" si="203"/>
        <v>26283.374699448897</v>
      </c>
      <c r="AN177" s="65">
        <f t="shared" si="203"/>
        <v>32140.661403678765</v>
      </c>
      <c r="AO177" s="65">
        <f t="shared" si="203"/>
        <v>16868.413302102439</v>
      </c>
      <c r="AP177" s="65">
        <f t="shared" si="203"/>
        <v>11388.943755580691</v>
      </c>
      <c r="AQ177" s="65">
        <f t="shared" si="203"/>
        <v>28706.369638935765</v>
      </c>
      <c r="AR177" s="65">
        <f t="shared" si="203"/>
        <v>34961.512940059452</v>
      </c>
      <c r="AS177" s="65">
        <f t="shared" si="203"/>
        <v>18653.513019962036</v>
      </c>
      <c r="AT177" s="65">
        <f t="shared" si="203"/>
        <v>13799.346998313042</v>
      </c>
      <c r="AU177" s="65">
        <f t="shared" si="203"/>
        <v>33093.825762552529</v>
      </c>
      <c r="AV177" s="65">
        <f t="shared" si="203"/>
        <v>40063.880582568148</v>
      </c>
      <c r="AW177" s="65">
        <f t="shared" si="203"/>
        <v>21896.466281506302</v>
      </c>
      <c r="AX177" s="65">
        <f t="shared" si="203"/>
        <v>14396.544401029711</v>
      </c>
      <c r="AY177" s="65">
        <f t="shared" si="203"/>
        <v>34210.759801755892</v>
      </c>
      <c r="AZ177" s="65">
        <f t="shared" si="203"/>
        <v>41368.678930551134</v>
      </c>
      <c r="BA177" s="65">
        <f t="shared" si="203"/>
        <v>22712.226161769566</v>
      </c>
      <c r="BB177" s="65">
        <f t="shared" si="203"/>
        <v>14350.835479109162</v>
      </c>
      <c r="BC177" s="65">
        <f t="shared" si="203"/>
        <v>34168.398230550236</v>
      </c>
      <c r="BD177" s="65">
        <f t="shared" si="203"/>
        <v>41327.425437686557</v>
      </c>
      <c r="BE177" s="65">
        <f t="shared" si="203"/>
        <v>22667.513997707567</v>
      </c>
      <c r="BF177" s="65">
        <f t="shared" si="203"/>
        <v>15298.309574994215</v>
      </c>
      <c r="BG177" s="65">
        <f t="shared" si="203"/>
        <v>35918.252109972454</v>
      </c>
      <c r="BH177" s="65">
        <f t="shared" si="203"/>
        <v>43367.471576474665</v>
      </c>
      <c r="BI177" s="65">
        <f t="shared" si="203"/>
        <v>23952.730832085464</v>
      </c>
      <c r="BJ177" s="65">
        <f t="shared" si="203"/>
        <v>16461.119379485426</v>
      </c>
      <c r="BK177" s="65">
        <f t="shared" si="203"/>
        <v>38057.003127211035</v>
      </c>
      <c r="BL177" s="65">
        <f t="shared" si="203"/>
        <v>45858.959740290287</v>
      </c>
      <c r="BM177" s="65">
        <f t="shared" si="203"/>
        <v>25526.177586292164</v>
      </c>
      <c r="BN177" s="65">
        <f t="shared" si="203"/>
        <v>18044.336932679718</v>
      </c>
      <c r="BO177" s="65">
        <f t="shared" si="203"/>
        <v>40954.787763319604</v>
      </c>
      <c r="BP177" s="65">
        <f t="shared" si="203"/>
        <v>49232.057295687395</v>
      </c>
      <c r="BQ177" s="65">
        <f t="shared" si="203"/>
        <v>27662.804023173099</v>
      </c>
      <c r="BR177" s="65">
        <f t="shared" si="203"/>
        <v>19510.316805259477</v>
      </c>
      <c r="BS177" s="65">
        <f t="shared" si="203"/>
        <v>43641.611924113269</v>
      </c>
      <c r="BT177" s="65">
        <f t="shared" si="203"/>
        <v>52360.297536679558</v>
      </c>
      <c r="BU177" s="65">
        <f t="shared" si="203"/>
        <v>29642.700318098825</v>
      </c>
      <c r="BV177" s="65">
        <f t="shared" si="203"/>
        <v>18159.939229337764</v>
      </c>
      <c r="BW177" s="65">
        <f t="shared" si="203"/>
        <v>31737.15305041369</v>
      </c>
      <c r="BX177" s="65">
        <f t="shared" ref="BX177:DQ177" si="204">BX175-BX176</f>
        <v>38036.705511144406</v>
      </c>
      <c r="BY177" s="65">
        <f t="shared" si="204"/>
        <v>21623.102358786535</v>
      </c>
      <c r="BZ177" s="65">
        <f t="shared" si="204"/>
        <v>14576.035166815116</v>
      </c>
      <c r="CA177" s="65">
        <f t="shared" si="204"/>
        <v>32262.22477488521</v>
      </c>
      <c r="CB177" s="65">
        <f t="shared" si="204"/>
        <v>38652.57337880315</v>
      </c>
      <c r="CC177" s="65">
        <f t="shared" si="204"/>
        <v>22002.88472549666</v>
      </c>
      <c r="CD177" s="65">
        <f t="shared" si="204"/>
        <v>15647.905156179891</v>
      </c>
      <c r="CE177" s="65">
        <f t="shared" si="204"/>
        <v>34226.43952465475</v>
      </c>
      <c r="CF177" s="65">
        <f t="shared" si="204"/>
        <v>40939.262687241237</v>
      </c>
      <c r="CG177" s="65">
        <f t="shared" si="204"/>
        <v>23450.22176666867</v>
      </c>
      <c r="CH177" s="65">
        <f t="shared" si="204"/>
        <v>16280.243940815708</v>
      </c>
      <c r="CI177" s="65">
        <f t="shared" si="204"/>
        <v>35398.271899654472</v>
      </c>
      <c r="CJ177" s="65">
        <f t="shared" si="204"/>
        <v>42306.125341275285</v>
      </c>
      <c r="CK177" s="65">
        <f t="shared" si="204"/>
        <v>24309.530609417619</v>
      </c>
      <c r="CL177" s="65">
        <f t="shared" si="204"/>
        <v>17851.501253785187</v>
      </c>
      <c r="CM177" s="65">
        <f t="shared" si="204"/>
        <v>38264.3153031697</v>
      </c>
      <c r="CN177" s="65">
        <f t="shared" si="204"/>
        <v>45640.353240702549</v>
      </c>
      <c r="CO177" s="65">
        <f t="shared" si="204"/>
        <v>26425.965634208093</v>
      </c>
      <c r="CP177" s="65">
        <f t="shared" si="204"/>
        <v>19117.96848680899</v>
      </c>
      <c r="CQ177" s="65">
        <f t="shared" si="204"/>
        <v>40580.92610266908</v>
      </c>
      <c r="CR177" s="65">
        <f t="shared" si="204"/>
        <v>48336.671169999128</v>
      </c>
      <c r="CS177" s="65">
        <f t="shared" si="204"/>
        <v>28134.535573751004</v>
      </c>
      <c r="CT177" s="65">
        <f t="shared" si="204"/>
        <v>20521.826983232386</v>
      </c>
      <c r="CU177" s="65">
        <f t="shared" si="204"/>
        <v>45375.911715627182</v>
      </c>
      <c r="CV177" s="65">
        <f t="shared" si="204"/>
        <v>165305.9341183074</v>
      </c>
      <c r="CW177" s="65">
        <f t="shared" si="204"/>
        <v>96691.452243893335</v>
      </c>
      <c r="CX177" s="65">
        <f t="shared" si="204"/>
        <v>70284.505113377527</v>
      </c>
      <c r="CY177" s="65">
        <f t="shared" si="204"/>
        <v>146683.56142875156</v>
      </c>
      <c r="CZ177" s="65">
        <f t="shared" si="204"/>
        <v>174292.36490733508</v>
      </c>
      <c r="DA177" s="65">
        <f t="shared" si="204"/>
        <v>102386.24699556347</v>
      </c>
      <c r="DB177" s="65">
        <f t="shared" si="204"/>
        <v>71074.677867268547</v>
      </c>
      <c r="DC177" s="65">
        <f t="shared" si="204"/>
        <v>148215.89898131281</v>
      </c>
      <c r="DD177" s="65">
        <f t="shared" si="204"/>
        <v>176092.83240197867</v>
      </c>
      <c r="DE177" s="65">
        <f t="shared" si="204"/>
        <v>103487.98088600898</v>
      </c>
      <c r="DF177" s="65">
        <f t="shared" si="204"/>
        <v>71228.010081119864</v>
      </c>
      <c r="DG177" s="65">
        <f t="shared" si="204"/>
        <v>148600.76936745434</v>
      </c>
      <c r="DH177" s="65">
        <f t="shared" si="204"/>
        <v>176561.1580677866</v>
      </c>
      <c r="DI177" s="65">
        <f t="shared" si="204"/>
        <v>103737.72618958834</v>
      </c>
      <c r="DJ177" s="65">
        <f t="shared" si="204"/>
        <v>71462.967265490675</v>
      </c>
      <c r="DK177" s="65">
        <f t="shared" si="204"/>
        <v>149134.30364392351</v>
      </c>
      <c r="DL177" s="65">
        <f t="shared" si="204"/>
        <v>177202.38857385458</v>
      </c>
      <c r="DM177" s="65">
        <f t="shared" si="204"/>
        <v>104097.32443339465</v>
      </c>
      <c r="DN177" s="65">
        <f t="shared" si="204"/>
        <v>72360.33641778765</v>
      </c>
      <c r="DO177" s="65">
        <f t="shared" si="204"/>
        <v>150864.26122988597</v>
      </c>
      <c r="DP177" s="65">
        <f t="shared" si="204"/>
        <v>0</v>
      </c>
      <c r="DQ177" s="65">
        <f t="shared" si="204"/>
        <v>0</v>
      </c>
    </row>
    <row r="178" spans="3:121" ht="15" thickTop="1" x14ac:dyDescent="0.35"/>
    <row r="179" spans="3:121" x14ac:dyDescent="0.35">
      <c r="C179" s="20" t="s">
        <v>404</v>
      </c>
    </row>
    <row r="180" spans="3:121" x14ac:dyDescent="0.35">
      <c r="D180" s="20" t="s">
        <v>405</v>
      </c>
      <c r="K180" s="20">
        <f>-K97+K177</f>
        <v>-40500</v>
      </c>
      <c r="L180" s="20">
        <f t="shared" ref="L180:BW180" si="205">-L97+L177</f>
        <v>-40500</v>
      </c>
      <c r="M180" s="20">
        <f t="shared" si="205"/>
        <v>-40500</v>
      </c>
      <c r="N180" s="20">
        <f t="shared" si="205"/>
        <v>-40500</v>
      </c>
      <c r="O180" s="20">
        <f t="shared" si="205"/>
        <v>-454642.94695071323</v>
      </c>
      <c r="P180" s="20">
        <f t="shared" si="205"/>
        <v>-162741.24820153296</v>
      </c>
      <c r="Q180" s="20">
        <f t="shared" si="205"/>
        <v>-163029.4538186698</v>
      </c>
      <c r="R180" s="20">
        <f t="shared" si="205"/>
        <v>-163318.16983177979</v>
      </c>
      <c r="S180" s="20">
        <f t="shared" si="205"/>
        <v>-163607.39714474557</v>
      </c>
      <c r="T180" s="20">
        <f t="shared" si="205"/>
        <v>30899.244046142718</v>
      </c>
      <c r="U180" s="20">
        <f t="shared" si="205"/>
        <v>16159.963459835828</v>
      </c>
      <c r="V180" s="20">
        <f t="shared" si="205"/>
        <v>9453.0047572591902</v>
      </c>
      <c r="W180" s="20">
        <f t="shared" si="205"/>
        <v>25025.965791125353</v>
      </c>
      <c r="X180" s="20">
        <f t="shared" si="205"/>
        <v>30650.692458260732</v>
      </c>
      <c r="Y180" s="20">
        <f t="shared" si="205"/>
        <v>15984.541496059475</v>
      </c>
      <c r="Z180" s="20">
        <f t="shared" si="205"/>
        <v>9310.7499356440348</v>
      </c>
      <c r="AA180" s="20">
        <f t="shared" si="205"/>
        <v>24806.032055859778</v>
      </c>
      <c r="AB180" s="20">
        <f t="shared" si="205"/>
        <v>30402.572826203526</v>
      </c>
      <c r="AC180" s="20">
        <f t="shared" si="205"/>
        <v>15809.184918220464</v>
      </c>
      <c r="AD180" s="20">
        <f t="shared" si="205"/>
        <v>9822.9344147512529</v>
      </c>
      <c r="AE180" s="20">
        <f t="shared" si="205"/>
        <v>25767.172317908084</v>
      </c>
      <c r="AF180" s="20">
        <f t="shared" si="205"/>
        <v>31525.985986918633</v>
      </c>
      <c r="AG180" s="20">
        <f t="shared" si="205"/>
        <v>16510.138803208516</v>
      </c>
      <c r="AH180" s="20">
        <f t="shared" si="205"/>
        <v>10128.765595552537</v>
      </c>
      <c r="AI180" s="20">
        <f t="shared" si="205"/>
        <v>26356.523970973703</v>
      </c>
      <c r="AJ180" s="20">
        <f t="shared" si="205"/>
        <v>32217.778691418534</v>
      </c>
      <c r="AK180" s="20">
        <f t="shared" si="205"/>
        <v>16935.03448308662</v>
      </c>
      <c r="AL180" s="20">
        <f t="shared" si="205"/>
        <v>10067.090980031477</v>
      </c>
      <c r="AM180" s="20">
        <f t="shared" si="205"/>
        <v>26283.374699448897</v>
      </c>
      <c r="AN180" s="20">
        <f t="shared" si="205"/>
        <v>32140.661403678765</v>
      </c>
      <c r="AO180" s="20">
        <f t="shared" si="205"/>
        <v>16868.413302102439</v>
      </c>
      <c r="AP180" s="20">
        <f t="shared" si="205"/>
        <v>11388.943755580691</v>
      </c>
      <c r="AQ180" s="20">
        <f t="shared" si="205"/>
        <v>28706.369638935765</v>
      </c>
      <c r="AR180" s="20">
        <f t="shared" si="205"/>
        <v>34961.512940059452</v>
      </c>
      <c r="AS180" s="20">
        <f t="shared" si="205"/>
        <v>18653.513019962036</v>
      </c>
      <c r="AT180" s="20">
        <f t="shared" si="205"/>
        <v>13799.346998313042</v>
      </c>
      <c r="AU180" s="20">
        <f t="shared" si="205"/>
        <v>33093.825762552529</v>
      </c>
      <c r="AV180" s="20">
        <f t="shared" si="205"/>
        <v>40063.880582568148</v>
      </c>
      <c r="AW180" s="20">
        <f t="shared" si="205"/>
        <v>21896.466281506302</v>
      </c>
      <c r="AX180" s="20">
        <f t="shared" si="205"/>
        <v>14396.544401029711</v>
      </c>
      <c r="AY180" s="20">
        <f t="shared" si="205"/>
        <v>34210.759801755892</v>
      </c>
      <c r="AZ180" s="20">
        <f t="shared" si="205"/>
        <v>41368.678930551134</v>
      </c>
      <c r="BA180" s="20">
        <f t="shared" si="205"/>
        <v>22712.226161769566</v>
      </c>
      <c r="BB180" s="20">
        <f t="shared" si="205"/>
        <v>14350.835479109162</v>
      </c>
      <c r="BC180" s="20">
        <f t="shared" si="205"/>
        <v>34168.398230550236</v>
      </c>
      <c r="BD180" s="20">
        <f t="shared" si="205"/>
        <v>41327.425437686557</v>
      </c>
      <c r="BE180" s="20">
        <f t="shared" si="205"/>
        <v>22667.513997707567</v>
      </c>
      <c r="BF180" s="20">
        <f t="shared" si="205"/>
        <v>15298.309574994215</v>
      </c>
      <c r="BG180" s="20">
        <f t="shared" si="205"/>
        <v>35918.252109972454</v>
      </c>
      <c r="BH180" s="20">
        <f t="shared" si="205"/>
        <v>43367.471576474665</v>
      </c>
      <c r="BI180" s="20">
        <f t="shared" si="205"/>
        <v>23952.730832085464</v>
      </c>
      <c r="BJ180" s="20">
        <f t="shared" si="205"/>
        <v>16461.119379485426</v>
      </c>
      <c r="BK180" s="20">
        <f t="shared" si="205"/>
        <v>38057.003127211035</v>
      </c>
      <c r="BL180" s="20">
        <f t="shared" si="205"/>
        <v>45858.959740290287</v>
      </c>
      <c r="BM180" s="20">
        <f t="shared" si="205"/>
        <v>25526.177586292164</v>
      </c>
      <c r="BN180" s="20">
        <f t="shared" si="205"/>
        <v>18044.336932679718</v>
      </c>
      <c r="BO180" s="20">
        <f t="shared" si="205"/>
        <v>40954.787763319604</v>
      </c>
      <c r="BP180" s="20">
        <f t="shared" si="205"/>
        <v>49232.057295687395</v>
      </c>
      <c r="BQ180" s="20">
        <f t="shared" si="205"/>
        <v>27662.804023173099</v>
      </c>
      <c r="BR180" s="20">
        <f t="shared" si="205"/>
        <v>19510.316805259477</v>
      </c>
      <c r="BS180" s="20">
        <f t="shared" si="205"/>
        <v>43641.611924113269</v>
      </c>
      <c r="BT180" s="20">
        <f t="shared" si="205"/>
        <v>52360.297536679558</v>
      </c>
      <c r="BU180" s="20">
        <f t="shared" si="205"/>
        <v>29642.700318098825</v>
      </c>
      <c r="BV180" s="20">
        <f t="shared" si="205"/>
        <v>18159.939229337764</v>
      </c>
      <c r="BW180" s="20">
        <f t="shared" si="205"/>
        <v>31737.15305041369</v>
      </c>
      <c r="BX180" s="20">
        <f t="shared" ref="BX180:DQ180" si="206">-BX97+BX177</f>
        <v>38036.705511144406</v>
      </c>
      <c r="BY180" s="20">
        <f t="shared" si="206"/>
        <v>21623.102358786535</v>
      </c>
      <c r="BZ180" s="20">
        <f t="shared" si="206"/>
        <v>14576.035166815116</v>
      </c>
      <c r="CA180" s="20">
        <f t="shared" si="206"/>
        <v>32262.22477488521</v>
      </c>
      <c r="CB180" s="20">
        <f t="shared" si="206"/>
        <v>38652.57337880315</v>
      </c>
      <c r="CC180" s="20">
        <f t="shared" si="206"/>
        <v>22002.88472549666</v>
      </c>
      <c r="CD180" s="20">
        <f t="shared" si="206"/>
        <v>15647.905156179891</v>
      </c>
      <c r="CE180" s="20">
        <f t="shared" si="206"/>
        <v>34226.43952465475</v>
      </c>
      <c r="CF180" s="20">
        <f t="shared" si="206"/>
        <v>40939.262687241237</v>
      </c>
      <c r="CG180" s="20">
        <f t="shared" si="206"/>
        <v>23450.22176666867</v>
      </c>
      <c r="CH180" s="20">
        <f t="shared" si="206"/>
        <v>16280.243940815708</v>
      </c>
      <c r="CI180" s="20">
        <f t="shared" si="206"/>
        <v>35398.271899654472</v>
      </c>
      <c r="CJ180" s="20">
        <f t="shared" si="206"/>
        <v>42306.125341275285</v>
      </c>
      <c r="CK180" s="20">
        <f t="shared" si="206"/>
        <v>24309.530609417619</v>
      </c>
      <c r="CL180" s="20">
        <f t="shared" si="206"/>
        <v>17851.501253785187</v>
      </c>
      <c r="CM180" s="20">
        <f t="shared" si="206"/>
        <v>38264.3153031697</v>
      </c>
      <c r="CN180" s="20">
        <f t="shared" si="206"/>
        <v>45640.353240702549</v>
      </c>
      <c r="CO180" s="20">
        <f t="shared" si="206"/>
        <v>26425.965634208093</v>
      </c>
      <c r="CP180" s="20">
        <f t="shared" si="206"/>
        <v>19117.96848680899</v>
      </c>
      <c r="CQ180" s="20">
        <f t="shared" si="206"/>
        <v>40580.92610266908</v>
      </c>
      <c r="CR180" s="20">
        <f t="shared" si="206"/>
        <v>48336.671169999128</v>
      </c>
      <c r="CS180" s="20">
        <f t="shared" si="206"/>
        <v>28134.535573751004</v>
      </c>
      <c r="CT180" s="20">
        <f t="shared" si="206"/>
        <v>20521.826983232386</v>
      </c>
      <c r="CU180" s="20">
        <f t="shared" si="206"/>
        <v>45375.911715627182</v>
      </c>
      <c r="CV180" s="20">
        <f t="shared" si="206"/>
        <v>165305.9341183074</v>
      </c>
      <c r="CW180" s="20">
        <f t="shared" si="206"/>
        <v>96691.452243893335</v>
      </c>
      <c r="CX180" s="20">
        <f t="shared" si="206"/>
        <v>70284.505113377527</v>
      </c>
      <c r="CY180" s="20">
        <f t="shared" si="206"/>
        <v>146683.56142875156</v>
      </c>
      <c r="CZ180" s="20">
        <f t="shared" si="206"/>
        <v>174292.36490733508</v>
      </c>
      <c r="DA180" s="20">
        <f t="shared" si="206"/>
        <v>102386.24699556347</v>
      </c>
      <c r="DB180" s="20">
        <f t="shared" si="206"/>
        <v>71074.677867268547</v>
      </c>
      <c r="DC180" s="20">
        <f t="shared" si="206"/>
        <v>148215.89898131281</v>
      </c>
      <c r="DD180" s="20">
        <f t="shared" si="206"/>
        <v>176092.83240197867</v>
      </c>
      <c r="DE180" s="20">
        <f t="shared" si="206"/>
        <v>103487.98088600898</v>
      </c>
      <c r="DF180" s="20">
        <f t="shared" si="206"/>
        <v>71228.010081119864</v>
      </c>
      <c r="DG180" s="20">
        <f t="shared" si="206"/>
        <v>148600.76936745434</v>
      </c>
      <c r="DH180" s="20">
        <f t="shared" si="206"/>
        <v>176561.1580677866</v>
      </c>
      <c r="DI180" s="20">
        <f t="shared" si="206"/>
        <v>103737.72618958834</v>
      </c>
      <c r="DJ180" s="20">
        <f t="shared" si="206"/>
        <v>71462.967265490675</v>
      </c>
      <c r="DK180" s="20">
        <f t="shared" si="206"/>
        <v>149134.30364392351</v>
      </c>
      <c r="DL180" s="20">
        <f t="shared" si="206"/>
        <v>177202.38857385458</v>
      </c>
      <c r="DM180" s="20">
        <f t="shared" si="206"/>
        <v>104097.32443339465</v>
      </c>
      <c r="DN180" s="20">
        <f t="shared" si="206"/>
        <v>72360.33641778765</v>
      </c>
      <c r="DO180" s="20">
        <f t="shared" si="206"/>
        <v>150864.26122988597</v>
      </c>
      <c r="DP180" s="20">
        <f t="shared" si="206"/>
        <v>0</v>
      </c>
      <c r="DQ180" s="20">
        <f t="shared" si="206"/>
        <v>0</v>
      </c>
    </row>
    <row r="181" spans="3:121" x14ac:dyDescent="0.35">
      <c r="D181" s="20" t="s">
        <v>294</v>
      </c>
      <c r="G181" s="22">
        <f>XIRR(K180:DQ180,K7:DQ7)</f>
        <v>9.1066101193428048E-2</v>
      </c>
    </row>
    <row r="183" spans="3:121" x14ac:dyDescent="0.35">
      <c r="D183" s="20" t="s">
        <v>31</v>
      </c>
      <c r="K183" s="20">
        <f>K169</f>
        <v>0</v>
      </c>
      <c r="L183" s="20">
        <f t="shared" ref="L183:BW183" si="207">L169</f>
        <v>0</v>
      </c>
      <c r="M183" s="20">
        <f t="shared" si="207"/>
        <v>0</v>
      </c>
      <c r="N183" s="20">
        <f t="shared" si="207"/>
        <v>0</v>
      </c>
      <c r="O183" s="20">
        <f t="shared" si="207"/>
        <v>0</v>
      </c>
      <c r="P183" s="20">
        <f t="shared" si="207"/>
        <v>0</v>
      </c>
      <c r="Q183" s="20">
        <f t="shared" si="207"/>
        <v>0</v>
      </c>
      <c r="R183" s="20">
        <f t="shared" si="207"/>
        <v>0</v>
      </c>
      <c r="S183" s="20">
        <f t="shared" si="207"/>
        <v>0</v>
      </c>
      <c r="T183" s="20">
        <f t="shared" si="207"/>
        <v>99503.150667626498</v>
      </c>
      <c r="U183" s="20">
        <f t="shared" si="207"/>
        <v>52009.913222859825</v>
      </c>
      <c r="V183" s="20">
        <f t="shared" si="207"/>
        <v>30398.601847890644</v>
      </c>
      <c r="W183" s="20">
        <f t="shared" si="207"/>
        <v>80578.142957014934</v>
      </c>
      <c r="X183" s="20">
        <f t="shared" si="207"/>
        <v>98702.262217784533</v>
      </c>
      <c r="Y183" s="20">
        <f t="shared" si="207"/>
        <v>51444.664672913801</v>
      </c>
      <c r="Z183" s="20">
        <f t="shared" si="207"/>
        <v>29940.225200464032</v>
      </c>
      <c r="AA183" s="20">
        <f t="shared" si="207"/>
        <v>79869.467587825871</v>
      </c>
      <c r="AB183" s="20">
        <f t="shared" si="207"/>
        <v>97902.765625600179</v>
      </c>
      <c r="AC183" s="20">
        <f t="shared" si="207"/>
        <v>50879.626810988084</v>
      </c>
      <c r="AD183" s="20">
        <f t="shared" si="207"/>
        <v>31590.597410920618</v>
      </c>
      <c r="AE183" s="20">
        <f t="shared" si="207"/>
        <v>82966.475098870433</v>
      </c>
      <c r="AF183" s="20">
        <f t="shared" si="207"/>
        <v>101522.65247679333</v>
      </c>
      <c r="AG183" s="20">
        <f t="shared" si="207"/>
        <v>53138.25599594957</v>
      </c>
      <c r="AH183" s="20">
        <f t="shared" si="207"/>
        <v>32576.053437946994</v>
      </c>
      <c r="AI183" s="20">
        <f t="shared" si="207"/>
        <v>84865.497092081874</v>
      </c>
      <c r="AJ183" s="20">
        <f t="shared" si="207"/>
        <v>103751.76230240409</v>
      </c>
      <c r="AK183" s="20">
        <f t="shared" si="207"/>
        <v>54507.36429777903</v>
      </c>
      <c r="AL183" s="20">
        <f t="shared" si="207"/>
        <v>32377.324121268019</v>
      </c>
      <c r="AM183" s="20">
        <f t="shared" si="207"/>
        <v>84629.793883835257</v>
      </c>
      <c r="AN183" s="20">
        <f t="shared" si="207"/>
        <v>103502.37502666502</v>
      </c>
      <c r="AO183" s="20">
        <f t="shared" si="207"/>
        <v>54291.797810474614</v>
      </c>
      <c r="AP183" s="20">
        <f t="shared" si="207"/>
        <v>36635.729271682314</v>
      </c>
      <c r="AQ183" s="20">
        <f t="shared" si="207"/>
        <v>92436.323784715321</v>
      </c>
      <c r="AR183" s="20">
        <f t="shared" si="207"/>
        <v>112591.78553278054</v>
      </c>
      <c r="AS183" s="20">
        <f t="shared" si="207"/>
        <v>60043.785790244423</v>
      </c>
      <c r="AT183" s="20">
        <f t="shared" si="207"/>
        <v>44402.584164931002</v>
      </c>
      <c r="AU183" s="20">
        <f t="shared" si="207"/>
        <v>106573.68240525824</v>
      </c>
      <c r="AV183" s="20">
        <f t="shared" si="207"/>
        <v>129032.74793641971</v>
      </c>
      <c r="AW183" s="20">
        <f t="shared" si="207"/>
        <v>70493.301855220416</v>
      </c>
      <c r="AX183" s="20">
        <f t="shared" si="207"/>
        <v>46326.886907018044</v>
      </c>
      <c r="AY183" s="20">
        <f t="shared" si="207"/>
        <v>110172.69208713573</v>
      </c>
      <c r="AZ183" s="20">
        <f t="shared" si="207"/>
        <v>133237.09816880926</v>
      </c>
      <c r="BA183" s="20">
        <f t="shared" si="207"/>
        <v>73121.861469402036</v>
      </c>
      <c r="BB183" s="20">
        <f t="shared" si="207"/>
        <v>46179.602603051833</v>
      </c>
      <c r="BC183" s="20">
        <f t="shared" si="207"/>
        <v>110036.19369102863</v>
      </c>
      <c r="BD183" s="20">
        <f t="shared" si="207"/>
        <v>133104.17024735676</v>
      </c>
      <c r="BE183" s="20">
        <f t="shared" si="207"/>
        <v>72977.78894075779</v>
      </c>
      <c r="BF183" s="20">
        <f t="shared" si="207"/>
        <v>49232.574689792556</v>
      </c>
      <c r="BG183" s="20">
        <f t="shared" si="207"/>
        <v>115674.61174694466</v>
      </c>
      <c r="BH183" s="20">
        <f t="shared" si="207"/>
        <v>139677.29295513188</v>
      </c>
      <c r="BI183" s="20">
        <f t="shared" si="207"/>
        <v>77118.683889877779</v>
      </c>
      <c r="BJ183" s="20">
        <f t="shared" si="207"/>
        <v>52979.046987055401</v>
      </c>
      <c r="BK183" s="20">
        <f t="shared" si="207"/>
        <v>122565.7835075046</v>
      </c>
      <c r="BL183" s="20">
        <f t="shared" si="207"/>
        <v>147705.42148298217</v>
      </c>
      <c r="BM183" s="20">
        <f t="shared" si="207"/>
        <v>82188.678986765997</v>
      </c>
      <c r="BN183" s="20">
        <f t="shared" si="207"/>
        <v>58080.525769570362</v>
      </c>
      <c r="BO183" s="20">
        <f t="shared" si="207"/>
        <v>131903.08955718775</v>
      </c>
      <c r="BP183" s="20">
        <f t="shared" si="207"/>
        <v>158574.29138370621</v>
      </c>
      <c r="BQ183" s="20">
        <f t="shared" si="207"/>
        <v>89073.364172271278</v>
      </c>
      <c r="BR183" s="20">
        <f t="shared" si="207"/>
        <v>62804.238692327359</v>
      </c>
      <c r="BS183" s="20">
        <f t="shared" si="207"/>
        <v>140560.63407530065</v>
      </c>
      <c r="BT183" s="20">
        <f t="shared" si="207"/>
        <v>168654.17660468101</v>
      </c>
      <c r="BU183" s="20">
        <f t="shared" si="207"/>
        <v>95453.030011476396</v>
      </c>
      <c r="BV183" s="20">
        <f t="shared" si="207"/>
        <v>58453.022058801842</v>
      </c>
      <c r="BW183" s="20">
        <f t="shared" si="207"/>
        <v>102201.82214893539</v>
      </c>
      <c r="BX183" s="20">
        <f t="shared" ref="BX183:DQ183" si="208">BX169</f>
        <v>122500.38007795662</v>
      </c>
      <c r="BY183" s="20">
        <f t="shared" si="208"/>
        <v>69612.10325369233</v>
      </c>
      <c r="BZ183" s="20">
        <f t="shared" si="208"/>
        <v>46904.886746228854</v>
      </c>
      <c r="CA183" s="20">
        <f t="shared" si="208"/>
        <v>103893.71992778804</v>
      </c>
      <c r="CB183" s="20">
        <f t="shared" si="208"/>
        <v>124484.30426459927</v>
      </c>
      <c r="CC183" s="20">
        <f t="shared" si="208"/>
        <v>70835.307492833934</v>
      </c>
      <c r="CD183" s="20">
        <f t="shared" si="208"/>
        <v>50358.151102813237</v>
      </c>
      <c r="CE183" s="20">
        <f t="shared" si="208"/>
        <v>110222.3174012322</v>
      </c>
      <c r="CF183" s="20">
        <f t="shared" si="208"/>
        <v>131852.52536956646</v>
      </c>
      <c r="CG183" s="20">
        <f t="shared" si="208"/>
        <v>75498.949069943774</v>
      </c>
      <c r="CH183" s="20">
        <f t="shared" si="208"/>
        <v>52395.687186639771</v>
      </c>
      <c r="CI183" s="20">
        <f t="shared" si="208"/>
        <v>113998.22172067576</v>
      </c>
      <c r="CJ183" s="20">
        <f t="shared" si="208"/>
        <v>136256.86058812062</v>
      </c>
      <c r="CK183" s="20">
        <f t="shared" si="208"/>
        <v>78267.833118801515</v>
      </c>
      <c r="CL183" s="20">
        <f t="shared" si="208"/>
        <v>57458.627417319207</v>
      </c>
      <c r="CM183" s="20">
        <f t="shared" si="208"/>
        <v>123233.25046533596</v>
      </c>
      <c r="CN183" s="20">
        <f t="shared" si="208"/>
        <v>147000.48381960849</v>
      </c>
      <c r="CO183" s="20">
        <f t="shared" si="208"/>
        <v>85087.457087570772</v>
      </c>
      <c r="CP183" s="20">
        <f t="shared" si="208"/>
        <v>61539.466279284767</v>
      </c>
      <c r="CQ183" s="20">
        <f t="shared" si="208"/>
        <v>130697.88526372283</v>
      </c>
      <c r="CR183" s="20">
        <f t="shared" si="208"/>
        <v>155688.61936956411</v>
      </c>
      <c r="CS183" s="20">
        <f t="shared" si="208"/>
        <v>90592.849114986835</v>
      </c>
      <c r="CT183" s="20">
        <f t="shared" si="208"/>
        <v>66063.010323315699</v>
      </c>
      <c r="CU183" s="20">
        <f t="shared" si="208"/>
        <v>138962.49472898542</v>
      </c>
      <c r="CV183" s="20">
        <f t="shared" si="208"/>
        <v>165305.9341183074</v>
      </c>
      <c r="CW183" s="20">
        <f t="shared" si="208"/>
        <v>96691.452243893335</v>
      </c>
      <c r="CX183" s="20">
        <f t="shared" si="208"/>
        <v>70284.505113377527</v>
      </c>
      <c r="CY183" s="20">
        <f t="shared" si="208"/>
        <v>146683.56142875156</v>
      </c>
      <c r="CZ183" s="20">
        <f t="shared" si="208"/>
        <v>174292.36490733508</v>
      </c>
      <c r="DA183" s="20">
        <f t="shared" si="208"/>
        <v>102386.24699556347</v>
      </c>
      <c r="DB183" s="20">
        <f t="shared" si="208"/>
        <v>71074.677867268547</v>
      </c>
      <c r="DC183" s="20">
        <f t="shared" si="208"/>
        <v>148215.89898131281</v>
      </c>
      <c r="DD183" s="20">
        <f t="shared" si="208"/>
        <v>176092.83240197867</v>
      </c>
      <c r="DE183" s="20">
        <f t="shared" si="208"/>
        <v>103487.98088600898</v>
      </c>
      <c r="DF183" s="20">
        <f t="shared" si="208"/>
        <v>71228.010081119864</v>
      </c>
      <c r="DG183" s="20">
        <f t="shared" si="208"/>
        <v>148600.76936745434</v>
      </c>
      <c r="DH183" s="20">
        <f t="shared" si="208"/>
        <v>176561.1580677866</v>
      </c>
      <c r="DI183" s="20">
        <f t="shared" si="208"/>
        <v>103737.72618958834</v>
      </c>
      <c r="DJ183" s="20">
        <f t="shared" si="208"/>
        <v>71462.967265490675</v>
      </c>
      <c r="DK183" s="20">
        <f t="shared" si="208"/>
        <v>149134.30364392351</v>
      </c>
      <c r="DL183" s="20">
        <f t="shared" si="208"/>
        <v>177202.38857385458</v>
      </c>
      <c r="DM183" s="20">
        <f t="shared" si="208"/>
        <v>104097.32443339465</v>
      </c>
      <c r="DN183" s="20">
        <f t="shared" si="208"/>
        <v>72360.33641778765</v>
      </c>
      <c r="DO183" s="20">
        <f t="shared" si="208"/>
        <v>150864.26122988597</v>
      </c>
      <c r="DP183" s="20">
        <f t="shared" si="208"/>
        <v>0</v>
      </c>
      <c r="DQ183" s="20">
        <f t="shared" si="208"/>
        <v>0</v>
      </c>
    </row>
    <row r="184" spans="3:121" x14ac:dyDescent="0.35">
      <c r="D184" s="20" t="s">
        <v>366</v>
      </c>
      <c r="K184" s="20">
        <f>K170+K171</f>
        <v>0</v>
      </c>
      <c r="L184" s="20">
        <f t="shared" ref="L184:BW184" si="209">L170+L171</f>
        <v>0</v>
      </c>
      <c r="M184" s="20">
        <f t="shared" si="209"/>
        <v>0</v>
      </c>
      <c r="N184" s="20">
        <f t="shared" si="209"/>
        <v>0</v>
      </c>
      <c r="O184" s="20">
        <f t="shared" si="209"/>
        <v>0</v>
      </c>
      <c r="P184" s="20">
        <f t="shared" si="209"/>
        <v>0</v>
      </c>
      <c r="Q184" s="20">
        <f t="shared" si="209"/>
        <v>0</v>
      </c>
      <c r="R184" s="20">
        <f t="shared" si="209"/>
        <v>0</v>
      </c>
      <c r="S184" s="20">
        <f t="shared" si="209"/>
        <v>0</v>
      </c>
      <c r="T184" s="20">
        <f t="shared" si="209"/>
        <v>68603.906621483766</v>
      </c>
      <c r="U184" s="20">
        <f t="shared" si="209"/>
        <v>35849.949763023993</v>
      </c>
      <c r="V184" s="20">
        <f t="shared" si="209"/>
        <v>20945.597090631454</v>
      </c>
      <c r="W184" s="20">
        <f t="shared" si="209"/>
        <v>55552.177165889581</v>
      </c>
      <c r="X184" s="20">
        <f t="shared" si="209"/>
        <v>68051.569759523787</v>
      </c>
      <c r="Y184" s="20">
        <f t="shared" si="209"/>
        <v>35460.123176854322</v>
      </c>
      <c r="Z184" s="20">
        <f t="shared" si="209"/>
        <v>20629.475264819997</v>
      </c>
      <c r="AA184" s="20">
        <f t="shared" si="209"/>
        <v>55063.435531966097</v>
      </c>
      <c r="AB184" s="20">
        <f t="shared" si="209"/>
        <v>67500.192799396653</v>
      </c>
      <c r="AC184" s="20">
        <f t="shared" si="209"/>
        <v>35070.441892767616</v>
      </c>
      <c r="AD184" s="20">
        <f t="shared" si="209"/>
        <v>21767.662996169365</v>
      </c>
      <c r="AE184" s="20">
        <f t="shared" si="209"/>
        <v>57199.302780962345</v>
      </c>
      <c r="AF184" s="20">
        <f t="shared" si="209"/>
        <v>69996.666489874682</v>
      </c>
      <c r="AG184" s="20">
        <f t="shared" si="209"/>
        <v>36628.117192741054</v>
      </c>
      <c r="AH184" s="20">
        <f t="shared" si="209"/>
        <v>22447.287842394457</v>
      </c>
      <c r="AI184" s="20">
        <f t="shared" si="209"/>
        <v>58508.973121108167</v>
      </c>
      <c r="AJ184" s="20">
        <f t="shared" si="209"/>
        <v>71533.983610985568</v>
      </c>
      <c r="AK184" s="20">
        <f t="shared" si="209"/>
        <v>37572.329814692406</v>
      </c>
      <c r="AL184" s="20">
        <f t="shared" si="209"/>
        <v>22310.233141236542</v>
      </c>
      <c r="AM184" s="20">
        <f t="shared" si="209"/>
        <v>58346.419184386359</v>
      </c>
      <c r="AN184" s="20">
        <f t="shared" si="209"/>
        <v>71361.713622986252</v>
      </c>
      <c r="AO184" s="20">
        <f t="shared" si="209"/>
        <v>37423.384508372175</v>
      </c>
      <c r="AP184" s="20">
        <f t="shared" si="209"/>
        <v>25246.785516101623</v>
      </c>
      <c r="AQ184" s="20">
        <f t="shared" si="209"/>
        <v>63729.954145779564</v>
      </c>
      <c r="AR184" s="20">
        <f t="shared" si="209"/>
        <v>77630.272592721099</v>
      </c>
      <c r="AS184" s="20">
        <f t="shared" si="209"/>
        <v>41390.27277028239</v>
      </c>
      <c r="AT184" s="20">
        <f t="shared" si="209"/>
        <v>30603.237166617961</v>
      </c>
      <c r="AU184" s="20">
        <f t="shared" si="209"/>
        <v>73479.856642705709</v>
      </c>
      <c r="AV184" s="20">
        <f t="shared" si="209"/>
        <v>88968.867353851558</v>
      </c>
      <c r="AW184" s="20">
        <f t="shared" si="209"/>
        <v>48596.83557371411</v>
      </c>
      <c r="AX184" s="20">
        <f t="shared" si="209"/>
        <v>31930.342505988334</v>
      </c>
      <c r="AY184" s="20">
        <f t="shared" si="209"/>
        <v>75961.932285379837</v>
      </c>
      <c r="AZ184" s="20">
        <f t="shared" si="209"/>
        <v>91868.419238258124</v>
      </c>
      <c r="BA184" s="20">
        <f t="shared" si="209"/>
        <v>50409.635307632467</v>
      </c>
      <c r="BB184" s="20">
        <f t="shared" si="209"/>
        <v>31828.767123942671</v>
      </c>
      <c r="BC184" s="20">
        <f t="shared" si="209"/>
        <v>75867.795460478403</v>
      </c>
      <c r="BD184" s="20">
        <f t="shared" si="209"/>
        <v>91776.744809670199</v>
      </c>
      <c r="BE184" s="20">
        <f t="shared" si="209"/>
        <v>50310.27494305023</v>
      </c>
      <c r="BF184" s="20">
        <f t="shared" si="209"/>
        <v>33934.265114798342</v>
      </c>
      <c r="BG184" s="20">
        <f t="shared" si="209"/>
        <v>79756.359636972207</v>
      </c>
      <c r="BH184" s="20">
        <f t="shared" si="209"/>
        <v>96309.821378657216</v>
      </c>
      <c r="BI184" s="20">
        <f t="shared" si="209"/>
        <v>53165.953057792314</v>
      </c>
      <c r="BJ184" s="20">
        <f t="shared" si="209"/>
        <v>36517.927607569974</v>
      </c>
      <c r="BK184" s="20">
        <f t="shared" si="209"/>
        <v>84508.780380293581</v>
      </c>
      <c r="BL184" s="20">
        <f t="shared" si="209"/>
        <v>101846.46174269188</v>
      </c>
      <c r="BM184" s="20">
        <f t="shared" si="209"/>
        <v>56662.501400473833</v>
      </c>
      <c r="BN184" s="20">
        <f t="shared" si="209"/>
        <v>40036.188836890644</v>
      </c>
      <c r="BO184" s="20">
        <f t="shared" si="209"/>
        <v>90948.301793868144</v>
      </c>
      <c r="BP184" s="20">
        <f t="shared" si="209"/>
        <v>109342.23408801883</v>
      </c>
      <c r="BQ184" s="20">
        <f t="shared" si="209"/>
        <v>61410.560149098172</v>
      </c>
      <c r="BR184" s="20">
        <f t="shared" si="209"/>
        <v>43293.921887067881</v>
      </c>
      <c r="BS184" s="20">
        <f t="shared" si="209"/>
        <v>96919.022151187382</v>
      </c>
      <c r="BT184" s="20">
        <f t="shared" si="209"/>
        <v>116293.87906800144</v>
      </c>
      <c r="BU184" s="20">
        <f t="shared" si="209"/>
        <v>65810.329693377571</v>
      </c>
      <c r="BV184" s="20">
        <f t="shared" si="209"/>
        <v>40293.082829464081</v>
      </c>
      <c r="BW184" s="20">
        <f t="shared" si="209"/>
        <v>70464.669098521699</v>
      </c>
      <c r="BX184" s="20">
        <f t="shared" ref="BX184:DQ184" si="210">BX170+BX171</f>
        <v>84463.674566812217</v>
      </c>
      <c r="BY184" s="20">
        <f t="shared" si="210"/>
        <v>47989.000894905796</v>
      </c>
      <c r="BZ184" s="20">
        <f t="shared" si="210"/>
        <v>32328.851579413742</v>
      </c>
      <c r="CA184" s="20">
        <f t="shared" si="210"/>
        <v>71631.495152902833</v>
      </c>
      <c r="CB184" s="20">
        <f t="shared" si="210"/>
        <v>85831.730885796118</v>
      </c>
      <c r="CC184" s="20">
        <f t="shared" si="210"/>
        <v>48832.422767337273</v>
      </c>
      <c r="CD184" s="20">
        <f t="shared" si="210"/>
        <v>34710.245946633346</v>
      </c>
      <c r="CE184" s="20">
        <f t="shared" si="210"/>
        <v>75995.877876577448</v>
      </c>
      <c r="CF184" s="20">
        <f t="shared" si="210"/>
        <v>90913.262682325221</v>
      </c>
      <c r="CG184" s="20">
        <f t="shared" si="210"/>
        <v>52048.727303275096</v>
      </c>
      <c r="CH184" s="20">
        <f t="shared" si="210"/>
        <v>36115.443245824063</v>
      </c>
      <c r="CI184" s="20">
        <f t="shared" si="210"/>
        <v>78599.949821021291</v>
      </c>
      <c r="CJ184" s="20">
        <f t="shared" si="210"/>
        <v>93950.735246845332</v>
      </c>
      <c r="CK184" s="20">
        <f t="shared" si="210"/>
        <v>53958.302509383888</v>
      </c>
      <c r="CL184" s="20">
        <f t="shared" si="210"/>
        <v>39607.12616353402</v>
      </c>
      <c r="CM184" s="20">
        <f t="shared" si="210"/>
        <v>84968.935162166264</v>
      </c>
      <c r="CN184" s="20">
        <f t="shared" si="210"/>
        <v>101360.13057890594</v>
      </c>
      <c r="CO184" s="20">
        <f t="shared" si="210"/>
        <v>58661.491453362672</v>
      </c>
      <c r="CP184" s="20">
        <f t="shared" si="210"/>
        <v>42421.497792475784</v>
      </c>
      <c r="CQ184" s="20">
        <f t="shared" si="210"/>
        <v>90116.959161053746</v>
      </c>
      <c r="CR184" s="20">
        <f t="shared" si="210"/>
        <v>107351.94819956498</v>
      </c>
      <c r="CS184" s="20">
        <f t="shared" si="210"/>
        <v>62458.313541235824</v>
      </c>
      <c r="CT184" s="20">
        <f t="shared" si="210"/>
        <v>45541.183340083313</v>
      </c>
      <c r="CU184" s="20">
        <f t="shared" si="210"/>
        <v>93586.58301335822</v>
      </c>
      <c r="CV184" s="20">
        <f t="shared" si="210"/>
        <v>0</v>
      </c>
      <c r="CW184" s="20">
        <f t="shared" si="210"/>
        <v>0</v>
      </c>
      <c r="CX184" s="20">
        <f t="shared" si="210"/>
        <v>0</v>
      </c>
      <c r="CY184" s="20">
        <f t="shared" si="210"/>
        <v>0</v>
      </c>
      <c r="CZ184" s="20">
        <f t="shared" si="210"/>
        <v>0</v>
      </c>
      <c r="DA184" s="20">
        <f t="shared" si="210"/>
        <v>0</v>
      </c>
      <c r="DB184" s="20">
        <f t="shared" si="210"/>
        <v>0</v>
      </c>
      <c r="DC184" s="20">
        <f t="shared" si="210"/>
        <v>0</v>
      </c>
      <c r="DD184" s="20">
        <f t="shared" si="210"/>
        <v>0</v>
      </c>
      <c r="DE184" s="20">
        <f t="shared" si="210"/>
        <v>0</v>
      </c>
      <c r="DF184" s="20">
        <f t="shared" si="210"/>
        <v>0</v>
      </c>
      <c r="DG184" s="20">
        <f t="shared" si="210"/>
        <v>0</v>
      </c>
      <c r="DH184" s="20">
        <f t="shared" si="210"/>
        <v>0</v>
      </c>
      <c r="DI184" s="20">
        <f t="shared" si="210"/>
        <v>0</v>
      </c>
      <c r="DJ184" s="20">
        <f t="shared" si="210"/>
        <v>0</v>
      </c>
      <c r="DK184" s="20">
        <f t="shared" si="210"/>
        <v>0</v>
      </c>
      <c r="DL184" s="20">
        <f t="shared" si="210"/>
        <v>0</v>
      </c>
      <c r="DM184" s="20">
        <f t="shared" si="210"/>
        <v>0</v>
      </c>
      <c r="DN184" s="20">
        <f t="shared" si="210"/>
        <v>0</v>
      </c>
      <c r="DO184" s="20">
        <f t="shared" si="210"/>
        <v>0</v>
      </c>
      <c r="DP184" s="20">
        <f t="shared" si="210"/>
        <v>0</v>
      </c>
      <c r="DQ184" s="20">
        <f t="shared" si="210"/>
        <v>0</v>
      </c>
    </row>
    <row r="185" spans="3:121" x14ac:dyDescent="0.35">
      <c r="D185" s="20" t="s">
        <v>298</v>
      </c>
      <c r="G185" s="25">
        <f>MIN(K185:DQ185)</f>
        <v>1.4502412161009999</v>
      </c>
      <c r="K185" s="25" t="b">
        <f>IF(K184&gt;0.1,K183/K184)</f>
        <v>0</v>
      </c>
      <c r="L185" s="25" t="b">
        <f t="shared" ref="L185:BW185" si="211">IF(L184&gt;0.1,L183/L184)</f>
        <v>0</v>
      </c>
      <c r="M185" s="25" t="b">
        <f t="shared" si="211"/>
        <v>0</v>
      </c>
      <c r="N185" s="25" t="b">
        <f t="shared" si="211"/>
        <v>0</v>
      </c>
      <c r="O185" s="25" t="b">
        <f t="shared" si="211"/>
        <v>0</v>
      </c>
      <c r="P185" s="25" t="b">
        <f t="shared" si="211"/>
        <v>0</v>
      </c>
      <c r="Q185" s="25" t="b">
        <f t="shared" si="211"/>
        <v>0</v>
      </c>
      <c r="R185" s="25" t="b">
        <f t="shared" si="211"/>
        <v>0</v>
      </c>
      <c r="S185" s="25" t="b">
        <f t="shared" si="211"/>
        <v>0</v>
      </c>
      <c r="T185" s="25">
        <f t="shared" si="211"/>
        <v>1.4504006487068832</v>
      </c>
      <c r="U185" s="25">
        <f t="shared" si="211"/>
        <v>1.4507666974893054</v>
      </c>
      <c r="V185" s="25">
        <f t="shared" si="211"/>
        <v>1.4513122598680812</v>
      </c>
      <c r="W185" s="25">
        <f t="shared" si="211"/>
        <v>1.4504947792845808</v>
      </c>
      <c r="X185" s="25">
        <f t="shared" si="211"/>
        <v>1.4504039005503058</v>
      </c>
      <c r="Y185" s="25">
        <f t="shared" si="211"/>
        <v>1.4507751260856583</v>
      </c>
      <c r="Z185" s="25">
        <f t="shared" si="211"/>
        <v>1.4513323686677533</v>
      </c>
      <c r="AA185" s="25">
        <f t="shared" si="211"/>
        <v>1.4504991709327522</v>
      </c>
      <c r="AB185" s="25">
        <f t="shared" si="211"/>
        <v>1.4504071998217356</v>
      </c>
      <c r="AC185" s="25">
        <f t="shared" si="211"/>
        <v>1.4507837388122762</v>
      </c>
      <c r="AD185" s="25">
        <f t="shared" si="211"/>
        <v>1.4512627017645336</v>
      </c>
      <c r="AE185" s="25">
        <f t="shared" si="211"/>
        <v>1.4504805314949429</v>
      </c>
      <c r="AF185" s="25">
        <f t="shared" si="211"/>
        <v>1.4503926767923871</v>
      </c>
      <c r="AG185" s="25">
        <f t="shared" si="211"/>
        <v>1.4507504089366758</v>
      </c>
      <c r="AH185" s="25">
        <f t="shared" si="211"/>
        <v>1.4512244716006679</v>
      </c>
      <c r="AI185" s="25">
        <f t="shared" si="211"/>
        <v>1.4504697752329054</v>
      </c>
      <c r="AJ185" s="25">
        <f t="shared" si="211"/>
        <v>1.450384237883696</v>
      </c>
      <c r="AK185" s="25">
        <f t="shared" si="211"/>
        <v>1.4507315507611747</v>
      </c>
      <c r="AL185" s="25">
        <f t="shared" si="211"/>
        <v>1.451231993691013</v>
      </c>
      <c r="AM185" s="25">
        <f t="shared" si="211"/>
        <v>1.4504710840332493</v>
      </c>
      <c r="AN185" s="25">
        <f t="shared" si="211"/>
        <v>1.4503908296468651</v>
      </c>
      <c r="AO185" s="25">
        <f t="shared" si="211"/>
        <v>1.4507452632545492</v>
      </c>
      <c r="AP185" s="25">
        <f t="shared" si="211"/>
        <v>1.4511047059166076</v>
      </c>
      <c r="AQ185" s="25">
        <f t="shared" si="211"/>
        <v>1.4504376320948098</v>
      </c>
      <c r="AR185" s="25">
        <f t="shared" si="211"/>
        <v>1.4503592705835424</v>
      </c>
      <c r="AS185" s="25">
        <f t="shared" si="211"/>
        <v>1.4506738364226239</v>
      </c>
      <c r="AT185" s="25">
        <f t="shared" si="211"/>
        <v>1.4509113504294697</v>
      </c>
      <c r="AU185" s="25">
        <f t="shared" si="211"/>
        <v>1.4503795635240631</v>
      </c>
      <c r="AV185" s="25">
        <f t="shared" si="211"/>
        <v>1.4503134835158014</v>
      </c>
      <c r="AW185" s="25">
        <f t="shared" si="211"/>
        <v>1.4505739113052465</v>
      </c>
      <c r="AX185" s="25">
        <f t="shared" si="211"/>
        <v>1.4508734724135743</v>
      </c>
      <c r="AY185" s="25">
        <f t="shared" si="211"/>
        <v>1.4503671611884514</v>
      </c>
      <c r="AZ185" s="25">
        <f t="shared" si="211"/>
        <v>1.4503035893462219</v>
      </c>
      <c r="BA185" s="25">
        <f t="shared" si="211"/>
        <v>1.4505532726663217</v>
      </c>
      <c r="BB185" s="25">
        <f t="shared" si="211"/>
        <v>1.4508762599326062</v>
      </c>
      <c r="BC185" s="25">
        <f t="shared" si="211"/>
        <v>1.4503676167623649</v>
      </c>
      <c r="BD185" s="25">
        <f t="shared" si="211"/>
        <v>1.450303892597115</v>
      </c>
      <c r="BE185" s="25">
        <f t="shared" si="211"/>
        <v>1.4505543653531316</v>
      </c>
      <c r="BF185" s="25">
        <f t="shared" si="211"/>
        <v>1.4508218911840469</v>
      </c>
      <c r="BG185" s="25">
        <f t="shared" si="211"/>
        <v>1.4503496934095526</v>
      </c>
      <c r="BH185" s="25">
        <f t="shared" si="211"/>
        <v>1.4502912678652848</v>
      </c>
      <c r="BI185" s="25">
        <f t="shared" si="211"/>
        <v>1.450527630080259</v>
      </c>
      <c r="BJ185" s="25">
        <f t="shared" si="211"/>
        <v>1.4507681694421544</v>
      </c>
      <c r="BK185" s="25">
        <f t="shared" si="211"/>
        <v>1.4503319413196201</v>
      </c>
      <c r="BL185" s="25">
        <f t="shared" si="211"/>
        <v>1.4502754337813897</v>
      </c>
      <c r="BM185" s="25">
        <f t="shared" si="211"/>
        <v>1.4504950709090776</v>
      </c>
      <c r="BN185" s="25">
        <f t="shared" si="211"/>
        <v>1.4507006649956922</v>
      </c>
      <c r="BO185" s="25">
        <f t="shared" si="211"/>
        <v>1.450308438481265</v>
      </c>
      <c r="BP185" s="25">
        <f t="shared" si="211"/>
        <v>1.4502565518832944</v>
      </c>
      <c r="BQ185" s="25">
        <f t="shared" si="211"/>
        <v>1.4504567936851711</v>
      </c>
      <c r="BR185" s="25">
        <f t="shared" si="211"/>
        <v>1.4506479421326648</v>
      </c>
      <c r="BS185" s="25">
        <f t="shared" si="211"/>
        <v>1.4502894370522557</v>
      </c>
      <c r="BT185" s="25">
        <f t="shared" si="211"/>
        <v>1.4502412161009999</v>
      </c>
      <c r="BU185" s="25">
        <f t="shared" si="211"/>
        <v>1.4504262546048563</v>
      </c>
      <c r="BV185" s="25">
        <f t="shared" si="211"/>
        <v>1.4506961978113626</v>
      </c>
      <c r="BW185" s="25">
        <f t="shared" si="211"/>
        <v>1.4503980995928569</v>
      </c>
      <c r="BX185" s="25">
        <f t="shared" ref="BX185:DQ185" si="212">IF(BX184&gt;0.1,BX183/BX184)</f>
        <v>1.4503321185849749</v>
      </c>
      <c r="BY185" s="25">
        <f t="shared" si="212"/>
        <v>1.4505845497000522</v>
      </c>
      <c r="BZ185" s="25">
        <f t="shared" si="212"/>
        <v>1.4508677065441071</v>
      </c>
      <c r="CA185" s="25">
        <f t="shared" si="212"/>
        <v>1.4503916148339366</v>
      </c>
      <c r="CB185" s="25">
        <f t="shared" si="212"/>
        <v>1.4503296505837979</v>
      </c>
      <c r="CC185" s="25">
        <f t="shared" si="212"/>
        <v>1.4505794199548463</v>
      </c>
      <c r="CD185" s="25">
        <f t="shared" si="212"/>
        <v>1.4508151621926964</v>
      </c>
      <c r="CE185" s="25">
        <f t="shared" si="212"/>
        <v>1.4503723159858861</v>
      </c>
      <c r="CF185" s="25">
        <f t="shared" si="212"/>
        <v>1.4503112250001824</v>
      </c>
      <c r="CG185" s="25">
        <f t="shared" si="212"/>
        <v>1.4505436152171409</v>
      </c>
      <c r="CH185" s="25">
        <f t="shared" si="212"/>
        <v>1.4507834454640993</v>
      </c>
      <c r="CI185" s="25">
        <f t="shared" si="212"/>
        <v>1.4503599808938723</v>
      </c>
      <c r="CJ185" s="25">
        <f t="shared" si="212"/>
        <v>1.4503011629458837</v>
      </c>
      <c r="CK185" s="25">
        <f t="shared" si="212"/>
        <v>1.4505243767664848</v>
      </c>
      <c r="CL185" s="25">
        <f t="shared" si="212"/>
        <v>1.450714378520624</v>
      </c>
      <c r="CM185" s="25">
        <f t="shared" si="212"/>
        <v>1.4503329979379038</v>
      </c>
      <c r="CN185" s="25">
        <f t="shared" si="212"/>
        <v>1.4502791480243098</v>
      </c>
      <c r="CO185" s="25">
        <f t="shared" si="212"/>
        <v>1.4504823348246676</v>
      </c>
      <c r="CP185" s="25">
        <f t="shared" si="212"/>
        <v>1.4506669844693674</v>
      </c>
      <c r="CQ185" s="25">
        <f t="shared" si="212"/>
        <v>1.4503139750881333</v>
      </c>
      <c r="CR185" s="25">
        <f t="shared" si="212"/>
        <v>1.4502635674588997</v>
      </c>
      <c r="CS185" s="25">
        <f t="shared" si="212"/>
        <v>1.4504530138357996</v>
      </c>
      <c r="CT185" s="25">
        <f t="shared" si="212"/>
        <v>1.4506212943564423</v>
      </c>
      <c r="CU185" s="25">
        <f t="shared" si="212"/>
        <v>1.4848548825545902</v>
      </c>
      <c r="CV185" s="25" t="b">
        <f t="shared" si="212"/>
        <v>0</v>
      </c>
      <c r="CW185" s="25" t="b">
        <f t="shared" si="212"/>
        <v>0</v>
      </c>
      <c r="CX185" s="25" t="b">
        <f t="shared" si="212"/>
        <v>0</v>
      </c>
      <c r="CY185" s="25" t="b">
        <f t="shared" si="212"/>
        <v>0</v>
      </c>
      <c r="CZ185" s="25" t="b">
        <f t="shared" si="212"/>
        <v>0</v>
      </c>
      <c r="DA185" s="25" t="b">
        <f t="shared" si="212"/>
        <v>0</v>
      </c>
      <c r="DB185" s="25" t="b">
        <f t="shared" si="212"/>
        <v>0</v>
      </c>
      <c r="DC185" s="25" t="b">
        <f t="shared" si="212"/>
        <v>0</v>
      </c>
      <c r="DD185" s="25" t="b">
        <f t="shared" si="212"/>
        <v>0</v>
      </c>
      <c r="DE185" s="25" t="b">
        <f t="shared" si="212"/>
        <v>0</v>
      </c>
      <c r="DF185" s="25" t="b">
        <f t="shared" si="212"/>
        <v>0</v>
      </c>
      <c r="DG185" s="25" t="b">
        <f t="shared" si="212"/>
        <v>0</v>
      </c>
      <c r="DH185" s="25" t="b">
        <f t="shared" si="212"/>
        <v>0</v>
      </c>
      <c r="DI185" s="25" t="b">
        <f t="shared" si="212"/>
        <v>0</v>
      </c>
      <c r="DJ185" s="25" t="b">
        <f t="shared" si="212"/>
        <v>0</v>
      </c>
      <c r="DK185" s="25" t="b">
        <f t="shared" si="212"/>
        <v>0</v>
      </c>
      <c r="DL185" s="25" t="b">
        <f t="shared" si="212"/>
        <v>0</v>
      </c>
      <c r="DM185" s="25" t="b">
        <f t="shared" si="212"/>
        <v>0</v>
      </c>
      <c r="DN185" s="25" t="b">
        <f t="shared" si="212"/>
        <v>0</v>
      </c>
      <c r="DO185" s="25" t="b">
        <f t="shared" si="212"/>
        <v>0</v>
      </c>
      <c r="DP185" s="25" t="b">
        <f t="shared" si="212"/>
        <v>0</v>
      </c>
      <c r="DQ185" s="25" t="b">
        <f t="shared" si="212"/>
        <v>0</v>
      </c>
    </row>
    <row r="187" spans="3:121" x14ac:dyDescent="0.35">
      <c r="D187" s="20" t="s">
        <v>285</v>
      </c>
      <c r="K187" s="25">
        <f t="shared" ref="K187:AP187" si="213">K29</f>
        <v>1</v>
      </c>
      <c r="L187" s="25">
        <f t="shared" si="213"/>
        <v>1</v>
      </c>
      <c r="M187" s="25">
        <f t="shared" si="213"/>
        <v>1</v>
      </c>
      <c r="N187" s="25">
        <f t="shared" si="213"/>
        <v>1</v>
      </c>
      <c r="O187" s="25">
        <f t="shared" si="213"/>
        <v>1</v>
      </c>
      <c r="P187" s="25">
        <f t="shared" si="213"/>
        <v>1</v>
      </c>
      <c r="Q187" s="25">
        <f t="shared" si="213"/>
        <v>1</v>
      </c>
      <c r="R187" s="25">
        <f t="shared" si="213"/>
        <v>1</v>
      </c>
      <c r="S187" s="25">
        <f t="shared" si="213"/>
        <v>1</v>
      </c>
      <c r="T187" s="25">
        <f t="shared" si="213"/>
        <v>1.0085</v>
      </c>
      <c r="U187" s="25">
        <f t="shared" si="213"/>
        <v>1.01707225</v>
      </c>
      <c r="V187" s="25">
        <f t="shared" si="213"/>
        <v>1.0257173641249999</v>
      </c>
      <c r="W187" s="25">
        <f t="shared" si="213"/>
        <v>1.0344359617200625</v>
      </c>
      <c r="X187" s="25">
        <f t="shared" si="213"/>
        <v>1.0432286673946829</v>
      </c>
      <c r="Y187" s="25">
        <f t="shared" si="213"/>
        <v>1.0520961110675378</v>
      </c>
      <c r="Z187" s="25">
        <f t="shared" si="213"/>
        <v>1.0610389280116117</v>
      </c>
      <c r="AA187" s="25">
        <f t="shared" si="213"/>
        <v>1.0700577588997104</v>
      </c>
      <c r="AB187" s="25">
        <f t="shared" si="213"/>
        <v>1.079153249850358</v>
      </c>
      <c r="AC187" s="25">
        <f t="shared" si="213"/>
        <v>1.0883260524740859</v>
      </c>
      <c r="AD187" s="25">
        <f t="shared" si="213"/>
        <v>1.0975768239201156</v>
      </c>
      <c r="AE187" s="25">
        <f t="shared" si="213"/>
        <v>1.1069062269234364</v>
      </c>
      <c r="AF187" s="25">
        <f t="shared" si="213"/>
        <v>1.1163149298522856</v>
      </c>
      <c r="AG187" s="25">
        <f t="shared" si="213"/>
        <v>1.12580360675603</v>
      </c>
      <c r="AH187" s="25">
        <f t="shared" si="213"/>
        <v>1.1353729374134562</v>
      </c>
      <c r="AI187" s="25">
        <f t="shared" si="213"/>
        <v>1.1450236073814706</v>
      </c>
      <c r="AJ187" s="25">
        <f t="shared" si="213"/>
        <v>1.1547563080442129</v>
      </c>
      <c r="AK187" s="25">
        <f t="shared" si="213"/>
        <v>1.1645717366625887</v>
      </c>
      <c r="AL187" s="25">
        <f t="shared" si="213"/>
        <v>1.1744705964242206</v>
      </c>
      <c r="AM187" s="25">
        <f t="shared" si="213"/>
        <v>1.1844535964938263</v>
      </c>
      <c r="AN187" s="25">
        <f t="shared" si="213"/>
        <v>1.1946695087635857</v>
      </c>
      <c r="AO187" s="25">
        <f t="shared" si="213"/>
        <v>1.2049735332766718</v>
      </c>
      <c r="AP187" s="25">
        <f t="shared" si="213"/>
        <v>1.2153664300011833</v>
      </c>
      <c r="AQ187" s="25">
        <f t="shared" ref="AQ187:BV187" si="214">AQ29</f>
        <v>1.2258489654599436</v>
      </c>
      <c r="AR187" s="25">
        <f t="shared" si="214"/>
        <v>1.2364219127870357</v>
      </c>
      <c r="AS187" s="25">
        <f t="shared" si="214"/>
        <v>1.2470860517848241</v>
      </c>
      <c r="AT187" s="25">
        <f t="shared" si="214"/>
        <v>1.2578421689814683</v>
      </c>
      <c r="AU187" s="25">
        <f t="shared" si="214"/>
        <v>1.2686910576889336</v>
      </c>
      <c r="AV187" s="25">
        <f t="shared" si="214"/>
        <v>1.2796335180615008</v>
      </c>
      <c r="AW187" s="25">
        <f t="shared" si="214"/>
        <v>1.2906703571547815</v>
      </c>
      <c r="AX187" s="25">
        <f t="shared" si="214"/>
        <v>1.3018023889852417</v>
      </c>
      <c r="AY187" s="25">
        <f t="shared" si="214"/>
        <v>1.3130304345902395</v>
      </c>
      <c r="AZ187" s="25">
        <f t="shared" si="214"/>
        <v>1.3243553220885804</v>
      </c>
      <c r="BA187" s="25">
        <f t="shared" si="214"/>
        <v>1.3357778867415946</v>
      </c>
      <c r="BB187" s="25">
        <f t="shared" si="214"/>
        <v>1.3472989710147409</v>
      </c>
      <c r="BC187" s="25">
        <f t="shared" si="214"/>
        <v>1.3589194246397431</v>
      </c>
      <c r="BD187" s="25">
        <f t="shared" si="214"/>
        <v>1.3706401046772612</v>
      </c>
      <c r="BE187" s="25">
        <f t="shared" si="214"/>
        <v>1.3824618755801026</v>
      </c>
      <c r="BF187" s="25">
        <f t="shared" si="214"/>
        <v>1.3943856092569811</v>
      </c>
      <c r="BG187" s="25">
        <f t="shared" si="214"/>
        <v>1.4064121851368228</v>
      </c>
      <c r="BH187" s="25">
        <f t="shared" si="214"/>
        <v>1.4186128108428846</v>
      </c>
      <c r="BI187" s="25">
        <f t="shared" si="214"/>
        <v>1.4309192769769465</v>
      </c>
      <c r="BJ187" s="25">
        <f t="shared" si="214"/>
        <v>1.4433325017047216</v>
      </c>
      <c r="BK187" s="25">
        <f t="shared" si="214"/>
        <v>1.4558534111570101</v>
      </c>
      <c r="BL187" s="25">
        <f t="shared" si="214"/>
        <v>1.468482939498797</v>
      </c>
      <c r="BM187" s="25">
        <f t="shared" si="214"/>
        <v>1.4812220289989491</v>
      </c>
      <c r="BN187" s="25">
        <f t="shared" si="214"/>
        <v>1.494071630100515</v>
      </c>
      <c r="BO187" s="25">
        <f t="shared" si="214"/>
        <v>1.5070327014916369</v>
      </c>
      <c r="BP187" s="25">
        <f t="shared" si="214"/>
        <v>1.5201062101770768</v>
      </c>
      <c r="BQ187" s="25">
        <f t="shared" si="214"/>
        <v>1.5332931315503628</v>
      </c>
      <c r="BR187" s="25">
        <f t="shared" si="214"/>
        <v>1.5465944494665622</v>
      </c>
      <c r="BS187" s="25">
        <f t="shared" si="214"/>
        <v>1.5600111563156847</v>
      </c>
      <c r="BT187" s="25">
        <f t="shared" si="214"/>
        <v>1.5735442530967232</v>
      </c>
      <c r="BU187" s="25">
        <f t="shared" si="214"/>
        <v>1.5871947494923373</v>
      </c>
      <c r="BV187" s="25">
        <f t="shared" si="214"/>
        <v>1.6009636639441833</v>
      </c>
      <c r="BW187" s="25">
        <f t="shared" ref="BW187:DB187" si="215">BW29</f>
        <v>1.614852023728899</v>
      </c>
      <c r="BX187" s="25">
        <f t="shared" si="215"/>
        <v>1.6288608650347471</v>
      </c>
      <c r="BY187" s="25">
        <f t="shared" si="215"/>
        <v>1.6429912330389236</v>
      </c>
      <c r="BZ187" s="25">
        <f t="shared" si="215"/>
        <v>1.6572441819855361</v>
      </c>
      <c r="CA187" s="25">
        <f t="shared" si="215"/>
        <v>1.6716207752642607</v>
      </c>
      <c r="CB187" s="25">
        <f t="shared" si="215"/>
        <v>1.686247457047823</v>
      </c>
      <c r="CC187" s="25">
        <f t="shared" si="215"/>
        <v>1.7010021222969915</v>
      </c>
      <c r="CD187" s="25">
        <f t="shared" si="215"/>
        <v>1.7158858908670902</v>
      </c>
      <c r="CE187" s="25">
        <f t="shared" si="215"/>
        <v>1.7308998924121772</v>
      </c>
      <c r="CF187" s="25">
        <f t="shared" si="215"/>
        <v>1.746045266470784</v>
      </c>
      <c r="CG187" s="25">
        <f t="shared" si="215"/>
        <v>1.7613231625524033</v>
      </c>
      <c r="CH187" s="25">
        <f t="shared" si="215"/>
        <v>1.7767347402247369</v>
      </c>
      <c r="CI187" s="25">
        <f t="shared" si="215"/>
        <v>1.7922811692017033</v>
      </c>
      <c r="CJ187" s="25">
        <f t="shared" si="215"/>
        <v>1.8079636294322183</v>
      </c>
      <c r="CK187" s="25">
        <f t="shared" si="215"/>
        <v>1.8237833111897503</v>
      </c>
      <c r="CL187" s="25">
        <f t="shared" si="215"/>
        <v>1.8397414151626608</v>
      </c>
      <c r="CM187" s="25">
        <f t="shared" si="215"/>
        <v>1.8558391525453342</v>
      </c>
      <c r="CN187" s="25">
        <f t="shared" si="215"/>
        <v>1.8720777451301058</v>
      </c>
      <c r="CO187" s="25">
        <f t="shared" si="215"/>
        <v>1.8884584253999943</v>
      </c>
      <c r="CP187" s="25">
        <f t="shared" si="215"/>
        <v>1.9049824366222443</v>
      </c>
      <c r="CQ187" s="25">
        <f t="shared" si="215"/>
        <v>1.921651032942689</v>
      </c>
      <c r="CR187" s="25">
        <f t="shared" si="215"/>
        <v>1.9384654794809377</v>
      </c>
      <c r="CS187" s="25">
        <f t="shared" si="215"/>
        <v>1.9554270524263959</v>
      </c>
      <c r="CT187" s="25">
        <f t="shared" si="215"/>
        <v>1.9725370391351269</v>
      </c>
      <c r="CU187" s="25">
        <f t="shared" si="215"/>
        <v>1.9897967382275594</v>
      </c>
      <c r="CV187" s="25">
        <f t="shared" si="215"/>
        <v>2.0072074596870508</v>
      </c>
      <c r="CW187" s="25">
        <f t="shared" si="215"/>
        <v>2.0247705249593126</v>
      </c>
      <c r="CX187" s="25">
        <f t="shared" si="215"/>
        <v>2.0424872670527066</v>
      </c>
      <c r="CY187" s="25">
        <f t="shared" si="215"/>
        <v>2.0603590306394177</v>
      </c>
      <c r="CZ187" s="25">
        <f t="shared" si="215"/>
        <v>2.0783871721575129</v>
      </c>
      <c r="DA187" s="25">
        <f t="shared" si="215"/>
        <v>2.0965730599138914</v>
      </c>
      <c r="DB187" s="25">
        <f t="shared" si="215"/>
        <v>2.1149180741881382</v>
      </c>
      <c r="DC187" s="25">
        <f t="shared" ref="DC187:DQ187" si="216">DC29</f>
        <v>2.1334236073372845</v>
      </c>
      <c r="DD187" s="25">
        <f t="shared" si="216"/>
        <v>2.1520910639014859</v>
      </c>
      <c r="DE187" s="25">
        <f t="shared" si="216"/>
        <v>2.170921860710624</v>
      </c>
      <c r="DF187" s="25">
        <f t="shared" si="216"/>
        <v>2.1899174269918422</v>
      </c>
      <c r="DG187" s="25">
        <f t="shared" si="216"/>
        <v>2.2090792044780208</v>
      </c>
      <c r="DH187" s="25">
        <f t="shared" si="216"/>
        <v>2.2284086475172034</v>
      </c>
      <c r="DI187" s="25">
        <f t="shared" si="216"/>
        <v>2.2479072231829789</v>
      </c>
      <c r="DJ187" s="25">
        <f t="shared" si="216"/>
        <v>2.2675764113858299</v>
      </c>
      <c r="DK187" s="25">
        <f t="shared" si="216"/>
        <v>2.2874177049854558</v>
      </c>
      <c r="DL187" s="25">
        <f t="shared" si="216"/>
        <v>2.3074326099040787</v>
      </c>
      <c r="DM187" s="25">
        <f t="shared" si="216"/>
        <v>2.3276226452407394</v>
      </c>
      <c r="DN187" s="25">
        <f t="shared" si="216"/>
        <v>2.3479893433865957</v>
      </c>
      <c r="DO187" s="25">
        <f t="shared" si="216"/>
        <v>2.3685342501412285</v>
      </c>
      <c r="DP187" s="25">
        <f t="shared" si="216"/>
        <v>2.3685342501412285</v>
      </c>
      <c r="DQ187" s="25">
        <f t="shared" si="216"/>
        <v>2.3685342501412285</v>
      </c>
    </row>
    <row r="189" spans="3:121" x14ac:dyDescent="0.35">
      <c r="D189" s="20" t="s">
        <v>406</v>
      </c>
      <c r="G189" s="20" cm="1">
        <f t="array" ref="G189">SUMPRODUCT(K183:DQ183/K187:DQ187)</f>
        <v>6082932.8186567575</v>
      </c>
    </row>
    <row r="190" spans="3:121" x14ac:dyDescent="0.35">
      <c r="D190" s="20" t="s">
        <v>407</v>
      </c>
      <c r="G190" s="20" cm="1">
        <f t="array" ref="G190">SUMPRODUCT(K184:DQ184/K187:DQ187)</f>
        <v>3407446.1807662407</v>
      </c>
    </row>
    <row r="191" spans="3:121" x14ac:dyDescent="0.35">
      <c r="D191" s="20" t="s">
        <v>408</v>
      </c>
      <c r="G191" s="20">
        <f>G61</f>
        <v>3409676.2875796319</v>
      </c>
    </row>
    <row r="193" spans="2:1006" x14ac:dyDescent="0.35">
      <c r="D193" s="20" t="s">
        <v>409</v>
      </c>
      <c r="G193" s="25">
        <f>G189/G191</f>
        <v>1.7840206241322527</v>
      </c>
    </row>
    <row r="196" spans="2:1006" x14ac:dyDescent="0.35">
      <c r="D196" s="20" t="s">
        <v>406</v>
      </c>
      <c r="K196" s="20" cm="1">
        <f t="array" ref="K196">SUMPRODUCT(K183:$DQ183/K187:$DQ187)</f>
        <v>6082932.8186567575</v>
      </c>
      <c r="L196" s="20" cm="1">
        <f t="array" ref="L196">SUMPRODUCT(L183:$DQ183/L187:$DQ187)</f>
        <v>6082932.8186567575</v>
      </c>
      <c r="M196" s="20" cm="1">
        <f t="array" ref="M196">SUMPRODUCT(M183:$DQ183/M187:$DQ187)</f>
        <v>6082932.8186567575</v>
      </c>
      <c r="N196" s="20" cm="1">
        <f t="array" ref="N196">SUMPRODUCT(N183:$DQ183/N187:$DQ187)</f>
        <v>6082932.8186567575</v>
      </c>
      <c r="O196" s="20" cm="1">
        <f t="array" ref="O196">SUMPRODUCT(O183:$DQ183/O187:$DQ187)</f>
        <v>6082932.8186567575</v>
      </c>
      <c r="P196" s="20" cm="1">
        <f t="array" ref="P196">SUMPRODUCT(P183:$DQ183/P187:$DQ187)</f>
        <v>6082932.8186567575</v>
      </c>
      <c r="Q196" s="20" cm="1">
        <f t="array" ref="Q196">SUMPRODUCT(Q183:$DQ183/Q187:$DQ187)</f>
        <v>6082932.8186567575</v>
      </c>
      <c r="R196" s="20" cm="1">
        <f t="array" ref="R196">SUMPRODUCT(R183:$DQ183/R187:$DQ187)</f>
        <v>6082932.8186567575</v>
      </c>
      <c r="S196" s="20" cm="1">
        <f t="array" ref="S196">SUMPRODUCT(S183:$DQ183/S187:$DQ187)</f>
        <v>6082932.8186567575</v>
      </c>
      <c r="T196" s="20" cm="1">
        <f t="array" ref="T196">SUMPRODUCT(T183:$DQ183/T187:$DQ187)</f>
        <v>6082932.8186567575</v>
      </c>
      <c r="U196" s="20" cm="1">
        <f t="array" ref="U196">SUMPRODUCT(U183:$DQ183/U187:$DQ187)</f>
        <v>5984268.3162595071</v>
      </c>
      <c r="V196" s="20" cm="1">
        <f t="array" ref="V196">SUMPRODUCT(V183:$DQ183/V187:$DQ187)</f>
        <v>5933131.4248313308</v>
      </c>
      <c r="W196" s="20" cm="1">
        <f t="array" ref="W196">SUMPRODUCT(W183:$DQ183/W187:$DQ187)</f>
        <v>5903494.993869843</v>
      </c>
      <c r="X196" s="20" cm="1">
        <f t="array" ref="X196">SUMPRODUCT(X183:$DQ183/X187:$DQ187)</f>
        <v>5825599.2652420122</v>
      </c>
      <c r="Y196" s="20" cm="1">
        <f t="array" ref="Y196">SUMPRODUCT(Y183:$DQ183/Y187:$DQ187)</f>
        <v>5730986.9666131027</v>
      </c>
      <c r="Z196" s="20" cm="1">
        <f t="array" ref="Z196">SUMPRODUCT(Z183:$DQ183/Z187:$DQ187)</f>
        <v>5682089.6613842919</v>
      </c>
      <c r="AA196" s="20" cm="1">
        <f t="array" ref="AA196">SUMPRODUCT(AA183:$DQ183/AA187:$DQ187)</f>
        <v>5653871.8228017129</v>
      </c>
      <c r="AB196" s="20" cm="1">
        <f t="array" ref="AB196">SUMPRODUCT(AB183:$DQ183/AB187:$DQ187)*AA187</f>
        <v>5970099.9442255972</v>
      </c>
      <c r="AC196" s="20" cm="1">
        <f t="array" ref="AC196">SUMPRODUCT(AC183:$DQ183/AC187:$DQ187)*AB187</f>
        <v>5922943.0281259138</v>
      </c>
      <c r="AD196" s="20" cm="1">
        <f t="array" ref="AD196">SUMPRODUCT(AD183:$DQ183/AD187:$DQ187)*AC187</f>
        <v>5922408.4170539966</v>
      </c>
      <c r="AE196" s="20" cm="1">
        <f t="array" ref="AE196">SUMPRODUCT(AE183:$DQ183/AE187:$DQ187)*AD187</f>
        <v>5941158.2911880342</v>
      </c>
      <c r="AF196" s="20" cm="1">
        <f t="array" ref="AF196">SUMPRODUCT(AF183:$DQ183/AF187:$DQ187)*AE187</f>
        <v>5908691.6615642626</v>
      </c>
      <c r="AG196" s="20" cm="1">
        <f t="array" ref="AG196">SUMPRODUCT(AG183:$DQ183/AG187:$DQ187)*AF187</f>
        <v>5857392.8882107651</v>
      </c>
      <c r="AH196" s="20" cm="1">
        <f t="array" ref="AH196">SUMPRODUCT(AH183:$DQ183/AH187:$DQ187)*AG187</f>
        <v>5854042.4717646055</v>
      </c>
      <c r="AI196" s="20" cm="1">
        <f t="array" ref="AI196">SUMPRODUCT(AI183:$DQ183/AI187:$DQ187)*AH187</f>
        <v>5871225.7793366583</v>
      </c>
      <c r="AJ196" s="20" cm="1">
        <f t="array" ref="AJ196">SUMPRODUCT(AJ183:$DQ183/AJ187:$DQ187)*AI187</f>
        <v>5836265.7013689391</v>
      </c>
      <c r="AK196" s="20" cm="1">
        <f t="array" ref="AK196">SUMPRODUCT(AK183:$DQ183/AK187:$DQ187)*AJ187</f>
        <v>5782122.1975281704</v>
      </c>
      <c r="AL196" s="20" cm="1">
        <f t="array" ref="AL196">SUMPRODUCT(AL183:$DQ183/AL187:$DQ187)*AK187</f>
        <v>5776762.8719093809</v>
      </c>
      <c r="AM196" s="20" cm="1">
        <f t="array" ref="AM196">SUMPRODUCT(AM183:$DQ183/AM187:$DQ187)*AL187</f>
        <v>5793488.0321993418</v>
      </c>
      <c r="AN196" s="20" cm="1">
        <f t="array" ref="AN196">SUMPRODUCT(AN183:$DQ183/AN187:$DQ187)*AM187</f>
        <v>5758102.8865892002</v>
      </c>
      <c r="AO196" s="20" cm="1">
        <f t="array" ref="AO196">SUMPRODUCT(AO183:$DQ183/AO187:$DQ187)*AN187</f>
        <v>5704264.1489593666</v>
      </c>
      <c r="AP196" s="20" cm="1">
        <f t="array" ref="AP196">SUMPRODUCT(AP183:$DQ183/AP187:$DQ187)*AO187</f>
        <v>5699171.6294336682</v>
      </c>
      <c r="AQ196" s="20" cm="1">
        <f t="array" ref="AQ196">SUMPRODUCT(AQ183:$DQ183/AQ187:$DQ187)*AP187</f>
        <v>5711691.2554658512</v>
      </c>
      <c r="AR196" s="20" cm="1">
        <f t="array" ref="AR196">SUMPRODUCT(AR183:$DQ183/AR187:$DQ187)*AQ187</f>
        <v>5668518.26875953</v>
      </c>
      <c r="AS196" s="20" cm="1">
        <f t="array" ref="AS196">SUMPRODUCT(AS183:$DQ183/AS187:$DQ187)*AR187</f>
        <v>5604817.4532948006</v>
      </c>
      <c r="AT196" s="20" cm="1">
        <f t="array" ref="AT196">SUMPRODUCT(AT183:$DQ183/AT187:$DQ187)*AS187</f>
        <v>5593115.2180392258</v>
      </c>
      <c r="AU196" s="20" cm="1">
        <f t="array" ref="AU196">SUMPRODUCT(AU183:$DQ183/AU187:$DQ187)*AT187</f>
        <v>5596953.2526298836</v>
      </c>
      <c r="AV196" s="20" cm="1">
        <f t="array" ref="AV196">SUMPRODUCT(AV183:$DQ183/AV187:$DQ187)*AU187</f>
        <v>5538653.2920285575</v>
      </c>
      <c r="AW196" s="20" cm="1">
        <f t="array" ref="AW196">SUMPRODUCT(AW183:$DQ183/AW187:$DQ187)*AV187</f>
        <v>5457391.4287358867</v>
      </c>
      <c r="AX196" s="20" cm="1">
        <f t="array" ref="AX196">SUMPRODUCT(AX183:$DQ183/AX187:$DQ187)*AW187</f>
        <v>5433968.1279535135</v>
      </c>
      <c r="AY196" s="20" cm="1">
        <f t="array" ref="AY196">SUMPRODUCT(AY183:$DQ183/AY187:$DQ187)*AX187</f>
        <v>5434509.2161500948</v>
      </c>
      <c r="AZ196" s="20" cm="1">
        <f t="array" ref="AZ196">SUMPRODUCT(AZ183:$DQ183/AZ187:$DQ187)*AY187</f>
        <v>5371209.166052253</v>
      </c>
      <c r="BA196" s="20" cm="1">
        <f t="array" ref="BA196">SUMPRODUCT(BA183:$DQ183/BA187:$DQ187)*AZ187</f>
        <v>5284298.7469406463</v>
      </c>
      <c r="BB196" s="20" cm="1">
        <f t="array" ref="BB196">SUMPRODUCT(BB183:$DQ183/BB187:$DQ187)*BA187</f>
        <v>5256753.9621636085</v>
      </c>
      <c r="BC196" s="20" cm="1">
        <f t="array" ref="BC196">SUMPRODUCT(BC183:$DQ183/BC187:$DQ187)*BB187</f>
        <v>5255913.8624842176</v>
      </c>
      <c r="BD196" s="20" cm="1">
        <f t="array" ref="BD196">SUMPRODUCT(BD183:$DQ183/BD187:$DQ187)*BC187</f>
        <v>5191209.9258571155</v>
      </c>
      <c r="BE196" s="20" cm="1">
        <f t="array" ref="BE196">SUMPRODUCT(BE183:$DQ183/BE187:$DQ187)*BD187</f>
        <v>5102879.9412202779</v>
      </c>
      <c r="BF196" s="20" cm="1">
        <f t="array" ref="BF196">SUMPRODUCT(BF183:$DQ183/BF187:$DQ187)*BE187</f>
        <v>5073914.4917725446</v>
      </c>
      <c r="BG196" s="20" cm="1">
        <f t="array" ref="BG196">SUMPRODUCT(BG183:$DQ183/BG187:$DQ187)*BF187</f>
        <v>5068444.4295742903</v>
      </c>
      <c r="BH196" s="20" cm="1">
        <f t="array" ref="BH196">SUMPRODUCT(BH183:$DQ183/BH187:$DQ187)*BG187</f>
        <v>4996485.1510324245</v>
      </c>
      <c r="BI196" s="20" cm="1">
        <f t="array" ref="BI196">SUMPRODUCT(BI183:$DQ183/BI187:$DQ187)*BH187</f>
        <v>4900152.3667624993</v>
      </c>
      <c r="BJ196" s="20" cm="1">
        <f t="array" ref="BJ196">SUMPRODUCT(BJ183:$DQ183/BJ187:$DQ187)*BI187</f>
        <v>4865542.5046542855</v>
      </c>
      <c r="BK196" s="20" cm="1">
        <f t="array" ref="BK196">SUMPRODUCT(BK183:$DQ183/BK187:$DQ187)*BJ187</f>
        <v>4854772.0388951069</v>
      </c>
      <c r="BL196" s="20" cm="1">
        <f t="array" ref="BL196">SUMPRODUCT(BL183:$DQ183/BL187:$DQ187)*BK187</f>
        <v>4774321.4028250165</v>
      </c>
      <c r="BM196" s="20" cm="1">
        <f t="array" ref="BM196">SUMPRODUCT(BM183:$DQ183/BM187:$DQ187)*BL187</f>
        <v>4668033.2195115406</v>
      </c>
      <c r="BN196" s="20" cm="1">
        <f t="array" ref="BN196">SUMPRODUCT(BN183:$DQ183/BN187:$DQ187)*BM187</f>
        <v>4626339.7287040371</v>
      </c>
      <c r="BO196" s="20" cm="1">
        <f t="array" ref="BO196">SUMPRODUCT(BO183:$DQ183/BO187:$DQ187)*BN187</f>
        <v>4608392.700080975</v>
      </c>
      <c r="BP196" s="20" cm="1">
        <f t="array" ref="BP196">SUMPRODUCT(BP183:$DQ183/BP187:$DQ187)*BO187</f>
        <v>4516467.4171969891</v>
      </c>
      <c r="BQ196" s="20" cm="1">
        <f t="array" ref="BQ196">SUMPRODUCT(BQ183:$DQ183/BQ187:$DQ187)*BP187</f>
        <v>4397073.4806574667</v>
      </c>
      <c r="BR196" s="20" cm="1">
        <f t="array" ref="BR196">SUMPRODUCT(BR183:$DQ183/BR187:$DQ187)*BQ187</f>
        <v>4346144.7289298978</v>
      </c>
      <c r="BS196" s="20" cm="1">
        <f t="array" ref="BS196">SUMPRODUCT(BS183:$DQ183/BS187:$DQ187)*BR187</f>
        <v>4321043.2957610367</v>
      </c>
      <c r="BT196" s="20" cm="1">
        <f t="array" ref="BT196">SUMPRODUCT(BT183:$DQ183/BT187:$DQ187)*BS187</f>
        <v>4217967.7122764634</v>
      </c>
      <c r="BU196" s="20" cm="1">
        <f t="array" ref="BU196">SUMPRODUCT(BU183:$DQ183/BU187:$DQ187)*BT187</f>
        <v>4085904.4055757807</v>
      </c>
      <c r="BV196" s="20" cm="1">
        <f t="array" ref="BV196">SUMPRODUCT(BV183:$DQ183/BV187:$DQ187)*BU187</f>
        <v>4025896.5962826745</v>
      </c>
      <c r="BW196" s="20" cm="1">
        <f t="array" ref="BW196">SUMPRODUCT(BW183:$DQ183/BW187:$DQ187)*BV187</f>
        <v>4002368.2271966236</v>
      </c>
      <c r="BX196" s="20" cm="1">
        <f t="array" ref="BX196">SUMPRODUCT(BX183:$DQ183/BX187:$DQ187)*BW187</f>
        <v>3934886.9494186183</v>
      </c>
      <c r="BY196" s="20" cm="1">
        <f t="array" ref="BY196">SUMPRODUCT(BY183:$DQ183/BY187:$DQ187)*BX187</f>
        <v>3846521.7136268686</v>
      </c>
      <c r="BZ196" s="20" cm="1">
        <f t="array" ref="BZ196">SUMPRODUCT(BZ183:$DQ183/BZ187:$DQ187)*BY187</f>
        <v>3810278.18623889</v>
      </c>
      <c r="CA196" s="20" cm="1">
        <f t="array" ref="CA196">SUMPRODUCT(CA183:$DQ183/CA187:$DQ187)*BZ187</f>
        <v>3796427.4627582831</v>
      </c>
      <c r="CB196" s="20" cm="1">
        <f t="array" ref="CB196">SUMPRODUCT(CB183:$DQ183/CB187:$DQ187)*CA187</f>
        <v>3725467.7510699234</v>
      </c>
      <c r="CC196" s="20" cm="1">
        <f t="array" ref="CC196">SUMPRODUCT(CC183:$DQ183/CC187:$DQ187)*CB187</f>
        <v>3633581.2896271851</v>
      </c>
      <c r="CD196" s="20" cm="1">
        <f t="array" ref="CD196">SUMPRODUCT(CD183:$DQ183/CD187:$DQ187)*CC187</f>
        <v>3594539.8184185904</v>
      </c>
      <c r="CE196" s="20" cm="1">
        <f t="array" ref="CE196">SUMPRODUCT(CE183:$DQ183/CE187:$DQ187)*CD187</f>
        <v>3575633.8907269388</v>
      </c>
      <c r="CF196" s="20" cm="1">
        <f t="array" ref="CF196">SUMPRODUCT(CF183:$DQ183/CF187:$DQ187)*CE187</f>
        <v>3496698.3698695679</v>
      </c>
      <c r="CG196" s="20" cm="1">
        <f t="array" ref="CG196">SUMPRODUCT(CG183:$DQ183/CG187:$DQ187)*CF187</f>
        <v>3395441.9552363604</v>
      </c>
      <c r="CH196" s="20" cm="1">
        <f t="array" ref="CH196">SUMPRODUCT(CH183:$DQ183/CH187:$DQ187)*CG187</f>
        <v>3349653.1232747352</v>
      </c>
      <c r="CI196" s="20" cm="1">
        <f t="array" ref="CI196">SUMPRODUCT(CI183:$DQ183/CI187:$DQ187)*CH187</f>
        <v>3326566.9009167487</v>
      </c>
      <c r="CJ196" s="20" cm="1">
        <f t="array" ref="CJ196">SUMPRODUCT(CJ183:$DQ183/CJ187:$DQ187)*CI187</f>
        <v>3241676.1395790945</v>
      </c>
      <c r="CK196" s="20" cm="1">
        <f t="array" ref="CK196">SUMPRODUCT(CK183:$DQ183/CK187:$DQ187)*CJ187</f>
        <v>3133783.9452122911</v>
      </c>
      <c r="CL196" s="20" cm="1">
        <f t="array" ref="CL196">SUMPRODUCT(CL183:$DQ183/CL187:$DQ187)*CK187</f>
        <v>3082936.7216140977</v>
      </c>
      <c r="CM196" s="20" cm="1">
        <f t="array" ref="CM196">SUMPRODUCT(CM183:$DQ183/CM187:$DQ187)*CL187</f>
        <v>3052453.7905109026</v>
      </c>
      <c r="CN196" s="20" cm="1">
        <f t="array" ref="CN196">SUMPRODUCT(CN183:$DQ183/CN187:$DQ187)*CM187</f>
        <v>2955929.510712537</v>
      </c>
      <c r="CO196" s="20" cm="1">
        <f t="array" ref="CO196">SUMPRODUCT(CO183:$DQ183/CO187:$DQ187)*CN187</f>
        <v>2834793.4101116629</v>
      </c>
      <c r="CP196" s="20" cm="1">
        <f t="array" ref="CP196">SUMPRODUCT(CP183:$DQ183/CP187:$DQ187)*CO187</f>
        <v>2774510.395362569</v>
      </c>
      <c r="CQ196" s="20" cm="1">
        <f t="array" ref="CQ196">SUMPRODUCT(CQ183:$DQ183/CQ187:$DQ187)*CP187</f>
        <v>2737247.8950427067</v>
      </c>
      <c r="CR196" s="20" cm="1">
        <f t="array" ref="CR196">SUMPRODUCT(CR183:$DQ183/CR187:$DQ187)*CQ187</f>
        <v>2630500.9288606076</v>
      </c>
      <c r="CS196" s="20" cm="1">
        <f t="array" ref="CS196">SUMPRODUCT(CS183:$DQ183/CS187:$DQ187)*CR187</f>
        <v>2497829.192618574</v>
      </c>
      <c r="CT196" s="20" cm="1">
        <f t="array" ref="CT196">SUMPRODUCT(CT183:$DQ183/CT187:$DQ187)*CS187</f>
        <v>2429092.3489390002</v>
      </c>
      <c r="CU196" s="20" cm="1">
        <f t="array" ref="CU196">SUMPRODUCT(CU183:$DQ183/CU187:$DQ187)*CT187</f>
        <v>2384283.8966689003</v>
      </c>
      <c r="CV196" s="20" cm="1">
        <f t="array" ref="CV196">SUMPRODUCT(CV183:$DQ183/CV187:$DQ187)*CU187</f>
        <v>2266183.8860357678</v>
      </c>
      <c r="CW196" s="20" cm="1">
        <f t="array" ref="CW196">SUMPRODUCT(CW183:$DQ183/CW187:$DQ187)*CV187</f>
        <v>2120707.0609202744</v>
      </c>
      <c r="CX196" s="20" cm="1">
        <f t="array" ref="CX196">SUMPRODUCT(CX183:$DQ183/CX187:$DQ187)*CW187</f>
        <v>2042571.7954594332</v>
      </c>
      <c r="CY196" s="20" cm="1">
        <f t="array" ref="CY196">SUMPRODUCT(CY183:$DQ183/CY187:$DQ187)*CX187</f>
        <v>1990159.7935563256</v>
      </c>
      <c r="CZ196" s="20" cm="1">
        <f t="array" ref="CZ196">SUMPRODUCT(CZ183:$DQ183/CZ187:$DQ187)*CY187</f>
        <v>1860890.1303211919</v>
      </c>
      <c r="DA196" s="20" cm="1">
        <f t="array" ref="DA196">SUMPRODUCT(DA183:$DQ183/DA187:$DQ187)*CZ187</f>
        <v>1702880.5540541678</v>
      </c>
      <c r="DB196" s="20" cm="1">
        <f t="array" ref="DB196">SUMPRODUCT(DB183:$DQ183/DB187:$DQ187)*DA187</f>
        <v>1615394.5119065784</v>
      </c>
      <c r="DC196" s="20" cm="1">
        <f t="array" ref="DC196">SUMPRODUCT(DC183:$DQ183/DC187:$DQ187)*DB187</f>
        <v>1558454.5360184927</v>
      </c>
      <c r="DD196" s="20" cm="1">
        <f t="array" ref="DD196">SUMPRODUCT(DD183:$DQ183/DD187:$DQ187)*DC187</f>
        <v>1423875.1142273417</v>
      </c>
      <c r="DE196" s="20" cm="1">
        <f t="array" ref="DE196">SUMPRODUCT(DE183:$DQ183/DE187:$DQ187)*DD187</f>
        <v>1260241.1890748525</v>
      </c>
      <c r="DF196" s="20" cm="1">
        <f t="array" ref="DF196">SUMPRODUCT(DF183:$DQ183/DF187:$DQ187)*DE187</f>
        <v>1167780.3185932485</v>
      </c>
      <c r="DG196" s="20" cm="1">
        <f t="array" ref="DG196">SUMPRODUCT(DG183:$DQ183/DG187:$DQ187)*DF187</f>
        <v>1106770.3862998197</v>
      </c>
      <c r="DH196" s="20" cm="1">
        <f t="array" ref="DH196">SUMPRODUCT(DH183:$DQ183/DH187:$DQ187)*DG187</f>
        <v>967853.8578124888</v>
      </c>
      <c r="DI196" s="20" cm="1">
        <f t="array" ref="DI196">SUMPRODUCT(DI183:$DQ183/DI187:$DQ187)*DH187</f>
        <v>799761.42100056133</v>
      </c>
      <c r="DJ196" s="20" cm="1">
        <f t="array" ref="DJ196">SUMPRODUCT(DJ183:$DQ183/DJ187:$DQ187)*DI187</f>
        <v>703021.60724472802</v>
      </c>
      <c r="DK196" s="20" cm="1">
        <f t="array" ref="DK196">SUMPRODUCT(DK183:$DQ183/DK187:$DQ187)*DJ187</f>
        <v>637710.07904262864</v>
      </c>
      <c r="DL196" s="20" cm="1">
        <f t="array" ref="DL196">SUMPRODUCT(DL183:$DQ183/DL187:$DQ187)*DK187</f>
        <v>494155.73859032802</v>
      </c>
      <c r="DM196" s="20" cm="1">
        <f t="array" ref="DM196">SUMPRODUCT(DM183:$DQ183/DM187:$DQ187)*DL187</f>
        <v>321277.2127291389</v>
      </c>
      <c r="DN196" s="20" cm="1">
        <f t="array" ref="DN196">SUMPRODUCT(DN183:$DQ183/DN187:$DQ187)*DM187</f>
        <v>219991.06390712419</v>
      </c>
      <c r="DO196" s="20" cm="1">
        <f t="array" ref="DO196">SUMPRODUCT(DO183:$DQ183/DO187:$DQ187)*DN187</f>
        <v>149555.64929852387</v>
      </c>
      <c r="DP196" s="20" cm="1">
        <f t="array" ref="DP196">SUMPRODUCT(DP183:$DQ183/DP187:$DQ187)*DO187</f>
        <v>0</v>
      </c>
      <c r="DQ196" s="20" cm="1">
        <f t="array" ref="DQ196">SUMPRODUCT(DQ183:$DQ183/DQ187:$DQ187)*DP187</f>
        <v>0</v>
      </c>
    </row>
    <row r="197" spans="2:1006" x14ac:dyDescent="0.35">
      <c r="D197" s="20" t="s">
        <v>407</v>
      </c>
      <c r="K197" s="20" cm="1">
        <f t="array" ref="K197">SUMPRODUCT(K184:$DQ184/K187:$DQ187)</f>
        <v>3407446.1807662407</v>
      </c>
      <c r="L197" s="20" cm="1">
        <f t="array" ref="L197">SUMPRODUCT(L184:$DQ184/L187:$DQ187)</f>
        <v>3407446.1807662407</v>
      </c>
      <c r="M197" s="20" cm="1">
        <f t="array" ref="M197">SUMPRODUCT(M184:$DQ184/M187:$DQ187)</f>
        <v>3407446.1807662407</v>
      </c>
      <c r="N197" s="20" cm="1">
        <f t="array" ref="N197">SUMPRODUCT(N184:$DQ184/N187:$DQ187)</f>
        <v>3407446.1807662407</v>
      </c>
      <c r="O197" s="20" cm="1">
        <f t="array" ref="O197">SUMPRODUCT(O184:$DQ184/O187:$DQ187)</f>
        <v>3407446.1807662407</v>
      </c>
      <c r="P197" s="20" cm="1">
        <f t="array" ref="P197">SUMPRODUCT(P184:$DQ184/P187:$DQ187)</f>
        <v>3407446.1807662407</v>
      </c>
      <c r="Q197" s="20" cm="1">
        <f t="array" ref="Q197">SUMPRODUCT(Q184:$DQ184/Q187:$DQ187)</f>
        <v>3407446.1807662407</v>
      </c>
      <c r="R197" s="20" cm="1">
        <f t="array" ref="R197">SUMPRODUCT(R184:$DQ184/R187:$DQ187)</f>
        <v>3407446.1807662407</v>
      </c>
      <c r="S197" s="20" cm="1">
        <f t="array" ref="S197">SUMPRODUCT(S184:$DQ184/S187:$DQ187)</f>
        <v>3407446.1807662407</v>
      </c>
      <c r="T197" s="20" cm="1">
        <f t="array" ref="T197">SUMPRODUCT(T184:$DQ184/T187:$DQ187)</f>
        <v>3407446.1807662407</v>
      </c>
      <c r="U197" s="20" cm="1">
        <f t="array" ref="U197">SUMPRODUCT(U184:$DQ184/U187:$DQ187)</f>
        <v>3339420.4924950618</v>
      </c>
      <c r="V197" s="20" cm="1">
        <f t="array" ref="V197">SUMPRODUCT(V184:$DQ184/V187:$DQ187)</f>
        <v>3304172.3085405556</v>
      </c>
      <c r="W197" s="20" cm="1">
        <f t="array" ref="W197">SUMPRODUCT(W184:$DQ184/W187:$DQ187)</f>
        <v>3283751.8712707828</v>
      </c>
      <c r="X197" s="20" cm="1">
        <f t="array" ref="X197">SUMPRODUCT(X184:$DQ184/X187:$DQ187)</f>
        <v>3230049.0039869375</v>
      </c>
      <c r="Y197" s="20" cm="1">
        <f t="array" ref="Y197">SUMPRODUCT(Y184:$DQ184/Y187:$DQ187)</f>
        <v>3164817.3132882207</v>
      </c>
      <c r="Z197" s="20" cm="1">
        <f t="array" ref="Z197">SUMPRODUCT(Z184:$DQ184/Z187:$DQ187)</f>
        <v>3131113.0510978838</v>
      </c>
      <c r="AA197" s="20" cm="1">
        <f t="array" ref="AA197">SUMPRODUCT(AA184:$DQ184/AA187:$DQ187)</f>
        <v>3111670.3381867944</v>
      </c>
      <c r="AB197" s="20" cm="1">
        <f t="array" ref="AB197">SUMPRODUCT(AB184:$DQ184/AB187:$DQ187)*AA187</f>
        <v>3274603.5529828994</v>
      </c>
      <c r="AC197" s="20" cm="1">
        <f t="array" ref="AC197">SUMPRODUCT(AC184:$DQ184/AC187:$DQ187)*AB187</f>
        <v>3234937.4903838574</v>
      </c>
      <c r="AD197" s="20" cm="1">
        <f t="array" ref="AD197">SUMPRODUCT(AD184:$DQ184/AD187:$DQ187)*AC187</f>
        <v>3227364.0171593511</v>
      </c>
      <c r="AE197" s="20" cm="1">
        <f t="array" ref="AE197">SUMPRODUCT(AE184:$DQ184/AE187:$DQ187)*AD187</f>
        <v>3233028.9483090364</v>
      </c>
      <c r="AF197" s="20" cm="1">
        <f t="array" ref="AF197">SUMPRODUCT(AF184:$DQ184/AF187:$DQ187)*AE187</f>
        <v>3203310.3915887</v>
      </c>
      <c r="AG197" s="20" cm="1">
        <f t="array" ref="AG197">SUMPRODUCT(AG184:$DQ184/AG187:$DQ187)*AF187</f>
        <v>3160541.8634273293</v>
      </c>
      <c r="AH197" s="20" cm="1">
        <f t="array" ref="AH197">SUMPRODUCT(AH184:$DQ184/AH187:$DQ187)*AG187</f>
        <v>3150778.3520737207</v>
      </c>
      <c r="AI197" s="20" cm="1">
        <f t="array" ref="AI197">SUMPRODUCT(AI184:$DQ184/AI187:$DQ187)*AH187</f>
        <v>3155112.6802239525</v>
      </c>
      <c r="AJ197" s="20" cm="1">
        <f t="array" ref="AJ197">SUMPRODUCT(AJ184:$DQ184/AJ187:$DQ187)*AI187</f>
        <v>3123422.1648847479</v>
      </c>
      <c r="AK197" s="20" cm="1">
        <f t="array" ref="AK197">SUMPRODUCT(AK184:$DQ184/AK187:$DQ187)*AJ187</f>
        <v>3078437.2696752828</v>
      </c>
      <c r="AL197" s="20" cm="1">
        <f t="array" ref="AL197">SUMPRODUCT(AL184:$DQ184/AL187:$DQ187)*AK187</f>
        <v>3067031.6566528305</v>
      </c>
      <c r="AM197" s="20" cm="1">
        <f t="array" ref="AM197">SUMPRODUCT(AM184:$DQ184/AM187:$DQ187)*AL187</f>
        <v>3070791.1925931429</v>
      </c>
      <c r="AN197" s="20" cm="1">
        <f t="array" ref="AN197">SUMPRODUCT(AN184:$DQ184/AN187:$DQ187)*AM187</f>
        <v>3038546.498545798</v>
      </c>
      <c r="AO197" s="20" cm="1">
        <f t="array" ref="AO197">SUMPRODUCT(AO184:$DQ184/AO187:$DQ187)*AN187</f>
        <v>2993392.2484727693</v>
      </c>
      <c r="AP197" s="20" cm="1">
        <f t="array" ref="AP197">SUMPRODUCT(AP184:$DQ184/AP187:$DQ187)*AO187</f>
        <v>2981786.8721074746</v>
      </c>
      <c r="AQ197" s="20" cm="1">
        <f t="array" ref="AQ197">SUMPRODUCT(AQ184:$DQ184/AQ187:$DQ187)*AP187</f>
        <v>2982257.9983633007</v>
      </c>
      <c r="AR197" s="20" cm="1">
        <f t="array" ref="AR197">SUMPRODUCT(AR184:$DQ184/AR187:$DQ187)*AQ187</f>
        <v>2944250.0194534049</v>
      </c>
      <c r="AS197" s="20" cm="1">
        <f t="array" ref="AS197">SUMPRODUCT(AS184:$DQ184/AS187:$DQ187)*AR187</f>
        <v>2892013.9032784696</v>
      </c>
      <c r="AT197" s="20" cm="1">
        <f t="array" ref="AT197">SUMPRODUCT(AT184:$DQ184/AT187:$DQ187)*AS187</f>
        <v>2875567.2504239646</v>
      </c>
      <c r="AU197" s="20" cm="1">
        <f t="array" ref="AU197">SUMPRODUCT(AU184:$DQ184/AU187:$DQ187)*AT187</f>
        <v>2869765.7807922536</v>
      </c>
      <c r="AV197" s="20" cm="1">
        <f t="array" ref="AV197">SUMPRODUCT(AV184:$DQ184/AV187:$DQ187)*AU187</f>
        <v>2821037.6540088812</v>
      </c>
      <c r="AW197" s="20" cm="1">
        <f t="array" ref="AW197">SUMPRODUCT(AW184:$DQ184/AW187:$DQ187)*AV187</f>
        <v>2756400.2364208563</v>
      </c>
      <c r="AX197" s="20" cm="1">
        <f t="array" ref="AX197">SUMPRODUCT(AX184:$DQ184/AX187:$DQ187)*AW187</f>
        <v>2731577.3528862726</v>
      </c>
      <c r="AY197" s="20" cm="1">
        <f t="array" ref="AY197">SUMPRODUCT(AY184:$DQ184/AY187:$DQ187)*AX187</f>
        <v>2723206.8650489287</v>
      </c>
      <c r="AZ197" s="20" cm="1">
        <f t="array" ref="AZ197">SUMPRODUCT(AZ184:$DQ184/AZ187:$DQ187)*AY187</f>
        <v>2670732.5919745965</v>
      </c>
      <c r="BA197" s="20" cm="1">
        <f t="array" ref="BA197">SUMPRODUCT(BA184:$DQ184/BA187:$DQ187)*AZ187</f>
        <v>2601899.2413421194</v>
      </c>
      <c r="BB197" s="20" cm="1">
        <f t="array" ref="BB197">SUMPRODUCT(BB184:$DQ184/BB187:$DQ187)*BA187</f>
        <v>2573930.9869910628</v>
      </c>
      <c r="BC197" s="20" cm="1">
        <f t="array" ref="BC197">SUMPRODUCT(BC184:$DQ184/BC187:$DQ187)*BB187</f>
        <v>2564302.3746299185</v>
      </c>
      <c r="BD197" s="20" cm="1">
        <f t="array" ref="BD197">SUMPRODUCT(BD184:$DQ184/BD187:$DQ187)*BC187</f>
        <v>2510551.6871506232</v>
      </c>
      <c r="BE197" s="20" cm="1">
        <f t="array" ref="BE197">SUMPRODUCT(BE184:$DQ184/BE187:$DQ187)*BD187</f>
        <v>2440428.4506426277</v>
      </c>
      <c r="BF197" s="20" cm="1">
        <f t="array" ref="BF197">SUMPRODUCT(BF184:$DQ184/BF187:$DQ187)*BE187</f>
        <v>2411166.8710863702</v>
      </c>
      <c r="BG197" s="20" cm="1">
        <f t="array" ref="BG197">SUMPRODUCT(BG184:$DQ184/BG187:$DQ187)*BF187</f>
        <v>2398028.9202346918</v>
      </c>
      <c r="BH197" s="20" cm="1">
        <f t="array" ref="BH197">SUMPRODUCT(BH184:$DQ184/BH187:$DQ187)*BG187</f>
        <v>2338955.560034744</v>
      </c>
      <c r="BI197" s="20" cm="1">
        <f t="array" ref="BI197">SUMPRODUCT(BI184:$DQ184/BI187:$DQ187)*BH187</f>
        <v>2262936.1781393881</v>
      </c>
      <c r="BJ197" s="20" cm="1">
        <f t="array" ref="BJ197">SUMPRODUCT(BJ184:$DQ184/BJ187:$DQ187)*BI187</f>
        <v>2229401.1964269551</v>
      </c>
      <c r="BK197" s="20" cm="1">
        <f t="array" ref="BK197">SUMPRODUCT(BK184:$DQ184/BK187:$DQ187)*BJ187</f>
        <v>2212223.324198389</v>
      </c>
      <c r="BL197" s="20" cm="1">
        <f t="array" ref="BL197">SUMPRODUCT(BL184:$DQ184/BL187:$DQ187)*BK187</f>
        <v>2146905.5811555162</v>
      </c>
      <c r="BM197" s="20" cm="1">
        <f t="array" ref="BM197">SUMPRODUCT(BM184:$DQ184/BM187:$DQ187)*BL187</f>
        <v>2063683.5253293482</v>
      </c>
      <c r="BN197" s="20" cm="1">
        <f t="array" ref="BN197">SUMPRODUCT(BN184:$DQ184/BN187:$DQ187)*BM187</f>
        <v>2024923.4785111065</v>
      </c>
      <c r="BO197" s="20" cm="1">
        <f t="array" ref="BO197">SUMPRODUCT(BO184:$DQ184/BO187:$DQ187)*BN187</f>
        <v>2002453.5008503003</v>
      </c>
      <c r="BP197" s="20" cm="1">
        <f t="array" ref="BP197">SUMPRODUCT(BP184:$DQ184/BP187:$DQ187)*BO187</f>
        <v>1928876.4831763082</v>
      </c>
      <c r="BQ197" s="20" cm="1">
        <f t="array" ref="BQ197">SUMPRODUCT(BQ184:$DQ184/BQ187:$DQ187)*BP187</f>
        <v>1836267.2525798436</v>
      </c>
      <c r="BR197" s="20" cm="1">
        <f t="array" ref="BR197">SUMPRODUCT(BR184:$DQ184/BR187:$DQ187)*BQ187</f>
        <v>1790786.3108468754</v>
      </c>
      <c r="BS197" s="20" cm="1">
        <f t="array" ref="BS197">SUMPRODUCT(BS184:$DQ184/BS187:$DQ187)*BR187</f>
        <v>1763027.4602064046</v>
      </c>
      <c r="BT197" s="20" cm="1">
        <f t="array" ref="BT197">SUMPRODUCT(BT184:$DQ184/BT187:$DQ187)*BS187</f>
        <v>1681402.7012725077</v>
      </c>
      <c r="BU197" s="20" cm="1">
        <f t="array" ref="BU197">SUMPRODUCT(BU184:$DQ184/BU187:$DQ187)*BT187</f>
        <v>1579694.9906380454</v>
      </c>
      <c r="BV197" s="20" cm="1">
        <f t="array" ref="BV197">SUMPRODUCT(BV184:$DQ184/BV187:$DQ187)*BU187</f>
        <v>1527588.5149884531</v>
      </c>
      <c r="BW197" s="20" cm="1">
        <f t="array" ref="BW197">SUMPRODUCT(BW184:$DQ184/BW187:$DQ187)*BV187</f>
        <v>1500547.2625265138</v>
      </c>
      <c r="BX197" s="20" cm="1">
        <f t="array" ref="BX197">SUMPRODUCT(BX184:$DQ184/BX187:$DQ187)*BW187</f>
        <v>1443099.8409304095</v>
      </c>
      <c r="BY197" s="20" cm="1">
        <f t="array" ref="BY197">SUMPRODUCT(BY184:$DQ184/BY187:$DQ187)*BX187</f>
        <v>1371155.0574836684</v>
      </c>
      <c r="BZ197" s="20" cm="1">
        <f t="array" ref="BZ197">SUMPRODUCT(BZ184:$DQ184/BZ187:$DQ187)*BY187</f>
        <v>1335060.8267124337</v>
      </c>
      <c r="CA197" s="20" cm="1">
        <f t="array" ref="CA197">SUMPRODUCT(CA184:$DQ184/CA187:$DQ187)*BZ187</f>
        <v>1314313.6278047501</v>
      </c>
      <c r="CB197" s="20" cm="1">
        <f t="array" ref="CB197">SUMPRODUCT(CB184:$DQ184/CB187:$DQ187)*CA187</f>
        <v>1254083.8033730537</v>
      </c>
      <c r="CC197" s="20" cm="1">
        <f t="array" ref="CC197">SUMPRODUCT(CC184:$DQ184/CC187:$DQ187)*CB187</f>
        <v>1179225.3057667715</v>
      </c>
      <c r="CD197" s="20" cm="1">
        <f t="array" ref="CD197">SUMPRODUCT(CD184:$DQ184/CD187:$DQ187)*CC187</f>
        <v>1140711.1044248939</v>
      </c>
      <c r="CE197" s="20" cm="1">
        <f t="array" ref="CE197">SUMPRODUCT(CE184:$DQ184/CE187:$DQ187)*CD187</f>
        <v>1115982.0806419782</v>
      </c>
      <c r="CF197" s="20" cm="1">
        <f t="array" ref="CF197">SUMPRODUCT(CF184:$DQ184/CF187:$DQ187)*CE187</f>
        <v>1049751.045971018</v>
      </c>
      <c r="CG197" s="20" cm="1">
        <f t="array" ref="CG197">SUMPRODUCT(CG184:$DQ184/CG187:$DQ187)*CF187</f>
        <v>968023.10494093888</v>
      </c>
      <c r="CH197" s="20" cm="1">
        <f t="array" ref="CH197">SUMPRODUCT(CH184:$DQ184/CH187:$DQ187)*CG187</f>
        <v>924444.57980589697</v>
      </c>
      <c r="CI197" s="20" cm="1">
        <f t="array" ref="CI197">SUMPRODUCT(CI184:$DQ184/CI187:$DQ187)*CH187</f>
        <v>896418.02663337463</v>
      </c>
      <c r="CJ197" s="20" cm="1">
        <f t="array" ref="CJ197">SUMPRODUCT(CJ184:$DQ184/CJ187:$DQ187)*CI187</f>
        <v>825661.73454539536</v>
      </c>
      <c r="CK197" s="20" cm="1">
        <f t="array" ref="CK197">SUMPRODUCT(CK184:$DQ184/CK187:$DQ187)*CJ187</f>
        <v>738935.53947582236</v>
      </c>
      <c r="CL197" s="20" cm="1">
        <f t="array" ref="CL197">SUMPRODUCT(CL184:$DQ184/CL187:$DQ187)*CK187</f>
        <v>691442.92293685186</v>
      </c>
      <c r="CM197" s="20" cm="1">
        <f t="array" ref="CM197">SUMPRODUCT(CM184:$DQ184/CM187:$DQ187)*CL187</f>
        <v>657885.92234901548</v>
      </c>
      <c r="CN197" s="20" cm="1">
        <f t="array" ref="CN197">SUMPRODUCT(CN184:$DQ184/CN187:$DQ187)*CM187</f>
        <v>578673.48900740314</v>
      </c>
      <c r="CO197" s="20" cm="1">
        <f t="array" ref="CO197">SUMPRODUCT(CO184:$DQ184/CO187:$DQ187)*CN187</f>
        <v>482376.75145731191</v>
      </c>
      <c r="CP197" s="20" cm="1">
        <f t="array" ref="CP197">SUMPRODUCT(CP184:$DQ184/CP187:$DQ187)*CO187</f>
        <v>427936.05657920073</v>
      </c>
      <c r="CQ197" s="20" cm="1">
        <f t="array" ref="CQ197">SUMPRODUCT(CQ184:$DQ184/CQ187:$DQ187)*CP187</f>
        <v>389258.99928179296</v>
      </c>
      <c r="CR197" s="20" cm="1">
        <f t="array" ref="CR197">SUMPRODUCT(CR184:$DQ184/CR187:$DQ187)*CQ187</f>
        <v>302548.05636445497</v>
      </c>
      <c r="CS197" s="20" cm="1">
        <f t="array" ref="CS197">SUMPRODUCT(CS184:$DQ184/CS187:$DQ187)*CR187</f>
        <v>197843.40365807895</v>
      </c>
      <c r="CT197" s="20" cm="1">
        <f t="array" ref="CT197">SUMPRODUCT(CT184:$DQ184/CT187:$DQ187)*CS187</f>
        <v>137116.21989885136</v>
      </c>
      <c r="CU197" s="20" cm="1">
        <f t="array" ref="CU197">SUMPRODUCT(CU184:$DQ184/CU187:$DQ187)*CT187</f>
        <v>92774.803482882984</v>
      </c>
      <c r="CV197" s="20" cm="1">
        <f t="array" ref="CV197">SUMPRODUCT(CV184:$DQ184/CV187:$DQ187)*CU187</f>
        <v>0</v>
      </c>
      <c r="CW197" s="20" cm="1">
        <f t="array" ref="CW197">SUMPRODUCT(CW184:$DQ184/CW187:$DQ187)*CV187</f>
        <v>0</v>
      </c>
      <c r="CX197" s="20" cm="1">
        <f t="array" ref="CX197">SUMPRODUCT(CX184:$DQ184/CX187:$DQ187)*CW187</f>
        <v>0</v>
      </c>
      <c r="CY197" s="20" cm="1">
        <f t="array" ref="CY197">SUMPRODUCT(CY184:$DQ184/CY187:$DQ187)*CX187</f>
        <v>0</v>
      </c>
      <c r="CZ197" s="20" cm="1">
        <f t="array" ref="CZ197">SUMPRODUCT(CZ184:$DQ184/CZ187:$DQ187)*CY187</f>
        <v>0</v>
      </c>
      <c r="DA197" s="20" cm="1">
        <f t="array" ref="DA197">SUMPRODUCT(DA184:$DQ184/DA187:$DQ187)*CZ187</f>
        <v>0</v>
      </c>
      <c r="DB197" s="20" cm="1">
        <f t="array" ref="DB197">SUMPRODUCT(DB184:$DQ184/DB187:$DQ187)*DA187</f>
        <v>0</v>
      </c>
      <c r="DC197" s="20" cm="1">
        <f t="array" ref="DC197">SUMPRODUCT(DC184:$DQ184/DC187:$DQ187)*DB187</f>
        <v>0</v>
      </c>
      <c r="DD197" s="20" cm="1">
        <f t="array" ref="DD197">SUMPRODUCT(DD184:$DQ184/DD187:$DQ187)*DC187</f>
        <v>0</v>
      </c>
      <c r="DE197" s="20" cm="1">
        <f t="array" ref="DE197">SUMPRODUCT(DE184:$DQ184/DE187:$DQ187)*DD187</f>
        <v>0</v>
      </c>
      <c r="DF197" s="20" cm="1">
        <f t="array" ref="DF197">SUMPRODUCT(DF184:$DQ184/DF187:$DQ187)*DE187</f>
        <v>0</v>
      </c>
      <c r="DG197" s="20" cm="1">
        <f t="array" ref="DG197">SUMPRODUCT(DG184:$DQ184/DG187:$DQ187)*DF187</f>
        <v>0</v>
      </c>
      <c r="DH197" s="20" cm="1">
        <f t="array" ref="DH197">SUMPRODUCT(DH184:$DQ184/DH187:$DQ187)*DG187</f>
        <v>0</v>
      </c>
      <c r="DI197" s="20" cm="1">
        <f t="array" ref="DI197">SUMPRODUCT(DI184:$DQ184/DI187:$DQ187)*DH187</f>
        <v>0</v>
      </c>
      <c r="DJ197" s="20" cm="1">
        <f t="array" ref="DJ197">SUMPRODUCT(DJ184:$DQ184/DJ187:$DQ187)*DI187</f>
        <v>0</v>
      </c>
      <c r="DK197" s="20" cm="1">
        <f t="array" ref="DK197">SUMPRODUCT(DK184:$DQ184/DK187:$DQ187)*DJ187</f>
        <v>0</v>
      </c>
      <c r="DL197" s="20" cm="1">
        <f t="array" ref="DL197">SUMPRODUCT(DL184:$DQ184/DL187:$DQ187)*DK187</f>
        <v>0</v>
      </c>
      <c r="DM197" s="20" cm="1">
        <f t="array" ref="DM197">SUMPRODUCT(DM184:$DQ184/DM187:$DQ187)*DL187</f>
        <v>0</v>
      </c>
      <c r="DN197" s="20" cm="1">
        <f t="array" ref="DN197">SUMPRODUCT(DN184:$DQ184/DN187:$DQ187)*DM187</f>
        <v>0</v>
      </c>
      <c r="DO197" s="20" cm="1">
        <f t="array" ref="DO197">SUMPRODUCT(DO184:$DQ184/DO187:$DQ187)*DN187</f>
        <v>0</v>
      </c>
      <c r="DP197" s="20" cm="1">
        <f t="array" ref="DP197">SUMPRODUCT(DP184:$DQ184/DP187:$DQ187)*DO187</f>
        <v>0</v>
      </c>
      <c r="DQ197" s="20" cm="1">
        <f t="array" ref="DQ197">SUMPRODUCT(DQ184:$DQ184/DQ187:$DQ187)*DP187</f>
        <v>0</v>
      </c>
    </row>
    <row r="198" spans="2:1006" x14ac:dyDescent="0.35">
      <c r="D198" s="20" t="s">
        <v>411</v>
      </c>
      <c r="K198" s="20">
        <f>K113</f>
        <v>0</v>
      </c>
      <c r="L198" s="20">
        <f t="shared" ref="L198:BW198" si="217">L113</f>
        <v>0</v>
      </c>
      <c r="M198" s="20">
        <f t="shared" si="217"/>
        <v>0</v>
      </c>
      <c r="N198" s="20">
        <f t="shared" si="217"/>
        <v>0</v>
      </c>
      <c r="O198" s="20">
        <f t="shared" si="217"/>
        <v>0</v>
      </c>
      <c r="P198" s="20">
        <f t="shared" si="217"/>
        <v>486491.1751974026</v>
      </c>
      <c r="Q198" s="20">
        <f t="shared" si="217"/>
        <v>1214792.9690432188</v>
      </c>
      <c r="R198" s="20">
        <f t="shared" si="217"/>
        <v>1944384.5444918973</v>
      </c>
      <c r="S198" s="20">
        <f t="shared" si="217"/>
        <v>2675268.1856742715</v>
      </c>
      <c r="T198" s="20">
        <f t="shared" si="217"/>
        <v>3407446.1807662416</v>
      </c>
      <c r="U198" s="20">
        <f t="shared" si="217"/>
        <v>3367805.566681271</v>
      </c>
      <c r="V198" s="20">
        <f t="shared" si="217"/>
        <v>3360581.9642350376</v>
      </c>
      <c r="W198" s="20">
        <f t="shared" si="217"/>
        <v>3368201.3138404042</v>
      </c>
      <c r="X198" s="20">
        <f t="shared" si="217"/>
        <v>3341278.8478421578</v>
      </c>
      <c r="Y198" s="20">
        <f t="shared" si="217"/>
        <v>3301628.1482892926</v>
      </c>
      <c r="Z198" s="20">
        <f t="shared" si="217"/>
        <v>3294231.8643728974</v>
      </c>
      <c r="AA198" s="20">
        <f t="shared" si="217"/>
        <v>3301603.359955247</v>
      </c>
      <c r="AB198" s="20">
        <f t="shared" si="217"/>
        <v>3274603.5529829008</v>
      </c>
      <c r="AC198" s="20">
        <f t="shared" si="217"/>
        <v>3234937.4903838588</v>
      </c>
      <c r="AD198" s="20">
        <f t="shared" si="217"/>
        <v>3227364.0171593539</v>
      </c>
      <c r="AE198" s="20">
        <f t="shared" si="217"/>
        <v>3233028.9483090392</v>
      </c>
      <c r="AF198" s="20">
        <f t="shared" si="217"/>
        <v>3203310.3915887037</v>
      </c>
      <c r="AG198" s="20">
        <f t="shared" si="217"/>
        <v>3160541.8634273331</v>
      </c>
      <c r="AH198" s="20">
        <f t="shared" si="217"/>
        <v>3150778.3520737244</v>
      </c>
      <c r="AI198" s="20">
        <f t="shared" si="217"/>
        <v>3155112.6802239567</v>
      </c>
      <c r="AJ198" s="20">
        <f t="shared" si="217"/>
        <v>3123422.1648847521</v>
      </c>
      <c r="AK198" s="20">
        <f t="shared" si="217"/>
        <v>3078437.269675287</v>
      </c>
      <c r="AL198" s="20">
        <f t="shared" si="217"/>
        <v>3067031.6566528343</v>
      </c>
      <c r="AM198" s="20">
        <f t="shared" si="217"/>
        <v>3070791.192593147</v>
      </c>
      <c r="AN198" s="20">
        <f t="shared" si="217"/>
        <v>3038546.4985458027</v>
      </c>
      <c r="AO198" s="20">
        <f t="shared" si="217"/>
        <v>2993392.2484727739</v>
      </c>
      <c r="AP198" s="20">
        <f t="shared" si="217"/>
        <v>2981786.8721074793</v>
      </c>
      <c r="AQ198" s="20">
        <f t="shared" si="217"/>
        <v>2982257.9983633044</v>
      </c>
      <c r="AR198" s="20">
        <f t="shared" si="217"/>
        <v>2944250.0194534082</v>
      </c>
      <c r="AS198" s="20">
        <f t="shared" si="217"/>
        <v>2892013.9032784728</v>
      </c>
      <c r="AT198" s="20">
        <f t="shared" si="217"/>
        <v>2875567.2504239674</v>
      </c>
      <c r="AU198" s="20">
        <f t="shared" si="217"/>
        <v>2869765.7807922564</v>
      </c>
      <c r="AV198" s="20">
        <f t="shared" si="217"/>
        <v>2821037.654008884</v>
      </c>
      <c r="AW198" s="20">
        <f t="shared" si="217"/>
        <v>2756400.2364208591</v>
      </c>
      <c r="AX198" s="20">
        <f t="shared" si="217"/>
        <v>2731577.3528862749</v>
      </c>
      <c r="AY198" s="20">
        <f t="shared" si="217"/>
        <v>2723206.8650489305</v>
      </c>
      <c r="AZ198" s="20">
        <f t="shared" si="217"/>
        <v>2670732.5919745979</v>
      </c>
      <c r="BA198" s="20">
        <f t="shared" si="217"/>
        <v>2601899.2413421208</v>
      </c>
      <c r="BB198" s="20">
        <f t="shared" si="217"/>
        <v>2573930.9869910642</v>
      </c>
      <c r="BC198" s="20">
        <f t="shared" si="217"/>
        <v>2564302.3746299194</v>
      </c>
      <c r="BD198" s="20">
        <f t="shared" si="217"/>
        <v>2510551.6871506241</v>
      </c>
      <c r="BE198" s="20">
        <f t="shared" si="217"/>
        <v>2440428.4506426281</v>
      </c>
      <c r="BF198" s="20">
        <f t="shared" si="217"/>
        <v>2411166.8710863707</v>
      </c>
      <c r="BG198" s="20">
        <f t="shared" si="217"/>
        <v>2398028.9202346923</v>
      </c>
      <c r="BH198" s="20">
        <f t="shared" si="217"/>
        <v>2338955.5600347444</v>
      </c>
      <c r="BI198" s="20">
        <f t="shared" si="217"/>
        <v>2262936.1781393886</v>
      </c>
      <c r="BJ198" s="20">
        <f t="shared" si="217"/>
        <v>2229401.1964269555</v>
      </c>
      <c r="BK198" s="20">
        <f t="shared" si="217"/>
        <v>2212223.3241983894</v>
      </c>
      <c r="BL198" s="20">
        <f t="shared" si="217"/>
        <v>2146905.5811555167</v>
      </c>
      <c r="BM198" s="20">
        <f t="shared" si="217"/>
        <v>2063683.5253293489</v>
      </c>
      <c r="BN198" s="20">
        <f t="shared" si="217"/>
        <v>2024923.4785111072</v>
      </c>
      <c r="BO198" s="20">
        <f t="shared" si="217"/>
        <v>2002453.5008503003</v>
      </c>
      <c r="BP198" s="20">
        <f t="shared" si="217"/>
        <v>1928876.4831763085</v>
      </c>
      <c r="BQ198" s="20">
        <f t="shared" si="217"/>
        <v>1836267.2525798441</v>
      </c>
      <c r="BR198" s="20">
        <f t="shared" si="217"/>
        <v>1790786.3108468761</v>
      </c>
      <c r="BS198" s="20">
        <f t="shared" si="217"/>
        <v>1763027.4602064048</v>
      </c>
      <c r="BT198" s="20">
        <f t="shared" si="217"/>
        <v>1681402.7012725079</v>
      </c>
      <c r="BU198" s="20">
        <f t="shared" si="217"/>
        <v>1579694.9906380454</v>
      </c>
      <c r="BV198" s="20">
        <f t="shared" si="217"/>
        <v>1527588.5149884529</v>
      </c>
      <c r="BW198" s="20">
        <f t="shared" si="217"/>
        <v>1500547.2625265135</v>
      </c>
      <c r="BX198" s="20">
        <f t="shared" ref="BX198:DQ198" si="218">BX113</f>
        <v>1443099.8409304093</v>
      </c>
      <c r="BY198" s="20">
        <f t="shared" si="218"/>
        <v>1371155.0574836684</v>
      </c>
      <c r="BZ198" s="20">
        <f t="shared" si="218"/>
        <v>1335060.8267124335</v>
      </c>
      <c r="CA198" s="20">
        <f t="shared" si="218"/>
        <v>1314313.6278047501</v>
      </c>
      <c r="CB198" s="20">
        <f t="shared" si="218"/>
        <v>1254083.8033730534</v>
      </c>
      <c r="CC198" s="20">
        <f t="shared" si="218"/>
        <v>1179225.3057667715</v>
      </c>
      <c r="CD198" s="20">
        <f t="shared" si="218"/>
        <v>1140711.1044248936</v>
      </c>
      <c r="CE198" s="20">
        <f t="shared" si="218"/>
        <v>1115982.0806419782</v>
      </c>
      <c r="CF198" s="20">
        <f t="shared" si="218"/>
        <v>1049751.045971018</v>
      </c>
      <c r="CG198" s="20">
        <f t="shared" si="218"/>
        <v>968023.10494093923</v>
      </c>
      <c r="CH198" s="20">
        <f t="shared" si="218"/>
        <v>924444.57980589732</v>
      </c>
      <c r="CI198" s="20">
        <f t="shared" si="218"/>
        <v>896418.02663337486</v>
      </c>
      <c r="CJ198" s="20">
        <f t="shared" si="218"/>
        <v>825661.73454539559</v>
      </c>
      <c r="CK198" s="20">
        <f t="shared" si="218"/>
        <v>738935.53947582247</v>
      </c>
      <c r="CL198" s="20">
        <f t="shared" si="218"/>
        <v>691442.92293685209</v>
      </c>
      <c r="CM198" s="20">
        <f t="shared" si="218"/>
        <v>657885.92234901548</v>
      </c>
      <c r="CN198" s="20">
        <f t="shared" si="218"/>
        <v>578673.48900740314</v>
      </c>
      <c r="CO198" s="20">
        <f t="shared" si="218"/>
        <v>482376.75145731197</v>
      </c>
      <c r="CP198" s="20">
        <f t="shared" si="218"/>
        <v>427936.05657920078</v>
      </c>
      <c r="CQ198" s="20">
        <f t="shared" si="218"/>
        <v>389258.99928179302</v>
      </c>
      <c r="CR198" s="20">
        <f t="shared" si="218"/>
        <v>302548.05636445497</v>
      </c>
      <c r="CS198" s="20">
        <f t="shared" si="218"/>
        <v>197843.40365807898</v>
      </c>
      <c r="CT198" s="20">
        <f t="shared" si="218"/>
        <v>137116.21989885136</v>
      </c>
      <c r="CU198" s="20">
        <f t="shared" si="218"/>
        <v>92774.803482882999</v>
      </c>
      <c r="CV198" s="20">
        <f t="shared" si="218"/>
        <v>0</v>
      </c>
      <c r="CW198" s="20">
        <f t="shared" si="218"/>
        <v>0</v>
      </c>
      <c r="CX198" s="20">
        <f t="shared" si="218"/>
        <v>0</v>
      </c>
      <c r="CY198" s="20">
        <f t="shared" si="218"/>
        <v>0</v>
      </c>
      <c r="CZ198" s="20">
        <f t="shared" si="218"/>
        <v>0</v>
      </c>
      <c r="DA198" s="20">
        <f t="shared" si="218"/>
        <v>0</v>
      </c>
      <c r="DB198" s="20">
        <f t="shared" si="218"/>
        <v>0</v>
      </c>
      <c r="DC198" s="20">
        <f t="shared" si="218"/>
        <v>0</v>
      </c>
      <c r="DD198" s="20">
        <f t="shared" si="218"/>
        <v>0</v>
      </c>
      <c r="DE198" s="20">
        <f t="shared" si="218"/>
        <v>0</v>
      </c>
      <c r="DF198" s="20">
        <f t="shared" si="218"/>
        <v>0</v>
      </c>
      <c r="DG198" s="20">
        <f t="shared" si="218"/>
        <v>0</v>
      </c>
      <c r="DH198" s="20">
        <f t="shared" si="218"/>
        <v>0</v>
      </c>
      <c r="DI198" s="20">
        <f t="shared" si="218"/>
        <v>0</v>
      </c>
      <c r="DJ198" s="20">
        <f t="shared" si="218"/>
        <v>0</v>
      </c>
      <c r="DK198" s="20">
        <f t="shared" si="218"/>
        <v>0</v>
      </c>
      <c r="DL198" s="20">
        <f t="shared" si="218"/>
        <v>0</v>
      </c>
      <c r="DM198" s="20">
        <f t="shared" si="218"/>
        <v>0</v>
      </c>
      <c r="DN198" s="20">
        <f t="shared" si="218"/>
        <v>0</v>
      </c>
      <c r="DO198" s="20">
        <f t="shared" si="218"/>
        <v>0</v>
      </c>
      <c r="DP198" s="20">
        <f t="shared" si="218"/>
        <v>0</v>
      </c>
      <c r="DQ198" s="20">
        <f t="shared" si="218"/>
        <v>0</v>
      </c>
    </row>
    <row r="199" spans="2:1006" x14ac:dyDescent="0.35">
      <c r="D199" s="20" t="s">
        <v>299</v>
      </c>
      <c r="K199" s="25" t="b">
        <f t="shared" ref="K199:AP199" si="219">IF(K10,K196/K198)</f>
        <v>0</v>
      </c>
      <c r="L199" s="25" t="b">
        <f t="shared" si="219"/>
        <v>0</v>
      </c>
      <c r="M199" s="25" t="b">
        <f t="shared" si="219"/>
        <v>0</v>
      </c>
      <c r="N199" s="25" t="b">
        <f t="shared" si="219"/>
        <v>0</v>
      </c>
      <c r="O199" s="25" t="b">
        <f t="shared" si="219"/>
        <v>0</v>
      </c>
      <c r="P199" s="25" t="b">
        <f t="shared" si="219"/>
        <v>0</v>
      </c>
      <c r="Q199" s="25" t="b">
        <f t="shared" si="219"/>
        <v>0</v>
      </c>
      <c r="R199" s="25" t="b">
        <f t="shared" si="219"/>
        <v>0</v>
      </c>
      <c r="S199" s="25" t="b">
        <f t="shared" si="219"/>
        <v>0</v>
      </c>
      <c r="T199" s="25">
        <f t="shared" si="219"/>
        <v>1.7851882307026994</v>
      </c>
      <c r="U199" s="25">
        <f t="shared" si="219"/>
        <v>1.7769043365993873</v>
      </c>
      <c r="V199" s="25">
        <f t="shared" si="219"/>
        <v>1.7655071317928344</v>
      </c>
      <c r="W199" s="25">
        <f t="shared" si="219"/>
        <v>1.7527144145486693</v>
      </c>
      <c r="X199" s="25">
        <f t="shared" si="219"/>
        <v>1.7435238214267155</v>
      </c>
      <c r="Y199" s="25">
        <f t="shared" si="219"/>
        <v>1.7358063080430663</v>
      </c>
      <c r="Z199" s="25">
        <f t="shared" si="219"/>
        <v>1.7248602695019939</v>
      </c>
      <c r="AA199" s="25">
        <f t="shared" si="219"/>
        <v>1.7124624633524574</v>
      </c>
      <c r="AB199" s="25">
        <f t="shared" si="219"/>
        <v>1.8231519778286798</v>
      </c>
      <c r="AC199" s="25">
        <f t="shared" si="219"/>
        <v>1.8309296688830594</v>
      </c>
      <c r="AD199" s="25">
        <f t="shared" si="219"/>
        <v>1.8350605588850661</v>
      </c>
      <c r="AE199" s="25">
        <f t="shared" si="219"/>
        <v>1.8376446317610051</v>
      </c>
      <c r="AF199" s="25">
        <f t="shared" si="219"/>
        <v>1.8445579538840151</v>
      </c>
      <c r="AG199" s="25">
        <f t="shared" si="219"/>
        <v>1.8532875504641888</v>
      </c>
      <c r="AH199" s="25">
        <f t="shared" si="219"/>
        <v>1.8579670854700692</v>
      </c>
      <c r="AI199" s="25">
        <f t="shared" si="219"/>
        <v>1.8608608865658345</v>
      </c>
      <c r="AJ199" s="25">
        <f t="shared" si="219"/>
        <v>1.868548468082055</v>
      </c>
      <c r="AK199" s="25">
        <f t="shared" si="219"/>
        <v>1.8782653960455942</v>
      </c>
      <c r="AL199" s="25">
        <f t="shared" si="219"/>
        <v>1.883502851813984</v>
      </c>
      <c r="AM199" s="25">
        <f t="shared" si="219"/>
        <v>1.886643431234736</v>
      </c>
      <c r="AN199" s="25">
        <f t="shared" si="219"/>
        <v>1.8950188484345827</v>
      </c>
      <c r="AO199" s="25">
        <f t="shared" si="219"/>
        <v>1.9056186678741074</v>
      </c>
      <c r="AP199" s="25">
        <f t="shared" si="219"/>
        <v>1.9113276279889129</v>
      </c>
      <c r="AQ199" s="25">
        <f t="shared" ref="AQ199:BV199" si="220">IF(AQ10,AQ196/AQ198)</f>
        <v>1.9152237192759611</v>
      </c>
      <c r="AR199" s="25">
        <f t="shared" si="220"/>
        <v>1.9252842765750833</v>
      </c>
      <c r="AS199" s="25">
        <f t="shared" si="220"/>
        <v>1.9380326792139599</v>
      </c>
      <c r="AT199" s="25">
        <f t="shared" si="220"/>
        <v>1.9450476135498445</v>
      </c>
      <c r="AU199" s="25">
        <f t="shared" si="220"/>
        <v>1.9503170921094237</v>
      </c>
      <c r="AV199" s="25">
        <f t="shared" si="220"/>
        <v>1.9633390161091111</v>
      </c>
      <c r="AW199" s="25">
        <f t="shared" si="220"/>
        <v>1.9798980411575573</v>
      </c>
      <c r="AX199" s="25">
        <f t="shared" si="220"/>
        <v>1.9893151194169199</v>
      </c>
      <c r="AY199" s="25">
        <f t="shared" si="220"/>
        <v>1.9956284944414047</v>
      </c>
      <c r="AZ199" s="25">
        <f t="shared" si="220"/>
        <v>2.0111370124408698</v>
      </c>
      <c r="BA199" s="25">
        <f t="shared" si="220"/>
        <v>2.0309390398280298</v>
      </c>
      <c r="BB199" s="25">
        <f t="shared" si="220"/>
        <v>2.0423057139961531</v>
      </c>
      <c r="BC199" s="25">
        <f t="shared" si="220"/>
        <v>2.0496466853846562</v>
      </c>
      <c r="BD199" s="25">
        <f t="shared" si="220"/>
        <v>2.067756641867402</v>
      </c>
      <c r="BE199" s="25">
        <f t="shared" si="220"/>
        <v>2.0909770740775282</v>
      </c>
      <c r="BF199" s="25">
        <f t="shared" si="220"/>
        <v>2.1043398333879941</v>
      </c>
      <c r="BG199" s="25">
        <f t="shared" si="220"/>
        <v>2.1135876998006546</v>
      </c>
      <c r="BH199" s="25">
        <f t="shared" si="220"/>
        <v>2.1362035416176113</v>
      </c>
      <c r="BI199" s="25">
        <f t="shared" si="220"/>
        <v>2.1653957429729456</v>
      </c>
      <c r="BJ199" s="25">
        <f t="shared" si="220"/>
        <v>2.1824436590651577</v>
      </c>
      <c r="BK199" s="25">
        <f t="shared" si="220"/>
        <v>2.1945216768086735</v>
      </c>
      <c r="BL199" s="25">
        <f t="shared" si="220"/>
        <v>2.2238152645051867</v>
      </c>
      <c r="BM199" s="25">
        <f t="shared" si="220"/>
        <v>2.2619908344553736</v>
      </c>
      <c r="BN199" s="25">
        <f t="shared" si="220"/>
        <v>2.2846985467844485</v>
      </c>
      <c r="BO199" s="25">
        <f t="shared" si="220"/>
        <v>2.3013731395630992</v>
      </c>
      <c r="BP199" s="25">
        <f t="shared" si="220"/>
        <v>2.3415016236600374</v>
      </c>
      <c r="BQ199" s="25">
        <f t="shared" si="220"/>
        <v>2.3945716368245664</v>
      </c>
      <c r="BR199" s="25">
        <f t="shared" si="220"/>
        <v>2.426947705935151</v>
      </c>
      <c r="BS199" s="25">
        <f t="shared" si="220"/>
        <v>2.4509222875377987</v>
      </c>
      <c r="BT199" s="25">
        <f t="shared" si="220"/>
        <v>2.5086005328076668</v>
      </c>
      <c r="BU199" s="25">
        <f t="shared" si="220"/>
        <v>2.5865147574630636</v>
      </c>
      <c r="BV199" s="25">
        <f t="shared" si="220"/>
        <v>2.6354588010980864</v>
      </c>
      <c r="BW199" s="25">
        <f t="shared" ref="BW199:DB199" si="221">IF(BW10,BW196/BW198)</f>
        <v>2.6672723526600048</v>
      </c>
      <c r="BX199" s="25">
        <f t="shared" si="221"/>
        <v>2.7266907235480535</v>
      </c>
      <c r="BY199" s="25">
        <f t="shared" si="221"/>
        <v>2.805314900479579</v>
      </c>
      <c r="BZ199" s="25">
        <f t="shared" si="221"/>
        <v>2.8540109259453299</v>
      </c>
      <c r="CA199" s="25">
        <f t="shared" si="221"/>
        <v>2.888524764899012</v>
      </c>
      <c r="CB199" s="25">
        <f t="shared" si="221"/>
        <v>2.9706688987208816</v>
      </c>
      <c r="CC199" s="25">
        <f t="shared" si="221"/>
        <v>3.0813291335064332</v>
      </c>
      <c r="CD199" s="25">
        <f t="shared" si="221"/>
        <v>3.1511394992782424</v>
      </c>
      <c r="CE199" s="25">
        <f t="shared" si="221"/>
        <v>3.2040244666563327</v>
      </c>
      <c r="CF199" s="25">
        <f t="shared" si="221"/>
        <v>3.3309786956536227</v>
      </c>
      <c r="CG199" s="25">
        <f t="shared" si="221"/>
        <v>3.5076042481894296</v>
      </c>
      <c r="CH199" s="25">
        <f t="shared" si="221"/>
        <v>3.6234223191378883</v>
      </c>
      <c r="CI199" s="25">
        <f t="shared" si="221"/>
        <v>3.7109549362925498</v>
      </c>
      <c r="CJ199" s="25">
        <f t="shared" si="221"/>
        <v>3.9261552327648341</v>
      </c>
      <c r="CK199" s="25">
        <f t="shared" si="221"/>
        <v>4.2409435976449288</v>
      </c>
      <c r="CL199" s="25">
        <f t="shared" si="221"/>
        <v>4.4587002330135288</v>
      </c>
      <c r="CM199" s="25">
        <f t="shared" si="221"/>
        <v>4.6397919256456497</v>
      </c>
      <c r="CN199" s="25">
        <f t="shared" si="221"/>
        <v>5.1081128941690999</v>
      </c>
      <c r="CO199" s="25">
        <f t="shared" si="221"/>
        <v>5.8767206370278995</v>
      </c>
      <c r="CP199" s="25">
        <f t="shared" si="221"/>
        <v>6.4834695574409329</v>
      </c>
      <c r="CQ199" s="25">
        <f t="shared" si="221"/>
        <v>7.0319450548172266</v>
      </c>
      <c r="CR199" s="25">
        <f t="shared" si="221"/>
        <v>8.6944895976851289</v>
      </c>
      <c r="CS199" s="25">
        <f t="shared" si="221"/>
        <v>12.625284171391552</v>
      </c>
      <c r="CT199" s="25">
        <f t="shared" si="221"/>
        <v>17.715572604983613</v>
      </c>
      <c r="CU199" s="25">
        <f t="shared" si="221"/>
        <v>25.699692234959052</v>
      </c>
      <c r="CV199" s="25" t="e">
        <f t="shared" si="221"/>
        <v>#DIV/0!</v>
      </c>
      <c r="CW199" s="25" t="e">
        <f t="shared" si="221"/>
        <v>#DIV/0!</v>
      </c>
      <c r="CX199" s="25" t="e">
        <f t="shared" si="221"/>
        <v>#DIV/0!</v>
      </c>
      <c r="CY199" s="25" t="e">
        <f t="shared" si="221"/>
        <v>#DIV/0!</v>
      </c>
      <c r="CZ199" s="25" t="e">
        <f t="shared" si="221"/>
        <v>#DIV/0!</v>
      </c>
      <c r="DA199" s="25" t="e">
        <f t="shared" si="221"/>
        <v>#DIV/0!</v>
      </c>
      <c r="DB199" s="25" t="e">
        <f t="shared" si="221"/>
        <v>#DIV/0!</v>
      </c>
      <c r="DC199" s="25" t="e">
        <f t="shared" ref="DC199:DQ199" si="222">IF(DC10,DC196/DC198)</f>
        <v>#DIV/0!</v>
      </c>
      <c r="DD199" s="25" t="e">
        <f t="shared" si="222"/>
        <v>#DIV/0!</v>
      </c>
      <c r="DE199" s="25" t="e">
        <f t="shared" si="222"/>
        <v>#DIV/0!</v>
      </c>
      <c r="DF199" s="25" t="e">
        <f t="shared" si="222"/>
        <v>#DIV/0!</v>
      </c>
      <c r="DG199" s="25" t="e">
        <f t="shared" si="222"/>
        <v>#DIV/0!</v>
      </c>
      <c r="DH199" s="25" t="e">
        <f t="shared" si="222"/>
        <v>#DIV/0!</v>
      </c>
      <c r="DI199" s="25" t="e">
        <f t="shared" si="222"/>
        <v>#DIV/0!</v>
      </c>
      <c r="DJ199" s="25" t="e">
        <f t="shared" si="222"/>
        <v>#DIV/0!</v>
      </c>
      <c r="DK199" s="25" t="e">
        <f t="shared" si="222"/>
        <v>#DIV/0!</v>
      </c>
      <c r="DL199" s="25" t="e">
        <f t="shared" si="222"/>
        <v>#DIV/0!</v>
      </c>
      <c r="DM199" s="25" t="e">
        <f t="shared" si="222"/>
        <v>#DIV/0!</v>
      </c>
      <c r="DN199" s="25" t="e">
        <f t="shared" si="222"/>
        <v>#DIV/0!</v>
      </c>
      <c r="DO199" s="25" t="e">
        <f t="shared" si="222"/>
        <v>#DIV/0!</v>
      </c>
      <c r="DP199" s="25" t="b">
        <f t="shared" si="222"/>
        <v>0</v>
      </c>
      <c r="DQ199" s="25" t="b">
        <f t="shared" si="222"/>
        <v>0</v>
      </c>
    </row>
    <row r="201" spans="2:1006" x14ac:dyDescent="0.35">
      <c r="D201" s="20" t="s">
        <v>428</v>
      </c>
      <c r="K201" s="28">
        <v>-1</v>
      </c>
      <c r="L201" s="20">
        <f t="shared" ref="L201:BW201" si="223">-L93+L75+L76+L77+L152+L171+L174-L173</f>
        <v>0</v>
      </c>
      <c r="M201" s="20">
        <f t="shared" si="223"/>
        <v>0</v>
      </c>
      <c r="N201" s="20">
        <f t="shared" si="223"/>
        <v>0</v>
      </c>
      <c r="O201" s="20">
        <f t="shared" si="223"/>
        <v>-433357.05304928665</v>
      </c>
      <c r="P201" s="20">
        <f t="shared" si="223"/>
        <v>-725258.75179846701</v>
      </c>
      <c r="Q201" s="20">
        <f t="shared" si="223"/>
        <v>-724970.54618133011</v>
      </c>
      <c r="R201" s="20">
        <f t="shared" si="223"/>
        <v>-724681.8301682201</v>
      </c>
      <c r="S201" s="20">
        <f t="shared" si="223"/>
        <v>-724392.60285525443</v>
      </c>
      <c r="T201" s="20">
        <f t="shared" si="223"/>
        <v>68603.906621483766</v>
      </c>
      <c r="U201" s="20">
        <f t="shared" si="223"/>
        <v>35849.949763023993</v>
      </c>
      <c r="V201" s="20">
        <f t="shared" si="223"/>
        <v>20945.597090631454</v>
      </c>
      <c r="W201" s="20">
        <f t="shared" si="223"/>
        <v>55552.177165889581</v>
      </c>
      <c r="X201" s="20">
        <f t="shared" si="223"/>
        <v>68051.569759523787</v>
      </c>
      <c r="Y201" s="20">
        <f t="shared" si="223"/>
        <v>35460.123176854322</v>
      </c>
      <c r="Z201" s="20">
        <f t="shared" si="223"/>
        <v>20629.475264819997</v>
      </c>
      <c r="AA201" s="20">
        <f t="shared" si="223"/>
        <v>55063.435531966097</v>
      </c>
      <c r="AB201" s="20">
        <f t="shared" si="223"/>
        <v>67500.192799396653</v>
      </c>
      <c r="AC201" s="20">
        <f t="shared" si="223"/>
        <v>35070.441892767616</v>
      </c>
      <c r="AD201" s="20">
        <f t="shared" si="223"/>
        <v>21767.662996169365</v>
      </c>
      <c r="AE201" s="20">
        <f t="shared" si="223"/>
        <v>57199.302780962345</v>
      </c>
      <c r="AF201" s="20">
        <f t="shared" si="223"/>
        <v>69996.666489874682</v>
      </c>
      <c r="AG201" s="20">
        <f t="shared" si="223"/>
        <v>36628.117192741054</v>
      </c>
      <c r="AH201" s="20">
        <f t="shared" si="223"/>
        <v>22447.287842394457</v>
      </c>
      <c r="AI201" s="20">
        <f t="shared" si="223"/>
        <v>58508.973121108167</v>
      </c>
      <c r="AJ201" s="20">
        <f t="shared" si="223"/>
        <v>71533.983610985568</v>
      </c>
      <c r="AK201" s="20">
        <f t="shared" si="223"/>
        <v>37572.329814692406</v>
      </c>
      <c r="AL201" s="20">
        <f t="shared" si="223"/>
        <v>22310.233141236542</v>
      </c>
      <c r="AM201" s="20">
        <f t="shared" si="223"/>
        <v>58346.419184386359</v>
      </c>
      <c r="AN201" s="20">
        <f t="shared" si="223"/>
        <v>71361.713622986252</v>
      </c>
      <c r="AO201" s="20">
        <f t="shared" si="223"/>
        <v>37423.384508372175</v>
      </c>
      <c r="AP201" s="20">
        <f t="shared" si="223"/>
        <v>25246.785516101623</v>
      </c>
      <c r="AQ201" s="20">
        <f t="shared" si="223"/>
        <v>63729.954145779564</v>
      </c>
      <c r="AR201" s="20">
        <f t="shared" si="223"/>
        <v>77630.272592721099</v>
      </c>
      <c r="AS201" s="20">
        <f t="shared" si="223"/>
        <v>41390.27277028239</v>
      </c>
      <c r="AT201" s="20">
        <f t="shared" si="223"/>
        <v>30603.237166617961</v>
      </c>
      <c r="AU201" s="20">
        <f t="shared" si="223"/>
        <v>73479.856642705709</v>
      </c>
      <c r="AV201" s="20">
        <f t="shared" si="223"/>
        <v>88968.867353851558</v>
      </c>
      <c r="AW201" s="20">
        <f t="shared" si="223"/>
        <v>48596.83557371411</v>
      </c>
      <c r="AX201" s="20">
        <f t="shared" si="223"/>
        <v>31930.342505988334</v>
      </c>
      <c r="AY201" s="20">
        <f t="shared" si="223"/>
        <v>75961.932285379837</v>
      </c>
      <c r="AZ201" s="20">
        <f t="shared" si="223"/>
        <v>91868.419238258124</v>
      </c>
      <c r="BA201" s="20">
        <f t="shared" si="223"/>
        <v>50409.635307632467</v>
      </c>
      <c r="BB201" s="20">
        <f t="shared" si="223"/>
        <v>31828.767123942671</v>
      </c>
      <c r="BC201" s="20">
        <f t="shared" si="223"/>
        <v>75867.795460478403</v>
      </c>
      <c r="BD201" s="20">
        <f t="shared" si="223"/>
        <v>91776.744809670199</v>
      </c>
      <c r="BE201" s="20">
        <f t="shared" si="223"/>
        <v>50310.27494305023</v>
      </c>
      <c r="BF201" s="20">
        <f t="shared" si="223"/>
        <v>33934.265114798342</v>
      </c>
      <c r="BG201" s="20">
        <f t="shared" si="223"/>
        <v>79756.359636972207</v>
      </c>
      <c r="BH201" s="20">
        <f t="shared" si="223"/>
        <v>96309.821378657216</v>
      </c>
      <c r="BI201" s="20">
        <f t="shared" si="223"/>
        <v>53165.953057792314</v>
      </c>
      <c r="BJ201" s="20">
        <f t="shared" si="223"/>
        <v>36517.927607569974</v>
      </c>
      <c r="BK201" s="20">
        <f t="shared" si="223"/>
        <v>84508.780380293581</v>
      </c>
      <c r="BL201" s="20">
        <f t="shared" si="223"/>
        <v>101846.46174269188</v>
      </c>
      <c r="BM201" s="20">
        <f t="shared" si="223"/>
        <v>56662.501400473833</v>
      </c>
      <c r="BN201" s="20">
        <f t="shared" si="223"/>
        <v>40036.188836890644</v>
      </c>
      <c r="BO201" s="20">
        <f t="shared" si="223"/>
        <v>90948.301793868144</v>
      </c>
      <c r="BP201" s="20">
        <f t="shared" si="223"/>
        <v>109342.23408801883</v>
      </c>
      <c r="BQ201" s="20">
        <f t="shared" si="223"/>
        <v>61410.560149098172</v>
      </c>
      <c r="BR201" s="20">
        <f t="shared" si="223"/>
        <v>43293.921887067881</v>
      </c>
      <c r="BS201" s="20">
        <f t="shared" si="223"/>
        <v>96919.022151187382</v>
      </c>
      <c r="BT201" s="20">
        <f t="shared" si="223"/>
        <v>116293.87906800144</v>
      </c>
      <c r="BU201" s="20">
        <f t="shared" si="223"/>
        <v>65810.329693377571</v>
      </c>
      <c r="BV201" s="20">
        <f t="shared" si="223"/>
        <v>40293.082829464081</v>
      </c>
      <c r="BW201" s="20">
        <f t="shared" si="223"/>
        <v>70464.669098521699</v>
      </c>
      <c r="BX201" s="20">
        <f t="shared" ref="BX201:DQ201" si="224">-BX93+BX75+BX76+BX77+BX152+BX171+BX174-BX173</f>
        <v>84463.674566812217</v>
      </c>
      <c r="BY201" s="20">
        <f t="shared" si="224"/>
        <v>47989.000894905796</v>
      </c>
      <c r="BZ201" s="20">
        <f t="shared" si="224"/>
        <v>32328.851579413742</v>
      </c>
      <c r="CA201" s="20">
        <f t="shared" si="224"/>
        <v>71631.495152902833</v>
      </c>
      <c r="CB201" s="20">
        <f t="shared" si="224"/>
        <v>85831.730885796118</v>
      </c>
      <c r="CC201" s="20">
        <f t="shared" si="224"/>
        <v>48832.422767337273</v>
      </c>
      <c r="CD201" s="20">
        <f t="shared" si="224"/>
        <v>34710.245946633346</v>
      </c>
      <c r="CE201" s="20">
        <f t="shared" si="224"/>
        <v>75995.877876577448</v>
      </c>
      <c r="CF201" s="20">
        <f t="shared" si="224"/>
        <v>90913.262682325221</v>
      </c>
      <c r="CG201" s="20">
        <f t="shared" si="224"/>
        <v>52048.727303275096</v>
      </c>
      <c r="CH201" s="20">
        <f t="shared" si="224"/>
        <v>36115.443245824063</v>
      </c>
      <c r="CI201" s="20">
        <f t="shared" si="224"/>
        <v>78599.949821021291</v>
      </c>
      <c r="CJ201" s="20">
        <f t="shared" si="224"/>
        <v>93950.735246845332</v>
      </c>
      <c r="CK201" s="20">
        <f t="shared" si="224"/>
        <v>53958.302509383888</v>
      </c>
      <c r="CL201" s="20">
        <f t="shared" si="224"/>
        <v>39607.12616353402</v>
      </c>
      <c r="CM201" s="20">
        <f t="shared" si="224"/>
        <v>84968.935162166264</v>
      </c>
      <c r="CN201" s="20">
        <f t="shared" si="224"/>
        <v>101360.13057890594</v>
      </c>
      <c r="CO201" s="20">
        <f t="shared" si="224"/>
        <v>58661.491453362672</v>
      </c>
      <c r="CP201" s="20">
        <f t="shared" si="224"/>
        <v>42421.497792475784</v>
      </c>
      <c r="CQ201" s="20">
        <f t="shared" si="224"/>
        <v>90116.959161053746</v>
      </c>
      <c r="CR201" s="20">
        <f t="shared" si="224"/>
        <v>107351.94819956498</v>
      </c>
      <c r="CS201" s="20">
        <f t="shared" si="224"/>
        <v>62458.313541235824</v>
      </c>
      <c r="CT201" s="20">
        <f t="shared" si="224"/>
        <v>45541.183340083313</v>
      </c>
      <c r="CU201" s="20">
        <f t="shared" si="224"/>
        <v>93586.58301335822</v>
      </c>
      <c r="CV201" s="20">
        <f t="shared" si="224"/>
        <v>0</v>
      </c>
      <c r="CW201" s="20">
        <f t="shared" si="224"/>
        <v>0</v>
      </c>
      <c r="CX201" s="20">
        <f t="shared" si="224"/>
        <v>0</v>
      </c>
      <c r="CY201" s="20">
        <f t="shared" si="224"/>
        <v>0</v>
      </c>
      <c r="CZ201" s="20">
        <f t="shared" si="224"/>
        <v>0</v>
      </c>
      <c r="DA201" s="20">
        <f t="shared" si="224"/>
        <v>0</v>
      </c>
      <c r="DB201" s="20">
        <f t="shared" si="224"/>
        <v>0</v>
      </c>
      <c r="DC201" s="20">
        <f t="shared" si="224"/>
        <v>0</v>
      </c>
      <c r="DD201" s="20">
        <f t="shared" si="224"/>
        <v>0</v>
      </c>
      <c r="DE201" s="20">
        <f t="shared" si="224"/>
        <v>0</v>
      </c>
      <c r="DF201" s="20">
        <f t="shared" si="224"/>
        <v>0</v>
      </c>
      <c r="DG201" s="20">
        <f t="shared" si="224"/>
        <v>0</v>
      </c>
      <c r="DH201" s="20">
        <f t="shared" si="224"/>
        <v>0</v>
      </c>
      <c r="DI201" s="20">
        <f t="shared" si="224"/>
        <v>0</v>
      </c>
      <c r="DJ201" s="20">
        <f t="shared" si="224"/>
        <v>0</v>
      </c>
      <c r="DK201" s="20">
        <f t="shared" si="224"/>
        <v>0</v>
      </c>
      <c r="DL201" s="20">
        <f t="shared" si="224"/>
        <v>0</v>
      </c>
      <c r="DM201" s="20">
        <f t="shared" si="224"/>
        <v>0</v>
      </c>
      <c r="DN201" s="20">
        <f t="shared" si="224"/>
        <v>0</v>
      </c>
      <c r="DO201" s="20">
        <f t="shared" si="224"/>
        <v>0</v>
      </c>
      <c r="DP201" s="20">
        <f t="shared" si="224"/>
        <v>0</v>
      </c>
      <c r="DQ201" s="20">
        <f t="shared" si="224"/>
        <v>0</v>
      </c>
    </row>
    <row r="202" spans="2:1006" x14ac:dyDescent="0.35">
      <c r="D202" s="20" t="s">
        <v>295</v>
      </c>
      <c r="G202" s="22">
        <f>XIRR(K201:DQ201,K7:DQ7)</f>
        <v>3.6517551541328436E-2</v>
      </c>
    </row>
    <row r="204" spans="2:1006" x14ac:dyDescent="0.35">
      <c r="B204" s="37" t="s">
        <v>358</v>
      </c>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c r="BT204" s="37"/>
      <c r="BU204" s="37"/>
      <c r="BV204" s="37"/>
      <c r="BW204" s="37"/>
      <c r="BX204" s="37"/>
      <c r="BY204" s="37"/>
      <c r="BZ204" s="37"/>
      <c r="CA204" s="37"/>
      <c r="CB204" s="37"/>
      <c r="CC204" s="37"/>
      <c r="CD204" s="37"/>
      <c r="CE204" s="37"/>
      <c r="CF204" s="37"/>
      <c r="CG204" s="37"/>
      <c r="CH204" s="37"/>
      <c r="CI204" s="37"/>
      <c r="CJ204" s="37"/>
      <c r="CK204" s="37"/>
      <c r="CL204" s="37"/>
      <c r="CM204" s="37"/>
      <c r="CN204" s="37"/>
      <c r="CO204" s="37"/>
      <c r="CP204" s="37"/>
      <c r="CQ204" s="37"/>
      <c r="CR204" s="37"/>
      <c r="CS204" s="37"/>
      <c r="CT204" s="37"/>
      <c r="CU204" s="37"/>
      <c r="CV204" s="37"/>
      <c r="CW204" s="37"/>
      <c r="CX204" s="37"/>
      <c r="CY204" s="37"/>
      <c r="CZ204" s="37"/>
      <c r="DA204" s="37"/>
      <c r="DB204" s="37"/>
      <c r="DC204" s="37"/>
      <c r="DD204" s="37"/>
      <c r="DE204" s="37"/>
      <c r="DF204" s="37"/>
      <c r="DG204" s="37"/>
      <c r="DH204" s="37"/>
      <c r="DI204" s="37"/>
      <c r="DJ204" s="37"/>
      <c r="DK204" s="37"/>
      <c r="DL204" s="37"/>
      <c r="DM204" s="37"/>
      <c r="DN204" s="37"/>
      <c r="DO204" s="37"/>
      <c r="DP204" s="37"/>
      <c r="DQ204" s="37"/>
      <c r="DR204" s="37"/>
      <c r="DS204" s="37"/>
      <c r="DT204" s="37"/>
      <c r="DU204" s="37"/>
      <c r="DV204" s="37"/>
      <c r="DW204" s="37"/>
      <c r="DX204" s="37"/>
      <c r="DY204" s="37"/>
      <c r="DZ204" s="37"/>
      <c r="EA204" s="37"/>
      <c r="EB204" s="37"/>
      <c r="EC204" s="37"/>
      <c r="ED204" s="37"/>
      <c r="EE204" s="37"/>
      <c r="EF204" s="37"/>
      <c r="EG204" s="37"/>
      <c r="EH204" s="37"/>
      <c r="EI204" s="37"/>
      <c r="EJ204" s="37"/>
      <c r="EK204" s="37"/>
      <c r="EL204" s="37"/>
      <c r="EM204" s="37"/>
      <c r="EN204" s="37"/>
      <c r="EO204" s="37"/>
      <c r="EP204" s="37"/>
      <c r="EQ204" s="37"/>
      <c r="ER204" s="37"/>
      <c r="ES204" s="37"/>
      <c r="ET204" s="37"/>
      <c r="EU204" s="37"/>
      <c r="EV204" s="37"/>
      <c r="EW204" s="37"/>
      <c r="EX204" s="37"/>
      <c r="EY204" s="37"/>
      <c r="EZ204" s="37"/>
      <c r="FA204" s="37"/>
      <c r="FB204" s="37"/>
      <c r="FC204" s="37"/>
      <c r="FD204" s="37"/>
      <c r="FE204" s="37"/>
      <c r="FF204" s="37"/>
      <c r="FG204" s="37"/>
      <c r="FH204" s="37"/>
      <c r="FI204" s="37"/>
      <c r="FJ204" s="37"/>
      <c r="FK204" s="37"/>
      <c r="FL204" s="37"/>
      <c r="FM204" s="37"/>
      <c r="FN204" s="37"/>
      <c r="FO204" s="37"/>
      <c r="FP204" s="37"/>
      <c r="FQ204" s="37"/>
      <c r="FR204" s="37"/>
      <c r="FS204" s="37"/>
      <c r="FT204" s="37"/>
      <c r="FU204" s="37"/>
      <c r="FV204" s="37"/>
      <c r="FW204" s="37"/>
      <c r="FX204" s="37"/>
      <c r="FY204" s="37"/>
      <c r="FZ204" s="37"/>
      <c r="GA204" s="37"/>
      <c r="GB204" s="37"/>
      <c r="GC204" s="37"/>
      <c r="GD204" s="37"/>
      <c r="GE204" s="37"/>
      <c r="GF204" s="37"/>
      <c r="GG204" s="37"/>
      <c r="GH204" s="37"/>
      <c r="GI204" s="37"/>
      <c r="GJ204" s="37"/>
      <c r="GK204" s="37"/>
      <c r="GL204" s="37"/>
      <c r="GM204" s="37"/>
      <c r="GN204" s="37"/>
      <c r="GO204" s="37"/>
      <c r="GP204" s="37"/>
      <c r="GQ204" s="37"/>
      <c r="GR204" s="37"/>
      <c r="GS204" s="37"/>
      <c r="GT204" s="37"/>
      <c r="GU204" s="37"/>
      <c r="GV204" s="37"/>
      <c r="GW204" s="37"/>
      <c r="GX204" s="37"/>
      <c r="GY204" s="37"/>
      <c r="GZ204" s="37"/>
      <c r="HA204" s="37"/>
      <c r="HB204" s="37"/>
      <c r="HC204" s="37"/>
      <c r="HD204" s="37"/>
      <c r="HE204" s="37"/>
      <c r="HF204" s="37"/>
      <c r="HG204" s="37"/>
      <c r="HH204" s="37"/>
      <c r="HI204" s="37"/>
      <c r="HJ204" s="37"/>
      <c r="HK204" s="37"/>
      <c r="HL204" s="37"/>
      <c r="HM204" s="37"/>
      <c r="HN204" s="37"/>
      <c r="HO204" s="37"/>
      <c r="HP204" s="37"/>
      <c r="HQ204" s="37"/>
      <c r="HR204" s="37"/>
      <c r="HS204" s="37"/>
      <c r="HT204" s="37"/>
      <c r="HU204" s="37"/>
      <c r="HV204" s="37"/>
      <c r="HW204" s="37"/>
      <c r="HX204" s="37"/>
      <c r="HY204" s="37"/>
      <c r="HZ204" s="37"/>
      <c r="IA204" s="37"/>
      <c r="IB204" s="37"/>
      <c r="IC204" s="37"/>
      <c r="ID204" s="37"/>
      <c r="IE204" s="37"/>
      <c r="IF204" s="37"/>
      <c r="IG204" s="37"/>
      <c r="IH204" s="37"/>
      <c r="II204" s="37"/>
      <c r="IJ204" s="37"/>
      <c r="IK204" s="37"/>
      <c r="IL204" s="37"/>
      <c r="IM204" s="37"/>
      <c r="IN204" s="37"/>
      <c r="IO204" s="37"/>
      <c r="IP204" s="37"/>
      <c r="IQ204" s="37"/>
      <c r="IR204" s="37"/>
      <c r="IS204" s="37"/>
      <c r="IT204" s="37"/>
      <c r="IU204" s="37"/>
      <c r="IV204" s="37"/>
      <c r="IW204" s="37"/>
      <c r="IX204" s="37"/>
      <c r="IY204" s="37"/>
      <c r="IZ204" s="37"/>
      <c r="JA204" s="37"/>
      <c r="JB204" s="37"/>
      <c r="JC204" s="37"/>
      <c r="JD204" s="37"/>
      <c r="JE204" s="37"/>
      <c r="JF204" s="37"/>
      <c r="JG204" s="37"/>
      <c r="JH204" s="37"/>
      <c r="JI204" s="37"/>
      <c r="JJ204" s="37"/>
      <c r="JK204" s="37"/>
      <c r="JL204" s="37"/>
      <c r="JM204" s="37"/>
      <c r="JN204" s="37"/>
      <c r="JO204" s="37"/>
      <c r="JP204" s="37"/>
      <c r="JQ204" s="37"/>
      <c r="JR204" s="37"/>
      <c r="JS204" s="37"/>
      <c r="JT204" s="37"/>
      <c r="JU204" s="37"/>
      <c r="JV204" s="37"/>
      <c r="JW204" s="37"/>
      <c r="JX204" s="37"/>
      <c r="JY204" s="37"/>
      <c r="JZ204" s="37"/>
      <c r="KA204" s="37"/>
      <c r="KB204" s="37"/>
      <c r="KC204" s="37"/>
      <c r="KD204" s="37"/>
      <c r="KE204" s="37"/>
      <c r="KF204" s="37"/>
      <c r="KG204" s="37"/>
      <c r="KH204" s="37"/>
      <c r="KI204" s="37"/>
      <c r="KJ204" s="37"/>
      <c r="KK204" s="37"/>
      <c r="KL204" s="37"/>
      <c r="KM204" s="37"/>
      <c r="KN204" s="37"/>
      <c r="KO204" s="37"/>
      <c r="KP204" s="37"/>
      <c r="KQ204" s="37"/>
      <c r="KR204" s="37"/>
      <c r="KS204" s="37"/>
      <c r="KT204" s="37"/>
      <c r="KU204" s="37"/>
      <c r="KV204" s="37"/>
      <c r="KW204" s="37"/>
      <c r="KX204" s="37"/>
      <c r="KY204" s="37"/>
      <c r="KZ204" s="37"/>
      <c r="LA204" s="37"/>
      <c r="LB204" s="37"/>
      <c r="LC204" s="37"/>
      <c r="LD204" s="37"/>
      <c r="LE204" s="37"/>
      <c r="LF204" s="37"/>
      <c r="LG204" s="37"/>
      <c r="LH204" s="37"/>
      <c r="LI204" s="37"/>
      <c r="LJ204" s="37"/>
      <c r="LK204" s="37"/>
      <c r="LL204" s="37"/>
      <c r="LM204" s="37"/>
      <c r="LN204" s="37"/>
      <c r="LO204" s="37"/>
      <c r="LP204" s="37"/>
      <c r="LQ204" s="37"/>
      <c r="LR204" s="37"/>
      <c r="LS204" s="37"/>
      <c r="LT204" s="37"/>
      <c r="LU204" s="37"/>
      <c r="LV204" s="37"/>
      <c r="LW204" s="37"/>
      <c r="LX204" s="37"/>
      <c r="LY204" s="37"/>
      <c r="LZ204" s="37"/>
      <c r="MA204" s="37"/>
      <c r="MB204" s="37"/>
      <c r="MC204" s="37"/>
      <c r="MD204" s="37"/>
      <c r="ME204" s="37"/>
      <c r="MF204" s="37"/>
      <c r="MG204" s="37"/>
      <c r="MH204" s="37"/>
      <c r="MI204" s="37"/>
      <c r="MJ204" s="37"/>
      <c r="MK204" s="37"/>
      <c r="ML204" s="37"/>
      <c r="MM204" s="37"/>
      <c r="MN204" s="37"/>
      <c r="MO204" s="37"/>
      <c r="MP204" s="37"/>
      <c r="MQ204" s="37"/>
      <c r="MR204" s="37"/>
      <c r="MS204" s="37"/>
      <c r="MT204" s="37"/>
      <c r="MU204" s="37"/>
      <c r="MV204" s="37"/>
      <c r="MW204" s="37"/>
      <c r="MX204" s="37"/>
      <c r="MY204" s="37"/>
      <c r="MZ204" s="37"/>
      <c r="NA204" s="37"/>
      <c r="NB204" s="37"/>
      <c r="NC204" s="37"/>
      <c r="ND204" s="37"/>
      <c r="NE204" s="37"/>
      <c r="NF204" s="37"/>
      <c r="NG204" s="37"/>
      <c r="NH204" s="37"/>
      <c r="NI204" s="37"/>
      <c r="NJ204" s="37"/>
      <c r="NK204" s="37"/>
      <c r="NL204" s="37"/>
      <c r="NM204" s="37"/>
      <c r="NN204" s="37"/>
      <c r="NO204" s="37"/>
      <c r="NP204" s="37"/>
      <c r="NQ204" s="37"/>
      <c r="NR204" s="37"/>
      <c r="NS204" s="37"/>
      <c r="NT204" s="37"/>
      <c r="NU204" s="37"/>
      <c r="NV204" s="37"/>
      <c r="NW204" s="37"/>
      <c r="NX204" s="37"/>
      <c r="NY204" s="37"/>
      <c r="NZ204" s="37"/>
      <c r="OA204" s="37"/>
      <c r="OB204" s="37"/>
      <c r="OC204" s="37"/>
      <c r="OD204" s="37"/>
      <c r="OE204" s="37"/>
      <c r="OF204" s="37"/>
      <c r="OG204" s="37"/>
      <c r="OH204" s="37"/>
      <c r="OI204" s="37"/>
      <c r="OJ204" s="37"/>
      <c r="OK204" s="37"/>
      <c r="OL204" s="37"/>
      <c r="OM204" s="37"/>
      <c r="ON204" s="37"/>
      <c r="OO204" s="37"/>
      <c r="OP204" s="37"/>
      <c r="OQ204" s="37"/>
      <c r="OR204" s="37"/>
      <c r="OS204" s="37"/>
      <c r="OT204" s="37"/>
      <c r="OU204" s="37"/>
      <c r="OV204" s="37"/>
      <c r="OW204" s="37"/>
      <c r="OX204" s="37"/>
      <c r="OY204" s="37"/>
      <c r="OZ204" s="37"/>
      <c r="PA204" s="37"/>
      <c r="PB204" s="37"/>
      <c r="PC204" s="37"/>
      <c r="PD204" s="37"/>
      <c r="PE204" s="37"/>
      <c r="PF204" s="37"/>
      <c r="PG204" s="37"/>
      <c r="PH204" s="37"/>
      <c r="PI204" s="37"/>
      <c r="PJ204" s="37"/>
      <c r="PK204" s="37"/>
      <c r="PL204" s="37"/>
      <c r="PM204" s="37"/>
      <c r="PN204" s="37"/>
      <c r="PO204" s="37"/>
      <c r="PP204" s="37"/>
      <c r="PQ204" s="37"/>
      <c r="PR204" s="37"/>
      <c r="PS204" s="37"/>
      <c r="PT204" s="37"/>
      <c r="PU204" s="37"/>
      <c r="PV204" s="37"/>
      <c r="PW204" s="37"/>
      <c r="PX204" s="37"/>
      <c r="PY204" s="37"/>
      <c r="PZ204" s="37"/>
      <c r="QA204" s="37"/>
      <c r="QB204" s="37"/>
      <c r="QC204" s="37"/>
      <c r="QD204" s="37"/>
      <c r="QE204" s="37"/>
      <c r="QF204" s="37"/>
      <c r="QG204" s="37"/>
      <c r="QH204" s="37"/>
      <c r="QI204" s="37"/>
      <c r="QJ204" s="37"/>
      <c r="QK204" s="37"/>
      <c r="QL204" s="37"/>
      <c r="QM204" s="37"/>
      <c r="QN204" s="37"/>
      <c r="QO204" s="37"/>
      <c r="QP204" s="37"/>
      <c r="QQ204" s="37"/>
      <c r="QR204" s="37"/>
      <c r="QS204" s="37"/>
      <c r="QT204" s="37"/>
      <c r="QU204" s="37"/>
      <c r="QV204" s="37"/>
      <c r="QW204" s="37"/>
      <c r="QX204" s="37"/>
      <c r="QY204" s="37"/>
      <c r="QZ204" s="37"/>
      <c r="RA204" s="37"/>
      <c r="RB204" s="37"/>
      <c r="RC204" s="37"/>
      <c r="RD204" s="37"/>
      <c r="RE204" s="37"/>
      <c r="RF204" s="37"/>
      <c r="RG204" s="37"/>
      <c r="RH204" s="37"/>
      <c r="RI204" s="37"/>
      <c r="RJ204" s="37"/>
      <c r="RK204" s="37"/>
      <c r="RL204" s="37"/>
      <c r="RM204" s="37"/>
      <c r="RN204" s="37"/>
      <c r="RO204" s="37"/>
      <c r="RP204" s="37"/>
      <c r="RQ204" s="37"/>
      <c r="RR204" s="37"/>
      <c r="RS204" s="37"/>
      <c r="RT204" s="37"/>
      <c r="RU204" s="37"/>
      <c r="RV204" s="37"/>
      <c r="RW204" s="37"/>
      <c r="RX204" s="37"/>
      <c r="RY204" s="37"/>
      <c r="RZ204" s="37"/>
      <c r="SA204" s="37"/>
      <c r="SB204" s="37"/>
      <c r="SC204" s="37"/>
      <c r="SD204" s="37"/>
      <c r="SE204" s="37"/>
      <c r="SF204" s="37"/>
      <c r="SG204" s="37"/>
      <c r="SH204" s="37"/>
      <c r="SI204" s="37"/>
      <c r="SJ204" s="37"/>
      <c r="SK204" s="37"/>
      <c r="SL204" s="37"/>
      <c r="SM204" s="37"/>
      <c r="SN204" s="37"/>
      <c r="SO204" s="37"/>
      <c r="SP204" s="37"/>
      <c r="SQ204" s="37"/>
      <c r="SR204" s="37"/>
      <c r="SS204" s="37"/>
      <c r="ST204" s="37"/>
      <c r="SU204" s="37"/>
      <c r="SV204" s="37"/>
      <c r="SW204" s="37"/>
      <c r="SX204" s="37"/>
      <c r="SY204" s="37"/>
      <c r="SZ204" s="37"/>
      <c r="TA204" s="37"/>
      <c r="TB204" s="37"/>
      <c r="TC204" s="37"/>
      <c r="TD204" s="37"/>
      <c r="TE204" s="37"/>
      <c r="TF204" s="37"/>
      <c r="TG204" s="37"/>
      <c r="TH204" s="37"/>
      <c r="TI204" s="37"/>
      <c r="TJ204" s="37"/>
      <c r="TK204" s="37"/>
      <c r="TL204" s="37"/>
      <c r="TM204" s="37"/>
      <c r="TN204" s="37"/>
      <c r="TO204" s="37"/>
      <c r="TP204" s="37"/>
      <c r="TQ204" s="37"/>
      <c r="TR204" s="37"/>
      <c r="TS204" s="37"/>
      <c r="TT204" s="37"/>
      <c r="TU204" s="37"/>
      <c r="TV204" s="37"/>
      <c r="TW204" s="37"/>
      <c r="TX204" s="37"/>
      <c r="TY204" s="37"/>
      <c r="TZ204" s="37"/>
      <c r="UA204" s="37"/>
      <c r="UB204" s="37"/>
      <c r="UC204" s="37"/>
      <c r="UD204" s="37"/>
      <c r="UE204" s="37"/>
      <c r="UF204" s="37"/>
      <c r="UG204" s="37"/>
      <c r="UH204" s="37"/>
      <c r="UI204" s="37"/>
      <c r="UJ204" s="37"/>
      <c r="UK204" s="37"/>
      <c r="UL204" s="37"/>
      <c r="UM204" s="37"/>
      <c r="UN204" s="37"/>
      <c r="UO204" s="37"/>
      <c r="UP204" s="37"/>
      <c r="UQ204" s="37"/>
      <c r="UR204" s="37"/>
      <c r="US204" s="37"/>
      <c r="UT204" s="37"/>
      <c r="UU204" s="37"/>
      <c r="UV204" s="37"/>
      <c r="UW204" s="37"/>
      <c r="UX204" s="37"/>
      <c r="UY204" s="37"/>
      <c r="UZ204" s="37"/>
      <c r="VA204" s="37"/>
      <c r="VB204" s="37"/>
      <c r="VC204" s="37"/>
      <c r="VD204" s="37"/>
      <c r="VE204" s="37"/>
      <c r="VF204" s="37"/>
      <c r="VG204" s="37"/>
      <c r="VH204" s="37"/>
      <c r="VI204" s="37"/>
      <c r="VJ204" s="37"/>
      <c r="VK204" s="37"/>
      <c r="VL204" s="37"/>
      <c r="VM204" s="37"/>
      <c r="VN204" s="37"/>
      <c r="VO204" s="37"/>
      <c r="VP204" s="37"/>
      <c r="VQ204" s="37"/>
      <c r="VR204" s="37"/>
      <c r="VS204" s="37"/>
      <c r="VT204" s="37"/>
      <c r="VU204" s="37"/>
      <c r="VV204" s="37"/>
      <c r="VW204" s="37"/>
      <c r="VX204" s="37"/>
      <c r="VY204" s="37"/>
      <c r="VZ204" s="37"/>
      <c r="WA204" s="37"/>
      <c r="WB204" s="37"/>
      <c r="WC204" s="37"/>
      <c r="WD204" s="37"/>
      <c r="WE204" s="37"/>
      <c r="WF204" s="37"/>
      <c r="WG204" s="37"/>
      <c r="WH204" s="37"/>
      <c r="WI204" s="37"/>
      <c r="WJ204" s="37"/>
      <c r="WK204" s="37"/>
      <c r="WL204" s="37"/>
      <c r="WM204" s="37"/>
      <c r="WN204" s="37"/>
      <c r="WO204" s="37"/>
      <c r="WP204" s="37"/>
      <c r="WQ204" s="37"/>
      <c r="WR204" s="37"/>
      <c r="WS204" s="37"/>
      <c r="WT204" s="37"/>
      <c r="WU204" s="37"/>
      <c r="WV204" s="37"/>
      <c r="WW204" s="37"/>
      <c r="WX204" s="37"/>
      <c r="WY204" s="37"/>
      <c r="WZ204" s="37"/>
      <c r="XA204" s="37"/>
      <c r="XB204" s="37"/>
      <c r="XC204" s="37"/>
      <c r="XD204" s="37"/>
      <c r="XE204" s="37"/>
      <c r="XF204" s="37"/>
      <c r="XG204" s="37"/>
      <c r="XH204" s="37"/>
      <c r="XI204" s="37"/>
      <c r="XJ204" s="37"/>
      <c r="XK204" s="37"/>
      <c r="XL204" s="37"/>
      <c r="XM204" s="37"/>
      <c r="XN204" s="37"/>
      <c r="XO204" s="37"/>
      <c r="XP204" s="37"/>
      <c r="XQ204" s="37"/>
      <c r="XR204" s="37"/>
      <c r="XS204" s="37"/>
      <c r="XT204" s="37"/>
      <c r="XU204" s="37"/>
      <c r="XV204" s="37"/>
      <c r="XW204" s="37"/>
      <c r="XX204" s="37"/>
      <c r="XY204" s="37"/>
      <c r="XZ204" s="37"/>
      <c r="YA204" s="37"/>
      <c r="YB204" s="37"/>
      <c r="YC204" s="37"/>
      <c r="YD204" s="37"/>
      <c r="YE204" s="37"/>
      <c r="YF204" s="37"/>
      <c r="YG204" s="37"/>
      <c r="YH204" s="37"/>
      <c r="YI204" s="37"/>
      <c r="YJ204" s="37"/>
      <c r="YK204" s="37"/>
      <c r="YL204" s="37"/>
      <c r="YM204" s="37"/>
      <c r="YN204" s="37"/>
      <c r="YO204" s="37"/>
      <c r="YP204" s="37"/>
      <c r="YQ204" s="37"/>
      <c r="YR204" s="37"/>
      <c r="YS204" s="37"/>
      <c r="YT204" s="37"/>
      <c r="YU204" s="37"/>
      <c r="YV204" s="37"/>
      <c r="YW204" s="37"/>
      <c r="YX204" s="37"/>
      <c r="YY204" s="37"/>
      <c r="YZ204" s="37"/>
      <c r="ZA204" s="37"/>
      <c r="ZB204" s="37"/>
      <c r="ZC204" s="37"/>
      <c r="ZD204" s="37"/>
      <c r="ZE204" s="37"/>
      <c r="ZF204" s="37"/>
      <c r="ZG204" s="37"/>
      <c r="ZH204" s="37"/>
      <c r="ZI204" s="37"/>
      <c r="ZJ204" s="37"/>
      <c r="ZK204" s="37"/>
      <c r="ZL204" s="37"/>
      <c r="ZM204" s="37"/>
      <c r="ZN204" s="37"/>
      <c r="ZO204" s="37"/>
      <c r="ZP204" s="37"/>
      <c r="ZQ204" s="37"/>
      <c r="ZR204" s="37"/>
      <c r="ZS204" s="37"/>
      <c r="ZT204" s="37"/>
      <c r="ZU204" s="37"/>
      <c r="ZV204" s="37"/>
      <c r="ZW204" s="37"/>
      <c r="ZX204" s="37"/>
      <c r="ZY204" s="37"/>
      <c r="ZZ204" s="37"/>
      <c r="AAA204" s="37"/>
      <c r="AAB204" s="37"/>
      <c r="AAC204" s="37"/>
      <c r="AAD204" s="37"/>
      <c r="AAE204" s="37"/>
      <c r="AAF204" s="37"/>
      <c r="AAG204" s="37"/>
      <c r="AAH204" s="37"/>
      <c r="AAI204" s="37"/>
      <c r="AAJ204" s="37"/>
      <c r="AAK204" s="37"/>
      <c r="AAL204" s="37"/>
      <c r="AAM204" s="37"/>
      <c r="AAN204" s="37"/>
      <c r="AAO204" s="37"/>
      <c r="AAP204" s="37"/>
      <c r="AAQ204" s="37"/>
      <c r="AAR204" s="37"/>
      <c r="AAS204" s="37"/>
      <c r="AAT204" s="37"/>
      <c r="AAU204" s="37"/>
      <c r="AAV204" s="37"/>
      <c r="AAW204" s="37"/>
      <c r="AAX204" s="37"/>
      <c r="AAY204" s="37"/>
      <c r="AAZ204" s="37"/>
      <c r="ABA204" s="37"/>
      <c r="ABB204" s="37"/>
      <c r="ABC204" s="37"/>
      <c r="ABD204" s="37"/>
      <c r="ABE204" s="37"/>
      <c r="ABF204" s="37"/>
      <c r="ABG204" s="37"/>
      <c r="ABH204" s="37"/>
      <c r="ABI204" s="37"/>
      <c r="ABJ204" s="37"/>
      <c r="ABK204" s="37"/>
      <c r="ABL204" s="37"/>
      <c r="ABM204" s="37"/>
      <c r="ABN204" s="37"/>
      <c r="ABO204" s="37"/>
      <c r="ABP204" s="37"/>
      <c r="ABQ204" s="37"/>
      <c r="ABR204" s="37"/>
      <c r="ABS204" s="37"/>
      <c r="ABT204" s="37"/>
      <c r="ABU204" s="37"/>
      <c r="ABV204" s="37"/>
      <c r="ABW204" s="37"/>
      <c r="ABX204" s="37"/>
      <c r="ABY204" s="37"/>
      <c r="ABZ204" s="37"/>
      <c r="ACA204" s="37"/>
      <c r="ACB204" s="37"/>
      <c r="ACC204" s="37"/>
      <c r="ACD204" s="37"/>
      <c r="ACE204" s="37"/>
      <c r="ACF204" s="37"/>
      <c r="ACG204" s="37"/>
      <c r="ACH204" s="37"/>
      <c r="ACI204" s="37"/>
      <c r="ACJ204" s="37"/>
      <c r="ACK204" s="37"/>
      <c r="ACL204" s="37"/>
      <c r="ACM204" s="37"/>
      <c r="ACN204" s="37"/>
      <c r="ACO204" s="37"/>
      <c r="ACP204" s="37"/>
      <c r="ACQ204" s="37"/>
      <c r="ACR204" s="37"/>
      <c r="ACS204" s="37"/>
      <c r="ACT204" s="37"/>
      <c r="ACU204" s="37"/>
      <c r="ACV204" s="37"/>
      <c r="ACW204" s="37"/>
      <c r="ACX204" s="37"/>
      <c r="ACY204" s="37"/>
      <c r="ACZ204" s="37"/>
      <c r="ADA204" s="37"/>
      <c r="ADB204" s="37"/>
      <c r="ADC204" s="37"/>
      <c r="ADD204" s="37"/>
      <c r="ADE204" s="37"/>
      <c r="ADF204" s="37"/>
      <c r="ADG204" s="37"/>
      <c r="ADH204" s="37"/>
      <c r="ADI204" s="37"/>
      <c r="ADJ204" s="37"/>
      <c r="ADK204" s="37"/>
      <c r="ADL204" s="37"/>
      <c r="ADM204" s="37"/>
      <c r="ADN204" s="37"/>
      <c r="ADO204" s="37"/>
      <c r="ADP204" s="37"/>
      <c r="ADQ204" s="37"/>
      <c r="ADR204" s="37"/>
      <c r="ADS204" s="37"/>
      <c r="ADT204" s="37"/>
      <c r="ADU204" s="37"/>
      <c r="ADV204" s="37"/>
      <c r="ADW204" s="37"/>
      <c r="ADX204" s="37"/>
      <c r="ADY204" s="37"/>
      <c r="ADZ204" s="37"/>
      <c r="AEA204" s="37"/>
      <c r="AEB204" s="37"/>
      <c r="AEC204" s="37"/>
      <c r="AED204" s="37"/>
      <c r="AEE204" s="37"/>
      <c r="AEF204" s="37"/>
      <c r="AEG204" s="37"/>
      <c r="AEH204" s="37"/>
      <c r="AEI204" s="37"/>
      <c r="AEJ204" s="37"/>
      <c r="AEK204" s="37"/>
      <c r="AEL204" s="37"/>
      <c r="AEM204" s="37"/>
      <c r="AEN204" s="37"/>
      <c r="AEO204" s="37"/>
      <c r="AEP204" s="37"/>
      <c r="AEQ204" s="37"/>
      <c r="AER204" s="37"/>
      <c r="AES204" s="37"/>
      <c r="AET204" s="37"/>
      <c r="AEU204" s="37"/>
      <c r="AEV204" s="37"/>
      <c r="AEW204" s="37"/>
      <c r="AEX204" s="37"/>
      <c r="AEY204" s="37"/>
      <c r="AEZ204" s="37"/>
      <c r="AFA204" s="37"/>
      <c r="AFB204" s="37"/>
      <c r="AFC204" s="37"/>
      <c r="AFD204" s="37"/>
      <c r="AFE204" s="37"/>
      <c r="AFF204" s="37"/>
      <c r="AFG204" s="37"/>
      <c r="AFH204" s="37"/>
      <c r="AFI204" s="37"/>
      <c r="AFJ204" s="37"/>
      <c r="AFK204" s="37"/>
      <c r="AFL204" s="37"/>
      <c r="AFM204" s="37"/>
      <c r="AFN204" s="37"/>
      <c r="AFO204" s="37"/>
      <c r="AFP204" s="37"/>
      <c r="AFQ204" s="37"/>
      <c r="AFR204" s="37"/>
      <c r="AFS204" s="37"/>
      <c r="AFT204" s="37"/>
      <c r="AFU204" s="37"/>
      <c r="AFV204" s="37"/>
      <c r="AFW204" s="37"/>
      <c r="AFX204" s="37"/>
      <c r="AFY204" s="37"/>
      <c r="AFZ204" s="37"/>
      <c r="AGA204" s="37"/>
      <c r="AGB204" s="37"/>
      <c r="AGC204" s="37"/>
      <c r="AGD204" s="37"/>
      <c r="AGE204" s="37"/>
      <c r="AGF204" s="37"/>
      <c r="AGG204" s="37"/>
      <c r="AGH204" s="37"/>
      <c r="AGI204" s="37"/>
      <c r="AGJ204" s="37"/>
      <c r="AGK204" s="37"/>
      <c r="AGL204" s="37"/>
      <c r="AGM204" s="37"/>
      <c r="AGN204" s="37"/>
      <c r="AGO204" s="37"/>
      <c r="AGP204" s="37"/>
      <c r="AGQ204" s="37"/>
      <c r="AGR204" s="37"/>
      <c r="AGS204" s="37"/>
      <c r="AGT204" s="37"/>
      <c r="AGU204" s="37"/>
      <c r="AGV204" s="37"/>
      <c r="AGW204" s="37"/>
      <c r="AGX204" s="37"/>
      <c r="AGY204" s="37"/>
      <c r="AGZ204" s="37"/>
      <c r="AHA204" s="37"/>
      <c r="AHB204" s="37"/>
      <c r="AHC204" s="37"/>
      <c r="AHD204" s="37"/>
      <c r="AHE204" s="37"/>
      <c r="AHF204" s="37"/>
      <c r="AHG204" s="37"/>
      <c r="AHH204" s="37"/>
      <c r="AHI204" s="37"/>
      <c r="AHJ204" s="37"/>
      <c r="AHK204" s="37"/>
      <c r="AHL204" s="37"/>
      <c r="AHM204" s="37"/>
      <c r="AHN204" s="37"/>
      <c r="AHO204" s="37"/>
      <c r="AHP204" s="37"/>
      <c r="AHQ204" s="37"/>
      <c r="AHR204" s="37"/>
      <c r="AHS204" s="37"/>
      <c r="AHT204" s="37"/>
      <c r="AHU204" s="37"/>
      <c r="AHV204" s="37"/>
      <c r="AHW204" s="37"/>
      <c r="AHX204" s="37"/>
      <c r="AHY204" s="37"/>
      <c r="AHZ204" s="37"/>
      <c r="AIA204" s="37"/>
      <c r="AIB204" s="37"/>
      <c r="AIC204" s="37"/>
      <c r="AID204" s="37"/>
      <c r="AIE204" s="37"/>
      <c r="AIF204" s="37"/>
      <c r="AIG204" s="37"/>
      <c r="AIH204" s="37"/>
      <c r="AII204" s="37"/>
      <c r="AIJ204" s="37"/>
      <c r="AIK204" s="37"/>
      <c r="AIL204" s="37"/>
      <c r="AIM204" s="37"/>
      <c r="AIN204" s="37"/>
      <c r="AIO204" s="37"/>
      <c r="AIP204" s="37"/>
      <c r="AIQ204" s="37"/>
      <c r="AIR204" s="37"/>
      <c r="AIS204" s="37"/>
      <c r="AIT204" s="37"/>
      <c r="AIU204" s="37"/>
      <c r="AIV204" s="37"/>
      <c r="AIW204" s="37"/>
      <c r="AIX204" s="37"/>
      <c r="AIY204" s="37"/>
      <c r="AIZ204" s="37"/>
      <c r="AJA204" s="37"/>
      <c r="AJB204" s="37"/>
      <c r="AJC204" s="37"/>
      <c r="AJD204" s="37"/>
      <c r="AJE204" s="37"/>
      <c r="AJF204" s="37"/>
      <c r="AJG204" s="37"/>
      <c r="AJH204" s="37"/>
      <c r="AJI204" s="37"/>
      <c r="AJJ204" s="37"/>
      <c r="AJK204" s="37"/>
      <c r="AJL204" s="37"/>
      <c r="AJM204" s="37"/>
      <c r="AJN204" s="37"/>
      <c r="AJO204" s="37"/>
      <c r="AJP204" s="37"/>
      <c r="AJQ204" s="37"/>
      <c r="AJR204" s="37"/>
      <c r="AJS204" s="37"/>
      <c r="AJT204" s="37"/>
      <c r="AJU204" s="37"/>
      <c r="AJV204" s="37"/>
      <c r="AJW204" s="37"/>
      <c r="AJX204" s="37"/>
      <c r="AJY204" s="37"/>
      <c r="AJZ204" s="37"/>
      <c r="AKA204" s="37"/>
      <c r="AKB204" s="37"/>
      <c r="AKC204" s="37"/>
      <c r="AKD204" s="37"/>
      <c r="AKE204" s="37"/>
      <c r="AKF204" s="37"/>
      <c r="AKG204" s="37"/>
      <c r="AKH204" s="37"/>
      <c r="AKI204" s="37"/>
      <c r="AKJ204" s="37"/>
      <c r="AKK204" s="37"/>
      <c r="AKL204" s="37"/>
      <c r="AKM204" s="37"/>
      <c r="AKN204" s="37"/>
      <c r="AKO204" s="37"/>
      <c r="AKP204" s="37"/>
      <c r="AKQ204" s="37"/>
      <c r="AKR204" s="37"/>
      <c r="AKS204" s="37"/>
      <c r="AKT204" s="37"/>
      <c r="AKU204" s="37"/>
      <c r="AKV204" s="37"/>
      <c r="AKW204" s="37"/>
      <c r="AKX204" s="37"/>
      <c r="AKY204" s="37"/>
      <c r="AKZ204" s="37"/>
      <c r="ALA204" s="37"/>
      <c r="ALB204" s="37"/>
      <c r="ALC204" s="37"/>
      <c r="ALD204" s="37"/>
      <c r="ALE204" s="37"/>
      <c r="ALF204" s="37"/>
      <c r="ALG204" s="37"/>
      <c r="ALH204" s="37"/>
      <c r="ALI204" s="37"/>
      <c r="ALJ204" s="37"/>
      <c r="ALK204" s="37"/>
      <c r="ALL204" s="37"/>
      <c r="ALM204" s="37"/>
      <c r="ALN204" s="37"/>
      <c r="ALO204" s="37"/>
      <c r="ALP204" s="37"/>
      <c r="ALQ204" s="37"/>
      <c r="ALR204" s="37"/>
    </row>
    <row r="205" spans="2:1006" x14ac:dyDescent="0.35">
      <c r="K205" s="27" t="e">
        <f t="shared" ref="K205:AP205" si="225">IF(K10,K6,NA())</f>
        <v>#N/A</v>
      </c>
      <c r="L205" s="27" t="e">
        <f t="shared" si="225"/>
        <v>#N/A</v>
      </c>
      <c r="M205" s="27" t="e">
        <f t="shared" si="225"/>
        <v>#N/A</v>
      </c>
      <c r="N205" s="27" t="e">
        <f t="shared" si="225"/>
        <v>#N/A</v>
      </c>
      <c r="O205" s="27" t="e">
        <f t="shared" si="225"/>
        <v>#N/A</v>
      </c>
      <c r="P205" s="27" t="e">
        <f t="shared" si="225"/>
        <v>#N/A</v>
      </c>
      <c r="Q205" s="27" t="e">
        <f t="shared" si="225"/>
        <v>#N/A</v>
      </c>
      <c r="R205" s="27" t="e">
        <f t="shared" si="225"/>
        <v>#N/A</v>
      </c>
      <c r="S205" s="27" t="e">
        <f t="shared" si="225"/>
        <v>#N/A</v>
      </c>
      <c r="T205" s="27">
        <f t="shared" si="225"/>
        <v>42522</v>
      </c>
      <c r="U205" s="27">
        <f t="shared" si="225"/>
        <v>42614</v>
      </c>
      <c r="V205" s="27">
        <f t="shared" si="225"/>
        <v>42705</v>
      </c>
      <c r="W205" s="27">
        <f t="shared" si="225"/>
        <v>42795</v>
      </c>
      <c r="X205" s="27">
        <f t="shared" si="225"/>
        <v>42887</v>
      </c>
      <c r="Y205" s="27">
        <f t="shared" si="225"/>
        <v>42979</v>
      </c>
      <c r="Z205" s="27">
        <f t="shared" si="225"/>
        <v>43070</v>
      </c>
      <c r="AA205" s="27">
        <f t="shared" si="225"/>
        <v>43160</v>
      </c>
      <c r="AB205" s="27">
        <f t="shared" si="225"/>
        <v>43252</v>
      </c>
      <c r="AC205" s="27">
        <f t="shared" si="225"/>
        <v>43344</v>
      </c>
      <c r="AD205" s="27">
        <f t="shared" si="225"/>
        <v>43435</v>
      </c>
      <c r="AE205" s="27">
        <f t="shared" si="225"/>
        <v>43525</v>
      </c>
      <c r="AF205" s="27">
        <f t="shared" si="225"/>
        <v>43617</v>
      </c>
      <c r="AG205" s="27">
        <f t="shared" si="225"/>
        <v>43709</v>
      </c>
      <c r="AH205" s="27">
        <f t="shared" si="225"/>
        <v>43800</v>
      </c>
      <c r="AI205" s="27">
        <f t="shared" si="225"/>
        <v>43891</v>
      </c>
      <c r="AJ205" s="27">
        <f t="shared" si="225"/>
        <v>43983</v>
      </c>
      <c r="AK205" s="27">
        <f t="shared" si="225"/>
        <v>44075</v>
      </c>
      <c r="AL205" s="27">
        <f t="shared" si="225"/>
        <v>44166</v>
      </c>
      <c r="AM205" s="27">
        <f t="shared" si="225"/>
        <v>44256</v>
      </c>
      <c r="AN205" s="27">
        <f t="shared" si="225"/>
        <v>44348</v>
      </c>
      <c r="AO205" s="27">
        <f t="shared" si="225"/>
        <v>44440</v>
      </c>
      <c r="AP205" s="27">
        <f t="shared" si="225"/>
        <v>44531</v>
      </c>
      <c r="AQ205" s="27">
        <f t="shared" ref="AQ205:BV205" si="226">IF(AQ10,AQ6,NA())</f>
        <v>44621</v>
      </c>
      <c r="AR205" s="27">
        <f t="shared" si="226"/>
        <v>44713</v>
      </c>
      <c r="AS205" s="27">
        <f t="shared" si="226"/>
        <v>44805</v>
      </c>
      <c r="AT205" s="27">
        <f t="shared" si="226"/>
        <v>44896</v>
      </c>
      <c r="AU205" s="27">
        <f t="shared" si="226"/>
        <v>44986</v>
      </c>
      <c r="AV205" s="27">
        <f t="shared" si="226"/>
        <v>45078</v>
      </c>
      <c r="AW205" s="27">
        <f t="shared" si="226"/>
        <v>45170</v>
      </c>
      <c r="AX205" s="27">
        <f t="shared" si="226"/>
        <v>45261</v>
      </c>
      <c r="AY205" s="27">
        <f t="shared" si="226"/>
        <v>45352</v>
      </c>
      <c r="AZ205" s="27">
        <f t="shared" si="226"/>
        <v>45444</v>
      </c>
      <c r="BA205" s="27">
        <f t="shared" si="226"/>
        <v>45536</v>
      </c>
      <c r="BB205" s="27">
        <f t="shared" si="226"/>
        <v>45627</v>
      </c>
      <c r="BC205" s="27">
        <f t="shared" si="226"/>
        <v>45717</v>
      </c>
      <c r="BD205" s="27">
        <f t="shared" si="226"/>
        <v>45809</v>
      </c>
      <c r="BE205" s="27">
        <f t="shared" si="226"/>
        <v>45901</v>
      </c>
      <c r="BF205" s="27">
        <f t="shared" si="226"/>
        <v>45992</v>
      </c>
      <c r="BG205" s="27">
        <f t="shared" si="226"/>
        <v>46082</v>
      </c>
      <c r="BH205" s="27">
        <f t="shared" si="226"/>
        <v>46174</v>
      </c>
      <c r="BI205" s="27">
        <f t="shared" si="226"/>
        <v>46266</v>
      </c>
      <c r="BJ205" s="27">
        <f t="shared" si="226"/>
        <v>46357</v>
      </c>
      <c r="BK205" s="27">
        <f t="shared" si="226"/>
        <v>46447</v>
      </c>
      <c r="BL205" s="27">
        <f t="shared" si="226"/>
        <v>46539</v>
      </c>
      <c r="BM205" s="27">
        <f t="shared" si="226"/>
        <v>46631</v>
      </c>
      <c r="BN205" s="27">
        <f t="shared" si="226"/>
        <v>46722</v>
      </c>
      <c r="BO205" s="27">
        <f t="shared" si="226"/>
        <v>46813</v>
      </c>
      <c r="BP205" s="27">
        <f t="shared" si="226"/>
        <v>46905</v>
      </c>
      <c r="BQ205" s="27">
        <f t="shared" si="226"/>
        <v>46997</v>
      </c>
      <c r="BR205" s="27">
        <f t="shared" si="226"/>
        <v>47088</v>
      </c>
      <c r="BS205" s="27">
        <f t="shared" si="226"/>
        <v>47178</v>
      </c>
      <c r="BT205" s="27">
        <f t="shared" si="226"/>
        <v>47270</v>
      </c>
      <c r="BU205" s="27">
        <f t="shared" si="226"/>
        <v>47362</v>
      </c>
      <c r="BV205" s="27">
        <f t="shared" si="226"/>
        <v>47453</v>
      </c>
      <c r="BW205" s="27">
        <f t="shared" ref="BW205:DB205" si="227">IF(BW10,BW6,NA())</f>
        <v>47543</v>
      </c>
      <c r="BX205" s="27">
        <f t="shared" si="227"/>
        <v>47635</v>
      </c>
      <c r="BY205" s="27">
        <f t="shared" si="227"/>
        <v>47727</v>
      </c>
      <c r="BZ205" s="27">
        <f t="shared" si="227"/>
        <v>47818</v>
      </c>
      <c r="CA205" s="27">
        <f t="shared" si="227"/>
        <v>47908</v>
      </c>
      <c r="CB205" s="27">
        <f t="shared" si="227"/>
        <v>48000</v>
      </c>
      <c r="CC205" s="27">
        <f t="shared" si="227"/>
        <v>48092</v>
      </c>
      <c r="CD205" s="27">
        <f t="shared" si="227"/>
        <v>48183</v>
      </c>
      <c r="CE205" s="27">
        <f t="shared" si="227"/>
        <v>48274</v>
      </c>
      <c r="CF205" s="27">
        <f t="shared" si="227"/>
        <v>48366</v>
      </c>
      <c r="CG205" s="27">
        <f t="shared" si="227"/>
        <v>48458</v>
      </c>
      <c r="CH205" s="27">
        <f t="shared" si="227"/>
        <v>48549</v>
      </c>
      <c r="CI205" s="27">
        <f t="shared" si="227"/>
        <v>48639</v>
      </c>
      <c r="CJ205" s="27">
        <f t="shared" si="227"/>
        <v>48731</v>
      </c>
      <c r="CK205" s="27">
        <f t="shared" si="227"/>
        <v>48823</v>
      </c>
      <c r="CL205" s="27">
        <f t="shared" si="227"/>
        <v>48914</v>
      </c>
      <c r="CM205" s="27">
        <f t="shared" si="227"/>
        <v>49004</v>
      </c>
      <c r="CN205" s="27">
        <f t="shared" si="227"/>
        <v>49096</v>
      </c>
      <c r="CO205" s="27">
        <f t="shared" si="227"/>
        <v>49188</v>
      </c>
      <c r="CP205" s="27">
        <f t="shared" si="227"/>
        <v>49279</v>
      </c>
      <c r="CQ205" s="27">
        <f t="shared" si="227"/>
        <v>49369</v>
      </c>
      <c r="CR205" s="27">
        <f t="shared" si="227"/>
        <v>49461</v>
      </c>
      <c r="CS205" s="27">
        <f t="shared" si="227"/>
        <v>49553</v>
      </c>
      <c r="CT205" s="27">
        <f t="shared" si="227"/>
        <v>49644</v>
      </c>
      <c r="CU205" s="27">
        <f t="shared" si="227"/>
        <v>49735</v>
      </c>
      <c r="CV205" s="27">
        <f t="shared" si="227"/>
        <v>49827</v>
      </c>
      <c r="CW205" s="27">
        <f t="shared" si="227"/>
        <v>49919</v>
      </c>
      <c r="CX205" s="27">
        <f t="shared" si="227"/>
        <v>50010</v>
      </c>
      <c r="CY205" s="27">
        <f t="shared" si="227"/>
        <v>50100</v>
      </c>
      <c r="CZ205" s="27">
        <f t="shared" si="227"/>
        <v>50192</v>
      </c>
      <c r="DA205" s="27">
        <f t="shared" si="227"/>
        <v>50284</v>
      </c>
      <c r="DB205" s="27">
        <f t="shared" si="227"/>
        <v>50375</v>
      </c>
      <c r="DC205" s="27">
        <f t="shared" ref="DC205:DQ205" si="228">IF(DC10,DC6,NA())</f>
        <v>50465</v>
      </c>
      <c r="DD205" s="27">
        <f t="shared" si="228"/>
        <v>50557</v>
      </c>
      <c r="DE205" s="27">
        <f t="shared" si="228"/>
        <v>50649</v>
      </c>
      <c r="DF205" s="27">
        <f t="shared" si="228"/>
        <v>50740</v>
      </c>
      <c r="DG205" s="27">
        <f t="shared" si="228"/>
        <v>50830</v>
      </c>
      <c r="DH205" s="27">
        <f t="shared" si="228"/>
        <v>50922</v>
      </c>
      <c r="DI205" s="27">
        <f t="shared" si="228"/>
        <v>51014</v>
      </c>
      <c r="DJ205" s="27">
        <f t="shared" si="228"/>
        <v>51105</v>
      </c>
      <c r="DK205" s="27">
        <f t="shared" si="228"/>
        <v>51196</v>
      </c>
      <c r="DL205" s="27">
        <f t="shared" si="228"/>
        <v>51288</v>
      </c>
      <c r="DM205" s="27">
        <f t="shared" si="228"/>
        <v>51380</v>
      </c>
      <c r="DN205" s="27">
        <f t="shared" si="228"/>
        <v>51471</v>
      </c>
      <c r="DO205" s="27">
        <f t="shared" si="228"/>
        <v>51561</v>
      </c>
      <c r="DP205" s="27" t="e">
        <f t="shared" si="228"/>
        <v>#N/A</v>
      </c>
      <c r="DQ205" s="27" t="e">
        <f t="shared" si="228"/>
        <v>#N/A</v>
      </c>
    </row>
    <row r="206" spans="2:1006" x14ac:dyDescent="0.35">
      <c r="E206" s="20" t="s">
        <v>31</v>
      </c>
      <c r="K206" s="20">
        <f t="shared" ref="K206:AP206" si="229">K16</f>
        <v>0</v>
      </c>
      <c r="L206" s="20">
        <f t="shared" si="229"/>
        <v>0</v>
      </c>
      <c r="M206" s="20">
        <f t="shared" si="229"/>
        <v>0</v>
      </c>
      <c r="N206" s="20">
        <f t="shared" si="229"/>
        <v>0</v>
      </c>
      <c r="O206" s="20">
        <f t="shared" si="229"/>
        <v>0</v>
      </c>
      <c r="P206" s="20">
        <f t="shared" si="229"/>
        <v>0</v>
      </c>
      <c r="Q206" s="20">
        <f t="shared" si="229"/>
        <v>0</v>
      </c>
      <c r="R206" s="20">
        <f t="shared" si="229"/>
        <v>0</v>
      </c>
      <c r="S206" s="20">
        <f t="shared" si="229"/>
        <v>0</v>
      </c>
      <c r="T206" s="20">
        <f t="shared" si="229"/>
        <v>99503.150667626498</v>
      </c>
      <c r="U206" s="20">
        <f t="shared" si="229"/>
        <v>52009.913222859825</v>
      </c>
      <c r="V206" s="20">
        <f t="shared" si="229"/>
        <v>30398.601847890644</v>
      </c>
      <c r="W206" s="20">
        <f t="shared" si="229"/>
        <v>80578.142957014934</v>
      </c>
      <c r="X206" s="20">
        <f t="shared" si="229"/>
        <v>98702.262217784533</v>
      </c>
      <c r="Y206" s="20">
        <f t="shared" si="229"/>
        <v>51444.664672913801</v>
      </c>
      <c r="Z206" s="20">
        <f t="shared" si="229"/>
        <v>29940.225200464032</v>
      </c>
      <c r="AA206" s="20">
        <f t="shared" si="229"/>
        <v>79869.467587825871</v>
      </c>
      <c r="AB206" s="20">
        <f t="shared" si="229"/>
        <v>97902.765625600179</v>
      </c>
      <c r="AC206" s="20">
        <f t="shared" si="229"/>
        <v>50879.626810988084</v>
      </c>
      <c r="AD206" s="20">
        <f t="shared" si="229"/>
        <v>31590.597410920618</v>
      </c>
      <c r="AE206" s="20">
        <f t="shared" si="229"/>
        <v>82966.475098870433</v>
      </c>
      <c r="AF206" s="20">
        <f t="shared" si="229"/>
        <v>101522.65247679333</v>
      </c>
      <c r="AG206" s="20">
        <f t="shared" si="229"/>
        <v>53138.25599594957</v>
      </c>
      <c r="AH206" s="20">
        <f t="shared" si="229"/>
        <v>32576.053437946994</v>
      </c>
      <c r="AI206" s="20">
        <f t="shared" si="229"/>
        <v>84865.497092081874</v>
      </c>
      <c r="AJ206" s="20">
        <f t="shared" si="229"/>
        <v>103751.76230240409</v>
      </c>
      <c r="AK206" s="20">
        <f t="shared" si="229"/>
        <v>54507.36429777903</v>
      </c>
      <c r="AL206" s="20">
        <f t="shared" si="229"/>
        <v>32377.324121268019</v>
      </c>
      <c r="AM206" s="20">
        <f t="shared" si="229"/>
        <v>84629.793883835257</v>
      </c>
      <c r="AN206" s="20">
        <f t="shared" si="229"/>
        <v>103502.37502666502</v>
      </c>
      <c r="AO206" s="20">
        <f t="shared" si="229"/>
        <v>54291.797810474614</v>
      </c>
      <c r="AP206" s="20">
        <f t="shared" si="229"/>
        <v>36635.729271682314</v>
      </c>
      <c r="AQ206" s="20">
        <f t="shared" ref="AQ206:BV206" si="230">AQ16</f>
        <v>92436.323784715321</v>
      </c>
      <c r="AR206" s="20">
        <f t="shared" si="230"/>
        <v>112591.78553278054</v>
      </c>
      <c r="AS206" s="20">
        <f t="shared" si="230"/>
        <v>60043.785790244423</v>
      </c>
      <c r="AT206" s="20">
        <f t="shared" si="230"/>
        <v>44402.584164931002</v>
      </c>
      <c r="AU206" s="20">
        <f t="shared" si="230"/>
        <v>106573.68240525824</v>
      </c>
      <c r="AV206" s="20">
        <f t="shared" si="230"/>
        <v>129032.74793641971</v>
      </c>
      <c r="AW206" s="20">
        <f t="shared" si="230"/>
        <v>70493.301855220416</v>
      </c>
      <c r="AX206" s="20">
        <f t="shared" si="230"/>
        <v>46326.886907018044</v>
      </c>
      <c r="AY206" s="20">
        <f t="shared" si="230"/>
        <v>110172.69208713573</v>
      </c>
      <c r="AZ206" s="20">
        <f t="shared" si="230"/>
        <v>133237.09816880926</v>
      </c>
      <c r="BA206" s="20">
        <f t="shared" si="230"/>
        <v>73121.861469402036</v>
      </c>
      <c r="BB206" s="20">
        <f t="shared" si="230"/>
        <v>46179.602603051833</v>
      </c>
      <c r="BC206" s="20">
        <f t="shared" si="230"/>
        <v>110036.19369102863</v>
      </c>
      <c r="BD206" s="20">
        <f t="shared" si="230"/>
        <v>133104.17024735676</v>
      </c>
      <c r="BE206" s="20">
        <f t="shared" si="230"/>
        <v>72977.78894075779</v>
      </c>
      <c r="BF206" s="20">
        <f t="shared" si="230"/>
        <v>49232.574689792556</v>
      </c>
      <c r="BG206" s="20">
        <f t="shared" si="230"/>
        <v>115674.61174694466</v>
      </c>
      <c r="BH206" s="20">
        <f t="shared" si="230"/>
        <v>139677.29295513188</v>
      </c>
      <c r="BI206" s="20">
        <f t="shared" si="230"/>
        <v>77118.683889877779</v>
      </c>
      <c r="BJ206" s="20">
        <f t="shared" si="230"/>
        <v>52979.046987055401</v>
      </c>
      <c r="BK206" s="20">
        <f t="shared" si="230"/>
        <v>122565.7835075046</v>
      </c>
      <c r="BL206" s="20">
        <f t="shared" si="230"/>
        <v>147705.42148298217</v>
      </c>
      <c r="BM206" s="20">
        <f t="shared" si="230"/>
        <v>82188.678986765997</v>
      </c>
      <c r="BN206" s="20">
        <f t="shared" si="230"/>
        <v>58080.525769570362</v>
      </c>
      <c r="BO206" s="20">
        <f t="shared" si="230"/>
        <v>131903.08955718775</v>
      </c>
      <c r="BP206" s="20">
        <f t="shared" si="230"/>
        <v>158574.29138370621</v>
      </c>
      <c r="BQ206" s="20">
        <f t="shared" si="230"/>
        <v>89073.364172271278</v>
      </c>
      <c r="BR206" s="20">
        <f t="shared" si="230"/>
        <v>62804.238692327359</v>
      </c>
      <c r="BS206" s="20">
        <f t="shared" si="230"/>
        <v>140560.63407530065</v>
      </c>
      <c r="BT206" s="20">
        <f t="shared" si="230"/>
        <v>168654.17660468101</v>
      </c>
      <c r="BU206" s="20">
        <f t="shared" si="230"/>
        <v>95453.030011476396</v>
      </c>
      <c r="BV206" s="20">
        <f t="shared" si="230"/>
        <v>58453.022058801842</v>
      </c>
      <c r="BW206" s="20">
        <f t="shared" ref="BW206:DB206" si="231">BW16</f>
        <v>102201.82214893539</v>
      </c>
      <c r="BX206" s="20">
        <f t="shared" si="231"/>
        <v>122500.38007795662</v>
      </c>
      <c r="BY206" s="20">
        <f t="shared" si="231"/>
        <v>69612.10325369233</v>
      </c>
      <c r="BZ206" s="20">
        <f t="shared" si="231"/>
        <v>46904.886746228854</v>
      </c>
      <c r="CA206" s="20">
        <f t="shared" si="231"/>
        <v>103893.71992778804</v>
      </c>
      <c r="CB206" s="20">
        <f t="shared" si="231"/>
        <v>124484.30426459927</v>
      </c>
      <c r="CC206" s="20">
        <f t="shared" si="231"/>
        <v>70835.307492833934</v>
      </c>
      <c r="CD206" s="20">
        <f t="shared" si="231"/>
        <v>50358.151102813237</v>
      </c>
      <c r="CE206" s="20">
        <f t="shared" si="231"/>
        <v>110222.3174012322</v>
      </c>
      <c r="CF206" s="20">
        <f t="shared" si="231"/>
        <v>131852.52536956646</v>
      </c>
      <c r="CG206" s="20">
        <f t="shared" si="231"/>
        <v>75498.949069943774</v>
      </c>
      <c r="CH206" s="20">
        <f t="shared" si="231"/>
        <v>52395.687186639771</v>
      </c>
      <c r="CI206" s="20">
        <f t="shared" si="231"/>
        <v>113998.22172067576</v>
      </c>
      <c r="CJ206" s="20">
        <f t="shared" si="231"/>
        <v>136256.86058812062</v>
      </c>
      <c r="CK206" s="20">
        <f t="shared" si="231"/>
        <v>78267.833118801515</v>
      </c>
      <c r="CL206" s="20">
        <f t="shared" si="231"/>
        <v>57458.627417319207</v>
      </c>
      <c r="CM206" s="20">
        <f t="shared" si="231"/>
        <v>123233.25046533596</v>
      </c>
      <c r="CN206" s="20">
        <f t="shared" si="231"/>
        <v>147000.48381960849</v>
      </c>
      <c r="CO206" s="20">
        <f t="shared" si="231"/>
        <v>85087.457087570772</v>
      </c>
      <c r="CP206" s="20">
        <f t="shared" si="231"/>
        <v>61539.466279284767</v>
      </c>
      <c r="CQ206" s="20">
        <f t="shared" si="231"/>
        <v>130697.88526372283</v>
      </c>
      <c r="CR206" s="20">
        <f t="shared" si="231"/>
        <v>155688.61936956411</v>
      </c>
      <c r="CS206" s="20">
        <f t="shared" si="231"/>
        <v>90592.849114986835</v>
      </c>
      <c r="CT206" s="20">
        <f t="shared" si="231"/>
        <v>66063.010323315699</v>
      </c>
      <c r="CU206" s="20">
        <f t="shared" si="231"/>
        <v>138962.49472898542</v>
      </c>
      <c r="CV206" s="20">
        <f t="shared" si="231"/>
        <v>165305.9341183074</v>
      </c>
      <c r="CW206" s="20">
        <f t="shared" si="231"/>
        <v>96691.452243893335</v>
      </c>
      <c r="CX206" s="20">
        <f t="shared" si="231"/>
        <v>70284.505113377527</v>
      </c>
      <c r="CY206" s="20">
        <f t="shared" si="231"/>
        <v>146683.56142875156</v>
      </c>
      <c r="CZ206" s="20">
        <f t="shared" si="231"/>
        <v>174292.36490733508</v>
      </c>
      <c r="DA206" s="20">
        <f t="shared" si="231"/>
        <v>102386.24699556347</v>
      </c>
      <c r="DB206" s="20">
        <f t="shared" si="231"/>
        <v>71074.677867268547</v>
      </c>
      <c r="DC206" s="20">
        <f t="shared" ref="DC206:DQ206" si="232">DC16</f>
        <v>148215.89898131281</v>
      </c>
      <c r="DD206" s="20">
        <f t="shared" si="232"/>
        <v>176092.83240197867</v>
      </c>
      <c r="DE206" s="20">
        <f t="shared" si="232"/>
        <v>103487.98088600898</v>
      </c>
      <c r="DF206" s="20">
        <f t="shared" si="232"/>
        <v>71228.010081119864</v>
      </c>
      <c r="DG206" s="20">
        <f t="shared" si="232"/>
        <v>148600.76936745434</v>
      </c>
      <c r="DH206" s="20">
        <f t="shared" si="232"/>
        <v>176561.1580677866</v>
      </c>
      <c r="DI206" s="20">
        <f t="shared" si="232"/>
        <v>103737.72618958834</v>
      </c>
      <c r="DJ206" s="20">
        <f t="shared" si="232"/>
        <v>71462.967265490675</v>
      </c>
      <c r="DK206" s="20">
        <f t="shared" si="232"/>
        <v>149134.30364392351</v>
      </c>
      <c r="DL206" s="20">
        <f t="shared" si="232"/>
        <v>177202.38857385458</v>
      </c>
      <c r="DM206" s="20">
        <f t="shared" si="232"/>
        <v>104097.32443339465</v>
      </c>
      <c r="DN206" s="20">
        <f t="shared" si="232"/>
        <v>72360.33641778765</v>
      </c>
      <c r="DO206" s="20">
        <f t="shared" si="232"/>
        <v>150864.26122988597</v>
      </c>
      <c r="DP206" s="20">
        <f t="shared" si="232"/>
        <v>0</v>
      </c>
      <c r="DQ206" s="20">
        <f t="shared" si="232"/>
        <v>0</v>
      </c>
    </row>
    <row r="207" spans="2:1006" x14ac:dyDescent="0.35">
      <c r="E207" s="20" t="s">
        <v>366</v>
      </c>
      <c r="K207" s="20">
        <f>K171+K170</f>
        <v>0</v>
      </c>
      <c r="L207" s="20">
        <f t="shared" ref="L207:BW207" si="233">L171+L170</f>
        <v>0</v>
      </c>
      <c r="M207" s="20">
        <f t="shared" si="233"/>
        <v>0</v>
      </c>
      <c r="N207" s="20">
        <f t="shared" si="233"/>
        <v>0</v>
      </c>
      <c r="O207" s="20">
        <f t="shared" si="233"/>
        <v>0</v>
      </c>
      <c r="P207" s="20">
        <f t="shared" si="233"/>
        <v>0</v>
      </c>
      <c r="Q207" s="20">
        <f t="shared" si="233"/>
        <v>0</v>
      </c>
      <c r="R207" s="20">
        <f t="shared" si="233"/>
        <v>0</v>
      </c>
      <c r="S207" s="20">
        <f t="shared" si="233"/>
        <v>0</v>
      </c>
      <c r="T207" s="20">
        <f t="shared" si="233"/>
        <v>68603.906621483766</v>
      </c>
      <c r="U207" s="20">
        <f t="shared" si="233"/>
        <v>35849.949763023993</v>
      </c>
      <c r="V207" s="20">
        <f t="shared" si="233"/>
        <v>20945.597090631454</v>
      </c>
      <c r="W207" s="20">
        <f t="shared" si="233"/>
        <v>55552.177165889581</v>
      </c>
      <c r="X207" s="20">
        <f t="shared" si="233"/>
        <v>68051.569759523787</v>
      </c>
      <c r="Y207" s="20">
        <f t="shared" si="233"/>
        <v>35460.123176854322</v>
      </c>
      <c r="Z207" s="20">
        <f t="shared" si="233"/>
        <v>20629.475264819997</v>
      </c>
      <c r="AA207" s="20">
        <f t="shared" si="233"/>
        <v>55063.435531966097</v>
      </c>
      <c r="AB207" s="20">
        <f t="shared" si="233"/>
        <v>67500.192799396653</v>
      </c>
      <c r="AC207" s="20">
        <f t="shared" si="233"/>
        <v>35070.441892767616</v>
      </c>
      <c r="AD207" s="20">
        <f t="shared" si="233"/>
        <v>21767.662996169365</v>
      </c>
      <c r="AE207" s="20">
        <f t="shared" si="233"/>
        <v>57199.302780962345</v>
      </c>
      <c r="AF207" s="20">
        <f t="shared" si="233"/>
        <v>69996.666489874682</v>
      </c>
      <c r="AG207" s="20">
        <f t="shared" si="233"/>
        <v>36628.117192741054</v>
      </c>
      <c r="AH207" s="20">
        <f t="shared" si="233"/>
        <v>22447.287842394457</v>
      </c>
      <c r="AI207" s="20">
        <f t="shared" si="233"/>
        <v>58508.973121108167</v>
      </c>
      <c r="AJ207" s="20">
        <f t="shared" si="233"/>
        <v>71533.983610985568</v>
      </c>
      <c r="AK207" s="20">
        <f t="shared" si="233"/>
        <v>37572.329814692406</v>
      </c>
      <c r="AL207" s="20">
        <f t="shared" si="233"/>
        <v>22310.233141236542</v>
      </c>
      <c r="AM207" s="20">
        <f t="shared" si="233"/>
        <v>58346.419184386359</v>
      </c>
      <c r="AN207" s="20">
        <f t="shared" si="233"/>
        <v>71361.713622986252</v>
      </c>
      <c r="AO207" s="20">
        <f t="shared" si="233"/>
        <v>37423.384508372175</v>
      </c>
      <c r="AP207" s="20">
        <f t="shared" si="233"/>
        <v>25246.785516101623</v>
      </c>
      <c r="AQ207" s="20">
        <f t="shared" si="233"/>
        <v>63729.954145779564</v>
      </c>
      <c r="AR207" s="20">
        <f t="shared" si="233"/>
        <v>77630.272592721099</v>
      </c>
      <c r="AS207" s="20">
        <f t="shared" si="233"/>
        <v>41390.27277028239</v>
      </c>
      <c r="AT207" s="20">
        <f t="shared" si="233"/>
        <v>30603.237166617961</v>
      </c>
      <c r="AU207" s="20">
        <f t="shared" si="233"/>
        <v>73479.856642705709</v>
      </c>
      <c r="AV207" s="20">
        <f t="shared" si="233"/>
        <v>88968.867353851558</v>
      </c>
      <c r="AW207" s="20">
        <f t="shared" si="233"/>
        <v>48596.83557371411</v>
      </c>
      <c r="AX207" s="20">
        <f t="shared" si="233"/>
        <v>31930.342505988334</v>
      </c>
      <c r="AY207" s="20">
        <f t="shared" si="233"/>
        <v>75961.932285379837</v>
      </c>
      <c r="AZ207" s="20">
        <f t="shared" si="233"/>
        <v>91868.419238258124</v>
      </c>
      <c r="BA207" s="20">
        <f t="shared" si="233"/>
        <v>50409.635307632467</v>
      </c>
      <c r="BB207" s="20">
        <f t="shared" si="233"/>
        <v>31828.767123942671</v>
      </c>
      <c r="BC207" s="20">
        <f t="shared" si="233"/>
        <v>75867.795460478403</v>
      </c>
      <c r="BD207" s="20">
        <f t="shared" si="233"/>
        <v>91776.744809670199</v>
      </c>
      <c r="BE207" s="20">
        <f t="shared" si="233"/>
        <v>50310.27494305023</v>
      </c>
      <c r="BF207" s="20">
        <f t="shared" si="233"/>
        <v>33934.265114798342</v>
      </c>
      <c r="BG207" s="20">
        <f t="shared" si="233"/>
        <v>79756.359636972207</v>
      </c>
      <c r="BH207" s="20">
        <f t="shared" si="233"/>
        <v>96309.821378657216</v>
      </c>
      <c r="BI207" s="20">
        <f t="shared" si="233"/>
        <v>53165.953057792314</v>
      </c>
      <c r="BJ207" s="20">
        <f t="shared" si="233"/>
        <v>36517.927607569974</v>
      </c>
      <c r="BK207" s="20">
        <f t="shared" si="233"/>
        <v>84508.780380293581</v>
      </c>
      <c r="BL207" s="20">
        <f t="shared" si="233"/>
        <v>101846.46174269188</v>
      </c>
      <c r="BM207" s="20">
        <f t="shared" si="233"/>
        <v>56662.501400473833</v>
      </c>
      <c r="BN207" s="20">
        <f t="shared" si="233"/>
        <v>40036.188836890644</v>
      </c>
      <c r="BO207" s="20">
        <f t="shared" si="233"/>
        <v>90948.301793868144</v>
      </c>
      <c r="BP207" s="20">
        <f t="shared" si="233"/>
        <v>109342.23408801883</v>
      </c>
      <c r="BQ207" s="20">
        <f t="shared" si="233"/>
        <v>61410.560149098172</v>
      </c>
      <c r="BR207" s="20">
        <f t="shared" si="233"/>
        <v>43293.921887067881</v>
      </c>
      <c r="BS207" s="20">
        <f t="shared" si="233"/>
        <v>96919.022151187382</v>
      </c>
      <c r="BT207" s="20">
        <f t="shared" si="233"/>
        <v>116293.87906800144</v>
      </c>
      <c r="BU207" s="20">
        <f t="shared" si="233"/>
        <v>65810.329693377571</v>
      </c>
      <c r="BV207" s="20">
        <f t="shared" si="233"/>
        <v>40293.082829464081</v>
      </c>
      <c r="BW207" s="20">
        <f t="shared" si="233"/>
        <v>70464.669098521699</v>
      </c>
      <c r="BX207" s="20">
        <f t="shared" ref="BX207:DQ207" si="234">BX171+BX170</f>
        <v>84463.674566812217</v>
      </c>
      <c r="BY207" s="20">
        <f t="shared" si="234"/>
        <v>47989.000894905796</v>
      </c>
      <c r="BZ207" s="20">
        <f t="shared" si="234"/>
        <v>32328.851579413742</v>
      </c>
      <c r="CA207" s="20">
        <f t="shared" si="234"/>
        <v>71631.495152902833</v>
      </c>
      <c r="CB207" s="20">
        <f t="shared" si="234"/>
        <v>85831.730885796118</v>
      </c>
      <c r="CC207" s="20">
        <f t="shared" si="234"/>
        <v>48832.422767337273</v>
      </c>
      <c r="CD207" s="20">
        <f t="shared" si="234"/>
        <v>34710.245946633346</v>
      </c>
      <c r="CE207" s="20">
        <f t="shared" si="234"/>
        <v>75995.877876577448</v>
      </c>
      <c r="CF207" s="20">
        <f t="shared" si="234"/>
        <v>90913.262682325221</v>
      </c>
      <c r="CG207" s="20">
        <f t="shared" si="234"/>
        <v>52048.727303275096</v>
      </c>
      <c r="CH207" s="20">
        <f t="shared" si="234"/>
        <v>36115.443245824063</v>
      </c>
      <c r="CI207" s="20">
        <f t="shared" si="234"/>
        <v>78599.949821021291</v>
      </c>
      <c r="CJ207" s="20">
        <f t="shared" si="234"/>
        <v>93950.735246845332</v>
      </c>
      <c r="CK207" s="20">
        <f t="shared" si="234"/>
        <v>53958.302509383888</v>
      </c>
      <c r="CL207" s="20">
        <f t="shared" si="234"/>
        <v>39607.12616353402</v>
      </c>
      <c r="CM207" s="20">
        <f t="shared" si="234"/>
        <v>84968.935162166264</v>
      </c>
      <c r="CN207" s="20">
        <f t="shared" si="234"/>
        <v>101360.13057890594</v>
      </c>
      <c r="CO207" s="20">
        <f t="shared" si="234"/>
        <v>58661.491453362672</v>
      </c>
      <c r="CP207" s="20">
        <f t="shared" si="234"/>
        <v>42421.497792475784</v>
      </c>
      <c r="CQ207" s="20">
        <f t="shared" si="234"/>
        <v>90116.959161053746</v>
      </c>
      <c r="CR207" s="20">
        <f t="shared" si="234"/>
        <v>107351.94819956498</v>
      </c>
      <c r="CS207" s="20">
        <f t="shared" si="234"/>
        <v>62458.313541235824</v>
      </c>
      <c r="CT207" s="20">
        <f t="shared" si="234"/>
        <v>45541.183340083313</v>
      </c>
      <c r="CU207" s="20">
        <f t="shared" si="234"/>
        <v>93586.58301335822</v>
      </c>
      <c r="CV207" s="20">
        <f t="shared" si="234"/>
        <v>0</v>
      </c>
      <c r="CW207" s="20">
        <f t="shared" si="234"/>
        <v>0</v>
      </c>
      <c r="CX207" s="20">
        <f t="shared" si="234"/>
        <v>0</v>
      </c>
      <c r="CY207" s="20">
        <f t="shared" si="234"/>
        <v>0</v>
      </c>
      <c r="CZ207" s="20">
        <f t="shared" si="234"/>
        <v>0</v>
      </c>
      <c r="DA207" s="20">
        <f t="shared" si="234"/>
        <v>0</v>
      </c>
      <c r="DB207" s="20">
        <f t="shared" si="234"/>
        <v>0</v>
      </c>
      <c r="DC207" s="20">
        <f t="shared" si="234"/>
        <v>0</v>
      </c>
      <c r="DD207" s="20">
        <f t="shared" si="234"/>
        <v>0</v>
      </c>
      <c r="DE207" s="20">
        <f t="shared" si="234"/>
        <v>0</v>
      </c>
      <c r="DF207" s="20">
        <f t="shared" si="234"/>
        <v>0</v>
      </c>
      <c r="DG207" s="20">
        <f t="shared" si="234"/>
        <v>0</v>
      </c>
      <c r="DH207" s="20">
        <f t="shared" si="234"/>
        <v>0</v>
      </c>
      <c r="DI207" s="20">
        <f t="shared" si="234"/>
        <v>0</v>
      </c>
      <c r="DJ207" s="20">
        <f t="shared" si="234"/>
        <v>0</v>
      </c>
      <c r="DK207" s="20">
        <f t="shared" si="234"/>
        <v>0</v>
      </c>
      <c r="DL207" s="20">
        <f t="shared" si="234"/>
        <v>0</v>
      </c>
      <c r="DM207" s="20">
        <f t="shared" si="234"/>
        <v>0</v>
      </c>
      <c r="DN207" s="20">
        <f t="shared" si="234"/>
        <v>0</v>
      </c>
      <c r="DO207" s="20">
        <f t="shared" si="234"/>
        <v>0</v>
      </c>
      <c r="DP207" s="20">
        <f t="shared" si="234"/>
        <v>0</v>
      </c>
      <c r="DQ207" s="20">
        <f t="shared" si="234"/>
        <v>0</v>
      </c>
    </row>
    <row r="208" spans="2:1006" x14ac:dyDescent="0.35">
      <c r="E208" s="20" t="s">
        <v>402</v>
      </c>
      <c r="K208" s="20">
        <f>K139</f>
        <v>0</v>
      </c>
      <c r="L208" s="20">
        <f t="shared" ref="L208:BW208" si="235">L139</f>
        <v>0</v>
      </c>
      <c r="M208" s="20">
        <f t="shared" si="235"/>
        <v>0</v>
      </c>
      <c r="N208" s="20">
        <f t="shared" si="235"/>
        <v>0</v>
      </c>
      <c r="O208" s="20">
        <f t="shared" si="235"/>
        <v>0</v>
      </c>
      <c r="P208" s="20">
        <f t="shared" si="235"/>
        <v>0</v>
      </c>
      <c r="Q208" s="20">
        <f t="shared" si="235"/>
        <v>0</v>
      </c>
      <c r="R208" s="20">
        <f t="shared" si="235"/>
        <v>0</v>
      </c>
      <c r="S208" s="20">
        <f t="shared" si="235"/>
        <v>0</v>
      </c>
      <c r="T208" s="20">
        <f t="shared" si="235"/>
        <v>0</v>
      </c>
      <c r="U208" s="20">
        <f t="shared" si="235"/>
        <v>0</v>
      </c>
      <c r="V208" s="20">
        <f t="shared" si="235"/>
        <v>0</v>
      </c>
      <c r="W208" s="20">
        <f t="shared" si="235"/>
        <v>0</v>
      </c>
      <c r="X208" s="20">
        <f t="shared" si="235"/>
        <v>0</v>
      </c>
      <c r="Y208" s="20">
        <f t="shared" si="235"/>
        <v>0</v>
      </c>
      <c r="Z208" s="20">
        <f t="shared" si="235"/>
        <v>0</v>
      </c>
      <c r="AA208" s="20">
        <f t="shared" si="235"/>
        <v>0</v>
      </c>
      <c r="AB208" s="20">
        <f t="shared" si="235"/>
        <v>0</v>
      </c>
      <c r="AC208" s="20">
        <f t="shared" si="235"/>
        <v>0</v>
      </c>
      <c r="AD208" s="20">
        <f t="shared" si="235"/>
        <v>0</v>
      </c>
      <c r="AE208" s="20">
        <f t="shared" si="235"/>
        <v>0</v>
      </c>
      <c r="AF208" s="20">
        <f t="shared" si="235"/>
        <v>0</v>
      </c>
      <c r="AG208" s="20">
        <f t="shared" si="235"/>
        <v>0</v>
      </c>
      <c r="AH208" s="20">
        <f t="shared" si="235"/>
        <v>0</v>
      </c>
      <c r="AI208" s="20">
        <f t="shared" si="235"/>
        <v>0</v>
      </c>
      <c r="AJ208" s="20">
        <f t="shared" si="235"/>
        <v>0</v>
      </c>
      <c r="AK208" s="20">
        <f t="shared" si="235"/>
        <v>0</v>
      </c>
      <c r="AL208" s="20">
        <f t="shared" si="235"/>
        <v>0</v>
      </c>
      <c r="AM208" s="20">
        <f t="shared" si="235"/>
        <v>0</v>
      </c>
      <c r="AN208" s="20">
        <f t="shared" si="235"/>
        <v>0</v>
      </c>
      <c r="AO208" s="20">
        <f t="shared" si="235"/>
        <v>0</v>
      </c>
      <c r="AP208" s="20">
        <f t="shared" si="235"/>
        <v>0</v>
      </c>
      <c r="AQ208" s="20">
        <f t="shared" si="235"/>
        <v>0</v>
      </c>
      <c r="AR208" s="20">
        <f t="shared" si="235"/>
        <v>0</v>
      </c>
      <c r="AS208" s="20">
        <f t="shared" si="235"/>
        <v>0</v>
      </c>
      <c r="AT208" s="20">
        <f t="shared" si="235"/>
        <v>0</v>
      </c>
      <c r="AU208" s="20">
        <f t="shared" si="235"/>
        <v>0</v>
      </c>
      <c r="AV208" s="20">
        <f t="shared" si="235"/>
        <v>0</v>
      </c>
      <c r="AW208" s="20">
        <f t="shared" si="235"/>
        <v>0</v>
      </c>
      <c r="AX208" s="20">
        <f t="shared" si="235"/>
        <v>0</v>
      </c>
      <c r="AY208" s="20">
        <f t="shared" si="235"/>
        <v>0</v>
      </c>
      <c r="AZ208" s="20">
        <f t="shared" si="235"/>
        <v>0</v>
      </c>
      <c r="BA208" s="20">
        <f t="shared" si="235"/>
        <v>0</v>
      </c>
      <c r="BB208" s="20">
        <f t="shared" si="235"/>
        <v>0</v>
      </c>
      <c r="BC208" s="20">
        <f t="shared" si="235"/>
        <v>0</v>
      </c>
      <c r="BD208" s="20">
        <f t="shared" si="235"/>
        <v>0</v>
      </c>
      <c r="BE208" s="20">
        <f t="shared" si="235"/>
        <v>0</v>
      </c>
      <c r="BF208" s="20">
        <f t="shared" si="235"/>
        <v>0</v>
      </c>
      <c r="BG208" s="20">
        <f t="shared" si="235"/>
        <v>0</v>
      </c>
      <c r="BH208" s="20">
        <f t="shared" si="235"/>
        <v>0</v>
      </c>
      <c r="BI208" s="20">
        <f t="shared" si="235"/>
        <v>0</v>
      </c>
      <c r="BJ208" s="20">
        <f t="shared" si="235"/>
        <v>0</v>
      </c>
      <c r="BK208" s="20">
        <f t="shared" si="235"/>
        <v>0</v>
      </c>
      <c r="BL208" s="20">
        <f t="shared" si="235"/>
        <v>0</v>
      </c>
      <c r="BM208" s="20">
        <f t="shared" si="235"/>
        <v>0</v>
      </c>
      <c r="BN208" s="20">
        <f t="shared" si="235"/>
        <v>0</v>
      </c>
      <c r="BO208" s="20">
        <f t="shared" si="235"/>
        <v>0</v>
      </c>
      <c r="BP208" s="20">
        <f t="shared" si="235"/>
        <v>0</v>
      </c>
      <c r="BQ208" s="20">
        <f t="shared" si="235"/>
        <v>0</v>
      </c>
      <c r="BR208" s="20">
        <f t="shared" si="235"/>
        <v>0</v>
      </c>
      <c r="BS208" s="20">
        <f t="shared" si="235"/>
        <v>0</v>
      </c>
      <c r="BT208" s="20">
        <f t="shared" si="235"/>
        <v>0</v>
      </c>
      <c r="BU208" s="20">
        <f t="shared" si="235"/>
        <v>0</v>
      </c>
      <c r="BV208" s="20">
        <f t="shared" si="235"/>
        <v>0</v>
      </c>
      <c r="BW208" s="20">
        <f t="shared" si="235"/>
        <v>0</v>
      </c>
      <c r="BX208" s="20">
        <f t="shared" ref="BX208:DQ208" si="236">BX139</f>
        <v>0</v>
      </c>
      <c r="BY208" s="20">
        <f t="shared" si="236"/>
        <v>0</v>
      </c>
      <c r="BZ208" s="20">
        <f t="shared" si="236"/>
        <v>0</v>
      </c>
      <c r="CA208" s="20">
        <f t="shared" si="236"/>
        <v>0</v>
      </c>
      <c r="CB208" s="20">
        <f t="shared" si="236"/>
        <v>0</v>
      </c>
      <c r="CC208" s="20">
        <f t="shared" si="236"/>
        <v>0</v>
      </c>
      <c r="CD208" s="20">
        <f t="shared" si="236"/>
        <v>0</v>
      </c>
      <c r="CE208" s="20">
        <f t="shared" si="236"/>
        <v>0</v>
      </c>
      <c r="CF208" s="20">
        <f t="shared" si="236"/>
        <v>0</v>
      </c>
      <c r="CG208" s="20">
        <f t="shared" si="236"/>
        <v>0</v>
      </c>
      <c r="CH208" s="20">
        <f t="shared" si="236"/>
        <v>0</v>
      </c>
      <c r="CI208" s="20">
        <f t="shared" si="236"/>
        <v>0</v>
      </c>
      <c r="CJ208" s="20">
        <f t="shared" si="236"/>
        <v>0</v>
      </c>
      <c r="CK208" s="20">
        <f t="shared" si="236"/>
        <v>0</v>
      </c>
      <c r="CL208" s="20">
        <f t="shared" si="236"/>
        <v>0</v>
      </c>
      <c r="CM208" s="20">
        <f t="shared" si="236"/>
        <v>0</v>
      </c>
      <c r="CN208" s="20">
        <f t="shared" si="236"/>
        <v>0</v>
      </c>
      <c r="CO208" s="20">
        <f t="shared" si="236"/>
        <v>0</v>
      </c>
      <c r="CP208" s="20">
        <f t="shared" si="236"/>
        <v>0</v>
      </c>
      <c r="CQ208" s="20">
        <f t="shared" si="236"/>
        <v>0</v>
      </c>
      <c r="CR208" s="20">
        <f t="shared" si="236"/>
        <v>0</v>
      </c>
      <c r="CS208" s="20">
        <f t="shared" si="236"/>
        <v>0</v>
      </c>
      <c r="CT208" s="20">
        <f t="shared" si="236"/>
        <v>0</v>
      </c>
      <c r="CU208" s="20">
        <f t="shared" si="236"/>
        <v>0</v>
      </c>
      <c r="CV208" s="20">
        <f t="shared" si="236"/>
        <v>0</v>
      </c>
      <c r="CW208" s="20">
        <f t="shared" si="236"/>
        <v>0</v>
      </c>
      <c r="CX208" s="20">
        <f t="shared" si="236"/>
        <v>0</v>
      </c>
      <c r="CY208" s="20">
        <f t="shared" si="236"/>
        <v>0</v>
      </c>
      <c r="CZ208" s="20">
        <f t="shared" si="236"/>
        <v>0</v>
      </c>
      <c r="DA208" s="20">
        <f t="shared" si="236"/>
        <v>0</v>
      </c>
      <c r="DB208" s="20">
        <f t="shared" si="236"/>
        <v>0</v>
      </c>
      <c r="DC208" s="20">
        <f t="shared" si="236"/>
        <v>0</v>
      </c>
      <c r="DD208" s="20">
        <f t="shared" si="236"/>
        <v>0</v>
      </c>
      <c r="DE208" s="20">
        <f t="shared" si="236"/>
        <v>0</v>
      </c>
      <c r="DF208" s="20">
        <f t="shared" si="236"/>
        <v>0</v>
      </c>
      <c r="DG208" s="20">
        <f t="shared" si="236"/>
        <v>0</v>
      </c>
      <c r="DH208" s="20">
        <f t="shared" si="236"/>
        <v>0</v>
      </c>
      <c r="DI208" s="20">
        <f t="shared" si="236"/>
        <v>0</v>
      </c>
      <c r="DJ208" s="20">
        <f t="shared" si="236"/>
        <v>0</v>
      </c>
      <c r="DK208" s="20">
        <f t="shared" si="236"/>
        <v>0</v>
      </c>
      <c r="DL208" s="20">
        <f t="shared" si="236"/>
        <v>0</v>
      </c>
      <c r="DM208" s="20">
        <f t="shared" si="236"/>
        <v>0</v>
      </c>
      <c r="DN208" s="20">
        <f t="shared" si="236"/>
        <v>0</v>
      </c>
      <c r="DO208" s="20">
        <f t="shared" si="236"/>
        <v>0</v>
      </c>
      <c r="DP208" s="20">
        <f t="shared" si="236"/>
        <v>0</v>
      </c>
      <c r="DQ208" s="20">
        <f t="shared" si="236"/>
        <v>0</v>
      </c>
    </row>
    <row r="209" spans="2:1006" x14ac:dyDescent="0.35">
      <c r="E209" s="20" t="s">
        <v>403</v>
      </c>
      <c r="K209" s="20">
        <f>K174</f>
        <v>0</v>
      </c>
      <c r="L209" s="20">
        <f t="shared" ref="L209:BW209" si="237">L174</f>
        <v>0</v>
      </c>
      <c r="M209" s="20">
        <f t="shared" si="237"/>
        <v>0</v>
      </c>
      <c r="N209" s="20">
        <f t="shared" si="237"/>
        <v>0</v>
      </c>
      <c r="O209" s="20">
        <f t="shared" si="237"/>
        <v>0</v>
      </c>
      <c r="P209" s="20">
        <f t="shared" si="237"/>
        <v>0</v>
      </c>
      <c r="Q209" s="20">
        <f t="shared" si="237"/>
        <v>0</v>
      </c>
      <c r="R209" s="20">
        <f t="shared" si="237"/>
        <v>0</v>
      </c>
      <c r="S209" s="20">
        <f t="shared" si="237"/>
        <v>0</v>
      </c>
      <c r="T209" s="20">
        <f t="shared" si="237"/>
        <v>0</v>
      </c>
      <c r="U209" s="20">
        <f t="shared" si="237"/>
        <v>0</v>
      </c>
      <c r="V209" s="20">
        <f t="shared" si="237"/>
        <v>0</v>
      </c>
      <c r="W209" s="20">
        <f t="shared" si="237"/>
        <v>0</v>
      </c>
      <c r="X209" s="20">
        <f t="shared" si="237"/>
        <v>0</v>
      </c>
      <c r="Y209" s="20">
        <f t="shared" si="237"/>
        <v>0</v>
      </c>
      <c r="Z209" s="20">
        <f t="shared" si="237"/>
        <v>0</v>
      </c>
      <c r="AA209" s="20">
        <f t="shared" si="237"/>
        <v>0</v>
      </c>
      <c r="AB209" s="20">
        <f t="shared" si="237"/>
        <v>0</v>
      </c>
      <c r="AC209" s="20">
        <f t="shared" si="237"/>
        <v>0</v>
      </c>
      <c r="AD209" s="20">
        <f t="shared" si="237"/>
        <v>0</v>
      </c>
      <c r="AE209" s="20">
        <f t="shared" si="237"/>
        <v>0</v>
      </c>
      <c r="AF209" s="20">
        <f t="shared" si="237"/>
        <v>0</v>
      </c>
      <c r="AG209" s="20">
        <f t="shared" si="237"/>
        <v>0</v>
      </c>
      <c r="AH209" s="20">
        <f t="shared" si="237"/>
        <v>0</v>
      </c>
      <c r="AI209" s="20">
        <f t="shared" si="237"/>
        <v>0</v>
      </c>
      <c r="AJ209" s="20">
        <f t="shared" si="237"/>
        <v>0</v>
      </c>
      <c r="AK209" s="20">
        <f t="shared" si="237"/>
        <v>0</v>
      </c>
      <c r="AL209" s="20">
        <f t="shared" si="237"/>
        <v>0</v>
      </c>
      <c r="AM209" s="20">
        <f t="shared" si="237"/>
        <v>0</v>
      </c>
      <c r="AN209" s="20">
        <f t="shared" si="237"/>
        <v>0</v>
      </c>
      <c r="AO209" s="20">
        <f t="shared" si="237"/>
        <v>0</v>
      </c>
      <c r="AP209" s="20">
        <f t="shared" si="237"/>
        <v>0</v>
      </c>
      <c r="AQ209" s="20">
        <f t="shared" si="237"/>
        <v>0</v>
      </c>
      <c r="AR209" s="20">
        <f t="shared" si="237"/>
        <v>0</v>
      </c>
      <c r="AS209" s="20">
        <f t="shared" si="237"/>
        <v>0</v>
      </c>
      <c r="AT209" s="20">
        <f t="shared" si="237"/>
        <v>0</v>
      </c>
      <c r="AU209" s="20">
        <f t="shared" si="237"/>
        <v>0</v>
      </c>
      <c r="AV209" s="20">
        <f t="shared" si="237"/>
        <v>0</v>
      </c>
      <c r="AW209" s="20">
        <f t="shared" si="237"/>
        <v>0</v>
      </c>
      <c r="AX209" s="20">
        <f t="shared" si="237"/>
        <v>0</v>
      </c>
      <c r="AY209" s="20">
        <f t="shared" si="237"/>
        <v>0</v>
      </c>
      <c r="AZ209" s="20">
        <f t="shared" si="237"/>
        <v>0</v>
      </c>
      <c r="BA209" s="20">
        <f t="shared" si="237"/>
        <v>0</v>
      </c>
      <c r="BB209" s="20">
        <f t="shared" si="237"/>
        <v>0</v>
      </c>
      <c r="BC209" s="20">
        <f t="shared" si="237"/>
        <v>0</v>
      </c>
      <c r="BD209" s="20">
        <f t="shared" si="237"/>
        <v>0</v>
      </c>
      <c r="BE209" s="20">
        <f t="shared" si="237"/>
        <v>0</v>
      </c>
      <c r="BF209" s="20">
        <f t="shared" si="237"/>
        <v>0</v>
      </c>
      <c r="BG209" s="20">
        <f t="shared" si="237"/>
        <v>0</v>
      </c>
      <c r="BH209" s="20">
        <f t="shared" si="237"/>
        <v>0</v>
      </c>
      <c r="BI209" s="20">
        <f t="shared" si="237"/>
        <v>0</v>
      </c>
      <c r="BJ209" s="20">
        <f t="shared" si="237"/>
        <v>0</v>
      </c>
      <c r="BK209" s="20">
        <f t="shared" si="237"/>
        <v>0</v>
      </c>
      <c r="BL209" s="20">
        <f t="shared" si="237"/>
        <v>0</v>
      </c>
      <c r="BM209" s="20">
        <f t="shared" si="237"/>
        <v>0</v>
      </c>
      <c r="BN209" s="20">
        <f t="shared" si="237"/>
        <v>0</v>
      </c>
      <c r="BO209" s="20">
        <f t="shared" si="237"/>
        <v>0</v>
      </c>
      <c r="BP209" s="20">
        <f t="shared" si="237"/>
        <v>0</v>
      </c>
      <c r="BQ209" s="20">
        <f t="shared" si="237"/>
        <v>0</v>
      </c>
      <c r="BR209" s="20">
        <f t="shared" si="237"/>
        <v>0</v>
      </c>
      <c r="BS209" s="20">
        <f t="shared" si="237"/>
        <v>0</v>
      </c>
      <c r="BT209" s="20">
        <f t="shared" si="237"/>
        <v>0</v>
      </c>
      <c r="BU209" s="20">
        <f t="shared" si="237"/>
        <v>0</v>
      </c>
      <c r="BV209" s="20">
        <f t="shared" si="237"/>
        <v>0</v>
      </c>
      <c r="BW209" s="20">
        <f t="shared" si="237"/>
        <v>0</v>
      </c>
      <c r="BX209" s="20">
        <f t="shared" ref="BX209:DQ209" si="238">BX174</f>
        <v>0</v>
      </c>
      <c r="BY209" s="20">
        <f t="shared" si="238"/>
        <v>0</v>
      </c>
      <c r="BZ209" s="20">
        <f t="shared" si="238"/>
        <v>0</v>
      </c>
      <c r="CA209" s="20">
        <f t="shared" si="238"/>
        <v>0</v>
      </c>
      <c r="CB209" s="20">
        <f t="shared" si="238"/>
        <v>0</v>
      </c>
      <c r="CC209" s="20">
        <f t="shared" si="238"/>
        <v>0</v>
      </c>
      <c r="CD209" s="20">
        <f t="shared" si="238"/>
        <v>0</v>
      </c>
      <c r="CE209" s="20">
        <f t="shared" si="238"/>
        <v>0</v>
      </c>
      <c r="CF209" s="20">
        <f t="shared" si="238"/>
        <v>0</v>
      </c>
      <c r="CG209" s="20">
        <f t="shared" si="238"/>
        <v>0</v>
      </c>
      <c r="CH209" s="20">
        <f t="shared" si="238"/>
        <v>0</v>
      </c>
      <c r="CI209" s="20">
        <f t="shared" si="238"/>
        <v>0</v>
      </c>
      <c r="CJ209" s="20">
        <f t="shared" si="238"/>
        <v>0</v>
      </c>
      <c r="CK209" s="20">
        <f t="shared" si="238"/>
        <v>0</v>
      </c>
      <c r="CL209" s="20">
        <f t="shared" si="238"/>
        <v>0</v>
      </c>
      <c r="CM209" s="20">
        <f t="shared" si="238"/>
        <v>0</v>
      </c>
      <c r="CN209" s="20">
        <f t="shared" si="238"/>
        <v>0</v>
      </c>
      <c r="CO209" s="20">
        <f t="shared" si="238"/>
        <v>0</v>
      </c>
      <c r="CP209" s="20">
        <f t="shared" si="238"/>
        <v>0</v>
      </c>
      <c r="CQ209" s="20">
        <f t="shared" si="238"/>
        <v>0</v>
      </c>
      <c r="CR209" s="20">
        <f t="shared" si="238"/>
        <v>0</v>
      </c>
      <c r="CS209" s="20">
        <f t="shared" si="238"/>
        <v>0</v>
      </c>
      <c r="CT209" s="20">
        <f t="shared" si="238"/>
        <v>0</v>
      </c>
      <c r="CU209" s="20">
        <f t="shared" si="238"/>
        <v>0</v>
      </c>
      <c r="CV209" s="20">
        <f t="shared" si="238"/>
        <v>0</v>
      </c>
      <c r="CW209" s="20">
        <f t="shared" si="238"/>
        <v>0</v>
      </c>
      <c r="CX209" s="20">
        <f t="shared" si="238"/>
        <v>0</v>
      </c>
      <c r="CY209" s="20">
        <f t="shared" si="238"/>
        <v>0</v>
      </c>
      <c r="CZ209" s="20">
        <f t="shared" si="238"/>
        <v>0</v>
      </c>
      <c r="DA209" s="20">
        <f t="shared" si="238"/>
        <v>0</v>
      </c>
      <c r="DB209" s="20">
        <f t="shared" si="238"/>
        <v>0</v>
      </c>
      <c r="DC209" s="20">
        <f t="shared" si="238"/>
        <v>0</v>
      </c>
      <c r="DD209" s="20">
        <f t="shared" si="238"/>
        <v>0</v>
      </c>
      <c r="DE209" s="20">
        <f t="shared" si="238"/>
        <v>0</v>
      </c>
      <c r="DF209" s="20">
        <f t="shared" si="238"/>
        <v>0</v>
      </c>
      <c r="DG209" s="20">
        <f t="shared" si="238"/>
        <v>0</v>
      </c>
      <c r="DH209" s="20">
        <f t="shared" si="238"/>
        <v>0</v>
      </c>
      <c r="DI209" s="20">
        <f t="shared" si="238"/>
        <v>0</v>
      </c>
      <c r="DJ209" s="20">
        <f t="shared" si="238"/>
        <v>0</v>
      </c>
      <c r="DK209" s="20">
        <f t="shared" si="238"/>
        <v>0</v>
      </c>
      <c r="DL209" s="20">
        <f t="shared" si="238"/>
        <v>0</v>
      </c>
      <c r="DM209" s="20">
        <f t="shared" si="238"/>
        <v>0</v>
      </c>
      <c r="DN209" s="20">
        <f t="shared" si="238"/>
        <v>0</v>
      </c>
      <c r="DO209" s="20">
        <f t="shared" si="238"/>
        <v>0</v>
      </c>
      <c r="DP209" s="20">
        <f t="shared" si="238"/>
        <v>0</v>
      </c>
      <c r="DQ209" s="20">
        <f t="shared" si="238"/>
        <v>0</v>
      </c>
    </row>
    <row r="210" spans="2:1006" x14ac:dyDescent="0.35">
      <c r="E210" s="20" t="s">
        <v>246</v>
      </c>
      <c r="K210" s="20">
        <f>K176</f>
        <v>0</v>
      </c>
      <c r="L210" s="20">
        <f t="shared" ref="L210:BW210" si="239">L176</f>
        <v>0</v>
      </c>
      <c r="M210" s="20">
        <f t="shared" si="239"/>
        <v>0</v>
      </c>
      <c r="N210" s="20">
        <f t="shared" si="239"/>
        <v>0</v>
      </c>
      <c r="O210" s="20">
        <f t="shared" si="239"/>
        <v>0</v>
      </c>
      <c r="P210" s="20">
        <f t="shared" si="239"/>
        <v>0</v>
      </c>
      <c r="Q210" s="20">
        <f t="shared" si="239"/>
        <v>0</v>
      </c>
      <c r="R210" s="20">
        <f t="shared" si="239"/>
        <v>0</v>
      </c>
      <c r="S210" s="20">
        <f t="shared" si="239"/>
        <v>0</v>
      </c>
      <c r="T210" s="20">
        <f t="shared" si="239"/>
        <v>0</v>
      </c>
      <c r="U210" s="20">
        <f t="shared" si="239"/>
        <v>0</v>
      </c>
      <c r="V210" s="20">
        <f t="shared" si="239"/>
        <v>0</v>
      </c>
      <c r="W210" s="20">
        <f t="shared" si="239"/>
        <v>0</v>
      </c>
      <c r="X210" s="20">
        <f t="shared" si="239"/>
        <v>0</v>
      </c>
      <c r="Y210" s="20">
        <f t="shared" si="239"/>
        <v>0</v>
      </c>
      <c r="Z210" s="20">
        <f t="shared" si="239"/>
        <v>0</v>
      </c>
      <c r="AA210" s="20">
        <f t="shared" si="239"/>
        <v>0</v>
      </c>
      <c r="AB210" s="20">
        <f t="shared" si="239"/>
        <v>0</v>
      </c>
      <c r="AC210" s="20">
        <f t="shared" si="239"/>
        <v>0</v>
      </c>
      <c r="AD210" s="20">
        <f t="shared" si="239"/>
        <v>0</v>
      </c>
      <c r="AE210" s="20">
        <f t="shared" si="239"/>
        <v>0</v>
      </c>
      <c r="AF210" s="20">
        <f t="shared" si="239"/>
        <v>0</v>
      </c>
      <c r="AG210" s="20">
        <f t="shared" si="239"/>
        <v>0</v>
      </c>
      <c r="AH210" s="20">
        <f t="shared" si="239"/>
        <v>0</v>
      </c>
      <c r="AI210" s="20">
        <f t="shared" si="239"/>
        <v>0</v>
      </c>
      <c r="AJ210" s="20">
        <f t="shared" si="239"/>
        <v>0</v>
      </c>
      <c r="AK210" s="20">
        <f t="shared" si="239"/>
        <v>0</v>
      </c>
      <c r="AL210" s="20">
        <f t="shared" si="239"/>
        <v>0</v>
      </c>
      <c r="AM210" s="20">
        <f t="shared" si="239"/>
        <v>0</v>
      </c>
      <c r="AN210" s="20">
        <f t="shared" si="239"/>
        <v>0</v>
      </c>
      <c r="AO210" s="20">
        <f t="shared" si="239"/>
        <v>0</v>
      </c>
      <c r="AP210" s="20">
        <f t="shared" si="239"/>
        <v>0</v>
      </c>
      <c r="AQ210" s="20">
        <f t="shared" si="239"/>
        <v>0</v>
      </c>
      <c r="AR210" s="20">
        <f t="shared" si="239"/>
        <v>0</v>
      </c>
      <c r="AS210" s="20">
        <f t="shared" si="239"/>
        <v>0</v>
      </c>
      <c r="AT210" s="20">
        <f t="shared" si="239"/>
        <v>0</v>
      </c>
      <c r="AU210" s="20">
        <f t="shared" si="239"/>
        <v>0</v>
      </c>
      <c r="AV210" s="20">
        <f t="shared" si="239"/>
        <v>0</v>
      </c>
      <c r="AW210" s="20">
        <f t="shared" si="239"/>
        <v>0</v>
      </c>
      <c r="AX210" s="20">
        <f t="shared" si="239"/>
        <v>0</v>
      </c>
      <c r="AY210" s="20">
        <f t="shared" si="239"/>
        <v>0</v>
      </c>
      <c r="AZ210" s="20">
        <f t="shared" si="239"/>
        <v>0</v>
      </c>
      <c r="BA210" s="20">
        <f t="shared" si="239"/>
        <v>0</v>
      </c>
      <c r="BB210" s="20">
        <f t="shared" si="239"/>
        <v>0</v>
      </c>
      <c r="BC210" s="20">
        <f t="shared" si="239"/>
        <v>0</v>
      </c>
      <c r="BD210" s="20">
        <f t="shared" si="239"/>
        <v>0</v>
      </c>
      <c r="BE210" s="20">
        <f t="shared" si="239"/>
        <v>0</v>
      </c>
      <c r="BF210" s="20">
        <f t="shared" si="239"/>
        <v>0</v>
      </c>
      <c r="BG210" s="20">
        <f t="shared" si="239"/>
        <v>0</v>
      </c>
      <c r="BH210" s="20">
        <f t="shared" si="239"/>
        <v>0</v>
      </c>
      <c r="BI210" s="20">
        <f t="shared" si="239"/>
        <v>0</v>
      </c>
      <c r="BJ210" s="20">
        <f t="shared" si="239"/>
        <v>0</v>
      </c>
      <c r="BK210" s="20">
        <f t="shared" si="239"/>
        <v>0</v>
      </c>
      <c r="BL210" s="20">
        <f t="shared" si="239"/>
        <v>0</v>
      </c>
      <c r="BM210" s="20">
        <f t="shared" si="239"/>
        <v>0</v>
      </c>
      <c r="BN210" s="20">
        <f t="shared" si="239"/>
        <v>0</v>
      </c>
      <c r="BO210" s="20">
        <f t="shared" si="239"/>
        <v>0</v>
      </c>
      <c r="BP210" s="20">
        <f t="shared" si="239"/>
        <v>0</v>
      </c>
      <c r="BQ210" s="20">
        <f t="shared" si="239"/>
        <v>0</v>
      </c>
      <c r="BR210" s="20">
        <f t="shared" si="239"/>
        <v>0</v>
      </c>
      <c r="BS210" s="20">
        <f t="shared" si="239"/>
        <v>0</v>
      </c>
      <c r="BT210" s="20">
        <f t="shared" si="239"/>
        <v>0</v>
      </c>
      <c r="BU210" s="20">
        <f t="shared" si="239"/>
        <v>0</v>
      </c>
      <c r="BV210" s="20">
        <f t="shared" si="239"/>
        <v>0</v>
      </c>
      <c r="BW210" s="20">
        <f t="shared" si="239"/>
        <v>0</v>
      </c>
      <c r="BX210" s="20">
        <f t="shared" ref="BX210:DQ210" si="240">BX176</f>
        <v>0</v>
      </c>
      <c r="BY210" s="20">
        <f t="shared" si="240"/>
        <v>0</v>
      </c>
      <c r="BZ210" s="20">
        <f t="shared" si="240"/>
        <v>0</v>
      </c>
      <c r="CA210" s="20">
        <f t="shared" si="240"/>
        <v>0</v>
      </c>
      <c r="CB210" s="20">
        <f t="shared" si="240"/>
        <v>0</v>
      </c>
      <c r="CC210" s="20">
        <f t="shared" si="240"/>
        <v>0</v>
      </c>
      <c r="CD210" s="20">
        <f t="shared" si="240"/>
        <v>0</v>
      </c>
      <c r="CE210" s="20">
        <f t="shared" si="240"/>
        <v>0</v>
      </c>
      <c r="CF210" s="20">
        <f t="shared" si="240"/>
        <v>0</v>
      </c>
      <c r="CG210" s="20">
        <f t="shared" si="240"/>
        <v>0</v>
      </c>
      <c r="CH210" s="20">
        <f t="shared" si="240"/>
        <v>0</v>
      </c>
      <c r="CI210" s="20">
        <f t="shared" si="240"/>
        <v>0</v>
      </c>
      <c r="CJ210" s="20">
        <f t="shared" si="240"/>
        <v>0</v>
      </c>
      <c r="CK210" s="20">
        <f t="shared" si="240"/>
        <v>0</v>
      </c>
      <c r="CL210" s="20">
        <f t="shared" si="240"/>
        <v>0</v>
      </c>
      <c r="CM210" s="20">
        <f t="shared" si="240"/>
        <v>0</v>
      </c>
      <c r="CN210" s="20">
        <f t="shared" si="240"/>
        <v>0</v>
      </c>
      <c r="CO210" s="20">
        <f t="shared" si="240"/>
        <v>0</v>
      </c>
      <c r="CP210" s="20">
        <f t="shared" si="240"/>
        <v>0</v>
      </c>
      <c r="CQ210" s="20">
        <f t="shared" si="240"/>
        <v>0</v>
      </c>
      <c r="CR210" s="20">
        <f t="shared" si="240"/>
        <v>0</v>
      </c>
      <c r="CS210" s="20">
        <f t="shared" si="240"/>
        <v>0</v>
      </c>
      <c r="CT210" s="20">
        <f t="shared" si="240"/>
        <v>0</v>
      </c>
      <c r="CU210" s="20">
        <f t="shared" si="240"/>
        <v>0</v>
      </c>
      <c r="CV210" s="20">
        <f t="shared" si="240"/>
        <v>0</v>
      </c>
      <c r="CW210" s="20">
        <f t="shared" si="240"/>
        <v>0</v>
      </c>
      <c r="CX210" s="20">
        <f t="shared" si="240"/>
        <v>0</v>
      </c>
      <c r="CY210" s="20">
        <f t="shared" si="240"/>
        <v>0</v>
      </c>
      <c r="CZ210" s="20">
        <f t="shared" si="240"/>
        <v>0</v>
      </c>
      <c r="DA210" s="20">
        <f t="shared" si="240"/>
        <v>0</v>
      </c>
      <c r="DB210" s="20">
        <f t="shared" si="240"/>
        <v>0</v>
      </c>
      <c r="DC210" s="20">
        <f t="shared" si="240"/>
        <v>0</v>
      </c>
      <c r="DD210" s="20">
        <f t="shared" si="240"/>
        <v>0</v>
      </c>
      <c r="DE210" s="20">
        <f t="shared" si="240"/>
        <v>0</v>
      </c>
      <c r="DF210" s="20">
        <f t="shared" si="240"/>
        <v>0</v>
      </c>
      <c r="DG210" s="20">
        <f t="shared" si="240"/>
        <v>0</v>
      </c>
      <c r="DH210" s="20">
        <f t="shared" si="240"/>
        <v>0</v>
      </c>
      <c r="DI210" s="20">
        <f t="shared" si="240"/>
        <v>0</v>
      </c>
      <c r="DJ210" s="20">
        <f t="shared" si="240"/>
        <v>0</v>
      </c>
      <c r="DK210" s="20">
        <f t="shared" si="240"/>
        <v>0</v>
      </c>
      <c r="DL210" s="20">
        <f t="shared" si="240"/>
        <v>0</v>
      </c>
      <c r="DM210" s="20">
        <f t="shared" si="240"/>
        <v>0</v>
      </c>
      <c r="DN210" s="20">
        <f t="shared" si="240"/>
        <v>0</v>
      </c>
      <c r="DO210" s="20">
        <f t="shared" si="240"/>
        <v>0</v>
      </c>
      <c r="DP210" s="20">
        <f t="shared" si="240"/>
        <v>0</v>
      </c>
      <c r="DQ210" s="20">
        <f t="shared" si="240"/>
        <v>0</v>
      </c>
    </row>
    <row r="212" spans="2:1006" s="27" customFormat="1" x14ac:dyDescent="0.35">
      <c r="K212" s="27" t="e">
        <f>K205</f>
        <v>#N/A</v>
      </c>
      <c r="L212" s="27" t="e">
        <f t="shared" ref="L212:BW212" si="241">L205</f>
        <v>#N/A</v>
      </c>
      <c r="M212" s="27" t="e">
        <f t="shared" si="241"/>
        <v>#N/A</v>
      </c>
      <c r="N212" s="27" t="e">
        <f t="shared" si="241"/>
        <v>#N/A</v>
      </c>
      <c r="O212" s="27" t="e">
        <f t="shared" si="241"/>
        <v>#N/A</v>
      </c>
      <c r="P212" s="27" t="e">
        <f t="shared" si="241"/>
        <v>#N/A</v>
      </c>
      <c r="Q212" s="27" t="e">
        <f t="shared" si="241"/>
        <v>#N/A</v>
      </c>
      <c r="R212" s="27" t="e">
        <f t="shared" si="241"/>
        <v>#N/A</v>
      </c>
      <c r="S212" s="27" t="e">
        <f t="shared" si="241"/>
        <v>#N/A</v>
      </c>
      <c r="T212" s="27">
        <f t="shared" si="241"/>
        <v>42522</v>
      </c>
      <c r="U212" s="27">
        <f t="shared" si="241"/>
        <v>42614</v>
      </c>
      <c r="V212" s="27">
        <f t="shared" si="241"/>
        <v>42705</v>
      </c>
      <c r="W212" s="27">
        <f t="shared" si="241"/>
        <v>42795</v>
      </c>
      <c r="X212" s="27">
        <f t="shared" si="241"/>
        <v>42887</v>
      </c>
      <c r="Y212" s="27">
        <f t="shared" si="241"/>
        <v>42979</v>
      </c>
      <c r="Z212" s="27">
        <f t="shared" si="241"/>
        <v>43070</v>
      </c>
      <c r="AA212" s="27">
        <f t="shared" si="241"/>
        <v>43160</v>
      </c>
      <c r="AB212" s="27">
        <f t="shared" si="241"/>
        <v>43252</v>
      </c>
      <c r="AC212" s="27">
        <f t="shared" si="241"/>
        <v>43344</v>
      </c>
      <c r="AD212" s="27">
        <f t="shared" si="241"/>
        <v>43435</v>
      </c>
      <c r="AE212" s="27">
        <f t="shared" si="241"/>
        <v>43525</v>
      </c>
      <c r="AF212" s="27">
        <f t="shared" si="241"/>
        <v>43617</v>
      </c>
      <c r="AG212" s="27">
        <f t="shared" si="241"/>
        <v>43709</v>
      </c>
      <c r="AH212" s="27">
        <f t="shared" si="241"/>
        <v>43800</v>
      </c>
      <c r="AI212" s="27">
        <f t="shared" si="241"/>
        <v>43891</v>
      </c>
      <c r="AJ212" s="27">
        <f t="shared" si="241"/>
        <v>43983</v>
      </c>
      <c r="AK212" s="27">
        <f t="shared" si="241"/>
        <v>44075</v>
      </c>
      <c r="AL212" s="27">
        <f t="shared" si="241"/>
        <v>44166</v>
      </c>
      <c r="AM212" s="27">
        <f t="shared" si="241"/>
        <v>44256</v>
      </c>
      <c r="AN212" s="27">
        <f t="shared" si="241"/>
        <v>44348</v>
      </c>
      <c r="AO212" s="27">
        <f t="shared" si="241"/>
        <v>44440</v>
      </c>
      <c r="AP212" s="27">
        <f t="shared" si="241"/>
        <v>44531</v>
      </c>
      <c r="AQ212" s="27">
        <f t="shared" si="241"/>
        <v>44621</v>
      </c>
      <c r="AR212" s="27">
        <f t="shared" si="241"/>
        <v>44713</v>
      </c>
      <c r="AS212" s="27">
        <f t="shared" si="241"/>
        <v>44805</v>
      </c>
      <c r="AT212" s="27">
        <f t="shared" si="241"/>
        <v>44896</v>
      </c>
      <c r="AU212" s="27">
        <f t="shared" si="241"/>
        <v>44986</v>
      </c>
      <c r="AV212" s="27">
        <f t="shared" si="241"/>
        <v>45078</v>
      </c>
      <c r="AW212" s="27">
        <f t="shared" si="241"/>
        <v>45170</v>
      </c>
      <c r="AX212" s="27">
        <f t="shared" si="241"/>
        <v>45261</v>
      </c>
      <c r="AY212" s="27">
        <f t="shared" si="241"/>
        <v>45352</v>
      </c>
      <c r="AZ212" s="27">
        <f t="shared" si="241"/>
        <v>45444</v>
      </c>
      <c r="BA212" s="27">
        <f t="shared" si="241"/>
        <v>45536</v>
      </c>
      <c r="BB212" s="27">
        <f t="shared" si="241"/>
        <v>45627</v>
      </c>
      <c r="BC212" s="27">
        <f t="shared" si="241"/>
        <v>45717</v>
      </c>
      <c r="BD212" s="27">
        <f t="shared" si="241"/>
        <v>45809</v>
      </c>
      <c r="BE212" s="27">
        <f t="shared" si="241"/>
        <v>45901</v>
      </c>
      <c r="BF212" s="27">
        <f t="shared" si="241"/>
        <v>45992</v>
      </c>
      <c r="BG212" s="27">
        <f t="shared" si="241"/>
        <v>46082</v>
      </c>
      <c r="BH212" s="27">
        <f t="shared" si="241"/>
        <v>46174</v>
      </c>
      <c r="BI212" s="27">
        <f t="shared" si="241"/>
        <v>46266</v>
      </c>
      <c r="BJ212" s="27">
        <f t="shared" si="241"/>
        <v>46357</v>
      </c>
      <c r="BK212" s="27">
        <f t="shared" si="241"/>
        <v>46447</v>
      </c>
      <c r="BL212" s="27">
        <f t="shared" si="241"/>
        <v>46539</v>
      </c>
      <c r="BM212" s="27">
        <f t="shared" si="241"/>
        <v>46631</v>
      </c>
      <c r="BN212" s="27">
        <f t="shared" si="241"/>
        <v>46722</v>
      </c>
      <c r="BO212" s="27">
        <f t="shared" si="241"/>
        <v>46813</v>
      </c>
      <c r="BP212" s="27">
        <f t="shared" si="241"/>
        <v>46905</v>
      </c>
      <c r="BQ212" s="27">
        <f t="shared" si="241"/>
        <v>46997</v>
      </c>
      <c r="BR212" s="27">
        <f t="shared" si="241"/>
        <v>47088</v>
      </c>
      <c r="BS212" s="27">
        <f t="shared" si="241"/>
        <v>47178</v>
      </c>
      <c r="BT212" s="27">
        <f t="shared" si="241"/>
        <v>47270</v>
      </c>
      <c r="BU212" s="27">
        <f t="shared" si="241"/>
        <v>47362</v>
      </c>
      <c r="BV212" s="27">
        <f t="shared" si="241"/>
        <v>47453</v>
      </c>
      <c r="BW212" s="27">
        <f t="shared" si="241"/>
        <v>47543</v>
      </c>
      <c r="BX212" s="27">
        <f t="shared" ref="BX212:DQ212" si="242">BX205</f>
        <v>47635</v>
      </c>
      <c r="BY212" s="27">
        <f t="shared" si="242"/>
        <v>47727</v>
      </c>
      <c r="BZ212" s="27">
        <f t="shared" si="242"/>
        <v>47818</v>
      </c>
      <c r="CA212" s="27">
        <f t="shared" si="242"/>
        <v>47908</v>
      </c>
      <c r="CB212" s="27">
        <f t="shared" si="242"/>
        <v>48000</v>
      </c>
      <c r="CC212" s="27">
        <f t="shared" si="242"/>
        <v>48092</v>
      </c>
      <c r="CD212" s="27">
        <f t="shared" si="242"/>
        <v>48183</v>
      </c>
      <c r="CE212" s="27">
        <f t="shared" si="242"/>
        <v>48274</v>
      </c>
      <c r="CF212" s="27">
        <f t="shared" si="242"/>
        <v>48366</v>
      </c>
      <c r="CG212" s="27">
        <f t="shared" si="242"/>
        <v>48458</v>
      </c>
      <c r="CH212" s="27">
        <f t="shared" si="242"/>
        <v>48549</v>
      </c>
      <c r="CI212" s="27">
        <f t="shared" si="242"/>
        <v>48639</v>
      </c>
      <c r="CJ212" s="27">
        <f t="shared" si="242"/>
        <v>48731</v>
      </c>
      <c r="CK212" s="27">
        <f t="shared" si="242"/>
        <v>48823</v>
      </c>
      <c r="CL212" s="27">
        <f t="shared" si="242"/>
        <v>48914</v>
      </c>
      <c r="CM212" s="27">
        <f t="shared" si="242"/>
        <v>49004</v>
      </c>
      <c r="CN212" s="27">
        <f t="shared" si="242"/>
        <v>49096</v>
      </c>
      <c r="CO212" s="27">
        <f t="shared" si="242"/>
        <v>49188</v>
      </c>
      <c r="CP212" s="27">
        <f t="shared" si="242"/>
        <v>49279</v>
      </c>
      <c r="CQ212" s="27">
        <f t="shared" si="242"/>
        <v>49369</v>
      </c>
      <c r="CR212" s="27">
        <f t="shared" si="242"/>
        <v>49461</v>
      </c>
      <c r="CS212" s="27">
        <f t="shared" si="242"/>
        <v>49553</v>
      </c>
      <c r="CT212" s="27">
        <f t="shared" si="242"/>
        <v>49644</v>
      </c>
      <c r="CU212" s="27">
        <f t="shared" si="242"/>
        <v>49735</v>
      </c>
      <c r="CV212" s="27">
        <f t="shared" si="242"/>
        <v>49827</v>
      </c>
      <c r="CW212" s="27">
        <f t="shared" si="242"/>
        <v>49919</v>
      </c>
      <c r="CX212" s="27">
        <f t="shared" si="242"/>
        <v>50010</v>
      </c>
      <c r="CY212" s="27">
        <f t="shared" si="242"/>
        <v>50100</v>
      </c>
      <c r="CZ212" s="27">
        <f t="shared" si="242"/>
        <v>50192</v>
      </c>
      <c r="DA212" s="27">
        <f t="shared" si="242"/>
        <v>50284</v>
      </c>
      <c r="DB212" s="27">
        <f t="shared" si="242"/>
        <v>50375</v>
      </c>
      <c r="DC212" s="27">
        <f t="shared" si="242"/>
        <v>50465</v>
      </c>
      <c r="DD212" s="27">
        <f t="shared" si="242"/>
        <v>50557</v>
      </c>
      <c r="DE212" s="27">
        <f t="shared" si="242"/>
        <v>50649</v>
      </c>
      <c r="DF212" s="27">
        <f t="shared" si="242"/>
        <v>50740</v>
      </c>
      <c r="DG212" s="27">
        <f t="shared" si="242"/>
        <v>50830</v>
      </c>
      <c r="DH212" s="27">
        <f t="shared" si="242"/>
        <v>50922</v>
      </c>
      <c r="DI212" s="27">
        <f t="shared" si="242"/>
        <v>51014</v>
      </c>
      <c r="DJ212" s="27">
        <f t="shared" si="242"/>
        <v>51105</v>
      </c>
      <c r="DK212" s="27">
        <f t="shared" si="242"/>
        <v>51196</v>
      </c>
      <c r="DL212" s="27">
        <f t="shared" si="242"/>
        <v>51288</v>
      </c>
      <c r="DM212" s="27">
        <f t="shared" si="242"/>
        <v>51380</v>
      </c>
      <c r="DN212" s="27">
        <f t="shared" si="242"/>
        <v>51471</v>
      </c>
      <c r="DO212" s="27">
        <f t="shared" si="242"/>
        <v>51561</v>
      </c>
      <c r="DP212" s="27" t="e">
        <f t="shared" si="242"/>
        <v>#N/A</v>
      </c>
      <c r="DQ212" s="27" t="e">
        <f t="shared" si="242"/>
        <v>#N/A</v>
      </c>
    </row>
    <row r="213" spans="2:1006" x14ac:dyDescent="0.35">
      <c r="D213" s="20" t="s">
        <v>299</v>
      </c>
      <c r="K213" s="20" t="b">
        <f>K199</f>
        <v>0</v>
      </c>
      <c r="L213" s="20" t="b">
        <f t="shared" ref="L213:BW213" si="243">L199</f>
        <v>0</v>
      </c>
      <c r="M213" s="20" t="b">
        <f t="shared" si="243"/>
        <v>0</v>
      </c>
      <c r="N213" s="20" t="b">
        <f t="shared" si="243"/>
        <v>0</v>
      </c>
      <c r="O213" s="20" t="b">
        <f t="shared" si="243"/>
        <v>0</v>
      </c>
      <c r="P213" s="20" t="b">
        <f t="shared" si="243"/>
        <v>0</v>
      </c>
      <c r="Q213" s="20" t="b">
        <f t="shared" si="243"/>
        <v>0</v>
      </c>
      <c r="R213" s="20" t="b">
        <f t="shared" si="243"/>
        <v>0</v>
      </c>
      <c r="S213" s="20" t="b">
        <f t="shared" si="243"/>
        <v>0</v>
      </c>
      <c r="T213" s="20">
        <f t="shared" si="243"/>
        <v>1.7851882307026994</v>
      </c>
      <c r="U213" s="20">
        <f t="shared" si="243"/>
        <v>1.7769043365993873</v>
      </c>
      <c r="V213" s="20">
        <f t="shared" si="243"/>
        <v>1.7655071317928344</v>
      </c>
      <c r="W213" s="20">
        <f t="shared" si="243"/>
        <v>1.7527144145486693</v>
      </c>
      <c r="X213" s="20">
        <f t="shared" si="243"/>
        <v>1.7435238214267155</v>
      </c>
      <c r="Y213" s="20">
        <f t="shared" si="243"/>
        <v>1.7358063080430663</v>
      </c>
      <c r="Z213" s="20">
        <f t="shared" si="243"/>
        <v>1.7248602695019939</v>
      </c>
      <c r="AA213" s="20">
        <f t="shared" si="243"/>
        <v>1.7124624633524574</v>
      </c>
      <c r="AB213" s="20">
        <f t="shared" si="243"/>
        <v>1.8231519778286798</v>
      </c>
      <c r="AC213" s="20">
        <f t="shared" si="243"/>
        <v>1.8309296688830594</v>
      </c>
      <c r="AD213" s="20">
        <f t="shared" si="243"/>
        <v>1.8350605588850661</v>
      </c>
      <c r="AE213" s="20">
        <f t="shared" si="243"/>
        <v>1.8376446317610051</v>
      </c>
      <c r="AF213" s="20">
        <f t="shared" si="243"/>
        <v>1.8445579538840151</v>
      </c>
      <c r="AG213" s="20">
        <f t="shared" si="243"/>
        <v>1.8532875504641888</v>
      </c>
      <c r="AH213" s="20">
        <f t="shared" si="243"/>
        <v>1.8579670854700692</v>
      </c>
      <c r="AI213" s="20">
        <f t="shared" si="243"/>
        <v>1.8608608865658345</v>
      </c>
      <c r="AJ213" s="20">
        <f t="shared" si="243"/>
        <v>1.868548468082055</v>
      </c>
      <c r="AK213" s="20">
        <f t="shared" si="243"/>
        <v>1.8782653960455942</v>
      </c>
      <c r="AL213" s="20">
        <f t="shared" si="243"/>
        <v>1.883502851813984</v>
      </c>
      <c r="AM213" s="20">
        <f t="shared" si="243"/>
        <v>1.886643431234736</v>
      </c>
      <c r="AN213" s="20">
        <f t="shared" si="243"/>
        <v>1.8950188484345827</v>
      </c>
      <c r="AO213" s="20">
        <f t="shared" si="243"/>
        <v>1.9056186678741074</v>
      </c>
      <c r="AP213" s="20">
        <f t="shared" si="243"/>
        <v>1.9113276279889129</v>
      </c>
      <c r="AQ213" s="20">
        <f t="shared" si="243"/>
        <v>1.9152237192759611</v>
      </c>
      <c r="AR213" s="20">
        <f t="shared" si="243"/>
        <v>1.9252842765750833</v>
      </c>
      <c r="AS213" s="20">
        <f t="shared" si="243"/>
        <v>1.9380326792139599</v>
      </c>
      <c r="AT213" s="20">
        <f t="shared" si="243"/>
        <v>1.9450476135498445</v>
      </c>
      <c r="AU213" s="20">
        <f t="shared" si="243"/>
        <v>1.9503170921094237</v>
      </c>
      <c r="AV213" s="20">
        <f t="shared" si="243"/>
        <v>1.9633390161091111</v>
      </c>
      <c r="AW213" s="20">
        <f t="shared" si="243"/>
        <v>1.9798980411575573</v>
      </c>
      <c r="AX213" s="20">
        <f t="shared" si="243"/>
        <v>1.9893151194169199</v>
      </c>
      <c r="AY213" s="20">
        <f t="shared" si="243"/>
        <v>1.9956284944414047</v>
      </c>
      <c r="AZ213" s="20">
        <f t="shared" si="243"/>
        <v>2.0111370124408698</v>
      </c>
      <c r="BA213" s="20">
        <f t="shared" si="243"/>
        <v>2.0309390398280298</v>
      </c>
      <c r="BB213" s="20">
        <f t="shared" si="243"/>
        <v>2.0423057139961531</v>
      </c>
      <c r="BC213" s="20">
        <f t="shared" si="243"/>
        <v>2.0496466853846562</v>
      </c>
      <c r="BD213" s="20">
        <f t="shared" si="243"/>
        <v>2.067756641867402</v>
      </c>
      <c r="BE213" s="20">
        <f t="shared" si="243"/>
        <v>2.0909770740775282</v>
      </c>
      <c r="BF213" s="20">
        <f t="shared" si="243"/>
        <v>2.1043398333879941</v>
      </c>
      <c r="BG213" s="20">
        <f t="shared" si="243"/>
        <v>2.1135876998006546</v>
      </c>
      <c r="BH213" s="20">
        <f t="shared" si="243"/>
        <v>2.1362035416176113</v>
      </c>
      <c r="BI213" s="20">
        <f t="shared" si="243"/>
        <v>2.1653957429729456</v>
      </c>
      <c r="BJ213" s="20">
        <f t="shared" si="243"/>
        <v>2.1824436590651577</v>
      </c>
      <c r="BK213" s="20">
        <f t="shared" si="243"/>
        <v>2.1945216768086735</v>
      </c>
      <c r="BL213" s="20">
        <f t="shared" si="243"/>
        <v>2.2238152645051867</v>
      </c>
      <c r="BM213" s="20">
        <f t="shared" si="243"/>
        <v>2.2619908344553736</v>
      </c>
      <c r="BN213" s="20">
        <f t="shared" si="243"/>
        <v>2.2846985467844485</v>
      </c>
      <c r="BO213" s="20">
        <f t="shared" si="243"/>
        <v>2.3013731395630992</v>
      </c>
      <c r="BP213" s="20">
        <f t="shared" si="243"/>
        <v>2.3415016236600374</v>
      </c>
      <c r="BQ213" s="20">
        <f t="shared" si="243"/>
        <v>2.3945716368245664</v>
      </c>
      <c r="BR213" s="20">
        <f t="shared" si="243"/>
        <v>2.426947705935151</v>
      </c>
      <c r="BS213" s="20">
        <f t="shared" si="243"/>
        <v>2.4509222875377987</v>
      </c>
      <c r="BT213" s="20">
        <f t="shared" si="243"/>
        <v>2.5086005328076668</v>
      </c>
      <c r="BU213" s="20">
        <f t="shared" si="243"/>
        <v>2.5865147574630636</v>
      </c>
      <c r="BV213" s="20">
        <f t="shared" si="243"/>
        <v>2.6354588010980864</v>
      </c>
      <c r="BW213" s="20">
        <f t="shared" si="243"/>
        <v>2.6672723526600048</v>
      </c>
      <c r="BX213" s="20">
        <f t="shared" ref="BX213:DQ213" si="244">BX199</f>
        <v>2.7266907235480535</v>
      </c>
      <c r="BY213" s="20">
        <f t="shared" si="244"/>
        <v>2.805314900479579</v>
      </c>
      <c r="BZ213" s="20">
        <f t="shared" si="244"/>
        <v>2.8540109259453299</v>
      </c>
      <c r="CA213" s="20">
        <f t="shared" si="244"/>
        <v>2.888524764899012</v>
      </c>
      <c r="CB213" s="20">
        <f t="shared" si="244"/>
        <v>2.9706688987208816</v>
      </c>
      <c r="CC213" s="20">
        <f t="shared" si="244"/>
        <v>3.0813291335064332</v>
      </c>
      <c r="CD213" s="20">
        <f t="shared" si="244"/>
        <v>3.1511394992782424</v>
      </c>
      <c r="CE213" s="20">
        <f t="shared" si="244"/>
        <v>3.2040244666563327</v>
      </c>
      <c r="CF213" s="20">
        <f t="shared" si="244"/>
        <v>3.3309786956536227</v>
      </c>
      <c r="CG213" s="20">
        <f t="shared" si="244"/>
        <v>3.5076042481894296</v>
      </c>
      <c r="CH213" s="20">
        <f t="shared" si="244"/>
        <v>3.6234223191378883</v>
      </c>
      <c r="CI213" s="20">
        <f t="shared" si="244"/>
        <v>3.7109549362925498</v>
      </c>
      <c r="CJ213" s="20">
        <f t="shared" si="244"/>
        <v>3.9261552327648341</v>
      </c>
      <c r="CK213" s="20">
        <f t="shared" si="244"/>
        <v>4.2409435976449288</v>
      </c>
      <c r="CL213" s="20">
        <f t="shared" si="244"/>
        <v>4.4587002330135288</v>
      </c>
      <c r="CM213" s="20">
        <f t="shared" si="244"/>
        <v>4.6397919256456497</v>
      </c>
      <c r="CN213" s="20">
        <f t="shared" si="244"/>
        <v>5.1081128941690999</v>
      </c>
      <c r="CO213" s="20">
        <f t="shared" si="244"/>
        <v>5.8767206370278995</v>
      </c>
      <c r="CP213" s="20">
        <f t="shared" si="244"/>
        <v>6.4834695574409329</v>
      </c>
      <c r="CQ213" s="20">
        <f t="shared" si="244"/>
        <v>7.0319450548172266</v>
      </c>
      <c r="CR213" s="20">
        <f t="shared" si="244"/>
        <v>8.6944895976851289</v>
      </c>
      <c r="CS213" s="20">
        <f t="shared" si="244"/>
        <v>12.625284171391552</v>
      </c>
      <c r="CT213" s="20">
        <f t="shared" si="244"/>
        <v>17.715572604983613</v>
      </c>
      <c r="CU213" s="20">
        <f t="shared" si="244"/>
        <v>25.699692234959052</v>
      </c>
      <c r="CV213" s="20" t="e">
        <f t="shared" si="244"/>
        <v>#DIV/0!</v>
      </c>
      <c r="CW213" s="20" t="e">
        <f t="shared" si="244"/>
        <v>#DIV/0!</v>
      </c>
      <c r="CX213" s="20" t="e">
        <f t="shared" si="244"/>
        <v>#DIV/0!</v>
      </c>
      <c r="CY213" s="20" t="e">
        <f t="shared" si="244"/>
        <v>#DIV/0!</v>
      </c>
      <c r="CZ213" s="20" t="e">
        <f t="shared" si="244"/>
        <v>#DIV/0!</v>
      </c>
      <c r="DA213" s="20" t="e">
        <f t="shared" si="244"/>
        <v>#DIV/0!</v>
      </c>
      <c r="DB213" s="20" t="e">
        <f t="shared" si="244"/>
        <v>#DIV/0!</v>
      </c>
      <c r="DC213" s="20" t="e">
        <f t="shared" si="244"/>
        <v>#DIV/0!</v>
      </c>
      <c r="DD213" s="20" t="e">
        <f t="shared" si="244"/>
        <v>#DIV/0!</v>
      </c>
      <c r="DE213" s="20" t="e">
        <f t="shared" si="244"/>
        <v>#DIV/0!</v>
      </c>
      <c r="DF213" s="20" t="e">
        <f t="shared" si="244"/>
        <v>#DIV/0!</v>
      </c>
      <c r="DG213" s="20" t="e">
        <f t="shared" si="244"/>
        <v>#DIV/0!</v>
      </c>
      <c r="DH213" s="20" t="e">
        <f t="shared" si="244"/>
        <v>#DIV/0!</v>
      </c>
      <c r="DI213" s="20" t="e">
        <f t="shared" si="244"/>
        <v>#DIV/0!</v>
      </c>
      <c r="DJ213" s="20" t="e">
        <f t="shared" si="244"/>
        <v>#DIV/0!</v>
      </c>
      <c r="DK213" s="20" t="e">
        <f t="shared" si="244"/>
        <v>#DIV/0!</v>
      </c>
      <c r="DL213" s="20" t="e">
        <f t="shared" si="244"/>
        <v>#DIV/0!</v>
      </c>
      <c r="DM213" s="20" t="e">
        <f t="shared" si="244"/>
        <v>#DIV/0!</v>
      </c>
      <c r="DN213" s="20" t="e">
        <f t="shared" si="244"/>
        <v>#DIV/0!</v>
      </c>
      <c r="DO213" s="20" t="e">
        <f t="shared" si="244"/>
        <v>#DIV/0!</v>
      </c>
      <c r="DP213" s="20" t="b">
        <f t="shared" si="244"/>
        <v>0</v>
      </c>
      <c r="DQ213" s="20" t="b">
        <f t="shared" si="244"/>
        <v>0</v>
      </c>
    </row>
    <row r="216" spans="2:1006" x14ac:dyDescent="0.35">
      <c r="B216" s="37" t="s">
        <v>359</v>
      </c>
      <c r="C216" s="37"/>
      <c r="D216" s="37"/>
      <c r="E216" s="37"/>
      <c r="F216" s="37"/>
      <c r="G216" s="37"/>
      <c r="H216" s="37"/>
      <c r="I216" s="37"/>
      <c r="J216" s="37"/>
      <c r="K216" s="37"/>
      <c r="L216" s="37"/>
      <c r="M216" s="37"/>
      <c r="N216" s="37"/>
      <c r="O216" s="37"/>
      <c r="P216" s="37"/>
      <c r="Q216" s="37"/>
      <c r="R216" s="37"/>
      <c r="S216" s="37"/>
      <c r="T216" s="37"/>
      <c r="U216" s="37"/>
      <c r="V216" s="37"/>
      <c r="W216" s="37"/>
      <c r="X216" s="37"/>
      <c r="Y216" s="37"/>
      <c r="Z216" s="37"/>
      <c r="AA216" s="37"/>
      <c r="AB216" s="37"/>
      <c r="AC216" s="37"/>
      <c r="AD216" s="37"/>
      <c r="AE216" s="37"/>
      <c r="AF216" s="37"/>
      <c r="AG216" s="37"/>
      <c r="AH216" s="37"/>
      <c r="AI216" s="37"/>
      <c r="AJ216" s="37"/>
      <c r="AK216" s="37"/>
      <c r="AL216" s="37"/>
      <c r="AM216" s="37"/>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c r="BT216" s="37"/>
      <c r="BU216" s="37"/>
      <c r="BV216" s="37"/>
      <c r="BW216" s="37"/>
      <c r="BX216" s="37"/>
      <c r="BY216" s="37"/>
      <c r="BZ216" s="37"/>
      <c r="CA216" s="37"/>
      <c r="CB216" s="37"/>
      <c r="CC216" s="37"/>
      <c r="CD216" s="37"/>
      <c r="CE216" s="37"/>
      <c r="CF216" s="37"/>
      <c r="CG216" s="37"/>
      <c r="CH216" s="37"/>
      <c r="CI216" s="37"/>
      <c r="CJ216" s="37"/>
      <c r="CK216" s="37"/>
      <c r="CL216" s="37"/>
      <c r="CM216" s="37"/>
      <c r="CN216" s="37"/>
      <c r="CO216" s="37"/>
      <c r="CP216" s="37"/>
      <c r="CQ216" s="37"/>
      <c r="CR216" s="37"/>
      <c r="CS216" s="37"/>
      <c r="CT216" s="37"/>
      <c r="CU216" s="37"/>
      <c r="CV216" s="37"/>
      <c r="CW216" s="37"/>
      <c r="CX216" s="37"/>
      <c r="CY216" s="37"/>
      <c r="CZ216" s="37"/>
      <c r="DA216" s="37"/>
      <c r="DB216" s="37"/>
      <c r="DC216" s="37"/>
      <c r="DD216" s="37"/>
      <c r="DE216" s="37"/>
      <c r="DF216" s="37"/>
      <c r="DG216" s="37"/>
      <c r="DH216" s="37"/>
      <c r="DI216" s="37"/>
      <c r="DJ216" s="37"/>
      <c r="DK216" s="37"/>
      <c r="DL216" s="37"/>
      <c r="DM216" s="37"/>
      <c r="DN216" s="37"/>
      <c r="DO216" s="37"/>
      <c r="DP216" s="37"/>
      <c r="DQ216" s="37"/>
      <c r="DR216" s="37"/>
      <c r="DS216" s="37"/>
      <c r="DT216" s="37"/>
      <c r="DU216" s="37"/>
      <c r="DV216" s="37"/>
      <c r="DW216" s="37"/>
      <c r="DX216" s="37"/>
      <c r="DY216" s="37"/>
      <c r="DZ216" s="37"/>
      <c r="EA216" s="37"/>
      <c r="EB216" s="37"/>
      <c r="EC216" s="37"/>
      <c r="ED216" s="37"/>
      <c r="EE216" s="37"/>
      <c r="EF216" s="37"/>
      <c r="EG216" s="37"/>
      <c r="EH216" s="37"/>
      <c r="EI216" s="37"/>
      <c r="EJ216" s="37"/>
      <c r="EK216" s="37"/>
      <c r="EL216" s="37"/>
      <c r="EM216" s="37"/>
      <c r="EN216" s="37"/>
      <c r="EO216" s="37"/>
      <c r="EP216" s="37"/>
      <c r="EQ216" s="37"/>
      <c r="ER216" s="37"/>
      <c r="ES216" s="37"/>
      <c r="ET216" s="37"/>
      <c r="EU216" s="37"/>
      <c r="EV216" s="37"/>
      <c r="EW216" s="37"/>
      <c r="EX216" s="37"/>
      <c r="EY216" s="37"/>
      <c r="EZ216" s="37"/>
      <c r="FA216" s="37"/>
      <c r="FB216" s="37"/>
      <c r="FC216" s="37"/>
      <c r="FD216" s="37"/>
      <c r="FE216" s="37"/>
      <c r="FF216" s="37"/>
      <c r="FG216" s="37"/>
      <c r="FH216" s="37"/>
      <c r="FI216" s="37"/>
      <c r="FJ216" s="37"/>
      <c r="FK216" s="37"/>
      <c r="FL216" s="37"/>
      <c r="FM216" s="37"/>
      <c r="FN216" s="37"/>
      <c r="FO216" s="37"/>
      <c r="FP216" s="37"/>
      <c r="FQ216" s="37"/>
      <c r="FR216" s="37"/>
      <c r="FS216" s="37"/>
      <c r="FT216" s="37"/>
      <c r="FU216" s="37"/>
      <c r="FV216" s="37"/>
      <c r="FW216" s="37"/>
      <c r="FX216" s="37"/>
      <c r="FY216" s="37"/>
      <c r="FZ216" s="37"/>
      <c r="GA216" s="37"/>
      <c r="GB216" s="37"/>
      <c r="GC216" s="37"/>
      <c r="GD216" s="37"/>
      <c r="GE216" s="37"/>
      <c r="GF216" s="37"/>
      <c r="GG216" s="37"/>
      <c r="GH216" s="37"/>
      <c r="GI216" s="37"/>
      <c r="GJ216" s="37"/>
      <c r="GK216" s="37"/>
      <c r="GL216" s="37"/>
      <c r="GM216" s="37"/>
      <c r="GN216" s="37"/>
      <c r="GO216" s="37"/>
      <c r="GP216" s="37"/>
      <c r="GQ216" s="37"/>
      <c r="GR216" s="37"/>
      <c r="GS216" s="37"/>
      <c r="GT216" s="37"/>
      <c r="GU216" s="37"/>
      <c r="GV216" s="37"/>
      <c r="GW216" s="37"/>
      <c r="GX216" s="37"/>
      <c r="GY216" s="37"/>
      <c r="GZ216" s="37"/>
      <c r="HA216" s="37"/>
      <c r="HB216" s="37"/>
      <c r="HC216" s="37"/>
      <c r="HD216" s="37"/>
      <c r="HE216" s="37"/>
      <c r="HF216" s="37"/>
      <c r="HG216" s="37"/>
      <c r="HH216" s="37"/>
      <c r="HI216" s="37"/>
      <c r="HJ216" s="37"/>
      <c r="HK216" s="37"/>
      <c r="HL216" s="37"/>
      <c r="HM216" s="37"/>
      <c r="HN216" s="37"/>
      <c r="HO216" s="37"/>
      <c r="HP216" s="37"/>
      <c r="HQ216" s="37"/>
      <c r="HR216" s="37"/>
      <c r="HS216" s="37"/>
      <c r="HT216" s="37"/>
      <c r="HU216" s="37"/>
      <c r="HV216" s="37"/>
      <c r="HW216" s="37"/>
      <c r="HX216" s="37"/>
      <c r="HY216" s="37"/>
      <c r="HZ216" s="37"/>
      <c r="IA216" s="37"/>
      <c r="IB216" s="37"/>
      <c r="IC216" s="37"/>
      <c r="ID216" s="37"/>
      <c r="IE216" s="37"/>
      <c r="IF216" s="37"/>
      <c r="IG216" s="37"/>
      <c r="IH216" s="37"/>
      <c r="II216" s="37"/>
      <c r="IJ216" s="37"/>
      <c r="IK216" s="37"/>
      <c r="IL216" s="37"/>
      <c r="IM216" s="37"/>
      <c r="IN216" s="37"/>
      <c r="IO216" s="37"/>
      <c r="IP216" s="37"/>
      <c r="IQ216" s="37"/>
      <c r="IR216" s="37"/>
      <c r="IS216" s="37"/>
      <c r="IT216" s="37"/>
      <c r="IU216" s="37"/>
      <c r="IV216" s="37"/>
      <c r="IW216" s="37"/>
      <c r="IX216" s="37"/>
      <c r="IY216" s="37"/>
      <c r="IZ216" s="37"/>
      <c r="JA216" s="37"/>
      <c r="JB216" s="37"/>
      <c r="JC216" s="37"/>
      <c r="JD216" s="37"/>
      <c r="JE216" s="37"/>
      <c r="JF216" s="37"/>
      <c r="JG216" s="37"/>
      <c r="JH216" s="37"/>
      <c r="JI216" s="37"/>
      <c r="JJ216" s="37"/>
      <c r="JK216" s="37"/>
      <c r="JL216" s="37"/>
      <c r="JM216" s="37"/>
      <c r="JN216" s="37"/>
      <c r="JO216" s="37"/>
      <c r="JP216" s="37"/>
      <c r="JQ216" s="37"/>
      <c r="JR216" s="37"/>
      <c r="JS216" s="37"/>
      <c r="JT216" s="37"/>
      <c r="JU216" s="37"/>
      <c r="JV216" s="37"/>
      <c r="JW216" s="37"/>
      <c r="JX216" s="37"/>
      <c r="JY216" s="37"/>
      <c r="JZ216" s="37"/>
      <c r="KA216" s="37"/>
      <c r="KB216" s="37"/>
      <c r="KC216" s="37"/>
      <c r="KD216" s="37"/>
      <c r="KE216" s="37"/>
      <c r="KF216" s="37"/>
      <c r="KG216" s="37"/>
      <c r="KH216" s="37"/>
      <c r="KI216" s="37"/>
      <c r="KJ216" s="37"/>
      <c r="KK216" s="37"/>
      <c r="KL216" s="37"/>
      <c r="KM216" s="37"/>
      <c r="KN216" s="37"/>
      <c r="KO216" s="37"/>
      <c r="KP216" s="37"/>
      <c r="KQ216" s="37"/>
      <c r="KR216" s="37"/>
      <c r="KS216" s="37"/>
      <c r="KT216" s="37"/>
      <c r="KU216" s="37"/>
      <c r="KV216" s="37"/>
      <c r="KW216" s="37"/>
      <c r="KX216" s="37"/>
      <c r="KY216" s="37"/>
      <c r="KZ216" s="37"/>
      <c r="LA216" s="37"/>
      <c r="LB216" s="37"/>
      <c r="LC216" s="37"/>
      <c r="LD216" s="37"/>
      <c r="LE216" s="37"/>
      <c r="LF216" s="37"/>
      <c r="LG216" s="37"/>
      <c r="LH216" s="37"/>
      <c r="LI216" s="37"/>
      <c r="LJ216" s="37"/>
      <c r="LK216" s="37"/>
      <c r="LL216" s="37"/>
      <c r="LM216" s="37"/>
      <c r="LN216" s="37"/>
      <c r="LO216" s="37"/>
      <c r="LP216" s="37"/>
      <c r="LQ216" s="37"/>
      <c r="LR216" s="37"/>
      <c r="LS216" s="37"/>
      <c r="LT216" s="37"/>
      <c r="LU216" s="37"/>
      <c r="LV216" s="37"/>
      <c r="LW216" s="37"/>
      <c r="LX216" s="37"/>
      <c r="LY216" s="37"/>
      <c r="LZ216" s="37"/>
      <c r="MA216" s="37"/>
      <c r="MB216" s="37"/>
      <c r="MC216" s="37"/>
      <c r="MD216" s="37"/>
      <c r="ME216" s="37"/>
      <c r="MF216" s="37"/>
      <c r="MG216" s="37"/>
      <c r="MH216" s="37"/>
      <c r="MI216" s="37"/>
      <c r="MJ216" s="37"/>
      <c r="MK216" s="37"/>
      <c r="ML216" s="37"/>
      <c r="MM216" s="37"/>
      <c r="MN216" s="37"/>
      <c r="MO216" s="37"/>
      <c r="MP216" s="37"/>
      <c r="MQ216" s="37"/>
      <c r="MR216" s="37"/>
      <c r="MS216" s="37"/>
      <c r="MT216" s="37"/>
      <c r="MU216" s="37"/>
      <c r="MV216" s="37"/>
      <c r="MW216" s="37"/>
      <c r="MX216" s="37"/>
      <c r="MY216" s="37"/>
      <c r="MZ216" s="37"/>
      <c r="NA216" s="37"/>
      <c r="NB216" s="37"/>
      <c r="NC216" s="37"/>
      <c r="ND216" s="37"/>
      <c r="NE216" s="37"/>
      <c r="NF216" s="37"/>
      <c r="NG216" s="37"/>
      <c r="NH216" s="37"/>
      <c r="NI216" s="37"/>
      <c r="NJ216" s="37"/>
      <c r="NK216" s="37"/>
      <c r="NL216" s="37"/>
      <c r="NM216" s="37"/>
      <c r="NN216" s="37"/>
      <c r="NO216" s="37"/>
      <c r="NP216" s="37"/>
      <c r="NQ216" s="37"/>
      <c r="NR216" s="37"/>
      <c r="NS216" s="37"/>
      <c r="NT216" s="37"/>
      <c r="NU216" s="37"/>
      <c r="NV216" s="37"/>
      <c r="NW216" s="37"/>
      <c r="NX216" s="37"/>
      <c r="NY216" s="37"/>
      <c r="NZ216" s="37"/>
      <c r="OA216" s="37"/>
      <c r="OB216" s="37"/>
      <c r="OC216" s="37"/>
      <c r="OD216" s="37"/>
      <c r="OE216" s="37"/>
      <c r="OF216" s="37"/>
      <c r="OG216" s="37"/>
      <c r="OH216" s="37"/>
      <c r="OI216" s="37"/>
      <c r="OJ216" s="37"/>
      <c r="OK216" s="37"/>
      <c r="OL216" s="37"/>
      <c r="OM216" s="37"/>
      <c r="ON216" s="37"/>
      <c r="OO216" s="37"/>
      <c r="OP216" s="37"/>
      <c r="OQ216" s="37"/>
      <c r="OR216" s="37"/>
      <c r="OS216" s="37"/>
      <c r="OT216" s="37"/>
      <c r="OU216" s="37"/>
      <c r="OV216" s="37"/>
      <c r="OW216" s="37"/>
      <c r="OX216" s="37"/>
      <c r="OY216" s="37"/>
      <c r="OZ216" s="37"/>
      <c r="PA216" s="37"/>
      <c r="PB216" s="37"/>
      <c r="PC216" s="37"/>
      <c r="PD216" s="37"/>
      <c r="PE216" s="37"/>
      <c r="PF216" s="37"/>
      <c r="PG216" s="37"/>
      <c r="PH216" s="37"/>
      <c r="PI216" s="37"/>
      <c r="PJ216" s="37"/>
      <c r="PK216" s="37"/>
      <c r="PL216" s="37"/>
      <c r="PM216" s="37"/>
      <c r="PN216" s="37"/>
      <c r="PO216" s="37"/>
      <c r="PP216" s="37"/>
      <c r="PQ216" s="37"/>
      <c r="PR216" s="37"/>
      <c r="PS216" s="37"/>
      <c r="PT216" s="37"/>
      <c r="PU216" s="37"/>
      <c r="PV216" s="37"/>
      <c r="PW216" s="37"/>
      <c r="PX216" s="37"/>
      <c r="PY216" s="37"/>
      <c r="PZ216" s="37"/>
      <c r="QA216" s="37"/>
      <c r="QB216" s="37"/>
      <c r="QC216" s="37"/>
      <c r="QD216" s="37"/>
      <c r="QE216" s="37"/>
      <c r="QF216" s="37"/>
      <c r="QG216" s="37"/>
      <c r="QH216" s="37"/>
      <c r="QI216" s="37"/>
      <c r="QJ216" s="37"/>
      <c r="QK216" s="37"/>
      <c r="QL216" s="37"/>
      <c r="QM216" s="37"/>
      <c r="QN216" s="37"/>
      <c r="QO216" s="37"/>
      <c r="QP216" s="37"/>
      <c r="QQ216" s="37"/>
      <c r="QR216" s="37"/>
      <c r="QS216" s="37"/>
      <c r="QT216" s="37"/>
      <c r="QU216" s="37"/>
      <c r="QV216" s="37"/>
      <c r="QW216" s="37"/>
      <c r="QX216" s="37"/>
      <c r="QY216" s="37"/>
      <c r="QZ216" s="37"/>
      <c r="RA216" s="37"/>
      <c r="RB216" s="37"/>
      <c r="RC216" s="37"/>
      <c r="RD216" s="37"/>
      <c r="RE216" s="37"/>
      <c r="RF216" s="37"/>
      <c r="RG216" s="37"/>
      <c r="RH216" s="37"/>
      <c r="RI216" s="37"/>
      <c r="RJ216" s="37"/>
      <c r="RK216" s="37"/>
      <c r="RL216" s="37"/>
      <c r="RM216" s="37"/>
      <c r="RN216" s="37"/>
      <c r="RO216" s="37"/>
      <c r="RP216" s="37"/>
      <c r="RQ216" s="37"/>
      <c r="RR216" s="37"/>
      <c r="RS216" s="37"/>
      <c r="RT216" s="37"/>
      <c r="RU216" s="37"/>
      <c r="RV216" s="37"/>
      <c r="RW216" s="37"/>
      <c r="RX216" s="37"/>
      <c r="RY216" s="37"/>
      <c r="RZ216" s="37"/>
      <c r="SA216" s="37"/>
      <c r="SB216" s="37"/>
      <c r="SC216" s="37"/>
      <c r="SD216" s="37"/>
      <c r="SE216" s="37"/>
      <c r="SF216" s="37"/>
      <c r="SG216" s="37"/>
      <c r="SH216" s="37"/>
      <c r="SI216" s="37"/>
      <c r="SJ216" s="37"/>
      <c r="SK216" s="37"/>
      <c r="SL216" s="37"/>
      <c r="SM216" s="37"/>
      <c r="SN216" s="37"/>
      <c r="SO216" s="37"/>
      <c r="SP216" s="37"/>
      <c r="SQ216" s="37"/>
      <c r="SR216" s="37"/>
      <c r="SS216" s="37"/>
      <c r="ST216" s="37"/>
      <c r="SU216" s="37"/>
      <c r="SV216" s="37"/>
      <c r="SW216" s="37"/>
      <c r="SX216" s="37"/>
      <c r="SY216" s="37"/>
      <c r="SZ216" s="37"/>
      <c r="TA216" s="37"/>
      <c r="TB216" s="37"/>
      <c r="TC216" s="37"/>
      <c r="TD216" s="37"/>
      <c r="TE216" s="37"/>
      <c r="TF216" s="37"/>
      <c r="TG216" s="37"/>
      <c r="TH216" s="37"/>
      <c r="TI216" s="37"/>
      <c r="TJ216" s="37"/>
      <c r="TK216" s="37"/>
      <c r="TL216" s="37"/>
      <c r="TM216" s="37"/>
      <c r="TN216" s="37"/>
      <c r="TO216" s="37"/>
      <c r="TP216" s="37"/>
      <c r="TQ216" s="37"/>
      <c r="TR216" s="37"/>
      <c r="TS216" s="37"/>
      <c r="TT216" s="37"/>
      <c r="TU216" s="37"/>
      <c r="TV216" s="37"/>
      <c r="TW216" s="37"/>
      <c r="TX216" s="37"/>
      <c r="TY216" s="37"/>
      <c r="TZ216" s="37"/>
      <c r="UA216" s="37"/>
      <c r="UB216" s="37"/>
      <c r="UC216" s="37"/>
      <c r="UD216" s="37"/>
      <c r="UE216" s="37"/>
      <c r="UF216" s="37"/>
      <c r="UG216" s="37"/>
      <c r="UH216" s="37"/>
      <c r="UI216" s="37"/>
      <c r="UJ216" s="37"/>
      <c r="UK216" s="37"/>
      <c r="UL216" s="37"/>
      <c r="UM216" s="37"/>
      <c r="UN216" s="37"/>
      <c r="UO216" s="37"/>
      <c r="UP216" s="37"/>
      <c r="UQ216" s="37"/>
      <c r="UR216" s="37"/>
      <c r="US216" s="37"/>
      <c r="UT216" s="37"/>
      <c r="UU216" s="37"/>
      <c r="UV216" s="37"/>
      <c r="UW216" s="37"/>
      <c r="UX216" s="37"/>
      <c r="UY216" s="37"/>
      <c r="UZ216" s="37"/>
      <c r="VA216" s="37"/>
      <c r="VB216" s="37"/>
      <c r="VC216" s="37"/>
      <c r="VD216" s="37"/>
      <c r="VE216" s="37"/>
      <c r="VF216" s="37"/>
      <c r="VG216" s="37"/>
      <c r="VH216" s="37"/>
      <c r="VI216" s="37"/>
      <c r="VJ216" s="37"/>
      <c r="VK216" s="37"/>
      <c r="VL216" s="37"/>
      <c r="VM216" s="37"/>
      <c r="VN216" s="37"/>
      <c r="VO216" s="37"/>
      <c r="VP216" s="37"/>
      <c r="VQ216" s="37"/>
      <c r="VR216" s="37"/>
      <c r="VS216" s="37"/>
      <c r="VT216" s="37"/>
      <c r="VU216" s="37"/>
      <c r="VV216" s="37"/>
      <c r="VW216" s="37"/>
      <c r="VX216" s="37"/>
      <c r="VY216" s="37"/>
      <c r="VZ216" s="37"/>
      <c r="WA216" s="37"/>
      <c r="WB216" s="37"/>
      <c r="WC216" s="37"/>
      <c r="WD216" s="37"/>
      <c r="WE216" s="37"/>
      <c r="WF216" s="37"/>
      <c r="WG216" s="37"/>
      <c r="WH216" s="37"/>
      <c r="WI216" s="37"/>
      <c r="WJ216" s="37"/>
      <c r="WK216" s="37"/>
      <c r="WL216" s="37"/>
      <c r="WM216" s="37"/>
      <c r="WN216" s="37"/>
      <c r="WO216" s="37"/>
      <c r="WP216" s="37"/>
      <c r="WQ216" s="37"/>
      <c r="WR216" s="37"/>
      <c r="WS216" s="37"/>
      <c r="WT216" s="37"/>
      <c r="WU216" s="37"/>
      <c r="WV216" s="37"/>
      <c r="WW216" s="37"/>
      <c r="WX216" s="37"/>
      <c r="WY216" s="37"/>
      <c r="WZ216" s="37"/>
      <c r="XA216" s="37"/>
      <c r="XB216" s="37"/>
      <c r="XC216" s="37"/>
      <c r="XD216" s="37"/>
      <c r="XE216" s="37"/>
      <c r="XF216" s="37"/>
      <c r="XG216" s="37"/>
      <c r="XH216" s="37"/>
      <c r="XI216" s="37"/>
      <c r="XJ216" s="37"/>
      <c r="XK216" s="37"/>
      <c r="XL216" s="37"/>
      <c r="XM216" s="37"/>
      <c r="XN216" s="37"/>
      <c r="XO216" s="37"/>
      <c r="XP216" s="37"/>
      <c r="XQ216" s="37"/>
      <c r="XR216" s="37"/>
      <c r="XS216" s="37"/>
      <c r="XT216" s="37"/>
      <c r="XU216" s="37"/>
      <c r="XV216" s="37"/>
      <c r="XW216" s="37"/>
      <c r="XX216" s="37"/>
      <c r="XY216" s="37"/>
      <c r="XZ216" s="37"/>
      <c r="YA216" s="37"/>
      <c r="YB216" s="37"/>
      <c r="YC216" s="37"/>
      <c r="YD216" s="37"/>
      <c r="YE216" s="37"/>
      <c r="YF216" s="37"/>
      <c r="YG216" s="37"/>
      <c r="YH216" s="37"/>
      <c r="YI216" s="37"/>
      <c r="YJ216" s="37"/>
      <c r="YK216" s="37"/>
      <c r="YL216" s="37"/>
      <c r="YM216" s="37"/>
      <c r="YN216" s="37"/>
      <c r="YO216" s="37"/>
      <c r="YP216" s="37"/>
      <c r="YQ216" s="37"/>
      <c r="YR216" s="37"/>
      <c r="YS216" s="37"/>
      <c r="YT216" s="37"/>
      <c r="YU216" s="37"/>
      <c r="YV216" s="37"/>
      <c r="YW216" s="37"/>
      <c r="YX216" s="37"/>
      <c r="YY216" s="37"/>
      <c r="YZ216" s="37"/>
      <c r="ZA216" s="37"/>
      <c r="ZB216" s="37"/>
      <c r="ZC216" s="37"/>
      <c r="ZD216" s="37"/>
      <c r="ZE216" s="37"/>
      <c r="ZF216" s="37"/>
      <c r="ZG216" s="37"/>
      <c r="ZH216" s="37"/>
      <c r="ZI216" s="37"/>
      <c r="ZJ216" s="37"/>
      <c r="ZK216" s="37"/>
      <c r="ZL216" s="37"/>
      <c r="ZM216" s="37"/>
      <c r="ZN216" s="37"/>
      <c r="ZO216" s="37"/>
      <c r="ZP216" s="37"/>
      <c r="ZQ216" s="37"/>
      <c r="ZR216" s="37"/>
      <c r="ZS216" s="37"/>
      <c r="ZT216" s="37"/>
      <c r="ZU216" s="37"/>
      <c r="ZV216" s="37"/>
      <c r="ZW216" s="37"/>
      <c r="ZX216" s="37"/>
      <c r="ZY216" s="37"/>
      <c r="ZZ216" s="37"/>
      <c r="AAA216" s="37"/>
      <c r="AAB216" s="37"/>
      <c r="AAC216" s="37"/>
      <c r="AAD216" s="37"/>
      <c r="AAE216" s="37"/>
      <c r="AAF216" s="37"/>
      <c r="AAG216" s="37"/>
      <c r="AAH216" s="37"/>
      <c r="AAI216" s="37"/>
      <c r="AAJ216" s="37"/>
      <c r="AAK216" s="37"/>
      <c r="AAL216" s="37"/>
      <c r="AAM216" s="37"/>
      <c r="AAN216" s="37"/>
      <c r="AAO216" s="37"/>
      <c r="AAP216" s="37"/>
      <c r="AAQ216" s="37"/>
      <c r="AAR216" s="37"/>
      <c r="AAS216" s="37"/>
      <c r="AAT216" s="37"/>
      <c r="AAU216" s="37"/>
      <c r="AAV216" s="37"/>
      <c r="AAW216" s="37"/>
      <c r="AAX216" s="37"/>
      <c r="AAY216" s="37"/>
      <c r="AAZ216" s="37"/>
      <c r="ABA216" s="37"/>
      <c r="ABB216" s="37"/>
      <c r="ABC216" s="37"/>
      <c r="ABD216" s="37"/>
      <c r="ABE216" s="37"/>
      <c r="ABF216" s="37"/>
      <c r="ABG216" s="37"/>
      <c r="ABH216" s="37"/>
      <c r="ABI216" s="37"/>
      <c r="ABJ216" s="37"/>
      <c r="ABK216" s="37"/>
      <c r="ABL216" s="37"/>
      <c r="ABM216" s="37"/>
      <c r="ABN216" s="37"/>
      <c r="ABO216" s="37"/>
      <c r="ABP216" s="37"/>
      <c r="ABQ216" s="37"/>
      <c r="ABR216" s="37"/>
      <c r="ABS216" s="37"/>
      <c r="ABT216" s="37"/>
      <c r="ABU216" s="37"/>
      <c r="ABV216" s="37"/>
      <c r="ABW216" s="37"/>
      <c r="ABX216" s="37"/>
      <c r="ABY216" s="37"/>
      <c r="ABZ216" s="37"/>
      <c r="ACA216" s="37"/>
      <c r="ACB216" s="37"/>
      <c r="ACC216" s="37"/>
      <c r="ACD216" s="37"/>
      <c r="ACE216" s="37"/>
      <c r="ACF216" s="37"/>
      <c r="ACG216" s="37"/>
      <c r="ACH216" s="37"/>
      <c r="ACI216" s="37"/>
      <c r="ACJ216" s="37"/>
      <c r="ACK216" s="37"/>
      <c r="ACL216" s="37"/>
      <c r="ACM216" s="37"/>
      <c r="ACN216" s="37"/>
      <c r="ACO216" s="37"/>
      <c r="ACP216" s="37"/>
      <c r="ACQ216" s="37"/>
      <c r="ACR216" s="37"/>
      <c r="ACS216" s="37"/>
      <c r="ACT216" s="37"/>
      <c r="ACU216" s="37"/>
      <c r="ACV216" s="37"/>
      <c r="ACW216" s="37"/>
      <c r="ACX216" s="37"/>
      <c r="ACY216" s="37"/>
      <c r="ACZ216" s="37"/>
      <c r="ADA216" s="37"/>
      <c r="ADB216" s="37"/>
      <c r="ADC216" s="37"/>
      <c r="ADD216" s="37"/>
      <c r="ADE216" s="37"/>
      <c r="ADF216" s="37"/>
      <c r="ADG216" s="37"/>
      <c r="ADH216" s="37"/>
      <c r="ADI216" s="37"/>
      <c r="ADJ216" s="37"/>
      <c r="ADK216" s="37"/>
      <c r="ADL216" s="37"/>
      <c r="ADM216" s="37"/>
      <c r="ADN216" s="37"/>
      <c r="ADO216" s="37"/>
      <c r="ADP216" s="37"/>
      <c r="ADQ216" s="37"/>
      <c r="ADR216" s="37"/>
      <c r="ADS216" s="37"/>
      <c r="ADT216" s="37"/>
      <c r="ADU216" s="37"/>
      <c r="ADV216" s="37"/>
      <c r="ADW216" s="37"/>
      <c r="ADX216" s="37"/>
      <c r="ADY216" s="37"/>
      <c r="ADZ216" s="37"/>
      <c r="AEA216" s="37"/>
      <c r="AEB216" s="37"/>
      <c r="AEC216" s="37"/>
      <c r="AED216" s="37"/>
      <c r="AEE216" s="37"/>
      <c r="AEF216" s="37"/>
      <c r="AEG216" s="37"/>
      <c r="AEH216" s="37"/>
      <c r="AEI216" s="37"/>
      <c r="AEJ216" s="37"/>
      <c r="AEK216" s="37"/>
      <c r="AEL216" s="37"/>
      <c r="AEM216" s="37"/>
      <c r="AEN216" s="37"/>
      <c r="AEO216" s="37"/>
      <c r="AEP216" s="37"/>
      <c r="AEQ216" s="37"/>
      <c r="AER216" s="37"/>
      <c r="AES216" s="37"/>
      <c r="AET216" s="37"/>
      <c r="AEU216" s="37"/>
      <c r="AEV216" s="37"/>
      <c r="AEW216" s="37"/>
      <c r="AEX216" s="37"/>
      <c r="AEY216" s="37"/>
      <c r="AEZ216" s="37"/>
      <c r="AFA216" s="37"/>
      <c r="AFB216" s="37"/>
      <c r="AFC216" s="37"/>
      <c r="AFD216" s="37"/>
      <c r="AFE216" s="37"/>
      <c r="AFF216" s="37"/>
      <c r="AFG216" s="37"/>
      <c r="AFH216" s="37"/>
      <c r="AFI216" s="37"/>
      <c r="AFJ216" s="37"/>
      <c r="AFK216" s="37"/>
      <c r="AFL216" s="37"/>
      <c r="AFM216" s="37"/>
      <c r="AFN216" s="37"/>
      <c r="AFO216" s="37"/>
      <c r="AFP216" s="37"/>
      <c r="AFQ216" s="37"/>
      <c r="AFR216" s="37"/>
      <c r="AFS216" s="37"/>
      <c r="AFT216" s="37"/>
      <c r="AFU216" s="37"/>
      <c r="AFV216" s="37"/>
      <c r="AFW216" s="37"/>
      <c r="AFX216" s="37"/>
      <c r="AFY216" s="37"/>
      <c r="AFZ216" s="37"/>
      <c r="AGA216" s="37"/>
      <c r="AGB216" s="37"/>
      <c r="AGC216" s="37"/>
      <c r="AGD216" s="37"/>
      <c r="AGE216" s="37"/>
      <c r="AGF216" s="37"/>
      <c r="AGG216" s="37"/>
      <c r="AGH216" s="37"/>
      <c r="AGI216" s="37"/>
      <c r="AGJ216" s="37"/>
      <c r="AGK216" s="37"/>
      <c r="AGL216" s="37"/>
      <c r="AGM216" s="37"/>
      <c r="AGN216" s="37"/>
      <c r="AGO216" s="37"/>
      <c r="AGP216" s="37"/>
      <c r="AGQ216" s="37"/>
      <c r="AGR216" s="37"/>
      <c r="AGS216" s="37"/>
      <c r="AGT216" s="37"/>
      <c r="AGU216" s="37"/>
      <c r="AGV216" s="37"/>
      <c r="AGW216" s="37"/>
      <c r="AGX216" s="37"/>
      <c r="AGY216" s="37"/>
      <c r="AGZ216" s="37"/>
      <c r="AHA216" s="37"/>
      <c r="AHB216" s="37"/>
      <c r="AHC216" s="37"/>
      <c r="AHD216" s="37"/>
      <c r="AHE216" s="37"/>
      <c r="AHF216" s="37"/>
      <c r="AHG216" s="37"/>
      <c r="AHH216" s="37"/>
      <c r="AHI216" s="37"/>
      <c r="AHJ216" s="37"/>
      <c r="AHK216" s="37"/>
      <c r="AHL216" s="37"/>
      <c r="AHM216" s="37"/>
      <c r="AHN216" s="37"/>
      <c r="AHO216" s="37"/>
      <c r="AHP216" s="37"/>
      <c r="AHQ216" s="37"/>
      <c r="AHR216" s="37"/>
      <c r="AHS216" s="37"/>
      <c r="AHT216" s="37"/>
      <c r="AHU216" s="37"/>
      <c r="AHV216" s="37"/>
      <c r="AHW216" s="37"/>
      <c r="AHX216" s="37"/>
      <c r="AHY216" s="37"/>
      <c r="AHZ216" s="37"/>
      <c r="AIA216" s="37"/>
      <c r="AIB216" s="37"/>
      <c r="AIC216" s="37"/>
      <c r="AID216" s="37"/>
      <c r="AIE216" s="37"/>
      <c r="AIF216" s="37"/>
      <c r="AIG216" s="37"/>
      <c r="AIH216" s="37"/>
      <c r="AII216" s="37"/>
      <c r="AIJ216" s="37"/>
      <c r="AIK216" s="37"/>
      <c r="AIL216" s="37"/>
      <c r="AIM216" s="37"/>
      <c r="AIN216" s="37"/>
      <c r="AIO216" s="37"/>
      <c r="AIP216" s="37"/>
      <c r="AIQ216" s="37"/>
      <c r="AIR216" s="37"/>
      <c r="AIS216" s="37"/>
      <c r="AIT216" s="37"/>
      <c r="AIU216" s="37"/>
      <c r="AIV216" s="37"/>
      <c r="AIW216" s="37"/>
      <c r="AIX216" s="37"/>
      <c r="AIY216" s="37"/>
      <c r="AIZ216" s="37"/>
      <c r="AJA216" s="37"/>
      <c r="AJB216" s="37"/>
      <c r="AJC216" s="37"/>
      <c r="AJD216" s="37"/>
      <c r="AJE216" s="37"/>
      <c r="AJF216" s="37"/>
      <c r="AJG216" s="37"/>
      <c r="AJH216" s="37"/>
      <c r="AJI216" s="37"/>
      <c r="AJJ216" s="37"/>
      <c r="AJK216" s="37"/>
      <c r="AJL216" s="37"/>
      <c r="AJM216" s="37"/>
      <c r="AJN216" s="37"/>
      <c r="AJO216" s="37"/>
      <c r="AJP216" s="37"/>
      <c r="AJQ216" s="37"/>
      <c r="AJR216" s="37"/>
      <c r="AJS216" s="37"/>
      <c r="AJT216" s="37"/>
      <c r="AJU216" s="37"/>
      <c r="AJV216" s="37"/>
      <c r="AJW216" s="37"/>
      <c r="AJX216" s="37"/>
      <c r="AJY216" s="37"/>
      <c r="AJZ216" s="37"/>
      <c r="AKA216" s="37"/>
      <c r="AKB216" s="37"/>
      <c r="AKC216" s="37"/>
      <c r="AKD216" s="37"/>
      <c r="AKE216" s="37"/>
      <c r="AKF216" s="37"/>
      <c r="AKG216" s="37"/>
      <c r="AKH216" s="37"/>
      <c r="AKI216" s="37"/>
      <c r="AKJ216" s="37"/>
      <c r="AKK216" s="37"/>
      <c r="AKL216" s="37"/>
      <c r="AKM216" s="37"/>
      <c r="AKN216" s="37"/>
      <c r="AKO216" s="37"/>
      <c r="AKP216" s="37"/>
      <c r="AKQ216" s="37"/>
      <c r="AKR216" s="37"/>
      <c r="AKS216" s="37"/>
      <c r="AKT216" s="37"/>
      <c r="AKU216" s="37"/>
      <c r="AKV216" s="37"/>
      <c r="AKW216" s="37"/>
      <c r="AKX216" s="37"/>
      <c r="AKY216" s="37"/>
      <c r="AKZ216" s="37"/>
      <c r="ALA216" s="37"/>
      <c r="ALB216" s="37"/>
      <c r="ALC216" s="37"/>
      <c r="ALD216" s="37"/>
      <c r="ALE216" s="37"/>
      <c r="ALF216" s="37"/>
      <c r="ALG216" s="37"/>
      <c r="ALH216" s="37"/>
      <c r="ALI216" s="37"/>
      <c r="ALJ216" s="37"/>
      <c r="ALK216" s="37"/>
      <c r="ALL216" s="37"/>
      <c r="ALM216" s="37"/>
      <c r="ALN216" s="37"/>
      <c r="ALO216" s="37"/>
      <c r="ALP216" s="37"/>
      <c r="ALQ216" s="37"/>
      <c r="ALR216" s="37"/>
    </row>
    <row r="217" spans="2:1006" x14ac:dyDescent="0.35">
      <c r="E217" s="20" t="s">
        <v>348</v>
      </c>
      <c r="F217" s="45" t="s">
        <v>360</v>
      </c>
    </row>
    <row r="218" spans="2:1006" x14ac:dyDescent="0.35">
      <c r="E218" s="20" t="s">
        <v>347</v>
      </c>
      <c r="F218" s="45" t="s">
        <v>361</v>
      </c>
    </row>
    <row r="219" spans="2:1006" x14ac:dyDescent="0.35">
      <c r="E219" s="20" t="s">
        <v>349</v>
      </c>
      <c r="F219" s="45" t="s">
        <v>362</v>
      </c>
    </row>
    <row r="220" spans="2:1006" x14ac:dyDescent="0.35">
      <c r="E220" s="20" t="s">
        <v>346</v>
      </c>
      <c r="F220" s="45" t="s">
        <v>363</v>
      </c>
    </row>
    <row r="221" spans="2:1006" x14ac:dyDescent="0.35">
      <c r="E221" s="20" t="s">
        <v>364</v>
      </c>
      <c r="F221" s="20" t="s">
        <v>365</v>
      </c>
    </row>
  </sheetData>
  <conditionalFormatting sqref="A1:XFD1048576">
    <cfRule type="expression" dxfId="10" priority="9">
      <formula>AND(A1&lt;&gt;"",A1=FALSE)</formula>
    </cfRule>
    <cfRule type="expression" dxfId="9" priority="10">
      <formula>A1=TRUE</formula>
    </cfRule>
  </conditionalFormatting>
  <conditionalFormatting sqref="K8:AAA8">
    <cfRule type="expression" dxfId="8" priority="7">
      <formula>AND(K8=0,K8&lt;&gt;"")</formula>
    </cfRule>
    <cfRule type="expression" dxfId="7" priority="8">
      <formula>K8=1</formula>
    </cfRule>
  </conditionalFormatting>
  <conditionalFormatting sqref="K9:AAA9">
    <cfRule type="expression" dxfId="6" priority="5">
      <formula>AND(K9=0,K9&lt;&gt;"")</formula>
    </cfRule>
    <cfRule type="expression" dxfId="5" priority="6">
      <formula>K9=1</formula>
    </cfRule>
  </conditionalFormatting>
  <conditionalFormatting sqref="K10:AAA10">
    <cfRule type="expression" dxfId="4" priority="3">
      <formula>AND(K10=0,K10&lt;&gt;"")</formula>
    </cfRule>
    <cfRule type="expression" dxfId="3" priority="4">
      <formula>K10=1</formula>
    </cfRule>
  </conditionalFormatting>
  <conditionalFormatting sqref="K21:AAA21">
    <cfRule type="expression" dxfId="2" priority="1">
      <formula>AND(K21=0,K21&lt;&gt;"")</formula>
    </cfRule>
    <cfRule type="expression" dxfId="1" priority="2">
      <formula>K21=1</formula>
    </cfRule>
  </conditionalFormatting>
  <hyperlinks>
    <hyperlink ref="B2" location="'Contents'!D38" display="'Contents'!D38" xr:uid="{583668A4-7B71-47C2-894D-6F3616A24585}"/>
    <hyperlink ref="B12" location="'Contents'!D39" display="'Contents'!D39" xr:uid="{C30E4336-015B-46DC-B54C-43689772890E}"/>
    <hyperlink ref="B39" location="'Contents'!D40" display="'Contents'!D40" xr:uid="{CCAF9698-F7ED-4CE9-80B1-DFA91BAB1AA6}"/>
    <hyperlink ref="B71" location="'Contents'!D41" display="'Contents'!D41" xr:uid="{3553376D-16CB-438A-939A-7D1B317893FF}"/>
    <hyperlink ref="B99" location="'Contents'!D42" display="'Contents'!D42" xr:uid="{A6A4B3F4-DB59-44D7-8F09-1ABF30425BC0}"/>
    <hyperlink ref="B142" location="'Contents'!D43" display="'Contents'!D43" xr:uid="{5BF56089-D989-479B-9693-BDCAFA3529A5}"/>
    <hyperlink ref="B163" location="'Contents'!D44" display="'Contents'!D44" xr:uid="{F43BA71B-9F8D-4C7F-B027-6A4B6EF5E707}"/>
    <hyperlink ref="B204" location="'Contents'!D45" display="'Contents'!D45" xr:uid="{65585E64-6520-4368-8136-104A29E7E0C1}"/>
    <hyperlink ref="B216" location="'Contents'!D46" display="'Contents'!D46" xr:uid="{A4E74457-41D2-4B25-B7BD-79971186E610}"/>
    <hyperlink ref="A1" location="'Contents'!A1" display="'Contents'!A1" xr:uid="{261F8C16-2D73-44D1-AB2B-34A240111985}"/>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Check Box 1">
              <controlPr defaultSize="0" autoFill="0" autoLine="0" autoPict="0">
                <anchor moveWithCells="1">
                  <from>
                    <xdr:col>5</xdr:col>
                    <xdr:colOff>44450</xdr:colOff>
                    <xdr:row>107</xdr:row>
                    <xdr:rowOff>152400</xdr:rowOff>
                  </from>
                  <to>
                    <xdr:col>8</xdr:col>
                    <xdr:colOff>12700</xdr:colOff>
                    <xdr:row>109</xdr:row>
                    <xdr:rowOff>0</xdr:rowOff>
                  </to>
                </anchor>
              </controlPr>
            </control>
          </mc:Choice>
        </mc:AlternateContent>
        <mc:AlternateContent xmlns:mc="http://schemas.openxmlformats.org/markup-compatibility/2006">
          <mc:Choice Requires="x14">
            <control shapeId="22530" r:id="rId4" name="Check Box 2">
              <controlPr defaultSize="0" autoFill="0" autoLine="0" autoPict="0">
                <anchor moveWithCells="1">
                  <from>
                    <xdr:col>6</xdr:col>
                    <xdr:colOff>184150</xdr:colOff>
                    <xdr:row>1</xdr:row>
                    <xdr:rowOff>120650</xdr:rowOff>
                  </from>
                  <to>
                    <xdr:col>8</xdr:col>
                    <xdr:colOff>412750</xdr:colOff>
                    <xdr:row>3</xdr:row>
                    <xdr:rowOff>12700</xdr:rowOff>
                  </to>
                </anchor>
              </controlPr>
            </control>
          </mc:Choice>
        </mc:AlternateContent>
        <mc:AlternateContent xmlns:mc="http://schemas.openxmlformats.org/markup-compatibility/2006">
          <mc:Choice Requires="x14">
            <control shapeId="22531" r:id="rId5" name="Button 3">
              <controlPr defaultSize="0" print="0" autoFill="0" autoPict="0" macro="[0]!copy_repayment">
                <anchor moveWithCells="1" sizeWithCells="1">
                  <from>
                    <xdr:col>5</xdr:col>
                    <xdr:colOff>44450</xdr:colOff>
                    <xdr:row>110</xdr:row>
                    <xdr:rowOff>171450</xdr:rowOff>
                  </from>
                  <to>
                    <xdr:col>6</xdr:col>
                    <xdr:colOff>546100</xdr:colOff>
                    <xdr:row>113</xdr:row>
                    <xdr:rowOff>44450</xdr:rowOff>
                  </to>
                </anchor>
              </controlPr>
            </control>
          </mc:Choice>
        </mc:AlternateContent>
        <mc:AlternateContent xmlns:mc="http://schemas.openxmlformats.org/markup-compatibility/2006">
          <mc:Choice Requires="x14">
            <control shapeId="22532" r:id="rId6" name="Drop Down 4">
              <controlPr defaultSize="0" autoLine="0" autoPict="0">
                <anchor moveWithCells="1">
                  <from>
                    <xdr:col>4</xdr:col>
                    <xdr:colOff>977900</xdr:colOff>
                    <xdr:row>1</xdr:row>
                    <xdr:rowOff>38100</xdr:rowOff>
                  </from>
                  <to>
                    <xdr:col>5</xdr:col>
                    <xdr:colOff>6350</xdr:colOff>
                    <xdr:row>2</xdr:row>
                    <xdr:rowOff>63500</xdr:rowOff>
                  </to>
                </anchor>
              </controlPr>
            </control>
          </mc:Choice>
        </mc:AlternateContent>
        <mc:AlternateContent xmlns:mc="http://schemas.openxmlformats.org/markup-compatibility/2006">
          <mc:Choice Requires="x14">
            <control shapeId="22533" r:id="rId7" name="Check Box 5">
              <controlPr defaultSize="0" autoFill="0" autoLine="0" autoPict="0">
                <anchor moveWithCells="1">
                  <from>
                    <xdr:col>5</xdr:col>
                    <xdr:colOff>431800</xdr:colOff>
                    <xdr:row>5</xdr:row>
                    <xdr:rowOff>82550</xdr:rowOff>
                  </from>
                  <to>
                    <xdr:col>8</xdr:col>
                    <xdr:colOff>400050</xdr:colOff>
                    <xdr:row>6</xdr:row>
                    <xdr:rowOff>107950</xdr:rowOff>
                  </to>
                </anchor>
              </controlPr>
            </control>
          </mc:Choice>
        </mc:AlternateContent>
        <mc:AlternateContent xmlns:mc="http://schemas.openxmlformats.org/markup-compatibility/2006">
          <mc:Choice Requires="x14">
            <control shapeId="22534" r:id="rId8" name="Drop Down 6">
              <controlPr defaultSize="0" autoLine="0" autoPict="0">
                <anchor moveWithCells="1">
                  <from>
                    <xdr:col>5</xdr:col>
                    <xdr:colOff>514350</xdr:colOff>
                    <xdr:row>11</xdr:row>
                    <xdr:rowOff>63500</xdr:rowOff>
                  </from>
                  <to>
                    <xdr:col>6</xdr:col>
                    <xdr:colOff>762000</xdr:colOff>
                    <xdr:row>12</xdr:row>
                    <xdr:rowOff>88900</xdr:rowOff>
                  </to>
                </anchor>
              </controlPr>
            </control>
          </mc:Choice>
        </mc:AlternateContent>
        <mc:AlternateContent xmlns:mc="http://schemas.openxmlformats.org/markup-compatibility/2006">
          <mc:Choice Requires="x14">
            <control shapeId="22537" r:id="rId9" name="Button 9">
              <controlPr defaultSize="0" print="0" autoFill="0" autoPict="0" macro="[0]!copy_paste">
                <anchor moveWithCells="1" sizeWithCells="1">
                  <from>
                    <xdr:col>8</xdr:col>
                    <xdr:colOff>419100</xdr:colOff>
                    <xdr:row>1</xdr:row>
                    <xdr:rowOff>88900</xdr:rowOff>
                  </from>
                  <to>
                    <xdr:col>9</xdr:col>
                    <xdr:colOff>260350</xdr:colOff>
                    <xdr:row>3</xdr:row>
                    <xdr:rowOff>0</xdr:rowOff>
                  </to>
                </anchor>
              </controlPr>
            </control>
          </mc:Choice>
        </mc:AlternateContent>
        <mc:AlternateContent xmlns:mc="http://schemas.openxmlformats.org/markup-compatibility/2006">
          <mc:Choice Requires="x14">
            <control shapeId="22538" r:id="rId10" name="Button 10">
              <controlPr defaultSize="0" print="0" autoFill="0" autoPict="0" macro="[0]!copy_repayment">
                <anchor moveWithCells="1" sizeWithCells="1">
                  <from>
                    <xdr:col>7</xdr:col>
                    <xdr:colOff>254000</xdr:colOff>
                    <xdr:row>11</xdr:row>
                    <xdr:rowOff>63500</xdr:rowOff>
                  </from>
                  <to>
                    <xdr:col>8</xdr:col>
                    <xdr:colOff>298450</xdr:colOff>
                    <xdr:row>12</xdr:row>
                    <xdr:rowOff>82550</xdr:rowOff>
                  </to>
                </anchor>
              </controlPr>
            </control>
          </mc:Choice>
        </mc:AlternateContent>
        <mc:AlternateContent xmlns:mc="http://schemas.openxmlformats.org/markup-compatibility/2006">
          <mc:Choice Requires="x14">
            <control shapeId="22599" r:id="rId11" name="Spinner 71">
              <controlPr defaultSize="0" autoPict="0">
                <anchor moveWithCells="1" sizeWithCells="1">
                  <from>
                    <xdr:col>6</xdr:col>
                    <xdr:colOff>57150</xdr:colOff>
                    <xdr:row>114</xdr:row>
                    <xdr:rowOff>165100</xdr:rowOff>
                  </from>
                  <to>
                    <xdr:col>6</xdr:col>
                    <xdr:colOff>311150</xdr:colOff>
                    <xdr:row>115</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3D15F-34DE-48D6-8ABF-56CDBB8C74A4}">
  <sheetPr codeName="Sheet1">
    <tabColor rgb="FFFF0000"/>
  </sheetPr>
  <dimension ref="A1:AS28"/>
  <sheetViews>
    <sheetView showGridLines="0" zoomScale="80" zoomScaleNormal="80" workbookViewId="0">
      <pane xSplit="4" ySplit="4" topLeftCell="E5" activePane="bottomRight" state="frozen"/>
      <selection pane="topRight" activeCell="E1" sqref="E1"/>
      <selection pane="bottomLeft" activeCell="A5" sqref="A5"/>
      <selection pane="bottomRight"/>
    </sheetView>
  </sheetViews>
  <sheetFormatPr defaultRowHeight="14.5" x14ac:dyDescent="0.35"/>
  <cols>
    <col min="1" max="3" width="2.54296875" customWidth="1"/>
    <col min="4" max="4" width="16.81640625" customWidth="1"/>
    <col min="5" max="18" width="11.81640625" customWidth="1"/>
  </cols>
  <sheetData>
    <row r="1" spans="1:20" x14ac:dyDescent="0.35">
      <c r="A1" t="s">
        <v>451</v>
      </c>
    </row>
    <row r="2" spans="1:20" x14ac:dyDescent="0.35">
      <c r="D2" t="s">
        <v>33</v>
      </c>
      <c r="E2">
        <v>1</v>
      </c>
    </row>
    <row r="3" spans="1:20" x14ac:dyDescent="0.35">
      <c r="K3" t="s">
        <v>55</v>
      </c>
    </row>
    <row r="4" spans="1:20" s="7" customFormat="1" ht="43.5" x14ac:dyDescent="0.35">
      <c r="D4" s="8"/>
      <c r="E4" s="12" t="s">
        <v>0</v>
      </c>
      <c r="F4" s="12" t="s">
        <v>1</v>
      </c>
      <c r="G4" s="12" t="s">
        <v>2</v>
      </c>
      <c r="H4" s="12" t="s">
        <v>3</v>
      </c>
      <c r="I4" s="12" t="s">
        <v>4</v>
      </c>
      <c r="J4" s="12" t="s">
        <v>54</v>
      </c>
      <c r="K4" s="12" t="s">
        <v>5</v>
      </c>
      <c r="L4" s="12" t="s">
        <v>6</v>
      </c>
      <c r="M4" s="12" t="s">
        <v>7</v>
      </c>
      <c r="N4" s="12"/>
      <c r="O4" s="12" t="s">
        <v>8</v>
      </c>
      <c r="P4" s="12" t="s">
        <v>9</v>
      </c>
      <c r="Q4" s="12" t="s">
        <v>10</v>
      </c>
      <c r="R4" s="12" t="s">
        <v>4</v>
      </c>
      <c r="S4" s="8"/>
      <c r="T4" s="8"/>
    </row>
    <row r="5" spans="1:20" x14ac:dyDescent="0.35">
      <c r="C5">
        <v>1</v>
      </c>
      <c r="D5" s="1" t="s">
        <v>11</v>
      </c>
      <c r="E5" s="1">
        <v>417191.22</v>
      </c>
      <c r="F5" s="1">
        <v>3202</v>
      </c>
      <c r="G5" s="1">
        <v>1386.90408</v>
      </c>
      <c r="H5" s="1">
        <v>3122.8032710747643</v>
      </c>
      <c r="I5" s="1">
        <v>424902.92735107476</v>
      </c>
      <c r="J5" s="1">
        <f>I5/K5</f>
        <v>698.85349893268869</v>
      </c>
      <c r="K5" s="1">
        <v>608</v>
      </c>
      <c r="L5" s="2">
        <v>4.0000000000000001E-3</v>
      </c>
      <c r="M5" s="1">
        <v>1463.4069999999999</v>
      </c>
      <c r="N5" s="2"/>
      <c r="O5" s="1">
        <v>500</v>
      </c>
      <c r="P5" s="1">
        <v>913.42068399999994</v>
      </c>
      <c r="Q5" s="1">
        <v>2432.2319999999995</v>
      </c>
      <c r="R5" s="1">
        <v>3845.6526839999997</v>
      </c>
      <c r="S5" s="3"/>
      <c r="T5" s="1"/>
    </row>
    <row r="6" spans="1:20" x14ac:dyDescent="0.35">
      <c r="C6">
        <v>2</v>
      </c>
      <c r="D6" s="1" t="s">
        <v>12</v>
      </c>
      <c r="E6" s="1">
        <v>417191.22</v>
      </c>
      <c r="F6" s="1">
        <v>3202</v>
      </c>
      <c r="G6" s="1">
        <v>1386.90408</v>
      </c>
      <c r="H6" s="1">
        <v>3122.8032710747643</v>
      </c>
      <c r="I6" s="1">
        <v>424902.92735107476</v>
      </c>
      <c r="J6" s="1">
        <f t="shared" ref="J6:J8" si="0">I6/K6</f>
        <v>698.85349893268869</v>
      </c>
      <c r="K6" s="1">
        <v>608</v>
      </c>
      <c r="L6" s="2">
        <v>4.0000000000000001E-3</v>
      </c>
      <c r="M6" s="1">
        <v>1352.8520415314672</v>
      </c>
      <c r="N6" s="2"/>
      <c r="O6" s="1">
        <v>500</v>
      </c>
      <c r="P6" s="1">
        <v>913.42068399999994</v>
      </c>
      <c r="Q6" s="1">
        <v>2432.2319999999995</v>
      </c>
      <c r="R6" s="1">
        <v>3845.6526839999997</v>
      </c>
      <c r="S6" s="3"/>
      <c r="T6" s="1"/>
    </row>
    <row r="7" spans="1:20" x14ac:dyDescent="0.35">
      <c r="C7">
        <v>3</v>
      </c>
      <c r="D7" s="1" t="s">
        <v>13</v>
      </c>
      <c r="E7" s="1">
        <v>464636.88631578954</v>
      </c>
      <c r="F7" s="1">
        <v>3202</v>
      </c>
      <c r="G7" s="1">
        <v>1245.57366</v>
      </c>
      <c r="H7" s="1">
        <v>3122.8032710747643</v>
      </c>
      <c r="I7" s="1">
        <v>472207.26324686431</v>
      </c>
      <c r="J7" s="1">
        <f t="shared" si="0"/>
        <v>665.08065246037222</v>
      </c>
      <c r="K7" s="1">
        <v>710</v>
      </c>
      <c r="L7" s="2">
        <v>4.0000000000000001E-3</v>
      </c>
      <c r="M7" s="1">
        <v>1510.7129015932799</v>
      </c>
      <c r="N7" s="2"/>
      <c r="O7" s="1">
        <v>500</v>
      </c>
      <c r="P7" s="1">
        <v>1017.062992</v>
      </c>
      <c r="Q7" s="1">
        <v>2842.4879999999998</v>
      </c>
      <c r="R7" s="1">
        <v>4359.5509920000004</v>
      </c>
      <c r="S7" s="3"/>
      <c r="T7" s="1"/>
    </row>
    <row r="8" spans="1:20" x14ac:dyDescent="0.35">
      <c r="C8">
        <v>4</v>
      </c>
      <c r="D8" s="1" t="s">
        <v>14</v>
      </c>
      <c r="E8" s="1">
        <v>464636.88631578954</v>
      </c>
      <c r="F8" s="1">
        <v>3202</v>
      </c>
      <c r="G8" s="1">
        <v>1386.90408</v>
      </c>
      <c r="H8" s="1">
        <v>3122.8032710747643</v>
      </c>
      <c r="I8" s="1">
        <v>472348.59366686433</v>
      </c>
      <c r="J8" s="1">
        <f t="shared" si="0"/>
        <v>665.27970938994974</v>
      </c>
      <c r="K8" s="1">
        <v>710</v>
      </c>
      <c r="L8" s="2">
        <v>4.0000000000000001E-3</v>
      </c>
      <c r="M8" s="1">
        <v>1426.8791966725753</v>
      </c>
      <c r="N8" s="2"/>
      <c r="O8" s="1">
        <v>500</v>
      </c>
      <c r="P8" s="1">
        <v>1017.062992</v>
      </c>
      <c r="Q8" s="1">
        <v>2842.4879999999998</v>
      </c>
      <c r="R8" s="1">
        <v>4359.5509920000004</v>
      </c>
      <c r="S8" s="3"/>
      <c r="T8" s="1"/>
    </row>
    <row r="10" spans="1:20" x14ac:dyDescent="0.35">
      <c r="D10" s="6" t="str">
        <f>INDEX(D5:D8,$E$2)</f>
        <v>Bifacial P50</v>
      </c>
      <c r="E10" s="6">
        <f>INDEX(E5:E8,$E$2)</f>
        <v>417191.22</v>
      </c>
      <c r="F10" s="6">
        <f t="shared" ref="F10:R10" si="1">INDEX(F5:F8,$E$2)</f>
        <v>3202</v>
      </c>
      <c r="G10" s="6">
        <f t="shared" si="1"/>
        <v>1386.90408</v>
      </c>
      <c r="H10" s="6">
        <f t="shared" si="1"/>
        <v>3122.8032710747643</v>
      </c>
      <c r="I10" s="6">
        <f t="shared" si="1"/>
        <v>424902.92735107476</v>
      </c>
      <c r="J10" s="6">
        <f>INDEX(J5:J8,$E$2)</f>
        <v>698.85349893268869</v>
      </c>
      <c r="K10" s="6">
        <f t="shared" si="1"/>
        <v>608</v>
      </c>
      <c r="L10" s="6">
        <f t="shared" si="1"/>
        <v>4.0000000000000001E-3</v>
      </c>
      <c r="M10" s="6">
        <f t="shared" si="1"/>
        <v>1463.4069999999999</v>
      </c>
      <c r="N10" s="6">
        <f t="shared" si="1"/>
        <v>0</v>
      </c>
      <c r="O10" s="6">
        <f>INDEX(O5:O8,$E$2)</f>
        <v>500</v>
      </c>
      <c r="P10" s="6">
        <f t="shared" si="1"/>
        <v>913.42068399999994</v>
      </c>
      <c r="Q10" s="6">
        <f t="shared" si="1"/>
        <v>2432.2319999999995</v>
      </c>
      <c r="R10" s="6">
        <f t="shared" si="1"/>
        <v>3845.6526839999997</v>
      </c>
    </row>
    <row r="11" spans="1:20" x14ac:dyDescent="0.35">
      <c r="D11" s="11" t="s">
        <v>56</v>
      </c>
      <c r="E11" s="9">
        <f>E10/$J$10</f>
        <v>596.96520177282889</v>
      </c>
      <c r="F11" s="9">
        <f>F10/$J$10</f>
        <v>4.5817900388138524</v>
      </c>
      <c r="G11" s="9">
        <f>G10/$J$10</f>
        <v>1.9845419420781667</v>
      </c>
      <c r="H11" s="9">
        <f>H10/$J$10</f>
        <v>4.4684662462790969</v>
      </c>
      <c r="I11" s="9">
        <f>I10/$J$10</f>
        <v>608</v>
      </c>
      <c r="J11" s="9"/>
      <c r="K11" s="9"/>
      <c r="L11" s="9"/>
      <c r="M11" s="9"/>
      <c r="N11" s="9"/>
      <c r="O11" s="10">
        <f>O10/$K$10</f>
        <v>0.82236842105263153</v>
      </c>
      <c r="P11" s="10">
        <f t="shared" ref="P11:R11" si="2">P10/$K$10</f>
        <v>1.5023366513157894</v>
      </c>
      <c r="Q11" s="10">
        <f t="shared" si="2"/>
        <v>4.0003815789473673</v>
      </c>
      <c r="R11" s="10">
        <f t="shared" si="2"/>
        <v>6.3250866513157886</v>
      </c>
    </row>
    <row r="14" spans="1:20" x14ac:dyDescent="0.35">
      <c r="D14" s="1" t="s">
        <v>15</v>
      </c>
      <c r="E14">
        <v>30</v>
      </c>
    </row>
    <row r="16" spans="1:20" x14ac:dyDescent="0.35">
      <c r="D16" t="s">
        <v>16</v>
      </c>
      <c r="E16" s="4">
        <v>0.15</v>
      </c>
    </row>
    <row r="17" spans="4:45" x14ac:dyDescent="0.35">
      <c r="D17" t="s">
        <v>17</v>
      </c>
      <c r="E17" s="4">
        <v>0.309</v>
      </c>
    </row>
    <row r="19" spans="4:45" x14ac:dyDescent="0.35">
      <c r="D19" t="s">
        <v>22</v>
      </c>
      <c r="E19" s="4">
        <v>0.02</v>
      </c>
    </row>
    <row r="21" spans="4:45" x14ac:dyDescent="0.35">
      <c r="E21" s="5">
        <v>1</v>
      </c>
      <c r="F21">
        <v>2</v>
      </c>
      <c r="G21">
        <v>5</v>
      </c>
      <c r="H21">
        <v>10</v>
      </c>
    </row>
    <row r="22" spans="4:45" x14ac:dyDescent="0.35">
      <c r="D22" t="s">
        <v>6</v>
      </c>
      <c r="E22" s="4">
        <v>7.0000000000000001E-3</v>
      </c>
      <c r="F22" s="4">
        <v>5.0000000000000001E-3</v>
      </c>
      <c r="G22" s="4">
        <v>4.0000000000000001E-3</v>
      </c>
      <c r="H22" s="4">
        <v>3.5000000000000001E-3</v>
      </c>
    </row>
    <row r="23" spans="4:45" x14ac:dyDescent="0.35">
      <c r="F23">
        <v>1</v>
      </c>
      <c r="G23">
        <v>2</v>
      </c>
      <c r="H23">
        <v>3</v>
      </c>
      <c r="I23">
        <v>4</v>
      </c>
      <c r="J23">
        <v>5</v>
      </c>
      <c r="K23">
        <v>6</v>
      </c>
      <c r="L23">
        <v>7</v>
      </c>
      <c r="M23">
        <v>8</v>
      </c>
      <c r="N23">
        <v>9</v>
      </c>
      <c r="O23">
        <v>10</v>
      </c>
      <c r="P23">
        <v>11</v>
      </c>
      <c r="Q23">
        <v>12</v>
      </c>
      <c r="R23">
        <v>13</v>
      </c>
      <c r="S23">
        <v>14</v>
      </c>
      <c r="T23">
        <v>15</v>
      </c>
      <c r="U23">
        <v>16</v>
      </c>
      <c r="V23">
        <v>17</v>
      </c>
      <c r="W23">
        <v>18</v>
      </c>
      <c r="X23">
        <v>19</v>
      </c>
      <c r="Y23">
        <v>20</v>
      </c>
      <c r="Z23">
        <v>21</v>
      </c>
      <c r="AA23">
        <v>22</v>
      </c>
      <c r="AB23">
        <v>23</v>
      </c>
      <c r="AC23">
        <v>24</v>
      </c>
      <c r="AD23">
        <v>25</v>
      </c>
      <c r="AE23">
        <v>26</v>
      </c>
      <c r="AF23">
        <v>27</v>
      </c>
      <c r="AG23">
        <v>28</v>
      </c>
      <c r="AH23">
        <v>29</v>
      </c>
      <c r="AI23">
        <v>30</v>
      </c>
      <c r="AJ23">
        <v>31</v>
      </c>
      <c r="AK23">
        <v>32</v>
      </c>
      <c r="AL23">
        <v>33</v>
      </c>
      <c r="AM23">
        <v>34</v>
      </c>
      <c r="AN23">
        <v>35</v>
      </c>
      <c r="AO23">
        <v>36</v>
      </c>
      <c r="AP23">
        <v>37</v>
      </c>
      <c r="AQ23">
        <v>38</v>
      </c>
      <c r="AR23">
        <v>39</v>
      </c>
      <c r="AS23">
        <v>40</v>
      </c>
    </row>
    <row r="24" spans="4:45" x14ac:dyDescent="0.35">
      <c r="D24" t="s">
        <v>49</v>
      </c>
      <c r="F24" s="4">
        <v>0.02</v>
      </c>
      <c r="G24" s="4">
        <v>0.02</v>
      </c>
      <c r="H24" s="4">
        <v>0.02</v>
      </c>
      <c r="I24" s="4">
        <v>0.02</v>
      </c>
      <c r="J24" s="4">
        <v>0.02</v>
      </c>
      <c r="K24" s="4">
        <v>0.02</v>
      </c>
      <c r="L24" s="4">
        <v>0.02</v>
      </c>
      <c r="M24" s="4">
        <v>0.02</v>
      </c>
      <c r="N24" s="4">
        <v>0.02</v>
      </c>
      <c r="O24" s="4">
        <v>0.02</v>
      </c>
      <c r="P24" s="4">
        <v>0.02</v>
      </c>
      <c r="Q24" s="4">
        <v>0.02</v>
      </c>
      <c r="R24" s="4">
        <v>0.02</v>
      </c>
      <c r="S24" s="4">
        <v>0.02</v>
      </c>
      <c r="T24" s="4">
        <v>0.02</v>
      </c>
      <c r="U24" s="4">
        <v>0.02</v>
      </c>
      <c r="V24" s="4">
        <v>0.02</v>
      </c>
      <c r="W24" s="4">
        <v>0.02</v>
      </c>
      <c r="X24" s="4">
        <v>0.02</v>
      </c>
      <c r="Y24" s="4">
        <v>0.02</v>
      </c>
      <c r="Z24" s="4">
        <v>0.02</v>
      </c>
      <c r="AA24" s="4">
        <v>0.02</v>
      </c>
      <c r="AB24" s="4">
        <v>0.02</v>
      </c>
      <c r="AC24" s="4">
        <v>0.02</v>
      </c>
      <c r="AD24" s="4">
        <v>0.02</v>
      </c>
      <c r="AE24" s="4">
        <v>0.02</v>
      </c>
      <c r="AF24" s="4">
        <v>0.02</v>
      </c>
      <c r="AG24" s="4">
        <v>0.02</v>
      </c>
      <c r="AH24" s="4">
        <v>0.02</v>
      </c>
      <c r="AI24" s="4">
        <v>0.02</v>
      </c>
      <c r="AJ24" s="4">
        <v>0.02</v>
      </c>
      <c r="AK24" s="4">
        <v>0.02</v>
      </c>
      <c r="AL24" s="4">
        <v>0.02</v>
      </c>
      <c r="AM24" s="4">
        <v>0.02</v>
      </c>
      <c r="AN24" s="4">
        <v>0.02</v>
      </c>
      <c r="AO24" s="4">
        <v>0.02</v>
      </c>
      <c r="AP24" s="4">
        <v>0.02</v>
      </c>
      <c r="AQ24" s="4">
        <v>0.02</v>
      </c>
      <c r="AR24" s="4">
        <v>0.02</v>
      </c>
      <c r="AS24" s="4">
        <v>0.02</v>
      </c>
    </row>
    <row r="25" spans="4:45" x14ac:dyDescent="0.35">
      <c r="D25" t="s">
        <v>50</v>
      </c>
      <c r="F25" s="4">
        <v>0.06</v>
      </c>
      <c r="G25" s="4">
        <v>0.06</v>
      </c>
      <c r="H25" s="4">
        <v>0.06</v>
      </c>
      <c r="I25" s="4">
        <v>0.06</v>
      </c>
      <c r="J25" s="4">
        <v>0.06</v>
      </c>
      <c r="K25" s="4">
        <v>0.06</v>
      </c>
      <c r="L25" s="4">
        <v>0.06</v>
      </c>
      <c r="M25" s="4">
        <v>0.06</v>
      </c>
      <c r="N25" s="4">
        <v>0.06</v>
      </c>
      <c r="O25" s="4">
        <v>0.06</v>
      </c>
      <c r="P25" s="4">
        <v>0.06</v>
      </c>
      <c r="Q25" s="4">
        <v>0.06</v>
      </c>
      <c r="R25" s="4">
        <v>0.06</v>
      </c>
      <c r="S25" s="4">
        <v>0.06</v>
      </c>
      <c r="T25" s="4">
        <v>0.06</v>
      </c>
      <c r="U25" s="4">
        <v>0.06</v>
      </c>
      <c r="V25" s="4">
        <v>0.06</v>
      </c>
      <c r="W25" s="4">
        <v>0.06</v>
      </c>
      <c r="X25" s="4">
        <v>0.06</v>
      </c>
      <c r="Y25" s="4">
        <v>0.06</v>
      </c>
      <c r="Z25" s="4">
        <v>0.06</v>
      </c>
      <c r="AA25" s="4">
        <v>0.06</v>
      </c>
      <c r="AB25" s="4">
        <v>0.06</v>
      </c>
      <c r="AC25" s="4">
        <v>0.06</v>
      </c>
      <c r="AD25" s="4">
        <v>0.06</v>
      </c>
      <c r="AE25" s="4">
        <v>0.06</v>
      </c>
      <c r="AF25" s="4">
        <v>0.06</v>
      </c>
      <c r="AG25" s="4">
        <v>0.06</v>
      </c>
      <c r="AH25" s="4">
        <v>0.06</v>
      </c>
      <c r="AI25" s="4">
        <v>0.06</v>
      </c>
      <c r="AJ25" s="4">
        <v>0.06</v>
      </c>
      <c r="AK25" s="4">
        <v>0.06</v>
      </c>
      <c r="AL25" s="4">
        <v>0.06</v>
      </c>
      <c r="AM25" s="4">
        <v>0.06</v>
      </c>
      <c r="AN25" s="4">
        <v>0.06</v>
      </c>
      <c r="AO25" s="4">
        <v>0.06</v>
      </c>
      <c r="AP25" s="4">
        <v>0.06</v>
      </c>
      <c r="AQ25" s="4">
        <v>0.06</v>
      </c>
      <c r="AR25" s="4">
        <v>0.06</v>
      </c>
      <c r="AS25" s="4">
        <v>0.06</v>
      </c>
    </row>
    <row r="26" spans="4:45" x14ac:dyDescent="0.35">
      <c r="D26" t="s">
        <v>51</v>
      </c>
      <c r="E26" s="5">
        <v>139.87</v>
      </c>
      <c r="F26">
        <f>E26*(1+F25)/(1+F24)</f>
        <v>145.3550980392157</v>
      </c>
      <c r="G26">
        <f t="shared" ref="G26:AS26" si="3">F26*(1+G25)/(1+G24)</f>
        <v>151.05529796232219</v>
      </c>
      <c r="H26">
        <f t="shared" si="3"/>
        <v>156.97903513731521</v>
      </c>
      <c r="I26">
        <f t="shared" si="3"/>
        <v>163.13507573093543</v>
      </c>
      <c r="J26">
        <f t="shared" si="3"/>
        <v>169.53252968116817</v>
      </c>
      <c r="K26">
        <f t="shared" si="3"/>
        <v>176.18086417846888</v>
      </c>
      <c r="L26">
        <f t="shared" si="3"/>
        <v>183.08991767566374</v>
      </c>
      <c r="M26">
        <f t="shared" si="3"/>
        <v>190.2699144472584</v>
      </c>
      <c r="N26">
        <f t="shared" si="3"/>
        <v>197.73147971969993</v>
      </c>
      <c r="O26">
        <f t="shared" si="3"/>
        <v>205.4856553949823</v>
      </c>
      <c r="P26">
        <f t="shared" si="3"/>
        <v>213.54391639086396</v>
      </c>
      <c r="Q26">
        <f t="shared" si="3"/>
        <v>221.91818762187825</v>
      </c>
      <c r="R26">
        <f t="shared" si="3"/>
        <v>230.62086164626564</v>
      </c>
      <c r="S26">
        <f t="shared" si="3"/>
        <v>239.66481700494273</v>
      </c>
      <c r="T26">
        <f t="shared" si="3"/>
        <v>249.06343727964639</v>
      </c>
      <c r="U26">
        <f t="shared" si="3"/>
        <v>258.83063089845609</v>
      </c>
      <c r="V26">
        <f t="shared" si="3"/>
        <v>268.98085171800341</v>
      </c>
      <c r="W26">
        <f t="shared" si="3"/>
        <v>279.52912041282713</v>
      </c>
      <c r="X26">
        <f t="shared" si="3"/>
        <v>290.49104670352619</v>
      </c>
      <c r="Y26">
        <f t="shared" si="3"/>
        <v>301.88285245660563</v>
      </c>
      <c r="Z26">
        <f t="shared" si="3"/>
        <v>313.72139569019805</v>
      </c>
      <c r="AA26">
        <f t="shared" si="3"/>
        <v>326.02419552118624</v>
      </c>
      <c r="AB26">
        <f t="shared" si="3"/>
        <v>338.80945809064451</v>
      </c>
      <c r="AC26">
        <f t="shared" si="3"/>
        <v>352.09610350596392</v>
      </c>
      <c r="AD26">
        <f t="shared" si="3"/>
        <v>365.90379383953115</v>
      </c>
      <c r="AE26">
        <f t="shared" si="3"/>
        <v>380.25296222539509</v>
      </c>
      <c r="AF26">
        <f t="shared" si="3"/>
        <v>395.16484309697927</v>
      </c>
      <c r="AG26">
        <f t="shared" si="3"/>
        <v>410.66150361058629</v>
      </c>
      <c r="AH26">
        <f t="shared" si="3"/>
        <v>426.76587630119752</v>
      </c>
      <c r="AI26">
        <f t="shared" si="3"/>
        <v>443.50179301889159</v>
      </c>
      <c r="AJ26">
        <f t="shared" si="3"/>
        <v>460.89402019610299</v>
      </c>
      <c r="AK26">
        <f t="shared" si="3"/>
        <v>478.96829549791096</v>
      </c>
      <c r="AL26">
        <f t="shared" si="3"/>
        <v>497.7513659095938</v>
      </c>
      <c r="AM26">
        <f t="shared" si="3"/>
        <v>517.27102731781315</v>
      </c>
      <c r="AN26">
        <f t="shared" si="3"/>
        <v>537.55616564400191</v>
      </c>
      <c r="AO26">
        <f t="shared" si="3"/>
        <v>558.6367995908256</v>
      </c>
      <c r="AP26">
        <f t="shared" si="3"/>
        <v>580.54412506497556</v>
      </c>
      <c r="AQ26">
        <f t="shared" si="3"/>
        <v>603.31056134203345</v>
      </c>
      <c r="AR26">
        <f t="shared" si="3"/>
        <v>626.96979904172099</v>
      </c>
      <c r="AS26">
        <f t="shared" si="3"/>
        <v>651.55684998453353</v>
      </c>
    </row>
    <row r="27" spans="4:45" x14ac:dyDescent="0.35">
      <c r="D27" t="s">
        <v>52</v>
      </c>
      <c r="F27" s="5">
        <v>1</v>
      </c>
      <c r="G27" s="5">
        <v>1</v>
      </c>
      <c r="H27" s="5">
        <v>1</v>
      </c>
      <c r="I27" s="5">
        <v>1</v>
      </c>
      <c r="J27" s="5">
        <v>1</v>
      </c>
      <c r="K27" s="5">
        <v>1</v>
      </c>
      <c r="L27" s="5">
        <v>1</v>
      </c>
      <c r="M27" s="5">
        <v>1</v>
      </c>
      <c r="N27" s="5">
        <v>1</v>
      </c>
      <c r="O27" s="5">
        <v>1</v>
      </c>
      <c r="P27" s="5">
        <v>1</v>
      </c>
      <c r="Q27" s="5">
        <v>1</v>
      </c>
      <c r="R27" s="5">
        <v>1</v>
      </c>
      <c r="S27" s="5">
        <v>1</v>
      </c>
      <c r="T27" s="5">
        <v>1</v>
      </c>
      <c r="U27" s="5">
        <v>1</v>
      </c>
      <c r="V27" s="5">
        <v>1</v>
      </c>
      <c r="W27" s="5">
        <v>1</v>
      </c>
      <c r="X27" s="5">
        <v>1</v>
      </c>
      <c r="Y27" s="5">
        <v>1</v>
      </c>
      <c r="Z27" s="5">
        <v>1</v>
      </c>
      <c r="AA27" s="5">
        <v>1</v>
      </c>
      <c r="AB27" s="5">
        <v>1</v>
      </c>
      <c r="AC27" s="5">
        <v>1</v>
      </c>
      <c r="AD27" s="5">
        <v>1</v>
      </c>
      <c r="AE27" s="5">
        <v>1</v>
      </c>
      <c r="AF27" s="5">
        <v>1</v>
      </c>
      <c r="AG27" s="5">
        <v>1</v>
      </c>
      <c r="AH27" s="5">
        <v>1</v>
      </c>
      <c r="AI27" s="5">
        <v>1</v>
      </c>
      <c r="AJ27" s="5">
        <v>1</v>
      </c>
      <c r="AK27" s="5">
        <v>1</v>
      </c>
      <c r="AL27" s="5">
        <v>1</v>
      </c>
      <c r="AM27" s="5">
        <v>1</v>
      </c>
      <c r="AN27" s="5">
        <v>1</v>
      </c>
      <c r="AO27" s="5">
        <v>1</v>
      </c>
      <c r="AP27" s="5">
        <v>1</v>
      </c>
      <c r="AQ27" s="5">
        <v>1</v>
      </c>
      <c r="AR27" s="5">
        <v>1</v>
      </c>
      <c r="AS27" s="5">
        <v>1</v>
      </c>
    </row>
    <row r="28" spans="4:45" x14ac:dyDescent="0.35">
      <c r="D28" t="s">
        <v>53</v>
      </c>
      <c r="F28">
        <f>F26*F27</f>
        <v>145.3550980392157</v>
      </c>
      <c r="G28">
        <f t="shared" ref="G28:AS28" si="4">G26*G27</f>
        <v>151.05529796232219</v>
      </c>
      <c r="H28">
        <f t="shared" si="4"/>
        <v>156.97903513731521</v>
      </c>
      <c r="I28">
        <f t="shared" si="4"/>
        <v>163.13507573093543</v>
      </c>
      <c r="J28">
        <f t="shared" si="4"/>
        <v>169.53252968116817</v>
      </c>
      <c r="K28">
        <f t="shared" si="4"/>
        <v>176.18086417846888</v>
      </c>
      <c r="L28">
        <f t="shared" si="4"/>
        <v>183.08991767566374</v>
      </c>
      <c r="M28">
        <f t="shared" si="4"/>
        <v>190.2699144472584</v>
      </c>
      <c r="N28">
        <f t="shared" si="4"/>
        <v>197.73147971969993</v>
      </c>
      <c r="O28">
        <f t="shared" si="4"/>
        <v>205.4856553949823</v>
      </c>
      <c r="P28">
        <f t="shared" si="4"/>
        <v>213.54391639086396</v>
      </c>
      <c r="Q28">
        <f t="shared" si="4"/>
        <v>221.91818762187825</v>
      </c>
      <c r="R28">
        <f t="shared" si="4"/>
        <v>230.62086164626564</v>
      </c>
      <c r="S28">
        <f t="shared" si="4"/>
        <v>239.66481700494273</v>
      </c>
      <c r="T28">
        <f t="shared" si="4"/>
        <v>249.06343727964639</v>
      </c>
      <c r="U28">
        <f t="shared" si="4"/>
        <v>258.83063089845609</v>
      </c>
      <c r="V28">
        <f t="shared" si="4"/>
        <v>268.98085171800341</v>
      </c>
      <c r="W28">
        <f t="shared" si="4"/>
        <v>279.52912041282713</v>
      </c>
      <c r="X28">
        <f t="shared" si="4"/>
        <v>290.49104670352619</v>
      </c>
      <c r="Y28">
        <f t="shared" si="4"/>
        <v>301.88285245660563</v>
      </c>
      <c r="Z28">
        <f t="shared" si="4"/>
        <v>313.72139569019805</v>
      </c>
      <c r="AA28">
        <f t="shared" si="4"/>
        <v>326.02419552118624</v>
      </c>
      <c r="AB28">
        <f t="shared" si="4"/>
        <v>338.80945809064451</v>
      </c>
      <c r="AC28">
        <f t="shared" si="4"/>
        <v>352.09610350596392</v>
      </c>
      <c r="AD28">
        <f t="shared" si="4"/>
        <v>365.90379383953115</v>
      </c>
      <c r="AE28">
        <f t="shared" si="4"/>
        <v>380.25296222539509</v>
      </c>
      <c r="AF28">
        <f t="shared" si="4"/>
        <v>395.16484309697927</v>
      </c>
      <c r="AG28">
        <f t="shared" si="4"/>
        <v>410.66150361058629</v>
      </c>
      <c r="AH28">
        <f t="shared" si="4"/>
        <v>426.76587630119752</v>
      </c>
      <c r="AI28">
        <f t="shared" si="4"/>
        <v>443.50179301889159</v>
      </c>
      <c r="AJ28">
        <f t="shared" si="4"/>
        <v>460.89402019610299</v>
      </c>
      <c r="AK28">
        <f t="shared" si="4"/>
        <v>478.96829549791096</v>
      </c>
      <c r="AL28">
        <f t="shared" si="4"/>
        <v>497.7513659095938</v>
      </c>
      <c r="AM28">
        <f t="shared" si="4"/>
        <v>517.27102731781315</v>
      </c>
      <c r="AN28">
        <f t="shared" si="4"/>
        <v>537.55616564400191</v>
      </c>
      <c r="AO28">
        <f t="shared" si="4"/>
        <v>558.6367995908256</v>
      </c>
      <c r="AP28">
        <f t="shared" si="4"/>
        <v>580.54412506497556</v>
      </c>
      <c r="AQ28">
        <f t="shared" si="4"/>
        <v>603.31056134203345</v>
      </c>
      <c r="AR28">
        <f t="shared" si="4"/>
        <v>626.96979904172099</v>
      </c>
      <c r="AS28">
        <f t="shared" si="4"/>
        <v>651.55684998453353</v>
      </c>
    </row>
  </sheetData>
  <conditionalFormatting sqref="C2:R11">
    <cfRule type="expression" dxfId="0" priority="1">
      <formula>$E$2=$C2</formula>
    </cfRule>
  </conditionalFormatting>
  <hyperlinks>
    <hyperlink ref="A1" location="'Contents'!A1" display="'Contents'!A1" xr:uid="{3269D45F-B5BA-4100-A0D1-E8219DB817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pinner 1">
              <controlPr defaultSize="0" autoPict="0">
                <anchor moveWithCells="1" sizeWithCells="1">
                  <from>
                    <xdr:col>5</xdr:col>
                    <xdr:colOff>12700</xdr:colOff>
                    <xdr:row>13</xdr:row>
                    <xdr:rowOff>50800</xdr:rowOff>
                  </from>
                  <to>
                    <xdr:col>5</xdr:col>
                    <xdr:colOff>304800</xdr:colOff>
                    <xdr:row>13</xdr:row>
                    <xdr:rowOff>114300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10</xdr:col>
                    <xdr:colOff>12700</xdr:colOff>
                    <xdr:row>12</xdr:row>
                    <xdr:rowOff>12700</xdr:rowOff>
                  </from>
                  <to>
                    <xdr:col>11</xdr:col>
                    <xdr:colOff>717550</xdr:colOff>
                    <xdr:row>13</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1</vt:i4>
      </vt:variant>
      <vt:variant>
        <vt:lpstr>Named Ranges</vt:lpstr>
      </vt:variant>
      <vt:variant>
        <vt:i4>10</vt:i4>
      </vt:variant>
    </vt:vector>
  </HeadingPairs>
  <TitlesOfParts>
    <vt:vector size="19" baseType="lpstr">
      <vt:lpstr>Things to Check</vt:lpstr>
      <vt:lpstr>Contents</vt:lpstr>
      <vt:lpstr>Summary</vt:lpstr>
      <vt:lpstr>Assumptions</vt:lpstr>
      <vt:lpstr>Scenario</vt:lpstr>
      <vt:lpstr>Operating Model</vt:lpstr>
      <vt:lpstr>Financing Model</vt:lpstr>
      <vt:lpstr>Operating Data</vt:lpstr>
      <vt:lpstr>Chart1</vt:lpstr>
      <vt:lpstr>Applied</vt:lpstr>
      <vt:lpstr>difference</vt:lpstr>
      <vt:lpstr>financing_comp</vt:lpstr>
      <vt:lpstr>financing_fixed</vt:lpstr>
      <vt:lpstr>fixed_debt</vt:lpstr>
      <vt:lpstr>fixper</vt:lpstr>
      <vt:lpstr>Index</vt:lpstr>
      <vt:lpstr>repaycomp</vt:lpstr>
      <vt:lpstr>repayfix</vt:lpstr>
      <vt:lpstr>repayper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Stormy Daniels</dc:creator>
  <cp:lastModifiedBy>Monika Lewenski</cp:lastModifiedBy>
  <dcterms:created xsi:type="dcterms:W3CDTF">2018-08-16T05:36:58Z</dcterms:created>
  <dcterms:modified xsi:type="dcterms:W3CDTF">2020-04-23T13:12:49Z</dcterms:modified>
</cp:coreProperties>
</file>